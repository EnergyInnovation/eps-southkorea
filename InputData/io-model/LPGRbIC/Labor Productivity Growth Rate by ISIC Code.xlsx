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kjh_local\NEXTgroup_local\2025_local\2. EPS\업데이트 파일\eps-southkorea-3.3.1_2025update_v4.0.3\InputData\io-model\LPGRbIC\"/>
    </mc:Choice>
  </mc:AlternateContent>
  <xr:revisionPtr revIDLastSave="0" documentId="13_ncr:1_{AE272CA8-B7E3-491C-AB1E-BCAF8B4569B5}" xr6:coauthVersionLast="47" xr6:coauthVersionMax="47" xr10:uidLastSave="{00000000-0000-0000-0000-000000000000}"/>
  <bookViews>
    <workbookView xWindow="-105" yWindow="0" windowWidth="14610" windowHeight="15585" tabRatio="854" firstSheet="7" activeTab="10" xr2:uid="{00000000-000D-0000-FFFF-FFFF00000000}"/>
  </bookViews>
  <sheets>
    <sheet name="About" sheetId="1" r:id="rId1"/>
    <sheet name="Key" sheetId="14" r:id="rId2"/>
    <sheet name="OECD Mining &amp; Utilities" sheetId="13" r:id="rId3"/>
    <sheet name="OECD Manufacturing" sheetId="12" r:id="rId4"/>
    <sheet name="OECD Transport Retail Food" sheetId="15" r:id="rId5"/>
    <sheet name="OECD Construction" sheetId="11" r:id="rId6"/>
    <sheet name="OECD Info Comms" sheetId="16" r:id="rId7"/>
    <sheet name="OECD Finance Insurance" sheetId="17" r:id="rId8"/>
    <sheet name="OECD Prof Tech Admin" sheetId="18" r:id="rId9"/>
    <sheet name="LPGRbIC_old" sheetId="2" r:id="rId10"/>
    <sheet name="LPGRbIC" sheetId="19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19" l="1"/>
  <c r="E2" i="19"/>
  <c r="F2" i="19"/>
  <c r="G2" i="19"/>
  <c r="H2" i="19" s="1"/>
  <c r="I2" i="19" s="1"/>
  <c r="J2" i="19" s="1"/>
  <c r="K2" i="19" s="1"/>
  <c r="L2" i="19" s="1"/>
  <c r="M2" i="19" s="1"/>
  <c r="N2" i="19" s="1"/>
  <c r="O2" i="19" s="1"/>
  <c r="P2" i="19" s="1"/>
  <c r="Q2" i="19" s="1"/>
  <c r="R2" i="19" s="1"/>
  <c r="S2" i="19" s="1"/>
  <c r="T2" i="19" s="1"/>
  <c r="U2" i="19" s="1"/>
  <c r="V2" i="19" s="1"/>
  <c r="W2" i="19" s="1"/>
  <c r="X2" i="19" s="1"/>
  <c r="Y2" i="19" s="1"/>
  <c r="Z2" i="19" s="1"/>
  <c r="AA2" i="19" s="1"/>
  <c r="AB2" i="19" s="1"/>
  <c r="AC2" i="19" s="1"/>
  <c r="AD2" i="19" s="1"/>
  <c r="AE2" i="19" s="1"/>
  <c r="AF2" i="19" s="1"/>
  <c r="D3" i="19"/>
  <c r="E3" i="19"/>
  <c r="F3" i="19"/>
  <c r="G3" i="19"/>
  <c r="H3" i="19"/>
  <c r="I3" i="19"/>
  <c r="J3" i="19"/>
  <c r="K3" i="19" s="1"/>
  <c r="L3" i="19" s="1"/>
  <c r="M3" i="19" s="1"/>
  <c r="N3" i="19" s="1"/>
  <c r="O3" i="19" s="1"/>
  <c r="P3" i="19" s="1"/>
  <c r="Q3" i="19" s="1"/>
  <c r="R3" i="19" s="1"/>
  <c r="S3" i="19" s="1"/>
  <c r="T3" i="19" s="1"/>
  <c r="U3" i="19" s="1"/>
  <c r="V3" i="19" s="1"/>
  <c r="W3" i="19" s="1"/>
  <c r="X3" i="19" s="1"/>
  <c r="Y3" i="19" s="1"/>
  <c r="Z3" i="19" s="1"/>
  <c r="AA3" i="19" s="1"/>
  <c r="AB3" i="19" s="1"/>
  <c r="AC3" i="19" s="1"/>
  <c r="AD3" i="19" s="1"/>
  <c r="AE3" i="19"/>
  <c r="AF3" i="19"/>
  <c r="D4" i="19"/>
  <c r="E4" i="19"/>
  <c r="F4" i="19"/>
  <c r="G4" i="19"/>
  <c r="H4" i="19"/>
  <c r="I4" i="19" s="1"/>
  <c r="J4" i="19" s="1"/>
  <c r="K4" i="19" s="1"/>
  <c r="L4" i="19" s="1"/>
  <c r="M4" i="19" s="1"/>
  <c r="N4" i="19" s="1"/>
  <c r="O4" i="19" s="1"/>
  <c r="P4" i="19" s="1"/>
  <c r="Q4" i="19" s="1"/>
  <c r="R4" i="19" s="1"/>
  <c r="S4" i="19" s="1"/>
  <c r="T4" i="19" s="1"/>
  <c r="U4" i="19" s="1"/>
  <c r="V4" i="19" s="1"/>
  <c r="W4" i="19" s="1"/>
  <c r="X4" i="19" s="1"/>
  <c r="Y4" i="19" s="1"/>
  <c r="Z4" i="19" s="1"/>
  <c r="AA4" i="19" s="1"/>
  <c r="AB4" i="19" s="1"/>
  <c r="AC4" i="19" s="1"/>
  <c r="AD4" i="19" s="1"/>
  <c r="AE4" i="19" s="1"/>
  <c r="AF4" i="19" s="1"/>
  <c r="D5" i="19"/>
  <c r="E5" i="19" s="1"/>
  <c r="F5" i="19" s="1"/>
  <c r="G5" i="19" s="1"/>
  <c r="H5" i="19" s="1"/>
  <c r="I5" i="19" s="1"/>
  <c r="J5" i="19"/>
  <c r="K5" i="19" s="1"/>
  <c r="L5" i="19" s="1"/>
  <c r="M5" i="19" s="1"/>
  <c r="N5" i="19" s="1"/>
  <c r="O5" i="19" s="1"/>
  <c r="P5" i="19" s="1"/>
  <c r="Q5" i="19"/>
  <c r="R5" i="19"/>
  <c r="S5" i="19"/>
  <c r="T5" i="19" s="1"/>
  <c r="U5" i="19" s="1"/>
  <c r="V5" i="19" s="1"/>
  <c r="W5" i="19" s="1"/>
  <c r="X5" i="19" s="1"/>
  <c r="Y5" i="19" s="1"/>
  <c r="Z5" i="19" s="1"/>
  <c r="AA5" i="19" s="1"/>
  <c r="AB5" i="19" s="1"/>
  <c r="AC5" i="19" s="1"/>
  <c r="AD5" i="19" s="1"/>
  <c r="AE5" i="19" s="1"/>
  <c r="AF5" i="19" s="1"/>
  <c r="D6" i="19"/>
  <c r="E6" i="19"/>
  <c r="F6" i="19" s="1"/>
  <c r="G6" i="19" s="1"/>
  <c r="H6" i="19" s="1"/>
  <c r="I6" i="19" s="1"/>
  <c r="J6" i="19"/>
  <c r="K6" i="19"/>
  <c r="L6" i="19"/>
  <c r="M6" i="19"/>
  <c r="N6" i="19" s="1"/>
  <c r="O6" i="19" s="1"/>
  <c r="P6" i="19"/>
  <c r="Q6" i="19" s="1"/>
  <c r="R6" i="19" s="1"/>
  <c r="S6" i="19" s="1"/>
  <c r="T6" i="19" s="1"/>
  <c r="U6" i="19" s="1"/>
  <c r="V6" i="19" s="1"/>
  <c r="W6" i="19" s="1"/>
  <c r="X6" i="19" s="1"/>
  <c r="Y6" i="19" s="1"/>
  <c r="Z6" i="19" s="1"/>
  <c r="AA6" i="19" s="1"/>
  <c r="AB6" i="19" s="1"/>
  <c r="AC6" i="19" s="1"/>
  <c r="AD6" i="19" s="1"/>
  <c r="AE6" i="19" s="1"/>
  <c r="AF6" i="19" s="1"/>
  <c r="D7" i="19"/>
  <c r="E7" i="19"/>
  <c r="F7" i="19" s="1"/>
  <c r="G7" i="19" s="1"/>
  <c r="H7" i="19" s="1"/>
  <c r="I7" i="19" s="1"/>
  <c r="J7" i="19" s="1"/>
  <c r="K7" i="19" s="1"/>
  <c r="L7" i="19" s="1"/>
  <c r="M7" i="19" s="1"/>
  <c r="N7" i="19" s="1"/>
  <c r="O7" i="19"/>
  <c r="P7" i="19" s="1"/>
  <c r="Q7" i="19" s="1"/>
  <c r="R7" i="19"/>
  <c r="S7" i="19"/>
  <c r="T7" i="19" s="1"/>
  <c r="U7" i="19" s="1"/>
  <c r="V7" i="19" s="1"/>
  <c r="W7" i="19" s="1"/>
  <c r="X7" i="19" s="1"/>
  <c r="Y7" i="19" s="1"/>
  <c r="Z7" i="19" s="1"/>
  <c r="AA7" i="19" s="1"/>
  <c r="AB7" i="19"/>
  <c r="AC7" i="19"/>
  <c r="AD7" i="19"/>
  <c r="AE7" i="19" s="1"/>
  <c r="AF7" i="19" s="1"/>
  <c r="D8" i="19"/>
  <c r="E8" i="19"/>
  <c r="F8" i="19"/>
  <c r="G8" i="19" s="1"/>
  <c r="H8" i="19" s="1"/>
  <c r="I8" i="19" s="1"/>
  <c r="J8" i="19" s="1"/>
  <c r="K8" i="19" s="1"/>
  <c r="L8" i="19" s="1"/>
  <c r="M8" i="19" s="1"/>
  <c r="N8" i="19" s="1"/>
  <c r="O8" i="19" s="1"/>
  <c r="P8" i="19" s="1"/>
  <c r="Q8" i="19" s="1"/>
  <c r="R8" i="19" s="1"/>
  <c r="S8" i="19" s="1"/>
  <c r="T8" i="19" s="1"/>
  <c r="U8" i="19" s="1"/>
  <c r="V8" i="19" s="1"/>
  <c r="W8" i="19" s="1"/>
  <c r="X8" i="19"/>
  <c r="Y8" i="19"/>
  <c r="Z8" i="19" s="1"/>
  <c r="AA8" i="19" s="1"/>
  <c r="AB8" i="19" s="1"/>
  <c r="AC8" i="19" s="1"/>
  <c r="AD8" i="19" s="1"/>
  <c r="AE8" i="19" s="1"/>
  <c r="AF8" i="19" s="1"/>
  <c r="D9" i="19"/>
  <c r="E9" i="19"/>
  <c r="F9" i="19"/>
  <c r="G9" i="19"/>
  <c r="H9" i="19"/>
  <c r="I9" i="19" s="1"/>
  <c r="J9" i="19" s="1"/>
  <c r="K9" i="19" s="1"/>
  <c r="L9" i="19" s="1"/>
  <c r="M9" i="19" s="1"/>
  <c r="N9" i="19" s="1"/>
  <c r="O9" i="19" s="1"/>
  <c r="P9" i="19" s="1"/>
  <c r="Q9" i="19" s="1"/>
  <c r="R9" i="19" s="1"/>
  <c r="S9" i="19" s="1"/>
  <c r="T9" i="19" s="1"/>
  <c r="U9" i="19" s="1"/>
  <c r="V9" i="19" s="1"/>
  <c r="W9" i="19" s="1"/>
  <c r="X9" i="19"/>
  <c r="Y9" i="19"/>
  <c r="Z9" i="19"/>
  <c r="AA9" i="19" s="1"/>
  <c r="AB9" i="19" s="1"/>
  <c r="AC9" i="19"/>
  <c r="AD9" i="19"/>
  <c r="AE9" i="19" s="1"/>
  <c r="AF9" i="19" s="1"/>
  <c r="D10" i="19"/>
  <c r="E10" i="19"/>
  <c r="F10" i="19" s="1"/>
  <c r="G10" i="19" s="1"/>
  <c r="H10" i="19"/>
  <c r="I10" i="19"/>
  <c r="J10" i="19" s="1"/>
  <c r="K10" i="19" s="1"/>
  <c r="L10" i="19"/>
  <c r="M10" i="19"/>
  <c r="N10" i="19" s="1"/>
  <c r="O10" i="19" s="1"/>
  <c r="P10" i="19" s="1"/>
  <c r="Q10" i="19" s="1"/>
  <c r="R10" i="19" s="1"/>
  <c r="S10" i="19" s="1"/>
  <c r="T10" i="19" s="1"/>
  <c r="U10" i="19" s="1"/>
  <c r="V10" i="19" s="1"/>
  <c r="W10" i="19"/>
  <c r="X10" i="19" s="1"/>
  <c r="Y10" i="19" s="1"/>
  <c r="Z10" i="19" s="1"/>
  <c r="AA10" i="19" s="1"/>
  <c r="AB10" i="19" s="1"/>
  <c r="AC10" i="19" s="1"/>
  <c r="AD10" i="19" s="1"/>
  <c r="AE10" i="19" s="1"/>
  <c r="AF10" i="19"/>
  <c r="D11" i="19"/>
  <c r="E11" i="19"/>
  <c r="F11" i="19"/>
  <c r="G11" i="19"/>
  <c r="H11" i="19"/>
  <c r="I11" i="19" s="1"/>
  <c r="J11" i="19" s="1"/>
  <c r="K11" i="19" s="1"/>
  <c r="L11" i="19" s="1"/>
  <c r="M11" i="19" s="1"/>
  <c r="N11" i="19" s="1"/>
  <c r="O11" i="19" s="1"/>
  <c r="P11" i="19" s="1"/>
  <c r="Q11" i="19" s="1"/>
  <c r="R11" i="19" s="1"/>
  <c r="S11" i="19" s="1"/>
  <c r="T11" i="19" s="1"/>
  <c r="U11" i="19" s="1"/>
  <c r="V11" i="19" s="1"/>
  <c r="W11" i="19" s="1"/>
  <c r="X11" i="19" s="1"/>
  <c r="Y11" i="19" s="1"/>
  <c r="Z11" i="19" s="1"/>
  <c r="AA11" i="19" s="1"/>
  <c r="AB11" i="19" s="1"/>
  <c r="AC11" i="19" s="1"/>
  <c r="AD11" i="19"/>
  <c r="AE11" i="19" s="1"/>
  <c r="AF11" i="19" s="1"/>
  <c r="D12" i="19"/>
  <c r="E12" i="19"/>
  <c r="F12" i="19" s="1"/>
  <c r="G12" i="19" s="1"/>
  <c r="H12" i="19"/>
  <c r="I12" i="19"/>
  <c r="J12" i="19" s="1"/>
  <c r="K12" i="19" s="1"/>
  <c r="L12" i="19"/>
  <c r="M12" i="19"/>
  <c r="N12" i="19" s="1"/>
  <c r="O12" i="19" s="1"/>
  <c r="P12" i="19" s="1"/>
  <c r="Q12" i="19" s="1"/>
  <c r="R12" i="19" s="1"/>
  <c r="S12" i="19" s="1"/>
  <c r="T12" i="19" s="1"/>
  <c r="U12" i="19" s="1"/>
  <c r="V12" i="19" s="1"/>
  <c r="W12" i="19" s="1"/>
  <c r="X12" i="19" s="1"/>
  <c r="Y12" i="19" s="1"/>
  <c r="Z12" i="19" s="1"/>
  <c r="AA12" i="19" s="1"/>
  <c r="AB12" i="19" s="1"/>
  <c r="AC12" i="19" s="1"/>
  <c r="AD12" i="19" s="1"/>
  <c r="AE12" i="19" s="1"/>
  <c r="AF12" i="19" s="1"/>
  <c r="D13" i="19"/>
  <c r="E13" i="19"/>
  <c r="F13" i="19" s="1"/>
  <c r="G13" i="19" s="1"/>
  <c r="H13" i="19" s="1"/>
  <c r="I13" i="19" s="1"/>
  <c r="J13" i="19" s="1"/>
  <c r="K13" i="19" s="1"/>
  <c r="L13" i="19" s="1"/>
  <c r="M13" i="19" s="1"/>
  <c r="N13" i="19" s="1"/>
  <c r="O13" i="19" s="1"/>
  <c r="P13" i="19" s="1"/>
  <c r="Q13" i="19" s="1"/>
  <c r="R13" i="19" s="1"/>
  <c r="S13" i="19" s="1"/>
  <c r="T13" i="19" s="1"/>
  <c r="U13" i="19" s="1"/>
  <c r="V13" i="19" s="1"/>
  <c r="W13" i="19" s="1"/>
  <c r="X13" i="19" s="1"/>
  <c r="Y13" i="19" s="1"/>
  <c r="Z13" i="19" s="1"/>
  <c r="AA13" i="19" s="1"/>
  <c r="AB13" i="19" s="1"/>
  <c r="AC13" i="19" s="1"/>
  <c r="AD13" i="19" s="1"/>
  <c r="AE13" i="19" s="1"/>
  <c r="AF13" i="19" s="1"/>
  <c r="D14" i="19"/>
  <c r="E14" i="19"/>
  <c r="F14" i="19"/>
  <c r="G14" i="19"/>
  <c r="H14" i="19"/>
  <c r="I14" i="19"/>
  <c r="J14" i="19"/>
  <c r="K14" i="19"/>
  <c r="L14" i="19"/>
  <c r="M14" i="19" s="1"/>
  <c r="N14" i="19" s="1"/>
  <c r="O14" i="19" s="1"/>
  <c r="P14" i="19" s="1"/>
  <c r="Q14" i="19" s="1"/>
  <c r="R14" i="19" s="1"/>
  <c r="S14" i="19" s="1"/>
  <c r="T14" i="19" s="1"/>
  <c r="U14" i="19" s="1"/>
  <c r="V14" i="19" s="1"/>
  <c r="W14" i="19" s="1"/>
  <c r="X14" i="19" s="1"/>
  <c r="Y14" i="19" s="1"/>
  <c r="Z14" i="19" s="1"/>
  <c r="AA14" i="19" s="1"/>
  <c r="AB14" i="19" s="1"/>
  <c r="AC14" i="19" s="1"/>
  <c r="AD14" i="19" s="1"/>
  <c r="AE14" i="19" s="1"/>
  <c r="AF14" i="19" s="1"/>
  <c r="D15" i="19"/>
  <c r="E15" i="19" s="1"/>
  <c r="F15" i="19" s="1"/>
  <c r="G15" i="19"/>
  <c r="H15" i="19"/>
  <c r="I15" i="19" s="1"/>
  <c r="J15" i="19" s="1"/>
  <c r="K15" i="19"/>
  <c r="L15" i="19" s="1"/>
  <c r="M15" i="19" s="1"/>
  <c r="N15" i="19" s="1"/>
  <c r="O15" i="19" s="1"/>
  <c r="P15" i="19" s="1"/>
  <c r="Q15" i="19" s="1"/>
  <c r="R15" i="19" s="1"/>
  <c r="S15" i="19" s="1"/>
  <c r="T15" i="19" s="1"/>
  <c r="U15" i="19" s="1"/>
  <c r="V15" i="19" s="1"/>
  <c r="W15" i="19" s="1"/>
  <c r="X15" i="19" s="1"/>
  <c r="Y15" i="19" s="1"/>
  <c r="Z15" i="19" s="1"/>
  <c r="AA15" i="19" s="1"/>
  <c r="AB15" i="19" s="1"/>
  <c r="AC15" i="19" s="1"/>
  <c r="AD15" i="19" s="1"/>
  <c r="AE15" i="19" s="1"/>
  <c r="AF15" i="19" s="1"/>
  <c r="D16" i="19"/>
  <c r="E16" i="19" s="1"/>
  <c r="F16" i="19" s="1"/>
  <c r="G16" i="19" s="1"/>
  <c r="H16" i="19" s="1"/>
  <c r="I16" i="19" s="1"/>
  <c r="J16" i="19" s="1"/>
  <c r="K16" i="19" s="1"/>
  <c r="L16" i="19" s="1"/>
  <c r="M16" i="19" s="1"/>
  <c r="N16" i="19" s="1"/>
  <c r="O16" i="19" s="1"/>
  <c r="P16" i="19" s="1"/>
  <c r="Q16" i="19" s="1"/>
  <c r="R16" i="19" s="1"/>
  <c r="S16" i="19" s="1"/>
  <c r="T16" i="19" s="1"/>
  <c r="U16" i="19" s="1"/>
  <c r="V16" i="19" s="1"/>
  <c r="W16" i="19" s="1"/>
  <c r="X16" i="19" s="1"/>
  <c r="Y16" i="19" s="1"/>
  <c r="Z16" i="19" s="1"/>
  <c r="AA16" i="19" s="1"/>
  <c r="AB16" i="19" s="1"/>
  <c r="AC16" i="19" s="1"/>
  <c r="AD16" i="19" s="1"/>
  <c r="AE16" i="19" s="1"/>
  <c r="AF16" i="19" s="1"/>
  <c r="D17" i="19"/>
  <c r="E17" i="19" s="1"/>
  <c r="F17" i="19"/>
  <c r="G17" i="19"/>
  <c r="H17" i="19"/>
  <c r="I17" i="19"/>
  <c r="J17" i="19"/>
  <c r="K17" i="19"/>
  <c r="L17" i="19"/>
  <c r="M17" i="19" s="1"/>
  <c r="N17" i="19" s="1"/>
  <c r="O17" i="19" s="1"/>
  <c r="P17" i="19" s="1"/>
  <c r="Q17" i="19" s="1"/>
  <c r="R17" i="19" s="1"/>
  <c r="S17" i="19" s="1"/>
  <c r="T17" i="19" s="1"/>
  <c r="U17" i="19" s="1"/>
  <c r="V17" i="19" s="1"/>
  <c r="W17" i="19" s="1"/>
  <c r="X17" i="19" s="1"/>
  <c r="Y17" i="19" s="1"/>
  <c r="Z17" i="19" s="1"/>
  <c r="AA17" i="19" s="1"/>
  <c r="AB17" i="19" s="1"/>
  <c r="AC17" i="19" s="1"/>
  <c r="AD17" i="19" s="1"/>
  <c r="AE17" i="19" s="1"/>
  <c r="AF17" i="19" s="1"/>
  <c r="D18" i="19"/>
  <c r="E18" i="19"/>
  <c r="F18" i="19" s="1"/>
  <c r="G18" i="19" s="1"/>
  <c r="H18" i="19" s="1"/>
  <c r="I18" i="19" s="1"/>
  <c r="J18" i="19" s="1"/>
  <c r="K18" i="19" s="1"/>
  <c r="L18" i="19" s="1"/>
  <c r="M18" i="19" s="1"/>
  <c r="N18" i="19" s="1"/>
  <c r="O18" i="19" s="1"/>
  <c r="P18" i="19" s="1"/>
  <c r="Q18" i="19" s="1"/>
  <c r="R18" i="19" s="1"/>
  <c r="S18" i="19" s="1"/>
  <c r="T18" i="19" s="1"/>
  <c r="U18" i="19" s="1"/>
  <c r="V18" i="19" s="1"/>
  <c r="W18" i="19" s="1"/>
  <c r="X18" i="19" s="1"/>
  <c r="Y18" i="19" s="1"/>
  <c r="Z18" i="19" s="1"/>
  <c r="AA18" i="19" s="1"/>
  <c r="AB18" i="19" s="1"/>
  <c r="AC18" i="19" s="1"/>
  <c r="AD18" i="19" s="1"/>
  <c r="AE18" i="19" s="1"/>
  <c r="AF18" i="19" s="1"/>
  <c r="D19" i="19"/>
  <c r="E19" i="19" s="1"/>
  <c r="F19" i="19" s="1"/>
  <c r="G19" i="19" s="1"/>
  <c r="H19" i="19"/>
  <c r="I19" i="19"/>
  <c r="J19" i="19"/>
  <c r="K19" i="19"/>
  <c r="L19" i="19" s="1"/>
  <c r="M19" i="19" s="1"/>
  <c r="N19" i="19" s="1"/>
  <c r="O19" i="19" s="1"/>
  <c r="P19" i="19" s="1"/>
  <c r="Q19" i="19" s="1"/>
  <c r="R19" i="19" s="1"/>
  <c r="S19" i="19" s="1"/>
  <c r="T19" i="19" s="1"/>
  <c r="U19" i="19" s="1"/>
  <c r="V19" i="19" s="1"/>
  <c r="W19" i="19" s="1"/>
  <c r="X19" i="19" s="1"/>
  <c r="Y19" i="19" s="1"/>
  <c r="Z19" i="19" s="1"/>
  <c r="AA19" i="19" s="1"/>
  <c r="AB19" i="19" s="1"/>
  <c r="AC19" i="19" s="1"/>
  <c r="AD19" i="19"/>
  <c r="AE19" i="19"/>
  <c r="AF19" i="19"/>
  <c r="D20" i="19"/>
  <c r="E20" i="19"/>
  <c r="F20" i="19"/>
  <c r="G20" i="19"/>
  <c r="H20" i="19" s="1"/>
  <c r="I20" i="19" s="1"/>
  <c r="J20" i="19" s="1"/>
  <c r="K20" i="19" s="1"/>
  <c r="L20" i="19" s="1"/>
  <c r="M20" i="19" s="1"/>
  <c r="N20" i="19" s="1"/>
  <c r="O20" i="19" s="1"/>
  <c r="P20" i="19" s="1"/>
  <c r="Q20" i="19" s="1"/>
  <c r="R20" i="19" s="1"/>
  <c r="S20" i="19" s="1"/>
  <c r="T20" i="19" s="1"/>
  <c r="U20" i="19" s="1"/>
  <c r="V20" i="19" s="1"/>
  <c r="W20" i="19" s="1"/>
  <c r="X20" i="19" s="1"/>
  <c r="Y20" i="19" s="1"/>
  <c r="Z20" i="19" s="1"/>
  <c r="AA20" i="19"/>
  <c r="AB20" i="19" s="1"/>
  <c r="AC20" i="19" s="1"/>
  <c r="AD20" i="19" s="1"/>
  <c r="AE20" i="19" s="1"/>
  <c r="AF20" i="19" s="1"/>
  <c r="D21" i="19"/>
  <c r="E21" i="19"/>
  <c r="F21" i="19" s="1"/>
  <c r="G21" i="19" s="1"/>
  <c r="H21" i="19" s="1"/>
  <c r="I21" i="19"/>
  <c r="J21" i="19" s="1"/>
  <c r="K21" i="19" s="1"/>
  <c r="L21" i="19" s="1"/>
  <c r="M21" i="19" s="1"/>
  <c r="N21" i="19" s="1"/>
  <c r="O21" i="19" s="1"/>
  <c r="P21" i="19" s="1"/>
  <c r="Q21" i="19" s="1"/>
  <c r="R21" i="19" s="1"/>
  <c r="S21" i="19" s="1"/>
  <c r="T21" i="19" s="1"/>
  <c r="U21" i="19" s="1"/>
  <c r="V21" i="19" s="1"/>
  <c r="W21" i="19" s="1"/>
  <c r="X21" i="19" s="1"/>
  <c r="Y21" i="19"/>
  <c r="Z21" i="19" s="1"/>
  <c r="AA21" i="19" s="1"/>
  <c r="AB21" i="19" s="1"/>
  <c r="AC21" i="19" s="1"/>
  <c r="AD21" i="19"/>
  <c r="AE21" i="19"/>
  <c r="AF21" i="19"/>
  <c r="D22" i="19"/>
  <c r="E22" i="19"/>
  <c r="F22" i="19"/>
  <c r="G22" i="19" s="1"/>
  <c r="H22" i="19" s="1"/>
  <c r="I22" i="19" s="1"/>
  <c r="J22" i="19" s="1"/>
  <c r="K22" i="19" s="1"/>
  <c r="L22" i="19" s="1"/>
  <c r="M22" i="19" s="1"/>
  <c r="N22" i="19" s="1"/>
  <c r="O22" i="19" s="1"/>
  <c r="P22" i="19" s="1"/>
  <c r="Q22" i="19" s="1"/>
  <c r="R22" i="19" s="1"/>
  <c r="S22" i="19" s="1"/>
  <c r="T22" i="19" s="1"/>
  <c r="U22" i="19" s="1"/>
  <c r="V22" i="19" s="1"/>
  <c r="W22" i="19" s="1"/>
  <c r="X22" i="19" s="1"/>
  <c r="Y22" i="19"/>
  <c r="Z22" i="19" s="1"/>
  <c r="AA22" i="19" s="1"/>
  <c r="AB22" i="19" s="1"/>
  <c r="AC22" i="19" s="1"/>
  <c r="AD22" i="19" s="1"/>
  <c r="AE22" i="19" s="1"/>
  <c r="AF22" i="19" s="1"/>
  <c r="D23" i="19"/>
  <c r="E23" i="19"/>
  <c r="F23" i="19"/>
  <c r="G23" i="19" s="1"/>
  <c r="H23" i="19" s="1"/>
  <c r="I23" i="19" s="1"/>
  <c r="J23" i="19" s="1"/>
  <c r="K23" i="19" s="1"/>
  <c r="L23" i="19"/>
  <c r="M23" i="19" s="1"/>
  <c r="N23" i="19" s="1"/>
  <c r="O23" i="19" s="1"/>
  <c r="P23" i="19" s="1"/>
  <c r="Q23" i="19" s="1"/>
  <c r="R23" i="19" s="1"/>
  <c r="S23" i="19" s="1"/>
  <c r="T23" i="19"/>
  <c r="U23" i="19"/>
  <c r="V23" i="19"/>
  <c r="W23" i="19" s="1"/>
  <c r="X23" i="19" s="1"/>
  <c r="Y23" i="19" s="1"/>
  <c r="Z23" i="19"/>
  <c r="AA23" i="19"/>
  <c r="AB23" i="19" s="1"/>
  <c r="AC23" i="19" s="1"/>
  <c r="AD23" i="19" s="1"/>
  <c r="AE23" i="19" s="1"/>
  <c r="AF23" i="19"/>
  <c r="D24" i="19"/>
  <c r="E24" i="19" s="1"/>
  <c r="F24" i="19" s="1"/>
  <c r="G24" i="19" s="1"/>
  <c r="H24" i="19" s="1"/>
  <c r="I24" i="19" s="1"/>
  <c r="J24" i="19" s="1"/>
  <c r="K24" i="19" s="1"/>
  <c r="L24" i="19" s="1"/>
  <c r="M24" i="19" s="1"/>
  <c r="N24" i="19" s="1"/>
  <c r="O24" i="19" s="1"/>
  <c r="P24" i="19" s="1"/>
  <c r="Q24" i="19" s="1"/>
  <c r="R24" i="19" s="1"/>
  <c r="S24" i="19" s="1"/>
  <c r="T24" i="19" s="1"/>
  <c r="U24" i="19" s="1"/>
  <c r="V24" i="19" s="1"/>
  <c r="W24" i="19"/>
  <c r="X24" i="19" s="1"/>
  <c r="Y24" i="19" s="1"/>
  <c r="Z24" i="19" s="1"/>
  <c r="AA24" i="19" s="1"/>
  <c r="AB24" i="19" s="1"/>
  <c r="AC24" i="19" s="1"/>
  <c r="AD24" i="19" s="1"/>
  <c r="AE24" i="19" s="1"/>
  <c r="AF24" i="19" s="1"/>
  <c r="D25" i="19"/>
  <c r="E25" i="19"/>
  <c r="F25" i="19" s="1"/>
  <c r="G25" i="19" s="1"/>
  <c r="H25" i="19" s="1"/>
  <c r="I25" i="19" s="1"/>
  <c r="J25" i="19" s="1"/>
  <c r="K25" i="19" s="1"/>
  <c r="L25" i="19" s="1"/>
  <c r="M25" i="19" s="1"/>
  <c r="N25" i="19" s="1"/>
  <c r="O25" i="19" s="1"/>
  <c r="P25" i="19" s="1"/>
  <c r="Q25" i="19" s="1"/>
  <c r="R25" i="19" s="1"/>
  <c r="S25" i="19"/>
  <c r="T25" i="19"/>
  <c r="U25" i="19" s="1"/>
  <c r="V25" i="19"/>
  <c r="W25" i="19"/>
  <c r="X25" i="19"/>
  <c r="Y25" i="19" s="1"/>
  <c r="Z25" i="19"/>
  <c r="AA25" i="19" s="1"/>
  <c r="AB25" i="19" s="1"/>
  <c r="AC25" i="19"/>
  <c r="AD25" i="19" s="1"/>
  <c r="AE25" i="19" s="1"/>
  <c r="AF25" i="19" s="1"/>
  <c r="D26" i="19"/>
  <c r="E26" i="19"/>
  <c r="F26" i="19"/>
  <c r="G26" i="19" s="1"/>
  <c r="H26" i="19" s="1"/>
  <c r="I26" i="19" s="1"/>
  <c r="J26" i="19" s="1"/>
  <c r="K26" i="19" s="1"/>
  <c r="L26" i="19" s="1"/>
  <c r="M26" i="19" s="1"/>
  <c r="N26" i="19" s="1"/>
  <c r="O26" i="19" s="1"/>
  <c r="P26" i="19" s="1"/>
  <c r="Q26" i="19" s="1"/>
  <c r="R26" i="19" s="1"/>
  <c r="S26" i="19" s="1"/>
  <c r="T26" i="19" s="1"/>
  <c r="U26" i="19" s="1"/>
  <c r="V26" i="19" s="1"/>
  <c r="W26" i="19" s="1"/>
  <c r="X26" i="19" s="1"/>
  <c r="Y26" i="19" s="1"/>
  <c r="Z26" i="19" s="1"/>
  <c r="AA26" i="19" s="1"/>
  <c r="AB26" i="19" s="1"/>
  <c r="AC26" i="19" s="1"/>
  <c r="AD26" i="19" s="1"/>
  <c r="AE26" i="19" s="1"/>
  <c r="AF26" i="19" s="1"/>
  <c r="D27" i="19"/>
  <c r="E27" i="19" s="1"/>
  <c r="F27" i="19" s="1"/>
  <c r="G27" i="19" s="1"/>
  <c r="H27" i="19" s="1"/>
  <c r="I27" i="19" s="1"/>
  <c r="J27" i="19" s="1"/>
  <c r="K27" i="19" s="1"/>
  <c r="L27" i="19" s="1"/>
  <c r="M27" i="19" s="1"/>
  <c r="N27" i="19" s="1"/>
  <c r="O27" i="19" s="1"/>
  <c r="P27" i="19" s="1"/>
  <c r="Q27" i="19" s="1"/>
  <c r="R27" i="19"/>
  <c r="S27" i="19"/>
  <c r="T27" i="19"/>
  <c r="U27" i="19" s="1"/>
  <c r="V27" i="19"/>
  <c r="W27" i="19"/>
  <c r="X27" i="19"/>
  <c r="Y27" i="19"/>
  <c r="Z27" i="19" s="1"/>
  <c r="AA27" i="19" s="1"/>
  <c r="AB27" i="19" s="1"/>
  <c r="AC27" i="19" s="1"/>
  <c r="AD27" i="19" s="1"/>
  <c r="AE27" i="19" s="1"/>
  <c r="AF27" i="19" s="1"/>
  <c r="D28" i="19"/>
  <c r="E28" i="19"/>
  <c r="F28" i="19" s="1"/>
  <c r="G28" i="19"/>
  <c r="H28" i="19"/>
  <c r="I28" i="19"/>
  <c r="J28" i="19" s="1"/>
  <c r="K28" i="19"/>
  <c r="L28" i="19"/>
  <c r="M28" i="19" s="1"/>
  <c r="N28" i="19" s="1"/>
  <c r="O28" i="19" s="1"/>
  <c r="P28" i="19" s="1"/>
  <c r="Q28" i="19" s="1"/>
  <c r="R28" i="19" s="1"/>
  <c r="S28" i="19" s="1"/>
  <c r="T28" i="19" s="1"/>
  <c r="U28" i="19" s="1"/>
  <c r="V28" i="19" s="1"/>
  <c r="W28" i="19" s="1"/>
  <c r="X28" i="19" s="1"/>
  <c r="Y28" i="19" s="1"/>
  <c r="Z28" i="19" s="1"/>
  <c r="AA28" i="19" s="1"/>
  <c r="AB28" i="19" s="1"/>
  <c r="AC28" i="19" s="1"/>
  <c r="AD28" i="19" s="1"/>
  <c r="AE28" i="19" s="1"/>
  <c r="AF28" i="19" s="1"/>
  <c r="D29" i="19"/>
  <c r="E29" i="19"/>
  <c r="F29" i="19"/>
  <c r="G29" i="19"/>
  <c r="H29" i="19"/>
  <c r="I29" i="19"/>
  <c r="J29" i="19"/>
  <c r="K29" i="19" s="1"/>
  <c r="L29" i="19" s="1"/>
  <c r="M29" i="19" s="1"/>
  <c r="N29" i="19"/>
  <c r="O29" i="19" s="1"/>
  <c r="P29" i="19" s="1"/>
  <c r="Q29" i="19" s="1"/>
  <c r="R29" i="19" s="1"/>
  <c r="S29" i="19" s="1"/>
  <c r="T29" i="19" s="1"/>
  <c r="U29" i="19" s="1"/>
  <c r="V29" i="19" s="1"/>
  <c r="W29" i="19" s="1"/>
  <c r="X29" i="19" s="1"/>
  <c r="Y29" i="19" s="1"/>
  <c r="Z29" i="19" s="1"/>
  <c r="AA29" i="19" s="1"/>
  <c r="AB29" i="19" s="1"/>
  <c r="AC29" i="19" s="1"/>
  <c r="AD29" i="19" s="1"/>
  <c r="AE29" i="19" s="1"/>
  <c r="AF29" i="19" s="1"/>
  <c r="D30" i="19"/>
  <c r="E30" i="19"/>
  <c r="F30" i="19" s="1"/>
  <c r="G30" i="19"/>
  <c r="H30" i="19" s="1"/>
  <c r="I30" i="19" s="1"/>
  <c r="J30" i="19" s="1"/>
  <c r="K30" i="19"/>
  <c r="L30" i="19"/>
  <c r="M30" i="19"/>
  <c r="N30" i="19"/>
  <c r="O30" i="19"/>
  <c r="P30" i="19"/>
  <c r="Q30" i="19" s="1"/>
  <c r="R30" i="19" s="1"/>
  <c r="S30" i="19" s="1"/>
  <c r="T30" i="19" s="1"/>
  <c r="U30" i="19" s="1"/>
  <c r="V30" i="19" s="1"/>
  <c r="W30" i="19" s="1"/>
  <c r="X30" i="19" s="1"/>
  <c r="Y30" i="19" s="1"/>
  <c r="Z30" i="19" s="1"/>
  <c r="AA30" i="19" s="1"/>
  <c r="AB30" i="19" s="1"/>
  <c r="AC30" i="19" s="1"/>
  <c r="AD30" i="19" s="1"/>
  <c r="AE30" i="19" s="1"/>
  <c r="AF30" i="19" s="1"/>
  <c r="D31" i="19"/>
  <c r="E31" i="19"/>
  <c r="F31" i="19"/>
  <c r="G31" i="19"/>
  <c r="H31" i="19"/>
  <c r="I31" i="19" s="1"/>
  <c r="J31" i="19"/>
  <c r="K31" i="19" s="1"/>
  <c r="L31" i="19" s="1"/>
  <c r="M31" i="19" s="1"/>
  <c r="N31" i="19" s="1"/>
  <c r="O31" i="19" s="1"/>
  <c r="P31" i="19" s="1"/>
  <c r="Q31" i="19" s="1"/>
  <c r="R31" i="19" s="1"/>
  <c r="S31" i="19" s="1"/>
  <c r="T31" i="19" s="1"/>
  <c r="U31" i="19" s="1"/>
  <c r="V31" i="19" s="1"/>
  <c r="W31" i="19" s="1"/>
  <c r="X31" i="19" s="1"/>
  <c r="Y31" i="19" s="1"/>
  <c r="Z31" i="19" s="1"/>
  <c r="AA31" i="19" s="1"/>
  <c r="AB31" i="19" s="1"/>
  <c r="AC31" i="19" s="1"/>
  <c r="AD31" i="19" s="1"/>
  <c r="AE31" i="19" s="1"/>
  <c r="AF31" i="19" s="1"/>
  <c r="D32" i="19"/>
  <c r="E32" i="19"/>
  <c r="F32" i="19" s="1"/>
  <c r="G32" i="19" s="1"/>
  <c r="H32" i="19"/>
  <c r="I32" i="19"/>
  <c r="J32" i="19" s="1"/>
  <c r="K32" i="19" s="1"/>
  <c r="L32" i="19" s="1"/>
  <c r="M32" i="19"/>
  <c r="N32" i="19"/>
  <c r="O32" i="19"/>
  <c r="P32" i="19" s="1"/>
  <c r="Q32" i="19" s="1"/>
  <c r="R32" i="19" s="1"/>
  <c r="S32" i="19" s="1"/>
  <c r="T32" i="19" s="1"/>
  <c r="U32" i="19" s="1"/>
  <c r="V32" i="19" s="1"/>
  <c r="W32" i="19" s="1"/>
  <c r="X32" i="19" s="1"/>
  <c r="Y32" i="19" s="1"/>
  <c r="Z32" i="19" s="1"/>
  <c r="AA32" i="19" s="1"/>
  <c r="AB32" i="19" s="1"/>
  <c r="AC32" i="19" s="1"/>
  <c r="AD32" i="19" s="1"/>
  <c r="AE32" i="19" s="1"/>
  <c r="AF32" i="19" s="1"/>
  <c r="D33" i="19"/>
  <c r="E33" i="19" s="1"/>
  <c r="F33" i="19"/>
  <c r="G33" i="19"/>
  <c r="H33" i="19"/>
  <c r="I33" i="19" s="1"/>
  <c r="J33" i="19"/>
  <c r="K33" i="19"/>
  <c r="L33" i="19"/>
  <c r="M33" i="19" s="1"/>
  <c r="N33" i="19" s="1"/>
  <c r="O33" i="19" s="1"/>
  <c r="P33" i="19" s="1"/>
  <c r="Q33" i="19" s="1"/>
  <c r="R33" i="19" s="1"/>
  <c r="S33" i="19" s="1"/>
  <c r="T33" i="19" s="1"/>
  <c r="U33" i="19" s="1"/>
  <c r="V33" i="19" s="1"/>
  <c r="W33" i="19" s="1"/>
  <c r="X33" i="19" s="1"/>
  <c r="Y33" i="19" s="1"/>
  <c r="Z33" i="19" s="1"/>
  <c r="AA33" i="19" s="1"/>
  <c r="AB33" i="19" s="1"/>
  <c r="AC33" i="19" s="1"/>
  <c r="AD33" i="19" s="1"/>
  <c r="AE33" i="19" s="1"/>
  <c r="AF33" i="19" s="1"/>
  <c r="D34" i="19"/>
  <c r="E34" i="19" s="1"/>
  <c r="F34" i="19" s="1"/>
  <c r="G34" i="19" s="1"/>
  <c r="H34" i="19" s="1"/>
  <c r="I34" i="19" s="1"/>
  <c r="J34" i="19" s="1"/>
  <c r="K34" i="19" s="1"/>
  <c r="L34" i="19" s="1"/>
  <c r="M34" i="19" s="1"/>
  <c r="N34" i="19" s="1"/>
  <c r="O34" i="19" s="1"/>
  <c r="P34" i="19" s="1"/>
  <c r="Q34" i="19" s="1"/>
  <c r="R34" i="19" s="1"/>
  <c r="S34" i="19" s="1"/>
  <c r="T34" i="19" s="1"/>
  <c r="U34" i="19" s="1"/>
  <c r="V34" i="19" s="1"/>
  <c r="W34" i="19" s="1"/>
  <c r="X34" i="19" s="1"/>
  <c r="Y34" i="19" s="1"/>
  <c r="Z34" i="19" s="1"/>
  <c r="AA34" i="19" s="1"/>
  <c r="AB34" i="19" s="1"/>
  <c r="AC34" i="19" s="1"/>
  <c r="AD34" i="19" s="1"/>
  <c r="AE34" i="19" s="1"/>
  <c r="AF34" i="19" s="1"/>
  <c r="D35" i="19"/>
  <c r="E35" i="19" s="1"/>
  <c r="F35" i="19"/>
  <c r="G35" i="19"/>
  <c r="H35" i="19"/>
  <c r="I35" i="19"/>
  <c r="J35" i="19" s="1"/>
  <c r="K35" i="19" s="1"/>
  <c r="L35" i="19" s="1"/>
  <c r="M35" i="19" s="1"/>
  <c r="N35" i="19" s="1"/>
  <c r="O35" i="19" s="1"/>
  <c r="P35" i="19" s="1"/>
  <c r="Q35" i="19" s="1"/>
  <c r="R35" i="19" s="1"/>
  <c r="S35" i="19" s="1"/>
  <c r="T35" i="19" s="1"/>
  <c r="U35" i="19" s="1"/>
  <c r="V35" i="19" s="1"/>
  <c r="W35" i="19" s="1"/>
  <c r="X35" i="19"/>
  <c r="Y35" i="19" s="1"/>
  <c r="Z35" i="19" s="1"/>
  <c r="AA35" i="19" s="1"/>
  <c r="AB35" i="19" s="1"/>
  <c r="AC35" i="19" s="1"/>
  <c r="AD35" i="19" s="1"/>
  <c r="AE35" i="19" s="1"/>
  <c r="AF35" i="19" s="1"/>
  <c r="D36" i="19"/>
  <c r="E36" i="19"/>
  <c r="F36" i="19" s="1"/>
  <c r="G36" i="19" s="1"/>
  <c r="H36" i="19" s="1"/>
  <c r="I36" i="19" s="1"/>
  <c r="J36" i="19" s="1"/>
  <c r="K36" i="19" s="1"/>
  <c r="L36" i="19" s="1"/>
  <c r="M36" i="19" s="1"/>
  <c r="N36" i="19" s="1"/>
  <c r="O36" i="19" s="1"/>
  <c r="P36" i="19" s="1"/>
  <c r="Q36" i="19" s="1"/>
  <c r="R36" i="19" s="1"/>
  <c r="S36" i="19" s="1"/>
  <c r="T36" i="19" s="1"/>
  <c r="U36" i="19" s="1"/>
  <c r="V36" i="19" s="1"/>
  <c r="W36" i="19"/>
  <c r="X36" i="19"/>
  <c r="Y36" i="19"/>
  <c r="Z36" i="19" s="1"/>
  <c r="AA36" i="19"/>
  <c r="AB36" i="19"/>
  <c r="AC36" i="19"/>
  <c r="AD36" i="19" s="1"/>
  <c r="AE36" i="19"/>
  <c r="AF36" i="19" s="1"/>
  <c r="D37" i="19"/>
  <c r="E37" i="19"/>
  <c r="F37" i="19"/>
  <c r="G37" i="19" s="1"/>
  <c r="H37" i="19" s="1"/>
  <c r="I37" i="19" s="1"/>
  <c r="J37" i="19"/>
  <c r="K37" i="19"/>
  <c r="L37" i="19" s="1"/>
  <c r="M37" i="19" s="1"/>
  <c r="N37" i="19" s="1"/>
  <c r="O37" i="19" s="1"/>
  <c r="P37" i="19" s="1"/>
  <c r="Q37" i="19" s="1"/>
  <c r="R37" i="19" s="1"/>
  <c r="S37" i="19" s="1"/>
  <c r="T37" i="19"/>
  <c r="U37" i="19"/>
  <c r="V37" i="19"/>
  <c r="W37" i="19" s="1"/>
  <c r="X37" i="19" s="1"/>
  <c r="Y37" i="19" s="1"/>
  <c r="Z37" i="19" s="1"/>
  <c r="AA37" i="19" s="1"/>
  <c r="AB37" i="19" s="1"/>
  <c r="AC37" i="19" s="1"/>
  <c r="AD37" i="19" s="1"/>
  <c r="AE37" i="19" s="1"/>
  <c r="AF37" i="19" s="1"/>
  <c r="D38" i="19"/>
  <c r="E38" i="19"/>
  <c r="F38" i="19"/>
  <c r="G38" i="19"/>
  <c r="H38" i="19" s="1"/>
  <c r="I38" i="19" s="1"/>
  <c r="J38" i="19" s="1"/>
  <c r="K38" i="19" s="1"/>
  <c r="L38" i="19" s="1"/>
  <c r="M38" i="19" s="1"/>
  <c r="N38" i="19" s="1"/>
  <c r="O38" i="19" s="1"/>
  <c r="P38" i="19" s="1"/>
  <c r="Q38" i="19" s="1"/>
  <c r="R38" i="19" s="1"/>
  <c r="S38" i="19" s="1"/>
  <c r="T38" i="19"/>
  <c r="U38" i="19"/>
  <c r="V38" i="19" s="1"/>
  <c r="W38" i="19"/>
  <c r="X38" i="19"/>
  <c r="Y38" i="19"/>
  <c r="Z38" i="19" s="1"/>
  <c r="AA38" i="19" s="1"/>
  <c r="AB38" i="19" s="1"/>
  <c r="AC38" i="19" s="1"/>
  <c r="AD38" i="19" s="1"/>
  <c r="AE38" i="19" s="1"/>
  <c r="AF38" i="19" s="1"/>
  <c r="D39" i="19"/>
  <c r="E39" i="19"/>
  <c r="F39" i="19"/>
  <c r="G39" i="19"/>
  <c r="H39" i="19" s="1"/>
  <c r="I39" i="19" s="1"/>
  <c r="J39" i="19" s="1"/>
  <c r="K39" i="19" s="1"/>
  <c r="L39" i="19"/>
  <c r="M39" i="19"/>
  <c r="N39" i="19"/>
  <c r="O39" i="19" s="1"/>
  <c r="P39" i="19"/>
  <c r="Q39" i="19"/>
  <c r="R39" i="19"/>
  <c r="S39" i="19"/>
  <c r="T39" i="19"/>
  <c r="U39" i="19"/>
  <c r="V39" i="19"/>
  <c r="W39" i="19"/>
  <c r="X39" i="19" s="1"/>
  <c r="Y39" i="19" s="1"/>
  <c r="Z39" i="19" s="1"/>
  <c r="AA39" i="19" s="1"/>
  <c r="AB39" i="19" s="1"/>
  <c r="AC39" i="19" s="1"/>
  <c r="AD39" i="19" s="1"/>
  <c r="AE39" i="19" s="1"/>
  <c r="AF39" i="19" s="1"/>
  <c r="D40" i="19"/>
  <c r="E40" i="19"/>
  <c r="F40" i="19"/>
  <c r="G40" i="19"/>
  <c r="H40" i="19"/>
  <c r="I40" i="19"/>
  <c r="J40" i="19"/>
  <c r="K40" i="19"/>
  <c r="L40" i="19"/>
  <c r="M40" i="19"/>
  <c r="N40" i="19" s="1"/>
  <c r="O40" i="19" s="1"/>
  <c r="P40" i="19"/>
  <c r="Q40" i="19"/>
  <c r="R40" i="19" s="1"/>
  <c r="S40" i="19" s="1"/>
  <c r="T40" i="19" s="1"/>
  <c r="U40" i="19" s="1"/>
  <c r="V40" i="19" s="1"/>
  <c r="W40" i="19"/>
  <c r="X40" i="19"/>
  <c r="Y40" i="19"/>
  <c r="Z40" i="19" s="1"/>
  <c r="AA40" i="19" s="1"/>
  <c r="AB40" i="19" s="1"/>
  <c r="AC40" i="19" s="1"/>
  <c r="AD40" i="19" s="1"/>
  <c r="AE40" i="19" s="1"/>
  <c r="AF40" i="19" s="1"/>
  <c r="D41" i="19"/>
  <c r="E41" i="19" s="1"/>
  <c r="F41" i="19" s="1"/>
  <c r="G41" i="19" s="1"/>
  <c r="H41" i="19"/>
  <c r="I41" i="19"/>
  <c r="J41" i="19" s="1"/>
  <c r="K41" i="19" s="1"/>
  <c r="L41" i="19" s="1"/>
  <c r="M41" i="19" s="1"/>
  <c r="N41" i="19"/>
  <c r="O41" i="19"/>
  <c r="P41" i="19"/>
  <c r="Q41" i="19"/>
  <c r="R41" i="19" s="1"/>
  <c r="S41" i="19" s="1"/>
  <c r="T41" i="19" s="1"/>
  <c r="U41" i="19" s="1"/>
  <c r="V41" i="19" s="1"/>
  <c r="W41" i="19" s="1"/>
  <c r="X41" i="19" s="1"/>
  <c r="Y41" i="19" s="1"/>
  <c r="Z41" i="19" s="1"/>
  <c r="AA41" i="19" s="1"/>
  <c r="AB41" i="19" s="1"/>
  <c r="AC41" i="19" s="1"/>
  <c r="AD41" i="19" s="1"/>
  <c r="AE41" i="19" s="1"/>
  <c r="AF41" i="19" s="1"/>
  <c r="D42" i="19"/>
  <c r="E42" i="19"/>
  <c r="F42" i="19"/>
  <c r="G42" i="19"/>
  <c r="H42" i="19"/>
  <c r="I42" i="19"/>
  <c r="J42" i="19"/>
  <c r="K42" i="19"/>
  <c r="L42" i="19"/>
  <c r="M42" i="19"/>
  <c r="N42" i="19" s="1"/>
  <c r="O42" i="19" s="1"/>
  <c r="P42" i="19" s="1"/>
  <c r="Q42" i="19" s="1"/>
  <c r="R42" i="19" s="1"/>
  <c r="S42" i="19" s="1"/>
  <c r="T42" i="19" s="1"/>
  <c r="U42" i="19" s="1"/>
  <c r="V42" i="19" s="1"/>
  <c r="W42" i="19" s="1"/>
  <c r="X42" i="19" s="1"/>
  <c r="Y42" i="19" s="1"/>
  <c r="Z42" i="19" s="1"/>
  <c r="AA42" i="19" s="1"/>
  <c r="AB42" i="19" s="1"/>
  <c r="AC42" i="19" s="1"/>
  <c r="AD42" i="19" s="1"/>
  <c r="AE42" i="19" s="1"/>
  <c r="AF42" i="19" s="1"/>
  <c r="D43" i="19"/>
  <c r="E43" i="19"/>
  <c r="F43" i="19"/>
  <c r="G43" i="19" s="1"/>
  <c r="H43" i="19"/>
  <c r="I43" i="19" s="1"/>
  <c r="J43" i="19" s="1"/>
  <c r="K43" i="19"/>
  <c r="L43" i="19"/>
  <c r="M43" i="19" s="1"/>
  <c r="N43" i="19" s="1"/>
  <c r="O43" i="19" s="1"/>
  <c r="P43" i="19"/>
  <c r="Q43" i="19"/>
  <c r="R43" i="19"/>
  <c r="S43" i="19"/>
  <c r="T43" i="19" s="1"/>
  <c r="U43" i="19" s="1"/>
  <c r="V43" i="19" s="1"/>
  <c r="W43" i="19" s="1"/>
  <c r="X43" i="19" s="1"/>
  <c r="Y43" i="19" s="1"/>
  <c r="Z43" i="19" s="1"/>
  <c r="AA43" i="19" s="1"/>
  <c r="AB43" i="19" s="1"/>
  <c r="AC43" i="19" s="1"/>
  <c r="AD43" i="19" s="1"/>
  <c r="AE43" i="19" s="1"/>
  <c r="AF43" i="19" s="1"/>
  <c r="C3" i="19"/>
  <c r="C4" i="19"/>
  <c r="C5" i="19"/>
  <c r="C6" i="19"/>
  <c r="C7" i="19"/>
  <c r="C8" i="19"/>
  <c r="C9" i="19"/>
  <c r="C10" i="19"/>
  <c r="C11" i="19"/>
  <c r="C12" i="19"/>
  <c r="C13" i="19"/>
  <c r="C14" i="19"/>
  <c r="C15" i="19"/>
  <c r="C16" i="19"/>
  <c r="C17" i="19"/>
  <c r="C18" i="19"/>
  <c r="C19" i="19"/>
  <c r="C20" i="19"/>
  <c r="C21" i="19"/>
  <c r="C22" i="19"/>
  <c r="C23" i="19"/>
  <c r="C24" i="19"/>
  <c r="C25" i="19"/>
  <c r="C26" i="19"/>
  <c r="C27" i="19"/>
  <c r="C28" i="19"/>
  <c r="C29" i="19"/>
  <c r="C30" i="19"/>
  <c r="C31" i="19"/>
  <c r="C32" i="19"/>
  <c r="C33" i="19"/>
  <c r="C34" i="19"/>
  <c r="C35" i="19"/>
  <c r="C36" i="19"/>
  <c r="C37" i="19"/>
  <c r="C38" i="19"/>
  <c r="C39" i="19"/>
  <c r="C40" i="19"/>
  <c r="C41" i="19"/>
  <c r="C42" i="19"/>
  <c r="C43" i="19"/>
  <c r="C2" i="19"/>
  <c r="B42" i="19"/>
  <c r="B41" i="19"/>
  <c r="B40" i="19"/>
  <c r="B39" i="19"/>
  <c r="B38" i="19"/>
  <c r="B37" i="19"/>
  <c r="B36" i="19"/>
  <c r="B35" i="19"/>
  <c r="B34" i="19"/>
  <c r="B33" i="19"/>
  <c r="B32" i="19"/>
  <c r="B31" i="19"/>
  <c r="B30" i="19"/>
  <c r="B29" i="19"/>
  <c r="B28" i="19"/>
  <c r="B27" i="19"/>
  <c r="B26" i="19"/>
  <c r="B25" i="19"/>
  <c r="B24" i="19"/>
  <c r="B23" i="19"/>
  <c r="B22" i="19"/>
  <c r="B21" i="19"/>
  <c r="B20" i="19"/>
  <c r="B19" i="19"/>
  <c r="B18" i="19"/>
  <c r="B17" i="19"/>
  <c r="B16" i="19"/>
  <c r="B15" i="19"/>
  <c r="B14" i="19"/>
  <c r="B13" i="19"/>
  <c r="B12" i="19"/>
  <c r="B11" i="19"/>
  <c r="B10" i="19"/>
  <c r="B9" i="19"/>
  <c r="B8" i="19"/>
  <c r="B7" i="19"/>
  <c r="B6" i="19"/>
  <c r="B5" i="19"/>
  <c r="B4" i="19"/>
  <c r="B3" i="19"/>
  <c r="B2" i="19"/>
  <c r="AP2" i="2" l="1"/>
  <c r="AO2" i="2"/>
  <c r="AN2" i="2"/>
  <c r="AM2" i="2"/>
  <c r="AL2" i="2"/>
  <c r="AK2" i="2"/>
  <c r="AJ2" i="2"/>
  <c r="AI2" i="2"/>
  <c r="AH2" i="2"/>
  <c r="AG2" i="2"/>
  <c r="AF2" i="2"/>
  <c r="AE2" i="2"/>
  <c r="AD2" i="2"/>
  <c r="AC2" i="2"/>
  <c r="AB2" i="2"/>
  <c r="AA2" i="2"/>
  <c r="Z2" i="2"/>
  <c r="Y2" i="2"/>
  <c r="X2" i="2"/>
  <c r="W2" i="2"/>
  <c r="V2" i="2"/>
  <c r="U2" i="2"/>
  <c r="T2" i="2"/>
  <c r="S2" i="2"/>
  <c r="R2" i="2"/>
  <c r="Q2" i="2"/>
  <c r="P2" i="2"/>
  <c r="O2" i="2"/>
  <c r="N2" i="2"/>
  <c r="M2" i="2"/>
  <c r="L2" i="2"/>
  <c r="K2" i="2"/>
  <c r="J2" i="2"/>
  <c r="I2" i="2"/>
  <c r="H2" i="2"/>
  <c r="G2" i="2"/>
  <c r="F2" i="2"/>
  <c r="E2" i="2"/>
  <c r="D2" i="2"/>
  <c r="C2" i="2"/>
  <c r="B2" i="2"/>
</calcChain>
</file>

<file path=xl/sharedStrings.xml><?xml version="1.0" encoding="utf-8"?>
<sst xmlns="http://schemas.openxmlformats.org/spreadsheetml/2006/main" count="3067" uniqueCount="197">
  <si>
    <t>Source:</t>
  </si>
  <si>
    <t>Notes</t>
  </si>
  <si>
    <t>2015</t>
  </si>
  <si>
    <t/>
  </si>
  <si>
    <t>ISIC 01T03</t>
  </si>
  <si>
    <t>ISIC 05T06</t>
  </si>
  <si>
    <t>ISIC 07T08</t>
  </si>
  <si>
    <t>ISIC 09</t>
  </si>
  <si>
    <t>ISIC 10T12</t>
  </si>
  <si>
    <t>ISIC 13T15</t>
  </si>
  <si>
    <t>ISIC 16</t>
  </si>
  <si>
    <t>ISIC 17T18</t>
  </si>
  <si>
    <t>ISIC 19</t>
  </si>
  <si>
    <t>ISIC 20T21</t>
  </si>
  <si>
    <t>ISIC 22</t>
  </si>
  <si>
    <t>ISIC 23</t>
  </si>
  <si>
    <t>ISIC 24</t>
  </si>
  <si>
    <t>ISIC 25</t>
  </si>
  <si>
    <t>ISIC 26</t>
  </si>
  <si>
    <t>ISIC 27</t>
  </si>
  <si>
    <t>ISIC 28</t>
  </si>
  <si>
    <t>ISIC 29</t>
  </si>
  <si>
    <t>ISIC 30</t>
  </si>
  <si>
    <t>ISIC 31T33</t>
  </si>
  <si>
    <t>ISIC 35T39</t>
  </si>
  <si>
    <t>ISIC 41T43</t>
  </si>
  <si>
    <t>ISIC 45T47</t>
  </si>
  <si>
    <t>ISIC 49T53</t>
  </si>
  <si>
    <t>ISIC 55T56</t>
  </si>
  <si>
    <t>ISIC 58T60</t>
  </si>
  <si>
    <t>ISIC 61</t>
  </si>
  <si>
    <t>ISIC 62T63</t>
  </si>
  <si>
    <t>ISIC 64T66</t>
  </si>
  <si>
    <t>ISIC 68</t>
  </si>
  <si>
    <t>ISIC 69T82</t>
  </si>
  <si>
    <t>ISIC 84</t>
  </si>
  <si>
    <t>ISIC 85</t>
  </si>
  <si>
    <t>ISIC 86T88</t>
  </si>
  <si>
    <t>ISIC 90T96</t>
  </si>
  <si>
    <t>ISIC 97T98</t>
  </si>
  <si>
    <t>D01T03: Agriculture, forestry and fishing</t>
  </si>
  <si>
    <t>D05T06: Mining and extraction of energy producing products</t>
  </si>
  <si>
    <t>D07T08: Mining and quarrying of non-energy producing products</t>
  </si>
  <si>
    <t>D09: Mining support service activities</t>
  </si>
  <si>
    <t>D10T12: Food products, beverages and tobacco</t>
  </si>
  <si>
    <t>D13T15: Textiles, wearing apparel, leather and related products</t>
  </si>
  <si>
    <t>D16: Wood and products of wood and cork</t>
  </si>
  <si>
    <t>D17T18: Paper products and printing</t>
  </si>
  <si>
    <t>D19: Coke and refined petroleum products</t>
  </si>
  <si>
    <t>D20T21: Chemicals and pharmaceutical products</t>
  </si>
  <si>
    <t>D22: Rubber and plastic products</t>
  </si>
  <si>
    <t>D23: Other non-metallic mineral products</t>
  </si>
  <si>
    <t>D24: Basic metals</t>
  </si>
  <si>
    <t>D25: Fabricated metal products</t>
  </si>
  <si>
    <t>D26: Computer, electronic and optical products</t>
  </si>
  <si>
    <t>D27: Electrical equipment</t>
  </si>
  <si>
    <t>D28: Machinery and equipment, nec</t>
  </si>
  <si>
    <t>D29: Motor vehicles, trailers and semi-trailers</t>
  </si>
  <si>
    <t>D30: Other transport equipment</t>
  </si>
  <si>
    <t>D31T33: Other manufacturing; repair and installation of machinery and equipment</t>
  </si>
  <si>
    <t>D35T39: Electricity, gas, water supply, sewerage, waste and remediation services</t>
  </si>
  <si>
    <t>D41T43: Construction</t>
  </si>
  <si>
    <t>D45T47: Wholesale and retail trade; repair of motor vehicles</t>
  </si>
  <si>
    <t>D49T53: Transportation and storage</t>
  </si>
  <si>
    <t>D55T56: Accomodation and food services</t>
  </si>
  <si>
    <t>D58T60: Publishing, audiovisual and broadcasting activities</t>
  </si>
  <si>
    <t>D61: Telecommunications</t>
  </si>
  <si>
    <t>D62T63: IT and other information services</t>
  </si>
  <si>
    <t>D64T66: Financial and insurance activities</t>
  </si>
  <si>
    <t>D68: Real estate activities</t>
  </si>
  <si>
    <t>D69T82: Other business sector services</t>
  </si>
  <si>
    <t>D84: Public admin. and defence; compulsory social security</t>
  </si>
  <si>
    <t>D85: Education</t>
  </si>
  <si>
    <t>D86T88: Human health and social work</t>
  </si>
  <si>
    <t>D90T96: Arts, entertainment, recreation and other service activities</t>
  </si>
  <si>
    <t>D97T98: Private households with employed persons</t>
  </si>
  <si>
    <t>Unit: USD</t>
  </si>
  <si>
    <t>LPGRbIC Labor Productivity Growth Rate by ISIC Code</t>
  </si>
  <si>
    <t>https://stats.oecd.org/Index.aspx?DataSetCode=PDBI_I4#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</si>
  <si>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</si>
  <si>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</si>
  <si>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</si>
  <si>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</si>
  <si>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</si>
  <si>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</si>
  <si>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</si>
  <si>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</si>
  <si>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</si>
  <si>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</si>
  <si>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</si>
  <si>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</si>
  <si>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</si>
  <si>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</si>
  <si>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</si>
  <si>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</si>
  <si>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</si>
  <si>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</si>
  <si>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</si>
  <si>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</si>
  <si>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2016</t>
  </si>
  <si>
    <t>2017</t>
  </si>
  <si>
    <t>2018</t>
  </si>
  <si>
    <t>2019</t>
  </si>
  <si>
    <t>Australia</t>
  </si>
  <si>
    <t>Austria</t>
  </si>
  <si>
    <t>Belgium</t>
  </si>
  <si>
    <t>Canada</t>
  </si>
  <si>
    <t>Chile</t>
  </si>
  <si>
    <t>Denmark</t>
  </si>
  <si>
    <t>Estonia</t>
  </si>
  <si>
    <t>Finland</t>
  </si>
  <si>
    <t>France</t>
  </si>
  <si>
    <t>Germany</t>
  </si>
  <si>
    <t>Greece</t>
  </si>
  <si>
    <t>Hungary</t>
  </si>
  <si>
    <t>Iceland</t>
  </si>
  <si>
    <t>Ireland</t>
  </si>
  <si>
    <t>Israel</t>
  </si>
  <si>
    <t>Italy</t>
  </si>
  <si>
    <t>Latvia</t>
  </si>
  <si>
    <t>Lithuania</t>
  </si>
  <si>
    <t>Luxembourg</t>
  </si>
  <si>
    <t>Mexico</t>
  </si>
  <si>
    <t>Netherlands</t>
  </si>
  <si>
    <t>New Zealand</t>
  </si>
  <si>
    <t>Norway</t>
  </si>
  <si>
    <t>Poland</t>
  </si>
  <si>
    <t>Portugal</t>
  </si>
  <si>
    <t>Slovak Republic</t>
  </si>
  <si>
    <t>Slovenia</t>
  </si>
  <si>
    <t>Spain</t>
  </si>
  <si>
    <t>Sweden</t>
  </si>
  <si>
    <t>United Kingdom</t>
  </si>
  <si>
    <t>Switzerland</t>
  </si>
  <si>
    <t>Korea</t>
  </si>
  <si>
    <t>Variable: Gross value added per person employed, constant prices</t>
  </si>
  <si>
    <t>Japan</t>
  </si>
  <si>
    <t>ISIC Code</t>
  </si>
  <si>
    <t>Meaning</t>
  </si>
  <si>
    <t>Tab Name</t>
  </si>
  <si>
    <t>OECD Mining &amp; Utilities</t>
  </si>
  <si>
    <t>OECD Manufacturing</t>
  </si>
  <si>
    <t>OECD Construction</t>
  </si>
  <si>
    <t>OECD Transport Retail Food</t>
  </si>
  <si>
    <t>OECD Info Comms</t>
  </si>
  <si>
    <t>OECD Finance Insurance</t>
  </si>
  <si>
    <t>OECD Prof Tech Admin</t>
  </si>
  <si>
    <t>Details are on the "Key" tab.</t>
  </si>
  <si>
    <t>Not every ISIC category has a match in this database.  We make the best match we can.</t>
  </si>
  <si>
    <t>ISIC 20</t>
  </si>
  <si>
    <t>ISIC 21</t>
  </si>
  <si>
    <t>ISIC 06</t>
  </si>
  <si>
    <t>ISIC 05</t>
  </si>
  <si>
    <t>ISIC 231</t>
  </si>
  <si>
    <t>ISIC 239</t>
  </si>
  <si>
    <t>ISIC 241</t>
  </si>
  <si>
    <t>ISIC 242</t>
  </si>
  <si>
    <t>ISIC 351</t>
  </si>
  <si>
    <t>ISIC 352T353</t>
  </si>
  <si>
    <t>ISIC 36T39</t>
  </si>
  <si>
    <t>Labor Productivity Growth Rate - US Version</t>
  </si>
  <si>
    <t>Productivity by industry</t>
  </si>
  <si>
    <t>Frequency of observation: Annual</t>
  </si>
  <si>
    <t>Economic activity: Mining and quarrying; Energy, water supply and waste management services</t>
  </si>
  <si>
    <t>Combined measure: Gross value added per person employed, Growth rate, over 1 year</t>
  </si>
  <si>
    <t>Combined unit of measure: Percent per annum, Constant prices, 2015</t>
  </si>
  <si>
    <t>Time period</t>
  </si>
  <si>
    <t>2020</t>
  </si>
  <si>
    <t>2021</t>
  </si>
  <si>
    <t>2022</t>
  </si>
  <si>
    <t>2023</t>
  </si>
  <si>
    <t>Reference area</t>
  </si>
  <si>
    <t>Colombia</t>
  </si>
  <si>
    <t>Costa Rica</t>
  </si>
  <si>
    <t>Czechia</t>
  </si>
  <si>
    <t>Non-OECD economies</t>
  </si>
  <si>
    <t>·  Brazil</t>
  </si>
  <si>
    <t>·  Bulgaria</t>
  </si>
  <si>
    <t>·  Croatia</t>
  </si>
  <si>
    <t>·  Cyprus</t>
  </si>
  <si>
    <t>·  Indonesia</t>
  </si>
  <si>
    <t>·  Malta</t>
  </si>
  <si>
    <t>·  North Macedonia</t>
  </si>
  <si>
    <t>·  Peru</t>
  </si>
  <si>
    <t>·  Romania</t>
  </si>
  <si>
    <t>·  Russia</t>
  </si>
  <si>
    <t>·  South Africa</t>
  </si>
  <si>
    <t xml:space="preserve">© Terms &amp; conditions </t>
  </si>
  <si>
    <t>Economic activity: Manufacturing</t>
  </si>
  <si>
    <t>Economic activity: Wholesale and retail trade; repair of motor vehicles and motorcycles; transportation and storage; accommodation and food service activities</t>
  </si>
  <si>
    <t>Economic activity: Construction</t>
  </si>
  <si>
    <t>Economic activity: Information and communication</t>
  </si>
  <si>
    <t>Economic activity: Financial and insurance activities</t>
  </si>
  <si>
    <t>Economic activity: Professional, scientific and technical activities; administrative and support service activities</t>
  </si>
  <si>
    <t>OECD</t>
    <phoneticPr fontId="11" type="noConversion"/>
  </si>
  <si>
    <t xml:space="preserve"> Productivity by industry</t>
  </si>
  <si>
    <r>
      <t>Last updated</t>
    </r>
    <r>
      <rPr>
        <sz val="11"/>
        <color rgb="FFFF0000"/>
        <rFont val="Arial"/>
        <family val="2"/>
      </rPr>
      <t>: January 29, 2025 at 10:26:58 PM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</si>
</sst>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(* #,##0.00_);_(* \(#,##0.00\);_(* &quot;-&quot;??_);_(@_)"/>
    <numFmt numFmtId="177" formatCode="0.0000000"/>
  </numFmts>
  <fonts count="2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u/>
      <sz val="11"/>
      <color theme="10"/>
      <name val="맑은 고딕"/>
      <family val="2"/>
      <scheme val="minor"/>
    </font>
    <font>
      <sz val="10"/>
      <name val="Arial"/>
      <family val="2"/>
    </font>
    <font>
      <b/>
      <sz val="8"/>
      <color indexed="9"/>
      <name val="Verdana"/>
      <family val="2"/>
    </font>
    <font>
      <sz val="8"/>
      <color indexed="9"/>
      <name val="Verdana"/>
      <family val="2"/>
    </font>
    <font>
      <i/>
      <sz val="11"/>
      <color theme="1"/>
      <name val="맑은 고딕"/>
      <family val="2"/>
      <scheme val="minor"/>
    </font>
    <font>
      <sz val="10"/>
      <name val="Arial"/>
      <family val="2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0"/>
      <color theme="1"/>
      <name val="Calibri"/>
      <family val="2"/>
    </font>
    <font>
      <sz val="8"/>
      <name val="맑은 고딕"/>
      <family val="3"/>
      <charset val="129"/>
      <scheme val="minor"/>
    </font>
    <font>
      <b/>
      <sz val="11"/>
      <name val="맑은 고딕"/>
      <family val="3"/>
      <charset val="129"/>
    </font>
    <font>
      <sz val="11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1"/>
      <color rgb="FFFFFFFF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u/>
      <sz val="11"/>
      <color rgb="FF0563C1"/>
      <name val="맑은 고딕"/>
      <family val="3"/>
      <charset val="129"/>
    </font>
    <font>
      <sz val="11"/>
      <color rgb="FFFF0000"/>
      <name val="맑은 고딕"/>
      <family val="2"/>
      <scheme val="minor"/>
    </font>
    <font>
      <b/>
      <i/>
      <sz val="11"/>
      <color rgb="FFFF0000"/>
      <name val="Arial"/>
      <family val="2"/>
    </font>
    <font>
      <sz val="11"/>
      <color rgb="FFFF0000"/>
      <name val="Arial"/>
      <family val="2"/>
    </font>
    <font>
      <u/>
      <sz val="11"/>
      <color rgb="FFFF0000"/>
      <name val="맑은 고딕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A1E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549A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4">
    <xf numFmtId="0" fontId="0" fillId="0" borderId="0"/>
    <xf numFmtId="0" fontId="2" fillId="0" borderId="0" applyNumberFormat="0" applyFill="0" applyBorder="0" applyAlignment="0" applyProtection="0"/>
    <xf numFmtId="0" fontId="3" fillId="0" borderId="0"/>
    <xf numFmtId="0" fontId="7" fillId="0" borderId="0"/>
    <xf numFmtId="176" fontId="8" fillId="0" borderId="0" applyFont="0" applyFill="0" applyBorder="0" applyAlignment="0" applyProtection="0"/>
    <xf numFmtId="0" fontId="9" fillId="0" borderId="0"/>
    <xf numFmtId="0" fontId="10" fillId="0" borderId="0"/>
    <xf numFmtId="0" fontId="8" fillId="0" borderId="0"/>
    <xf numFmtId="0" fontId="8" fillId="0" borderId="0"/>
    <xf numFmtId="176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</cellStyleXfs>
  <cellXfs count="45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3" fillId="0" borderId="0" xfId="2"/>
    <xf numFmtId="0" fontId="6" fillId="0" borderId="0" xfId="0" applyFont="1" applyAlignment="1">
      <alignment horizontal="left"/>
    </xf>
    <xf numFmtId="0" fontId="7" fillId="0" borderId="0" xfId="3"/>
    <xf numFmtId="0" fontId="1" fillId="3" borderId="0" xfId="0" applyFont="1" applyFill="1" applyAlignment="1">
      <alignment horizontal="left"/>
    </xf>
    <xf numFmtId="0" fontId="1" fillId="3" borderId="0" xfId="0" applyFont="1" applyFill="1"/>
    <xf numFmtId="176" fontId="0" fillId="0" borderId="0" xfId="4" applyFont="1"/>
    <xf numFmtId="177" fontId="0" fillId="0" borderId="0" xfId="0" applyNumberFormat="1"/>
    <xf numFmtId="0" fontId="4" fillId="2" borderId="1" xfId="3" applyFont="1" applyFill="1" applyBorder="1" applyAlignment="1">
      <alignment horizontal="right" vertical="center" wrapText="1"/>
    </xf>
    <xf numFmtId="0" fontId="4" fillId="2" borderId="3" xfId="3" applyFont="1" applyFill="1" applyBorder="1" applyAlignment="1">
      <alignment horizontal="right" vertical="center" wrapText="1"/>
    </xf>
    <xf numFmtId="0" fontId="4" fillId="2" borderId="2" xfId="3" applyFont="1" applyFill="1" applyBorder="1" applyAlignment="1">
      <alignment horizontal="right" vertical="center" wrapText="1"/>
    </xf>
    <xf numFmtId="0" fontId="5" fillId="2" borderId="1" xfId="3" applyFont="1" applyFill="1" applyBorder="1" applyAlignment="1">
      <alignment horizontal="center" vertical="top" wrapText="1"/>
    </xf>
    <xf numFmtId="0" fontId="5" fillId="2" borderId="3" xfId="3" applyFont="1" applyFill="1" applyBorder="1" applyAlignment="1">
      <alignment horizontal="center" vertical="top" wrapText="1"/>
    </xf>
    <xf numFmtId="0" fontId="5" fillId="2" borderId="2" xfId="3" applyFont="1" applyFill="1" applyBorder="1" applyAlignment="1">
      <alignment horizontal="center" vertical="top" wrapText="1"/>
    </xf>
    <xf numFmtId="0" fontId="4" fillId="2" borderId="1" xfId="2" applyFont="1" applyFill="1" applyBorder="1" applyAlignment="1">
      <alignment horizontal="right" vertical="center" wrapText="1"/>
    </xf>
    <xf numFmtId="0" fontId="4" fillId="2" borderId="3" xfId="2" applyFont="1" applyFill="1" applyBorder="1" applyAlignment="1">
      <alignment horizontal="right" vertical="center" wrapText="1"/>
    </xf>
    <xf numFmtId="0" fontId="4" fillId="2" borderId="2" xfId="2" applyFont="1" applyFill="1" applyBorder="1" applyAlignment="1">
      <alignment horizontal="right" vertical="center" wrapText="1"/>
    </xf>
    <xf numFmtId="0" fontId="5" fillId="2" borderId="1" xfId="2" applyFont="1" applyFill="1" applyBorder="1" applyAlignment="1">
      <alignment horizontal="center" vertical="top" wrapText="1"/>
    </xf>
    <xf numFmtId="0" fontId="5" fillId="2" borderId="3" xfId="2" applyFont="1" applyFill="1" applyBorder="1" applyAlignment="1">
      <alignment horizontal="center" vertical="top" wrapText="1"/>
    </xf>
    <xf numFmtId="0" fontId="5" fillId="2" borderId="2" xfId="2" applyFont="1" applyFill="1" applyBorder="1" applyAlignment="1">
      <alignment horizontal="center" vertical="top" wrapText="1"/>
    </xf>
    <xf numFmtId="0" fontId="0" fillId="4" borderId="4" xfId="0" applyFill="1" applyBorder="1" applyAlignment="1">
      <alignment horizontal="right"/>
    </xf>
    <xf numFmtId="0" fontId="0" fillId="4" borderId="5" xfId="0" applyFill="1" applyBorder="1" applyAlignment="1">
      <alignment horizontal="right"/>
    </xf>
    <xf numFmtId="177" fontId="0" fillId="4" borderId="6" xfId="0" applyNumberFormat="1" applyFill="1" applyBorder="1"/>
    <xf numFmtId="177" fontId="0" fillId="4" borderId="7" xfId="0" applyNumberFormat="1" applyFill="1" applyBorder="1"/>
    <xf numFmtId="0" fontId="0" fillId="4" borderId="8" xfId="0" applyFill="1" applyBorder="1" applyAlignment="1">
      <alignment horizontal="right"/>
    </xf>
    <xf numFmtId="177" fontId="0" fillId="4" borderId="9" xfId="0" applyNumberFormat="1" applyFill="1" applyBorder="1"/>
    <xf numFmtId="0" fontId="12" fillId="0" borderId="0" xfId="0" applyFont="1" applyAlignment="1">
      <alignment horizontal="left" readingOrder="1"/>
    </xf>
    <xf numFmtId="0" fontId="13" fillId="0" borderId="0" xfId="0" applyFont="1" applyAlignment="1">
      <alignment horizontal="left" readingOrder="1"/>
    </xf>
    <xf numFmtId="0" fontId="15" fillId="5" borderId="10" xfId="0" applyFont="1" applyFill="1" applyBorder="1" applyAlignment="1">
      <alignment horizontal="center" vertical="top" wrapText="1" readingOrder="1"/>
    </xf>
    <xf numFmtId="0" fontId="16" fillId="6" borderId="10" xfId="0" applyFont="1" applyFill="1" applyBorder="1" applyAlignment="1">
      <alignment horizontal="left" vertical="top" wrapText="1" readingOrder="1"/>
    </xf>
    <xf numFmtId="0" fontId="13" fillId="7" borderId="10" xfId="0" applyFont="1" applyFill="1" applyBorder="1" applyAlignment="1">
      <alignment horizontal="left" vertical="top" wrapText="1" readingOrder="1"/>
    </xf>
    <xf numFmtId="0" fontId="17" fillId="6" borderId="10" xfId="0" applyFont="1" applyFill="1" applyBorder="1" applyAlignment="1">
      <alignment horizontal="left" vertical="top" wrapText="1" readingOrder="1"/>
    </xf>
    <xf numFmtId="0" fontId="13" fillId="7" borderId="10" xfId="0" applyFont="1" applyFill="1" applyBorder="1" applyAlignment="1">
      <alignment horizontal="right" vertical="top" wrapText="1" readingOrder="1"/>
    </xf>
    <xf numFmtId="4" fontId="13" fillId="0" borderId="10" xfId="0" applyNumberFormat="1" applyFont="1" applyBorder="1" applyAlignment="1">
      <alignment horizontal="right" wrapText="1" readingOrder="1"/>
    </xf>
    <xf numFmtId="0" fontId="13" fillId="0" borderId="10" xfId="0" applyFont="1" applyBorder="1" applyAlignment="1">
      <alignment horizontal="right" wrapText="1" readingOrder="1"/>
    </xf>
    <xf numFmtId="0" fontId="18" fillId="0" borderId="0" xfId="0" applyFont="1" applyAlignment="1">
      <alignment readingOrder="1"/>
    </xf>
    <xf numFmtId="0" fontId="19" fillId="0" borderId="0" xfId="0" applyFont="1"/>
    <xf numFmtId="0" fontId="20" fillId="0" borderId="0" xfId="0" applyFont="1"/>
    <xf numFmtId="0" fontId="22" fillId="0" borderId="0" xfId="1" applyFont="1"/>
    <xf numFmtId="0" fontId="14" fillId="5" borderId="10" xfId="0" applyFont="1" applyFill="1" applyBorder="1" applyAlignment="1">
      <alignment horizontal="left" vertical="top" wrapText="1" readingOrder="1"/>
    </xf>
    <xf numFmtId="0" fontId="0" fillId="8" borderId="0" xfId="0" applyFill="1" applyBorder="1" applyAlignment="1">
      <alignment horizontal="right"/>
    </xf>
    <xf numFmtId="177" fontId="0" fillId="8" borderId="0" xfId="0" applyNumberFormat="1" applyFill="1" applyBorder="1"/>
  </cellXfs>
  <cellStyles count="14">
    <cellStyle name="Comma 2" xfId="9" xr:uid="{C6B60ADF-88AC-496D-BA56-A84A73BDAE2B}"/>
    <cellStyle name="Normal 11" xfId="11" xr:uid="{CE02BDA6-0DDB-4485-B9BF-B97F6FBDD740}"/>
    <cellStyle name="Normal 2" xfId="2" xr:uid="{00000000-0005-0000-0000-000003000000}"/>
    <cellStyle name="Normal 2 2" xfId="7" xr:uid="{88C1DBE8-537C-4A45-89D7-8B45088DBF9C}"/>
    <cellStyle name="Normal 3" xfId="3" xr:uid="{00000000-0005-0000-0000-000004000000}"/>
    <cellStyle name="Normal 3 2" xfId="6" xr:uid="{A9722F2B-23CE-445E-9874-8ECBC7507849}"/>
    <cellStyle name="Normal 4" xfId="5" xr:uid="{00000000-0005-0000-0000-000005000000}"/>
    <cellStyle name="Normal 4 2" xfId="13" xr:uid="{F19495B1-953A-4979-B123-1CA5B47F03BA}"/>
    <cellStyle name="Normal 4 2 2" xfId="8" xr:uid="{524B0D51-EC0A-415E-A5DF-B6129453BFBE}"/>
    <cellStyle name="Normal 4 3" xfId="10" xr:uid="{C1A13202-7AD1-43C7-949D-170B5881025C}"/>
    <cellStyle name="Normal 5" xfId="12" xr:uid="{D24C28D5-E14C-4190-828B-B53BB5D0383A}"/>
    <cellStyle name="쉼표" xfId="4" builtinId="3"/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tats.oecd.org/Index.aspx?DataSetCode=PDBI_I4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oecd.org/en/about/terms-conditions.html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oecd.org/en/about/terms-conditions.html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oecd.org/en/about/terms-conditions.html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oecd.org/en/about/terms-conditions.html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oecd.org/en/about/terms-conditions.html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oecd.org/en/about/terms-conditions.html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oecd.org/en/about/terms-conditions.html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59999389629810485"/>
  </sheetPr>
  <dimension ref="A1:B20"/>
  <sheetViews>
    <sheetView workbookViewId="0">
      <selection activeCell="A8" sqref="A8"/>
    </sheetView>
  </sheetViews>
  <sheetFormatPr defaultRowHeight="17" x14ac:dyDescent="0.45"/>
  <cols>
    <col min="2" max="2" width="77.58203125" customWidth="1"/>
  </cols>
  <sheetData>
    <row r="1" spans="1:2" x14ac:dyDescent="0.45">
      <c r="A1" s="1" t="s">
        <v>77</v>
      </c>
    </row>
    <row r="3" spans="1:2" x14ac:dyDescent="0.45">
      <c r="A3" s="1" t="s">
        <v>0</v>
      </c>
      <c r="B3" s="39" t="s">
        <v>194</v>
      </c>
    </row>
    <row r="4" spans="1:2" x14ac:dyDescent="0.45">
      <c r="B4" s="40" t="s">
        <v>196</v>
      </c>
    </row>
    <row r="5" spans="1:2" x14ac:dyDescent="0.45">
      <c r="B5" s="39" t="s">
        <v>195</v>
      </c>
    </row>
    <row r="6" spans="1:2" x14ac:dyDescent="0.45">
      <c r="B6" s="41" t="s">
        <v>78</v>
      </c>
    </row>
    <row r="7" spans="1:2" x14ac:dyDescent="0.45">
      <c r="B7" s="39" t="s">
        <v>135</v>
      </c>
    </row>
    <row r="9" spans="1:2" x14ac:dyDescent="0.45">
      <c r="A9" s="1" t="s">
        <v>1</v>
      </c>
    </row>
    <row r="10" spans="1:2" x14ac:dyDescent="0.45">
      <c r="A10" t="s">
        <v>148</v>
      </c>
    </row>
    <row r="11" spans="1:2" x14ac:dyDescent="0.45">
      <c r="A11" t="s">
        <v>147</v>
      </c>
    </row>
    <row r="20" spans="1:1" x14ac:dyDescent="0.45">
      <c r="A20" s="9"/>
    </row>
  </sheetData>
  <phoneticPr fontId="11" type="noConversion"/>
  <hyperlinks>
    <hyperlink ref="B6" r:id="rId1" display="https://stats.oecd.org/Index.aspx?DataSetCode=PDBI_I4" xr:uid="{0D2D8291-6541-4222-8303-320A8C35C536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C37"/>
  <sheetViews>
    <sheetView workbookViewId="0">
      <selection activeCell="C11" sqref="C11"/>
    </sheetView>
  </sheetViews>
  <sheetFormatPr defaultRowHeight="17" x14ac:dyDescent="0.45"/>
  <cols>
    <col min="1" max="1" width="13.25" style="2" customWidth="1"/>
    <col min="2" max="2" width="75.08203125" customWidth="1"/>
    <col min="3" max="3" width="26" customWidth="1"/>
  </cols>
  <sheetData>
    <row r="1" spans="1:3" x14ac:dyDescent="0.45">
      <c r="A1" s="7" t="s">
        <v>137</v>
      </c>
      <c r="B1" s="8" t="s">
        <v>138</v>
      </c>
      <c r="C1" s="8" t="s">
        <v>139</v>
      </c>
    </row>
    <row r="2" spans="1:3" x14ac:dyDescent="0.45">
      <c r="A2" s="2" t="s">
        <v>4</v>
      </c>
      <c r="B2" t="s">
        <v>40</v>
      </c>
      <c r="C2" t="s">
        <v>141</v>
      </c>
    </row>
    <row r="3" spans="1:3" x14ac:dyDescent="0.45">
      <c r="A3" s="2" t="s">
        <v>5</v>
      </c>
      <c r="B3" t="s">
        <v>41</v>
      </c>
      <c r="C3" t="s">
        <v>140</v>
      </c>
    </row>
    <row r="4" spans="1:3" x14ac:dyDescent="0.45">
      <c r="A4" s="2" t="s">
        <v>6</v>
      </c>
      <c r="B4" t="s">
        <v>42</v>
      </c>
      <c r="C4" t="s">
        <v>140</v>
      </c>
    </row>
    <row r="5" spans="1:3" x14ac:dyDescent="0.45">
      <c r="A5" s="2" t="s">
        <v>7</v>
      </c>
      <c r="B5" t="s">
        <v>43</v>
      </c>
      <c r="C5" t="s">
        <v>140</v>
      </c>
    </row>
    <row r="6" spans="1:3" x14ac:dyDescent="0.45">
      <c r="A6" s="2" t="s">
        <v>8</v>
      </c>
      <c r="B6" t="s">
        <v>44</v>
      </c>
      <c r="C6" t="s">
        <v>141</v>
      </c>
    </row>
    <row r="7" spans="1:3" x14ac:dyDescent="0.45">
      <c r="A7" s="2" t="s">
        <v>9</v>
      </c>
      <c r="B7" t="s">
        <v>45</v>
      </c>
      <c r="C7" t="s">
        <v>141</v>
      </c>
    </row>
    <row r="8" spans="1:3" x14ac:dyDescent="0.45">
      <c r="A8" s="2" t="s">
        <v>10</v>
      </c>
      <c r="B8" t="s">
        <v>46</v>
      </c>
      <c r="C8" t="s">
        <v>141</v>
      </c>
    </row>
    <row r="9" spans="1:3" x14ac:dyDescent="0.45">
      <c r="A9" s="2" t="s">
        <v>11</v>
      </c>
      <c r="B9" t="s">
        <v>47</v>
      </c>
      <c r="C9" t="s">
        <v>141</v>
      </c>
    </row>
    <row r="10" spans="1:3" x14ac:dyDescent="0.45">
      <c r="A10" s="2" t="s">
        <v>12</v>
      </c>
      <c r="B10" t="s">
        <v>48</v>
      </c>
      <c r="C10" t="s">
        <v>141</v>
      </c>
    </row>
    <row r="11" spans="1:3" x14ac:dyDescent="0.45">
      <c r="A11" s="2" t="s">
        <v>13</v>
      </c>
      <c r="B11" t="s">
        <v>49</v>
      </c>
      <c r="C11" t="s">
        <v>141</v>
      </c>
    </row>
    <row r="12" spans="1:3" x14ac:dyDescent="0.45">
      <c r="A12" s="2" t="s">
        <v>14</v>
      </c>
      <c r="B12" t="s">
        <v>50</v>
      </c>
      <c r="C12" t="s">
        <v>141</v>
      </c>
    </row>
    <row r="13" spans="1:3" x14ac:dyDescent="0.45">
      <c r="A13" s="2" t="s">
        <v>15</v>
      </c>
      <c r="B13" t="s">
        <v>51</v>
      </c>
      <c r="C13" t="s">
        <v>141</v>
      </c>
    </row>
    <row r="14" spans="1:3" x14ac:dyDescent="0.45">
      <c r="A14" s="2" t="s">
        <v>16</v>
      </c>
      <c r="B14" t="s">
        <v>52</v>
      </c>
      <c r="C14" t="s">
        <v>141</v>
      </c>
    </row>
    <row r="15" spans="1:3" x14ac:dyDescent="0.45">
      <c r="A15" s="2" t="s">
        <v>17</v>
      </c>
      <c r="B15" t="s">
        <v>53</v>
      </c>
      <c r="C15" t="s">
        <v>141</v>
      </c>
    </row>
    <row r="16" spans="1:3" x14ac:dyDescent="0.45">
      <c r="A16" s="2" t="s">
        <v>18</v>
      </c>
      <c r="B16" t="s">
        <v>54</v>
      </c>
      <c r="C16" t="s">
        <v>141</v>
      </c>
    </row>
    <row r="17" spans="1:3" x14ac:dyDescent="0.45">
      <c r="A17" s="2" t="s">
        <v>19</v>
      </c>
      <c r="B17" t="s">
        <v>55</v>
      </c>
      <c r="C17" t="s">
        <v>141</v>
      </c>
    </row>
    <row r="18" spans="1:3" x14ac:dyDescent="0.45">
      <c r="A18" s="2" t="s">
        <v>20</v>
      </c>
      <c r="B18" t="s">
        <v>56</v>
      </c>
      <c r="C18" t="s">
        <v>141</v>
      </c>
    </row>
    <row r="19" spans="1:3" x14ac:dyDescent="0.45">
      <c r="A19" s="2" t="s">
        <v>21</v>
      </c>
      <c r="B19" t="s">
        <v>57</v>
      </c>
      <c r="C19" t="s">
        <v>141</v>
      </c>
    </row>
    <row r="20" spans="1:3" x14ac:dyDescent="0.45">
      <c r="A20" s="2" t="s">
        <v>22</v>
      </c>
      <c r="B20" t="s">
        <v>58</v>
      </c>
      <c r="C20" t="s">
        <v>141</v>
      </c>
    </row>
    <row r="21" spans="1:3" x14ac:dyDescent="0.45">
      <c r="A21" s="2" t="s">
        <v>23</v>
      </c>
      <c r="B21" t="s">
        <v>59</v>
      </c>
      <c r="C21" t="s">
        <v>141</v>
      </c>
    </row>
    <row r="22" spans="1:3" x14ac:dyDescent="0.45">
      <c r="A22" s="2" t="s">
        <v>24</v>
      </c>
      <c r="B22" t="s">
        <v>60</v>
      </c>
      <c r="C22" t="s">
        <v>140</v>
      </c>
    </row>
    <row r="23" spans="1:3" x14ac:dyDescent="0.45">
      <c r="A23" s="2" t="s">
        <v>25</v>
      </c>
      <c r="B23" t="s">
        <v>61</v>
      </c>
      <c r="C23" t="s">
        <v>142</v>
      </c>
    </row>
    <row r="24" spans="1:3" x14ac:dyDescent="0.45">
      <c r="A24" s="2" t="s">
        <v>26</v>
      </c>
      <c r="B24" t="s">
        <v>62</v>
      </c>
      <c r="C24" t="s">
        <v>143</v>
      </c>
    </row>
    <row r="25" spans="1:3" x14ac:dyDescent="0.45">
      <c r="A25" s="2" t="s">
        <v>27</v>
      </c>
      <c r="B25" t="s">
        <v>63</v>
      </c>
      <c r="C25" t="s">
        <v>143</v>
      </c>
    </row>
    <row r="26" spans="1:3" x14ac:dyDescent="0.45">
      <c r="A26" s="2" t="s">
        <v>28</v>
      </c>
      <c r="B26" t="s">
        <v>64</v>
      </c>
      <c r="C26" t="s">
        <v>143</v>
      </c>
    </row>
    <row r="27" spans="1:3" x14ac:dyDescent="0.45">
      <c r="A27" s="2" t="s">
        <v>29</v>
      </c>
      <c r="B27" t="s">
        <v>65</v>
      </c>
      <c r="C27" t="s">
        <v>144</v>
      </c>
    </row>
    <row r="28" spans="1:3" x14ac:dyDescent="0.45">
      <c r="A28" s="2" t="s">
        <v>30</v>
      </c>
      <c r="B28" t="s">
        <v>66</v>
      </c>
      <c r="C28" t="s">
        <v>144</v>
      </c>
    </row>
    <row r="29" spans="1:3" x14ac:dyDescent="0.45">
      <c r="A29" s="2" t="s">
        <v>31</v>
      </c>
      <c r="B29" t="s">
        <v>67</v>
      </c>
      <c r="C29" t="s">
        <v>144</v>
      </c>
    </row>
    <row r="30" spans="1:3" x14ac:dyDescent="0.45">
      <c r="A30" s="2" t="s">
        <v>32</v>
      </c>
      <c r="B30" t="s">
        <v>68</v>
      </c>
      <c r="C30" t="s">
        <v>145</v>
      </c>
    </row>
    <row r="31" spans="1:3" x14ac:dyDescent="0.45">
      <c r="A31" s="2" t="s">
        <v>33</v>
      </c>
      <c r="B31" t="s">
        <v>69</v>
      </c>
      <c r="C31" t="s">
        <v>145</v>
      </c>
    </row>
    <row r="32" spans="1:3" x14ac:dyDescent="0.45">
      <c r="A32" s="2" t="s">
        <v>34</v>
      </c>
      <c r="B32" t="s">
        <v>70</v>
      </c>
      <c r="C32" t="s">
        <v>145</v>
      </c>
    </row>
    <row r="33" spans="1:3" x14ac:dyDescent="0.45">
      <c r="A33" s="2" t="s">
        <v>35</v>
      </c>
      <c r="B33" t="s">
        <v>71</v>
      </c>
      <c r="C33" t="s">
        <v>146</v>
      </c>
    </row>
    <row r="34" spans="1:3" x14ac:dyDescent="0.45">
      <c r="A34" s="2" t="s">
        <v>36</v>
      </c>
      <c r="B34" t="s">
        <v>72</v>
      </c>
      <c r="C34" t="s">
        <v>146</v>
      </c>
    </row>
    <row r="35" spans="1:3" x14ac:dyDescent="0.45">
      <c r="A35" s="2" t="s">
        <v>37</v>
      </c>
      <c r="B35" t="s">
        <v>73</v>
      </c>
      <c r="C35" t="s">
        <v>146</v>
      </c>
    </row>
    <row r="36" spans="1:3" x14ac:dyDescent="0.45">
      <c r="A36" s="2" t="s">
        <v>38</v>
      </c>
      <c r="B36" t="s">
        <v>74</v>
      </c>
      <c r="C36" t="s">
        <v>146</v>
      </c>
    </row>
    <row r="37" spans="1:3" x14ac:dyDescent="0.45">
      <c r="A37" s="2" t="s">
        <v>39</v>
      </c>
      <c r="B37" t="s">
        <v>75</v>
      </c>
      <c r="C37" s="2">
        <v>0</v>
      </c>
    </row>
  </sheetData>
  <phoneticPr fontId="11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58"/>
  <sheetViews>
    <sheetView showGridLines="0" workbookViewId="0">
      <selection activeCell="A29" sqref="A29"/>
    </sheetView>
  </sheetViews>
  <sheetFormatPr defaultColWidth="9.08203125" defaultRowHeight="12.5" x14ac:dyDescent="0.25"/>
  <cols>
    <col min="1" max="1" width="14.5" style="6" customWidth="1"/>
    <col min="2" max="2" width="5.5" style="6" customWidth="1"/>
    <col min="3" max="3" width="5.83203125" style="6" bestFit="1" customWidth="1"/>
    <col min="4" max="16384" width="9.08203125" style="6"/>
  </cols>
  <sheetData>
    <row r="1" spans="1:31" ht="34.5" customHeight="1" x14ac:dyDescent="0.45">
      <c r="A1" s="29" t="s">
        <v>161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</row>
    <row r="2" spans="1:31" ht="12.75" customHeight="1" x14ac:dyDescent="0.45">
      <c r="A2" s="30" t="s">
        <v>162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</row>
    <row r="3" spans="1:31" ht="12.75" customHeight="1" x14ac:dyDescent="0.45">
      <c r="A3" s="30" t="s">
        <v>163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</row>
    <row r="4" spans="1:31" ht="17" x14ac:dyDescent="0.45">
      <c r="A4" s="30" t="s">
        <v>164</v>
      </c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</row>
    <row r="5" spans="1:31" ht="12.75" customHeight="1" x14ac:dyDescent="0.45">
      <c r="A5" s="30" t="s">
        <v>165</v>
      </c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</row>
    <row r="6" spans="1:31" ht="17" x14ac:dyDescent="0.45">
      <c r="A6"/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</row>
    <row r="7" spans="1:31" ht="17.25" customHeight="1" x14ac:dyDescent="0.25">
      <c r="A7" s="42" t="s">
        <v>166</v>
      </c>
      <c r="B7" s="42" t="s">
        <v>166</v>
      </c>
      <c r="C7" s="31" t="s">
        <v>79</v>
      </c>
      <c r="D7" s="31" t="s">
        <v>80</v>
      </c>
      <c r="E7" s="31" t="s">
        <v>81</v>
      </c>
      <c r="F7" s="31" t="s">
        <v>82</v>
      </c>
      <c r="G7" s="31" t="s">
        <v>83</v>
      </c>
      <c r="H7" s="31" t="s">
        <v>84</v>
      </c>
      <c r="I7" s="31" t="s">
        <v>85</v>
      </c>
      <c r="J7" s="31" t="s">
        <v>86</v>
      </c>
      <c r="K7" s="31" t="s">
        <v>87</v>
      </c>
      <c r="L7" s="31" t="s">
        <v>88</v>
      </c>
      <c r="M7" s="31" t="s">
        <v>89</v>
      </c>
      <c r="N7" s="31" t="s">
        <v>90</v>
      </c>
      <c r="O7" s="31" t="s">
        <v>91</v>
      </c>
      <c r="P7" s="31" t="s">
        <v>92</v>
      </c>
      <c r="Q7" s="31" t="s">
        <v>93</v>
      </c>
      <c r="R7" s="31" t="s">
        <v>94</v>
      </c>
      <c r="S7" s="31" t="s">
        <v>95</v>
      </c>
      <c r="T7" s="31" t="s">
        <v>96</v>
      </c>
      <c r="U7" s="31" t="s">
        <v>97</v>
      </c>
      <c r="V7" s="31" t="s">
        <v>98</v>
      </c>
      <c r="W7" s="31" t="s">
        <v>2</v>
      </c>
      <c r="X7" s="31" t="s">
        <v>99</v>
      </c>
      <c r="Y7" s="31" t="s">
        <v>100</v>
      </c>
      <c r="Z7" s="31" t="s">
        <v>101</v>
      </c>
      <c r="AA7" s="31" t="s">
        <v>102</v>
      </c>
      <c r="AB7" s="31" t="s">
        <v>167</v>
      </c>
      <c r="AC7" s="31" t="s">
        <v>168</v>
      </c>
      <c r="AD7" s="31" t="s">
        <v>169</v>
      </c>
      <c r="AE7" s="31" t="s">
        <v>170</v>
      </c>
    </row>
    <row r="8" spans="1:31" ht="17" x14ac:dyDescent="0.25">
      <c r="A8" s="32" t="s">
        <v>171</v>
      </c>
      <c r="B8" s="33" t="s">
        <v>3</v>
      </c>
      <c r="C8" s="33" t="s">
        <v>3</v>
      </c>
      <c r="D8" s="33" t="s">
        <v>3</v>
      </c>
      <c r="E8" s="33" t="s">
        <v>3</v>
      </c>
      <c r="F8" s="33" t="s">
        <v>3</v>
      </c>
      <c r="G8" s="33" t="s">
        <v>3</v>
      </c>
      <c r="H8" s="33" t="s">
        <v>3</v>
      </c>
      <c r="I8" s="33" t="s">
        <v>3</v>
      </c>
      <c r="J8" s="33" t="s">
        <v>3</v>
      </c>
      <c r="K8" s="33" t="s">
        <v>3</v>
      </c>
      <c r="L8" s="33" t="s">
        <v>3</v>
      </c>
      <c r="M8" s="33" t="s">
        <v>3</v>
      </c>
      <c r="N8" s="33" t="s">
        <v>3</v>
      </c>
      <c r="O8" s="33" t="s">
        <v>3</v>
      </c>
      <c r="P8" s="33" t="s">
        <v>3</v>
      </c>
      <c r="Q8" s="33" t="s">
        <v>3</v>
      </c>
      <c r="R8" s="33" t="s">
        <v>3</v>
      </c>
      <c r="S8" s="33" t="s">
        <v>3</v>
      </c>
      <c r="T8" s="33" t="s">
        <v>3</v>
      </c>
      <c r="U8" s="33" t="s">
        <v>3</v>
      </c>
      <c r="V8" s="33" t="s">
        <v>3</v>
      </c>
      <c r="W8" s="33" t="s">
        <v>3</v>
      </c>
      <c r="X8" s="33" t="s">
        <v>3</v>
      </c>
      <c r="Y8" s="33" t="s">
        <v>3</v>
      </c>
      <c r="Z8" s="33" t="s">
        <v>3</v>
      </c>
      <c r="AA8" s="33" t="s">
        <v>3</v>
      </c>
      <c r="AB8" s="33" t="s">
        <v>3</v>
      </c>
      <c r="AC8" s="33" t="s">
        <v>3</v>
      </c>
      <c r="AD8" s="33" t="s">
        <v>3</v>
      </c>
      <c r="AE8" s="33" t="s">
        <v>3</v>
      </c>
    </row>
    <row r="9" spans="1:31" ht="17" x14ac:dyDescent="0.45">
      <c r="A9" s="34" t="s">
        <v>103</v>
      </c>
      <c r="B9" s="35" t="s">
        <v>3</v>
      </c>
      <c r="C9" s="36">
        <v>11.74</v>
      </c>
      <c r="D9" s="36">
        <v>6.13</v>
      </c>
      <c r="E9" s="36">
        <v>2.5099999999999998</v>
      </c>
      <c r="F9" s="36">
        <v>4.8499999999999996</v>
      </c>
      <c r="G9" s="36">
        <v>4.18</v>
      </c>
      <c r="H9" s="36">
        <v>4.6900000000000004</v>
      </c>
      <c r="I9" s="36">
        <v>-0.99</v>
      </c>
      <c r="J9" s="36">
        <v>-9.75</v>
      </c>
      <c r="K9" s="36">
        <v>-8.9499999999999993</v>
      </c>
      <c r="L9" s="36">
        <v>-3.03</v>
      </c>
      <c r="M9" s="36">
        <v>-11.37</v>
      </c>
      <c r="N9" s="36">
        <v>7.76</v>
      </c>
      <c r="O9" s="36">
        <v>-14.83</v>
      </c>
      <c r="P9" s="36">
        <v>3.52</v>
      </c>
      <c r="Q9" s="36">
        <v>-3.19</v>
      </c>
      <c r="R9" s="36">
        <v>-11.08</v>
      </c>
      <c r="S9" s="36">
        <v>-10.41</v>
      </c>
      <c r="T9" s="36">
        <v>13.89</v>
      </c>
      <c r="U9" s="36">
        <v>7.84</v>
      </c>
      <c r="V9" s="36">
        <v>17.96</v>
      </c>
      <c r="W9" s="36">
        <v>7.97</v>
      </c>
      <c r="X9" s="36">
        <v>0.04</v>
      </c>
      <c r="Y9" s="36">
        <v>-3.69</v>
      </c>
      <c r="Z9" s="37" t="s">
        <v>3</v>
      </c>
      <c r="AA9" s="37" t="s">
        <v>3</v>
      </c>
      <c r="AB9" s="37" t="s">
        <v>3</v>
      </c>
      <c r="AC9" s="37" t="s">
        <v>3</v>
      </c>
      <c r="AD9" s="37" t="s">
        <v>3</v>
      </c>
      <c r="AE9" s="37" t="s">
        <v>3</v>
      </c>
    </row>
    <row r="10" spans="1:31" ht="17" x14ac:dyDescent="0.45">
      <c r="A10" s="34" t="s">
        <v>104</v>
      </c>
      <c r="B10" s="35" t="s">
        <v>3</v>
      </c>
      <c r="C10" s="36">
        <v>-1.8</v>
      </c>
      <c r="D10" s="36">
        <v>9.1199999999999992</v>
      </c>
      <c r="E10" s="36">
        <v>14.95</v>
      </c>
      <c r="F10" s="36">
        <v>2.44</v>
      </c>
      <c r="G10" s="36">
        <v>1.72</v>
      </c>
      <c r="H10" s="36">
        <v>2.66</v>
      </c>
      <c r="I10" s="36">
        <v>9.14</v>
      </c>
      <c r="J10" s="36">
        <v>2.4300000000000002</v>
      </c>
      <c r="K10" s="36">
        <v>0.39</v>
      </c>
      <c r="L10" s="36">
        <v>9.86</v>
      </c>
      <c r="M10" s="36">
        <v>-1.56</v>
      </c>
      <c r="N10" s="36">
        <v>-6.25</v>
      </c>
      <c r="O10" s="36">
        <v>-5.9</v>
      </c>
      <c r="P10" s="36">
        <v>-3.58</v>
      </c>
      <c r="Q10" s="36">
        <v>1.1200000000000001</v>
      </c>
      <c r="R10" s="36">
        <v>-3.1</v>
      </c>
      <c r="S10" s="36">
        <v>-3.26</v>
      </c>
      <c r="T10" s="36">
        <v>-1.34</v>
      </c>
      <c r="U10" s="36">
        <v>2.91</v>
      </c>
      <c r="V10" s="36">
        <v>-6.25</v>
      </c>
      <c r="W10" s="36">
        <v>-0.42</v>
      </c>
      <c r="X10" s="36">
        <v>0.71</v>
      </c>
      <c r="Y10" s="36">
        <v>4.75</v>
      </c>
      <c r="Z10" s="36">
        <v>1.19</v>
      </c>
      <c r="AA10" s="36">
        <v>-0.16</v>
      </c>
      <c r="AB10" s="36">
        <v>-1.47</v>
      </c>
      <c r="AC10" s="36">
        <v>-1.63</v>
      </c>
      <c r="AD10" s="36">
        <v>-0.11</v>
      </c>
      <c r="AE10" s="36">
        <v>1.34</v>
      </c>
    </row>
    <row r="11" spans="1:31" ht="17" x14ac:dyDescent="0.45">
      <c r="A11" s="34" t="s">
        <v>105</v>
      </c>
      <c r="B11" s="35" t="s">
        <v>3</v>
      </c>
      <c r="C11" s="37" t="s">
        <v>3</v>
      </c>
      <c r="D11" s="36">
        <v>7.52</v>
      </c>
      <c r="E11" s="36">
        <v>6</v>
      </c>
      <c r="F11" s="36">
        <v>-1.36</v>
      </c>
      <c r="G11" s="36">
        <v>2.72</v>
      </c>
      <c r="H11" s="36">
        <v>6.96</v>
      </c>
      <c r="I11" s="36">
        <v>-2.83</v>
      </c>
      <c r="J11" s="36">
        <v>-1.41</v>
      </c>
      <c r="K11" s="36">
        <v>0.99</v>
      </c>
      <c r="L11" s="36">
        <v>2.23</v>
      </c>
      <c r="M11" s="36">
        <v>-2.57</v>
      </c>
      <c r="N11" s="36">
        <v>0.02</v>
      </c>
      <c r="O11" s="36">
        <v>0.59</v>
      </c>
      <c r="P11" s="36">
        <v>-3.06</v>
      </c>
      <c r="Q11" s="36">
        <v>-3.68</v>
      </c>
      <c r="R11" s="36">
        <v>3.18</v>
      </c>
      <c r="S11" s="36">
        <v>-1.61</v>
      </c>
      <c r="T11" s="36">
        <v>-8.85</v>
      </c>
      <c r="U11" s="36">
        <v>-1.03</v>
      </c>
      <c r="V11" s="36">
        <v>2.08</v>
      </c>
      <c r="W11" s="36">
        <v>-2.19</v>
      </c>
      <c r="X11" s="36">
        <v>0.52</v>
      </c>
      <c r="Y11" s="36">
        <v>-4.28</v>
      </c>
      <c r="Z11" s="36">
        <v>-10.4</v>
      </c>
      <c r="AA11" s="36">
        <v>6.18</v>
      </c>
      <c r="AB11" s="36">
        <v>2.5299999999999998</v>
      </c>
      <c r="AC11" s="36">
        <v>-5.58</v>
      </c>
      <c r="AD11" s="36">
        <v>-20.74</v>
      </c>
      <c r="AE11" s="36">
        <v>8.66</v>
      </c>
    </row>
    <row r="12" spans="1:31" ht="17" x14ac:dyDescent="0.45">
      <c r="A12" s="34" t="s">
        <v>106</v>
      </c>
      <c r="B12" s="35" t="s">
        <v>3</v>
      </c>
      <c r="C12" s="37" t="s">
        <v>3</v>
      </c>
      <c r="D12" s="37" t="s">
        <v>3</v>
      </c>
      <c r="E12" s="37" t="s">
        <v>3</v>
      </c>
      <c r="F12" s="36">
        <v>1.87</v>
      </c>
      <c r="G12" s="36">
        <v>5.0199999999999996</v>
      </c>
      <c r="H12" s="36">
        <v>-3.4</v>
      </c>
      <c r="I12" s="36">
        <v>-3.81</v>
      </c>
      <c r="J12" s="36">
        <v>4.3</v>
      </c>
      <c r="K12" s="36">
        <v>0.68</v>
      </c>
      <c r="L12" s="36">
        <v>-2.69</v>
      </c>
      <c r="M12" s="36">
        <v>-3.61</v>
      </c>
      <c r="N12" s="36">
        <v>-6.86</v>
      </c>
      <c r="O12" s="36">
        <v>-1.07</v>
      </c>
      <c r="P12" s="36">
        <v>-3.79</v>
      </c>
      <c r="Q12" s="36">
        <v>-7.02</v>
      </c>
      <c r="R12" s="36">
        <v>2.48</v>
      </c>
      <c r="S12" s="36">
        <v>-1.78</v>
      </c>
      <c r="T12" s="36">
        <v>-3.5</v>
      </c>
      <c r="U12" s="36">
        <v>1.84</v>
      </c>
      <c r="V12" s="36">
        <v>10.44</v>
      </c>
      <c r="W12" s="36">
        <v>4.4400000000000004</v>
      </c>
      <c r="X12" s="36">
        <v>5.66</v>
      </c>
      <c r="Y12" s="36">
        <v>1.22</v>
      </c>
      <c r="Z12" s="36">
        <v>-0.89</v>
      </c>
      <c r="AA12" s="36">
        <v>-0.71</v>
      </c>
      <c r="AB12" s="36">
        <v>4.67</v>
      </c>
      <c r="AC12" s="37" t="s">
        <v>3</v>
      </c>
      <c r="AD12" s="37" t="s">
        <v>3</v>
      </c>
      <c r="AE12" s="37" t="s">
        <v>3</v>
      </c>
    </row>
    <row r="13" spans="1:31" ht="17" x14ac:dyDescent="0.45">
      <c r="A13" s="34" t="s">
        <v>107</v>
      </c>
      <c r="B13" s="35" t="s">
        <v>3</v>
      </c>
      <c r="C13" s="37" t="s">
        <v>3</v>
      </c>
      <c r="D13" s="37" t="s">
        <v>3</v>
      </c>
      <c r="E13" s="37" t="s">
        <v>3</v>
      </c>
      <c r="F13" s="37" t="s">
        <v>3</v>
      </c>
      <c r="G13" s="37" t="s">
        <v>3</v>
      </c>
      <c r="H13" s="37" t="s">
        <v>3</v>
      </c>
      <c r="I13" s="37" t="s">
        <v>3</v>
      </c>
      <c r="J13" s="37" t="s">
        <v>3</v>
      </c>
      <c r="K13" s="37" t="s">
        <v>3</v>
      </c>
      <c r="L13" s="37" t="s">
        <v>3</v>
      </c>
      <c r="M13" s="37" t="s">
        <v>3</v>
      </c>
      <c r="N13" s="37" t="s">
        <v>3</v>
      </c>
      <c r="O13" s="37" t="s">
        <v>3</v>
      </c>
      <c r="P13" s="37" t="s">
        <v>3</v>
      </c>
      <c r="Q13" s="37" t="s">
        <v>3</v>
      </c>
      <c r="R13" s="37" t="s">
        <v>3</v>
      </c>
      <c r="S13" s="37" t="s">
        <v>3</v>
      </c>
      <c r="T13" s="37" t="s">
        <v>3</v>
      </c>
      <c r="U13" s="37" t="s">
        <v>3</v>
      </c>
      <c r="V13" s="36">
        <v>3.53</v>
      </c>
      <c r="W13" s="36">
        <v>1.54</v>
      </c>
      <c r="X13" s="36">
        <v>8.07</v>
      </c>
      <c r="Y13" s="36">
        <v>-0.15</v>
      </c>
      <c r="Z13" s="36">
        <v>3.15</v>
      </c>
      <c r="AA13" s="36">
        <v>-11.87</v>
      </c>
      <c r="AB13" s="36">
        <v>7.44</v>
      </c>
      <c r="AC13" s="36">
        <v>-7.33</v>
      </c>
      <c r="AD13" s="36">
        <v>-15.24</v>
      </c>
      <c r="AE13" s="37" t="s">
        <v>3</v>
      </c>
    </row>
    <row r="14" spans="1:31" ht="17" x14ac:dyDescent="0.45">
      <c r="A14" s="34" t="s">
        <v>172</v>
      </c>
      <c r="B14" s="35" t="s">
        <v>3</v>
      </c>
      <c r="C14" s="37" t="s">
        <v>3</v>
      </c>
      <c r="D14" s="37" t="s">
        <v>3</v>
      </c>
      <c r="E14" s="37" t="s">
        <v>3</v>
      </c>
      <c r="F14" s="37" t="s">
        <v>3</v>
      </c>
      <c r="G14" s="37" t="s">
        <v>3</v>
      </c>
      <c r="H14" s="37" t="s">
        <v>3</v>
      </c>
      <c r="I14" s="37" t="s">
        <v>3</v>
      </c>
      <c r="J14" s="37" t="s">
        <v>3</v>
      </c>
      <c r="K14" s="37" t="s">
        <v>3</v>
      </c>
      <c r="L14" s="37" t="s">
        <v>3</v>
      </c>
      <c r="M14" s="37" t="s">
        <v>3</v>
      </c>
      <c r="N14" s="37" t="s">
        <v>3</v>
      </c>
      <c r="O14" s="37" t="s">
        <v>3</v>
      </c>
      <c r="P14" s="37" t="s">
        <v>3</v>
      </c>
      <c r="Q14" s="37" t="s">
        <v>3</v>
      </c>
      <c r="R14" s="37" t="s">
        <v>3</v>
      </c>
      <c r="S14" s="37" t="s">
        <v>3</v>
      </c>
      <c r="T14" s="37" t="s">
        <v>3</v>
      </c>
      <c r="U14" s="37" t="s">
        <v>3</v>
      </c>
      <c r="V14" s="37" t="s">
        <v>3</v>
      </c>
      <c r="W14" s="37" t="s">
        <v>3</v>
      </c>
      <c r="X14" s="36">
        <v>5.28</v>
      </c>
      <c r="Y14" s="36">
        <v>-6.29</v>
      </c>
      <c r="Z14" s="36">
        <v>-7.15</v>
      </c>
      <c r="AA14" s="36">
        <v>2.04</v>
      </c>
      <c r="AB14" s="36">
        <v>-17.72</v>
      </c>
      <c r="AC14" s="36">
        <v>-15.68</v>
      </c>
      <c r="AD14" s="36">
        <v>-10.39</v>
      </c>
      <c r="AE14" s="37" t="s">
        <v>3</v>
      </c>
    </row>
    <row r="15" spans="1:31" ht="17" x14ac:dyDescent="0.45">
      <c r="A15" s="34" t="s">
        <v>173</v>
      </c>
      <c r="B15" s="35" t="s">
        <v>3</v>
      </c>
      <c r="C15" s="36">
        <v>30.87</v>
      </c>
      <c r="D15" s="36">
        <v>3.43</v>
      </c>
      <c r="E15" s="36">
        <v>9.16</v>
      </c>
      <c r="F15" s="36">
        <v>8.94</v>
      </c>
      <c r="G15" s="36">
        <v>10.29</v>
      </c>
      <c r="H15" s="36">
        <v>-3.37</v>
      </c>
      <c r="I15" s="36">
        <v>-7.07</v>
      </c>
      <c r="J15" s="36">
        <v>-9.86</v>
      </c>
      <c r="K15" s="36">
        <v>0.26</v>
      </c>
      <c r="L15" s="36">
        <v>-2.2999999999999998</v>
      </c>
      <c r="M15" s="36">
        <v>16.22</v>
      </c>
      <c r="N15" s="36">
        <v>-4.8</v>
      </c>
      <c r="O15" s="36">
        <v>11.32</v>
      </c>
      <c r="P15" s="36">
        <v>-21.03</v>
      </c>
      <c r="Q15" s="36">
        <v>10.34</v>
      </c>
      <c r="R15" s="36">
        <v>-27.69</v>
      </c>
      <c r="S15" s="36">
        <v>18.05</v>
      </c>
      <c r="T15" s="36">
        <v>8.9499999999999993</v>
      </c>
      <c r="U15" s="36">
        <v>-16.03</v>
      </c>
      <c r="V15" s="36">
        <v>14.78</v>
      </c>
      <c r="W15" s="36">
        <v>20.32</v>
      </c>
      <c r="X15" s="36">
        <v>-10.1</v>
      </c>
      <c r="Y15" s="36">
        <v>24.9</v>
      </c>
      <c r="Z15" s="36">
        <v>9.77</v>
      </c>
      <c r="AA15" s="36">
        <v>9.06</v>
      </c>
      <c r="AB15" s="36">
        <v>2.13</v>
      </c>
      <c r="AC15" s="36">
        <v>2.06</v>
      </c>
      <c r="AD15" s="36">
        <v>13.1</v>
      </c>
      <c r="AE15" s="36">
        <v>-15.21</v>
      </c>
    </row>
    <row r="16" spans="1:31" ht="17" x14ac:dyDescent="0.45">
      <c r="A16" s="34" t="s">
        <v>174</v>
      </c>
      <c r="B16" s="35" t="s">
        <v>3</v>
      </c>
      <c r="C16" s="36">
        <v>1.28</v>
      </c>
      <c r="D16" s="36">
        <v>4.9400000000000004</v>
      </c>
      <c r="E16" s="36">
        <v>-5.05</v>
      </c>
      <c r="F16" s="36">
        <v>-3.95</v>
      </c>
      <c r="G16" s="36">
        <v>7.0000000000000007E-2</v>
      </c>
      <c r="H16" s="36">
        <v>14.42</v>
      </c>
      <c r="I16" s="36">
        <v>3.18</v>
      </c>
      <c r="J16" s="36">
        <v>0.7</v>
      </c>
      <c r="K16" s="36">
        <v>6.82</v>
      </c>
      <c r="L16" s="36">
        <v>7.22</v>
      </c>
      <c r="M16" s="36">
        <v>-1.25</v>
      </c>
      <c r="N16" s="36">
        <v>3.51</v>
      </c>
      <c r="O16" s="36">
        <v>0.87</v>
      </c>
      <c r="P16" s="36">
        <v>2.93</v>
      </c>
      <c r="Q16" s="36">
        <v>-10.38</v>
      </c>
      <c r="R16" s="36">
        <v>-2.68</v>
      </c>
      <c r="S16" s="36">
        <v>-7.47</v>
      </c>
      <c r="T16" s="36">
        <v>-2.0099999999999998</v>
      </c>
      <c r="U16" s="36">
        <v>-7.3</v>
      </c>
      <c r="V16" s="36">
        <v>-0.24</v>
      </c>
      <c r="W16" s="36">
        <v>-4.82</v>
      </c>
      <c r="X16" s="36">
        <v>-3.29</v>
      </c>
      <c r="Y16" s="36">
        <v>2.13</v>
      </c>
      <c r="Z16" s="36">
        <v>-2.21</v>
      </c>
      <c r="AA16" s="36">
        <v>-3.17</v>
      </c>
      <c r="AB16" s="36">
        <v>-1.46</v>
      </c>
      <c r="AC16" s="36">
        <v>9.89</v>
      </c>
      <c r="AD16" s="36">
        <v>-13.49</v>
      </c>
      <c r="AE16" s="36">
        <v>-21.07</v>
      </c>
    </row>
    <row r="17" spans="1:31" ht="17" x14ac:dyDescent="0.45">
      <c r="A17" s="34" t="s">
        <v>108</v>
      </c>
      <c r="B17" s="35" t="s">
        <v>3</v>
      </c>
      <c r="C17" s="36">
        <v>-1.77</v>
      </c>
      <c r="D17" s="36">
        <v>11.44</v>
      </c>
      <c r="E17" s="36">
        <v>2.5099999999999998</v>
      </c>
      <c r="F17" s="36">
        <v>-1.78</v>
      </c>
      <c r="G17" s="36">
        <v>10.06</v>
      </c>
      <c r="H17" s="36">
        <v>11.02</v>
      </c>
      <c r="I17" s="36">
        <v>0.43</v>
      </c>
      <c r="J17" s="36">
        <v>-4.5</v>
      </c>
      <c r="K17" s="36">
        <v>5.05</v>
      </c>
      <c r="L17" s="36">
        <v>9.06</v>
      </c>
      <c r="M17" s="36">
        <v>-4.16</v>
      </c>
      <c r="N17" s="36">
        <v>-5.32</v>
      </c>
      <c r="O17" s="36">
        <v>-12.37</v>
      </c>
      <c r="P17" s="36">
        <v>-10.87</v>
      </c>
      <c r="Q17" s="36">
        <v>-13.96</v>
      </c>
      <c r="R17" s="36">
        <v>7.68</v>
      </c>
      <c r="S17" s="36">
        <v>-5.81</v>
      </c>
      <c r="T17" s="36">
        <v>-7.65</v>
      </c>
      <c r="U17" s="36">
        <v>-5.61</v>
      </c>
      <c r="V17" s="36">
        <v>-9.34</v>
      </c>
      <c r="W17" s="36">
        <v>-7.95</v>
      </c>
      <c r="X17" s="36">
        <v>-0.9</v>
      </c>
      <c r="Y17" s="36">
        <v>1.26</v>
      </c>
      <c r="Z17" s="36">
        <v>2.5299999999999998</v>
      </c>
      <c r="AA17" s="36">
        <v>-6.97</v>
      </c>
      <c r="AB17" s="36">
        <v>-16.03</v>
      </c>
      <c r="AC17" s="36">
        <v>5.58</v>
      </c>
      <c r="AD17" s="36">
        <v>-3.45</v>
      </c>
      <c r="AE17" s="36">
        <v>3.21</v>
      </c>
    </row>
    <row r="18" spans="1:31" ht="17" x14ac:dyDescent="0.45">
      <c r="A18" s="34" t="s">
        <v>109</v>
      </c>
      <c r="B18" s="35" t="s">
        <v>3</v>
      </c>
      <c r="C18" s="37" t="s">
        <v>3</v>
      </c>
      <c r="D18" s="36">
        <v>3.46</v>
      </c>
      <c r="E18" s="36">
        <v>-6.47</v>
      </c>
      <c r="F18" s="36">
        <v>-12.1</v>
      </c>
      <c r="G18" s="36">
        <v>-5.74</v>
      </c>
      <c r="H18" s="36">
        <v>19.97</v>
      </c>
      <c r="I18" s="36">
        <v>36.68</v>
      </c>
      <c r="J18" s="36">
        <v>14.87</v>
      </c>
      <c r="K18" s="36">
        <v>-3.18</v>
      </c>
      <c r="L18" s="36">
        <v>-15.83</v>
      </c>
      <c r="M18" s="36">
        <v>9.17</v>
      </c>
      <c r="N18" s="36">
        <v>17.7</v>
      </c>
      <c r="O18" s="36">
        <v>21.33</v>
      </c>
      <c r="P18" s="36">
        <v>-11.25</v>
      </c>
      <c r="Q18" s="36">
        <v>-5.21</v>
      </c>
      <c r="R18" s="36">
        <v>-2.81</v>
      </c>
      <c r="S18" s="36">
        <v>3.49</v>
      </c>
      <c r="T18" s="36">
        <v>-0.4</v>
      </c>
      <c r="U18" s="36">
        <v>27.11</v>
      </c>
      <c r="V18" s="36">
        <v>1.92</v>
      </c>
      <c r="W18" s="36">
        <v>3.71</v>
      </c>
      <c r="X18" s="36">
        <v>15.63</v>
      </c>
      <c r="Y18" s="36">
        <v>-8.58</v>
      </c>
      <c r="Z18" s="36">
        <v>0.18</v>
      </c>
      <c r="AA18" s="36">
        <v>0.98</v>
      </c>
      <c r="AB18" s="36">
        <v>-3.94</v>
      </c>
      <c r="AC18" s="36">
        <v>-11.58</v>
      </c>
      <c r="AD18" s="36">
        <v>0.74</v>
      </c>
      <c r="AE18" s="36">
        <v>-28.7</v>
      </c>
    </row>
    <row r="19" spans="1:31" ht="17" x14ac:dyDescent="0.45">
      <c r="A19" s="34" t="s">
        <v>110</v>
      </c>
      <c r="B19" s="35" t="s">
        <v>3</v>
      </c>
      <c r="C19" s="36">
        <v>-0.28999999999999998</v>
      </c>
      <c r="D19" s="36">
        <v>7.67</v>
      </c>
      <c r="E19" s="36">
        <v>1.58</v>
      </c>
      <c r="F19" s="36">
        <v>2</v>
      </c>
      <c r="G19" s="36">
        <v>3.45</v>
      </c>
      <c r="H19" s="36">
        <v>0.96</v>
      </c>
      <c r="I19" s="36">
        <v>7.79</v>
      </c>
      <c r="J19" s="36">
        <v>4.3499999999999996</v>
      </c>
      <c r="K19" s="36">
        <v>2.89</v>
      </c>
      <c r="L19" s="36">
        <v>3.22</v>
      </c>
      <c r="M19" s="36">
        <v>-2.16</v>
      </c>
      <c r="N19" s="36">
        <v>-3.38</v>
      </c>
      <c r="O19" s="36">
        <v>5.6</v>
      </c>
      <c r="P19" s="36">
        <v>-5.76</v>
      </c>
      <c r="Q19" s="36">
        <v>-3.81</v>
      </c>
      <c r="R19" s="36">
        <v>4.6500000000000004</v>
      </c>
      <c r="S19" s="36">
        <v>-4.82</v>
      </c>
      <c r="T19" s="36">
        <v>4.8</v>
      </c>
      <c r="U19" s="36">
        <v>-4.0199999999999996</v>
      </c>
      <c r="V19" s="36">
        <v>3.8</v>
      </c>
      <c r="W19" s="36">
        <v>0.05</v>
      </c>
      <c r="X19" s="36">
        <v>-4.84</v>
      </c>
      <c r="Y19" s="36">
        <v>7.04</v>
      </c>
      <c r="Z19" s="36">
        <v>-1.1599999999999999</v>
      </c>
      <c r="AA19" s="36">
        <v>-1.9</v>
      </c>
      <c r="AB19" s="36">
        <v>1.49</v>
      </c>
      <c r="AC19" s="36">
        <v>-0.81</v>
      </c>
      <c r="AD19" s="36">
        <v>-2.4900000000000002</v>
      </c>
      <c r="AE19" s="36">
        <v>8.5299999999999994</v>
      </c>
    </row>
    <row r="20" spans="1:31" ht="17" x14ac:dyDescent="0.45">
      <c r="A20" s="34" t="s">
        <v>111</v>
      </c>
      <c r="B20" s="35" t="s">
        <v>3</v>
      </c>
      <c r="C20" s="36">
        <v>3.46</v>
      </c>
      <c r="D20" s="36">
        <v>4.7</v>
      </c>
      <c r="E20" s="36">
        <v>-3.66</v>
      </c>
      <c r="F20" s="36">
        <v>8.58</v>
      </c>
      <c r="G20" s="36">
        <v>2.93</v>
      </c>
      <c r="H20" s="36">
        <v>-0.94</v>
      </c>
      <c r="I20" s="36">
        <v>4.24</v>
      </c>
      <c r="J20" s="36">
        <v>7.57</v>
      </c>
      <c r="K20" s="36">
        <v>-0.57999999999999996</v>
      </c>
      <c r="L20" s="36">
        <v>2.62</v>
      </c>
      <c r="M20" s="36">
        <v>-3.89</v>
      </c>
      <c r="N20" s="36">
        <v>-3.42</v>
      </c>
      <c r="O20" s="36">
        <v>0.33</v>
      </c>
      <c r="P20" s="36">
        <v>-3.14</v>
      </c>
      <c r="Q20" s="36">
        <v>-10.43</v>
      </c>
      <c r="R20" s="36">
        <v>-2.78</v>
      </c>
      <c r="S20" s="36">
        <v>-1.25</v>
      </c>
      <c r="T20" s="36">
        <v>3.39</v>
      </c>
      <c r="U20" s="36">
        <v>3.3</v>
      </c>
      <c r="V20" s="36">
        <v>-2.71</v>
      </c>
      <c r="W20" s="36">
        <v>-2.11</v>
      </c>
      <c r="X20" s="36">
        <v>-4.4000000000000004</v>
      </c>
      <c r="Y20" s="36">
        <v>-3.37</v>
      </c>
      <c r="Z20" s="36">
        <v>4.74</v>
      </c>
      <c r="AA20" s="36">
        <v>-2.34</v>
      </c>
      <c r="AB20" s="36">
        <v>-9.67</v>
      </c>
      <c r="AC20" s="36">
        <v>-3.39</v>
      </c>
      <c r="AD20" s="36">
        <v>-25.98</v>
      </c>
      <c r="AE20" s="36">
        <v>21.27</v>
      </c>
    </row>
    <row r="21" spans="1:31" ht="17" x14ac:dyDescent="0.45">
      <c r="A21" s="34" t="s">
        <v>112</v>
      </c>
      <c r="B21" s="35" t="s">
        <v>3</v>
      </c>
      <c r="C21" s="36">
        <v>5.31</v>
      </c>
      <c r="D21" s="36">
        <v>4.21</v>
      </c>
      <c r="E21" s="36">
        <v>1.58</v>
      </c>
      <c r="F21" s="36">
        <v>3.34</v>
      </c>
      <c r="G21" s="36">
        <v>2.79</v>
      </c>
      <c r="H21" s="36">
        <v>-0.23</v>
      </c>
      <c r="I21" s="36">
        <v>-1.77</v>
      </c>
      <c r="J21" s="36">
        <v>4.53</v>
      </c>
      <c r="K21" s="36">
        <v>-0.33</v>
      </c>
      <c r="L21" s="36">
        <v>5.65</v>
      </c>
      <c r="M21" s="36">
        <v>-0.77</v>
      </c>
      <c r="N21" s="36">
        <v>-11.52</v>
      </c>
      <c r="O21" s="36">
        <v>5.36</v>
      </c>
      <c r="P21" s="36">
        <v>4.58</v>
      </c>
      <c r="Q21" s="36">
        <v>6.82</v>
      </c>
      <c r="R21" s="36">
        <v>5.69</v>
      </c>
      <c r="S21" s="36">
        <v>-18.88</v>
      </c>
      <c r="T21" s="36">
        <v>16.54</v>
      </c>
      <c r="U21" s="36">
        <v>-10.32</v>
      </c>
      <c r="V21" s="36">
        <v>-2.65</v>
      </c>
      <c r="W21" s="36">
        <v>6.34</v>
      </c>
      <c r="X21" s="36">
        <v>4.54</v>
      </c>
      <c r="Y21" s="36">
        <v>4.4400000000000004</v>
      </c>
      <c r="Z21" s="36">
        <v>-3.34</v>
      </c>
      <c r="AA21" s="36">
        <v>2.3199999999999998</v>
      </c>
      <c r="AB21" s="36">
        <v>-0.1</v>
      </c>
      <c r="AC21" s="36">
        <v>-22.1</v>
      </c>
      <c r="AD21" s="36">
        <v>-18.600000000000001</v>
      </c>
      <c r="AE21" s="36">
        <v>-11.16</v>
      </c>
    </row>
    <row r="22" spans="1:31" ht="17" x14ac:dyDescent="0.45">
      <c r="A22" s="34" t="s">
        <v>113</v>
      </c>
      <c r="B22" s="35" t="s">
        <v>3</v>
      </c>
      <c r="C22" s="37" t="s">
        <v>3</v>
      </c>
      <c r="D22" s="36">
        <v>-1.23</v>
      </c>
      <c r="E22" s="36">
        <v>5.94</v>
      </c>
      <c r="F22" s="36">
        <v>3.44</v>
      </c>
      <c r="G22" s="36">
        <v>15.51</v>
      </c>
      <c r="H22" s="36">
        <v>9.14</v>
      </c>
      <c r="I22" s="36">
        <v>-8.4499999999999993</v>
      </c>
      <c r="J22" s="36">
        <v>13.68</v>
      </c>
      <c r="K22" s="36">
        <v>14.89</v>
      </c>
      <c r="L22" s="36">
        <v>3.46</v>
      </c>
      <c r="M22" s="36">
        <v>10.23</v>
      </c>
      <c r="N22" s="36">
        <v>2.31</v>
      </c>
      <c r="O22" s="36">
        <v>-4.6100000000000003</v>
      </c>
      <c r="P22" s="36">
        <v>-5.65</v>
      </c>
      <c r="Q22" s="36">
        <v>4.21</v>
      </c>
      <c r="R22" s="36">
        <v>-4.2</v>
      </c>
      <c r="S22" s="36">
        <v>1.75</v>
      </c>
      <c r="T22" s="36">
        <v>13.73</v>
      </c>
      <c r="U22" s="36">
        <v>-7.09</v>
      </c>
      <c r="V22" s="36">
        <v>-18.43</v>
      </c>
      <c r="W22" s="36">
        <v>-6.93</v>
      </c>
      <c r="X22" s="36">
        <v>6.31</v>
      </c>
      <c r="Y22" s="36">
        <v>2.77</v>
      </c>
      <c r="Z22" s="36">
        <v>0.78</v>
      </c>
      <c r="AA22" s="36">
        <v>-0.35</v>
      </c>
      <c r="AB22" s="36">
        <v>-8.4600000000000009</v>
      </c>
      <c r="AC22" s="36">
        <v>5.51</v>
      </c>
      <c r="AD22" s="36">
        <v>-6.9</v>
      </c>
      <c r="AE22" s="36">
        <v>-0.13</v>
      </c>
    </row>
    <row r="23" spans="1:31" ht="17" x14ac:dyDescent="0.45">
      <c r="A23" s="34" t="s">
        <v>114</v>
      </c>
      <c r="B23" s="35" t="s">
        <v>3</v>
      </c>
      <c r="C23" s="37" t="s">
        <v>3</v>
      </c>
      <c r="D23" s="36">
        <v>7.96</v>
      </c>
      <c r="E23" s="36">
        <v>-1.1100000000000001</v>
      </c>
      <c r="F23" s="36">
        <v>0.62</v>
      </c>
      <c r="G23" s="36">
        <v>6.72</v>
      </c>
      <c r="H23" s="36">
        <v>7.52</v>
      </c>
      <c r="I23" s="36">
        <v>1.43</v>
      </c>
      <c r="J23" s="36">
        <v>2.91</v>
      </c>
      <c r="K23" s="36">
        <v>-4.26</v>
      </c>
      <c r="L23" s="36">
        <v>7.4</v>
      </c>
      <c r="M23" s="36">
        <v>-9.7899999999999991</v>
      </c>
      <c r="N23" s="36">
        <v>0.78</v>
      </c>
      <c r="O23" s="36">
        <v>13.42</v>
      </c>
      <c r="P23" s="36">
        <v>-5.22</v>
      </c>
      <c r="Q23" s="36">
        <v>14.21</v>
      </c>
      <c r="R23" s="36">
        <v>-7.53</v>
      </c>
      <c r="S23" s="36">
        <v>1.61</v>
      </c>
      <c r="T23" s="36">
        <v>-11.44</v>
      </c>
      <c r="U23" s="36">
        <v>5.37</v>
      </c>
      <c r="V23" s="36">
        <v>-2.0099999999999998</v>
      </c>
      <c r="W23" s="36">
        <v>6.29</v>
      </c>
      <c r="X23" s="36">
        <v>15.6</v>
      </c>
      <c r="Y23" s="36">
        <v>-8.77</v>
      </c>
      <c r="Z23" s="36">
        <v>0.47</v>
      </c>
      <c r="AA23" s="36">
        <v>11.64</v>
      </c>
      <c r="AB23" s="36">
        <v>-0.15</v>
      </c>
      <c r="AC23" s="36">
        <v>-12.86</v>
      </c>
      <c r="AD23" s="36">
        <v>-23.68</v>
      </c>
      <c r="AE23" s="36">
        <v>-15.15</v>
      </c>
    </row>
    <row r="24" spans="1:31" ht="17" x14ac:dyDescent="0.45">
      <c r="A24" s="34" t="s">
        <v>115</v>
      </c>
      <c r="B24" s="35" t="s">
        <v>3</v>
      </c>
      <c r="C24" s="37" t="s">
        <v>3</v>
      </c>
      <c r="D24" s="36">
        <v>-0.34</v>
      </c>
      <c r="E24" s="36">
        <v>5.03</v>
      </c>
      <c r="F24" s="36">
        <v>-9.24</v>
      </c>
      <c r="G24" s="36">
        <v>2.33</v>
      </c>
      <c r="H24" s="36">
        <v>13.75</v>
      </c>
      <c r="I24" s="36">
        <v>-8.94</v>
      </c>
      <c r="J24" s="36">
        <v>6.19</v>
      </c>
      <c r="K24" s="36">
        <v>-4.75</v>
      </c>
      <c r="L24" s="36">
        <v>1.1499999999999999</v>
      </c>
      <c r="M24" s="36">
        <v>2.82</v>
      </c>
      <c r="N24" s="36">
        <v>3.11</v>
      </c>
      <c r="O24" s="36">
        <v>-4.82</v>
      </c>
      <c r="P24" s="36">
        <v>17.68</v>
      </c>
      <c r="Q24" s="36">
        <v>4.96</v>
      </c>
      <c r="R24" s="36">
        <v>-1.5</v>
      </c>
      <c r="S24" s="36">
        <v>4.88</v>
      </c>
      <c r="T24" s="36">
        <v>-0.2</v>
      </c>
      <c r="U24" s="36">
        <v>4.2300000000000004</v>
      </c>
      <c r="V24" s="36">
        <v>2.48</v>
      </c>
      <c r="W24" s="36">
        <v>-7.65</v>
      </c>
      <c r="X24" s="36">
        <v>-5.46</v>
      </c>
      <c r="Y24" s="36">
        <v>-0.6</v>
      </c>
      <c r="Z24" s="36">
        <v>0.08</v>
      </c>
      <c r="AA24" s="36">
        <v>3.88</v>
      </c>
      <c r="AB24" s="36">
        <v>5.98</v>
      </c>
      <c r="AC24" s="36">
        <v>8.84</v>
      </c>
      <c r="AD24" s="36">
        <v>8.5299999999999994</v>
      </c>
      <c r="AE24" s="36">
        <v>-3.35</v>
      </c>
    </row>
    <row r="25" spans="1:31" ht="17" x14ac:dyDescent="0.45">
      <c r="A25" s="34" t="s">
        <v>116</v>
      </c>
      <c r="B25" s="35" t="s">
        <v>3</v>
      </c>
      <c r="C25" s="37" t="s">
        <v>3</v>
      </c>
      <c r="D25" s="36">
        <v>4.5999999999999996</v>
      </c>
      <c r="E25" s="36">
        <v>-4.7300000000000004</v>
      </c>
      <c r="F25" s="36">
        <v>-1.33</v>
      </c>
      <c r="G25" s="36">
        <v>2.2000000000000002</v>
      </c>
      <c r="H25" s="36">
        <v>5.7</v>
      </c>
      <c r="I25" s="36">
        <v>-2.91</v>
      </c>
      <c r="J25" s="36">
        <v>1.08</v>
      </c>
      <c r="K25" s="36">
        <v>7.75</v>
      </c>
      <c r="L25" s="36">
        <v>-6.8</v>
      </c>
      <c r="M25" s="36">
        <v>-7.75</v>
      </c>
      <c r="N25" s="36">
        <v>-7.47</v>
      </c>
      <c r="O25" s="36">
        <v>-1.67</v>
      </c>
      <c r="P25" s="36">
        <v>0.73</v>
      </c>
      <c r="Q25" s="36">
        <v>7.54</v>
      </c>
      <c r="R25" s="36">
        <v>3.64</v>
      </c>
      <c r="S25" s="36">
        <v>7.87</v>
      </c>
      <c r="T25" s="36">
        <v>6.51</v>
      </c>
      <c r="U25" s="36">
        <v>-7.12</v>
      </c>
      <c r="V25" s="36">
        <v>10.220000000000001</v>
      </c>
      <c r="W25" s="36">
        <v>-4.96</v>
      </c>
      <c r="X25" s="36">
        <v>5.67</v>
      </c>
      <c r="Y25" s="36">
        <v>-8.6199999999999992</v>
      </c>
      <c r="Z25" s="36">
        <v>5.16</v>
      </c>
      <c r="AA25" s="36">
        <v>-1.93</v>
      </c>
      <c r="AB25" s="36">
        <v>28.18</v>
      </c>
      <c r="AC25" s="36">
        <v>-29.97</v>
      </c>
      <c r="AD25" s="36">
        <v>-41.09</v>
      </c>
      <c r="AE25" s="36">
        <v>51.76</v>
      </c>
    </row>
    <row r="26" spans="1:31" ht="17" x14ac:dyDescent="0.45">
      <c r="A26" s="34" t="s">
        <v>117</v>
      </c>
      <c r="B26" s="35" t="s">
        <v>3</v>
      </c>
      <c r="C26" s="37" t="s">
        <v>3</v>
      </c>
      <c r="D26" s="36">
        <v>18.29</v>
      </c>
      <c r="E26" s="36">
        <v>8.17</v>
      </c>
      <c r="F26" s="36">
        <v>3.84</v>
      </c>
      <c r="G26" s="36">
        <v>-1.67</v>
      </c>
      <c r="H26" s="36">
        <v>-9.09</v>
      </c>
      <c r="I26" s="36">
        <v>10.58</v>
      </c>
      <c r="J26" s="36">
        <v>10.97</v>
      </c>
      <c r="K26" s="36">
        <v>-7.33</v>
      </c>
      <c r="L26" s="36">
        <v>-3.47</v>
      </c>
      <c r="M26" s="36">
        <v>-2.2999999999999998</v>
      </c>
      <c r="N26" s="36">
        <v>25.16</v>
      </c>
      <c r="O26" s="36">
        <v>19.18</v>
      </c>
      <c r="P26" s="36">
        <v>-8.94</v>
      </c>
      <c r="Q26" s="36">
        <v>20.74</v>
      </c>
      <c r="R26" s="36">
        <v>-3.52</v>
      </c>
      <c r="S26" s="36">
        <v>-11.29</v>
      </c>
      <c r="T26" s="36">
        <v>-20.34</v>
      </c>
      <c r="U26" s="36">
        <v>31.44</v>
      </c>
      <c r="V26" s="36">
        <v>1.87</v>
      </c>
      <c r="W26" s="36">
        <v>-0.24</v>
      </c>
      <c r="X26" s="36">
        <v>-13.68</v>
      </c>
      <c r="Y26" s="36">
        <v>-0.78</v>
      </c>
      <c r="Z26" s="36">
        <v>13.85</v>
      </c>
      <c r="AA26" s="36">
        <v>13.15</v>
      </c>
      <c r="AB26" s="36">
        <v>-9.6199999999999992</v>
      </c>
      <c r="AC26" s="36">
        <v>2.2000000000000002</v>
      </c>
      <c r="AD26" s="36">
        <v>-1.46</v>
      </c>
      <c r="AE26" s="37" t="s">
        <v>3</v>
      </c>
    </row>
    <row r="27" spans="1:31" ht="17" x14ac:dyDescent="0.45">
      <c r="A27" s="34" t="s">
        <v>118</v>
      </c>
      <c r="B27" s="35" t="s">
        <v>3</v>
      </c>
      <c r="C27" s="36">
        <v>4.59</v>
      </c>
      <c r="D27" s="36">
        <v>1.22</v>
      </c>
      <c r="E27" s="36">
        <v>-1.41</v>
      </c>
      <c r="F27" s="36">
        <v>-0.31</v>
      </c>
      <c r="G27" s="36">
        <v>-1.05</v>
      </c>
      <c r="H27" s="36">
        <v>-0.52</v>
      </c>
      <c r="I27" s="36">
        <v>-4.33</v>
      </c>
      <c r="J27" s="36">
        <v>1.08</v>
      </c>
      <c r="K27" s="36">
        <v>-3.42</v>
      </c>
      <c r="L27" s="36">
        <v>5.54</v>
      </c>
      <c r="M27" s="36">
        <v>-4.62</v>
      </c>
      <c r="N27" s="36">
        <v>-10.07</v>
      </c>
      <c r="O27" s="36">
        <v>-3.17</v>
      </c>
      <c r="P27" s="36">
        <v>1.91</v>
      </c>
      <c r="Q27" s="36">
        <v>-5</v>
      </c>
      <c r="R27" s="36">
        <v>-4.4400000000000004</v>
      </c>
      <c r="S27" s="36">
        <v>-1.62</v>
      </c>
      <c r="T27" s="36">
        <v>-4.1900000000000004</v>
      </c>
      <c r="U27" s="36">
        <v>-2.2999999999999998</v>
      </c>
      <c r="V27" s="36">
        <v>-4.32</v>
      </c>
      <c r="W27" s="36">
        <v>-4.9800000000000004</v>
      </c>
      <c r="X27" s="36">
        <v>5.69</v>
      </c>
      <c r="Y27" s="36">
        <v>2.12</v>
      </c>
      <c r="Z27" s="36">
        <v>1.49</v>
      </c>
      <c r="AA27" s="36">
        <v>-0.91</v>
      </c>
      <c r="AB27" s="36">
        <v>-1.36</v>
      </c>
      <c r="AC27" s="36">
        <v>7.67</v>
      </c>
      <c r="AD27" s="36">
        <v>-18.41</v>
      </c>
      <c r="AE27" s="36">
        <v>-6.69</v>
      </c>
    </row>
    <row r="28" spans="1:31" ht="17" x14ac:dyDescent="0.45">
      <c r="A28" s="34" t="s">
        <v>136</v>
      </c>
      <c r="B28" s="35" t="s">
        <v>3</v>
      </c>
      <c r="C28" s="36">
        <v>3.05</v>
      </c>
      <c r="D28" s="36">
        <v>6.59</v>
      </c>
      <c r="E28" s="36">
        <v>2.68</v>
      </c>
      <c r="F28" s="36">
        <v>2.91</v>
      </c>
      <c r="G28" s="36">
        <v>2.44</v>
      </c>
      <c r="H28" s="36">
        <v>3.23</v>
      </c>
      <c r="I28" s="36">
        <v>3.87</v>
      </c>
      <c r="J28" s="36">
        <v>0.61</v>
      </c>
      <c r="K28" s="36">
        <v>0.87</v>
      </c>
      <c r="L28" s="36">
        <v>3.07</v>
      </c>
      <c r="M28" s="36">
        <v>7.11</v>
      </c>
      <c r="N28" s="36">
        <v>0.98</v>
      </c>
      <c r="O28" s="36">
        <v>-6.22</v>
      </c>
      <c r="P28" s="36">
        <v>2.95</v>
      </c>
      <c r="Q28" s="36">
        <v>-19.95</v>
      </c>
      <c r="R28" s="36">
        <v>10.57</v>
      </c>
      <c r="S28" s="36">
        <v>-10.56</v>
      </c>
      <c r="T28" s="36">
        <v>-12.42</v>
      </c>
      <c r="U28" s="36">
        <v>8.2899999999999991</v>
      </c>
      <c r="V28" s="36">
        <v>6.48</v>
      </c>
      <c r="W28" s="36">
        <v>-2.5499999999999998</v>
      </c>
      <c r="X28" s="36">
        <v>-0.66</v>
      </c>
      <c r="Y28" s="36">
        <v>8.3699999999999992</v>
      </c>
      <c r="Z28" s="36">
        <v>2.13</v>
      </c>
      <c r="AA28" s="36">
        <v>-1.57</v>
      </c>
      <c r="AB28" s="36">
        <v>-4.55</v>
      </c>
      <c r="AC28" s="36">
        <v>1.53</v>
      </c>
      <c r="AD28" s="36">
        <v>5.6</v>
      </c>
      <c r="AE28" s="37" t="s">
        <v>3</v>
      </c>
    </row>
    <row r="29" spans="1:31" ht="17" x14ac:dyDescent="0.45">
      <c r="A29" s="34" t="s">
        <v>134</v>
      </c>
      <c r="B29" s="35" t="s">
        <v>3</v>
      </c>
      <c r="C29" s="37" t="s">
        <v>3</v>
      </c>
      <c r="D29" s="37" t="s">
        <v>3</v>
      </c>
      <c r="E29" s="37" t="s">
        <v>3</v>
      </c>
      <c r="F29" s="37" t="s">
        <v>3</v>
      </c>
      <c r="G29" s="37" t="s">
        <v>3</v>
      </c>
      <c r="H29" s="37" t="s">
        <v>3</v>
      </c>
      <c r="I29" s="37" t="s">
        <v>3</v>
      </c>
      <c r="J29" s="37" t="s">
        <v>3</v>
      </c>
      <c r="K29" s="37" t="s">
        <v>3</v>
      </c>
      <c r="L29" s="37" t="s">
        <v>3</v>
      </c>
      <c r="M29" s="36">
        <v>1.81</v>
      </c>
      <c r="N29" s="36">
        <v>-4.2300000000000004</v>
      </c>
      <c r="O29" s="36">
        <v>-2.81</v>
      </c>
      <c r="P29" s="36">
        <v>-4.91</v>
      </c>
      <c r="Q29" s="36">
        <v>-1.08</v>
      </c>
      <c r="R29" s="36">
        <v>19.37</v>
      </c>
      <c r="S29" s="36">
        <v>0.18</v>
      </c>
      <c r="T29" s="36">
        <v>2.4</v>
      </c>
      <c r="U29" s="36">
        <v>-9.06</v>
      </c>
      <c r="V29" s="36">
        <v>1.23</v>
      </c>
      <c r="W29" s="36">
        <v>0.19</v>
      </c>
      <c r="X29" s="36">
        <v>-5.0199999999999996</v>
      </c>
      <c r="Y29" s="36">
        <v>4.3</v>
      </c>
      <c r="Z29" s="36">
        <v>-4.24</v>
      </c>
      <c r="AA29" s="36">
        <v>2.37</v>
      </c>
      <c r="AB29" s="36">
        <v>-4.1100000000000003</v>
      </c>
      <c r="AC29" s="36">
        <v>-3.08</v>
      </c>
      <c r="AD29" s="36">
        <v>6.38</v>
      </c>
      <c r="AE29" s="36">
        <v>-2.21</v>
      </c>
    </row>
    <row r="30" spans="1:31" ht="17" x14ac:dyDescent="0.45">
      <c r="A30" s="34" t="s">
        <v>119</v>
      </c>
      <c r="B30" s="35" t="s">
        <v>3</v>
      </c>
      <c r="C30" s="37" t="s">
        <v>3</v>
      </c>
      <c r="D30" s="36">
        <v>-1.32</v>
      </c>
      <c r="E30" s="36">
        <v>1.55</v>
      </c>
      <c r="F30" s="36">
        <v>5.05</v>
      </c>
      <c r="G30" s="36">
        <v>0.99</v>
      </c>
      <c r="H30" s="36">
        <v>-12.48</v>
      </c>
      <c r="I30" s="36">
        <v>-6.01</v>
      </c>
      <c r="J30" s="36">
        <v>12.06</v>
      </c>
      <c r="K30" s="36">
        <v>10.5</v>
      </c>
      <c r="L30" s="36">
        <v>-0.18</v>
      </c>
      <c r="M30" s="36">
        <v>3.95</v>
      </c>
      <c r="N30" s="36">
        <v>11.3</v>
      </c>
      <c r="O30" s="36">
        <v>2.38</v>
      </c>
      <c r="P30" s="36">
        <v>-7.39</v>
      </c>
      <c r="Q30" s="36">
        <v>15.93</v>
      </c>
      <c r="R30" s="36">
        <v>3.83</v>
      </c>
      <c r="S30" s="36">
        <v>-6.04</v>
      </c>
      <c r="T30" s="36">
        <v>0.99</v>
      </c>
      <c r="U30" s="36">
        <v>-10.119999999999999</v>
      </c>
      <c r="V30" s="36">
        <v>-9.89</v>
      </c>
      <c r="W30" s="36">
        <v>14.14</v>
      </c>
      <c r="X30" s="36">
        <v>10.82</v>
      </c>
      <c r="Y30" s="36">
        <v>-0.56000000000000005</v>
      </c>
      <c r="Z30" s="36">
        <v>-21.49</v>
      </c>
      <c r="AA30" s="36">
        <v>0.65</v>
      </c>
      <c r="AB30" s="36">
        <v>21.87</v>
      </c>
      <c r="AC30" s="36">
        <v>17.28</v>
      </c>
      <c r="AD30" s="36">
        <v>-22.81</v>
      </c>
      <c r="AE30" s="36">
        <v>2.4700000000000002</v>
      </c>
    </row>
    <row r="31" spans="1:31" ht="17" x14ac:dyDescent="0.45">
      <c r="A31" s="34" t="s">
        <v>120</v>
      </c>
      <c r="B31" s="35" t="s">
        <v>3</v>
      </c>
      <c r="C31" s="37" t="s">
        <v>3</v>
      </c>
      <c r="D31" s="36">
        <v>14.39</v>
      </c>
      <c r="E31" s="36">
        <v>-3.6</v>
      </c>
      <c r="F31" s="36">
        <v>0.85</v>
      </c>
      <c r="G31" s="36">
        <v>1.65</v>
      </c>
      <c r="H31" s="36">
        <v>-8.01</v>
      </c>
      <c r="I31" s="36">
        <v>11.92</v>
      </c>
      <c r="J31" s="36">
        <v>18.440000000000001</v>
      </c>
      <c r="K31" s="36">
        <v>22.35</v>
      </c>
      <c r="L31" s="36">
        <v>4.13</v>
      </c>
      <c r="M31" s="36">
        <v>5.43</v>
      </c>
      <c r="N31" s="36">
        <v>14.18</v>
      </c>
      <c r="O31" s="36">
        <v>-7.15</v>
      </c>
      <c r="P31" s="36">
        <v>-0.6</v>
      </c>
      <c r="Q31" s="36">
        <v>2.59</v>
      </c>
      <c r="R31" s="36">
        <v>12.64</v>
      </c>
      <c r="S31" s="36">
        <v>-3.42</v>
      </c>
      <c r="T31" s="36">
        <v>-10.78</v>
      </c>
      <c r="U31" s="36">
        <v>-6.34</v>
      </c>
      <c r="V31" s="36">
        <v>10.62</v>
      </c>
      <c r="W31" s="36">
        <v>-0.95</v>
      </c>
      <c r="X31" s="36">
        <v>-0.82</v>
      </c>
      <c r="Y31" s="36">
        <v>-10.85</v>
      </c>
      <c r="Z31" s="36">
        <v>-0.68</v>
      </c>
      <c r="AA31" s="36">
        <v>10.89</v>
      </c>
      <c r="AB31" s="36">
        <v>4.47</v>
      </c>
      <c r="AC31" s="36">
        <v>-5.71</v>
      </c>
      <c r="AD31" s="36">
        <v>-1.81</v>
      </c>
      <c r="AE31" s="36">
        <v>-8.27</v>
      </c>
    </row>
    <row r="32" spans="1:31" ht="17" x14ac:dyDescent="0.45">
      <c r="A32" s="34" t="s">
        <v>121</v>
      </c>
      <c r="B32" s="35" t="s">
        <v>3</v>
      </c>
      <c r="C32" s="37" t="s">
        <v>3</v>
      </c>
      <c r="D32" s="36">
        <v>2.4500000000000002</v>
      </c>
      <c r="E32" s="36">
        <v>2.38</v>
      </c>
      <c r="F32" s="36">
        <v>0.98</v>
      </c>
      <c r="G32" s="36">
        <v>6.64</v>
      </c>
      <c r="H32" s="36">
        <v>4.37</v>
      </c>
      <c r="I32" s="36">
        <v>-0.68</v>
      </c>
      <c r="J32" s="36">
        <v>-2.1800000000000002</v>
      </c>
      <c r="K32" s="36">
        <v>6.46</v>
      </c>
      <c r="L32" s="36">
        <v>3.92</v>
      </c>
      <c r="M32" s="36">
        <v>4.53</v>
      </c>
      <c r="N32" s="36">
        <v>-2.94</v>
      </c>
      <c r="O32" s="36">
        <v>-8.6199999999999992</v>
      </c>
      <c r="P32" s="36">
        <v>-16.149999999999999</v>
      </c>
      <c r="Q32" s="36">
        <v>1.22</v>
      </c>
      <c r="R32" s="36">
        <v>-12.64</v>
      </c>
      <c r="S32" s="36">
        <v>5.5</v>
      </c>
      <c r="T32" s="36">
        <v>-7.08</v>
      </c>
      <c r="U32" s="36">
        <v>18.52</v>
      </c>
      <c r="V32" s="36">
        <v>-2.2799999999999998</v>
      </c>
      <c r="W32" s="36">
        <v>3.12</v>
      </c>
      <c r="X32" s="36">
        <v>3.97</v>
      </c>
      <c r="Y32" s="36">
        <v>3.92</v>
      </c>
      <c r="Z32" s="36">
        <v>4.6900000000000004</v>
      </c>
      <c r="AA32" s="36">
        <v>-3.12</v>
      </c>
      <c r="AB32" s="36">
        <v>-5.48</v>
      </c>
      <c r="AC32" s="36">
        <v>-10.95</v>
      </c>
      <c r="AD32" s="36">
        <v>-25.4</v>
      </c>
      <c r="AE32" s="36">
        <v>11.33</v>
      </c>
    </row>
    <row r="33" spans="1:31" ht="17" x14ac:dyDescent="0.45">
      <c r="A33" s="34" t="s">
        <v>122</v>
      </c>
      <c r="B33" s="35" t="s">
        <v>3</v>
      </c>
      <c r="C33" s="37" t="s">
        <v>3</v>
      </c>
      <c r="D33" s="37" t="s">
        <v>3</v>
      </c>
      <c r="E33" s="37" t="s">
        <v>3</v>
      </c>
      <c r="F33" s="37" t="s">
        <v>3</v>
      </c>
      <c r="G33" s="37" t="s">
        <v>3</v>
      </c>
      <c r="H33" s="37" t="s">
        <v>3</v>
      </c>
      <c r="I33" s="37" t="s">
        <v>3</v>
      </c>
      <c r="J33" s="37" t="s">
        <v>3</v>
      </c>
      <c r="K33" s="37" t="s">
        <v>3</v>
      </c>
      <c r="L33" s="37" t="s">
        <v>3</v>
      </c>
      <c r="M33" s="37" t="s">
        <v>3</v>
      </c>
      <c r="N33" s="36">
        <v>-0.06</v>
      </c>
      <c r="O33" s="36">
        <v>-5.17</v>
      </c>
      <c r="P33" s="36">
        <v>-6.72</v>
      </c>
      <c r="Q33" s="36">
        <v>-8.34</v>
      </c>
      <c r="R33" s="36">
        <v>11.78</v>
      </c>
      <c r="S33" s="36">
        <v>0.62</v>
      </c>
      <c r="T33" s="36">
        <v>-9.7899999999999991</v>
      </c>
      <c r="U33" s="36">
        <v>-2.16</v>
      </c>
      <c r="V33" s="36">
        <v>2.2000000000000002</v>
      </c>
      <c r="W33" s="36">
        <v>-3.28</v>
      </c>
      <c r="X33" s="36">
        <v>0.18</v>
      </c>
      <c r="Y33" s="36">
        <v>-7.1</v>
      </c>
      <c r="Z33" s="36">
        <v>-8.5</v>
      </c>
      <c r="AA33" s="36">
        <v>-1.35</v>
      </c>
      <c r="AB33" s="36">
        <v>5.67</v>
      </c>
      <c r="AC33" s="36">
        <v>-17.190000000000001</v>
      </c>
      <c r="AD33" s="36">
        <v>-17.39</v>
      </c>
      <c r="AE33" s="36">
        <v>1.95</v>
      </c>
    </row>
    <row r="34" spans="1:31" ht="17" x14ac:dyDescent="0.45">
      <c r="A34" s="34" t="s">
        <v>123</v>
      </c>
      <c r="B34" s="35" t="s">
        <v>3</v>
      </c>
      <c r="C34" s="37" t="s">
        <v>3</v>
      </c>
      <c r="D34" s="36">
        <v>11.97</v>
      </c>
      <c r="E34" s="36">
        <v>-6.46</v>
      </c>
      <c r="F34" s="36">
        <v>-2.02</v>
      </c>
      <c r="G34" s="36">
        <v>0.32</v>
      </c>
      <c r="H34" s="36">
        <v>-1.32</v>
      </c>
      <c r="I34" s="36">
        <v>-1.65</v>
      </c>
      <c r="J34" s="36">
        <v>0.65</v>
      </c>
      <c r="K34" s="36">
        <v>-0.37</v>
      </c>
      <c r="L34" s="36">
        <v>8.02</v>
      </c>
      <c r="M34" s="36">
        <v>-4.55</v>
      </c>
      <c r="N34" s="36">
        <v>3.07</v>
      </c>
      <c r="O34" s="36">
        <v>-1.7</v>
      </c>
      <c r="P34" s="36">
        <v>3.92</v>
      </c>
      <c r="Q34" s="36">
        <v>-6.3</v>
      </c>
      <c r="R34" s="36">
        <v>6.21</v>
      </c>
      <c r="S34" s="36">
        <v>-5.89</v>
      </c>
      <c r="T34" s="36">
        <v>-0.63</v>
      </c>
      <c r="U34" s="36">
        <v>4.68</v>
      </c>
      <c r="V34" s="36">
        <v>-8.51</v>
      </c>
      <c r="W34" s="36">
        <v>-7.91</v>
      </c>
      <c r="X34" s="36">
        <v>-4.17</v>
      </c>
      <c r="Y34" s="36">
        <v>-3.26</v>
      </c>
      <c r="Z34" s="36">
        <v>-8.24</v>
      </c>
      <c r="AA34" s="36">
        <v>-5.86</v>
      </c>
      <c r="AB34" s="36">
        <v>-6.4</v>
      </c>
      <c r="AC34" s="36">
        <v>-5.56</v>
      </c>
      <c r="AD34" s="36">
        <v>-8.56</v>
      </c>
      <c r="AE34" s="36">
        <v>-17.190000000000001</v>
      </c>
    </row>
    <row r="35" spans="1:31" ht="17" x14ac:dyDescent="0.45">
      <c r="A35" s="34" t="s">
        <v>124</v>
      </c>
      <c r="B35" s="35" t="s">
        <v>3</v>
      </c>
      <c r="C35" s="37" t="s">
        <v>3</v>
      </c>
      <c r="D35" s="37" t="s">
        <v>3</v>
      </c>
      <c r="E35" s="37" t="s">
        <v>3</v>
      </c>
      <c r="F35" s="37" t="s">
        <v>3</v>
      </c>
      <c r="G35" s="37" t="s">
        <v>3</v>
      </c>
      <c r="H35" s="37" t="s">
        <v>3</v>
      </c>
      <c r="I35" s="37" t="s">
        <v>3</v>
      </c>
      <c r="J35" s="37" t="s">
        <v>3</v>
      </c>
      <c r="K35" s="37" t="s">
        <v>3</v>
      </c>
      <c r="L35" s="37" t="s">
        <v>3</v>
      </c>
      <c r="M35" s="37" t="s">
        <v>3</v>
      </c>
      <c r="N35" s="37" t="s">
        <v>3</v>
      </c>
      <c r="O35" s="37" t="s">
        <v>3</v>
      </c>
      <c r="P35" s="37" t="s">
        <v>3</v>
      </c>
      <c r="Q35" s="37" t="s">
        <v>3</v>
      </c>
      <c r="R35" s="36">
        <v>-12.25</v>
      </c>
      <c r="S35" s="36">
        <v>-6.5</v>
      </c>
      <c r="T35" s="36">
        <v>-1.0900000000000001</v>
      </c>
      <c r="U35" s="36">
        <v>-1.76</v>
      </c>
      <c r="V35" s="36">
        <v>-10.19</v>
      </c>
      <c r="W35" s="36">
        <v>0.75</v>
      </c>
      <c r="X35" s="36">
        <v>14.34</v>
      </c>
      <c r="Y35" s="36">
        <v>-11.84</v>
      </c>
      <c r="Z35" s="36">
        <v>-0.78</v>
      </c>
      <c r="AA35" s="36">
        <v>-5.85</v>
      </c>
      <c r="AB35" s="36">
        <v>-10.96</v>
      </c>
      <c r="AC35" s="36">
        <v>10.16</v>
      </c>
      <c r="AD35" s="37" t="s">
        <v>3</v>
      </c>
      <c r="AE35" s="37" t="s">
        <v>3</v>
      </c>
    </row>
    <row r="36" spans="1:31" ht="17" x14ac:dyDescent="0.45">
      <c r="A36" s="34" t="s">
        <v>125</v>
      </c>
      <c r="B36" s="35" t="s">
        <v>3</v>
      </c>
      <c r="C36" s="36">
        <v>10.75</v>
      </c>
      <c r="D36" s="36">
        <v>7.1</v>
      </c>
      <c r="E36" s="36">
        <v>0.5</v>
      </c>
      <c r="F36" s="36">
        <v>-3.21</v>
      </c>
      <c r="G36" s="36">
        <v>1.78</v>
      </c>
      <c r="H36" s="36">
        <v>8.6199999999999992</v>
      </c>
      <c r="I36" s="36">
        <v>1.38</v>
      </c>
      <c r="J36" s="36">
        <v>-3.92</v>
      </c>
      <c r="K36" s="36">
        <v>0.1</v>
      </c>
      <c r="L36" s="36">
        <v>-0.76</v>
      </c>
      <c r="M36" s="36">
        <v>-5.58</v>
      </c>
      <c r="N36" s="36">
        <v>-9.09</v>
      </c>
      <c r="O36" s="36">
        <v>-17.63</v>
      </c>
      <c r="P36" s="36">
        <v>-8.23</v>
      </c>
      <c r="Q36" s="36">
        <v>-3.75</v>
      </c>
      <c r="R36" s="36">
        <v>-5.0599999999999996</v>
      </c>
      <c r="S36" s="36">
        <v>-5.86</v>
      </c>
      <c r="T36" s="36">
        <v>-6.82</v>
      </c>
      <c r="U36" s="36">
        <v>-5.5</v>
      </c>
      <c r="V36" s="36">
        <v>-0.83</v>
      </c>
      <c r="W36" s="36">
        <v>8.56</v>
      </c>
      <c r="X36" s="36">
        <v>9.65</v>
      </c>
      <c r="Y36" s="36">
        <v>7.44</v>
      </c>
      <c r="Z36" s="36">
        <v>-5.14</v>
      </c>
      <c r="AA36" s="36">
        <v>-7.94</v>
      </c>
      <c r="AB36" s="36">
        <v>5.03</v>
      </c>
      <c r="AC36" s="36">
        <v>2.2799999999999998</v>
      </c>
      <c r="AD36" s="36">
        <v>-4.2</v>
      </c>
      <c r="AE36" s="36">
        <v>-2.1</v>
      </c>
    </row>
    <row r="37" spans="1:31" ht="17" x14ac:dyDescent="0.45">
      <c r="A37" s="34" t="s">
        <v>126</v>
      </c>
      <c r="B37" s="35" t="s">
        <v>3</v>
      </c>
      <c r="C37" s="37" t="s">
        <v>3</v>
      </c>
      <c r="D37" s="36">
        <v>-0.83</v>
      </c>
      <c r="E37" s="36">
        <v>-0.43</v>
      </c>
      <c r="F37" s="36">
        <v>-5.63</v>
      </c>
      <c r="G37" s="36">
        <v>8.56</v>
      </c>
      <c r="H37" s="36">
        <v>-0.95</v>
      </c>
      <c r="I37" s="36">
        <v>12.15</v>
      </c>
      <c r="J37" s="36">
        <v>0.87</v>
      </c>
      <c r="K37" s="36">
        <v>4.9400000000000004</v>
      </c>
      <c r="L37" s="36">
        <v>-4.28</v>
      </c>
      <c r="M37" s="36">
        <v>-1.17</v>
      </c>
      <c r="N37" s="36">
        <v>-9.1300000000000008</v>
      </c>
      <c r="O37" s="36">
        <v>1.65</v>
      </c>
      <c r="P37" s="36">
        <v>-5.2</v>
      </c>
      <c r="Q37" s="36">
        <v>1.05</v>
      </c>
      <c r="R37" s="36">
        <v>12.53</v>
      </c>
      <c r="S37" s="36">
        <v>3.34</v>
      </c>
      <c r="T37" s="36">
        <v>0.76</v>
      </c>
      <c r="U37" s="36">
        <v>-1.17</v>
      </c>
      <c r="V37" s="36">
        <v>-7.95</v>
      </c>
      <c r="W37" s="36">
        <v>1.2</v>
      </c>
      <c r="X37" s="36">
        <v>3.75</v>
      </c>
      <c r="Y37" s="36">
        <v>9.81</v>
      </c>
      <c r="Z37" s="36">
        <v>7.4</v>
      </c>
      <c r="AA37" s="36">
        <v>-11.54</v>
      </c>
      <c r="AB37" s="36">
        <v>1.27</v>
      </c>
      <c r="AC37" s="36">
        <v>10.67</v>
      </c>
      <c r="AD37" s="36">
        <v>-9.33</v>
      </c>
      <c r="AE37" s="36">
        <v>4.47</v>
      </c>
    </row>
    <row r="38" spans="1:31" ht="17" x14ac:dyDescent="0.45">
      <c r="A38" s="34" t="s">
        <v>127</v>
      </c>
      <c r="B38" s="35" t="s">
        <v>3</v>
      </c>
      <c r="C38" s="37" t="s">
        <v>3</v>
      </c>
      <c r="D38" s="36">
        <v>6.5</v>
      </c>
      <c r="E38" s="36">
        <v>0.35</v>
      </c>
      <c r="F38" s="36">
        <v>8.8699999999999992</v>
      </c>
      <c r="G38" s="36">
        <v>6.26</v>
      </c>
      <c r="H38" s="36">
        <v>6.36</v>
      </c>
      <c r="I38" s="36">
        <v>5.3</v>
      </c>
      <c r="J38" s="36">
        <v>1.66</v>
      </c>
      <c r="K38" s="36">
        <v>4.88</v>
      </c>
      <c r="L38" s="36">
        <v>5.88</v>
      </c>
      <c r="M38" s="36">
        <v>-2.23</v>
      </c>
      <c r="N38" s="36">
        <v>3.57</v>
      </c>
      <c r="O38" s="36">
        <v>4.03</v>
      </c>
      <c r="P38" s="36">
        <v>-1.85</v>
      </c>
      <c r="Q38" s="36">
        <v>3.15</v>
      </c>
      <c r="R38" s="36">
        <v>-1.25</v>
      </c>
      <c r="S38" s="36">
        <v>-2.71</v>
      </c>
      <c r="T38" s="36">
        <v>0.93</v>
      </c>
      <c r="U38" s="36">
        <v>-2.8</v>
      </c>
      <c r="V38" s="36">
        <v>2.97</v>
      </c>
      <c r="W38" s="36">
        <v>-0.05</v>
      </c>
      <c r="X38" s="36">
        <v>-1.1499999999999999</v>
      </c>
      <c r="Y38" s="36">
        <v>-4.38</v>
      </c>
      <c r="Z38" s="36">
        <v>6.22</v>
      </c>
      <c r="AA38" s="36">
        <v>0.27</v>
      </c>
      <c r="AB38" s="36">
        <v>-10.94</v>
      </c>
      <c r="AC38" s="36">
        <v>5.6</v>
      </c>
      <c r="AD38" s="36">
        <v>-12.95</v>
      </c>
      <c r="AE38" s="36">
        <v>11.2</v>
      </c>
    </row>
    <row r="39" spans="1:31" ht="17" x14ac:dyDescent="0.45">
      <c r="A39" s="34" t="s">
        <v>128</v>
      </c>
      <c r="B39" s="35" t="s">
        <v>3</v>
      </c>
      <c r="C39" s="37" t="s">
        <v>3</v>
      </c>
      <c r="D39" s="36">
        <v>38.119999999999997</v>
      </c>
      <c r="E39" s="36">
        <v>-17.5</v>
      </c>
      <c r="F39" s="36">
        <v>-3.73</v>
      </c>
      <c r="G39" s="36">
        <v>27.77</v>
      </c>
      <c r="H39" s="36">
        <v>-8.9499999999999993</v>
      </c>
      <c r="I39" s="36">
        <v>-23.94</v>
      </c>
      <c r="J39" s="36">
        <v>32.97</v>
      </c>
      <c r="K39" s="36">
        <v>30.24</v>
      </c>
      <c r="L39" s="36">
        <v>14.57</v>
      </c>
      <c r="M39" s="36">
        <v>-13.85</v>
      </c>
      <c r="N39" s="36">
        <v>34.39</v>
      </c>
      <c r="O39" s="36">
        <v>20.04</v>
      </c>
      <c r="P39" s="36">
        <v>-5.5</v>
      </c>
      <c r="Q39" s="36">
        <v>-24.29</v>
      </c>
      <c r="R39" s="36">
        <v>-0.63</v>
      </c>
      <c r="S39" s="36">
        <v>11.39</v>
      </c>
      <c r="T39" s="36">
        <v>0.54</v>
      </c>
      <c r="U39" s="36">
        <v>-5.58</v>
      </c>
      <c r="V39" s="36">
        <v>4.62</v>
      </c>
      <c r="W39" s="36">
        <v>-6.67</v>
      </c>
      <c r="X39" s="36">
        <v>-0.49</v>
      </c>
      <c r="Y39" s="36">
        <v>-8.0299999999999994</v>
      </c>
      <c r="Z39" s="36">
        <v>-10.48</v>
      </c>
      <c r="AA39" s="36">
        <v>22.4</v>
      </c>
      <c r="AB39" s="36">
        <v>-3.75</v>
      </c>
      <c r="AC39" s="36">
        <v>6.28</v>
      </c>
      <c r="AD39" s="36">
        <v>-38.19</v>
      </c>
      <c r="AE39" s="36">
        <v>38.17</v>
      </c>
    </row>
    <row r="40" spans="1:31" ht="17" x14ac:dyDescent="0.45">
      <c r="A40" s="34" t="s">
        <v>129</v>
      </c>
      <c r="B40" s="35" t="s">
        <v>3</v>
      </c>
      <c r="C40" s="37" t="s">
        <v>3</v>
      </c>
      <c r="D40" s="36">
        <v>5.0199999999999996</v>
      </c>
      <c r="E40" s="36">
        <v>8.8800000000000008</v>
      </c>
      <c r="F40" s="36">
        <v>3.28</v>
      </c>
      <c r="G40" s="36">
        <v>-1.32</v>
      </c>
      <c r="H40" s="36">
        <v>7.26</v>
      </c>
      <c r="I40" s="36">
        <v>-2.02</v>
      </c>
      <c r="J40" s="36">
        <v>2.73</v>
      </c>
      <c r="K40" s="36">
        <v>1.66</v>
      </c>
      <c r="L40" s="36">
        <v>7.61</v>
      </c>
      <c r="M40" s="36">
        <v>2.44</v>
      </c>
      <c r="N40" s="36">
        <v>6.47</v>
      </c>
      <c r="O40" s="36">
        <v>0.61</v>
      </c>
      <c r="P40" s="36">
        <v>6.02</v>
      </c>
      <c r="Q40" s="36">
        <v>-6.59</v>
      </c>
      <c r="R40" s="36">
        <v>-1.51</v>
      </c>
      <c r="S40" s="36">
        <v>-3.23</v>
      </c>
      <c r="T40" s="36">
        <v>-3.62</v>
      </c>
      <c r="U40" s="36">
        <v>0.41</v>
      </c>
      <c r="V40" s="36">
        <v>0.42</v>
      </c>
      <c r="W40" s="36">
        <v>-6.2</v>
      </c>
      <c r="X40" s="36">
        <v>5.84</v>
      </c>
      <c r="Y40" s="36">
        <v>5.41</v>
      </c>
      <c r="Z40" s="36">
        <v>4.1900000000000004</v>
      </c>
      <c r="AA40" s="36">
        <v>-2.0099999999999998</v>
      </c>
      <c r="AB40" s="36">
        <v>-7.91</v>
      </c>
      <c r="AC40" s="36">
        <v>-3.16</v>
      </c>
      <c r="AD40" s="36">
        <v>6.62</v>
      </c>
      <c r="AE40" s="36">
        <v>23.31</v>
      </c>
    </row>
    <row r="41" spans="1:31" ht="17" x14ac:dyDescent="0.45">
      <c r="A41" s="34" t="s">
        <v>130</v>
      </c>
      <c r="B41" s="35" t="s">
        <v>3</v>
      </c>
      <c r="C41" s="37" t="s">
        <v>3</v>
      </c>
      <c r="D41" s="36">
        <v>2.4900000000000002</v>
      </c>
      <c r="E41" s="36">
        <v>0.32</v>
      </c>
      <c r="F41" s="36">
        <v>0.56999999999999995</v>
      </c>
      <c r="G41" s="36">
        <v>1.93</v>
      </c>
      <c r="H41" s="36">
        <v>2.5299999999999998</v>
      </c>
      <c r="I41" s="36">
        <v>4.1399999999999997</v>
      </c>
      <c r="J41" s="36">
        <v>2.94</v>
      </c>
      <c r="K41" s="36">
        <v>-0.93</v>
      </c>
      <c r="L41" s="36">
        <v>-0.31</v>
      </c>
      <c r="M41" s="36">
        <v>0.54</v>
      </c>
      <c r="N41" s="36">
        <v>-0.52</v>
      </c>
      <c r="O41" s="36">
        <v>1.02</v>
      </c>
      <c r="P41" s="36">
        <v>6.88</v>
      </c>
      <c r="Q41" s="36">
        <v>-6.47</v>
      </c>
      <c r="R41" s="36">
        <v>9.7899999999999991</v>
      </c>
      <c r="S41" s="36">
        <v>0.87</v>
      </c>
      <c r="T41" s="36">
        <v>-2.2999999999999998</v>
      </c>
      <c r="U41" s="36">
        <v>-11.23</v>
      </c>
      <c r="V41" s="36">
        <v>0.16</v>
      </c>
      <c r="W41" s="36">
        <v>-3.54</v>
      </c>
      <c r="X41" s="36">
        <v>6.53</v>
      </c>
      <c r="Y41" s="36">
        <v>-2.2799999999999998</v>
      </c>
      <c r="Z41" s="36">
        <v>2.88</v>
      </c>
      <c r="AA41" s="36">
        <v>2.09</v>
      </c>
      <c r="AB41" s="36">
        <v>0.23</v>
      </c>
      <c r="AC41" s="36">
        <v>-22.18</v>
      </c>
      <c r="AD41" s="36">
        <v>-7.95</v>
      </c>
      <c r="AE41" s="36">
        <v>-5.66</v>
      </c>
    </row>
    <row r="42" spans="1:31" ht="17" x14ac:dyDescent="0.45">
      <c r="A42" s="34" t="s">
        <v>131</v>
      </c>
      <c r="B42" s="35" t="s">
        <v>3</v>
      </c>
      <c r="C42" s="36">
        <v>6.27</v>
      </c>
      <c r="D42" s="36">
        <v>0.01</v>
      </c>
      <c r="E42" s="36">
        <v>2.77</v>
      </c>
      <c r="F42" s="36">
        <v>-2.11</v>
      </c>
      <c r="G42" s="36">
        <v>2.99</v>
      </c>
      <c r="H42" s="36">
        <v>4.76</v>
      </c>
      <c r="I42" s="36">
        <v>4.34</v>
      </c>
      <c r="J42" s="36">
        <v>-3.59</v>
      </c>
      <c r="K42" s="36">
        <v>-9.56</v>
      </c>
      <c r="L42" s="36">
        <v>10.73</v>
      </c>
      <c r="M42" s="36">
        <v>1.68</v>
      </c>
      <c r="N42" s="36">
        <v>-13.94</v>
      </c>
      <c r="O42" s="36">
        <v>7.45</v>
      </c>
      <c r="P42" s="36">
        <v>-7.1</v>
      </c>
      <c r="Q42" s="36">
        <v>-4.18</v>
      </c>
      <c r="R42" s="36">
        <v>1.88</v>
      </c>
      <c r="S42" s="36">
        <v>-0.9</v>
      </c>
      <c r="T42" s="36">
        <v>7.81</v>
      </c>
      <c r="U42" s="36">
        <v>-8.86</v>
      </c>
      <c r="V42" s="36">
        <v>0.13</v>
      </c>
      <c r="W42" s="36">
        <v>5.27</v>
      </c>
      <c r="X42" s="36">
        <v>-5.31</v>
      </c>
      <c r="Y42" s="36">
        <v>-3.32</v>
      </c>
      <c r="Z42" s="36">
        <v>-10.07</v>
      </c>
      <c r="AA42" s="36">
        <v>11.2</v>
      </c>
      <c r="AB42" s="36">
        <v>15.25</v>
      </c>
      <c r="AC42" s="36">
        <v>-11.07</v>
      </c>
      <c r="AD42" s="36">
        <v>-11.22</v>
      </c>
      <c r="AE42" s="36">
        <v>-5.51</v>
      </c>
    </row>
    <row r="43" spans="1:31" ht="13.5" customHeight="1" x14ac:dyDescent="0.45">
      <c r="A43" s="34" t="s">
        <v>133</v>
      </c>
      <c r="B43" s="35" t="s">
        <v>3</v>
      </c>
      <c r="C43" s="37" t="s">
        <v>3</v>
      </c>
      <c r="D43" s="36">
        <v>-5.2</v>
      </c>
      <c r="E43" s="36">
        <v>1.55</v>
      </c>
      <c r="F43" s="36">
        <v>-2.37</v>
      </c>
      <c r="G43" s="36">
        <v>0.83</v>
      </c>
      <c r="H43" s="36">
        <v>1.44</v>
      </c>
      <c r="I43" s="36">
        <v>2.83</v>
      </c>
      <c r="J43" s="36">
        <v>-11.62</v>
      </c>
      <c r="K43" s="36">
        <v>-7.99</v>
      </c>
      <c r="L43" s="36">
        <v>-7.19</v>
      </c>
      <c r="M43" s="36">
        <v>8.0299999999999994</v>
      </c>
      <c r="N43" s="36">
        <v>3.71</v>
      </c>
      <c r="O43" s="36">
        <v>-0.59</v>
      </c>
      <c r="P43" s="36">
        <v>1.44</v>
      </c>
      <c r="Q43" s="36">
        <v>-1.86</v>
      </c>
      <c r="R43" s="36">
        <v>-15.76</v>
      </c>
      <c r="S43" s="36">
        <v>-5.31</v>
      </c>
      <c r="T43" s="36">
        <v>4.47</v>
      </c>
      <c r="U43" s="36">
        <v>2.2000000000000002</v>
      </c>
      <c r="V43" s="36">
        <v>-14.88</v>
      </c>
      <c r="W43" s="36">
        <v>-9.3699999999999992</v>
      </c>
      <c r="X43" s="36">
        <v>-14.89</v>
      </c>
      <c r="Y43" s="36">
        <v>6.68</v>
      </c>
      <c r="Z43" s="36">
        <v>13.85</v>
      </c>
      <c r="AA43" s="36">
        <v>0.65</v>
      </c>
      <c r="AB43" s="36">
        <v>-10.37</v>
      </c>
      <c r="AC43" s="36">
        <v>-7.96</v>
      </c>
      <c r="AD43" s="36">
        <v>5.46</v>
      </c>
      <c r="AE43" s="36">
        <v>3.51</v>
      </c>
    </row>
    <row r="44" spans="1:31" ht="13.5" customHeight="1" x14ac:dyDescent="0.45">
      <c r="A44" s="34" t="s">
        <v>132</v>
      </c>
      <c r="B44" s="35" t="s">
        <v>3</v>
      </c>
      <c r="C44" s="36">
        <v>8.4499999999999993</v>
      </c>
      <c r="D44" s="36">
        <v>13.55</v>
      </c>
      <c r="E44" s="36">
        <v>-13.87</v>
      </c>
      <c r="F44" s="36">
        <v>1.01</v>
      </c>
      <c r="G44" s="36">
        <v>8.34</v>
      </c>
      <c r="H44" s="36">
        <v>-6.37</v>
      </c>
      <c r="I44" s="36">
        <v>4.33</v>
      </c>
      <c r="J44" s="36">
        <v>-2.64</v>
      </c>
      <c r="K44" s="36">
        <v>5.04</v>
      </c>
      <c r="L44" s="36">
        <v>-4.46</v>
      </c>
      <c r="M44" s="36">
        <v>-10.64</v>
      </c>
      <c r="N44" s="36">
        <v>-8.1199999999999992</v>
      </c>
      <c r="O44" s="36">
        <v>-9.82</v>
      </c>
      <c r="P44" s="36">
        <v>-9.9</v>
      </c>
      <c r="Q44" s="36">
        <v>-0.32</v>
      </c>
      <c r="R44" s="36">
        <v>-12.89</v>
      </c>
      <c r="S44" s="36">
        <v>-19.690000000000001</v>
      </c>
      <c r="T44" s="36">
        <v>-9.92</v>
      </c>
      <c r="U44" s="36">
        <v>-1.88</v>
      </c>
      <c r="V44" s="36">
        <v>0.66</v>
      </c>
      <c r="W44" s="36">
        <v>11.13</v>
      </c>
      <c r="X44" s="36">
        <v>6.1</v>
      </c>
      <c r="Y44" s="36">
        <v>-5.28</v>
      </c>
      <c r="Z44" s="36">
        <v>-5.46</v>
      </c>
      <c r="AA44" s="36">
        <v>8.1300000000000008</v>
      </c>
      <c r="AB44" s="36">
        <v>4.97</v>
      </c>
      <c r="AC44" s="36">
        <v>-14.23</v>
      </c>
      <c r="AD44" s="36">
        <v>-3.17</v>
      </c>
      <c r="AE44" s="36">
        <v>-9.02</v>
      </c>
    </row>
    <row r="45" spans="1:31" ht="13.5" customHeight="1" x14ac:dyDescent="0.45">
      <c r="A45" s="34" t="s">
        <v>175</v>
      </c>
      <c r="B45" s="35" t="s">
        <v>3</v>
      </c>
      <c r="C45" s="37" t="s">
        <v>3</v>
      </c>
      <c r="D45" s="37" t="s">
        <v>3</v>
      </c>
      <c r="E45" s="37" t="s">
        <v>3</v>
      </c>
      <c r="F45" s="37" t="s">
        <v>3</v>
      </c>
      <c r="G45" s="37" t="s">
        <v>3</v>
      </c>
      <c r="H45" s="37" t="s">
        <v>3</v>
      </c>
      <c r="I45" s="37" t="s">
        <v>3</v>
      </c>
      <c r="J45" s="37" t="s">
        <v>3</v>
      </c>
      <c r="K45" s="37" t="s">
        <v>3</v>
      </c>
      <c r="L45" s="37" t="s">
        <v>3</v>
      </c>
      <c r="M45" s="37" t="s">
        <v>3</v>
      </c>
      <c r="N45" s="37" t="s">
        <v>3</v>
      </c>
      <c r="O45" s="37" t="s">
        <v>3</v>
      </c>
      <c r="P45" s="37" t="s">
        <v>3</v>
      </c>
      <c r="Q45" s="37" t="s">
        <v>3</v>
      </c>
      <c r="R45" s="37" t="s">
        <v>3</v>
      </c>
      <c r="S45" s="37" t="s">
        <v>3</v>
      </c>
      <c r="T45" s="37" t="s">
        <v>3</v>
      </c>
      <c r="U45" s="37" t="s">
        <v>3</v>
      </c>
      <c r="V45" s="37" t="s">
        <v>3</v>
      </c>
      <c r="W45" s="37" t="s">
        <v>3</v>
      </c>
      <c r="X45" s="37" t="s">
        <v>3</v>
      </c>
      <c r="Y45" s="37" t="s">
        <v>3</v>
      </c>
      <c r="Z45" s="37" t="s">
        <v>3</v>
      </c>
      <c r="AA45" s="37" t="s">
        <v>3</v>
      </c>
      <c r="AB45" s="37" t="s">
        <v>3</v>
      </c>
      <c r="AC45" s="37" t="s">
        <v>3</v>
      </c>
      <c r="AD45" s="37" t="s">
        <v>3</v>
      </c>
      <c r="AE45" s="37" t="s">
        <v>3</v>
      </c>
    </row>
    <row r="46" spans="1:31" ht="13.5" customHeight="1" x14ac:dyDescent="0.45">
      <c r="A46" s="34" t="s">
        <v>176</v>
      </c>
      <c r="B46" s="35" t="s">
        <v>3</v>
      </c>
      <c r="C46" s="37" t="s">
        <v>3</v>
      </c>
      <c r="D46" s="37" t="s">
        <v>3</v>
      </c>
      <c r="E46" s="37" t="s">
        <v>3</v>
      </c>
      <c r="F46" s="37" t="s">
        <v>3</v>
      </c>
      <c r="G46" s="37" t="s">
        <v>3</v>
      </c>
      <c r="H46" s="37" t="s">
        <v>3</v>
      </c>
      <c r="I46" s="36">
        <v>-6.98</v>
      </c>
      <c r="J46" s="36">
        <v>10</v>
      </c>
      <c r="K46" s="36">
        <v>0.66</v>
      </c>
      <c r="L46" s="36">
        <v>-2.98</v>
      </c>
      <c r="M46" s="36">
        <v>3.15</v>
      </c>
      <c r="N46" s="36">
        <v>3.49</v>
      </c>
      <c r="O46" s="36">
        <v>0.73</v>
      </c>
      <c r="P46" s="36">
        <v>-1.32</v>
      </c>
      <c r="Q46" s="36">
        <v>-2.11</v>
      </c>
      <c r="R46" s="36">
        <v>4</v>
      </c>
      <c r="S46" s="36">
        <v>-0.95</v>
      </c>
      <c r="T46" s="36">
        <v>-1.66</v>
      </c>
      <c r="U46" s="36">
        <v>-4.96</v>
      </c>
      <c r="V46" s="36">
        <v>13.58</v>
      </c>
      <c r="W46" s="36">
        <v>5.99</v>
      </c>
      <c r="X46" s="36">
        <v>8.7899999999999991</v>
      </c>
      <c r="Y46" s="36">
        <v>0.78</v>
      </c>
      <c r="Z46" s="36">
        <v>-0.82</v>
      </c>
      <c r="AA46" s="36">
        <v>-4.32</v>
      </c>
      <c r="AB46" s="36">
        <v>1.25</v>
      </c>
      <c r="AC46" s="36">
        <v>-4.53</v>
      </c>
      <c r="AD46" s="37" t="s">
        <v>3</v>
      </c>
      <c r="AE46" s="37" t="s">
        <v>3</v>
      </c>
    </row>
    <row r="47" spans="1:31" ht="17" x14ac:dyDescent="0.45">
      <c r="A47" s="34" t="s">
        <v>177</v>
      </c>
      <c r="B47" s="35" t="s">
        <v>3</v>
      </c>
      <c r="C47" s="37" t="s">
        <v>3</v>
      </c>
      <c r="D47" s="36">
        <v>-12.18</v>
      </c>
      <c r="E47" s="36">
        <v>16.68</v>
      </c>
      <c r="F47" s="36">
        <v>2.63</v>
      </c>
      <c r="G47" s="36">
        <v>4.32</v>
      </c>
      <c r="H47" s="36">
        <v>8.85</v>
      </c>
      <c r="I47" s="36">
        <v>10.02</v>
      </c>
      <c r="J47" s="36">
        <v>5.17</v>
      </c>
      <c r="K47" s="36">
        <v>-2.87</v>
      </c>
      <c r="L47" s="36">
        <v>7.52</v>
      </c>
      <c r="M47" s="36">
        <v>-3.02</v>
      </c>
      <c r="N47" s="36">
        <v>0.94</v>
      </c>
      <c r="O47" s="36">
        <v>0.92</v>
      </c>
      <c r="P47" s="36">
        <v>8.4</v>
      </c>
      <c r="Q47" s="36">
        <v>-3.11</v>
      </c>
      <c r="R47" s="36">
        <v>12.92</v>
      </c>
      <c r="S47" s="36">
        <v>-1.31</v>
      </c>
      <c r="T47" s="36">
        <v>-0.66</v>
      </c>
      <c r="U47" s="36">
        <v>6.91</v>
      </c>
      <c r="V47" s="36">
        <v>1.0900000000000001</v>
      </c>
      <c r="W47" s="36">
        <v>-0.36</v>
      </c>
      <c r="X47" s="36">
        <v>11.95</v>
      </c>
      <c r="Y47" s="36">
        <v>-3.12</v>
      </c>
      <c r="Z47" s="36">
        <v>-8.94</v>
      </c>
      <c r="AA47" s="36">
        <v>-5.04</v>
      </c>
      <c r="AB47" s="36">
        <v>0</v>
      </c>
      <c r="AC47" s="36">
        <v>14.23</v>
      </c>
      <c r="AD47" s="36">
        <v>-6.54</v>
      </c>
      <c r="AE47" s="36">
        <v>-0.32</v>
      </c>
    </row>
    <row r="48" spans="1:31" ht="17" x14ac:dyDescent="0.45">
      <c r="A48" s="34" t="s">
        <v>178</v>
      </c>
      <c r="B48" s="35" t="s">
        <v>3</v>
      </c>
      <c r="C48" s="37" t="s">
        <v>3</v>
      </c>
      <c r="D48" s="36">
        <v>14.28</v>
      </c>
      <c r="E48" s="36">
        <v>25.09</v>
      </c>
      <c r="F48" s="36">
        <v>4.0999999999999996</v>
      </c>
      <c r="G48" s="36">
        <v>10.83</v>
      </c>
      <c r="H48" s="36">
        <v>4.7</v>
      </c>
      <c r="I48" s="36">
        <v>-5.63</v>
      </c>
      <c r="J48" s="36">
        <v>16.25</v>
      </c>
      <c r="K48" s="36">
        <v>-3.69</v>
      </c>
      <c r="L48" s="36">
        <v>5.61</v>
      </c>
      <c r="M48" s="36">
        <v>0.06</v>
      </c>
      <c r="N48" s="36">
        <v>3.56</v>
      </c>
      <c r="O48" s="36">
        <v>-7</v>
      </c>
      <c r="P48" s="36">
        <v>-3.06</v>
      </c>
      <c r="Q48" s="36">
        <v>10.74</v>
      </c>
      <c r="R48" s="36">
        <v>-9.89</v>
      </c>
      <c r="S48" s="36">
        <v>-6.37</v>
      </c>
      <c r="T48" s="36">
        <v>-1.98</v>
      </c>
      <c r="U48" s="36">
        <v>9.5</v>
      </c>
      <c r="V48" s="36">
        <v>1.93</v>
      </c>
      <c r="W48" s="36">
        <v>-6.74</v>
      </c>
      <c r="X48" s="36">
        <v>9.92</v>
      </c>
      <c r="Y48" s="36">
        <v>-6.59</v>
      </c>
      <c r="Z48" s="36">
        <v>-17.47</v>
      </c>
      <c r="AA48" s="36">
        <v>11.07</v>
      </c>
      <c r="AB48" s="36">
        <v>-12.52</v>
      </c>
      <c r="AC48" s="36">
        <v>6.16</v>
      </c>
      <c r="AD48" s="36">
        <v>14.34</v>
      </c>
      <c r="AE48" s="36">
        <v>-4.16</v>
      </c>
    </row>
    <row r="49" spans="1:31" ht="17" x14ac:dyDescent="0.45">
      <c r="A49" s="34" t="s">
        <v>179</v>
      </c>
      <c r="B49" s="35" t="s">
        <v>3</v>
      </c>
      <c r="C49" s="37" t="s">
        <v>3</v>
      </c>
      <c r="D49" s="36">
        <v>6.79</v>
      </c>
      <c r="E49" s="36">
        <v>3.08</v>
      </c>
      <c r="F49" s="36">
        <v>12.69</v>
      </c>
      <c r="G49" s="36">
        <v>8.7899999999999991</v>
      </c>
      <c r="H49" s="36">
        <v>4.26</v>
      </c>
      <c r="I49" s="36">
        <v>13.92</v>
      </c>
      <c r="J49" s="36">
        <v>10.43</v>
      </c>
      <c r="K49" s="36">
        <v>0.12</v>
      </c>
      <c r="L49" s="36">
        <v>-1.44</v>
      </c>
      <c r="M49" s="36">
        <v>-4.78</v>
      </c>
      <c r="N49" s="36">
        <v>2.29</v>
      </c>
      <c r="O49" s="36">
        <v>0.13</v>
      </c>
      <c r="P49" s="36">
        <v>-4.95</v>
      </c>
      <c r="Q49" s="36">
        <v>0.59</v>
      </c>
      <c r="R49" s="36">
        <v>-3.43</v>
      </c>
      <c r="S49" s="36">
        <v>-13.87</v>
      </c>
      <c r="T49" s="36">
        <v>-9.0299999999999994</v>
      </c>
      <c r="U49" s="36">
        <v>2.87</v>
      </c>
      <c r="V49" s="36">
        <v>0.85</v>
      </c>
      <c r="W49" s="36">
        <v>6.6</v>
      </c>
      <c r="X49" s="36">
        <v>7.97</v>
      </c>
      <c r="Y49" s="36">
        <v>-21.16</v>
      </c>
      <c r="Z49" s="36">
        <v>-6.14</v>
      </c>
      <c r="AA49" s="36">
        <v>3.4</v>
      </c>
      <c r="AB49" s="36">
        <v>-5.35</v>
      </c>
      <c r="AC49" s="36">
        <v>11.11</v>
      </c>
      <c r="AD49" s="36">
        <v>3.25</v>
      </c>
      <c r="AE49" s="37" t="s">
        <v>3</v>
      </c>
    </row>
    <row r="50" spans="1:31" ht="17" x14ac:dyDescent="0.45">
      <c r="A50" s="34" t="s">
        <v>180</v>
      </c>
      <c r="B50" s="35" t="s">
        <v>3</v>
      </c>
      <c r="C50" s="37" t="s">
        <v>3</v>
      </c>
      <c r="D50" s="37" t="s">
        <v>3</v>
      </c>
      <c r="E50" s="37" t="s">
        <v>3</v>
      </c>
      <c r="F50" s="37" t="s">
        <v>3</v>
      </c>
      <c r="G50" s="37" t="s">
        <v>3</v>
      </c>
      <c r="H50" s="37" t="s">
        <v>3</v>
      </c>
      <c r="I50" s="37" t="s">
        <v>3</v>
      </c>
      <c r="J50" s="37" t="s">
        <v>3</v>
      </c>
      <c r="K50" s="37" t="s">
        <v>3</v>
      </c>
      <c r="L50" s="37" t="s">
        <v>3</v>
      </c>
      <c r="M50" s="37" t="s">
        <v>3</v>
      </c>
      <c r="N50" s="37" t="s">
        <v>3</v>
      </c>
      <c r="O50" s="37" t="s">
        <v>3</v>
      </c>
      <c r="P50" s="37" t="s">
        <v>3</v>
      </c>
      <c r="Q50" s="37" t="s">
        <v>3</v>
      </c>
      <c r="R50" s="37" t="s">
        <v>3</v>
      </c>
      <c r="S50" s="37" t="s">
        <v>3</v>
      </c>
      <c r="T50" s="36">
        <v>-5.64</v>
      </c>
      <c r="U50" s="36">
        <v>12.02</v>
      </c>
      <c r="V50" s="36">
        <v>-1.93</v>
      </c>
      <c r="W50" s="36">
        <v>1.65</v>
      </c>
      <c r="X50" s="36">
        <v>-8.19</v>
      </c>
      <c r="Y50" s="36">
        <v>-5.72</v>
      </c>
      <c r="Z50" s="37" t="s">
        <v>3</v>
      </c>
      <c r="AA50" s="37" t="s">
        <v>3</v>
      </c>
      <c r="AB50" s="37" t="s">
        <v>3</v>
      </c>
      <c r="AC50" s="37" t="s">
        <v>3</v>
      </c>
      <c r="AD50" s="37" t="s">
        <v>3</v>
      </c>
      <c r="AE50" s="37" t="s">
        <v>3</v>
      </c>
    </row>
    <row r="51" spans="1:31" ht="17" x14ac:dyDescent="0.45">
      <c r="A51" s="34" t="s">
        <v>181</v>
      </c>
      <c r="B51" s="35" t="s">
        <v>3</v>
      </c>
      <c r="C51" s="37" t="s">
        <v>3</v>
      </c>
      <c r="D51" s="37" t="s">
        <v>3</v>
      </c>
      <c r="E51" s="37" t="s">
        <v>3</v>
      </c>
      <c r="F51" s="37" t="s">
        <v>3</v>
      </c>
      <c r="G51" s="37" t="s">
        <v>3</v>
      </c>
      <c r="H51" s="37" t="s">
        <v>3</v>
      </c>
      <c r="I51" s="36">
        <v>2.21</v>
      </c>
      <c r="J51" s="36">
        <v>2.84</v>
      </c>
      <c r="K51" s="36">
        <v>5.99</v>
      </c>
      <c r="L51" s="36">
        <v>-7.25</v>
      </c>
      <c r="M51" s="36">
        <v>-21.64</v>
      </c>
      <c r="N51" s="36">
        <v>17.309999999999999</v>
      </c>
      <c r="O51" s="36">
        <v>10.37</v>
      </c>
      <c r="P51" s="36">
        <v>-5.61</v>
      </c>
      <c r="Q51" s="36">
        <v>24.96</v>
      </c>
      <c r="R51" s="36">
        <v>-11.37</v>
      </c>
      <c r="S51" s="36">
        <v>-44.22</v>
      </c>
      <c r="T51" s="36">
        <v>-66.739999999999995</v>
      </c>
      <c r="U51" s="36">
        <v>273.54000000000002</v>
      </c>
      <c r="V51" s="36">
        <v>16.18</v>
      </c>
      <c r="W51" s="36">
        <v>166.64</v>
      </c>
      <c r="X51" s="36">
        <v>25.65</v>
      </c>
      <c r="Y51" s="36">
        <v>-32.950000000000003</v>
      </c>
      <c r="Z51" s="36">
        <v>6.25</v>
      </c>
      <c r="AA51" s="36">
        <v>12.05</v>
      </c>
      <c r="AB51" s="36">
        <v>-12.64</v>
      </c>
      <c r="AC51" s="36">
        <v>13.83</v>
      </c>
      <c r="AD51" s="36">
        <v>-1.75</v>
      </c>
      <c r="AE51" s="37" t="s">
        <v>3</v>
      </c>
    </row>
    <row r="52" spans="1:31" ht="34" x14ac:dyDescent="0.45">
      <c r="A52" s="34" t="s">
        <v>182</v>
      </c>
      <c r="B52" s="35" t="s">
        <v>3</v>
      </c>
      <c r="C52" s="37" t="s">
        <v>3</v>
      </c>
      <c r="D52" s="37" t="s">
        <v>3</v>
      </c>
      <c r="E52" s="37" t="s">
        <v>3</v>
      </c>
      <c r="F52" s="37" t="s">
        <v>3</v>
      </c>
      <c r="G52" s="37" t="s">
        <v>3</v>
      </c>
      <c r="H52" s="37" t="s">
        <v>3</v>
      </c>
      <c r="I52" s="36">
        <v>18.36</v>
      </c>
      <c r="J52" s="36">
        <v>-0.56000000000000005</v>
      </c>
      <c r="K52" s="36">
        <v>28.64</v>
      </c>
      <c r="L52" s="36">
        <v>3.94</v>
      </c>
      <c r="M52" s="36">
        <v>17.89</v>
      </c>
      <c r="N52" s="36">
        <v>-17.62</v>
      </c>
      <c r="O52" s="36">
        <v>-9.1199999999999992</v>
      </c>
      <c r="P52" s="36">
        <v>0.41</v>
      </c>
      <c r="Q52" s="36">
        <v>-1.59</v>
      </c>
      <c r="R52" s="36">
        <v>20.350000000000001</v>
      </c>
      <c r="S52" s="36">
        <v>4.1500000000000004</v>
      </c>
      <c r="T52" s="36">
        <v>-20.32</v>
      </c>
      <c r="U52" s="36">
        <v>-9.9</v>
      </c>
      <c r="V52" s="36">
        <v>-9.1999999999999993</v>
      </c>
      <c r="W52" s="36">
        <v>4.0199999999999996</v>
      </c>
      <c r="X52" s="36">
        <v>-4.8600000000000003</v>
      </c>
      <c r="Y52" s="36">
        <v>-8.5299999999999994</v>
      </c>
      <c r="Z52" s="36">
        <v>15.46</v>
      </c>
      <c r="AA52" s="36">
        <v>-6.16</v>
      </c>
      <c r="AB52" s="36">
        <v>-10.29</v>
      </c>
      <c r="AC52" s="37" t="s">
        <v>3</v>
      </c>
      <c r="AD52" s="37" t="s">
        <v>3</v>
      </c>
      <c r="AE52" s="37" t="s">
        <v>3</v>
      </c>
    </row>
    <row r="53" spans="1:31" ht="17" x14ac:dyDescent="0.45">
      <c r="A53" s="34" t="s">
        <v>183</v>
      </c>
      <c r="B53" s="35" t="s">
        <v>3</v>
      </c>
      <c r="C53" s="37" t="s">
        <v>3</v>
      </c>
      <c r="D53" s="37" t="s">
        <v>3</v>
      </c>
      <c r="E53" s="37" t="s">
        <v>3</v>
      </c>
      <c r="F53" s="37" t="s">
        <v>3</v>
      </c>
      <c r="G53" s="37" t="s">
        <v>3</v>
      </c>
      <c r="H53" s="37" t="s">
        <v>3</v>
      </c>
      <c r="I53" s="37" t="s">
        <v>3</v>
      </c>
      <c r="J53" s="37" t="s">
        <v>3</v>
      </c>
      <c r="K53" s="37" t="s">
        <v>3</v>
      </c>
      <c r="L53" s="37" t="s">
        <v>3</v>
      </c>
      <c r="M53" s="37" t="s">
        <v>3</v>
      </c>
      <c r="N53" s="37" t="s">
        <v>3</v>
      </c>
      <c r="O53" s="37" t="s">
        <v>3</v>
      </c>
      <c r="P53" s="36">
        <v>-5.97</v>
      </c>
      <c r="Q53" s="36">
        <v>-4.74</v>
      </c>
      <c r="R53" s="36">
        <v>-1.35</v>
      </c>
      <c r="S53" s="36">
        <v>-10.17</v>
      </c>
      <c r="T53" s="36">
        <v>1.1499999999999999</v>
      </c>
      <c r="U53" s="36">
        <v>6.85</v>
      </c>
      <c r="V53" s="36">
        <v>-3.18</v>
      </c>
      <c r="W53" s="36">
        <v>1.76</v>
      </c>
      <c r="X53" s="36">
        <v>21.78</v>
      </c>
      <c r="Y53" s="36">
        <v>6.75</v>
      </c>
      <c r="Z53" s="36">
        <v>-53.26</v>
      </c>
      <c r="AA53" s="36">
        <v>94.83</v>
      </c>
      <c r="AB53" s="36">
        <v>10.76</v>
      </c>
      <c r="AC53" s="36">
        <v>-18.77</v>
      </c>
      <c r="AD53" s="37" t="s">
        <v>3</v>
      </c>
      <c r="AE53" s="37" t="s">
        <v>3</v>
      </c>
    </row>
    <row r="54" spans="1:31" ht="17" x14ac:dyDescent="0.45">
      <c r="A54" s="34" t="s">
        <v>184</v>
      </c>
      <c r="B54" s="35" t="s">
        <v>3</v>
      </c>
      <c r="C54" s="37" t="s">
        <v>3</v>
      </c>
      <c r="D54" s="36">
        <v>-7.02</v>
      </c>
      <c r="E54" s="36">
        <v>-7.27</v>
      </c>
      <c r="F54" s="36">
        <v>-2.41</v>
      </c>
      <c r="G54" s="36">
        <v>1.93</v>
      </c>
      <c r="H54" s="36">
        <v>12.04</v>
      </c>
      <c r="I54" s="36">
        <v>0.03</v>
      </c>
      <c r="J54" s="36">
        <v>2.72</v>
      </c>
      <c r="K54" s="36">
        <v>11.21</v>
      </c>
      <c r="L54" s="36">
        <v>-4</v>
      </c>
      <c r="M54" s="36">
        <v>2.69</v>
      </c>
      <c r="N54" s="36">
        <v>1.0900000000000001</v>
      </c>
      <c r="O54" s="36">
        <v>7.91</v>
      </c>
      <c r="P54" s="36">
        <v>12.44</v>
      </c>
      <c r="Q54" s="36">
        <v>32.85</v>
      </c>
      <c r="R54" s="36">
        <v>7.7</v>
      </c>
      <c r="S54" s="36">
        <v>18.350000000000001</v>
      </c>
      <c r="T54" s="36">
        <v>-19.84</v>
      </c>
      <c r="U54" s="36">
        <v>-19.7</v>
      </c>
      <c r="V54" s="36">
        <v>-2.6</v>
      </c>
      <c r="W54" s="36">
        <v>3.87</v>
      </c>
      <c r="X54" s="36">
        <v>-7.75</v>
      </c>
      <c r="Y54" s="36">
        <v>11.5</v>
      </c>
      <c r="Z54" s="36">
        <v>9.85</v>
      </c>
      <c r="AA54" s="36">
        <v>-3.09</v>
      </c>
      <c r="AB54" s="36">
        <v>0.15</v>
      </c>
      <c r="AC54" s="36">
        <v>-16.41</v>
      </c>
      <c r="AD54" s="36">
        <v>-21.01</v>
      </c>
      <c r="AE54" s="36">
        <v>11.55</v>
      </c>
    </row>
    <row r="55" spans="1:31" ht="17" x14ac:dyDescent="0.45">
      <c r="A55" s="34" t="s">
        <v>185</v>
      </c>
      <c r="B55" s="35" t="s">
        <v>3</v>
      </c>
      <c r="C55" s="37" t="s">
        <v>3</v>
      </c>
      <c r="D55" s="37" t="s">
        <v>3</v>
      </c>
      <c r="E55" s="37" t="s">
        <v>3</v>
      </c>
      <c r="F55" s="37" t="s">
        <v>3</v>
      </c>
      <c r="G55" s="37" t="s">
        <v>3</v>
      </c>
      <c r="H55" s="37" t="s">
        <v>3</v>
      </c>
      <c r="I55" s="37" t="s">
        <v>3</v>
      </c>
      <c r="J55" s="37" t="s">
        <v>3</v>
      </c>
      <c r="K55" s="37" t="s">
        <v>3</v>
      </c>
      <c r="L55" s="37" t="s">
        <v>3</v>
      </c>
      <c r="M55" s="37" t="s">
        <v>3</v>
      </c>
      <c r="N55" s="37" t="s">
        <v>3</v>
      </c>
      <c r="O55" s="37" t="s">
        <v>3</v>
      </c>
      <c r="P55" s="37" t="s">
        <v>3</v>
      </c>
      <c r="Q55" s="37" t="s">
        <v>3</v>
      </c>
      <c r="R55" s="37" t="s">
        <v>3</v>
      </c>
      <c r="S55" s="37" t="s">
        <v>3</v>
      </c>
      <c r="T55" s="37" t="s">
        <v>3</v>
      </c>
      <c r="U55" s="37" t="s">
        <v>3</v>
      </c>
      <c r="V55" s="37" t="s">
        <v>3</v>
      </c>
      <c r="W55" s="37" t="s">
        <v>3</v>
      </c>
      <c r="X55" s="37" t="s">
        <v>3</v>
      </c>
      <c r="Y55" s="37" t="s">
        <v>3</v>
      </c>
      <c r="Z55" s="36">
        <v>2.82</v>
      </c>
      <c r="AA55" s="36">
        <v>2.61</v>
      </c>
      <c r="AB55" s="37" t="s">
        <v>3</v>
      </c>
      <c r="AC55" s="37" t="s">
        <v>3</v>
      </c>
      <c r="AD55" s="37" t="s">
        <v>3</v>
      </c>
      <c r="AE55" s="37" t="s">
        <v>3</v>
      </c>
    </row>
    <row r="56" spans="1:31" ht="17" x14ac:dyDescent="0.45">
      <c r="A56" s="34" t="s">
        <v>186</v>
      </c>
      <c r="B56" s="35" t="s">
        <v>3</v>
      </c>
      <c r="C56" s="37" t="s">
        <v>3</v>
      </c>
      <c r="D56" s="37" t="s">
        <v>3</v>
      </c>
      <c r="E56" s="37" t="s">
        <v>3</v>
      </c>
      <c r="F56" s="37" t="s">
        <v>3</v>
      </c>
      <c r="G56" s="37" t="s">
        <v>3</v>
      </c>
      <c r="H56" s="37" t="s">
        <v>3</v>
      </c>
      <c r="I56" s="37" t="s">
        <v>3</v>
      </c>
      <c r="J56" s="37" t="s">
        <v>3</v>
      </c>
      <c r="K56" s="37" t="s">
        <v>3</v>
      </c>
      <c r="L56" s="37" t="s">
        <v>3</v>
      </c>
      <c r="M56" s="37" t="s">
        <v>3</v>
      </c>
      <c r="N56" s="37" t="s">
        <v>3</v>
      </c>
      <c r="O56" s="37" t="s">
        <v>3</v>
      </c>
      <c r="P56" s="37" t="s">
        <v>3</v>
      </c>
      <c r="Q56" s="36">
        <v>-2.19</v>
      </c>
      <c r="R56" s="36">
        <v>5.39</v>
      </c>
      <c r="S56" s="36">
        <v>-8.09</v>
      </c>
      <c r="T56" s="36">
        <v>-12.05</v>
      </c>
      <c r="U56" s="36">
        <v>-14.92</v>
      </c>
      <c r="V56" s="36">
        <v>-16.25</v>
      </c>
      <c r="W56" s="36">
        <v>-8.33</v>
      </c>
      <c r="X56" s="36">
        <v>-3.03</v>
      </c>
      <c r="Y56" s="36">
        <v>-1.1499999999999999</v>
      </c>
      <c r="Z56" s="36">
        <v>-2.75</v>
      </c>
      <c r="AA56" s="36">
        <v>3.06</v>
      </c>
      <c r="AB56" s="36">
        <v>0.39</v>
      </c>
      <c r="AC56" s="36">
        <v>12.73</v>
      </c>
      <c r="AD56" s="36">
        <v>-12.79</v>
      </c>
      <c r="AE56" s="37" t="s">
        <v>3</v>
      </c>
    </row>
    <row r="57" spans="1:31" ht="17" x14ac:dyDescent="0.4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</row>
    <row r="58" spans="1:31" ht="17" x14ac:dyDescent="0.45">
      <c r="A58" s="38" t="s">
        <v>187</v>
      </c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</row>
  </sheetData>
  <mergeCells count="1">
    <mergeCell ref="A7:B7"/>
  </mergeCells>
  <phoneticPr fontId="11" type="noConversion"/>
  <hyperlinks>
    <hyperlink ref="A58" r:id="rId1" xr:uid="{A580B15E-3090-48EF-BB75-10B41D18C586}"/>
  </hyperlinks>
  <pageMargins left="0.75" right="0.75" top="1" bottom="1" header="0.5" footer="0.5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58"/>
  <sheetViews>
    <sheetView showGridLines="0" workbookViewId="0"/>
  </sheetViews>
  <sheetFormatPr defaultColWidth="9.08203125" defaultRowHeight="12.5" x14ac:dyDescent="0.25"/>
  <cols>
    <col min="1" max="1" width="27.33203125" style="6" customWidth="1"/>
    <col min="2" max="2" width="4.75" style="6" customWidth="1"/>
    <col min="3" max="3" width="9.33203125" style="6" customWidth="1"/>
    <col min="4" max="16384" width="9.08203125" style="6"/>
  </cols>
  <sheetData>
    <row r="1" spans="1:31" ht="17" x14ac:dyDescent="0.45">
      <c r="A1" s="29" t="s">
        <v>161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</row>
    <row r="2" spans="1:31" ht="12.75" customHeight="1" x14ac:dyDescent="0.45">
      <c r="A2" s="30" t="s">
        <v>162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</row>
    <row r="3" spans="1:31" ht="12.75" customHeight="1" x14ac:dyDescent="0.45">
      <c r="A3" s="30" t="s">
        <v>188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</row>
    <row r="4" spans="1:31" ht="17" x14ac:dyDescent="0.45">
      <c r="A4" s="30" t="s">
        <v>164</v>
      </c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</row>
    <row r="5" spans="1:31" ht="12.75" customHeight="1" x14ac:dyDescent="0.45">
      <c r="A5" s="30" t="s">
        <v>165</v>
      </c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</row>
    <row r="6" spans="1:31" ht="17" x14ac:dyDescent="0.45">
      <c r="A6"/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</row>
    <row r="7" spans="1:31" ht="25.5" customHeight="1" x14ac:dyDescent="0.25">
      <c r="A7" s="42" t="s">
        <v>166</v>
      </c>
      <c r="B7" s="42" t="s">
        <v>166</v>
      </c>
      <c r="C7" s="31" t="s">
        <v>79</v>
      </c>
      <c r="D7" s="31" t="s">
        <v>80</v>
      </c>
      <c r="E7" s="31" t="s">
        <v>81</v>
      </c>
      <c r="F7" s="31" t="s">
        <v>82</v>
      </c>
      <c r="G7" s="31" t="s">
        <v>83</v>
      </c>
      <c r="H7" s="31" t="s">
        <v>84</v>
      </c>
      <c r="I7" s="31" t="s">
        <v>85</v>
      </c>
      <c r="J7" s="31" t="s">
        <v>86</v>
      </c>
      <c r="K7" s="31" t="s">
        <v>87</v>
      </c>
      <c r="L7" s="31" t="s">
        <v>88</v>
      </c>
      <c r="M7" s="31" t="s">
        <v>89</v>
      </c>
      <c r="N7" s="31" t="s">
        <v>90</v>
      </c>
      <c r="O7" s="31" t="s">
        <v>91</v>
      </c>
      <c r="P7" s="31" t="s">
        <v>92</v>
      </c>
      <c r="Q7" s="31" t="s">
        <v>93</v>
      </c>
      <c r="R7" s="31" t="s">
        <v>94</v>
      </c>
      <c r="S7" s="31" t="s">
        <v>95</v>
      </c>
      <c r="T7" s="31" t="s">
        <v>96</v>
      </c>
      <c r="U7" s="31" t="s">
        <v>97</v>
      </c>
      <c r="V7" s="31" t="s">
        <v>98</v>
      </c>
      <c r="W7" s="31" t="s">
        <v>2</v>
      </c>
      <c r="X7" s="31" t="s">
        <v>99</v>
      </c>
      <c r="Y7" s="31" t="s">
        <v>100</v>
      </c>
      <c r="Z7" s="31" t="s">
        <v>101</v>
      </c>
      <c r="AA7" s="31" t="s">
        <v>102</v>
      </c>
      <c r="AB7" s="31" t="s">
        <v>167</v>
      </c>
      <c r="AC7" s="31" t="s">
        <v>168</v>
      </c>
      <c r="AD7" s="31" t="s">
        <v>169</v>
      </c>
      <c r="AE7" s="31" t="s">
        <v>170</v>
      </c>
    </row>
    <row r="8" spans="1:31" ht="17" x14ac:dyDescent="0.25">
      <c r="A8" s="32" t="s">
        <v>171</v>
      </c>
      <c r="B8" s="33" t="s">
        <v>3</v>
      </c>
      <c r="C8" s="33" t="s">
        <v>3</v>
      </c>
      <c r="D8" s="33" t="s">
        <v>3</v>
      </c>
      <c r="E8" s="33" t="s">
        <v>3</v>
      </c>
      <c r="F8" s="33" t="s">
        <v>3</v>
      </c>
      <c r="G8" s="33" t="s">
        <v>3</v>
      </c>
      <c r="H8" s="33" t="s">
        <v>3</v>
      </c>
      <c r="I8" s="33" t="s">
        <v>3</v>
      </c>
      <c r="J8" s="33" t="s">
        <v>3</v>
      </c>
      <c r="K8" s="33" t="s">
        <v>3</v>
      </c>
      <c r="L8" s="33" t="s">
        <v>3</v>
      </c>
      <c r="M8" s="33" t="s">
        <v>3</v>
      </c>
      <c r="N8" s="33" t="s">
        <v>3</v>
      </c>
      <c r="O8" s="33" t="s">
        <v>3</v>
      </c>
      <c r="P8" s="33" t="s">
        <v>3</v>
      </c>
      <c r="Q8" s="33" t="s">
        <v>3</v>
      </c>
      <c r="R8" s="33" t="s">
        <v>3</v>
      </c>
      <c r="S8" s="33" t="s">
        <v>3</v>
      </c>
      <c r="T8" s="33" t="s">
        <v>3</v>
      </c>
      <c r="U8" s="33" t="s">
        <v>3</v>
      </c>
      <c r="V8" s="33" t="s">
        <v>3</v>
      </c>
      <c r="W8" s="33" t="s">
        <v>3</v>
      </c>
      <c r="X8" s="33" t="s">
        <v>3</v>
      </c>
      <c r="Y8" s="33" t="s">
        <v>3</v>
      </c>
      <c r="Z8" s="33" t="s">
        <v>3</v>
      </c>
      <c r="AA8" s="33" t="s">
        <v>3</v>
      </c>
      <c r="AB8" s="33" t="s">
        <v>3</v>
      </c>
      <c r="AC8" s="33" t="s">
        <v>3</v>
      </c>
      <c r="AD8" s="33" t="s">
        <v>3</v>
      </c>
      <c r="AE8" s="33" t="s">
        <v>3</v>
      </c>
    </row>
    <row r="9" spans="1:31" ht="17" x14ac:dyDescent="0.45">
      <c r="A9" s="34" t="s">
        <v>103</v>
      </c>
      <c r="B9" s="35" t="s">
        <v>3</v>
      </c>
      <c r="C9" s="36">
        <v>2.82</v>
      </c>
      <c r="D9" s="36">
        <v>-0.55000000000000004</v>
      </c>
      <c r="E9" s="36">
        <v>7.04</v>
      </c>
      <c r="F9" s="36">
        <v>3.71</v>
      </c>
      <c r="G9" s="36">
        <v>-5.31</v>
      </c>
      <c r="H9" s="36">
        <v>7.03</v>
      </c>
      <c r="I9" s="36">
        <v>3</v>
      </c>
      <c r="J9" s="36">
        <v>4.4000000000000004</v>
      </c>
      <c r="K9" s="36">
        <v>1.31</v>
      </c>
      <c r="L9" s="36">
        <v>1.75</v>
      </c>
      <c r="M9" s="36">
        <v>-0.16</v>
      </c>
      <c r="N9" s="36">
        <v>-0.68</v>
      </c>
      <c r="O9" s="36">
        <v>1.9</v>
      </c>
      <c r="P9" s="36">
        <v>1.0900000000000001</v>
      </c>
      <c r="Q9" s="36">
        <v>2.06</v>
      </c>
      <c r="R9" s="36">
        <v>1.34</v>
      </c>
      <c r="S9" s="36">
        <v>1.44</v>
      </c>
      <c r="T9" s="36">
        <v>0.21</v>
      </c>
      <c r="U9" s="36">
        <v>-2.41</v>
      </c>
      <c r="V9" s="36">
        <v>-0.93</v>
      </c>
      <c r="W9" s="36">
        <v>0.4</v>
      </c>
      <c r="X9" s="36">
        <v>0.61</v>
      </c>
      <c r="Y9" s="36">
        <v>-3.94</v>
      </c>
      <c r="Z9" s="37" t="s">
        <v>3</v>
      </c>
      <c r="AA9" s="37" t="s">
        <v>3</v>
      </c>
      <c r="AB9" s="37" t="s">
        <v>3</v>
      </c>
      <c r="AC9" s="37" t="s">
        <v>3</v>
      </c>
      <c r="AD9" s="37" t="s">
        <v>3</v>
      </c>
      <c r="AE9" s="37" t="s">
        <v>3</v>
      </c>
    </row>
    <row r="10" spans="1:31" ht="17" x14ac:dyDescent="0.45">
      <c r="A10" s="34" t="s">
        <v>104</v>
      </c>
      <c r="B10" s="35" t="s">
        <v>3</v>
      </c>
      <c r="C10" s="36">
        <v>7.71</v>
      </c>
      <c r="D10" s="36">
        <v>3.47</v>
      </c>
      <c r="E10" s="36">
        <v>3.2</v>
      </c>
      <c r="F10" s="36">
        <v>2.83</v>
      </c>
      <c r="G10" s="36">
        <v>4.71</v>
      </c>
      <c r="H10" s="36">
        <v>6.23</v>
      </c>
      <c r="I10" s="36">
        <v>2.92</v>
      </c>
      <c r="J10" s="36">
        <v>0.97</v>
      </c>
      <c r="K10" s="36">
        <v>1.8</v>
      </c>
      <c r="L10" s="36">
        <v>3.44</v>
      </c>
      <c r="M10" s="36">
        <v>4.4800000000000004</v>
      </c>
      <c r="N10" s="36">
        <v>7.58</v>
      </c>
      <c r="O10" s="36">
        <v>4.97</v>
      </c>
      <c r="P10" s="36">
        <v>0.49</v>
      </c>
      <c r="Q10" s="36">
        <v>-10.87</v>
      </c>
      <c r="R10" s="36">
        <v>9.99</v>
      </c>
      <c r="S10" s="36">
        <v>5.62</v>
      </c>
      <c r="T10" s="36">
        <v>1.01</v>
      </c>
      <c r="U10" s="36">
        <v>0.34</v>
      </c>
      <c r="V10" s="36">
        <v>1.96</v>
      </c>
      <c r="W10" s="36">
        <v>0.26</v>
      </c>
      <c r="X10" s="36">
        <v>3.89</v>
      </c>
      <c r="Y10" s="36">
        <v>2.17</v>
      </c>
      <c r="Z10" s="36">
        <v>1.3</v>
      </c>
      <c r="AA10" s="36">
        <v>-0.69</v>
      </c>
      <c r="AB10" s="36">
        <v>-6.8</v>
      </c>
      <c r="AC10" s="36">
        <v>10.39</v>
      </c>
      <c r="AD10" s="36">
        <v>4.3</v>
      </c>
      <c r="AE10" s="36">
        <v>-2.63</v>
      </c>
    </row>
    <row r="11" spans="1:31" ht="17" x14ac:dyDescent="0.45">
      <c r="A11" s="34" t="s">
        <v>105</v>
      </c>
      <c r="B11" s="35" t="s">
        <v>3</v>
      </c>
      <c r="C11" s="37" t="s">
        <v>3</v>
      </c>
      <c r="D11" s="36">
        <v>4.53</v>
      </c>
      <c r="E11" s="36">
        <v>7.81</v>
      </c>
      <c r="F11" s="36">
        <v>3.12</v>
      </c>
      <c r="G11" s="36">
        <v>2.0099999999999998</v>
      </c>
      <c r="H11" s="36">
        <v>4.58</v>
      </c>
      <c r="I11" s="36">
        <v>-0.33</v>
      </c>
      <c r="J11" s="36">
        <v>3.92</v>
      </c>
      <c r="K11" s="36">
        <v>2.92</v>
      </c>
      <c r="L11" s="36">
        <v>7.13</v>
      </c>
      <c r="M11" s="36">
        <v>3.53</v>
      </c>
      <c r="N11" s="36">
        <v>-1.37</v>
      </c>
      <c r="O11" s="36">
        <v>7.01</v>
      </c>
      <c r="P11" s="36">
        <v>-3.26</v>
      </c>
      <c r="Q11" s="36">
        <v>-2.08</v>
      </c>
      <c r="R11" s="36">
        <v>8.09</v>
      </c>
      <c r="S11" s="36">
        <v>0.39</v>
      </c>
      <c r="T11" s="36">
        <v>-0.11</v>
      </c>
      <c r="U11" s="36">
        <v>4.68</v>
      </c>
      <c r="V11" s="36">
        <v>4.08</v>
      </c>
      <c r="W11" s="36">
        <v>4.1100000000000003</v>
      </c>
      <c r="X11" s="36">
        <v>-2.09</v>
      </c>
      <c r="Y11" s="36">
        <v>1.82</v>
      </c>
      <c r="Z11" s="36">
        <v>0.62</v>
      </c>
      <c r="AA11" s="36">
        <v>2.14</v>
      </c>
      <c r="AB11" s="36">
        <v>-6.17</v>
      </c>
      <c r="AC11" s="36">
        <v>-5.19</v>
      </c>
      <c r="AD11" s="36">
        <v>10.89</v>
      </c>
      <c r="AE11" s="36">
        <v>-1.27</v>
      </c>
    </row>
    <row r="12" spans="1:31" ht="17" x14ac:dyDescent="0.45">
      <c r="A12" s="34" t="s">
        <v>106</v>
      </c>
      <c r="B12" s="35" t="s">
        <v>3</v>
      </c>
      <c r="C12" s="37" t="s">
        <v>3</v>
      </c>
      <c r="D12" s="37" t="s">
        <v>3</v>
      </c>
      <c r="E12" s="37" t="s">
        <v>3</v>
      </c>
      <c r="F12" s="36">
        <v>4.3499999999999996</v>
      </c>
      <c r="G12" s="36">
        <v>5.64</v>
      </c>
      <c r="H12" s="36">
        <v>6.19</v>
      </c>
      <c r="I12" s="36">
        <v>-1.44</v>
      </c>
      <c r="J12" s="36">
        <v>1.82</v>
      </c>
      <c r="K12" s="36">
        <v>-2</v>
      </c>
      <c r="L12" s="36">
        <v>2.57</v>
      </c>
      <c r="M12" s="36">
        <v>2.98</v>
      </c>
      <c r="N12" s="36">
        <v>1.85</v>
      </c>
      <c r="O12" s="36">
        <v>-7.0000000000000007E-2</v>
      </c>
      <c r="P12" s="36">
        <v>0.59</v>
      </c>
      <c r="Q12" s="36">
        <v>-5.73</v>
      </c>
      <c r="R12" s="36">
        <v>4.9400000000000004</v>
      </c>
      <c r="S12" s="36">
        <v>2.36</v>
      </c>
      <c r="T12" s="36">
        <v>1.46</v>
      </c>
      <c r="U12" s="36">
        <v>1.05</v>
      </c>
      <c r="V12" s="36">
        <v>3.58</v>
      </c>
      <c r="W12" s="36">
        <v>-0.22</v>
      </c>
      <c r="X12" s="36">
        <v>-0.19</v>
      </c>
      <c r="Y12" s="36">
        <v>-0.22</v>
      </c>
      <c r="Z12" s="36">
        <v>1.22</v>
      </c>
      <c r="AA12" s="36">
        <v>-0.55000000000000004</v>
      </c>
      <c r="AB12" s="36">
        <v>2.65</v>
      </c>
      <c r="AC12" s="36">
        <v>-1.01</v>
      </c>
      <c r="AD12" s="36">
        <v>-0.28000000000000003</v>
      </c>
      <c r="AE12" s="36">
        <v>-3.67</v>
      </c>
    </row>
    <row r="13" spans="1:31" ht="17" x14ac:dyDescent="0.45">
      <c r="A13" s="34" t="s">
        <v>107</v>
      </c>
      <c r="B13" s="35" t="s">
        <v>3</v>
      </c>
      <c r="C13" s="37" t="s">
        <v>3</v>
      </c>
      <c r="D13" s="37" t="s">
        <v>3</v>
      </c>
      <c r="E13" s="37" t="s">
        <v>3</v>
      </c>
      <c r="F13" s="37" t="s">
        <v>3</v>
      </c>
      <c r="G13" s="37" t="s">
        <v>3</v>
      </c>
      <c r="H13" s="37" t="s">
        <v>3</v>
      </c>
      <c r="I13" s="37" t="s">
        <v>3</v>
      </c>
      <c r="J13" s="37" t="s">
        <v>3</v>
      </c>
      <c r="K13" s="37" t="s">
        <v>3</v>
      </c>
      <c r="L13" s="37" t="s">
        <v>3</v>
      </c>
      <c r="M13" s="37" t="s">
        <v>3</v>
      </c>
      <c r="N13" s="37" t="s">
        <v>3</v>
      </c>
      <c r="O13" s="37" t="s">
        <v>3</v>
      </c>
      <c r="P13" s="37" t="s">
        <v>3</v>
      </c>
      <c r="Q13" s="37" t="s">
        <v>3</v>
      </c>
      <c r="R13" s="37" t="s">
        <v>3</v>
      </c>
      <c r="S13" s="37" t="s">
        <v>3</v>
      </c>
      <c r="T13" s="37" t="s">
        <v>3</v>
      </c>
      <c r="U13" s="37" t="s">
        <v>3</v>
      </c>
      <c r="V13" s="36">
        <v>-7.0000000000000007E-2</v>
      </c>
      <c r="W13" s="36">
        <v>0.25</v>
      </c>
      <c r="X13" s="36">
        <v>3.73</v>
      </c>
      <c r="Y13" s="36">
        <v>-2.34</v>
      </c>
      <c r="Z13" s="36">
        <v>6.85</v>
      </c>
      <c r="AA13" s="36">
        <v>1.28</v>
      </c>
      <c r="AB13" s="36">
        <v>7.87</v>
      </c>
      <c r="AC13" s="36">
        <v>1.85</v>
      </c>
      <c r="AD13" s="36">
        <v>-9.4499999999999993</v>
      </c>
      <c r="AE13" s="37" t="s">
        <v>3</v>
      </c>
    </row>
    <row r="14" spans="1:31" ht="17" x14ac:dyDescent="0.45">
      <c r="A14" s="34" t="s">
        <v>172</v>
      </c>
      <c r="B14" s="35" t="s">
        <v>3</v>
      </c>
      <c r="C14" s="37" t="s">
        <v>3</v>
      </c>
      <c r="D14" s="37" t="s">
        <v>3</v>
      </c>
      <c r="E14" s="37" t="s">
        <v>3</v>
      </c>
      <c r="F14" s="37" t="s">
        <v>3</v>
      </c>
      <c r="G14" s="37" t="s">
        <v>3</v>
      </c>
      <c r="H14" s="37" t="s">
        <v>3</v>
      </c>
      <c r="I14" s="37" t="s">
        <v>3</v>
      </c>
      <c r="J14" s="37" t="s">
        <v>3</v>
      </c>
      <c r="K14" s="37" t="s">
        <v>3</v>
      </c>
      <c r="L14" s="37" t="s">
        <v>3</v>
      </c>
      <c r="M14" s="37" t="s">
        <v>3</v>
      </c>
      <c r="N14" s="37" t="s">
        <v>3</v>
      </c>
      <c r="O14" s="37" t="s">
        <v>3</v>
      </c>
      <c r="P14" s="37" t="s">
        <v>3</v>
      </c>
      <c r="Q14" s="37" t="s">
        <v>3</v>
      </c>
      <c r="R14" s="37" t="s">
        <v>3</v>
      </c>
      <c r="S14" s="37" t="s">
        <v>3</v>
      </c>
      <c r="T14" s="37" t="s">
        <v>3</v>
      </c>
      <c r="U14" s="37" t="s">
        <v>3</v>
      </c>
      <c r="V14" s="37" t="s">
        <v>3</v>
      </c>
      <c r="W14" s="37" t="s">
        <v>3</v>
      </c>
      <c r="X14" s="36">
        <v>7.01</v>
      </c>
      <c r="Y14" s="36">
        <v>-1.9</v>
      </c>
      <c r="Z14" s="36">
        <v>0.32</v>
      </c>
      <c r="AA14" s="36">
        <v>4.1100000000000003</v>
      </c>
      <c r="AB14" s="36">
        <v>3.08</v>
      </c>
      <c r="AC14" s="36">
        <v>13.7</v>
      </c>
      <c r="AD14" s="36">
        <v>-2.72</v>
      </c>
      <c r="AE14" s="37" t="s">
        <v>3</v>
      </c>
    </row>
    <row r="15" spans="1:31" ht="17" x14ac:dyDescent="0.45">
      <c r="A15" s="34" t="s">
        <v>173</v>
      </c>
      <c r="B15" s="35" t="s">
        <v>3</v>
      </c>
      <c r="C15" s="36">
        <v>7.36</v>
      </c>
      <c r="D15" s="36">
        <v>-0.56000000000000005</v>
      </c>
      <c r="E15" s="36">
        <v>7.06</v>
      </c>
      <c r="F15" s="36">
        <v>-0.6</v>
      </c>
      <c r="G15" s="36">
        <v>0.61</v>
      </c>
      <c r="H15" s="36">
        <v>7.93</v>
      </c>
      <c r="I15" s="36">
        <v>-6.34</v>
      </c>
      <c r="J15" s="36">
        <v>8.58</v>
      </c>
      <c r="K15" s="36">
        <v>0.85</v>
      </c>
      <c r="L15" s="36">
        <v>2.65</v>
      </c>
      <c r="M15" s="36">
        <v>-0.8</v>
      </c>
      <c r="N15" s="36">
        <v>3.34</v>
      </c>
      <c r="O15" s="36">
        <v>0.05</v>
      </c>
      <c r="P15" s="36">
        <v>4.09</v>
      </c>
      <c r="Q15" s="36">
        <v>-3.07</v>
      </c>
      <c r="R15" s="36">
        <v>17.52</v>
      </c>
      <c r="S15" s="36">
        <v>3.1</v>
      </c>
      <c r="T15" s="36">
        <v>5.93</v>
      </c>
      <c r="U15" s="36">
        <v>9.69</v>
      </c>
      <c r="V15" s="36">
        <v>-5.92</v>
      </c>
      <c r="W15" s="36">
        <v>-16.829999999999998</v>
      </c>
      <c r="X15" s="36">
        <v>14.35</v>
      </c>
      <c r="Y15" s="36">
        <v>2.0699999999999998</v>
      </c>
      <c r="Z15" s="36">
        <v>-6.92</v>
      </c>
      <c r="AA15" s="36">
        <v>5.03</v>
      </c>
      <c r="AB15" s="36">
        <v>15.11</v>
      </c>
      <c r="AC15" s="36">
        <v>11.4</v>
      </c>
      <c r="AD15" s="36">
        <v>-11.53</v>
      </c>
      <c r="AE15" s="36">
        <v>2.29</v>
      </c>
    </row>
    <row r="16" spans="1:31" ht="17" x14ac:dyDescent="0.45">
      <c r="A16" s="34" t="s">
        <v>174</v>
      </c>
      <c r="B16" s="35" t="s">
        <v>3</v>
      </c>
      <c r="C16" s="36">
        <v>10.76</v>
      </c>
      <c r="D16" s="36">
        <v>3.81</v>
      </c>
      <c r="E16" s="36">
        <v>1.72</v>
      </c>
      <c r="F16" s="36">
        <v>2.84</v>
      </c>
      <c r="G16" s="36">
        <v>11.53</v>
      </c>
      <c r="H16" s="36">
        <v>10.6</v>
      </c>
      <c r="I16" s="36">
        <v>3.69</v>
      </c>
      <c r="J16" s="36">
        <v>4.7</v>
      </c>
      <c r="K16" s="36">
        <v>3.93</v>
      </c>
      <c r="L16" s="36">
        <v>8.0299999999999994</v>
      </c>
      <c r="M16" s="36">
        <v>11.4</v>
      </c>
      <c r="N16" s="36">
        <v>20.55</v>
      </c>
      <c r="O16" s="36">
        <v>3.97</v>
      </c>
      <c r="P16" s="36">
        <v>7.9</v>
      </c>
      <c r="Q16" s="36">
        <v>-4.2</v>
      </c>
      <c r="R16" s="36">
        <v>15.51</v>
      </c>
      <c r="S16" s="36">
        <v>6.44</v>
      </c>
      <c r="T16" s="36">
        <v>-4.5</v>
      </c>
      <c r="U16" s="36">
        <v>-1.1299999999999999</v>
      </c>
      <c r="V16" s="36">
        <v>2.0299999999999998</v>
      </c>
      <c r="W16" s="36">
        <v>4.3499999999999996</v>
      </c>
      <c r="X16" s="36">
        <v>3</v>
      </c>
      <c r="Y16" s="36">
        <v>6.32</v>
      </c>
      <c r="Z16" s="36">
        <v>1.99</v>
      </c>
      <c r="AA16" s="36">
        <v>5.39</v>
      </c>
      <c r="AB16" s="36">
        <v>-6.47</v>
      </c>
      <c r="AC16" s="36">
        <v>1.34</v>
      </c>
      <c r="AD16" s="36">
        <v>8.2899999999999991</v>
      </c>
      <c r="AE16" s="36">
        <v>2.92</v>
      </c>
    </row>
    <row r="17" spans="1:31" ht="17" x14ac:dyDescent="0.45">
      <c r="A17" s="34" t="s">
        <v>108</v>
      </c>
      <c r="B17" s="35" t="s">
        <v>3</v>
      </c>
      <c r="C17" s="36">
        <v>3.2</v>
      </c>
      <c r="D17" s="36">
        <v>-2.48</v>
      </c>
      <c r="E17" s="36">
        <v>10.19</v>
      </c>
      <c r="F17" s="36">
        <v>2.85</v>
      </c>
      <c r="G17" s="36">
        <v>3.78</v>
      </c>
      <c r="H17" s="36">
        <v>5.15</v>
      </c>
      <c r="I17" s="36">
        <v>1.05</v>
      </c>
      <c r="J17" s="36">
        <v>0.17</v>
      </c>
      <c r="K17" s="36">
        <v>1.49</v>
      </c>
      <c r="L17" s="36">
        <v>6.23</v>
      </c>
      <c r="M17" s="36">
        <v>0.24</v>
      </c>
      <c r="N17" s="36">
        <v>5.74</v>
      </c>
      <c r="O17" s="36">
        <v>-1.51</v>
      </c>
      <c r="P17" s="36">
        <v>-0.3</v>
      </c>
      <c r="Q17" s="36">
        <v>0.98</v>
      </c>
      <c r="R17" s="36">
        <v>12.59</v>
      </c>
      <c r="S17" s="36">
        <v>6.31</v>
      </c>
      <c r="T17" s="36">
        <v>4.41</v>
      </c>
      <c r="U17" s="36">
        <v>7.43</v>
      </c>
      <c r="V17" s="36">
        <v>1.0900000000000001</v>
      </c>
      <c r="W17" s="36">
        <v>-0.97</v>
      </c>
      <c r="X17" s="36">
        <v>3.21</v>
      </c>
      <c r="Y17" s="36">
        <v>7.34</v>
      </c>
      <c r="Z17" s="36">
        <v>1.78</v>
      </c>
      <c r="AA17" s="36">
        <v>5.55</v>
      </c>
      <c r="AB17" s="36">
        <v>-5.13</v>
      </c>
      <c r="AC17" s="36">
        <v>13.31</v>
      </c>
      <c r="AD17" s="36">
        <v>4.3</v>
      </c>
      <c r="AE17" s="36">
        <v>9.7200000000000006</v>
      </c>
    </row>
    <row r="18" spans="1:31" ht="17" x14ac:dyDescent="0.45">
      <c r="A18" s="34" t="s">
        <v>109</v>
      </c>
      <c r="B18" s="35" t="s">
        <v>3</v>
      </c>
      <c r="C18" s="37" t="s">
        <v>3</v>
      </c>
      <c r="D18" s="36">
        <v>5.62</v>
      </c>
      <c r="E18" s="36">
        <v>33.15</v>
      </c>
      <c r="F18" s="36">
        <v>7.55</v>
      </c>
      <c r="G18" s="36">
        <v>4.93</v>
      </c>
      <c r="H18" s="36">
        <v>13.94</v>
      </c>
      <c r="I18" s="36">
        <v>11.91</v>
      </c>
      <c r="J18" s="36">
        <v>10.62</v>
      </c>
      <c r="K18" s="36">
        <v>4.22</v>
      </c>
      <c r="L18" s="36">
        <v>0.45</v>
      </c>
      <c r="M18" s="36">
        <v>8.5</v>
      </c>
      <c r="N18" s="36">
        <v>14.46</v>
      </c>
      <c r="O18" s="36">
        <v>7.74</v>
      </c>
      <c r="P18" s="36">
        <v>-6.15</v>
      </c>
      <c r="Q18" s="36">
        <v>-8.0500000000000007</v>
      </c>
      <c r="R18" s="36">
        <v>26.64</v>
      </c>
      <c r="S18" s="36">
        <v>2.0499999999999998</v>
      </c>
      <c r="T18" s="36">
        <v>5.59</v>
      </c>
      <c r="U18" s="36">
        <v>1.83</v>
      </c>
      <c r="V18" s="36">
        <v>8.11</v>
      </c>
      <c r="W18" s="36">
        <v>-3.26</v>
      </c>
      <c r="X18" s="36">
        <v>3.56</v>
      </c>
      <c r="Y18" s="36">
        <v>0.47</v>
      </c>
      <c r="Z18" s="36">
        <v>4.76</v>
      </c>
      <c r="AA18" s="36">
        <v>7.39</v>
      </c>
      <c r="AB18" s="36">
        <v>-3.79</v>
      </c>
      <c r="AC18" s="36">
        <v>13.45</v>
      </c>
      <c r="AD18" s="36">
        <v>-10.91</v>
      </c>
      <c r="AE18" s="36">
        <v>-2.38</v>
      </c>
    </row>
    <row r="19" spans="1:31" ht="17" x14ac:dyDescent="0.45">
      <c r="A19" s="34" t="s">
        <v>110</v>
      </c>
      <c r="B19" s="35" t="s">
        <v>3</v>
      </c>
      <c r="C19" s="36">
        <v>2.1</v>
      </c>
      <c r="D19" s="36">
        <v>2.96</v>
      </c>
      <c r="E19" s="36">
        <v>6.31</v>
      </c>
      <c r="F19" s="36">
        <v>7.32</v>
      </c>
      <c r="G19" s="36">
        <v>7.39</v>
      </c>
      <c r="H19" s="36">
        <v>12.03</v>
      </c>
      <c r="I19" s="36">
        <v>2.73</v>
      </c>
      <c r="J19" s="36">
        <v>5.53</v>
      </c>
      <c r="K19" s="36">
        <v>5.8</v>
      </c>
      <c r="L19" s="36">
        <v>7.67</v>
      </c>
      <c r="M19" s="36">
        <v>3.62</v>
      </c>
      <c r="N19" s="36">
        <v>10.6</v>
      </c>
      <c r="O19" s="36">
        <v>8.83</v>
      </c>
      <c r="P19" s="36">
        <v>-3.94</v>
      </c>
      <c r="Q19" s="36">
        <v>-14.67</v>
      </c>
      <c r="R19" s="36">
        <v>13.24</v>
      </c>
      <c r="S19" s="36">
        <v>-1.08</v>
      </c>
      <c r="T19" s="36">
        <v>-11.06</v>
      </c>
      <c r="U19" s="36">
        <v>4.68</v>
      </c>
      <c r="V19" s="36">
        <v>1.9</v>
      </c>
      <c r="W19" s="36">
        <v>1.92</v>
      </c>
      <c r="X19" s="36">
        <v>5.94</v>
      </c>
      <c r="Y19" s="36">
        <v>7.34</v>
      </c>
      <c r="Z19" s="36">
        <v>-5.67</v>
      </c>
      <c r="AA19" s="36">
        <v>3.68</v>
      </c>
      <c r="AB19" s="36">
        <v>-0.99</v>
      </c>
      <c r="AC19" s="36">
        <v>0.1</v>
      </c>
      <c r="AD19" s="36">
        <v>-5.24</v>
      </c>
      <c r="AE19" s="36">
        <v>0.06</v>
      </c>
    </row>
    <row r="20" spans="1:31" ht="17" x14ac:dyDescent="0.45">
      <c r="A20" s="34" t="s">
        <v>111</v>
      </c>
      <c r="B20" s="35" t="s">
        <v>3</v>
      </c>
      <c r="C20" s="36">
        <v>4.28</v>
      </c>
      <c r="D20" s="36">
        <v>1.99</v>
      </c>
      <c r="E20" s="36">
        <v>5.9</v>
      </c>
      <c r="F20" s="36">
        <v>5.19</v>
      </c>
      <c r="G20" s="36">
        <v>4.46</v>
      </c>
      <c r="H20" s="36">
        <v>4.9400000000000004</v>
      </c>
      <c r="I20" s="36">
        <v>0.62</v>
      </c>
      <c r="J20" s="36">
        <v>1.42</v>
      </c>
      <c r="K20" s="36">
        <v>4.5999999999999996</v>
      </c>
      <c r="L20" s="36">
        <v>6.01</v>
      </c>
      <c r="M20" s="36">
        <v>3.99</v>
      </c>
      <c r="N20" s="36">
        <v>4.7300000000000004</v>
      </c>
      <c r="O20" s="36">
        <v>3.41</v>
      </c>
      <c r="P20" s="36">
        <v>-1.87</v>
      </c>
      <c r="Q20" s="36">
        <v>-1.95</v>
      </c>
      <c r="R20" s="36">
        <v>7.26</v>
      </c>
      <c r="S20" s="36">
        <v>4.47</v>
      </c>
      <c r="T20" s="36">
        <v>-0.24</v>
      </c>
      <c r="U20" s="36">
        <v>1.36</v>
      </c>
      <c r="V20" s="36">
        <v>2.0099999999999998</v>
      </c>
      <c r="W20" s="36">
        <v>2.4</v>
      </c>
      <c r="X20" s="36">
        <v>1</v>
      </c>
      <c r="Y20" s="36">
        <v>2.66</v>
      </c>
      <c r="Z20" s="36">
        <v>1.81</v>
      </c>
      <c r="AA20" s="36">
        <v>-1.1399999999999999</v>
      </c>
      <c r="AB20" s="36">
        <v>-8.5399999999999991</v>
      </c>
      <c r="AC20" s="36">
        <v>8.02</v>
      </c>
      <c r="AD20" s="36">
        <v>-2.8</v>
      </c>
      <c r="AE20" s="36">
        <v>1.24</v>
      </c>
    </row>
    <row r="21" spans="1:31" ht="17" x14ac:dyDescent="0.45">
      <c r="A21" s="34" t="s">
        <v>112</v>
      </c>
      <c r="B21" s="35" t="s">
        <v>3</v>
      </c>
      <c r="C21" s="36">
        <v>1.88</v>
      </c>
      <c r="D21" s="36">
        <v>-0.28000000000000003</v>
      </c>
      <c r="E21" s="36">
        <v>5.71</v>
      </c>
      <c r="F21" s="36">
        <v>0.45</v>
      </c>
      <c r="G21" s="36">
        <v>1.42</v>
      </c>
      <c r="H21" s="36">
        <v>5.78</v>
      </c>
      <c r="I21" s="36">
        <v>1.31</v>
      </c>
      <c r="J21" s="36">
        <v>-0.75</v>
      </c>
      <c r="K21" s="36">
        <v>3.83</v>
      </c>
      <c r="L21" s="36">
        <v>5.55</v>
      </c>
      <c r="M21" s="36">
        <v>3.37</v>
      </c>
      <c r="N21" s="36">
        <v>9.8699999999999992</v>
      </c>
      <c r="O21" s="36">
        <v>2.95</v>
      </c>
      <c r="P21" s="36">
        <v>-4.47</v>
      </c>
      <c r="Q21" s="36">
        <v>-17.84</v>
      </c>
      <c r="R21" s="36">
        <v>21.79</v>
      </c>
      <c r="S21" s="36">
        <v>6.92</v>
      </c>
      <c r="T21" s="36">
        <v>-3.42</v>
      </c>
      <c r="U21" s="36">
        <v>-0.42</v>
      </c>
      <c r="V21" s="36">
        <v>4.91</v>
      </c>
      <c r="W21" s="36">
        <v>0.56000000000000005</v>
      </c>
      <c r="X21" s="36">
        <v>3.7</v>
      </c>
      <c r="Y21" s="36">
        <v>2.75</v>
      </c>
      <c r="Z21" s="36">
        <v>-0.62</v>
      </c>
      <c r="AA21" s="36">
        <v>-1.94</v>
      </c>
      <c r="AB21" s="36">
        <v>-5.7</v>
      </c>
      <c r="AC21" s="36">
        <v>10.26</v>
      </c>
      <c r="AD21" s="36">
        <v>0.36</v>
      </c>
      <c r="AE21" s="36">
        <v>0.7</v>
      </c>
    </row>
    <row r="22" spans="1:31" ht="17" x14ac:dyDescent="0.45">
      <c r="A22" s="34" t="s">
        <v>113</v>
      </c>
      <c r="B22" s="35" t="s">
        <v>3</v>
      </c>
      <c r="C22" s="37" t="s">
        <v>3</v>
      </c>
      <c r="D22" s="36">
        <v>-2.39</v>
      </c>
      <c r="E22" s="36">
        <v>4.7300000000000004</v>
      </c>
      <c r="F22" s="36">
        <v>1.66</v>
      </c>
      <c r="G22" s="36">
        <v>7.95</v>
      </c>
      <c r="H22" s="36">
        <v>2.63</v>
      </c>
      <c r="I22" s="36">
        <v>6.18</v>
      </c>
      <c r="J22" s="36">
        <v>5.7</v>
      </c>
      <c r="K22" s="36">
        <v>8.92</v>
      </c>
      <c r="L22" s="36">
        <v>-0.94</v>
      </c>
      <c r="M22" s="36">
        <v>-0.11</v>
      </c>
      <c r="N22" s="36">
        <v>-3.58</v>
      </c>
      <c r="O22" s="36">
        <v>2.88</v>
      </c>
      <c r="P22" s="36">
        <v>-10.82</v>
      </c>
      <c r="Q22" s="36">
        <v>3.69</v>
      </c>
      <c r="R22" s="36">
        <v>0.13</v>
      </c>
      <c r="S22" s="36">
        <v>-5.01</v>
      </c>
      <c r="T22" s="36">
        <v>0.08</v>
      </c>
      <c r="U22" s="36">
        <v>-7.11</v>
      </c>
      <c r="V22" s="36">
        <v>0.17</v>
      </c>
      <c r="W22" s="36">
        <v>6.41</v>
      </c>
      <c r="X22" s="36">
        <v>-7.72</v>
      </c>
      <c r="Y22" s="36">
        <v>5.39</v>
      </c>
      <c r="Z22" s="36">
        <v>0.81</v>
      </c>
      <c r="AA22" s="36">
        <v>0.86</v>
      </c>
      <c r="AB22" s="36">
        <v>-0.11</v>
      </c>
      <c r="AC22" s="36">
        <v>5.17</v>
      </c>
      <c r="AD22" s="36">
        <v>1.28</v>
      </c>
      <c r="AE22" s="36">
        <v>3.04</v>
      </c>
    </row>
    <row r="23" spans="1:31" ht="17" x14ac:dyDescent="0.45">
      <c r="A23" s="34" t="s">
        <v>114</v>
      </c>
      <c r="B23" s="35" t="s">
        <v>3</v>
      </c>
      <c r="C23" s="37" t="s">
        <v>3</v>
      </c>
      <c r="D23" s="36">
        <v>3.82</v>
      </c>
      <c r="E23" s="36">
        <v>11.63</v>
      </c>
      <c r="F23" s="36">
        <v>4.82</v>
      </c>
      <c r="G23" s="36">
        <v>3.77</v>
      </c>
      <c r="H23" s="36">
        <v>4.38</v>
      </c>
      <c r="I23" s="36">
        <v>4.12</v>
      </c>
      <c r="J23" s="36">
        <v>7.49</v>
      </c>
      <c r="K23" s="36">
        <v>9.7100000000000009</v>
      </c>
      <c r="L23" s="36">
        <v>12.96</v>
      </c>
      <c r="M23" s="36">
        <v>7.09</v>
      </c>
      <c r="N23" s="36">
        <v>7.22</v>
      </c>
      <c r="O23" s="36">
        <v>7.66</v>
      </c>
      <c r="P23" s="36">
        <v>-0.75</v>
      </c>
      <c r="Q23" s="36">
        <v>-9.7899999999999991</v>
      </c>
      <c r="R23" s="36">
        <v>11.7</v>
      </c>
      <c r="S23" s="36">
        <v>0.7</v>
      </c>
      <c r="T23" s="36">
        <v>-3.82</v>
      </c>
      <c r="U23" s="36">
        <v>0.71</v>
      </c>
      <c r="V23" s="36">
        <v>5.19</v>
      </c>
      <c r="W23" s="36">
        <v>9.18</v>
      </c>
      <c r="X23" s="36">
        <v>-4.1500000000000004</v>
      </c>
      <c r="Y23" s="36">
        <v>-1.03</v>
      </c>
      <c r="Z23" s="36">
        <v>0.13</v>
      </c>
      <c r="AA23" s="36">
        <v>1.08</v>
      </c>
      <c r="AB23" s="36">
        <v>-4.2699999999999996</v>
      </c>
      <c r="AC23" s="36">
        <v>6.44</v>
      </c>
      <c r="AD23" s="36">
        <v>3.62</v>
      </c>
      <c r="AE23" s="36">
        <v>-3.79</v>
      </c>
    </row>
    <row r="24" spans="1:31" ht="17" x14ac:dyDescent="0.45">
      <c r="A24" s="34" t="s">
        <v>115</v>
      </c>
      <c r="B24" s="35" t="s">
        <v>3</v>
      </c>
      <c r="C24" s="37" t="s">
        <v>3</v>
      </c>
      <c r="D24" s="36">
        <v>8.57</v>
      </c>
      <c r="E24" s="36">
        <v>2.0299999999999998</v>
      </c>
      <c r="F24" s="36">
        <v>3.93</v>
      </c>
      <c r="G24" s="36">
        <v>5.53</v>
      </c>
      <c r="H24" s="36">
        <v>1.58</v>
      </c>
      <c r="I24" s="36">
        <v>9.0500000000000007</v>
      </c>
      <c r="J24" s="36">
        <v>1.21</v>
      </c>
      <c r="K24" s="36">
        <v>3.04</v>
      </c>
      <c r="L24" s="36">
        <v>5.14</v>
      </c>
      <c r="M24" s="36">
        <v>-6.45</v>
      </c>
      <c r="N24" s="36">
        <v>2.71</v>
      </c>
      <c r="O24" s="36">
        <v>1.04</v>
      </c>
      <c r="P24" s="36">
        <v>6.5</v>
      </c>
      <c r="Q24" s="36">
        <v>4.2300000000000004</v>
      </c>
      <c r="R24" s="36">
        <v>1.77</v>
      </c>
      <c r="S24" s="36">
        <v>4.12</v>
      </c>
      <c r="T24" s="36">
        <v>0.8</v>
      </c>
      <c r="U24" s="36">
        <v>4.34</v>
      </c>
      <c r="V24" s="36">
        <v>0.91</v>
      </c>
      <c r="W24" s="36">
        <v>4.07</v>
      </c>
      <c r="X24" s="36">
        <v>-2.97</v>
      </c>
      <c r="Y24" s="36">
        <v>2.72</v>
      </c>
      <c r="Z24" s="36">
        <v>3.3</v>
      </c>
      <c r="AA24" s="36">
        <v>0.03</v>
      </c>
      <c r="AB24" s="36">
        <v>-1.77</v>
      </c>
      <c r="AC24" s="36">
        <v>7.84</v>
      </c>
      <c r="AD24" s="36">
        <v>0.83</v>
      </c>
      <c r="AE24" s="36">
        <v>-2.4900000000000002</v>
      </c>
    </row>
    <row r="25" spans="1:31" ht="17" x14ac:dyDescent="0.45">
      <c r="A25" s="34" t="s">
        <v>116</v>
      </c>
      <c r="B25" s="35" t="s">
        <v>3</v>
      </c>
      <c r="C25" s="37" t="s">
        <v>3</v>
      </c>
      <c r="D25" s="36">
        <v>5.8</v>
      </c>
      <c r="E25" s="36">
        <v>17.989999999999998</v>
      </c>
      <c r="F25" s="36">
        <v>12.77</v>
      </c>
      <c r="G25" s="36">
        <v>10.7</v>
      </c>
      <c r="H25" s="36">
        <v>12.17</v>
      </c>
      <c r="I25" s="36">
        <v>5.29</v>
      </c>
      <c r="J25" s="36">
        <v>16.71</v>
      </c>
      <c r="K25" s="36">
        <v>1.86</v>
      </c>
      <c r="L25" s="36">
        <v>1.65</v>
      </c>
      <c r="M25" s="36">
        <v>8.6199999999999992</v>
      </c>
      <c r="N25" s="36">
        <v>2.08</v>
      </c>
      <c r="O25" s="36">
        <v>5.64</v>
      </c>
      <c r="P25" s="36">
        <v>-5.16</v>
      </c>
      <c r="Q25" s="36">
        <v>7.7</v>
      </c>
      <c r="R25" s="36">
        <v>12.67</v>
      </c>
      <c r="S25" s="36">
        <v>5.35</v>
      </c>
      <c r="T25" s="36">
        <v>-0.7</v>
      </c>
      <c r="U25" s="36">
        <v>-9.5299999999999994</v>
      </c>
      <c r="V25" s="36">
        <v>11.48</v>
      </c>
      <c r="W25" s="36">
        <v>73.5</v>
      </c>
      <c r="X25" s="36">
        <v>-6.95</v>
      </c>
      <c r="Y25" s="36">
        <v>1.84</v>
      </c>
      <c r="Z25" s="36">
        <v>12.42</v>
      </c>
      <c r="AA25" s="36">
        <v>-0.45</v>
      </c>
      <c r="AB25" s="36">
        <v>19.22</v>
      </c>
      <c r="AC25" s="36">
        <v>15.77</v>
      </c>
      <c r="AD25" s="36">
        <v>15.58</v>
      </c>
      <c r="AE25" s="36">
        <v>-23.53</v>
      </c>
    </row>
    <row r="26" spans="1:31" ht="17" x14ac:dyDescent="0.45">
      <c r="A26" s="34" t="s">
        <v>117</v>
      </c>
      <c r="B26" s="35" t="s">
        <v>3</v>
      </c>
      <c r="C26" s="37" t="s">
        <v>3</v>
      </c>
      <c r="D26" s="36">
        <v>5.22</v>
      </c>
      <c r="E26" s="36">
        <v>7.46</v>
      </c>
      <c r="F26" s="36">
        <v>6.69</v>
      </c>
      <c r="G26" s="36">
        <v>5.27</v>
      </c>
      <c r="H26" s="36">
        <v>13.66</v>
      </c>
      <c r="I26" s="36">
        <v>-1.85</v>
      </c>
      <c r="J26" s="36">
        <v>-1.17</v>
      </c>
      <c r="K26" s="36">
        <v>6.3</v>
      </c>
      <c r="L26" s="36">
        <v>1.21</v>
      </c>
      <c r="M26" s="36">
        <v>7.87</v>
      </c>
      <c r="N26" s="36">
        <v>-2.1</v>
      </c>
      <c r="O26" s="36">
        <v>0.04</v>
      </c>
      <c r="P26" s="36">
        <v>-6.24</v>
      </c>
      <c r="Q26" s="36">
        <v>-4.18</v>
      </c>
      <c r="R26" s="36">
        <v>14.75</v>
      </c>
      <c r="S26" s="36">
        <v>0.71</v>
      </c>
      <c r="T26" s="36">
        <v>-2.1800000000000002</v>
      </c>
      <c r="U26" s="36">
        <v>0.06</v>
      </c>
      <c r="V26" s="36">
        <v>1.88</v>
      </c>
      <c r="W26" s="36">
        <v>-1.97</v>
      </c>
      <c r="X26" s="36">
        <v>-4.67</v>
      </c>
      <c r="Y26" s="36">
        <v>1.64</v>
      </c>
      <c r="Z26" s="36">
        <v>8.6999999999999993</v>
      </c>
      <c r="AA26" s="36">
        <v>5.6</v>
      </c>
      <c r="AB26" s="36">
        <v>13.61</v>
      </c>
      <c r="AC26" s="36">
        <v>1.56</v>
      </c>
      <c r="AD26" s="36">
        <v>0.74</v>
      </c>
      <c r="AE26" s="37" t="s">
        <v>3</v>
      </c>
    </row>
    <row r="27" spans="1:31" ht="17" x14ac:dyDescent="0.45">
      <c r="A27" s="34" t="s">
        <v>118</v>
      </c>
      <c r="B27" s="35" t="s">
        <v>3</v>
      </c>
      <c r="C27" s="36">
        <v>5.52</v>
      </c>
      <c r="D27" s="36">
        <v>0.76</v>
      </c>
      <c r="E27" s="36">
        <v>1.42</v>
      </c>
      <c r="F27" s="36">
        <v>-0.32</v>
      </c>
      <c r="G27" s="36">
        <v>0.51</v>
      </c>
      <c r="H27" s="36">
        <v>3.59</v>
      </c>
      <c r="I27" s="36">
        <v>-0.04</v>
      </c>
      <c r="J27" s="36">
        <v>-1.05</v>
      </c>
      <c r="K27" s="36">
        <v>-3.15</v>
      </c>
      <c r="L27" s="36">
        <v>2.63</v>
      </c>
      <c r="M27" s="36">
        <v>1.1499999999999999</v>
      </c>
      <c r="N27" s="36">
        <v>3.95</v>
      </c>
      <c r="O27" s="36">
        <v>2.62</v>
      </c>
      <c r="P27" s="36">
        <v>-2.31</v>
      </c>
      <c r="Q27" s="36">
        <v>-14.68</v>
      </c>
      <c r="R27" s="36">
        <v>14.17</v>
      </c>
      <c r="S27" s="36">
        <v>2.74</v>
      </c>
      <c r="T27" s="36">
        <v>-2.16</v>
      </c>
      <c r="U27" s="36">
        <v>1.95</v>
      </c>
      <c r="V27" s="36">
        <v>1.72</v>
      </c>
      <c r="W27" s="36">
        <v>3.41</v>
      </c>
      <c r="X27" s="36">
        <v>1.08</v>
      </c>
      <c r="Y27" s="36">
        <v>3.06</v>
      </c>
      <c r="Z27" s="36">
        <v>0.01</v>
      </c>
      <c r="AA27" s="36">
        <v>-0.51</v>
      </c>
      <c r="AB27" s="36">
        <v>-11.88</v>
      </c>
      <c r="AC27" s="36">
        <v>15.4</v>
      </c>
      <c r="AD27" s="36">
        <v>1.5</v>
      </c>
      <c r="AE27" s="36">
        <v>-2.74</v>
      </c>
    </row>
    <row r="28" spans="1:31" ht="17" x14ac:dyDescent="0.45">
      <c r="A28" s="34" t="s">
        <v>136</v>
      </c>
      <c r="B28" s="35" t="s">
        <v>3</v>
      </c>
      <c r="C28" s="36">
        <v>8.0399999999999991</v>
      </c>
      <c r="D28" s="36">
        <v>5.46</v>
      </c>
      <c r="E28" s="36">
        <v>2.64</v>
      </c>
      <c r="F28" s="36">
        <v>0.14000000000000001</v>
      </c>
      <c r="G28" s="36">
        <v>1.97</v>
      </c>
      <c r="H28" s="36">
        <v>7.59</v>
      </c>
      <c r="I28" s="36">
        <v>-3</v>
      </c>
      <c r="J28" s="36">
        <v>3.05</v>
      </c>
      <c r="K28" s="36">
        <v>6.07</v>
      </c>
      <c r="L28" s="36">
        <v>7.01</v>
      </c>
      <c r="M28" s="36">
        <v>7.12</v>
      </c>
      <c r="N28" s="36">
        <v>1.88</v>
      </c>
      <c r="O28" s="36">
        <v>4.18</v>
      </c>
      <c r="P28" s="36">
        <v>1.17</v>
      </c>
      <c r="Q28" s="36">
        <v>-12.89</v>
      </c>
      <c r="R28" s="36">
        <v>18.37</v>
      </c>
      <c r="S28" s="36">
        <v>-2.87</v>
      </c>
      <c r="T28" s="36">
        <v>2.29</v>
      </c>
      <c r="U28" s="36">
        <v>-1.03</v>
      </c>
      <c r="V28" s="36">
        <v>0.67</v>
      </c>
      <c r="W28" s="36">
        <v>2.12</v>
      </c>
      <c r="X28" s="36">
        <v>-0.54</v>
      </c>
      <c r="Y28" s="36">
        <v>3.3</v>
      </c>
      <c r="Z28" s="36">
        <v>2.2400000000000002</v>
      </c>
      <c r="AA28" s="36">
        <v>-2.16</v>
      </c>
      <c r="AB28" s="36">
        <v>-3.62</v>
      </c>
      <c r="AC28" s="36">
        <v>11.29</v>
      </c>
      <c r="AD28" s="36">
        <v>-0.61</v>
      </c>
      <c r="AE28" s="37" t="s">
        <v>3</v>
      </c>
    </row>
    <row r="29" spans="1:31" ht="17" x14ac:dyDescent="0.45">
      <c r="A29" s="34" t="s">
        <v>134</v>
      </c>
      <c r="B29" s="35" t="s">
        <v>3</v>
      </c>
      <c r="C29" s="37" t="s">
        <v>3</v>
      </c>
      <c r="D29" s="37" t="s">
        <v>3</v>
      </c>
      <c r="E29" s="37" t="s">
        <v>3</v>
      </c>
      <c r="F29" s="37" t="s">
        <v>3</v>
      </c>
      <c r="G29" s="37" t="s">
        <v>3</v>
      </c>
      <c r="H29" s="37" t="s">
        <v>3</v>
      </c>
      <c r="I29" s="37" t="s">
        <v>3</v>
      </c>
      <c r="J29" s="37" t="s">
        <v>3</v>
      </c>
      <c r="K29" s="37" t="s">
        <v>3</v>
      </c>
      <c r="L29" s="37" t="s">
        <v>3</v>
      </c>
      <c r="M29" s="36">
        <v>6.61</v>
      </c>
      <c r="N29" s="36">
        <v>9.26</v>
      </c>
      <c r="O29" s="36">
        <v>8.5299999999999994</v>
      </c>
      <c r="P29" s="36">
        <v>4.32</v>
      </c>
      <c r="Q29" s="36">
        <v>1.67</v>
      </c>
      <c r="R29" s="36">
        <v>8.3800000000000008</v>
      </c>
      <c r="S29" s="36">
        <v>3.18</v>
      </c>
      <c r="T29" s="36">
        <v>1.4</v>
      </c>
      <c r="U29" s="36">
        <v>1.78</v>
      </c>
      <c r="V29" s="36">
        <v>-0.18</v>
      </c>
      <c r="W29" s="36">
        <v>-1.46</v>
      </c>
      <c r="X29" s="36">
        <v>2.54</v>
      </c>
      <c r="Y29" s="36">
        <v>4.6500000000000004</v>
      </c>
      <c r="Z29" s="36">
        <v>4.68</v>
      </c>
      <c r="AA29" s="36">
        <v>2.33</v>
      </c>
      <c r="AB29" s="36">
        <v>-0.81</v>
      </c>
      <c r="AC29" s="36">
        <v>6.67</v>
      </c>
      <c r="AD29" s="36">
        <v>-0.61</v>
      </c>
      <c r="AE29" s="36">
        <v>2.67</v>
      </c>
    </row>
    <row r="30" spans="1:31" ht="17" x14ac:dyDescent="0.45">
      <c r="A30" s="34" t="s">
        <v>119</v>
      </c>
      <c r="B30" s="35" t="s">
        <v>3</v>
      </c>
      <c r="C30" s="37" t="s">
        <v>3</v>
      </c>
      <c r="D30" s="36">
        <v>3.16</v>
      </c>
      <c r="E30" s="36">
        <v>11.69</v>
      </c>
      <c r="F30" s="36">
        <v>5.33</v>
      </c>
      <c r="G30" s="36">
        <v>-2.31</v>
      </c>
      <c r="H30" s="36">
        <v>10.53</v>
      </c>
      <c r="I30" s="36">
        <v>2.5299999999999998</v>
      </c>
      <c r="J30" s="36">
        <v>7.49</v>
      </c>
      <c r="K30" s="36">
        <v>0.89</v>
      </c>
      <c r="L30" s="36">
        <v>9.1</v>
      </c>
      <c r="M30" s="36">
        <v>6.35</v>
      </c>
      <c r="N30" s="36">
        <v>6.67</v>
      </c>
      <c r="O30" s="36">
        <v>1.97</v>
      </c>
      <c r="P30" s="36">
        <v>-5.1100000000000003</v>
      </c>
      <c r="Q30" s="36">
        <v>0.73</v>
      </c>
      <c r="R30" s="36">
        <v>14.99</v>
      </c>
      <c r="S30" s="36">
        <v>-1.1000000000000001</v>
      </c>
      <c r="T30" s="36">
        <v>0.2</v>
      </c>
      <c r="U30" s="36">
        <v>-0.85</v>
      </c>
      <c r="V30" s="36">
        <v>3.54</v>
      </c>
      <c r="W30" s="36">
        <v>5.81</v>
      </c>
      <c r="X30" s="36">
        <v>1.31</v>
      </c>
      <c r="Y30" s="36">
        <v>6.81</v>
      </c>
      <c r="Z30" s="36">
        <v>6.31</v>
      </c>
      <c r="AA30" s="36">
        <v>4.1900000000000004</v>
      </c>
      <c r="AB30" s="36">
        <v>1.58</v>
      </c>
      <c r="AC30" s="36">
        <v>8.6999999999999993</v>
      </c>
      <c r="AD30" s="36">
        <v>-5.24</v>
      </c>
      <c r="AE30" s="36">
        <v>2.06</v>
      </c>
    </row>
    <row r="31" spans="1:31" ht="17" x14ac:dyDescent="0.45">
      <c r="A31" s="34" t="s">
        <v>120</v>
      </c>
      <c r="B31" s="35" t="s">
        <v>3</v>
      </c>
      <c r="C31" s="37" t="s">
        <v>3</v>
      </c>
      <c r="D31" s="36">
        <v>5.92</v>
      </c>
      <c r="E31" s="36">
        <v>8.86</v>
      </c>
      <c r="F31" s="36">
        <v>12.31</v>
      </c>
      <c r="G31" s="36">
        <v>-0.76</v>
      </c>
      <c r="H31" s="36">
        <v>18.23</v>
      </c>
      <c r="I31" s="36">
        <v>20.149999999999999</v>
      </c>
      <c r="J31" s="36">
        <v>-3.13</v>
      </c>
      <c r="K31" s="36">
        <v>10.71</v>
      </c>
      <c r="L31" s="36">
        <v>13.03</v>
      </c>
      <c r="M31" s="36">
        <v>9.1</v>
      </c>
      <c r="N31" s="36">
        <v>14.01</v>
      </c>
      <c r="O31" s="36">
        <v>4.87</v>
      </c>
      <c r="P31" s="36">
        <v>-0.31</v>
      </c>
      <c r="Q31" s="36">
        <v>-1.0900000000000001</v>
      </c>
      <c r="R31" s="36">
        <v>18.600000000000001</v>
      </c>
      <c r="S31" s="36">
        <v>8.26</v>
      </c>
      <c r="T31" s="36">
        <v>1.95</v>
      </c>
      <c r="U31" s="36">
        <v>5.1100000000000003</v>
      </c>
      <c r="V31" s="36">
        <v>4.8899999999999997</v>
      </c>
      <c r="W31" s="36">
        <v>0.83</v>
      </c>
      <c r="X31" s="36">
        <v>-0.26</v>
      </c>
      <c r="Y31" s="36">
        <v>6.27</v>
      </c>
      <c r="Z31" s="36">
        <v>-1.4</v>
      </c>
      <c r="AA31" s="36">
        <v>4.03</v>
      </c>
      <c r="AB31" s="36">
        <v>2.41</v>
      </c>
      <c r="AC31" s="36">
        <v>5.15</v>
      </c>
      <c r="AD31" s="36">
        <v>5.2</v>
      </c>
      <c r="AE31" s="36">
        <v>-6.37</v>
      </c>
    </row>
    <row r="32" spans="1:31" ht="17" x14ac:dyDescent="0.45">
      <c r="A32" s="34" t="s">
        <v>121</v>
      </c>
      <c r="B32" s="35" t="s">
        <v>3</v>
      </c>
      <c r="C32" s="37" t="s">
        <v>3</v>
      </c>
      <c r="D32" s="36">
        <v>0.78</v>
      </c>
      <c r="E32" s="36">
        <v>4.8</v>
      </c>
      <c r="F32" s="36">
        <v>3.44</v>
      </c>
      <c r="G32" s="36">
        <v>7.67</v>
      </c>
      <c r="H32" s="36">
        <v>3.87</v>
      </c>
      <c r="I32" s="36">
        <v>-4.2699999999999996</v>
      </c>
      <c r="J32" s="36">
        <v>6.18</v>
      </c>
      <c r="K32" s="36">
        <v>11.63</v>
      </c>
      <c r="L32" s="36">
        <v>-1.04</v>
      </c>
      <c r="M32" s="36">
        <v>-0.27</v>
      </c>
      <c r="N32" s="36">
        <v>-3.86</v>
      </c>
      <c r="O32" s="36">
        <v>17.600000000000001</v>
      </c>
      <c r="P32" s="36">
        <v>-19.79</v>
      </c>
      <c r="Q32" s="36">
        <v>-15.74</v>
      </c>
      <c r="R32" s="36">
        <v>5.34</v>
      </c>
      <c r="S32" s="36">
        <v>-11.38</v>
      </c>
      <c r="T32" s="36">
        <v>6.58</v>
      </c>
      <c r="U32" s="36">
        <v>14.13</v>
      </c>
      <c r="V32" s="36">
        <v>5.62</v>
      </c>
      <c r="W32" s="36">
        <v>16.38</v>
      </c>
      <c r="X32" s="36">
        <v>4.55</v>
      </c>
      <c r="Y32" s="36">
        <v>-15.94</v>
      </c>
      <c r="Z32" s="36">
        <v>-3.73</v>
      </c>
      <c r="AA32" s="36">
        <v>13.37</v>
      </c>
      <c r="AB32" s="36">
        <v>-1.53</v>
      </c>
      <c r="AC32" s="36">
        <v>6.02</v>
      </c>
      <c r="AD32" s="36">
        <v>-8.5</v>
      </c>
      <c r="AE32" s="36">
        <v>3.68</v>
      </c>
    </row>
    <row r="33" spans="1:31" ht="17" x14ac:dyDescent="0.45">
      <c r="A33" s="34" t="s">
        <v>122</v>
      </c>
      <c r="B33" s="35" t="s">
        <v>3</v>
      </c>
      <c r="C33" s="37" t="s">
        <v>3</v>
      </c>
      <c r="D33" s="37" t="s">
        <v>3</v>
      </c>
      <c r="E33" s="37" t="s">
        <v>3</v>
      </c>
      <c r="F33" s="37" t="s">
        <v>3</v>
      </c>
      <c r="G33" s="37" t="s">
        <v>3</v>
      </c>
      <c r="H33" s="37" t="s">
        <v>3</v>
      </c>
      <c r="I33" s="37" t="s">
        <v>3</v>
      </c>
      <c r="J33" s="37" t="s">
        <v>3</v>
      </c>
      <c r="K33" s="37" t="s">
        <v>3</v>
      </c>
      <c r="L33" s="37" t="s">
        <v>3</v>
      </c>
      <c r="M33" s="37" t="s">
        <v>3</v>
      </c>
      <c r="N33" s="36">
        <v>1.89</v>
      </c>
      <c r="O33" s="36">
        <v>0.01</v>
      </c>
      <c r="P33" s="36">
        <v>2.2999999999999998</v>
      </c>
      <c r="Q33" s="36">
        <v>-6.13</v>
      </c>
      <c r="R33" s="36">
        <v>3.35</v>
      </c>
      <c r="S33" s="36">
        <v>1.57</v>
      </c>
      <c r="T33" s="36">
        <v>1.49</v>
      </c>
      <c r="U33" s="36">
        <v>-3.92</v>
      </c>
      <c r="V33" s="36">
        <v>1.38</v>
      </c>
      <c r="W33" s="36">
        <v>0.45</v>
      </c>
      <c r="X33" s="36">
        <v>-2.98</v>
      </c>
      <c r="Y33" s="36">
        <v>-1.01</v>
      </c>
      <c r="Z33" s="36">
        <v>-1.75</v>
      </c>
      <c r="AA33" s="36">
        <v>-2.4700000000000002</v>
      </c>
      <c r="AB33" s="36">
        <v>-0.56000000000000005</v>
      </c>
      <c r="AC33" s="36">
        <v>0.8</v>
      </c>
      <c r="AD33" s="36">
        <v>1.55</v>
      </c>
      <c r="AE33" s="36">
        <v>-1.34</v>
      </c>
    </row>
    <row r="34" spans="1:31" ht="17" x14ac:dyDescent="0.45">
      <c r="A34" s="34" t="s">
        <v>123</v>
      </c>
      <c r="B34" s="35" t="s">
        <v>3</v>
      </c>
      <c r="C34" s="37" t="s">
        <v>3</v>
      </c>
      <c r="D34" s="36">
        <v>3.63</v>
      </c>
      <c r="E34" s="36">
        <v>1.1599999999999999</v>
      </c>
      <c r="F34" s="36">
        <v>4.1399999999999997</v>
      </c>
      <c r="G34" s="36">
        <v>4.5</v>
      </c>
      <c r="H34" s="36">
        <v>5.41</v>
      </c>
      <c r="I34" s="36">
        <v>2.99</v>
      </c>
      <c r="J34" s="36">
        <v>2.08</v>
      </c>
      <c r="K34" s="36">
        <v>2.4700000000000002</v>
      </c>
      <c r="L34" s="36">
        <v>8.15</v>
      </c>
      <c r="M34" s="36">
        <v>5.6</v>
      </c>
      <c r="N34" s="36">
        <v>3.27</v>
      </c>
      <c r="O34" s="36">
        <v>5.75</v>
      </c>
      <c r="P34" s="36">
        <v>-1.25</v>
      </c>
      <c r="Q34" s="36">
        <v>-7.57</v>
      </c>
      <c r="R34" s="36">
        <v>8.07</v>
      </c>
      <c r="S34" s="36">
        <v>5.67</v>
      </c>
      <c r="T34" s="36">
        <v>0.55000000000000004</v>
      </c>
      <c r="U34" s="36">
        <v>0.89</v>
      </c>
      <c r="V34" s="36">
        <v>3.03</v>
      </c>
      <c r="W34" s="36">
        <v>0.75</v>
      </c>
      <c r="X34" s="36">
        <v>1.45</v>
      </c>
      <c r="Y34" s="36">
        <v>5.28</v>
      </c>
      <c r="Z34" s="36">
        <v>2.02</v>
      </c>
      <c r="AA34" s="36">
        <v>-1.52</v>
      </c>
      <c r="AB34" s="36">
        <v>-2.1</v>
      </c>
      <c r="AC34" s="36">
        <v>10.98</v>
      </c>
      <c r="AD34" s="36">
        <v>2.37</v>
      </c>
      <c r="AE34" s="36">
        <v>-3.25</v>
      </c>
    </row>
    <row r="35" spans="1:31" ht="17" x14ac:dyDescent="0.45">
      <c r="A35" s="34" t="s">
        <v>124</v>
      </c>
      <c r="B35" s="35" t="s">
        <v>3</v>
      </c>
      <c r="C35" s="37" t="s">
        <v>3</v>
      </c>
      <c r="D35" s="37" t="s">
        <v>3</v>
      </c>
      <c r="E35" s="37" t="s">
        <v>3</v>
      </c>
      <c r="F35" s="37" t="s">
        <v>3</v>
      </c>
      <c r="G35" s="37" t="s">
        <v>3</v>
      </c>
      <c r="H35" s="37" t="s">
        <v>3</v>
      </c>
      <c r="I35" s="37" t="s">
        <v>3</v>
      </c>
      <c r="J35" s="37" t="s">
        <v>3</v>
      </c>
      <c r="K35" s="37" t="s">
        <v>3</v>
      </c>
      <c r="L35" s="37" t="s">
        <v>3</v>
      </c>
      <c r="M35" s="37" t="s">
        <v>3</v>
      </c>
      <c r="N35" s="37" t="s">
        <v>3</v>
      </c>
      <c r="O35" s="37" t="s">
        <v>3</v>
      </c>
      <c r="P35" s="37" t="s">
        <v>3</v>
      </c>
      <c r="Q35" s="37" t="s">
        <v>3</v>
      </c>
      <c r="R35" s="36">
        <v>1.71</v>
      </c>
      <c r="S35" s="36">
        <v>-1.38</v>
      </c>
      <c r="T35" s="36">
        <v>4.21</v>
      </c>
      <c r="U35" s="36">
        <v>-0.65</v>
      </c>
      <c r="V35" s="36">
        <v>-0.42</v>
      </c>
      <c r="W35" s="36">
        <v>-0.11</v>
      </c>
      <c r="X35" s="36">
        <v>5.54</v>
      </c>
      <c r="Y35" s="36">
        <v>-0.18</v>
      </c>
      <c r="Z35" s="36">
        <v>3.92</v>
      </c>
      <c r="AA35" s="36">
        <v>-0.14000000000000001</v>
      </c>
      <c r="AB35" s="36">
        <v>-3.55</v>
      </c>
      <c r="AC35" s="36">
        <v>3.33</v>
      </c>
      <c r="AD35" s="36">
        <v>-8.09</v>
      </c>
      <c r="AE35" s="37" t="s">
        <v>3</v>
      </c>
    </row>
    <row r="36" spans="1:31" ht="17" x14ac:dyDescent="0.45">
      <c r="A36" s="34" t="s">
        <v>125</v>
      </c>
      <c r="B36" s="35" t="s">
        <v>3</v>
      </c>
      <c r="C36" s="36">
        <v>-2.65</v>
      </c>
      <c r="D36" s="36">
        <v>3.27</v>
      </c>
      <c r="E36" s="36">
        <v>0.5</v>
      </c>
      <c r="F36" s="36">
        <v>-2.78</v>
      </c>
      <c r="G36" s="36">
        <v>4.42</v>
      </c>
      <c r="H36" s="36">
        <v>4.38</v>
      </c>
      <c r="I36" s="36">
        <v>2.93</v>
      </c>
      <c r="J36" s="36">
        <v>2.04</v>
      </c>
      <c r="K36" s="36">
        <v>8.61</v>
      </c>
      <c r="L36" s="36">
        <v>10.27</v>
      </c>
      <c r="M36" s="36">
        <v>2.87</v>
      </c>
      <c r="N36" s="36">
        <v>-2.99</v>
      </c>
      <c r="O36" s="36">
        <v>2.6</v>
      </c>
      <c r="P36" s="36">
        <v>1.7</v>
      </c>
      <c r="Q36" s="36">
        <v>-3.19</v>
      </c>
      <c r="R36" s="36">
        <v>5.79</v>
      </c>
      <c r="S36" s="36">
        <v>2.16</v>
      </c>
      <c r="T36" s="36">
        <v>1.1599999999999999</v>
      </c>
      <c r="U36" s="36">
        <v>1.75</v>
      </c>
      <c r="V36" s="36">
        <v>2.91</v>
      </c>
      <c r="W36" s="36">
        <v>-1.53</v>
      </c>
      <c r="X36" s="36">
        <v>0.31</v>
      </c>
      <c r="Y36" s="36">
        <v>2.08</v>
      </c>
      <c r="Z36" s="36">
        <v>0.34</v>
      </c>
      <c r="AA36" s="36">
        <v>-0.03</v>
      </c>
      <c r="AB36" s="36">
        <v>-3.54</v>
      </c>
      <c r="AC36" s="36">
        <v>5.66</v>
      </c>
      <c r="AD36" s="36">
        <v>-2.72</v>
      </c>
      <c r="AE36" s="36">
        <v>-1.17</v>
      </c>
    </row>
    <row r="37" spans="1:31" ht="17" x14ac:dyDescent="0.45">
      <c r="A37" s="34" t="s">
        <v>126</v>
      </c>
      <c r="B37" s="35" t="s">
        <v>3</v>
      </c>
      <c r="C37" s="37" t="s">
        <v>3</v>
      </c>
      <c r="D37" s="36">
        <v>-2.0099999999999998</v>
      </c>
      <c r="E37" s="36">
        <v>-1.29</v>
      </c>
      <c r="F37" s="36">
        <v>-0.35</v>
      </c>
      <c r="G37" s="36">
        <v>8.1</v>
      </c>
      <c r="H37" s="36">
        <v>4.3</v>
      </c>
      <c r="I37" s="36">
        <v>1.71</v>
      </c>
      <c r="J37" s="36">
        <v>12.29</v>
      </c>
      <c r="K37" s="36">
        <v>11.69</v>
      </c>
      <c r="L37" s="36">
        <v>11.78</v>
      </c>
      <c r="M37" s="36">
        <v>2.2599999999999998</v>
      </c>
      <c r="N37" s="36">
        <v>9.9499999999999993</v>
      </c>
      <c r="O37" s="36">
        <v>7.9</v>
      </c>
      <c r="P37" s="36">
        <v>4.08</v>
      </c>
      <c r="Q37" s="36">
        <v>6.81</v>
      </c>
      <c r="R37" s="36">
        <v>17.98</v>
      </c>
      <c r="S37" s="36">
        <v>4.21</v>
      </c>
      <c r="T37" s="36">
        <v>3.29</v>
      </c>
      <c r="U37" s="36">
        <v>-5.73</v>
      </c>
      <c r="V37" s="36">
        <v>9.35</v>
      </c>
      <c r="W37" s="36">
        <v>4.09</v>
      </c>
      <c r="X37" s="36">
        <v>-0.06</v>
      </c>
      <c r="Y37" s="36">
        <v>-2.48</v>
      </c>
      <c r="Z37" s="36">
        <v>4.1100000000000003</v>
      </c>
      <c r="AA37" s="36">
        <v>6.56</v>
      </c>
      <c r="AB37" s="36">
        <v>-2.56</v>
      </c>
      <c r="AC37" s="36">
        <v>0.17</v>
      </c>
      <c r="AD37" s="36">
        <v>10.32</v>
      </c>
      <c r="AE37" s="36">
        <v>3.25</v>
      </c>
    </row>
    <row r="38" spans="1:31" ht="17" x14ac:dyDescent="0.45">
      <c r="A38" s="34" t="s">
        <v>127</v>
      </c>
      <c r="B38" s="35" t="s">
        <v>3</v>
      </c>
      <c r="C38" s="37" t="s">
        <v>3</v>
      </c>
      <c r="D38" s="36">
        <v>10</v>
      </c>
      <c r="E38" s="36">
        <v>5.1100000000000003</v>
      </c>
      <c r="F38" s="36">
        <v>1.77</v>
      </c>
      <c r="G38" s="36">
        <v>1.3</v>
      </c>
      <c r="H38" s="36">
        <v>3.29</v>
      </c>
      <c r="I38" s="36">
        <v>2.14</v>
      </c>
      <c r="J38" s="36">
        <v>2.62</v>
      </c>
      <c r="K38" s="36">
        <v>3.14</v>
      </c>
      <c r="L38" s="36">
        <v>5.09</v>
      </c>
      <c r="M38" s="36">
        <v>3.03</v>
      </c>
      <c r="N38" s="36">
        <v>2.83</v>
      </c>
      <c r="O38" s="36">
        <v>4.66</v>
      </c>
      <c r="P38" s="36">
        <v>0.52</v>
      </c>
      <c r="Q38" s="36">
        <v>-2.39</v>
      </c>
      <c r="R38" s="36">
        <v>9.8699999999999992</v>
      </c>
      <c r="S38" s="36">
        <v>2.59</v>
      </c>
      <c r="T38" s="36">
        <v>0.28000000000000003</v>
      </c>
      <c r="U38" s="36">
        <v>2.97</v>
      </c>
      <c r="V38" s="36">
        <v>0.52</v>
      </c>
      <c r="W38" s="36">
        <v>0</v>
      </c>
      <c r="X38" s="36">
        <v>1.1000000000000001</v>
      </c>
      <c r="Y38" s="36">
        <v>2.94</v>
      </c>
      <c r="Z38" s="36">
        <v>0.61</v>
      </c>
      <c r="AA38" s="36">
        <v>1.58</v>
      </c>
      <c r="AB38" s="36">
        <v>-3.53</v>
      </c>
      <c r="AC38" s="36">
        <v>4.74</v>
      </c>
      <c r="AD38" s="36">
        <v>3</v>
      </c>
      <c r="AE38" s="36">
        <v>-1.97</v>
      </c>
    </row>
    <row r="39" spans="1:31" ht="17" x14ac:dyDescent="0.45">
      <c r="A39" s="34" t="s">
        <v>128</v>
      </c>
      <c r="B39" s="35" t="s">
        <v>3</v>
      </c>
      <c r="C39" s="37" t="s">
        <v>3</v>
      </c>
      <c r="D39" s="36">
        <v>-0.57999999999999996</v>
      </c>
      <c r="E39" s="36">
        <v>6.86</v>
      </c>
      <c r="F39" s="36">
        <v>22.45</v>
      </c>
      <c r="G39" s="36">
        <v>4.55</v>
      </c>
      <c r="H39" s="36">
        <v>16.63</v>
      </c>
      <c r="I39" s="36">
        <v>15.62</v>
      </c>
      <c r="J39" s="36">
        <v>4.59</v>
      </c>
      <c r="K39" s="36">
        <v>14.01</v>
      </c>
      <c r="L39" s="36">
        <v>22.96</v>
      </c>
      <c r="M39" s="36">
        <v>12.83</v>
      </c>
      <c r="N39" s="36">
        <v>10.119999999999999</v>
      </c>
      <c r="O39" s="36">
        <v>7.86</v>
      </c>
      <c r="P39" s="36">
        <v>-1.23</v>
      </c>
      <c r="Q39" s="36">
        <v>-5.0199999999999996</v>
      </c>
      <c r="R39" s="36">
        <v>32.200000000000003</v>
      </c>
      <c r="S39" s="36">
        <v>0.93</v>
      </c>
      <c r="T39" s="36">
        <v>0.72</v>
      </c>
      <c r="U39" s="36">
        <v>1.06</v>
      </c>
      <c r="V39" s="36">
        <v>19.149999999999999</v>
      </c>
      <c r="W39" s="36">
        <v>10.31</v>
      </c>
      <c r="X39" s="36">
        <v>-4.87</v>
      </c>
      <c r="Y39" s="36">
        <v>-2.69</v>
      </c>
      <c r="Z39" s="36">
        <v>10.57</v>
      </c>
      <c r="AA39" s="36">
        <v>5.42</v>
      </c>
      <c r="AB39" s="36">
        <v>-7.79</v>
      </c>
      <c r="AC39" s="36">
        <v>4.41</v>
      </c>
      <c r="AD39" s="36">
        <v>-6.2</v>
      </c>
      <c r="AE39" s="36">
        <v>20.399999999999999</v>
      </c>
    </row>
    <row r="40" spans="1:31" ht="17" x14ac:dyDescent="0.45">
      <c r="A40" s="34" t="s">
        <v>129</v>
      </c>
      <c r="B40" s="35" t="s">
        <v>3</v>
      </c>
      <c r="C40" s="37" t="s">
        <v>3</v>
      </c>
      <c r="D40" s="36">
        <v>11.15</v>
      </c>
      <c r="E40" s="36">
        <v>11.74</v>
      </c>
      <c r="F40" s="36">
        <v>2.83</v>
      </c>
      <c r="G40" s="36">
        <v>3.43</v>
      </c>
      <c r="H40" s="36">
        <v>8.8000000000000007</v>
      </c>
      <c r="I40" s="36">
        <v>4.59</v>
      </c>
      <c r="J40" s="36">
        <v>6.64</v>
      </c>
      <c r="K40" s="36">
        <v>8.83</v>
      </c>
      <c r="L40" s="36">
        <v>6.59</v>
      </c>
      <c r="M40" s="36">
        <v>5.94</v>
      </c>
      <c r="N40" s="36">
        <v>8.74</v>
      </c>
      <c r="O40" s="36">
        <v>7.98</v>
      </c>
      <c r="P40" s="36">
        <v>1.47</v>
      </c>
      <c r="Q40" s="36">
        <v>-6.82</v>
      </c>
      <c r="R40" s="36">
        <v>14.02</v>
      </c>
      <c r="S40" s="36">
        <v>3.21</v>
      </c>
      <c r="T40" s="36">
        <v>-1.1599999999999999</v>
      </c>
      <c r="U40" s="36">
        <v>1.9</v>
      </c>
      <c r="V40" s="36">
        <v>4.5599999999999996</v>
      </c>
      <c r="W40" s="36">
        <v>1.86</v>
      </c>
      <c r="X40" s="36">
        <v>2.2400000000000002</v>
      </c>
      <c r="Y40" s="36">
        <v>3.97</v>
      </c>
      <c r="Z40" s="36">
        <v>-0.86</v>
      </c>
      <c r="AA40" s="36">
        <v>4.38</v>
      </c>
      <c r="AB40" s="36">
        <v>-0.37</v>
      </c>
      <c r="AC40" s="36">
        <v>7.07</v>
      </c>
      <c r="AD40" s="36">
        <v>-5.51</v>
      </c>
      <c r="AE40" s="36">
        <v>0.89</v>
      </c>
    </row>
    <row r="41" spans="1:31" ht="17" x14ac:dyDescent="0.45">
      <c r="A41" s="34" t="s">
        <v>130</v>
      </c>
      <c r="B41" s="35" t="s">
        <v>3</v>
      </c>
      <c r="C41" s="37" t="s">
        <v>3</v>
      </c>
      <c r="D41" s="36">
        <v>-0.84</v>
      </c>
      <c r="E41" s="36">
        <v>1.1100000000000001</v>
      </c>
      <c r="F41" s="36">
        <v>1.3</v>
      </c>
      <c r="G41" s="36">
        <v>1.4</v>
      </c>
      <c r="H41" s="36">
        <v>1.51</v>
      </c>
      <c r="I41" s="36">
        <v>3.63</v>
      </c>
      <c r="J41" s="36">
        <v>1.1000000000000001</v>
      </c>
      <c r="K41" s="36">
        <v>1.48</v>
      </c>
      <c r="L41" s="36">
        <v>0.03</v>
      </c>
      <c r="M41" s="36">
        <v>1.06</v>
      </c>
      <c r="N41" s="36">
        <v>3.38</v>
      </c>
      <c r="O41" s="36">
        <v>2.7</v>
      </c>
      <c r="P41" s="36">
        <v>-1.71</v>
      </c>
      <c r="Q41" s="36">
        <v>1.53</v>
      </c>
      <c r="R41" s="36">
        <v>4.18</v>
      </c>
      <c r="S41" s="36">
        <v>3.04</v>
      </c>
      <c r="T41" s="36">
        <v>1.74</v>
      </c>
      <c r="U41" s="36">
        <v>3.97</v>
      </c>
      <c r="V41" s="36">
        <v>3.1</v>
      </c>
      <c r="W41" s="36">
        <v>2.27</v>
      </c>
      <c r="X41" s="36">
        <v>-2</v>
      </c>
      <c r="Y41" s="36">
        <v>3.89</v>
      </c>
      <c r="Z41" s="36">
        <v>-3.23</v>
      </c>
      <c r="AA41" s="36">
        <v>-2.0699999999999998</v>
      </c>
      <c r="AB41" s="36">
        <v>-10.43</v>
      </c>
      <c r="AC41" s="36">
        <v>14.31</v>
      </c>
      <c r="AD41" s="36">
        <v>3.86</v>
      </c>
      <c r="AE41" s="36">
        <v>0.56999999999999995</v>
      </c>
    </row>
    <row r="42" spans="1:31" ht="17" x14ac:dyDescent="0.45">
      <c r="A42" s="34" t="s">
        <v>131</v>
      </c>
      <c r="B42" s="35" t="s">
        <v>3</v>
      </c>
      <c r="C42" s="36">
        <v>7.04</v>
      </c>
      <c r="D42" s="36">
        <v>4.1100000000000003</v>
      </c>
      <c r="E42" s="36">
        <v>7.94</v>
      </c>
      <c r="F42" s="36">
        <v>6.44</v>
      </c>
      <c r="G42" s="36">
        <v>8.65</v>
      </c>
      <c r="H42" s="36">
        <v>8.83</v>
      </c>
      <c r="I42" s="36">
        <v>-2.41</v>
      </c>
      <c r="J42" s="36">
        <v>8.39</v>
      </c>
      <c r="K42" s="36">
        <v>6.99</v>
      </c>
      <c r="L42" s="36">
        <v>10.09</v>
      </c>
      <c r="M42" s="36">
        <v>4.2699999999999996</v>
      </c>
      <c r="N42" s="36">
        <v>8.01</v>
      </c>
      <c r="O42" s="36">
        <v>1.52</v>
      </c>
      <c r="P42" s="36">
        <v>-3.77</v>
      </c>
      <c r="Q42" s="36">
        <v>-13.67</v>
      </c>
      <c r="R42" s="36">
        <v>25.1</v>
      </c>
      <c r="S42" s="36">
        <v>4.18</v>
      </c>
      <c r="T42" s="36">
        <v>-5.22</v>
      </c>
      <c r="U42" s="36">
        <v>-1.99</v>
      </c>
      <c r="V42" s="36">
        <v>-0.82</v>
      </c>
      <c r="W42" s="36">
        <v>8.74</v>
      </c>
      <c r="X42" s="36">
        <v>3.56</v>
      </c>
      <c r="Y42" s="36">
        <v>0.65</v>
      </c>
      <c r="Z42" s="36">
        <v>0.56999999999999995</v>
      </c>
      <c r="AA42" s="36">
        <v>-0.71</v>
      </c>
      <c r="AB42" s="36">
        <v>-4.51</v>
      </c>
      <c r="AC42" s="36">
        <v>18.079999999999998</v>
      </c>
      <c r="AD42" s="36">
        <v>1.78</v>
      </c>
      <c r="AE42" s="36">
        <v>-6.67</v>
      </c>
    </row>
    <row r="43" spans="1:31" ht="17" x14ac:dyDescent="0.45">
      <c r="A43" s="34" t="s">
        <v>133</v>
      </c>
      <c r="B43" s="35" t="s">
        <v>3</v>
      </c>
      <c r="C43" s="37" t="s">
        <v>3</v>
      </c>
      <c r="D43" s="36">
        <v>3.29</v>
      </c>
      <c r="E43" s="36">
        <v>5.78</v>
      </c>
      <c r="F43" s="36">
        <v>2.93</v>
      </c>
      <c r="G43" s="36">
        <v>2.79</v>
      </c>
      <c r="H43" s="36">
        <v>2.12</v>
      </c>
      <c r="I43" s="36">
        <v>3.87</v>
      </c>
      <c r="J43" s="36">
        <v>3.97</v>
      </c>
      <c r="K43" s="36">
        <v>2.4300000000000002</v>
      </c>
      <c r="L43" s="36">
        <v>2.2799999999999998</v>
      </c>
      <c r="M43" s="36">
        <v>3.71</v>
      </c>
      <c r="N43" s="36">
        <v>3.71</v>
      </c>
      <c r="O43" s="36">
        <v>1.93</v>
      </c>
      <c r="P43" s="36">
        <v>1.47</v>
      </c>
      <c r="Q43" s="36">
        <v>-11.25</v>
      </c>
      <c r="R43" s="36">
        <v>10.029999999999999</v>
      </c>
      <c r="S43" s="36">
        <v>6.45</v>
      </c>
      <c r="T43" s="36">
        <v>-2.8</v>
      </c>
      <c r="U43" s="36">
        <v>3.71</v>
      </c>
      <c r="V43" s="36">
        <v>0.4</v>
      </c>
      <c r="W43" s="36">
        <v>0.49</v>
      </c>
      <c r="X43" s="36">
        <v>5.48</v>
      </c>
      <c r="Y43" s="36">
        <v>5.73</v>
      </c>
      <c r="Z43" s="36">
        <v>4.74</v>
      </c>
      <c r="AA43" s="36">
        <v>2.61</v>
      </c>
      <c r="AB43" s="36">
        <v>-2.4300000000000002</v>
      </c>
      <c r="AC43" s="36">
        <v>20.74</v>
      </c>
      <c r="AD43" s="36">
        <v>5.93</v>
      </c>
      <c r="AE43" s="36">
        <v>-4.4400000000000004</v>
      </c>
    </row>
    <row r="44" spans="1:31" ht="17" x14ac:dyDescent="0.45">
      <c r="A44" s="34" t="s">
        <v>132</v>
      </c>
      <c r="B44" s="35" t="s">
        <v>3</v>
      </c>
      <c r="C44" s="36">
        <v>-0.32</v>
      </c>
      <c r="D44" s="36">
        <v>-1.1100000000000001</v>
      </c>
      <c r="E44" s="36">
        <v>4.7699999999999996</v>
      </c>
      <c r="F44" s="36">
        <v>5.59</v>
      </c>
      <c r="G44" s="36">
        <v>9</v>
      </c>
      <c r="H44" s="36">
        <v>8.58</v>
      </c>
      <c r="I44" s="36">
        <v>9.08</v>
      </c>
      <c r="J44" s="36">
        <v>8.85</v>
      </c>
      <c r="K44" s="36">
        <v>8.9</v>
      </c>
      <c r="L44" s="36">
        <v>6.96</v>
      </c>
      <c r="M44" s="36">
        <v>6.58</v>
      </c>
      <c r="N44" s="36">
        <v>10.17</v>
      </c>
      <c r="O44" s="36">
        <v>2.71</v>
      </c>
      <c r="P44" s="36">
        <v>2.2799999999999998</v>
      </c>
      <c r="Q44" s="36">
        <v>-3.16</v>
      </c>
      <c r="R44" s="36">
        <v>2.29</v>
      </c>
      <c r="S44" s="36">
        <v>0.05</v>
      </c>
      <c r="T44" s="36">
        <v>2.33</v>
      </c>
      <c r="U44" s="36">
        <v>4.63</v>
      </c>
      <c r="V44" s="36">
        <v>3.17</v>
      </c>
      <c r="W44" s="36">
        <v>-0.3</v>
      </c>
      <c r="X44" s="36">
        <v>-1.1000000000000001</v>
      </c>
      <c r="Y44" s="36">
        <v>0.26</v>
      </c>
      <c r="Z44" s="36">
        <v>2.57</v>
      </c>
      <c r="AA44" s="36">
        <v>1.67</v>
      </c>
      <c r="AB44" s="36">
        <v>4.53</v>
      </c>
      <c r="AC44" s="36">
        <v>7.28</v>
      </c>
      <c r="AD44" s="36">
        <v>-8.6199999999999992</v>
      </c>
      <c r="AE44" s="36">
        <v>2.23</v>
      </c>
    </row>
    <row r="45" spans="1:31" ht="17" x14ac:dyDescent="0.45">
      <c r="A45" s="34" t="s">
        <v>175</v>
      </c>
      <c r="B45" s="35" t="s">
        <v>3</v>
      </c>
      <c r="C45" s="37" t="s">
        <v>3</v>
      </c>
      <c r="D45" s="37" t="s">
        <v>3</v>
      </c>
      <c r="E45" s="37" t="s">
        <v>3</v>
      </c>
      <c r="F45" s="37" t="s">
        <v>3</v>
      </c>
      <c r="G45" s="37" t="s">
        <v>3</v>
      </c>
      <c r="H45" s="37" t="s">
        <v>3</v>
      </c>
      <c r="I45" s="37" t="s">
        <v>3</v>
      </c>
      <c r="J45" s="37" t="s">
        <v>3</v>
      </c>
      <c r="K45" s="37" t="s">
        <v>3</v>
      </c>
      <c r="L45" s="37" t="s">
        <v>3</v>
      </c>
      <c r="M45" s="37" t="s">
        <v>3</v>
      </c>
      <c r="N45" s="37" t="s">
        <v>3</v>
      </c>
      <c r="O45" s="37" t="s">
        <v>3</v>
      </c>
      <c r="P45" s="37" t="s">
        <v>3</v>
      </c>
      <c r="Q45" s="37" t="s">
        <v>3</v>
      </c>
      <c r="R45" s="37" t="s">
        <v>3</v>
      </c>
      <c r="S45" s="37" t="s">
        <v>3</v>
      </c>
      <c r="T45" s="37" t="s">
        <v>3</v>
      </c>
      <c r="U45" s="37" t="s">
        <v>3</v>
      </c>
      <c r="V45" s="37" t="s">
        <v>3</v>
      </c>
      <c r="W45" s="37" t="s">
        <v>3</v>
      </c>
      <c r="X45" s="37" t="s">
        <v>3</v>
      </c>
      <c r="Y45" s="37" t="s">
        <v>3</v>
      </c>
      <c r="Z45" s="37" t="s">
        <v>3</v>
      </c>
      <c r="AA45" s="37" t="s">
        <v>3</v>
      </c>
      <c r="AB45" s="37" t="s">
        <v>3</v>
      </c>
      <c r="AC45" s="37" t="s">
        <v>3</v>
      </c>
      <c r="AD45" s="37" t="s">
        <v>3</v>
      </c>
      <c r="AE45" s="37" t="s">
        <v>3</v>
      </c>
    </row>
    <row r="46" spans="1:31" ht="17" x14ac:dyDescent="0.45">
      <c r="A46" s="34" t="s">
        <v>176</v>
      </c>
      <c r="B46" s="35" t="s">
        <v>3</v>
      </c>
      <c r="C46" s="37" t="s">
        <v>3</v>
      </c>
      <c r="D46" s="37" t="s">
        <v>3</v>
      </c>
      <c r="E46" s="37" t="s">
        <v>3</v>
      </c>
      <c r="F46" s="37" t="s">
        <v>3</v>
      </c>
      <c r="G46" s="37" t="s">
        <v>3</v>
      </c>
      <c r="H46" s="37" t="s">
        <v>3</v>
      </c>
      <c r="I46" s="36">
        <v>2.0099999999999998</v>
      </c>
      <c r="J46" s="36">
        <v>-1.4</v>
      </c>
      <c r="K46" s="36">
        <v>-1.1499999999999999</v>
      </c>
      <c r="L46" s="36">
        <v>0.64</v>
      </c>
      <c r="M46" s="36">
        <v>-5.33</v>
      </c>
      <c r="N46" s="36">
        <v>1.08</v>
      </c>
      <c r="O46" s="36">
        <v>1.92</v>
      </c>
      <c r="P46" s="36">
        <v>0.97</v>
      </c>
      <c r="Q46" s="36">
        <v>-8.09</v>
      </c>
      <c r="R46" s="36">
        <v>2.94</v>
      </c>
      <c r="S46" s="36">
        <v>0.8</v>
      </c>
      <c r="T46" s="36">
        <v>-3.81</v>
      </c>
      <c r="U46" s="36">
        <v>1.53</v>
      </c>
      <c r="V46" s="36">
        <v>-3.05</v>
      </c>
      <c r="W46" s="36">
        <v>-2.75</v>
      </c>
      <c r="X46" s="36">
        <v>0.82</v>
      </c>
      <c r="Y46" s="36">
        <v>0.9</v>
      </c>
      <c r="Z46" s="36">
        <v>-0.2</v>
      </c>
      <c r="AA46" s="36">
        <v>-1.1100000000000001</v>
      </c>
      <c r="AB46" s="36">
        <v>-0.74</v>
      </c>
      <c r="AC46" s="36">
        <v>-3.63</v>
      </c>
      <c r="AD46" s="37" t="s">
        <v>3</v>
      </c>
      <c r="AE46" s="37" t="s">
        <v>3</v>
      </c>
    </row>
    <row r="47" spans="1:31" ht="17" x14ac:dyDescent="0.45">
      <c r="A47" s="34" t="s">
        <v>177</v>
      </c>
      <c r="B47" s="35" t="s">
        <v>3</v>
      </c>
      <c r="C47" s="37" t="s">
        <v>3</v>
      </c>
      <c r="D47" s="36">
        <v>4.25</v>
      </c>
      <c r="E47" s="36">
        <v>13.81</v>
      </c>
      <c r="F47" s="36">
        <v>-8.94</v>
      </c>
      <c r="G47" s="36">
        <v>9.42</v>
      </c>
      <c r="H47" s="36">
        <v>19.34</v>
      </c>
      <c r="I47" s="36">
        <v>9.35</v>
      </c>
      <c r="J47" s="36">
        <v>4.6100000000000003</v>
      </c>
      <c r="K47" s="36">
        <v>12.24</v>
      </c>
      <c r="L47" s="36">
        <v>0.11</v>
      </c>
      <c r="M47" s="36">
        <v>4.04</v>
      </c>
      <c r="N47" s="36">
        <v>6.78</v>
      </c>
      <c r="O47" s="36">
        <v>11.15</v>
      </c>
      <c r="P47" s="36">
        <v>-0.97</v>
      </c>
      <c r="Q47" s="36">
        <v>3.26</v>
      </c>
      <c r="R47" s="36">
        <v>2.17</v>
      </c>
      <c r="S47" s="36">
        <v>8.06</v>
      </c>
      <c r="T47" s="36">
        <v>12.2</v>
      </c>
      <c r="U47" s="36">
        <v>-2.61</v>
      </c>
      <c r="V47" s="36">
        <v>1.52</v>
      </c>
      <c r="W47" s="36">
        <v>4.76</v>
      </c>
      <c r="X47" s="36">
        <v>3.26</v>
      </c>
      <c r="Y47" s="36">
        <v>0.56999999999999995</v>
      </c>
      <c r="Z47" s="36">
        <v>2.75</v>
      </c>
      <c r="AA47" s="36">
        <v>2.1800000000000002</v>
      </c>
      <c r="AB47" s="36">
        <v>-7.99</v>
      </c>
      <c r="AC47" s="36">
        <v>1.64</v>
      </c>
      <c r="AD47" s="36">
        <v>25.82</v>
      </c>
      <c r="AE47" s="36">
        <v>3.51</v>
      </c>
    </row>
    <row r="48" spans="1:31" ht="17" x14ac:dyDescent="0.45">
      <c r="A48" s="34" t="s">
        <v>178</v>
      </c>
      <c r="B48" s="35" t="s">
        <v>3</v>
      </c>
      <c r="C48" s="37" t="s">
        <v>3</v>
      </c>
      <c r="D48" s="36">
        <v>-0.59</v>
      </c>
      <c r="E48" s="36">
        <v>6.47</v>
      </c>
      <c r="F48" s="36">
        <v>2.57</v>
      </c>
      <c r="G48" s="36">
        <v>5.01</v>
      </c>
      <c r="H48" s="36">
        <v>3.65</v>
      </c>
      <c r="I48" s="36">
        <v>3.49</v>
      </c>
      <c r="J48" s="36">
        <v>3.91</v>
      </c>
      <c r="K48" s="36">
        <v>4</v>
      </c>
      <c r="L48" s="36">
        <v>4.45</v>
      </c>
      <c r="M48" s="36">
        <v>3.74</v>
      </c>
      <c r="N48" s="36">
        <v>2.0099999999999998</v>
      </c>
      <c r="O48" s="36">
        <v>3.65</v>
      </c>
      <c r="P48" s="36">
        <v>0.03</v>
      </c>
      <c r="Q48" s="36">
        <v>-4.84</v>
      </c>
      <c r="R48" s="36">
        <v>3</v>
      </c>
      <c r="S48" s="36">
        <v>1.27</v>
      </c>
      <c r="T48" s="36">
        <v>-3.65</v>
      </c>
      <c r="U48" s="36">
        <v>2.5299999999999998</v>
      </c>
      <c r="V48" s="36">
        <v>0.52</v>
      </c>
      <c r="W48" s="36">
        <v>5.93</v>
      </c>
      <c r="X48" s="36">
        <v>3.48</v>
      </c>
      <c r="Y48" s="36">
        <v>0.87</v>
      </c>
      <c r="Z48" s="36">
        <v>-3.43</v>
      </c>
      <c r="AA48" s="36">
        <v>-0.12</v>
      </c>
      <c r="AB48" s="36">
        <v>-2.65</v>
      </c>
      <c r="AC48" s="36">
        <v>8.82</v>
      </c>
      <c r="AD48" s="36">
        <v>5.4</v>
      </c>
      <c r="AE48" s="36">
        <v>0.4</v>
      </c>
    </row>
    <row r="49" spans="1:31" ht="17" x14ac:dyDescent="0.45">
      <c r="A49" s="34" t="s">
        <v>179</v>
      </c>
      <c r="B49" s="35" t="s">
        <v>3</v>
      </c>
      <c r="C49" s="37" t="s">
        <v>3</v>
      </c>
      <c r="D49" s="36">
        <v>2.16</v>
      </c>
      <c r="E49" s="36">
        <v>4.6900000000000004</v>
      </c>
      <c r="F49" s="36">
        <v>4</v>
      </c>
      <c r="G49" s="36">
        <v>4.49</v>
      </c>
      <c r="H49" s="36">
        <v>1.32</v>
      </c>
      <c r="I49" s="36">
        <v>2.2400000000000002</v>
      </c>
      <c r="J49" s="36">
        <v>3.96</v>
      </c>
      <c r="K49" s="36">
        <v>-0.12</v>
      </c>
      <c r="L49" s="36">
        <v>-2.33</v>
      </c>
      <c r="M49" s="36">
        <v>-6.23</v>
      </c>
      <c r="N49" s="36">
        <v>-2.65</v>
      </c>
      <c r="O49" s="36">
        <v>-0.55000000000000004</v>
      </c>
      <c r="P49" s="36">
        <v>3.39</v>
      </c>
      <c r="Q49" s="36">
        <v>-4.8499999999999996</v>
      </c>
      <c r="R49" s="36">
        <v>-0.54</v>
      </c>
      <c r="S49" s="36">
        <v>-5.95</v>
      </c>
      <c r="T49" s="36">
        <v>-2.13</v>
      </c>
      <c r="U49" s="36">
        <v>-7.2</v>
      </c>
      <c r="V49" s="36">
        <v>6.5</v>
      </c>
      <c r="W49" s="36">
        <v>5.15</v>
      </c>
      <c r="X49" s="36">
        <v>8.76</v>
      </c>
      <c r="Y49" s="36">
        <v>7.97</v>
      </c>
      <c r="Z49" s="36">
        <v>9.73</v>
      </c>
      <c r="AA49" s="36">
        <v>4.01</v>
      </c>
      <c r="AB49" s="36">
        <v>-1.41</v>
      </c>
      <c r="AC49" s="36">
        <v>5.85</v>
      </c>
      <c r="AD49" s="36">
        <v>-1.31</v>
      </c>
      <c r="AE49" s="37" t="s">
        <v>3</v>
      </c>
    </row>
    <row r="50" spans="1:31" ht="17" x14ac:dyDescent="0.45">
      <c r="A50" s="34" t="s">
        <v>180</v>
      </c>
      <c r="B50" s="35" t="s">
        <v>3</v>
      </c>
      <c r="C50" s="37" t="s">
        <v>3</v>
      </c>
      <c r="D50" s="37" t="s">
        <v>3</v>
      </c>
      <c r="E50" s="37" t="s">
        <v>3</v>
      </c>
      <c r="F50" s="37" t="s">
        <v>3</v>
      </c>
      <c r="G50" s="37" t="s">
        <v>3</v>
      </c>
      <c r="H50" s="37" t="s">
        <v>3</v>
      </c>
      <c r="I50" s="37" t="s">
        <v>3</v>
      </c>
      <c r="J50" s="37" t="s">
        <v>3</v>
      </c>
      <c r="K50" s="37" t="s">
        <v>3</v>
      </c>
      <c r="L50" s="37" t="s">
        <v>3</v>
      </c>
      <c r="M50" s="37" t="s">
        <v>3</v>
      </c>
      <c r="N50" s="37" t="s">
        <v>3</v>
      </c>
      <c r="O50" s="37" t="s">
        <v>3</v>
      </c>
      <c r="P50" s="37" t="s">
        <v>3</v>
      </c>
      <c r="Q50" s="37" t="s">
        <v>3</v>
      </c>
      <c r="R50" s="37" t="s">
        <v>3</v>
      </c>
      <c r="S50" s="37" t="s">
        <v>3</v>
      </c>
      <c r="T50" s="36">
        <v>-2.92</v>
      </c>
      <c r="U50" s="36">
        <v>8.33</v>
      </c>
      <c r="V50" s="36">
        <v>4.16</v>
      </c>
      <c r="W50" s="36">
        <v>4.8899999999999997</v>
      </c>
      <c r="X50" s="36">
        <v>2.04</v>
      </c>
      <c r="Y50" s="36">
        <v>-5.71</v>
      </c>
      <c r="Z50" s="37" t="s">
        <v>3</v>
      </c>
      <c r="AA50" s="37" t="s">
        <v>3</v>
      </c>
      <c r="AB50" s="37" t="s">
        <v>3</v>
      </c>
      <c r="AC50" s="37" t="s">
        <v>3</v>
      </c>
      <c r="AD50" s="37" t="s">
        <v>3</v>
      </c>
      <c r="AE50" s="37" t="s">
        <v>3</v>
      </c>
    </row>
    <row r="51" spans="1:31" ht="17" x14ac:dyDescent="0.45">
      <c r="A51" s="34" t="s">
        <v>181</v>
      </c>
      <c r="B51" s="35" t="s">
        <v>3</v>
      </c>
      <c r="C51" s="37" t="s">
        <v>3</v>
      </c>
      <c r="D51" s="37" t="s">
        <v>3</v>
      </c>
      <c r="E51" s="37" t="s">
        <v>3</v>
      </c>
      <c r="F51" s="37" t="s">
        <v>3</v>
      </c>
      <c r="G51" s="37" t="s">
        <v>3</v>
      </c>
      <c r="H51" s="37" t="s">
        <v>3</v>
      </c>
      <c r="I51" s="36">
        <v>-16.75</v>
      </c>
      <c r="J51" s="36">
        <v>8.4499999999999993</v>
      </c>
      <c r="K51" s="36">
        <v>12.36</v>
      </c>
      <c r="L51" s="36">
        <v>-4.0199999999999996</v>
      </c>
      <c r="M51" s="36">
        <v>1.94</v>
      </c>
      <c r="N51" s="36">
        <v>1.74</v>
      </c>
      <c r="O51" s="36">
        <v>10.24</v>
      </c>
      <c r="P51" s="36">
        <v>23.84</v>
      </c>
      <c r="Q51" s="36">
        <v>-8.26</v>
      </c>
      <c r="R51" s="36">
        <v>11.28</v>
      </c>
      <c r="S51" s="36">
        <v>-3.13</v>
      </c>
      <c r="T51" s="36">
        <v>8.31</v>
      </c>
      <c r="U51" s="36">
        <v>-6.69</v>
      </c>
      <c r="V51" s="36">
        <v>-3.29</v>
      </c>
      <c r="W51" s="36">
        <v>-3.12</v>
      </c>
      <c r="X51" s="36">
        <v>-2.31</v>
      </c>
      <c r="Y51" s="36">
        <v>3.38</v>
      </c>
      <c r="Z51" s="36">
        <v>4.0599999999999996</v>
      </c>
      <c r="AA51" s="36">
        <v>4.6500000000000004</v>
      </c>
      <c r="AB51" s="36">
        <v>2.19</v>
      </c>
      <c r="AC51" s="36">
        <v>2.42</v>
      </c>
      <c r="AD51" s="36">
        <v>7.09</v>
      </c>
      <c r="AE51" s="37" t="s">
        <v>3</v>
      </c>
    </row>
    <row r="52" spans="1:31" ht="17" x14ac:dyDescent="0.45">
      <c r="A52" s="34" t="s">
        <v>182</v>
      </c>
      <c r="B52" s="35" t="s">
        <v>3</v>
      </c>
      <c r="C52" s="37" t="s">
        <v>3</v>
      </c>
      <c r="D52" s="37" t="s">
        <v>3</v>
      </c>
      <c r="E52" s="37" t="s">
        <v>3</v>
      </c>
      <c r="F52" s="37" t="s">
        <v>3</v>
      </c>
      <c r="G52" s="37" t="s">
        <v>3</v>
      </c>
      <c r="H52" s="37" t="s">
        <v>3</v>
      </c>
      <c r="I52" s="36">
        <v>-1.99</v>
      </c>
      <c r="J52" s="36">
        <v>10.4</v>
      </c>
      <c r="K52" s="36">
        <v>19.440000000000001</v>
      </c>
      <c r="L52" s="36">
        <v>10.85</v>
      </c>
      <c r="M52" s="36">
        <v>9.67</v>
      </c>
      <c r="N52" s="36">
        <v>12.18</v>
      </c>
      <c r="O52" s="36">
        <v>-15.23</v>
      </c>
      <c r="P52" s="36">
        <v>-5.59</v>
      </c>
      <c r="Q52" s="36">
        <v>10.15</v>
      </c>
      <c r="R52" s="36">
        <v>4.3499999999999996</v>
      </c>
      <c r="S52" s="36">
        <v>9.99</v>
      </c>
      <c r="T52" s="36">
        <v>1.01</v>
      </c>
      <c r="U52" s="36">
        <v>2.94</v>
      </c>
      <c r="V52" s="36">
        <v>15.5</v>
      </c>
      <c r="W52" s="36">
        <v>2.4300000000000002</v>
      </c>
      <c r="X52" s="36">
        <v>-5.82</v>
      </c>
      <c r="Y52" s="36">
        <v>-4.38</v>
      </c>
      <c r="Z52" s="36">
        <v>2.94</v>
      </c>
      <c r="AA52" s="36">
        <v>2.1</v>
      </c>
      <c r="AB52" s="36">
        <v>6.33</v>
      </c>
      <c r="AC52" s="37" t="s">
        <v>3</v>
      </c>
      <c r="AD52" s="37" t="s">
        <v>3</v>
      </c>
      <c r="AE52" s="37" t="s">
        <v>3</v>
      </c>
    </row>
    <row r="53" spans="1:31" ht="17" x14ac:dyDescent="0.45">
      <c r="A53" s="34" t="s">
        <v>183</v>
      </c>
      <c r="B53" s="35" t="s">
        <v>3</v>
      </c>
      <c r="C53" s="37" t="s">
        <v>3</v>
      </c>
      <c r="D53" s="37" t="s">
        <v>3</v>
      </c>
      <c r="E53" s="37" t="s">
        <v>3</v>
      </c>
      <c r="F53" s="37" t="s">
        <v>3</v>
      </c>
      <c r="G53" s="37" t="s">
        <v>3</v>
      </c>
      <c r="H53" s="37" t="s">
        <v>3</v>
      </c>
      <c r="I53" s="37" t="s">
        <v>3</v>
      </c>
      <c r="J53" s="37" t="s">
        <v>3</v>
      </c>
      <c r="K53" s="37" t="s">
        <v>3</v>
      </c>
      <c r="L53" s="37" t="s">
        <v>3</v>
      </c>
      <c r="M53" s="37" t="s">
        <v>3</v>
      </c>
      <c r="N53" s="37" t="s">
        <v>3</v>
      </c>
      <c r="O53" s="37" t="s">
        <v>3</v>
      </c>
      <c r="P53" s="36">
        <v>8.2100000000000009</v>
      </c>
      <c r="Q53" s="36">
        <v>-4.4800000000000004</v>
      </c>
      <c r="R53" s="36">
        <v>8.14</v>
      </c>
      <c r="S53" s="36">
        <v>11.23</v>
      </c>
      <c r="T53" s="36">
        <v>-3.61</v>
      </c>
      <c r="U53" s="36">
        <v>7.74</v>
      </c>
      <c r="V53" s="36">
        <v>4.25</v>
      </c>
      <c r="W53" s="36">
        <v>-0.55000000000000004</v>
      </c>
      <c r="X53" s="36">
        <v>-2.66</v>
      </c>
      <c r="Y53" s="36">
        <v>-0.09</v>
      </c>
      <c r="Z53" s="36">
        <v>-45.46</v>
      </c>
      <c r="AA53" s="36">
        <v>95.77</v>
      </c>
      <c r="AB53" s="36">
        <v>5.24</v>
      </c>
      <c r="AC53" s="36">
        <v>-0.13</v>
      </c>
      <c r="AD53" s="37" t="s">
        <v>3</v>
      </c>
      <c r="AE53" s="37" t="s">
        <v>3</v>
      </c>
    </row>
    <row r="54" spans="1:31" ht="17" x14ac:dyDescent="0.45">
      <c r="A54" s="34" t="s">
        <v>184</v>
      </c>
      <c r="B54" s="35" t="s">
        <v>3</v>
      </c>
      <c r="C54" s="37" t="s">
        <v>3</v>
      </c>
      <c r="D54" s="36">
        <v>7.86</v>
      </c>
      <c r="E54" s="36">
        <v>-6.94</v>
      </c>
      <c r="F54" s="36">
        <v>3.1</v>
      </c>
      <c r="G54" s="36">
        <v>4.76</v>
      </c>
      <c r="H54" s="36">
        <v>12.5</v>
      </c>
      <c r="I54" s="36">
        <v>12.11</v>
      </c>
      <c r="J54" s="36">
        <v>-0.99</v>
      </c>
      <c r="K54" s="36">
        <v>8.4499999999999993</v>
      </c>
      <c r="L54" s="36">
        <v>15.55</v>
      </c>
      <c r="M54" s="36">
        <v>9.06</v>
      </c>
      <c r="N54" s="36">
        <v>6.71</v>
      </c>
      <c r="O54" s="36">
        <v>-0.81</v>
      </c>
      <c r="P54" s="36">
        <v>20.97</v>
      </c>
      <c r="Q54" s="36">
        <v>4.09</v>
      </c>
      <c r="R54" s="36">
        <v>10.38</v>
      </c>
      <c r="S54" s="36">
        <v>9.8000000000000007</v>
      </c>
      <c r="T54" s="36">
        <v>-12.9</v>
      </c>
      <c r="U54" s="36">
        <v>-0.67</v>
      </c>
      <c r="V54" s="36">
        <v>5.92</v>
      </c>
      <c r="W54" s="36">
        <v>7.98</v>
      </c>
      <c r="X54" s="36">
        <v>-1.56</v>
      </c>
      <c r="Y54" s="36">
        <v>4.66</v>
      </c>
      <c r="Z54" s="36">
        <v>6.99</v>
      </c>
      <c r="AA54" s="36">
        <v>0.34</v>
      </c>
      <c r="AB54" s="36">
        <v>-1.81</v>
      </c>
      <c r="AC54" s="36">
        <v>5.66</v>
      </c>
      <c r="AD54" s="36">
        <v>-0.97</v>
      </c>
      <c r="AE54" s="36">
        <v>-3.48</v>
      </c>
    </row>
    <row r="55" spans="1:31" ht="17" x14ac:dyDescent="0.45">
      <c r="A55" s="34" t="s">
        <v>185</v>
      </c>
      <c r="B55" s="35" t="s">
        <v>3</v>
      </c>
      <c r="C55" s="37" t="s">
        <v>3</v>
      </c>
      <c r="D55" s="37" t="s">
        <v>3</v>
      </c>
      <c r="E55" s="37" t="s">
        <v>3</v>
      </c>
      <c r="F55" s="37" t="s">
        <v>3</v>
      </c>
      <c r="G55" s="37" t="s">
        <v>3</v>
      </c>
      <c r="H55" s="37" t="s">
        <v>3</v>
      </c>
      <c r="I55" s="37" t="s">
        <v>3</v>
      </c>
      <c r="J55" s="37" t="s">
        <v>3</v>
      </c>
      <c r="K55" s="37" t="s">
        <v>3</v>
      </c>
      <c r="L55" s="37" t="s">
        <v>3</v>
      </c>
      <c r="M55" s="37" t="s">
        <v>3</v>
      </c>
      <c r="N55" s="37" t="s">
        <v>3</v>
      </c>
      <c r="O55" s="37" t="s">
        <v>3</v>
      </c>
      <c r="P55" s="37" t="s">
        <v>3</v>
      </c>
      <c r="Q55" s="37" t="s">
        <v>3</v>
      </c>
      <c r="R55" s="37" t="s">
        <v>3</v>
      </c>
      <c r="S55" s="37" t="s">
        <v>3</v>
      </c>
      <c r="T55" s="37" t="s">
        <v>3</v>
      </c>
      <c r="U55" s="37" t="s">
        <v>3</v>
      </c>
      <c r="V55" s="37" t="s">
        <v>3</v>
      </c>
      <c r="W55" s="37" t="s">
        <v>3</v>
      </c>
      <c r="X55" s="37" t="s">
        <v>3</v>
      </c>
      <c r="Y55" s="37" t="s">
        <v>3</v>
      </c>
      <c r="Z55" s="36">
        <v>5.0599999999999996</v>
      </c>
      <c r="AA55" s="36">
        <v>3.84</v>
      </c>
      <c r="AB55" s="37" t="s">
        <v>3</v>
      </c>
      <c r="AC55" s="37" t="s">
        <v>3</v>
      </c>
      <c r="AD55" s="37" t="s">
        <v>3</v>
      </c>
      <c r="AE55" s="37" t="s">
        <v>3</v>
      </c>
    </row>
    <row r="56" spans="1:31" ht="17" x14ac:dyDescent="0.45">
      <c r="A56" s="34" t="s">
        <v>186</v>
      </c>
      <c r="B56" s="35" t="s">
        <v>3</v>
      </c>
      <c r="C56" s="37" t="s">
        <v>3</v>
      </c>
      <c r="D56" s="37" t="s">
        <v>3</v>
      </c>
      <c r="E56" s="37" t="s">
        <v>3</v>
      </c>
      <c r="F56" s="37" t="s">
        <v>3</v>
      </c>
      <c r="G56" s="37" t="s">
        <v>3</v>
      </c>
      <c r="H56" s="37" t="s">
        <v>3</v>
      </c>
      <c r="I56" s="37" t="s">
        <v>3</v>
      </c>
      <c r="J56" s="37" t="s">
        <v>3</v>
      </c>
      <c r="K56" s="37" t="s">
        <v>3</v>
      </c>
      <c r="L56" s="37" t="s">
        <v>3</v>
      </c>
      <c r="M56" s="37" t="s">
        <v>3</v>
      </c>
      <c r="N56" s="37" t="s">
        <v>3</v>
      </c>
      <c r="O56" s="37" t="s">
        <v>3</v>
      </c>
      <c r="P56" s="37" t="s">
        <v>3</v>
      </c>
      <c r="Q56" s="36">
        <v>-4.3600000000000003</v>
      </c>
      <c r="R56" s="36">
        <v>12.51</v>
      </c>
      <c r="S56" s="36">
        <v>1.27</v>
      </c>
      <c r="T56" s="36">
        <v>5.15</v>
      </c>
      <c r="U56" s="36">
        <v>1.4</v>
      </c>
      <c r="V56" s="36">
        <v>2.1800000000000002</v>
      </c>
      <c r="W56" s="36">
        <v>-0.3</v>
      </c>
      <c r="X56" s="36">
        <v>4.6100000000000003</v>
      </c>
      <c r="Y56" s="36">
        <v>-5.26</v>
      </c>
      <c r="Z56" s="36">
        <v>2.25</v>
      </c>
      <c r="AA56" s="36">
        <v>-0.3</v>
      </c>
      <c r="AB56" s="36">
        <v>1.81</v>
      </c>
      <c r="AC56" s="36">
        <v>15.82</v>
      </c>
      <c r="AD56" s="36">
        <v>-11.98</v>
      </c>
      <c r="AE56" s="37" t="s">
        <v>3</v>
      </c>
    </row>
    <row r="57" spans="1:31" ht="17" x14ac:dyDescent="0.4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</row>
    <row r="58" spans="1:31" ht="17" x14ac:dyDescent="0.45">
      <c r="A58" s="38" t="s">
        <v>187</v>
      </c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</row>
  </sheetData>
  <mergeCells count="1">
    <mergeCell ref="A7:B7"/>
  </mergeCells>
  <phoneticPr fontId="11" type="noConversion"/>
  <hyperlinks>
    <hyperlink ref="A58" r:id="rId1" xr:uid="{2CF80739-520A-42B6-8E0B-C493522A467E}"/>
  </hyperlinks>
  <pageMargins left="0.75" right="0.75" top="1" bottom="1" header="0.5" footer="0.5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E58"/>
  <sheetViews>
    <sheetView showGridLines="0" topLeftCell="G1" workbookViewId="0">
      <selection activeCell="A8" sqref="A8"/>
    </sheetView>
  </sheetViews>
  <sheetFormatPr defaultColWidth="9.08203125" defaultRowHeight="12.5" x14ac:dyDescent="0.25"/>
  <cols>
    <col min="1" max="1" width="27.33203125" style="4" customWidth="1"/>
    <col min="2" max="2" width="9.5" style="4" customWidth="1"/>
    <col min="3" max="3" width="8.75" style="4" customWidth="1"/>
    <col min="4" max="16384" width="9.08203125" style="4"/>
  </cols>
  <sheetData>
    <row r="1" spans="1:31" ht="17" x14ac:dyDescent="0.45">
      <c r="A1" s="29" t="s">
        <v>161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</row>
    <row r="2" spans="1:31" ht="12.75" customHeight="1" x14ac:dyDescent="0.45">
      <c r="A2" s="30" t="s">
        <v>162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</row>
    <row r="3" spans="1:31" ht="12.75" customHeight="1" x14ac:dyDescent="0.45">
      <c r="A3" s="30" t="s">
        <v>189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</row>
    <row r="4" spans="1:31" ht="17" x14ac:dyDescent="0.45">
      <c r="A4" s="30" t="s">
        <v>164</v>
      </c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</row>
    <row r="5" spans="1:31" ht="12.75" customHeight="1" x14ac:dyDescent="0.45">
      <c r="A5" s="30" t="s">
        <v>165</v>
      </c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</row>
    <row r="6" spans="1:31" ht="17" x14ac:dyDescent="0.45">
      <c r="A6"/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</row>
    <row r="7" spans="1:31" ht="18.75" customHeight="1" x14ac:dyDescent="0.25">
      <c r="A7" s="42" t="s">
        <v>166</v>
      </c>
      <c r="B7" s="42" t="s">
        <v>166</v>
      </c>
      <c r="C7" s="31" t="s">
        <v>79</v>
      </c>
      <c r="D7" s="31" t="s">
        <v>80</v>
      </c>
      <c r="E7" s="31" t="s">
        <v>81</v>
      </c>
      <c r="F7" s="31" t="s">
        <v>82</v>
      </c>
      <c r="G7" s="31" t="s">
        <v>83</v>
      </c>
      <c r="H7" s="31" t="s">
        <v>84</v>
      </c>
      <c r="I7" s="31" t="s">
        <v>85</v>
      </c>
      <c r="J7" s="31" t="s">
        <v>86</v>
      </c>
      <c r="K7" s="31" t="s">
        <v>87</v>
      </c>
      <c r="L7" s="31" t="s">
        <v>88</v>
      </c>
      <c r="M7" s="31" t="s">
        <v>89</v>
      </c>
      <c r="N7" s="31" t="s">
        <v>90</v>
      </c>
      <c r="O7" s="31" t="s">
        <v>91</v>
      </c>
      <c r="P7" s="31" t="s">
        <v>92</v>
      </c>
      <c r="Q7" s="31" t="s">
        <v>93</v>
      </c>
      <c r="R7" s="31" t="s">
        <v>94</v>
      </c>
      <c r="S7" s="31" t="s">
        <v>95</v>
      </c>
      <c r="T7" s="31" t="s">
        <v>96</v>
      </c>
      <c r="U7" s="31" t="s">
        <v>97</v>
      </c>
      <c r="V7" s="31" t="s">
        <v>98</v>
      </c>
      <c r="W7" s="31" t="s">
        <v>2</v>
      </c>
      <c r="X7" s="31" t="s">
        <v>99</v>
      </c>
      <c r="Y7" s="31" t="s">
        <v>100</v>
      </c>
      <c r="Z7" s="31" t="s">
        <v>101</v>
      </c>
      <c r="AA7" s="31" t="s">
        <v>102</v>
      </c>
      <c r="AB7" s="31" t="s">
        <v>167</v>
      </c>
      <c r="AC7" s="31" t="s">
        <v>168</v>
      </c>
      <c r="AD7" s="31" t="s">
        <v>169</v>
      </c>
      <c r="AE7" s="31" t="s">
        <v>170</v>
      </c>
    </row>
    <row r="8" spans="1:31" ht="17" x14ac:dyDescent="0.25">
      <c r="A8" s="32" t="s">
        <v>171</v>
      </c>
      <c r="B8" s="33" t="s">
        <v>3</v>
      </c>
      <c r="C8" s="33" t="s">
        <v>3</v>
      </c>
      <c r="D8" s="33" t="s">
        <v>3</v>
      </c>
      <c r="E8" s="33" t="s">
        <v>3</v>
      </c>
      <c r="F8" s="33" t="s">
        <v>3</v>
      </c>
      <c r="G8" s="33" t="s">
        <v>3</v>
      </c>
      <c r="H8" s="33" t="s">
        <v>3</v>
      </c>
      <c r="I8" s="33" t="s">
        <v>3</v>
      </c>
      <c r="J8" s="33" t="s">
        <v>3</v>
      </c>
      <c r="K8" s="33" t="s">
        <v>3</v>
      </c>
      <c r="L8" s="33" t="s">
        <v>3</v>
      </c>
      <c r="M8" s="33" t="s">
        <v>3</v>
      </c>
      <c r="N8" s="33" t="s">
        <v>3</v>
      </c>
      <c r="O8" s="33" t="s">
        <v>3</v>
      </c>
      <c r="P8" s="33" t="s">
        <v>3</v>
      </c>
      <c r="Q8" s="33" t="s">
        <v>3</v>
      </c>
      <c r="R8" s="33" t="s">
        <v>3</v>
      </c>
      <c r="S8" s="33" t="s">
        <v>3</v>
      </c>
      <c r="T8" s="33" t="s">
        <v>3</v>
      </c>
      <c r="U8" s="33" t="s">
        <v>3</v>
      </c>
      <c r="V8" s="33" t="s">
        <v>3</v>
      </c>
      <c r="W8" s="33" t="s">
        <v>3</v>
      </c>
      <c r="X8" s="33" t="s">
        <v>3</v>
      </c>
      <c r="Y8" s="33" t="s">
        <v>3</v>
      </c>
      <c r="Z8" s="33" t="s">
        <v>3</v>
      </c>
      <c r="AA8" s="33" t="s">
        <v>3</v>
      </c>
      <c r="AB8" s="33" t="s">
        <v>3</v>
      </c>
      <c r="AC8" s="33" t="s">
        <v>3</v>
      </c>
      <c r="AD8" s="33" t="s">
        <v>3</v>
      </c>
      <c r="AE8" s="33" t="s">
        <v>3</v>
      </c>
    </row>
    <row r="9" spans="1:31" ht="17" x14ac:dyDescent="0.45">
      <c r="A9" s="34" t="s">
        <v>103</v>
      </c>
      <c r="B9" s="35" t="s">
        <v>3</v>
      </c>
      <c r="C9" s="36">
        <v>3.23</v>
      </c>
      <c r="D9" s="36">
        <v>5.63</v>
      </c>
      <c r="E9" s="36">
        <v>2.06</v>
      </c>
      <c r="F9" s="36">
        <v>2.79</v>
      </c>
      <c r="G9" s="36">
        <v>5.63</v>
      </c>
      <c r="H9" s="36">
        <v>0.57999999999999996</v>
      </c>
      <c r="I9" s="36">
        <v>1.69</v>
      </c>
      <c r="J9" s="36">
        <v>0.25</v>
      </c>
      <c r="K9" s="36">
        <v>6.67</v>
      </c>
      <c r="L9" s="36">
        <v>-0.69</v>
      </c>
      <c r="M9" s="36">
        <v>3.55</v>
      </c>
      <c r="N9" s="36">
        <v>1.02</v>
      </c>
      <c r="O9" s="36">
        <v>1.67</v>
      </c>
      <c r="P9" s="36">
        <v>-1.29</v>
      </c>
      <c r="Q9" s="36">
        <v>1.74</v>
      </c>
      <c r="R9" s="36">
        <v>0.65</v>
      </c>
      <c r="S9" s="36">
        <v>6.97</v>
      </c>
      <c r="T9" s="36">
        <v>-2.36</v>
      </c>
      <c r="U9" s="36">
        <v>1.69</v>
      </c>
      <c r="V9" s="36">
        <v>0.68</v>
      </c>
      <c r="W9" s="36">
        <v>1.62</v>
      </c>
      <c r="X9" s="36">
        <v>0.96</v>
      </c>
      <c r="Y9" s="36">
        <v>1.87</v>
      </c>
      <c r="Z9" s="37" t="s">
        <v>3</v>
      </c>
      <c r="AA9" s="37" t="s">
        <v>3</v>
      </c>
      <c r="AB9" s="37" t="s">
        <v>3</v>
      </c>
      <c r="AC9" s="37" t="s">
        <v>3</v>
      </c>
      <c r="AD9" s="37" t="s">
        <v>3</v>
      </c>
      <c r="AE9" s="37" t="s">
        <v>3</v>
      </c>
    </row>
    <row r="10" spans="1:31" ht="17" x14ac:dyDescent="0.45">
      <c r="A10" s="34" t="s">
        <v>104</v>
      </c>
      <c r="B10" s="35" t="s">
        <v>3</v>
      </c>
      <c r="C10" s="36">
        <v>3.98</v>
      </c>
      <c r="D10" s="36">
        <v>0.6</v>
      </c>
      <c r="E10" s="36">
        <v>0.8</v>
      </c>
      <c r="F10" s="36">
        <v>3.39</v>
      </c>
      <c r="G10" s="36">
        <v>0.85</v>
      </c>
      <c r="H10" s="36">
        <v>2.6</v>
      </c>
      <c r="I10" s="36">
        <v>-0.71</v>
      </c>
      <c r="J10" s="36">
        <v>2.2799999999999998</v>
      </c>
      <c r="K10" s="36">
        <v>0.01</v>
      </c>
      <c r="L10" s="36">
        <v>0.89</v>
      </c>
      <c r="M10" s="36">
        <v>0.53</v>
      </c>
      <c r="N10" s="36">
        <v>1.03</v>
      </c>
      <c r="O10" s="36">
        <v>1.1499999999999999</v>
      </c>
      <c r="P10" s="36">
        <v>-1.1000000000000001</v>
      </c>
      <c r="Q10" s="36">
        <v>-0.59</v>
      </c>
      <c r="R10" s="36">
        <v>0.79</v>
      </c>
      <c r="S10" s="36">
        <v>1.35</v>
      </c>
      <c r="T10" s="36">
        <v>-1.75</v>
      </c>
      <c r="U10" s="36">
        <v>-2.31</v>
      </c>
      <c r="V10" s="36">
        <v>0.89</v>
      </c>
      <c r="W10" s="36">
        <v>1.37</v>
      </c>
      <c r="X10" s="36">
        <v>-0.04</v>
      </c>
      <c r="Y10" s="36">
        <v>0.75</v>
      </c>
      <c r="Z10" s="36">
        <v>1.94</v>
      </c>
      <c r="AA10" s="36">
        <v>1.1000000000000001</v>
      </c>
      <c r="AB10" s="36">
        <v>-8.0500000000000007</v>
      </c>
      <c r="AC10" s="36">
        <v>-1.24</v>
      </c>
      <c r="AD10" s="36">
        <v>8.32</v>
      </c>
      <c r="AE10" s="36">
        <v>-4.08</v>
      </c>
    </row>
    <row r="11" spans="1:31" ht="17" x14ac:dyDescent="0.45">
      <c r="A11" s="34" t="s">
        <v>105</v>
      </c>
      <c r="B11" s="35" t="s">
        <v>3</v>
      </c>
      <c r="C11" s="37" t="s">
        <v>3</v>
      </c>
      <c r="D11" s="36">
        <v>-2.4</v>
      </c>
      <c r="E11" s="36">
        <v>1.67</v>
      </c>
      <c r="F11" s="36">
        <v>-2.99</v>
      </c>
      <c r="G11" s="36">
        <v>1.97</v>
      </c>
      <c r="H11" s="36">
        <v>-0.95</v>
      </c>
      <c r="I11" s="36">
        <v>1.04</v>
      </c>
      <c r="J11" s="36">
        <v>2.9</v>
      </c>
      <c r="K11" s="36">
        <v>4.3099999999999996</v>
      </c>
      <c r="L11" s="36">
        <v>1.02</v>
      </c>
      <c r="M11" s="36">
        <v>-0.72</v>
      </c>
      <c r="N11" s="36">
        <v>1.99</v>
      </c>
      <c r="O11" s="36">
        <v>3.35</v>
      </c>
      <c r="P11" s="36">
        <v>0.99</v>
      </c>
      <c r="Q11" s="36">
        <v>-4.1100000000000003</v>
      </c>
      <c r="R11" s="36">
        <v>3.63</v>
      </c>
      <c r="S11" s="36">
        <v>1.74</v>
      </c>
      <c r="T11" s="36">
        <v>-1.31</v>
      </c>
      <c r="U11" s="36">
        <v>0.04</v>
      </c>
      <c r="V11" s="36">
        <v>1.78</v>
      </c>
      <c r="W11" s="36">
        <v>0.9</v>
      </c>
      <c r="X11" s="36">
        <v>0.22</v>
      </c>
      <c r="Y11" s="36">
        <v>-2.87</v>
      </c>
      <c r="Z11" s="36">
        <v>0.76</v>
      </c>
      <c r="AA11" s="36">
        <v>0.41</v>
      </c>
      <c r="AB11" s="36">
        <v>-7.91</v>
      </c>
      <c r="AC11" s="36">
        <v>11.47</v>
      </c>
      <c r="AD11" s="36">
        <v>4.0199999999999996</v>
      </c>
      <c r="AE11" s="36">
        <v>0.51</v>
      </c>
    </row>
    <row r="12" spans="1:31" ht="17" x14ac:dyDescent="0.45">
      <c r="A12" s="34" t="s">
        <v>106</v>
      </c>
      <c r="B12" s="35" t="s">
        <v>3</v>
      </c>
      <c r="C12" s="37" t="s">
        <v>3</v>
      </c>
      <c r="D12" s="37" t="s">
        <v>3</v>
      </c>
      <c r="E12" s="37" t="s">
        <v>3</v>
      </c>
      <c r="F12" s="36">
        <v>3.11</v>
      </c>
      <c r="G12" s="36">
        <v>2.9</v>
      </c>
      <c r="H12" s="36">
        <v>4.0999999999999996</v>
      </c>
      <c r="I12" s="36">
        <v>1.7</v>
      </c>
      <c r="J12" s="36">
        <v>0.6</v>
      </c>
      <c r="K12" s="36">
        <v>0.25</v>
      </c>
      <c r="L12" s="36">
        <v>1.35</v>
      </c>
      <c r="M12" s="36">
        <v>3.65</v>
      </c>
      <c r="N12" s="36">
        <v>2.94</v>
      </c>
      <c r="O12" s="36">
        <v>1.25</v>
      </c>
      <c r="P12" s="36">
        <v>-0.37</v>
      </c>
      <c r="Q12" s="36">
        <v>-3.14</v>
      </c>
      <c r="R12" s="36">
        <v>2.1</v>
      </c>
      <c r="S12" s="36">
        <v>2.99</v>
      </c>
      <c r="T12" s="36">
        <v>0.22</v>
      </c>
      <c r="U12" s="36">
        <v>2.58</v>
      </c>
      <c r="V12" s="36">
        <v>2.71</v>
      </c>
      <c r="W12" s="36">
        <v>-0.75</v>
      </c>
      <c r="X12" s="36">
        <v>0.18</v>
      </c>
      <c r="Y12" s="36">
        <v>0.7</v>
      </c>
      <c r="Z12" s="36">
        <v>0.38</v>
      </c>
      <c r="AA12" s="36">
        <v>0.63</v>
      </c>
      <c r="AB12" s="36">
        <v>3.34</v>
      </c>
      <c r="AC12" s="36">
        <v>-2.72</v>
      </c>
      <c r="AD12" s="36">
        <v>0.64</v>
      </c>
      <c r="AE12" s="36">
        <v>-0.23</v>
      </c>
    </row>
    <row r="13" spans="1:31" ht="17" x14ac:dyDescent="0.45">
      <c r="A13" s="34" t="s">
        <v>107</v>
      </c>
      <c r="B13" s="35" t="s">
        <v>3</v>
      </c>
      <c r="C13" s="37" t="s">
        <v>3</v>
      </c>
      <c r="D13" s="37" t="s">
        <v>3</v>
      </c>
      <c r="E13" s="37" t="s">
        <v>3</v>
      </c>
      <c r="F13" s="37" t="s">
        <v>3</v>
      </c>
      <c r="G13" s="37" t="s">
        <v>3</v>
      </c>
      <c r="H13" s="37" t="s">
        <v>3</v>
      </c>
      <c r="I13" s="37" t="s">
        <v>3</v>
      </c>
      <c r="J13" s="37" t="s">
        <v>3</v>
      </c>
      <c r="K13" s="37" t="s">
        <v>3</v>
      </c>
      <c r="L13" s="37" t="s">
        <v>3</v>
      </c>
      <c r="M13" s="37" t="s">
        <v>3</v>
      </c>
      <c r="N13" s="37" t="s">
        <v>3</v>
      </c>
      <c r="O13" s="37" t="s">
        <v>3</v>
      </c>
      <c r="P13" s="37" t="s">
        <v>3</v>
      </c>
      <c r="Q13" s="37" t="s">
        <v>3</v>
      </c>
      <c r="R13" s="37" t="s">
        <v>3</v>
      </c>
      <c r="S13" s="37" t="s">
        <v>3</v>
      </c>
      <c r="T13" s="37" t="s">
        <v>3</v>
      </c>
      <c r="U13" s="37" t="s">
        <v>3</v>
      </c>
      <c r="V13" s="36">
        <v>1.4</v>
      </c>
      <c r="W13" s="36">
        <v>0.03</v>
      </c>
      <c r="X13" s="36">
        <v>-1.7</v>
      </c>
      <c r="Y13" s="36">
        <v>1.17</v>
      </c>
      <c r="Z13" s="36">
        <v>-0.28000000000000003</v>
      </c>
      <c r="AA13" s="36">
        <v>-1.93</v>
      </c>
      <c r="AB13" s="36">
        <v>3.28</v>
      </c>
      <c r="AC13" s="36">
        <v>13.24</v>
      </c>
      <c r="AD13" s="36">
        <v>-5.33</v>
      </c>
      <c r="AE13" s="37" t="s">
        <v>3</v>
      </c>
    </row>
    <row r="14" spans="1:31" ht="17" x14ac:dyDescent="0.45">
      <c r="A14" s="34" t="s">
        <v>172</v>
      </c>
      <c r="B14" s="35" t="s">
        <v>3</v>
      </c>
      <c r="C14" s="37" t="s">
        <v>3</v>
      </c>
      <c r="D14" s="37" t="s">
        <v>3</v>
      </c>
      <c r="E14" s="37" t="s">
        <v>3</v>
      </c>
      <c r="F14" s="37" t="s">
        <v>3</v>
      </c>
      <c r="G14" s="37" t="s">
        <v>3</v>
      </c>
      <c r="H14" s="37" t="s">
        <v>3</v>
      </c>
      <c r="I14" s="37" t="s">
        <v>3</v>
      </c>
      <c r="J14" s="37" t="s">
        <v>3</v>
      </c>
      <c r="K14" s="37" t="s">
        <v>3</v>
      </c>
      <c r="L14" s="37" t="s">
        <v>3</v>
      </c>
      <c r="M14" s="37" t="s">
        <v>3</v>
      </c>
      <c r="N14" s="37" t="s">
        <v>3</v>
      </c>
      <c r="O14" s="37" t="s">
        <v>3</v>
      </c>
      <c r="P14" s="37" t="s">
        <v>3</v>
      </c>
      <c r="Q14" s="37" t="s">
        <v>3</v>
      </c>
      <c r="R14" s="37" t="s">
        <v>3</v>
      </c>
      <c r="S14" s="37" t="s">
        <v>3</v>
      </c>
      <c r="T14" s="37" t="s">
        <v>3</v>
      </c>
      <c r="U14" s="37" t="s">
        <v>3</v>
      </c>
      <c r="V14" s="37" t="s">
        <v>3</v>
      </c>
      <c r="W14" s="37" t="s">
        <v>3</v>
      </c>
      <c r="X14" s="36">
        <v>1.2</v>
      </c>
      <c r="Y14" s="36">
        <v>2.15</v>
      </c>
      <c r="Z14" s="36">
        <v>2.67</v>
      </c>
      <c r="AA14" s="36">
        <v>1.76</v>
      </c>
      <c r="AB14" s="36">
        <v>-3.29</v>
      </c>
      <c r="AC14" s="36">
        <v>16.36</v>
      </c>
      <c r="AD14" s="36">
        <v>2.02</v>
      </c>
      <c r="AE14" s="37" t="s">
        <v>3</v>
      </c>
    </row>
    <row r="15" spans="1:31" ht="17" x14ac:dyDescent="0.45">
      <c r="A15" s="34" t="s">
        <v>173</v>
      </c>
      <c r="B15" s="35" t="s">
        <v>3</v>
      </c>
      <c r="C15" s="36">
        <v>-7.26</v>
      </c>
      <c r="D15" s="36">
        <v>-5.89</v>
      </c>
      <c r="E15" s="36">
        <v>-3.49</v>
      </c>
      <c r="F15" s="36">
        <v>-4.72</v>
      </c>
      <c r="G15" s="36">
        <v>-6.08</v>
      </c>
      <c r="H15" s="36">
        <v>0.53</v>
      </c>
      <c r="I15" s="36">
        <v>-0.94</v>
      </c>
      <c r="J15" s="36">
        <v>0.22</v>
      </c>
      <c r="K15" s="36">
        <v>-3.27</v>
      </c>
      <c r="L15" s="36">
        <v>3.08</v>
      </c>
      <c r="M15" s="36">
        <v>-0.44</v>
      </c>
      <c r="N15" s="36">
        <v>3.82</v>
      </c>
      <c r="O15" s="36">
        <v>1.63</v>
      </c>
      <c r="P15" s="36">
        <v>3.2</v>
      </c>
      <c r="Q15" s="36">
        <v>-6.92</v>
      </c>
      <c r="R15" s="36">
        <v>6.82</v>
      </c>
      <c r="S15" s="36">
        <v>9.36</v>
      </c>
      <c r="T15" s="36">
        <v>-2.66</v>
      </c>
      <c r="U15" s="36">
        <v>-2</v>
      </c>
      <c r="V15" s="36">
        <v>10.64</v>
      </c>
      <c r="W15" s="36">
        <v>14.44</v>
      </c>
      <c r="X15" s="36">
        <v>-1</v>
      </c>
      <c r="Y15" s="36">
        <v>2.69</v>
      </c>
      <c r="Z15" s="36">
        <v>1.38</v>
      </c>
      <c r="AA15" s="36">
        <v>3.42</v>
      </c>
      <c r="AB15" s="36">
        <v>-2.41</v>
      </c>
      <c r="AC15" s="36">
        <v>-0.81</v>
      </c>
      <c r="AD15" s="36">
        <v>-1.55</v>
      </c>
      <c r="AE15" s="36">
        <v>7.1</v>
      </c>
    </row>
    <row r="16" spans="1:31" ht="17" x14ac:dyDescent="0.45">
      <c r="A16" s="34" t="s">
        <v>174</v>
      </c>
      <c r="B16" s="35" t="s">
        <v>3</v>
      </c>
      <c r="C16" s="36">
        <v>11.23</v>
      </c>
      <c r="D16" s="36">
        <v>7.55</v>
      </c>
      <c r="E16" s="36">
        <v>3.52</v>
      </c>
      <c r="F16" s="36">
        <v>0.88</v>
      </c>
      <c r="G16" s="36">
        <v>2.98</v>
      </c>
      <c r="H16" s="36">
        <v>7.18</v>
      </c>
      <c r="I16" s="36">
        <v>4.96</v>
      </c>
      <c r="J16" s="36">
        <v>1.69</v>
      </c>
      <c r="K16" s="36">
        <v>6.94</v>
      </c>
      <c r="L16" s="36">
        <v>3.83</v>
      </c>
      <c r="M16" s="36">
        <v>4.8</v>
      </c>
      <c r="N16" s="36">
        <v>4.0599999999999996</v>
      </c>
      <c r="O16" s="36">
        <v>5.41</v>
      </c>
      <c r="P16" s="36">
        <v>-2.77</v>
      </c>
      <c r="Q16" s="36">
        <v>-12.53</v>
      </c>
      <c r="R16" s="36">
        <v>3.56</v>
      </c>
      <c r="S16" s="36">
        <v>3.31</v>
      </c>
      <c r="T16" s="36">
        <v>-0.94</v>
      </c>
      <c r="U16" s="36">
        <v>-0.93</v>
      </c>
      <c r="V16" s="36">
        <v>3.28</v>
      </c>
      <c r="W16" s="36">
        <v>5.25</v>
      </c>
      <c r="X16" s="36">
        <v>1.7</v>
      </c>
      <c r="Y16" s="36">
        <v>7.9</v>
      </c>
      <c r="Z16" s="36">
        <v>3.56</v>
      </c>
      <c r="AA16" s="36">
        <v>4.24</v>
      </c>
      <c r="AB16" s="36">
        <v>-7.6</v>
      </c>
      <c r="AC16" s="36">
        <v>7.72</v>
      </c>
      <c r="AD16" s="36">
        <v>0.23</v>
      </c>
      <c r="AE16" s="36">
        <v>2.38</v>
      </c>
    </row>
    <row r="17" spans="1:31" ht="17" x14ac:dyDescent="0.45">
      <c r="A17" s="34" t="s">
        <v>108</v>
      </c>
      <c r="B17" s="35" t="s">
        <v>3</v>
      </c>
      <c r="C17" s="36">
        <v>3.53</v>
      </c>
      <c r="D17" s="36">
        <v>5.0999999999999996</v>
      </c>
      <c r="E17" s="36">
        <v>-0.37</v>
      </c>
      <c r="F17" s="36">
        <v>-1.04</v>
      </c>
      <c r="G17" s="36">
        <v>5.51</v>
      </c>
      <c r="H17" s="36">
        <v>6.13</v>
      </c>
      <c r="I17" s="36">
        <v>0.52</v>
      </c>
      <c r="J17" s="36">
        <v>-0.25</v>
      </c>
      <c r="K17" s="36">
        <v>1.37</v>
      </c>
      <c r="L17" s="36">
        <v>0.37</v>
      </c>
      <c r="M17" s="36">
        <v>1.32</v>
      </c>
      <c r="N17" s="36">
        <v>3.22</v>
      </c>
      <c r="O17" s="36">
        <v>-1.28</v>
      </c>
      <c r="P17" s="36">
        <v>-8.23</v>
      </c>
      <c r="Q17" s="36">
        <v>-2.85</v>
      </c>
      <c r="R17" s="36">
        <v>6.85</v>
      </c>
      <c r="S17" s="36">
        <v>1.87</v>
      </c>
      <c r="T17" s="36">
        <v>-0.9</v>
      </c>
      <c r="U17" s="36">
        <v>2.72</v>
      </c>
      <c r="V17" s="36">
        <v>-0.2</v>
      </c>
      <c r="W17" s="36">
        <v>1.21</v>
      </c>
      <c r="X17" s="36">
        <v>0.97</v>
      </c>
      <c r="Y17" s="36">
        <v>1.05</v>
      </c>
      <c r="Z17" s="36">
        <v>1.2</v>
      </c>
      <c r="AA17" s="36">
        <v>-0.86</v>
      </c>
      <c r="AB17" s="36">
        <v>2.63</v>
      </c>
      <c r="AC17" s="36">
        <v>3.91</v>
      </c>
      <c r="AD17" s="36">
        <v>-2.15</v>
      </c>
      <c r="AE17" s="36">
        <v>1.1200000000000001</v>
      </c>
    </row>
    <row r="18" spans="1:31" ht="17" x14ac:dyDescent="0.45">
      <c r="A18" s="34" t="s">
        <v>109</v>
      </c>
      <c r="B18" s="35" t="s">
        <v>3</v>
      </c>
      <c r="C18" s="37" t="s">
        <v>3</v>
      </c>
      <c r="D18" s="36">
        <v>12.06</v>
      </c>
      <c r="E18" s="36">
        <v>12.72</v>
      </c>
      <c r="F18" s="36">
        <v>7.12</v>
      </c>
      <c r="G18" s="36">
        <v>4.28</v>
      </c>
      <c r="H18" s="36">
        <v>6.42</v>
      </c>
      <c r="I18" s="36">
        <v>4.1500000000000004</v>
      </c>
      <c r="J18" s="36">
        <v>5.18</v>
      </c>
      <c r="K18" s="36">
        <v>11.3</v>
      </c>
      <c r="L18" s="36">
        <v>18.940000000000001</v>
      </c>
      <c r="M18" s="36">
        <v>-0.84</v>
      </c>
      <c r="N18" s="36">
        <v>2.78</v>
      </c>
      <c r="O18" s="36">
        <v>9.6199999999999992</v>
      </c>
      <c r="P18" s="36">
        <v>-14.8</v>
      </c>
      <c r="Q18" s="36">
        <v>-11.24</v>
      </c>
      <c r="R18" s="36">
        <v>13.39</v>
      </c>
      <c r="S18" s="36">
        <v>4.34</v>
      </c>
      <c r="T18" s="36">
        <v>3.05</v>
      </c>
      <c r="U18" s="36">
        <v>-0.17</v>
      </c>
      <c r="V18" s="36">
        <v>-2</v>
      </c>
      <c r="W18" s="36">
        <v>7.0000000000000007E-2</v>
      </c>
      <c r="X18" s="36">
        <v>-0.12</v>
      </c>
      <c r="Y18" s="36">
        <v>3.72</v>
      </c>
      <c r="Z18" s="36">
        <v>4.9000000000000004</v>
      </c>
      <c r="AA18" s="36">
        <v>-0.26</v>
      </c>
      <c r="AB18" s="36">
        <v>-5.26</v>
      </c>
      <c r="AC18" s="36">
        <v>9.61</v>
      </c>
      <c r="AD18" s="36">
        <v>-4.59</v>
      </c>
      <c r="AE18" s="36">
        <v>-2.52</v>
      </c>
    </row>
    <row r="19" spans="1:31" ht="17" x14ac:dyDescent="0.45">
      <c r="A19" s="34" t="s">
        <v>110</v>
      </c>
      <c r="B19" s="35" t="s">
        <v>3</v>
      </c>
      <c r="C19" s="36">
        <v>4.07</v>
      </c>
      <c r="D19" s="36">
        <v>0.22</v>
      </c>
      <c r="E19" s="36">
        <v>0.94</v>
      </c>
      <c r="F19" s="36">
        <v>3.4</v>
      </c>
      <c r="G19" s="36">
        <v>0.53</v>
      </c>
      <c r="H19" s="36">
        <v>2.2400000000000002</v>
      </c>
      <c r="I19" s="36">
        <v>4.78</v>
      </c>
      <c r="J19" s="36">
        <v>-1.76</v>
      </c>
      <c r="K19" s="36">
        <v>1.2</v>
      </c>
      <c r="L19" s="36">
        <v>4.07</v>
      </c>
      <c r="M19" s="36">
        <v>1.33</v>
      </c>
      <c r="N19" s="36">
        <v>-1.98</v>
      </c>
      <c r="O19" s="36">
        <v>6.23</v>
      </c>
      <c r="P19" s="36">
        <v>4.55</v>
      </c>
      <c r="Q19" s="36">
        <v>-9.2899999999999991</v>
      </c>
      <c r="R19" s="36">
        <v>6.23</v>
      </c>
      <c r="S19" s="36">
        <v>3.09</v>
      </c>
      <c r="T19" s="36">
        <v>0.7</v>
      </c>
      <c r="U19" s="36">
        <v>-2.67</v>
      </c>
      <c r="V19" s="36">
        <v>-2.0499999999999998</v>
      </c>
      <c r="W19" s="36">
        <v>-2.2599999999999998</v>
      </c>
      <c r="X19" s="36">
        <v>3.94</v>
      </c>
      <c r="Y19" s="36">
        <v>5.65</v>
      </c>
      <c r="Z19" s="36">
        <v>-2.0499999999999998</v>
      </c>
      <c r="AA19" s="36">
        <v>-0.19</v>
      </c>
      <c r="AB19" s="36">
        <v>-2.0099999999999998</v>
      </c>
      <c r="AC19" s="36">
        <v>-0.25</v>
      </c>
      <c r="AD19" s="36">
        <v>-1.53</v>
      </c>
      <c r="AE19" s="36">
        <v>-2.96</v>
      </c>
    </row>
    <row r="20" spans="1:31" ht="17" x14ac:dyDescent="0.45">
      <c r="A20" s="34" t="s">
        <v>111</v>
      </c>
      <c r="B20" s="35" t="s">
        <v>3</v>
      </c>
      <c r="C20" s="36">
        <v>2.2200000000000002</v>
      </c>
      <c r="D20" s="36">
        <v>0.54</v>
      </c>
      <c r="E20" s="36">
        <v>4.5599999999999996</v>
      </c>
      <c r="F20" s="36">
        <v>4.24</v>
      </c>
      <c r="G20" s="36">
        <v>1.65</v>
      </c>
      <c r="H20" s="36">
        <v>1.67</v>
      </c>
      <c r="I20" s="36">
        <v>-0.13</v>
      </c>
      <c r="J20" s="36">
        <v>-0.83</v>
      </c>
      <c r="K20" s="36">
        <v>-0.77</v>
      </c>
      <c r="L20" s="36">
        <v>1.06</v>
      </c>
      <c r="M20" s="36">
        <v>1.28</v>
      </c>
      <c r="N20" s="36">
        <v>2.0699999999999998</v>
      </c>
      <c r="O20" s="36">
        <v>1.92</v>
      </c>
      <c r="P20" s="36">
        <v>0.98</v>
      </c>
      <c r="Q20" s="36">
        <v>-4.0999999999999996</v>
      </c>
      <c r="R20" s="36">
        <v>2.1</v>
      </c>
      <c r="S20" s="36">
        <v>2.5299999999999998</v>
      </c>
      <c r="T20" s="36">
        <v>-0.62</v>
      </c>
      <c r="U20" s="36">
        <v>1.02</v>
      </c>
      <c r="V20" s="36">
        <v>1.06</v>
      </c>
      <c r="W20" s="36">
        <v>1.1499999999999999</v>
      </c>
      <c r="X20" s="36">
        <v>1.18</v>
      </c>
      <c r="Y20" s="36">
        <v>-0.21</v>
      </c>
      <c r="Z20" s="36">
        <v>-1.91</v>
      </c>
      <c r="AA20" s="36">
        <v>1.29</v>
      </c>
      <c r="AB20" s="36">
        <v>-15.8</v>
      </c>
      <c r="AC20" s="36">
        <v>5.86</v>
      </c>
      <c r="AD20" s="36">
        <v>3.95</v>
      </c>
      <c r="AE20" s="36">
        <v>-1.83</v>
      </c>
    </row>
    <row r="21" spans="1:31" ht="17" x14ac:dyDescent="0.45">
      <c r="A21" s="34" t="s">
        <v>112</v>
      </c>
      <c r="B21" s="35" t="s">
        <v>3</v>
      </c>
      <c r="C21" s="36">
        <v>2.23</v>
      </c>
      <c r="D21" s="36">
        <v>-0.7</v>
      </c>
      <c r="E21" s="36">
        <v>1.73</v>
      </c>
      <c r="F21" s="36">
        <v>1.88</v>
      </c>
      <c r="G21" s="36">
        <v>-0.16</v>
      </c>
      <c r="H21" s="36">
        <v>0.92</v>
      </c>
      <c r="I21" s="36">
        <v>5.04</v>
      </c>
      <c r="J21" s="36">
        <v>1.85</v>
      </c>
      <c r="K21" s="36">
        <v>3.94</v>
      </c>
      <c r="L21" s="36">
        <v>2.11</v>
      </c>
      <c r="M21" s="36">
        <v>2.95</v>
      </c>
      <c r="N21" s="36">
        <v>7.85</v>
      </c>
      <c r="O21" s="36">
        <v>1.44</v>
      </c>
      <c r="P21" s="36">
        <v>-0.43</v>
      </c>
      <c r="Q21" s="36">
        <v>-6.05</v>
      </c>
      <c r="R21" s="36">
        <v>-2.13</v>
      </c>
      <c r="S21" s="36">
        <v>2.73</v>
      </c>
      <c r="T21" s="36">
        <v>1.51</v>
      </c>
      <c r="U21" s="36">
        <v>-0.53</v>
      </c>
      <c r="V21" s="36">
        <v>1.22</v>
      </c>
      <c r="W21" s="36">
        <v>1.58</v>
      </c>
      <c r="X21" s="36">
        <v>1.1200000000000001</v>
      </c>
      <c r="Y21" s="36">
        <v>3.1</v>
      </c>
      <c r="Z21" s="36">
        <v>0.8</v>
      </c>
      <c r="AA21" s="36">
        <v>1.78</v>
      </c>
      <c r="AB21" s="36">
        <v>-6.33</v>
      </c>
      <c r="AC21" s="36">
        <v>2.66</v>
      </c>
      <c r="AD21" s="36">
        <v>3.85</v>
      </c>
      <c r="AE21" s="36">
        <v>-2.09</v>
      </c>
    </row>
    <row r="22" spans="1:31" ht="17" x14ac:dyDescent="0.45">
      <c r="A22" s="34" t="s">
        <v>113</v>
      </c>
      <c r="B22" s="35" t="s">
        <v>3</v>
      </c>
      <c r="C22" s="37" t="s">
        <v>3</v>
      </c>
      <c r="D22" s="36">
        <v>5.84</v>
      </c>
      <c r="E22" s="36">
        <v>5.08</v>
      </c>
      <c r="F22" s="36">
        <v>-0.89</v>
      </c>
      <c r="G22" s="36">
        <v>0.83</v>
      </c>
      <c r="H22" s="36">
        <v>9.32</v>
      </c>
      <c r="I22" s="36">
        <v>0.23</v>
      </c>
      <c r="J22" s="36">
        <v>4.1399999999999997</v>
      </c>
      <c r="K22" s="36">
        <v>7.64</v>
      </c>
      <c r="L22" s="36">
        <v>6.82</v>
      </c>
      <c r="M22" s="36">
        <v>1.68</v>
      </c>
      <c r="N22" s="36">
        <v>-3.02</v>
      </c>
      <c r="O22" s="36">
        <v>5.66</v>
      </c>
      <c r="P22" s="36">
        <v>4.22</v>
      </c>
      <c r="Q22" s="36">
        <v>-9.34</v>
      </c>
      <c r="R22" s="36">
        <v>-1.68</v>
      </c>
      <c r="S22" s="36">
        <v>-7.05</v>
      </c>
      <c r="T22" s="36">
        <v>-4.3099999999999996</v>
      </c>
      <c r="U22" s="36">
        <v>0.09</v>
      </c>
      <c r="V22" s="36">
        <v>-5.26</v>
      </c>
      <c r="W22" s="36">
        <v>-3.12</v>
      </c>
      <c r="X22" s="36">
        <v>-9.1999999999999993</v>
      </c>
      <c r="Y22" s="36">
        <v>5.72</v>
      </c>
      <c r="Z22" s="36">
        <v>-3.53</v>
      </c>
      <c r="AA22" s="36">
        <v>-6.69</v>
      </c>
      <c r="AB22" s="36">
        <v>-16.3</v>
      </c>
      <c r="AC22" s="36">
        <v>3.8</v>
      </c>
      <c r="AD22" s="36">
        <v>5.8</v>
      </c>
      <c r="AE22" s="36">
        <v>0.56999999999999995</v>
      </c>
    </row>
    <row r="23" spans="1:31" ht="17" x14ac:dyDescent="0.45">
      <c r="A23" s="34" t="s">
        <v>114</v>
      </c>
      <c r="B23" s="35" t="s">
        <v>3</v>
      </c>
      <c r="C23" s="37" t="s">
        <v>3</v>
      </c>
      <c r="D23" s="36">
        <v>-5.55</v>
      </c>
      <c r="E23" s="36">
        <v>4.08</v>
      </c>
      <c r="F23" s="36">
        <v>5.18</v>
      </c>
      <c r="G23" s="36">
        <v>-2.1800000000000002</v>
      </c>
      <c r="H23" s="36">
        <v>3.6</v>
      </c>
      <c r="I23" s="36">
        <v>0.91</v>
      </c>
      <c r="J23" s="36">
        <v>7.65</v>
      </c>
      <c r="K23" s="36">
        <v>3.34</v>
      </c>
      <c r="L23" s="36">
        <v>2.86</v>
      </c>
      <c r="M23" s="36">
        <v>5.97</v>
      </c>
      <c r="N23" s="36">
        <v>5.65</v>
      </c>
      <c r="O23" s="36">
        <v>-0.66</v>
      </c>
      <c r="P23" s="36">
        <v>1.1100000000000001</v>
      </c>
      <c r="Q23" s="36">
        <v>-12.58</v>
      </c>
      <c r="R23" s="36">
        <v>1.87</v>
      </c>
      <c r="S23" s="36">
        <v>0.67</v>
      </c>
      <c r="T23" s="36">
        <v>0.77</v>
      </c>
      <c r="U23" s="36">
        <v>3.25</v>
      </c>
      <c r="V23" s="36">
        <v>3.38</v>
      </c>
      <c r="W23" s="36">
        <v>0.28000000000000003</v>
      </c>
      <c r="X23" s="36">
        <v>-1.38</v>
      </c>
      <c r="Y23" s="36">
        <v>4.96</v>
      </c>
      <c r="Z23" s="36">
        <v>7.88</v>
      </c>
      <c r="AA23" s="36">
        <v>4.43</v>
      </c>
      <c r="AB23" s="36">
        <v>-3.1</v>
      </c>
      <c r="AC23" s="36">
        <v>9.42</v>
      </c>
      <c r="AD23" s="36">
        <v>5.78</v>
      </c>
      <c r="AE23" s="36">
        <v>-7.63</v>
      </c>
    </row>
    <row r="24" spans="1:31" ht="17" x14ac:dyDescent="0.45">
      <c r="A24" s="34" t="s">
        <v>115</v>
      </c>
      <c r="B24" s="35" t="s">
        <v>3</v>
      </c>
      <c r="C24" s="37" t="s">
        <v>3</v>
      </c>
      <c r="D24" s="36">
        <v>7.87</v>
      </c>
      <c r="E24" s="36">
        <v>3.26</v>
      </c>
      <c r="F24" s="36">
        <v>6.41</v>
      </c>
      <c r="G24" s="36">
        <v>-0.2</v>
      </c>
      <c r="H24" s="36">
        <v>3.01</v>
      </c>
      <c r="I24" s="36">
        <v>-0.04</v>
      </c>
      <c r="J24" s="36">
        <v>3.11</v>
      </c>
      <c r="K24" s="36">
        <v>5.26</v>
      </c>
      <c r="L24" s="36">
        <v>6.16</v>
      </c>
      <c r="M24" s="36">
        <v>-6.62</v>
      </c>
      <c r="N24" s="36">
        <v>-8.24</v>
      </c>
      <c r="O24" s="36">
        <v>6.75</v>
      </c>
      <c r="P24" s="36">
        <v>-3.84</v>
      </c>
      <c r="Q24" s="36">
        <v>2.48</v>
      </c>
      <c r="R24" s="36">
        <v>-2.57</v>
      </c>
      <c r="S24" s="36">
        <v>1.89</v>
      </c>
      <c r="T24" s="36">
        <v>-2.09</v>
      </c>
      <c r="U24" s="36">
        <v>3.67</v>
      </c>
      <c r="V24" s="36">
        <v>0.27</v>
      </c>
      <c r="W24" s="36">
        <v>4.8499999999999996</v>
      </c>
      <c r="X24" s="36">
        <v>3.12</v>
      </c>
      <c r="Y24" s="36">
        <v>0.04</v>
      </c>
      <c r="Z24" s="36">
        <v>-1.1499999999999999</v>
      </c>
      <c r="AA24" s="36">
        <v>1.17</v>
      </c>
      <c r="AB24" s="36">
        <v>-9.8000000000000007</v>
      </c>
      <c r="AC24" s="36">
        <v>10.8</v>
      </c>
      <c r="AD24" s="36">
        <v>6.59</v>
      </c>
      <c r="AE24" s="36">
        <v>3.08</v>
      </c>
    </row>
    <row r="25" spans="1:31" ht="17" x14ac:dyDescent="0.45">
      <c r="A25" s="34" t="s">
        <v>116</v>
      </c>
      <c r="B25" s="35" t="s">
        <v>3</v>
      </c>
      <c r="C25" s="37" t="s">
        <v>3</v>
      </c>
      <c r="D25" s="36">
        <v>3.5</v>
      </c>
      <c r="E25" s="36">
        <v>6.62</v>
      </c>
      <c r="F25" s="36">
        <v>3.39</v>
      </c>
      <c r="G25" s="36">
        <v>0.09</v>
      </c>
      <c r="H25" s="36">
        <v>-2.21</v>
      </c>
      <c r="I25" s="36">
        <v>-3.88</v>
      </c>
      <c r="J25" s="36">
        <v>0.03</v>
      </c>
      <c r="K25" s="36">
        <v>-0.69</v>
      </c>
      <c r="L25" s="36">
        <v>0.34</v>
      </c>
      <c r="M25" s="36">
        <v>0.71</v>
      </c>
      <c r="N25" s="36">
        <v>2.68</v>
      </c>
      <c r="O25" s="36">
        <v>3.33</v>
      </c>
      <c r="P25" s="36">
        <v>-2.36</v>
      </c>
      <c r="Q25" s="36">
        <v>-5.24</v>
      </c>
      <c r="R25" s="36">
        <v>2.15</v>
      </c>
      <c r="S25" s="36">
        <v>3.76</v>
      </c>
      <c r="T25" s="36">
        <v>-0.63</v>
      </c>
      <c r="U25" s="36">
        <v>-2.5299999999999998</v>
      </c>
      <c r="V25" s="36">
        <v>3.05</v>
      </c>
      <c r="W25" s="36">
        <v>4.63</v>
      </c>
      <c r="X25" s="36">
        <v>2.89</v>
      </c>
      <c r="Y25" s="36">
        <v>1.73</v>
      </c>
      <c r="Z25" s="36">
        <v>1.76</v>
      </c>
      <c r="AA25" s="36">
        <v>0.63</v>
      </c>
      <c r="AB25" s="36">
        <v>-10.87</v>
      </c>
      <c r="AC25" s="36">
        <v>9.73</v>
      </c>
      <c r="AD25" s="36">
        <v>1.77</v>
      </c>
      <c r="AE25" s="36">
        <v>-5.29</v>
      </c>
    </row>
    <row r="26" spans="1:31" ht="17" x14ac:dyDescent="0.45">
      <c r="A26" s="34" t="s">
        <v>117</v>
      </c>
      <c r="B26" s="35" t="s">
        <v>3</v>
      </c>
      <c r="C26" s="37" t="s">
        <v>3</v>
      </c>
      <c r="D26" s="36">
        <v>1.06</v>
      </c>
      <c r="E26" s="36">
        <v>1.77</v>
      </c>
      <c r="F26" s="36">
        <v>-2.6</v>
      </c>
      <c r="G26" s="36">
        <v>0.06</v>
      </c>
      <c r="H26" s="36">
        <v>3.94</v>
      </c>
      <c r="I26" s="36">
        <v>0.73</v>
      </c>
      <c r="J26" s="36">
        <v>-2.71</v>
      </c>
      <c r="K26" s="36">
        <v>5.8</v>
      </c>
      <c r="L26" s="36">
        <v>10.71</v>
      </c>
      <c r="M26" s="36">
        <v>-0.59</v>
      </c>
      <c r="N26" s="36">
        <v>4.67</v>
      </c>
      <c r="O26" s="36">
        <v>4.24</v>
      </c>
      <c r="P26" s="36">
        <v>0.11</v>
      </c>
      <c r="Q26" s="36">
        <v>2.5</v>
      </c>
      <c r="R26" s="36">
        <v>3.83</v>
      </c>
      <c r="S26" s="36">
        <v>7.46</v>
      </c>
      <c r="T26" s="36">
        <v>-3.1</v>
      </c>
      <c r="U26" s="36">
        <v>5.7</v>
      </c>
      <c r="V26" s="36">
        <v>3.53</v>
      </c>
      <c r="W26" s="36">
        <v>-0.79</v>
      </c>
      <c r="X26" s="36">
        <v>4.55</v>
      </c>
      <c r="Y26" s="36">
        <v>5.38</v>
      </c>
      <c r="Z26" s="36">
        <v>2.69</v>
      </c>
      <c r="AA26" s="36">
        <v>0.32</v>
      </c>
      <c r="AB26" s="36">
        <v>-2.11</v>
      </c>
      <c r="AC26" s="36">
        <v>17.12</v>
      </c>
      <c r="AD26" s="36">
        <v>-1.23</v>
      </c>
      <c r="AE26" s="37" t="s">
        <v>3</v>
      </c>
    </row>
    <row r="27" spans="1:31" ht="17" x14ac:dyDescent="0.45">
      <c r="A27" s="34" t="s">
        <v>118</v>
      </c>
      <c r="B27" s="35" t="s">
        <v>3</v>
      </c>
      <c r="C27" s="36">
        <v>5.99</v>
      </c>
      <c r="D27" s="36">
        <v>0.89</v>
      </c>
      <c r="E27" s="36">
        <v>3.33</v>
      </c>
      <c r="F27" s="36">
        <v>2.87</v>
      </c>
      <c r="G27" s="36">
        <v>-0.42</v>
      </c>
      <c r="H27" s="36">
        <v>2.76</v>
      </c>
      <c r="I27" s="36">
        <v>-0.35</v>
      </c>
      <c r="J27" s="36">
        <v>-2.64</v>
      </c>
      <c r="K27" s="36">
        <v>-1.79</v>
      </c>
      <c r="L27" s="36">
        <v>2.11</v>
      </c>
      <c r="M27" s="36">
        <v>2.79</v>
      </c>
      <c r="N27" s="36">
        <v>-1.33</v>
      </c>
      <c r="O27" s="36">
        <v>0.68</v>
      </c>
      <c r="P27" s="36">
        <v>-1.38</v>
      </c>
      <c r="Q27" s="36">
        <v>-4.1399999999999997</v>
      </c>
      <c r="R27" s="36">
        <v>3.39</v>
      </c>
      <c r="S27" s="36">
        <v>1.47</v>
      </c>
      <c r="T27" s="36">
        <v>-1.99</v>
      </c>
      <c r="U27" s="36">
        <v>0.76</v>
      </c>
      <c r="V27" s="36">
        <v>1.9</v>
      </c>
      <c r="W27" s="36">
        <v>0.86</v>
      </c>
      <c r="X27" s="36">
        <v>7.0000000000000007E-2</v>
      </c>
      <c r="Y27" s="36">
        <v>0.52</v>
      </c>
      <c r="Z27" s="36">
        <v>0.43</v>
      </c>
      <c r="AA27" s="36">
        <v>1.74</v>
      </c>
      <c r="AB27" s="36">
        <v>-12.22</v>
      </c>
      <c r="AC27" s="36">
        <v>14.72</v>
      </c>
      <c r="AD27" s="36">
        <v>6.38</v>
      </c>
      <c r="AE27" s="36">
        <v>-1.82</v>
      </c>
    </row>
    <row r="28" spans="1:31" ht="17" x14ac:dyDescent="0.45">
      <c r="A28" s="34" t="s">
        <v>136</v>
      </c>
      <c r="B28" s="35" t="s">
        <v>3</v>
      </c>
      <c r="C28" s="36">
        <v>2.78</v>
      </c>
      <c r="D28" s="36">
        <v>-0.45</v>
      </c>
      <c r="E28" s="36">
        <v>1.19</v>
      </c>
      <c r="F28" s="36">
        <v>-2.04</v>
      </c>
      <c r="G28" s="36">
        <v>0.12</v>
      </c>
      <c r="H28" s="36">
        <v>-0.66</v>
      </c>
      <c r="I28" s="36">
        <v>2.5299999999999998</v>
      </c>
      <c r="J28" s="36">
        <v>2.5</v>
      </c>
      <c r="K28" s="36">
        <v>0.24</v>
      </c>
      <c r="L28" s="36">
        <v>3.21</v>
      </c>
      <c r="M28" s="36">
        <v>-1.06</v>
      </c>
      <c r="N28" s="36">
        <v>-1.45</v>
      </c>
      <c r="O28" s="36">
        <v>-1.64</v>
      </c>
      <c r="P28" s="36">
        <v>-1.74</v>
      </c>
      <c r="Q28" s="36">
        <v>-6.98</v>
      </c>
      <c r="R28" s="36">
        <v>1.68</v>
      </c>
      <c r="S28" s="36">
        <v>2.3199999999999998</v>
      </c>
      <c r="T28" s="36">
        <v>4.9000000000000004</v>
      </c>
      <c r="U28" s="36">
        <v>2.4900000000000002</v>
      </c>
      <c r="V28" s="36">
        <v>-1.49</v>
      </c>
      <c r="W28" s="36">
        <v>1.3</v>
      </c>
      <c r="X28" s="36">
        <v>-0.66</v>
      </c>
      <c r="Y28" s="36">
        <v>2.2799999999999998</v>
      </c>
      <c r="Z28" s="36">
        <v>-3.49</v>
      </c>
      <c r="AA28" s="36">
        <v>-2.59</v>
      </c>
      <c r="AB28" s="36">
        <v>-12.35</v>
      </c>
      <c r="AC28" s="36">
        <v>2.79</v>
      </c>
      <c r="AD28" s="36">
        <v>9.9700000000000006</v>
      </c>
      <c r="AE28" s="37" t="s">
        <v>3</v>
      </c>
    </row>
    <row r="29" spans="1:31" ht="17" x14ac:dyDescent="0.45">
      <c r="A29" s="34" t="s">
        <v>134</v>
      </c>
      <c r="B29" s="35" t="s">
        <v>3</v>
      </c>
      <c r="C29" s="37" t="s">
        <v>3</v>
      </c>
      <c r="D29" s="37" t="s">
        <v>3</v>
      </c>
      <c r="E29" s="37" t="s">
        <v>3</v>
      </c>
      <c r="F29" s="37" t="s">
        <v>3</v>
      </c>
      <c r="G29" s="37" t="s">
        <v>3</v>
      </c>
      <c r="H29" s="37" t="s">
        <v>3</v>
      </c>
      <c r="I29" s="37" t="s">
        <v>3</v>
      </c>
      <c r="J29" s="37" t="s">
        <v>3</v>
      </c>
      <c r="K29" s="37" t="s">
        <v>3</v>
      </c>
      <c r="L29" s="37" t="s">
        <v>3</v>
      </c>
      <c r="M29" s="36">
        <v>3.26</v>
      </c>
      <c r="N29" s="36">
        <v>4.09</v>
      </c>
      <c r="O29" s="36">
        <v>5.48</v>
      </c>
      <c r="P29" s="36">
        <v>3.3</v>
      </c>
      <c r="Q29" s="36">
        <v>0.93</v>
      </c>
      <c r="R29" s="36">
        <v>9.1999999999999993</v>
      </c>
      <c r="S29" s="36">
        <v>3.27</v>
      </c>
      <c r="T29" s="36">
        <v>2.25</v>
      </c>
      <c r="U29" s="36">
        <v>2.61</v>
      </c>
      <c r="V29" s="36">
        <v>-2.16</v>
      </c>
      <c r="W29" s="36">
        <v>2.13</v>
      </c>
      <c r="X29" s="36">
        <v>2</v>
      </c>
      <c r="Y29" s="36">
        <v>2.33</v>
      </c>
      <c r="Z29" s="36">
        <v>4.97</v>
      </c>
      <c r="AA29" s="36">
        <v>3.01</v>
      </c>
      <c r="AB29" s="36">
        <v>-2.87</v>
      </c>
      <c r="AC29" s="36">
        <v>5.59</v>
      </c>
      <c r="AD29" s="36">
        <v>5.7</v>
      </c>
      <c r="AE29" s="36">
        <v>1.5</v>
      </c>
    </row>
    <row r="30" spans="1:31" ht="17" x14ac:dyDescent="0.45">
      <c r="A30" s="34" t="s">
        <v>119</v>
      </c>
      <c r="B30" s="35" t="s">
        <v>3</v>
      </c>
      <c r="C30" s="37" t="s">
        <v>3</v>
      </c>
      <c r="D30" s="36">
        <v>6.08</v>
      </c>
      <c r="E30" s="36">
        <v>3.56</v>
      </c>
      <c r="F30" s="36">
        <v>10.5</v>
      </c>
      <c r="G30" s="36">
        <v>7.04</v>
      </c>
      <c r="H30" s="36">
        <v>5.79</v>
      </c>
      <c r="I30" s="36">
        <v>8.6300000000000008</v>
      </c>
      <c r="J30" s="36">
        <v>6.18</v>
      </c>
      <c r="K30" s="36">
        <v>10.97</v>
      </c>
      <c r="L30" s="36">
        <v>7.15</v>
      </c>
      <c r="M30" s="36">
        <v>12.03</v>
      </c>
      <c r="N30" s="36">
        <v>9.1999999999999993</v>
      </c>
      <c r="O30" s="36">
        <v>0.41</v>
      </c>
      <c r="P30" s="36">
        <v>0</v>
      </c>
      <c r="Q30" s="36">
        <v>-5.67</v>
      </c>
      <c r="R30" s="36">
        <v>0.46</v>
      </c>
      <c r="S30" s="36">
        <v>5.05</v>
      </c>
      <c r="T30" s="36">
        <v>10.97</v>
      </c>
      <c r="U30" s="36">
        <v>-0.78</v>
      </c>
      <c r="V30" s="36">
        <v>2.66</v>
      </c>
      <c r="W30" s="36">
        <v>3.41</v>
      </c>
      <c r="X30" s="36">
        <v>4.42</v>
      </c>
      <c r="Y30" s="36">
        <v>6.4</v>
      </c>
      <c r="Z30" s="36">
        <v>2.66</v>
      </c>
      <c r="AA30" s="36">
        <v>-2.76</v>
      </c>
      <c r="AB30" s="36">
        <v>-6.56</v>
      </c>
      <c r="AC30" s="36">
        <v>16.82</v>
      </c>
      <c r="AD30" s="36">
        <v>7.11</v>
      </c>
      <c r="AE30" s="36">
        <v>0.73</v>
      </c>
    </row>
    <row r="31" spans="1:31" ht="17" x14ac:dyDescent="0.45">
      <c r="A31" s="34" t="s">
        <v>120</v>
      </c>
      <c r="B31" s="35" t="s">
        <v>3</v>
      </c>
      <c r="C31" s="37" t="s">
        <v>3</v>
      </c>
      <c r="D31" s="36">
        <v>2.94</v>
      </c>
      <c r="E31" s="36">
        <v>10.45</v>
      </c>
      <c r="F31" s="36">
        <v>5.26</v>
      </c>
      <c r="G31" s="36">
        <v>-0.6</v>
      </c>
      <c r="H31" s="36">
        <v>15.11</v>
      </c>
      <c r="I31" s="36">
        <v>7.04</v>
      </c>
      <c r="J31" s="36">
        <v>5.73</v>
      </c>
      <c r="K31" s="36">
        <v>6.45</v>
      </c>
      <c r="L31" s="36">
        <v>2.62</v>
      </c>
      <c r="M31" s="36">
        <v>11.32</v>
      </c>
      <c r="N31" s="36">
        <v>4.5599999999999996</v>
      </c>
      <c r="O31" s="36">
        <v>5.3</v>
      </c>
      <c r="P31" s="36">
        <v>1.38</v>
      </c>
      <c r="Q31" s="36">
        <v>-10.08</v>
      </c>
      <c r="R31" s="36">
        <v>6.74</v>
      </c>
      <c r="S31" s="36">
        <v>5.74</v>
      </c>
      <c r="T31" s="36">
        <v>5.6</v>
      </c>
      <c r="U31" s="36">
        <v>1.84</v>
      </c>
      <c r="V31" s="36">
        <v>-0.26</v>
      </c>
      <c r="W31" s="36">
        <v>3.89</v>
      </c>
      <c r="X31" s="36">
        <v>1.67</v>
      </c>
      <c r="Y31" s="36">
        <v>7.76</v>
      </c>
      <c r="Z31" s="36">
        <v>4.6900000000000004</v>
      </c>
      <c r="AA31" s="36">
        <v>3.48</v>
      </c>
      <c r="AB31" s="36">
        <v>2.06</v>
      </c>
      <c r="AC31" s="36">
        <v>8.51</v>
      </c>
      <c r="AD31" s="36">
        <v>-6</v>
      </c>
      <c r="AE31" s="36">
        <v>-3.86</v>
      </c>
    </row>
    <row r="32" spans="1:31" ht="17" x14ac:dyDescent="0.45">
      <c r="A32" s="34" t="s">
        <v>121</v>
      </c>
      <c r="B32" s="35" t="s">
        <v>3</v>
      </c>
      <c r="C32" s="37" t="s">
        <v>3</v>
      </c>
      <c r="D32" s="36">
        <v>-2.21</v>
      </c>
      <c r="E32" s="36">
        <v>2.17</v>
      </c>
      <c r="F32" s="36">
        <v>7.23</v>
      </c>
      <c r="G32" s="36">
        <v>-3.02</v>
      </c>
      <c r="H32" s="36">
        <v>4.0599999999999996</v>
      </c>
      <c r="I32" s="36">
        <v>0.7</v>
      </c>
      <c r="J32" s="36">
        <v>-1.68</v>
      </c>
      <c r="K32" s="36">
        <v>-3.92</v>
      </c>
      <c r="L32" s="36">
        <v>-1</v>
      </c>
      <c r="M32" s="36">
        <v>-6.07</v>
      </c>
      <c r="N32" s="36">
        <v>3.45</v>
      </c>
      <c r="O32" s="36">
        <v>4.5599999999999996</v>
      </c>
      <c r="P32" s="36">
        <v>3.78</v>
      </c>
      <c r="Q32" s="36">
        <v>-7.33</v>
      </c>
      <c r="R32" s="36">
        <v>11.03</v>
      </c>
      <c r="S32" s="36">
        <v>6.52</v>
      </c>
      <c r="T32" s="36">
        <v>-9.51</v>
      </c>
      <c r="U32" s="36">
        <v>-0.57999999999999996</v>
      </c>
      <c r="V32" s="36">
        <v>-1.07</v>
      </c>
      <c r="W32" s="36">
        <v>-4.25</v>
      </c>
      <c r="X32" s="36">
        <v>4.13</v>
      </c>
      <c r="Y32" s="36">
        <v>2.33</v>
      </c>
      <c r="Z32" s="36">
        <v>-5.81</v>
      </c>
      <c r="AA32" s="36">
        <v>-3.05</v>
      </c>
      <c r="AB32" s="36">
        <v>-7.27</v>
      </c>
      <c r="AC32" s="36">
        <v>4.6100000000000003</v>
      </c>
      <c r="AD32" s="36">
        <v>-4.4800000000000004</v>
      </c>
      <c r="AE32" s="36">
        <v>-6.71</v>
      </c>
    </row>
    <row r="33" spans="1:31" ht="17" x14ac:dyDescent="0.45">
      <c r="A33" s="34" t="s">
        <v>122</v>
      </c>
      <c r="B33" s="35" t="s">
        <v>3</v>
      </c>
      <c r="C33" s="37" t="s">
        <v>3</v>
      </c>
      <c r="D33" s="37" t="s">
        <v>3</v>
      </c>
      <c r="E33" s="37" t="s">
        <v>3</v>
      </c>
      <c r="F33" s="37" t="s">
        <v>3</v>
      </c>
      <c r="G33" s="37" t="s">
        <v>3</v>
      </c>
      <c r="H33" s="37" t="s">
        <v>3</v>
      </c>
      <c r="I33" s="37" t="s">
        <v>3</v>
      </c>
      <c r="J33" s="37" t="s">
        <v>3</v>
      </c>
      <c r="K33" s="37" t="s">
        <v>3</v>
      </c>
      <c r="L33" s="37" t="s">
        <v>3</v>
      </c>
      <c r="M33" s="37" t="s">
        <v>3</v>
      </c>
      <c r="N33" s="36">
        <v>2.06</v>
      </c>
      <c r="O33" s="36">
        <v>-0.1</v>
      </c>
      <c r="P33" s="36">
        <v>-0.62</v>
      </c>
      <c r="Q33" s="36">
        <v>-12.37</v>
      </c>
      <c r="R33" s="36">
        <v>7.76</v>
      </c>
      <c r="S33" s="36">
        <v>2.93</v>
      </c>
      <c r="T33" s="36">
        <v>0.81</v>
      </c>
      <c r="U33" s="36">
        <v>-0.18</v>
      </c>
      <c r="V33" s="36">
        <v>3.16</v>
      </c>
      <c r="W33" s="36">
        <v>0.56000000000000005</v>
      </c>
      <c r="X33" s="36">
        <v>-0.34</v>
      </c>
      <c r="Y33" s="36">
        <v>1.78</v>
      </c>
      <c r="Z33" s="36">
        <v>-0.48</v>
      </c>
      <c r="AA33" s="36">
        <v>-6.2</v>
      </c>
      <c r="AB33" s="36">
        <v>-3.57</v>
      </c>
      <c r="AC33" s="36">
        <v>0.92</v>
      </c>
      <c r="AD33" s="36">
        <v>2.38</v>
      </c>
      <c r="AE33" s="36">
        <v>0.3</v>
      </c>
    </row>
    <row r="34" spans="1:31" ht="17" x14ac:dyDescent="0.45">
      <c r="A34" s="34" t="s">
        <v>123</v>
      </c>
      <c r="B34" s="35" t="s">
        <v>3</v>
      </c>
      <c r="C34" s="37" t="s">
        <v>3</v>
      </c>
      <c r="D34" s="36">
        <v>2.63</v>
      </c>
      <c r="E34" s="36">
        <v>4.63</v>
      </c>
      <c r="F34" s="36">
        <v>4.68</v>
      </c>
      <c r="G34" s="36">
        <v>0.69</v>
      </c>
      <c r="H34" s="36">
        <v>3.9</v>
      </c>
      <c r="I34" s="36">
        <v>-0.86</v>
      </c>
      <c r="J34" s="36">
        <v>-2.11</v>
      </c>
      <c r="K34" s="36">
        <v>1.46</v>
      </c>
      <c r="L34" s="36">
        <v>5.5</v>
      </c>
      <c r="M34" s="36">
        <v>3.45</v>
      </c>
      <c r="N34" s="36">
        <v>2.19</v>
      </c>
      <c r="O34" s="36">
        <v>1.93</v>
      </c>
      <c r="P34" s="36">
        <v>-0.48</v>
      </c>
      <c r="Q34" s="36">
        <v>-5.17</v>
      </c>
      <c r="R34" s="36">
        <v>3.77</v>
      </c>
      <c r="S34" s="36">
        <v>2.66</v>
      </c>
      <c r="T34" s="36">
        <v>-0.31</v>
      </c>
      <c r="U34" s="36">
        <v>2.13</v>
      </c>
      <c r="V34" s="36">
        <v>2.2999999999999998</v>
      </c>
      <c r="W34" s="36">
        <v>1.22</v>
      </c>
      <c r="X34" s="36">
        <v>0.48</v>
      </c>
      <c r="Y34" s="36">
        <v>0.97</v>
      </c>
      <c r="Z34" s="36">
        <v>0.21</v>
      </c>
      <c r="AA34" s="36">
        <v>1.75</v>
      </c>
      <c r="AB34" s="36">
        <v>-7.42</v>
      </c>
      <c r="AC34" s="36">
        <v>10.220000000000001</v>
      </c>
      <c r="AD34" s="36">
        <v>1.78</v>
      </c>
      <c r="AE34" s="36">
        <v>-3.61</v>
      </c>
    </row>
    <row r="35" spans="1:31" ht="17" x14ac:dyDescent="0.45">
      <c r="A35" s="34" t="s">
        <v>124</v>
      </c>
      <c r="B35" s="35" t="s">
        <v>3</v>
      </c>
      <c r="C35" s="37" t="s">
        <v>3</v>
      </c>
      <c r="D35" s="37" t="s">
        <v>3</v>
      </c>
      <c r="E35" s="37" t="s">
        <v>3</v>
      </c>
      <c r="F35" s="37" t="s">
        <v>3</v>
      </c>
      <c r="G35" s="37" t="s">
        <v>3</v>
      </c>
      <c r="H35" s="37" t="s">
        <v>3</v>
      </c>
      <c r="I35" s="37" t="s">
        <v>3</v>
      </c>
      <c r="J35" s="37" t="s">
        <v>3</v>
      </c>
      <c r="K35" s="37" t="s">
        <v>3</v>
      </c>
      <c r="L35" s="37" t="s">
        <v>3</v>
      </c>
      <c r="M35" s="37" t="s">
        <v>3</v>
      </c>
      <c r="N35" s="37" t="s">
        <v>3</v>
      </c>
      <c r="O35" s="37" t="s">
        <v>3</v>
      </c>
      <c r="P35" s="37" t="s">
        <v>3</v>
      </c>
      <c r="Q35" s="37" t="s">
        <v>3</v>
      </c>
      <c r="R35" s="36">
        <v>4.78</v>
      </c>
      <c r="S35" s="36">
        <v>3.79</v>
      </c>
      <c r="T35" s="36">
        <v>1.29</v>
      </c>
      <c r="U35" s="36">
        <v>-0.11</v>
      </c>
      <c r="V35" s="36">
        <v>4.04</v>
      </c>
      <c r="W35" s="36">
        <v>3.11</v>
      </c>
      <c r="X35" s="36">
        <v>-1.91</v>
      </c>
      <c r="Y35" s="36">
        <v>1.1200000000000001</v>
      </c>
      <c r="Z35" s="36">
        <v>1.89</v>
      </c>
      <c r="AA35" s="36">
        <v>-1.58</v>
      </c>
      <c r="AB35" s="36">
        <v>-2.3199999999999998</v>
      </c>
      <c r="AC35" s="36">
        <v>7.54</v>
      </c>
      <c r="AD35" s="36">
        <v>3.87</v>
      </c>
      <c r="AE35" s="37" t="s">
        <v>3</v>
      </c>
    </row>
    <row r="36" spans="1:31" ht="17" x14ac:dyDescent="0.45">
      <c r="A36" s="34" t="s">
        <v>125</v>
      </c>
      <c r="B36" s="35" t="s">
        <v>3</v>
      </c>
      <c r="C36" s="36">
        <v>3.96</v>
      </c>
      <c r="D36" s="36">
        <v>6.24</v>
      </c>
      <c r="E36" s="36">
        <v>3.99</v>
      </c>
      <c r="F36" s="36">
        <v>2.64</v>
      </c>
      <c r="G36" s="36">
        <v>-1.31</v>
      </c>
      <c r="H36" s="36">
        <v>2.87</v>
      </c>
      <c r="I36" s="36">
        <v>1.76</v>
      </c>
      <c r="J36" s="36">
        <v>0.79</v>
      </c>
      <c r="K36" s="36">
        <v>3.54</v>
      </c>
      <c r="L36" s="36">
        <v>3.26</v>
      </c>
      <c r="M36" s="36">
        <v>1.46</v>
      </c>
      <c r="N36" s="36">
        <v>6.11</v>
      </c>
      <c r="O36" s="36">
        <v>0.5</v>
      </c>
      <c r="P36" s="36">
        <v>-3.85</v>
      </c>
      <c r="Q36" s="36">
        <v>-2.39</v>
      </c>
      <c r="R36" s="36">
        <v>3.89</v>
      </c>
      <c r="S36" s="36">
        <v>2.98</v>
      </c>
      <c r="T36" s="36">
        <v>2.02</v>
      </c>
      <c r="U36" s="36">
        <v>2.13</v>
      </c>
      <c r="V36" s="36">
        <v>2.34</v>
      </c>
      <c r="W36" s="36">
        <v>1.59</v>
      </c>
      <c r="X36" s="36">
        <v>0.49</v>
      </c>
      <c r="Y36" s="36">
        <v>0.8</v>
      </c>
      <c r="Z36" s="36">
        <v>1.76</v>
      </c>
      <c r="AA36" s="36">
        <v>1.84</v>
      </c>
      <c r="AB36" s="36">
        <v>-8.14</v>
      </c>
      <c r="AC36" s="36">
        <v>7.81</v>
      </c>
      <c r="AD36" s="36">
        <v>0.87</v>
      </c>
      <c r="AE36" s="36">
        <v>-1.47</v>
      </c>
    </row>
    <row r="37" spans="1:31" ht="17" x14ac:dyDescent="0.45">
      <c r="A37" s="34" t="s">
        <v>126</v>
      </c>
      <c r="B37" s="35" t="s">
        <v>3</v>
      </c>
      <c r="C37" s="37" t="s">
        <v>3</v>
      </c>
      <c r="D37" s="36">
        <v>4.09</v>
      </c>
      <c r="E37" s="36">
        <v>1.45</v>
      </c>
      <c r="F37" s="36">
        <v>0.14000000000000001</v>
      </c>
      <c r="G37" s="36">
        <v>8.2100000000000009</v>
      </c>
      <c r="H37" s="36">
        <v>12.65</v>
      </c>
      <c r="I37" s="36">
        <v>-4.4000000000000004</v>
      </c>
      <c r="J37" s="36">
        <v>5.2</v>
      </c>
      <c r="K37" s="36">
        <v>1.89</v>
      </c>
      <c r="L37" s="36">
        <v>-1.47</v>
      </c>
      <c r="M37" s="36">
        <v>1.91</v>
      </c>
      <c r="N37" s="36">
        <v>1.5</v>
      </c>
      <c r="O37" s="36">
        <v>-3.48</v>
      </c>
      <c r="P37" s="36">
        <v>-1</v>
      </c>
      <c r="Q37" s="36">
        <v>2.39</v>
      </c>
      <c r="R37" s="36">
        <v>2.99</v>
      </c>
      <c r="S37" s="36">
        <v>1.21</v>
      </c>
      <c r="T37" s="36">
        <v>3.86</v>
      </c>
      <c r="U37" s="36">
        <v>1.26</v>
      </c>
      <c r="V37" s="36">
        <v>-4.1100000000000003</v>
      </c>
      <c r="W37" s="36">
        <v>1.76</v>
      </c>
      <c r="X37" s="36">
        <v>0.93</v>
      </c>
      <c r="Y37" s="36">
        <v>9.2899999999999991</v>
      </c>
      <c r="Z37" s="36">
        <v>4.7</v>
      </c>
      <c r="AA37" s="36">
        <v>0.16</v>
      </c>
      <c r="AB37" s="36">
        <v>-4.25</v>
      </c>
      <c r="AC37" s="36">
        <v>7.57</v>
      </c>
      <c r="AD37" s="36">
        <v>4.17</v>
      </c>
      <c r="AE37" s="36">
        <v>1.48</v>
      </c>
    </row>
    <row r="38" spans="1:31" ht="17" x14ac:dyDescent="0.45">
      <c r="A38" s="34" t="s">
        <v>127</v>
      </c>
      <c r="B38" s="35" t="s">
        <v>3</v>
      </c>
      <c r="C38" s="37" t="s">
        <v>3</v>
      </c>
      <c r="D38" s="36">
        <v>0.19</v>
      </c>
      <c r="E38" s="36">
        <v>3.74</v>
      </c>
      <c r="F38" s="36">
        <v>0.32</v>
      </c>
      <c r="G38" s="36">
        <v>2.71</v>
      </c>
      <c r="H38" s="36">
        <v>5.72</v>
      </c>
      <c r="I38" s="36">
        <v>-5.35</v>
      </c>
      <c r="J38" s="36">
        <v>0.49</v>
      </c>
      <c r="K38" s="36">
        <v>-3.73</v>
      </c>
      <c r="L38" s="36">
        <v>0.61</v>
      </c>
      <c r="M38" s="36">
        <v>-0.6</v>
      </c>
      <c r="N38" s="36">
        <v>0.66</v>
      </c>
      <c r="O38" s="36">
        <v>2.78</v>
      </c>
      <c r="P38" s="36">
        <v>-1.5</v>
      </c>
      <c r="Q38" s="36">
        <v>1.53</v>
      </c>
      <c r="R38" s="36">
        <v>3.63</v>
      </c>
      <c r="S38" s="36">
        <v>0.18</v>
      </c>
      <c r="T38" s="36">
        <v>3.73</v>
      </c>
      <c r="U38" s="36">
        <v>4.32</v>
      </c>
      <c r="V38" s="36">
        <v>-1.8</v>
      </c>
      <c r="W38" s="36">
        <v>-1.3</v>
      </c>
      <c r="X38" s="36">
        <v>-0.98</v>
      </c>
      <c r="Y38" s="36">
        <v>-0.31</v>
      </c>
      <c r="Z38" s="36">
        <v>-1.34</v>
      </c>
      <c r="AA38" s="36">
        <v>1.32</v>
      </c>
      <c r="AB38" s="36">
        <v>-16.04</v>
      </c>
      <c r="AC38" s="36">
        <v>10.27</v>
      </c>
      <c r="AD38" s="36">
        <v>9.69</v>
      </c>
      <c r="AE38" s="36">
        <v>0.12</v>
      </c>
    </row>
    <row r="39" spans="1:31" ht="17" x14ac:dyDescent="0.45">
      <c r="A39" s="34" t="s">
        <v>128</v>
      </c>
      <c r="B39" s="35" t="s">
        <v>3</v>
      </c>
      <c r="C39" s="37" t="s">
        <v>3</v>
      </c>
      <c r="D39" s="36">
        <v>10.72</v>
      </c>
      <c r="E39" s="36">
        <v>12.76</v>
      </c>
      <c r="F39" s="36">
        <v>8.02</v>
      </c>
      <c r="G39" s="36">
        <v>6.77</v>
      </c>
      <c r="H39" s="36">
        <v>1.76</v>
      </c>
      <c r="I39" s="36">
        <v>0.27</v>
      </c>
      <c r="J39" s="36">
        <v>-8.6300000000000008</v>
      </c>
      <c r="K39" s="36">
        <v>4.87</v>
      </c>
      <c r="L39" s="36">
        <v>-1.1499999999999999</v>
      </c>
      <c r="M39" s="36">
        <v>11.08</v>
      </c>
      <c r="N39" s="36">
        <v>-5.74</v>
      </c>
      <c r="O39" s="36">
        <v>5.01</v>
      </c>
      <c r="P39" s="36">
        <v>6.61</v>
      </c>
      <c r="Q39" s="36">
        <v>-9.61</v>
      </c>
      <c r="R39" s="36">
        <v>10.59</v>
      </c>
      <c r="S39" s="36">
        <v>2.41</v>
      </c>
      <c r="T39" s="36">
        <v>-3.72</v>
      </c>
      <c r="U39" s="36">
        <v>-6.18</v>
      </c>
      <c r="V39" s="36">
        <v>3</v>
      </c>
      <c r="W39" s="36">
        <v>-0.44</v>
      </c>
      <c r="X39" s="36">
        <v>-7.12</v>
      </c>
      <c r="Y39" s="36">
        <v>3.01</v>
      </c>
      <c r="Z39" s="36">
        <v>-2.1800000000000002</v>
      </c>
      <c r="AA39" s="36">
        <v>9.1300000000000008</v>
      </c>
      <c r="AB39" s="36">
        <v>4.4800000000000004</v>
      </c>
      <c r="AC39" s="36">
        <v>-4</v>
      </c>
      <c r="AD39" s="36">
        <v>7.15</v>
      </c>
      <c r="AE39" s="36">
        <v>3.28</v>
      </c>
    </row>
    <row r="40" spans="1:31" ht="17" x14ac:dyDescent="0.45">
      <c r="A40" s="34" t="s">
        <v>129</v>
      </c>
      <c r="B40" s="35" t="s">
        <v>3</v>
      </c>
      <c r="C40" s="37" t="s">
        <v>3</v>
      </c>
      <c r="D40" s="36">
        <v>-3.44</v>
      </c>
      <c r="E40" s="36">
        <v>11.77</v>
      </c>
      <c r="F40" s="36">
        <v>1.55</v>
      </c>
      <c r="G40" s="36">
        <v>3.93</v>
      </c>
      <c r="H40" s="36">
        <v>-1.53</v>
      </c>
      <c r="I40" s="36">
        <v>7.33</v>
      </c>
      <c r="J40" s="36">
        <v>4.8899999999999997</v>
      </c>
      <c r="K40" s="36">
        <v>3.17</v>
      </c>
      <c r="L40" s="36">
        <v>2.66</v>
      </c>
      <c r="M40" s="36">
        <v>3.92</v>
      </c>
      <c r="N40" s="36">
        <v>4.42</v>
      </c>
      <c r="O40" s="36">
        <v>3.1</v>
      </c>
      <c r="P40" s="36">
        <v>-0.31</v>
      </c>
      <c r="Q40" s="36">
        <v>-8.34</v>
      </c>
      <c r="R40" s="36">
        <v>3.17</v>
      </c>
      <c r="S40" s="36">
        <v>4.42</v>
      </c>
      <c r="T40" s="36">
        <v>-3.53</v>
      </c>
      <c r="U40" s="36">
        <v>1.61</v>
      </c>
      <c r="V40" s="36">
        <v>3.61</v>
      </c>
      <c r="W40" s="36">
        <v>3.87</v>
      </c>
      <c r="X40" s="36">
        <v>3.13</v>
      </c>
      <c r="Y40" s="36">
        <v>4.6500000000000004</v>
      </c>
      <c r="Z40" s="36">
        <v>1.52</v>
      </c>
      <c r="AA40" s="36">
        <v>0.49</v>
      </c>
      <c r="AB40" s="36">
        <v>-6.7</v>
      </c>
      <c r="AC40" s="36">
        <v>10.97</v>
      </c>
      <c r="AD40" s="36">
        <v>-1.21</v>
      </c>
      <c r="AE40" s="36">
        <v>-0.15</v>
      </c>
    </row>
    <row r="41" spans="1:31" ht="17" x14ac:dyDescent="0.45">
      <c r="A41" s="34" t="s">
        <v>130</v>
      </c>
      <c r="B41" s="35" t="s">
        <v>3</v>
      </c>
      <c r="C41" s="37" t="s">
        <v>3</v>
      </c>
      <c r="D41" s="36">
        <v>-0.46</v>
      </c>
      <c r="E41" s="36">
        <v>-0.95</v>
      </c>
      <c r="F41" s="36">
        <v>-1.31</v>
      </c>
      <c r="G41" s="36">
        <v>0.26</v>
      </c>
      <c r="H41" s="36">
        <v>-1.22</v>
      </c>
      <c r="I41" s="36">
        <v>0.28999999999999998</v>
      </c>
      <c r="J41" s="36">
        <v>-1.66</v>
      </c>
      <c r="K41" s="36">
        <v>-3.01</v>
      </c>
      <c r="L41" s="36">
        <v>-2.44</v>
      </c>
      <c r="M41" s="36">
        <v>-2.29</v>
      </c>
      <c r="N41" s="36">
        <v>-1.37</v>
      </c>
      <c r="O41" s="36">
        <v>-2.16</v>
      </c>
      <c r="P41" s="36">
        <v>-1.04</v>
      </c>
      <c r="Q41" s="36">
        <v>2.19</v>
      </c>
      <c r="R41" s="36">
        <v>3.27</v>
      </c>
      <c r="S41" s="36">
        <v>1.6</v>
      </c>
      <c r="T41" s="36">
        <v>2.33</v>
      </c>
      <c r="U41" s="36">
        <v>1.37</v>
      </c>
      <c r="V41" s="36">
        <v>0.38</v>
      </c>
      <c r="W41" s="36">
        <v>2.42</v>
      </c>
      <c r="X41" s="36">
        <v>0.94</v>
      </c>
      <c r="Y41" s="36">
        <v>1.02</v>
      </c>
      <c r="Z41" s="36">
        <v>2.06</v>
      </c>
      <c r="AA41" s="36">
        <v>-1.41</v>
      </c>
      <c r="AB41" s="36">
        <v>-16.579999999999998</v>
      </c>
      <c r="AC41" s="36">
        <v>13.55</v>
      </c>
      <c r="AD41" s="36">
        <v>8.1</v>
      </c>
      <c r="AE41" s="36">
        <v>-0.61</v>
      </c>
    </row>
    <row r="42" spans="1:31" ht="17" x14ac:dyDescent="0.45">
      <c r="A42" s="34" t="s">
        <v>131</v>
      </c>
      <c r="B42" s="35" t="s">
        <v>3</v>
      </c>
      <c r="C42" s="36">
        <v>3.24</v>
      </c>
      <c r="D42" s="36">
        <v>5.04</v>
      </c>
      <c r="E42" s="36">
        <v>4.59</v>
      </c>
      <c r="F42" s="36">
        <v>3.32</v>
      </c>
      <c r="G42" s="36">
        <v>0.91</v>
      </c>
      <c r="H42" s="36">
        <v>3.45</v>
      </c>
      <c r="I42" s="36">
        <v>0.56000000000000005</v>
      </c>
      <c r="J42" s="36">
        <v>3.69</v>
      </c>
      <c r="K42" s="36">
        <v>4.92</v>
      </c>
      <c r="L42" s="36">
        <v>4.99</v>
      </c>
      <c r="M42" s="36">
        <v>3.93</v>
      </c>
      <c r="N42" s="36">
        <v>1.45</v>
      </c>
      <c r="O42" s="36">
        <v>1.43</v>
      </c>
      <c r="P42" s="36">
        <v>-1.79</v>
      </c>
      <c r="Q42" s="36">
        <v>-3.06</v>
      </c>
      <c r="R42" s="36">
        <v>3.01</v>
      </c>
      <c r="S42" s="36">
        <v>3.16</v>
      </c>
      <c r="T42" s="36">
        <v>-0.63</v>
      </c>
      <c r="U42" s="36">
        <v>4.1399999999999997</v>
      </c>
      <c r="V42" s="36">
        <v>3.23</v>
      </c>
      <c r="W42" s="36">
        <v>1.5</v>
      </c>
      <c r="X42" s="36">
        <v>2.48</v>
      </c>
      <c r="Y42" s="36">
        <v>0.93</v>
      </c>
      <c r="Z42" s="36">
        <v>-2.06</v>
      </c>
      <c r="AA42" s="36">
        <v>3.75</v>
      </c>
      <c r="AB42" s="36">
        <v>-3.35</v>
      </c>
      <c r="AC42" s="36">
        <v>8.0299999999999994</v>
      </c>
      <c r="AD42" s="36">
        <v>-6.02</v>
      </c>
      <c r="AE42" s="36">
        <v>-2.64</v>
      </c>
    </row>
    <row r="43" spans="1:31" ht="17" x14ac:dyDescent="0.45">
      <c r="A43" s="34" t="s">
        <v>133</v>
      </c>
      <c r="B43" s="35" t="s">
        <v>3</v>
      </c>
      <c r="C43" s="37" t="s">
        <v>3</v>
      </c>
      <c r="D43" s="36">
        <v>0.13</v>
      </c>
      <c r="E43" s="36">
        <v>-14.75</v>
      </c>
      <c r="F43" s="36">
        <v>1.35</v>
      </c>
      <c r="G43" s="36">
        <v>-0.88</v>
      </c>
      <c r="H43" s="36">
        <v>4.22</v>
      </c>
      <c r="I43" s="36">
        <v>1.89</v>
      </c>
      <c r="J43" s="36">
        <v>2.21</v>
      </c>
      <c r="K43" s="36">
        <v>2.2200000000000002</v>
      </c>
      <c r="L43" s="36">
        <v>3.57</v>
      </c>
      <c r="M43" s="36">
        <v>2.5299999999999998</v>
      </c>
      <c r="N43" s="36">
        <v>4.2699999999999996</v>
      </c>
      <c r="O43" s="36">
        <v>3.66</v>
      </c>
      <c r="P43" s="36">
        <v>2.02</v>
      </c>
      <c r="Q43" s="36">
        <v>3.25</v>
      </c>
      <c r="R43" s="36">
        <v>3.52</v>
      </c>
      <c r="S43" s="36">
        <v>-3.38</v>
      </c>
      <c r="T43" s="36">
        <v>2.9</v>
      </c>
      <c r="U43" s="36">
        <v>0.54</v>
      </c>
      <c r="V43" s="36">
        <v>2.3199999999999998</v>
      </c>
      <c r="W43" s="36">
        <v>5.88</v>
      </c>
      <c r="X43" s="36">
        <v>2.5</v>
      </c>
      <c r="Y43" s="36">
        <v>-0.9</v>
      </c>
      <c r="Z43" s="36">
        <v>-0.83</v>
      </c>
      <c r="AA43" s="36">
        <v>-0.48</v>
      </c>
      <c r="AB43" s="36">
        <v>-5.25</v>
      </c>
      <c r="AC43" s="36">
        <v>-2.0299999999999998</v>
      </c>
      <c r="AD43" s="36">
        <v>1.1299999999999999</v>
      </c>
      <c r="AE43" s="36">
        <v>4.37</v>
      </c>
    </row>
    <row r="44" spans="1:31" ht="17" x14ac:dyDescent="0.45">
      <c r="A44" s="34" t="s">
        <v>132</v>
      </c>
      <c r="B44" s="35" t="s">
        <v>3</v>
      </c>
      <c r="C44" s="36">
        <v>3.29</v>
      </c>
      <c r="D44" s="36">
        <v>1.26</v>
      </c>
      <c r="E44" s="36">
        <v>2.2200000000000002</v>
      </c>
      <c r="F44" s="36">
        <v>-1.65</v>
      </c>
      <c r="G44" s="36">
        <v>-1.51</v>
      </c>
      <c r="H44" s="36">
        <v>5.32</v>
      </c>
      <c r="I44" s="36">
        <v>-2.34</v>
      </c>
      <c r="J44" s="36">
        <v>-2.2200000000000002</v>
      </c>
      <c r="K44" s="36">
        <v>0.51</v>
      </c>
      <c r="L44" s="36">
        <v>1.6</v>
      </c>
      <c r="M44" s="36">
        <v>3.4</v>
      </c>
      <c r="N44" s="36">
        <v>4.51</v>
      </c>
      <c r="O44" s="36">
        <v>7.0000000000000007E-2</v>
      </c>
      <c r="P44" s="36">
        <v>-1.76</v>
      </c>
      <c r="Q44" s="36">
        <v>-8.3800000000000008</v>
      </c>
      <c r="R44" s="36">
        <v>8.48</v>
      </c>
      <c r="S44" s="36">
        <v>1.95</v>
      </c>
      <c r="T44" s="36">
        <v>-0.87</v>
      </c>
      <c r="U44" s="36">
        <v>-0.18</v>
      </c>
      <c r="V44" s="36">
        <v>2.63</v>
      </c>
      <c r="W44" s="36">
        <v>-3.73</v>
      </c>
      <c r="X44" s="36">
        <v>-0.57999999999999996</v>
      </c>
      <c r="Y44" s="36">
        <v>2.83</v>
      </c>
      <c r="Z44" s="36">
        <v>-1.47</v>
      </c>
      <c r="AA44" s="36">
        <v>-0.56000000000000005</v>
      </c>
      <c r="AB44" s="36">
        <v>-22.24</v>
      </c>
      <c r="AC44" s="36">
        <v>14.26</v>
      </c>
      <c r="AD44" s="36">
        <v>9</v>
      </c>
      <c r="AE44" s="36">
        <v>-2.21</v>
      </c>
    </row>
    <row r="45" spans="1:31" ht="17" x14ac:dyDescent="0.45">
      <c r="A45" s="34" t="s">
        <v>175</v>
      </c>
      <c r="B45" s="35" t="s">
        <v>3</v>
      </c>
      <c r="C45" s="37" t="s">
        <v>3</v>
      </c>
      <c r="D45" s="37" t="s">
        <v>3</v>
      </c>
      <c r="E45" s="37" t="s">
        <v>3</v>
      </c>
      <c r="F45" s="37" t="s">
        <v>3</v>
      </c>
      <c r="G45" s="37" t="s">
        <v>3</v>
      </c>
      <c r="H45" s="37" t="s">
        <v>3</v>
      </c>
      <c r="I45" s="37" t="s">
        <v>3</v>
      </c>
      <c r="J45" s="37" t="s">
        <v>3</v>
      </c>
      <c r="K45" s="37" t="s">
        <v>3</v>
      </c>
      <c r="L45" s="37" t="s">
        <v>3</v>
      </c>
      <c r="M45" s="37" t="s">
        <v>3</v>
      </c>
      <c r="N45" s="37" t="s">
        <v>3</v>
      </c>
      <c r="O45" s="37" t="s">
        <v>3</v>
      </c>
      <c r="P45" s="37" t="s">
        <v>3</v>
      </c>
      <c r="Q45" s="37" t="s">
        <v>3</v>
      </c>
      <c r="R45" s="37" t="s">
        <v>3</v>
      </c>
      <c r="S45" s="37" t="s">
        <v>3</v>
      </c>
      <c r="T45" s="37" t="s">
        <v>3</v>
      </c>
      <c r="U45" s="37" t="s">
        <v>3</v>
      </c>
      <c r="V45" s="37" t="s">
        <v>3</v>
      </c>
      <c r="W45" s="37" t="s">
        <v>3</v>
      </c>
      <c r="X45" s="37" t="s">
        <v>3</v>
      </c>
      <c r="Y45" s="37" t="s">
        <v>3</v>
      </c>
      <c r="Z45" s="37" t="s">
        <v>3</v>
      </c>
      <c r="AA45" s="37" t="s">
        <v>3</v>
      </c>
      <c r="AB45" s="37" t="s">
        <v>3</v>
      </c>
      <c r="AC45" s="37" t="s">
        <v>3</v>
      </c>
      <c r="AD45" s="37" t="s">
        <v>3</v>
      </c>
      <c r="AE45" s="37" t="s">
        <v>3</v>
      </c>
    </row>
    <row r="46" spans="1:31" ht="17" x14ac:dyDescent="0.45">
      <c r="A46" s="34" t="s">
        <v>176</v>
      </c>
      <c r="B46" s="35" t="s">
        <v>3</v>
      </c>
      <c r="C46" s="37" t="s">
        <v>3</v>
      </c>
      <c r="D46" s="37" t="s">
        <v>3</v>
      </c>
      <c r="E46" s="37" t="s">
        <v>3</v>
      </c>
      <c r="F46" s="37" t="s">
        <v>3</v>
      </c>
      <c r="G46" s="37" t="s">
        <v>3</v>
      </c>
      <c r="H46" s="37" t="s">
        <v>3</v>
      </c>
      <c r="I46" s="36">
        <v>-2.52</v>
      </c>
      <c r="J46" s="36">
        <v>-4.58</v>
      </c>
      <c r="K46" s="36">
        <v>-2.9</v>
      </c>
      <c r="L46" s="36">
        <v>7.13</v>
      </c>
      <c r="M46" s="36">
        <v>-0.23</v>
      </c>
      <c r="N46" s="36">
        <v>0.14000000000000001</v>
      </c>
      <c r="O46" s="36">
        <v>4.55</v>
      </c>
      <c r="P46" s="36">
        <v>5.89</v>
      </c>
      <c r="Q46" s="36">
        <v>-3.28</v>
      </c>
      <c r="R46" s="36">
        <v>8.1300000000000008</v>
      </c>
      <c r="S46" s="36">
        <v>0.66</v>
      </c>
      <c r="T46" s="36">
        <v>-0.47</v>
      </c>
      <c r="U46" s="36">
        <v>2.5499999999999998</v>
      </c>
      <c r="V46" s="36">
        <v>-3.09</v>
      </c>
      <c r="W46" s="36">
        <v>-4.95</v>
      </c>
      <c r="X46" s="36">
        <v>-4.8099999999999996</v>
      </c>
      <c r="Y46" s="36">
        <v>-0.64</v>
      </c>
      <c r="Z46" s="36">
        <v>-0.02</v>
      </c>
      <c r="AA46" s="36">
        <v>0.88</v>
      </c>
      <c r="AB46" s="36">
        <v>2.96</v>
      </c>
      <c r="AC46" s="36">
        <v>-0.8</v>
      </c>
      <c r="AD46" s="37" t="s">
        <v>3</v>
      </c>
      <c r="AE46" s="37" t="s">
        <v>3</v>
      </c>
    </row>
    <row r="47" spans="1:31" ht="17" x14ac:dyDescent="0.45">
      <c r="A47" s="34" t="s">
        <v>177</v>
      </c>
      <c r="B47" s="35" t="s">
        <v>3</v>
      </c>
      <c r="C47" s="37" t="s">
        <v>3</v>
      </c>
      <c r="D47" s="36">
        <v>5.85</v>
      </c>
      <c r="E47" s="36">
        <v>-10.15</v>
      </c>
      <c r="F47" s="36">
        <v>-8.01</v>
      </c>
      <c r="G47" s="36">
        <v>11.24</v>
      </c>
      <c r="H47" s="36">
        <v>8.56</v>
      </c>
      <c r="I47" s="36">
        <v>4.74</v>
      </c>
      <c r="J47" s="36">
        <v>5.33</v>
      </c>
      <c r="K47" s="36">
        <v>1.52</v>
      </c>
      <c r="L47" s="36">
        <v>1.6</v>
      </c>
      <c r="M47" s="36">
        <v>5.79</v>
      </c>
      <c r="N47" s="36">
        <v>3.74</v>
      </c>
      <c r="O47" s="36">
        <v>1.9</v>
      </c>
      <c r="P47" s="36">
        <v>-5.64</v>
      </c>
      <c r="Q47" s="36">
        <v>-6.58</v>
      </c>
      <c r="R47" s="36">
        <v>15.74</v>
      </c>
      <c r="S47" s="36">
        <v>4.9400000000000004</v>
      </c>
      <c r="T47" s="36">
        <v>2.73</v>
      </c>
      <c r="U47" s="36">
        <v>4.38</v>
      </c>
      <c r="V47" s="36">
        <v>-1.98</v>
      </c>
      <c r="W47" s="36">
        <v>4.45</v>
      </c>
      <c r="X47" s="36">
        <v>-2.95</v>
      </c>
      <c r="Y47" s="36">
        <v>2.36</v>
      </c>
      <c r="Z47" s="36">
        <v>1.73</v>
      </c>
      <c r="AA47" s="36">
        <v>2.84</v>
      </c>
      <c r="AB47" s="36">
        <v>0.11</v>
      </c>
      <c r="AC47" s="36">
        <v>13.35</v>
      </c>
      <c r="AD47" s="36">
        <v>-0.28999999999999998</v>
      </c>
      <c r="AE47" s="36">
        <v>0.37</v>
      </c>
    </row>
    <row r="48" spans="1:31" ht="17" x14ac:dyDescent="0.45">
      <c r="A48" s="34" t="s">
        <v>178</v>
      </c>
      <c r="B48" s="35" t="s">
        <v>3</v>
      </c>
      <c r="C48" s="37" t="s">
        <v>3</v>
      </c>
      <c r="D48" s="36">
        <v>12.21</v>
      </c>
      <c r="E48" s="36">
        <v>10.47</v>
      </c>
      <c r="F48" s="36">
        <v>0.06</v>
      </c>
      <c r="G48" s="36">
        <v>-7.73</v>
      </c>
      <c r="H48" s="36">
        <v>4.7699999999999996</v>
      </c>
      <c r="I48" s="36">
        <v>11.69</v>
      </c>
      <c r="J48" s="36">
        <v>10.4</v>
      </c>
      <c r="K48" s="36">
        <v>8.98</v>
      </c>
      <c r="L48" s="36">
        <v>-1.4</v>
      </c>
      <c r="M48" s="36">
        <v>5.8</v>
      </c>
      <c r="N48" s="36">
        <v>1.1399999999999999</v>
      </c>
      <c r="O48" s="36">
        <v>2.93</v>
      </c>
      <c r="P48" s="36">
        <v>0.39</v>
      </c>
      <c r="Q48" s="36">
        <v>-9.01</v>
      </c>
      <c r="R48" s="36">
        <v>6.68</v>
      </c>
      <c r="S48" s="36">
        <v>6.73</v>
      </c>
      <c r="T48" s="36">
        <v>-3.66</v>
      </c>
      <c r="U48" s="36">
        <v>4.42</v>
      </c>
      <c r="V48" s="36">
        <v>-6.88</v>
      </c>
      <c r="W48" s="36">
        <v>4.9800000000000004</v>
      </c>
      <c r="X48" s="36">
        <v>5.86</v>
      </c>
      <c r="Y48" s="36">
        <v>-2.5099999999999998</v>
      </c>
      <c r="Z48" s="36">
        <v>5.31</v>
      </c>
      <c r="AA48" s="36">
        <v>6.11</v>
      </c>
      <c r="AB48" s="36">
        <v>-15.56</v>
      </c>
      <c r="AC48" s="36">
        <v>22.07</v>
      </c>
      <c r="AD48" s="36">
        <v>9.8699999999999992</v>
      </c>
      <c r="AE48" s="36">
        <v>0.66</v>
      </c>
    </row>
    <row r="49" spans="1:31" ht="17" x14ac:dyDescent="0.45">
      <c r="A49" s="34" t="s">
        <v>179</v>
      </c>
      <c r="B49" s="35" t="s">
        <v>3</v>
      </c>
      <c r="C49" s="37" t="s">
        <v>3</v>
      </c>
      <c r="D49" s="36">
        <v>-2</v>
      </c>
      <c r="E49" s="36">
        <v>2.09</v>
      </c>
      <c r="F49" s="36">
        <v>5.22</v>
      </c>
      <c r="G49" s="36">
        <v>2.29</v>
      </c>
      <c r="H49" s="36">
        <v>8.34</v>
      </c>
      <c r="I49" s="36">
        <v>-1.26</v>
      </c>
      <c r="J49" s="36">
        <v>-0.1</v>
      </c>
      <c r="K49" s="36">
        <v>-3.53</v>
      </c>
      <c r="L49" s="36">
        <v>1.08</v>
      </c>
      <c r="M49" s="36">
        <v>3.62</v>
      </c>
      <c r="N49" s="36">
        <v>5.21</v>
      </c>
      <c r="O49" s="36">
        <v>3.66</v>
      </c>
      <c r="P49" s="36">
        <v>1.84</v>
      </c>
      <c r="Q49" s="36">
        <v>-0.81</v>
      </c>
      <c r="R49" s="36">
        <v>5.44</v>
      </c>
      <c r="S49" s="36">
        <v>2.87</v>
      </c>
      <c r="T49" s="36">
        <v>-4.1100000000000003</v>
      </c>
      <c r="U49" s="36">
        <v>-3.82</v>
      </c>
      <c r="V49" s="36">
        <v>0.46</v>
      </c>
      <c r="W49" s="36">
        <v>2.68</v>
      </c>
      <c r="X49" s="36">
        <v>1.0900000000000001</v>
      </c>
      <c r="Y49" s="36">
        <v>1.97</v>
      </c>
      <c r="Z49" s="36">
        <v>3.44</v>
      </c>
      <c r="AA49" s="36">
        <v>0.56000000000000005</v>
      </c>
      <c r="AB49" s="36">
        <v>-21.56</v>
      </c>
      <c r="AC49" s="36">
        <v>11.68</v>
      </c>
      <c r="AD49" s="36">
        <v>9.19</v>
      </c>
      <c r="AE49" s="37" t="s">
        <v>3</v>
      </c>
    </row>
    <row r="50" spans="1:31" ht="17" x14ac:dyDescent="0.45">
      <c r="A50" s="34" t="s">
        <v>180</v>
      </c>
      <c r="B50" s="35" t="s">
        <v>3</v>
      </c>
      <c r="C50" s="37" t="s">
        <v>3</v>
      </c>
      <c r="D50" s="37" t="s">
        <v>3</v>
      </c>
      <c r="E50" s="37" t="s">
        <v>3</v>
      </c>
      <c r="F50" s="37" t="s">
        <v>3</v>
      </c>
      <c r="G50" s="37" t="s">
        <v>3</v>
      </c>
      <c r="H50" s="37" t="s">
        <v>3</v>
      </c>
      <c r="I50" s="37" t="s">
        <v>3</v>
      </c>
      <c r="J50" s="37" t="s">
        <v>3</v>
      </c>
      <c r="K50" s="37" t="s">
        <v>3</v>
      </c>
      <c r="L50" s="37" t="s">
        <v>3</v>
      </c>
      <c r="M50" s="37" t="s">
        <v>3</v>
      </c>
      <c r="N50" s="37" t="s">
        <v>3</v>
      </c>
      <c r="O50" s="37" t="s">
        <v>3</v>
      </c>
      <c r="P50" s="37" t="s">
        <v>3</v>
      </c>
      <c r="Q50" s="37" t="s">
        <v>3</v>
      </c>
      <c r="R50" s="37" t="s">
        <v>3</v>
      </c>
      <c r="S50" s="37" t="s">
        <v>3</v>
      </c>
      <c r="T50" s="36">
        <v>0.45</v>
      </c>
      <c r="U50" s="36">
        <v>2.79</v>
      </c>
      <c r="V50" s="36">
        <v>3.9</v>
      </c>
      <c r="W50" s="36">
        <v>0.78</v>
      </c>
      <c r="X50" s="36">
        <v>-0.17</v>
      </c>
      <c r="Y50" s="36">
        <v>0.28000000000000003</v>
      </c>
      <c r="Z50" s="37" t="s">
        <v>3</v>
      </c>
      <c r="AA50" s="37" t="s">
        <v>3</v>
      </c>
      <c r="AB50" s="37" t="s">
        <v>3</v>
      </c>
      <c r="AC50" s="37" t="s">
        <v>3</v>
      </c>
      <c r="AD50" s="37" t="s">
        <v>3</v>
      </c>
      <c r="AE50" s="37" t="s">
        <v>3</v>
      </c>
    </row>
    <row r="51" spans="1:31" ht="17" x14ac:dyDescent="0.45">
      <c r="A51" s="34" t="s">
        <v>181</v>
      </c>
      <c r="B51" s="35" t="s">
        <v>3</v>
      </c>
      <c r="C51" s="37" t="s">
        <v>3</v>
      </c>
      <c r="D51" s="37" t="s">
        <v>3</v>
      </c>
      <c r="E51" s="37" t="s">
        <v>3</v>
      </c>
      <c r="F51" s="37" t="s">
        <v>3</v>
      </c>
      <c r="G51" s="37" t="s">
        <v>3</v>
      </c>
      <c r="H51" s="37" t="s">
        <v>3</v>
      </c>
      <c r="I51" s="36">
        <v>-2.78</v>
      </c>
      <c r="J51" s="36">
        <v>-2.93</v>
      </c>
      <c r="K51" s="36">
        <v>-0.99</v>
      </c>
      <c r="L51" s="36">
        <v>-3.2</v>
      </c>
      <c r="M51" s="36">
        <v>-2.87</v>
      </c>
      <c r="N51" s="36">
        <v>0.54</v>
      </c>
      <c r="O51" s="36">
        <v>4.9400000000000004</v>
      </c>
      <c r="P51" s="36">
        <v>-3.51</v>
      </c>
      <c r="Q51" s="36">
        <v>-4.3600000000000003</v>
      </c>
      <c r="R51" s="36">
        <v>3.46</v>
      </c>
      <c r="S51" s="36">
        <v>2.4300000000000002</v>
      </c>
      <c r="T51" s="36">
        <v>1.4</v>
      </c>
      <c r="U51" s="36">
        <v>6.91</v>
      </c>
      <c r="V51" s="36">
        <v>-0.05</v>
      </c>
      <c r="W51" s="36">
        <v>14.25</v>
      </c>
      <c r="X51" s="36">
        <v>-6.96</v>
      </c>
      <c r="Y51" s="36">
        <v>6.31</v>
      </c>
      <c r="Z51" s="36">
        <v>-4.3600000000000003</v>
      </c>
      <c r="AA51" s="36">
        <v>-1.5</v>
      </c>
      <c r="AB51" s="36">
        <v>-36.29</v>
      </c>
      <c r="AC51" s="36">
        <v>30.74</v>
      </c>
      <c r="AD51" s="36">
        <v>14.59</v>
      </c>
      <c r="AE51" s="37" t="s">
        <v>3</v>
      </c>
    </row>
    <row r="52" spans="1:31" ht="17" x14ac:dyDescent="0.45">
      <c r="A52" s="34" t="s">
        <v>182</v>
      </c>
      <c r="B52" s="35" t="s">
        <v>3</v>
      </c>
      <c r="C52" s="37" t="s">
        <v>3</v>
      </c>
      <c r="D52" s="37" t="s">
        <v>3</v>
      </c>
      <c r="E52" s="37" t="s">
        <v>3</v>
      </c>
      <c r="F52" s="37" t="s">
        <v>3</v>
      </c>
      <c r="G52" s="37" t="s">
        <v>3</v>
      </c>
      <c r="H52" s="37" t="s">
        <v>3</v>
      </c>
      <c r="I52" s="36">
        <v>-6.14</v>
      </c>
      <c r="J52" s="36">
        <v>8.7200000000000006</v>
      </c>
      <c r="K52" s="36">
        <v>11.57</v>
      </c>
      <c r="L52" s="36">
        <v>-1.87</v>
      </c>
      <c r="M52" s="36">
        <v>4.41</v>
      </c>
      <c r="N52" s="36">
        <v>3.95</v>
      </c>
      <c r="O52" s="36">
        <v>8.82</v>
      </c>
      <c r="P52" s="36">
        <v>-4.32</v>
      </c>
      <c r="Q52" s="36">
        <v>-27.08</v>
      </c>
      <c r="R52" s="36">
        <v>27.37</v>
      </c>
      <c r="S52" s="36">
        <v>-17.54</v>
      </c>
      <c r="T52" s="36">
        <v>1.95</v>
      </c>
      <c r="U52" s="36">
        <v>3.69</v>
      </c>
      <c r="V52" s="36">
        <v>-0.65</v>
      </c>
      <c r="W52" s="36">
        <v>-0.69</v>
      </c>
      <c r="X52" s="36">
        <v>4.24</v>
      </c>
      <c r="Y52" s="36">
        <v>3.13</v>
      </c>
      <c r="Z52" s="36">
        <v>2.86</v>
      </c>
      <c r="AA52" s="36">
        <v>5.72</v>
      </c>
      <c r="AB52" s="36">
        <v>0.23</v>
      </c>
      <c r="AC52" s="37" t="s">
        <v>3</v>
      </c>
      <c r="AD52" s="37" t="s">
        <v>3</v>
      </c>
      <c r="AE52" s="37" t="s">
        <v>3</v>
      </c>
    </row>
    <row r="53" spans="1:31" ht="17" x14ac:dyDescent="0.45">
      <c r="A53" s="34" t="s">
        <v>183</v>
      </c>
      <c r="B53" s="35" t="s">
        <v>3</v>
      </c>
      <c r="C53" s="37" t="s">
        <v>3</v>
      </c>
      <c r="D53" s="37" t="s">
        <v>3</v>
      </c>
      <c r="E53" s="37" t="s">
        <v>3</v>
      </c>
      <c r="F53" s="37" t="s">
        <v>3</v>
      </c>
      <c r="G53" s="37" t="s">
        <v>3</v>
      </c>
      <c r="H53" s="37" t="s">
        <v>3</v>
      </c>
      <c r="I53" s="37" t="s">
        <v>3</v>
      </c>
      <c r="J53" s="37" t="s">
        <v>3</v>
      </c>
      <c r="K53" s="37" t="s">
        <v>3</v>
      </c>
      <c r="L53" s="37" t="s">
        <v>3</v>
      </c>
      <c r="M53" s="37" t="s">
        <v>3</v>
      </c>
      <c r="N53" s="37" t="s">
        <v>3</v>
      </c>
      <c r="O53" s="37" t="s">
        <v>3</v>
      </c>
      <c r="P53" s="36">
        <v>5.88</v>
      </c>
      <c r="Q53" s="36">
        <v>-1.73</v>
      </c>
      <c r="R53" s="36">
        <v>5.86</v>
      </c>
      <c r="S53" s="36">
        <v>8.84</v>
      </c>
      <c r="T53" s="36">
        <v>5.44</v>
      </c>
      <c r="U53" s="36">
        <v>2.8</v>
      </c>
      <c r="V53" s="36">
        <v>0.87</v>
      </c>
      <c r="W53" s="36">
        <v>4.6399999999999997</v>
      </c>
      <c r="X53" s="36">
        <v>0.69</v>
      </c>
      <c r="Y53" s="36">
        <v>-3.26</v>
      </c>
      <c r="Z53" s="36">
        <v>-49.87</v>
      </c>
      <c r="AA53" s="36">
        <v>102.4</v>
      </c>
      <c r="AB53" s="36">
        <v>-1.78</v>
      </c>
      <c r="AC53" s="36">
        <v>-3.77</v>
      </c>
      <c r="AD53" s="37" t="s">
        <v>3</v>
      </c>
      <c r="AE53" s="37" t="s">
        <v>3</v>
      </c>
    </row>
    <row r="54" spans="1:31" ht="17" x14ac:dyDescent="0.45">
      <c r="A54" s="34" t="s">
        <v>184</v>
      </c>
      <c r="B54" s="35" t="s">
        <v>3</v>
      </c>
      <c r="C54" s="37" t="s">
        <v>3</v>
      </c>
      <c r="D54" s="36">
        <v>13.18</v>
      </c>
      <c r="E54" s="36">
        <v>-8.7100000000000009</v>
      </c>
      <c r="F54" s="36">
        <v>-2.0699999999999998</v>
      </c>
      <c r="G54" s="36">
        <v>0.42</v>
      </c>
      <c r="H54" s="36">
        <v>-1.07</v>
      </c>
      <c r="I54" s="36">
        <v>-0.75</v>
      </c>
      <c r="J54" s="36">
        <v>3.03</v>
      </c>
      <c r="K54" s="36">
        <v>14.22</v>
      </c>
      <c r="L54" s="36">
        <v>19.07</v>
      </c>
      <c r="M54" s="36">
        <v>11.49</v>
      </c>
      <c r="N54" s="36">
        <v>4.8099999999999996</v>
      </c>
      <c r="O54" s="36">
        <v>7.95</v>
      </c>
      <c r="P54" s="36">
        <v>3.57</v>
      </c>
      <c r="Q54" s="36">
        <v>-3.73</v>
      </c>
      <c r="R54" s="36">
        <v>-8.31</v>
      </c>
      <c r="S54" s="36">
        <v>2.76</v>
      </c>
      <c r="T54" s="36">
        <v>62.51</v>
      </c>
      <c r="U54" s="36">
        <v>-14.04</v>
      </c>
      <c r="V54" s="36">
        <v>-0.49</v>
      </c>
      <c r="W54" s="36">
        <v>4.68</v>
      </c>
      <c r="X54" s="36">
        <v>7.65</v>
      </c>
      <c r="Y54" s="36">
        <v>4.88</v>
      </c>
      <c r="Z54" s="36">
        <v>4.4800000000000004</v>
      </c>
      <c r="AA54" s="36">
        <v>1.2</v>
      </c>
      <c r="AB54" s="36">
        <v>-4.2300000000000004</v>
      </c>
      <c r="AC54" s="36">
        <v>10.26</v>
      </c>
      <c r="AD54" s="36">
        <v>6.15</v>
      </c>
      <c r="AE54" s="36">
        <v>0.62</v>
      </c>
    </row>
    <row r="55" spans="1:31" ht="17" x14ac:dyDescent="0.45">
      <c r="A55" s="34" t="s">
        <v>185</v>
      </c>
      <c r="B55" s="35" t="s">
        <v>3</v>
      </c>
      <c r="C55" s="37" t="s">
        <v>3</v>
      </c>
      <c r="D55" s="37" t="s">
        <v>3</v>
      </c>
      <c r="E55" s="37" t="s">
        <v>3</v>
      </c>
      <c r="F55" s="37" t="s">
        <v>3</v>
      </c>
      <c r="G55" s="37" t="s">
        <v>3</v>
      </c>
      <c r="H55" s="37" t="s">
        <v>3</v>
      </c>
      <c r="I55" s="37" t="s">
        <v>3</v>
      </c>
      <c r="J55" s="37" t="s">
        <v>3</v>
      </c>
      <c r="K55" s="37" t="s">
        <v>3</v>
      </c>
      <c r="L55" s="37" t="s">
        <v>3</v>
      </c>
      <c r="M55" s="37" t="s">
        <v>3</v>
      </c>
      <c r="N55" s="37" t="s">
        <v>3</v>
      </c>
      <c r="O55" s="37" t="s">
        <v>3</v>
      </c>
      <c r="P55" s="37" t="s">
        <v>3</v>
      </c>
      <c r="Q55" s="37" t="s">
        <v>3</v>
      </c>
      <c r="R55" s="37" t="s">
        <v>3</v>
      </c>
      <c r="S55" s="37" t="s">
        <v>3</v>
      </c>
      <c r="T55" s="37" t="s">
        <v>3</v>
      </c>
      <c r="U55" s="37" t="s">
        <v>3</v>
      </c>
      <c r="V55" s="37" t="s">
        <v>3</v>
      </c>
      <c r="W55" s="37" t="s">
        <v>3</v>
      </c>
      <c r="X55" s="37" t="s">
        <v>3</v>
      </c>
      <c r="Y55" s="37" t="s">
        <v>3</v>
      </c>
      <c r="Z55" s="36">
        <v>1.45</v>
      </c>
      <c r="AA55" s="36">
        <v>1.1399999999999999</v>
      </c>
      <c r="AB55" s="37" t="s">
        <v>3</v>
      </c>
      <c r="AC55" s="37" t="s">
        <v>3</v>
      </c>
      <c r="AD55" s="37" t="s">
        <v>3</v>
      </c>
      <c r="AE55" s="37" t="s">
        <v>3</v>
      </c>
    </row>
    <row r="56" spans="1:31" ht="17" x14ac:dyDescent="0.45">
      <c r="A56" s="34" t="s">
        <v>186</v>
      </c>
      <c r="B56" s="35" t="s">
        <v>3</v>
      </c>
      <c r="C56" s="37" t="s">
        <v>3</v>
      </c>
      <c r="D56" s="37" t="s">
        <v>3</v>
      </c>
      <c r="E56" s="37" t="s">
        <v>3</v>
      </c>
      <c r="F56" s="37" t="s">
        <v>3</v>
      </c>
      <c r="G56" s="37" t="s">
        <v>3</v>
      </c>
      <c r="H56" s="37" t="s">
        <v>3</v>
      </c>
      <c r="I56" s="37" t="s">
        <v>3</v>
      </c>
      <c r="J56" s="37" t="s">
        <v>3</v>
      </c>
      <c r="K56" s="37" t="s">
        <v>3</v>
      </c>
      <c r="L56" s="37" t="s">
        <v>3</v>
      </c>
      <c r="M56" s="37" t="s">
        <v>3</v>
      </c>
      <c r="N56" s="37" t="s">
        <v>3</v>
      </c>
      <c r="O56" s="37" t="s">
        <v>3</v>
      </c>
      <c r="P56" s="37" t="s">
        <v>3</v>
      </c>
      <c r="Q56" s="36">
        <v>4.87</v>
      </c>
      <c r="R56" s="36">
        <v>5.48</v>
      </c>
      <c r="S56" s="36">
        <v>0.83</v>
      </c>
      <c r="T56" s="36">
        <v>3.45</v>
      </c>
      <c r="U56" s="36">
        <v>1.05</v>
      </c>
      <c r="V56" s="36">
        <v>-0.59</v>
      </c>
      <c r="W56" s="36">
        <v>1.82</v>
      </c>
      <c r="X56" s="36">
        <v>0.69</v>
      </c>
      <c r="Y56" s="36">
        <v>-4.17</v>
      </c>
      <c r="Z56" s="36">
        <v>-0.04</v>
      </c>
      <c r="AA56" s="36">
        <v>-2.83</v>
      </c>
      <c r="AB56" s="36">
        <v>-4.41</v>
      </c>
      <c r="AC56" s="36">
        <v>10.47</v>
      </c>
      <c r="AD56" s="36">
        <v>-3.8</v>
      </c>
      <c r="AE56" s="37" t="s">
        <v>3</v>
      </c>
    </row>
    <row r="57" spans="1:31" ht="17" x14ac:dyDescent="0.4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</row>
    <row r="58" spans="1:31" ht="17" x14ac:dyDescent="0.45">
      <c r="A58" s="38" t="s">
        <v>187</v>
      </c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</row>
  </sheetData>
  <mergeCells count="1">
    <mergeCell ref="A7:B7"/>
  </mergeCells>
  <phoneticPr fontId="11" type="noConversion"/>
  <hyperlinks>
    <hyperlink ref="A58" r:id="rId1" xr:uid="{47F87CD4-D92E-4B86-9C8D-A213BC0CC467}"/>
  </hyperlinks>
  <pageMargins left="0.75" right="0.75" top="1" bottom="1" header="0.5" footer="0.5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58"/>
  <sheetViews>
    <sheetView showGridLines="0" topLeftCell="G1" workbookViewId="0">
      <selection activeCell="A7" sqref="A7:B7"/>
    </sheetView>
  </sheetViews>
  <sheetFormatPr defaultColWidth="9.08203125" defaultRowHeight="12.5" x14ac:dyDescent="0.25"/>
  <cols>
    <col min="1" max="1" width="27.33203125" style="6" customWidth="1"/>
    <col min="2" max="3" width="6" style="6" customWidth="1"/>
    <col min="4" max="16384" width="9.08203125" style="6"/>
  </cols>
  <sheetData>
    <row r="1" spans="1:31" ht="17" x14ac:dyDescent="0.45">
      <c r="A1" s="29" t="s">
        <v>161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</row>
    <row r="2" spans="1:31" ht="12.75" customHeight="1" x14ac:dyDescent="0.45">
      <c r="A2" s="30" t="s">
        <v>162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</row>
    <row r="3" spans="1:31" ht="12.75" customHeight="1" x14ac:dyDescent="0.45">
      <c r="A3" s="30" t="s">
        <v>190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</row>
    <row r="4" spans="1:31" ht="17" x14ac:dyDescent="0.45">
      <c r="A4" s="30" t="s">
        <v>164</v>
      </c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</row>
    <row r="5" spans="1:31" ht="12.75" customHeight="1" x14ac:dyDescent="0.45">
      <c r="A5" s="30" t="s">
        <v>165</v>
      </c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</row>
    <row r="6" spans="1:31" x14ac:dyDescent="0.25">
      <c r="A6" s="11"/>
      <c r="B6" s="12"/>
      <c r="C6" s="13"/>
      <c r="D6" s="14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6"/>
    </row>
    <row r="7" spans="1:31" ht="20.25" customHeight="1" x14ac:dyDescent="0.25">
      <c r="A7" s="42" t="s">
        <v>166</v>
      </c>
      <c r="B7" s="42" t="s">
        <v>166</v>
      </c>
      <c r="C7" s="31" t="s">
        <v>79</v>
      </c>
      <c r="D7" s="31" t="s">
        <v>80</v>
      </c>
      <c r="E7" s="31" t="s">
        <v>81</v>
      </c>
      <c r="F7" s="31" t="s">
        <v>82</v>
      </c>
      <c r="G7" s="31" t="s">
        <v>83</v>
      </c>
      <c r="H7" s="31" t="s">
        <v>84</v>
      </c>
      <c r="I7" s="31" t="s">
        <v>85</v>
      </c>
      <c r="J7" s="31" t="s">
        <v>86</v>
      </c>
      <c r="K7" s="31" t="s">
        <v>87</v>
      </c>
      <c r="L7" s="31" t="s">
        <v>88</v>
      </c>
      <c r="M7" s="31" t="s">
        <v>89</v>
      </c>
      <c r="N7" s="31" t="s">
        <v>90</v>
      </c>
      <c r="O7" s="31" t="s">
        <v>91</v>
      </c>
      <c r="P7" s="31" t="s">
        <v>92</v>
      </c>
      <c r="Q7" s="31" t="s">
        <v>93</v>
      </c>
      <c r="R7" s="31" t="s">
        <v>94</v>
      </c>
      <c r="S7" s="31" t="s">
        <v>95</v>
      </c>
      <c r="T7" s="31" t="s">
        <v>96</v>
      </c>
      <c r="U7" s="31" t="s">
        <v>97</v>
      </c>
      <c r="V7" s="31" t="s">
        <v>98</v>
      </c>
      <c r="W7" s="31" t="s">
        <v>2</v>
      </c>
      <c r="X7" s="31" t="s">
        <v>99</v>
      </c>
      <c r="Y7" s="31" t="s">
        <v>100</v>
      </c>
      <c r="Z7" s="31" t="s">
        <v>101</v>
      </c>
      <c r="AA7" s="31" t="s">
        <v>102</v>
      </c>
      <c r="AB7" s="31" t="s">
        <v>167</v>
      </c>
      <c r="AC7" s="31" t="s">
        <v>168</v>
      </c>
      <c r="AD7" s="31" t="s">
        <v>169</v>
      </c>
      <c r="AE7" s="31" t="s">
        <v>170</v>
      </c>
    </row>
    <row r="8" spans="1:31" ht="17" x14ac:dyDescent="0.25">
      <c r="A8" s="32" t="s">
        <v>171</v>
      </c>
      <c r="B8" s="33" t="s">
        <v>3</v>
      </c>
      <c r="C8" s="33" t="s">
        <v>3</v>
      </c>
      <c r="D8" s="33" t="s">
        <v>3</v>
      </c>
      <c r="E8" s="33" t="s">
        <v>3</v>
      </c>
      <c r="F8" s="33" t="s">
        <v>3</v>
      </c>
      <c r="G8" s="33" t="s">
        <v>3</v>
      </c>
      <c r="H8" s="33" t="s">
        <v>3</v>
      </c>
      <c r="I8" s="33" t="s">
        <v>3</v>
      </c>
      <c r="J8" s="33" t="s">
        <v>3</v>
      </c>
      <c r="K8" s="33" t="s">
        <v>3</v>
      </c>
      <c r="L8" s="33" t="s">
        <v>3</v>
      </c>
      <c r="M8" s="33" t="s">
        <v>3</v>
      </c>
      <c r="N8" s="33" t="s">
        <v>3</v>
      </c>
      <c r="O8" s="33" t="s">
        <v>3</v>
      </c>
      <c r="P8" s="33" t="s">
        <v>3</v>
      </c>
      <c r="Q8" s="33" t="s">
        <v>3</v>
      </c>
      <c r="R8" s="33" t="s">
        <v>3</v>
      </c>
      <c r="S8" s="33" t="s">
        <v>3</v>
      </c>
      <c r="T8" s="33" t="s">
        <v>3</v>
      </c>
      <c r="U8" s="33" t="s">
        <v>3</v>
      </c>
      <c r="V8" s="33" t="s">
        <v>3</v>
      </c>
      <c r="W8" s="33" t="s">
        <v>3</v>
      </c>
      <c r="X8" s="33" t="s">
        <v>3</v>
      </c>
      <c r="Y8" s="33" t="s">
        <v>3</v>
      </c>
      <c r="Z8" s="33" t="s">
        <v>3</v>
      </c>
      <c r="AA8" s="33" t="s">
        <v>3</v>
      </c>
      <c r="AB8" s="33" t="s">
        <v>3</v>
      </c>
      <c r="AC8" s="33" t="s">
        <v>3</v>
      </c>
      <c r="AD8" s="33" t="s">
        <v>3</v>
      </c>
      <c r="AE8" s="33" t="s">
        <v>3</v>
      </c>
    </row>
    <row r="9" spans="1:31" ht="17" x14ac:dyDescent="0.45">
      <c r="A9" s="34" t="s">
        <v>103</v>
      </c>
      <c r="B9" s="35" t="s">
        <v>3</v>
      </c>
      <c r="C9" s="36">
        <v>2.96</v>
      </c>
      <c r="D9" s="36">
        <v>6.37</v>
      </c>
      <c r="E9" s="36">
        <v>3.34</v>
      </c>
      <c r="F9" s="36">
        <v>5.08</v>
      </c>
      <c r="G9" s="36">
        <v>-2.0699999999999998</v>
      </c>
      <c r="H9" s="36">
        <v>-8.92</v>
      </c>
      <c r="I9" s="36">
        <v>4.54</v>
      </c>
      <c r="J9" s="36">
        <v>14.32</v>
      </c>
      <c r="K9" s="36">
        <v>-2.12</v>
      </c>
      <c r="L9" s="36">
        <v>-1.2</v>
      </c>
      <c r="M9" s="36">
        <v>2.44</v>
      </c>
      <c r="N9" s="36">
        <v>-0.17</v>
      </c>
      <c r="O9" s="36">
        <v>2.0699999999999998</v>
      </c>
      <c r="P9" s="36">
        <v>2.9</v>
      </c>
      <c r="Q9" s="36">
        <v>-0.78</v>
      </c>
      <c r="R9" s="36">
        <v>0.06</v>
      </c>
      <c r="S9" s="36">
        <v>16.93</v>
      </c>
      <c r="T9" s="36">
        <v>2.77</v>
      </c>
      <c r="U9" s="36">
        <v>0.94</v>
      </c>
      <c r="V9" s="36">
        <v>-3.64</v>
      </c>
      <c r="W9" s="36">
        <v>-5.93</v>
      </c>
      <c r="X9" s="36">
        <v>-6.91</v>
      </c>
      <c r="Y9" s="36">
        <v>0.73</v>
      </c>
      <c r="Z9" s="37" t="s">
        <v>3</v>
      </c>
      <c r="AA9" s="37" t="s">
        <v>3</v>
      </c>
      <c r="AB9" s="37" t="s">
        <v>3</v>
      </c>
      <c r="AC9" s="37" t="s">
        <v>3</v>
      </c>
      <c r="AD9" s="37" t="s">
        <v>3</v>
      </c>
      <c r="AE9" s="37" t="s">
        <v>3</v>
      </c>
    </row>
    <row r="10" spans="1:31" ht="17" x14ac:dyDescent="0.45">
      <c r="A10" s="34" t="s">
        <v>104</v>
      </c>
      <c r="B10" s="35" t="s">
        <v>3</v>
      </c>
      <c r="C10" s="36">
        <v>-0.61</v>
      </c>
      <c r="D10" s="36">
        <v>1.49</v>
      </c>
      <c r="E10" s="36">
        <v>-2.33</v>
      </c>
      <c r="F10" s="36">
        <v>3.94</v>
      </c>
      <c r="G10" s="36">
        <v>1.1200000000000001</v>
      </c>
      <c r="H10" s="36">
        <v>0.67</v>
      </c>
      <c r="I10" s="36">
        <v>0.16</v>
      </c>
      <c r="J10" s="36">
        <v>2.34</v>
      </c>
      <c r="K10" s="36">
        <v>5.29</v>
      </c>
      <c r="L10" s="36">
        <v>1.35</v>
      </c>
      <c r="M10" s="36">
        <v>0.8</v>
      </c>
      <c r="N10" s="36">
        <v>-2.85</v>
      </c>
      <c r="O10" s="36">
        <v>0.62</v>
      </c>
      <c r="P10" s="36">
        <v>-2.71</v>
      </c>
      <c r="Q10" s="36">
        <v>-7.68</v>
      </c>
      <c r="R10" s="36">
        <v>-5.67</v>
      </c>
      <c r="S10" s="36">
        <v>-4.66</v>
      </c>
      <c r="T10" s="36">
        <v>-0.66</v>
      </c>
      <c r="U10" s="36">
        <v>0.56999999999999995</v>
      </c>
      <c r="V10" s="36">
        <v>-3.18</v>
      </c>
      <c r="W10" s="36">
        <v>-1.42</v>
      </c>
      <c r="X10" s="36">
        <v>-1.31</v>
      </c>
      <c r="Y10" s="36">
        <v>0.6</v>
      </c>
      <c r="Z10" s="36">
        <v>-0.87</v>
      </c>
      <c r="AA10" s="36">
        <v>-4.4000000000000004</v>
      </c>
      <c r="AB10" s="36">
        <v>-2.74</v>
      </c>
      <c r="AC10" s="36">
        <v>-7.76</v>
      </c>
      <c r="AD10" s="36">
        <v>-4.96</v>
      </c>
      <c r="AE10" s="36">
        <v>-6.26</v>
      </c>
    </row>
    <row r="11" spans="1:31" ht="17" x14ac:dyDescent="0.45">
      <c r="A11" s="34" t="s">
        <v>105</v>
      </c>
      <c r="B11" s="35" t="s">
        <v>3</v>
      </c>
      <c r="C11" s="37" t="s">
        <v>3</v>
      </c>
      <c r="D11" s="36">
        <v>-0.9</v>
      </c>
      <c r="E11" s="36">
        <v>4.46</v>
      </c>
      <c r="F11" s="36">
        <v>-1.93</v>
      </c>
      <c r="G11" s="36">
        <v>3.36</v>
      </c>
      <c r="H11" s="36">
        <v>4.63</v>
      </c>
      <c r="I11" s="36">
        <v>-0.63</v>
      </c>
      <c r="J11" s="36">
        <v>0.51</v>
      </c>
      <c r="K11" s="36">
        <v>3.26</v>
      </c>
      <c r="L11" s="36">
        <v>7.34</v>
      </c>
      <c r="M11" s="36">
        <v>3.1</v>
      </c>
      <c r="N11" s="36">
        <v>5.26</v>
      </c>
      <c r="O11" s="36">
        <v>-2.14</v>
      </c>
      <c r="P11" s="36">
        <v>-1.5</v>
      </c>
      <c r="Q11" s="36">
        <v>-0.06</v>
      </c>
      <c r="R11" s="36">
        <v>1.26</v>
      </c>
      <c r="S11" s="36">
        <v>3.47</v>
      </c>
      <c r="T11" s="36">
        <v>-0.9</v>
      </c>
      <c r="U11" s="36">
        <v>0.17</v>
      </c>
      <c r="V11" s="36">
        <v>2.71</v>
      </c>
      <c r="W11" s="36">
        <v>1.93</v>
      </c>
      <c r="X11" s="36">
        <v>-0.55000000000000004</v>
      </c>
      <c r="Y11" s="36">
        <v>-1.2</v>
      </c>
      <c r="Z11" s="36">
        <v>1.41</v>
      </c>
      <c r="AA11" s="36">
        <v>1.57</v>
      </c>
      <c r="AB11" s="36">
        <v>-7.6</v>
      </c>
      <c r="AC11" s="36">
        <v>5.29</v>
      </c>
      <c r="AD11" s="36">
        <v>-2.2200000000000002</v>
      </c>
      <c r="AE11" s="36">
        <v>-1.17</v>
      </c>
    </row>
    <row r="12" spans="1:31" ht="17" x14ac:dyDescent="0.45">
      <c r="A12" s="34" t="s">
        <v>106</v>
      </c>
      <c r="B12" s="35" t="s">
        <v>3</v>
      </c>
      <c r="C12" s="37" t="s">
        <v>3</v>
      </c>
      <c r="D12" s="37" t="s">
        <v>3</v>
      </c>
      <c r="E12" s="37" t="s">
        <v>3</v>
      </c>
      <c r="F12" s="36">
        <v>-0.03</v>
      </c>
      <c r="G12" s="36">
        <v>1.23</v>
      </c>
      <c r="H12" s="36">
        <v>2.48</v>
      </c>
      <c r="I12" s="36">
        <v>3.69</v>
      </c>
      <c r="J12" s="36">
        <v>2.0699999999999998</v>
      </c>
      <c r="K12" s="36">
        <v>0.44</v>
      </c>
      <c r="L12" s="36">
        <v>0.92</v>
      </c>
      <c r="M12" s="36">
        <v>-1.23</v>
      </c>
      <c r="N12" s="36">
        <v>-1.97</v>
      </c>
      <c r="O12" s="36">
        <v>-0.28999999999999998</v>
      </c>
      <c r="P12" s="36">
        <v>-3.88</v>
      </c>
      <c r="Q12" s="36">
        <v>-0.6</v>
      </c>
      <c r="R12" s="36">
        <v>1.98</v>
      </c>
      <c r="S12" s="36">
        <v>1.02</v>
      </c>
      <c r="T12" s="36">
        <v>0.78</v>
      </c>
      <c r="U12" s="36">
        <v>1.99</v>
      </c>
      <c r="V12" s="36">
        <v>1.37</v>
      </c>
      <c r="W12" s="36">
        <v>-2.35</v>
      </c>
      <c r="X12" s="36">
        <v>-0.24</v>
      </c>
      <c r="Y12" s="36">
        <v>-1</v>
      </c>
      <c r="Z12" s="36">
        <v>1.3</v>
      </c>
      <c r="AA12" s="36">
        <v>-2.25</v>
      </c>
      <c r="AB12" s="36">
        <v>8.58</v>
      </c>
      <c r="AC12" s="36">
        <v>-8.52</v>
      </c>
      <c r="AD12" s="36">
        <v>-4.92</v>
      </c>
      <c r="AE12" s="36">
        <v>-4.59</v>
      </c>
    </row>
    <row r="13" spans="1:31" ht="17" x14ac:dyDescent="0.45">
      <c r="A13" s="34" t="s">
        <v>107</v>
      </c>
      <c r="B13" s="35" t="s">
        <v>3</v>
      </c>
      <c r="C13" s="37" t="s">
        <v>3</v>
      </c>
      <c r="D13" s="37" t="s">
        <v>3</v>
      </c>
      <c r="E13" s="37" t="s">
        <v>3</v>
      </c>
      <c r="F13" s="37" t="s">
        <v>3</v>
      </c>
      <c r="G13" s="37" t="s">
        <v>3</v>
      </c>
      <c r="H13" s="37" t="s">
        <v>3</v>
      </c>
      <c r="I13" s="37" t="s">
        <v>3</v>
      </c>
      <c r="J13" s="37" t="s">
        <v>3</v>
      </c>
      <c r="K13" s="37" t="s">
        <v>3</v>
      </c>
      <c r="L13" s="37" t="s">
        <v>3</v>
      </c>
      <c r="M13" s="37" t="s">
        <v>3</v>
      </c>
      <c r="N13" s="37" t="s">
        <v>3</v>
      </c>
      <c r="O13" s="37" t="s">
        <v>3</v>
      </c>
      <c r="P13" s="37" t="s">
        <v>3</v>
      </c>
      <c r="Q13" s="37" t="s">
        <v>3</v>
      </c>
      <c r="R13" s="37" t="s">
        <v>3</v>
      </c>
      <c r="S13" s="37" t="s">
        <v>3</v>
      </c>
      <c r="T13" s="37" t="s">
        <v>3</v>
      </c>
      <c r="U13" s="37" t="s">
        <v>3</v>
      </c>
      <c r="V13" s="36">
        <v>-1.06</v>
      </c>
      <c r="W13" s="36">
        <v>-0.61</v>
      </c>
      <c r="X13" s="36">
        <v>-1.26</v>
      </c>
      <c r="Y13" s="36">
        <v>-2.2400000000000002</v>
      </c>
      <c r="Z13" s="36">
        <v>1.55</v>
      </c>
      <c r="AA13" s="36">
        <v>0.76</v>
      </c>
      <c r="AB13" s="36">
        <v>9.66</v>
      </c>
      <c r="AC13" s="36">
        <v>-12.43</v>
      </c>
      <c r="AD13" s="36">
        <v>-0.24</v>
      </c>
      <c r="AE13" s="37" t="s">
        <v>3</v>
      </c>
    </row>
    <row r="14" spans="1:31" ht="17" x14ac:dyDescent="0.45">
      <c r="A14" s="34" t="s">
        <v>172</v>
      </c>
      <c r="B14" s="35" t="s">
        <v>3</v>
      </c>
      <c r="C14" s="37" t="s">
        <v>3</v>
      </c>
      <c r="D14" s="37" t="s">
        <v>3</v>
      </c>
      <c r="E14" s="37" t="s">
        <v>3</v>
      </c>
      <c r="F14" s="37" t="s">
        <v>3</v>
      </c>
      <c r="G14" s="37" t="s">
        <v>3</v>
      </c>
      <c r="H14" s="37" t="s">
        <v>3</v>
      </c>
      <c r="I14" s="37" t="s">
        <v>3</v>
      </c>
      <c r="J14" s="37" t="s">
        <v>3</v>
      </c>
      <c r="K14" s="37" t="s">
        <v>3</v>
      </c>
      <c r="L14" s="37" t="s">
        <v>3</v>
      </c>
      <c r="M14" s="37" t="s">
        <v>3</v>
      </c>
      <c r="N14" s="37" t="s">
        <v>3</v>
      </c>
      <c r="O14" s="37" t="s">
        <v>3</v>
      </c>
      <c r="P14" s="37" t="s">
        <v>3</v>
      </c>
      <c r="Q14" s="37" t="s">
        <v>3</v>
      </c>
      <c r="R14" s="37" t="s">
        <v>3</v>
      </c>
      <c r="S14" s="37" t="s">
        <v>3</v>
      </c>
      <c r="T14" s="37" t="s">
        <v>3</v>
      </c>
      <c r="U14" s="37" t="s">
        <v>3</v>
      </c>
      <c r="V14" s="37" t="s">
        <v>3</v>
      </c>
      <c r="W14" s="37" t="s">
        <v>3</v>
      </c>
      <c r="X14" s="36">
        <v>2.92</v>
      </c>
      <c r="Y14" s="36">
        <v>0.66</v>
      </c>
      <c r="Z14" s="36">
        <v>1.17</v>
      </c>
      <c r="AA14" s="36">
        <v>-7.01</v>
      </c>
      <c r="AB14" s="36">
        <v>-20.350000000000001</v>
      </c>
      <c r="AC14" s="36">
        <v>-9.73</v>
      </c>
      <c r="AD14" s="36">
        <v>2.82</v>
      </c>
      <c r="AE14" s="37" t="s">
        <v>3</v>
      </c>
    </row>
    <row r="15" spans="1:31" ht="17" x14ac:dyDescent="0.45">
      <c r="A15" s="34" t="s">
        <v>173</v>
      </c>
      <c r="B15" s="35" t="s">
        <v>3</v>
      </c>
      <c r="C15" s="36">
        <v>10.59</v>
      </c>
      <c r="D15" s="36">
        <v>-6.64</v>
      </c>
      <c r="E15" s="36">
        <v>-16.600000000000001</v>
      </c>
      <c r="F15" s="36">
        <v>20.55</v>
      </c>
      <c r="G15" s="36">
        <v>-2.58</v>
      </c>
      <c r="H15" s="36">
        <v>-6.83</v>
      </c>
      <c r="I15" s="36">
        <v>7.39</v>
      </c>
      <c r="J15" s="36">
        <v>0.62</v>
      </c>
      <c r="K15" s="36">
        <v>3.79</v>
      </c>
      <c r="L15" s="36">
        <v>8.8800000000000008</v>
      </c>
      <c r="M15" s="36">
        <v>-4.03</v>
      </c>
      <c r="N15" s="36">
        <v>3.19</v>
      </c>
      <c r="O15" s="36">
        <v>1.35</v>
      </c>
      <c r="P15" s="36">
        <v>11.58</v>
      </c>
      <c r="Q15" s="36">
        <v>17.53</v>
      </c>
      <c r="R15" s="36">
        <v>11.37</v>
      </c>
      <c r="S15" s="36">
        <v>-1.04</v>
      </c>
      <c r="T15" s="36">
        <v>-10.210000000000001</v>
      </c>
      <c r="U15" s="36">
        <v>2.9</v>
      </c>
      <c r="V15" s="36">
        <v>-16.190000000000001</v>
      </c>
      <c r="W15" s="36">
        <v>8.26</v>
      </c>
      <c r="X15" s="36">
        <v>4.45</v>
      </c>
      <c r="Y15" s="36">
        <v>-8.08</v>
      </c>
      <c r="Z15" s="36">
        <v>-8.69</v>
      </c>
      <c r="AA15" s="36">
        <v>-10.59</v>
      </c>
      <c r="AB15" s="36">
        <v>16.440000000000001</v>
      </c>
      <c r="AC15" s="36">
        <v>2.27</v>
      </c>
      <c r="AD15" s="36">
        <v>-13.47</v>
      </c>
      <c r="AE15" s="36">
        <v>14.31</v>
      </c>
    </row>
    <row r="16" spans="1:31" ht="17" x14ac:dyDescent="0.45">
      <c r="A16" s="34" t="s">
        <v>174</v>
      </c>
      <c r="B16" s="35" t="s">
        <v>3</v>
      </c>
      <c r="C16" s="36">
        <v>3.54</v>
      </c>
      <c r="D16" s="36">
        <v>1.93</v>
      </c>
      <c r="E16" s="36">
        <v>-6.41</v>
      </c>
      <c r="F16" s="36">
        <v>-3.74</v>
      </c>
      <c r="G16" s="36">
        <v>-8.15</v>
      </c>
      <c r="H16" s="36">
        <v>-3.83</v>
      </c>
      <c r="I16" s="36">
        <v>2.57</v>
      </c>
      <c r="J16" s="36">
        <v>3.21</v>
      </c>
      <c r="K16" s="36">
        <v>1.61</v>
      </c>
      <c r="L16" s="36">
        <v>3.29</v>
      </c>
      <c r="M16" s="36">
        <v>0.84</v>
      </c>
      <c r="N16" s="36">
        <v>-1.31</v>
      </c>
      <c r="O16" s="36">
        <v>4.9000000000000004</v>
      </c>
      <c r="P16" s="36">
        <v>-5.27</v>
      </c>
      <c r="Q16" s="36">
        <v>-1.42</v>
      </c>
      <c r="R16" s="36">
        <v>1.06</v>
      </c>
      <c r="S16" s="36">
        <v>3.91</v>
      </c>
      <c r="T16" s="36">
        <v>-4.42</v>
      </c>
      <c r="U16" s="36">
        <v>3.49</v>
      </c>
      <c r="V16" s="36">
        <v>10.43</v>
      </c>
      <c r="W16" s="36">
        <v>2.86</v>
      </c>
      <c r="X16" s="36">
        <v>-3.73</v>
      </c>
      <c r="Y16" s="36">
        <v>0.85</v>
      </c>
      <c r="Z16" s="36">
        <v>0.14000000000000001</v>
      </c>
      <c r="AA16" s="36">
        <v>-2.37</v>
      </c>
      <c r="AB16" s="36">
        <v>-5.83</v>
      </c>
      <c r="AC16" s="36">
        <v>-5.27</v>
      </c>
      <c r="AD16" s="36">
        <v>-7.1</v>
      </c>
      <c r="AE16" s="36">
        <v>-4.9400000000000004</v>
      </c>
    </row>
    <row r="17" spans="1:31" ht="17" x14ac:dyDescent="0.45">
      <c r="A17" s="34" t="s">
        <v>108</v>
      </c>
      <c r="B17" s="35" t="s">
        <v>3</v>
      </c>
      <c r="C17" s="36">
        <v>4.29</v>
      </c>
      <c r="D17" s="36">
        <v>4.2</v>
      </c>
      <c r="E17" s="36">
        <v>-7.14</v>
      </c>
      <c r="F17" s="36">
        <v>5.59</v>
      </c>
      <c r="G17" s="36">
        <v>4.68</v>
      </c>
      <c r="H17" s="36">
        <v>-0.83</v>
      </c>
      <c r="I17" s="36">
        <v>-7.63</v>
      </c>
      <c r="J17" s="36">
        <v>2.44</v>
      </c>
      <c r="K17" s="36">
        <v>5.14</v>
      </c>
      <c r="L17" s="36">
        <v>1.71</v>
      </c>
      <c r="M17" s="36">
        <v>-4.79</v>
      </c>
      <c r="N17" s="36">
        <v>0.99</v>
      </c>
      <c r="O17" s="36">
        <v>-6.57</v>
      </c>
      <c r="P17" s="36">
        <v>2.98</v>
      </c>
      <c r="Q17" s="36">
        <v>1.66</v>
      </c>
      <c r="R17" s="36">
        <v>-3.79</v>
      </c>
      <c r="S17" s="36">
        <v>3.48</v>
      </c>
      <c r="T17" s="36">
        <v>3.58</v>
      </c>
      <c r="U17" s="36">
        <v>2.2999999999999998</v>
      </c>
      <c r="V17" s="36">
        <v>2.17</v>
      </c>
      <c r="W17" s="36">
        <v>7.18</v>
      </c>
      <c r="X17" s="36">
        <v>5.1100000000000003</v>
      </c>
      <c r="Y17" s="36">
        <v>0.69</v>
      </c>
      <c r="Z17" s="36">
        <v>-6.25</v>
      </c>
      <c r="AA17" s="36">
        <v>-4.97</v>
      </c>
      <c r="AB17" s="36">
        <v>-0.48</v>
      </c>
      <c r="AC17" s="36">
        <v>2.33</v>
      </c>
      <c r="AD17" s="36">
        <v>-2.0499999999999998</v>
      </c>
      <c r="AE17" s="36">
        <v>5.18</v>
      </c>
    </row>
    <row r="18" spans="1:31" ht="17" x14ac:dyDescent="0.45">
      <c r="A18" s="34" t="s">
        <v>109</v>
      </c>
      <c r="B18" s="35" t="s">
        <v>3</v>
      </c>
      <c r="C18" s="37" t="s">
        <v>3</v>
      </c>
      <c r="D18" s="36">
        <v>5.24</v>
      </c>
      <c r="E18" s="36">
        <v>-12.05</v>
      </c>
      <c r="F18" s="36">
        <v>24.85</v>
      </c>
      <c r="G18" s="36">
        <v>-5.01</v>
      </c>
      <c r="H18" s="36">
        <v>27.03</v>
      </c>
      <c r="I18" s="36">
        <v>2.27</v>
      </c>
      <c r="J18" s="36">
        <v>11.58</v>
      </c>
      <c r="K18" s="36">
        <v>-1.54</v>
      </c>
      <c r="L18" s="36">
        <v>1.97</v>
      </c>
      <c r="M18" s="36">
        <v>18.71</v>
      </c>
      <c r="N18" s="36">
        <v>-13.64</v>
      </c>
      <c r="O18" s="36">
        <v>-11.97</v>
      </c>
      <c r="P18" s="36">
        <v>8.66</v>
      </c>
      <c r="Q18" s="36">
        <v>-5.13</v>
      </c>
      <c r="R18" s="36">
        <v>28.99</v>
      </c>
      <c r="S18" s="36">
        <v>3.45</v>
      </c>
      <c r="T18" s="36">
        <v>5.75</v>
      </c>
      <c r="U18" s="36">
        <v>-4.3</v>
      </c>
      <c r="V18" s="36">
        <v>-7.63</v>
      </c>
      <c r="W18" s="36">
        <v>-7.17</v>
      </c>
      <c r="X18" s="36">
        <v>27.44</v>
      </c>
      <c r="Y18" s="36">
        <v>6.37</v>
      </c>
      <c r="Z18" s="36">
        <v>3.95</v>
      </c>
      <c r="AA18" s="36">
        <v>2.34</v>
      </c>
      <c r="AB18" s="36">
        <v>6.49</v>
      </c>
      <c r="AC18" s="36">
        <v>10.02</v>
      </c>
      <c r="AD18" s="36">
        <v>-8.06</v>
      </c>
      <c r="AE18" s="36">
        <v>-7.03</v>
      </c>
    </row>
    <row r="19" spans="1:31" ht="17" x14ac:dyDescent="0.45">
      <c r="A19" s="34" t="s">
        <v>110</v>
      </c>
      <c r="B19" s="35" t="s">
        <v>3</v>
      </c>
      <c r="C19" s="36">
        <v>-10.93</v>
      </c>
      <c r="D19" s="36">
        <v>7.01</v>
      </c>
      <c r="E19" s="36">
        <v>-2.0499999999999998</v>
      </c>
      <c r="F19" s="36">
        <v>0.93</v>
      </c>
      <c r="G19" s="36">
        <v>-7.35</v>
      </c>
      <c r="H19" s="36">
        <v>-3.19</v>
      </c>
      <c r="I19" s="36">
        <v>-6.8</v>
      </c>
      <c r="J19" s="36">
        <v>-7.0000000000000007E-2</v>
      </c>
      <c r="K19" s="36">
        <v>4.8</v>
      </c>
      <c r="L19" s="36">
        <v>2.99</v>
      </c>
      <c r="M19" s="36">
        <v>-0.44</v>
      </c>
      <c r="N19" s="36">
        <v>-1.1499999999999999</v>
      </c>
      <c r="O19" s="36">
        <v>-2.0699999999999998</v>
      </c>
      <c r="P19" s="36">
        <v>-5.93</v>
      </c>
      <c r="Q19" s="36">
        <v>-1.55</v>
      </c>
      <c r="R19" s="36">
        <v>10.4</v>
      </c>
      <c r="S19" s="36">
        <v>-1.18</v>
      </c>
      <c r="T19" s="36">
        <v>-5.39</v>
      </c>
      <c r="U19" s="36">
        <v>-0.56999999999999995</v>
      </c>
      <c r="V19" s="36">
        <v>-2.21</v>
      </c>
      <c r="W19" s="36">
        <v>-0.92</v>
      </c>
      <c r="X19" s="36">
        <v>-0.19</v>
      </c>
      <c r="Y19" s="36">
        <v>3.29</v>
      </c>
      <c r="Z19" s="36">
        <v>-2.58</v>
      </c>
      <c r="AA19" s="36">
        <v>-3.06</v>
      </c>
      <c r="AB19" s="36">
        <v>1.31</v>
      </c>
      <c r="AC19" s="36">
        <v>-1.18</v>
      </c>
      <c r="AD19" s="36">
        <v>2.06</v>
      </c>
      <c r="AE19" s="36">
        <v>-12.25</v>
      </c>
    </row>
    <row r="20" spans="1:31" ht="17" x14ac:dyDescent="0.45">
      <c r="A20" s="34" t="s">
        <v>111</v>
      </c>
      <c r="B20" s="35" t="s">
        <v>3</v>
      </c>
      <c r="C20" s="36">
        <v>1.84</v>
      </c>
      <c r="D20" s="36">
        <v>-1.97</v>
      </c>
      <c r="E20" s="36">
        <v>-0.6</v>
      </c>
      <c r="F20" s="36">
        <v>0.65</v>
      </c>
      <c r="G20" s="36">
        <v>1.88</v>
      </c>
      <c r="H20" s="36">
        <v>1.8</v>
      </c>
      <c r="I20" s="36">
        <v>1.33</v>
      </c>
      <c r="J20" s="36">
        <v>-2.86</v>
      </c>
      <c r="K20" s="36">
        <v>-0.51</v>
      </c>
      <c r="L20" s="36">
        <v>0.52</v>
      </c>
      <c r="M20" s="36">
        <v>-1.59</v>
      </c>
      <c r="N20" s="36">
        <v>-0.49</v>
      </c>
      <c r="O20" s="36">
        <v>0.4</v>
      </c>
      <c r="P20" s="36">
        <v>-3.02</v>
      </c>
      <c r="Q20" s="36">
        <v>-6.01</v>
      </c>
      <c r="R20" s="36">
        <v>-1.48</v>
      </c>
      <c r="S20" s="36">
        <v>-1.22</v>
      </c>
      <c r="T20" s="36">
        <v>-4.8600000000000003</v>
      </c>
      <c r="U20" s="36">
        <v>1.26</v>
      </c>
      <c r="V20" s="36">
        <v>-1.65</v>
      </c>
      <c r="W20" s="36">
        <v>2.13</v>
      </c>
      <c r="X20" s="36">
        <v>0.68</v>
      </c>
      <c r="Y20" s="36">
        <v>2.91</v>
      </c>
      <c r="Z20" s="36">
        <v>-1.19</v>
      </c>
      <c r="AA20" s="36">
        <v>-0.15</v>
      </c>
      <c r="AB20" s="36">
        <v>-10.91</v>
      </c>
      <c r="AC20" s="36">
        <v>1.36</v>
      </c>
      <c r="AD20" s="36">
        <v>-5.17</v>
      </c>
      <c r="AE20" s="36">
        <v>1.76</v>
      </c>
    </row>
    <row r="21" spans="1:31" ht="17" x14ac:dyDescent="0.45">
      <c r="A21" s="34" t="s">
        <v>112</v>
      </c>
      <c r="B21" s="35" t="s">
        <v>3</v>
      </c>
      <c r="C21" s="36">
        <v>-5.44</v>
      </c>
      <c r="D21" s="36">
        <v>-2.72</v>
      </c>
      <c r="E21" s="36">
        <v>1.45</v>
      </c>
      <c r="F21" s="36">
        <v>-0.08</v>
      </c>
      <c r="G21" s="36">
        <v>0.82</v>
      </c>
      <c r="H21" s="36">
        <v>0.2</v>
      </c>
      <c r="I21" s="36">
        <v>0.4</v>
      </c>
      <c r="J21" s="36">
        <v>0.64</v>
      </c>
      <c r="K21" s="36">
        <v>0.19</v>
      </c>
      <c r="L21" s="36">
        <v>0.15</v>
      </c>
      <c r="M21" s="36">
        <v>-0.95</v>
      </c>
      <c r="N21" s="36">
        <v>-0.01</v>
      </c>
      <c r="O21" s="36">
        <v>-2.59</v>
      </c>
      <c r="P21" s="36">
        <v>-0.67</v>
      </c>
      <c r="Q21" s="36">
        <v>-2.72</v>
      </c>
      <c r="R21" s="36">
        <v>2.96</v>
      </c>
      <c r="S21" s="36">
        <v>1.66</v>
      </c>
      <c r="T21" s="36">
        <v>-2.17</v>
      </c>
      <c r="U21" s="36">
        <v>-1.41</v>
      </c>
      <c r="V21" s="36">
        <v>0.89</v>
      </c>
      <c r="W21" s="36">
        <v>-2.39</v>
      </c>
      <c r="X21" s="36">
        <v>0.8</v>
      </c>
      <c r="Y21" s="36">
        <v>-0.13</v>
      </c>
      <c r="Z21" s="36">
        <v>0.44</v>
      </c>
      <c r="AA21" s="36">
        <v>-4.68</v>
      </c>
      <c r="AB21" s="36">
        <v>0.27</v>
      </c>
      <c r="AC21" s="36">
        <v>-4.41</v>
      </c>
      <c r="AD21" s="36">
        <v>-12.11</v>
      </c>
      <c r="AE21" s="36">
        <v>-0.8</v>
      </c>
    </row>
    <row r="22" spans="1:31" ht="17" x14ac:dyDescent="0.45">
      <c r="A22" s="34" t="s">
        <v>113</v>
      </c>
      <c r="B22" s="35" t="s">
        <v>3</v>
      </c>
      <c r="C22" s="37" t="s">
        <v>3</v>
      </c>
      <c r="D22" s="36">
        <v>1.74</v>
      </c>
      <c r="E22" s="36">
        <v>6.2</v>
      </c>
      <c r="F22" s="36">
        <v>1.31</v>
      </c>
      <c r="G22" s="36">
        <v>8.98</v>
      </c>
      <c r="H22" s="36">
        <v>-0.71</v>
      </c>
      <c r="I22" s="36">
        <v>6.56</v>
      </c>
      <c r="J22" s="36">
        <v>-6.42</v>
      </c>
      <c r="K22" s="36">
        <v>23.95</v>
      </c>
      <c r="L22" s="36">
        <v>11.71</v>
      </c>
      <c r="M22" s="36">
        <v>-22.97</v>
      </c>
      <c r="N22" s="36">
        <v>48.21</v>
      </c>
      <c r="O22" s="36">
        <v>-16.100000000000001</v>
      </c>
      <c r="P22" s="36">
        <v>-22.73</v>
      </c>
      <c r="Q22" s="36">
        <v>-1.1100000000000001</v>
      </c>
      <c r="R22" s="36">
        <v>-7.64</v>
      </c>
      <c r="S22" s="36">
        <v>-17.79</v>
      </c>
      <c r="T22" s="36">
        <v>-13.85</v>
      </c>
      <c r="U22" s="36">
        <v>8.1999999999999993</v>
      </c>
      <c r="V22" s="36">
        <v>-26.58</v>
      </c>
      <c r="W22" s="36">
        <v>22.52</v>
      </c>
      <c r="X22" s="36">
        <v>1.85</v>
      </c>
      <c r="Y22" s="36">
        <v>-27.31</v>
      </c>
      <c r="Z22" s="36">
        <v>18.97</v>
      </c>
      <c r="AA22" s="36">
        <v>8.58</v>
      </c>
      <c r="AB22" s="36">
        <v>-10.72</v>
      </c>
      <c r="AC22" s="36">
        <v>38.54</v>
      </c>
      <c r="AD22" s="36">
        <v>-0.7</v>
      </c>
      <c r="AE22" s="36">
        <v>8.32</v>
      </c>
    </row>
    <row r="23" spans="1:31" ht="17" x14ac:dyDescent="0.45">
      <c r="A23" s="34" t="s">
        <v>114</v>
      </c>
      <c r="B23" s="35" t="s">
        <v>3</v>
      </c>
      <c r="C23" s="37" t="s">
        <v>3</v>
      </c>
      <c r="D23" s="36">
        <v>-7.9</v>
      </c>
      <c r="E23" s="36">
        <v>5</v>
      </c>
      <c r="F23" s="36">
        <v>6.78</v>
      </c>
      <c r="G23" s="36">
        <v>-2.21</v>
      </c>
      <c r="H23" s="36">
        <v>10.24</v>
      </c>
      <c r="I23" s="36">
        <v>6.7</v>
      </c>
      <c r="J23" s="36">
        <v>12.16</v>
      </c>
      <c r="K23" s="36">
        <v>-12.74</v>
      </c>
      <c r="L23" s="36">
        <v>-1.98</v>
      </c>
      <c r="M23" s="36">
        <v>10.41</v>
      </c>
      <c r="N23" s="36">
        <v>-5.17</v>
      </c>
      <c r="O23" s="36">
        <v>-10.49</v>
      </c>
      <c r="P23" s="36">
        <v>-8.9700000000000006</v>
      </c>
      <c r="Q23" s="36">
        <v>6.03</v>
      </c>
      <c r="R23" s="36">
        <v>-3.56</v>
      </c>
      <c r="S23" s="36">
        <v>3.91</v>
      </c>
      <c r="T23" s="36">
        <v>-6.67</v>
      </c>
      <c r="U23" s="36">
        <v>9.7799999999999994</v>
      </c>
      <c r="V23" s="36">
        <v>5</v>
      </c>
      <c r="W23" s="36">
        <v>7.87</v>
      </c>
      <c r="X23" s="36">
        <v>-20.59</v>
      </c>
      <c r="Y23" s="36">
        <v>11.41</v>
      </c>
      <c r="Z23" s="36">
        <v>3.64</v>
      </c>
      <c r="AA23" s="36">
        <v>7.25</v>
      </c>
      <c r="AB23" s="36">
        <v>-12.28</v>
      </c>
      <c r="AC23" s="36">
        <v>5.31</v>
      </c>
      <c r="AD23" s="36">
        <v>-0.8</v>
      </c>
      <c r="AE23" s="36">
        <v>-4.09</v>
      </c>
    </row>
    <row r="24" spans="1:31" ht="17" x14ac:dyDescent="0.45">
      <c r="A24" s="34" t="s">
        <v>115</v>
      </c>
      <c r="B24" s="35" t="s">
        <v>3</v>
      </c>
      <c r="C24" s="37" t="s">
        <v>3</v>
      </c>
      <c r="D24" s="36">
        <v>29.82</v>
      </c>
      <c r="E24" s="36">
        <v>-24.8</v>
      </c>
      <c r="F24" s="36">
        <v>28.7</v>
      </c>
      <c r="G24" s="36">
        <v>-2.33</v>
      </c>
      <c r="H24" s="36">
        <v>-0.33</v>
      </c>
      <c r="I24" s="36">
        <v>-5.49</v>
      </c>
      <c r="J24" s="36">
        <v>-4.93</v>
      </c>
      <c r="K24" s="36">
        <v>1.38</v>
      </c>
      <c r="L24" s="36">
        <v>7.74</v>
      </c>
      <c r="M24" s="36">
        <v>-9.7200000000000006</v>
      </c>
      <c r="N24" s="36">
        <v>-11.45</v>
      </c>
      <c r="O24" s="36">
        <v>-8.94</v>
      </c>
      <c r="P24" s="36">
        <v>-5.24</v>
      </c>
      <c r="Q24" s="36">
        <v>-7.07</v>
      </c>
      <c r="R24" s="36">
        <v>4.1900000000000004</v>
      </c>
      <c r="S24" s="36">
        <v>1.74</v>
      </c>
      <c r="T24" s="36">
        <v>1.1599999999999999</v>
      </c>
      <c r="U24" s="36">
        <v>2.5499999999999998</v>
      </c>
      <c r="V24" s="36">
        <v>2.15</v>
      </c>
      <c r="W24" s="36">
        <v>3.55</v>
      </c>
      <c r="X24" s="36">
        <v>10.27</v>
      </c>
      <c r="Y24" s="36">
        <v>-3.46</v>
      </c>
      <c r="Z24" s="36">
        <v>-0.3</v>
      </c>
      <c r="AA24" s="36">
        <v>-7.33</v>
      </c>
      <c r="AB24" s="36">
        <v>1.0900000000000001</v>
      </c>
      <c r="AC24" s="36">
        <v>1.19</v>
      </c>
      <c r="AD24" s="36">
        <v>-1.47</v>
      </c>
      <c r="AE24" s="36">
        <v>0.34</v>
      </c>
    </row>
    <row r="25" spans="1:31" ht="17" x14ac:dyDescent="0.45">
      <c r="A25" s="34" t="s">
        <v>116</v>
      </c>
      <c r="B25" s="35" t="s">
        <v>3</v>
      </c>
      <c r="C25" s="37" t="s">
        <v>3</v>
      </c>
      <c r="D25" s="36">
        <v>19.04</v>
      </c>
      <c r="E25" s="36">
        <v>12.67</v>
      </c>
      <c r="F25" s="36">
        <v>0.06</v>
      </c>
      <c r="G25" s="36">
        <v>-1.77</v>
      </c>
      <c r="H25" s="36">
        <v>-7.92</v>
      </c>
      <c r="I25" s="36">
        <v>-3.01</v>
      </c>
      <c r="J25" s="36">
        <v>0.28999999999999998</v>
      </c>
      <c r="K25" s="36">
        <v>2.66</v>
      </c>
      <c r="L25" s="36">
        <v>-1.1499999999999999</v>
      </c>
      <c r="M25" s="36">
        <v>-3.19</v>
      </c>
      <c r="N25" s="36">
        <v>-6.1</v>
      </c>
      <c r="O25" s="36">
        <v>-3.01</v>
      </c>
      <c r="P25" s="36">
        <v>7.24</v>
      </c>
      <c r="Q25" s="36">
        <v>13.5</v>
      </c>
      <c r="R25" s="36">
        <v>-1.1599999999999999</v>
      </c>
      <c r="S25" s="36">
        <v>20.32</v>
      </c>
      <c r="T25" s="36">
        <v>-16.16</v>
      </c>
      <c r="U25" s="36">
        <v>14.49</v>
      </c>
      <c r="V25" s="36">
        <v>-4.76</v>
      </c>
      <c r="W25" s="36">
        <v>-10.199999999999999</v>
      </c>
      <c r="X25" s="36">
        <v>-2.74</v>
      </c>
      <c r="Y25" s="36">
        <v>0.17</v>
      </c>
      <c r="Z25" s="36">
        <v>-2.29</v>
      </c>
      <c r="AA25" s="36">
        <v>2.08</v>
      </c>
      <c r="AB25" s="36">
        <v>-4.92</v>
      </c>
      <c r="AC25" s="36">
        <v>4.58</v>
      </c>
      <c r="AD25" s="36">
        <v>-13.04</v>
      </c>
      <c r="AE25" s="36">
        <v>-1.81</v>
      </c>
    </row>
    <row r="26" spans="1:31" ht="17" x14ac:dyDescent="0.45">
      <c r="A26" s="34" t="s">
        <v>117</v>
      </c>
      <c r="B26" s="35" t="s">
        <v>3</v>
      </c>
      <c r="C26" s="37" t="s">
        <v>3</v>
      </c>
      <c r="D26" s="36">
        <v>1.55</v>
      </c>
      <c r="E26" s="36">
        <v>0.52</v>
      </c>
      <c r="F26" s="36">
        <v>-5.15</v>
      </c>
      <c r="G26" s="36">
        <v>-2.36</v>
      </c>
      <c r="H26" s="36">
        <v>1.86</v>
      </c>
      <c r="I26" s="36">
        <v>7.6</v>
      </c>
      <c r="J26" s="36">
        <v>7.63</v>
      </c>
      <c r="K26" s="36">
        <v>1.53</v>
      </c>
      <c r="L26" s="36">
        <v>-2.97</v>
      </c>
      <c r="M26" s="36">
        <v>5.03</v>
      </c>
      <c r="N26" s="36">
        <v>1.22</v>
      </c>
      <c r="O26" s="36">
        <v>-4.07</v>
      </c>
      <c r="P26" s="36">
        <v>-3.55</v>
      </c>
      <c r="Q26" s="36">
        <v>5.05</v>
      </c>
      <c r="R26" s="36">
        <v>1.63</v>
      </c>
      <c r="S26" s="36">
        <v>6.58</v>
      </c>
      <c r="T26" s="36">
        <v>4.5</v>
      </c>
      <c r="U26" s="36">
        <v>-4.84</v>
      </c>
      <c r="V26" s="36">
        <v>-5.21</v>
      </c>
      <c r="W26" s="36">
        <v>-0.8</v>
      </c>
      <c r="X26" s="36">
        <v>1.37</v>
      </c>
      <c r="Y26" s="36">
        <v>0.56000000000000005</v>
      </c>
      <c r="Z26" s="36">
        <v>2.82</v>
      </c>
      <c r="AA26" s="36">
        <v>0.2</v>
      </c>
      <c r="AB26" s="36">
        <v>4.16</v>
      </c>
      <c r="AC26" s="36">
        <v>4.47</v>
      </c>
      <c r="AD26" s="36">
        <v>-0.23</v>
      </c>
      <c r="AE26" s="37" t="s">
        <v>3</v>
      </c>
    </row>
    <row r="27" spans="1:31" ht="17" x14ac:dyDescent="0.45">
      <c r="A27" s="34" t="s">
        <v>118</v>
      </c>
      <c r="B27" s="35" t="s">
        <v>3</v>
      </c>
      <c r="C27" s="36">
        <v>2.95</v>
      </c>
      <c r="D27" s="36">
        <v>2.71</v>
      </c>
      <c r="E27" s="36">
        <v>-2.99</v>
      </c>
      <c r="F27" s="36">
        <v>0.1</v>
      </c>
      <c r="G27" s="36">
        <v>-2.09</v>
      </c>
      <c r="H27" s="36">
        <v>0.9</v>
      </c>
      <c r="I27" s="36">
        <v>-1.87</v>
      </c>
      <c r="J27" s="36">
        <v>0.02</v>
      </c>
      <c r="K27" s="36">
        <v>-1.2</v>
      </c>
      <c r="L27" s="36">
        <v>-0.94</v>
      </c>
      <c r="M27" s="36">
        <v>-3.33</v>
      </c>
      <c r="N27" s="36">
        <v>0.24</v>
      </c>
      <c r="O27" s="36">
        <v>-3.81</v>
      </c>
      <c r="P27" s="36">
        <v>-3.07</v>
      </c>
      <c r="Q27" s="36">
        <v>-7.52</v>
      </c>
      <c r="R27" s="36">
        <v>-4.07</v>
      </c>
      <c r="S27" s="36">
        <v>-1.47</v>
      </c>
      <c r="T27" s="36">
        <v>-3.73</v>
      </c>
      <c r="U27" s="36">
        <v>0.46</v>
      </c>
      <c r="V27" s="36">
        <v>-4.3600000000000003</v>
      </c>
      <c r="W27" s="36">
        <v>-0.74</v>
      </c>
      <c r="X27" s="36">
        <v>0.54</v>
      </c>
      <c r="Y27" s="36">
        <v>1.85</v>
      </c>
      <c r="Z27" s="36">
        <v>1.18</v>
      </c>
      <c r="AA27" s="36">
        <v>2.88</v>
      </c>
      <c r="AB27" s="36">
        <v>-7.61</v>
      </c>
      <c r="AC27" s="36">
        <v>15.54</v>
      </c>
      <c r="AD27" s="36">
        <v>9.08</v>
      </c>
      <c r="AE27" s="36">
        <v>5.29</v>
      </c>
    </row>
    <row r="28" spans="1:31" ht="17" x14ac:dyDescent="0.45">
      <c r="A28" s="34" t="s">
        <v>136</v>
      </c>
      <c r="B28" s="35" t="s">
        <v>3</v>
      </c>
      <c r="C28" s="36">
        <v>-3.06</v>
      </c>
      <c r="D28" s="36">
        <v>2.91</v>
      </c>
      <c r="E28" s="36">
        <v>-7.62</v>
      </c>
      <c r="F28" s="36">
        <v>2.38</v>
      </c>
      <c r="G28" s="36">
        <v>0.4</v>
      </c>
      <c r="H28" s="36">
        <v>-1.88</v>
      </c>
      <c r="I28" s="36">
        <v>-0.6</v>
      </c>
      <c r="J28" s="36">
        <v>-3.53</v>
      </c>
      <c r="K28" s="36">
        <v>-3.5</v>
      </c>
      <c r="L28" s="36">
        <v>-1.33</v>
      </c>
      <c r="M28" s="36">
        <v>-3.39</v>
      </c>
      <c r="N28" s="36">
        <v>1.33</v>
      </c>
      <c r="O28" s="36">
        <v>-5.08</v>
      </c>
      <c r="P28" s="36">
        <v>-3.81</v>
      </c>
      <c r="Q28" s="36">
        <v>2.95</v>
      </c>
      <c r="R28" s="36">
        <v>-0.75</v>
      </c>
      <c r="S28" s="36">
        <v>2.11</v>
      </c>
      <c r="T28" s="36">
        <v>-0.46</v>
      </c>
      <c r="U28" s="36">
        <v>10.37</v>
      </c>
      <c r="V28" s="36">
        <v>1.03</v>
      </c>
      <c r="W28" s="36">
        <v>5.08</v>
      </c>
      <c r="X28" s="36">
        <v>6.31</v>
      </c>
      <c r="Y28" s="36">
        <v>1.59</v>
      </c>
      <c r="Z28" s="36">
        <v>-1.81</v>
      </c>
      <c r="AA28" s="36">
        <v>-0.13</v>
      </c>
      <c r="AB28" s="36">
        <v>1.23</v>
      </c>
      <c r="AC28" s="36">
        <v>0.53</v>
      </c>
      <c r="AD28" s="36">
        <v>-4.78</v>
      </c>
      <c r="AE28" s="37" t="s">
        <v>3</v>
      </c>
    </row>
    <row r="29" spans="1:31" ht="17" x14ac:dyDescent="0.45">
      <c r="A29" s="34" t="s">
        <v>134</v>
      </c>
      <c r="B29" s="35" t="s">
        <v>3</v>
      </c>
      <c r="C29" s="37" t="s">
        <v>3</v>
      </c>
      <c r="D29" s="37" t="s">
        <v>3</v>
      </c>
      <c r="E29" s="37" t="s">
        <v>3</v>
      </c>
      <c r="F29" s="37" t="s">
        <v>3</v>
      </c>
      <c r="G29" s="37" t="s">
        <v>3</v>
      </c>
      <c r="H29" s="37" t="s">
        <v>3</v>
      </c>
      <c r="I29" s="37" t="s">
        <v>3</v>
      </c>
      <c r="J29" s="37" t="s">
        <v>3</v>
      </c>
      <c r="K29" s="37" t="s">
        <v>3</v>
      </c>
      <c r="L29" s="37" t="s">
        <v>3</v>
      </c>
      <c r="M29" s="36">
        <v>1</v>
      </c>
      <c r="N29" s="36">
        <v>-0.42</v>
      </c>
      <c r="O29" s="36">
        <v>1.1499999999999999</v>
      </c>
      <c r="P29" s="36">
        <v>-1.37</v>
      </c>
      <c r="Q29" s="36">
        <v>6.99</v>
      </c>
      <c r="R29" s="36">
        <v>-5.48</v>
      </c>
      <c r="S29" s="36">
        <v>-4.99</v>
      </c>
      <c r="T29" s="36">
        <v>-1.74</v>
      </c>
      <c r="U29" s="36">
        <v>5.46</v>
      </c>
      <c r="V29" s="36">
        <v>-0.84</v>
      </c>
      <c r="W29" s="36">
        <v>4.63</v>
      </c>
      <c r="X29" s="36">
        <v>9.7899999999999991</v>
      </c>
      <c r="Y29" s="36">
        <v>0.23</v>
      </c>
      <c r="Z29" s="36">
        <v>-4.32</v>
      </c>
      <c r="AA29" s="36">
        <v>-1.02</v>
      </c>
      <c r="AB29" s="36">
        <v>-0.26</v>
      </c>
      <c r="AC29" s="36">
        <v>-4.38</v>
      </c>
      <c r="AD29" s="36">
        <v>-0.69</v>
      </c>
      <c r="AE29" s="36">
        <v>3.5</v>
      </c>
    </row>
    <row r="30" spans="1:31" ht="17" x14ac:dyDescent="0.45">
      <c r="A30" s="34" t="s">
        <v>119</v>
      </c>
      <c r="B30" s="35" t="s">
        <v>3</v>
      </c>
      <c r="C30" s="37" t="s">
        <v>3</v>
      </c>
      <c r="D30" s="36">
        <v>5.58</v>
      </c>
      <c r="E30" s="36">
        <v>5.62</v>
      </c>
      <c r="F30" s="36">
        <v>15.27</v>
      </c>
      <c r="G30" s="36">
        <v>12.26</v>
      </c>
      <c r="H30" s="36">
        <v>13.06</v>
      </c>
      <c r="I30" s="36">
        <v>-13.57</v>
      </c>
      <c r="J30" s="36">
        <v>27.54</v>
      </c>
      <c r="K30" s="36">
        <v>0.66</v>
      </c>
      <c r="L30" s="36">
        <v>9.14</v>
      </c>
      <c r="M30" s="36">
        <v>11.71</v>
      </c>
      <c r="N30" s="36">
        <v>-4.8600000000000003</v>
      </c>
      <c r="O30" s="36">
        <v>5.71</v>
      </c>
      <c r="P30" s="36">
        <v>-2.83</v>
      </c>
      <c r="Q30" s="36">
        <v>-6.86</v>
      </c>
      <c r="R30" s="36">
        <v>-21.52</v>
      </c>
      <c r="S30" s="36">
        <v>16.16</v>
      </c>
      <c r="T30" s="36">
        <v>13</v>
      </c>
      <c r="U30" s="36">
        <v>-2.14</v>
      </c>
      <c r="V30" s="36">
        <v>0.51</v>
      </c>
      <c r="W30" s="36">
        <v>1.88</v>
      </c>
      <c r="X30" s="36">
        <v>-2.3199999999999998</v>
      </c>
      <c r="Y30" s="36">
        <v>9.4700000000000006</v>
      </c>
      <c r="Z30" s="36">
        <v>2.77</v>
      </c>
      <c r="AA30" s="36">
        <v>9.9600000000000009</v>
      </c>
      <c r="AB30" s="36">
        <v>-4.7699999999999996</v>
      </c>
      <c r="AC30" s="36">
        <v>-10.28</v>
      </c>
      <c r="AD30" s="36">
        <v>-6.55</v>
      </c>
      <c r="AE30" s="36">
        <v>19.43</v>
      </c>
    </row>
    <row r="31" spans="1:31" ht="17" x14ac:dyDescent="0.45">
      <c r="A31" s="34" t="s">
        <v>120</v>
      </c>
      <c r="B31" s="35" t="s">
        <v>3</v>
      </c>
      <c r="C31" s="37" t="s">
        <v>3</v>
      </c>
      <c r="D31" s="36">
        <v>7.26</v>
      </c>
      <c r="E31" s="36">
        <v>8.4700000000000006</v>
      </c>
      <c r="F31" s="36">
        <v>16.86</v>
      </c>
      <c r="G31" s="36">
        <v>-8.5299999999999994</v>
      </c>
      <c r="H31" s="36">
        <v>-10.52</v>
      </c>
      <c r="I31" s="36">
        <v>10.68</v>
      </c>
      <c r="J31" s="36">
        <v>0.72</v>
      </c>
      <c r="K31" s="36">
        <v>10.7</v>
      </c>
      <c r="L31" s="36">
        <v>6.8</v>
      </c>
      <c r="M31" s="36">
        <v>2.7</v>
      </c>
      <c r="N31" s="36">
        <v>2.4500000000000002</v>
      </c>
      <c r="O31" s="36">
        <v>26.19</v>
      </c>
      <c r="P31" s="36">
        <v>6.96</v>
      </c>
      <c r="Q31" s="36">
        <v>-26.06</v>
      </c>
      <c r="R31" s="36">
        <v>24.26</v>
      </c>
      <c r="S31" s="36">
        <v>22.53</v>
      </c>
      <c r="T31" s="36">
        <v>-8.61</v>
      </c>
      <c r="U31" s="36">
        <v>-1.59</v>
      </c>
      <c r="V31" s="36">
        <v>13.29</v>
      </c>
      <c r="W31" s="36">
        <v>-6.21</v>
      </c>
      <c r="X31" s="36">
        <v>-5.89</v>
      </c>
      <c r="Y31" s="36">
        <v>9.43</v>
      </c>
      <c r="Z31" s="36">
        <v>6.45</v>
      </c>
      <c r="AA31" s="36">
        <v>4.0199999999999996</v>
      </c>
      <c r="AB31" s="36">
        <v>4.88</v>
      </c>
      <c r="AC31" s="36">
        <v>-0.06</v>
      </c>
      <c r="AD31" s="36">
        <v>-12.09</v>
      </c>
      <c r="AE31" s="36">
        <v>8.2200000000000006</v>
      </c>
    </row>
    <row r="32" spans="1:31" ht="17" x14ac:dyDescent="0.45">
      <c r="A32" s="34" t="s">
        <v>121</v>
      </c>
      <c r="B32" s="35" t="s">
        <v>3</v>
      </c>
      <c r="C32" s="37" t="s">
        <v>3</v>
      </c>
      <c r="D32" s="36">
        <v>-1.63</v>
      </c>
      <c r="E32" s="36">
        <v>5.0999999999999996</v>
      </c>
      <c r="F32" s="36">
        <v>2.2400000000000002</v>
      </c>
      <c r="G32" s="36">
        <v>2.72</v>
      </c>
      <c r="H32" s="36">
        <v>-2.14</v>
      </c>
      <c r="I32" s="36">
        <v>-5.76</v>
      </c>
      <c r="J32" s="36">
        <v>0.82</v>
      </c>
      <c r="K32" s="36">
        <v>-0.21</v>
      </c>
      <c r="L32" s="36">
        <v>1.02</v>
      </c>
      <c r="M32" s="36">
        <v>-5.38</v>
      </c>
      <c r="N32" s="36">
        <v>3.36</v>
      </c>
      <c r="O32" s="36">
        <v>11.79</v>
      </c>
      <c r="P32" s="36">
        <v>-6.63</v>
      </c>
      <c r="Q32" s="36">
        <v>-4.5199999999999996</v>
      </c>
      <c r="R32" s="36">
        <v>4.21</v>
      </c>
      <c r="S32" s="36">
        <v>-3.46</v>
      </c>
      <c r="T32" s="36">
        <v>1.04</v>
      </c>
      <c r="U32" s="36">
        <v>-0.14000000000000001</v>
      </c>
      <c r="V32" s="36">
        <v>3.56</v>
      </c>
      <c r="W32" s="36">
        <v>0.14000000000000001</v>
      </c>
      <c r="X32" s="36">
        <v>3.18</v>
      </c>
      <c r="Y32" s="36">
        <v>-4.38</v>
      </c>
      <c r="Z32" s="36">
        <v>-2.09</v>
      </c>
      <c r="AA32" s="36">
        <v>5.49</v>
      </c>
      <c r="AB32" s="36">
        <v>-9.41</v>
      </c>
      <c r="AC32" s="36">
        <v>-6.59</v>
      </c>
      <c r="AD32" s="36">
        <v>-6.63</v>
      </c>
      <c r="AE32" s="36">
        <v>-6.58</v>
      </c>
    </row>
    <row r="33" spans="1:31" ht="17" x14ac:dyDescent="0.45">
      <c r="A33" s="34" t="s">
        <v>122</v>
      </c>
      <c r="B33" s="35" t="s">
        <v>3</v>
      </c>
      <c r="C33" s="37" t="s">
        <v>3</v>
      </c>
      <c r="D33" s="37" t="s">
        <v>3</v>
      </c>
      <c r="E33" s="37" t="s">
        <v>3</v>
      </c>
      <c r="F33" s="37" t="s">
        <v>3</v>
      </c>
      <c r="G33" s="37" t="s">
        <v>3</v>
      </c>
      <c r="H33" s="37" t="s">
        <v>3</v>
      </c>
      <c r="I33" s="37" t="s">
        <v>3</v>
      </c>
      <c r="J33" s="37" t="s">
        <v>3</v>
      </c>
      <c r="K33" s="37" t="s">
        <v>3</v>
      </c>
      <c r="L33" s="37" t="s">
        <v>3</v>
      </c>
      <c r="M33" s="37" t="s">
        <v>3</v>
      </c>
      <c r="N33" s="36">
        <v>2.41</v>
      </c>
      <c r="O33" s="36">
        <v>-0.38</v>
      </c>
      <c r="P33" s="36">
        <v>5.33</v>
      </c>
      <c r="Q33" s="36">
        <v>-3.82</v>
      </c>
      <c r="R33" s="36">
        <v>-0.6</v>
      </c>
      <c r="S33" s="36">
        <v>2.54</v>
      </c>
      <c r="T33" s="36">
        <v>2.83</v>
      </c>
      <c r="U33" s="36">
        <v>-1.39</v>
      </c>
      <c r="V33" s="36">
        <v>-0.88</v>
      </c>
      <c r="W33" s="36">
        <v>-3.9</v>
      </c>
      <c r="X33" s="36">
        <v>-4.99</v>
      </c>
      <c r="Y33" s="36">
        <v>-1.37</v>
      </c>
      <c r="Z33" s="36">
        <v>-2.8</v>
      </c>
      <c r="AA33" s="36">
        <v>-1.86</v>
      </c>
      <c r="AB33" s="36">
        <v>-9.75</v>
      </c>
      <c r="AC33" s="36">
        <v>-1.52</v>
      </c>
      <c r="AD33" s="36">
        <v>1.06</v>
      </c>
      <c r="AE33" s="36">
        <v>11.11</v>
      </c>
    </row>
    <row r="34" spans="1:31" ht="17" x14ac:dyDescent="0.45">
      <c r="A34" s="34" t="s">
        <v>123</v>
      </c>
      <c r="B34" s="35" t="s">
        <v>3</v>
      </c>
      <c r="C34" s="37" t="s">
        <v>3</v>
      </c>
      <c r="D34" s="36">
        <v>-3.24</v>
      </c>
      <c r="E34" s="36">
        <v>-2.5099999999999998</v>
      </c>
      <c r="F34" s="36">
        <v>1.97</v>
      </c>
      <c r="G34" s="36">
        <v>4.7699999999999996</v>
      </c>
      <c r="H34" s="36">
        <v>0.02</v>
      </c>
      <c r="I34" s="36">
        <v>-0.12</v>
      </c>
      <c r="J34" s="36">
        <v>-1.43</v>
      </c>
      <c r="K34" s="36">
        <v>-0.42</v>
      </c>
      <c r="L34" s="36">
        <v>0.23</v>
      </c>
      <c r="M34" s="36">
        <v>4.32</v>
      </c>
      <c r="N34" s="36">
        <v>1.97</v>
      </c>
      <c r="O34" s="36">
        <v>3.56</v>
      </c>
      <c r="P34" s="36">
        <v>2.36</v>
      </c>
      <c r="Q34" s="36">
        <v>-3.53</v>
      </c>
      <c r="R34" s="36">
        <v>-7.39</v>
      </c>
      <c r="S34" s="36">
        <v>1.26</v>
      </c>
      <c r="T34" s="36">
        <v>-6.26</v>
      </c>
      <c r="U34" s="36">
        <v>0.18</v>
      </c>
      <c r="V34" s="36">
        <v>5.29</v>
      </c>
      <c r="W34" s="36">
        <v>7.46</v>
      </c>
      <c r="X34" s="36">
        <v>8.7899999999999991</v>
      </c>
      <c r="Y34" s="36">
        <v>3.99</v>
      </c>
      <c r="Z34" s="36">
        <v>0.31</v>
      </c>
      <c r="AA34" s="36">
        <v>0.9</v>
      </c>
      <c r="AB34" s="36">
        <v>-2.85</v>
      </c>
      <c r="AC34" s="36">
        <v>-0.87</v>
      </c>
      <c r="AD34" s="36">
        <v>1.31</v>
      </c>
      <c r="AE34" s="36">
        <v>-0.83</v>
      </c>
    </row>
    <row r="35" spans="1:31" ht="17" x14ac:dyDescent="0.45">
      <c r="A35" s="34" t="s">
        <v>124</v>
      </c>
      <c r="B35" s="35" t="s">
        <v>3</v>
      </c>
      <c r="C35" s="37" t="s">
        <v>3</v>
      </c>
      <c r="D35" s="37" t="s">
        <v>3</v>
      </c>
      <c r="E35" s="37" t="s">
        <v>3</v>
      </c>
      <c r="F35" s="37" t="s">
        <v>3</v>
      </c>
      <c r="G35" s="37" t="s">
        <v>3</v>
      </c>
      <c r="H35" s="37" t="s">
        <v>3</v>
      </c>
      <c r="I35" s="37" t="s">
        <v>3</v>
      </c>
      <c r="J35" s="37" t="s">
        <v>3</v>
      </c>
      <c r="K35" s="37" t="s">
        <v>3</v>
      </c>
      <c r="L35" s="37" t="s">
        <v>3</v>
      </c>
      <c r="M35" s="37" t="s">
        <v>3</v>
      </c>
      <c r="N35" s="37" t="s">
        <v>3</v>
      </c>
      <c r="O35" s="37" t="s">
        <v>3</v>
      </c>
      <c r="P35" s="37" t="s">
        <v>3</v>
      </c>
      <c r="Q35" s="37" t="s">
        <v>3</v>
      </c>
      <c r="R35" s="36">
        <v>1.81</v>
      </c>
      <c r="S35" s="36">
        <v>0.8</v>
      </c>
      <c r="T35" s="36">
        <v>7.99</v>
      </c>
      <c r="U35" s="36">
        <v>-2.38</v>
      </c>
      <c r="V35" s="36">
        <v>-5.45</v>
      </c>
      <c r="W35" s="36">
        <v>-3.57</v>
      </c>
      <c r="X35" s="36">
        <v>4.28</v>
      </c>
      <c r="Y35" s="36">
        <v>3.09</v>
      </c>
      <c r="Z35" s="36">
        <v>4.6399999999999997</v>
      </c>
      <c r="AA35" s="36">
        <v>2.99</v>
      </c>
      <c r="AB35" s="36">
        <v>-4.46</v>
      </c>
      <c r="AC35" s="36">
        <v>-8.16</v>
      </c>
      <c r="AD35" s="36">
        <v>-2.78</v>
      </c>
      <c r="AE35" s="37" t="s">
        <v>3</v>
      </c>
    </row>
    <row r="36" spans="1:31" ht="17" x14ac:dyDescent="0.45">
      <c r="A36" s="34" t="s">
        <v>125</v>
      </c>
      <c r="B36" s="35" t="s">
        <v>3</v>
      </c>
      <c r="C36" s="36">
        <v>0.13</v>
      </c>
      <c r="D36" s="36">
        <v>-3.23</v>
      </c>
      <c r="E36" s="36">
        <v>0.31</v>
      </c>
      <c r="F36" s="36">
        <v>-1.57</v>
      </c>
      <c r="G36" s="36">
        <v>-3.03</v>
      </c>
      <c r="H36" s="36">
        <v>0.82</v>
      </c>
      <c r="I36" s="36">
        <v>-2.97</v>
      </c>
      <c r="J36" s="36">
        <v>-0.4</v>
      </c>
      <c r="K36" s="36">
        <v>-2.93</v>
      </c>
      <c r="L36" s="36">
        <v>1.52</v>
      </c>
      <c r="M36" s="36">
        <v>-0.3</v>
      </c>
      <c r="N36" s="36">
        <v>-0.46</v>
      </c>
      <c r="O36" s="36">
        <v>0.95</v>
      </c>
      <c r="P36" s="36">
        <v>-1.23</v>
      </c>
      <c r="Q36" s="36">
        <v>-3.22</v>
      </c>
      <c r="R36" s="36">
        <v>-0.64</v>
      </c>
      <c r="S36" s="36">
        <v>-1.24</v>
      </c>
      <c r="T36" s="36">
        <v>1.17</v>
      </c>
      <c r="U36" s="36">
        <v>-0.68</v>
      </c>
      <c r="V36" s="36">
        <v>-0.54</v>
      </c>
      <c r="W36" s="36">
        <v>-0.43</v>
      </c>
      <c r="X36" s="36">
        <v>1.06</v>
      </c>
      <c r="Y36" s="36">
        <v>-0.75</v>
      </c>
      <c r="Z36" s="36">
        <v>-2.0499999999999998</v>
      </c>
      <c r="AA36" s="36">
        <v>1.06</v>
      </c>
      <c r="AB36" s="36">
        <v>-3.24</v>
      </c>
      <c r="AC36" s="36">
        <v>2.0299999999999998</v>
      </c>
      <c r="AD36" s="36">
        <v>-0.43</v>
      </c>
      <c r="AE36" s="36">
        <v>-3.91</v>
      </c>
    </row>
    <row r="37" spans="1:31" ht="17" x14ac:dyDescent="0.45">
      <c r="A37" s="34" t="s">
        <v>126</v>
      </c>
      <c r="B37" s="35" t="s">
        <v>3</v>
      </c>
      <c r="C37" s="37" t="s">
        <v>3</v>
      </c>
      <c r="D37" s="36">
        <v>-5.59</v>
      </c>
      <c r="E37" s="36">
        <v>-4.3099999999999996</v>
      </c>
      <c r="F37" s="36">
        <v>0.54</v>
      </c>
      <c r="G37" s="36">
        <v>3.01</v>
      </c>
      <c r="H37" s="36">
        <v>12.61</v>
      </c>
      <c r="I37" s="36">
        <v>-29.96</v>
      </c>
      <c r="J37" s="36">
        <v>5.29</v>
      </c>
      <c r="K37" s="36">
        <v>3.29</v>
      </c>
      <c r="L37" s="36">
        <v>1.32</v>
      </c>
      <c r="M37" s="36">
        <v>-3.71</v>
      </c>
      <c r="N37" s="36">
        <v>-0.1</v>
      </c>
      <c r="O37" s="36">
        <v>-9.65</v>
      </c>
      <c r="P37" s="36">
        <v>-17.760000000000002</v>
      </c>
      <c r="Q37" s="36">
        <v>8.32</v>
      </c>
      <c r="R37" s="36">
        <v>7.36</v>
      </c>
      <c r="S37" s="36">
        <v>18.36</v>
      </c>
      <c r="T37" s="36">
        <v>-2.98</v>
      </c>
      <c r="U37" s="36">
        <v>1.26</v>
      </c>
      <c r="V37" s="36">
        <v>9.86</v>
      </c>
      <c r="W37" s="36">
        <v>8.43</v>
      </c>
      <c r="X37" s="36">
        <v>-5.51</v>
      </c>
      <c r="Y37" s="36">
        <v>-0.28000000000000003</v>
      </c>
      <c r="Z37" s="36">
        <v>9.64</v>
      </c>
      <c r="AA37" s="36">
        <v>-5.44</v>
      </c>
      <c r="AB37" s="36">
        <v>-9.33</v>
      </c>
      <c r="AC37" s="36">
        <v>6.31</v>
      </c>
      <c r="AD37" s="36">
        <v>3.23</v>
      </c>
      <c r="AE37" s="36">
        <v>5.0599999999999996</v>
      </c>
    </row>
    <row r="38" spans="1:31" ht="17" x14ac:dyDescent="0.45">
      <c r="A38" s="34" t="s">
        <v>127</v>
      </c>
      <c r="B38" s="35" t="s">
        <v>3</v>
      </c>
      <c r="C38" s="37" t="s">
        <v>3</v>
      </c>
      <c r="D38" s="36">
        <v>-0.26</v>
      </c>
      <c r="E38" s="36">
        <v>0.92</v>
      </c>
      <c r="F38" s="36">
        <v>-4.2300000000000004</v>
      </c>
      <c r="G38" s="36">
        <v>-2.13</v>
      </c>
      <c r="H38" s="36">
        <v>-3.46</v>
      </c>
      <c r="I38" s="36">
        <v>4.68</v>
      </c>
      <c r="J38" s="36">
        <v>-8.58</v>
      </c>
      <c r="K38" s="36">
        <v>-2.61</v>
      </c>
      <c r="L38" s="36">
        <v>4.46</v>
      </c>
      <c r="M38" s="36">
        <v>-0.75</v>
      </c>
      <c r="N38" s="36">
        <v>-0.28999999999999998</v>
      </c>
      <c r="O38" s="36">
        <v>0.83</v>
      </c>
      <c r="P38" s="36">
        <v>-1.51</v>
      </c>
      <c r="Q38" s="36">
        <v>-2.06</v>
      </c>
      <c r="R38" s="36">
        <v>-2.4700000000000002</v>
      </c>
      <c r="S38" s="36">
        <v>3.16</v>
      </c>
      <c r="T38" s="36">
        <v>6.15</v>
      </c>
      <c r="U38" s="36">
        <v>3.98</v>
      </c>
      <c r="V38" s="36">
        <v>-4.04</v>
      </c>
      <c r="W38" s="36">
        <v>-1.5</v>
      </c>
      <c r="X38" s="36">
        <v>0.59</v>
      </c>
      <c r="Y38" s="36">
        <v>0.38</v>
      </c>
      <c r="Z38" s="36">
        <v>-2.11</v>
      </c>
      <c r="AA38" s="36">
        <v>-0.44</v>
      </c>
      <c r="AB38" s="36">
        <v>-1.93</v>
      </c>
      <c r="AC38" s="36">
        <v>2.67</v>
      </c>
      <c r="AD38" s="36">
        <v>-4.2</v>
      </c>
      <c r="AE38" s="36">
        <v>-1.32</v>
      </c>
    </row>
    <row r="39" spans="1:31" ht="17" x14ac:dyDescent="0.45">
      <c r="A39" s="34" t="s">
        <v>128</v>
      </c>
      <c r="B39" s="35" t="s">
        <v>3</v>
      </c>
      <c r="C39" s="37" t="s">
        <v>3</v>
      </c>
      <c r="D39" s="36">
        <v>25.39</v>
      </c>
      <c r="E39" s="36">
        <v>-0.56000000000000005</v>
      </c>
      <c r="F39" s="36">
        <v>10.27</v>
      </c>
      <c r="G39" s="36">
        <v>-16.72</v>
      </c>
      <c r="H39" s="36">
        <v>10.79</v>
      </c>
      <c r="I39" s="36">
        <v>2.2200000000000002</v>
      </c>
      <c r="J39" s="36">
        <v>11.59</v>
      </c>
      <c r="K39" s="36">
        <v>-8.74</v>
      </c>
      <c r="L39" s="36">
        <v>7</v>
      </c>
      <c r="M39" s="36">
        <v>-2.93</v>
      </c>
      <c r="N39" s="36">
        <v>12.05</v>
      </c>
      <c r="O39" s="36">
        <v>5.32</v>
      </c>
      <c r="P39" s="36">
        <v>11.74</v>
      </c>
      <c r="Q39" s="36">
        <v>-5.05</v>
      </c>
      <c r="R39" s="36">
        <v>-3.21</v>
      </c>
      <c r="S39" s="36">
        <v>0.72</v>
      </c>
      <c r="T39" s="36">
        <v>11.08</v>
      </c>
      <c r="U39" s="36">
        <v>-11.6</v>
      </c>
      <c r="V39" s="36">
        <v>6.33</v>
      </c>
      <c r="W39" s="36">
        <v>5.81</v>
      </c>
      <c r="X39" s="36">
        <v>-2.3199999999999998</v>
      </c>
      <c r="Y39" s="36">
        <v>4.2</v>
      </c>
      <c r="Z39" s="36">
        <v>-2.23</v>
      </c>
      <c r="AA39" s="36">
        <v>-15.99</v>
      </c>
      <c r="AB39" s="36">
        <v>0.77</v>
      </c>
      <c r="AC39" s="36">
        <v>6.41</v>
      </c>
      <c r="AD39" s="36">
        <v>0.16</v>
      </c>
      <c r="AE39" s="36">
        <v>-4.38</v>
      </c>
    </row>
    <row r="40" spans="1:31" ht="17" x14ac:dyDescent="0.45">
      <c r="A40" s="34" t="s">
        <v>129</v>
      </c>
      <c r="B40" s="35" t="s">
        <v>3</v>
      </c>
      <c r="C40" s="37" t="s">
        <v>3</v>
      </c>
      <c r="D40" s="36">
        <v>7.89</v>
      </c>
      <c r="E40" s="36">
        <v>3.43</v>
      </c>
      <c r="F40" s="36">
        <v>0.61</v>
      </c>
      <c r="G40" s="36">
        <v>6.08</v>
      </c>
      <c r="H40" s="36">
        <v>-7.02</v>
      </c>
      <c r="I40" s="36">
        <v>-4.9000000000000004</v>
      </c>
      <c r="J40" s="36">
        <v>0.88</v>
      </c>
      <c r="K40" s="36">
        <v>6.06</v>
      </c>
      <c r="L40" s="36">
        <v>0.54</v>
      </c>
      <c r="M40" s="36">
        <v>0.19</v>
      </c>
      <c r="N40" s="36">
        <v>9.99</v>
      </c>
      <c r="O40" s="36">
        <v>5.56</v>
      </c>
      <c r="P40" s="36">
        <v>-6.59</v>
      </c>
      <c r="Q40" s="36">
        <v>-12.82</v>
      </c>
      <c r="R40" s="36">
        <v>-9.06</v>
      </c>
      <c r="S40" s="36">
        <v>2.86</v>
      </c>
      <c r="T40" s="36">
        <v>-0.76</v>
      </c>
      <c r="U40" s="36">
        <v>-1.98</v>
      </c>
      <c r="V40" s="36">
        <v>11.32</v>
      </c>
      <c r="W40" s="36">
        <v>-4</v>
      </c>
      <c r="X40" s="36">
        <v>-2.8</v>
      </c>
      <c r="Y40" s="36">
        <v>6.53</v>
      </c>
      <c r="Z40" s="36">
        <v>2.54</v>
      </c>
      <c r="AA40" s="36">
        <v>-0.83</v>
      </c>
      <c r="AB40" s="36">
        <v>-2.93</v>
      </c>
      <c r="AC40" s="36">
        <v>3.38</v>
      </c>
      <c r="AD40" s="36">
        <v>1.05</v>
      </c>
      <c r="AE40" s="36">
        <v>10.88</v>
      </c>
    </row>
    <row r="41" spans="1:31" ht="17" x14ac:dyDescent="0.45">
      <c r="A41" s="34" t="s">
        <v>130</v>
      </c>
      <c r="B41" s="35" t="s">
        <v>3</v>
      </c>
      <c r="C41" s="37" t="s">
        <v>3</v>
      </c>
      <c r="D41" s="36">
        <v>-2.2599999999999998</v>
      </c>
      <c r="E41" s="36">
        <v>-5.96</v>
      </c>
      <c r="F41" s="36">
        <v>-3.19</v>
      </c>
      <c r="G41" s="36">
        <v>-4.97</v>
      </c>
      <c r="H41" s="36">
        <v>-6.4</v>
      </c>
      <c r="I41" s="36">
        <v>-0.25</v>
      </c>
      <c r="J41" s="36">
        <v>-0.44</v>
      </c>
      <c r="K41" s="36">
        <v>-1.87</v>
      </c>
      <c r="L41" s="36">
        <v>-3.65</v>
      </c>
      <c r="M41" s="36">
        <v>-3.28</v>
      </c>
      <c r="N41" s="36">
        <v>-3.08</v>
      </c>
      <c r="O41" s="36">
        <v>-3.99</v>
      </c>
      <c r="P41" s="36">
        <v>11.14</v>
      </c>
      <c r="Q41" s="36">
        <v>17.64</v>
      </c>
      <c r="R41" s="36">
        <v>-3.28</v>
      </c>
      <c r="S41" s="36">
        <v>1.87</v>
      </c>
      <c r="T41" s="36">
        <v>8.08</v>
      </c>
      <c r="U41" s="36">
        <v>1.86</v>
      </c>
      <c r="V41" s="36">
        <v>1.88</v>
      </c>
      <c r="W41" s="36">
        <v>-1.04</v>
      </c>
      <c r="X41" s="36">
        <v>1.86</v>
      </c>
      <c r="Y41" s="36">
        <v>-2.31</v>
      </c>
      <c r="Z41" s="36">
        <v>-3.42</v>
      </c>
      <c r="AA41" s="36">
        <v>-3.76</v>
      </c>
      <c r="AB41" s="36">
        <v>-10.34</v>
      </c>
      <c r="AC41" s="36">
        <v>-5.55</v>
      </c>
      <c r="AD41" s="36">
        <v>3.69</v>
      </c>
      <c r="AE41" s="36">
        <v>-1.86</v>
      </c>
    </row>
    <row r="42" spans="1:31" ht="17" x14ac:dyDescent="0.45">
      <c r="A42" s="34" t="s">
        <v>131</v>
      </c>
      <c r="B42" s="35" t="s">
        <v>3</v>
      </c>
      <c r="C42" s="36">
        <v>1.31</v>
      </c>
      <c r="D42" s="36">
        <v>5.66</v>
      </c>
      <c r="E42" s="36">
        <v>0.68</v>
      </c>
      <c r="F42" s="36">
        <v>0.13</v>
      </c>
      <c r="G42" s="36">
        <v>-0.75</v>
      </c>
      <c r="H42" s="36">
        <v>-0.56000000000000005</v>
      </c>
      <c r="I42" s="36">
        <v>-0.66</v>
      </c>
      <c r="J42" s="36">
        <v>0.9</v>
      </c>
      <c r="K42" s="36">
        <v>1.24</v>
      </c>
      <c r="L42" s="36">
        <v>4.43</v>
      </c>
      <c r="M42" s="36">
        <v>-1.1399999999999999</v>
      </c>
      <c r="N42" s="36">
        <v>4.3099999999999996</v>
      </c>
      <c r="O42" s="36">
        <v>-1.48</v>
      </c>
      <c r="P42" s="36">
        <v>-13.36</v>
      </c>
      <c r="Q42" s="36">
        <v>1.57</v>
      </c>
      <c r="R42" s="36">
        <v>-2.72</v>
      </c>
      <c r="S42" s="36">
        <v>-1.26</v>
      </c>
      <c r="T42" s="36">
        <v>-1.87</v>
      </c>
      <c r="U42" s="36">
        <v>-4.59</v>
      </c>
      <c r="V42" s="36">
        <v>1.21</v>
      </c>
      <c r="W42" s="36">
        <v>4.07</v>
      </c>
      <c r="X42" s="36">
        <v>-3.61</v>
      </c>
      <c r="Y42" s="36">
        <v>-2.69</v>
      </c>
      <c r="Z42" s="36">
        <v>0.68</v>
      </c>
      <c r="AA42" s="36">
        <v>3</v>
      </c>
      <c r="AB42" s="36">
        <v>-0.11</v>
      </c>
      <c r="AC42" s="36">
        <v>-1.01</v>
      </c>
      <c r="AD42" s="36">
        <v>0.44</v>
      </c>
      <c r="AE42" s="36">
        <v>4.66</v>
      </c>
    </row>
    <row r="43" spans="1:31" ht="17" x14ac:dyDescent="0.45">
      <c r="A43" s="34" t="s">
        <v>133</v>
      </c>
      <c r="B43" s="35" t="s">
        <v>3</v>
      </c>
      <c r="C43" s="37" t="s">
        <v>3</v>
      </c>
      <c r="D43" s="36">
        <v>-1.07</v>
      </c>
      <c r="E43" s="36">
        <v>-2.71</v>
      </c>
      <c r="F43" s="36">
        <v>3.25</v>
      </c>
      <c r="G43" s="36">
        <v>-0.63</v>
      </c>
      <c r="H43" s="36">
        <v>-1.17</v>
      </c>
      <c r="I43" s="36">
        <v>-1.76</v>
      </c>
      <c r="J43" s="36">
        <v>5.0999999999999996</v>
      </c>
      <c r="K43" s="36">
        <v>1.28</v>
      </c>
      <c r="L43" s="36">
        <v>-2.08</v>
      </c>
      <c r="M43" s="36">
        <v>1.31</v>
      </c>
      <c r="N43" s="36">
        <v>-4.83</v>
      </c>
      <c r="O43" s="36">
        <v>-5.07</v>
      </c>
      <c r="P43" s="36">
        <v>0.23</v>
      </c>
      <c r="Q43" s="36">
        <v>1.28</v>
      </c>
      <c r="R43" s="36">
        <v>4.42</v>
      </c>
      <c r="S43" s="36">
        <v>-1.78</v>
      </c>
      <c r="T43" s="36">
        <v>-0.51</v>
      </c>
      <c r="U43" s="36">
        <v>0.94</v>
      </c>
      <c r="V43" s="36">
        <v>-0.01</v>
      </c>
      <c r="W43" s="36">
        <v>-2.38</v>
      </c>
      <c r="X43" s="36">
        <v>0.45</v>
      </c>
      <c r="Y43" s="36">
        <v>-0.49</v>
      </c>
      <c r="Z43" s="36">
        <v>2.81</v>
      </c>
      <c r="AA43" s="36">
        <v>0.02</v>
      </c>
      <c r="AB43" s="36">
        <v>-1.78</v>
      </c>
      <c r="AC43" s="36">
        <v>3.26</v>
      </c>
      <c r="AD43" s="36">
        <v>-6.62</v>
      </c>
      <c r="AE43" s="36">
        <v>-3.37</v>
      </c>
    </row>
    <row r="44" spans="1:31" ht="17" x14ac:dyDescent="0.45">
      <c r="A44" s="34" t="s">
        <v>132</v>
      </c>
      <c r="B44" s="35" t="s">
        <v>3</v>
      </c>
      <c r="C44" s="36">
        <v>1.43</v>
      </c>
      <c r="D44" s="36">
        <v>3.53</v>
      </c>
      <c r="E44" s="36">
        <v>1.35</v>
      </c>
      <c r="F44" s="36">
        <v>2.35</v>
      </c>
      <c r="G44" s="36">
        <v>4.5199999999999996</v>
      </c>
      <c r="H44" s="36">
        <v>-1.25</v>
      </c>
      <c r="I44" s="36">
        <v>-1.79</v>
      </c>
      <c r="J44" s="36">
        <v>-2.3199999999999998</v>
      </c>
      <c r="K44" s="36">
        <v>-4.9400000000000004</v>
      </c>
      <c r="L44" s="36">
        <v>-3.63</v>
      </c>
      <c r="M44" s="36">
        <v>-3.22</v>
      </c>
      <c r="N44" s="36">
        <v>-0.39</v>
      </c>
      <c r="O44" s="36">
        <v>-4.4800000000000004</v>
      </c>
      <c r="P44" s="36">
        <v>-6.74</v>
      </c>
      <c r="Q44" s="36">
        <v>-12.5</v>
      </c>
      <c r="R44" s="36">
        <v>14.96</v>
      </c>
      <c r="S44" s="36">
        <v>7.01</v>
      </c>
      <c r="T44" s="36">
        <v>-0.39</v>
      </c>
      <c r="U44" s="36">
        <v>4.95</v>
      </c>
      <c r="V44" s="36">
        <v>0.22</v>
      </c>
      <c r="W44" s="36">
        <v>1.78</v>
      </c>
      <c r="X44" s="36">
        <v>-5.25</v>
      </c>
      <c r="Y44" s="36">
        <v>0.03</v>
      </c>
      <c r="Z44" s="36">
        <v>-1.93</v>
      </c>
      <c r="AA44" s="36">
        <v>-0.91</v>
      </c>
      <c r="AB44" s="36">
        <v>-6.96</v>
      </c>
      <c r="AC44" s="36">
        <v>13.25</v>
      </c>
      <c r="AD44" s="36">
        <v>7.5</v>
      </c>
      <c r="AE44" s="36">
        <v>2.73</v>
      </c>
    </row>
    <row r="45" spans="1:31" ht="17" x14ac:dyDescent="0.45">
      <c r="A45" s="34" t="s">
        <v>175</v>
      </c>
      <c r="B45" s="35" t="s">
        <v>3</v>
      </c>
      <c r="C45" s="37" t="s">
        <v>3</v>
      </c>
      <c r="D45" s="37" t="s">
        <v>3</v>
      </c>
      <c r="E45" s="37" t="s">
        <v>3</v>
      </c>
      <c r="F45" s="37" t="s">
        <v>3</v>
      </c>
      <c r="G45" s="37" t="s">
        <v>3</v>
      </c>
      <c r="H45" s="37" t="s">
        <v>3</v>
      </c>
      <c r="I45" s="37" t="s">
        <v>3</v>
      </c>
      <c r="J45" s="37" t="s">
        <v>3</v>
      </c>
      <c r="K45" s="37" t="s">
        <v>3</v>
      </c>
      <c r="L45" s="37" t="s">
        <v>3</v>
      </c>
      <c r="M45" s="37" t="s">
        <v>3</v>
      </c>
      <c r="N45" s="37" t="s">
        <v>3</v>
      </c>
      <c r="O45" s="37" t="s">
        <v>3</v>
      </c>
      <c r="P45" s="37" t="s">
        <v>3</v>
      </c>
      <c r="Q45" s="37" t="s">
        <v>3</v>
      </c>
      <c r="R45" s="37" t="s">
        <v>3</v>
      </c>
      <c r="S45" s="37" t="s">
        <v>3</v>
      </c>
      <c r="T45" s="37" t="s">
        <v>3</v>
      </c>
      <c r="U45" s="37" t="s">
        <v>3</v>
      </c>
      <c r="V45" s="37" t="s">
        <v>3</v>
      </c>
      <c r="W45" s="37" t="s">
        <v>3</v>
      </c>
      <c r="X45" s="37" t="s">
        <v>3</v>
      </c>
      <c r="Y45" s="37" t="s">
        <v>3</v>
      </c>
      <c r="Z45" s="37" t="s">
        <v>3</v>
      </c>
      <c r="AA45" s="37" t="s">
        <v>3</v>
      </c>
      <c r="AB45" s="37" t="s">
        <v>3</v>
      </c>
      <c r="AC45" s="37" t="s">
        <v>3</v>
      </c>
      <c r="AD45" s="37" t="s">
        <v>3</v>
      </c>
      <c r="AE45" s="37" t="s">
        <v>3</v>
      </c>
    </row>
    <row r="46" spans="1:31" ht="17" x14ac:dyDescent="0.45">
      <c r="A46" s="34" t="s">
        <v>176</v>
      </c>
      <c r="B46" s="35" t="s">
        <v>3</v>
      </c>
      <c r="C46" s="37" t="s">
        <v>3</v>
      </c>
      <c r="D46" s="37" t="s">
        <v>3</v>
      </c>
      <c r="E46" s="37" t="s">
        <v>3</v>
      </c>
      <c r="F46" s="37" t="s">
        <v>3</v>
      </c>
      <c r="G46" s="37" t="s">
        <v>3</v>
      </c>
      <c r="H46" s="37" t="s">
        <v>3</v>
      </c>
      <c r="I46" s="36">
        <v>-2.0699999999999998</v>
      </c>
      <c r="J46" s="36">
        <v>0.35</v>
      </c>
      <c r="K46" s="36">
        <v>-5.73</v>
      </c>
      <c r="L46" s="36">
        <v>6.79</v>
      </c>
      <c r="M46" s="36">
        <v>-6.46</v>
      </c>
      <c r="N46" s="36">
        <v>-0.8</v>
      </c>
      <c r="O46" s="36">
        <v>3.95</v>
      </c>
      <c r="P46" s="36">
        <v>0.01</v>
      </c>
      <c r="Q46" s="36">
        <v>1.1499999999999999</v>
      </c>
      <c r="R46" s="36">
        <v>4.24</v>
      </c>
      <c r="S46" s="36">
        <v>4.84</v>
      </c>
      <c r="T46" s="36">
        <v>-2.58</v>
      </c>
      <c r="U46" s="36">
        <v>1.77</v>
      </c>
      <c r="V46" s="36">
        <v>-5.79</v>
      </c>
      <c r="W46" s="36">
        <v>-3.64</v>
      </c>
      <c r="X46" s="36">
        <v>-3.19</v>
      </c>
      <c r="Y46" s="36">
        <v>-5.21</v>
      </c>
      <c r="Z46" s="36">
        <v>-2.0099999999999998</v>
      </c>
      <c r="AA46" s="36">
        <v>0.24</v>
      </c>
      <c r="AB46" s="36">
        <v>7.61</v>
      </c>
      <c r="AC46" s="36">
        <v>-3.99</v>
      </c>
      <c r="AD46" s="37" t="s">
        <v>3</v>
      </c>
      <c r="AE46" s="37" t="s">
        <v>3</v>
      </c>
    </row>
    <row r="47" spans="1:31" ht="17" x14ac:dyDescent="0.45">
      <c r="A47" s="34" t="s">
        <v>177</v>
      </c>
      <c r="B47" s="35" t="s">
        <v>3</v>
      </c>
      <c r="C47" s="37" t="s">
        <v>3</v>
      </c>
      <c r="D47" s="36">
        <v>17.190000000000001</v>
      </c>
      <c r="E47" s="36">
        <v>16.71</v>
      </c>
      <c r="F47" s="36">
        <v>63.93</v>
      </c>
      <c r="G47" s="36">
        <v>33.39</v>
      </c>
      <c r="H47" s="36">
        <v>1.37</v>
      </c>
      <c r="I47" s="36">
        <v>6.14</v>
      </c>
      <c r="J47" s="36">
        <v>2.34</v>
      </c>
      <c r="K47" s="36">
        <v>-0.7</v>
      </c>
      <c r="L47" s="36">
        <v>-1.78</v>
      </c>
      <c r="M47" s="36">
        <v>-5.96</v>
      </c>
      <c r="N47" s="36">
        <v>-8.51</v>
      </c>
      <c r="O47" s="36">
        <v>-2.0499999999999998</v>
      </c>
      <c r="P47" s="36">
        <v>-2.9</v>
      </c>
      <c r="Q47" s="36">
        <v>14.62</v>
      </c>
      <c r="R47" s="36">
        <v>0.23</v>
      </c>
      <c r="S47" s="36">
        <v>8.8800000000000008</v>
      </c>
      <c r="T47" s="36">
        <v>1.92</v>
      </c>
      <c r="U47" s="36">
        <v>-2.85</v>
      </c>
      <c r="V47" s="36">
        <v>-1.21</v>
      </c>
      <c r="W47" s="36">
        <v>0.94</v>
      </c>
      <c r="X47" s="36">
        <v>-4.13</v>
      </c>
      <c r="Y47" s="36">
        <v>3.88</v>
      </c>
      <c r="Z47" s="36">
        <v>-3.89</v>
      </c>
      <c r="AA47" s="36">
        <v>-2.15</v>
      </c>
      <c r="AB47" s="36">
        <v>0.74</v>
      </c>
      <c r="AC47" s="36">
        <v>-18.55</v>
      </c>
      <c r="AD47" s="36">
        <v>8.1300000000000008</v>
      </c>
      <c r="AE47" s="36">
        <v>-1</v>
      </c>
    </row>
    <row r="48" spans="1:31" ht="17" x14ac:dyDescent="0.45">
      <c r="A48" s="34" t="s">
        <v>178</v>
      </c>
      <c r="B48" s="35" t="s">
        <v>3</v>
      </c>
      <c r="C48" s="37" t="s">
        <v>3</v>
      </c>
      <c r="D48" s="36">
        <v>20.04</v>
      </c>
      <c r="E48" s="36">
        <v>13.14</v>
      </c>
      <c r="F48" s="36">
        <v>-0.64</v>
      </c>
      <c r="G48" s="36">
        <v>-12.69</v>
      </c>
      <c r="H48" s="36">
        <v>0.35</v>
      </c>
      <c r="I48" s="36">
        <v>8.1300000000000008</v>
      </c>
      <c r="J48" s="36">
        <v>-6.28</v>
      </c>
      <c r="K48" s="36">
        <v>17.18</v>
      </c>
      <c r="L48" s="36">
        <v>3.96</v>
      </c>
      <c r="M48" s="36">
        <v>10.92</v>
      </c>
      <c r="N48" s="36">
        <v>-0.4</v>
      </c>
      <c r="O48" s="36">
        <v>-0.28999999999999998</v>
      </c>
      <c r="P48" s="36">
        <v>0.55000000000000004</v>
      </c>
      <c r="Q48" s="36">
        <v>-7.08</v>
      </c>
      <c r="R48" s="36">
        <v>-6.32</v>
      </c>
      <c r="S48" s="36">
        <v>-0.68</v>
      </c>
      <c r="T48" s="36">
        <v>-8.0500000000000007</v>
      </c>
      <c r="U48" s="36">
        <v>0.06</v>
      </c>
      <c r="V48" s="36">
        <v>1.19</v>
      </c>
      <c r="W48" s="36">
        <v>-1.31</v>
      </c>
      <c r="X48" s="36">
        <v>3.65</v>
      </c>
      <c r="Y48" s="36">
        <v>4.0999999999999996</v>
      </c>
      <c r="Z48" s="36">
        <v>-1.75</v>
      </c>
      <c r="AA48" s="36">
        <v>13.34</v>
      </c>
      <c r="AB48" s="36">
        <v>-4.2699999999999996</v>
      </c>
      <c r="AC48" s="36">
        <v>8.4600000000000009</v>
      </c>
      <c r="AD48" s="36">
        <v>5.86</v>
      </c>
      <c r="AE48" s="36">
        <v>0.22</v>
      </c>
    </row>
    <row r="49" spans="1:31" ht="17" x14ac:dyDescent="0.45">
      <c r="A49" s="34" t="s">
        <v>179</v>
      </c>
      <c r="B49" s="35" t="s">
        <v>3</v>
      </c>
      <c r="C49" s="37" t="s">
        <v>3</v>
      </c>
      <c r="D49" s="36">
        <v>-2.2000000000000002</v>
      </c>
      <c r="E49" s="36">
        <v>-0.44</v>
      </c>
      <c r="F49" s="36">
        <v>1.8</v>
      </c>
      <c r="G49" s="36">
        <v>3.14</v>
      </c>
      <c r="H49" s="36">
        <v>2.12</v>
      </c>
      <c r="I49" s="36">
        <v>7.15</v>
      </c>
      <c r="J49" s="36">
        <v>4.96</v>
      </c>
      <c r="K49" s="36">
        <v>5.04</v>
      </c>
      <c r="L49" s="36">
        <v>6.85</v>
      </c>
      <c r="M49" s="36">
        <v>2.2999999999999998</v>
      </c>
      <c r="N49" s="36">
        <v>2.96</v>
      </c>
      <c r="O49" s="36">
        <v>0.28999999999999998</v>
      </c>
      <c r="P49" s="36">
        <v>-13.41</v>
      </c>
      <c r="Q49" s="36">
        <v>-14.74</v>
      </c>
      <c r="R49" s="36">
        <v>-3.56</v>
      </c>
      <c r="S49" s="36">
        <v>-0.92</v>
      </c>
      <c r="T49" s="36">
        <v>-0.81</v>
      </c>
      <c r="U49" s="36">
        <v>1.24</v>
      </c>
      <c r="V49" s="36">
        <v>-3.69</v>
      </c>
      <c r="W49" s="36">
        <v>-3.47</v>
      </c>
      <c r="X49" s="36">
        <v>11.66</v>
      </c>
      <c r="Y49" s="36">
        <v>5.17</v>
      </c>
      <c r="Z49" s="36">
        <v>3.28</v>
      </c>
      <c r="AA49" s="36">
        <v>4.18</v>
      </c>
      <c r="AB49" s="36">
        <v>-10.25</v>
      </c>
      <c r="AC49" s="36">
        <v>6.02</v>
      </c>
      <c r="AD49" s="36">
        <v>-4.57</v>
      </c>
      <c r="AE49" s="37" t="s">
        <v>3</v>
      </c>
    </row>
    <row r="50" spans="1:31" ht="17" x14ac:dyDescent="0.45">
      <c r="A50" s="34" t="s">
        <v>180</v>
      </c>
      <c r="B50" s="35" t="s">
        <v>3</v>
      </c>
      <c r="C50" s="37" t="s">
        <v>3</v>
      </c>
      <c r="D50" s="37" t="s">
        <v>3</v>
      </c>
      <c r="E50" s="37" t="s">
        <v>3</v>
      </c>
      <c r="F50" s="37" t="s">
        <v>3</v>
      </c>
      <c r="G50" s="37" t="s">
        <v>3</v>
      </c>
      <c r="H50" s="37" t="s">
        <v>3</v>
      </c>
      <c r="I50" s="37" t="s">
        <v>3</v>
      </c>
      <c r="J50" s="37" t="s">
        <v>3</v>
      </c>
      <c r="K50" s="37" t="s">
        <v>3</v>
      </c>
      <c r="L50" s="37" t="s">
        <v>3</v>
      </c>
      <c r="M50" s="37" t="s">
        <v>3</v>
      </c>
      <c r="N50" s="37" t="s">
        <v>3</v>
      </c>
      <c r="O50" s="37" t="s">
        <v>3</v>
      </c>
      <c r="P50" s="37" t="s">
        <v>3</v>
      </c>
      <c r="Q50" s="37" t="s">
        <v>3</v>
      </c>
      <c r="R50" s="37" t="s">
        <v>3</v>
      </c>
      <c r="S50" s="37" t="s">
        <v>3</v>
      </c>
      <c r="T50" s="36">
        <v>-2.58</v>
      </c>
      <c r="U50" s="36">
        <v>14.5</v>
      </c>
      <c r="V50" s="36">
        <v>-6.7</v>
      </c>
      <c r="W50" s="36">
        <v>-5.67</v>
      </c>
      <c r="X50" s="36">
        <v>8.24</v>
      </c>
      <c r="Y50" s="36">
        <v>4.72</v>
      </c>
      <c r="Z50" s="37" t="s">
        <v>3</v>
      </c>
      <c r="AA50" s="37" t="s">
        <v>3</v>
      </c>
      <c r="AB50" s="37" t="s">
        <v>3</v>
      </c>
      <c r="AC50" s="37" t="s">
        <v>3</v>
      </c>
      <c r="AD50" s="37" t="s">
        <v>3</v>
      </c>
      <c r="AE50" s="37" t="s">
        <v>3</v>
      </c>
    </row>
    <row r="51" spans="1:31" ht="17" x14ac:dyDescent="0.45">
      <c r="A51" s="34" t="s">
        <v>181</v>
      </c>
      <c r="B51" s="35" t="s">
        <v>3</v>
      </c>
      <c r="C51" s="37" t="s">
        <v>3</v>
      </c>
      <c r="D51" s="37" t="s">
        <v>3</v>
      </c>
      <c r="E51" s="37" t="s">
        <v>3</v>
      </c>
      <c r="F51" s="37" t="s">
        <v>3</v>
      </c>
      <c r="G51" s="37" t="s">
        <v>3</v>
      </c>
      <c r="H51" s="37" t="s">
        <v>3</v>
      </c>
      <c r="I51" s="36">
        <v>-0.97</v>
      </c>
      <c r="J51" s="36">
        <v>24.46</v>
      </c>
      <c r="K51" s="36">
        <v>10.01</v>
      </c>
      <c r="L51" s="36">
        <v>-5.43</v>
      </c>
      <c r="M51" s="36">
        <v>-8.31</v>
      </c>
      <c r="N51" s="36">
        <v>-17.07</v>
      </c>
      <c r="O51" s="36">
        <v>-28.28</v>
      </c>
      <c r="P51" s="36">
        <v>2.82</v>
      </c>
      <c r="Q51" s="36">
        <v>-3.49</v>
      </c>
      <c r="R51" s="36">
        <v>22.77</v>
      </c>
      <c r="S51" s="36">
        <v>-9.4</v>
      </c>
      <c r="T51" s="36">
        <v>-2.5</v>
      </c>
      <c r="U51" s="36">
        <v>12.59</v>
      </c>
      <c r="V51" s="36">
        <v>-10.16</v>
      </c>
      <c r="W51" s="36">
        <v>6.64</v>
      </c>
      <c r="X51" s="36">
        <v>-0.75</v>
      </c>
      <c r="Y51" s="36">
        <v>15.51</v>
      </c>
      <c r="Z51" s="36">
        <v>8.7799999999999994</v>
      </c>
      <c r="AA51" s="36">
        <v>13.35</v>
      </c>
      <c r="AB51" s="36">
        <v>-10.32</v>
      </c>
      <c r="AC51" s="36">
        <v>-4.01</v>
      </c>
      <c r="AD51" s="36">
        <v>-12.5</v>
      </c>
      <c r="AE51" s="37" t="s">
        <v>3</v>
      </c>
    </row>
    <row r="52" spans="1:31" ht="17" x14ac:dyDescent="0.45">
      <c r="A52" s="34" t="s">
        <v>182</v>
      </c>
      <c r="B52" s="35" t="s">
        <v>3</v>
      </c>
      <c r="C52" s="37" t="s">
        <v>3</v>
      </c>
      <c r="D52" s="37" t="s">
        <v>3</v>
      </c>
      <c r="E52" s="37" t="s">
        <v>3</v>
      </c>
      <c r="F52" s="37" t="s">
        <v>3</v>
      </c>
      <c r="G52" s="37" t="s">
        <v>3</v>
      </c>
      <c r="H52" s="37" t="s">
        <v>3</v>
      </c>
      <c r="I52" s="36">
        <v>-9.19</v>
      </c>
      <c r="J52" s="36">
        <v>-10.91</v>
      </c>
      <c r="K52" s="36">
        <v>-12.26</v>
      </c>
      <c r="L52" s="36">
        <v>-16.510000000000002</v>
      </c>
      <c r="M52" s="36">
        <v>-3.26</v>
      </c>
      <c r="N52" s="36">
        <v>10.75</v>
      </c>
      <c r="O52" s="36">
        <v>-1.48</v>
      </c>
      <c r="P52" s="36">
        <v>24.23</v>
      </c>
      <c r="Q52" s="36">
        <v>15.85</v>
      </c>
      <c r="R52" s="36">
        <v>3.6</v>
      </c>
      <c r="S52" s="36">
        <v>39.83</v>
      </c>
      <c r="T52" s="36">
        <v>-4.63</v>
      </c>
      <c r="U52" s="36">
        <v>11.78</v>
      </c>
      <c r="V52" s="36">
        <v>13.88</v>
      </c>
      <c r="W52" s="36">
        <v>5.38</v>
      </c>
      <c r="X52" s="36">
        <v>-9.8699999999999992</v>
      </c>
      <c r="Y52" s="36">
        <v>1.08</v>
      </c>
      <c r="Z52" s="36">
        <v>-8.5</v>
      </c>
      <c r="AA52" s="36">
        <v>4.32</v>
      </c>
      <c r="AB52" s="36">
        <v>0.43</v>
      </c>
      <c r="AC52" s="37" t="s">
        <v>3</v>
      </c>
      <c r="AD52" s="37" t="s">
        <v>3</v>
      </c>
      <c r="AE52" s="37" t="s">
        <v>3</v>
      </c>
    </row>
    <row r="53" spans="1:31" ht="17" x14ac:dyDescent="0.45">
      <c r="A53" s="34" t="s">
        <v>183</v>
      </c>
      <c r="B53" s="35" t="s">
        <v>3</v>
      </c>
      <c r="C53" s="37" t="s">
        <v>3</v>
      </c>
      <c r="D53" s="37" t="s">
        <v>3</v>
      </c>
      <c r="E53" s="37" t="s">
        <v>3</v>
      </c>
      <c r="F53" s="37" t="s">
        <v>3</v>
      </c>
      <c r="G53" s="37" t="s">
        <v>3</v>
      </c>
      <c r="H53" s="37" t="s">
        <v>3</v>
      </c>
      <c r="I53" s="37" t="s">
        <v>3</v>
      </c>
      <c r="J53" s="37" t="s">
        <v>3</v>
      </c>
      <c r="K53" s="37" t="s">
        <v>3</v>
      </c>
      <c r="L53" s="37" t="s">
        <v>3</v>
      </c>
      <c r="M53" s="37" t="s">
        <v>3</v>
      </c>
      <c r="N53" s="37" t="s">
        <v>3</v>
      </c>
      <c r="O53" s="37" t="s">
        <v>3</v>
      </c>
      <c r="P53" s="36">
        <v>8.06</v>
      </c>
      <c r="Q53" s="36">
        <v>-3.83</v>
      </c>
      <c r="R53" s="36">
        <v>2.2200000000000002</v>
      </c>
      <c r="S53" s="36">
        <v>0.85</v>
      </c>
      <c r="T53" s="36">
        <v>9.41</v>
      </c>
      <c r="U53" s="36">
        <v>2.95</v>
      </c>
      <c r="V53" s="36">
        <v>-2.09</v>
      </c>
      <c r="W53" s="36">
        <v>-8.02</v>
      </c>
      <c r="X53" s="36">
        <v>1.88</v>
      </c>
      <c r="Y53" s="36">
        <v>6.74</v>
      </c>
      <c r="Z53" s="36">
        <v>-49.71</v>
      </c>
      <c r="AA53" s="36">
        <v>92.92</v>
      </c>
      <c r="AB53" s="36">
        <v>-4.29</v>
      </c>
      <c r="AC53" s="36">
        <v>1.61</v>
      </c>
      <c r="AD53" s="37" t="s">
        <v>3</v>
      </c>
      <c r="AE53" s="37" t="s">
        <v>3</v>
      </c>
    </row>
    <row r="54" spans="1:31" ht="17" x14ac:dyDescent="0.45">
      <c r="A54" s="34" t="s">
        <v>184</v>
      </c>
      <c r="B54" s="35" t="s">
        <v>3</v>
      </c>
      <c r="C54" s="37" t="s">
        <v>3</v>
      </c>
      <c r="D54" s="36">
        <v>11.28</v>
      </c>
      <c r="E54" s="36">
        <v>-17.39</v>
      </c>
      <c r="F54" s="36">
        <v>3.43</v>
      </c>
      <c r="G54" s="36">
        <v>1.65</v>
      </c>
      <c r="H54" s="36">
        <v>5.92</v>
      </c>
      <c r="I54" s="36">
        <v>7.68</v>
      </c>
      <c r="J54" s="36">
        <v>10</v>
      </c>
      <c r="K54" s="36">
        <v>6.47</v>
      </c>
      <c r="L54" s="36">
        <v>23.32</v>
      </c>
      <c r="M54" s="36">
        <v>3.4</v>
      </c>
      <c r="N54" s="36">
        <v>11.85</v>
      </c>
      <c r="O54" s="36">
        <v>5.54</v>
      </c>
      <c r="P54" s="36">
        <v>22.78</v>
      </c>
      <c r="Q54" s="36">
        <v>-4.78</v>
      </c>
      <c r="R54" s="36">
        <v>-14.11</v>
      </c>
      <c r="S54" s="36">
        <v>-23</v>
      </c>
      <c r="T54" s="36">
        <v>-3.3</v>
      </c>
      <c r="U54" s="36">
        <v>8.23</v>
      </c>
      <c r="V54" s="36">
        <v>4.62</v>
      </c>
      <c r="W54" s="36">
        <v>5.58</v>
      </c>
      <c r="X54" s="36">
        <v>2.37</v>
      </c>
      <c r="Y54" s="36">
        <v>-4.42</v>
      </c>
      <c r="Z54" s="36">
        <v>-3.39</v>
      </c>
      <c r="AA54" s="36">
        <v>-0.68</v>
      </c>
      <c r="AB54" s="36">
        <v>1.5</v>
      </c>
      <c r="AC54" s="36">
        <v>-1.71</v>
      </c>
      <c r="AD54" s="36">
        <v>2.27</v>
      </c>
      <c r="AE54" s="36">
        <v>7.91</v>
      </c>
    </row>
    <row r="55" spans="1:31" ht="17" x14ac:dyDescent="0.45">
      <c r="A55" s="34" t="s">
        <v>185</v>
      </c>
      <c r="B55" s="35" t="s">
        <v>3</v>
      </c>
      <c r="C55" s="37" t="s">
        <v>3</v>
      </c>
      <c r="D55" s="37" t="s">
        <v>3</v>
      </c>
      <c r="E55" s="37" t="s">
        <v>3</v>
      </c>
      <c r="F55" s="37" t="s">
        <v>3</v>
      </c>
      <c r="G55" s="37" t="s">
        <v>3</v>
      </c>
      <c r="H55" s="37" t="s">
        <v>3</v>
      </c>
      <c r="I55" s="37" t="s">
        <v>3</v>
      </c>
      <c r="J55" s="37" t="s">
        <v>3</v>
      </c>
      <c r="K55" s="37" t="s">
        <v>3</v>
      </c>
      <c r="L55" s="37" t="s">
        <v>3</v>
      </c>
      <c r="M55" s="37" t="s">
        <v>3</v>
      </c>
      <c r="N55" s="37" t="s">
        <v>3</v>
      </c>
      <c r="O55" s="37" t="s">
        <v>3</v>
      </c>
      <c r="P55" s="37" t="s">
        <v>3</v>
      </c>
      <c r="Q55" s="37" t="s">
        <v>3</v>
      </c>
      <c r="R55" s="37" t="s">
        <v>3</v>
      </c>
      <c r="S55" s="37" t="s">
        <v>3</v>
      </c>
      <c r="T55" s="37" t="s">
        <v>3</v>
      </c>
      <c r="U55" s="37" t="s">
        <v>3</v>
      </c>
      <c r="V55" s="37" t="s">
        <v>3</v>
      </c>
      <c r="W55" s="37" t="s">
        <v>3</v>
      </c>
      <c r="X55" s="37" t="s">
        <v>3</v>
      </c>
      <c r="Y55" s="37" t="s">
        <v>3</v>
      </c>
      <c r="Z55" s="36">
        <v>0.77</v>
      </c>
      <c r="AA55" s="36">
        <v>-2.1800000000000002</v>
      </c>
      <c r="AB55" s="37" t="s">
        <v>3</v>
      </c>
      <c r="AC55" s="37" t="s">
        <v>3</v>
      </c>
      <c r="AD55" s="37" t="s">
        <v>3</v>
      </c>
      <c r="AE55" s="37" t="s">
        <v>3</v>
      </c>
    </row>
    <row r="56" spans="1:31" ht="17" x14ac:dyDescent="0.45">
      <c r="A56" s="34" t="s">
        <v>186</v>
      </c>
      <c r="B56" s="35" t="s">
        <v>3</v>
      </c>
      <c r="C56" s="37" t="s">
        <v>3</v>
      </c>
      <c r="D56" s="37" t="s">
        <v>3</v>
      </c>
      <c r="E56" s="37" t="s">
        <v>3</v>
      </c>
      <c r="F56" s="37" t="s">
        <v>3</v>
      </c>
      <c r="G56" s="37" t="s">
        <v>3</v>
      </c>
      <c r="H56" s="37" t="s">
        <v>3</v>
      </c>
      <c r="I56" s="37" t="s">
        <v>3</v>
      </c>
      <c r="J56" s="37" t="s">
        <v>3</v>
      </c>
      <c r="K56" s="37" t="s">
        <v>3</v>
      </c>
      <c r="L56" s="37" t="s">
        <v>3</v>
      </c>
      <c r="M56" s="37" t="s">
        <v>3</v>
      </c>
      <c r="N56" s="37" t="s">
        <v>3</v>
      </c>
      <c r="O56" s="37" t="s">
        <v>3</v>
      </c>
      <c r="P56" s="37" t="s">
        <v>3</v>
      </c>
      <c r="Q56" s="36">
        <v>10.87</v>
      </c>
      <c r="R56" s="36">
        <v>8.0299999999999994</v>
      </c>
      <c r="S56" s="36">
        <v>0.45</v>
      </c>
      <c r="T56" s="36">
        <v>4.25</v>
      </c>
      <c r="U56" s="36">
        <v>-0.42</v>
      </c>
      <c r="V56" s="36">
        <v>-7.02</v>
      </c>
      <c r="W56" s="36">
        <v>-10.28</v>
      </c>
      <c r="X56" s="36">
        <v>-0.43</v>
      </c>
      <c r="Y56" s="36">
        <v>-4.58</v>
      </c>
      <c r="Z56" s="36">
        <v>-5.41</v>
      </c>
      <c r="AA56" s="36">
        <v>5.58</v>
      </c>
      <c r="AB56" s="36">
        <v>-4.8</v>
      </c>
      <c r="AC56" s="36">
        <v>-0.69</v>
      </c>
      <c r="AD56" s="36">
        <v>-5.31</v>
      </c>
      <c r="AE56" s="37" t="s">
        <v>3</v>
      </c>
    </row>
    <row r="58" spans="1:31" ht="17" x14ac:dyDescent="0.45">
      <c r="A58" s="38" t="s">
        <v>187</v>
      </c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</row>
  </sheetData>
  <mergeCells count="1">
    <mergeCell ref="A7:B7"/>
  </mergeCells>
  <phoneticPr fontId="11" type="noConversion"/>
  <hyperlinks>
    <hyperlink ref="A58" r:id="rId1" xr:uid="{00000000-0004-0000-0000-000000000000}"/>
  </hyperlinks>
  <pageMargins left="0.75" right="0.75" top="1" bottom="1" header="0.5" footer="0.5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E58"/>
  <sheetViews>
    <sheetView showGridLines="0" topLeftCell="G1" workbookViewId="0">
      <selection activeCell="C2" sqref="C2"/>
    </sheetView>
  </sheetViews>
  <sheetFormatPr defaultColWidth="9.08203125" defaultRowHeight="12.5" x14ac:dyDescent="0.25"/>
  <cols>
    <col min="1" max="1" width="27.33203125" style="4" customWidth="1"/>
    <col min="2" max="2" width="13.08203125" style="4" customWidth="1"/>
    <col min="3" max="3" width="7.25" style="4" customWidth="1"/>
    <col min="4" max="16384" width="9.08203125" style="4"/>
  </cols>
  <sheetData>
    <row r="1" spans="1:31" ht="17" x14ac:dyDescent="0.45">
      <c r="A1" s="29" t="s">
        <v>161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</row>
    <row r="2" spans="1:31" ht="12.75" customHeight="1" x14ac:dyDescent="0.45">
      <c r="A2" s="30" t="s">
        <v>162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</row>
    <row r="3" spans="1:31" ht="12.75" customHeight="1" x14ac:dyDescent="0.45">
      <c r="A3" s="30" t="s">
        <v>191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</row>
    <row r="4" spans="1:31" ht="17" x14ac:dyDescent="0.45">
      <c r="A4" s="30" t="s">
        <v>164</v>
      </c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</row>
    <row r="5" spans="1:31" ht="12.75" customHeight="1" x14ac:dyDescent="0.45">
      <c r="A5" s="30" t="s">
        <v>165</v>
      </c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</row>
    <row r="6" spans="1:31" x14ac:dyDescent="0.25">
      <c r="A6" s="17"/>
      <c r="B6" s="18"/>
      <c r="C6" s="19"/>
      <c r="D6" s="20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2"/>
    </row>
    <row r="7" spans="1:31" ht="17" x14ac:dyDescent="0.25">
      <c r="A7" s="42" t="s">
        <v>166</v>
      </c>
      <c r="B7" s="42" t="s">
        <v>166</v>
      </c>
      <c r="C7" s="31" t="s">
        <v>79</v>
      </c>
      <c r="D7" s="31" t="s">
        <v>80</v>
      </c>
      <c r="E7" s="31" t="s">
        <v>81</v>
      </c>
      <c r="F7" s="31" t="s">
        <v>82</v>
      </c>
      <c r="G7" s="31" t="s">
        <v>83</v>
      </c>
      <c r="H7" s="31" t="s">
        <v>84</v>
      </c>
      <c r="I7" s="31" t="s">
        <v>85</v>
      </c>
      <c r="J7" s="31" t="s">
        <v>86</v>
      </c>
      <c r="K7" s="31" t="s">
        <v>87</v>
      </c>
      <c r="L7" s="31" t="s">
        <v>88</v>
      </c>
      <c r="M7" s="31" t="s">
        <v>89</v>
      </c>
      <c r="N7" s="31" t="s">
        <v>90</v>
      </c>
      <c r="O7" s="31" t="s">
        <v>91</v>
      </c>
      <c r="P7" s="31" t="s">
        <v>92</v>
      </c>
      <c r="Q7" s="31" t="s">
        <v>93</v>
      </c>
      <c r="R7" s="31" t="s">
        <v>94</v>
      </c>
      <c r="S7" s="31" t="s">
        <v>95</v>
      </c>
      <c r="T7" s="31" t="s">
        <v>96</v>
      </c>
      <c r="U7" s="31" t="s">
        <v>97</v>
      </c>
      <c r="V7" s="31" t="s">
        <v>98</v>
      </c>
      <c r="W7" s="31" t="s">
        <v>2</v>
      </c>
      <c r="X7" s="31" t="s">
        <v>99</v>
      </c>
      <c r="Y7" s="31" t="s">
        <v>100</v>
      </c>
      <c r="Z7" s="31" t="s">
        <v>101</v>
      </c>
      <c r="AA7" s="31" t="s">
        <v>102</v>
      </c>
      <c r="AB7" s="31" t="s">
        <v>167</v>
      </c>
      <c r="AC7" s="31" t="s">
        <v>168</v>
      </c>
      <c r="AD7" s="31" t="s">
        <v>169</v>
      </c>
      <c r="AE7" s="31" t="s">
        <v>170</v>
      </c>
    </row>
    <row r="8" spans="1:31" ht="17" x14ac:dyDescent="0.25">
      <c r="A8" s="32" t="s">
        <v>171</v>
      </c>
      <c r="B8" s="33" t="s">
        <v>3</v>
      </c>
      <c r="C8" s="33" t="s">
        <v>3</v>
      </c>
      <c r="D8" s="33" t="s">
        <v>3</v>
      </c>
      <c r="E8" s="33" t="s">
        <v>3</v>
      </c>
      <c r="F8" s="33" t="s">
        <v>3</v>
      </c>
      <c r="G8" s="33" t="s">
        <v>3</v>
      </c>
      <c r="H8" s="33" t="s">
        <v>3</v>
      </c>
      <c r="I8" s="33" t="s">
        <v>3</v>
      </c>
      <c r="J8" s="33" t="s">
        <v>3</v>
      </c>
      <c r="K8" s="33" t="s">
        <v>3</v>
      </c>
      <c r="L8" s="33" t="s">
        <v>3</v>
      </c>
      <c r="M8" s="33" t="s">
        <v>3</v>
      </c>
      <c r="N8" s="33" t="s">
        <v>3</v>
      </c>
      <c r="O8" s="33" t="s">
        <v>3</v>
      </c>
      <c r="P8" s="33" t="s">
        <v>3</v>
      </c>
      <c r="Q8" s="33" t="s">
        <v>3</v>
      </c>
      <c r="R8" s="33" t="s">
        <v>3</v>
      </c>
      <c r="S8" s="33" t="s">
        <v>3</v>
      </c>
      <c r="T8" s="33" t="s">
        <v>3</v>
      </c>
      <c r="U8" s="33" t="s">
        <v>3</v>
      </c>
      <c r="V8" s="33" t="s">
        <v>3</v>
      </c>
      <c r="W8" s="33" t="s">
        <v>3</v>
      </c>
      <c r="X8" s="33" t="s">
        <v>3</v>
      </c>
      <c r="Y8" s="33" t="s">
        <v>3</v>
      </c>
      <c r="Z8" s="33" t="s">
        <v>3</v>
      </c>
      <c r="AA8" s="33" t="s">
        <v>3</v>
      </c>
      <c r="AB8" s="33" t="s">
        <v>3</v>
      </c>
      <c r="AC8" s="33" t="s">
        <v>3</v>
      </c>
      <c r="AD8" s="33" t="s">
        <v>3</v>
      </c>
      <c r="AE8" s="33" t="s">
        <v>3</v>
      </c>
    </row>
    <row r="9" spans="1:31" ht="17" x14ac:dyDescent="0.45">
      <c r="A9" s="34" t="s">
        <v>103</v>
      </c>
      <c r="B9" s="35" t="s">
        <v>3</v>
      </c>
      <c r="C9" s="36">
        <v>-4.97</v>
      </c>
      <c r="D9" s="36">
        <v>4.53</v>
      </c>
      <c r="E9" s="36">
        <v>8.82</v>
      </c>
      <c r="F9" s="36">
        <v>6.93</v>
      </c>
      <c r="G9" s="36">
        <v>-19.54</v>
      </c>
      <c r="H9" s="36">
        <v>-3.14</v>
      </c>
      <c r="I9" s="36">
        <v>12.23</v>
      </c>
      <c r="J9" s="36">
        <v>-0.34</v>
      </c>
      <c r="K9" s="36">
        <v>9.68</v>
      </c>
      <c r="L9" s="36">
        <v>-0.18</v>
      </c>
      <c r="M9" s="36">
        <v>0.44</v>
      </c>
      <c r="N9" s="36">
        <v>4.72</v>
      </c>
      <c r="O9" s="36">
        <v>11.48</v>
      </c>
      <c r="P9" s="36">
        <v>-5.36</v>
      </c>
      <c r="Q9" s="36">
        <v>4.8</v>
      </c>
      <c r="R9" s="36">
        <v>-0.03</v>
      </c>
      <c r="S9" s="36">
        <v>-7.54</v>
      </c>
      <c r="T9" s="36">
        <v>4.75</v>
      </c>
      <c r="U9" s="36">
        <v>7.82</v>
      </c>
      <c r="V9" s="36">
        <v>-0.43</v>
      </c>
      <c r="W9" s="36">
        <v>10.56</v>
      </c>
      <c r="X9" s="36">
        <v>-9.5</v>
      </c>
      <c r="Y9" s="36">
        <v>3.79</v>
      </c>
      <c r="Z9" s="37" t="s">
        <v>3</v>
      </c>
      <c r="AA9" s="37" t="s">
        <v>3</v>
      </c>
      <c r="AB9" s="37" t="s">
        <v>3</v>
      </c>
      <c r="AC9" s="37" t="s">
        <v>3</v>
      </c>
      <c r="AD9" s="37" t="s">
        <v>3</v>
      </c>
      <c r="AE9" s="37" t="s">
        <v>3</v>
      </c>
    </row>
    <row r="10" spans="1:31" ht="17" x14ac:dyDescent="0.45">
      <c r="A10" s="34" t="s">
        <v>104</v>
      </c>
      <c r="B10" s="35" t="s">
        <v>3</v>
      </c>
      <c r="C10" s="36">
        <v>5.71</v>
      </c>
      <c r="D10" s="36">
        <v>7.97</v>
      </c>
      <c r="E10" s="36">
        <v>-4.8</v>
      </c>
      <c r="F10" s="36">
        <v>-0.68</v>
      </c>
      <c r="G10" s="36">
        <v>1.88</v>
      </c>
      <c r="H10" s="36">
        <v>-8.11</v>
      </c>
      <c r="I10" s="36">
        <v>8.7100000000000009</v>
      </c>
      <c r="J10" s="36">
        <v>2.5299999999999998</v>
      </c>
      <c r="K10" s="36">
        <v>3.97</v>
      </c>
      <c r="L10" s="36">
        <v>2.3199999999999998</v>
      </c>
      <c r="M10" s="36">
        <v>7.7</v>
      </c>
      <c r="N10" s="36">
        <v>4.0199999999999996</v>
      </c>
      <c r="O10" s="36">
        <v>6.27</v>
      </c>
      <c r="P10" s="36">
        <v>-1.27</v>
      </c>
      <c r="Q10" s="36">
        <v>-4.68</v>
      </c>
      <c r="R10" s="36">
        <v>-5.46</v>
      </c>
      <c r="S10" s="36">
        <v>3.81</v>
      </c>
      <c r="T10" s="36">
        <v>-3.29</v>
      </c>
      <c r="U10" s="36">
        <v>-0.31</v>
      </c>
      <c r="V10" s="36">
        <v>-1.6</v>
      </c>
      <c r="W10" s="36">
        <v>1.46</v>
      </c>
      <c r="X10" s="36">
        <v>1.82</v>
      </c>
      <c r="Y10" s="36">
        <v>-1.08</v>
      </c>
      <c r="Z10" s="36">
        <v>4.37</v>
      </c>
      <c r="AA10" s="36">
        <v>2.63</v>
      </c>
      <c r="AB10" s="36">
        <v>-1.99</v>
      </c>
      <c r="AC10" s="36">
        <v>6.59</v>
      </c>
      <c r="AD10" s="36">
        <v>-1.56</v>
      </c>
      <c r="AE10" s="36">
        <v>-0.3</v>
      </c>
    </row>
    <row r="11" spans="1:31" ht="17" x14ac:dyDescent="0.45">
      <c r="A11" s="34" t="s">
        <v>105</v>
      </c>
      <c r="B11" s="35" t="s">
        <v>3</v>
      </c>
      <c r="C11" s="37" t="s">
        <v>3</v>
      </c>
      <c r="D11" s="36">
        <v>-4.43</v>
      </c>
      <c r="E11" s="36">
        <v>1.62</v>
      </c>
      <c r="F11" s="36">
        <v>7.86</v>
      </c>
      <c r="G11" s="36">
        <v>4.6900000000000004</v>
      </c>
      <c r="H11" s="36">
        <v>0.64</v>
      </c>
      <c r="I11" s="36">
        <v>2.48</v>
      </c>
      <c r="J11" s="36">
        <v>10.26</v>
      </c>
      <c r="K11" s="36">
        <v>5.34</v>
      </c>
      <c r="L11" s="36">
        <v>5.99</v>
      </c>
      <c r="M11" s="36">
        <v>-4.29</v>
      </c>
      <c r="N11" s="36">
        <v>0.72</v>
      </c>
      <c r="O11" s="36">
        <v>3.42</v>
      </c>
      <c r="P11" s="36">
        <v>0.82</v>
      </c>
      <c r="Q11" s="36">
        <v>1.01</v>
      </c>
      <c r="R11" s="36">
        <v>6.03</v>
      </c>
      <c r="S11" s="36">
        <v>1.75</v>
      </c>
      <c r="T11" s="36">
        <v>4.34</v>
      </c>
      <c r="U11" s="36">
        <v>0.19</v>
      </c>
      <c r="V11" s="36">
        <v>2.0299999999999998</v>
      </c>
      <c r="W11" s="36">
        <v>3.14</v>
      </c>
      <c r="X11" s="36">
        <v>2.11</v>
      </c>
      <c r="Y11" s="36">
        <v>1.61</v>
      </c>
      <c r="Z11" s="36">
        <v>1.24</v>
      </c>
      <c r="AA11" s="36">
        <v>2.35</v>
      </c>
      <c r="AB11" s="36">
        <v>-1.28</v>
      </c>
      <c r="AC11" s="36">
        <v>5.33</v>
      </c>
      <c r="AD11" s="36">
        <v>1.23</v>
      </c>
      <c r="AE11" s="36">
        <v>0.71</v>
      </c>
    </row>
    <row r="12" spans="1:31" ht="17" x14ac:dyDescent="0.45">
      <c r="A12" s="34" t="s">
        <v>106</v>
      </c>
      <c r="B12" s="35" t="s">
        <v>3</v>
      </c>
      <c r="C12" s="37" t="s">
        <v>3</v>
      </c>
      <c r="D12" s="37" t="s">
        <v>3</v>
      </c>
      <c r="E12" s="37" t="s">
        <v>3</v>
      </c>
      <c r="F12" s="36">
        <v>-0.89</v>
      </c>
      <c r="G12" s="36">
        <v>4.2699999999999996</v>
      </c>
      <c r="H12" s="36">
        <v>3.82</v>
      </c>
      <c r="I12" s="36">
        <v>6.01</v>
      </c>
      <c r="J12" s="36">
        <v>4.78</v>
      </c>
      <c r="K12" s="36">
        <v>1.37</v>
      </c>
      <c r="L12" s="36">
        <v>4.29</v>
      </c>
      <c r="M12" s="36">
        <v>4.55</v>
      </c>
      <c r="N12" s="36">
        <v>4.1900000000000004</v>
      </c>
      <c r="O12" s="36">
        <v>-1.57</v>
      </c>
      <c r="P12" s="36">
        <v>0.05</v>
      </c>
      <c r="Q12" s="36">
        <v>-0.63</v>
      </c>
      <c r="R12" s="36">
        <v>1.1399999999999999</v>
      </c>
      <c r="S12" s="36">
        <v>-0.56999999999999995</v>
      </c>
      <c r="T12" s="36">
        <v>-0.72</v>
      </c>
      <c r="U12" s="36">
        <v>-0.09</v>
      </c>
      <c r="V12" s="36">
        <v>4.47</v>
      </c>
      <c r="W12" s="36">
        <v>-1.35</v>
      </c>
      <c r="X12" s="36">
        <v>-0.31</v>
      </c>
      <c r="Y12" s="36">
        <v>-0.78</v>
      </c>
      <c r="Z12" s="36">
        <v>1.31</v>
      </c>
      <c r="AA12" s="36">
        <v>1.6</v>
      </c>
      <c r="AB12" s="36">
        <v>5.22</v>
      </c>
      <c r="AC12" s="36">
        <v>-7.15</v>
      </c>
      <c r="AD12" s="36">
        <v>3.19</v>
      </c>
      <c r="AE12" s="36">
        <v>-2.72</v>
      </c>
    </row>
    <row r="13" spans="1:31" ht="17" x14ac:dyDescent="0.45">
      <c r="A13" s="34" t="s">
        <v>107</v>
      </c>
      <c r="B13" s="35" t="s">
        <v>3</v>
      </c>
      <c r="C13" s="37" t="s">
        <v>3</v>
      </c>
      <c r="D13" s="37" t="s">
        <v>3</v>
      </c>
      <c r="E13" s="37" t="s">
        <v>3</v>
      </c>
      <c r="F13" s="37" t="s">
        <v>3</v>
      </c>
      <c r="G13" s="37" t="s">
        <v>3</v>
      </c>
      <c r="H13" s="37" t="s">
        <v>3</v>
      </c>
      <c r="I13" s="37" t="s">
        <v>3</v>
      </c>
      <c r="J13" s="37" t="s">
        <v>3</v>
      </c>
      <c r="K13" s="37" t="s">
        <v>3</v>
      </c>
      <c r="L13" s="37" t="s">
        <v>3</v>
      </c>
      <c r="M13" s="37" t="s">
        <v>3</v>
      </c>
      <c r="N13" s="37" t="s">
        <v>3</v>
      </c>
      <c r="O13" s="37" t="s">
        <v>3</v>
      </c>
      <c r="P13" s="37" t="s">
        <v>3</v>
      </c>
      <c r="Q13" s="37" t="s">
        <v>3</v>
      </c>
      <c r="R13" s="37" t="s">
        <v>3</v>
      </c>
      <c r="S13" s="37" t="s">
        <v>3</v>
      </c>
      <c r="T13" s="37" t="s">
        <v>3</v>
      </c>
      <c r="U13" s="37" t="s">
        <v>3</v>
      </c>
      <c r="V13" s="36">
        <v>-0.56000000000000005</v>
      </c>
      <c r="W13" s="36">
        <v>17.690000000000001</v>
      </c>
      <c r="X13" s="36">
        <v>5.34</v>
      </c>
      <c r="Y13" s="36">
        <v>-5.99</v>
      </c>
      <c r="Z13" s="36">
        <v>0.43</v>
      </c>
      <c r="AA13" s="36">
        <v>18.25</v>
      </c>
      <c r="AB13" s="36">
        <v>5.2</v>
      </c>
      <c r="AC13" s="36">
        <v>-12.31</v>
      </c>
      <c r="AD13" s="36">
        <v>5.34</v>
      </c>
      <c r="AE13" s="37" t="s">
        <v>3</v>
      </c>
    </row>
    <row r="14" spans="1:31" ht="17" x14ac:dyDescent="0.45">
      <c r="A14" s="34" t="s">
        <v>172</v>
      </c>
      <c r="B14" s="35" t="s">
        <v>3</v>
      </c>
      <c r="C14" s="37" t="s">
        <v>3</v>
      </c>
      <c r="D14" s="37" t="s">
        <v>3</v>
      </c>
      <c r="E14" s="37" t="s">
        <v>3</v>
      </c>
      <c r="F14" s="37" t="s">
        <v>3</v>
      </c>
      <c r="G14" s="37" t="s">
        <v>3</v>
      </c>
      <c r="H14" s="37" t="s">
        <v>3</v>
      </c>
      <c r="I14" s="37" t="s">
        <v>3</v>
      </c>
      <c r="J14" s="37" t="s">
        <v>3</v>
      </c>
      <c r="K14" s="37" t="s">
        <v>3</v>
      </c>
      <c r="L14" s="37" t="s">
        <v>3</v>
      </c>
      <c r="M14" s="37" t="s">
        <v>3</v>
      </c>
      <c r="N14" s="37" t="s">
        <v>3</v>
      </c>
      <c r="O14" s="37" t="s">
        <v>3</v>
      </c>
      <c r="P14" s="37" t="s">
        <v>3</v>
      </c>
      <c r="Q14" s="37" t="s">
        <v>3</v>
      </c>
      <c r="R14" s="37" t="s">
        <v>3</v>
      </c>
      <c r="S14" s="37" t="s">
        <v>3</v>
      </c>
      <c r="T14" s="37" t="s">
        <v>3</v>
      </c>
      <c r="U14" s="37" t="s">
        <v>3</v>
      </c>
      <c r="V14" s="37" t="s">
        <v>3</v>
      </c>
      <c r="W14" s="37" t="s">
        <v>3</v>
      </c>
      <c r="X14" s="36">
        <v>14.22</v>
      </c>
      <c r="Y14" s="36">
        <v>-1.98</v>
      </c>
      <c r="Z14" s="36">
        <v>6.2</v>
      </c>
      <c r="AA14" s="36">
        <v>5.59</v>
      </c>
      <c r="AB14" s="36">
        <v>4.2699999999999996</v>
      </c>
      <c r="AC14" s="36">
        <v>-10.119999999999999</v>
      </c>
      <c r="AD14" s="36">
        <v>7.02</v>
      </c>
      <c r="AE14" s="37" t="s">
        <v>3</v>
      </c>
    </row>
    <row r="15" spans="1:31" ht="17" x14ac:dyDescent="0.45">
      <c r="A15" s="34" t="s">
        <v>173</v>
      </c>
      <c r="B15" s="35" t="s">
        <v>3</v>
      </c>
      <c r="C15" s="36">
        <v>3.61</v>
      </c>
      <c r="D15" s="36">
        <v>4.33</v>
      </c>
      <c r="E15" s="36">
        <v>16.059999999999999</v>
      </c>
      <c r="F15" s="36">
        <v>-5.46</v>
      </c>
      <c r="G15" s="36">
        <v>19.61</v>
      </c>
      <c r="H15" s="36">
        <v>-15.84</v>
      </c>
      <c r="I15" s="36">
        <v>52.82</v>
      </c>
      <c r="J15" s="36">
        <v>5.1100000000000003</v>
      </c>
      <c r="K15" s="36">
        <v>15.55</v>
      </c>
      <c r="L15" s="36">
        <v>25.66</v>
      </c>
      <c r="M15" s="36">
        <v>-8.41</v>
      </c>
      <c r="N15" s="36">
        <v>-19.5</v>
      </c>
      <c r="O15" s="36">
        <v>-1.1299999999999999</v>
      </c>
      <c r="P15" s="36">
        <v>-11.22</v>
      </c>
      <c r="Q15" s="36">
        <v>6.83</v>
      </c>
      <c r="R15" s="36">
        <v>241.32</v>
      </c>
      <c r="S15" s="36">
        <v>-11.32</v>
      </c>
      <c r="T15" s="36">
        <v>-28.61</v>
      </c>
      <c r="U15" s="36">
        <v>52.04</v>
      </c>
      <c r="V15" s="36">
        <v>10.48</v>
      </c>
      <c r="W15" s="36">
        <v>-9.25</v>
      </c>
      <c r="X15" s="36">
        <v>-15.96</v>
      </c>
      <c r="Y15" s="36">
        <v>12.71</v>
      </c>
      <c r="Z15" s="36">
        <v>5.79</v>
      </c>
      <c r="AA15" s="36">
        <v>-14.01</v>
      </c>
      <c r="AB15" s="36">
        <v>20.11</v>
      </c>
      <c r="AC15" s="36">
        <v>-8.3699999999999992</v>
      </c>
      <c r="AD15" s="36">
        <v>8.74</v>
      </c>
      <c r="AE15" s="36">
        <v>4.7</v>
      </c>
    </row>
    <row r="16" spans="1:31" ht="17" x14ac:dyDescent="0.45">
      <c r="A16" s="34" t="s">
        <v>174</v>
      </c>
      <c r="B16" s="35" t="s">
        <v>3</v>
      </c>
      <c r="C16" s="36">
        <v>-1.97</v>
      </c>
      <c r="D16" s="36">
        <v>1.7</v>
      </c>
      <c r="E16" s="36">
        <v>1.3</v>
      </c>
      <c r="F16" s="36">
        <v>0.14000000000000001</v>
      </c>
      <c r="G16" s="36">
        <v>2.0699999999999998</v>
      </c>
      <c r="H16" s="36">
        <v>6.93</v>
      </c>
      <c r="I16" s="36">
        <v>6.33</v>
      </c>
      <c r="J16" s="36">
        <v>2.6</v>
      </c>
      <c r="K16" s="36">
        <v>6.35</v>
      </c>
      <c r="L16" s="36">
        <v>1.41</v>
      </c>
      <c r="M16" s="36">
        <v>4.29</v>
      </c>
      <c r="N16" s="36">
        <v>4.88</v>
      </c>
      <c r="O16" s="36">
        <v>4.6500000000000004</v>
      </c>
      <c r="P16" s="36">
        <v>-3.33</v>
      </c>
      <c r="Q16" s="36">
        <v>-5.62</v>
      </c>
      <c r="R16" s="36">
        <v>2.54</v>
      </c>
      <c r="S16" s="36">
        <v>3.63</v>
      </c>
      <c r="T16" s="36">
        <v>-2.71</v>
      </c>
      <c r="U16" s="36">
        <v>2.13</v>
      </c>
      <c r="V16" s="36">
        <v>3.23</v>
      </c>
      <c r="W16" s="36">
        <v>6.59</v>
      </c>
      <c r="X16" s="36">
        <v>0.4</v>
      </c>
      <c r="Y16" s="36">
        <v>5.18</v>
      </c>
      <c r="Z16" s="36">
        <v>5.44</v>
      </c>
      <c r="AA16" s="36">
        <v>10.42</v>
      </c>
      <c r="AB16" s="36">
        <v>2.4900000000000002</v>
      </c>
      <c r="AC16" s="36">
        <v>10.220000000000001</v>
      </c>
      <c r="AD16" s="36">
        <v>-0.03</v>
      </c>
      <c r="AE16" s="36">
        <v>2.99</v>
      </c>
    </row>
    <row r="17" spans="1:31" ht="17" x14ac:dyDescent="0.45">
      <c r="A17" s="34" t="s">
        <v>108</v>
      </c>
      <c r="B17" s="35" t="s">
        <v>3</v>
      </c>
      <c r="C17" s="36">
        <v>-1.94</v>
      </c>
      <c r="D17" s="36">
        <v>8.23</v>
      </c>
      <c r="E17" s="36">
        <v>12.06</v>
      </c>
      <c r="F17" s="36">
        <v>3.22</v>
      </c>
      <c r="G17" s="36">
        <v>4.7</v>
      </c>
      <c r="H17" s="36">
        <v>5.33</v>
      </c>
      <c r="I17" s="36">
        <v>2.5299999999999998</v>
      </c>
      <c r="J17" s="36">
        <v>8.98</v>
      </c>
      <c r="K17" s="36">
        <v>14.87</v>
      </c>
      <c r="L17" s="36">
        <v>6.94</v>
      </c>
      <c r="M17" s="36">
        <v>5.6</v>
      </c>
      <c r="N17" s="36">
        <v>3.94</v>
      </c>
      <c r="O17" s="36">
        <v>8.4499999999999993</v>
      </c>
      <c r="P17" s="36">
        <v>11.9</v>
      </c>
      <c r="Q17" s="36">
        <v>3.09</v>
      </c>
      <c r="R17" s="36">
        <v>5.91</v>
      </c>
      <c r="S17" s="36">
        <v>5.09</v>
      </c>
      <c r="T17" s="36">
        <v>1.78</v>
      </c>
      <c r="U17" s="36">
        <v>8.64</v>
      </c>
      <c r="V17" s="36">
        <v>1.04</v>
      </c>
      <c r="W17" s="36">
        <v>6.35</v>
      </c>
      <c r="X17" s="36">
        <v>7.36</v>
      </c>
      <c r="Y17" s="36">
        <v>1.73</v>
      </c>
      <c r="Z17" s="36">
        <v>-0.72</v>
      </c>
      <c r="AA17" s="36">
        <v>3.97</v>
      </c>
      <c r="AB17" s="36">
        <v>1.51</v>
      </c>
      <c r="AC17" s="36">
        <v>8.2200000000000006</v>
      </c>
      <c r="AD17" s="36">
        <v>-3.11</v>
      </c>
      <c r="AE17" s="36">
        <v>2.73</v>
      </c>
    </row>
    <row r="18" spans="1:31" ht="17" x14ac:dyDescent="0.45">
      <c r="A18" s="34" t="s">
        <v>109</v>
      </c>
      <c r="B18" s="35" t="s">
        <v>3</v>
      </c>
      <c r="C18" s="37" t="s">
        <v>3</v>
      </c>
      <c r="D18" s="36">
        <v>-1.1200000000000001</v>
      </c>
      <c r="E18" s="36">
        <v>-2.95</v>
      </c>
      <c r="F18" s="36">
        <v>23.49</v>
      </c>
      <c r="G18" s="36">
        <v>14.38</v>
      </c>
      <c r="H18" s="36">
        <v>-21.55</v>
      </c>
      <c r="I18" s="36">
        <v>10.43</v>
      </c>
      <c r="J18" s="36">
        <v>14.29</v>
      </c>
      <c r="K18" s="36">
        <v>21.8</v>
      </c>
      <c r="L18" s="36">
        <v>-13.29</v>
      </c>
      <c r="M18" s="36">
        <v>-1.55</v>
      </c>
      <c r="N18" s="36">
        <v>16.71</v>
      </c>
      <c r="O18" s="36">
        <v>25.58</v>
      </c>
      <c r="P18" s="36">
        <v>-4.12</v>
      </c>
      <c r="Q18" s="36">
        <v>-3.01</v>
      </c>
      <c r="R18" s="36">
        <v>11.64</v>
      </c>
      <c r="S18" s="36">
        <v>-18.09</v>
      </c>
      <c r="T18" s="36">
        <v>2.11</v>
      </c>
      <c r="U18" s="36">
        <v>-1.82</v>
      </c>
      <c r="V18" s="36">
        <v>-6.19</v>
      </c>
      <c r="W18" s="36">
        <v>-11.84</v>
      </c>
      <c r="X18" s="36">
        <v>1</v>
      </c>
      <c r="Y18" s="36">
        <v>-1.1000000000000001</v>
      </c>
      <c r="Z18" s="36">
        <v>24.42</v>
      </c>
      <c r="AA18" s="36">
        <v>1.7</v>
      </c>
      <c r="AB18" s="36">
        <v>15.19</v>
      </c>
      <c r="AC18" s="36">
        <v>-3.14</v>
      </c>
      <c r="AD18" s="36">
        <v>-0.15</v>
      </c>
      <c r="AE18" s="36">
        <v>-6.07</v>
      </c>
    </row>
    <row r="19" spans="1:31" ht="17" x14ac:dyDescent="0.45">
      <c r="A19" s="34" t="s">
        <v>110</v>
      </c>
      <c r="B19" s="35" t="s">
        <v>3</v>
      </c>
      <c r="C19" s="36">
        <v>4.26</v>
      </c>
      <c r="D19" s="36">
        <v>5.21</v>
      </c>
      <c r="E19" s="36">
        <v>9.07</v>
      </c>
      <c r="F19" s="36">
        <v>8.44</v>
      </c>
      <c r="G19" s="36">
        <v>4.05</v>
      </c>
      <c r="H19" s="36">
        <v>3.11</v>
      </c>
      <c r="I19" s="36">
        <v>3.73</v>
      </c>
      <c r="J19" s="36">
        <v>1.52</v>
      </c>
      <c r="K19" s="36">
        <v>0.84</v>
      </c>
      <c r="L19" s="36">
        <v>13.12</v>
      </c>
      <c r="M19" s="36">
        <v>-0.51</v>
      </c>
      <c r="N19" s="36">
        <v>0.79</v>
      </c>
      <c r="O19" s="36">
        <v>11.42</v>
      </c>
      <c r="P19" s="36">
        <v>-0.76</v>
      </c>
      <c r="Q19" s="36">
        <v>1.37</v>
      </c>
      <c r="R19" s="36">
        <v>4.1399999999999997</v>
      </c>
      <c r="S19" s="36">
        <v>5.05</v>
      </c>
      <c r="T19" s="36">
        <v>4.67</v>
      </c>
      <c r="U19" s="36">
        <v>0.44</v>
      </c>
      <c r="V19" s="36">
        <v>4.78</v>
      </c>
      <c r="W19" s="36">
        <v>1.1499999999999999</v>
      </c>
      <c r="X19" s="36">
        <v>1.45</v>
      </c>
      <c r="Y19" s="36">
        <v>0.34</v>
      </c>
      <c r="Z19" s="36">
        <v>-1.37</v>
      </c>
      <c r="AA19" s="36">
        <v>1.75</v>
      </c>
      <c r="AB19" s="36">
        <v>3.27</v>
      </c>
      <c r="AC19" s="36">
        <v>5.09</v>
      </c>
      <c r="AD19" s="36">
        <v>-3.22</v>
      </c>
      <c r="AE19" s="36">
        <v>-2.0499999999999998</v>
      </c>
    </row>
    <row r="20" spans="1:31" ht="17" x14ac:dyDescent="0.45">
      <c r="A20" s="34" t="s">
        <v>111</v>
      </c>
      <c r="B20" s="35" t="s">
        <v>3</v>
      </c>
      <c r="C20" s="36">
        <v>0.52</v>
      </c>
      <c r="D20" s="36">
        <v>1</v>
      </c>
      <c r="E20" s="36">
        <v>8.19</v>
      </c>
      <c r="F20" s="36">
        <v>2.73</v>
      </c>
      <c r="G20" s="36">
        <v>1.77</v>
      </c>
      <c r="H20" s="36">
        <v>-1.93</v>
      </c>
      <c r="I20" s="36">
        <v>2.88</v>
      </c>
      <c r="J20" s="36">
        <v>9.19</v>
      </c>
      <c r="K20" s="36">
        <v>6.64</v>
      </c>
      <c r="L20" s="36">
        <v>6.63</v>
      </c>
      <c r="M20" s="36">
        <v>2.78</v>
      </c>
      <c r="N20" s="36">
        <v>6.66</v>
      </c>
      <c r="O20" s="36">
        <v>2.14</v>
      </c>
      <c r="P20" s="36">
        <v>0.88</v>
      </c>
      <c r="Q20" s="36">
        <v>-3.7</v>
      </c>
      <c r="R20" s="36">
        <v>3.98</v>
      </c>
      <c r="S20" s="36">
        <v>4.66</v>
      </c>
      <c r="T20" s="36">
        <v>2.09</v>
      </c>
      <c r="U20" s="36">
        <v>-0.87</v>
      </c>
      <c r="V20" s="36">
        <v>2.75</v>
      </c>
      <c r="W20" s="36">
        <v>1.26</v>
      </c>
      <c r="X20" s="36">
        <v>0.33</v>
      </c>
      <c r="Y20" s="36">
        <v>5.09</v>
      </c>
      <c r="Z20" s="36">
        <v>1.66</v>
      </c>
      <c r="AA20" s="36">
        <v>4.3099999999999996</v>
      </c>
      <c r="AB20" s="36">
        <v>-4.37</v>
      </c>
      <c r="AC20" s="36">
        <v>5.35</v>
      </c>
      <c r="AD20" s="36">
        <v>-0.08</v>
      </c>
      <c r="AE20" s="36">
        <v>2.44</v>
      </c>
    </row>
    <row r="21" spans="1:31" ht="17" x14ac:dyDescent="0.45">
      <c r="A21" s="34" t="s">
        <v>112</v>
      </c>
      <c r="B21" s="35" t="s">
        <v>3</v>
      </c>
      <c r="C21" s="36">
        <v>6.41</v>
      </c>
      <c r="D21" s="36">
        <v>5.6</v>
      </c>
      <c r="E21" s="36">
        <v>9.92</v>
      </c>
      <c r="F21" s="36">
        <v>10.43</v>
      </c>
      <c r="G21" s="36">
        <v>5.62</v>
      </c>
      <c r="H21" s="36">
        <v>-1.43</v>
      </c>
      <c r="I21" s="36">
        <v>5.59</v>
      </c>
      <c r="J21" s="36">
        <v>3.36</v>
      </c>
      <c r="K21" s="36">
        <v>-6.63</v>
      </c>
      <c r="L21" s="36">
        <v>7.11</v>
      </c>
      <c r="M21" s="36">
        <v>-2.2400000000000002</v>
      </c>
      <c r="N21" s="36">
        <v>7.95</v>
      </c>
      <c r="O21" s="36">
        <v>10.81</v>
      </c>
      <c r="P21" s="36">
        <v>2.63</v>
      </c>
      <c r="Q21" s="36">
        <v>-0.21</v>
      </c>
      <c r="R21" s="36">
        <v>1.68</v>
      </c>
      <c r="S21" s="36">
        <v>10.44</v>
      </c>
      <c r="T21" s="36">
        <v>2.73</v>
      </c>
      <c r="U21" s="36">
        <v>3.18</v>
      </c>
      <c r="V21" s="36">
        <v>3.45</v>
      </c>
      <c r="W21" s="36">
        <v>2.0699999999999998</v>
      </c>
      <c r="X21" s="36">
        <v>1.19</v>
      </c>
      <c r="Y21" s="36">
        <v>1.97</v>
      </c>
      <c r="Z21" s="36">
        <v>4.25</v>
      </c>
      <c r="AA21" s="36">
        <v>-0.08</v>
      </c>
      <c r="AB21" s="36">
        <v>-2.64</v>
      </c>
      <c r="AC21" s="36">
        <v>5.68</v>
      </c>
      <c r="AD21" s="36">
        <v>-4.76</v>
      </c>
      <c r="AE21" s="36">
        <v>0.88</v>
      </c>
    </row>
    <row r="22" spans="1:31" ht="17" x14ac:dyDescent="0.45">
      <c r="A22" s="34" t="s">
        <v>113</v>
      </c>
      <c r="B22" s="35" t="s">
        <v>3</v>
      </c>
      <c r="C22" s="37" t="s">
        <v>3</v>
      </c>
      <c r="D22" s="36">
        <v>0.05</v>
      </c>
      <c r="E22" s="36">
        <v>15.5</v>
      </c>
      <c r="F22" s="36">
        <v>-2.04</v>
      </c>
      <c r="G22" s="36">
        <v>13.79</v>
      </c>
      <c r="H22" s="36">
        <v>11.87</v>
      </c>
      <c r="I22" s="36">
        <v>3.01</v>
      </c>
      <c r="J22" s="36">
        <v>-2.04</v>
      </c>
      <c r="K22" s="36">
        <v>7.99</v>
      </c>
      <c r="L22" s="36">
        <v>6.27</v>
      </c>
      <c r="M22" s="36">
        <v>9.1300000000000008</v>
      </c>
      <c r="N22" s="36">
        <v>15.21</v>
      </c>
      <c r="O22" s="36">
        <v>2.4700000000000002</v>
      </c>
      <c r="P22" s="36">
        <v>0.67</v>
      </c>
      <c r="Q22" s="36">
        <v>6.92</v>
      </c>
      <c r="R22" s="36">
        <v>-7.35</v>
      </c>
      <c r="S22" s="36">
        <v>-7.74</v>
      </c>
      <c r="T22" s="36">
        <v>-1.66</v>
      </c>
      <c r="U22" s="36">
        <v>-6.83</v>
      </c>
      <c r="V22" s="36">
        <v>-14.8</v>
      </c>
      <c r="W22" s="36">
        <v>6.43</v>
      </c>
      <c r="X22" s="36">
        <v>0.79</v>
      </c>
      <c r="Y22" s="36">
        <v>1.74</v>
      </c>
      <c r="Z22" s="36">
        <v>-15.17</v>
      </c>
      <c r="AA22" s="36">
        <v>1.52</v>
      </c>
      <c r="AB22" s="36">
        <v>7.98</v>
      </c>
      <c r="AC22" s="36">
        <v>2.4500000000000002</v>
      </c>
      <c r="AD22" s="36">
        <v>3.35</v>
      </c>
      <c r="AE22" s="36">
        <v>4.32</v>
      </c>
    </row>
    <row r="23" spans="1:31" ht="17" x14ac:dyDescent="0.45">
      <c r="A23" s="34" t="s">
        <v>114</v>
      </c>
      <c r="B23" s="35" t="s">
        <v>3</v>
      </c>
      <c r="C23" s="37" t="s">
        <v>3</v>
      </c>
      <c r="D23" s="36">
        <v>20.58</v>
      </c>
      <c r="E23" s="36">
        <v>22.58</v>
      </c>
      <c r="F23" s="36">
        <v>3.72</v>
      </c>
      <c r="G23" s="36">
        <v>7.83</v>
      </c>
      <c r="H23" s="36">
        <v>-4.07</v>
      </c>
      <c r="I23" s="36">
        <v>-3.29</v>
      </c>
      <c r="J23" s="36">
        <v>15.79</v>
      </c>
      <c r="K23" s="36">
        <v>4.97</v>
      </c>
      <c r="L23" s="36">
        <v>11.96</v>
      </c>
      <c r="M23" s="36">
        <v>1.97</v>
      </c>
      <c r="N23" s="36">
        <v>-6.23</v>
      </c>
      <c r="O23" s="36">
        <v>4.1100000000000003</v>
      </c>
      <c r="P23" s="36">
        <v>-0.55000000000000004</v>
      </c>
      <c r="Q23" s="36">
        <v>4.53</v>
      </c>
      <c r="R23" s="36">
        <v>3.78</v>
      </c>
      <c r="S23" s="36">
        <v>-1.43</v>
      </c>
      <c r="T23" s="36">
        <v>3.87</v>
      </c>
      <c r="U23" s="36">
        <v>-4.24</v>
      </c>
      <c r="V23" s="36">
        <v>-2.76</v>
      </c>
      <c r="W23" s="36">
        <v>-2.76</v>
      </c>
      <c r="X23" s="36">
        <v>-0.43</v>
      </c>
      <c r="Y23" s="36">
        <v>7.16</v>
      </c>
      <c r="Z23" s="36">
        <v>4.59</v>
      </c>
      <c r="AA23" s="36">
        <v>4.1399999999999997</v>
      </c>
      <c r="AB23" s="36">
        <v>1.84</v>
      </c>
      <c r="AC23" s="36">
        <v>10.48</v>
      </c>
      <c r="AD23" s="36">
        <v>3.66</v>
      </c>
      <c r="AE23" s="36">
        <v>1.57</v>
      </c>
    </row>
    <row r="24" spans="1:31" ht="17" x14ac:dyDescent="0.45">
      <c r="A24" s="34" t="s">
        <v>115</v>
      </c>
      <c r="B24" s="35" t="s">
        <v>3</v>
      </c>
      <c r="C24" s="37" t="s">
        <v>3</v>
      </c>
      <c r="D24" s="36">
        <v>0.08</v>
      </c>
      <c r="E24" s="36">
        <v>18.93</v>
      </c>
      <c r="F24" s="36">
        <v>6.96</v>
      </c>
      <c r="G24" s="36">
        <v>5.85</v>
      </c>
      <c r="H24" s="36">
        <v>1.41</v>
      </c>
      <c r="I24" s="36">
        <v>-0.5</v>
      </c>
      <c r="J24" s="36">
        <v>0.46</v>
      </c>
      <c r="K24" s="36">
        <v>4.63</v>
      </c>
      <c r="L24" s="36">
        <v>5.2</v>
      </c>
      <c r="M24" s="36">
        <v>6.96</v>
      </c>
      <c r="N24" s="36">
        <v>0.35</v>
      </c>
      <c r="O24" s="36">
        <v>8.66</v>
      </c>
      <c r="P24" s="36">
        <v>-13.05</v>
      </c>
      <c r="Q24" s="36">
        <v>4.5599999999999996</v>
      </c>
      <c r="R24" s="36">
        <v>-3.62</v>
      </c>
      <c r="S24" s="36">
        <v>3.75</v>
      </c>
      <c r="T24" s="36">
        <v>-0.94</v>
      </c>
      <c r="U24" s="36">
        <v>7.4</v>
      </c>
      <c r="V24" s="36">
        <v>1.71</v>
      </c>
      <c r="W24" s="36">
        <v>7.66</v>
      </c>
      <c r="X24" s="36">
        <v>9.07</v>
      </c>
      <c r="Y24" s="36">
        <v>-0.2</v>
      </c>
      <c r="Z24" s="36">
        <v>19.97</v>
      </c>
      <c r="AA24" s="36">
        <v>6.56</v>
      </c>
      <c r="AB24" s="36">
        <v>-3.4</v>
      </c>
      <c r="AC24" s="36">
        <v>-1.1100000000000001</v>
      </c>
      <c r="AD24" s="36">
        <v>-4.05</v>
      </c>
      <c r="AE24" s="36">
        <v>10.029999999999999</v>
      </c>
    </row>
    <row r="25" spans="1:31" ht="17" x14ac:dyDescent="0.45">
      <c r="A25" s="34" t="s">
        <v>116</v>
      </c>
      <c r="B25" s="35" t="s">
        <v>3</v>
      </c>
      <c r="C25" s="37" t="s">
        <v>3</v>
      </c>
      <c r="D25" s="36">
        <v>0.27</v>
      </c>
      <c r="E25" s="36">
        <v>10.26</v>
      </c>
      <c r="F25" s="36">
        <v>8.15</v>
      </c>
      <c r="G25" s="36">
        <v>-2.12</v>
      </c>
      <c r="H25" s="36">
        <v>-0.61</v>
      </c>
      <c r="I25" s="36">
        <v>1.54</v>
      </c>
      <c r="J25" s="36">
        <v>8.6</v>
      </c>
      <c r="K25" s="36">
        <v>-6.25</v>
      </c>
      <c r="L25" s="36">
        <v>20.62</v>
      </c>
      <c r="M25" s="36">
        <v>3.45</v>
      </c>
      <c r="N25" s="36">
        <v>9.82</v>
      </c>
      <c r="O25" s="36">
        <v>18.190000000000001</v>
      </c>
      <c r="P25" s="36">
        <v>8.9700000000000006</v>
      </c>
      <c r="Q25" s="36">
        <v>4.75</v>
      </c>
      <c r="R25" s="36">
        <v>8.3800000000000008</v>
      </c>
      <c r="S25" s="36">
        <v>1.94</v>
      </c>
      <c r="T25" s="36">
        <v>-3.47</v>
      </c>
      <c r="U25" s="36">
        <v>8.8000000000000007</v>
      </c>
      <c r="V25" s="36">
        <v>10.48</v>
      </c>
      <c r="W25" s="36">
        <v>11.71</v>
      </c>
      <c r="X25" s="36">
        <v>2.67</v>
      </c>
      <c r="Y25" s="36">
        <v>19.98</v>
      </c>
      <c r="Z25" s="36">
        <v>21.36</v>
      </c>
      <c r="AA25" s="36">
        <v>14.18</v>
      </c>
      <c r="AB25" s="36">
        <v>11.07</v>
      </c>
      <c r="AC25" s="36">
        <v>7.7</v>
      </c>
      <c r="AD25" s="36">
        <v>-3.05</v>
      </c>
      <c r="AE25" s="36">
        <v>3.56</v>
      </c>
    </row>
    <row r="26" spans="1:31" ht="17" x14ac:dyDescent="0.45">
      <c r="A26" s="34" t="s">
        <v>117</v>
      </c>
      <c r="B26" s="35" t="s">
        <v>3</v>
      </c>
      <c r="C26" s="37" t="s">
        <v>3</v>
      </c>
      <c r="D26" s="36">
        <v>16.29</v>
      </c>
      <c r="E26" s="36">
        <v>-3.49</v>
      </c>
      <c r="F26" s="36">
        <v>4.5599999999999996</v>
      </c>
      <c r="G26" s="36">
        <v>-2.6</v>
      </c>
      <c r="H26" s="36">
        <v>9.0399999999999991</v>
      </c>
      <c r="I26" s="36">
        <v>-10.4</v>
      </c>
      <c r="J26" s="36">
        <v>6.91</v>
      </c>
      <c r="K26" s="36">
        <v>8.67</v>
      </c>
      <c r="L26" s="36">
        <v>6.22</v>
      </c>
      <c r="M26" s="36">
        <v>-6.1</v>
      </c>
      <c r="N26" s="36">
        <v>2.36</v>
      </c>
      <c r="O26" s="36">
        <v>13.4</v>
      </c>
      <c r="P26" s="36">
        <v>14.32</v>
      </c>
      <c r="Q26" s="36">
        <v>-0.22</v>
      </c>
      <c r="R26" s="36">
        <v>-4.95</v>
      </c>
      <c r="S26" s="36">
        <v>2.46</v>
      </c>
      <c r="T26" s="36">
        <v>10.06</v>
      </c>
      <c r="U26" s="36">
        <v>3.34</v>
      </c>
      <c r="V26" s="36">
        <v>8.66</v>
      </c>
      <c r="W26" s="36">
        <v>3.53</v>
      </c>
      <c r="X26" s="36">
        <v>7.13</v>
      </c>
      <c r="Y26" s="36">
        <v>6.23</v>
      </c>
      <c r="Z26" s="36">
        <v>0.12</v>
      </c>
      <c r="AA26" s="36">
        <v>0.37</v>
      </c>
      <c r="AB26" s="36">
        <v>4.01</v>
      </c>
      <c r="AC26" s="36">
        <v>7.01</v>
      </c>
      <c r="AD26" s="36">
        <v>-6.89</v>
      </c>
      <c r="AE26" s="37" t="s">
        <v>3</v>
      </c>
    </row>
    <row r="27" spans="1:31" ht="17" x14ac:dyDescent="0.45">
      <c r="A27" s="34" t="s">
        <v>118</v>
      </c>
      <c r="B27" s="35" t="s">
        <v>3</v>
      </c>
      <c r="C27" s="36">
        <v>2.73</v>
      </c>
      <c r="D27" s="36">
        <v>7.03</v>
      </c>
      <c r="E27" s="36">
        <v>1.0900000000000001</v>
      </c>
      <c r="F27" s="36">
        <v>0.9</v>
      </c>
      <c r="G27" s="36">
        <v>5.4</v>
      </c>
      <c r="H27" s="36">
        <v>0.55000000000000004</v>
      </c>
      <c r="I27" s="36">
        <v>9.2799999999999994</v>
      </c>
      <c r="J27" s="36">
        <v>4.1399999999999997</v>
      </c>
      <c r="K27" s="36">
        <v>-0.83</v>
      </c>
      <c r="L27" s="36">
        <v>3.28</v>
      </c>
      <c r="M27" s="36">
        <v>1.68</v>
      </c>
      <c r="N27" s="36">
        <v>-1.54</v>
      </c>
      <c r="O27" s="36">
        <v>5.41</v>
      </c>
      <c r="P27" s="36">
        <v>2.91</v>
      </c>
      <c r="Q27" s="36">
        <v>-0.36</v>
      </c>
      <c r="R27" s="36">
        <v>3.42</v>
      </c>
      <c r="S27" s="36">
        <v>-0.21</v>
      </c>
      <c r="T27" s="36">
        <v>-4.04</v>
      </c>
      <c r="U27" s="36">
        <v>-0.24</v>
      </c>
      <c r="V27" s="36">
        <v>0.78</v>
      </c>
      <c r="W27" s="36">
        <v>-0.37</v>
      </c>
      <c r="X27" s="36">
        <v>1.32</v>
      </c>
      <c r="Y27" s="36">
        <v>0.36</v>
      </c>
      <c r="Z27" s="36">
        <v>-2.77</v>
      </c>
      <c r="AA27" s="36">
        <v>1.17</v>
      </c>
      <c r="AB27" s="36">
        <v>-1.29</v>
      </c>
      <c r="AC27" s="36">
        <v>9.11</v>
      </c>
      <c r="AD27" s="36">
        <v>2.02</v>
      </c>
      <c r="AE27" s="36">
        <v>-2.42</v>
      </c>
    </row>
    <row r="28" spans="1:31" ht="17" x14ac:dyDescent="0.45">
      <c r="A28" s="34" t="s">
        <v>136</v>
      </c>
      <c r="B28" s="35" t="s">
        <v>3</v>
      </c>
      <c r="C28" s="36">
        <v>14.04</v>
      </c>
      <c r="D28" s="36">
        <v>15.55</v>
      </c>
      <c r="E28" s="36">
        <v>7.76</v>
      </c>
      <c r="F28" s="36">
        <v>9.84</v>
      </c>
      <c r="G28" s="36">
        <v>3.6</v>
      </c>
      <c r="H28" s="36">
        <v>5.8</v>
      </c>
      <c r="I28" s="36">
        <v>6.09</v>
      </c>
      <c r="J28" s="36">
        <v>3.52</v>
      </c>
      <c r="K28" s="36">
        <v>1.23</v>
      </c>
      <c r="L28" s="36">
        <v>-4.16</v>
      </c>
      <c r="M28" s="36">
        <v>-4.29</v>
      </c>
      <c r="N28" s="36">
        <v>2.2200000000000002</v>
      </c>
      <c r="O28" s="36">
        <v>-3.08</v>
      </c>
      <c r="P28" s="36">
        <v>5.58</v>
      </c>
      <c r="Q28" s="36">
        <v>-1.3</v>
      </c>
      <c r="R28" s="36">
        <v>0.39</v>
      </c>
      <c r="S28" s="36">
        <v>2.3199999999999998</v>
      </c>
      <c r="T28" s="36">
        <v>1.38</v>
      </c>
      <c r="U28" s="36">
        <v>1.92</v>
      </c>
      <c r="V28" s="36">
        <v>-5.44</v>
      </c>
      <c r="W28" s="36">
        <v>0.54</v>
      </c>
      <c r="X28" s="36">
        <v>1.41</v>
      </c>
      <c r="Y28" s="36">
        <v>-1.74</v>
      </c>
      <c r="Z28" s="36">
        <v>-1.42</v>
      </c>
      <c r="AA28" s="36">
        <v>-2.86</v>
      </c>
      <c r="AB28" s="36">
        <v>-3.43</v>
      </c>
      <c r="AC28" s="36">
        <v>-5.0999999999999996</v>
      </c>
      <c r="AD28" s="36">
        <v>-3.54</v>
      </c>
      <c r="AE28" s="37" t="s">
        <v>3</v>
      </c>
    </row>
    <row r="29" spans="1:31" ht="17" x14ac:dyDescent="0.45">
      <c r="A29" s="34" t="s">
        <v>134</v>
      </c>
      <c r="B29" s="35" t="s">
        <v>3</v>
      </c>
      <c r="C29" s="37" t="s">
        <v>3</v>
      </c>
      <c r="D29" s="37" t="s">
        <v>3</v>
      </c>
      <c r="E29" s="37" t="s">
        <v>3</v>
      </c>
      <c r="F29" s="37" t="s">
        <v>3</v>
      </c>
      <c r="G29" s="37" t="s">
        <v>3</v>
      </c>
      <c r="H29" s="37" t="s">
        <v>3</v>
      </c>
      <c r="I29" s="37" t="s">
        <v>3</v>
      </c>
      <c r="J29" s="37" t="s">
        <v>3</v>
      </c>
      <c r="K29" s="37" t="s">
        <v>3</v>
      </c>
      <c r="L29" s="37" t="s">
        <v>3</v>
      </c>
      <c r="M29" s="36">
        <v>4.4000000000000004</v>
      </c>
      <c r="N29" s="36">
        <v>2.11</v>
      </c>
      <c r="O29" s="36">
        <v>5.76</v>
      </c>
      <c r="P29" s="36">
        <v>5.25</v>
      </c>
      <c r="Q29" s="36">
        <v>0.11</v>
      </c>
      <c r="R29" s="36">
        <v>1.65</v>
      </c>
      <c r="S29" s="36">
        <v>-0.17</v>
      </c>
      <c r="T29" s="36">
        <v>3.6</v>
      </c>
      <c r="U29" s="36">
        <v>6.65</v>
      </c>
      <c r="V29" s="36">
        <v>-1.54</v>
      </c>
      <c r="W29" s="36">
        <v>-5.95</v>
      </c>
      <c r="X29" s="36">
        <v>4.76</v>
      </c>
      <c r="Y29" s="36">
        <v>3.89</v>
      </c>
      <c r="Z29" s="36">
        <v>-1.65</v>
      </c>
      <c r="AA29" s="36">
        <v>2.5099999999999998</v>
      </c>
      <c r="AB29" s="36">
        <v>5.96</v>
      </c>
      <c r="AC29" s="36">
        <v>2.76</v>
      </c>
      <c r="AD29" s="36">
        <v>-6.04</v>
      </c>
      <c r="AE29" s="36">
        <v>-4.43</v>
      </c>
    </row>
    <row r="30" spans="1:31" ht="17" x14ac:dyDescent="0.45">
      <c r="A30" s="34" t="s">
        <v>119</v>
      </c>
      <c r="B30" s="35" t="s">
        <v>3</v>
      </c>
      <c r="C30" s="37" t="s">
        <v>3</v>
      </c>
      <c r="D30" s="36">
        <v>2.89</v>
      </c>
      <c r="E30" s="36">
        <v>18.43</v>
      </c>
      <c r="F30" s="36">
        <v>4.5999999999999996</v>
      </c>
      <c r="G30" s="36">
        <v>8.98</v>
      </c>
      <c r="H30" s="36">
        <v>62.06</v>
      </c>
      <c r="I30" s="36">
        <v>18.48</v>
      </c>
      <c r="J30" s="36">
        <v>-5.56</v>
      </c>
      <c r="K30" s="36">
        <v>0.08</v>
      </c>
      <c r="L30" s="36">
        <v>-7.49</v>
      </c>
      <c r="M30" s="36">
        <v>30.92</v>
      </c>
      <c r="N30" s="36">
        <v>16.72</v>
      </c>
      <c r="O30" s="36">
        <v>-15.26</v>
      </c>
      <c r="P30" s="36">
        <v>-0.19</v>
      </c>
      <c r="Q30" s="36">
        <v>-7.64</v>
      </c>
      <c r="R30" s="36">
        <v>0.88</v>
      </c>
      <c r="S30" s="36">
        <v>-8.93</v>
      </c>
      <c r="T30" s="36">
        <v>7.65</v>
      </c>
      <c r="U30" s="36">
        <v>-3.22</v>
      </c>
      <c r="V30" s="36">
        <v>-11.07</v>
      </c>
      <c r="W30" s="36">
        <v>-3.81</v>
      </c>
      <c r="X30" s="36">
        <v>-1.56</v>
      </c>
      <c r="Y30" s="36">
        <v>2.67</v>
      </c>
      <c r="Z30" s="36">
        <v>0.84</v>
      </c>
      <c r="AA30" s="36">
        <v>9.67</v>
      </c>
      <c r="AB30" s="36">
        <v>-1.1399999999999999</v>
      </c>
      <c r="AC30" s="36">
        <v>7.65</v>
      </c>
      <c r="AD30" s="36">
        <v>1.57</v>
      </c>
      <c r="AE30" s="36">
        <v>-1.2</v>
      </c>
    </row>
    <row r="31" spans="1:31" ht="17" x14ac:dyDescent="0.45">
      <c r="A31" s="34" t="s">
        <v>120</v>
      </c>
      <c r="B31" s="35" t="s">
        <v>3</v>
      </c>
      <c r="C31" s="37" t="s">
        <v>3</v>
      </c>
      <c r="D31" s="36">
        <v>18.68</v>
      </c>
      <c r="E31" s="36">
        <v>4.7699999999999996</v>
      </c>
      <c r="F31" s="36">
        <v>0.79</v>
      </c>
      <c r="G31" s="36">
        <v>8.58</v>
      </c>
      <c r="H31" s="36">
        <v>-2.61</v>
      </c>
      <c r="I31" s="36">
        <v>5.37</v>
      </c>
      <c r="J31" s="36">
        <v>22.14</v>
      </c>
      <c r="K31" s="36">
        <v>16.350000000000001</v>
      </c>
      <c r="L31" s="36">
        <v>-15.09</v>
      </c>
      <c r="M31" s="36">
        <v>-5.15</v>
      </c>
      <c r="N31" s="36">
        <v>15.94</v>
      </c>
      <c r="O31" s="36">
        <v>2.5099999999999998</v>
      </c>
      <c r="P31" s="36">
        <v>-11.77</v>
      </c>
      <c r="Q31" s="36">
        <v>6.31</v>
      </c>
      <c r="R31" s="36">
        <v>5.78</v>
      </c>
      <c r="S31" s="36">
        <v>-17.64</v>
      </c>
      <c r="T31" s="36">
        <v>-7.48</v>
      </c>
      <c r="U31" s="36">
        <v>22.15</v>
      </c>
      <c r="V31" s="36">
        <v>6.14</v>
      </c>
      <c r="W31" s="36">
        <v>-6.15</v>
      </c>
      <c r="X31" s="36">
        <v>-0.04</v>
      </c>
      <c r="Y31" s="36">
        <v>9.7200000000000006</v>
      </c>
      <c r="Z31" s="36">
        <v>-6.24</v>
      </c>
      <c r="AA31" s="36">
        <v>-2.44</v>
      </c>
      <c r="AB31" s="36">
        <v>1.45</v>
      </c>
      <c r="AC31" s="36">
        <v>-15.01</v>
      </c>
      <c r="AD31" s="36">
        <v>-1.85</v>
      </c>
      <c r="AE31" s="36">
        <v>6.86</v>
      </c>
    </row>
    <row r="32" spans="1:31" ht="17" x14ac:dyDescent="0.45">
      <c r="A32" s="34" t="s">
        <v>121</v>
      </c>
      <c r="B32" s="35" t="s">
        <v>3</v>
      </c>
      <c r="C32" s="37" t="s">
        <v>3</v>
      </c>
      <c r="D32" s="36">
        <v>-6.77</v>
      </c>
      <c r="E32" s="36">
        <v>-3.69</v>
      </c>
      <c r="F32" s="36">
        <v>9.43</v>
      </c>
      <c r="G32" s="36">
        <v>16.649999999999999</v>
      </c>
      <c r="H32" s="36">
        <v>-8.81</v>
      </c>
      <c r="I32" s="36">
        <v>-0.73</v>
      </c>
      <c r="J32" s="36">
        <v>-2.4700000000000002</v>
      </c>
      <c r="K32" s="36">
        <v>10.71</v>
      </c>
      <c r="L32" s="36">
        <v>1.34</v>
      </c>
      <c r="M32" s="36">
        <v>-2.2000000000000002</v>
      </c>
      <c r="N32" s="36">
        <v>5.94</v>
      </c>
      <c r="O32" s="36">
        <v>8.75</v>
      </c>
      <c r="P32" s="36">
        <v>2.36</v>
      </c>
      <c r="Q32" s="36">
        <v>14.45</v>
      </c>
      <c r="R32" s="36">
        <v>8.51</v>
      </c>
      <c r="S32" s="36">
        <v>0.33</v>
      </c>
      <c r="T32" s="36">
        <v>8.51</v>
      </c>
      <c r="U32" s="36">
        <v>-9.56</v>
      </c>
      <c r="V32" s="36">
        <v>-1.42</v>
      </c>
      <c r="W32" s="36">
        <v>2.2599999999999998</v>
      </c>
      <c r="X32" s="36">
        <v>0.9</v>
      </c>
      <c r="Y32" s="36">
        <v>-0.65</v>
      </c>
      <c r="Z32" s="36">
        <v>-6.33</v>
      </c>
      <c r="AA32" s="36">
        <v>-12.1</v>
      </c>
      <c r="AB32" s="36">
        <v>-12.12</v>
      </c>
      <c r="AC32" s="36">
        <v>11.61</v>
      </c>
      <c r="AD32" s="36">
        <v>21.2</v>
      </c>
      <c r="AE32" s="36">
        <v>6.42</v>
      </c>
    </row>
    <row r="33" spans="1:31" ht="17" x14ac:dyDescent="0.45">
      <c r="A33" s="34" t="s">
        <v>122</v>
      </c>
      <c r="B33" s="35" t="s">
        <v>3</v>
      </c>
      <c r="C33" s="37" t="s">
        <v>3</v>
      </c>
      <c r="D33" s="37" t="s">
        <v>3</v>
      </c>
      <c r="E33" s="37" t="s">
        <v>3</v>
      </c>
      <c r="F33" s="37" t="s">
        <v>3</v>
      </c>
      <c r="G33" s="37" t="s">
        <v>3</v>
      </c>
      <c r="H33" s="37" t="s">
        <v>3</v>
      </c>
      <c r="I33" s="37" t="s">
        <v>3</v>
      </c>
      <c r="J33" s="37" t="s">
        <v>3</v>
      </c>
      <c r="K33" s="37" t="s">
        <v>3</v>
      </c>
      <c r="L33" s="37" t="s">
        <v>3</v>
      </c>
      <c r="M33" s="37" t="s">
        <v>3</v>
      </c>
      <c r="N33" s="36">
        <v>-8.5500000000000007</v>
      </c>
      <c r="O33" s="36">
        <v>31.27</v>
      </c>
      <c r="P33" s="36">
        <v>6.77</v>
      </c>
      <c r="Q33" s="36">
        <v>-3.98</v>
      </c>
      <c r="R33" s="36">
        <v>5.38</v>
      </c>
      <c r="S33" s="36">
        <v>-1.48</v>
      </c>
      <c r="T33" s="36">
        <v>6.15</v>
      </c>
      <c r="U33" s="36">
        <v>-2.97</v>
      </c>
      <c r="V33" s="36">
        <v>18.96</v>
      </c>
      <c r="W33" s="36">
        <v>15.78</v>
      </c>
      <c r="X33" s="36">
        <v>5.14</v>
      </c>
      <c r="Y33" s="36">
        <v>10.4</v>
      </c>
      <c r="Z33" s="36">
        <v>3.29</v>
      </c>
      <c r="AA33" s="36">
        <v>4.96</v>
      </c>
      <c r="AB33" s="36">
        <v>-9.86</v>
      </c>
      <c r="AC33" s="36">
        <v>-2</v>
      </c>
      <c r="AD33" s="36">
        <v>6.52</v>
      </c>
      <c r="AE33" s="36">
        <v>7.98</v>
      </c>
    </row>
    <row r="34" spans="1:31" ht="17" x14ac:dyDescent="0.45">
      <c r="A34" s="34" t="s">
        <v>123</v>
      </c>
      <c r="B34" s="35" t="s">
        <v>3</v>
      </c>
      <c r="C34" s="37" t="s">
        <v>3</v>
      </c>
      <c r="D34" s="36">
        <v>-3.85</v>
      </c>
      <c r="E34" s="36">
        <v>5.2</v>
      </c>
      <c r="F34" s="36">
        <v>4.91</v>
      </c>
      <c r="G34" s="36">
        <v>8.49</v>
      </c>
      <c r="H34" s="36">
        <v>7.13</v>
      </c>
      <c r="I34" s="36">
        <v>3.42</v>
      </c>
      <c r="J34" s="36">
        <v>11.46</v>
      </c>
      <c r="K34" s="36">
        <v>9.0299999999999994</v>
      </c>
      <c r="L34" s="36">
        <v>2.36</v>
      </c>
      <c r="M34" s="36">
        <v>1.4</v>
      </c>
      <c r="N34" s="36">
        <v>3.59</v>
      </c>
      <c r="O34" s="36">
        <v>4.32</v>
      </c>
      <c r="P34" s="36">
        <v>-0.39</v>
      </c>
      <c r="Q34" s="36">
        <v>-1.26</v>
      </c>
      <c r="R34" s="36">
        <v>3.22</v>
      </c>
      <c r="S34" s="36">
        <v>0.38</v>
      </c>
      <c r="T34" s="36">
        <v>-0.56000000000000005</v>
      </c>
      <c r="U34" s="36">
        <v>3.34</v>
      </c>
      <c r="V34" s="36">
        <v>1.05</v>
      </c>
      <c r="W34" s="36">
        <v>0.94</v>
      </c>
      <c r="X34" s="36">
        <v>0.98</v>
      </c>
      <c r="Y34" s="36">
        <v>0.17</v>
      </c>
      <c r="Z34" s="36">
        <v>-0.64</v>
      </c>
      <c r="AA34" s="36">
        <v>0.86</v>
      </c>
      <c r="AB34" s="36">
        <v>1.63</v>
      </c>
      <c r="AC34" s="36">
        <v>0.52</v>
      </c>
      <c r="AD34" s="36">
        <v>7.35</v>
      </c>
      <c r="AE34" s="36">
        <v>-2.31</v>
      </c>
    </row>
    <row r="35" spans="1:31" ht="17" x14ac:dyDescent="0.45">
      <c r="A35" s="34" t="s">
        <v>124</v>
      </c>
      <c r="B35" s="35" t="s">
        <v>3</v>
      </c>
      <c r="C35" s="37" t="s">
        <v>3</v>
      </c>
      <c r="D35" s="37" t="s">
        <v>3</v>
      </c>
      <c r="E35" s="37" t="s">
        <v>3</v>
      </c>
      <c r="F35" s="37" t="s">
        <v>3</v>
      </c>
      <c r="G35" s="37" t="s">
        <v>3</v>
      </c>
      <c r="H35" s="37" t="s">
        <v>3</v>
      </c>
      <c r="I35" s="37" t="s">
        <v>3</v>
      </c>
      <c r="J35" s="37" t="s">
        <v>3</v>
      </c>
      <c r="K35" s="37" t="s">
        <v>3</v>
      </c>
      <c r="L35" s="37" t="s">
        <v>3</v>
      </c>
      <c r="M35" s="37" t="s">
        <v>3</v>
      </c>
      <c r="N35" s="37" t="s">
        <v>3</v>
      </c>
      <c r="O35" s="37" t="s">
        <v>3</v>
      </c>
      <c r="P35" s="37" t="s">
        <v>3</v>
      </c>
      <c r="Q35" s="37" t="s">
        <v>3</v>
      </c>
      <c r="R35" s="36">
        <v>2.31</v>
      </c>
      <c r="S35" s="36">
        <v>-0.81</v>
      </c>
      <c r="T35" s="36">
        <v>-0.8</v>
      </c>
      <c r="U35" s="36">
        <v>8.25</v>
      </c>
      <c r="V35" s="36">
        <v>1.18</v>
      </c>
      <c r="W35" s="36">
        <v>3.74</v>
      </c>
      <c r="X35" s="36">
        <v>-2.41</v>
      </c>
      <c r="Y35" s="36">
        <v>-0.2</v>
      </c>
      <c r="Z35" s="36">
        <v>0.94</v>
      </c>
      <c r="AA35" s="36">
        <v>8.7200000000000006</v>
      </c>
      <c r="AB35" s="36">
        <v>11.09</v>
      </c>
      <c r="AC35" s="36">
        <v>7.99</v>
      </c>
      <c r="AD35" s="36">
        <v>-2.5499999999999998</v>
      </c>
      <c r="AE35" s="37" t="s">
        <v>3</v>
      </c>
    </row>
    <row r="36" spans="1:31" ht="17" x14ac:dyDescent="0.45">
      <c r="A36" s="34" t="s">
        <v>125</v>
      </c>
      <c r="B36" s="35" t="s">
        <v>3</v>
      </c>
      <c r="C36" s="36">
        <v>1.02</v>
      </c>
      <c r="D36" s="36">
        <v>3.8</v>
      </c>
      <c r="E36" s="36">
        <v>3.87</v>
      </c>
      <c r="F36" s="36">
        <v>10.06</v>
      </c>
      <c r="G36" s="36">
        <v>10.64</v>
      </c>
      <c r="H36" s="36">
        <v>-2.02</v>
      </c>
      <c r="I36" s="36">
        <v>2.09</v>
      </c>
      <c r="J36" s="36">
        <v>3.64</v>
      </c>
      <c r="K36" s="36">
        <v>14.78</v>
      </c>
      <c r="L36" s="36">
        <v>14.96</v>
      </c>
      <c r="M36" s="36">
        <v>5.79</v>
      </c>
      <c r="N36" s="36">
        <v>2.86</v>
      </c>
      <c r="O36" s="36">
        <v>9.1999999999999993</v>
      </c>
      <c r="P36" s="36">
        <v>5.05</v>
      </c>
      <c r="Q36" s="36">
        <v>1.17</v>
      </c>
      <c r="R36" s="36">
        <v>9.8800000000000008</v>
      </c>
      <c r="S36" s="36">
        <v>0.46</v>
      </c>
      <c r="T36" s="36">
        <v>1.92</v>
      </c>
      <c r="U36" s="36">
        <v>1.95</v>
      </c>
      <c r="V36" s="36">
        <v>-0.84</v>
      </c>
      <c r="W36" s="36">
        <v>2.2000000000000002</v>
      </c>
      <c r="X36" s="36">
        <v>2.17</v>
      </c>
      <c r="Y36" s="36">
        <v>1.77</v>
      </c>
      <c r="Z36" s="36">
        <v>4.8</v>
      </c>
      <c r="AA36" s="36">
        <v>0.47</v>
      </c>
      <c r="AB36" s="36">
        <v>1.29</v>
      </c>
      <c r="AC36" s="36">
        <v>-1.49</v>
      </c>
      <c r="AD36" s="36">
        <v>-1.56</v>
      </c>
      <c r="AE36" s="36">
        <v>-0.61</v>
      </c>
    </row>
    <row r="37" spans="1:31" ht="17" x14ac:dyDescent="0.45">
      <c r="A37" s="34" t="s">
        <v>126</v>
      </c>
      <c r="B37" s="35" t="s">
        <v>3</v>
      </c>
      <c r="C37" s="37" t="s">
        <v>3</v>
      </c>
      <c r="D37" s="36">
        <v>4.78</v>
      </c>
      <c r="E37" s="36">
        <v>4.25</v>
      </c>
      <c r="F37" s="36">
        <v>9.0299999999999994</v>
      </c>
      <c r="G37" s="36">
        <v>9.7200000000000006</v>
      </c>
      <c r="H37" s="36">
        <v>17.399999999999999</v>
      </c>
      <c r="I37" s="36">
        <v>6.55</v>
      </c>
      <c r="J37" s="36">
        <v>12.77</v>
      </c>
      <c r="K37" s="36">
        <v>1.2</v>
      </c>
      <c r="L37" s="36">
        <v>8.85</v>
      </c>
      <c r="M37" s="36">
        <v>-2.37</v>
      </c>
      <c r="N37" s="36">
        <v>-10.19</v>
      </c>
      <c r="O37" s="36">
        <v>-4.29</v>
      </c>
      <c r="P37" s="36">
        <v>4.05</v>
      </c>
      <c r="Q37" s="36">
        <v>-2.83</v>
      </c>
      <c r="R37" s="36">
        <v>-5.0999999999999996</v>
      </c>
      <c r="S37" s="36">
        <v>6.53</v>
      </c>
      <c r="T37" s="36">
        <v>8.14</v>
      </c>
      <c r="U37" s="36">
        <v>-3.5</v>
      </c>
      <c r="V37" s="36">
        <v>0.99</v>
      </c>
      <c r="W37" s="36">
        <v>5.51</v>
      </c>
      <c r="X37" s="36">
        <v>15.82</v>
      </c>
      <c r="Y37" s="36">
        <v>4.37</v>
      </c>
      <c r="Z37" s="36">
        <v>-1.1599999999999999</v>
      </c>
      <c r="AA37" s="36">
        <v>-3.82</v>
      </c>
      <c r="AB37" s="36">
        <v>3.87</v>
      </c>
      <c r="AC37" s="36">
        <v>16.12</v>
      </c>
      <c r="AD37" s="36">
        <v>1.44</v>
      </c>
      <c r="AE37" s="36">
        <v>-14.35</v>
      </c>
    </row>
    <row r="38" spans="1:31" ht="17" x14ac:dyDescent="0.45">
      <c r="A38" s="34" t="s">
        <v>127</v>
      </c>
      <c r="B38" s="35" t="s">
        <v>3</v>
      </c>
      <c r="C38" s="37" t="s">
        <v>3</v>
      </c>
      <c r="D38" s="36">
        <v>-2.46</v>
      </c>
      <c r="E38" s="36">
        <v>-0.64</v>
      </c>
      <c r="F38" s="36">
        <v>0.92</v>
      </c>
      <c r="G38" s="36">
        <v>5.0599999999999996</v>
      </c>
      <c r="H38" s="36">
        <v>3.39</v>
      </c>
      <c r="I38" s="36">
        <v>10.3</v>
      </c>
      <c r="J38" s="36">
        <v>2.34</v>
      </c>
      <c r="K38" s="36">
        <v>1.42</v>
      </c>
      <c r="L38" s="36">
        <v>1.72</v>
      </c>
      <c r="M38" s="36">
        <v>0.23</v>
      </c>
      <c r="N38" s="36">
        <v>2.52</v>
      </c>
      <c r="O38" s="36">
        <v>1.27</v>
      </c>
      <c r="P38" s="36">
        <v>-1.28</v>
      </c>
      <c r="Q38" s="36">
        <v>-2.78</v>
      </c>
      <c r="R38" s="36">
        <v>-5.0199999999999996</v>
      </c>
      <c r="S38" s="36">
        <v>3.81</v>
      </c>
      <c r="T38" s="36">
        <v>-5.21</v>
      </c>
      <c r="U38" s="36">
        <v>-3.11</v>
      </c>
      <c r="V38" s="36">
        <v>-5.88</v>
      </c>
      <c r="W38" s="36">
        <v>-6.3</v>
      </c>
      <c r="X38" s="36">
        <v>-0.01</v>
      </c>
      <c r="Y38" s="36">
        <v>-3.56</v>
      </c>
      <c r="Z38" s="36">
        <v>-1.69</v>
      </c>
      <c r="AA38" s="36">
        <v>-1.04</v>
      </c>
      <c r="AB38" s="36">
        <v>2.63</v>
      </c>
      <c r="AC38" s="36">
        <v>-3.61</v>
      </c>
      <c r="AD38" s="36">
        <v>1.33</v>
      </c>
      <c r="AE38" s="36">
        <v>-0.32</v>
      </c>
    </row>
    <row r="39" spans="1:31" ht="17" x14ac:dyDescent="0.45">
      <c r="A39" s="34" t="s">
        <v>128</v>
      </c>
      <c r="B39" s="35" t="s">
        <v>3</v>
      </c>
      <c r="C39" s="37" t="s">
        <v>3</v>
      </c>
      <c r="D39" s="36">
        <v>29.71</v>
      </c>
      <c r="E39" s="36">
        <v>3.11</v>
      </c>
      <c r="F39" s="36">
        <v>-10.25</v>
      </c>
      <c r="G39" s="36">
        <v>12.14</v>
      </c>
      <c r="H39" s="36">
        <v>-19.440000000000001</v>
      </c>
      <c r="I39" s="36">
        <v>5.66</v>
      </c>
      <c r="J39" s="36">
        <v>18.2</v>
      </c>
      <c r="K39" s="36">
        <v>2.33</v>
      </c>
      <c r="L39" s="36">
        <v>3.24</v>
      </c>
      <c r="M39" s="36">
        <v>2.75</v>
      </c>
      <c r="N39" s="36">
        <v>3.06</v>
      </c>
      <c r="O39" s="36">
        <v>7.42</v>
      </c>
      <c r="P39" s="36">
        <v>-4.57</v>
      </c>
      <c r="Q39" s="36">
        <v>4.07</v>
      </c>
      <c r="R39" s="36">
        <v>13.61</v>
      </c>
      <c r="S39" s="36">
        <v>-10.08</v>
      </c>
      <c r="T39" s="36">
        <v>18.09</v>
      </c>
      <c r="U39" s="36">
        <v>-7.67</v>
      </c>
      <c r="V39" s="36">
        <v>-9.9499999999999993</v>
      </c>
      <c r="W39" s="36">
        <v>2.98</v>
      </c>
      <c r="X39" s="36">
        <v>4.96</v>
      </c>
      <c r="Y39" s="36">
        <v>-1.62</v>
      </c>
      <c r="Z39" s="36">
        <v>-5.21</v>
      </c>
      <c r="AA39" s="36">
        <v>-0.96</v>
      </c>
      <c r="AB39" s="36">
        <v>-5.0199999999999996</v>
      </c>
      <c r="AC39" s="36">
        <v>-0.37</v>
      </c>
      <c r="AD39" s="36">
        <v>3.57</v>
      </c>
      <c r="AE39" s="36">
        <v>-4.75</v>
      </c>
    </row>
    <row r="40" spans="1:31" ht="17" x14ac:dyDescent="0.45">
      <c r="A40" s="34" t="s">
        <v>129</v>
      </c>
      <c r="B40" s="35" t="s">
        <v>3</v>
      </c>
      <c r="C40" s="37" t="s">
        <v>3</v>
      </c>
      <c r="D40" s="36">
        <v>1.38</v>
      </c>
      <c r="E40" s="36">
        <v>12.29</v>
      </c>
      <c r="F40" s="36">
        <v>10.95</v>
      </c>
      <c r="G40" s="36">
        <v>2</v>
      </c>
      <c r="H40" s="36">
        <v>-1.3</v>
      </c>
      <c r="I40" s="36">
        <v>1.95</v>
      </c>
      <c r="J40" s="36">
        <v>-6.41</v>
      </c>
      <c r="K40" s="36">
        <v>9.4499999999999993</v>
      </c>
      <c r="L40" s="36">
        <v>8.1</v>
      </c>
      <c r="M40" s="36">
        <v>6.74</v>
      </c>
      <c r="N40" s="36">
        <v>2.2999999999999998</v>
      </c>
      <c r="O40" s="36">
        <v>1.85</v>
      </c>
      <c r="P40" s="36">
        <v>5.16</v>
      </c>
      <c r="Q40" s="36">
        <v>-8.44</v>
      </c>
      <c r="R40" s="36">
        <v>-0.76</v>
      </c>
      <c r="S40" s="36">
        <v>-0.28000000000000003</v>
      </c>
      <c r="T40" s="36">
        <v>-2.41</v>
      </c>
      <c r="U40" s="36">
        <v>-1.1499999999999999</v>
      </c>
      <c r="V40" s="36">
        <v>1.94</v>
      </c>
      <c r="W40" s="36">
        <v>-1.1599999999999999</v>
      </c>
      <c r="X40" s="36">
        <v>-4.4400000000000004</v>
      </c>
      <c r="Y40" s="36">
        <v>1.65</v>
      </c>
      <c r="Z40" s="36">
        <v>0.89</v>
      </c>
      <c r="AA40" s="36">
        <v>7.16</v>
      </c>
      <c r="AB40" s="36">
        <v>-0.19</v>
      </c>
      <c r="AC40" s="36">
        <v>8.94</v>
      </c>
      <c r="AD40" s="36">
        <v>3.98</v>
      </c>
      <c r="AE40" s="36">
        <v>0.7</v>
      </c>
    </row>
    <row r="41" spans="1:31" ht="17" x14ac:dyDescent="0.45">
      <c r="A41" s="34" t="s">
        <v>130</v>
      </c>
      <c r="B41" s="35" t="s">
        <v>3</v>
      </c>
      <c r="C41" s="37" t="s">
        <v>3</v>
      </c>
      <c r="D41" s="36">
        <v>-0.83</v>
      </c>
      <c r="E41" s="36">
        <v>-1.08</v>
      </c>
      <c r="F41" s="36">
        <v>-4.43</v>
      </c>
      <c r="G41" s="36">
        <v>-4.49</v>
      </c>
      <c r="H41" s="36">
        <v>4.88</v>
      </c>
      <c r="I41" s="36">
        <v>4.83</v>
      </c>
      <c r="J41" s="36">
        <v>1.63</v>
      </c>
      <c r="K41" s="36">
        <v>3.91</v>
      </c>
      <c r="L41" s="36">
        <v>-1.1200000000000001</v>
      </c>
      <c r="M41" s="36">
        <v>0.16</v>
      </c>
      <c r="N41" s="36">
        <v>-3.02</v>
      </c>
      <c r="O41" s="36">
        <v>4.59</v>
      </c>
      <c r="P41" s="36">
        <v>-0.91</v>
      </c>
      <c r="Q41" s="36">
        <v>1.54</v>
      </c>
      <c r="R41" s="36">
        <v>4.97</v>
      </c>
      <c r="S41" s="36">
        <v>-2.02</v>
      </c>
      <c r="T41" s="36">
        <v>5.78</v>
      </c>
      <c r="U41" s="36">
        <v>5.67</v>
      </c>
      <c r="V41" s="36">
        <v>6.37</v>
      </c>
      <c r="W41" s="36">
        <v>1.38</v>
      </c>
      <c r="X41" s="36">
        <v>-0.14000000000000001</v>
      </c>
      <c r="Y41" s="36">
        <v>0.87</v>
      </c>
      <c r="Z41" s="36">
        <v>0.23</v>
      </c>
      <c r="AA41" s="36">
        <v>1.6</v>
      </c>
      <c r="AB41" s="36">
        <v>-5.86</v>
      </c>
      <c r="AC41" s="36">
        <v>0.52</v>
      </c>
      <c r="AD41" s="36">
        <v>2.5299999999999998</v>
      </c>
      <c r="AE41" s="36">
        <v>0.61</v>
      </c>
    </row>
    <row r="42" spans="1:31" ht="17" x14ac:dyDescent="0.45">
      <c r="A42" s="34" t="s">
        <v>131</v>
      </c>
      <c r="B42" s="35" t="s">
        <v>3</v>
      </c>
      <c r="C42" s="36">
        <v>3.65</v>
      </c>
      <c r="D42" s="36">
        <v>0.43</v>
      </c>
      <c r="E42" s="36">
        <v>11.79</v>
      </c>
      <c r="F42" s="36">
        <v>0.12</v>
      </c>
      <c r="G42" s="36">
        <v>7.0000000000000007E-2</v>
      </c>
      <c r="H42" s="36">
        <v>-4.55</v>
      </c>
      <c r="I42" s="36">
        <v>0.01</v>
      </c>
      <c r="J42" s="36">
        <v>4.1900000000000004</v>
      </c>
      <c r="K42" s="36">
        <v>2.5099999999999998</v>
      </c>
      <c r="L42" s="36">
        <v>27.09</v>
      </c>
      <c r="M42" s="36">
        <v>6.78</v>
      </c>
      <c r="N42" s="36">
        <v>9.81</v>
      </c>
      <c r="O42" s="36">
        <v>1.39</v>
      </c>
      <c r="P42" s="36">
        <v>-0.77</v>
      </c>
      <c r="Q42" s="36">
        <v>5.9</v>
      </c>
      <c r="R42" s="36">
        <v>12.99</v>
      </c>
      <c r="S42" s="36">
        <v>4.47</v>
      </c>
      <c r="T42" s="36">
        <v>-0.18</v>
      </c>
      <c r="U42" s="36">
        <v>4.9400000000000004</v>
      </c>
      <c r="V42" s="36">
        <v>4.24</v>
      </c>
      <c r="W42" s="36">
        <v>11.22</v>
      </c>
      <c r="X42" s="36">
        <v>-2.64</v>
      </c>
      <c r="Y42" s="36">
        <v>-8.9</v>
      </c>
      <c r="Z42" s="36">
        <v>13.84</v>
      </c>
      <c r="AA42" s="36">
        <v>8.61</v>
      </c>
      <c r="AB42" s="36">
        <v>6.17</v>
      </c>
      <c r="AC42" s="36">
        <v>6.91</v>
      </c>
      <c r="AD42" s="36">
        <v>-9.68</v>
      </c>
      <c r="AE42" s="36">
        <v>-0.19</v>
      </c>
    </row>
    <row r="43" spans="1:31" ht="17" x14ac:dyDescent="0.45">
      <c r="A43" s="34" t="s">
        <v>133</v>
      </c>
      <c r="B43" s="35" t="s">
        <v>3</v>
      </c>
      <c r="C43" s="37" t="s">
        <v>3</v>
      </c>
      <c r="D43" s="36">
        <v>-3.64</v>
      </c>
      <c r="E43" s="36">
        <v>-3.6</v>
      </c>
      <c r="F43" s="36">
        <v>2.54</v>
      </c>
      <c r="G43" s="36">
        <v>-2.61</v>
      </c>
      <c r="H43" s="36">
        <v>4.8</v>
      </c>
      <c r="I43" s="36">
        <v>0.65</v>
      </c>
      <c r="J43" s="36">
        <v>3.91</v>
      </c>
      <c r="K43" s="36">
        <v>-1.9</v>
      </c>
      <c r="L43" s="36">
        <v>3.38</v>
      </c>
      <c r="M43" s="36">
        <v>3.37</v>
      </c>
      <c r="N43" s="36">
        <v>0.87</v>
      </c>
      <c r="O43" s="36">
        <v>-0.43</v>
      </c>
      <c r="P43" s="36">
        <v>3.36</v>
      </c>
      <c r="Q43" s="36">
        <v>1.94</v>
      </c>
      <c r="R43" s="36">
        <v>3.66</v>
      </c>
      <c r="S43" s="36">
        <v>-5.43</v>
      </c>
      <c r="T43" s="36">
        <v>-1.19</v>
      </c>
      <c r="U43" s="36">
        <v>-2.0499999999999998</v>
      </c>
      <c r="V43" s="36">
        <v>-1.65</v>
      </c>
      <c r="W43" s="36">
        <v>0.87</v>
      </c>
      <c r="X43" s="36">
        <v>1.17</v>
      </c>
      <c r="Y43" s="36">
        <v>0.42</v>
      </c>
      <c r="Z43" s="36">
        <v>0.56999999999999995</v>
      </c>
      <c r="AA43" s="36">
        <v>-1.58</v>
      </c>
      <c r="AB43" s="36">
        <v>0.75</v>
      </c>
      <c r="AC43" s="36">
        <v>2.12</v>
      </c>
      <c r="AD43" s="36">
        <v>-1.6</v>
      </c>
      <c r="AE43" s="36">
        <v>-0.35</v>
      </c>
    </row>
    <row r="44" spans="1:31" ht="17" x14ac:dyDescent="0.45">
      <c r="A44" s="34" t="s">
        <v>132</v>
      </c>
      <c r="B44" s="35" t="s">
        <v>3</v>
      </c>
      <c r="C44" s="36">
        <v>2.19</v>
      </c>
      <c r="D44" s="36">
        <v>0.08</v>
      </c>
      <c r="E44" s="36">
        <v>-2.36</v>
      </c>
      <c r="F44" s="36">
        <v>21.98</v>
      </c>
      <c r="G44" s="36">
        <v>17.05</v>
      </c>
      <c r="H44" s="36">
        <v>26.66</v>
      </c>
      <c r="I44" s="36">
        <v>8.74</v>
      </c>
      <c r="J44" s="36">
        <v>10.89</v>
      </c>
      <c r="K44" s="36">
        <v>16.47</v>
      </c>
      <c r="L44" s="36">
        <v>12.4</v>
      </c>
      <c r="M44" s="36">
        <v>7.69</v>
      </c>
      <c r="N44" s="36">
        <v>4.22</v>
      </c>
      <c r="O44" s="36">
        <v>10.85</v>
      </c>
      <c r="P44" s="36">
        <v>5.94</v>
      </c>
      <c r="Q44" s="36">
        <v>4.4400000000000004</v>
      </c>
      <c r="R44" s="36">
        <v>6.64</v>
      </c>
      <c r="S44" s="36">
        <v>6.56</v>
      </c>
      <c r="T44" s="36">
        <v>4.63</v>
      </c>
      <c r="U44" s="36">
        <v>2.65</v>
      </c>
      <c r="V44" s="36">
        <v>6.76</v>
      </c>
      <c r="W44" s="36">
        <v>7.3</v>
      </c>
      <c r="X44" s="36">
        <v>10.41</v>
      </c>
      <c r="Y44" s="36">
        <v>-0.85</v>
      </c>
      <c r="Z44" s="36">
        <v>10.42</v>
      </c>
      <c r="AA44" s="36">
        <v>8.0399999999999991</v>
      </c>
      <c r="AB44" s="36">
        <v>2.88</v>
      </c>
      <c r="AC44" s="36">
        <v>8.5500000000000007</v>
      </c>
      <c r="AD44" s="36">
        <v>0.65</v>
      </c>
      <c r="AE44" s="36">
        <v>-3.41</v>
      </c>
    </row>
    <row r="45" spans="1:31" ht="17" x14ac:dyDescent="0.45">
      <c r="A45" s="34" t="s">
        <v>175</v>
      </c>
      <c r="B45" s="35" t="s">
        <v>3</v>
      </c>
      <c r="C45" s="37" t="s">
        <v>3</v>
      </c>
      <c r="D45" s="37" t="s">
        <v>3</v>
      </c>
      <c r="E45" s="37" t="s">
        <v>3</v>
      </c>
      <c r="F45" s="37" t="s">
        <v>3</v>
      </c>
      <c r="G45" s="37" t="s">
        <v>3</v>
      </c>
      <c r="H45" s="37" t="s">
        <v>3</v>
      </c>
      <c r="I45" s="37" t="s">
        <v>3</v>
      </c>
      <c r="J45" s="37" t="s">
        <v>3</v>
      </c>
      <c r="K45" s="37" t="s">
        <v>3</v>
      </c>
      <c r="L45" s="37" t="s">
        <v>3</v>
      </c>
      <c r="M45" s="37" t="s">
        <v>3</v>
      </c>
      <c r="N45" s="37" t="s">
        <v>3</v>
      </c>
      <c r="O45" s="37" t="s">
        <v>3</v>
      </c>
      <c r="P45" s="37" t="s">
        <v>3</v>
      </c>
      <c r="Q45" s="37" t="s">
        <v>3</v>
      </c>
      <c r="R45" s="37" t="s">
        <v>3</v>
      </c>
      <c r="S45" s="37" t="s">
        <v>3</v>
      </c>
      <c r="T45" s="37" t="s">
        <v>3</v>
      </c>
      <c r="U45" s="37" t="s">
        <v>3</v>
      </c>
      <c r="V45" s="37" t="s">
        <v>3</v>
      </c>
      <c r="W45" s="37" t="s">
        <v>3</v>
      </c>
      <c r="X45" s="37" t="s">
        <v>3</v>
      </c>
      <c r="Y45" s="37" t="s">
        <v>3</v>
      </c>
      <c r="Z45" s="37" t="s">
        <v>3</v>
      </c>
      <c r="AA45" s="37" t="s">
        <v>3</v>
      </c>
      <c r="AB45" s="37" t="s">
        <v>3</v>
      </c>
      <c r="AC45" s="37" t="s">
        <v>3</v>
      </c>
      <c r="AD45" s="37" t="s">
        <v>3</v>
      </c>
      <c r="AE45" s="37" t="s">
        <v>3</v>
      </c>
    </row>
    <row r="46" spans="1:31" ht="17" x14ac:dyDescent="0.45">
      <c r="A46" s="34" t="s">
        <v>176</v>
      </c>
      <c r="B46" s="35" t="s">
        <v>3</v>
      </c>
      <c r="C46" s="37" t="s">
        <v>3</v>
      </c>
      <c r="D46" s="37" t="s">
        <v>3</v>
      </c>
      <c r="E46" s="37" t="s">
        <v>3</v>
      </c>
      <c r="F46" s="37" t="s">
        <v>3</v>
      </c>
      <c r="G46" s="37" t="s">
        <v>3</v>
      </c>
      <c r="H46" s="37" t="s">
        <v>3</v>
      </c>
      <c r="I46" s="36">
        <v>7.05</v>
      </c>
      <c r="J46" s="36">
        <v>0.74</v>
      </c>
      <c r="K46" s="36">
        <v>-4.99</v>
      </c>
      <c r="L46" s="36">
        <v>0.71</v>
      </c>
      <c r="M46" s="36">
        <v>-1.95</v>
      </c>
      <c r="N46" s="36">
        <v>-7.56</v>
      </c>
      <c r="O46" s="36">
        <v>2.85</v>
      </c>
      <c r="P46" s="36">
        <v>4.95</v>
      </c>
      <c r="Q46" s="36">
        <v>0.82</v>
      </c>
      <c r="R46" s="36">
        <v>2.04</v>
      </c>
      <c r="S46" s="36">
        <v>-0.56999999999999995</v>
      </c>
      <c r="T46" s="36">
        <v>2.31</v>
      </c>
      <c r="U46" s="36">
        <v>3.19</v>
      </c>
      <c r="V46" s="36">
        <v>-1.85</v>
      </c>
      <c r="W46" s="36">
        <v>2.42</v>
      </c>
      <c r="X46" s="36">
        <v>1</v>
      </c>
      <c r="Y46" s="36">
        <v>2.4900000000000002</v>
      </c>
      <c r="Z46" s="36">
        <v>0.99</v>
      </c>
      <c r="AA46" s="36">
        <v>-2.11</v>
      </c>
      <c r="AB46" s="36">
        <v>1.3</v>
      </c>
      <c r="AC46" s="36">
        <v>2.1800000000000002</v>
      </c>
      <c r="AD46" s="37" t="s">
        <v>3</v>
      </c>
      <c r="AE46" s="37" t="s">
        <v>3</v>
      </c>
    </row>
    <row r="47" spans="1:31" ht="17" x14ac:dyDescent="0.45">
      <c r="A47" s="34" t="s">
        <v>177</v>
      </c>
      <c r="B47" s="35" t="s">
        <v>3</v>
      </c>
      <c r="C47" s="37" t="s">
        <v>3</v>
      </c>
      <c r="D47" s="36">
        <v>-0.59</v>
      </c>
      <c r="E47" s="36">
        <v>-6.48</v>
      </c>
      <c r="F47" s="36">
        <v>26.69</v>
      </c>
      <c r="G47" s="36">
        <v>4.79</v>
      </c>
      <c r="H47" s="36">
        <v>14.14</v>
      </c>
      <c r="I47" s="36">
        <v>18.16</v>
      </c>
      <c r="J47" s="36">
        <v>13.74</v>
      </c>
      <c r="K47" s="36">
        <v>-4.09</v>
      </c>
      <c r="L47" s="36">
        <v>5.15</v>
      </c>
      <c r="M47" s="36">
        <v>-4.78</v>
      </c>
      <c r="N47" s="36">
        <v>4.97</v>
      </c>
      <c r="O47" s="36">
        <v>5.41</v>
      </c>
      <c r="P47" s="36">
        <v>81.64</v>
      </c>
      <c r="Q47" s="36">
        <v>-6.63</v>
      </c>
      <c r="R47" s="36">
        <v>-7.57</v>
      </c>
      <c r="S47" s="36">
        <v>10.27</v>
      </c>
      <c r="T47" s="36">
        <v>-3.46</v>
      </c>
      <c r="U47" s="36">
        <v>-1.57</v>
      </c>
      <c r="V47" s="36">
        <v>-0.93</v>
      </c>
      <c r="W47" s="36">
        <v>-5.28</v>
      </c>
      <c r="X47" s="36">
        <v>9.9600000000000009</v>
      </c>
      <c r="Y47" s="36">
        <v>0.99</v>
      </c>
      <c r="Z47" s="36">
        <v>4.63</v>
      </c>
      <c r="AA47" s="36">
        <v>5.31</v>
      </c>
      <c r="AB47" s="36">
        <v>-1.79</v>
      </c>
      <c r="AC47" s="36">
        <v>-2.33</v>
      </c>
      <c r="AD47" s="36">
        <v>-4.63</v>
      </c>
      <c r="AE47" s="36">
        <v>-4.46</v>
      </c>
    </row>
    <row r="48" spans="1:31" ht="17" x14ac:dyDescent="0.45">
      <c r="A48" s="34" t="s">
        <v>178</v>
      </c>
      <c r="B48" s="35" t="s">
        <v>3</v>
      </c>
      <c r="C48" s="37" t="s">
        <v>3</v>
      </c>
      <c r="D48" s="36">
        <v>16.41</v>
      </c>
      <c r="E48" s="36">
        <v>8.1999999999999993</v>
      </c>
      <c r="F48" s="36">
        <v>7.01</v>
      </c>
      <c r="G48" s="36">
        <v>-1.18</v>
      </c>
      <c r="H48" s="36">
        <v>9.0500000000000007</v>
      </c>
      <c r="I48" s="36">
        <v>5.24</v>
      </c>
      <c r="J48" s="36">
        <v>4.82</v>
      </c>
      <c r="K48" s="36">
        <v>1.62</v>
      </c>
      <c r="L48" s="36">
        <v>11.39</v>
      </c>
      <c r="M48" s="36">
        <v>5.16</v>
      </c>
      <c r="N48" s="36">
        <v>1</v>
      </c>
      <c r="O48" s="36">
        <v>3.01</v>
      </c>
      <c r="P48" s="36">
        <v>-1.38</v>
      </c>
      <c r="Q48" s="36">
        <v>-7.9</v>
      </c>
      <c r="R48" s="36">
        <v>0.42</v>
      </c>
      <c r="S48" s="36">
        <v>7.11</v>
      </c>
      <c r="T48" s="36">
        <v>13.15</v>
      </c>
      <c r="U48" s="36">
        <v>-3.46</v>
      </c>
      <c r="V48" s="36">
        <v>-15.41</v>
      </c>
      <c r="W48" s="36">
        <v>-1.1299999999999999</v>
      </c>
      <c r="X48" s="36">
        <v>-14.72</v>
      </c>
      <c r="Y48" s="36">
        <v>16.850000000000001</v>
      </c>
      <c r="Z48" s="36">
        <v>-16.2</v>
      </c>
      <c r="AA48" s="36">
        <v>9.74</v>
      </c>
      <c r="AB48" s="36">
        <v>16.91</v>
      </c>
      <c r="AC48" s="36">
        <v>23.61</v>
      </c>
      <c r="AD48" s="36">
        <v>7.0000000000000007E-2</v>
      </c>
      <c r="AE48" s="36">
        <v>-7.22</v>
      </c>
    </row>
    <row r="49" spans="1:31" ht="17" x14ac:dyDescent="0.45">
      <c r="A49" s="34" t="s">
        <v>179</v>
      </c>
      <c r="B49" s="35" t="s">
        <v>3</v>
      </c>
      <c r="C49" s="37" t="s">
        <v>3</v>
      </c>
      <c r="D49" s="36">
        <v>9.1300000000000008</v>
      </c>
      <c r="E49" s="36">
        <v>7.22</v>
      </c>
      <c r="F49" s="36">
        <v>18.850000000000001</v>
      </c>
      <c r="G49" s="36">
        <v>10.95</v>
      </c>
      <c r="H49" s="36">
        <v>8.0500000000000007</v>
      </c>
      <c r="I49" s="36">
        <v>4.78</v>
      </c>
      <c r="J49" s="36">
        <v>3.94</v>
      </c>
      <c r="K49" s="36">
        <v>-2.35</v>
      </c>
      <c r="L49" s="36">
        <v>18.48</v>
      </c>
      <c r="M49" s="36">
        <v>4.93</v>
      </c>
      <c r="N49" s="36">
        <v>-7.39</v>
      </c>
      <c r="O49" s="36">
        <v>4.42</v>
      </c>
      <c r="P49" s="36">
        <v>5.32</v>
      </c>
      <c r="Q49" s="36">
        <v>-4.9800000000000004</v>
      </c>
      <c r="R49" s="36">
        <v>-0.35</v>
      </c>
      <c r="S49" s="36">
        <v>-2.1800000000000002</v>
      </c>
      <c r="T49" s="36">
        <v>-1.76</v>
      </c>
      <c r="U49" s="36">
        <v>16.809999999999999</v>
      </c>
      <c r="V49" s="36">
        <v>4.2699999999999996</v>
      </c>
      <c r="W49" s="36">
        <v>0.23</v>
      </c>
      <c r="X49" s="36">
        <v>24.14</v>
      </c>
      <c r="Y49" s="36">
        <v>13.84</v>
      </c>
      <c r="Z49" s="36">
        <v>-4.04</v>
      </c>
      <c r="AA49" s="36">
        <v>5.81</v>
      </c>
      <c r="AB49" s="36">
        <v>12.78</v>
      </c>
      <c r="AC49" s="36">
        <v>3.81</v>
      </c>
      <c r="AD49" s="36">
        <v>8.4700000000000006</v>
      </c>
      <c r="AE49" s="37" t="s">
        <v>3</v>
      </c>
    </row>
    <row r="50" spans="1:31" ht="17" x14ac:dyDescent="0.45">
      <c r="A50" s="34" t="s">
        <v>180</v>
      </c>
      <c r="B50" s="35" t="s">
        <v>3</v>
      </c>
      <c r="C50" s="37" t="s">
        <v>3</v>
      </c>
      <c r="D50" s="37" t="s">
        <v>3</v>
      </c>
      <c r="E50" s="37" t="s">
        <v>3</v>
      </c>
      <c r="F50" s="37" t="s">
        <v>3</v>
      </c>
      <c r="G50" s="37" t="s">
        <v>3</v>
      </c>
      <c r="H50" s="37" t="s">
        <v>3</v>
      </c>
      <c r="I50" s="37" t="s">
        <v>3</v>
      </c>
      <c r="J50" s="37" t="s">
        <v>3</v>
      </c>
      <c r="K50" s="37" t="s">
        <v>3</v>
      </c>
      <c r="L50" s="37" t="s">
        <v>3</v>
      </c>
      <c r="M50" s="37" t="s">
        <v>3</v>
      </c>
      <c r="N50" s="37" t="s">
        <v>3</v>
      </c>
      <c r="O50" s="37" t="s">
        <v>3</v>
      </c>
      <c r="P50" s="37" t="s">
        <v>3</v>
      </c>
      <c r="Q50" s="37" t="s">
        <v>3</v>
      </c>
      <c r="R50" s="37" t="s">
        <v>3</v>
      </c>
      <c r="S50" s="37" t="s">
        <v>3</v>
      </c>
      <c r="T50" s="36">
        <v>17.59</v>
      </c>
      <c r="U50" s="36">
        <v>10.01</v>
      </c>
      <c r="V50" s="36">
        <v>3.97</v>
      </c>
      <c r="W50" s="36">
        <v>15.54</v>
      </c>
      <c r="X50" s="36">
        <v>-13.77</v>
      </c>
      <c r="Y50" s="36">
        <v>-8.5299999999999994</v>
      </c>
      <c r="Z50" s="37" t="s">
        <v>3</v>
      </c>
      <c r="AA50" s="37" t="s">
        <v>3</v>
      </c>
      <c r="AB50" s="37" t="s">
        <v>3</v>
      </c>
      <c r="AC50" s="37" t="s">
        <v>3</v>
      </c>
      <c r="AD50" s="37" t="s">
        <v>3</v>
      </c>
      <c r="AE50" s="37" t="s">
        <v>3</v>
      </c>
    </row>
    <row r="51" spans="1:31" ht="17" x14ac:dyDescent="0.45">
      <c r="A51" s="34" t="s">
        <v>181</v>
      </c>
      <c r="B51" s="35" t="s">
        <v>3</v>
      </c>
      <c r="C51" s="37" t="s">
        <v>3</v>
      </c>
      <c r="D51" s="37" t="s">
        <v>3</v>
      </c>
      <c r="E51" s="37" t="s">
        <v>3</v>
      </c>
      <c r="F51" s="37" t="s">
        <v>3</v>
      </c>
      <c r="G51" s="37" t="s">
        <v>3</v>
      </c>
      <c r="H51" s="37" t="s">
        <v>3</v>
      </c>
      <c r="I51" s="36">
        <v>6.35</v>
      </c>
      <c r="J51" s="36">
        <v>3.97</v>
      </c>
      <c r="K51" s="36">
        <v>9.7899999999999991</v>
      </c>
      <c r="L51" s="36">
        <v>7.43</v>
      </c>
      <c r="M51" s="36">
        <v>-4.04</v>
      </c>
      <c r="N51" s="36">
        <v>6.07</v>
      </c>
      <c r="O51" s="36">
        <v>-6.7</v>
      </c>
      <c r="P51" s="36">
        <v>-6.45</v>
      </c>
      <c r="Q51" s="36">
        <v>-3.71</v>
      </c>
      <c r="R51" s="36">
        <v>12.86</v>
      </c>
      <c r="S51" s="36">
        <v>11.18</v>
      </c>
      <c r="T51" s="36">
        <v>3.95</v>
      </c>
      <c r="U51" s="36">
        <v>-5.82</v>
      </c>
      <c r="V51" s="36">
        <v>20.079999999999998</v>
      </c>
      <c r="W51" s="36">
        <v>1.77</v>
      </c>
      <c r="X51" s="36">
        <v>16.28</v>
      </c>
      <c r="Y51" s="36">
        <v>9.31</v>
      </c>
      <c r="Z51" s="36">
        <v>1.73</v>
      </c>
      <c r="AA51" s="36">
        <v>14.17</v>
      </c>
      <c r="AB51" s="36">
        <v>-3.54</v>
      </c>
      <c r="AC51" s="36">
        <v>8.8800000000000008</v>
      </c>
      <c r="AD51" s="36">
        <v>-3.57</v>
      </c>
      <c r="AE51" s="37" t="s">
        <v>3</v>
      </c>
    </row>
    <row r="52" spans="1:31" ht="17" x14ac:dyDescent="0.45">
      <c r="A52" s="34" t="s">
        <v>182</v>
      </c>
      <c r="B52" s="35" t="s">
        <v>3</v>
      </c>
      <c r="C52" s="37" t="s">
        <v>3</v>
      </c>
      <c r="D52" s="37" t="s">
        <v>3</v>
      </c>
      <c r="E52" s="37" t="s">
        <v>3</v>
      </c>
      <c r="F52" s="37" t="s">
        <v>3</v>
      </c>
      <c r="G52" s="37" t="s">
        <v>3</v>
      </c>
      <c r="H52" s="37" t="s">
        <v>3</v>
      </c>
      <c r="I52" s="36">
        <v>0.86</v>
      </c>
      <c r="J52" s="36">
        <v>0.24</v>
      </c>
      <c r="K52" s="36">
        <v>1.63</v>
      </c>
      <c r="L52" s="36">
        <v>5.13</v>
      </c>
      <c r="M52" s="36">
        <v>39.590000000000003</v>
      </c>
      <c r="N52" s="36">
        <v>12.78</v>
      </c>
      <c r="O52" s="36">
        <v>10.7</v>
      </c>
      <c r="P52" s="36">
        <v>19.73</v>
      </c>
      <c r="Q52" s="36">
        <v>-10.77</v>
      </c>
      <c r="R52" s="36">
        <v>38.22</v>
      </c>
      <c r="S52" s="36">
        <v>-8.39</v>
      </c>
      <c r="T52" s="36">
        <v>-4.4400000000000004</v>
      </c>
      <c r="U52" s="36">
        <v>3.13</v>
      </c>
      <c r="V52" s="36">
        <v>-3.32</v>
      </c>
      <c r="W52" s="36">
        <v>-4.49</v>
      </c>
      <c r="X52" s="36">
        <v>10.84</v>
      </c>
      <c r="Y52" s="36">
        <v>-6.61</v>
      </c>
      <c r="Z52" s="36">
        <v>-5.57</v>
      </c>
      <c r="AA52" s="36">
        <v>-1.05</v>
      </c>
      <c r="AB52" s="36">
        <v>1.65</v>
      </c>
      <c r="AC52" s="37" t="s">
        <v>3</v>
      </c>
      <c r="AD52" s="37" t="s">
        <v>3</v>
      </c>
      <c r="AE52" s="37" t="s">
        <v>3</v>
      </c>
    </row>
    <row r="53" spans="1:31" ht="17" x14ac:dyDescent="0.45">
      <c r="A53" s="34" t="s">
        <v>183</v>
      </c>
      <c r="B53" s="35" t="s">
        <v>3</v>
      </c>
      <c r="C53" s="37" t="s">
        <v>3</v>
      </c>
      <c r="D53" s="37" t="s">
        <v>3</v>
      </c>
      <c r="E53" s="37" t="s">
        <v>3</v>
      </c>
      <c r="F53" s="37" t="s">
        <v>3</v>
      </c>
      <c r="G53" s="37" t="s">
        <v>3</v>
      </c>
      <c r="H53" s="37" t="s">
        <v>3</v>
      </c>
      <c r="I53" s="37" t="s">
        <v>3</v>
      </c>
      <c r="J53" s="37" t="s">
        <v>3</v>
      </c>
      <c r="K53" s="37" t="s">
        <v>3</v>
      </c>
      <c r="L53" s="37" t="s">
        <v>3</v>
      </c>
      <c r="M53" s="37" t="s">
        <v>3</v>
      </c>
      <c r="N53" s="37" t="s">
        <v>3</v>
      </c>
      <c r="O53" s="37" t="s">
        <v>3</v>
      </c>
      <c r="P53" s="36">
        <v>38.51</v>
      </c>
      <c r="Q53" s="36">
        <v>-9.61</v>
      </c>
      <c r="R53" s="36">
        <v>14.55</v>
      </c>
      <c r="S53" s="36">
        <v>23.65</v>
      </c>
      <c r="T53" s="36">
        <v>17.059999999999999</v>
      </c>
      <c r="U53" s="36">
        <v>17.149999999999999</v>
      </c>
      <c r="V53" s="36">
        <v>1.83</v>
      </c>
      <c r="W53" s="36">
        <v>19.93</v>
      </c>
      <c r="X53" s="36">
        <v>-0.55000000000000004</v>
      </c>
      <c r="Y53" s="36">
        <v>18.5</v>
      </c>
      <c r="Z53" s="36">
        <v>-47.84</v>
      </c>
      <c r="AA53" s="36">
        <v>128.31</v>
      </c>
      <c r="AB53" s="36">
        <v>54.55</v>
      </c>
      <c r="AC53" s="36">
        <v>-1.92</v>
      </c>
      <c r="AD53" s="37" t="s">
        <v>3</v>
      </c>
      <c r="AE53" s="37" t="s">
        <v>3</v>
      </c>
    </row>
    <row r="54" spans="1:31" ht="17" x14ac:dyDescent="0.45">
      <c r="A54" s="34" t="s">
        <v>184</v>
      </c>
      <c r="B54" s="35" t="s">
        <v>3</v>
      </c>
      <c r="C54" s="37" t="s">
        <v>3</v>
      </c>
      <c r="D54" s="36">
        <v>20.46</v>
      </c>
      <c r="E54" s="36">
        <v>2.2599999999999998</v>
      </c>
      <c r="F54" s="36">
        <v>6.86</v>
      </c>
      <c r="G54" s="36">
        <v>6.21</v>
      </c>
      <c r="H54" s="36">
        <v>8.6</v>
      </c>
      <c r="I54" s="36">
        <v>3.15</v>
      </c>
      <c r="J54" s="36">
        <v>-0.53</v>
      </c>
      <c r="K54" s="36">
        <v>3.17</v>
      </c>
      <c r="L54" s="36">
        <v>31</v>
      </c>
      <c r="M54" s="36">
        <v>-0.04</v>
      </c>
      <c r="N54" s="36">
        <v>2.7</v>
      </c>
      <c r="O54" s="36">
        <v>37.869999999999997</v>
      </c>
      <c r="P54" s="36">
        <v>11.03</v>
      </c>
      <c r="Q54" s="36">
        <v>-9.26</v>
      </c>
      <c r="R54" s="36">
        <v>5.74</v>
      </c>
      <c r="S54" s="36">
        <v>0.16</v>
      </c>
      <c r="T54" s="36">
        <v>-3.77</v>
      </c>
      <c r="U54" s="36">
        <v>16.88</v>
      </c>
      <c r="V54" s="36">
        <v>0.65</v>
      </c>
      <c r="W54" s="36">
        <v>-6.52</v>
      </c>
      <c r="X54" s="36">
        <v>9.93</v>
      </c>
      <c r="Y54" s="36">
        <v>6.96</v>
      </c>
      <c r="Z54" s="36">
        <v>7.89</v>
      </c>
      <c r="AA54" s="36">
        <v>21.03</v>
      </c>
      <c r="AB54" s="36">
        <v>-3.56</v>
      </c>
      <c r="AC54" s="36">
        <v>8.0299999999999994</v>
      </c>
      <c r="AD54" s="36">
        <v>20.69</v>
      </c>
      <c r="AE54" s="36">
        <v>12.61</v>
      </c>
    </row>
    <row r="55" spans="1:31" ht="17" x14ac:dyDescent="0.45">
      <c r="A55" s="34" t="s">
        <v>185</v>
      </c>
      <c r="B55" s="35" t="s">
        <v>3</v>
      </c>
      <c r="C55" s="37" t="s">
        <v>3</v>
      </c>
      <c r="D55" s="37" t="s">
        <v>3</v>
      </c>
      <c r="E55" s="37" t="s">
        <v>3</v>
      </c>
      <c r="F55" s="37" t="s">
        <v>3</v>
      </c>
      <c r="G55" s="37" t="s">
        <v>3</v>
      </c>
      <c r="H55" s="37" t="s">
        <v>3</v>
      </c>
      <c r="I55" s="37" t="s">
        <v>3</v>
      </c>
      <c r="J55" s="37" t="s">
        <v>3</v>
      </c>
      <c r="K55" s="37" t="s">
        <v>3</v>
      </c>
      <c r="L55" s="37" t="s">
        <v>3</v>
      </c>
      <c r="M55" s="37" t="s">
        <v>3</v>
      </c>
      <c r="N55" s="37" t="s">
        <v>3</v>
      </c>
      <c r="O55" s="37" t="s">
        <v>3</v>
      </c>
      <c r="P55" s="37" t="s">
        <v>3</v>
      </c>
      <c r="Q55" s="37" t="s">
        <v>3</v>
      </c>
      <c r="R55" s="37" t="s">
        <v>3</v>
      </c>
      <c r="S55" s="37" t="s">
        <v>3</v>
      </c>
      <c r="T55" s="37" t="s">
        <v>3</v>
      </c>
      <c r="U55" s="37" t="s">
        <v>3</v>
      </c>
      <c r="V55" s="37" t="s">
        <v>3</v>
      </c>
      <c r="W55" s="37" t="s">
        <v>3</v>
      </c>
      <c r="X55" s="37" t="s">
        <v>3</v>
      </c>
      <c r="Y55" s="37" t="s">
        <v>3</v>
      </c>
      <c r="Z55" s="36">
        <v>4.5199999999999996</v>
      </c>
      <c r="AA55" s="36">
        <v>5.58</v>
      </c>
      <c r="AB55" s="37" t="s">
        <v>3</v>
      </c>
      <c r="AC55" s="37" t="s">
        <v>3</v>
      </c>
      <c r="AD55" s="37" t="s">
        <v>3</v>
      </c>
      <c r="AE55" s="37" t="s">
        <v>3</v>
      </c>
    </row>
    <row r="56" spans="1:31" ht="17" x14ac:dyDescent="0.45">
      <c r="A56" s="34" t="s">
        <v>186</v>
      </c>
      <c r="B56" s="35" t="s">
        <v>3</v>
      </c>
      <c r="C56" s="37" t="s">
        <v>3</v>
      </c>
      <c r="D56" s="37" t="s">
        <v>3</v>
      </c>
      <c r="E56" s="37" t="s">
        <v>3</v>
      </c>
      <c r="F56" s="37" t="s">
        <v>3</v>
      </c>
      <c r="G56" s="37" t="s">
        <v>3</v>
      </c>
      <c r="H56" s="37" t="s">
        <v>3</v>
      </c>
      <c r="I56" s="37" t="s">
        <v>3</v>
      </c>
      <c r="J56" s="37" t="s">
        <v>3</v>
      </c>
      <c r="K56" s="37" t="s">
        <v>3</v>
      </c>
      <c r="L56" s="37" t="s">
        <v>3</v>
      </c>
      <c r="M56" s="37" t="s">
        <v>3</v>
      </c>
      <c r="N56" s="37" t="s">
        <v>3</v>
      </c>
      <c r="O56" s="37" t="s">
        <v>3</v>
      </c>
      <c r="P56" s="37" t="s">
        <v>3</v>
      </c>
      <c r="Q56" s="36">
        <v>-4.6900000000000004</v>
      </c>
      <c r="R56" s="36">
        <v>2.96</v>
      </c>
      <c r="S56" s="36">
        <v>17.239999999999998</v>
      </c>
      <c r="T56" s="36">
        <v>-12.86</v>
      </c>
      <c r="U56" s="36">
        <v>12.65</v>
      </c>
      <c r="V56" s="36">
        <v>-4.3899999999999997</v>
      </c>
      <c r="W56" s="36">
        <v>28.51</v>
      </c>
      <c r="X56" s="36">
        <v>8.68</v>
      </c>
      <c r="Y56" s="36">
        <v>-9.6199999999999992</v>
      </c>
      <c r="Z56" s="36">
        <v>0.48</v>
      </c>
      <c r="AA56" s="36">
        <v>13.29</v>
      </c>
      <c r="AB56" s="36">
        <v>-17.87</v>
      </c>
      <c r="AC56" s="36">
        <v>-11.18</v>
      </c>
      <c r="AD56" s="36">
        <v>42.29</v>
      </c>
      <c r="AE56" s="37" t="s">
        <v>3</v>
      </c>
    </row>
    <row r="58" spans="1:31" ht="17" x14ac:dyDescent="0.45">
      <c r="A58" s="38" t="s">
        <v>187</v>
      </c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</row>
  </sheetData>
  <mergeCells count="1">
    <mergeCell ref="A7:B7"/>
  </mergeCells>
  <phoneticPr fontId="11" type="noConversion"/>
  <hyperlinks>
    <hyperlink ref="A58" r:id="rId1" xr:uid="{00000000-0004-0000-0000-000000000000}"/>
  </hyperlinks>
  <pageMargins left="0.75" right="0.75" top="1" bottom="1" header="0.5" footer="0.5"/>
  <pageSetup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E58"/>
  <sheetViews>
    <sheetView showGridLines="0" topLeftCell="G1" workbookViewId="0">
      <selection activeCell="A6" sqref="A6"/>
    </sheetView>
  </sheetViews>
  <sheetFormatPr defaultColWidth="9.08203125" defaultRowHeight="12.5" x14ac:dyDescent="0.25"/>
  <cols>
    <col min="1" max="1" width="27.33203125" style="4" customWidth="1"/>
    <col min="2" max="2" width="5" style="4" customWidth="1"/>
    <col min="3" max="3" width="6.58203125" style="4" bestFit="1" customWidth="1"/>
    <col min="4" max="16384" width="9.08203125" style="4"/>
  </cols>
  <sheetData>
    <row r="1" spans="1:31" ht="17" x14ac:dyDescent="0.45">
      <c r="A1" s="29" t="s">
        <v>161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</row>
    <row r="2" spans="1:31" ht="12.75" customHeight="1" x14ac:dyDescent="0.45">
      <c r="A2" s="30" t="s">
        <v>162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</row>
    <row r="3" spans="1:31" ht="12.75" customHeight="1" x14ac:dyDescent="0.45">
      <c r="A3" s="30" t="s">
        <v>192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</row>
    <row r="4" spans="1:31" ht="17" x14ac:dyDescent="0.45">
      <c r="A4" s="30" t="s">
        <v>164</v>
      </c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</row>
    <row r="5" spans="1:31" ht="12.75" customHeight="1" x14ac:dyDescent="0.45">
      <c r="A5" s="30" t="s">
        <v>165</v>
      </c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</row>
    <row r="6" spans="1:31" ht="17" x14ac:dyDescent="0.45">
      <c r="A6"/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</row>
    <row r="7" spans="1:31" ht="20.25" customHeight="1" x14ac:dyDescent="0.25">
      <c r="A7" s="42" t="s">
        <v>166</v>
      </c>
      <c r="B7" s="42" t="s">
        <v>166</v>
      </c>
      <c r="C7" s="31" t="s">
        <v>79</v>
      </c>
      <c r="D7" s="31" t="s">
        <v>80</v>
      </c>
      <c r="E7" s="31" t="s">
        <v>81</v>
      </c>
      <c r="F7" s="31" t="s">
        <v>82</v>
      </c>
      <c r="G7" s="31" t="s">
        <v>83</v>
      </c>
      <c r="H7" s="31" t="s">
        <v>84</v>
      </c>
      <c r="I7" s="31" t="s">
        <v>85</v>
      </c>
      <c r="J7" s="31" t="s">
        <v>86</v>
      </c>
      <c r="K7" s="31" t="s">
        <v>87</v>
      </c>
      <c r="L7" s="31" t="s">
        <v>88</v>
      </c>
      <c r="M7" s="31" t="s">
        <v>89</v>
      </c>
      <c r="N7" s="31" t="s">
        <v>90</v>
      </c>
      <c r="O7" s="31" t="s">
        <v>91</v>
      </c>
      <c r="P7" s="31" t="s">
        <v>92</v>
      </c>
      <c r="Q7" s="31" t="s">
        <v>93</v>
      </c>
      <c r="R7" s="31" t="s">
        <v>94</v>
      </c>
      <c r="S7" s="31" t="s">
        <v>95</v>
      </c>
      <c r="T7" s="31" t="s">
        <v>96</v>
      </c>
      <c r="U7" s="31" t="s">
        <v>97</v>
      </c>
      <c r="V7" s="31" t="s">
        <v>98</v>
      </c>
      <c r="W7" s="31" t="s">
        <v>2</v>
      </c>
      <c r="X7" s="31" t="s">
        <v>99</v>
      </c>
      <c r="Y7" s="31" t="s">
        <v>100</v>
      </c>
      <c r="Z7" s="31" t="s">
        <v>101</v>
      </c>
      <c r="AA7" s="31" t="s">
        <v>102</v>
      </c>
      <c r="AB7" s="31" t="s">
        <v>167</v>
      </c>
      <c r="AC7" s="31" t="s">
        <v>168</v>
      </c>
      <c r="AD7" s="31" t="s">
        <v>169</v>
      </c>
      <c r="AE7" s="31" t="s">
        <v>170</v>
      </c>
    </row>
    <row r="8" spans="1:31" ht="17" x14ac:dyDescent="0.25">
      <c r="A8" s="32" t="s">
        <v>171</v>
      </c>
      <c r="B8" s="33" t="s">
        <v>3</v>
      </c>
      <c r="C8" s="33" t="s">
        <v>3</v>
      </c>
      <c r="D8" s="33" t="s">
        <v>3</v>
      </c>
      <c r="E8" s="33" t="s">
        <v>3</v>
      </c>
      <c r="F8" s="33" t="s">
        <v>3</v>
      </c>
      <c r="G8" s="33" t="s">
        <v>3</v>
      </c>
      <c r="H8" s="33" t="s">
        <v>3</v>
      </c>
      <c r="I8" s="33" t="s">
        <v>3</v>
      </c>
      <c r="J8" s="33" t="s">
        <v>3</v>
      </c>
      <c r="K8" s="33" t="s">
        <v>3</v>
      </c>
      <c r="L8" s="33" t="s">
        <v>3</v>
      </c>
      <c r="M8" s="33" t="s">
        <v>3</v>
      </c>
      <c r="N8" s="33" t="s">
        <v>3</v>
      </c>
      <c r="O8" s="33" t="s">
        <v>3</v>
      </c>
      <c r="P8" s="33" t="s">
        <v>3</v>
      </c>
      <c r="Q8" s="33" t="s">
        <v>3</v>
      </c>
      <c r="R8" s="33" t="s">
        <v>3</v>
      </c>
      <c r="S8" s="33" t="s">
        <v>3</v>
      </c>
      <c r="T8" s="33" t="s">
        <v>3</v>
      </c>
      <c r="U8" s="33" t="s">
        <v>3</v>
      </c>
      <c r="V8" s="33" t="s">
        <v>3</v>
      </c>
      <c r="W8" s="33" t="s">
        <v>3</v>
      </c>
      <c r="X8" s="33" t="s">
        <v>3</v>
      </c>
      <c r="Y8" s="33" t="s">
        <v>3</v>
      </c>
      <c r="Z8" s="33" t="s">
        <v>3</v>
      </c>
      <c r="AA8" s="33" t="s">
        <v>3</v>
      </c>
      <c r="AB8" s="33" t="s">
        <v>3</v>
      </c>
      <c r="AC8" s="33" t="s">
        <v>3</v>
      </c>
      <c r="AD8" s="33" t="s">
        <v>3</v>
      </c>
      <c r="AE8" s="33" t="s">
        <v>3</v>
      </c>
    </row>
    <row r="9" spans="1:31" ht="17" x14ac:dyDescent="0.45">
      <c r="A9" s="34" t="s">
        <v>103</v>
      </c>
      <c r="B9" s="35" t="s">
        <v>3</v>
      </c>
      <c r="C9" s="36">
        <v>3.03</v>
      </c>
      <c r="D9" s="36">
        <v>7.88</v>
      </c>
      <c r="E9" s="36">
        <v>6.33</v>
      </c>
      <c r="F9" s="36">
        <v>18.39</v>
      </c>
      <c r="G9" s="36">
        <v>-4.47</v>
      </c>
      <c r="H9" s="36">
        <v>-5.86</v>
      </c>
      <c r="I9" s="36">
        <v>8.68</v>
      </c>
      <c r="J9" s="36">
        <v>1.97</v>
      </c>
      <c r="K9" s="36">
        <v>5.43</v>
      </c>
      <c r="L9" s="36">
        <v>-1.07</v>
      </c>
      <c r="M9" s="36">
        <v>-0.93</v>
      </c>
      <c r="N9" s="36">
        <v>5.92</v>
      </c>
      <c r="O9" s="36">
        <v>3.55</v>
      </c>
      <c r="P9" s="36">
        <v>2.15</v>
      </c>
      <c r="Q9" s="36">
        <v>3.73</v>
      </c>
      <c r="R9" s="36">
        <v>-6.73</v>
      </c>
      <c r="S9" s="36">
        <v>3.01</v>
      </c>
      <c r="T9" s="36">
        <v>5.77</v>
      </c>
      <c r="U9" s="36">
        <v>6.78</v>
      </c>
      <c r="V9" s="36">
        <v>8.08</v>
      </c>
      <c r="W9" s="36">
        <v>-6.9</v>
      </c>
      <c r="X9" s="36">
        <v>1.29</v>
      </c>
      <c r="Y9" s="36">
        <v>-0.76</v>
      </c>
      <c r="Z9" s="37" t="s">
        <v>3</v>
      </c>
      <c r="AA9" s="37" t="s">
        <v>3</v>
      </c>
      <c r="AB9" s="37" t="s">
        <v>3</v>
      </c>
      <c r="AC9" s="37" t="s">
        <v>3</v>
      </c>
      <c r="AD9" s="37" t="s">
        <v>3</v>
      </c>
      <c r="AE9" s="37" t="s">
        <v>3</v>
      </c>
    </row>
    <row r="10" spans="1:31" ht="17" x14ac:dyDescent="0.45">
      <c r="A10" s="34" t="s">
        <v>104</v>
      </c>
      <c r="B10" s="35" t="s">
        <v>3</v>
      </c>
      <c r="C10" s="36">
        <v>-4.3</v>
      </c>
      <c r="D10" s="36">
        <v>3.26</v>
      </c>
      <c r="E10" s="36">
        <v>6.37</v>
      </c>
      <c r="F10" s="36">
        <v>5.4</v>
      </c>
      <c r="G10" s="36">
        <v>6.97</v>
      </c>
      <c r="H10" s="36">
        <v>13.08</v>
      </c>
      <c r="I10" s="36">
        <v>-2.58</v>
      </c>
      <c r="J10" s="36">
        <v>6.26</v>
      </c>
      <c r="K10" s="36">
        <v>-3.67</v>
      </c>
      <c r="L10" s="36">
        <v>9.7100000000000009</v>
      </c>
      <c r="M10" s="36">
        <v>0.79</v>
      </c>
      <c r="N10" s="36">
        <v>6.12</v>
      </c>
      <c r="O10" s="36">
        <v>5.39</v>
      </c>
      <c r="P10" s="36">
        <v>-0.76</v>
      </c>
      <c r="Q10" s="36">
        <v>4.6500000000000004</v>
      </c>
      <c r="R10" s="36">
        <v>1.39</v>
      </c>
      <c r="S10" s="36">
        <v>3.28</v>
      </c>
      <c r="T10" s="36">
        <v>0.87</v>
      </c>
      <c r="U10" s="36">
        <v>-0.64</v>
      </c>
      <c r="V10" s="36">
        <v>-2.39</v>
      </c>
      <c r="W10" s="36">
        <v>5.0599999999999996</v>
      </c>
      <c r="X10" s="36">
        <v>0.36</v>
      </c>
      <c r="Y10" s="36">
        <v>7.91</v>
      </c>
      <c r="Z10" s="36">
        <v>2.4</v>
      </c>
      <c r="AA10" s="36">
        <v>4.4000000000000004</v>
      </c>
      <c r="AB10" s="36">
        <v>1.51</v>
      </c>
      <c r="AC10" s="36">
        <v>10.02</v>
      </c>
      <c r="AD10" s="36">
        <v>6.83</v>
      </c>
      <c r="AE10" s="36">
        <v>-7.06</v>
      </c>
    </row>
    <row r="11" spans="1:31" ht="17" x14ac:dyDescent="0.45">
      <c r="A11" s="34" t="s">
        <v>105</v>
      </c>
      <c r="B11" s="35" t="s">
        <v>3</v>
      </c>
      <c r="C11" s="37" t="s">
        <v>3</v>
      </c>
      <c r="D11" s="36">
        <v>3.7</v>
      </c>
      <c r="E11" s="36">
        <v>6.39</v>
      </c>
      <c r="F11" s="36">
        <v>2.73</v>
      </c>
      <c r="G11" s="36">
        <v>15.1</v>
      </c>
      <c r="H11" s="36">
        <v>-0.16</v>
      </c>
      <c r="I11" s="36">
        <v>-1.32</v>
      </c>
      <c r="J11" s="36">
        <v>6.84</v>
      </c>
      <c r="K11" s="36">
        <v>-8.49</v>
      </c>
      <c r="L11" s="36">
        <v>7.3</v>
      </c>
      <c r="M11" s="36">
        <v>4.46</v>
      </c>
      <c r="N11" s="36">
        <v>9.61</v>
      </c>
      <c r="O11" s="36">
        <v>-3.08</v>
      </c>
      <c r="P11" s="36">
        <v>-1.89</v>
      </c>
      <c r="Q11" s="36">
        <v>14.07</v>
      </c>
      <c r="R11" s="36">
        <v>7.57</v>
      </c>
      <c r="S11" s="36">
        <v>-2.96</v>
      </c>
      <c r="T11" s="36">
        <v>10.37</v>
      </c>
      <c r="U11" s="36">
        <v>-2.69</v>
      </c>
      <c r="V11" s="36">
        <v>3.9</v>
      </c>
      <c r="W11" s="36">
        <v>4.3600000000000003</v>
      </c>
      <c r="X11" s="36">
        <v>1.29</v>
      </c>
      <c r="Y11" s="36">
        <v>4.79</v>
      </c>
      <c r="Z11" s="36">
        <v>4.2</v>
      </c>
      <c r="AA11" s="36">
        <v>4.1500000000000004</v>
      </c>
      <c r="AB11" s="36">
        <v>-1.37</v>
      </c>
      <c r="AC11" s="36">
        <v>4.13</v>
      </c>
      <c r="AD11" s="36">
        <v>-5.42</v>
      </c>
      <c r="AE11" s="36">
        <v>2.39</v>
      </c>
    </row>
    <row r="12" spans="1:31" ht="17" x14ac:dyDescent="0.45">
      <c r="A12" s="34" t="s">
        <v>106</v>
      </c>
      <c r="B12" s="35" t="s">
        <v>3</v>
      </c>
      <c r="C12" s="37" t="s">
        <v>3</v>
      </c>
      <c r="D12" s="37" t="s">
        <v>3</v>
      </c>
      <c r="E12" s="37" t="s">
        <v>3</v>
      </c>
      <c r="F12" s="37" t="s">
        <v>3</v>
      </c>
      <c r="G12" s="37" t="s">
        <v>3</v>
      </c>
      <c r="H12" s="37" t="s">
        <v>3</v>
      </c>
      <c r="I12" s="37" t="s">
        <v>3</v>
      </c>
      <c r="J12" s="37" t="s">
        <v>3</v>
      </c>
      <c r="K12" s="37" t="s">
        <v>3</v>
      </c>
      <c r="L12" s="37" t="s">
        <v>3</v>
      </c>
      <c r="M12" s="37" t="s">
        <v>3</v>
      </c>
      <c r="N12" s="37" t="s">
        <v>3</v>
      </c>
      <c r="O12" s="37" t="s">
        <v>3</v>
      </c>
      <c r="P12" s="36">
        <v>-2.2999999999999998</v>
      </c>
      <c r="Q12" s="36">
        <v>1.65</v>
      </c>
      <c r="R12" s="36">
        <v>-1.17</v>
      </c>
      <c r="S12" s="36">
        <v>1.02</v>
      </c>
      <c r="T12" s="36">
        <v>3.48</v>
      </c>
      <c r="U12" s="36">
        <v>2.67</v>
      </c>
      <c r="V12" s="36">
        <v>1.75</v>
      </c>
      <c r="W12" s="36">
        <v>6.26</v>
      </c>
      <c r="X12" s="36">
        <v>2.97</v>
      </c>
      <c r="Y12" s="36">
        <v>7.48</v>
      </c>
      <c r="Z12" s="36">
        <v>3.66</v>
      </c>
      <c r="AA12" s="36">
        <v>0.56999999999999995</v>
      </c>
      <c r="AB12" s="36">
        <v>7.67</v>
      </c>
      <c r="AC12" s="36">
        <v>-1.75</v>
      </c>
      <c r="AD12" s="36">
        <v>3.49</v>
      </c>
      <c r="AE12" s="36">
        <v>-3.61</v>
      </c>
    </row>
    <row r="13" spans="1:31" ht="17" x14ac:dyDescent="0.45">
      <c r="A13" s="34" t="s">
        <v>107</v>
      </c>
      <c r="B13" s="35" t="s">
        <v>3</v>
      </c>
      <c r="C13" s="37" t="s">
        <v>3</v>
      </c>
      <c r="D13" s="37" t="s">
        <v>3</v>
      </c>
      <c r="E13" s="37" t="s">
        <v>3</v>
      </c>
      <c r="F13" s="37" t="s">
        <v>3</v>
      </c>
      <c r="G13" s="37" t="s">
        <v>3</v>
      </c>
      <c r="H13" s="37" t="s">
        <v>3</v>
      </c>
      <c r="I13" s="37" t="s">
        <v>3</v>
      </c>
      <c r="J13" s="37" t="s">
        <v>3</v>
      </c>
      <c r="K13" s="37" t="s">
        <v>3</v>
      </c>
      <c r="L13" s="37" t="s">
        <v>3</v>
      </c>
      <c r="M13" s="37" t="s">
        <v>3</v>
      </c>
      <c r="N13" s="37" t="s">
        <v>3</v>
      </c>
      <c r="O13" s="37" t="s">
        <v>3</v>
      </c>
      <c r="P13" s="37" t="s">
        <v>3</v>
      </c>
      <c r="Q13" s="37" t="s">
        <v>3</v>
      </c>
      <c r="R13" s="37" t="s">
        <v>3</v>
      </c>
      <c r="S13" s="37" t="s">
        <v>3</v>
      </c>
      <c r="T13" s="37" t="s">
        <v>3</v>
      </c>
      <c r="U13" s="37" t="s">
        <v>3</v>
      </c>
      <c r="V13" s="36">
        <v>7.7</v>
      </c>
      <c r="W13" s="36">
        <v>5.36</v>
      </c>
      <c r="X13" s="36">
        <v>6.67</v>
      </c>
      <c r="Y13" s="36">
        <v>8.1300000000000008</v>
      </c>
      <c r="Z13" s="36">
        <v>4.87</v>
      </c>
      <c r="AA13" s="36">
        <v>0.53</v>
      </c>
      <c r="AB13" s="36">
        <v>1.49</v>
      </c>
      <c r="AC13" s="36">
        <v>16.739999999999998</v>
      </c>
      <c r="AD13" s="36">
        <v>-5.03</v>
      </c>
      <c r="AE13" s="37" t="s">
        <v>3</v>
      </c>
    </row>
    <row r="14" spans="1:31" ht="17" x14ac:dyDescent="0.45">
      <c r="A14" s="34" t="s">
        <v>172</v>
      </c>
      <c r="B14" s="35" t="s">
        <v>3</v>
      </c>
      <c r="C14" s="37" t="s">
        <v>3</v>
      </c>
      <c r="D14" s="37" t="s">
        <v>3</v>
      </c>
      <c r="E14" s="37" t="s">
        <v>3</v>
      </c>
      <c r="F14" s="37" t="s">
        <v>3</v>
      </c>
      <c r="G14" s="37" t="s">
        <v>3</v>
      </c>
      <c r="H14" s="37" t="s">
        <v>3</v>
      </c>
      <c r="I14" s="37" t="s">
        <v>3</v>
      </c>
      <c r="J14" s="37" t="s">
        <v>3</v>
      </c>
      <c r="K14" s="37" t="s">
        <v>3</v>
      </c>
      <c r="L14" s="37" t="s">
        <v>3</v>
      </c>
      <c r="M14" s="37" t="s">
        <v>3</v>
      </c>
      <c r="N14" s="37" t="s">
        <v>3</v>
      </c>
      <c r="O14" s="37" t="s">
        <v>3</v>
      </c>
      <c r="P14" s="37" t="s">
        <v>3</v>
      </c>
      <c r="Q14" s="37" t="s">
        <v>3</v>
      </c>
      <c r="R14" s="37" t="s">
        <v>3</v>
      </c>
      <c r="S14" s="37" t="s">
        <v>3</v>
      </c>
      <c r="T14" s="37" t="s">
        <v>3</v>
      </c>
      <c r="U14" s="37" t="s">
        <v>3</v>
      </c>
      <c r="V14" s="37" t="s">
        <v>3</v>
      </c>
      <c r="W14" s="37" t="s">
        <v>3</v>
      </c>
      <c r="X14" s="36">
        <v>-1.45</v>
      </c>
      <c r="Y14" s="36">
        <v>13.11</v>
      </c>
      <c r="Z14" s="36">
        <v>4.42</v>
      </c>
      <c r="AA14" s="36">
        <v>-0.38</v>
      </c>
      <c r="AB14" s="36">
        <v>13.65</v>
      </c>
      <c r="AC14" s="36">
        <v>-22.76</v>
      </c>
      <c r="AD14" s="36">
        <v>-6.8</v>
      </c>
      <c r="AE14" s="37" t="s">
        <v>3</v>
      </c>
    </row>
    <row r="15" spans="1:31" ht="17" x14ac:dyDescent="0.45">
      <c r="A15" s="34" t="s">
        <v>173</v>
      </c>
      <c r="B15" s="35" t="s">
        <v>3</v>
      </c>
      <c r="C15" s="36">
        <v>3.22</v>
      </c>
      <c r="D15" s="36">
        <v>8.65</v>
      </c>
      <c r="E15" s="36">
        <v>-8.34</v>
      </c>
      <c r="F15" s="36">
        <v>-7.67</v>
      </c>
      <c r="G15" s="36">
        <v>54.23</v>
      </c>
      <c r="H15" s="36">
        <v>-0.94</v>
      </c>
      <c r="I15" s="36">
        <v>7.58</v>
      </c>
      <c r="J15" s="36">
        <v>-1.1399999999999999</v>
      </c>
      <c r="K15" s="36">
        <v>0.73</v>
      </c>
      <c r="L15" s="36">
        <v>0.26</v>
      </c>
      <c r="M15" s="36">
        <v>13.7</v>
      </c>
      <c r="N15" s="36">
        <v>11.72</v>
      </c>
      <c r="O15" s="36">
        <v>-7.73</v>
      </c>
      <c r="P15" s="36">
        <v>11.22</v>
      </c>
      <c r="Q15" s="36">
        <v>14.36</v>
      </c>
      <c r="R15" s="36">
        <v>9.19</v>
      </c>
      <c r="S15" s="36">
        <v>3.89</v>
      </c>
      <c r="T15" s="36">
        <v>9.8699999999999992</v>
      </c>
      <c r="U15" s="36">
        <v>3.99</v>
      </c>
      <c r="V15" s="36">
        <v>2.77</v>
      </c>
      <c r="W15" s="36">
        <v>27.59</v>
      </c>
      <c r="X15" s="36">
        <v>4.28</v>
      </c>
      <c r="Y15" s="36">
        <v>23.6</v>
      </c>
      <c r="Z15" s="36">
        <v>-15.93</v>
      </c>
      <c r="AA15" s="36">
        <v>8.35</v>
      </c>
      <c r="AB15" s="36">
        <v>18.61</v>
      </c>
      <c r="AC15" s="36">
        <v>-3.98</v>
      </c>
      <c r="AD15" s="36">
        <v>7.71</v>
      </c>
      <c r="AE15" s="36">
        <v>-0.04</v>
      </c>
    </row>
    <row r="16" spans="1:31" ht="17" x14ac:dyDescent="0.45">
      <c r="A16" s="34" t="s">
        <v>174</v>
      </c>
      <c r="B16" s="35" t="s">
        <v>3</v>
      </c>
      <c r="C16" s="36">
        <v>-12.49</v>
      </c>
      <c r="D16" s="36">
        <v>6.5</v>
      </c>
      <c r="E16" s="36">
        <v>-2.54</v>
      </c>
      <c r="F16" s="36">
        <v>32.590000000000003</v>
      </c>
      <c r="G16" s="36">
        <v>-1.54</v>
      </c>
      <c r="H16" s="36">
        <v>-9.3699999999999992</v>
      </c>
      <c r="I16" s="36">
        <v>5.37</v>
      </c>
      <c r="J16" s="36">
        <v>-29.85</v>
      </c>
      <c r="K16" s="36">
        <v>24.48</v>
      </c>
      <c r="L16" s="36">
        <v>5.53</v>
      </c>
      <c r="M16" s="36">
        <v>-2.5299999999999998</v>
      </c>
      <c r="N16" s="36">
        <v>1.48</v>
      </c>
      <c r="O16" s="36">
        <v>17.22</v>
      </c>
      <c r="P16" s="36">
        <v>8.7100000000000009</v>
      </c>
      <c r="Q16" s="36">
        <v>7.65</v>
      </c>
      <c r="R16" s="36">
        <v>3.09</v>
      </c>
      <c r="S16" s="36">
        <v>-3.64</v>
      </c>
      <c r="T16" s="36">
        <v>-6.41</v>
      </c>
      <c r="U16" s="36">
        <v>7.44</v>
      </c>
      <c r="V16" s="36">
        <v>-3.53</v>
      </c>
      <c r="W16" s="36">
        <v>8.5500000000000007</v>
      </c>
      <c r="X16" s="36">
        <v>6.19</v>
      </c>
      <c r="Y16" s="36">
        <v>13.46</v>
      </c>
      <c r="Z16" s="36">
        <v>8.75</v>
      </c>
      <c r="AA16" s="36">
        <v>3.41</v>
      </c>
      <c r="AB16" s="36">
        <v>8.42</v>
      </c>
      <c r="AC16" s="36">
        <v>9.15</v>
      </c>
      <c r="AD16" s="36">
        <v>-2.56</v>
      </c>
      <c r="AE16" s="36">
        <v>12.73</v>
      </c>
    </row>
    <row r="17" spans="1:31" ht="17" x14ac:dyDescent="0.45">
      <c r="A17" s="34" t="s">
        <v>108</v>
      </c>
      <c r="B17" s="35" t="s">
        <v>3</v>
      </c>
      <c r="C17" s="36">
        <v>-7.39</v>
      </c>
      <c r="D17" s="36">
        <v>-1.18</v>
      </c>
      <c r="E17" s="36">
        <v>6.47</v>
      </c>
      <c r="F17" s="36">
        <v>3.62</v>
      </c>
      <c r="G17" s="36">
        <v>-0.96</v>
      </c>
      <c r="H17" s="36">
        <v>5.33</v>
      </c>
      <c r="I17" s="36">
        <v>-3.06</v>
      </c>
      <c r="J17" s="36">
        <v>8.8800000000000008</v>
      </c>
      <c r="K17" s="36">
        <v>4.0599999999999996</v>
      </c>
      <c r="L17" s="36">
        <v>12.55</v>
      </c>
      <c r="M17" s="36">
        <v>13.45</v>
      </c>
      <c r="N17" s="36">
        <v>6.2</v>
      </c>
      <c r="O17" s="36">
        <v>3.94</v>
      </c>
      <c r="P17" s="36">
        <v>7.75</v>
      </c>
      <c r="Q17" s="36">
        <v>-8.43</v>
      </c>
      <c r="R17" s="36">
        <v>2.93</v>
      </c>
      <c r="S17" s="36">
        <v>-5.24</v>
      </c>
      <c r="T17" s="36">
        <v>2.72</v>
      </c>
      <c r="U17" s="36">
        <v>3.42</v>
      </c>
      <c r="V17" s="36">
        <v>2.69</v>
      </c>
      <c r="W17" s="36">
        <v>-5.56</v>
      </c>
      <c r="X17" s="36">
        <v>3.09</v>
      </c>
      <c r="Y17" s="36">
        <v>-0.16</v>
      </c>
      <c r="Z17" s="36">
        <v>2.54</v>
      </c>
      <c r="AA17" s="36">
        <v>-4.53</v>
      </c>
      <c r="AB17" s="36">
        <v>8.77</v>
      </c>
      <c r="AC17" s="36">
        <v>6.16</v>
      </c>
      <c r="AD17" s="36">
        <v>-10.62</v>
      </c>
      <c r="AE17" s="36">
        <v>-11.54</v>
      </c>
    </row>
    <row r="18" spans="1:31" ht="17" x14ac:dyDescent="0.45">
      <c r="A18" s="34" t="s">
        <v>109</v>
      </c>
      <c r="B18" s="35" t="s">
        <v>3</v>
      </c>
      <c r="C18" s="37" t="s">
        <v>3</v>
      </c>
      <c r="D18" s="36">
        <v>49.04</v>
      </c>
      <c r="E18" s="36">
        <v>23.18</v>
      </c>
      <c r="F18" s="36">
        <v>2.64</v>
      </c>
      <c r="G18" s="36">
        <v>50.35</v>
      </c>
      <c r="H18" s="36">
        <v>11.92</v>
      </c>
      <c r="I18" s="36">
        <v>16.420000000000002</v>
      </c>
      <c r="J18" s="36">
        <v>3.65</v>
      </c>
      <c r="K18" s="36">
        <v>20.85</v>
      </c>
      <c r="L18" s="36">
        <v>20.48</v>
      </c>
      <c r="M18" s="36">
        <v>63.52</v>
      </c>
      <c r="N18" s="36">
        <v>-0.8</v>
      </c>
      <c r="O18" s="36">
        <v>-11.8</v>
      </c>
      <c r="P18" s="36">
        <v>-7.1</v>
      </c>
      <c r="Q18" s="36">
        <v>-21.63</v>
      </c>
      <c r="R18" s="36">
        <v>2.73</v>
      </c>
      <c r="S18" s="36">
        <v>-21.01</v>
      </c>
      <c r="T18" s="36">
        <v>-14.03</v>
      </c>
      <c r="U18" s="36">
        <v>-11.32</v>
      </c>
      <c r="V18" s="36">
        <v>26.59</v>
      </c>
      <c r="W18" s="36">
        <v>-3.9</v>
      </c>
      <c r="X18" s="36">
        <v>-13.47</v>
      </c>
      <c r="Y18" s="36">
        <v>-6.02</v>
      </c>
      <c r="Z18" s="36">
        <v>7.26</v>
      </c>
      <c r="AA18" s="36">
        <v>10.11</v>
      </c>
      <c r="AB18" s="36">
        <v>14.53</v>
      </c>
      <c r="AC18" s="36">
        <v>-20.91</v>
      </c>
      <c r="AD18" s="36">
        <v>-20.260000000000002</v>
      </c>
      <c r="AE18" s="36">
        <v>-9.08</v>
      </c>
    </row>
    <row r="19" spans="1:31" ht="17" x14ac:dyDescent="0.45">
      <c r="A19" s="34" t="s">
        <v>110</v>
      </c>
      <c r="B19" s="35" t="s">
        <v>3</v>
      </c>
      <c r="C19" s="36">
        <v>25.45</v>
      </c>
      <c r="D19" s="36">
        <v>9.0299999999999994</v>
      </c>
      <c r="E19" s="36">
        <v>6.72</v>
      </c>
      <c r="F19" s="36">
        <v>8.6999999999999993</v>
      </c>
      <c r="G19" s="36">
        <v>7.62</v>
      </c>
      <c r="H19" s="36">
        <v>-3.56</v>
      </c>
      <c r="I19" s="36">
        <v>-1.45</v>
      </c>
      <c r="J19" s="36">
        <v>-11.09</v>
      </c>
      <c r="K19" s="36">
        <v>-2.4500000000000002</v>
      </c>
      <c r="L19" s="36">
        <v>10.6</v>
      </c>
      <c r="M19" s="36">
        <v>7.37</v>
      </c>
      <c r="N19" s="36">
        <v>0.83</v>
      </c>
      <c r="O19" s="36">
        <v>6.02</v>
      </c>
      <c r="P19" s="36">
        <v>-3.74</v>
      </c>
      <c r="Q19" s="36">
        <v>-3.59</v>
      </c>
      <c r="R19" s="36">
        <v>1.95</v>
      </c>
      <c r="S19" s="36">
        <v>-4.12</v>
      </c>
      <c r="T19" s="36">
        <v>-1.4</v>
      </c>
      <c r="U19" s="36">
        <v>-5</v>
      </c>
      <c r="V19" s="36">
        <v>13.46</v>
      </c>
      <c r="W19" s="36">
        <v>-1.54</v>
      </c>
      <c r="X19" s="36">
        <v>5.3</v>
      </c>
      <c r="Y19" s="36">
        <v>7.27</v>
      </c>
      <c r="Z19" s="36">
        <v>-1.01</v>
      </c>
      <c r="AA19" s="36">
        <v>-9.86</v>
      </c>
      <c r="AB19" s="36">
        <v>3.55</v>
      </c>
      <c r="AC19" s="36">
        <v>11.05</v>
      </c>
      <c r="AD19" s="36">
        <v>10.41</v>
      </c>
      <c r="AE19" s="36">
        <v>-4.74</v>
      </c>
    </row>
    <row r="20" spans="1:31" ht="17" x14ac:dyDescent="0.45">
      <c r="A20" s="34" t="s">
        <v>111</v>
      </c>
      <c r="B20" s="35" t="s">
        <v>3</v>
      </c>
      <c r="C20" s="36">
        <v>-5.54</v>
      </c>
      <c r="D20" s="36">
        <v>2.29</v>
      </c>
      <c r="E20" s="36">
        <v>-2.35</v>
      </c>
      <c r="F20" s="36">
        <v>3.27</v>
      </c>
      <c r="G20" s="36">
        <v>6.83</v>
      </c>
      <c r="H20" s="36">
        <v>7.56</v>
      </c>
      <c r="I20" s="36">
        <v>-5.71</v>
      </c>
      <c r="J20" s="36">
        <v>1.64</v>
      </c>
      <c r="K20" s="36">
        <v>1.1499999999999999</v>
      </c>
      <c r="L20" s="36">
        <v>6.34</v>
      </c>
      <c r="M20" s="36">
        <v>-1.04</v>
      </c>
      <c r="N20" s="36">
        <v>-3.58</v>
      </c>
      <c r="O20" s="36">
        <v>5.08</v>
      </c>
      <c r="P20" s="36">
        <v>1.68</v>
      </c>
      <c r="Q20" s="36">
        <v>8.31</v>
      </c>
      <c r="R20" s="36">
        <v>0.33</v>
      </c>
      <c r="S20" s="36">
        <v>5.76</v>
      </c>
      <c r="T20" s="36">
        <v>1.1200000000000001</v>
      </c>
      <c r="U20" s="36">
        <v>0.14000000000000001</v>
      </c>
      <c r="V20" s="36">
        <v>0.66</v>
      </c>
      <c r="W20" s="36">
        <v>-0.56000000000000005</v>
      </c>
      <c r="X20" s="36">
        <v>-1.21</v>
      </c>
      <c r="Y20" s="36">
        <v>-0.1</v>
      </c>
      <c r="Z20" s="36">
        <v>5.85</v>
      </c>
      <c r="AA20" s="36">
        <v>0.91</v>
      </c>
      <c r="AB20" s="36">
        <v>-1.52</v>
      </c>
      <c r="AC20" s="36">
        <v>7.52</v>
      </c>
      <c r="AD20" s="36">
        <v>1.73</v>
      </c>
      <c r="AE20" s="36">
        <v>-4.3600000000000003</v>
      </c>
    </row>
    <row r="21" spans="1:31" ht="17" x14ac:dyDescent="0.45">
      <c r="A21" s="34" t="s">
        <v>112</v>
      </c>
      <c r="B21" s="35" t="s">
        <v>3</v>
      </c>
      <c r="C21" s="36">
        <v>-2.44</v>
      </c>
      <c r="D21" s="36">
        <v>1.95</v>
      </c>
      <c r="E21" s="36">
        <v>1.8</v>
      </c>
      <c r="F21" s="36">
        <v>0.95</v>
      </c>
      <c r="G21" s="36">
        <v>6.22</v>
      </c>
      <c r="H21" s="36">
        <v>-7.79</v>
      </c>
      <c r="I21" s="36">
        <v>4.6900000000000004</v>
      </c>
      <c r="J21" s="36">
        <v>-4.74</v>
      </c>
      <c r="K21" s="36">
        <v>-13.66</v>
      </c>
      <c r="L21" s="36">
        <v>-5.8</v>
      </c>
      <c r="M21" s="36">
        <v>-0.98</v>
      </c>
      <c r="N21" s="36">
        <v>-2.42</v>
      </c>
      <c r="O21" s="36">
        <v>2.58</v>
      </c>
      <c r="P21" s="36">
        <v>-1.1200000000000001</v>
      </c>
      <c r="Q21" s="36">
        <v>-5.72</v>
      </c>
      <c r="R21" s="36">
        <v>7.64</v>
      </c>
      <c r="S21" s="36">
        <v>6.41</v>
      </c>
      <c r="T21" s="36">
        <v>-1.47</v>
      </c>
      <c r="U21" s="36">
        <v>6.52</v>
      </c>
      <c r="V21" s="36">
        <v>-3.57</v>
      </c>
      <c r="W21" s="36">
        <v>2.02</v>
      </c>
      <c r="X21" s="36">
        <v>-2.4</v>
      </c>
      <c r="Y21" s="36">
        <v>6.29</v>
      </c>
      <c r="Z21" s="36">
        <v>-4.5</v>
      </c>
      <c r="AA21" s="36">
        <v>5.2</v>
      </c>
      <c r="AB21" s="36">
        <v>2.92</v>
      </c>
      <c r="AC21" s="36">
        <v>8.1199999999999992</v>
      </c>
      <c r="AD21" s="36">
        <v>-6.46</v>
      </c>
      <c r="AE21" s="36">
        <v>-0.71</v>
      </c>
    </row>
    <row r="22" spans="1:31" ht="17" x14ac:dyDescent="0.45">
      <c r="A22" s="34" t="s">
        <v>113</v>
      </c>
      <c r="B22" s="35" t="s">
        <v>3</v>
      </c>
      <c r="C22" s="37" t="s">
        <v>3</v>
      </c>
      <c r="D22" s="36">
        <v>1.1299999999999999</v>
      </c>
      <c r="E22" s="36">
        <v>-17.71</v>
      </c>
      <c r="F22" s="36">
        <v>-6.82</v>
      </c>
      <c r="G22" s="36">
        <v>-6.95</v>
      </c>
      <c r="H22" s="36">
        <v>-19.79</v>
      </c>
      <c r="I22" s="36">
        <v>-7.69</v>
      </c>
      <c r="J22" s="36">
        <v>7.25</v>
      </c>
      <c r="K22" s="36">
        <v>-1.93</v>
      </c>
      <c r="L22" s="36">
        <v>15.81</v>
      </c>
      <c r="M22" s="36">
        <v>0.39</v>
      </c>
      <c r="N22" s="36">
        <v>-0.53</v>
      </c>
      <c r="O22" s="36">
        <v>9.4700000000000006</v>
      </c>
      <c r="P22" s="36">
        <v>8.25</v>
      </c>
      <c r="Q22" s="36">
        <v>9.0299999999999994</v>
      </c>
      <c r="R22" s="36">
        <v>-3.56</v>
      </c>
      <c r="S22" s="36">
        <v>-10.39</v>
      </c>
      <c r="T22" s="36">
        <v>-27.8</v>
      </c>
      <c r="U22" s="36">
        <v>21.15</v>
      </c>
      <c r="V22" s="36">
        <v>28.18</v>
      </c>
      <c r="W22" s="36">
        <v>-3.91</v>
      </c>
      <c r="X22" s="36">
        <v>15.28</v>
      </c>
      <c r="Y22" s="36">
        <v>5.82</v>
      </c>
      <c r="Z22" s="36">
        <v>-7.94</v>
      </c>
      <c r="AA22" s="36">
        <v>2.56</v>
      </c>
      <c r="AB22" s="36">
        <v>-6.28</v>
      </c>
      <c r="AC22" s="36">
        <v>2.7</v>
      </c>
      <c r="AD22" s="36">
        <v>5.0599999999999996</v>
      </c>
      <c r="AE22" s="36">
        <v>2.31</v>
      </c>
    </row>
    <row r="23" spans="1:31" ht="17" x14ac:dyDescent="0.45">
      <c r="A23" s="34" t="s">
        <v>114</v>
      </c>
      <c r="B23" s="35" t="s">
        <v>3</v>
      </c>
      <c r="C23" s="37" t="s">
        <v>3</v>
      </c>
      <c r="D23" s="36">
        <v>-15.61</v>
      </c>
      <c r="E23" s="36">
        <v>-26.34</v>
      </c>
      <c r="F23" s="36">
        <v>2.4500000000000002</v>
      </c>
      <c r="G23" s="36">
        <v>-17.149999999999999</v>
      </c>
      <c r="H23" s="36">
        <v>3.43</v>
      </c>
      <c r="I23" s="36">
        <v>6.52</v>
      </c>
      <c r="J23" s="36">
        <v>10.87</v>
      </c>
      <c r="K23" s="36">
        <v>8.61</v>
      </c>
      <c r="L23" s="36">
        <v>-2.4</v>
      </c>
      <c r="M23" s="36">
        <v>1.83</v>
      </c>
      <c r="N23" s="36">
        <v>-2.19</v>
      </c>
      <c r="O23" s="36">
        <v>-5.19</v>
      </c>
      <c r="P23" s="36">
        <v>-7.55</v>
      </c>
      <c r="Q23" s="36">
        <v>3.58</v>
      </c>
      <c r="R23" s="36">
        <v>-2.4500000000000002</v>
      </c>
      <c r="S23" s="36">
        <v>-3.26</v>
      </c>
      <c r="T23" s="36">
        <v>-8.94</v>
      </c>
      <c r="U23" s="36">
        <v>3.84</v>
      </c>
      <c r="V23" s="36">
        <v>-0.51</v>
      </c>
      <c r="W23" s="36">
        <v>4.18</v>
      </c>
      <c r="X23" s="36">
        <v>3.58</v>
      </c>
      <c r="Y23" s="36">
        <v>4.2</v>
      </c>
      <c r="Z23" s="36">
        <v>9</v>
      </c>
      <c r="AA23" s="36">
        <v>10.09</v>
      </c>
      <c r="AB23" s="36">
        <v>6.14</v>
      </c>
      <c r="AC23" s="36">
        <v>11.25</v>
      </c>
      <c r="AD23" s="36">
        <v>-3.42</v>
      </c>
      <c r="AE23" s="36">
        <v>-0.39</v>
      </c>
    </row>
    <row r="24" spans="1:31" ht="17" x14ac:dyDescent="0.45">
      <c r="A24" s="34" t="s">
        <v>115</v>
      </c>
      <c r="B24" s="35" t="s">
        <v>3</v>
      </c>
      <c r="C24" s="37" t="s">
        <v>3</v>
      </c>
      <c r="D24" s="36">
        <v>15.55</v>
      </c>
      <c r="E24" s="36">
        <v>11.84</v>
      </c>
      <c r="F24" s="36">
        <v>-16.91</v>
      </c>
      <c r="G24" s="36">
        <v>8.73</v>
      </c>
      <c r="H24" s="36">
        <v>-2.65</v>
      </c>
      <c r="I24" s="36">
        <v>7.67</v>
      </c>
      <c r="J24" s="36">
        <v>7.71</v>
      </c>
      <c r="K24" s="36">
        <v>26.99</v>
      </c>
      <c r="L24" s="36">
        <v>12.19</v>
      </c>
      <c r="M24" s="36">
        <v>6.5</v>
      </c>
      <c r="N24" s="36">
        <v>15.05</v>
      </c>
      <c r="O24" s="36">
        <v>30.89</v>
      </c>
      <c r="P24" s="36">
        <v>4.83</v>
      </c>
      <c r="Q24" s="36">
        <v>16</v>
      </c>
      <c r="R24" s="36">
        <v>-3.96</v>
      </c>
      <c r="S24" s="36">
        <v>-3.01</v>
      </c>
      <c r="T24" s="36">
        <v>-0.01</v>
      </c>
      <c r="U24" s="36">
        <v>-3.57</v>
      </c>
      <c r="V24" s="36">
        <v>1.28</v>
      </c>
      <c r="W24" s="36">
        <v>-3</v>
      </c>
      <c r="X24" s="36">
        <v>7.2</v>
      </c>
      <c r="Y24" s="36">
        <v>8.15</v>
      </c>
      <c r="Z24" s="36">
        <v>6.61</v>
      </c>
      <c r="AA24" s="36">
        <v>5.64</v>
      </c>
      <c r="AB24" s="36">
        <v>10.07</v>
      </c>
      <c r="AC24" s="36">
        <v>7.64</v>
      </c>
      <c r="AD24" s="36">
        <v>4.17</v>
      </c>
      <c r="AE24" s="36">
        <v>-1.71</v>
      </c>
    </row>
    <row r="25" spans="1:31" ht="17" x14ac:dyDescent="0.45">
      <c r="A25" s="34" t="s">
        <v>116</v>
      </c>
      <c r="B25" s="35" t="s">
        <v>3</v>
      </c>
      <c r="C25" s="37" t="s">
        <v>3</v>
      </c>
      <c r="D25" s="36">
        <v>10.66</v>
      </c>
      <c r="E25" s="36">
        <v>12.83</v>
      </c>
      <c r="F25" s="36">
        <v>2.1800000000000002</v>
      </c>
      <c r="G25" s="36">
        <v>-4.22</v>
      </c>
      <c r="H25" s="36">
        <v>10.029999999999999</v>
      </c>
      <c r="I25" s="36">
        <v>6.52</v>
      </c>
      <c r="J25" s="36">
        <v>3.84</v>
      </c>
      <c r="K25" s="36">
        <v>-5.9</v>
      </c>
      <c r="L25" s="36">
        <v>4.29</v>
      </c>
      <c r="M25" s="36">
        <v>-0.74</v>
      </c>
      <c r="N25" s="36">
        <v>9.08</v>
      </c>
      <c r="O25" s="36">
        <v>0.53</v>
      </c>
      <c r="P25" s="36">
        <v>-3.74</v>
      </c>
      <c r="Q25" s="36">
        <v>-5.72</v>
      </c>
      <c r="R25" s="36">
        <v>14.54</v>
      </c>
      <c r="S25" s="36">
        <v>-0.21</v>
      </c>
      <c r="T25" s="36">
        <v>-12.76</v>
      </c>
      <c r="U25" s="36">
        <v>-9.27</v>
      </c>
      <c r="V25" s="36">
        <v>1.5</v>
      </c>
      <c r="W25" s="36">
        <v>1.67</v>
      </c>
      <c r="X25" s="36">
        <v>-19.21</v>
      </c>
      <c r="Y25" s="36">
        <v>4.3099999999999996</v>
      </c>
      <c r="Z25" s="36">
        <v>7.04</v>
      </c>
      <c r="AA25" s="36">
        <v>-9.9</v>
      </c>
      <c r="AB25" s="36">
        <v>-10.41</v>
      </c>
      <c r="AC25" s="36">
        <v>21.14</v>
      </c>
      <c r="AD25" s="36">
        <v>-13.95</v>
      </c>
      <c r="AE25" s="36">
        <v>10.71</v>
      </c>
    </row>
    <row r="26" spans="1:31" ht="17" x14ac:dyDescent="0.45">
      <c r="A26" s="34" t="s">
        <v>117</v>
      </c>
      <c r="B26" s="35" t="s">
        <v>3</v>
      </c>
      <c r="C26" s="37" t="s">
        <v>3</v>
      </c>
      <c r="D26" s="36">
        <v>10.98</v>
      </c>
      <c r="E26" s="36">
        <v>-4.88</v>
      </c>
      <c r="F26" s="36">
        <v>7.66</v>
      </c>
      <c r="G26" s="36">
        <v>5.31</v>
      </c>
      <c r="H26" s="36">
        <v>9.58</v>
      </c>
      <c r="I26" s="36">
        <v>1.1599999999999999</v>
      </c>
      <c r="J26" s="36">
        <v>-0.05</v>
      </c>
      <c r="K26" s="36">
        <v>-1.57</v>
      </c>
      <c r="L26" s="36">
        <v>-3.28</v>
      </c>
      <c r="M26" s="36">
        <v>0.77</v>
      </c>
      <c r="N26" s="36">
        <v>11.7</v>
      </c>
      <c r="O26" s="36">
        <v>-8.69</v>
      </c>
      <c r="P26" s="36">
        <v>-7.63</v>
      </c>
      <c r="Q26" s="36">
        <v>-8.8000000000000007</v>
      </c>
      <c r="R26" s="36">
        <v>-6.32</v>
      </c>
      <c r="S26" s="36">
        <v>-2.02</v>
      </c>
      <c r="T26" s="36">
        <v>1.47</v>
      </c>
      <c r="U26" s="36">
        <v>-5.31</v>
      </c>
      <c r="V26" s="36">
        <v>-5.53</v>
      </c>
      <c r="W26" s="36">
        <v>3.06</v>
      </c>
      <c r="X26" s="36">
        <v>1.01</v>
      </c>
      <c r="Y26" s="36">
        <v>-0.83</v>
      </c>
      <c r="Z26" s="36">
        <v>1.06</v>
      </c>
      <c r="AA26" s="36">
        <v>8.18</v>
      </c>
      <c r="AB26" s="36">
        <v>10.09</v>
      </c>
      <c r="AC26" s="36">
        <v>1.24</v>
      </c>
      <c r="AD26" s="36">
        <v>4.3</v>
      </c>
      <c r="AE26" s="37" t="s">
        <v>3</v>
      </c>
    </row>
    <row r="27" spans="1:31" ht="17" x14ac:dyDescent="0.45">
      <c r="A27" s="34" t="s">
        <v>118</v>
      </c>
      <c r="B27" s="35" t="s">
        <v>3</v>
      </c>
      <c r="C27" s="36">
        <v>-4.84</v>
      </c>
      <c r="D27" s="36">
        <v>5.62</v>
      </c>
      <c r="E27" s="36">
        <v>2.2999999999999998</v>
      </c>
      <c r="F27" s="36">
        <v>-1.23</v>
      </c>
      <c r="G27" s="36">
        <v>-3.12</v>
      </c>
      <c r="H27" s="36">
        <v>6.65</v>
      </c>
      <c r="I27" s="36">
        <v>-1.87</v>
      </c>
      <c r="J27" s="36">
        <v>-5.78</v>
      </c>
      <c r="K27" s="36">
        <v>0.85</v>
      </c>
      <c r="L27" s="36">
        <v>1.83</v>
      </c>
      <c r="M27" s="36">
        <v>5.88</v>
      </c>
      <c r="N27" s="36">
        <v>2.06</v>
      </c>
      <c r="O27" s="36">
        <v>3.48</v>
      </c>
      <c r="P27" s="36">
        <v>-1.1100000000000001</v>
      </c>
      <c r="Q27" s="36">
        <v>0.79</v>
      </c>
      <c r="R27" s="36">
        <v>5.86</v>
      </c>
      <c r="S27" s="36">
        <v>4.4400000000000004</v>
      </c>
      <c r="T27" s="36">
        <v>1.49</v>
      </c>
      <c r="U27" s="36">
        <v>-0.87</v>
      </c>
      <c r="V27" s="36">
        <v>-0.65</v>
      </c>
      <c r="W27" s="36">
        <v>-1.49</v>
      </c>
      <c r="X27" s="36">
        <v>-0.56000000000000005</v>
      </c>
      <c r="Y27" s="36">
        <v>1.81</v>
      </c>
      <c r="Z27" s="36">
        <v>2.38</v>
      </c>
      <c r="AA27" s="36">
        <v>-0.3</v>
      </c>
      <c r="AB27" s="36">
        <v>0.7</v>
      </c>
      <c r="AC27" s="36">
        <v>0.68</v>
      </c>
      <c r="AD27" s="36">
        <v>-0.79</v>
      </c>
      <c r="AE27" s="36">
        <v>-7.01</v>
      </c>
    </row>
    <row r="28" spans="1:31" ht="17" x14ac:dyDescent="0.45">
      <c r="A28" s="34" t="s">
        <v>136</v>
      </c>
      <c r="B28" s="35" t="s">
        <v>3</v>
      </c>
      <c r="C28" s="36">
        <v>-4.88</v>
      </c>
      <c r="D28" s="36">
        <v>4.1100000000000003</v>
      </c>
      <c r="E28" s="36">
        <v>4.25</v>
      </c>
      <c r="F28" s="36">
        <v>-4.6399999999999997</v>
      </c>
      <c r="G28" s="36">
        <v>1.54</v>
      </c>
      <c r="H28" s="36">
        <v>4.6900000000000004</v>
      </c>
      <c r="I28" s="36">
        <v>2.0099999999999998</v>
      </c>
      <c r="J28" s="36">
        <v>-2.2400000000000002</v>
      </c>
      <c r="K28" s="36">
        <v>4.29</v>
      </c>
      <c r="L28" s="36">
        <v>-0.97</v>
      </c>
      <c r="M28" s="36">
        <v>2.91</v>
      </c>
      <c r="N28" s="36">
        <v>2.6</v>
      </c>
      <c r="O28" s="36">
        <v>4.7699999999999996</v>
      </c>
      <c r="P28" s="36">
        <v>-18</v>
      </c>
      <c r="Q28" s="36">
        <v>0.5</v>
      </c>
      <c r="R28" s="36">
        <v>2.69</v>
      </c>
      <c r="S28" s="36">
        <v>-0.85</v>
      </c>
      <c r="T28" s="36">
        <v>0.71</v>
      </c>
      <c r="U28" s="36">
        <v>8.8800000000000008</v>
      </c>
      <c r="V28" s="36">
        <v>5.81</v>
      </c>
      <c r="W28" s="36">
        <v>3.3</v>
      </c>
      <c r="X28" s="36">
        <v>-6.81</v>
      </c>
      <c r="Y28" s="36">
        <v>-0.78</v>
      </c>
      <c r="Z28" s="36">
        <v>2.6</v>
      </c>
      <c r="AA28" s="36">
        <v>-2.83</v>
      </c>
      <c r="AB28" s="36">
        <v>5.34</v>
      </c>
      <c r="AC28" s="36">
        <v>8.25</v>
      </c>
      <c r="AD28" s="36">
        <v>12.62</v>
      </c>
      <c r="AE28" s="37" t="s">
        <v>3</v>
      </c>
    </row>
    <row r="29" spans="1:31" ht="17" x14ac:dyDescent="0.45">
      <c r="A29" s="34" t="s">
        <v>134</v>
      </c>
      <c r="B29" s="35" t="s">
        <v>3</v>
      </c>
      <c r="C29" s="37" t="s">
        <v>3</v>
      </c>
      <c r="D29" s="37" t="s">
        <v>3</v>
      </c>
      <c r="E29" s="37" t="s">
        <v>3</v>
      </c>
      <c r="F29" s="37" t="s">
        <v>3</v>
      </c>
      <c r="G29" s="37" t="s">
        <v>3</v>
      </c>
      <c r="H29" s="37" t="s">
        <v>3</v>
      </c>
      <c r="I29" s="37" t="s">
        <v>3</v>
      </c>
      <c r="J29" s="37" t="s">
        <v>3</v>
      </c>
      <c r="K29" s="37" t="s">
        <v>3</v>
      </c>
      <c r="L29" s="37" t="s">
        <v>3</v>
      </c>
      <c r="M29" s="36">
        <v>5.62</v>
      </c>
      <c r="N29" s="36">
        <v>-1.33</v>
      </c>
      <c r="O29" s="36">
        <v>9.4</v>
      </c>
      <c r="P29" s="36">
        <v>4.0999999999999996</v>
      </c>
      <c r="Q29" s="36">
        <v>13.41</v>
      </c>
      <c r="R29" s="36">
        <v>-2.21</v>
      </c>
      <c r="S29" s="36">
        <v>-2.27</v>
      </c>
      <c r="T29" s="36">
        <v>5.41</v>
      </c>
      <c r="U29" s="36">
        <v>1.8</v>
      </c>
      <c r="V29" s="36">
        <v>9.16</v>
      </c>
      <c r="W29" s="36">
        <v>14.31</v>
      </c>
      <c r="X29" s="36">
        <v>1.06</v>
      </c>
      <c r="Y29" s="36">
        <v>5.18</v>
      </c>
      <c r="Z29" s="36">
        <v>-0.26</v>
      </c>
      <c r="AA29" s="36">
        <v>8.16</v>
      </c>
      <c r="AB29" s="36">
        <v>12.92</v>
      </c>
      <c r="AC29" s="36">
        <v>3.81</v>
      </c>
      <c r="AD29" s="36">
        <v>6.25</v>
      </c>
      <c r="AE29" s="36">
        <v>-0.22</v>
      </c>
    </row>
    <row r="30" spans="1:31" ht="17" x14ac:dyDescent="0.45">
      <c r="A30" s="34" t="s">
        <v>119</v>
      </c>
      <c r="B30" s="35" t="s">
        <v>3</v>
      </c>
      <c r="C30" s="37" t="s">
        <v>3</v>
      </c>
      <c r="D30" s="36">
        <v>13.37</v>
      </c>
      <c r="E30" s="36">
        <v>16.59</v>
      </c>
      <c r="F30" s="36">
        <v>33.04</v>
      </c>
      <c r="G30" s="36">
        <v>-7.85</v>
      </c>
      <c r="H30" s="36">
        <v>4.22</v>
      </c>
      <c r="I30" s="36">
        <v>6.01</v>
      </c>
      <c r="J30" s="36">
        <v>6.46</v>
      </c>
      <c r="K30" s="36">
        <v>-3.12</v>
      </c>
      <c r="L30" s="36">
        <v>8.01</v>
      </c>
      <c r="M30" s="36">
        <v>13.06</v>
      </c>
      <c r="N30" s="36">
        <v>33.08</v>
      </c>
      <c r="O30" s="36">
        <v>14.56</v>
      </c>
      <c r="P30" s="36">
        <v>11.59</v>
      </c>
      <c r="Q30" s="36">
        <v>8.83</v>
      </c>
      <c r="R30" s="36">
        <v>-2.62</v>
      </c>
      <c r="S30" s="36">
        <v>-11.83</v>
      </c>
      <c r="T30" s="36">
        <v>11.94</v>
      </c>
      <c r="U30" s="36">
        <v>10.72</v>
      </c>
      <c r="V30" s="36">
        <v>4.4800000000000004</v>
      </c>
      <c r="W30" s="36">
        <v>10.84</v>
      </c>
      <c r="X30" s="36">
        <v>-3.69</v>
      </c>
      <c r="Y30" s="36">
        <v>-19.13</v>
      </c>
      <c r="Z30" s="36">
        <v>5.73</v>
      </c>
      <c r="AA30" s="36">
        <v>-17.940000000000001</v>
      </c>
      <c r="AB30" s="36">
        <v>-9.75</v>
      </c>
      <c r="AC30" s="36">
        <v>22.65</v>
      </c>
      <c r="AD30" s="36">
        <v>2.2400000000000002</v>
      </c>
      <c r="AE30" s="36">
        <v>-6.7</v>
      </c>
    </row>
    <row r="31" spans="1:31" ht="17" x14ac:dyDescent="0.45">
      <c r="A31" s="34" t="s">
        <v>120</v>
      </c>
      <c r="B31" s="35" t="s">
        <v>3</v>
      </c>
      <c r="C31" s="37" t="s">
        <v>3</v>
      </c>
      <c r="D31" s="36">
        <v>-1.45</v>
      </c>
      <c r="E31" s="36">
        <v>9.2200000000000006</v>
      </c>
      <c r="F31" s="36">
        <v>5.57</v>
      </c>
      <c r="G31" s="36">
        <v>10.4</v>
      </c>
      <c r="H31" s="36">
        <v>6.07</v>
      </c>
      <c r="I31" s="36">
        <v>36</v>
      </c>
      <c r="J31" s="36">
        <v>-15.4</v>
      </c>
      <c r="K31" s="36">
        <v>-11.48</v>
      </c>
      <c r="L31" s="36">
        <v>20.29</v>
      </c>
      <c r="M31" s="36">
        <v>-12.72</v>
      </c>
      <c r="N31" s="36">
        <v>15.68</v>
      </c>
      <c r="O31" s="36">
        <v>-20.39</v>
      </c>
      <c r="P31" s="36">
        <v>14.99</v>
      </c>
      <c r="Q31" s="36">
        <v>-14.25</v>
      </c>
      <c r="R31" s="36">
        <v>8.8699999999999992</v>
      </c>
      <c r="S31" s="36">
        <v>25.23</v>
      </c>
      <c r="T31" s="36">
        <v>-8.83</v>
      </c>
      <c r="U31" s="36">
        <v>8.36</v>
      </c>
      <c r="V31" s="36">
        <v>-6.49</v>
      </c>
      <c r="W31" s="36">
        <v>2.37</v>
      </c>
      <c r="X31" s="36">
        <v>-2.5499999999999998</v>
      </c>
      <c r="Y31" s="36">
        <v>-3.62</v>
      </c>
      <c r="Z31" s="36">
        <v>10</v>
      </c>
      <c r="AA31" s="36">
        <v>-3.55</v>
      </c>
      <c r="AB31" s="36">
        <v>-17.34</v>
      </c>
      <c r="AC31" s="36">
        <v>-4.46</v>
      </c>
      <c r="AD31" s="36">
        <v>7.09</v>
      </c>
      <c r="AE31" s="36">
        <v>13.1</v>
      </c>
    </row>
    <row r="32" spans="1:31" ht="17" x14ac:dyDescent="0.45">
      <c r="A32" s="34" t="s">
        <v>121</v>
      </c>
      <c r="B32" s="35" t="s">
        <v>3</v>
      </c>
      <c r="C32" s="37" t="s">
        <v>3</v>
      </c>
      <c r="D32" s="36">
        <v>-0.44</v>
      </c>
      <c r="E32" s="36">
        <v>2.65</v>
      </c>
      <c r="F32" s="36">
        <v>-4.01</v>
      </c>
      <c r="G32" s="36">
        <v>2.1</v>
      </c>
      <c r="H32" s="36">
        <v>-3.38</v>
      </c>
      <c r="I32" s="36">
        <v>-7.36</v>
      </c>
      <c r="J32" s="36">
        <v>2.4300000000000002</v>
      </c>
      <c r="K32" s="36">
        <v>3.09</v>
      </c>
      <c r="L32" s="36">
        <v>6.2</v>
      </c>
      <c r="M32" s="36">
        <v>6.44</v>
      </c>
      <c r="N32" s="36">
        <v>7.34</v>
      </c>
      <c r="O32" s="36">
        <v>-1.63</v>
      </c>
      <c r="P32" s="36">
        <v>-10.78</v>
      </c>
      <c r="Q32" s="36">
        <v>-6.34</v>
      </c>
      <c r="R32" s="36">
        <v>0.52</v>
      </c>
      <c r="S32" s="36">
        <v>-7.73</v>
      </c>
      <c r="T32" s="36">
        <v>-0.28000000000000003</v>
      </c>
      <c r="U32" s="36">
        <v>2.08</v>
      </c>
      <c r="V32" s="36">
        <v>1.77</v>
      </c>
      <c r="W32" s="36">
        <v>2.06</v>
      </c>
      <c r="X32" s="36">
        <v>-1.59</v>
      </c>
      <c r="Y32" s="36">
        <v>-2.83</v>
      </c>
      <c r="Z32" s="36">
        <v>-5.14</v>
      </c>
      <c r="AA32" s="36">
        <v>-3.46</v>
      </c>
      <c r="AB32" s="36">
        <v>4.13</v>
      </c>
      <c r="AC32" s="36">
        <v>10.71</v>
      </c>
      <c r="AD32" s="36">
        <v>-7.87</v>
      </c>
      <c r="AE32" s="36">
        <v>-9.98</v>
      </c>
    </row>
    <row r="33" spans="1:31" ht="17" x14ac:dyDescent="0.45">
      <c r="A33" s="34" t="s">
        <v>122</v>
      </c>
      <c r="B33" s="35" t="s">
        <v>3</v>
      </c>
      <c r="C33" s="37" t="s">
        <v>3</v>
      </c>
      <c r="D33" s="37" t="s">
        <v>3</v>
      </c>
      <c r="E33" s="37" t="s">
        <v>3</v>
      </c>
      <c r="F33" s="37" t="s">
        <v>3</v>
      </c>
      <c r="G33" s="37" t="s">
        <v>3</v>
      </c>
      <c r="H33" s="37" t="s">
        <v>3</v>
      </c>
      <c r="I33" s="37" t="s">
        <v>3</v>
      </c>
      <c r="J33" s="37" t="s">
        <v>3</v>
      </c>
      <c r="K33" s="37" t="s">
        <v>3</v>
      </c>
      <c r="L33" s="37" t="s">
        <v>3</v>
      </c>
      <c r="M33" s="37" t="s">
        <v>3</v>
      </c>
      <c r="N33" s="36">
        <v>-6.48</v>
      </c>
      <c r="O33" s="36">
        <v>-0.65</v>
      </c>
      <c r="P33" s="36">
        <v>19.579999999999998</v>
      </c>
      <c r="Q33" s="36">
        <v>12.18</v>
      </c>
      <c r="R33" s="36">
        <v>10.73</v>
      </c>
      <c r="S33" s="36">
        <v>1.43</v>
      </c>
      <c r="T33" s="36">
        <v>-11.05</v>
      </c>
      <c r="U33" s="36">
        <v>17.489999999999998</v>
      </c>
      <c r="V33" s="36">
        <v>2.4</v>
      </c>
      <c r="W33" s="36">
        <v>8.85</v>
      </c>
      <c r="X33" s="36">
        <v>17.32</v>
      </c>
      <c r="Y33" s="36">
        <v>4.3899999999999997</v>
      </c>
      <c r="Z33" s="36">
        <v>-0.08</v>
      </c>
      <c r="AA33" s="36">
        <v>-2.16</v>
      </c>
      <c r="AB33" s="36">
        <v>-14.19</v>
      </c>
      <c r="AC33" s="36">
        <v>4.8099999999999996</v>
      </c>
      <c r="AD33" s="36">
        <v>0.94</v>
      </c>
      <c r="AE33" s="36">
        <v>6.79</v>
      </c>
    </row>
    <row r="34" spans="1:31" ht="17" x14ac:dyDescent="0.45">
      <c r="A34" s="34" t="s">
        <v>123</v>
      </c>
      <c r="B34" s="35" t="s">
        <v>3</v>
      </c>
      <c r="C34" s="37" t="s">
        <v>3</v>
      </c>
      <c r="D34" s="36">
        <v>3.62</v>
      </c>
      <c r="E34" s="36">
        <v>2.31</v>
      </c>
      <c r="F34" s="36">
        <v>3.45</v>
      </c>
      <c r="G34" s="36">
        <v>1.32</v>
      </c>
      <c r="H34" s="36">
        <v>-0.61</v>
      </c>
      <c r="I34" s="36">
        <v>-0.62</v>
      </c>
      <c r="J34" s="36">
        <v>2.63</v>
      </c>
      <c r="K34" s="36">
        <v>3.65</v>
      </c>
      <c r="L34" s="36">
        <v>5.25</v>
      </c>
      <c r="M34" s="36">
        <v>1.2</v>
      </c>
      <c r="N34" s="36">
        <v>1.95</v>
      </c>
      <c r="O34" s="36">
        <v>6.93</v>
      </c>
      <c r="P34" s="36">
        <v>8.25</v>
      </c>
      <c r="Q34" s="36">
        <v>1.68</v>
      </c>
      <c r="R34" s="36">
        <v>4.1100000000000003</v>
      </c>
      <c r="S34" s="36">
        <v>2.64</v>
      </c>
      <c r="T34" s="36">
        <v>-2.19</v>
      </c>
      <c r="U34" s="36">
        <v>1.29</v>
      </c>
      <c r="V34" s="36">
        <v>5.47</v>
      </c>
      <c r="W34" s="36">
        <v>4.22</v>
      </c>
      <c r="X34" s="36">
        <v>1.33</v>
      </c>
      <c r="Y34" s="36">
        <v>1.44</v>
      </c>
      <c r="Z34" s="36">
        <v>0.98</v>
      </c>
      <c r="AA34" s="36">
        <v>0.85</v>
      </c>
      <c r="AB34" s="36">
        <v>-2.35</v>
      </c>
      <c r="AC34" s="36">
        <v>1.95</v>
      </c>
      <c r="AD34" s="36">
        <v>-2.0499999999999998</v>
      </c>
      <c r="AE34" s="36">
        <v>-3.77</v>
      </c>
    </row>
    <row r="35" spans="1:31" ht="17" x14ac:dyDescent="0.45">
      <c r="A35" s="34" t="s">
        <v>124</v>
      </c>
      <c r="B35" s="35" t="s">
        <v>3</v>
      </c>
      <c r="C35" s="37" t="s">
        <v>3</v>
      </c>
      <c r="D35" s="37" t="s">
        <v>3</v>
      </c>
      <c r="E35" s="37" t="s">
        <v>3</v>
      </c>
      <c r="F35" s="37" t="s">
        <v>3</v>
      </c>
      <c r="G35" s="37" t="s">
        <v>3</v>
      </c>
      <c r="H35" s="37" t="s">
        <v>3</v>
      </c>
      <c r="I35" s="37" t="s">
        <v>3</v>
      </c>
      <c r="J35" s="37" t="s">
        <v>3</v>
      </c>
      <c r="K35" s="37" t="s">
        <v>3</v>
      </c>
      <c r="L35" s="37" t="s">
        <v>3</v>
      </c>
      <c r="M35" s="37" t="s">
        <v>3</v>
      </c>
      <c r="N35" s="37" t="s">
        <v>3</v>
      </c>
      <c r="O35" s="37" t="s">
        <v>3</v>
      </c>
      <c r="P35" s="37" t="s">
        <v>3</v>
      </c>
      <c r="Q35" s="37" t="s">
        <v>3</v>
      </c>
      <c r="R35" s="36">
        <v>11.25</v>
      </c>
      <c r="S35" s="36">
        <v>-6.23</v>
      </c>
      <c r="T35" s="36">
        <v>-0.51</v>
      </c>
      <c r="U35" s="36">
        <v>3.61</v>
      </c>
      <c r="V35" s="36">
        <v>1.94</v>
      </c>
      <c r="W35" s="36">
        <v>4.83</v>
      </c>
      <c r="X35" s="36">
        <v>-1.96</v>
      </c>
      <c r="Y35" s="36">
        <v>2.89</v>
      </c>
      <c r="Z35" s="36">
        <v>-0.1</v>
      </c>
      <c r="AA35" s="36">
        <v>-7.12</v>
      </c>
      <c r="AB35" s="36">
        <v>0.1</v>
      </c>
      <c r="AC35" s="36">
        <v>-4.62</v>
      </c>
      <c r="AD35" s="36">
        <v>-3.41</v>
      </c>
      <c r="AE35" s="37" t="s">
        <v>3</v>
      </c>
    </row>
    <row r="36" spans="1:31" ht="17" x14ac:dyDescent="0.45">
      <c r="A36" s="34" t="s">
        <v>125</v>
      </c>
      <c r="B36" s="35" t="s">
        <v>3</v>
      </c>
      <c r="C36" s="36">
        <v>-0.88</v>
      </c>
      <c r="D36" s="36">
        <v>-10.71</v>
      </c>
      <c r="E36" s="36">
        <v>8.32</v>
      </c>
      <c r="F36" s="36">
        <v>8.99</v>
      </c>
      <c r="G36" s="36">
        <v>3.59</v>
      </c>
      <c r="H36" s="36">
        <v>9.16</v>
      </c>
      <c r="I36" s="36">
        <v>8.08</v>
      </c>
      <c r="J36" s="36">
        <v>1.4</v>
      </c>
      <c r="K36" s="36">
        <v>13.61</v>
      </c>
      <c r="L36" s="36">
        <v>8.09</v>
      </c>
      <c r="M36" s="36">
        <v>12.78</v>
      </c>
      <c r="N36" s="36">
        <v>7.62</v>
      </c>
      <c r="O36" s="36">
        <v>6.26</v>
      </c>
      <c r="P36" s="36">
        <v>-2.02</v>
      </c>
      <c r="Q36" s="36">
        <v>-1.59</v>
      </c>
      <c r="R36" s="36">
        <v>-2.3199999999999998</v>
      </c>
      <c r="S36" s="36">
        <v>-0.99</v>
      </c>
      <c r="T36" s="36">
        <v>3.76</v>
      </c>
      <c r="U36" s="36">
        <v>6.39</v>
      </c>
      <c r="V36" s="36">
        <v>4.3899999999999997</v>
      </c>
      <c r="W36" s="36">
        <v>8.9700000000000006</v>
      </c>
      <c r="X36" s="36">
        <v>7.82</v>
      </c>
      <c r="Y36" s="36">
        <v>2.77</v>
      </c>
      <c r="Z36" s="36">
        <v>-0.94</v>
      </c>
      <c r="AA36" s="36">
        <v>-2.35</v>
      </c>
      <c r="AB36" s="36">
        <v>8.41</v>
      </c>
      <c r="AC36" s="36">
        <v>-0.31</v>
      </c>
      <c r="AD36" s="36">
        <v>-2.58</v>
      </c>
      <c r="AE36" s="36">
        <v>-1.59</v>
      </c>
    </row>
    <row r="37" spans="1:31" ht="17" x14ac:dyDescent="0.45">
      <c r="A37" s="34" t="s">
        <v>126</v>
      </c>
      <c r="B37" s="35" t="s">
        <v>3</v>
      </c>
      <c r="C37" s="37" t="s">
        <v>3</v>
      </c>
      <c r="D37" s="36">
        <v>7.1</v>
      </c>
      <c r="E37" s="36">
        <v>28.95</v>
      </c>
      <c r="F37" s="36">
        <v>-10.17</v>
      </c>
      <c r="G37" s="36">
        <v>12.94</v>
      </c>
      <c r="H37" s="36">
        <v>21.73</v>
      </c>
      <c r="I37" s="36">
        <v>-1.8</v>
      </c>
      <c r="J37" s="36">
        <v>-7.14</v>
      </c>
      <c r="K37" s="36">
        <v>4.55</v>
      </c>
      <c r="L37" s="36">
        <v>2.25</v>
      </c>
      <c r="M37" s="36">
        <v>-3.47</v>
      </c>
      <c r="N37" s="36">
        <v>-5.42</v>
      </c>
      <c r="O37" s="36">
        <v>15.85</v>
      </c>
      <c r="P37" s="36">
        <v>27.14</v>
      </c>
      <c r="Q37" s="36">
        <v>-26.54</v>
      </c>
      <c r="R37" s="36">
        <v>5.99</v>
      </c>
      <c r="S37" s="36">
        <v>4.18</v>
      </c>
      <c r="T37" s="36">
        <v>-16.78</v>
      </c>
      <c r="U37" s="36">
        <v>14.79</v>
      </c>
      <c r="V37" s="36">
        <v>11.46</v>
      </c>
      <c r="W37" s="36">
        <v>10.94</v>
      </c>
      <c r="X37" s="36">
        <v>5.3</v>
      </c>
      <c r="Y37" s="36">
        <v>-0.21</v>
      </c>
      <c r="Z37" s="36">
        <v>20.57</v>
      </c>
      <c r="AA37" s="36">
        <v>5.29</v>
      </c>
      <c r="AB37" s="36">
        <v>-14.96</v>
      </c>
      <c r="AC37" s="36">
        <v>-7.75</v>
      </c>
      <c r="AD37" s="36">
        <v>43.65</v>
      </c>
      <c r="AE37" s="36">
        <v>-8.73</v>
      </c>
    </row>
    <row r="38" spans="1:31" ht="17" x14ac:dyDescent="0.45">
      <c r="A38" s="34" t="s">
        <v>127</v>
      </c>
      <c r="B38" s="35" t="s">
        <v>3</v>
      </c>
      <c r="C38" s="37" t="s">
        <v>3</v>
      </c>
      <c r="D38" s="36">
        <v>2.15</v>
      </c>
      <c r="E38" s="36">
        <v>13.1</v>
      </c>
      <c r="F38" s="36">
        <v>17.18</v>
      </c>
      <c r="G38" s="36">
        <v>12.4</v>
      </c>
      <c r="H38" s="36">
        <v>0.67</v>
      </c>
      <c r="I38" s="36">
        <v>20.82</v>
      </c>
      <c r="J38" s="36">
        <v>9.4600000000000009</v>
      </c>
      <c r="K38" s="36">
        <v>10.75</v>
      </c>
      <c r="L38" s="36">
        <v>11.05</v>
      </c>
      <c r="M38" s="36">
        <v>0.79</v>
      </c>
      <c r="N38" s="36">
        <v>9.07</v>
      </c>
      <c r="O38" s="36">
        <v>7.52</v>
      </c>
      <c r="P38" s="36">
        <v>5.0999999999999996</v>
      </c>
      <c r="Q38" s="36">
        <v>-2.89</v>
      </c>
      <c r="R38" s="36">
        <v>-3.13</v>
      </c>
      <c r="S38" s="36">
        <v>-0.75</v>
      </c>
      <c r="T38" s="36">
        <v>-6.39</v>
      </c>
      <c r="U38" s="36">
        <v>-3.04</v>
      </c>
      <c r="V38" s="36">
        <v>-7.72</v>
      </c>
      <c r="W38" s="36">
        <v>-3.44</v>
      </c>
      <c r="X38" s="36">
        <v>-0.46</v>
      </c>
      <c r="Y38" s="36">
        <v>-2.23</v>
      </c>
      <c r="Z38" s="36">
        <v>4.3</v>
      </c>
      <c r="AA38" s="36">
        <v>1.56</v>
      </c>
      <c r="AB38" s="36">
        <v>5.69</v>
      </c>
      <c r="AC38" s="36">
        <v>6.27</v>
      </c>
      <c r="AD38" s="36">
        <v>4.74</v>
      </c>
      <c r="AE38" s="36">
        <v>-1.91</v>
      </c>
    </row>
    <row r="39" spans="1:31" ht="17" x14ac:dyDescent="0.45">
      <c r="A39" s="34" t="s">
        <v>128</v>
      </c>
      <c r="B39" s="35" t="s">
        <v>3</v>
      </c>
      <c r="C39" s="37" t="s">
        <v>3</v>
      </c>
      <c r="D39" s="36">
        <v>-42.65</v>
      </c>
      <c r="E39" s="36">
        <v>-9.1</v>
      </c>
      <c r="F39" s="36">
        <v>-23.85</v>
      </c>
      <c r="G39" s="36">
        <v>-0.38</v>
      </c>
      <c r="H39" s="36">
        <v>-25.94</v>
      </c>
      <c r="I39" s="36">
        <v>-11.36</v>
      </c>
      <c r="J39" s="36">
        <v>64.09</v>
      </c>
      <c r="K39" s="36">
        <v>-10.130000000000001</v>
      </c>
      <c r="L39" s="36">
        <v>-3.45</v>
      </c>
      <c r="M39" s="36">
        <v>6.87</v>
      </c>
      <c r="N39" s="36">
        <v>-5.97</v>
      </c>
      <c r="O39" s="36">
        <v>-7.02</v>
      </c>
      <c r="P39" s="36">
        <v>-9.4</v>
      </c>
      <c r="Q39" s="36">
        <v>5.15</v>
      </c>
      <c r="R39" s="36">
        <v>4.28</v>
      </c>
      <c r="S39" s="36">
        <v>5.31</v>
      </c>
      <c r="T39" s="36">
        <v>-3.2</v>
      </c>
      <c r="U39" s="36">
        <v>8.51</v>
      </c>
      <c r="V39" s="36">
        <v>8.9499999999999993</v>
      </c>
      <c r="W39" s="36">
        <v>2.4</v>
      </c>
      <c r="X39" s="36">
        <v>-2.2999999999999998</v>
      </c>
      <c r="Y39" s="36">
        <v>1.35</v>
      </c>
      <c r="Z39" s="36">
        <v>8.36</v>
      </c>
      <c r="AA39" s="36">
        <v>0.73</v>
      </c>
      <c r="AB39" s="36">
        <v>-0.97</v>
      </c>
      <c r="AC39" s="36">
        <v>12.15</v>
      </c>
      <c r="AD39" s="36">
        <v>-13.17</v>
      </c>
      <c r="AE39" s="36">
        <v>-5.93</v>
      </c>
    </row>
    <row r="40" spans="1:31" ht="17" x14ac:dyDescent="0.45">
      <c r="A40" s="34" t="s">
        <v>129</v>
      </c>
      <c r="B40" s="35" t="s">
        <v>3</v>
      </c>
      <c r="C40" s="37" t="s">
        <v>3</v>
      </c>
      <c r="D40" s="36">
        <v>5.2</v>
      </c>
      <c r="E40" s="36">
        <v>-2.71</v>
      </c>
      <c r="F40" s="36">
        <v>6.35</v>
      </c>
      <c r="G40" s="36">
        <v>11.2</v>
      </c>
      <c r="H40" s="36">
        <v>-0.11</v>
      </c>
      <c r="I40" s="36">
        <v>-1.05</v>
      </c>
      <c r="J40" s="36">
        <v>5.65</v>
      </c>
      <c r="K40" s="36">
        <v>10.75</v>
      </c>
      <c r="L40" s="36">
        <v>5.54</v>
      </c>
      <c r="M40" s="36">
        <v>7.55</v>
      </c>
      <c r="N40" s="36">
        <v>5.09</v>
      </c>
      <c r="O40" s="36">
        <v>11.97</v>
      </c>
      <c r="P40" s="36">
        <v>-0.95</v>
      </c>
      <c r="Q40" s="36">
        <v>-0.79</v>
      </c>
      <c r="R40" s="36">
        <v>-0.23</v>
      </c>
      <c r="S40" s="36">
        <v>-1.41</v>
      </c>
      <c r="T40" s="36">
        <v>-2.93</v>
      </c>
      <c r="U40" s="36">
        <v>0.87</v>
      </c>
      <c r="V40" s="36">
        <v>0.85</v>
      </c>
      <c r="W40" s="36">
        <v>-0.49</v>
      </c>
      <c r="X40" s="36">
        <v>4.8499999999999996</v>
      </c>
      <c r="Y40" s="36">
        <v>1.07</v>
      </c>
      <c r="Z40" s="36">
        <v>1.86</v>
      </c>
      <c r="AA40" s="36">
        <v>4.33</v>
      </c>
      <c r="AB40" s="36">
        <v>3.91</v>
      </c>
      <c r="AC40" s="36">
        <v>26.53</v>
      </c>
      <c r="AD40" s="36">
        <v>3.85</v>
      </c>
      <c r="AE40" s="36">
        <v>-2.17</v>
      </c>
    </row>
    <row r="41" spans="1:31" ht="17" x14ac:dyDescent="0.45">
      <c r="A41" s="34" t="s">
        <v>130</v>
      </c>
      <c r="B41" s="35" t="s">
        <v>3</v>
      </c>
      <c r="C41" s="37" t="s">
        <v>3</v>
      </c>
      <c r="D41" s="36">
        <v>5.0999999999999996</v>
      </c>
      <c r="E41" s="36">
        <v>4.95</v>
      </c>
      <c r="F41" s="36">
        <v>7.68</v>
      </c>
      <c r="G41" s="36">
        <v>5.61</v>
      </c>
      <c r="H41" s="36">
        <v>8.44</v>
      </c>
      <c r="I41" s="36">
        <v>9.5299999999999994</v>
      </c>
      <c r="J41" s="36">
        <v>4.5599999999999996</v>
      </c>
      <c r="K41" s="36">
        <v>3.13</v>
      </c>
      <c r="L41" s="36">
        <v>8.9499999999999993</v>
      </c>
      <c r="M41" s="36">
        <v>10.08</v>
      </c>
      <c r="N41" s="36">
        <v>8.69</v>
      </c>
      <c r="O41" s="36">
        <v>4.51</v>
      </c>
      <c r="P41" s="36">
        <v>2.94</v>
      </c>
      <c r="Q41" s="36">
        <v>-4.84</v>
      </c>
      <c r="R41" s="36">
        <v>-2.4300000000000002</v>
      </c>
      <c r="S41" s="36">
        <v>-1.33</v>
      </c>
      <c r="T41" s="36">
        <v>-4.93</v>
      </c>
      <c r="U41" s="36">
        <v>-7.81</v>
      </c>
      <c r="V41" s="36">
        <v>-2.8</v>
      </c>
      <c r="W41" s="36">
        <v>-5.13</v>
      </c>
      <c r="X41" s="36">
        <v>3.07</v>
      </c>
      <c r="Y41" s="36">
        <v>0.11</v>
      </c>
      <c r="Z41" s="36">
        <v>5.8</v>
      </c>
      <c r="AA41" s="36">
        <v>-0.93</v>
      </c>
      <c r="AB41" s="36">
        <v>4.24</v>
      </c>
      <c r="AC41" s="36">
        <v>-1.2</v>
      </c>
      <c r="AD41" s="36">
        <v>4.9400000000000004</v>
      </c>
      <c r="AE41" s="36">
        <v>-0.88</v>
      </c>
    </row>
    <row r="42" spans="1:31" ht="17" x14ac:dyDescent="0.45">
      <c r="A42" s="34" t="s">
        <v>131</v>
      </c>
      <c r="B42" s="35" t="s">
        <v>3</v>
      </c>
      <c r="C42" s="36">
        <v>-6.6</v>
      </c>
      <c r="D42" s="36">
        <v>2.5299999999999998</v>
      </c>
      <c r="E42" s="36">
        <v>5.53</v>
      </c>
      <c r="F42" s="36">
        <v>-0.15</v>
      </c>
      <c r="G42" s="36">
        <v>3.25</v>
      </c>
      <c r="H42" s="36">
        <v>5.96</v>
      </c>
      <c r="I42" s="36">
        <v>-2.5</v>
      </c>
      <c r="J42" s="36">
        <v>1.81</v>
      </c>
      <c r="K42" s="36">
        <v>8.4700000000000006</v>
      </c>
      <c r="L42" s="36">
        <v>0.56999999999999995</v>
      </c>
      <c r="M42" s="36">
        <v>8.58</v>
      </c>
      <c r="N42" s="36">
        <v>0.99</v>
      </c>
      <c r="O42" s="36">
        <v>2.83</v>
      </c>
      <c r="P42" s="36">
        <v>-4.38</v>
      </c>
      <c r="Q42" s="36">
        <v>4.82</v>
      </c>
      <c r="R42" s="36">
        <v>1.47</v>
      </c>
      <c r="S42" s="36">
        <v>5.41</v>
      </c>
      <c r="T42" s="36">
        <v>-1.29</v>
      </c>
      <c r="U42" s="36">
        <v>4.41</v>
      </c>
      <c r="V42" s="36">
        <v>2.4700000000000002</v>
      </c>
      <c r="W42" s="36">
        <v>9.31</v>
      </c>
      <c r="X42" s="36">
        <v>5.68</v>
      </c>
      <c r="Y42" s="36">
        <v>4.0199999999999996</v>
      </c>
      <c r="Z42" s="36">
        <v>1.66</v>
      </c>
      <c r="AA42" s="36">
        <v>-4.3099999999999996</v>
      </c>
      <c r="AB42" s="36">
        <v>-0.65</v>
      </c>
      <c r="AC42" s="36">
        <v>0.35</v>
      </c>
      <c r="AD42" s="36">
        <v>-0.27</v>
      </c>
      <c r="AE42" s="36">
        <v>-3.37</v>
      </c>
    </row>
    <row r="43" spans="1:31" ht="17" x14ac:dyDescent="0.45">
      <c r="A43" s="34" t="s">
        <v>133</v>
      </c>
      <c r="B43" s="35" t="s">
        <v>3</v>
      </c>
      <c r="C43" s="37" t="s">
        <v>3</v>
      </c>
      <c r="D43" s="36">
        <v>8.7200000000000006</v>
      </c>
      <c r="E43" s="36">
        <v>11.15</v>
      </c>
      <c r="F43" s="36">
        <v>4.8</v>
      </c>
      <c r="G43" s="36">
        <v>4.95</v>
      </c>
      <c r="H43" s="36">
        <v>10.32</v>
      </c>
      <c r="I43" s="36">
        <v>-11.9</v>
      </c>
      <c r="J43" s="36">
        <v>-7.35</v>
      </c>
      <c r="K43" s="36">
        <v>6.84</v>
      </c>
      <c r="L43" s="36">
        <v>7.16</v>
      </c>
      <c r="M43" s="36">
        <v>7.48</v>
      </c>
      <c r="N43" s="36">
        <v>6.1</v>
      </c>
      <c r="O43" s="36">
        <v>3.16</v>
      </c>
      <c r="P43" s="36">
        <v>-5.97</v>
      </c>
      <c r="Q43" s="36">
        <v>-6.73</v>
      </c>
      <c r="R43" s="36">
        <v>1.98</v>
      </c>
      <c r="S43" s="36">
        <v>-0.97</v>
      </c>
      <c r="T43" s="36">
        <v>2.66</v>
      </c>
      <c r="U43" s="36">
        <v>7.85</v>
      </c>
      <c r="V43" s="36">
        <v>0.84</v>
      </c>
      <c r="W43" s="36">
        <v>1.32</v>
      </c>
      <c r="X43" s="36">
        <v>2.91</v>
      </c>
      <c r="Y43" s="36">
        <v>1.9</v>
      </c>
      <c r="Z43" s="36">
        <v>3.86</v>
      </c>
      <c r="AA43" s="36">
        <v>1.94</v>
      </c>
      <c r="AB43" s="36">
        <v>5.63</v>
      </c>
      <c r="AC43" s="36">
        <v>4.28</v>
      </c>
      <c r="AD43" s="36">
        <v>-1.6</v>
      </c>
      <c r="AE43" s="36">
        <v>-6.6</v>
      </c>
    </row>
    <row r="44" spans="1:31" ht="17" x14ac:dyDescent="0.45">
      <c r="A44" s="34" t="s">
        <v>132</v>
      </c>
      <c r="B44" s="35" t="s">
        <v>3</v>
      </c>
      <c r="C44" s="36">
        <v>2.39</v>
      </c>
      <c r="D44" s="36">
        <v>5.74</v>
      </c>
      <c r="E44" s="36">
        <v>5.05</v>
      </c>
      <c r="F44" s="36">
        <v>2.76</v>
      </c>
      <c r="G44" s="36">
        <v>-3.24</v>
      </c>
      <c r="H44" s="36">
        <v>4.4800000000000004</v>
      </c>
      <c r="I44" s="36">
        <v>-3.01</v>
      </c>
      <c r="J44" s="36">
        <v>4.21</v>
      </c>
      <c r="K44" s="36">
        <v>4.1500000000000004</v>
      </c>
      <c r="L44" s="36">
        <v>5.46</v>
      </c>
      <c r="M44" s="36">
        <v>14.6</v>
      </c>
      <c r="N44" s="36">
        <v>-2.7</v>
      </c>
      <c r="O44" s="36">
        <v>22.43</v>
      </c>
      <c r="P44" s="36">
        <v>0.3</v>
      </c>
      <c r="Q44" s="36">
        <v>-2.46</v>
      </c>
      <c r="R44" s="36">
        <v>1.97</v>
      </c>
      <c r="S44" s="36">
        <v>-6.82</v>
      </c>
      <c r="T44" s="36">
        <v>0.47</v>
      </c>
      <c r="U44" s="36">
        <v>-2.98</v>
      </c>
      <c r="V44" s="36">
        <v>-0.74</v>
      </c>
      <c r="W44" s="36">
        <v>-3.42</v>
      </c>
      <c r="X44" s="36">
        <v>6.98</v>
      </c>
      <c r="Y44" s="36">
        <v>7.78</v>
      </c>
      <c r="Z44" s="36">
        <v>-3.25</v>
      </c>
      <c r="AA44" s="36">
        <v>-3.53</v>
      </c>
      <c r="AB44" s="36">
        <v>-2.4</v>
      </c>
      <c r="AC44" s="36">
        <v>1.27</v>
      </c>
      <c r="AD44" s="36">
        <v>3.6</v>
      </c>
      <c r="AE44" s="36">
        <v>-2.72</v>
      </c>
    </row>
    <row r="45" spans="1:31" ht="17" x14ac:dyDescent="0.45">
      <c r="A45" s="34" t="s">
        <v>175</v>
      </c>
      <c r="B45" s="35" t="s">
        <v>3</v>
      </c>
      <c r="C45" s="37" t="s">
        <v>3</v>
      </c>
      <c r="D45" s="37" t="s">
        <v>3</v>
      </c>
      <c r="E45" s="37" t="s">
        <v>3</v>
      </c>
      <c r="F45" s="37" t="s">
        <v>3</v>
      </c>
      <c r="G45" s="37" t="s">
        <v>3</v>
      </c>
      <c r="H45" s="37" t="s">
        <v>3</v>
      </c>
      <c r="I45" s="37" t="s">
        <v>3</v>
      </c>
      <c r="J45" s="37" t="s">
        <v>3</v>
      </c>
      <c r="K45" s="37" t="s">
        <v>3</v>
      </c>
      <c r="L45" s="37" t="s">
        <v>3</v>
      </c>
      <c r="M45" s="37" t="s">
        <v>3</v>
      </c>
      <c r="N45" s="37" t="s">
        <v>3</v>
      </c>
      <c r="O45" s="37" t="s">
        <v>3</v>
      </c>
      <c r="P45" s="37" t="s">
        <v>3</v>
      </c>
      <c r="Q45" s="37" t="s">
        <v>3</v>
      </c>
      <c r="R45" s="37" t="s">
        <v>3</v>
      </c>
      <c r="S45" s="37" t="s">
        <v>3</v>
      </c>
      <c r="T45" s="37" t="s">
        <v>3</v>
      </c>
      <c r="U45" s="37" t="s">
        <v>3</v>
      </c>
      <c r="V45" s="37" t="s">
        <v>3</v>
      </c>
      <c r="W45" s="37" t="s">
        <v>3</v>
      </c>
      <c r="X45" s="37" t="s">
        <v>3</v>
      </c>
      <c r="Y45" s="37" t="s">
        <v>3</v>
      </c>
      <c r="Z45" s="37" t="s">
        <v>3</v>
      </c>
      <c r="AA45" s="37" t="s">
        <v>3</v>
      </c>
      <c r="AB45" s="37" t="s">
        <v>3</v>
      </c>
      <c r="AC45" s="37" t="s">
        <v>3</v>
      </c>
      <c r="AD45" s="37" t="s">
        <v>3</v>
      </c>
      <c r="AE45" s="37" t="s">
        <v>3</v>
      </c>
    </row>
    <row r="46" spans="1:31" ht="17" x14ac:dyDescent="0.45">
      <c r="A46" s="34" t="s">
        <v>176</v>
      </c>
      <c r="B46" s="35" t="s">
        <v>3</v>
      </c>
      <c r="C46" s="37" t="s">
        <v>3</v>
      </c>
      <c r="D46" s="37" t="s">
        <v>3</v>
      </c>
      <c r="E46" s="37" t="s">
        <v>3</v>
      </c>
      <c r="F46" s="37" t="s">
        <v>3</v>
      </c>
      <c r="G46" s="37" t="s">
        <v>3</v>
      </c>
      <c r="H46" s="37" t="s">
        <v>3</v>
      </c>
      <c r="I46" s="36">
        <v>-0.71</v>
      </c>
      <c r="J46" s="36">
        <v>0.37</v>
      </c>
      <c r="K46" s="36">
        <v>-6.72</v>
      </c>
      <c r="L46" s="36">
        <v>5.27</v>
      </c>
      <c r="M46" s="36">
        <v>4.33</v>
      </c>
      <c r="N46" s="36">
        <v>6.84</v>
      </c>
      <c r="O46" s="36">
        <v>10.51</v>
      </c>
      <c r="P46" s="36">
        <v>15.9</v>
      </c>
      <c r="Q46" s="36">
        <v>7.27</v>
      </c>
      <c r="R46" s="36">
        <v>3.04</v>
      </c>
      <c r="S46" s="36">
        <v>3.05</v>
      </c>
      <c r="T46" s="36">
        <v>-7.0000000000000007E-2</v>
      </c>
      <c r="U46" s="36">
        <v>2.5299999999999998</v>
      </c>
      <c r="V46" s="36">
        <v>-8.34</v>
      </c>
      <c r="W46" s="36">
        <v>0.42</v>
      </c>
      <c r="X46" s="36">
        <v>-4.16</v>
      </c>
      <c r="Y46" s="36">
        <v>-0.05</v>
      </c>
      <c r="Z46" s="36">
        <v>-2.68</v>
      </c>
      <c r="AA46" s="36">
        <v>-10.79</v>
      </c>
      <c r="AB46" s="36">
        <v>2.92</v>
      </c>
      <c r="AC46" s="36">
        <v>-7.83</v>
      </c>
      <c r="AD46" s="37" t="s">
        <v>3</v>
      </c>
      <c r="AE46" s="37" t="s">
        <v>3</v>
      </c>
    </row>
    <row r="47" spans="1:31" ht="17" x14ac:dyDescent="0.45">
      <c r="A47" s="34" t="s">
        <v>177</v>
      </c>
      <c r="B47" s="35" t="s">
        <v>3</v>
      </c>
      <c r="C47" s="37" t="s">
        <v>3</v>
      </c>
      <c r="D47" s="36">
        <v>-9.2200000000000006</v>
      </c>
      <c r="E47" s="36">
        <v>-25.91</v>
      </c>
      <c r="F47" s="36">
        <v>44.98</v>
      </c>
      <c r="G47" s="36">
        <v>-57.15</v>
      </c>
      <c r="H47" s="36">
        <v>10.29</v>
      </c>
      <c r="I47" s="36">
        <v>18.38</v>
      </c>
      <c r="J47" s="36">
        <v>46.24</v>
      </c>
      <c r="K47" s="36">
        <v>33.28</v>
      </c>
      <c r="L47" s="36">
        <v>10.54</v>
      </c>
      <c r="M47" s="36">
        <v>15.65</v>
      </c>
      <c r="N47" s="36">
        <v>3.29</v>
      </c>
      <c r="O47" s="36">
        <v>14.49</v>
      </c>
      <c r="P47" s="36">
        <v>5.68</v>
      </c>
      <c r="Q47" s="36">
        <v>1.22</v>
      </c>
      <c r="R47" s="36">
        <v>20.16</v>
      </c>
      <c r="S47" s="36">
        <v>-7.57</v>
      </c>
      <c r="T47" s="36">
        <v>-1.88</v>
      </c>
      <c r="U47" s="36">
        <v>-6.54</v>
      </c>
      <c r="V47" s="36">
        <v>0.46</v>
      </c>
      <c r="W47" s="36">
        <v>-4.46</v>
      </c>
      <c r="X47" s="36">
        <v>5.85</v>
      </c>
      <c r="Y47" s="36">
        <v>1.43</v>
      </c>
      <c r="Z47" s="36">
        <v>1.76</v>
      </c>
      <c r="AA47" s="36">
        <v>0.01</v>
      </c>
      <c r="AB47" s="36">
        <v>7.85</v>
      </c>
      <c r="AC47" s="36">
        <v>23.54</v>
      </c>
      <c r="AD47" s="36">
        <v>7.07</v>
      </c>
      <c r="AE47" s="36">
        <v>0.93</v>
      </c>
    </row>
    <row r="48" spans="1:31" ht="17" x14ac:dyDescent="0.45">
      <c r="A48" s="34" t="s">
        <v>178</v>
      </c>
      <c r="B48" s="35" t="s">
        <v>3</v>
      </c>
      <c r="C48" s="37" t="s">
        <v>3</v>
      </c>
      <c r="D48" s="36">
        <v>1.1000000000000001</v>
      </c>
      <c r="E48" s="36">
        <v>-0.6</v>
      </c>
      <c r="F48" s="36">
        <v>4.9400000000000004</v>
      </c>
      <c r="G48" s="36">
        <v>14.52</v>
      </c>
      <c r="H48" s="36">
        <v>-6.77</v>
      </c>
      <c r="I48" s="36">
        <v>4.1100000000000003</v>
      </c>
      <c r="J48" s="36">
        <v>2.79</v>
      </c>
      <c r="K48" s="36">
        <v>5.28</v>
      </c>
      <c r="L48" s="36">
        <v>-0.61</v>
      </c>
      <c r="M48" s="36">
        <v>6.21</v>
      </c>
      <c r="N48" s="36">
        <v>-1.97</v>
      </c>
      <c r="O48" s="36">
        <v>1.94</v>
      </c>
      <c r="P48" s="36">
        <v>-2.33</v>
      </c>
      <c r="Q48" s="36">
        <v>0.11</v>
      </c>
      <c r="R48" s="36">
        <v>5.58</v>
      </c>
      <c r="S48" s="36">
        <v>0.48</v>
      </c>
      <c r="T48" s="36">
        <v>-4.1399999999999997</v>
      </c>
      <c r="U48" s="36">
        <v>-4.5199999999999996</v>
      </c>
      <c r="V48" s="36">
        <v>8.77</v>
      </c>
      <c r="W48" s="36">
        <v>-0.81</v>
      </c>
      <c r="X48" s="36">
        <v>0.46</v>
      </c>
      <c r="Y48" s="36">
        <v>-13.58</v>
      </c>
      <c r="Z48" s="36">
        <v>0.56000000000000005</v>
      </c>
      <c r="AA48" s="36">
        <v>16.5</v>
      </c>
      <c r="AB48" s="36">
        <v>-20.64</v>
      </c>
      <c r="AC48" s="36">
        <v>30.63</v>
      </c>
      <c r="AD48" s="36">
        <v>3.88</v>
      </c>
      <c r="AE48" s="36">
        <v>17.559999999999999</v>
      </c>
    </row>
    <row r="49" spans="1:31" ht="17" x14ac:dyDescent="0.45">
      <c r="A49" s="34" t="s">
        <v>179</v>
      </c>
      <c r="B49" s="35" t="s">
        <v>3</v>
      </c>
      <c r="C49" s="37" t="s">
        <v>3</v>
      </c>
      <c r="D49" s="36">
        <v>3.61</v>
      </c>
      <c r="E49" s="36">
        <v>9.18</v>
      </c>
      <c r="F49" s="36">
        <v>12.19</v>
      </c>
      <c r="G49" s="36">
        <v>3.87</v>
      </c>
      <c r="H49" s="36">
        <v>2.61</v>
      </c>
      <c r="I49" s="36">
        <v>6.34</v>
      </c>
      <c r="J49" s="36">
        <v>6.86</v>
      </c>
      <c r="K49" s="36">
        <v>-5.21</v>
      </c>
      <c r="L49" s="36">
        <v>3.19</v>
      </c>
      <c r="M49" s="36">
        <v>8.02</v>
      </c>
      <c r="N49" s="36">
        <v>7.9</v>
      </c>
      <c r="O49" s="36">
        <v>6.44</v>
      </c>
      <c r="P49" s="36">
        <v>3.95</v>
      </c>
      <c r="Q49" s="36">
        <v>6.01</v>
      </c>
      <c r="R49" s="36">
        <v>3.22</v>
      </c>
      <c r="S49" s="36">
        <v>-0.54</v>
      </c>
      <c r="T49" s="36">
        <v>1.21</v>
      </c>
      <c r="U49" s="36">
        <v>-3.72</v>
      </c>
      <c r="V49" s="36">
        <v>1.1499999999999999</v>
      </c>
      <c r="W49" s="36">
        <v>4.49</v>
      </c>
      <c r="X49" s="36">
        <v>-9.64</v>
      </c>
      <c r="Y49" s="36">
        <v>-8.93</v>
      </c>
      <c r="Z49" s="36">
        <v>-12.19</v>
      </c>
      <c r="AA49" s="36">
        <v>3.36</v>
      </c>
      <c r="AB49" s="36">
        <v>31.4</v>
      </c>
      <c r="AC49" s="36">
        <v>12.27</v>
      </c>
      <c r="AD49" s="36">
        <v>4.91</v>
      </c>
      <c r="AE49" s="37" t="s">
        <v>3</v>
      </c>
    </row>
    <row r="50" spans="1:31" ht="17" x14ac:dyDescent="0.45">
      <c r="A50" s="34" t="s">
        <v>180</v>
      </c>
      <c r="B50" s="35" t="s">
        <v>3</v>
      </c>
      <c r="C50" s="37" t="s">
        <v>3</v>
      </c>
      <c r="D50" s="37" t="s">
        <v>3</v>
      </c>
      <c r="E50" s="37" t="s">
        <v>3</v>
      </c>
      <c r="F50" s="37" t="s">
        <v>3</v>
      </c>
      <c r="G50" s="37" t="s">
        <v>3</v>
      </c>
      <c r="H50" s="37" t="s">
        <v>3</v>
      </c>
      <c r="I50" s="37" t="s">
        <v>3</v>
      </c>
      <c r="J50" s="37" t="s">
        <v>3</v>
      </c>
      <c r="K50" s="37" t="s">
        <v>3</v>
      </c>
      <c r="L50" s="37" t="s">
        <v>3</v>
      </c>
      <c r="M50" s="37" t="s">
        <v>3</v>
      </c>
      <c r="N50" s="37" t="s">
        <v>3</v>
      </c>
      <c r="O50" s="37" t="s">
        <v>3</v>
      </c>
      <c r="P50" s="37" t="s">
        <v>3</v>
      </c>
      <c r="Q50" s="37" t="s">
        <v>3</v>
      </c>
      <c r="R50" s="37" t="s">
        <v>3</v>
      </c>
      <c r="S50" s="37" t="s">
        <v>3</v>
      </c>
      <c r="T50" s="36">
        <v>-3.15</v>
      </c>
      <c r="U50" s="36">
        <v>1.76</v>
      </c>
      <c r="V50" s="36">
        <v>3.51</v>
      </c>
      <c r="W50" s="36">
        <v>-1.66</v>
      </c>
      <c r="X50" s="36">
        <v>5.1100000000000003</v>
      </c>
      <c r="Y50" s="36">
        <v>5.85</v>
      </c>
      <c r="Z50" s="37" t="s">
        <v>3</v>
      </c>
      <c r="AA50" s="37" t="s">
        <v>3</v>
      </c>
      <c r="AB50" s="37" t="s">
        <v>3</v>
      </c>
      <c r="AC50" s="37" t="s">
        <v>3</v>
      </c>
      <c r="AD50" s="37" t="s">
        <v>3</v>
      </c>
      <c r="AE50" s="37" t="s">
        <v>3</v>
      </c>
    </row>
    <row r="51" spans="1:31" ht="17" x14ac:dyDescent="0.45">
      <c r="A51" s="34" t="s">
        <v>181</v>
      </c>
      <c r="B51" s="35" t="s">
        <v>3</v>
      </c>
      <c r="C51" s="37" t="s">
        <v>3</v>
      </c>
      <c r="D51" s="37" t="s">
        <v>3</v>
      </c>
      <c r="E51" s="37" t="s">
        <v>3</v>
      </c>
      <c r="F51" s="37" t="s">
        <v>3</v>
      </c>
      <c r="G51" s="37" t="s">
        <v>3</v>
      </c>
      <c r="H51" s="37" t="s">
        <v>3</v>
      </c>
      <c r="I51" s="36">
        <v>-5.64</v>
      </c>
      <c r="J51" s="36">
        <v>-7.66</v>
      </c>
      <c r="K51" s="36">
        <v>11.62</v>
      </c>
      <c r="L51" s="36">
        <v>17.05</v>
      </c>
      <c r="M51" s="36">
        <v>18.940000000000001</v>
      </c>
      <c r="N51" s="36">
        <v>8.7899999999999991</v>
      </c>
      <c r="O51" s="36">
        <v>1.21</v>
      </c>
      <c r="P51" s="36">
        <v>-14.87</v>
      </c>
      <c r="Q51" s="36">
        <v>11.18</v>
      </c>
      <c r="R51" s="36">
        <v>3.65</v>
      </c>
      <c r="S51" s="36">
        <v>-11.85</v>
      </c>
      <c r="T51" s="36">
        <v>10.92</v>
      </c>
      <c r="U51" s="36">
        <v>-0.13</v>
      </c>
      <c r="V51" s="36">
        <v>-6.6</v>
      </c>
      <c r="W51" s="36">
        <v>8.52</v>
      </c>
      <c r="X51" s="36">
        <v>7.16</v>
      </c>
      <c r="Y51" s="36">
        <v>4.62</v>
      </c>
      <c r="Z51" s="36">
        <v>-0.16</v>
      </c>
      <c r="AA51" s="36">
        <v>4.6100000000000003</v>
      </c>
      <c r="AB51" s="36">
        <v>2.65</v>
      </c>
      <c r="AC51" s="36">
        <v>1.66</v>
      </c>
      <c r="AD51" s="36">
        <v>-1.62</v>
      </c>
      <c r="AE51" s="37" t="s">
        <v>3</v>
      </c>
    </row>
    <row r="52" spans="1:31" ht="17" x14ac:dyDescent="0.45">
      <c r="A52" s="34" t="s">
        <v>182</v>
      </c>
      <c r="B52" s="35" t="s">
        <v>3</v>
      </c>
      <c r="C52" s="37" t="s">
        <v>3</v>
      </c>
      <c r="D52" s="37" t="s">
        <v>3</v>
      </c>
      <c r="E52" s="37" t="s">
        <v>3</v>
      </c>
      <c r="F52" s="37" t="s">
        <v>3</v>
      </c>
      <c r="G52" s="37" t="s">
        <v>3</v>
      </c>
      <c r="H52" s="37" t="s">
        <v>3</v>
      </c>
      <c r="I52" s="36">
        <v>0.6</v>
      </c>
      <c r="J52" s="36">
        <v>-1.18</v>
      </c>
      <c r="K52" s="36">
        <v>-5.73</v>
      </c>
      <c r="L52" s="36">
        <v>0.31</v>
      </c>
      <c r="M52" s="36">
        <v>0.56000000000000005</v>
      </c>
      <c r="N52" s="36">
        <v>16.02</v>
      </c>
      <c r="O52" s="36">
        <v>18.28</v>
      </c>
      <c r="P52" s="36">
        <v>-5.1100000000000003</v>
      </c>
      <c r="Q52" s="36">
        <v>2.76</v>
      </c>
      <c r="R52" s="36">
        <v>-18.72</v>
      </c>
      <c r="S52" s="36">
        <v>11.41</v>
      </c>
      <c r="T52" s="36">
        <v>19.11</v>
      </c>
      <c r="U52" s="36">
        <v>-4.83</v>
      </c>
      <c r="V52" s="36">
        <v>8.39</v>
      </c>
      <c r="W52" s="36">
        <v>11.55</v>
      </c>
      <c r="X52" s="36">
        <v>3.24</v>
      </c>
      <c r="Y52" s="36">
        <v>-2.82</v>
      </c>
      <c r="Z52" s="36">
        <v>4.1500000000000004</v>
      </c>
      <c r="AA52" s="36">
        <v>-2.34</v>
      </c>
      <c r="AB52" s="36">
        <v>-1.36</v>
      </c>
      <c r="AC52" s="37" t="s">
        <v>3</v>
      </c>
      <c r="AD52" s="37" t="s">
        <v>3</v>
      </c>
      <c r="AE52" s="37" t="s">
        <v>3</v>
      </c>
    </row>
    <row r="53" spans="1:31" ht="17" x14ac:dyDescent="0.45">
      <c r="A53" s="34" t="s">
        <v>183</v>
      </c>
      <c r="B53" s="35" t="s">
        <v>3</v>
      </c>
      <c r="C53" s="37" t="s">
        <v>3</v>
      </c>
      <c r="D53" s="37" t="s">
        <v>3</v>
      </c>
      <c r="E53" s="37" t="s">
        <v>3</v>
      </c>
      <c r="F53" s="37" t="s">
        <v>3</v>
      </c>
      <c r="G53" s="37" t="s">
        <v>3</v>
      </c>
      <c r="H53" s="37" t="s">
        <v>3</v>
      </c>
      <c r="I53" s="37" t="s">
        <v>3</v>
      </c>
      <c r="J53" s="37" t="s">
        <v>3</v>
      </c>
      <c r="K53" s="37" t="s">
        <v>3</v>
      </c>
      <c r="L53" s="37" t="s">
        <v>3</v>
      </c>
      <c r="M53" s="37" t="s">
        <v>3</v>
      </c>
      <c r="N53" s="37" t="s">
        <v>3</v>
      </c>
      <c r="O53" s="37" t="s">
        <v>3</v>
      </c>
      <c r="P53" s="36">
        <v>-19.97</v>
      </c>
      <c r="Q53" s="36">
        <v>1.99</v>
      </c>
      <c r="R53" s="36">
        <v>18.36</v>
      </c>
      <c r="S53" s="36">
        <v>4.57</v>
      </c>
      <c r="T53" s="36">
        <v>-13.65</v>
      </c>
      <c r="U53" s="36">
        <v>12.48</v>
      </c>
      <c r="V53" s="36">
        <v>-0.92</v>
      </c>
      <c r="W53" s="36">
        <v>32.46</v>
      </c>
      <c r="X53" s="36">
        <v>-12.92</v>
      </c>
      <c r="Y53" s="36">
        <v>9.06</v>
      </c>
      <c r="Z53" s="36">
        <v>-52.91</v>
      </c>
      <c r="AA53" s="36">
        <v>149.93</v>
      </c>
      <c r="AB53" s="36">
        <v>22</v>
      </c>
      <c r="AC53" s="36">
        <v>2.4900000000000002</v>
      </c>
      <c r="AD53" s="37" t="s">
        <v>3</v>
      </c>
      <c r="AE53" s="37" t="s">
        <v>3</v>
      </c>
    </row>
    <row r="54" spans="1:31" ht="17" x14ac:dyDescent="0.45">
      <c r="A54" s="34" t="s">
        <v>184</v>
      </c>
      <c r="B54" s="35" t="s">
        <v>3</v>
      </c>
      <c r="C54" s="37" t="s">
        <v>3</v>
      </c>
      <c r="D54" s="36">
        <v>-10.98</v>
      </c>
      <c r="E54" s="36">
        <v>-4.78</v>
      </c>
      <c r="F54" s="36">
        <v>14.7</v>
      </c>
      <c r="G54" s="36">
        <v>8.36</v>
      </c>
      <c r="H54" s="36">
        <v>14.61</v>
      </c>
      <c r="I54" s="36">
        <v>1.59</v>
      </c>
      <c r="J54" s="36">
        <v>-10.91</v>
      </c>
      <c r="K54" s="36">
        <v>-11.56</v>
      </c>
      <c r="L54" s="36">
        <v>39.32</v>
      </c>
      <c r="M54" s="36">
        <v>3.75</v>
      </c>
      <c r="N54" s="36">
        <v>-6.24</v>
      </c>
      <c r="O54" s="36">
        <v>10.41</v>
      </c>
      <c r="P54" s="36">
        <v>1.86</v>
      </c>
      <c r="Q54" s="36">
        <v>-20.12</v>
      </c>
      <c r="R54" s="36">
        <v>-1.02</v>
      </c>
      <c r="S54" s="36">
        <v>8.11</v>
      </c>
      <c r="T54" s="36">
        <v>13.69</v>
      </c>
      <c r="U54" s="36">
        <v>35.01</v>
      </c>
      <c r="V54" s="36">
        <v>-10.77</v>
      </c>
      <c r="W54" s="36">
        <v>1.07</v>
      </c>
      <c r="X54" s="36">
        <v>5.61</v>
      </c>
      <c r="Y54" s="36">
        <v>-20.149999999999999</v>
      </c>
      <c r="Z54" s="36">
        <v>9.3800000000000008</v>
      </c>
      <c r="AA54" s="36">
        <v>-6.89</v>
      </c>
      <c r="AB54" s="36">
        <v>34.619999999999997</v>
      </c>
      <c r="AC54" s="36">
        <v>1.02</v>
      </c>
      <c r="AD54" s="36">
        <v>-23.83</v>
      </c>
      <c r="AE54" s="36">
        <v>7.33</v>
      </c>
    </row>
    <row r="55" spans="1:31" ht="17" x14ac:dyDescent="0.45">
      <c r="A55" s="34" t="s">
        <v>185</v>
      </c>
      <c r="B55" s="35" t="s">
        <v>3</v>
      </c>
      <c r="C55" s="37" t="s">
        <v>3</v>
      </c>
      <c r="D55" s="37" t="s">
        <v>3</v>
      </c>
      <c r="E55" s="37" t="s">
        <v>3</v>
      </c>
      <c r="F55" s="37" t="s">
        <v>3</v>
      </c>
      <c r="G55" s="37" t="s">
        <v>3</v>
      </c>
      <c r="H55" s="37" t="s">
        <v>3</v>
      </c>
      <c r="I55" s="37" t="s">
        <v>3</v>
      </c>
      <c r="J55" s="37" t="s">
        <v>3</v>
      </c>
      <c r="K55" s="37" t="s">
        <v>3</v>
      </c>
      <c r="L55" s="37" t="s">
        <v>3</v>
      </c>
      <c r="M55" s="37" t="s">
        <v>3</v>
      </c>
      <c r="N55" s="37" t="s">
        <v>3</v>
      </c>
      <c r="O55" s="37" t="s">
        <v>3</v>
      </c>
      <c r="P55" s="37" t="s">
        <v>3</v>
      </c>
      <c r="Q55" s="37" t="s">
        <v>3</v>
      </c>
      <c r="R55" s="37" t="s">
        <v>3</v>
      </c>
      <c r="S55" s="37" t="s">
        <v>3</v>
      </c>
      <c r="T55" s="37" t="s">
        <v>3</v>
      </c>
      <c r="U55" s="37" t="s">
        <v>3</v>
      </c>
      <c r="V55" s="37" t="s">
        <v>3</v>
      </c>
      <c r="W55" s="37" t="s">
        <v>3</v>
      </c>
      <c r="X55" s="37" t="s">
        <v>3</v>
      </c>
      <c r="Y55" s="37" t="s">
        <v>3</v>
      </c>
      <c r="Z55" s="36">
        <v>12.15</v>
      </c>
      <c r="AA55" s="36">
        <v>13.42</v>
      </c>
      <c r="AB55" s="37" t="s">
        <v>3</v>
      </c>
      <c r="AC55" s="37" t="s">
        <v>3</v>
      </c>
      <c r="AD55" s="37" t="s">
        <v>3</v>
      </c>
      <c r="AE55" s="37" t="s">
        <v>3</v>
      </c>
    </row>
    <row r="56" spans="1:31" ht="17" x14ac:dyDescent="0.45">
      <c r="A56" s="34" t="s">
        <v>186</v>
      </c>
      <c r="B56" s="35" t="s">
        <v>3</v>
      </c>
      <c r="C56" s="37" t="s">
        <v>3</v>
      </c>
      <c r="D56" s="37" t="s">
        <v>3</v>
      </c>
      <c r="E56" s="37" t="s">
        <v>3</v>
      </c>
      <c r="F56" s="37" t="s">
        <v>3</v>
      </c>
      <c r="G56" s="37" t="s">
        <v>3</v>
      </c>
      <c r="H56" s="37" t="s">
        <v>3</v>
      </c>
      <c r="I56" s="37" t="s">
        <v>3</v>
      </c>
      <c r="J56" s="37" t="s">
        <v>3</v>
      </c>
      <c r="K56" s="37" t="s">
        <v>3</v>
      </c>
      <c r="L56" s="37" t="s">
        <v>3</v>
      </c>
      <c r="M56" s="37" t="s">
        <v>3</v>
      </c>
      <c r="N56" s="37" t="s">
        <v>3</v>
      </c>
      <c r="O56" s="37" t="s">
        <v>3</v>
      </c>
      <c r="P56" s="37" t="s">
        <v>3</v>
      </c>
      <c r="Q56" s="36">
        <v>-1.69</v>
      </c>
      <c r="R56" s="36">
        <v>12.43</v>
      </c>
      <c r="S56" s="36">
        <v>5.85</v>
      </c>
      <c r="T56" s="36">
        <v>10.15</v>
      </c>
      <c r="U56" s="36">
        <v>-4.75</v>
      </c>
      <c r="V56" s="36">
        <v>-5.12</v>
      </c>
      <c r="W56" s="36">
        <v>0.06</v>
      </c>
      <c r="X56" s="36">
        <v>2.5</v>
      </c>
      <c r="Y56" s="36">
        <v>-5.18</v>
      </c>
      <c r="Z56" s="36">
        <v>16.2</v>
      </c>
      <c r="AA56" s="36">
        <v>-1.62</v>
      </c>
      <c r="AB56" s="36">
        <v>13.6</v>
      </c>
      <c r="AC56" s="36">
        <v>8.36</v>
      </c>
      <c r="AD56" s="36">
        <v>-14.4</v>
      </c>
      <c r="AE56" s="37" t="s">
        <v>3</v>
      </c>
    </row>
    <row r="57" spans="1:31" ht="17" x14ac:dyDescent="0.4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</row>
    <row r="58" spans="1:31" ht="17" x14ac:dyDescent="0.45">
      <c r="A58" s="38" t="s">
        <v>187</v>
      </c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</row>
  </sheetData>
  <mergeCells count="1">
    <mergeCell ref="A7:B7"/>
  </mergeCells>
  <phoneticPr fontId="11" type="noConversion"/>
  <hyperlinks>
    <hyperlink ref="A58" r:id="rId1" xr:uid="{1BA30ECB-6F35-4A17-A694-130E7FAAD275}"/>
  </hyperlinks>
  <pageMargins left="0.75" right="0.75" top="1" bottom="1" header="0.5" footer="0.5"/>
  <pageSetup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E57"/>
  <sheetViews>
    <sheetView showGridLines="0" topLeftCell="G1" workbookViewId="0">
      <selection activeCell="G19" sqref="G19"/>
    </sheetView>
  </sheetViews>
  <sheetFormatPr defaultColWidth="9.08203125" defaultRowHeight="12.5" x14ac:dyDescent="0.25"/>
  <cols>
    <col min="1" max="1" width="27.33203125" style="4" customWidth="1"/>
    <col min="2" max="2" width="4.5" style="4" customWidth="1"/>
    <col min="3" max="3" width="5.83203125" style="4" bestFit="1" customWidth="1"/>
    <col min="4" max="16384" width="9.08203125" style="4"/>
  </cols>
  <sheetData>
    <row r="1" spans="1:31" ht="17" x14ac:dyDescent="0.45">
      <c r="A1" s="29" t="s">
        <v>161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</row>
    <row r="2" spans="1:31" ht="12.75" customHeight="1" x14ac:dyDescent="0.45">
      <c r="A2" s="30" t="s">
        <v>162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</row>
    <row r="3" spans="1:31" ht="12.75" customHeight="1" x14ac:dyDescent="0.45">
      <c r="A3" s="30" t="s">
        <v>193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</row>
    <row r="4" spans="1:31" ht="17" x14ac:dyDescent="0.45">
      <c r="A4" s="30" t="s">
        <v>164</v>
      </c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</row>
    <row r="5" spans="1:31" ht="12.75" customHeight="1" x14ac:dyDescent="0.45">
      <c r="A5" s="30" t="s">
        <v>165</v>
      </c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</row>
    <row r="6" spans="1:31" x14ac:dyDescent="0.25">
      <c r="A6" s="17"/>
      <c r="B6" s="18"/>
      <c r="C6" s="19"/>
      <c r="D6" s="20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2"/>
    </row>
    <row r="7" spans="1:31" ht="17" x14ac:dyDescent="0.25">
      <c r="A7" s="42" t="s">
        <v>166</v>
      </c>
      <c r="B7" s="42" t="s">
        <v>166</v>
      </c>
      <c r="C7" s="31" t="s">
        <v>79</v>
      </c>
      <c r="D7" s="31" t="s">
        <v>80</v>
      </c>
      <c r="E7" s="31" t="s">
        <v>81</v>
      </c>
      <c r="F7" s="31" t="s">
        <v>82</v>
      </c>
      <c r="G7" s="31" t="s">
        <v>83</v>
      </c>
      <c r="H7" s="31" t="s">
        <v>84</v>
      </c>
      <c r="I7" s="31" t="s">
        <v>85</v>
      </c>
      <c r="J7" s="31" t="s">
        <v>86</v>
      </c>
      <c r="K7" s="31" t="s">
        <v>87</v>
      </c>
      <c r="L7" s="31" t="s">
        <v>88</v>
      </c>
      <c r="M7" s="31" t="s">
        <v>89</v>
      </c>
      <c r="N7" s="31" t="s">
        <v>90</v>
      </c>
      <c r="O7" s="31" t="s">
        <v>91</v>
      </c>
      <c r="P7" s="31" t="s">
        <v>92</v>
      </c>
      <c r="Q7" s="31" t="s">
        <v>93</v>
      </c>
      <c r="R7" s="31" t="s">
        <v>94</v>
      </c>
      <c r="S7" s="31" t="s">
        <v>95</v>
      </c>
      <c r="T7" s="31" t="s">
        <v>96</v>
      </c>
      <c r="U7" s="31" t="s">
        <v>97</v>
      </c>
      <c r="V7" s="31" t="s">
        <v>98</v>
      </c>
      <c r="W7" s="31" t="s">
        <v>2</v>
      </c>
      <c r="X7" s="31" t="s">
        <v>99</v>
      </c>
      <c r="Y7" s="31" t="s">
        <v>100</v>
      </c>
      <c r="Z7" s="31" t="s">
        <v>101</v>
      </c>
      <c r="AA7" s="31" t="s">
        <v>102</v>
      </c>
      <c r="AB7" s="31" t="s">
        <v>167</v>
      </c>
      <c r="AC7" s="31" t="s">
        <v>168</v>
      </c>
      <c r="AD7" s="31" t="s">
        <v>169</v>
      </c>
      <c r="AE7" s="31" t="s">
        <v>170</v>
      </c>
    </row>
    <row r="8" spans="1:31" ht="17" x14ac:dyDescent="0.25">
      <c r="A8" s="32" t="s">
        <v>171</v>
      </c>
      <c r="B8" s="33" t="s">
        <v>3</v>
      </c>
      <c r="C8" s="33" t="s">
        <v>3</v>
      </c>
      <c r="D8" s="33" t="s">
        <v>3</v>
      </c>
      <c r="E8" s="33" t="s">
        <v>3</v>
      </c>
      <c r="F8" s="33" t="s">
        <v>3</v>
      </c>
      <c r="G8" s="33" t="s">
        <v>3</v>
      </c>
      <c r="H8" s="33" t="s">
        <v>3</v>
      </c>
      <c r="I8" s="33" t="s">
        <v>3</v>
      </c>
      <c r="J8" s="33" t="s">
        <v>3</v>
      </c>
      <c r="K8" s="33" t="s">
        <v>3</v>
      </c>
      <c r="L8" s="33" t="s">
        <v>3</v>
      </c>
      <c r="M8" s="33" t="s">
        <v>3</v>
      </c>
      <c r="N8" s="33" t="s">
        <v>3</v>
      </c>
      <c r="O8" s="33" t="s">
        <v>3</v>
      </c>
      <c r="P8" s="33" t="s">
        <v>3</v>
      </c>
      <c r="Q8" s="33" t="s">
        <v>3</v>
      </c>
      <c r="R8" s="33" t="s">
        <v>3</v>
      </c>
      <c r="S8" s="33" t="s">
        <v>3</v>
      </c>
      <c r="T8" s="33" t="s">
        <v>3</v>
      </c>
      <c r="U8" s="33" t="s">
        <v>3</v>
      </c>
      <c r="V8" s="33" t="s">
        <v>3</v>
      </c>
      <c r="W8" s="33" t="s">
        <v>3</v>
      </c>
      <c r="X8" s="33" t="s">
        <v>3</v>
      </c>
      <c r="Y8" s="33" t="s">
        <v>3</v>
      </c>
      <c r="Z8" s="33" t="s">
        <v>3</v>
      </c>
      <c r="AA8" s="33" t="s">
        <v>3</v>
      </c>
      <c r="AB8" s="33" t="s">
        <v>3</v>
      </c>
      <c r="AC8" s="33" t="s">
        <v>3</v>
      </c>
      <c r="AD8" s="33" t="s">
        <v>3</v>
      </c>
      <c r="AE8" s="33" t="s">
        <v>3</v>
      </c>
    </row>
    <row r="9" spans="1:31" ht="17" x14ac:dyDescent="0.45">
      <c r="A9" s="34" t="s">
        <v>103</v>
      </c>
      <c r="B9" s="35" t="s">
        <v>3</v>
      </c>
      <c r="C9" s="36">
        <v>-0.92</v>
      </c>
      <c r="D9" s="36">
        <v>-0.57999999999999996</v>
      </c>
      <c r="E9" s="36">
        <v>2.6</v>
      </c>
      <c r="F9" s="36">
        <v>5.36</v>
      </c>
      <c r="G9" s="36">
        <v>3.93</v>
      </c>
      <c r="H9" s="36">
        <v>6.97</v>
      </c>
      <c r="I9" s="36">
        <v>6.56</v>
      </c>
      <c r="J9" s="36">
        <v>-3.35</v>
      </c>
      <c r="K9" s="36">
        <v>3.11</v>
      </c>
      <c r="L9" s="36">
        <v>-5.92</v>
      </c>
      <c r="M9" s="36">
        <v>1.51</v>
      </c>
      <c r="N9" s="36">
        <v>1.19</v>
      </c>
      <c r="O9" s="36">
        <v>2.89</v>
      </c>
      <c r="P9" s="36">
        <v>5.69</v>
      </c>
      <c r="Q9" s="36">
        <v>-5.8</v>
      </c>
      <c r="R9" s="36">
        <v>5.8</v>
      </c>
      <c r="S9" s="36">
        <v>-2.66</v>
      </c>
      <c r="T9" s="36">
        <v>4.25</v>
      </c>
      <c r="U9" s="36">
        <v>-1.54</v>
      </c>
      <c r="V9" s="36">
        <v>-3.71</v>
      </c>
      <c r="W9" s="36">
        <v>7.13</v>
      </c>
      <c r="X9" s="36">
        <v>7.33</v>
      </c>
      <c r="Y9" s="36">
        <v>0.53</v>
      </c>
      <c r="Z9" s="37" t="s">
        <v>3</v>
      </c>
      <c r="AA9" s="37" t="s">
        <v>3</v>
      </c>
      <c r="AB9" s="37" t="s">
        <v>3</v>
      </c>
      <c r="AC9" s="37" t="s">
        <v>3</v>
      </c>
      <c r="AD9" s="37" t="s">
        <v>3</v>
      </c>
      <c r="AE9" s="37" t="s">
        <v>3</v>
      </c>
    </row>
    <row r="10" spans="1:31" ht="17" x14ac:dyDescent="0.45">
      <c r="A10" s="34" t="s">
        <v>104</v>
      </c>
      <c r="B10" s="35" t="s">
        <v>3</v>
      </c>
      <c r="C10" s="36">
        <v>9.82</v>
      </c>
      <c r="D10" s="36">
        <v>-0.05</v>
      </c>
      <c r="E10" s="36">
        <v>-0.96</v>
      </c>
      <c r="F10" s="36">
        <v>-0.74</v>
      </c>
      <c r="G10" s="36">
        <v>-0.82</v>
      </c>
      <c r="H10" s="36">
        <v>-0.78</v>
      </c>
      <c r="I10" s="36">
        <v>-1.52</v>
      </c>
      <c r="J10" s="36">
        <v>1.81</v>
      </c>
      <c r="K10" s="36">
        <v>0.35</v>
      </c>
      <c r="L10" s="36">
        <v>-1.76</v>
      </c>
      <c r="M10" s="36">
        <v>2.15</v>
      </c>
      <c r="N10" s="36">
        <v>-0.26</v>
      </c>
      <c r="O10" s="36">
        <v>1.1399999999999999</v>
      </c>
      <c r="P10" s="36">
        <v>-0.82</v>
      </c>
      <c r="Q10" s="36">
        <v>-3.72</v>
      </c>
      <c r="R10" s="36">
        <v>-0.21</v>
      </c>
      <c r="S10" s="36">
        <v>1.1299999999999999</v>
      </c>
      <c r="T10" s="36">
        <v>-0.97</v>
      </c>
      <c r="U10" s="36">
        <v>-0.16</v>
      </c>
      <c r="V10" s="36">
        <v>0.31</v>
      </c>
      <c r="W10" s="36">
        <v>2.42</v>
      </c>
      <c r="X10" s="36">
        <v>0.36</v>
      </c>
      <c r="Y10" s="36">
        <v>-0.16</v>
      </c>
      <c r="Z10" s="36">
        <v>-0.04</v>
      </c>
      <c r="AA10" s="36">
        <v>2.4500000000000002</v>
      </c>
      <c r="AB10" s="36">
        <v>-2.76</v>
      </c>
      <c r="AC10" s="36">
        <v>1.45</v>
      </c>
      <c r="AD10" s="36">
        <v>3.16</v>
      </c>
      <c r="AE10" s="36">
        <v>-1.45</v>
      </c>
    </row>
    <row r="11" spans="1:31" ht="17" x14ac:dyDescent="0.45">
      <c r="A11" s="34" t="s">
        <v>105</v>
      </c>
      <c r="B11" s="35" t="s">
        <v>3</v>
      </c>
      <c r="C11" s="37" t="s">
        <v>3</v>
      </c>
      <c r="D11" s="36">
        <v>0.01</v>
      </c>
      <c r="E11" s="36">
        <v>0.74</v>
      </c>
      <c r="F11" s="36">
        <v>-1.25</v>
      </c>
      <c r="G11" s="36">
        <v>-0.16</v>
      </c>
      <c r="H11" s="36">
        <v>-0.61</v>
      </c>
      <c r="I11" s="36">
        <v>1.83</v>
      </c>
      <c r="J11" s="36">
        <v>-2.85</v>
      </c>
      <c r="K11" s="36">
        <v>0.79</v>
      </c>
      <c r="L11" s="36">
        <v>-0.22</v>
      </c>
      <c r="M11" s="36">
        <v>4.95</v>
      </c>
      <c r="N11" s="36">
        <v>0.63</v>
      </c>
      <c r="O11" s="36">
        <v>1.37</v>
      </c>
      <c r="P11" s="36">
        <v>-2.56</v>
      </c>
      <c r="Q11" s="36">
        <v>-6.67</v>
      </c>
      <c r="R11" s="36">
        <v>-6.54</v>
      </c>
      <c r="S11" s="36">
        <v>0.42</v>
      </c>
      <c r="T11" s="36">
        <v>-4.05</v>
      </c>
      <c r="U11" s="36">
        <v>1.68</v>
      </c>
      <c r="V11" s="36">
        <v>1.04</v>
      </c>
      <c r="W11" s="36">
        <v>0.94</v>
      </c>
      <c r="X11" s="36">
        <v>-0.48</v>
      </c>
      <c r="Y11" s="36">
        <v>2.5499999999999998</v>
      </c>
      <c r="Z11" s="36">
        <v>1.74</v>
      </c>
      <c r="AA11" s="36">
        <v>0.86</v>
      </c>
      <c r="AB11" s="36">
        <v>-1.35</v>
      </c>
      <c r="AC11" s="36">
        <v>5.84</v>
      </c>
      <c r="AD11" s="36">
        <v>0.41</v>
      </c>
      <c r="AE11" s="36">
        <v>-1.19</v>
      </c>
    </row>
    <row r="12" spans="1:31" ht="17" x14ac:dyDescent="0.45">
      <c r="A12" s="34" t="s">
        <v>106</v>
      </c>
      <c r="B12" s="35" t="s">
        <v>3</v>
      </c>
      <c r="C12" s="37" t="s">
        <v>3</v>
      </c>
      <c r="D12" s="37" t="s">
        <v>3</v>
      </c>
      <c r="E12" s="37" t="s">
        <v>3</v>
      </c>
      <c r="F12" s="36">
        <v>-0.44</v>
      </c>
      <c r="G12" s="36">
        <v>1.07</v>
      </c>
      <c r="H12" s="36">
        <v>4.3600000000000003</v>
      </c>
      <c r="I12" s="36">
        <v>0.45</v>
      </c>
      <c r="J12" s="36">
        <v>-1.04</v>
      </c>
      <c r="K12" s="36">
        <v>-1.65</v>
      </c>
      <c r="L12" s="36">
        <v>0.67</v>
      </c>
      <c r="M12" s="36">
        <v>0.05</v>
      </c>
      <c r="N12" s="36">
        <v>0.67</v>
      </c>
      <c r="O12" s="36">
        <v>2.44</v>
      </c>
      <c r="P12" s="36">
        <v>-2.88</v>
      </c>
      <c r="Q12" s="36">
        <v>-0.09</v>
      </c>
      <c r="R12" s="36">
        <v>-1.47</v>
      </c>
      <c r="S12" s="36">
        <v>2.39</v>
      </c>
      <c r="T12" s="36">
        <v>3.46</v>
      </c>
      <c r="U12" s="36">
        <v>-0.61</v>
      </c>
      <c r="V12" s="36">
        <v>2.33</v>
      </c>
      <c r="W12" s="36">
        <v>0.7</v>
      </c>
      <c r="X12" s="36">
        <v>-1.19</v>
      </c>
      <c r="Y12" s="36">
        <v>1.08</v>
      </c>
      <c r="Z12" s="36">
        <v>1.6</v>
      </c>
      <c r="AA12" s="36">
        <v>-0.06</v>
      </c>
      <c r="AB12" s="36">
        <v>3.45</v>
      </c>
      <c r="AC12" s="36">
        <v>-4.0999999999999996</v>
      </c>
      <c r="AD12" s="36">
        <v>1.8</v>
      </c>
      <c r="AE12" s="36">
        <v>0.01</v>
      </c>
    </row>
    <row r="13" spans="1:31" ht="17" x14ac:dyDescent="0.45">
      <c r="A13" s="34" t="s">
        <v>107</v>
      </c>
      <c r="B13" s="35" t="s">
        <v>3</v>
      </c>
      <c r="C13" s="37" t="s">
        <v>3</v>
      </c>
      <c r="D13" s="37" t="s">
        <v>3</v>
      </c>
      <c r="E13" s="37" t="s">
        <v>3</v>
      </c>
      <c r="F13" s="37" t="s">
        <v>3</v>
      </c>
      <c r="G13" s="37" t="s">
        <v>3</v>
      </c>
      <c r="H13" s="37" t="s">
        <v>3</v>
      </c>
      <c r="I13" s="37" t="s">
        <v>3</v>
      </c>
      <c r="J13" s="37" t="s">
        <v>3</v>
      </c>
      <c r="K13" s="37" t="s">
        <v>3</v>
      </c>
      <c r="L13" s="37" t="s">
        <v>3</v>
      </c>
      <c r="M13" s="37" t="s">
        <v>3</v>
      </c>
      <c r="N13" s="37" t="s">
        <v>3</v>
      </c>
      <c r="O13" s="37" t="s">
        <v>3</v>
      </c>
      <c r="P13" s="37" t="s">
        <v>3</v>
      </c>
      <c r="Q13" s="37" t="s">
        <v>3</v>
      </c>
      <c r="R13" s="37" t="s">
        <v>3</v>
      </c>
      <c r="S13" s="37" t="s">
        <v>3</v>
      </c>
      <c r="T13" s="37" t="s">
        <v>3</v>
      </c>
      <c r="U13" s="37" t="s">
        <v>3</v>
      </c>
      <c r="V13" s="36">
        <v>-7.05</v>
      </c>
      <c r="W13" s="36">
        <v>5.32</v>
      </c>
      <c r="X13" s="36">
        <v>-12.2</v>
      </c>
      <c r="Y13" s="36">
        <v>-4.67</v>
      </c>
      <c r="Z13" s="36">
        <v>-1.34</v>
      </c>
      <c r="AA13" s="36">
        <v>1.96</v>
      </c>
      <c r="AB13" s="36">
        <v>-7.21</v>
      </c>
      <c r="AC13" s="36">
        <v>9.64</v>
      </c>
      <c r="AD13" s="36">
        <v>0.84</v>
      </c>
      <c r="AE13" s="37" t="s">
        <v>3</v>
      </c>
    </row>
    <row r="14" spans="1:31" ht="17" x14ac:dyDescent="0.45">
      <c r="A14" s="34" t="s">
        <v>172</v>
      </c>
      <c r="B14" s="35" t="s">
        <v>3</v>
      </c>
      <c r="C14" s="37" t="s">
        <v>3</v>
      </c>
      <c r="D14" s="37" t="s">
        <v>3</v>
      </c>
      <c r="E14" s="37" t="s">
        <v>3</v>
      </c>
      <c r="F14" s="37" t="s">
        <v>3</v>
      </c>
      <c r="G14" s="37" t="s">
        <v>3</v>
      </c>
      <c r="H14" s="37" t="s">
        <v>3</v>
      </c>
      <c r="I14" s="37" t="s">
        <v>3</v>
      </c>
      <c r="J14" s="37" t="s">
        <v>3</v>
      </c>
      <c r="K14" s="37" t="s">
        <v>3</v>
      </c>
      <c r="L14" s="37" t="s">
        <v>3</v>
      </c>
      <c r="M14" s="37" t="s">
        <v>3</v>
      </c>
      <c r="N14" s="37" t="s">
        <v>3</v>
      </c>
      <c r="O14" s="37" t="s">
        <v>3</v>
      </c>
      <c r="P14" s="37" t="s">
        <v>3</v>
      </c>
      <c r="Q14" s="37" t="s">
        <v>3</v>
      </c>
      <c r="R14" s="37" t="s">
        <v>3</v>
      </c>
      <c r="S14" s="37" t="s">
        <v>3</v>
      </c>
      <c r="T14" s="37" t="s">
        <v>3</v>
      </c>
      <c r="U14" s="37" t="s">
        <v>3</v>
      </c>
      <c r="V14" s="37" t="s">
        <v>3</v>
      </c>
      <c r="W14" s="37" t="s">
        <v>3</v>
      </c>
      <c r="X14" s="36">
        <v>-7.71</v>
      </c>
      <c r="Y14" s="36">
        <v>-3.29</v>
      </c>
      <c r="Z14" s="36">
        <v>3.02</v>
      </c>
      <c r="AA14" s="36">
        <v>2.59</v>
      </c>
      <c r="AB14" s="36">
        <v>2.71</v>
      </c>
      <c r="AC14" s="36">
        <v>-20.05</v>
      </c>
      <c r="AD14" s="36">
        <v>3.18</v>
      </c>
      <c r="AE14" s="37" t="s">
        <v>3</v>
      </c>
    </row>
    <row r="15" spans="1:31" ht="17" x14ac:dyDescent="0.45">
      <c r="A15" s="34" t="s">
        <v>173</v>
      </c>
      <c r="B15" s="35" t="s">
        <v>3</v>
      </c>
      <c r="C15" s="36">
        <v>10.38</v>
      </c>
      <c r="D15" s="36">
        <v>4.6500000000000004</v>
      </c>
      <c r="E15" s="36">
        <v>-22.69</v>
      </c>
      <c r="F15" s="36">
        <v>-1.72</v>
      </c>
      <c r="G15" s="36">
        <v>12.61</v>
      </c>
      <c r="H15" s="36">
        <v>14.89</v>
      </c>
      <c r="I15" s="36">
        <v>-45.47</v>
      </c>
      <c r="J15" s="36">
        <v>8.8000000000000007</v>
      </c>
      <c r="K15" s="36">
        <v>8.92</v>
      </c>
      <c r="L15" s="36">
        <v>13.88</v>
      </c>
      <c r="M15" s="36">
        <v>0.26</v>
      </c>
      <c r="N15" s="36">
        <v>17.5</v>
      </c>
      <c r="O15" s="36">
        <v>9.34</v>
      </c>
      <c r="P15" s="36">
        <v>4.95</v>
      </c>
      <c r="Q15" s="36">
        <v>10.78</v>
      </c>
      <c r="R15" s="36">
        <v>-1.32</v>
      </c>
      <c r="S15" s="36">
        <v>9.5</v>
      </c>
      <c r="T15" s="36">
        <v>-8.9600000000000009</v>
      </c>
      <c r="U15" s="36">
        <v>6.44</v>
      </c>
      <c r="V15" s="36">
        <v>-7.62</v>
      </c>
      <c r="W15" s="36">
        <v>13.78</v>
      </c>
      <c r="X15" s="36">
        <v>10.06</v>
      </c>
      <c r="Y15" s="36">
        <v>-1.86</v>
      </c>
      <c r="Z15" s="36">
        <v>3.05</v>
      </c>
      <c r="AA15" s="36">
        <v>5.16</v>
      </c>
      <c r="AB15" s="36">
        <v>2.4900000000000002</v>
      </c>
      <c r="AC15" s="36">
        <v>3.11</v>
      </c>
      <c r="AD15" s="36">
        <v>-2.14</v>
      </c>
      <c r="AE15" s="36">
        <v>19.11</v>
      </c>
    </row>
    <row r="16" spans="1:31" ht="17" x14ac:dyDescent="0.45">
      <c r="A16" s="34" t="s">
        <v>174</v>
      </c>
      <c r="B16" s="35" t="s">
        <v>3</v>
      </c>
      <c r="C16" s="36">
        <v>-9.23</v>
      </c>
      <c r="D16" s="36">
        <v>-4.08</v>
      </c>
      <c r="E16" s="36">
        <v>-3.28</v>
      </c>
      <c r="F16" s="36">
        <v>-1.04</v>
      </c>
      <c r="G16" s="36">
        <v>3.26</v>
      </c>
      <c r="H16" s="36">
        <v>-2.63</v>
      </c>
      <c r="I16" s="36">
        <v>4.13</v>
      </c>
      <c r="J16" s="36">
        <v>6.1</v>
      </c>
      <c r="K16" s="36">
        <v>-2.77</v>
      </c>
      <c r="L16" s="36">
        <v>4.34</v>
      </c>
      <c r="M16" s="36">
        <v>-0.01</v>
      </c>
      <c r="N16" s="36">
        <v>-4.41</v>
      </c>
      <c r="O16" s="36">
        <v>4.79</v>
      </c>
      <c r="P16" s="36">
        <v>-1.68</v>
      </c>
      <c r="Q16" s="36">
        <v>-4.09</v>
      </c>
      <c r="R16" s="36">
        <v>1.75</v>
      </c>
      <c r="S16" s="36">
        <v>0.85</v>
      </c>
      <c r="T16" s="36">
        <v>4.97</v>
      </c>
      <c r="U16" s="36">
        <v>0.53</v>
      </c>
      <c r="V16" s="36">
        <v>-7.0000000000000007E-2</v>
      </c>
      <c r="W16" s="36">
        <v>0.93</v>
      </c>
      <c r="X16" s="36">
        <v>3.31</v>
      </c>
      <c r="Y16" s="36">
        <v>4.5</v>
      </c>
      <c r="Z16" s="36">
        <v>2.39</v>
      </c>
      <c r="AA16" s="36">
        <v>5.35</v>
      </c>
      <c r="AB16" s="36">
        <v>-2.46</v>
      </c>
      <c r="AC16" s="36">
        <v>8.4499999999999993</v>
      </c>
      <c r="AD16" s="36">
        <v>5.83</v>
      </c>
      <c r="AE16" s="36">
        <v>-4.78</v>
      </c>
    </row>
    <row r="17" spans="1:31" ht="17" x14ac:dyDescent="0.45">
      <c r="A17" s="34" t="s">
        <v>108</v>
      </c>
      <c r="B17" s="35" t="s">
        <v>3</v>
      </c>
      <c r="C17" s="36">
        <v>-6.49</v>
      </c>
      <c r="D17" s="36">
        <v>-2.9</v>
      </c>
      <c r="E17" s="36">
        <v>4.43</v>
      </c>
      <c r="F17" s="36">
        <v>-6.22</v>
      </c>
      <c r="G17" s="36">
        <v>-1.81</v>
      </c>
      <c r="H17" s="36">
        <v>-1.32</v>
      </c>
      <c r="I17" s="36">
        <v>-1.43</v>
      </c>
      <c r="J17" s="36">
        <v>-4.96</v>
      </c>
      <c r="K17" s="36">
        <v>-2.85</v>
      </c>
      <c r="L17" s="36">
        <v>2.5099999999999998</v>
      </c>
      <c r="M17" s="36">
        <v>4.1900000000000004</v>
      </c>
      <c r="N17" s="36">
        <v>-2.19</v>
      </c>
      <c r="O17" s="36">
        <v>-10.11</v>
      </c>
      <c r="P17" s="36">
        <v>2.1800000000000002</v>
      </c>
      <c r="Q17" s="36">
        <v>-2.66</v>
      </c>
      <c r="R17" s="36">
        <v>2.86</v>
      </c>
      <c r="S17" s="36">
        <v>0.9</v>
      </c>
      <c r="T17" s="36">
        <v>-1.56</v>
      </c>
      <c r="U17" s="36">
        <v>2.46</v>
      </c>
      <c r="V17" s="36">
        <v>-1.93</v>
      </c>
      <c r="W17" s="36">
        <v>2.0299999999999998</v>
      </c>
      <c r="X17" s="36">
        <v>5.35</v>
      </c>
      <c r="Y17" s="36">
        <v>-1.18</v>
      </c>
      <c r="Z17" s="36">
        <v>-0.34</v>
      </c>
      <c r="AA17" s="36">
        <v>-1.42</v>
      </c>
      <c r="AB17" s="36">
        <v>-1.1100000000000001</v>
      </c>
      <c r="AC17" s="36">
        <v>7.87</v>
      </c>
      <c r="AD17" s="36">
        <v>-3.75</v>
      </c>
      <c r="AE17" s="36">
        <v>-3.15</v>
      </c>
    </row>
    <row r="18" spans="1:31" ht="17" x14ac:dyDescent="0.45">
      <c r="A18" s="34" t="s">
        <v>109</v>
      </c>
      <c r="B18" s="35" t="s">
        <v>3</v>
      </c>
      <c r="C18" s="37" t="s">
        <v>3</v>
      </c>
      <c r="D18" s="36">
        <v>-4.59</v>
      </c>
      <c r="E18" s="36">
        <v>-2.66</v>
      </c>
      <c r="F18" s="36">
        <v>-0.36</v>
      </c>
      <c r="G18" s="36">
        <v>-1.67</v>
      </c>
      <c r="H18" s="36">
        <v>-14.23</v>
      </c>
      <c r="I18" s="36">
        <v>30.43</v>
      </c>
      <c r="J18" s="36">
        <v>16.79</v>
      </c>
      <c r="K18" s="36">
        <v>-2</v>
      </c>
      <c r="L18" s="36">
        <v>21.75</v>
      </c>
      <c r="M18" s="36">
        <v>-1.22</v>
      </c>
      <c r="N18" s="36">
        <v>11.99</v>
      </c>
      <c r="O18" s="36">
        <v>1.1000000000000001</v>
      </c>
      <c r="P18" s="36">
        <v>-7.68</v>
      </c>
      <c r="Q18" s="36">
        <v>-8.5500000000000007</v>
      </c>
      <c r="R18" s="36">
        <v>-1.39</v>
      </c>
      <c r="S18" s="36">
        <v>4.88</v>
      </c>
      <c r="T18" s="36">
        <v>0.46</v>
      </c>
      <c r="U18" s="36">
        <v>-6.41</v>
      </c>
      <c r="V18" s="36">
        <v>9.24</v>
      </c>
      <c r="W18" s="36">
        <v>2.4300000000000002</v>
      </c>
      <c r="X18" s="36">
        <v>7.0000000000000007E-2</v>
      </c>
      <c r="Y18" s="36">
        <v>-2.29</v>
      </c>
      <c r="Z18" s="36">
        <v>2.48</v>
      </c>
      <c r="AA18" s="36">
        <v>6.69</v>
      </c>
      <c r="AB18" s="36">
        <v>-4.8499999999999996</v>
      </c>
      <c r="AC18" s="36">
        <v>17.739999999999998</v>
      </c>
      <c r="AD18" s="36">
        <v>18.309999999999999</v>
      </c>
      <c r="AE18" s="36">
        <v>-18.899999999999999</v>
      </c>
    </row>
    <row r="19" spans="1:31" ht="17" x14ac:dyDescent="0.45">
      <c r="A19" s="34" t="s">
        <v>110</v>
      </c>
      <c r="B19" s="35" t="s">
        <v>3</v>
      </c>
      <c r="C19" s="36">
        <v>-3.74</v>
      </c>
      <c r="D19" s="36">
        <v>2.4700000000000002</v>
      </c>
      <c r="E19" s="36">
        <v>1.38</v>
      </c>
      <c r="F19" s="36">
        <v>-1.53</v>
      </c>
      <c r="G19" s="36">
        <v>-0.7</v>
      </c>
      <c r="H19" s="36">
        <v>-0.06</v>
      </c>
      <c r="I19" s="36">
        <v>1.08</v>
      </c>
      <c r="J19" s="36">
        <v>-3.31</v>
      </c>
      <c r="K19" s="36">
        <v>-4.22</v>
      </c>
      <c r="L19" s="36">
        <v>-0.92</v>
      </c>
      <c r="M19" s="36">
        <v>-3.87</v>
      </c>
      <c r="N19" s="36">
        <v>-3.49</v>
      </c>
      <c r="O19" s="36">
        <v>-1.73</v>
      </c>
      <c r="P19" s="36">
        <v>-3.64</v>
      </c>
      <c r="Q19" s="36">
        <v>-4.82</v>
      </c>
      <c r="R19" s="36">
        <v>-1.3</v>
      </c>
      <c r="S19" s="36">
        <v>0.46</v>
      </c>
      <c r="T19" s="36">
        <v>-1.43</v>
      </c>
      <c r="U19" s="36">
        <v>-1.23</v>
      </c>
      <c r="V19" s="36">
        <v>-4.25</v>
      </c>
      <c r="W19" s="36">
        <v>-0.33</v>
      </c>
      <c r="X19" s="36">
        <v>-1.89</v>
      </c>
      <c r="Y19" s="36">
        <v>3.95</v>
      </c>
      <c r="Z19" s="36">
        <v>0.23</v>
      </c>
      <c r="AA19" s="36">
        <v>-0.7</v>
      </c>
      <c r="AB19" s="36">
        <v>-0.62</v>
      </c>
      <c r="AC19" s="36">
        <v>-0.36</v>
      </c>
      <c r="AD19" s="36">
        <v>-1.97</v>
      </c>
      <c r="AE19" s="36">
        <v>0.02</v>
      </c>
    </row>
    <row r="20" spans="1:31" ht="17" x14ac:dyDescent="0.45">
      <c r="A20" s="34" t="s">
        <v>111</v>
      </c>
      <c r="B20" s="35" t="s">
        <v>3</v>
      </c>
      <c r="C20" s="36">
        <v>3.36</v>
      </c>
      <c r="D20" s="36">
        <v>1.19</v>
      </c>
      <c r="E20" s="36">
        <v>-3.45</v>
      </c>
      <c r="F20" s="36">
        <v>-1.04</v>
      </c>
      <c r="G20" s="36">
        <v>-0.82</v>
      </c>
      <c r="H20" s="36">
        <v>-2.63</v>
      </c>
      <c r="I20" s="36">
        <v>-3.93</v>
      </c>
      <c r="J20" s="36">
        <v>0.19</v>
      </c>
      <c r="K20" s="36">
        <v>1.66</v>
      </c>
      <c r="L20" s="36">
        <v>0.6</v>
      </c>
      <c r="M20" s="36">
        <v>1.49</v>
      </c>
      <c r="N20" s="36">
        <v>1.1599999999999999</v>
      </c>
      <c r="O20" s="36">
        <v>0.44</v>
      </c>
      <c r="P20" s="36">
        <v>0.56000000000000005</v>
      </c>
      <c r="Q20" s="36">
        <v>-2.77</v>
      </c>
      <c r="R20" s="36">
        <v>1.57</v>
      </c>
      <c r="S20" s="36">
        <v>-0.26</v>
      </c>
      <c r="T20" s="36">
        <v>-1.1000000000000001</v>
      </c>
      <c r="U20" s="36">
        <v>-0.25</v>
      </c>
      <c r="V20" s="36">
        <v>-0.43</v>
      </c>
      <c r="W20" s="36">
        <v>0.79</v>
      </c>
      <c r="X20" s="36">
        <v>-1.26</v>
      </c>
      <c r="Y20" s="36">
        <v>-0.16</v>
      </c>
      <c r="Z20" s="36">
        <v>0.09</v>
      </c>
      <c r="AA20" s="36">
        <v>2.4500000000000002</v>
      </c>
      <c r="AB20" s="36">
        <v>-4.1399999999999997</v>
      </c>
      <c r="AC20" s="36">
        <v>2.33</v>
      </c>
      <c r="AD20" s="36">
        <v>0.16</v>
      </c>
      <c r="AE20" s="36">
        <v>1.45</v>
      </c>
    </row>
    <row r="21" spans="1:31" ht="17" x14ac:dyDescent="0.45">
      <c r="A21" s="34" t="s">
        <v>112</v>
      </c>
      <c r="B21" s="35" t="s">
        <v>3</v>
      </c>
      <c r="C21" s="36">
        <v>-2.2000000000000002</v>
      </c>
      <c r="D21" s="36">
        <v>-3.32</v>
      </c>
      <c r="E21" s="36">
        <v>-5.01</v>
      </c>
      <c r="F21" s="36">
        <v>-3.08</v>
      </c>
      <c r="G21" s="36">
        <v>-4.3</v>
      </c>
      <c r="H21" s="36">
        <v>-3.11</v>
      </c>
      <c r="I21" s="36">
        <v>0.17</v>
      </c>
      <c r="J21" s="36">
        <v>0.23</v>
      </c>
      <c r="K21" s="36">
        <v>-2.2799999999999998</v>
      </c>
      <c r="L21" s="36">
        <v>-5.47</v>
      </c>
      <c r="M21" s="36">
        <v>-1.1599999999999999</v>
      </c>
      <c r="N21" s="36">
        <v>-3.49</v>
      </c>
      <c r="O21" s="36">
        <v>0.05</v>
      </c>
      <c r="P21" s="36">
        <v>-1.21</v>
      </c>
      <c r="Q21" s="36">
        <v>-9.68</v>
      </c>
      <c r="R21" s="36">
        <v>-0.22</v>
      </c>
      <c r="S21" s="36">
        <v>-2.77</v>
      </c>
      <c r="T21" s="36">
        <v>-0.9</v>
      </c>
      <c r="U21" s="36">
        <v>1.31</v>
      </c>
      <c r="V21" s="36">
        <v>0.74</v>
      </c>
      <c r="W21" s="36">
        <v>0.76</v>
      </c>
      <c r="X21" s="36">
        <v>1.38</v>
      </c>
      <c r="Y21" s="36">
        <v>0.4</v>
      </c>
      <c r="Z21" s="36">
        <v>3.31</v>
      </c>
      <c r="AA21" s="36">
        <v>-1.0900000000000001</v>
      </c>
      <c r="AB21" s="36">
        <v>-2.62</v>
      </c>
      <c r="AC21" s="36">
        <v>8.52</v>
      </c>
      <c r="AD21" s="36">
        <v>1.19</v>
      </c>
      <c r="AE21" s="36">
        <v>-0.37</v>
      </c>
    </row>
    <row r="22" spans="1:31" ht="17" x14ac:dyDescent="0.45">
      <c r="A22" s="34" t="s">
        <v>113</v>
      </c>
      <c r="B22" s="35" t="s">
        <v>3</v>
      </c>
      <c r="C22" s="37" t="s">
        <v>3</v>
      </c>
      <c r="D22" s="36">
        <v>7.5</v>
      </c>
      <c r="E22" s="36">
        <v>1.52</v>
      </c>
      <c r="F22" s="36">
        <v>-11.56</v>
      </c>
      <c r="G22" s="36">
        <v>0.38</v>
      </c>
      <c r="H22" s="36">
        <v>-3.64</v>
      </c>
      <c r="I22" s="36">
        <v>-5.87</v>
      </c>
      <c r="J22" s="36">
        <v>-1.57</v>
      </c>
      <c r="K22" s="36">
        <v>2.5499999999999998</v>
      </c>
      <c r="L22" s="36">
        <v>-5.01</v>
      </c>
      <c r="M22" s="36">
        <v>-7.57</v>
      </c>
      <c r="N22" s="36">
        <v>10.6</v>
      </c>
      <c r="O22" s="36">
        <v>3.21</v>
      </c>
      <c r="P22" s="36">
        <v>0.39</v>
      </c>
      <c r="Q22" s="36">
        <v>-9.1</v>
      </c>
      <c r="R22" s="36">
        <v>-20.059999999999999</v>
      </c>
      <c r="S22" s="36">
        <v>-11.58</v>
      </c>
      <c r="T22" s="36">
        <v>-10.82</v>
      </c>
      <c r="U22" s="36">
        <v>-10.97</v>
      </c>
      <c r="V22" s="36">
        <v>-12</v>
      </c>
      <c r="W22" s="36">
        <v>7.9</v>
      </c>
      <c r="X22" s="36">
        <v>-4.8099999999999996</v>
      </c>
      <c r="Y22" s="36">
        <v>7</v>
      </c>
      <c r="Z22" s="36">
        <v>-1.74</v>
      </c>
      <c r="AA22" s="36">
        <v>4.87</v>
      </c>
      <c r="AB22" s="36">
        <v>-4.9800000000000004</v>
      </c>
      <c r="AC22" s="36">
        <v>8.7200000000000006</v>
      </c>
      <c r="AD22" s="36">
        <v>6.78</v>
      </c>
      <c r="AE22" s="36">
        <v>5.8</v>
      </c>
    </row>
    <row r="23" spans="1:31" ht="17" x14ac:dyDescent="0.45">
      <c r="A23" s="34" t="s">
        <v>114</v>
      </c>
      <c r="B23" s="35" t="s">
        <v>3</v>
      </c>
      <c r="C23" s="37" t="s">
        <v>3</v>
      </c>
      <c r="D23" s="36">
        <v>17.489999999999998</v>
      </c>
      <c r="E23" s="36">
        <v>-14.93</v>
      </c>
      <c r="F23" s="36">
        <v>-5.7</v>
      </c>
      <c r="G23" s="36">
        <v>-6.44</v>
      </c>
      <c r="H23" s="36">
        <v>-7.39</v>
      </c>
      <c r="I23" s="36">
        <v>8.98</v>
      </c>
      <c r="J23" s="36">
        <v>4.76</v>
      </c>
      <c r="K23" s="36">
        <v>-7.87</v>
      </c>
      <c r="L23" s="36">
        <v>-7.5</v>
      </c>
      <c r="M23" s="36">
        <v>2.5</v>
      </c>
      <c r="N23" s="36">
        <v>5.3</v>
      </c>
      <c r="O23" s="36">
        <v>-5.82</v>
      </c>
      <c r="P23" s="36">
        <v>-6.32</v>
      </c>
      <c r="Q23" s="36">
        <v>-12.96</v>
      </c>
      <c r="R23" s="36">
        <v>0.05</v>
      </c>
      <c r="S23" s="36">
        <v>0.81</v>
      </c>
      <c r="T23" s="36">
        <v>15.47</v>
      </c>
      <c r="U23" s="36">
        <v>-9.4499999999999993</v>
      </c>
      <c r="V23" s="36">
        <v>-14.09</v>
      </c>
      <c r="W23" s="36">
        <v>0.39</v>
      </c>
      <c r="X23" s="36">
        <v>2.72</v>
      </c>
      <c r="Y23" s="36">
        <v>7.57</v>
      </c>
      <c r="Z23" s="36">
        <v>4.33</v>
      </c>
      <c r="AA23" s="36">
        <v>4.46</v>
      </c>
      <c r="AB23" s="36">
        <v>-6.54</v>
      </c>
      <c r="AC23" s="36">
        <v>14.57</v>
      </c>
      <c r="AD23" s="36">
        <v>7.79</v>
      </c>
      <c r="AE23" s="36">
        <v>-5.47</v>
      </c>
    </row>
    <row r="24" spans="1:31" ht="17" x14ac:dyDescent="0.45">
      <c r="A24" s="34" t="s">
        <v>115</v>
      </c>
      <c r="B24" s="35" t="s">
        <v>3</v>
      </c>
      <c r="C24" s="37" t="s">
        <v>3</v>
      </c>
      <c r="D24" s="36">
        <v>7.8</v>
      </c>
      <c r="E24" s="36">
        <v>3.44</v>
      </c>
      <c r="F24" s="36">
        <v>5.6</v>
      </c>
      <c r="G24" s="36">
        <v>3.7</v>
      </c>
      <c r="H24" s="36">
        <v>1.05</v>
      </c>
      <c r="I24" s="36">
        <v>3.98</v>
      </c>
      <c r="J24" s="36">
        <v>0.21</v>
      </c>
      <c r="K24" s="36">
        <v>-1.66</v>
      </c>
      <c r="L24" s="36">
        <v>2.4900000000000002</v>
      </c>
      <c r="M24" s="36">
        <v>-2.0699999999999998</v>
      </c>
      <c r="N24" s="36">
        <v>-1.31</v>
      </c>
      <c r="O24" s="36">
        <v>5.04</v>
      </c>
      <c r="P24" s="36">
        <v>2.23</v>
      </c>
      <c r="Q24" s="36">
        <v>0.37</v>
      </c>
      <c r="R24" s="36">
        <v>0.91</v>
      </c>
      <c r="S24" s="36">
        <v>-1.27</v>
      </c>
      <c r="T24" s="36">
        <v>-4.4400000000000004</v>
      </c>
      <c r="U24" s="36">
        <v>2.29</v>
      </c>
      <c r="V24" s="36">
        <v>-0.46</v>
      </c>
      <c r="W24" s="36">
        <v>5.31</v>
      </c>
      <c r="X24" s="36">
        <v>-3.64</v>
      </c>
      <c r="Y24" s="36">
        <v>-3.85</v>
      </c>
      <c r="Z24" s="36">
        <v>2.59</v>
      </c>
      <c r="AA24" s="36">
        <v>4.38</v>
      </c>
      <c r="AB24" s="36">
        <v>-12.89</v>
      </c>
      <c r="AC24" s="36">
        <v>3.98</v>
      </c>
      <c r="AD24" s="36">
        <v>5.15</v>
      </c>
      <c r="AE24" s="36">
        <v>0.56000000000000005</v>
      </c>
    </row>
    <row r="25" spans="1:31" ht="17" x14ac:dyDescent="0.45">
      <c r="A25" s="34" t="s">
        <v>116</v>
      </c>
      <c r="B25" s="35" t="s">
        <v>3</v>
      </c>
      <c r="C25" s="37" t="s">
        <v>3</v>
      </c>
      <c r="D25" s="36">
        <v>3.41</v>
      </c>
      <c r="E25" s="36">
        <v>17.11</v>
      </c>
      <c r="F25" s="36">
        <v>11.81</v>
      </c>
      <c r="G25" s="36">
        <v>-1.26</v>
      </c>
      <c r="H25" s="36">
        <v>3.64</v>
      </c>
      <c r="I25" s="36">
        <v>7.98</v>
      </c>
      <c r="J25" s="36">
        <v>1.08</v>
      </c>
      <c r="K25" s="36">
        <v>-4.01</v>
      </c>
      <c r="L25" s="36">
        <v>-1.1399999999999999</v>
      </c>
      <c r="M25" s="36">
        <v>8.9700000000000006</v>
      </c>
      <c r="N25" s="36">
        <v>-15.89</v>
      </c>
      <c r="O25" s="36">
        <v>15.79</v>
      </c>
      <c r="P25" s="36">
        <v>4.66</v>
      </c>
      <c r="Q25" s="36">
        <v>7.16</v>
      </c>
      <c r="R25" s="36">
        <v>12</v>
      </c>
      <c r="S25" s="36">
        <v>5.88</v>
      </c>
      <c r="T25" s="36">
        <v>-1.1200000000000001</v>
      </c>
      <c r="U25" s="36">
        <v>15.01</v>
      </c>
      <c r="V25" s="36">
        <v>11.43</v>
      </c>
      <c r="W25" s="36">
        <v>6.66</v>
      </c>
      <c r="X25" s="36">
        <v>-0.92</v>
      </c>
      <c r="Y25" s="36">
        <v>11.18</v>
      </c>
      <c r="Z25" s="36">
        <v>2.64</v>
      </c>
      <c r="AA25" s="36">
        <v>3.75</v>
      </c>
      <c r="AB25" s="36">
        <v>5.04</v>
      </c>
      <c r="AC25" s="36">
        <v>-5.99</v>
      </c>
      <c r="AD25" s="36">
        <v>-1.98</v>
      </c>
      <c r="AE25" s="36">
        <v>-1.7</v>
      </c>
    </row>
    <row r="26" spans="1:31" ht="17" x14ac:dyDescent="0.45">
      <c r="A26" s="34" t="s">
        <v>117</v>
      </c>
      <c r="B26" s="35" t="s">
        <v>3</v>
      </c>
      <c r="C26" s="37" t="s">
        <v>3</v>
      </c>
      <c r="D26" s="36">
        <v>-10.130000000000001</v>
      </c>
      <c r="E26" s="36">
        <v>1.46</v>
      </c>
      <c r="F26" s="36">
        <v>6.45</v>
      </c>
      <c r="G26" s="36">
        <v>-2.31</v>
      </c>
      <c r="H26" s="36">
        <v>-4.6399999999999997</v>
      </c>
      <c r="I26" s="36">
        <v>-1.4</v>
      </c>
      <c r="J26" s="36">
        <v>-1.1100000000000001</v>
      </c>
      <c r="K26" s="36">
        <v>-0.93</v>
      </c>
      <c r="L26" s="36">
        <v>1.55</v>
      </c>
      <c r="M26" s="36">
        <v>-2.2999999999999998</v>
      </c>
      <c r="N26" s="36">
        <v>2.82</v>
      </c>
      <c r="O26" s="36">
        <v>-3.22</v>
      </c>
      <c r="P26" s="36">
        <v>1.71</v>
      </c>
      <c r="Q26" s="36">
        <v>-6.62</v>
      </c>
      <c r="R26" s="36">
        <v>2.2999999999999998</v>
      </c>
      <c r="S26" s="36">
        <v>12.69</v>
      </c>
      <c r="T26" s="36">
        <v>5.88</v>
      </c>
      <c r="U26" s="36">
        <v>-0.61</v>
      </c>
      <c r="V26" s="36">
        <v>2.61</v>
      </c>
      <c r="W26" s="36">
        <v>-1.04</v>
      </c>
      <c r="X26" s="36">
        <v>3.72</v>
      </c>
      <c r="Y26" s="36">
        <v>2.86</v>
      </c>
      <c r="Z26" s="36">
        <v>1.02</v>
      </c>
      <c r="AA26" s="36">
        <v>-0.54</v>
      </c>
      <c r="AB26" s="36">
        <v>-5.42</v>
      </c>
      <c r="AC26" s="36">
        <v>10.88</v>
      </c>
      <c r="AD26" s="36">
        <v>-1.37</v>
      </c>
      <c r="AE26" s="37" t="s">
        <v>3</v>
      </c>
    </row>
    <row r="27" spans="1:31" ht="17" x14ac:dyDescent="0.45">
      <c r="A27" s="34" t="s">
        <v>118</v>
      </c>
      <c r="B27" s="35" t="s">
        <v>3</v>
      </c>
      <c r="C27" s="36">
        <v>4.8099999999999996</v>
      </c>
      <c r="D27" s="36">
        <v>-4.5</v>
      </c>
      <c r="E27" s="36">
        <v>-2.06</v>
      </c>
      <c r="F27" s="36">
        <v>-5.18</v>
      </c>
      <c r="G27" s="36">
        <v>-1.32</v>
      </c>
      <c r="H27" s="36">
        <v>0.09</v>
      </c>
      <c r="I27" s="36">
        <v>-0.64</v>
      </c>
      <c r="J27" s="36">
        <v>-1.56</v>
      </c>
      <c r="K27" s="36">
        <v>-0.83</v>
      </c>
      <c r="L27" s="36">
        <v>-4.7699999999999996</v>
      </c>
      <c r="M27" s="36">
        <v>-4.83</v>
      </c>
      <c r="N27" s="36">
        <v>0.09</v>
      </c>
      <c r="O27" s="36">
        <v>-1.67</v>
      </c>
      <c r="P27" s="36">
        <v>-3.02</v>
      </c>
      <c r="Q27" s="36">
        <v>-3.58</v>
      </c>
      <c r="R27" s="36">
        <v>-0.52</v>
      </c>
      <c r="S27" s="36">
        <v>-3.5</v>
      </c>
      <c r="T27" s="36">
        <v>-5.62</v>
      </c>
      <c r="U27" s="36">
        <v>-0.62</v>
      </c>
      <c r="V27" s="36">
        <v>-1.67</v>
      </c>
      <c r="W27" s="36">
        <v>-1.53</v>
      </c>
      <c r="X27" s="36">
        <v>0.59</v>
      </c>
      <c r="Y27" s="36">
        <v>0.81</v>
      </c>
      <c r="Z27" s="36">
        <v>0.54</v>
      </c>
      <c r="AA27" s="36">
        <v>-1.6</v>
      </c>
      <c r="AB27" s="36">
        <v>-1.1399999999999999</v>
      </c>
      <c r="AC27" s="36">
        <v>7.13</v>
      </c>
      <c r="AD27" s="36">
        <v>7.34</v>
      </c>
      <c r="AE27" s="36">
        <v>-1.91</v>
      </c>
    </row>
    <row r="28" spans="1:31" ht="17" x14ac:dyDescent="0.45">
      <c r="A28" s="34" t="s">
        <v>136</v>
      </c>
      <c r="B28" s="35" t="s">
        <v>3</v>
      </c>
      <c r="C28" s="36">
        <v>-0.94</v>
      </c>
      <c r="D28" s="36">
        <v>4.38</v>
      </c>
      <c r="E28" s="36">
        <v>2.5299999999999998</v>
      </c>
      <c r="F28" s="36">
        <v>2.36</v>
      </c>
      <c r="G28" s="36">
        <v>-0.48</v>
      </c>
      <c r="H28" s="36">
        <v>8.36</v>
      </c>
      <c r="I28" s="36">
        <v>1.87</v>
      </c>
      <c r="J28" s="36">
        <v>1.57</v>
      </c>
      <c r="K28" s="36">
        <v>3.52</v>
      </c>
      <c r="L28" s="36">
        <v>3.61</v>
      </c>
      <c r="M28" s="36">
        <v>4.1900000000000004</v>
      </c>
      <c r="N28" s="36">
        <v>0.69</v>
      </c>
      <c r="O28" s="36">
        <v>2.91</v>
      </c>
      <c r="P28" s="36">
        <v>0.92</v>
      </c>
      <c r="Q28" s="36">
        <v>-4.4400000000000004</v>
      </c>
      <c r="R28" s="36">
        <v>-2.4900000000000002</v>
      </c>
      <c r="S28" s="36">
        <v>3.08</v>
      </c>
      <c r="T28" s="36">
        <v>1.78</v>
      </c>
      <c r="U28" s="36">
        <v>-1.44</v>
      </c>
      <c r="V28" s="36">
        <v>0.24</v>
      </c>
      <c r="W28" s="36">
        <v>1.68</v>
      </c>
      <c r="X28" s="36">
        <v>1</v>
      </c>
      <c r="Y28" s="36">
        <v>-4.22</v>
      </c>
      <c r="Z28" s="36">
        <v>-3.01</v>
      </c>
      <c r="AA28" s="36">
        <v>-0.64</v>
      </c>
      <c r="AB28" s="36">
        <v>-0.43</v>
      </c>
      <c r="AC28" s="36">
        <v>1.94</v>
      </c>
      <c r="AD28" s="36">
        <v>0.11</v>
      </c>
      <c r="AE28" s="37" t="s">
        <v>3</v>
      </c>
    </row>
    <row r="29" spans="1:31" ht="17" x14ac:dyDescent="0.45">
      <c r="A29" s="34" t="s">
        <v>134</v>
      </c>
      <c r="B29" s="35" t="s">
        <v>3</v>
      </c>
      <c r="C29" s="37" t="s">
        <v>3</v>
      </c>
      <c r="D29" s="37" t="s">
        <v>3</v>
      </c>
      <c r="E29" s="37" t="s">
        <v>3</v>
      </c>
      <c r="F29" s="37" t="s">
        <v>3</v>
      </c>
      <c r="G29" s="37" t="s">
        <v>3</v>
      </c>
      <c r="H29" s="37" t="s">
        <v>3</v>
      </c>
      <c r="I29" s="37" t="s">
        <v>3</v>
      </c>
      <c r="J29" s="37" t="s">
        <v>3</v>
      </c>
      <c r="K29" s="37" t="s">
        <v>3</v>
      </c>
      <c r="L29" s="37" t="s">
        <v>3</v>
      </c>
      <c r="M29" s="36">
        <v>-0.83</v>
      </c>
      <c r="N29" s="36">
        <v>-3.14</v>
      </c>
      <c r="O29" s="36">
        <v>-2.4500000000000002</v>
      </c>
      <c r="P29" s="36">
        <v>0.55000000000000004</v>
      </c>
      <c r="Q29" s="36">
        <v>-2.73</v>
      </c>
      <c r="R29" s="36">
        <v>0.9</v>
      </c>
      <c r="S29" s="36">
        <v>-3.31</v>
      </c>
      <c r="T29" s="36">
        <v>-2.56</v>
      </c>
      <c r="U29" s="36">
        <v>4.2300000000000004</v>
      </c>
      <c r="V29" s="36">
        <v>4.24</v>
      </c>
      <c r="W29" s="36">
        <v>0.41</v>
      </c>
      <c r="X29" s="36">
        <v>-0.93</v>
      </c>
      <c r="Y29" s="36">
        <v>2.71</v>
      </c>
      <c r="Z29" s="36">
        <v>7.09</v>
      </c>
      <c r="AA29" s="36">
        <v>1.01</v>
      </c>
      <c r="AB29" s="36">
        <v>-1.48</v>
      </c>
      <c r="AC29" s="36">
        <v>-2.21</v>
      </c>
      <c r="AD29" s="36">
        <v>-1.17</v>
      </c>
      <c r="AE29" s="36">
        <v>-1.04</v>
      </c>
    </row>
    <row r="30" spans="1:31" ht="17" x14ac:dyDescent="0.45">
      <c r="A30" s="34" t="s">
        <v>119</v>
      </c>
      <c r="B30" s="35" t="s">
        <v>3</v>
      </c>
      <c r="C30" s="37" t="s">
        <v>3</v>
      </c>
      <c r="D30" s="36">
        <v>-4.1100000000000003</v>
      </c>
      <c r="E30" s="36">
        <v>6.52</v>
      </c>
      <c r="F30" s="36">
        <v>14.06</v>
      </c>
      <c r="G30" s="36">
        <v>20.07</v>
      </c>
      <c r="H30" s="36">
        <v>11.59</v>
      </c>
      <c r="I30" s="36">
        <v>1.82</v>
      </c>
      <c r="J30" s="36">
        <v>8.82</v>
      </c>
      <c r="K30" s="36">
        <v>4.07</v>
      </c>
      <c r="L30" s="36">
        <v>-7.19</v>
      </c>
      <c r="M30" s="36">
        <v>24.18</v>
      </c>
      <c r="N30" s="36">
        <v>3.65</v>
      </c>
      <c r="O30" s="36">
        <v>-7.46</v>
      </c>
      <c r="P30" s="36">
        <v>2.62</v>
      </c>
      <c r="Q30" s="36">
        <v>-12.46</v>
      </c>
      <c r="R30" s="36">
        <v>3.55</v>
      </c>
      <c r="S30" s="36">
        <v>-7.09</v>
      </c>
      <c r="T30" s="36">
        <v>-5.45</v>
      </c>
      <c r="U30" s="36">
        <v>-4.2</v>
      </c>
      <c r="V30" s="36">
        <v>2.29</v>
      </c>
      <c r="W30" s="36">
        <v>-1.26</v>
      </c>
      <c r="X30" s="36">
        <v>3.94</v>
      </c>
      <c r="Y30" s="36">
        <v>2.5099999999999998</v>
      </c>
      <c r="Z30" s="36">
        <v>1.6</v>
      </c>
      <c r="AA30" s="36">
        <v>11.3</v>
      </c>
      <c r="AB30" s="36">
        <v>0.51</v>
      </c>
      <c r="AC30" s="36">
        <v>9.6</v>
      </c>
      <c r="AD30" s="36">
        <v>3</v>
      </c>
      <c r="AE30" s="36">
        <v>-1.47</v>
      </c>
    </row>
    <row r="31" spans="1:31" ht="17" x14ac:dyDescent="0.45">
      <c r="A31" s="34" t="s">
        <v>120</v>
      </c>
      <c r="B31" s="35" t="s">
        <v>3</v>
      </c>
      <c r="C31" s="37" t="s">
        <v>3</v>
      </c>
      <c r="D31" s="36">
        <v>6.58</v>
      </c>
      <c r="E31" s="36">
        <v>24.3</v>
      </c>
      <c r="F31" s="36">
        <v>0.32</v>
      </c>
      <c r="G31" s="36">
        <v>10.57</v>
      </c>
      <c r="H31" s="36">
        <v>15.23</v>
      </c>
      <c r="I31" s="36">
        <v>12.69</v>
      </c>
      <c r="J31" s="36">
        <v>-6.17</v>
      </c>
      <c r="K31" s="36">
        <v>26.61</v>
      </c>
      <c r="L31" s="36">
        <v>22.63</v>
      </c>
      <c r="M31" s="36">
        <v>-2.86</v>
      </c>
      <c r="N31" s="36">
        <v>8.4</v>
      </c>
      <c r="O31" s="36">
        <v>13.38</v>
      </c>
      <c r="P31" s="36">
        <v>-10.55</v>
      </c>
      <c r="Q31" s="36">
        <v>-17.72</v>
      </c>
      <c r="R31" s="36">
        <v>-6.98</v>
      </c>
      <c r="S31" s="36">
        <v>1.37</v>
      </c>
      <c r="T31" s="36">
        <v>3.61</v>
      </c>
      <c r="U31" s="36">
        <v>-7.0000000000000007E-2</v>
      </c>
      <c r="V31" s="36">
        <v>2.5099999999999998</v>
      </c>
      <c r="W31" s="36">
        <v>0.71</v>
      </c>
      <c r="X31" s="36">
        <v>-1.18</v>
      </c>
      <c r="Y31" s="36">
        <v>5.16</v>
      </c>
      <c r="Z31" s="36">
        <v>5.26</v>
      </c>
      <c r="AA31" s="36">
        <v>7.36</v>
      </c>
      <c r="AB31" s="36">
        <v>-9.2899999999999991</v>
      </c>
      <c r="AC31" s="36">
        <v>16.82</v>
      </c>
      <c r="AD31" s="36">
        <v>7.87</v>
      </c>
      <c r="AE31" s="36">
        <v>-7.16</v>
      </c>
    </row>
    <row r="32" spans="1:31" ht="17" x14ac:dyDescent="0.45">
      <c r="A32" s="34" t="s">
        <v>121</v>
      </c>
      <c r="B32" s="35" t="s">
        <v>3</v>
      </c>
      <c r="C32" s="37" t="s">
        <v>3</v>
      </c>
      <c r="D32" s="36">
        <v>0.03</v>
      </c>
      <c r="E32" s="36">
        <v>-7.66</v>
      </c>
      <c r="F32" s="36">
        <v>4.5</v>
      </c>
      <c r="G32" s="36">
        <v>-6.9</v>
      </c>
      <c r="H32" s="36">
        <v>-0.56999999999999995</v>
      </c>
      <c r="I32" s="36">
        <v>-1.25</v>
      </c>
      <c r="J32" s="36">
        <v>-1.4</v>
      </c>
      <c r="K32" s="36">
        <v>-1.51</v>
      </c>
      <c r="L32" s="36">
        <v>6.2</v>
      </c>
      <c r="M32" s="36">
        <v>-5.0599999999999996</v>
      </c>
      <c r="N32" s="36">
        <v>3.02</v>
      </c>
      <c r="O32" s="36">
        <v>2.4700000000000002</v>
      </c>
      <c r="P32" s="36">
        <v>-1.47</v>
      </c>
      <c r="Q32" s="36">
        <v>-6.14</v>
      </c>
      <c r="R32" s="36">
        <v>-4.18</v>
      </c>
      <c r="S32" s="36">
        <v>2.62</v>
      </c>
      <c r="T32" s="36">
        <v>-0.13</v>
      </c>
      <c r="U32" s="36">
        <v>-1.03</v>
      </c>
      <c r="V32" s="36">
        <v>-7.3</v>
      </c>
      <c r="W32" s="36">
        <v>13.58</v>
      </c>
      <c r="X32" s="36">
        <v>12.66</v>
      </c>
      <c r="Y32" s="36">
        <v>-5.19</v>
      </c>
      <c r="Z32" s="36">
        <v>1.62</v>
      </c>
      <c r="AA32" s="36">
        <v>7.42</v>
      </c>
      <c r="AB32" s="36">
        <v>-2.78</v>
      </c>
      <c r="AC32" s="36">
        <v>-3.38</v>
      </c>
      <c r="AD32" s="36">
        <v>0.56999999999999995</v>
      </c>
      <c r="AE32" s="36">
        <v>-2.95</v>
      </c>
    </row>
    <row r="33" spans="1:31" ht="17" x14ac:dyDescent="0.45">
      <c r="A33" s="34" t="s">
        <v>122</v>
      </c>
      <c r="B33" s="35" t="s">
        <v>3</v>
      </c>
      <c r="C33" s="37" t="s">
        <v>3</v>
      </c>
      <c r="D33" s="37" t="s">
        <v>3</v>
      </c>
      <c r="E33" s="37" t="s">
        <v>3</v>
      </c>
      <c r="F33" s="37" t="s">
        <v>3</v>
      </c>
      <c r="G33" s="37" t="s">
        <v>3</v>
      </c>
      <c r="H33" s="37" t="s">
        <v>3</v>
      </c>
      <c r="I33" s="37" t="s">
        <v>3</v>
      </c>
      <c r="J33" s="37" t="s">
        <v>3</v>
      </c>
      <c r="K33" s="37" t="s">
        <v>3</v>
      </c>
      <c r="L33" s="37" t="s">
        <v>3</v>
      </c>
      <c r="M33" s="37" t="s">
        <v>3</v>
      </c>
      <c r="N33" s="36">
        <v>0.4</v>
      </c>
      <c r="O33" s="36">
        <v>-3.56</v>
      </c>
      <c r="P33" s="36">
        <v>-1.79</v>
      </c>
      <c r="Q33" s="36">
        <v>-9.43</v>
      </c>
      <c r="R33" s="36">
        <v>-0.84</v>
      </c>
      <c r="S33" s="36">
        <v>-3.08</v>
      </c>
      <c r="T33" s="36">
        <v>0.91</v>
      </c>
      <c r="U33" s="36">
        <v>-0.13</v>
      </c>
      <c r="V33" s="36">
        <v>0.63</v>
      </c>
      <c r="W33" s="36">
        <v>-1.88</v>
      </c>
      <c r="X33" s="36">
        <v>-3.19</v>
      </c>
      <c r="Y33" s="36">
        <v>2.04</v>
      </c>
      <c r="Z33" s="36">
        <v>-3.02</v>
      </c>
      <c r="AA33" s="36">
        <v>1.28</v>
      </c>
      <c r="AB33" s="36">
        <v>6.27</v>
      </c>
      <c r="AC33" s="36">
        <v>-20.87</v>
      </c>
      <c r="AD33" s="36">
        <v>-31.61</v>
      </c>
      <c r="AE33" s="36">
        <v>-5.01</v>
      </c>
    </row>
    <row r="34" spans="1:31" ht="17" x14ac:dyDescent="0.45">
      <c r="A34" s="34" t="s">
        <v>123</v>
      </c>
      <c r="B34" s="35" t="s">
        <v>3</v>
      </c>
      <c r="C34" s="37" t="s">
        <v>3</v>
      </c>
      <c r="D34" s="36">
        <v>2.09</v>
      </c>
      <c r="E34" s="36">
        <v>1.54</v>
      </c>
      <c r="F34" s="36">
        <v>1.79</v>
      </c>
      <c r="G34" s="36">
        <v>3.58</v>
      </c>
      <c r="H34" s="36">
        <v>4.1100000000000003</v>
      </c>
      <c r="I34" s="36">
        <v>4.12</v>
      </c>
      <c r="J34" s="36">
        <v>-3.21</v>
      </c>
      <c r="K34" s="36">
        <v>-1.05</v>
      </c>
      <c r="L34" s="36">
        <v>0.49</v>
      </c>
      <c r="M34" s="36">
        <v>0.59</v>
      </c>
      <c r="N34" s="36">
        <v>0.32</v>
      </c>
      <c r="O34" s="36">
        <v>-0.32</v>
      </c>
      <c r="P34" s="36">
        <v>3.17</v>
      </c>
      <c r="Q34" s="36">
        <v>-0.77</v>
      </c>
      <c r="R34" s="36">
        <v>1.36</v>
      </c>
      <c r="S34" s="36">
        <v>1.55</v>
      </c>
      <c r="T34" s="36">
        <v>1.08</v>
      </c>
      <c r="U34" s="36">
        <v>0.57999999999999996</v>
      </c>
      <c r="V34" s="36">
        <v>2.37</v>
      </c>
      <c r="W34" s="36">
        <v>2.64</v>
      </c>
      <c r="X34" s="36">
        <v>1.8</v>
      </c>
      <c r="Y34" s="36">
        <v>0.4</v>
      </c>
      <c r="Z34" s="36">
        <v>-0.12</v>
      </c>
      <c r="AA34" s="36">
        <v>2.41</v>
      </c>
      <c r="AB34" s="36">
        <v>-1.91</v>
      </c>
      <c r="AC34" s="36">
        <v>7.21</v>
      </c>
      <c r="AD34" s="36">
        <v>2.67</v>
      </c>
      <c r="AE34" s="36">
        <v>2.85</v>
      </c>
    </row>
    <row r="35" spans="1:31" ht="17" x14ac:dyDescent="0.45">
      <c r="A35" s="34" t="s">
        <v>124</v>
      </c>
      <c r="B35" s="35" t="s">
        <v>3</v>
      </c>
      <c r="C35" s="37" t="s">
        <v>3</v>
      </c>
      <c r="D35" s="37" t="s">
        <v>3</v>
      </c>
      <c r="E35" s="37" t="s">
        <v>3</v>
      </c>
      <c r="F35" s="37" t="s">
        <v>3</v>
      </c>
      <c r="G35" s="37" t="s">
        <v>3</v>
      </c>
      <c r="H35" s="37" t="s">
        <v>3</v>
      </c>
      <c r="I35" s="37" t="s">
        <v>3</v>
      </c>
      <c r="J35" s="37" t="s">
        <v>3</v>
      </c>
      <c r="K35" s="37" t="s">
        <v>3</v>
      </c>
      <c r="L35" s="37" t="s">
        <v>3</v>
      </c>
      <c r="M35" s="37" t="s">
        <v>3</v>
      </c>
      <c r="N35" s="37" t="s">
        <v>3</v>
      </c>
      <c r="O35" s="37" t="s">
        <v>3</v>
      </c>
      <c r="P35" s="37" t="s">
        <v>3</v>
      </c>
      <c r="Q35" s="37" t="s">
        <v>3</v>
      </c>
      <c r="R35" s="36">
        <v>5.5</v>
      </c>
      <c r="S35" s="36">
        <v>-0.16</v>
      </c>
      <c r="T35" s="36">
        <v>1.38</v>
      </c>
      <c r="U35" s="36">
        <v>-0.22</v>
      </c>
      <c r="V35" s="36">
        <v>2.59</v>
      </c>
      <c r="W35" s="36">
        <v>6.15</v>
      </c>
      <c r="X35" s="36">
        <v>-5.03</v>
      </c>
      <c r="Y35" s="36">
        <v>-4.6500000000000004</v>
      </c>
      <c r="Z35" s="36">
        <v>0</v>
      </c>
      <c r="AA35" s="36">
        <v>1.81</v>
      </c>
      <c r="AB35" s="36">
        <v>4.68</v>
      </c>
      <c r="AC35" s="36">
        <v>8.33</v>
      </c>
      <c r="AD35" s="36">
        <v>1.35</v>
      </c>
      <c r="AE35" s="37" t="s">
        <v>3</v>
      </c>
    </row>
    <row r="36" spans="1:31" ht="17" x14ac:dyDescent="0.45">
      <c r="A36" s="34" t="s">
        <v>125</v>
      </c>
      <c r="B36" s="35" t="s">
        <v>3</v>
      </c>
      <c r="C36" s="36">
        <v>-1.39</v>
      </c>
      <c r="D36" s="36">
        <v>0.43</v>
      </c>
      <c r="E36" s="36">
        <v>-1.31</v>
      </c>
      <c r="F36" s="36">
        <v>-3.53</v>
      </c>
      <c r="G36" s="36">
        <v>-4.67</v>
      </c>
      <c r="H36" s="36">
        <v>1.39</v>
      </c>
      <c r="I36" s="36">
        <v>2.6</v>
      </c>
      <c r="J36" s="36">
        <v>-2.5299999999999998</v>
      </c>
      <c r="K36" s="36">
        <v>-0.17</v>
      </c>
      <c r="L36" s="36">
        <v>4.2</v>
      </c>
      <c r="M36" s="36">
        <v>3.59</v>
      </c>
      <c r="N36" s="36">
        <v>0.56000000000000005</v>
      </c>
      <c r="O36" s="36">
        <v>-0.59</v>
      </c>
      <c r="P36" s="36">
        <v>-2.4500000000000002</v>
      </c>
      <c r="Q36" s="36">
        <v>-0.28999999999999998</v>
      </c>
      <c r="R36" s="36">
        <v>0.84</v>
      </c>
      <c r="S36" s="36">
        <v>-0.51</v>
      </c>
      <c r="T36" s="36">
        <v>3.57</v>
      </c>
      <c r="U36" s="36">
        <v>2.23</v>
      </c>
      <c r="V36" s="36">
        <v>-0.24</v>
      </c>
      <c r="W36" s="36">
        <v>-2.92</v>
      </c>
      <c r="X36" s="36">
        <v>-2.5099999999999998</v>
      </c>
      <c r="Y36" s="36">
        <v>0.81</v>
      </c>
      <c r="Z36" s="36">
        <v>2.36</v>
      </c>
      <c r="AA36" s="36">
        <v>1.92</v>
      </c>
      <c r="AB36" s="36">
        <v>1.1599999999999999</v>
      </c>
      <c r="AC36" s="36">
        <v>-0.33</v>
      </c>
      <c r="AD36" s="36">
        <v>1.03</v>
      </c>
      <c r="AE36" s="36">
        <v>0.27</v>
      </c>
    </row>
    <row r="37" spans="1:31" ht="17" x14ac:dyDescent="0.45">
      <c r="A37" s="34" t="s">
        <v>126</v>
      </c>
      <c r="B37" s="35" t="s">
        <v>3</v>
      </c>
      <c r="C37" s="37" t="s">
        <v>3</v>
      </c>
      <c r="D37" s="36">
        <v>-6.06</v>
      </c>
      <c r="E37" s="36">
        <v>24.38</v>
      </c>
      <c r="F37" s="36">
        <v>25.71</v>
      </c>
      <c r="G37" s="36">
        <v>4.62</v>
      </c>
      <c r="H37" s="36">
        <v>27.05</v>
      </c>
      <c r="I37" s="36">
        <v>2.88</v>
      </c>
      <c r="J37" s="36">
        <v>-4.22</v>
      </c>
      <c r="K37" s="36">
        <v>3.09</v>
      </c>
      <c r="L37" s="36">
        <v>0.56999999999999995</v>
      </c>
      <c r="M37" s="36">
        <v>-0.45</v>
      </c>
      <c r="N37" s="36">
        <v>2.87</v>
      </c>
      <c r="O37" s="36">
        <v>-1.62</v>
      </c>
      <c r="P37" s="36">
        <v>6.52</v>
      </c>
      <c r="Q37" s="36">
        <v>-1.86</v>
      </c>
      <c r="R37" s="36">
        <v>-4.8499999999999996</v>
      </c>
      <c r="S37" s="36">
        <v>-1.24</v>
      </c>
      <c r="T37" s="36">
        <v>4.3099999999999996</v>
      </c>
      <c r="U37" s="36">
        <v>4.8099999999999996</v>
      </c>
      <c r="V37" s="36">
        <v>-2.61</v>
      </c>
      <c r="W37" s="36">
        <v>11.85</v>
      </c>
      <c r="X37" s="36">
        <v>-1.89</v>
      </c>
      <c r="Y37" s="36">
        <v>8.1199999999999992</v>
      </c>
      <c r="Z37" s="36">
        <v>8.7799999999999994</v>
      </c>
      <c r="AA37" s="36">
        <v>-7.0000000000000007E-2</v>
      </c>
      <c r="AB37" s="36">
        <v>-2.2200000000000002</v>
      </c>
      <c r="AC37" s="36">
        <v>4.8600000000000003</v>
      </c>
      <c r="AD37" s="36">
        <v>-1.34</v>
      </c>
      <c r="AE37" s="36">
        <v>0.06</v>
      </c>
    </row>
    <row r="38" spans="1:31" ht="17" x14ac:dyDescent="0.45">
      <c r="A38" s="34" t="s">
        <v>127</v>
      </c>
      <c r="B38" s="35" t="s">
        <v>3</v>
      </c>
      <c r="C38" s="37" t="s">
        <v>3</v>
      </c>
      <c r="D38" s="36">
        <v>-0.68</v>
      </c>
      <c r="E38" s="36">
        <v>-2.4300000000000002</v>
      </c>
      <c r="F38" s="36">
        <v>-2.08</v>
      </c>
      <c r="G38" s="36">
        <v>-1.88</v>
      </c>
      <c r="H38" s="36">
        <v>-2.17</v>
      </c>
      <c r="I38" s="36">
        <v>-2.75</v>
      </c>
      <c r="J38" s="36">
        <v>-0.92</v>
      </c>
      <c r="K38" s="36">
        <v>-2.0099999999999998</v>
      </c>
      <c r="L38" s="36">
        <v>-1.44</v>
      </c>
      <c r="M38" s="36">
        <v>0.08</v>
      </c>
      <c r="N38" s="36">
        <v>0.02</v>
      </c>
      <c r="O38" s="36">
        <v>2.89</v>
      </c>
      <c r="P38" s="36">
        <v>-1.29</v>
      </c>
      <c r="Q38" s="36">
        <v>-2.73</v>
      </c>
      <c r="R38" s="36">
        <v>2.5499999999999998</v>
      </c>
      <c r="S38" s="36">
        <v>-1.26</v>
      </c>
      <c r="T38" s="36">
        <v>0.06</v>
      </c>
      <c r="U38" s="36">
        <v>2.4700000000000002</v>
      </c>
      <c r="V38" s="36">
        <v>0.03</v>
      </c>
      <c r="W38" s="36">
        <v>-3.58</v>
      </c>
      <c r="X38" s="36">
        <v>-1.34</v>
      </c>
      <c r="Y38" s="36">
        <v>-2.33</v>
      </c>
      <c r="Z38" s="36">
        <v>2.61</v>
      </c>
      <c r="AA38" s="36">
        <v>4.6900000000000004</v>
      </c>
      <c r="AB38" s="36">
        <v>-3.04</v>
      </c>
      <c r="AC38" s="36">
        <v>2.04</v>
      </c>
      <c r="AD38" s="36">
        <v>6.81</v>
      </c>
      <c r="AE38" s="36">
        <v>3.7</v>
      </c>
    </row>
    <row r="39" spans="1:31" ht="17" x14ac:dyDescent="0.45">
      <c r="A39" s="34" t="s">
        <v>128</v>
      </c>
      <c r="B39" s="35" t="s">
        <v>3</v>
      </c>
      <c r="C39" s="37" t="s">
        <v>3</v>
      </c>
      <c r="D39" s="36">
        <v>7.89</v>
      </c>
      <c r="E39" s="36">
        <v>18.899999999999999</v>
      </c>
      <c r="F39" s="36">
        <v>-6.49</v>
      </c>
      <c r="G39" s="36">
        <v>10.8</v>
      </c>
      <c r="H39" s="36">
        <v>-10.27</v>
      </c>
      <c r="I39" s="36">
        <v>-11</v>
      </c>
      <c r="J39" s="36">
        <v>14.72</v>
      </c>
      <c r="K39" s="36">
        <v>-2.4700000000000002</v>
      </c>
      <c r="L39" s="36">
        <v>-10.45</v>
      </c>
      <c r="M39" s="36">
        <v>-0.36</v>
      </c>
      <c r="N39" s="36">
        <v>28.75</v>
      </c>
      <c r="O39" s="36">
        <v>7.01</v>
      </c>
      <c r="P39" s="36">
        <v>7.82</v>
      </c>
      <c r="Q39" s="36">
        <v>-2.63</v>
      </c>
      <c r="R39" s="36">
        <v>8.6999999999999993</v>
      </c>
      <c r="S39" s="36">
        <v>-6.38</v>
      </c>
      <c r="T39" s="36">
        <v>0</v>
      </c>
      <c r="U39" s="36">
        <v>5.98</v>
      </c>
      <c r="V39" s="36">
        <v>4.9400000000000004</v>
      </c>
      <c r="W39" s="36">
        <v>3.58</v>
      </c>
      <c r="X39" s="36">
        <v>-0.64</v>
      </c>
      <c r="Y39" s="36">
        <v>3.68</v>
      </c>
      <c r="Z39" s="36">
        <v>-1.66</v>
      </c>
      <c r="AA39" s="36">
        <v>-17.91</v>
      </c>
      <c r="AB39" s="36">
        <v>1.7</v>
      </c>
      <c r="AC39" s="36">
        <v>18.190000000000001</v>
      </c>
      <c r="AD39" s="36">
        <v>6.9</v>
      </c>
      <c r="AE39" s="36">
        <v>-13.78</v>
      </c>
    </row>
    <row r="40" spans="1:31" ht="17" x14ac:dyDescent="0.45">
      <c r="A40" s="34" t="s">
        <v>129</v>
      </c>
      <c r="B40" s="35" t="s">
        <v>3</v>
      </c>
      <c r="C40" s="37" t="s">
        <v>3</v>
      </c>
      <c r="D40" s="36">
        <v>-2.7</v>
      </c>
      <c r="E40" s="36">
        <v>2.34</v>
      </c>
      <c r="F40" s="36">
        <v>-3.11</v>
      </c>
      <c r="G40" s="36">
        <v>0.66</v>
      </c>
      <c r="H40" s="36">
        <v>-3.66</v>
      </c>
      <c r="I40" s="36">
        <v>-0.45</v>
      </c>
      <c r="J40" s="36">
        <v>-17.43</v>
      </c>
      <c r="K40" s="36">
        <v>1.1299999999999999</v>
      </c>
      <c r="L40" s="36">
        <v>-0.98</v>
      </c>
      <c r="M40" s="36">
        <v>3.67</v>
      </c>
      <c r="N40" s="36">
        <v>0.91</v>
      </c>
      <c r="O40" s="36">
        <v>-1.71</v>
      </c>
      <c r="P40" s="36">
        <v>3.03</v>
      </c>
      <c r="Q40" s="36">
        <v>-5.31</v>
      </c>
      <c r="R40" s="36">
        <v>4.04</v>
      </c>
      <c r="S40" s="36">
        <v>0.47</v>
      </c>
      <c r="T40" s="36">
        <v>-2.81</v>
      </c>
      <c r="U40" s="36">
        <v>2.0299999999999998</v>
      </c>
      <c r="V40" s="36">
        <v>5.99</v>
      </c>
      <c r="W40" s="36">
        <v>1.7</v>
      </c>
      <c r="X40" s="36">
        <v>0.62</v>
      </c>
      <c r="Y40" s="36">
        <v>2.76</v>
      </c>
      <c r="Z40" s="36">
        <v>3.83</v>
      </c>
      <c r="AA40" s="36">
        <v>-1.91</v>
      </c>
      <c r="AB40" s="36">
        <v>-5.95</v>
      </c>
      <c r="AC40" s="36">
        <v>7.03</v>
      </c>
      <c r="AD40" s="36">
        <v>4.4800000000000004</v>
      </c>
      <c r="AE40" s="36">
        <v>-1.39</v>
      </c>
    </row>
    <row r="41" spans="1:31" ht="17" x14ac:dyDescent="0.45">
      <c r="A41" s="34" t="s">
        <v>130</v>
      </c>
      <c r="B41" s="35" t="s">
        <v>3</v>
      </c>
      <c r="C41" s="37" t="s">
        <v>3</v>
      </c>
      <c r="D41" s="36">
        <v>-1.2</v>
      </c>
      <c r="E41" s="36">
        <v>-4.42</v>
      </c>
      <c r="F41" s="36">
        <v>-2.1800000000000002</v>
      </c>
      <c r="G41" s="36">
        <v>-2.3199999999999998</v>
      </c>
      <c r="H41" s="36">
        <v>-0.87</v>
      </c>
      <c r="I41" s="36">
        <v>-10.41</v>
      </c>
      <c r="J41" s="36">
        <v>-6.85</v>
      </c>
      <c r="K41" s="36">
        <v>-3.54</v>
      </c>
      <c r="L41" s="36">
        <v>-5.56</v>
      </c>
      <c r="M41" s="36">
        <v>-2.2400000000000002</v>
      </c>
      <c r="N41" s="36">
        <v>-1.22</v>
      </c>
      <c r="O41" s="36">
        <v>1.61</v>
      </c>
      <c r="P41" s="36">
        <v>-4.84</v>
      </c>
      <c r="Q41" s="36">
        <v>1.19</v>
      </c>
      <c r="R41" s="36">
        <v>0.2</v>
      </c>
      <c r="S41" s="36">
        <v>5.16</v>
      </c>
      <c r="T41" s="36">
        <v>-0.74</v>
      </c>
      <c r="U41" s="36">
        <v>0.16</v>
      </c>
      <c r="V41" s="36">
        <v>1.83</v>
      </c>
      <c r="W41" s="36">
        <v>2.48</v>
      </c>
      <c r="X41" s="36">
        <v>2.96</v>
      </c>
      <c r="Y41" s="36">
        <v>0.39</v>
      </c>
      <c r="Z41" s="36">
        <v>1.99</v>
      </c>
      <c r="AA41" s="36">
        <v>2.5499999999999998</v>
      </c>
      <c r="AB41" s="36">
        <v>-10.130000000000001</v>
      </c>
      <c r="AC41" s="36">
        <v>8.51</v>
      </c>
      <c r="AD41" s="36">
        <v>6.6</v>
      </c>
      <c r="AE41" s="36">
        <v>-1.52</v>
      </c>
    </row>
    <row r="42" spans="1:31" ht="17" x14ac:dyDescent="0.45">
      <c r="A42" s="34" t="s">
        <v>131</v>
      </c>
      <c r="B42" s="35" t="s">
        <v>3</v>
      </c>
      <c r="C42" s="36">
        <v>-0.72</v>
      </c>
      <c r="D42" s="36">
        <v>-1.34</v>
      </c>
      <c r="E42" s="36">
        <v>4.87</v>
      </c>
      <c r="F42" s="36">
        <v>1.45</v>
      </c>
      <c r="G42" s="36">
        <v>0.91</v>
      </c>
      <c r="H42" s="36">
        <v>-0.24</v>
      </c>
      <c r="I42" s="36">
        <v>-0.83</v>
      </c>
      <c r="J42" s="36">
        <v>-1.08</v>
      </c>
      <c r="K42" s="36">
        <v>0.69</v>
      </c>
      <c r="L42" s="36">
        <v>6.03</v>
      </c>
      <c r="M42" s="36">
        <v>1.46</v>
      </c>
      <c r="N42" s="36">
        <v>8.83</v>
      </c>
      <c r="O42" s="36">
        <v>-0.92</v>
      </c>
      <c r="P42" s="36">
        <v>-3.65</v>
      </c>
      <c r="Q42" s="36">
        <v>-2.74</v>
      </c>
      <c r="R42" s="36">
        <v>4.5599999999999996</v>
      </c>
      <c r="S42" s="36">
        <v>0.28000000000000003</v>
      </c>
      <c r="T42" s="36">
        <v>-1.81</v>
      </c>
      <c r="U42" s="36">
        <v>2.48</v>
      </c>
      <c r="V42" s="36">
        <v>1.83</v>
      </c>
      <c r="W42" s="36">
        <v>1.52</v>
      </c>
      <c r="X42" s="36">
        <v>1.5</v>
      </c>
      <c r="Y42" s="36">
        <v>-0.82</v>
      </c>
      <c r="Z42" s="36">
        <v>0.57999999999999996</v>
      </c>
      <c r="AA42" s="36">
        <v>0.6</v>
      </c>
      <c r="AB42" s="36">
        <v>1.52</v>
      </c>
      <c r="AC42" s="36">
        <v>2.06</v>
      </c>
      <c r="AD42" s="36">
        <v>2.57</v>
      </c>
      <c r="AE42" s="36">
        <v>1.75</v>
      </c>
    </row>
    <row r="43" spans="1:31" ht="17" x14ac:dyDescent="0.45">
      <c r="A43" s="34" t="s">
        <v>133</v>
      </c>
      <c r="B43" s="35" t="s">
        <v>3</v>
      </c>
      <c r="C43" s="37" t="s">
        <v>3</v>
      </c>
      <c r="D43" s="36">
        <v>1.39</v>
      </c>
      <c r="E43" s="36">
        <v>-43.16</v>
      </c>
      <c r="F43" s="36">
        <v>-2.5099999999999998</v>
      </c>
      <c r="G43" s="36">
        <v>-4.09</v>
      </c>
      <c r="H43" s="36">
        <v>-5.68</v>
      </c>
      <c r="I43" s="36">
        <v>-1.61</v>
      </c>
      <c r="J43" s="36">
        <v>-7.53</v>
      </c>
      <c r="K43" s="36">
        <v>-6.79</v>
      </c>
      <c r="L43" s="36">
        <v>1.74</v>
      </c>
      <c r="M43" s="36">
        <v>0.95</v>
      </c>
      <c r="N43" s="36">
        <v>-1.1599999999999999</v>
      </c>
      <c r="O43" s="36">
        <v>-0.55000000000000004</v>
      </c>
      <c r="P43" s="36">
        <v>-0.56999999999999995</v>
      </c>
      <c r="Q43" s="36">
        <v>-0.85</v>
      </c>
      <c r="R43" s="36">
        <v>2.31</v>
      </c>
      <c r="S43" s="36">
        <v>-0.68</v>
      </c>
      <c r="T43" s="36">
        <v>0.1</v>
      </c>
      <c r="U43" s="36">
        <v>0.27</v>
      </c>
      <c r="V43" s="36">
        <v>2.46</v>
      </c>
      <c r="W43" s="36">
        <v>-0.63</v>
      </c>
      <c r="X43" s="36">
        <v>-4.26</v>
      </c>
      <c r="Y43" s="36">
        <v>-1.06</v>
      </c>
      <c r="Z43" s="36">
        <v>4.74</v>
      </c>
      <c r="AA43" s="36">
        <v>-2.4500000000000002</v>
      </c>
      <c r="AB43" s="36">
        <v>1.0900000000000001</v>
      </c>
      <c r="AC43" s="36">
        <v>3.63</v>
      </c>
      <c r="AD43" s="36">
        <v>-6.57</v>
      </c>
      <c r="AE43" s="36">
        <v>-1</v>
      </c>
    </row>
    <row r="44" spans="1:31" ht="17" x14ac:dyDescent="0.45">
      <c r="A44" s="34" t="s">
        <v>132</v>
      </c>
      <c r="B44" s="35" t="s">
        <v>3</v>
      </c>
      <c r="C44" s="36">
        <v>1.18</v>
      </c>
      <c r="D44" s="36">
        <v>2</v>
      </c>
      <c r="E44" s="36">
        <v>1.03</v>
      </c>
      <c r="F44" s="36">
        <v>0.1</v>
      </c>
      <c r="G44" s="36">
        <v>-0.4</v>
      </c>
      <c r="H44" s="36">
        <v>-0.68</v>
      </c>
      <c r="I44" s="36">
        <v>1.2</v>
      </c>
      <c r="J44" s="36">
        <v>0.98</v>
      </c>
      <c r="K44" s="36">
        <v>2.4500000000000002</v>
      </c>
      <c r="L44" s="36">
        <v>3.09</v>
      </c>
      <c r="M44" s="36">
        <v>-1.36</v>
      </c>
      <c r="N44" s="36">
        <v>1.95</v>
      </c>
      <c r="O44" s="36">
        <v>-0.52</v>
      </c>
      <c r="P44" s="36">
        <v>-1.94</v>
      </c>
      <c r="Q44" s="36">
        <v>-1.38</v>
      </c>
      <c r="R44" s="36">
        <v>1.91</v>
      </c>
      <c r="S44" s="36">
        <v>-0.31</v>
      </c>
      <c r="T44" s="36">
        <v>-1.25</v>
      </c>
      <c r="U44" s="36">
        <v>4.3600000000000003</v>
      </c>
      <c r="V44" s="36">
        <v>-0.52</v>
      </c>
      <c r="W44" s="36">
        <v>1.1499999999999999</v>
      </c>
      <c r="X44" s="36">
        <v>-2.54</v>
      </c>
      <c r="Y44" s="36">
        <v>2.61</v>
      </c>
      <c r="Z44" s="36">
        <v>-1.2</v>
      </c>
      <c r="AA44" s="36">
        <v>-0.34</v>
      </c>
      <c r="AB44" s="36">
        <v>-7.84</v>
      </c>
      <c r="AC44" s="36">
        <v>7.69</v>
      </c>
      <c r="AD44" s="36">
        <v>6.44</v>
      </c>
      <c r="AE44" s="36">
        <v>2.2999999999999998</v>
      </c>
    </row>
    <row r="45" spans="1:31" ht="17" x14ac:dyDescent="0.45">
      <c r="A45" s="34" t="s">
        <v>175</v>
      </c>
      <c r="B45" s="35" t="s">
        <v>3</v>
      </c>
      <c r="C45" s="37" t="s">
        <v>3</v>
      </c>
      <c r="D45" s="37" t="s">
        <v>3</v>
      </c>
      <c r="E45" s="37" t="s">
        <v>3</v>
      </c>
      <c r="F45" s="37" t="s">
        <v>3</v>
      </c>
      <c r="G45" s="37" t="s">
        <v>3</v>
      </c>
      <c r="H45" s="37" t="s">
        <v>3</v>
      </c>
      <c r="I45" s="37" t="s">
        <v>3</v>
      </c>
      <c r="J45" s="37" t="s">
        <v>3</v>
      </c>
      <c r="K45" s="37" t="s">
        <v>3</v>
      </c>
      <c r="L45" s="37" t="s">
        <v>3</v>
      </c>
      <c r="M45" s="37" t="s">
        <v>3</v>
      </c>
      <c r="N45" s="37" t="s">
        <v>3</v>
      </c>
      <c r="O45" s="37" t="s">
        <v>3</v>
      </c>
      <c r="P45" s="37" t="s">
        <v>3</v>
      </c>
      <c r="Q45" s="37" t="s">
        <v>3</v>
      </c>
      <c r="R45" s="37" t="s">
        <v>3</v>
      </c>
      <c r="S45" s="37" t="s">
        <v>3</v>
      </c>
      <c r="T45" s="37" t="s">
        <v>3</v>
      </c>
      <c r="U45" s="37" t="s">
        <v>3</v>
      </c>
      <c r="V45" s="37" t="s">
        <v>3</v>
      </c>
      <c r="W45" s="37" t="s">
        <v>3</v>
      </c>
      <c r="X45" s="37" t="s">
        <v>3</v>
      </c>
      <c r="Y45" s="37" t="s">
        <v>3</v>
      </c>
      <c r="Z45" s="37" t="s">
        <v>3</v>
      </c>
      <c r="AA45" s="37" t="s">
        <v>3</v>
      </c>
      <c r="AB45" s="37" t="s">
        <v>3</v>
      </c>
      <c r="AC45" s="37" t="s">
        <v>3</v>
      </c>
      <c r="AD45" s="37" t="s">
        <v>3</v>
      </c>
      <c r="AE45" s="37" t="s">
        <v>3</v>
      </c>
    </row>
    <row r="46" spans="1:31" ht="13.5" customHeight="1" x14ac:dyDescent="0.45">
      <c r="A46" s="34" t="s">
        <v>176</v>
      </c>
      <c r="B46" s="35" t="s">
        <v>3</v>
      </c>
      <c r="C46" s="37" t="s">
        <v>3</v>
      </c>
      <c r="D46" s="37" t="s">
        <v>3</v>
      </c>
      <c r="E46" s="37" t="s">
        <v>3</v>
      </c>
      <c r="F46" s="37" t="s">
        <v>3</v>
      </c>
      <c r="G46" s="37" t="s">
        <v>3</v>
      </c>
      <c r="H46" s="37" t="s">
        <v>3</v>
      </c>
      <c r="I46" s="36">
        <v>-3.26</v>
      </c>
      <c r="J46" s="36">
        <v>1.73</v>
      </c>
      <c r="K46" s="36">
        <v>-3.76</v>
      </c>
      <c r="L46" s="36">
        <v>-4.21</v>
      </c>
      <c r="M46" s="36">
        <v>3.04</v>
      </c>
      <c r="N46" s="36">
        <v>-3.5</v>
      </c>
      <c r="O46" s="36">
        <v>2.61</v>
      </c>
      <c r="P46" s="36">
        <v>1.42</v>
      </c>
      <c r="Q46" s="36">
        <v>0.32</v>
      </c>
      <c r="R46" s="36">
        <v>66.599999999999994</v>
      </c>
      <c r="S46" s="36">
        <v>-1.36</v>
      </c>
      <c r="T46" s="36">
        <v>2.12</v>
      </c>
      <c r="U46" s="36">
        <v>-0.71</v>
      </c>
      <c r="V46" s="36">
        <v>-1.71</v>
      </c>
      <c r="W46" s="36">
        <v>-3.77</v>
      </c>
      <c r="X46" s="36">
        <v>0.74</v>
      </c>
      <c r="Y46" s="36">
        <v>-1.95</v>
      </c>
      <c r="Z46" s="36">
        <v>0.19</v>
      </c>
      <c r="AA46" s="36">
        <v>-0.33</v>
      </c>
      <c r="AB46" s="36">
        <v>-1.59</v>
      </c>
      <c r="AC46" s="36">
        <v>-0.91</v>
      </c>
      <c r="AD46" s="37" t="s">
        <v>3</v>
      </c>
      <c r="AE46" s="37" t="s">
        <v>3</v>
      </c>
    </row>
    <row r="47" spans="1:31" ht="17" x14ac:dyDescent="0.45">
      <c r="A47" s="34" t="s">
        <v>177</v>
      </c>
      <c r="B47" s="35" t="s">
        <v>3</v>
      </c>
      <c r="C47" s="37" t="s">
        <v>3</v>
      </c>
      <c r="D47" s="36">
        <v>15.61</v>
      </c>
      <c r="E47" s="36">
        <v>-22.93</v>
      </c>
      <c r="F47" s="36">
        <v>28.95</v>
      </c>
      <c r="G47" s="36">
        <v>-72.17</v>
      </c>
      <c r="H47" s="36">
        <v>11.61</v>
      </c>
      <c r="I47" s="36">
        <v>10.43</v>
      </c>
      <c r="J47" s="36">
        <v>-2.75</v>
      </c>
      <c r="K47" s="36">
        <v>-7.73</v>
      </c>
      <c r="L47" s="36">
        <v>-2.09</v>
      </c>
      <c r="M47" s="36">
        <v>2.0499999999999998</v>
      </c>
      <c r="N47" s="36">
        <v>10.57</v>
      </c>
      <c r="O47" s="36">
        <v>9.7100000000000009</v>
      </c>
      <c r="P47" s="36">
        <v>-16.489999999999998</v>
      </c>
      <c r="Q47" s="36">
        <v>3.41</v>
      </c>
      <c r="R47" s="36">
        <v>-4.97</v>
      </c>
      <c r="S47" s="36">
        <v>1.61</v>
      </c>
      <c r="T47" s="36">
        <v>-4.79</v>
      </c>
      <c r="U47" s="36">
        <v>-6.36</v>
      </c>
      <c r="V47" s="36">
        <v>3.31</v>
      </c>
      <c r="W47" s="36">
        <v>8.58</v>
      </c>
      <c r="X47" s="36">
        <v>-3.97</v>
      </c>
      <c r="Y47" s="36">
        <v>0.45</v>
      </c>
      <c r="Z47" s="36">
        <v>8.77</v>
      </c>
      <c r="AA47" s="36">
        <v>10.71</v>
      </c>
      <c r="AB47" s="36">
        <v>-4.7</v>
      </c>
      <c r="AC47" s="36">
        <v>9.91</v>
      </c>
      <c r="AD47" s="36">
        <v>1.95</v>
      </c>
      <c r="AE47" s="36">
        <v>0.61</v>
      </c>
    </row>
    <row r="48" spans="1:31" ht="17" x14ac:dyDescent="0.45">
      <c r="A48" s="34" t="s">
        <v>178</v>
      </c>
      <c r="B48" s="35" t="s">
        <v>3</v>
      </c>
      <c r="C48" s="37" t="s">
        <v>3</v>
      </c>
      <c r="D48" s="36">
        <v>5.99</v>
      </c>
      <c r="E48" s="36">
        <v>9.56</v>
      </c>
      <c r="F48" s="36">
        <v>7.04</v>
      </c>
      <c r="G48" s="36">
        <v>4.53</v>
      </c>
      <c r="H48" s="36">
        <v>2.96</v>
      </c>
      <c r="I48" s="36">
        <v>3.94</v>
      </c>
      <c r="J48" s="36">
        <v>3.76</v>
      </c>
      <c r="K48" s="36">
        <v>-0.31</v>
      </c>
      <c r="L48" s="36">
        <v>-2.27</v>
      </c>
      <c r="M48" s="36">
        <v>0.59</v>
      </c>
      <c r="N48" s="36">
        <v>-3.05</v>
      </c>
      <c r="O48" s="36">
        <v>4.42</v>
      </c>
      <c r="P48" s="36">
        <v>-2.62</v>
      </c>
      <c r="Q48" s="36">
        <v>-7.1</v>
      </c>
      <c r="R48" s="36">
        <v>-10.65</v>
      </c>
      <c r="S48" s="36">
        <v>2.27</v>
      </c>
      <c r="T48" s="36">
        <v>2.88</v>
      </c>
      <c r="U48" s="36">
        <v>1.96</v>
      </c>
      <c r="V48" s="36">
        <v>1.81</v>
      </c>
      <c r="W48" s="36">
        <v>-9.68</v>
      </c>
      <c r="X48" s="36">
        <v>-10.4</v>
      </c>
      <c r="Y48" s="36">
        <v>7.48</v>
      </c>
      <c r="Z48" s="36">
        <v>2.94</v>
      </c>
      <c r="AA48" s="36">
        <v>3.72</v>
      </c>
      <c r="AB48" s="36">
        <v>-9.16</v>
      </c>
      <c r="AC48" s="36">
        <v>9.1199999999999992</v>
      </c>
      <c r="AD48" s="36">
        <v>3.6</v>
      </c>
      <c r="AE48" s="36">
        <v>3.45</v>
      </c>
    </row>
    <row r="49" spans="1:31" ht="17" x14ac:dyDescent="0.45">
      <c r="A49" s="34" t="s">
        <v>179</v>
      </c>
      <c r="B49" s="35" t="s">
        <v>3</v>
      </c>
      <c r="C49" s="37" t="s">
        <v>3</v>
      </c>
      <c r="D49" s="36">
        <v>1.56</v>
      </c>
      <c r="E49" s="36">
        <v>2.13</v>
      </c>
      <c r="F49" s="36">
        <v>4.87</v>
      </c>
      <c r="G49" s="36">
        <v>3.48</v>
      </c>
      <c r="H49" s="36">
        <v>3.51</v>
      </c>
      <c r="I49" s="36">
        <v>5.34</v>
      </c>
      <c r="J49" s="36">
        <v>2.5099999999999998</v>
      </c>
      <c r="K49" s="36">
        <v>-7</v>
      </c>
      <c r="L49" s="36">
        <v>-5.77</v>
      </c>
      <c r="M49" s="36">
        <v>0.83</v>
      </c>
      <c r="N49" s="36">
        <v>1.48</v>
      </c>
      <c r="O49" s="36">
        <v>-5.46</v>
      </c>
      <c r="P49" s="36">
        <v>1.31</v>
      </c>
      <c r="Q49" s="36">
        <v>-5.9</v>
      </c>
      <c r="R49" s="36">
        <v>1.66</v>
      </c>
      <c r="S49" s="36">
        <v>-5.52</v>
      </c>
      <c r="T49" s="36">
        <v>-4.21</v>
      </c>
      <c r="U49" s="36">
        <v>-6.56</v>
      </c>
      <c r="V49" s="36">
        <v>-1.1200000000000001</v>
      </c>
      <c r="W49" s="36">
        <v>0.84</v>
      </c>
      <c r="X49" s="36">
        <v>0.92</v>
      </c>
      <c r="Y49" s="36">
        <v>2.82</v>
      </c>
      <c r="Z49" s="36">
        <v>2.17</v>
      </c>
      <c r="AA49" s="36">
        <v>0.3</v>
      </c>
      <c r="AB49" s="36">
        <v>-4.2699999999999996</v>
      </c>
      <c r="AC49" s="36">
        <v>3.38</v>
      </c>
      <c r="AD49" s="36">
        <v>-0.03</v>
      </c>
      <c r="AE49" s="37" t="s">
        <v>3</v>
      </c>
    </row>
    <row r="50" spans="1:31" ht="17" x14ac:dyDescent="0.45">
      <c r="A50" s="34" t="s">
        <v>180</v>
      </c>
      <c r="B50" s="35" t="s">
        <v>3</v>
      </c>
      <c r="C50" s="37" t="s">
        <v>3</v>
      </c>
      <c r="D50" s="37" t="s">
        <v>3</v>
      </c>
      <c r="E50" s="37" t="s">
        <v>3</v>
      </c>
      <c r="F50" s="37" t="s">
        <v>3</v>
      </c>
      <c r="G50" s="37" t="s">
        <v>3</v>
      </c>
      <c r="H50" s="37" t="s">
        <v>3</v>
      </c>
      <c r="I50" s="37" t="s">
        <v>3</v>
      </c>
      <c r="J50" s="37" t="s">
        <v>3</v>
      </c>
      <c r="K50" s="37" t="s">
        <v>3</v>
      </c>
      <c r="L50" s="37" t="s">
        <v>3</v>
      </c>
      <c r="M50" s="37" t="s">
        <v>3</v>
      </c>
      <c r="N50" s="37" t="s">
        <v>3</v>
      </c>
      <c r="O50" s="37" t="s">
        <v>3</v>
      </c>
      <c r="P50" s="37" t="s">
        <v>3</v>
      </c>
      <c r="Q50" s="37" t="s">
        <v>3</v>
      </c>
      <c r="R50" s="37" t="s">
        <v>3</v>
      </c>
      <c r="S50" s="37" t="s">
        <v>3</v>
      </c>
      <c r="T50" s="36">
        <v>10.75</v>
      </c>
      <c r="U50" s="36">
        <v>-1.59</v>
      </c>
      <c r="V50" s="36">
        <v>6.46</v>
      </c>
      <c r="W50" s="36">
        <v>0.28000000000000003</v>
      </c>
      <c r="X50" s="36">
        <v>2</v>
      </c>
      <c r="Y50" s="36">
        <v>-6.32</v>
      </c>
      <c r="Z50" s="37" t="s">
        <v>3</v>
      </c>
      <c r="AA50" s="37" t="s">
        <v>3</v>
      </c>
      <c r="AB50" s="37" t="s">
        <v>3</v>
      </c>
      <c r="AC50" s="37" t="s">
        <v>3</v>
      </c>
      <c r="AD50" s="37" t="s">
        <v>3</v>
      </c>
      <c r="AE50" s="37" t="s">
        <v>3</v>
      </c>
    </row>
    <row r="51" spans="1:31" ht="17" x14ac:dyDescent="0.45">
      <c r="A51" s="34" t="s">
        <v>181</v>
      </c>
      <c r="B51" s="35" t="s">
        <v>3</v>
      </c>
      <c r="C51" s="37" t="s">
        <v>3</v>
      </c>
      <c r="D51" s="37" t="s">
        <v>3</v>
      </c>
      <c r="E51" s="37" t="s">
        <v>3</v>
      </c>
      <c r="F51" s="37" t="s">
        <v>3</v>
      </c>
      <c r="G51" s="37" t="s">
        <v>3</v>
      </c>
      <c r="H51" s="37" t="s">
        <v>3</v>
      </c>
      <c r="I51" s="36">
        <v>1.27</v>
      </c>
      <c r="J51" s="36">
        <v>1.47</v>
      </c>
      <c r="K51" s="36">
        <v>-0.84</v>
      </c>
      <c r="L51" s="36">
        <v>-6.49</v>
      </c>
      <c r="M51" s="36">
        <v>1.08</v>
      </c>
      <c r="N51" s="36">
        <v>1.22</v>
      </c>
      <c r="O51" s="36">
        <v>-4.01</v>
      </c>
      <c r="P51" s="36">
        <v>-6.34</v>
      </c>
      <c r="Q51" s="36">
        <v>-6.18</v>
      </c>
      <c r="R51" s="36">
        <v>12.39</v>
      </c>
      <c r="S51" s="36">
        <v>-0.36</v>
      </c>
      <c r="T51" s="36">
        <v>8.01</v>
      </c>
      <c r="U51" s="36">
        <v>-1.21</v>
      </c>
      <c r="V51" s="36">
        <v>-3.32</v>
      </c>
      <c r="W51" s="36">
        <v>9.2899999999999991</v>
      </c>
      <c r="X51" s="36">
        <v>4.1399999999999997</v>
      </c>
      <c r="Y51" s="36">
        <v>5.63</v>
      </c>
      <c r="Z51" s="36">
        <v>-2</v>
      </c>
      <c r="AA51" s="36">
        <v>-1.39</v>
      </c>
      <c r="AB51" s="36">
        <v>-13.15</v>
      </c>
      <c r="AC51" s="36">
        <v>7</v>
      </c>
      <c r="AD51" s="36">
        <v>2.39</v>
      </c>
      <c r="AE51" s="37" t="s">
        <v>3</v>
      </c>
    </row>
    <row r="52" spans="1:31" ht="17" x14ac:dyDescent="0.45">
      <c r="A52" s="34" t="s">
        <v>182</v>
      </c>
      <c r="B52" s="35" t="s">
        <v>3</v>
      </c>
      <c r="C52" s="37" t="s">
        <v>3</v>
      </c>
      <c r="D52" s="37" t="s">
        <v>3</v>
      </c>
      <c r="E52" s="37" t="s">
        <v>3</v>
      </c>
      <c r="F52" s="37" t="s">
        <v>3</v>
      </c>
      <c r="G52" s="37" t="s">
        <v>3</v>
      </c>
      <c r="H52" s="37" t="s">
        <v>3</v>
      </c>
      <c r="I52" s="36">
        <v>0.9</v>
      </c>
      <c r="J52" s="36">
        <v>7.23</v>
      </c>
      <c r="K52" s="36">
        <v>16.13</v>
      </c>
      <c r="L52" s="36">
        <v>4.84</v>
      </c>
      <c r="M52" s="36">
        <v>8.43</v>
      </c>
      <c r="N52" s="36">
        <v>10.34</v>
      </c>
      <c r="O52" s="36">
        <v>25.29</v>
      </c>
      <c r="P52" s="36">
        <v>14.33</v>
      </c>
      <c r="Q52" s="36">
        <v>-30.37</v>
      </c>
      <c r="R52" s="36">
        <v>6.86</v>
      </c>
      <c r="S52" s="36">
        <v>6.84</v>
      </c>
      <c r="T52" s="36">
        <v>-4.93</v>
      </c>
      <c r="U52" s="36">
        <v>7.18</v>
      </c>
      <c r="V52" s="36">
        <v>-7.38</v>
      </c>
      <c r="W52" s="36">
        <v>6.37</v>
      </c>
      <c r="X52" s="36">
        <v>10.84</v>
      </c>
      <c r="Y52" s="36">
        <v>-1.17</v>
      </c>
      <c r="Z52" s="36">
        <v>9.59</v>
      </c>
      <c r="AA52" s="36">
        <v>-2.69</v>
      </c>
      <c r="AB52" s="36">
        <v>-2.74</v>
      </c>
      <c r="AC52" s="37" t="s">
        <v>3</v>
      </c>
      <c r="AD52" s="37" t="s">
        <v>3</v>
      </c>
      <c r="AE52" s="37" t="s">
        <v>3</v>
      </c>
    </row>
    <row r="53" spans="1:31" ht="17" x14ac:dyDescent="0.45">
      <c r="A53" s="34" t="s">
        <v>183</v>
      </c>
      <c r="B53" s="35" t="s">
        <v>3</v>
      </c>
      <c r="C53" s="37" t="s">
        <v>3</v>
      </c>
      <c r="D53" s="37" t="s">
        <v>3</v>
      </c>
      <c r="E53" s="37" t="s">
        <v>3</v>
      </c>
      <c r="F53" s="37" t="s">
        <v>3</v>
      </c>
      <c r="G53" s="37" t="s">
        <v>3</v>
      </c>
      <c r="H53" s="37" t="s">
        <v>3</v>
      </c>
      <c r="I53" s="37" t="s">
        <v>3</v>
      </c>
      <c r="J53" s="37" t="s">
        <v>3</v>
      </c>
      <c r="K53" s="37" t="s">
        <v>3</v>
      </c>
      <c r="L53" s="37" t="s">
        <v>3</v>
      </c>
      <c r="M53" s="37" t="s">
        <v>3</v>
      </c>
      <c r="N53" s="37" t="s">
        <v>3</v>
      </c>
      <c r="O53" s="37" t="s">
        <v>3</v>
      </c>
      <c r="P53" s="36">
        <v>4.63</v>
      </c>
      <c r="Q53" s="36">
        <v>6.72</v>
      </c>
      <c r="R53" s="36">
        <v>4.97</v>
      </c>
      <c r="S53" s="36">
        <v>-0.48</v>
      </c>
      <c r="T53" s="36">
        <v>4.0999999999999996</v>
      </c>
      <c r="U53" s="36">
        <v>2.7</v>
      </c>
      <c r="V53" s="36">
        <v>5.5</v>
      </c>
      <c r="W53" s="36">
        <v>3.06</v>
      </c>
      <c r="X53" s="36">
        <v>-1.56</v>
      </c>
      <c r="Y53" s="36">
        <v>-7.42</v>
      </c>
      <c r="Z53" s="36">
        <v>-46.62</v>
      </c>
      <c r="AA53" s="36">
        <v>87.03</v>
      </c>
      <c r="AB53" s="36">
        <v>17.96</v>
      </c>
      <c r="AC53" s="36">
        <v>-5.19</v>
      </c>
      <c r="AD53" s="37" t="s">
        <v>3</v>
      </c>
      <c r="AE53" s="37" t="s">
        <v>3</v>
      </c>
    </row>
    <row r="54" spans="1:31" ht="17" x14ac:dyDescent="0.45">
      <c r="A54" s="34" t="s">
        <v>184</v>
      </c>
      <c r="B54" s="35" t="s">
        <v>3</v>
      </c>
      <c r="C54" s="37" t="s">
        <v>3</v>
      </c>
      <c r="D54" s="36">
        <v>5.58</v>
      </c>
      <c r="E54" s="36">
        <v>0</v>
      </c>
      <c r="F54" s="36">
        <v>5.86</v>
      </c>
      <c r="G54" s="36">
        <v>7.75</v>
      </c>
      <c r="H54" s="36">
        <v>7.09</v>
      </c>
      <c r="I54" s="36">
        <v>0.7</v>
      </c>
      <c r="J54" s="36">
        <v>20.51</v>
      </c>
      <c r="K54" s="36">
        <v>16.149999999999999</v>
      </c>
      <c r="L54" s="36">
        <v>-13.62</v>
      </c>
      <c r="M54" s="36">
        <v>8.7799999999999994</v>
      </c>
      <c r="N54" s="36">
        <v>10.84</v>
      </c>
      <c r="O54" s="36">
        <v>-4.2699999999999996</v>
      </c>
      <c r="P54" s="36">
        <v>5.95</v>
      </c>
      <c r="Q54" s="36">
        <v>-3.21</v>
      </c>
      <c r="R54" s="36">
        <v>-14.84</v>
      </c>
      <c r="S54" s="36">
        <v>6.9</v>
      </c>
      <c r="T54" s="36">
        <v>13.49</v>
      </c>
      <c r="U54" s="36">
        <v>14.82</v>
      </c>
      <c r="V54" s="36">
        <v>-3.89</v>
      </c>
      <c r="W54" s="36">
        <v>4.21</v>
      </c>
      <c r="X54" s="36">
        <v>-5.05</v>
      </c>
      <c r="Y54" s="36">
        <v>16.510000000000002</v>
      </c>
      <c r="Z54" s="36">
        <v>3.24</v>
      </c>
      <c r="AA54" s="36">
        <v>4.1500000000000004</v>
      </c>
      <c r="AB54" s="36">
        <v>-3.61</v>
      </c>
      <c r="AC54" s="36">
        <v>7.01</v>
      </c>
      <c r="AD54" s="36">
        <v>14.22</v>
      </c>
      <c r="AE54" s="36">
        <v>2.98</v>
      </c>
    </row>
    <row r="55" spans="1:31" ht="17" x14ac:dyDescent="0.45">
      <c r="A55" s="34" t="s">
        <v>185</v>
      </c>
      <c r="B55" s="35" t="s">
        <v>3</v>
      </c>
      <c r="C55" s="37" t="s">
        <v>3</v>
      </c>
      <c r="D55" s="37" t="s">
        <v>3</v>
      </c>
      <c r="E55" s="37" t="s">
        <v>3</v>
      </c>
      <c r="F55" s="37" t="s">
        <v>3</v>
      </c>
      <c r="G55" s="37" t="s">
        <v>3</v>
      </c>
      <c r="H55" s="37" t="s">
        <v>3</v>
      </c>
      <c r="I55" s="37" t="s">
        <v>3</v>
      </c>
      <c r="J55" s="37" t="s">
        <v>3</v>
      </c>
      <c r="K55" s="37" t="s">
        <v>3</v>
      </c>
      <c r="L55" s="37" t="s">
        <v>3</v>
      </c>
      <c r="M55" s="37" t="s">
        <v>3</v>
      </c>
      <c r="N55" s="37" t="s">
        <v>3</v>
      </c>
      <c r="O55" s="37" t="s">
        <v>3</v>
      </c>
      <c r="P55" s="37" t="s">
        <v>3</v>
      </c>
      <c r="Q55" s="37" t="s">
        <v>3</v>
      </c>
      <c r="R55" s="37" t="s">
        <v>3</v>
      </c>
      <c r="S55" s="37" t="s">
        <v>3</v>
      </c>
      <c r="T55" s="37" t="s">
        <v>3</v>
      </c>
      <c r="U55" s="37" t="s">
        <v>3</v>
      </c>
      <c r="V55" s="37" t="s">
        <v>3</v>
      </c>
      <c r="W55" s="37" t="s">
        <v>3</v>
      </c>
      <c r="X55" s="37" t="s">
        <v>3</v>
      </c>
      <c r="Y55" s="37" t="s">
        <v>3</v>
      </c>
      <c r="Z55" s="36">
        <v>1.97</v>
      </c>
      <c r="AA55" s="36">
        <v>1.82</v>
      </c>
      <c r="AB55" s="37" t="s">
        <v>3</v>
      </c>
      <c r="AC55" s="37" t="s">
        <v>3</v>
      </c>
      <c r="AD55" s="37" t="s">
        <v>3</v>
      </c>
      <c r="AE55" s="37" t="s">
        <v>3</v>
      </c>
    </row>
    <row r="57" spans="1:31" ht="17" x14ac:dyDescent="0.45">
      <c r="A57" s="38" t="s">
        <v>187</v>
      </c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</row>
  </sheetData>
  <mergeCells count="1">
    <mergeCell ref="A7:B7"/>
  </mergeCells>
  <phoneticPr fontId="11" type="noConversion"/>
  <hyperlinks>
    <hyperlink ref="A57" r:id="rId1" xr:uid="{00000000-0004-0000-0000-000000000000}"/>
  </hyperlinks>
  <pageMargins left="0.75" right="0.75" top="1" bottom="1" header="0.5" footer="0.5"/>
  <pageSetup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0"/>
  </sheetPr>
  <dimension ref="A1:AQ2"/>
  <sheetViews>
    <sheetView workbookViewId="0">
      <selection sqref="A1:AQ2"/>
    </sheetView>
  </sheetViews>
  <sheetFormatPr defaultRowHeight="17" x14ac:dyDescent="0.45"/>
  <cols>
    <col min="1" max="1" width="31" customWidth="1"/>
    <col min="2" max="2" width="12.83203125" customWidth="1"/>
    <col min="3" max="26" width="10.08203125" customWidth="1"/>
    <col min="27" max="28" width="27.33203125" bestFit="1" customWidth="1"/>
    <col min="29" max="39" width="10.08203125" customWidth="1"/>
    <col min="40" max="42" width="10.58203125" bestFit="1" customWidth="1"/>
    <col min="43" max="43" width="9.33203125" bestFit="1" customWidth="1"/>
  </cols>
  <sheetData>
    <row r="1" spans="1:43" s="3" customFormat="1" x14ac:dyDescent="0.45">
      <c r="A1" s="5" t="s">
        <v>76</v>
      </c>
      <c r="B1" s="3" t="s">
        <v>4</v>
      </c>
      <c r="C1" s="23" t="s">
        <v>152</v>
      </c>
      <c r="D1" s="24" t="s">
        <v>151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  <c r="K1" s="3" t="s">
        <v>12</v>
      </c>
      <c r="L1" s="23" t="s">
        <v>149</v>
      </c>
      <c r="M1" s="24" t="s">
        <v>150</v>
      </c>
      <c r="N1" s="3" t="s">
        <v>14</v>
      </c>
      <c r="O1" s="23" t="s">
        <v>153</v>
      </c>
      <c r="P1" s="27" t="s">
        <v>154</v>
      </c>
      <c r="Q1" s="23" t="s">
        <v>155</v>
      </c>
      <c r="R1" s="24" t="s">
        <v>156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23" t="s">
        <v>157</v>
      </c>
      <c r="AA1" s="27" t="s">
        <v>158</v>
      </c>
      <c r="AB1" s="24" t="s">
        <v>159</v>
      </c>
      <c r="AC1" s="3" t="s">
        <v>25</v>
      </c>
      <c r="AD1" s="3" t="s">
        <v>26</v>
      </c>
      <c r="AE1" s="3" t="s">
        <v>27</v>
      </c>
      <c r="AF1" s="3" t="s">
        <v>28</v>
      </c>
      <c r="AG1" s="3" t="s">
        <v>29</v>
      </c>
      <c r="AH1" s="3" t="s">
        <v>30</v>
      </c>
      <c r="AI1" s="3" t="s">
        <v>31</v>
      </c>
      <c r="AJ1" s="3" t="s">
        <v>32</v>
      </c>
      <c r="AK1" s="3" t="s">
        <v>33</v>
      </c>
      <c r="AL1" s="3" t="s">
        <v>34</v>
      </c>
      <c r="AM1" s="3" t="s">
        <v>35</v>
      </c>
      <c r="AN1" s="3" t="s">
        <v>36</v>
      </c>
      <c r="AO1" s="3" t="s">
        <v>37</v>
      </c>
      <c r="AP1" s="3" t="s">
        <v>38</v>
      </c>
      <c r="AQ1" s="3" t="s">
        <v>39</v>
      </c>
    </row>
    <row r="2" spans="1:43" ht="17.5" thickBot="1" x14ac:dyDescent="0.5">
      <c r="A2" t="s">
        <v>160</v>
      </c>
      <c r="B2" s="10">
        <f>AVERAGE('OECD Manufacturing'!$C$29:$AE$29)/100</f>
        <v>3.453157894736842E-2</v>
      </c>
      <c r="C2" s="25">
        <f>AVERAGE('OECD Mining &amp; Utilities'!$C$29:$AE$29)/100</f>
        <v>-1.3263157894736843E-3</v>
      </c>
      <c r="D2" s="26">
        <f>AVERAGE('OECD Mining &amp; Utilities'!$C$29:$AE$29)/100</f>
        <v>-1.3263157894736843E-3</v>
      </c>
      <c r="E2" s="10">
        <f>AVERAGE('OECD Mining &amp; Utilities'!$C$29:$AE$29)/100</f>
        <v>-1.3263157894736843E-3</v>
      </c>
      <c r="F2" s="10">
        <f>AVERAGE('OECD Mining &amp; Utilities'!$C$29:$AE$29)/100</f>
        <v>-1.3263157894736843E-3</v>
      </c>
      <c r="G2" s="10">
        <f>AVERAGE('OECD Manufacturing'!$C$29:$AE$29)/100</f>
        <v>3.453157894736842E-2</v>
      </c>
      <c r="H2" s="10">
        <f>AVERAGE('OECD Manufacturing'!$C$29:$AE$29)/100</f>
        <v>3.453157894736842E-2</v>
      </c>
      <c r="I2" s="10">
        <f>AVERAGE('OECD Manufacturing'!$C$29:$AE$29)/100</f>
        <v>3.453157894736842E-2</v>
      </c>
      <c r="J2" s="10">
        <f>AVERAGE('OECD Manufacturing'!$C$29:$AE$29)/100</f>
        <v>3.453157894736842E-2</v>
      </c>
      <c r="K2" s="10">
        <f>AVERAGE('OECD Manufacturing'!$C$29:$AE$29)/100</f>
        <v>3.453157894736842E-2</v>
      </c>
      <c r="L2" s="25">
        <f>AVERAGE('OECD Manufacturing'!$C$29:$AE$29)/100</f>
        <v>3.453157894736842E-2</v>
      </c>
      <c r="M2" s="26">
        <f>AVERAGE('OECD Manufacturing'!$C$29:$AE$29)/100</f>
        <v>3.453157894736842E-2</v>
      </c>
      <c r="N2" s="10">
        <f>AVERAGE('OECD Manufacturing'!$C$29:$AE$29)/100</f>
        <v>3.453157894736842E-2</v>
      </c>
      <c r="O2" s="25">
        <f>AVERAGE('OECD Manufacturing'!$C$29:$AE$29)/100</f>
        <v>3.453157894736842E-2</v>
      </c>
      <c r="P2" s="26">
        <f>AVERAGE('OECD Manufacturing'!$C$29:$AE$29)/100</f>
        <v>3.453157894736842E-2</v>
      </c>
      <c r="Q2" s="25">
        <f>AVERAGE('OECD Manufacturing'!$C$29:$AE$29)/100</f>
        <v>3.453157894736842E-2</v>
      </c>
      <c r="R2" s="26">
        <f>AVERAGE('OECD Manufacturing'!$C$29:$AE$29)/100</f>
        <v>3.453157894736842E-2</v>
      </c>
      <c r="S2" s="10">
        <f>AVERAGE('OECD Manufacturing'!$C$29:$AE$29)/100</f>
        <v>3.453157894736842E-2</v>
      </c>
      <c r="T2" s="10">
        <f>AVERAGE('OECD Manufacturing'!$C$29:$AE$29)/100</f>
        <v>3.453157894736842E-2</v>
      </c>
      <c r="U2" s="10">
        <f>AVERAGE('OECD Manufacturing'!$C$29:$AE$29)/100</f>
        <v>3.453157894736842E-2</v>
      </c>
      <c r="V2" s="10">
        <f>AVERAGE('OECD Manufacturing'!$C$29:$AE$29)/100</f>
        <v>3.453157894736842E-2</v>
      </c>
      <c r="W2" s="10">
        <f>AVERAGE('OECD Manufacturing'!$C$29:$AE$29)/100</f>
        <v>3.453157894736842E-2</v>
      </c>
      <c r="X2" s="10">
        <f>AVERAGE('OECD Manufacturing'!$C$29:$AE$29)/100</f>
        <v>3.453157894736842E-2</v>
      </c>
      <c r="Y2" s="10">
        <f>AVERAGE('OECD Manufacturing'!$C$29:$AE$29)/100</f>
        <v>3.453157894736842E-2</v>
      </c>
      <c r="Z2" s="25">
        <f>AVERAGE('OECD Mining &amp; Utilities'!$C$29:$AE$29)/100</f>
        <v>-1.3263157894736843E-3</v>
      </c>
      <c r="AA2" s="28">
        <f>AVERAGE('OECD Mining &amp; Utilities'!$C$29:$AE$29)/100</f>
        <v>-1.3263157894736843E-3</v>
      </c>
      <c r="AB2" s="26">
        <f>AVERAGE('OECD Mining &amp; Utilities'!$C$29:$AE$29)/100</f>
        <v>-1.3263157894736843E-3</v>
      </c>
      <c r="AC2" s="10">
        <f>AVERAGE('OECD Construction'!$C$29:$AE$29)/100</f>
        <v>3.810526315789473E-3</v>
      </c>
      <c r="AD2" s="10">
        <f>AVERAGE('OECD Transport Retail Food'!$C$29:$AE$29)/100</f>
        <v>2.9784210526315791E-2</v>
      </c>
      <c r="AE2" s="10">
        <f>AVERAGE('OECD Transport Retail Food'!$C$29:$AE$29)/100</f>
        <v>2.9784210526315791E-2</v>
      </c>
      <c r="AF2" s="10">
        <f>AVERAGE('OECD Transport Retail Food'!$C$29:$AE$29)/100</f>
        <v>2.9784210526315791E-2</v>
      </c>
      <c r="AG2" s="10">
        <f>AVERAGE('OECD Info Comms'!$C$29:$AE$29)/100</f>
        <v>1.5594736842105264E-2</v>
      </c>
      <c r="AH2" s="10">
        <f>AVERAGE('OECD Info Comms'!$C$29:$AE$29)/100</f>
        <v>1.5594736842105264E-2</v>
      </c>
      <c r="AI2" s="10">
        <f>AVERAGE('OECD Info Comms'!$C$29:$AE$29)/100</f>
        <v>1.5594736842105264E-2</v>
      </c>
      <c r="AJ2" s="10">
        <f>AVERAGE('OECD Finance Insurance'!$C$29:$AE$29)/100</f>
        <v>4.9631578947368415E-2</v>
      </c>
      <c r="AK2" s="10">
        <f>AVERAGE('OECD Finance Insurance'!$C$29:$AE$29)/100</f>
        <v>4.9631578947368415E-2</v>
      </c>
      <c r="AL2" s="10">
        <f>AVERAGE('OECD Finance Insurance'!$C$29:$AE$29)/100</f>
        <v>4.9631578947368415E-2</v>
      </c>
      <c r="AM2" s="10">
        <f>AVERAGE('OECD Prof Tech Admin'!$C$29:$AE$29)/100</f>
        <v>-3.7368421052631551E-4</v>
      </c>
      <c r="AN2" s="10">
        <f>AVERAGE('OECD Prof Tech Admin'!$C$29:$AE$29)/100</f>
        <v>-3.7368421052631551E-4</v>
      </c>
      <c r="AO2" s="10">
        <f>AVERAGE('OECD Prof Tech Admin'!$C$29:$AE$29)/100</f>
        <v>-3.7368421052631551E-4</v>
      </c>
      <c r="AP2" s="10">
        <f>AVERAGE('OECD Prof Tech Admin'!$C$29:$AE$29)/100</f>
        <v>-3.7368421052631551E-4</v>
      </c>
      <c r="AQ2" s="10">
        <v>0</v>
      </c>
    </row>
  </sheetData>
  <phoneticPr fontId="11" type="noConversion"/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B4522-D8AF-4E88-8607-5B070DDD70FC}">
  <sheetPr>
    <tabColor theme="8" tint="-0.249977111117893"/>
  </sheetPr>
  <dimension ref="A1:AQ43"/>
  <sheetViews>
    <sheetView tabSelected="1" workbookViewId="0">
      <selection activeCell="B1" sqref="B1"/>
    </sheetView>
  </sheetViews>
  <sheetFormatPr defaultRowHeight="17" x14ac:dyDescent="0.45"/>
  <cols>
    <col min="1" max="1" width="13" customWidth="1"/>
    <col min="2" max="2" width="12.83203125" customWidth="1"/>
    <col min="3" max="26" width="10.08203125" customWidth="1"/>
    <col min="27" max="28" width="10.58203125" bestFit="1" customWidth="1"/>
    <col min="29" max="39" width="10.08203125" customWidth="1"/>
    <col min="40" max="42" width="10.58203125" bestFit="1" customWidth="1"/>
    <col min="43" max="43" width="9.33203125" bestFit="1" customWidth="1"/>
  </cols>
  <sheetData>
    <row r="1" spans="1:43" s="3" customFormat="1" x14ac:dyDescent="0.45">
      <c r="A1" s="5" t="s">
        <v>76</v>
      </c>
      <c r="B1" s="3">
        <v>2020</v>
      </c>
      <c r="C1" s="3">
        <v>2021</v>
      </c>
      <c r="D1" s="3">
        <v>2022</v>
      </c>
      <c r="E1" s="3">
        <v>2023</v>
      </c>
      <c r="F1" s="3">
        <v>2024</v>
      </c>
      <c r="G1" s="3">
        <v>2025</v>
      </c>
      <c r="H1" s="3">
        <v>2026</v>
      </c>
      <c r="I1" s="3">
        <v>2027</v>
      </c>
      <c r="J1" s="3">
        <v>2028</v>
      </c>
      <c r="K1" s="3">
        <v>2029</v>
      </c>
      <c r="L1" s="3">
        <v>2030</v>
      </c>
      <c r="M1" s="3">
        <v>2031</v>
      </c>
      <c r="N1" s="3">
        <v>2032</v>
      </c>
      <c r="O1" s="3">
        <v>2033</v>
      </c>
      <c r="P1" s="3">
        <v>2034</v>
      </c>
      <c r="Q1" s="3">
        <v>2035</v>
      </c>
      <c r="R1" s="3">
        <v>2036</v>
      </c>
      <c r="S1" s="3">
        <v>2037</v>
      </c>
      <c r="T1" s="3">
        <v>2038</v>
      </c>
      <c r="U1" s="3">
        <v>2039</v>
      </c>
      <c r="V1" s="3">
        <v>2040</v>
      </c>
      <c r="W1" s="3">
        <v>2041</v>
      </c>
      <c r="X1" s="3">
        <v>2042</v>
      </c>
      <c r="Y1" s="3">
        <v>2043</v>
      </c>
      <c r="Z1" s="3">
        <v>2044</v>
      </c>
      <c r="AA1" s="3">
        <v>2045</v>
      </c>
      <c r="AB1" s="3">
        <v>2046</v>
      </c>
      <c r="AC1" s="3">
        <v>2047</v>
      </c>
      <c r="AD1" s="3">
        <v>2048</v>
      </c>
      <c r="AE1" s="3">
        <v>2049</v>
      </c>
      <c r="AF1" s="3">
        <v>2050</v>
      </c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</row>
    <row r="2" spans="1:43" ht="17.5" thickBot="1" x14ac:dyDescent="0.5">
      <c r="A2" s="3" t="s">
        <v>4</v>
      </c>
      <c r="B2" s="10">
        <f>AVERAGE('OECD Manufacturing'!$C$29:$AE$29)/100</f>
        <v>3.453157894736842E-2</v>
      </c>
      <c r="C2" s="44">
        <f>B2</f>
        <v>3.453157894736842E-2</v>
      </c>
      <c r="D2" s="44">
        <f t="shared" ref="D2:AF11" si="0">C2</f>
        <v>3.453157894736842E-2</v>
      </c>
      <c r="E2" s="44">
        <f t="shared" si="0"/>
        <v>3.453157894736842E-2</v>
      </c>
      <c r="F2" s="44">
        <f t="shared" si="0"/>
        <v>3.453157894736842E-2</v>
      </c>
      <c r="G2" s="44">
        <f t="shared" si="0"/>
        <v>3.453157894736842E-2</v>
      </c>
      <c r="H2" s="44">
        <f t="shared" si="0"/>
        <v>3.453157894736842E-2</v>
      </c>
      <c r="I2" s="44">
        <f t="shared" si="0"/>
        <v>3.453157894736842E-2</v>
      </c>
      <c r="J2" s="44">
        <f t="shared" si="0"/>
        <v>3.453157894736842E-2</v>
      </c>
      <c r="K2" s="44">
        <f t="shared" si="0"/>
        <v>3.453157894736842E-2</v>
      </c>
      <c r="L2" s="44">
        <f t="shared" si="0"/>
        <v>3.453157894736842E-2</v>
      </c>
      <c r="M2" s="44">
        <f t="shared" si="0"/>
        <v>3.453157894736842E-2</v>
      </c>
      <c r="N2" s="44">
        <f t="shared" si="0"/>
        <v>3.453157894736842E-2</v>
      </c>
      <c r="O2" s="44">
        <f t="shared" si="0"/>
        <v>3.453157894736842E-2</v>
      </c>
      <c r="P2" s="44">
        <f t="shared" si="0"/>
        <v>3.453157894736842E-2</v>
      </c>
      <c r="Q2" s="44">
        <f t="shared" si="0"/>
        <v>3.453157894736842E-2</v>
      </c>
      <c r="R2" s="44">
        <f t="shared" si="0"/>
        <v>3.453157894736842E-2</v>
      </c>
      <c r="S2" s="44">
        <f t="shared" si="0"/>
        <v>3.453157894736842E-2</v>
      </c>
      <c r="T2" s="44">
        <f t="shared" si="0"/>
        <v>3.453157894736842E-2</v>
      </c>
      <c r="U2" s="44">
        <f t="shared" si="0"/>
        <v>3.453157894736842E-2</v>
      </c>
      <c r="V2" s="44">
        <f t="shared" si="0"/>
        <v>3.453157894736842E-2</v>
      </c>
      <c r="W2" s="44">
        <f t="shared" si="0"/>
        <v>3.453157894736842E-2</v>
      </c>
      <c r="X2" s="44">
        <f t="shared" si="0"/>
        <v>3.453157894736842E-2</v>
      </c>
      <c r="Y2" s="44">
        <f t="shared" si="0"/>
        <v>3.453157894736842E-2</v>
      </c>
      <c r="Z2" s="44">
        <f t="shared" si="0"/>
        <v>3.453157894736842E-2</v>
      </c>
      <c r="AA2" s="44">
        <f t="shared" si="0"/>
        <v>3.453157894736842E-2</v>
      </c>
      <c r="AB2" s="44">
        <f t="shared" si="0"/>
        <v>3.453157894736842E-2</v>
      </c>
      <c r="AC2" s="44">
        <f t="shared" si="0"/>
        <v>3.453157894736842E-2</v>
      </c>
      <c r="AD2" s="44">
        <f t="shared" si="0"/>
        <v>3.453157894736842E-2</v>
      </c>
      <c r="AE2" s="44">
        <f t="shared" si="0"/>
        <v>3.453157894736842E-2</v>
      </c>
      <c r="AF2" s="44">
        <f t="shared" si="0"/>
        <v>3.453157894736842E-2</v>
      </c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</row>
    <row r="3" spans="1:43" ht="17.5" thickBot="1" x14ac:dyDescent="0.5">
      <c r="A3" s="23" t="s">
        <v>152</v>
      </c>
      <c r="B3" s="25">
        <f>AVERAGE('OECD Mining &amp; Utilities'!$C$29:$AE$29)/100</f>
        <v>-1.3263157894736843E-3</v>
      </c>
      <c r="C3" s="44">
        <f t="shared" ref="C3:R43" si="1">B3</f>
        <v>-1.3263157894736843E-3</v>
      </c>
      <c r="D3" s="44">
        <f t="shared" si="1"/>
        <v>-1.3263157894736843E-3</v>
      </c>
      <c r="E3" s="44">
        <f t="shared" si="1"/>
        <v>-1.3263157894736843E-3</v>
      </c>
      <c r="F3" s="44">
        <f t="shared" si="1"/>
        <v>-1.3263157894736843E-3</v>
      </c>
      <c r="G3" s="44">
        <f t="shared" si="1"/>
        <v>-1.3263157894736843E-3</v>
      </c>
      <c r="H3" s="44">
        <f t="shared" si="1"/>
        <v>-1.3263157894736843E-3</v>
      </c>
      <c r="I3" s="44">
        <f t="shared" si="1"/>
        <v>-1.3263157894736843E-3</v>
      </c>
      <c r="J3" s="44">
        <f t="shared" si="1"/>
        <v>-1.3263157894736843E-3</v>
      </c>
      <c r="K3" s="44">
        <f t="shared" si="1"/>
        <v>-1.3263157894736843E-3</v>
      </c>
      <c r="L3" s="44">
        <f t="shared" si="1"/>
        <v>-1.3263157894736843E-3</v>
      </c>
      <c r="M3" s="44">
        <f t="shared" si="1"/>
        <v>-1.3263157894736843E-3</v>
      </c>
      <c r="N3" s="44">
        <f t="shared" si="1"/>
        <v>-1.3263157894736843E-3</v>
      </c>
      <c r="O3" s="44">
        <f t="shared" si="1"/>
        <v>-1.3263157894736843E-3</v>
      </c>
      <c r="P3" s="44">
        <f t="shared" si="1"/>
        <v>-1.3263157894736843E-3</v>
      </c>
      <c r="Q3" s="44">
        <f t="shared" si="1"/>
        <v>-1.3263157894736843E-3</v>
      </c>
      <c r="R3" s="44">
        <f t="shared" si="1"/>
        <v>-1.3263157894736843E-3</v>
      </c>
      <c r="S3" s="44">
        <f t="shared" si="0"/>
        <v>-1.3263157894736843E-3</v>
      </c>
      <c r="T3" s="44">
        <f t="shared" si="0"/>
        <v>-1.3263157894736843E-3</v>
      </c>
      <c r="U3" s="44">
        <f t="shared" si="0"/>
        <v>-1.3263157894736843E-3</v>
      </c>
      <c r="V3" s="44">
        <f t="shared" si="0"/>
        <v>-1.3263157894736843E-3</v>
      </c>
      <c r="W3" s="44">
        <f t="shared" si="0"/>
        <v>-1.3263157894736843E-3</v>
      </c>
      <c r="X3" s="44">
        <f t="shared" si="0"/>
        <v>-1.3263157894736843E-3</v>
      </c>
      <c r="Y3" s="44">
        <f t="shared" si="0"/>
        <v>-1.3263157894736843E-3</v>
      </c>
      <c r="Z3" s="44">
        <f t="shared" si="0"/>
        <v>-1.3263157894736843E-3</v>
      </c>
      <c r="AA3" s="44">
        <f t="shared" si="0"/>
        <v>-1.3263157894736843E-3</v>
      </c>
      <c r="AB3" s="44">
        <f t="shared" si="0"/>
        <v>-1.3263157894736843E-3</v>
      </c>
      <c r="AC3" s="44">
        <f t="shared" si="0"/>
        <v>-1.3263157894736843E-3</v>
      </c>
      <c r="AD3" s="44">
        <f t="shared" si="0"/>
        <v>-1.3263157894736843E-3</v>
      </c>
      <c r="AE3" s="44">
        <f t="shared" si="0"/>
        <v>-1.3263157894736843E-3</v>
      </c>
      <c r="AF3" s="44">
        <f t="shared" si="0"/>
        <v>-1.3263157894736843E-3</v>
      </c>
    </row>
    <row r="4" spans="1:43" ht="17.5" thickBot="1" x14ac:dyDescent="0.5">
      <c r="A4" s="24" t="s">
        <v>151</v>
      </c>
      <c r="B4" s="26">
        <f>AVERAGE('OECD Mining &amp; Utilities'!$C$29:$AE$29)/100</f>
        <v>-1.3263157894736843E-3</v>
      </c>
      <c r="C4" s="44">
        <f t="shared" si="1"/>
        <v>-1.3263157894736843E-3</v>
      </c>
      <c r="D4" s="44">
        <f t="shared" si="0"/>
        <v>-1.3263157894736843E-3</v>
      </c>
      <c r="E4" s="44">
        <f t="shared" si="0"/>
        <v>-1.3263157894736843E-3</v>
      </c>
      <c r="F4" s="44">
        <f t="shared" si="0"/>
        <v>-1.3263157894736843E-3</v>
      </c>
      <c r="G4" s="44">
        <f t="shared" si="0"/>
        <v>-1.3263157894736843E-3</v>
      </c>
      <c r="H4" s="44">
        <f t="shared" si="0"/>
        <v>-1.3263157894736843E-3</v>
      </c>
      <c r="I4" s="44">
        <f t="shared" si="0"/>
        <v>-1.3263157894736843E-3</v>
      </c>
      <c r="J4" s="44">
        <f t="shared" si="0"/>
        <v>-1.3263157894736843E-3</v>
      </c>
      <c r="K4" s="44">
        <f t="shared" si="0"/>
        <v>-1.3263157894736843E-3</v>
      </c>
      <c r="L4" s="44">
        <f t="shared" si="0"/>
        <v>-1.3263157894736843E-3</v>
      </c>
      <c r="M4" s="44">
        <f t="shared" si="0"/>
        <v>-1.3263157894736843E-3</v>
      </c>
      <c r="N4" s="44">
        <f t="shared" si="0"/>
        <v>-1.3263157894736843E-3</v>
      </c>
      <c r="O4" s="44">
        <f t="shared" si="0"/>
        <v>-1.3263157894736843E-3</v>
      </c>
      <c r="P4" s="44">
        <f t="shared" si="0"/>
        <v>-1.3263157894736843E-3</v>
      </c>
      <c r="Q4" s="44">
        <f t="shared" si="0"/>
        <v>-1.3263157894736843E-3</v>
      </c>
      <c r="R4" s="44">
        <f t="shared" si="0"/>
        <v>-1.3263157894736843E-3</v>
      </c>
      <c r="S4" s="44">
        <f t="shared" si="0"/>
        <v>-1.3263157894736843E-3</v>
      </c>
      <c r="T4" s="44">
        <f t="shared" si="0"/>
        <v>-1.3263157894736843E-3</v>
      </c>
      <c r="U4" s="44">
        <f t="shared" si="0"/>
        <v>-1.3263157894736843E-3</v>
      </c>
      <c r="V4" s="44">
        <f t="shared" si="0"/>
        <v>-1.3263157894736843E-3</v>
      </c>
      <c r="W4" s="44">
        <f t="shared" si="0"/>
        <v>-1.3263157894736843E-3</v>
      </c>
      <c r="X4" s="44">
        <f t="shared" si="0"/>
        <v>-1.3263157894736843E-3</v>
      </c>
      <c r="Y4" s="44">
        <f t="shared" si="0"/>
        <v>-1.3263157894736843E-3</v>
      </c>
      <c r="Z4" s="44">
        <f t="shared" si="0"/>
        <v>-1.3263157894736843E-3</v>
      </c>
      <c r="AA4" s="44">
        <f t="shared" si="0"/>
        <v>-1.3263157894736843E-3</v>
      </c>
      <c r="AB4" s="44">
        <f t="shared" si="0"/>
        <v>-1.3263157894736843E-3</v>
      </c>
      <c r="AC4" s="44">
        <f t="shared" si="0"/>
        <v>-1.3263157894736843E-3</v>
      </c>
      <c r="AD4" s="44">
        <f t="shared" si="0"/>
        <v>-1.3263157894736843E-3</v>
      </c>
      <c r="AE4" s="44">
        <f t="shared" si="0"/>
        <v>-1.3263157894736843E-3</v>
      </c>
      <c r="AF4" s="44">
        <f t="shared" si="0"/>
        <v>-1.3263157894736843E-3</v>
      </c>
    </row>
    <row r="5" spans="1:43" x14ac:dyDescent="0.45">
      <c r="A5" s="3" t="s">
        <v>6</v>
      </c>
      <c r="B5" s="10">
        <f>AVERAGE('OECD Mining &amp; Utilities'!$C$29:$AE$29)/100</f>
        <v>-1.3263157894736843E-3</v>
      </c>
      <c r="C5" s="44">
        <f t="shared" si="1"/>
        <v>-1.3263157894736843E-3</v>
      </c>
      <c r="D5" s="44">
        <f t="shared" si="0"/>
        <v>-1.3263157894736843E-3</v>
      </c>
      <c r="E5" s="44">
        <f t="shared" si="0"/>
        <v>-1.3263157894736843E-3</v>
      </c>
      <c r="F5" s="44">
        <f t="shared" si="0"/>
        <v>-1.3263157894736843E-3</v>
      </c>
      <c r="G5" s="44">
        <f t="shared" si="0"/>
        <v>-1.3263157894736843E-3</v>
      </c>
      <c r="H5" s="44">
        <f t="shared" si="0"/>
        <v>-1.3263157894736843E-3</v>
      </c>
      <c r="I5" s="44">
        <f t="shared" si="0"/>
        <v>-1.3263157894736843E-3</v>
      </c>
      <c r="J5" s="44">
        <f t="shared" si="0"/>
        <v>-1.3263157894736843E-3</v>
      </c>
      <c r="K5" s="44">
        <f t="shared" si="0"/>
        <v>-1.3263157894736843E-3</v>
      </c>
      <c r="L5" s="44">
        <f t="shared" si="0"/>
        <v>-1.3263157894736843E-3</v>
      </c>
      <c r="M5" s="44">
        <f t="shared" si="0"/>
        <v>-1.3263157894736843E-3</v>
      </c>
      <c r="N5" s="44">
        <f t="shared" si="0"/>
        <v>-1.3263157894736843E-3</v>
      </c>
      <c r="O5" s="44">
        <f t="shared" si="0"/>
        <v>-1.3263157894736843E-3</v>
      </c>
      <c r="P5" s="44">
        <f t="shared" si="0"/>
        <v>-1.3263157894736843E-3</v>
      </c>
      <c r="Q5" s="44">
        <f t="shared" si="0"/>
        <v>-1.3263157894736843E-3</v>
      </c>
      <c r="R5" s="44">
        <f t="shared" si="0"/>
        <v>-1.3263157894736843E-3</v>
      </c>
      <c r="S5" s="44">
        <f t="shared" si="0"/>
        <v>-1.3263157894736843E-3</v>
      </c>
      <c r="T5" s="44">
        <f t="shared" si="0"/>
        <v>-1.3263157894736843E-3</v>
      </c>
      <c r="U5" s="44">
        <f t="shared" si="0"/>
        <v>-1.3263157894736843E-3</v>
      </c>
      <c r="V5" s="44">
        <f t="shared" si="0"/>
        <v>-1.3263157894736843E-3</v>
      </c>
      <c r="W5" s="44">
        <f t="shared" si="0"/>
        <v>-1.3263157894736843E-3</v>
      </c>
      <c r="X5" s="44">
        <f t="shared" si="0"/>
        <v>-1.3263157894736843E-3</v>
      </c>
      <c r="Y5" s="44">
        <f t="shared" si="0"/>
        <v>-1.3263157894736843E-3</v>
      </c>
      <c r="Z5" s="44">
        <f t="shared" si="0"/>
        <v>-1.3263157894736843E-3</v>
      </c>
      <c r="AA5" s="44">
        <f t="shared" si="0"/>
        <v>-1.3263157894736843E-3</v>
      </c>
      <c r="AB5" s="44">
        <f t="shared" si="0"/>
        <v>-1.3263157894736843E-3</v>
      </c>
      <c r="AC5" s="44">
        <f t="shared" si="0"/>
        <v>-1.3263157894736843E-3</v>
      </c>
      <c r="AD5" s="44">
        <f t="shared" si="0"/>
        <v>-1.3263157894736843E-3</v>
      </c>
      <c r="AE5" s="44">
        <f t="shared" si="0"/>
        <v>-1.3263157894736843E-3</v>
      </c>
      <c r="AF5" s="44">
        <f t="shared" si="0"/>
        <v>-1.3263157894736843E-3</v>
      </c>
    </row>
    <row r="6" spans="1:43" x14ac:dyDescent="0.45">
      <c r="A6" s="3" t="s">
        <v>7</v>
      </c>
      <c r="B6" s="10">
        <f>AVERAGE('OECD Mining &amp; Utilities'!$C$29:$AE$29)/100</f>
        <v>-1.3263157894736843E-3</v>
      </c>
      <c r="C6" s="44">
        <f t="shared" si="1"/>
        <v>-1.3263157894736843E-3</v>
      </c>
      <c r="D6" s="44">
        <f t="shared" si="0"/>
        <v>-1.3263157894736843E-3</v>
      </c>
      <c r="E6" s="44">
        <f t="shared" si="0"/>
        <v>-1.3263157894736843E-3</v>
      </c>
      <c r="F6" s="44">
        <f t="shared" si="0"/>
        <v>-1.3263157894736843E-3</v>
      </c>
      <c r="G6" s="44">
        <f t="shared" si="0"/>
        <v>-1.3263157894736843E-3</v>
      </c>
      <c r="H6" s="44">
        <f t="shared" si="0"/>
        <v>-1.3263157894736843E-3</v>
      </c>
      <c r="I6" s="44">
        <f t="shared" si="0"/>
        <v>-1.3263157894736843E-3</v>
      </c>
      <c r="J6" s="44">
        <f t="shared" si="0"/>
        <v>-1.3263157894736843E-3</v>
      </c>
      <c r="K6" s="44">
        <f t="shared" si="0"/>
        <v>-1.3263157894736843E-3</v>
      </c>
      <c r="L6" s="44">
        <f t="shared" si="0"/>
        <v>-1.3263157894736843E-3</v>
      </c>
      <c r="M6" s="44">
        <f t="shared" si="0"/>
        <v>-1.3263157894736843E-3</v>
      </c>
      <c r="N6" s="44">
        <f t="shared" si="0"/>
        <v>-1.3263157894736843E-3</v>
      </c>
      <c r="O6" s="44">
        <f t="shared" si="0"/>
        <v>-1.3263157894736843E-3</v>
      </c>
      <c r="P6" s="44">
        <f t="shared" si="0"/>
        <v>-1.3263157894736843E-3</v>
      </c>
      <c r="Q6" s="44">
        <f t="shared" si="0"/>
        <v>-1.3263157894736843E-3</v>
      </c>
      <c r="R6" s="44">
        <f t="shared" si="0"/>
        <v>-1.3263157894736843E-3</v>
      </c>
      <c r="S6" s="44">
        <f t="shared" si="0"/>
        <v>-1.3263157894736843E-3</v>
      </c>
      <c r="T6" s="44">
        <f t="shared" si="0"/>
        <v>-1.3263157894736843E-3</v>
      </c>
      <c r="U6" s="44">
        <f t="shared" si="0"/>
        <v>-1.3263157894736843E-3</v>
      </c>
      <c r="V6" s="44">
        <f t="shared" si="0"/>
        <v>-1.3263157894736843E-3</v>
      </c>
      <c r="W6" s="44">
        <f t="shared" si="0"/>
        <v>-1.3263157894736843E-3</v>
      </c>
      <c r="X6" s="44">
        <f t="shared" si="0"/>
        <v>-1.3263157894736843E-3</v>
      </c>
      <c r="Y6" s="44">
        <f t="shared" si="0"/>
        <v>-1.3263157894736843E-3</v>
      </c>
      <c r="Z6" s="44">
        <f t="shared" si="0"/>
        <v>-1.3263157894736843E-3</v>
      </c>
      <c r="AA6" s="44">
        <f t="shared" si="0"/>
        <v>-1.3263157894736843E-3</v>
      </c>
      <c r="AB6" s="44">
        <f t="shared" si="0"/>
        <v>-1.3263157894736843E-3</v>
      </c>
      <c r="AC6" s="44">
        <f t="shared" si="0"/>
        <v>-1.3263157894736843E-3</v>
      </c>
      <c r="AD6" s="44">
        <f t="shared" si="0"/>
        <v>-1.3263157894736843E-3</v>
      </c>
      <c r="AE6" s="44">
        <f t="shared" si="0"/>
        <v>-1.3263157894736843E-3</v>
      </c>
      <c r="AF6" s="44">
        <f t="shared" si="0"/>
        <v>-1.3263157894736843E-3</v>
      </c>
    </row>
    <row r="7" spans="1:43" x14ac:dyDescent="0.45">
      <c r="A7" s="3" t="s">
        <v>8</v>
      </c>
      <c r="B7" s="10">
        <f>AVERAGE('OECD Manufacturing'!$C$29:$AE$29)/100</f>
        <v>3.453157894736842E-2</v>
      </c>
      <c r="C7" s="44">
        <f t="shared" si="1"/>
        <v>3.453157894736842E-2</v>
      </c>
      <c r="D7" s="44">
        <f t="shared" si="0"/>
        <v>3.453157894736842E-2</v>
      </c>
      <c r="E7" s="44">
        <f t="shared" si="0"/>
        <v>3.453157894736842E-2</v>
      </c>
      <c r="F7" s="44">
        <f t="shared" si="0"/>
        <v>3.453157894736842E-2</v>
      </c>
      <c r="G7" s="44">
        <f t="shared" si="0"/>
        <v>3.453157894736842E-2</v>
      </c>
      <c r="H7" s="44">
        <f t="shared" si="0"/>
        <v>3.453157894736842E-2</v>
      </c>
      <c r="I7" s="44">
        <f t="shared" si="0"/>
        <v>3.453157894736842E-2</v>
      </c>
      <c r="J7" s="44">
        <f t="shared" si="0"/>
        <v>3.453157894736842E-2</v>
      </c>
      <c r="K7" s="44">
        <f t="shared" si="0"/>
        <v>3.453157894736842E-2</v>
      </c>
      <c r="L7" s="44">
        <f t="shared" si="0"/>
        <v>3.453157894736842E-2</v>
      </c>
      <c r="M7" s="44">
        <f t="shared" si="0"/>
        <v>3.453157894736842E-2</v>
      </c>
      <c r="N7" s="44">
        <f t="shared" si="0"/>
        <v>3.453157894736842E-2</v>
      </c>
      <c r="O7" s="44">
        <f t="shared" si="0"/>
        <v>3.453157894736842E-2</v>
      </c>
      <c r="P7" s="44">
        <f t="shared" si="0"/>
        <v>3.453157894736842E-2</v>
      </c>
      <c r="Q7" s="44">
        <f t="shared" si="0"/>
        <v>3.453157894736842E-2</v>
      </c>
      <c r="R7" s="44">
        <f t="shared" si="0"/>
        <v>3.453157894736842E-2</v>
      </c>
      <c r="S7" s="44">
        <f t="shared" si="0"/>
        <v>3.453157894736842E-2</v>
      </c>
      <c r="T7" s="44">
        <f t="shared" si="0"/>
        <v>3.453157894736842E-2</v>
      </c>
      <c r="U7" s="44">
        <f t="shared" si="0"/>
        <v>3.453157894736842E-2</v>
      </c>
      <c r="V7" s="44">
        <f t="shared" si="0"/>
        <v>3.453157894736842E-2</v>
      </c>
      <c r="W7" s="44">
        <f t="shared" si="0"/>
        <v>3.453157894736842E-2</v>
      </c>
      <c r="X7" s="44">
        <f t="shared" si="0"/>
        <v>3.453157894736842E-2</v>
      </c>
      <c r="Y7" s="44">
        <f t="shared" si="0"/>
        <v>3.453157894736842E-2</v>
      </c>
      <c r="Z7" s="44">
        <f t="shared" si="0"/>
        <v>3.453157894736842E-2</v>
      </c>
      <c r="AA7" s="44">
        <f t="shared" si="0"/>
        <v>3.453157894736842E-2</v>
      </c>
      <c r="AB7" s="44">
        <f t="shared" si="0"/>
        <v>3.453157894736842E-2</v>
      </c>
      <c r="AC7" s="44">
        <f t="shared" si="0"/>
        <v>3.453157894736842E-2</v>
      </c>
      <c r="AD7" s="44">
        <f t="shared" si="0"/>
        <v>3.453157894736842E-2</v>
      </c>
      <c r="AE7" s="44">
        <f t="shared" si="0"/>
        <v>3.453157894736842E-2</v>
      </c>
      <c r="AF7" s="44">
        <f t="shared" si="0"/>
        <v>3.453157894736842E-2</v>
      </c>
    </row>
    <row r="8" spans="1:43" x14ac:dyDescent="0.45">
      <c r="A8" s="3" t="s">
        <v>9</v>
      </c>
      <c r="B8" s="10">
        <f>AVERAGE('OECD Manufacturing'!$C$29:$AE$29)/100</f>
        <v>3.453157894736842E-2</v>
      </c>
      <c r="C8" s="44">
        <f t="shared" si="1"/>
        <v>3.453157894736842E-2</v>
      </c>
      <c r="D8" s="44">
        <f t="shared" si="0"/>
        <v>3.453157894736842E-2</v>
      </c>
      <c r="E8" s="44">
        <f t="shared" si="0"/>
        <v>3.453157894736842E-2</v>
      </c>
      <c r="F8" s="44">
        <f t="shared" si="0"/>
        <v>3.453157894736842E-2</v>
      </c>
      <c r="G8" s="44">
        <f t="shared" si="0"/>
        <v>3.453157894736842E-2</v>
      </c>
      <c r="H8" s="44">
        <f t="shared" si="0"/>
        <v>3.453157894736842E-2</v>
      </c>
      <c r="I8" s="44">
        <f t="shared" si="0"/>
        <v>3.453157894736842E-2</v>
      </c>
      <c r="J8" s="44">
        <f t="shared" si="0"/>
        <v>3.453157894736842E-2</v>
      </c>
      <c r="K8" s="44">
        <f t="shared" si="0"/>
        <v>3.453157894736842E-2</v>
      </c>
      <c r="L8" s="44">
        <f t="shared" si="0"/>
        <v>3.453157894736842E-2</v>
      </c>
      <c r="M8" s="44">
        <f t="shared" si="0"/>
        <v>3.453157894736842E-2</v>
      </c>
      <c r="N8" s="44">
        <f t="shared" si="0"/>
        <v>3.453157894736842E-2</v>
      </c>
      <c r="O8" s="44">
        <f t="shared" si="0"/>
        <v>3.453157894736842E-2</v>
      </c>
      <c r="P8" s="44">
        <f t="shared" si="0"/>
        <v>3.453157894736842E-2</v>
      </c>
      <c r="Q8" s="44">
        <f t="shared" si="0"/>
        <v>3.453157894736842E-2</v>
      </c>
      <c r="R8" s="44">
        <f t="shared" si="0"/>
        <v>3.453157894736842E-2</v>
      </c>
      <c r="S8" s="44">
        <f t="shared" si="0"/>
        <v>3.453157894736842E-2</v>
      </c>
      <c r="T8" s="44">
        <f t="shared" si="0"/>
        <v>3.453157894736842E-2</v>
      </c>
      <c r="U8" s="44">
        <f t="shared" si="0"/>
        <v>3.453157894736842E-2</v>
      </c>
      <c r="V8" s="44">
        <f t="shared" si="0"/>
        <v>3.453157894736842E-2</v>
      </c>
      <c r="W8" s="44">
        <f t="shared" si="0"/>
        <v>3.453157894736842E-2</v>
      </c>
      <c r="X8" s="44">
        <f t="shared" si="0"/>
        <v>3.453157894736842E-2</v>
      </c>
      <c r="Y8" s="44">
        <f t="shared" si="0"/>
        <v>3.453157894736842E-2</v>
      </c>
      <c r="Z8" s="44">
        <f t="shared" si="0"/>
        <v>3.453157894736842E-2</v>
      </c>
      <c r="AA8" s="44">
        <f t="shared" si="0"/>
        <v>3.453157894736842E-2</v>
      </c>
      <c r="AB8" s="44">
        <f t="shared" si="0"/>
        <v>3.453157894736842E-2</v>
      </c>
      <c r="AC8" s="44">
        <f t="shared" si="0"/>
        <v>3.453157894736842E-2</v>
      </c>
      <c r="AD8" s="44">
        <f t="shared" si="0"/>
        <v>3.453157894736842E-2</v>
      </c>
      <c r="AE8" s="44">
        <f t="shared" si="0"/>
        <v>3.453157894736842E-2</v>
      </c>
      <c r="AF8" s="44">
        <f t="shared" si="0"/>
        <v>3.453157894736842E-2</v>
      </c>
    </row>
    <row r="9" spans="1:43" x14ac:dyDescent="0.45">
      <c r="A9" s="3" t="s">
        <v>10</v>
      </c>
      <c r="B9" s="10">
        <f>AVERAGE('OECD Manufacturing'!$C$29:$AE$29)/100</f>
        <v>3.453157894736842E-2</v>
      </c>
      <c r="C9" s="44">
        <f t="shared" si="1"/>
        <v>3.453157894736842E-2</v>
      </c>
      <c r="D9" s="44">
        <f t="shared" si="0"/>
        <v>3.453157894736842E-2</v>
      </c>
      <c r="E9" s="44">
        <f t="shared" si="0"/>
        <v>3.453157894736842E-2</v>
      </c>
      <c r="F9" s="44">
        <f t="shared" si="0"/>
        <v>3.453157894736842E-2</v>
      </c>
      <c r="G9" s="44">
        <f t="shared" si="0"/>
        <v>3.453157894736842E-2</v>
      </c>
      <c r="H9" s="44">
        <f t="shared" si="0"/>
        <v>3.453157894736842E-2</v>
      </c>
      <c r="I9" s="44">
        <f t="shared" si="0"/>
        <v>3.453157894736842E-2</v>
      </c>
      <c r="J9" s="44">
        <f t="shared" si="0"/>
        <v>3.453157894736842E-2</v>
      </c>
      <c r="K9" s="44">
        <f t="shared" si="0"/>
        <v>3.453157894736842E-2</v>
      </c>
      <c r="L9" s="44">
        <f t="shared" si="0"/>
        <v>3.453157894736842E-2</v>
      </c>
      <c r="M9" s="44">
        <f t="shared" si="0"/>
        <v>3.453157894736842E-2</v>
      </c>
      <c r="N9" s="44">
        <f t="shared" si="0"/>
        <v>3.453157894736842E-2</v>
      </c>
      <c r="O9" s="44">
        <f t="shared" si="0"/>
        <v>3.453157894736842E-2</v>
      </c>
      <c r="P9" s="44">
        <f t="shared" si="0"/>
        <v>3.453157894736842E-2</v>
      </c>
      <c r="Q9" s="44">
        <f t="shared" si="0"/>
        <v>3.453157894736842E-2</v>
      </c>
      <c r="R9" s="44">
        <f t="shared" si="0"/>
        <v>3.453157894736842E-2</v>
      </c>
      <c r="S9" s="44">
        <f t="shared" si="0"/>
        <v>3.453157894736842E-2</v>
      </c>
      <c r="T9" s="44">
        <f t="shared" si="0"/>
        <v>3.453157894736842E-2</v>
      </c>
      <c r="U9" s="44">
        <f t="shared" si="0"/>
        <v>3.453157894736842E-2</v>
      </c>
      <c r="V9" s="44">
        <f t="shared" si="0"/>
        <v>3.453157894736842E-2</v>
      </c>
      <c r="W9" s="44">
        <f t="shared" si="0"/>
        <v>3.453157894736842E-2</v>
      </c>
      <c r="X9" s="44">
        <f t="shared" si="0"/>
        <v>3.453157894736842E-2</v>
      </c>
      <c r="Y9" s="44">
        <f t="shared" si="0"/>
        <v>3.453157894736842E-2</v>
      </c>
      <c r="Z9" s="44">
        <f t="shared" si="0"/>
        <v>3.453157894736842E-2</v>
      </c>
      <c r="AA9" s="44">
        <f t="shared" si="0"/>
        <v>3.453157894736842E-2</v>
      </c>
      <c r="AB9" s="44">
        <f t="shared" si="0"/>
        <v>3.453157894736842E-2</v>
      </c>
      <c r="AC9" s="44">
        <f t="shared" si="0"/>
        <v>3.453157894736842E-2</v>
      </c>
      <c r="AD9" s="44">
        <f t="shared" si="0"/>
        <v>3.453157894736842E-2</v>
      </c>
      <c r="AE9" s="44">
        <f t="shared" si="0"/>
        <v>3.453157894736842E-2</v>
      </c>
      <c r="AF9" s="44">
        <f t="shared" si="0"/>
        <v>3.453157894736842E-2</v>
      </c>
    </row>
    <row r="10" spans="1:43" x14ac:dyDescent="0.45">
      <c r="A10" s="3" t="s">
        <v>11</v>
      </c>
      <c r="B10" s="10">
        <f>AVERAGE('OECD Manufacturing'!$C$29:$AE$29)/100</f>
        <v>3.453157894736842E-2</v>
      </c>
      <c r="C10" s="44">
        <f t="shared" si="1"/>
        <v>3.453157894736842E-2</v>
      </c>
      <c r="D10" s="44">
        <f t="shared" si="0"/>
        <v>3.453157894736842E-2</v>
      </c>
      <c r="E10" s="44">
        <f t="shared" si="0"/>
        <v>3.453157894736842E-2</v>
      </c>
      <c r="F10" s="44">
        <f t="shared" si="0"/>
        <v>3.453157894736842E-2</v>
      </c>
      <c r="G10" s="44">
        <f t="shared" si="0"/>
        <v>3.453157894736842E-2</v>
      </c>
      <c r="H10" s="44">
        <f t="shared" si="0"/>
        <v>3.453157894736842E-2</v>
      </c>
      <c r="I10" s="44">
        <f t="shared" si="0"/>
        <v>3.453157894736842E-2</v>
      </c>
      <c r="J10" s="44">
        <f t="shared" si="0"/>
        <v>3.453157894736842E-2</v>
      </c>
      <c r="K10" s="44">
        <f t="shared" si="0"/>
        <v>3.453157894736842E-2</v>
      </c>
      <c r="L10" s="44">
        <f t="shared" si="0"/>
        <v>3.453157894736842E-2</v>
      </c>
      <c r="M10" s="44">
        <f t="shared" si="0"/>
        <v>3.453157894736842E-2</v>
      </c>
      <c r="N10" s="44">
        <f t="shared" si="0"/>
        <v>3.453157894736842E-2</v>
      </c>
      <c r="O10" s="44">
        <f t="shared" si="0"/>
        <v>3.453157894736842E-2</v>
      </c>
      <c r="P10" s="44">
        <f t="shared" si="0"/>
        <v>3.453157894736842E-2</v>
      </c>
      <c r="Q10" s="44">
        <f t="shared" si="0"/>
        <v>3.453157894736842E-2</v>
      </c>
      <c r="R10" s="44">
        <f t="shared" si="0"/>
        <v>3.453157894736842E-2</v>
      </c>
      <c r="S10" s="44">
        <f t="shared" si="0"/>
        <v>3.453157894736842E-2</v>
      </c>
      <c r="T10" s="44">
        <f t="shared" si="0"/>
        <v>3.453157894736842E-2</v>
      </c>
      <c r="U10" s="44">
        <f t="shared" si="0"/>
        <v>3.453157894736842E-2</v>
      </c>
      <c r="V10" s="44">
        <f t="shared" si="0"/>
        <v>3.453157894736842E-2</v>
      </c>
      <c r="W10" s="44">
        <f t="shared" si="0"/>
        <v>3.453157894736842E-2</v>
      </c>
      <c r="X10" s="44">
        <f t="shared" si="0"/>
        <v>3.453157894736842E-2</v>
      </c>
      <c r="Y10" s="44">
        <f t="shared" si="0"/>
        <v>3.453157894736842E-2</v>
      </c>
      <c r="Z10" s="44">
        <f t="shared" si="0"/>
        <v>3.453157894736842E-2</v>
      </c>
      <c r="AA10" s="44">
        <f t="shared" si="0"/>
        <v>3.453157894736842E-2</v>
      </c>
      <c r="AB10" s="44">
        <f t="shared" si="0"/>
        <v>3.453157894736842E-2</v>
      </c>
      <c r="AC10" s="44">
        <f t="shared" si="0"/>
        <v>3.453157894736842E-2</v>
      </c>
      <c r="AD10" s="44">
        <f t="shared" si="0"/>
        <v>3.453157894736842E-2</v>
      </c>
      <c r="AE10" s="44">
        <f t="shared" si="0"/>
        <v>3.453157894736842E-2</v>
      </c>
      <c r="AF10" s="44">
        <f t="shared" si="0"/>
        <v>3.453157894736842E-2</v>
      </c>
    </row>
    <row r="11" spans="1:43" ht="17.5" thickBot="1" x14ac:dyDescent="0.5">
      <c r="A11" s="3" t="s">
        <v>12</v>
      </c>
      <c r="B11" s="10">
        <f>AVERAGE('OECD Manufacturing'!$C$29:$AE$29)/100</f>
        <v>3.453157894736842E-2</v>
      </c>
      <c r="C11" s="44">
        <f t="shared" si="1"/>
        <v>3.453157894736842E-2</v>
      </c>
      <c r="D11" s="44">
        <f t="shared" si="0"/>
        <v>3.453157894736842E-2</v>
      </c>
      <c r="E11" s="44">
        <f t="shared" si="0"/>
        <v>3.453157894736842E-2</v>
      </c>
      <c r="F11" s="44">
        <f t="shared" si="0"/>
        <v>3.453157894736842E-2</v>
      </c>
      <c r="G11" s="44">
        <f t="shared" si="0"/>
        <v>3.453157894736842E-2</v>
      </c>
      <c r="H11" s="44">
        <f t="shared" si="0"/>
        <v>3.453157894736842E-2</v>
      </c>
      <c r="I11" s="44">
        <f t="shared" si="0"/>
        <v>3.453157894736842E-2</v>
      </c>
      <c r="J11" s="44">
        <f t="shared" si="0"/>
        <v>3.453157894736842E-2</v>
      </c>
      <c r="K11" s="44">
        <f t="shared" si="0"/>
        <v>3.453157894736842E-2</v>
      </c>
      <c r="L11" s="44">
        <f t="shared" si="0"/>
        <v>3.453157894736842E-2</v>
      </c>
      <c r="M11" s="44">
        <f t="shared" ref="D11:AF20" si="2">L11</f>
        <v>3.453157894736842E-2</v>
      </c>
      <c r="N11" s="44">
        <f t="shared" si="2"/>
        <v>3.453157894736842E-2</v>
      </c>
      <c r="O11" s="44">
        <f t="shared" si="2"/>
        <v>3.453157894736842E-2</v>
      </c>
      <c r="P11" s="44">
        <f t="shared" si="2"/>
        <v>3.453157894736842E-2</v>
      </c>
      <c r="Q11" s="44">
        <f t="shared" si="2"/>
        <v>3.453157894736842E-2</v>
      </c>
      <c r="R11" s="44">
        <f t="shared" si="2"/>
        <v>3.453157894736842E-2</v>
      </c>
      <c r="S11" s="44">
        <f t="shared" si="2"/>
        <v>3.453157894736842E-2</v>
      </c>
      <c r="T11" s="44">
        <f t="shared" si="2"/>
        <v>3.453157894736842E-2</v>
      </c>
      <c r="U11" s="44">
        <f t="shared" si="2"/>
        <v>3.453157894736842E-2</v>
      </c>
      <c r="V11" s="44">
        <f t="shared" si="2"/>
        <v>3.453157894736842E-2</v>
      </c>
      <c r="W11" s="44">
        <f t="shared" si="2"/>
        <v>3.453157894736842E-2</v>
      </c>
      <c r="X11" s="44">
        <f t="shared" si="2"/>
        <v>3.453157894736842E-2</v>
      </c>
      <c r="Y11" s="44">
        <f t="shared" si="2"/>
        <v>3.453157894736842E-2</v>
      </c>
      <c r="Z11" s="44">
        <f t="shared" si="2"/>
        <v>3.453157894736842E-2</v>
      </c>
      <c r="AA11" s="44">
        <f t="shared" si="2"/>
        <v>3.453157894736842E-2</v>
      </c>
      <c r="AB11" s="44">
        <f t="shared" si="2"/>
        <v>3.453157894736842E-2</v>
      </c>
      <c r="AC11" s="44">
        <f t="shared" si="2"/>
        <v>3.453157894736842E-2</v>
      </c>
      <c r="AD11" s="44">
        <f t="shared" si="2"/>
        <v>3.453157894736842E-2</v>
      </c>
      <c r="AE11" s="44">
        <f t="shared" si="2"/>
        <v>3.453157894736842E-2</v>
      </c>
      <c r="AF11" s="44">
        <f t="shared" si="2"/>
        <v>3.453157894736842E-2</v>
      </c>
    </row>
    <row r="12" spans="1:43" ht="17.5" thickBot="1" x14ac:dyDescent="0.5">
      <c r="A12" s="23" t="s">
        <v>149</v>
      </c>
      <c r="B12" s="25">
        <f>AVERAGE('OECD Manufacturing'!$C$29:$AE$29)/100</f>
        <v>3.453157894736842E-2</v>
      </c>
      <c r="C12" s="44">
        <f t="shared" si="1"/>
        <v>3.453157894736842E-2</v>
      </c>
      <c r="D12" s="44">
        <f t="shared" si="2"/>
        <v>3.453157894736842E-2</v>
      </c>
      <c r="E12" s="44">
        <f t="shared" si="2"/>
        <v>3.453157894736842E-2</v>
      </c>
      <c r="F12" s="44">
        <f t="shared" si="2"/>
        <v>3.453157894736842E-2</v>
      </c>
      <c r="G12" s="44">
        <f t="shared" si="2"/>
        <v>3.453157894736842E-2</v>
      </c>
      <c r="H12" s="44">
        <f t="shared" si="2"/>
        <v>3.453157894736842E-2</v>
      </c>
      <c r="I12" s="44">
        <f t="shared" si="2"/>
        <v>3.453157894736842E-2</v>
      </c>
      <c r="J12" s="44">
        <f t="shared" si="2"/>
        <v>3.453157894736842E-2</v>
      </c>
      <c r="K12" s="44">
        <f t="shared" si="2"/>
        <v>3.453157894736842E-2</v>
      </c>
      <c r="L12" s="44">
        <f t="shared" si="2"/>
        <v>3.453157894736842E-2</v>
      </c>
      <c r="M12" s="44">
        <f t="shared" si="2"/>
        <v>3.453157894736842E-2</v>
      </c>
      <c r="N12" s="44">
        <f t="shared" si="2"/>
        <v>3.453157894736842E-2</v>
      </c>
      <c r="O12" s="44">
        <f t="shared" si="2"/>
        <v>3.453157894736842E-2</v>
      </c>
      <c r="P12" s="44">
        <f t="shared" si="2"/>
        <v>3.453157894736842E-2</v>
      </c>
      <c r="Q12" s="44">
        <f t="shared" si="2"/>
        <v>3.453157894736842E-2</v>
      </c>
      <c r="R12" s="44">
        <f t="shared" si="2"/>
        <v>3.453157894736842E-2</v>
      </c>
      <c r="S12" s="44">
        <f t="shared" si="2"/>
        <v>3.453157894736842E-2</v>
      </c>
      <c r="T12" s="44">
        <f t="shared" si="2"/>
        <v>3.453157894736842E-2</v>
      </c>
      <c r="U12" s="44">
        <f t="shared" si="2"/>
        <v>3.453157894736842E-2</v>
      </c>
      <c r="V12" s="44">
        <f t="shared" si="2"/>
        <v>3.453157894736842E-2</v>
      </c>
      <c r="W12" s="44">
        <f t="shared" si="2"/>
        <v>3.453157894736842E-2</v>
      </c>
      <c r="X12" s="44">
        <f t="shared" si="2"/>
        <v>3.453157894736842E-2</v>
      </c>
      <c r="Y12" s="44">
        <f t="shared" si="2"/>
        <v>3.453157894736842E-2</v>
      </c>
      <c r="Z12" s="44">
        <f t="shared" si="2"/>
        <v>3.453157894736842E-2</v>
      </c>
      <c r="AA12" s="44">
        <f t="shared" si="2"/>
        <v>3.453157894736842E-2</v>
      </c>
      <c r="AB12" s="44">
        <f t="shared" si="2"/>
        <v>3.453157894736842E-2</v>
      </c>
      <c r="AC12" s="44">
        <f t="shared" si="2"/>
        <v>3.453157894736842E-2</v>
      </c>
      <c r="AD12" s="44">
        <f t="shared" si="2"/>
        <v>3.453157894736842E-2</v>
      </c>
      <c r="AE12" s="44">
        <f t="shared" si="2"/>
        <v>3.453157894736842E-2</v>
      </c>
      <c r="AF12" s="44">
        <f t="shared" si="2"/>
        <v>3.453157894736842E-2</v>
      </c>
    </row>
    <row r="13" spans="1:43" ht="17.5" thickBot="1" x14ac:dyDescent="0.5">
      <c r="A13" s="24" t="s">
        <v>150</v>
      </c>
      <c r="B13" s="26">
        <f>AVERAGE('OECD Manufacturing'!$C$29:$AE$29)/100</f>
        <v>3.453157894736842E-2</v>
      </c>
      <c r="C13" s="44">
        <f t="shared" si="1"/>
        <v>3.453157894736842E-2</v>
      </c>
      <c r="D13" s="44">
        <f t="shared" si="2"/>
        <v>3.453157894736842E-2</v>
      </c>
      <c r="E13" s="44">
        <f t="shared" si="2"/>
        <v>3.453157894736842E-2</v>
      </c>
      <c r="F13" s="44">
        <f t="shared" si="2"/>
        <v>3.453157894736842E-2</v>
      </c>
      <c r="G13" s="44">
        <f t="shared" si="2"/>
        <v>3.453157894736842E-2</v>
      </c>
      <c r="H13" s="44">
        <f t="shared" si="2"/>
        <v>3.453157894736842E-2</v>
      </c>
      <c r="I13" s="44">
        <f t="shared" si="2"/>
        <v>3.453157894736842E-2</v>
      </c>
      <c r="J13" s="44">
        <f t="shared" si="2"/>
        <v>3.453157894736842E-2</v>
      </c>
      <c r="K13" s="44">
        <f t="shared" si="2"/>
        <v>3.453157894736842E-2</v>
      </c>
      <c r="L13" s="44">
        <f t="shared" si="2"/>
        <v>3.453157894736842E-2</v>
      </c>
      <c r="M13" s="44">
        <f t="shared" si="2"/>
        <v>3.453157894736842E-2</v>
      </c>
      <c r="N13" s="44">
        <f t="shared" si="2"/>
        <v>3.453157894736842E-2</v>
      </c>
      <c r="O13" s="44">
        <f t="shared" si="2"/>
        <v>3.453157894736842E-2</v>
      </c>
      <c r="P13" s="44">
        <f t="shared" si="2"/>
        <v>3.453157894736842E-2</v>
      </c>
      <c r="Q13" s="44">
        <f t="shared" si="2"/>
        <v>3.453157894736842E-2</v>
      </c>
      <c r="R13" s="44">
        <f t="shared" si="2"/>
        <v>3.453157894736842E-2</v>
      </c>
      <c r="S13" s="44">
        <f t="shared" si="2"/>
        <v>3.453157894736842E-2</v>
      </c>
      <c r="T13" s="44">
        <f t="shared" si="2"/>
        <v>3.453157894736842E-2</v>
      </c>
      <c r="U13" s="44">
        <f t="shared" si="2"/>
        <v>3.453157894736842E-2</v>
      </c>
      <c r="V13" s="44">
        <f t="shared" si="2"/>
        <v>3.453157894736842E-2</v>
      </c>
      <c r="W13" s="44">
        <f t="shared" si="2"/>
        <v>3.453157894736842E-2</v>
      </c>
      <c r="X13" s="44">
        <f t="shared" si="2"/>
        <v>3.453157894736842E-2</v>
      </c>
      <c r="Y13" s="44">
        <f t="shared" si="2"/>
        <v>3.453157894736842E-2</v>
      </c>
      <c r="Z13" s="44">
        <f t="shared" si="2"/>
        <v>3.453157894736842E-2</v>
      </c>
      <c r="AA13" s="44">
        <f t="shared" si="2"/>
        <v>3.453157894736842E-2</v>
      </c>
      <c r="AB13" s="44">
        <f t="shared" si="2"/>
        <v>3.453157894736842E-2</v>
      </c>
      <c r="AC13" s="44">
        <f t="shared" si="2"/>
        <v>3.453157894736842E-2</v>
      </c>
      <c r="AD13" s="44">
        <f t="shared" si="2"/>
        <v>3.453157894736842E-2</v>
      </c>
      <c r="AE13" s="44">
        <f t="shared" si="2"/>
        <v>3.453157894736842E-2</v>
      </c>
      <c r="AF13" s="44">
        <f t="shared" si="2"/>
        <v>3.453157894736842E-2</v>
      </c>
    </row>
    <row r="14" spans="1:43" ht="17.5" thickBot="1" x14ac:dyDescent="0.5">
      <c r="A14" s="3" t="s">
        <v>14</v>
      </c>
      <c r="B14" s="10">
        <f>AVERAGE('OECD Manufacturing'!$C$29:$AE$29)/100</f>
        <v>3.453157894736842E-2</v>
      </c>
      <c r="C14" s="44">
        <f t="shared" si="1"/>
        <v>3.453157894736842E-2</v>
      </c>
      <c r="D14" s="44">
        <f t="shared" si="2"/>
        <v>3.453157894736842E-2</v>
      </c>
      <c r="E14" s="44">
        <f t="shared" si="2"/>
        <v>3.453157894736842E-2</v>
      </c>
      <c r="F14" s="44">
        <f t="shared" si="2"/>
        <v>3.453157894736842E-2</v>
      </c>
      <c r="G14" s="44">
        <f t="shared" si="2"/>
        <v>3.453157894736842E-2</v>
      </c>
      <c r="H14" s="44">
        <f t="shared" si="2"/>
        <v>3.453157894736842E-2</v>
      </c>
      <c r="I14" s="44">
        <f t="shared" si="2"/>
        <v>3.453157894736842E-2</v>
      </c>
      <c r="J14" s="44">
        <f t="shared" si="2"/>
        <v>3.453157894736842E-2</v>
      </c>
      <c r="K14" s="44">
        <f t="shared" si="2"/>
        <v>3.453157894736842E-2</v>
      </c>
      <c r="L14" s="44">
        <f t="shared" si="2"/>
        <v>3.453157894736842E-2</v>
      </c>
      <c r="M14" s="44">
        <f t="shared" si="2"/>
        <v>3.453157894736842E-2</v>
      </c>
      <c r="N14" s="44">
        <f t="shared" si="2"/>
        <v>3.453157894736842E-2</v>
      </c>
      <c r="O14" s="44">
        <f t="shared" si="2"/>
        <v>3.453157894736842E-2</v>
      </c>
      <c r="P14" s="44">
        <f t="shared" si="2"/>
        <v>3.453157894736842E-2</v>
      </c>
      <c r="Q14" s="44">
        <f t="shared" si="2"/>
        <v>3.453157894736842E-2</v>
      </c>
      <c r="R14" s="44">
        <f t="shared" si="2"/>
        <v>3.453157894736842E-2</v>
      </c>
      <c r="S14" s="44">
        <f t="shared" si="2"/>
        <v>3.453157894736842E-2</v>
      </c>
      <c r="T14" s="44">
        <f t="shared" si="2"/>
        <v>3.453157894736842E-2</v>
      </c>
      <c r="U14" s="44">
        <f t="shared" si="2"/>
        <v>3.453157894736842E-2</v>
      </c>
      <c r="V14" s="44">
        <f t="shared" si="2"/>
        <v>3.453157894736842E-2</v>
      </c>
      <c r="W14" s="44">
        <f t="shared" si="2"/>
        <v>3.453157894736842E-2</v>
      </c>
      <c r="X14" s="44">
        <f t="shared" si="2"/>
        <v>3.453157894736842E-2</v>
      </c>
      <c r="Y14" s="44">
        <f t="shared" si="2"/>
        <v>3.453157894736842E-2</v>
      </c>
      <c r="Z14" s="44">
        <f t="shared" si="2"/>
        <v>3.453157894736842E-2</v>
      </c>
      <c r="AA14" s="44">
        <f t="shared" si="2"/>
        <v>3.453157894736842E-2</v>
      </c>
      <c r="AB14" s="44">
        <f t="shared" si="2"/>
        <v>3.453157894736842E-2</v>
      </c>
      <c r="AC14" s="44">
        <f t="shared" si="2"/>
        <v>3.453157894736842E-2</v>
      </c>
      <c r="AD14" s="44">
        <f t="shared" si="2"/>
        <v>3.453157894736842E-2</v>
      </c>
      <c r="AE14" s="44">
        <f t="shared" si="2"/>
        <v>3.453157894736842E-2</v>
      </c>
      <c r="AF14" s="44">
        <f t="shared" si="2"/>
        <v>3.453157894736842E-2</v>
      </c>
    </row>
    <row r="15" spans="1:43" ht="17.5" thickBot="1" x14ac:dyDescent="0.5">
      <c r="A15" s="23" t="s">
        <v>153</v>
      </c>
      <c r="B15" s="25">
        <f>AVERAGE('OECD Manufacturing'!$C$29:$AE$29)/100</f>
        <v>3.453157894736842E-2</v>
      </c>
      <c r="C15" s="44">
        <f t="shared" si="1"/>
        <v>3.453157894736842E-2</v>
      </c>
      <c r="D15" s="44">
        <f t="shared" si="2"/>
        <v>3.453157894736842E-2</v>
      </c>
      <c r="E15" s="44">
        <f t="shared" si="2"/>
        <v>3.453157894736842E-2</v>
      </c>
      <c r="F15" s="44">
        <f t="shared" si="2"/>
        <v>3.453157894736842E-2</v>
      </c>
      <c r="G15" s="44">
        <f t="shared" si="2"/>
        <v>3.453157894736842E-2</v>
      </c>
      <c r="H15" s="44">
        <f t="shared" si="2"/>
        <v>3.453157894736842E-2</v>
      </c>
      <c r="I15" s="44">
        <f t="shared" si="2"/>
        <v>3.453157894736842E-2</v>
      </c>
      <c r="J15" s="44">
        <f t="shared" si="2"/>
        <v>3.453157894736842E-2</v>
      </c>
      <c r="K15" s="44">
        <f t="shared" si="2"/>
        <v>3.453157894736842E-2</v>
      </c>
      <c r="L15" s="44">
        <f t="shared" si="2"/>
        <v>3.453157894736842E-2</v>
      </c>
      <c r="M15" s="44">
        <f t="shared" si="2"/>
        <v>3.453157894736842E-2</v>
      </c>
      <c r="N15" s="44">
        <f t="shared" si="2"/>
        <v>3.453157894736842E-2</v>
      </c>
      <c r="O15" s="44">
        <f t="shared" si="2"/>
        <v>3.453157894736842E-2</v>
      </c>
      <c r="P15" s="44">
        <f t="shared" si="2"/>
        <v>3.453157894736842E-2</v>
      </c>
      <c r="Q15" s="44">
        <f t="shared" si="2"/>
        <v>3.453157894736842E-2</v>
      </c>
      <c r="R15" s="44">
        <f t="shared" si="2"/>
        <v>3.453157894736842E-2</v>
      </c>
      <c r="S15" s="44">
        <f t="shared" si="2"/>
        <v>3.453157894736842E-2</v>
      </c>
      <c r="T15" s="44">
        <f t="shared" si="2"/>
        <v>3.453157894736842E-2</v>
      </c>
      <c r="U15" s="44">
        <f t="shared" si="2"/>
        <v>3.453157894736842E-2</v>
      </c>
      <c r="V15" s="44">
        <f t="shared" si="2"/>
        <v>3.453157894736842E-2</v>
      </c>
      <c r="W15" s="44">
        <f t="shared" si="2"/>
        <v>3.453157894736842E-2</v>
      </c>
      <c r="X15" s="44">
        <f t="shared" si="2"/>
        <v>3.453157894736842E-2</v>
      </c>
      <c r="Y15" s="44">
        <f t="shared" si="2"/>
        <v>3.453157894736842E-2</v>
      </c>
      <c r="Z15" s="44">
        <f t="shared" si="2"/>
        <v>3.453157894736842E-2</v>
      </c>
      <c r="AA15" s="44">
        <f t="shared" si="2"/>
        <v>3.453157894736842E-2</v>
      </c>
      <c r="AB15" s="44">
        <f t="shared" si="2"/>
        <v>3.453157894736842E-2</v>
      </c>
      <c r="AC15" s="44">
        <f t="shared" si="2"/>
        <v>3.453157894736842E-2</v>
      </c>
      <c r="AD15" s="44">
        <f t="shared" si="2"/>
        <v>3.453157894736842E-2</v>
      </c>
      <c r="AE15" s="44">
        <f t="shared" si="2"/>
        <v>3.453157894736842E-2</v>
      </c>
      <c r="AF15" s="44">
        <f t="shared" si="2"/>
        <v>3.453157894736842E-2</v>
      </c>
    </row>
    <row r="16" spans="1:43" ht="17.5" thickBot="1" x14ac:dyDescent="0.5">
      <c r="A16" s="27" t="s">
        <v>154</v>
      </c>
      <c r="B16" s="26">
        <f>AVERAGE('OECD Manufacturing'!$C$29:$AE$29)/100</f>
        <v>3.453157894736842E-2</v>
      </c>
      <c r="C16" s="44">
        <f t="shared" si="1"/>
        <v>3.453157894736842E-2</v>
      </c>
      <c r="D16" s="44">
        <f t="shared" si="2"/>
        <v>3.453157894736842E-2</v>
      </c>
      <c r="E16" s="44">
        <f t="shared" si="2"/>
        <v>3.453157894736842E-2</v>
      </c>
      <c r="F16" s="44">
        <f t="shared" si="2"/>
        <v>3.453157894736842E-2</v>
      </c>
      <c r="G16" s="44">
        <f t="shared" si="2"/>
        <v>3.453157894736842E-2</v>
      </c>
      <c r="H16" s="44">
        <f t="shared" si="2"/>
        <v>3.453157894736842E-2</v>
      </c>
      <c r="I16" s="44">
        <f t="shared" si="2"/>
        <v>3.453157894736842E-2</v>
      </c>
      <c r="J16" s="44">
        <f t="shared" si="2"/>
        <v>3.453157894736842E-2</v>
      </c>
      <c r="K16" s="44">
        <f t="shared" si="2"/>
        <v>3.453157894736842E-2</v>
      </c>
      <c r="L16" s="44">
        <f t="shared" si="2"/>
        <v>3.453157894736842E-2</v>
      </c>
      <c r="M16" s="44">
        <f t="shared" si="2"/>
        <v>3.453157894736842E-2</v>
      </c>
      <c r="N16" s="44">
        <f t="shared" si="2"/>
        <v>3.453157894736842E-2</v>
      </c>
      <c r="O16" s="44">
        <f t="shared" si="2"/>
        <v>3.453157894736842E-2</v>
      </c>
      <c r="P16" s="44">
        <f t="shared" si="2"/>
        <v>3.453157894736842E-2</v>
      </c>
      <c r="Q16" s="44">
        <f t="shared" si="2"/>
        <v>3.453157894736842E-2</v>
      </c>
      <c r="R16" s="44">
        <f t="shared" si="2"/>
        <v>3.453157894736842E-2</v>
      </c>
      <c r="S16" s="44">
        <f t="shared" si="2"/>
        <v>3.453157894736842E-2</v>
      </c>
      <c r="T16" s="44">
        <f t="shared" si="2"/>
        <v>3.453157894736842E-2</v>
      </c>
      <c r="U16" s="44">
        <f t="shared" si="2"/>
        <v>3.453157894736842E-2</v>
      </c>
      <c r="V16" s="44">
        <f t="shared" si="2"/>
        <v>3.453157894736842E-2</v>
      </c>
      <c r="W16" s="44">
        <f t="shared" si="2"/>
        <v>3.453157894736842E-2</v>
      </c>
      <c r="X16" s="44">
        <f t="shared" si="2"/>
        <v>3.453157894736842E-2</v>
      </c>
      <c r="Y16" s="44">
        <f t="shared" si="2"/>
        <v>3.453157894736842E-2</v>
      </c>
      <c r="Z16" s="44">
        <f t="shared" si="2"/>
        <v>3.453157894736842E-2</v>
      </c>
      <c r="AA16" s="44">
        <f t="shared" si="2"/>
        <v>3.453157894736842E-2</v>
      </c>
      <c r="AB16" s="44">
        <f t="shared" si="2"/>
        <v>3.453157894736842E-2</v>
      </c>
      <c r="AC16" s="44">
        <f t="shared" si="2"/>
        <v>3.453157894736842E-2</v>
      </c>
      <c r="AD16" s="44">
        <f t="shared" si="2"/>
        <v>3.453157894736842E-2</v>
      </c>
      <c r="AE16" s="44">
        <f t="shared" si="2"/>
        <v>3.453157894736842E-2</v>
      </c>
      <c r="AF16" s="44">
        <f t="shared" si="2"/>
        <v>3.453157894736842E-2</v>
      </c>
    </row>
    <row r="17" spans="1:32" ht="17.5" thickBot="1" x14ac:dyDescent="0.5">
      <c r="A17" s="23" t="s">
        <v>155</v>
      </c>
      <c r="B17" s="25">
        <f>AVERAGE('OECD Manufacturing'!$C$29:$AE$29)/100</f>
        <v>3.453157894736842E-2</v>
      </c>
      <c r="C17" s="44">
        <f t="shared" si="1"/>
        <v>3.453157894736842E-2</v>
      </c>
      <c r="D17" s="44">
        <f t="shared" si="2"/>
        <v>3.453157894736842E-2</v>
      </c>
      <c r="E17" s="44">
        <f t="shared" si="2"/>
        <v>3.453157894736842E-2</v>
      </c>
      <c r="F17" s="44">
        <f t="shared" si="2"/>
        <v>3.453157894736842E-2</v>
      </c>
      <c r="G17" s="44">
        <f t="shared" si="2"/>
        <v>3.453157894736842E-2</v>
      </c>
      <c r="H17" s="44">
        <f t="shared" si="2"/>
        <v>3.453157894736842E-2</v>
      </c>
      <c r="I17" s="44">
        <f t="shared" si="2"/>
        <v>3.453157894736842E-2</v>
      </c>
      <c r="J17" s="44">
        <f t="shared" si="2"/>
        <v>3.453157894736842E-2</v>
      </c>
      <c r="K17" s="44">
        <f t="shared" si="2"/>
        <v>3.453157894736842E-2</v>
      </c>
      <c r="L17" s="44">
        <f t="shared" si="2"/>
        <v>3.453157894736842E-2</v>
      </c>
      <c r="M17" s="44">
        <f t="shared" si="2"/>
        <v>3.453157894736842E-2</v>
      </c>
      <c r="N17" s="44">
        <f t="shared" si="2"/>
        <v>3.453157894736842E-2</v>
      </c>
      <c r="O17" s="44">
        <f t="shared" si="2"/>
        <v>3.453157894736842E-2</v>
      </c>
      <c r="P17" s="44">
        <f t="shared" si="2"/>
        <v>3.453157894736842E-2</v>
      </c>
      <c r="Q17" s="44">
        <f t="shared" si="2"/>
        <v>3.453157894736842E-2</v>
      </c>
      <c r="R17" s="44">
        <f t="shared" si="2"/>
        <v>3.453157894736842E-2</v>
      </c>
      <c r="S17" s="44">
        <f t="shared" si="2"/>
        <v>3.453157894736842E-2</v>
      </c>
      <c r="T17" s="44">
        <f t="shared" si="2"/>
        <v>3.453157894736842E-2</v>
      </c>
      <c r="U17" s="44">
        <f t="shared" si="2"/>
        <v>3.453157894736842E-2</v>
      </c>
      <c r="V17" s="44">
        <f t="shared" si="2"/>
        <v>3.453157894736842E-2</v>
      </c>
      <c r="W17" s="44">
        <f t="shared" si="2"/>
        <v>3.453157894736842E-2</v>
      </c>
      <c r="X17" s="44">
        <f t="shared" si="2"/>
        <v>3.453157894736842E-2</v>
      </c>
      <c r="Y17" s="44">
        <f t="shared" si="2"/>
        <v>3.453157894736842E-2</v>
      </c>
      <c r="Z17" s="44">
        <f t="shared" si="2"/>
        <v>3.453157894736842E-2</v>
      </c>
      <c r="AA17" s="44">
        <f t="shared" si="2"/>
        <v>3.453157894736842E-2</v>
      </c>
      <c r="AB17" s="44">
        <f t="shared" si="2"/>
        <v>3.453157894736842E-2</v>
      </c>
      <c r="AC17" s="44">
        <f t="shared" si="2"/>
        <v>3.453157894736842E-2</v>
      </c>
      <c r="AD17" s="44">
        <f t="shared" si="2"/>
        <v>3.453157894736842E-2</v>
      </c>
      <c r="AE17" s="44">
        <f t="shared" si="2"/>
        <v>3.453157894736842E-2</v>
      </c>
      <c r="AF17" s="44">
        <f t="shared" si="2"/>
        <v>3.453157894736842E-2</v>
      </c>
    </row>
    <row r="18" spans="1:32" ht="17.5" thickBot="1" x14ac:dyDescent="0.5">
      <c r="A18" s="24" t="s">
        <v>156</v>
      </c>
      <c r="B18" s="26">
        <f>AVERAGE('OECD Manufacturing'!$C$29:$AE$29)/100</f>
        <v>3.453157894736842E-2</v>
      </c>
      <c r="C18" s="44">
        <f t="shared" si="1"/>
        <v>3.453157894736842E-2</v>
      </c>
      <c r="D18" s="44">
        <f t="shared" si="2"/>
        <v>3.453157894736842E-2</v>
      </c>
      <c r="E18" s="44">
        <f t="shared" si="2"/>
        <v>3.453157894736842E-2</v>
      </c>
      <c r="F18" s="44">
        <f t="shared" si="2"/>
        <v>3.453157894736842E-2</v>
      </c>
      <c r="G18" s="44">
        <f t="shared" si="2"/>
        <v>3.453157894736842E-2</v>
      </c>
      <c r="H18" s="44">
        <f t="shared" si="2"/>
        <v>3.453157894736842E-2</v>
      </c>
      <c r="I18" s="44">
        <f t="shared" si="2"/>
        <v>3.453157894736842E-2</v>
      </c>
      <c r="J18" s="44">
        <f t="shared" si="2"/>
        <v>3.453157894736842E-2</v>
      </c>
      <c r="K18" s="44">
        <f t="shared" si="2"/>
        <v>3.453157894736842E-2</v>
      </c>
      <c r="L18" s="44">
        <f t="shared" si="2"/>
        <v>3.453157894736842E-2</v>
      </c>
      <c r="M18" s="44">
        <f t="shared" si="2"/>
        <v>3.453157894736842E-2</v>
      </c>
      <c r="N18" s="44">
        <f t="shared" si="2"/>
        <v>3.453157894736842E-2</v>
      </c>
      <c r="O18" s="44">
        <f t="shared" si="2"/>
        <v>3.453157894736842E-2</v>
      </c>
      <c r="P18" s="44">
        <f t="shared" si="2"/>
        <v>3.453157894736842E-2</v>
      </c>
      <c r="Q18" s="44">
        <f t="shared" si="2"/>
        <v>3.453157894736842E-2</v>
      </c>
      <c r="R18" s="44">
        <f t="shared" si="2"/>
        <v>3.453157894736842E-2</v>
      </c>
      <c r="S18" s="44">
        <f t="shared" si="2"/>
        <v>3.453157894736842E-2</v>
      </c>
      <c r="T18" s="44">
        <f t="shared" si="2"/>
        <v>3.453157894736842E-2</v>
      </c>
      <c r="U18" s="44">
        <f t="shared" si="2"/>
        <v>3.453157894736842E-2</v>
      </c>
      <c r="V18" s="44">
        <f t="shared" si="2"/>
        <v>3.453157894736842E-2</v>
      </c>
      <c r="W18" s="44">
        <f t="shared" si="2"/>
        <v>3.453157894736842E-2</v>
      </c>
      <c r="X18" s="44">
        <f t="shared" si="2"/>
        <v>3.453157894736842E-2</v>
      </c>
      <c r="Y18" s="44">
        <f t="shared" si="2"/>
        <v>3.453157894736842E-2</v>
      </c>
      <c r="Z18" s="44">
        <f t="shared" si="2"/>
        <v>3.453157894736842E-2</v>
      </c>
      <c r="AA18" s="44">
        <f t="shared" si="2"/>
        <v>3.453157894736842E-2</v>
      </c>
      <c r="AB18" s="44">
        <f t="shared" si="2"/>
        <v>3.453157894736842E-2</v>
      </c>
      <c r="AC18" s="44">
        <f t="shared" si="2"/>
        <v>3.453157894736842E-2</v>
      </c>
      <c r="AD18" s="44">
        <f t="shared" si="2"/>
        <v>3.453157894736842E-2</v>
      </c>
      <c r="AE18" s="44">
        <f t="shared" si="2"/>
        <v>3.453157894736842E-2</v>
      </c>
      <c r="AF18" s="44">
        <f t="shared" si="2"/>
        <v>3.453157894736842E-2</v>
      </c>
    </row>
    <row r="19" spans="1:32" x14ac:dyDescent="0.45">
      <c r="A19" s="3" t="s">
        <v>17</v>
      </c>
      <c r="B19" s="10">
        <f>AVERAGE('OECD Manufacturing'!$C$29:$AE$29)/100</f>
        <v>3.453157894736842E-2</v>
      </c>
      <c r="C19" s="44">
        <f t="shared" si="1"/>
        <v>3.453157894736842E-2</v>
      </c>
      <c r="D19" s="44">
        <f t="shared" si="2"/>
        <v>3.453157894736842E-2</v>
      </c>
      <c r="E19" s="44">
        <f t="shared" si="2"/>
        <v>3.453157894736842E-2</v>
      </c>
      <c r="F19" s="44">
        <f t="shared" si="2"/>
        <v>3.453157894736842E-2</v>
      </c>
      <c r="G19" s="44">
        <f t="shared" si="2"/>
        <v>3.453157894736842E-2</v>
      </c>
      <c r="H19" s="44">
        <f t="shared" si="2"/>
        <v>3.453157894736842E-2</v>
      </c>
      <c r="I19" s="44">
        <f t="shared" si="2"/>
        <v>3.453157894736842E-2</v>
      </c>
      <c r="J19" s="44">
        <f t="shared" si="2"/>
        <v>3.453157894736842E-2</v>
      </c>
      <c r="K19" s="44">
        <f t="shared" si="2"/>
        <v>3.453157894736842E-2</v>
      </c>
      <c r="L19" s="44">
        <f t="shared" si="2"/>
        <v>3.453157894736842E-2</v>
      </c>
      <c r="M19" s="44">
        <f t="shared" si="2"/>
        <v>3.453157894736842E-2</v>
      </c>
      <c r="N19" s="44">
        <f t="shared" si="2"/>
        <v>3.453157894736842E-2</v>
      </c>
      <c r="O19" s="44">
        <f t="shared" si="2"/>
        <v>3.453157894736842E-2</v>
      </c>
      <c r="P19" s="44">
        <f t="shared" si="2"/>
        <v>3.453157894736842E-2</v>
      </c>
      <c r="Q19" s="44">
        <f t="shared" si="2"/>
        <v>3.453157894736842E-2</v>
      </c>
      <c r="R19" s="44">
        <f t="shared" si="2"/>
        <v>3.453157894736842E-2</v>
      </c>
      <c r="S19" s="44">
        <f t="shared" si="2"/>
        <v>3.453157894736842E-2</v>
      </c>
      <c r="T19" s="44">
        <f t="shared" si="2"/>
        <v>3.453157894736842E-2</v>
      </c>
      <c r="U19" s="44">
        <f t="shared" si="2"/>
        <v>3.453157894736842E-2</v>
      </c>
      <c r="V19" s="44">
        <f t="shared" si="2"/>
        <v>3.453157894736842E-2</v>
      </c>
      <c r="W19" s="44">
        <f t="shared" si="2"/>
        <v>3.453157894736842E-2</v>
      </c>
      <c r="X19" s="44">
        <f t="shared" si="2"/>
        <v>3.453157894736842E-2</v>
      </c>
      <c r="Y19" s="44">
        <f t="shared" si="2"/>
        <v>3.453157894736842E-2</v>
      </c>
      <c r="Z19" s="44">
        <f t="shared" si="2"/>
        <v>3.453157894736842E-2</v>
      </c>
      <c r="AA19" s="44">
        <f t="shared" si="2"/>
        <v>3.453157894736842E-2</v>
      </c>
      <c r="AB19" s="44">
        <f t="shared" si="2"/>
        <v>3.453157894736842E-2</v>
      </c>
      <c r="AC19" s="44">
        <f t="shared" si="2"/>
        <v>3.453157894736842E-2</v>
      </c>
      <c r="AD19" s="44">
        <f t="shared" si="2"/>
        <v>3.453157894736842E-2</v>
      </c>
      <c r="AE19" s="44">
        <f t="shared" si="2"/>
        <v>3.453157894736842E-2</v>
      </c>
      <c r="AF19" s="44">
        <f t="shared" si="2"/>
        <v>3.453157894736842E-2</v>
      </c>
    </row>
    <row r="20" spans="1:32" x14ac:dyDescent="0.45">
      <c r="A20" s="3" t="s">
        <v>18</v>
      </c>
      <c r="B20" s="10">
        <f>AVERAGE('OECD Manufacturing'!$C$29:$AE$29)/100</f>
        <v>3.453157894736842E-2</v>
      </c>
      <c r="C20" s="44">
        <f t="shared" si="1"/>
        <v>3.453157894736842E-2</v>
      </c>
      <c r="D20" s="44">
        <f t="shared" si="2"/>
        <v>3.453157894736842E-2</v>
      </c>
      <c r="E20" s="44">
        <f t="shared" si="2"/>
        <v>3.453157894736842E-2</v>
      </c>
      <c r="F20" s="44">
        <f t="shared" si="2"/>
        <v>3.453157894736842E-2</v>
      </c>
      <c r="G20" s="44">
        <f t="shared" ref="D20:AF28" si="3">F20</f>
        <v>3.453157894736842E-2</v>
      </c>
      <c r="H20" s="44">
        <f t="shared" si="3"/>
        <v>3.453157894736842E-2</v>
      </c>
      <c r="I20" s="44">
        <f t="shared" si="3"/>
        <v>3.453157894736842E-2</v>
      </c>
      <c r="J20" s="44">
        <f t="shared" si="3"/>
        <v>3.453157894736842E-2</v>
      </c>
      <c r="K20" s="44">
        <f t="shared" si="3"/>
        <v>3.453157894736842E-2</v>
      </c>
      <c r="L20" s="44">
        <f t="shared" si="3"/>
        <v>3.453157894736842E-2</v>
      </c>
      <c r="M20" s="44">
        <f t="shared" si="3"/>
        <v>3.453157894736842E-2</v>
      </c>
      <c r="N20" s="44">
        <f t="shared" si="3"/>
        <v>3.453157894736842E-2</v>
      </c>
      <c r="O20" s="44">
        <f t="shared" si="3"/>
        <v>3.453157894736842E-2</v>
      </c>
      <c r="P20" s="44">
        <f t="shared" si="3"/>
        <v>3.453157894736842E-2</v>
      </c>
      <c r="Q20" s="44">
        <f t="shared" si="3"/>
        <v>3.453157894736842E-2</v>
      </c>
      <c r="R20" s="44">
        <f t="shared" si="3"/>
        <v>3.453157894736842E-2</v>
      </c>
      <c r="S20" s="44">
        <f t="shared" si="3"/>
        <v>3.453157894736842E-2</v>
      </c>
      <c r="T20" s="44">
        <f t="shared" si="3"/>
        <v>3.453157894736842E-2</v>
      </c>
      <c r="U20" s="44">
        <f t="shared" si="3"/>
        <v>3.453157894736842E-2</v>
      </c>
      <c r="V20" s="44">
        <f t="shared" si="3"/>
        <v>3.453157894736842E-2</v>
      </c>
      <c r="W20" s="44">
        <f t="shared" si="3"/>
        <v>3.453157894736842E-2</v>
      </c>
      <c r="X20" s="44">
        <f t="shared" si="3"/>
        <v>3.453157894736842E-2</v>
      </c>
      <c r="Y20" s="44">
        <f t="shared" si="3"/>
        <v>3.453157894736842E-2</v>
      </c>
      <c r="Z20" s="44">
        <f t="shared" si="3"/>
        <v>3.453157894736842E-2</v>
      </c>
      <c r="AA20" s="44">
        <f t="shared" si="3"/>
        <v>3.453157894736842E-2</v>
      </c>
      <c r="AB20" s="44">
        <f t="shared" si="3"/>
        <v>3.453157894736842E-2</v>
      </c>
      <c r="AC20" s="44">
        <f t="shared" si="3"/>
        <v>3.453157894736842E-2</v>
      </c>
      <c r="AD20" s="44">
        <f t="shared" si="3"/>
        <v>3.453157894736842E-2</v>
      </c>
      <c r="AE20" s="44">
        <f t="shared" si="3"/>
        <v>3.453157894736842E-2</v>
      </c>
      <c r="AF20" s="44">
        <f t="shared" si="3"/>
        <v>3.453157894736842E-2</v>
      </c>
    </row>
    <row r="21" spans="1:32" x14ac:dyDescent="0.45">
      <c r="A21" s="3" t="s">
        <v>19</v>
      </c>
      <c r="B21" s="10">
        <f>AVERAGE('OECD Manufacturing'!$C$29:$AE$29)/100</f>
        <v>3.453157894736842E-2</v>
      </c>
      <c r="C21" s="44">
        <f t="shared" si="1"/>
        <v>3.453157894736842E-2</v>
      </c>
      <c r="D21" s="44">
        <f t="shared" si="3"/>
        <v>3.453157894736842E-2</v>
      </c>
      <c r="E21" s="44">
        <f t="shared" si="3"/>
        <v>3.453157894736842E-2</v>
      </c>
      <c r="F21" s="44">
        <f t="shared" si="3"/>
        <v>3.453157894736842E-2</v>
      </c>
      <c r="G21" s="44">
        <f t="shared" si="3"/>
        <v>3.453157894736842E-2</v>
      </c>
      <c r="H21" s="44">
        <f t="shared" si="3"/>
        <v>3.453157894736842E-2</v>
      </c>
      <c r="I21" s="44">
        <f t="shared" si="3"/>
        <v>3.453157894736842E-2</v>
      </c>
      <c r="J21" s="44">
        <f t="shared" si="3"/>
        <v>3.453157894736842E-2</v>
      </c>
      <c r="K21" s="44">
        <f t="shared" si="3"/>
        <v>3.453157894736842E-2</v>
      </c>
      <c r="L21" s="44">
        <f t="shared" si="3"/>
        <v>3.453157894736842E-2</v>
      </c>
      <c r="M21" s="44">
        <f t="shared" si="3"/>
        <v>3.453157894736842E-2</v>
      </c>
      <c r="N21" s="44">
        <f t="shared" si="3"/>
        <v>3.453157894736842E-2</v>
      </c>
      <c r="O21" s="44">
        <f t="shared" si="3"/>
        <v>3.453157894736842E-2</v>
      </c>
      <c r="P21" s="44">
        <f t="shared" si="3"/>
        <v>3.453157894736842E-2</v>
      </c>
      <c r="Q21" s="44">
        <f t="shared" si="3"/>
        <v>3.453157894736842E-2</v>
      </c>
      <c r="R21" s="44">
        <f t="shared" si="3"/>
        <v>3.453157894736842E-2</v>
      </c>
      <c r="S21" s="44">
        <f t="shared" si="3"/>
        <v>3.453157894736842E-2</v>
      </c>
      <c r="T21" s="44">
        <f t="shared" si="3"/>
        <v>3.453157894736842E-2</v>
      </c>
      <c r="U21" s="44">
        <f t="shared" si="3"/>
        <v>3.453157894736842E-2</v>
      </c>
      <c r="V21" s="44">
        <f t="shared" si="3"/>
        <v>3.453157894736842E-2</v>
      </c>
      <c r="W21" s="44">
        <f t="shared" si="3"/>
        <v>3.453157894736842E-2</v>
      </c>
      <c r="X21" s="44">
        <f t="shared" si="3"/>
        <v>3.453157894736842E-2</v>
      </c>
      <c r="Y21" s="44">
        <f t="shared" si="3"/>
        <v>3.453157894736842E-2</v>
      </c>
      <c r="Z21" s="44">
        <f t="shared" si="3"/>
        <v>3.453157894736842E-2</v>
      </c>
      <c r="AA21" s="44">
        <f t="shared" si="3"/>
        <v>3.453157894736842E-2</v>
      </c>
      <c r="AB21" s="44">
        <f t="shared" si="3"/>
        <v>3.453157894736842E-2</v>
      </c>
      <c r="AC21" s="44">
        <f t="shared" si="3"/>
        <v>3.453157894736842E-2</v>
      </c>
      <c r="AD21" s="44">
        <f t="shared" si="3"/>
        <v>3.453157894736842E-2</v>
      </c>
      <c r="AE21" s="44">
        <f t="shared" si="3"/>
        <v>3.453157894736842E-2</v>
      </c>
      <c r="AF21" s="44">
        <f t="shared" si="3"/>
        <v>3.453157894736842E-2</v>
      </c>
    </row>
    <row r="22" spans="1:32" x14ac:dyDescent="0.45">
      <c r="A22" s="3" t="s">
        <v>20</v>
      </c>
      <c r="B22" s="10">
        <f>AVERAGE('OECD Manufacturing'!$C$29:$AE$29)/100</f>
        <v>3.453157894736842E-2</v>
      </c>
      <c r="C22" s="44">
        <f t="shared" si="1"/>
        <v>3.453157894736842E-2</v>
      </c>
      <c r="D22" s="44">
        <f t="shared" si="3"/>
        <v>3.453157894736842E-2</v>
      </c>
      <c r="E22" s="44">
        <f t="shared" si="3"/>
        <v>3.453157894736842E-2</v>
      </c>
      <c r="F22" s="44">
        <f t="shared" si="3"/>
        <v>3.453157894736842E-2</v>
      </c>
      <c r="G22" s="44">
        <f t="shared" si="3"/>
        <v>3.453157894736842E-2</v>
      </c>
      <c r="H22" s="44">
        <f t="shared" si="3"/>
        <v>3.453157894736842E-2</v>
      </c>
      <c r="I22" s="44">
        <f t="shared" si="3"/>
        <v>3.453157894736842E-2</v>
      </c>
      <c r="J22" s="44">
        <f t="shared" si="3"/>
        <v>3.453157894736842E-2</v>
      </c>
      <c r="K22" s="44">
        <f t="shared" si="3"/>
        <v>3.453157894736842E-2</v>
      </c>
      <c r="L22" s="44">
        <f t="shared" si="3"/>
        <v>3.453157894736842E-2</v>
      </c>
      <c r="M22" s="44">
        <f t="shared" si="3"/>
        <v>3.453157894736842E-2</v>
      </c>
      <c r="N22" s="44">
        <f t="shared" si="3"/>
        <v>3.453157894736842E-2</v>
      </c>
      <c r="O22" s="44">
        <f t="shared" si="3"/>
        <v>3.453157894736842E-2</v>
      </c>
      <c r="P22" s="44">
        <f t="shared" si="3"/>
        <v>3.453157894736842E-2</v>
      </c>
      <c r="Q22" s="44">
        <f t="shared" si="3"/>
        <v>3.453157894736842E-2</v>
      </c>
      <c r="R22" s="44">
        <f t="shared" si="3"/>
        <v>3.453157894736842E-2</v>
      </c>
      <c r="S22" s="44">
        <f t="shared" si="3"/>
        <v>3.453157894736842E-2</v>
      </c>
      <c r="T22" s="44">
        <f t="shared" si="3"/>
        <v>3.453157894736842E-2</v>
      </c>
      <c r="U22" s="44">
        <f t="shared" si="3"/>
        <v>3.453157894736842E-2</v>
      </c>
      <c r="V22" s="44">
        <f t="shared" si="3"/>
        <v>3.453157894736842E-2</v>
      </c>
      <c r="W22" s="44">
        <f t="shared" si="3"/>
        <v>3.453157894736842E-2</v>
      </c>
      <c r="X22" s="44">
        <f t="shared" si="3"/>
        <v>3.453157894736842E-2</v>
      </c>
      <c r="Y22" s="44">
        <f t="shared" si="3"/>
        <v>3.453157894736842E-2</v>
      </c>
      <c r="Z22" s="44">
        <f t="shared" si="3"/>
        <v>3.453157894736842E-2</v>
      </c>
      <c r="AA22" s="44">
        <f t="shared" si="3"/>
        <v>3.453157894736842E-2</v>
      </c>
      <c r="AB22" s="44">
        <f t="shared" si="3"/>
        <v>3.453157894736842E-2</v>
      </c>
      <c r="AC22" s="44">
        <f t="shared" si="3"/>
        <v>3.453157894736842E-2</v>
      </c>
      <c r="AD22" s="44">
        <f t="shared" si="3"/>
        <v>3.453157894736842E-2</v>
      </c>
      <c r="AE22" s="44">
        <f t="shared" si="3"/>
        <v>3.453157894736842E-2</v>
      </c>
      <c r="AF22" s="44">
        <f t="shared" si="3"/>
        <v>3.453157894736842E-2</v>
      </c>
    </row>
    <row r="23" spans="1:32" x14ac:dyDescent="0.45">
      <c r="A23" s="3" t="s">
        <v>21</v>
      </c>
      <c r="B23" s="10">
        <f>AVERAGE('OECD Manufacturing'!$C$29:$AE$29)/100</f>
        <v>3.453157894736842E-2</v>
      </c>
      <c r="C23" s="44">
        <f t="shared" si="1"/>
        <v>3.453157894736842E-2</v>
      </c>
      <c r="D23" s="44">
        <f t="shared" si="3"/>
        <v>3.453157894736842E-2</v>
      </c>
      <c r="E23" s="44">
        <f t="shared" si="3"/>
        <v>3.453157894736842E-2</v>
      </c>
      <c r="F23" s="44">
        <f t="shared" si="3"/>
        <v>3.453157894736842E-2</v>
      </c>
      <c r="G23" s="44">
        <f t="shared" si="3"/>
        <v>3.453157894736842E-2</v>
      </c>
      <c r="H23" s="44">
        <f t="shared" si="3"/>
        <v>3.453157894736842E-2</v>
      </c>
      <c r="I23" s="44">
        <f t="shared" si="3"/>
        <v>3.453157894736842E-2</v>
      </c>
      <c r="J23" s="44">
        <f t="shared" si="3"/>
        <v>3.453157894736842E-2</v>
      </c>
      <c r="K23" s="44">
        <f t="shared" si="3"/>
        <v>3.453157894736842E-2</v>
      </c>
      <c r="L23" s="44">
        <f t="shared" si="3"/>
        <v>3.453157894736842E-2</v>
      </c>
      <c r="M23" s="44">
        <f t="shared" si="3"/>
        <v>3.453157894736842E-2</v>
      </c>
      <c r="N23" s="44">
        <f t="shared" si="3"/>
        <v>3.453157894736842E-2</v>
      </c>
      <c r="O23" s="44">
        <f t="shared" si="3"/>
        <v>3.453157894736842E-2</v>
      </c>
      <c r="P23" s="44">
        <f t="shared" si="3"/>
        <v>3.453157894736842E-2</v>
      </c>
      <c r="Q23" s="44">
        <f t="shared" si="3"/>
        <v>3.453157894736842E-2</v>
      </c>
      <c r="R23" s="44">
        <f t="shared" si="3"/>
        <v>3.453157894736842E-2</v>
      </c>
      <c r="S23" s="44">
        <f t="shared" si="3"/>
        <v>3.453157894736842E-2</v>
      </c>
      <c r="T23" s="44">
        <f t="shared" si="3"/>
        <v>3.453157894736842E-2</v>
      </c>
      <c r="U23" s="44">
        <f t="shared" si="3"/>
        <v>3.453157894736842E-2</v>
      </c>
      <c r="V23" s="44">
        <f t="shared" si="3"/>
        <v>3.453157894736842E-2</v>
      </c>
      <c r="W23" s="44">
        <f t="shared" si="3"/>
        <v>3.453157894736842E-2</v>
      </c>
      <c r="X23" s="44">
        <f t="shared" si="3"/>
        <v>3.453157894736842E-2</v>
      </c>
      <c r="Y23" s="44">
        <f t="shared" si="3"/>
        <v>3.453157894736842E-2</v>
      </c>
      <c r="Z23" s="44">
        <f t="shared" si="3"/>
        <v>3.453157894736842E-2</v>
      </c>
      <c r="AA23" s="44">
        <f t="shared" si="3"/>
        <v>3.453157894736842E-2</v>
      </c>
      <c r="AB23" s="44">
        <f t="shared" si="3"/>
        <v>3.453157894736842E-2</v>
      </c>
      <c r="AC23" s="44">
        <f t="shared" si="3"/>
        <v>3.453157894736842E-2</v>
      </c>
      <c r="AD23" s="44">
        <f t="shared" si="3"/>
        <v>3.453157894736842E-2</v>
      </c>
      <c r="AE23" s="44">
        <f t="shared" si="3"/>
        <v>3.453157894736842E-2</v>
      </c>
      <c r="AF23" s="44">
        <f t="shared" si="3"/>
        <v>3.453157894736842E-2</v>
      </c>
    </row>
    <row r="24" spans="1:32" x14ac:dyDescent="0.45">
      <c r="A24" s="3" t="s">
        <v>22</v>
      </c>
      <c r="B24" s="10">
        <f>AVERAGE('OECD Manufacturing'!$C$29:$AE$29)/100</f>
        <v>3.453157894736842E-2</v>
      </c>
      <c r="C24" s="44">
        <f t="shared" si="1"/>
        <v>3.453157894736842E-2</v>
      </c>
      <c r="D24" s="44">
        <f t="shared" si="3"/>
        <v>3.453157894736842E-2</v>
      </c>
      <c r="E24" s="44">
        <f t="shared" si="3"/>
        <v>3.453157894736842E-2</v>
      </c>
      <c r="F24" s="44">
        <f t="shared" si="3"/>
        <v>3.453157894736842E-2</v>
      </c>
      <c r="G24" s="44">
        <f t="shared" si="3"/>
        <v>3.453157894736842E-2</v>
      </c>
      <c r="H24" s="44">
        <f t="shared" si="3"/>
        <v>3.453157894736842E-2</v>
      </c>
      <c r="I24" s="44">
        <f t="shared" si="3"/>
        <v>3.453157894736842E-2</v>
      </c>
      <c r="J24" s="44">
        <f t="shared" si="3"/>
        <v>3.453157894736842E-2</v>
      </c>
      <c r="K24" s="44">
        <f t="shared" si="3"/>
        <v>3.453157894736842E-2</v>
      </c>
      <c r="L24" s="44">
        <f t="shared" si="3"/>
        <v>3.453157894736842E-2</v>
      </c>
      <c r="M24" s="44">
        <f t="shared" si="3"/>
        <v>3.453157894736842E-2</v>
      </c>
      <c r="N24" s="44">
        <f t="shared" si="3"/>
        <v>3.453157894736842E-2</v>
      </c>
      <c r="O24" s="44">
        <f t="shared" si="3"/>
        <v>3.453157894736842E-2</v>
      </c>
      <c r="P24" s="44">
        <f t="shared" si="3"/>
        <v>3.453157894736842E-2</v>
      </c>
      <c r="Q24" s="44">
        <f t="shared" si="3"/>
        <v>3.453157894736842E-2</v>
      </c>
      <c r="R24" s="44">
        <f t="shared" si="3"/>
        <v>3.453157894736842E-2</v>
      </c>
      <c r="S24" s="44">
        <f t="shared" si="3"/>
        <v>3.453157894736842E-2</v>
      </c>
      <c r="T24" s="44">
        <f t="shared" si="3"/>
        <v>3.453157894736842E-2</v>
      </c>
      <c r="U24" s="44">
        <f t="shared" si="3"/>
        <v>3.453157894736842E-2</v>
      </c>
      <c r="V24" s="44">
        <f t="shared" si="3"/>
        <v>3.453157894736842E-2</v>
      </c>
      <c r="W24" s="44">
        <f t="shared" si="3"/>
        <v>3.453157894736842E-2</v>
      </c>
      <c r="X24" s="44">
        <f t="shared" si="3"/>
        <v>3.453157894736842E-2</v>
      </c>
      <c r="Y24" s="44">
        <f t="shared" si="3"/>
        <v>3.453157894736842E-2</v>
      </c>
      <c r="Z24" s="44">
        <f t="shared" si="3"/>
        <v>3.453157894736842E-2</v>
      </c>
      <c r="AA24" s="44">
        <f t="shared" si="3"/>
        <v>3.453157894736842E-2</v>
      </c>
      <c r="AB24" s="44">
        <f t="shared" si="3"/>
        <v>3.453157894736842E-2</v>
      </c>
      <c r="AC24" s="44">
        <f t="shared" si="3"/>
        <v>3.453157894736842E-2</v>
      </c>
      <c r="AD24" s="44">
        <f t="shared" si="3"/>
        <v>3.453157894736842E-2</v>
      </c>
      <c r="AE24" s="44">
        <f t="shared" si="3"/>
        <v>3.453157894736842E-2</v>
      </c>
      <c r="AF24" s="44">
        <f t="shared" si="3"/>
        <v>3.453157894736842E-2</v>
      </c>
    </row>
    <row r="25" spans="1:32" ht="17.5" thickBot="1" x14ac:dyDescent="0.5">
      <c r="A25" s="3" t="s">
        <v>23</v>
      </c>
      <c r="B25" s="10">
        <f>AVERAGE('OECD Manufacturing'!$C$29:$AE$29)/100</f>
        <v>3.453157894736842E-2</v>
      </c>
      <c r="C25" s="44">
        <f t="shared" si="1"/>
        <v>3.453157894736842E-2</v>
      </c>
      <c r="D25" s="44">
        <f t="shared" si="3"/>
        <v>3.453157894736842E-2</v>
      </c>
      <c r="E25" s="44">
        <f t="shared" si="3"/>
        <v>3.453157894736842E-2</v>
      </c>
      <c r="F25" s="44">
        <f t="shared" si="3"/>
        <v>3.453157894736842E-2</v>
      </c>
      <c r="G25" s="44">
        <f t="shared" si="3"/>
        <v>3.453157894736842E-2</v>
      </c>
      <c r="H25" s="44">
        <f t="shared" si="3"/>
        <v>3.453157894736842E-2</v>
      </c>
      <c r="I25" s="44">
        <f t="shared" si="3"/>
        <v>3.453157894736842E-2</v>
      </c>
      <c r="J25" s="44">
        <f t="shared" si="3"/>
        <v>3.453157894736842E-2</v>
      </c>
      <c r="K25" s="44">
        <f t="shared" si="3"/>
        <v>3.453157894736842E-2</v>
      </c>
      <c r="L25" s="44">
        <f t="shared" si="3"/>
        <v>3.453157894736842E-2</v>
      </c>
      <c r="M25" s="44">
        <f t="shared" si="3"/>
        <v>3.453157894736842E-2</v>
      </c>
      <c r="N25" s="44">
        <f t="shared" si="3"/>
        <v>3.453157894736842E-2</v>
      </c>
      <c r="O25" s="44">
        <f t="shared" si="3"/>
        <v>3.453157894736842E-2</v>
      </c>
      <c r="P25" s="44">
        <f t="shared" si="3"/>
        <v>3.453157894736842E-2</v>
      </c>
      <c r="Q25" s="44">
        <f t="shared" si="3"/>
        <v>3.453157894736842E-2</v>
      </c>
      <c r="R25" s="44">
        <f t="shared" si="3"/>
        <v>3.453157894736842E-2</v>
      </c>
      <c r="S25" s="44">
        <f t="shared" si="3"/>
        <v>3.453157894736842E-2</v>
      </c>
      <c r="T25" s="44">
        <f t="shared" si="3"/>
        <v>3.453157894736842E-2</v>
      </c>
      <c r="U25" s="44">
        <f t="shared" si="3"/>
        <v>3.453157894736842E-2</v>
      </c>
      <c r="V25" s="44">
        <f t="shared" si="3"/>
        <v>3.453157894736842E-2</v>
      </c>
      <c r="W25" s="44">
        <f t="shared" si="3"/>
        <v>3.453157894736842E-2</v>
      </c>
      <c r="X25" s="44">
        <f t="shared" si="3"/>
        <v>3.453157894736842E-2</v>
      </c>
      <c r="Y25" s="44">
        <f t="shared" si="3"/>
        <v>3.453157894736842E-2</v>
      </c>
      <c r="Z25" s="44">
        <f t="shared" si="3"/>
        <v>3.453157894736842E-2</v>
      </c>
      <c r="AA25" s="44">
        <f t="shared" si="3"/>
        <v>3.453157894736842E-2</v>
      </c>
      <c r="AB25" s="44">
        <f t="shared" si="3"/>
        <v>3.453157894736842E-2</v>
      </c>
      <c r="AC25" s="44">
        <f t="shared" si="3"/>
        <v>3.453157894736842E-2</v>
      </c>
      <c r="AD25" s="44">
        <f t="shared" si="3"/>
        <v>3.453157894736842E-2</v>
      </c>
      <c r="AE25" s="44">
        <f t="shared" si="3"/>
        <v>3.453157894736842E-2</v>
      </c>
      <c r="AF25" s="44">
        <f t="shared" si="3"/>
        <v>3.453157894736842E-2</v>
      </c>
    </row>
    <row r="26" spans="1:32" ht="17.5" thickBot="1" x14ac:dyDescent="0.5">
      <c r="A26" s="23" t="s">
        <v>157</v>
      </c>
      <c r="B26" s="25">
        <f>AVERAGE('OECD Mining &amp; Utilities'!$C$29:$AE$29)/100</f>
        <v>-1.3263157894736843E-3</v>
      </c>
      <c r="C26" s="44">
        <f t="shared" si="1"/>
        <v>-1.3263157894736843E-3</v>
      </c>
      <c r="D26" s="44">
        <f t="shared" si="3"/>
        <v>-1.3263157894736843E-3</v>
      </c>
      <c r="E26" s="44">
        <f t="shared" si="3"/>
        <v>-1.3263157894736843E-3</v>
      </c>
      <c r="F26" s="44">
        <f t="shared" si="3"/>
        <v>-1.3263157894736843E-3</v>
      </c>
      <c r="G26" s="44">
        <f t="shared" si="3"/>
        <v>-1.3263157894736843E-3</v>
      </c>
      <c r="H26" s="44">
        <f t="shared" si="3"/>
        <v>-1.3263157894736843E-3</v>
      </c>
      <c r="I26" s="44">
        <f t="shared" si="3"/>
        <v>-1.3263157894736843E-3</v>
      </c>
      <c r="J26" s="44">
        <f t="shared" si="3"/>
        <v>-1.3263157894736843E-3</v>
      </c>
      <c r="K26" s="44">
        <f t="shared" si="3"/>
        <v>-1.3263157894736843E-3</v>
      </c>
      <c r="L26" s="44">
        <f t="shared" si="3"/>
        <v>-1.3263157894736843E-3</v>
      </c>
      <c r="M26" s="44">
        <f t="shared" si="3"/>
        <v>-1.3263157894736843E-3</v>
      </c>
      <c r="N26" s="44">
        <f t="shared" si="3"/>
        <v>-1.3263157894736843E-3</v>
      </c>
      <c r="O26" s="44">
        <f t="shared" si="3"/>
        <v>-1.3263157894736843E-3</v>
      </c>
      <c r="P26" s="44">
        <f t="shared" si="3"/>
        <v>-1.3263157894736843E-3</v>
      </c>
      <c r="Q26" s="44">
        <f t="shared" si="3"/>
        <v>-1.3263157894736843E-3</v>
      </c>
      <c r="R26" s="44">
        <f t="shared" si="3"/>
        <v>-1.3263157894736843E-3</v>
      </c>
      <c r="S26" s="44">
        <f t="shared" si="3"/>
        <v>-1.3263157894736843E-3</v>
      </c>
      <c r="T26" s="44">
        <f t="shared" si="3"/>
        <v>-1.3263157894736843E-3</v>
      </c>
      <c r="U26" s="44">
        <f t="shared" si="3"/>
        <v>-1.3263157894736843E-3</v>
      </c>
      <c r="V26" s="44">
        <f t="shared" si="3"/>
        <v>-1.3263157894736843E-3</v>
      </c>
      <c r="W26" s="44">
        <f t="shared" si="3"/>
        <v>-1.3263157894736843E-3</v>
      </c>
      <c r="X26" s="44">
        <f t="shared" si="3"/>
        <v>-1.3263157894736843E-3</v>
      </c>
      <c r="Y26" s="44">
        <f t="shared" si="3"/>
        <v>-1.3263157894736843E-3</v>
      </c>
      <c r="Z26" s="44">
        <f t="shared" si="3"/>
        <v>-1.3263157894736843E-3</v>
      </c>
      <c r="AA26" s="44">
        <f t="shared" si="3"/>
        <v>-1.3263157894736843E-3</v>
      </c>
      <c r="AB26" s="44">
        <f t="shared" si="3"/>
        <v>-1.3263157894736843E-3</v>
      </c>
      <c r="AC26" s="44">
        <f t="shared" si="3"/>
        <v>-1.3263157894736843E-3</v>
      </c>
      <c r="AD26" s="44">
        <f t="shared" si="3"/>
        <v>-1.3263157894736843E-3</v>
      </c>
      <c r="AE26" s="44">
        <f t="shared" si="3"/>
        <v>-1.3263157894736843E-3</v>
      </c>
      <c r="AF26" s="44">
        <f t="shared" si="3"/>
        <v>-1.3263157894736843E-3</v>
      </c>
    </row>
    <row r="27" spans="1:32" ht="17.5" thickBot="1" x14ac:dyDescent="0.5">
      <c r="A27" s="27" t="s">
        <v>158</v>
      </c>
      <c r="B27" s="28">
        <f>AVERAGE('OECD Mining &amp; Utilities'!$C$29:$AE$29)/100</f>
        <v>-1.3263157894736843E-3</v>
      </c>
      <c r="C27" s="44">
        <f t="shared" si="1"/>
        <v>-1.3263157894736843E-3</v>
      </c>
      <c r="D27" s="44">
        <f t="shared" si="3"/>
        <v>-1.3263157894736843E-3</v>
      </c>
      <c r="E27" s="44">
        <f t="shared" si="3"/>
        <v>-1.3263157894736843E-3</v>
      </c>
      <c r="F27" s="44">
        <f t="shared" si="3"/>
        <v>-1.3263157894736843E-3</v>
      </c>
      <c r="G27" s="44">
        <f t="shared" si="3"/>
        <v>-1.3263157894736843E-3</v>
      </c>
      <c r="H27" s="44">
        <f t="shared" si="3"/>
        <v>-1.3263157894736843E-3</v>
      </c>
      <c r="I27" s="44">
        <f t="shared" si="3"/>
        <v>-1.3263157894736843E-3</v>
      </c>
      <c r="J27" s="44">
        <f t="shared" si="3"/>
        <v>-1.3263157894736843E-3</v>
      </c>
      <c r="K27" s="44">
        <f t="shared" si="3"/>
        <v>-1.3263157894736843E-3</v>
      </c>
      <c r="L27" s="44">
        <f t="shared" si="3"/>
        <v>-1.3263157894736843E-3</v>
      </c>
      <c r="M27" s="44">
        <f t="shared" si="3"/>
        <v>-1.3263157894736843E-3</v>
      </c>
      <c r="N27" s="44">
        <f t="shared" si="3"/>
        <v>-1.3263157894736843E-3</v>
      </c>
      <c r="O27" s="44">
        <f t="shared" si="3"/>
        <v>-1.3263157894736843E-3</v>
      </c>
      <c r="P27" s="44">
        <f t="shared" si="3"/>
        <v>-1.3263157894736843E-3</v>
      </c>
      <c r="Q27" s="44">
        <f t="shared" si="3"/>
        <v>-1.3263157894736843E-3</v>
      </c>
      <c r="R27" s="44">
        <f t="shared" si="3"/>
        <v>-1.3263157894736843E-3</v>
      </c>
      <c r="S27" s="44">
        <f t="shared" si="3"/>
        <v>-1.3263157894736843E-3</v>
      </c>
      <c r="T27" s="44">
        <f t="shared" si="3"/>
        <v>-1.3263157894736843E-3</v>
      </c>
      <c r="U27" s="44">
        <f t="shared" si="3"/>
        <v>-1.3263157894736843E-3</v>
      </c>
      <c r="V27" s="44">
        <f t="shared" si="3"/>
        <v>-1.3263157894736843E-3</v>
      </c>
      <c r="W27" s="44">
        <f t="shared" si="3"/>
        <v>-1.3263157894736843E-3</v>
      </c>
      <c r="X27" s="44">
        <f t="shared" si="3"/>
        <v>-1.3263157894736843E-3</v>
      </c>
      <c r="Y27" s="44">
        <f t="shared" si="3"/>
        <v>-1.3263157894736843E-3</v>
      </c>
      <c r="Z27" s="44">
        <f t="shared" si="3"/>
        <v>-1.3263157894736843E-3</v>
      </c>
      <c r="AA27" s="44">
        <f t="shared" si="3"/>
        <v>-1.3263157894736843E-3</v>
      </c>
      <c r="AB27" s="44">
        <f t="shared" si="3"/>
        <v>-1.3263157894736843E-3</v>
      </c>
      <c r="AC27" s="44">
        <f t="shared" si="3"/>
        <v>-1.3263157894736843E-3</v>
      </c>
      <c r="AD27" s="44">
        <f t="shared" si="3"/>
        <v>-1.3263157894736843E-3</v>
      </c>
      <c r="AE27" s="44">
        <f t="shared" si="3"/>
        <v>-1.3263157894736843E-3</v>
      </c>
      <c r="AF27" s="44">
        <f t="shared" si="3"/>
        <v>-1.3263157894736843E-3</v>
      </c>
    </row>
    <row r="28" spans="1:32" ht="17.5" thickBot="1" x14ac:dyDescent="0.5">
      <c r="A28" s="24" t="s">
        <v>159</v>
      </c>
      <c r="B28" s="26">
        <f>AVERAGE('OECD Mining &amp; Utilities'!$C$29:$AE$29)/100</f>
        <v>-1.3263157894736843E-3</v>
      </c>
      <c r="C28" s="44">
        <f t="shared" si="1"/>
        <v>-1.3263157894736843E-3</v>
      </c>
      <c r="D28" s="44">
        <f t="shared" si="3"/>
        <v>-1.3263157894736843E-3</v>
      </c>
      <c r="E28" s="44">
        <f t="shared" si="3"/>
        <v>-1.3263157894736843E-3</v>
      </c>
      <c r="F28" s="44">
        <f t="shared" si="3"/>
        <v>-1.3263157894736843E-3</v>
      </c>
      <c r="G28" s="44">
        <f t="shared" si="3"/>
        <v>-1.3263157894736843E-3</v>
      </c>
      <c r="H28" s="44">
        <f t="shared" si="3"/>
        <v>-1.3263157894736843E-3</v>
      </c>
      <c r="I28" s="44">
        <f t="shared" si="3"/>
        <v>-1.3263157894736843E-3</v>
      </c>
      <c r="J28" s="44">
        <f t="shared" si="3"/>
        <v>-1.3263157894736843E-3</v>
      </c>
      <c r="K28" s="44">
        <f t="shared" si="3"/>
        <v>-1.3263157894736843E-3</v>
      </c>
      <c r="L28" s="44">
        <f t="shared" si="3"/>
        <v>-1.3263157894736843E-3</v>
      </c>
      <c r="M28" s="44">
        <f t="shared" si="3"/>
        <v>-1.3263157894736843E-3</v>
      </c>
      <c r="N28" s="44">
        <f t="shared" si="3"/>
        <v>-1.3263157894736843E-3</v>
      </c>
      <c r="O28" s="44">
        <f t="shared" si="3"/>
        <v>-1.3263157894736843E-3</v>
      </c>
      <c r="P28" s="44">
        <f t="shared" si="3"/>
        <v>-1.3263157894736843E-3</v>
      </c>
      <c r="Q28" s="44">
        <f t="shared" si="3"/>
        <v>-1.3263157894736843E-3</v>
      </c>
      <c r="R28" s="44">
        <f t="shared" si="3"/>
        <v>-1.3263157894736843E-3</v>
      </c>
      <c r="S28" s="44">
        <f t="shared" si="3"/>
        <v>-1.3263157894736843E-3</v>
      </c>
      <c r="T28" s="44">
        <f t="shared" si="3"/>
        <v>-1.3263157894736843E-3</v>
      </c>
      <c r="U28" s="44">
        <f t="shared" si="3"/>
        <v>-1.3263157894736843E-3</v>
      </c>
      <c r="V28" s="44">
        <f t="shared" si="3"/>
        <v>-1.3263157894736843E-3</v>
      </c>
      <c r="W28" s="44">
        <f t="shared" si="3"/>
        <v>-1.3263157894736843E-3</v>
      </c>
      <c r="X28" s="44">
        <f t="shared" si="3"/>
        <v>-1.3263157894736843E-3</v>
      </c>
      <c r="Y28" s="44">
        <f t="shared" si="3"/>
        <v>-1.3263157894736843E-3</v>
      </c>
      <c r="Z28" s="44">
        <f t="shared" si="3"/>
        <v>-1.3263157894736843E-3</v>
      </c>
      <c r="AA28" s="44">
        <f t="shared" si="3"/>
        <v>-1.3263157894736843E-3</v>
      </c>
      <c r="AB28" s="44">
        <f t="shared" si="3"/>
        <v>-1.3263157894736843E-3</v>
      </c>
      <c r="AC28" s="44">
        <f t="shared" si="3"/>
        <v>-1.3263157894736843E-3</v>
      </c>
      <c r="AD28" s="44">
        <f t="shared" ref="D28:AF37" si="4">AC28</f>
        <v>-1.3263157894736843E-3</v>
      </c>
      <c r="AE28" s="44">
        <f t="shared" si="4"/>
        <v>-1.3263157894736843E-3</v>
      </c>
      <c r="AF28" s="44">
        <f t="shared" si="4"/>
        <v>-1.3263157894736843E-3</v>
      </c>
    </row>
    <row r="29" spans="1:32" x14ac:dyDescent="0.45">
      <c r="A29" s="3" t="s">
        <v>25</v>
      </c>
      <c r="B29" s="10">
        <f>AVERAGE('OECD Construction'!$C$29:$AE$29)/100</f>
        <v>3.810526315789473E-3</v>
      </c>
      <c r="C29" s="44">
        <f t="shared" si="1"/>
        <v>3.810526315789473E-3</v>
      </c>
      <c r="D29" s="44">
        <f t="shared" si="4"/>
        <v>3.810526315789473E-3</v>
      </c>
      <c r="E29" s="44">
        <f t="shared" si="4"/>
        <v>3.810526315789473E-3</v>
      </c>
      <c r="F29" s="44">
        <f t="shared" si="4"/>
        <v>3.810526315789473E-3</v>
      </c>
      <c r="G29" s="44">
        <f t="shared" si="4"/>
        <v>3.810526315789473E-3</v>
      </c>
      <c r="H29" s="44">
        <f t="shared" si="4"/>
        <v>3.810526315789473E-3</v>
      </c>
      <c r="I29" s="44">
        <f t="shared" si="4"/>
        <v>3.810526315789473E-3</v>
      </c>
      <c r="J29" s="44">
        <f t="shared" si="4"/>
        <v>3.810526315789473E-3</v>
      </c>
      <c r="K29" s="44">
        <f t="shared" si="4"/>
        <v>3.810526315789473E-3</v>
      </c>
      <c r="L29" s="44">
        <f t="shared" si="4"/>
        <v>3.810526315789473E-3</v>
      </c>
      <c r="M29" s="44">
        <f t="shared" si="4"/>
        <v>3.810526315789473E-3</v>
      </c>
      <c r="N29" s="44">
        <f t="shared" si="4"/>
        <v>3.810526315789473E-3</v>
      </c>
      <c r="O29" s="44">
        <f t="shared" si="4"/>
        <v>3.810526315789473E-3</v>
      </c>
      <c r="P29" s="44">
        <f t="shared" si="4"/>
        <v>3.810526315789473E-3</v>
      </c>
      <c r="Q29" s="44">
        <f t="shared" si="4"/>
        <v>3.810526315789473E-3</v>
      </c>
      <c r="R29" s="44">
        <f t="shared" si="4"/>
        <v>3.810526315789473E-3</v>
      </c>
      <c r="S29" s="44">
        <f t="shared" si="4"/>
        <v>3.810526315789473E-3</v>
      </c>
      <c r="T29" s="44">
        <f t="shared" si="4"/>
        <v>3.810526315789473E-3</v>
      </c>
      <c r="U29" s="44">
        <f t="shared" si="4"/>
        <v>3.810526315789473E-3</v>
      </c>
      <c r="V29" s="44">
        <f t="shared" si="4"/>
        <v>3.810526315789473E-3</v>
      </c>
      <c r="W29" s="44">
        <f t="shared" si="4"/>
        <v>3.810526315789473E-3</v>
      </c>
      <c r="X29" s="44">
        <f t="shared" si="4"/>
        <v>3.810526315789473E-3</v>
      </c>
      <c r="Y29" s="44">
        <f t="shared" si="4"/>
        <v>3.810526315789473E-3</v>
      </c>
      <c r="Z29" s="44">
        <f t="shared" si="4"/>
        <v>3.810526315789473E-3</v>
      </c>
      <c r="AA29" s="44">
        <f t="shared" si="4"/>
        <v>3.810526315789473E-3</v>
      </c>
      <c r="AB29" s="44">
        <f t="shared" si="4"/>
        <v>3.810526315789473E-3</v>
      </c>
      <c r="AC29" s="44">
        <f t="shared" si="4"/>
        <v>3.810526315789473E-3</v>
      </c>
      <c r="AD29" s="44">
        <f t="shared" si="4"/>
        <v>3.810526315789473E-3</v>
      </c>
      <c r="AE29" s="44">
        <f t="shared" si="4"/>
        <v>3.810526315789473E-3</v>
      </c>
      <c r="AF29" s="44">
        <f t="shared" si="4"/>
        <v>3.810526315789473E-3</v>
      </c>
    </row>
    <row r="30" spans="1:32" x14ac:dyDescent="0.45">
      <c r="A30" s="3" t="s">
        <v>26</v>
      </c>
      <c r="B30" s="10">
        <f>AVERAGE('OECD Transport Retail Food'!$C$29:$AE$29)/100</f>
        <v>2.9784210526315791E-2</v>
      </c>
      <c r="C30" s="44">
        <f t="shared" si="1"/>
        <v>2.9784210526315791E-2</v>
      </c>
      <c r="D30" s="44">
        <f t="shared" si="4"/>
        <v>2.9784210526315791E-2</v>
      </c>
      <c r="E30" s="44">
        <f t="shared" si="4"/>
        <v>2.9784210526315791E-2</v>
      </c>
      <c r="F30" s="44">
        <f t="shared" si="4"/>
        <v>2.9784210526315791E-2</v>
      </c>
      <c r="G30" s="44">
        <f t="shared" si="4"/>
        <v>2.9784210526315791E-2</v>
      </c>
      <c r="H30" s="44">
        <f t="shared" si="4"/>
        <v>2.9784210526315791E-2</v>
      </c>
      <c r="I30" s="44">
        <f t="shared" si="4"/>
        <v>2.9784210526315791E-2</v>
      </c>
      <c r="J30" s="44">
        <f t="shared" si="4"/>
        <v>2.9784210526315791E-2</v>
      </c>
      <c r="K30" s="44">
        <f t="shared" si="4"/>
        <v>2.9784210526315791E-2</v>
      </c>
      <c r="L30" s="44">
        <f t="shared" si="4"/>
        <v>2.9784210526315791E-2</v>
      </c>
      <c r="M30" s="44">
        <f t="shared" si="4"/>
        <v>2.9784210526315791E-2</v>
      </c>
      <c r="N30" s="44">
        <f t="shared" si="4"/>
        <v>2.9784210526315791E-2</v>
      </c>
      <c r="O30" s="44">
        <f t="shared" si="4"/>
        <v>2.9784210526315791E-2</v>
      </c>
      <c r="P30" s="44">
        <f t="shared" si="4"/>
        <v>2.9784210526315791E-2</v>
      </c>
      <c r="Q30" s="44">
        <f t="shared" si="4"/>
        <v>2.9784210526315791E-2</v>
      </c>
      <c r="R30" s="44">
        <f t="shared" si="4"/>
        <v>2.9784210526315791E-2</v>
      </c>
      <c r="S30" s="44">
        <f t="shared" si="4"/>
        <v>2.9784210526315791E-2</v>
      </c>
      <c r="T30" s="44">
        <f t="shared" si="4"/>
        <v>2.9784210526315791E-2</v>
      </c>
      <c r="U30" s="44">
        <f t="shared" si="4"/>
        <v>2.9784210526315791E-2</v>
      </c>
      <c r="V30" s="44">
        <f t="shared" si="4"/>
        <v>2.9784210526315791E-2</v>
      </c>
      <c r="W30" s="44">
        <f t="shared" si="4"/>
        <v>2.9784210526315791E-2</v>
      </c>
      <c r="X30" s="44">
        <f t="shared" si="4"/>
        <v>2.9784210526315791E-2</v>
      </c>
      <c r="Y30" s="44">
        <f t="shared" si="4"/>
        <v>2.9784210526315791E-2</v>
      </c>
      <c r="Z30" s="44">
        <f t="shared" si="4"/>
        <v>2.9784210526315791E-2</v>
      </c>
      <c r="AA30" s="44">
        <f t="shared" si="4"/>
        <v>2.9784210526315791E-2</v>
      </c>
      <c r="AB30" s="44">
        <f t="shared" si="4"/>
        <v>2.9784210526315791E-2</v>
      </c>
      <c r="AC30" s="44">
        <f t="shared" si="4"/>
        <v>2.9784210526315791E-2</v>
      </c>
      <c r="AD30" s="44">
        <f t="shared" si="4"/>
        <v>2.9784210526315791E-2</v>
      </c>
      <c r="AE30" s="44">
        <f t="shared" si="4"/>
        <v>2.9784210526315791E-2</v>
      </c>
      <c r="AF30" s="44">
        <f t="shared" si="4"/>
        <v>2.9784210526315791E-2</v>
      </c>
    </row>
    <row r="31" spans="1:32" x14ac:dyDescent="0.45">
      <c r="A31" s="3" t="s">
        <v>27</v>
      </c>
      <c r="B31" s="10">
        <f>AVERAGE('OECD Transport Retail Food'!$C$29:$AE$29)/100</f>
        <v>2.9784210526315791E-2</v>
      </c>
      <c r="C31" s="44">
        <f t="shared" si="1"/>
        <v>2.9784210526315791E-2</v>
      </c>
      <c r="D31" s="44">
        <f t="shared" si="4"/>
        <v>2.9784210526315791E-2</v>
      </c>
      <c r="E31" s="44">
        <f t="shared" si="4"/>
        <v>2.9784210526315791E-2</v>
      </c>
      <c r="F31" s="44">
        <f t="shared" si="4"/>
        <v>2.9784210526315791E-2</v>
      </c>
      <c r="G31" s="44">
        <f t="shared" si="4"/>
        <v>2.9784210526315791E-2</v>
      </c>
      <c r="H31" s="44">
        <f t="shared" si="4"/>
        <v>2.9784210526315791E-2</v>
      </c>
      <c r="I31" s="44">
        <f t="shared" si="4"/>
        <v>2.9784210526315791E-2</v>
      </c>
      <c r="J31" s="44">
        <f t="shared" si="4"/>
        <v>2.9784210526315791E-2</v>
      </c>
      <c r="K31" s="44">
        <f t="shared" si="4"/>
        <v>2.9784210526315791E-2</v>
      </c>
      <c r="L31" s="44">
        <f t="shared" si="4"/>
        <v>2.9784210526315791E-2</v>
      </c>
      <c r="M31" s="44">
        <f t="shared" si="4"/>
        <v>2.9784210526315791E-2</v>
      </c>
      <c r="N31" s="44">
        <f t="shared" si="4"/>
        <v>2.9784210526315791E-2</v>
      </c>
      <c r="O31" s="44">
        <f t="shared" si="4"/>
        <v>2.9784210526315791E-2</v>
      </c>
      <c r="P31" s="44">
        <f t="shared" si="4"/>
        <v>2.9784210526315791E-2</v>
      </c>
      <c r="Q31" s="44">
        <f t="shared" si="4"/>
        <v>2.9784210526315791E-2</v>
      </c>
      <c r="R31" s="44">
        <f t="shared" si="4"/>
        <v>2.9784210526315791E-2</v>
      </c>
      <c r="S31" s="44">
        <f t="shared" si="4"/>
        <v>2.9784210526315791E-2</v>
      </c>
      <c r="T31" s="44">
        <f t="shared" si="4"/>
        <v>2.9784210526315791E-2</v>
      </c>
      <c r="U31" s="44">
        <f t="shared" si="4"/>
        <v>2.9784210526315791E-2</v>
      </c>
      <c r="V31" s="44">
        <f t="shared" si="4"/>
        <v>2.9784210526315791E-2</v>
      </c>
      <c r="W31" s="44">
        <f t="shared" si="4"/>
        <v>2.9784210526315791E-2</v>
      </c>
      <c r="X31" s="44">
        <f t="shared" si="4"/>
        <v>2.9784210526315791E-2</v>
      </c>
      <c r="Y31" s="44">
        <f t="shared" si="4"/>
        <v>2.9784210526315791E-2</v>
      </c>
      <c r="Z31" s="44">
        <f t="shared" si="4"/>
        <v>2.9784210526315791E-2</v>
      </c>
      <c r="AA31" s="44">
        <f t="shared" si="4"/>
        <v>2.9784210526315791E-2</v>
      </c>
      <c r="AB31" s="44">
        <f t="shared" si="4"/>
        <v>2.9784210526315791E-2</v>
      </c>
      <c r="AC31" s="44">
        <f t="shared" si="4"/>
        <v>2.9784210526315791E-2</v>
      </c>
      <c r="AD31" s="44">
        <f t="shared" si="4"/>
        <v>2.9784210526315791E-2</v>
      </c>
      <c r="AE31" s="44">
        <f t="shared" si="4"/>
        <v>2.9784210526315791E-2</v>
      </c>
      <c r="AF31" s="44">
        <f t="shared" si="4"/>
        <v>2.9784210526315791E-2</v>
      </c>
    </row>
    <row r="32" spans="1:32" x14ac:dyDescent="0.45">
      <c r="A32" s="3" t="s">
        <v>28</v>
      </c>
      <c r="B32" s="10">
        <f>AVERAGE('OECD Transport Retail Food'!$C$29:$AE$29)/100</f>
        <v>2.9784210526315791E-2</v>
      </c>
      <c r="C32" s="44">
        <f t="shared" si="1"/>
        <v>2.9784210526315791E-2</v>
      </c>
      <c r="D32" s="44">
        <f t="shared" si="4"/>
        <v>2.9784210526315791E-2</v>
      </c>
      <c r="E32" s="44">
        <f t="shared" si="4"/>
        <v>2.9784210526315791E-2</v>
      </c>
      <c r="F32" s="44">
        <f t="shared" si="4"/>
        <v>2.9784210526315791E-2</v>
      </c>
      <c r="G32" s="44">
        <f t="shared" si="4"/>
        <v>2.9784210526315791E-2</v>
      </c>
      <c r="H32" s="44">
        <f t="shared" si="4"/>
        <v>2.9784210526315791E-2</v>
      </c>
      <c r="I32" s="44">
        <f t="shared" si="4"/>
        <v>2.9784210526315791E-2</v>
      </c>
      <c r="J32" s="44">
        <f t="shared" si="4"/>
        <v>2.9784210526315791E-2</v>
      </c>
      <c r="K32" s="44">
        <f t="shared" si="4"/>
        <v>2.9784210526315791E-2</v>
      </c>
      <c r="L32" s="44">
        <f t="shared" si="4"/>
        <v>2.9784210526315791E-2</v>
      </c>
      <c r="M32" s="44">
        <f t="shared" si="4"/>
        <v>2.9784210526315791E-2</v>
      </c>
      <c r="N32" s="44">
        <f t="shared" si="4"/>
        <v>2.9784210526315791E-2</v>
      </c>
      <c r="O32" s="44">
        <f t="shared" si="4"/>
        <v>2.9784210526315791E-2</v>
      </c>
      <c r="P32" s="44">
        <f t="shared" si="4"/>
        <v>2.9784210526315791E-2</v>
      </c>
      <c r="Q32" s="44">
        <f t="shared" si="4"/>
        <v>2.9784210526315791E-2</v>
      </c>
      <c r="R32" s="44">
        <f t="shared" si="4"/>
        <v>2.9784210526315791E-2</v>
      </c>
      <c r="S32" s="44">
        <f t="shared" si="4"/>
        <v>2.9784210526315791E-2</v>
      </c>
      <c r="T32" s="44">
        <f t="shared" si="4"/>
        <v>2.9784210526315791E-2</v>
      </c>
      <c r="U32" s="44">
        <f t="shared" si="4"/>
        <v>2.9784210526315791E-2</v>
      </c>
      <c r="V32" s="44">
        <f t="shared" si="4"/>
        <v>2.9784210526315791E-2</v>
      </c>
      <c r="W32" s="44">
        <f t="shared" si="4"/>
        <v>2.9784210526315791E-2</v>
      </c>
      <c r="X32" s="44">
        <f t="shared" si="4"/>
        <v>2.9784210526315791E-2</v>
      </c>
      <c r="Y32" s="44">
        <f t="shared" si="4"/>
        <v>2.9784210526315791E-2</v>
      </c>
      <c r="Z32" s="44">
        <f t="shared" si="4"/>
        <v>2.9784210526315791E-2</v>
      </c>
      <c r="AA32" s="44">
        <f t="shared" si="4"/>
        <v>2.9784210526315791E-2</v>
      </c>
      <c r="AB32" s="44">
        <f t="shared" si="4"/>
        <v>2.9784210526315791E-2</v>
      </c>
      <c r="AC32" s="44">
        <f t="shared" si="4"/>
        <v>2.9784210526315791E-2</v>
      </c>
      <c r="AD32" s="44">
        <f t="shared" si="4"/>
        <v>2.9784210526315791E-2</v>
      </c>
      <c r="AE32" s="44">
        <f t="shared" si="4"/>
        <v>2.9784210526315791E-2</v>
      </c>
      <c r="AF32" s="44">
        <f t="shared" si="4"/>
        <v>2.9784210526315791E-2</v>
      </c>
    </row>
    <row r="33" spans="1:32" x14ac:dyDescent="0.45">
      <c r="A33" s="3" t="s">
        <v>29</v>
      </c>
      <c r="B33" s="10">
        <f>AVERAGE('OECD Info Comms'!$C$29:$AE$29)/100</f>
        <v>1.5594736842105264E-2</v>
      </c>
      <c r="C33" s="44">
        <f t="shared" si="1"/>
        <v>1.5594736842105264E-2</v>
      </c>
      <c r="D33" s="44">
        <f t="shared" si="4"/>
        <v>1.5594736842105264E-2</v>
      </c>
      <c r="E33" s="44">
        <f t="shared" si="4"/>
        <v>1.5594736842105264E-2</v>
      </c>
      <c r="F33" s="44">
        <f t="shared" si="4"/>
        <v>1.5594736842105264E-2</v>
      </c>
      <c r="G33" s="44">
        <f t="shared" si="4"/>
        <v>1.5594736842105264E-2</v>
      </c>
      <c r="H33" s="44">
        <f t="shared" si="4"/>
        <v>1.5594736842105264E-2</v>
      </c>
      <c r="I33" s="44">
        <f t="shared" si="4"/>
        <v>1.5594736842105264E-2</v>
      </c>
      <c r="J33" s="44">
        <f t="shared" si="4"/>
        <v>1.5594736842105264E-2</v>
      </c>
      <c r="K33" s="44">
        <f t="shared" si="4"/>
        <v>1.5594736842105264E-2</v>
      </c>
      <c r="L33" s="44">
        <f t="shared" si="4"/>
        <v>1.5594736842105264E-2</v>
      </c>
      <c r="M33" s="44">
        <f t="shared" si="4"/>
        <v>1.5594736842105264E-2</v>
      </c>
      <c r="N33" s="44">
        <f t="shared" si="4"/>
        <v>1.5594736842105264E-2</v>
      </c>
      <c r="O33" s="44">
        <f t="shared" si="4"/>
        <v>1.5594736842105264E-2</v>
      </c>
      <c r="P33" s="44">
        <f t="shared" si="4"/>
        <v>1.5594736842105264E-2</v>
      </c>
      <c r="Q33" s="44">
        <f t="shared" si="4"/>
        <v>1.5594736842105264E-2</v>
      </c>
      <c r="R33" s="44">
        <f t="shared" si="4"/>
        <v>1.5594736842105264E-2</v>
      </c>
      <c r="S33" s="44">
        <f t="shared" si="4"/>
        <v>1.5594736842105264E-2</v>
      </c>
      <c r="T33" s="44">
        <f t="shared" si="4"/>
        <v>1.5594736842105264E-2</v>
      </c>
      <c r="U33" s="44">
        <f t="shared" si="4"/>
        <v>1.5594736842105264E-2</v>
      </c>
      <c r="V33" s="44">
        <f t="shared" si="4"/>
        <v>1.5594736842105264E-2</v>
      </c>
      <c r="W33" s="44">
        <f t="shared" si="4"/>
        <v>1.5594736842105264E-2</v>
      </c>
      <c r="X33" s="44">
        <f t="shared" si="4"/>
        <v>1.5594736842105264E-2</v>
      </c>
      <c r="Y33" s="44">
        <f t="shared" si="4"/>
        <v>1.5594736842105264E-2</v>
      </c>
      <c r="Z33" s="44">
        <f t="shared" si="4"/>
        <v>1.5594736842105264E-2</v>
      </c>
      <c r="AA33" s="44">
        <f t="shared" si="4"/>
        <v>1.5594736842105264E-2</v>
      </c>
      <c r="AB33" s="44">
        <f t="shared" si="4"/>
        <v>1.5594736842105264E-2</v>
      </c>
      <c r="AC33" s="44">
        <f t="shared" si="4"/>
        <v>1.5594736842105264E-2</v>
      </c>
      <c r="AD33" s="44">
        <f t="shared" si="4"/>
        <v>1.5594736842105264E-2</v>
      </c>
      <c r="AE33" s="44">
        <f t="shared" si="4"/>
        <v>1.5594736842105264E-2</v>
      </c>
      <c r="AF33" s="44">
        <f t="shared" si="4"/>
        <v>1.5594736842105264E-2</v>
      </c>
    </row>
    <row r="34" spans="1:32" x14ac:dyDescent="0.45">
      <c r="A34" s="3" t="s">
        <v>30</v>
      </c>
      <c r="B34" s="10">
        <f>AVERAGE('OECD Info Comms'!$C$29:$AE$29)/100</f>
        <v>1.5594736842105264E-2</v>
      </c>
      <c r="C34" s="44">
        <f t="shared" si="1"/>
        <v>1.5594736842105264E-2</v>
      </c>
      <c r="D34" s="44">
        <f t="shared" si="4"/>
        <v>1.5594736842105264E-2</v>
      </c>
      <c r="E34" s="44">
        <f t="shared" si="4"/>
        <v>1.5594736842105264E-2</v>
      </c>
      <c r="F34" s="44">
        <f t="shared" si="4"/>
        <v>1.5594736842105264E-2</v>
      </c>
      <c r="G34" s="44">
        <f t="shared" si="4"/>
        <v>1.5594736842105264E-2</v>
      </c>
      <c r="H34" s="44">
        <f t="shared" si="4"/>
        <v>1.5594736842105264E-2</v>
      </c>
      <c r="I34" s="44">
        <f t="shared" si="4"/>
        <v>1.5594736842105264E-2</v>
      </c>
      <c r="J34" s="44">
        <f t="shared" si="4"/>
        <v>1.5594736842105264E-2</v>
      </c>
      <c r="K34" s="44">
        <f t="shared" si="4"/>
        <v>1.5594736842105264E-2</v>
      </c>
      <c r="L34" s="44">
        <f t="shared" si="4"/>
        <v>1.5594736842105264E-2</v>
      </c>
      <c r="M34" s="44">
        <f t="shared" si="4"/>
        <v>1.5594736842105264E-2</v>
      </c>
      <c r="N34" s="44">
        <f t="shared" si="4"/>
        <v>1.5594736842105264E-2</v>
      </c>
      <c r="O34" s="44">
        <f t="shared" si="4"/>
        <v>1.5594736842105264E-2</v>
      </c>
      <c r="P34" s="44">
        <f t="shared" si="4"/>
        <v>1.5594736842105264E-2</v>
      </c>
      <c r="Q34" s="44">
        <f t="shared" si="4"/>
        <v>1.5594736842105264E-2</v>
      </c>
      <c r="R34" s="44">
        <f t="shared" si="4"/>
        <v>1.5594736842105264E-2</v>
      </c>
      <c r="S34" s="44">
        <f t="shared" si="4"/>
        <v>1.5594736842105264E-2</v>
      </c>
      <c r="T34" s="44">
        <f t="shared" si="4"/>
        <v>1.5594736842105264E-2</v>
      </c>
      <c r="U34" s="44">
        <f t="shared" si="4"/>
        <v>1.5594736842105264E-2</v>
      </c>
      <c r="V34" s="44">
        <f t="shared" si="4"/>
        <v>1.5594736842105264E-2</v>
      </c>
      <c r="W34" s="44">
        <f t="shared" si="4"/>
        <v>1.5594736842105264E-2</v>
      </c>
      <c r="X34" s="44">
        <f t="shared" si="4"/>
        <v>1.5594736842105264E-2</v>
      </c>
      <c r="Y34" s="44">
        <f t="shared" si="4"/>
        <v>1.5594736842105264E-2</v>
      </c>
      <c r="Z34" s="44">
        <f t="shared" si="4"/>
        <v>1.5594736842105264E-2</v>
      </c>
      <c r="AA34" s="44">
        <f t="shared" si="4"/>
        <v>1.5594736842105264E-2</v>
      </c>
      <c r="AB34" s="44">
        <f t="shared" si="4"/>
        <v>1.5594736842105264E-2</v>
      </c>
      <c r="AC34" s="44">
        <f t="shared" si="4"/>
        <v>1.5594736842105264E-2</v>
      </c>
      <c r="AD34" s="44">
        <f t="shared" si="4"/>
        <v>1.5594736842105264E-2</v>
      </c>
      <c r="AE34" s="44">
        <f t="shared" si="4"/>
        <v>1.5594736842105264E-2</v>
      </c>
      <c r="AF34" s="44">
        <f t="shared" si="4"/>
        <v>1.5594736842105264E-2</v>
      </c>
    </row>
    <row r="35" spans="1:32" x14ac:dyDescent="0.45">
      <c r="A35" s="3" t="s">
        <v>31</v>
      </c>
      <c r="B35" s="10">
        <f>AVERAGE('OECD Info Comms'!$C$29:$AE$29)/100</f>
        <v>1.5594736842105264E-2</v>
      </c>
      <c r="C35" s="44">
        <f t="shared" si="1"/>
        <v>1.5594736842105264E-2</v>
      </c>
      <c r="D35" s="44">
        <f t="shared" si="4"/>
        <v>1.5594736842105264E-2</v>
      </c>
      <c r="E35" s="44">
        <f t="shared" si="4"/>
        <v>1.5594736842105264E-2</v>
      </c>
      <c r="F35" s="44">
        <f t="shared" si="4"/>
        <v>1.5594736842105264E-2</v>
      </c>
      <c r="G35" s="44">
        <f t="shared" si="4"/>
        <v>1.5594736842105264E-2</v>
      </c>
      <c r="H35" s="44">
        <f t="shared" si="4"/>
        <v>1.5594736842105264E-2</v>
      </c>
      <c r="I35" s="44">
        <f t="shared" si="4"/>
        <v>1.5594736842105264E-2</v>
      </c>
      <c r="J35" s="44">
        <f t="shared" si="4"/>
        <v>1.5594736842105264E-2</v>
      </c>
      <c r="K35" s="44">
        <f t="shared" si="4"/>
        <v>1.5594736842105264E-2</v>
      </c>
      <c r="L35" s="44">
        <f t="shared" si="4"/>
        <v>1.5594736842105264E-2</v>
      </c>
      <c r="M35" s="44">
        <f t="shared" si="4"/>
        <v>1.5594736842105264E-2</v>
      </c>
      <c r="N35" s="44">
        <f t="shared" si="4"/>
        <v>1.5594736842105264E-2</v>
      </c>
      <c r="O35" s="44">
        <f t="shared" si="4"/>
        <v>1.5594736842105264E-2</v>
      </c>
      <c r="P35" s="44">
        <f t="shared" si="4"/>
        <v>1.5594736842105264E-2</v>
      </c>
      <c r="Q35" s="44">
        <f t="shared" si="4"/>
        <v>1.5594736842105264E-2</v>
      </c>
      <c r="R35" s="44">
        <f t="shared" si="4"/>
        <v>1.5594736842105264E-2</v>
      </c>
      <c r="S35" s="44">
        <f t="shared" si="4"/>
        <v>1.5594736842105264E-2</v>
      </c>
      <c r="T35" s="44">
        <f t="shared" si="4"/>
        <v>1.5594736842105264E-2</v>
      </c>
      <c r="U35" s="44">
        <f t="shared" si="4"/>
        <v>1.5594736842105264E-2</v>
      </c>
      <c r="V35" s="44">
        <f t="shared" si="4"/>
        <v>1.5594736842105264E-2</v>
      </c>
      <c r="W35" s="44">
        <f t="shared" si="4"/>
        <v>1.5594736842105264E-2</v>
      </c>
      <c r="X35" s="44">
        <f t="shared" si="4"/>
        <v>1.5594736842105264E-2</v>
      </c>
      <c r="Y35" s="44">
        <f t="shared" si="4"/>
        <v>1.5594736842105264E-2</v>
      </c>
      <c r="Z35" s="44">
        <f t="shared" si="4"/>
        <v>1.5594736842105264E-2</v>
      </c>
      <c r="AA35" s="44">
        <f t="shared" si="4"/>
        <v>1.5594736842105264E-2</v>
      </c>
      <c r="AB35" s="44">
        <f t="shared" si="4"/>
        <v>1.5594736842105264E-2</v>
      </c>
      <c r="AC35" s="44">
        <f t="shared" si="4"/>
        <v>1.5594736842105264E-2</v>
      </c>
      <c r="AD35" s="44">
        <f t="shared" si="4"/>
        <v>1.5594736842105264E-2</v>
      </c>
      <c r="AE35" s="44">
        <f t="shared" si="4"/>
        <v>1.5594736842105264E-2</v>
      </c>
      <c r="AF35" s="44">
        <f t="shared" si="4"/>
        <v>1.5594736842105264E-2</v>
      </c>
    </row>
    <row r="36" spans="1:32" x14ac:dyDescent="0.45">
      <c r="A36" s="3" t="s">
        <v>32</v>
      </c>
      <c r="B36" s="10">
        <f>AVERAGE('OECD Finance Insurance'!$C$29:$AE$29)/100</f>
        <v>4.9631578947368415E-2</v>
      </c>
      <c r="C36" s="44">
        <f t="shared" si="1"/>
        <v>4.9631578947368415E-2</v>
      </c>
      <c r="D36" s="44">
        <f t="shared" si="4"/>
        <v>4.9631578947368415E-2</v>
      </c>
      <c r="E36" s="44">
        <f t="shared" si="4"/>
        <v>4.9631578947368415E-2</v>
      </c>
      <c r="F36" s="44">
        <f t="shared" si="4"/>
        <v>4.9631578947368415E-2</v>
      </c>
      <c r="G36" s="44">
        <f t="shared" si="4"/>
        <v>4.9631578947368415E-2</v>
      </c>
      <c r="H36" s="44">
        <f t="shared" si="4"/>
        <v>4.9631578947368415E-2</v>
      </c>
      <c r="I36" s="44">
        <f t="shared" si="4"/>
        <v>4.9631578947368415E-2</v>
      </c>
      <c r="J36" s="44">
        <f t="shared" si="4"/>
        <v>4.9631578947368415E-2</v>
      </c>
      <c r="K36" s="44">
        <f t="shared" si="4"/>
        <v>4.9631578947368415E-2</v>
      </c>
      <c r="L36" s="44">
        <f t="shared" si="4"/>
        <v>4.9631578947368415E-2</v>
      </c>
      <c r="M36" s="44">
        <f t="shared" si="4"/>
        <v>4.9631578947368415E-2</v>
      </c>
      <c r="N36" s="44">
        <f t="shared" si="4"/>
        <v>4.9631578947368415E-2</v>
      </c>
      <c r="O36" s="44">
        <f t="shared" si="4"/>
        <v>4.9631578947368415E-2</v>
      </c>
      <c r="P36" s="44">
        <f t="shared" si="4"/>
        <v>4.9631578947368415E-2</v>
      </c>
      <c r="Q36" s="44">
        <f t="shared" si="4"/>
        <v>4.9631578947368415E-2</v>
      </c>
      <c r="R36" s="44">
        <f t="shared" si="4"/>
        <v>4.9631578947368415E-2</v>
      </c>
      <c r="S36" s="44">
        <f t="shared" si="4"/>
        <v>4.9631578947368415E-2</v>
      </c>
      <c r="T36" s="44">
        <f t="shared" si="4"/>
        <v>4.9631578947368415E-2</v>
      </c>
      <c r="U36" s="44">
        <f t="shared" si="4"/>
        <v>4.9631578947368415E-2</v>
      </c>
      <c r="V36" s="44">
        <f t="shared" si="4"/>
        <v>4.9631578947368415E-2</v>
      </c>
      <c r="W36" s="44">
        <f t="shared" si="4"/>
        <v>4.9631578947368415E-2</v>
      </c>
      <c r="X36" s="44">
        <f t="shared" si="4"/>
        <v>4.9631578947368415E-2</v>
      </c>
      <c r="Y36" s="44">
        <f t="shared" si="4"/>
        <v>4.9631578947368415E-2</v>
      </c>
      <c r="Z36" s="44">
        <f t="shared" si="4"/>
        <v>4.9631578947368415E-2</v>
      </c>
      <c r="AA36" s="44">
        <f t="shared" si="4"/>
        <v>4.9631578947368415E-2</v>
      </c>
      <c r="AB36" s="44">
        <f t="shared" si="4"/>
        <v>4.9631578947368415E-2</v>
      </c>
      <c r="AC36" s="44">
        <f t="shared" si="4"/>
        <v>4.9631578947368415E-2</v>
      </c>
      <c r="AD36" s="44">
        <f t="shared" si="4"/>
        <v>4.9631578947368415E-2</v>
      </c>
      <c r="AE36" s="44">
        <f t="shared" si="4"/>
        <v>4.9631578947368415E-2</v>
      </c>
      <c r="AF36" s="44">
        <f t="shared" si="4"/>
        <v>4.9631578947368415E-2</v>
      </c>
    </row>
    <row r="37" spans="1:32" x14ac:dyDescent="0.45">
      <c r="A37" s="3" t="s">
        <v>33</v>
      </c>
      <c r="B37" s="10">
        <f>AVERAGE('OECD Finance Insurance'!$C$29:$AE$29)/100</f>
        <v>4.9631578947368415E-2</v>
      </c>
      <c r="C37" s="44">
        <f t="shared" si="1"/>
        <v>4.9631578947368415E-2</v>
      </c>
      <c r="D37" s="44">
        <f t="shared" si="4"/>
        <v>4.9631578947368415E-2</v>
      </c>
      <c r="E37" s="44">
        <f t="shared" si="4"/>
        <v>4.9631578947368415E-2</v>
      </c>
      <c r="F37" s="44">
        <f t="shared" si="4"/>
        <v>4.9631578947368415E-2</v>
      </c>
      <c r="G37" s="44">
        <f t="shared" si="4"/>
        <v>4.9631578947368415E-2</v>
      </c>
      <c r="H37" s="44">
        <f t="shared" si="4"/>
        <v>4.9631578947368415E-2</v>
      </c>
      <c r="I37" s="44">
        <f t="shared" si="4"/>
        <v>4.9631578947368415E-2</v>
      </c>
      <c r="J37" s="44">
        <f t="shared" si="4"/>
        <v>4.9631578947368415E-2</v>
      </c>
      <c r="K37" s="44">
        <f t="shared" si="4"/>
        <v>4.9631578947368415E-2</v>
      </c>
      <c r="L37" s="44">
        <f t="shared" si="4"/>
        <v>4.9631578947368415E-2</v>
      </c>
      <c r="M37" s="44">
        <f t="shared" si="4"/>
        <v>4.9631578947368415E-2</v>
      </c>
      <c r="N37" s="44">
        <f t="shared" si="4"/>
        <v>4.9631578947368415E-2</v>
      </c>
      <c r="O37" s="44">
        <f t="shared" si="4"/>
        <v>4.9631578947368415E-2</v>
      </c>
      <c r="P37" s="44">
        <f t="shared" si="4"/>
        <v>4.9631578947368415E-2</v>
      </c>
      <c r="Q37" s="44">
        <f t="shared" si="4"/>
        <v>4.9631578947368415E-2</v>
      </c>
      <c r="R37" s="44">
        <f t="shared" si="4"/>
        <v>4.9631578947368415E-2</v>
      </c>
      <c r="S37" s="44">
        <f t="shared" si="4"/>
        <v>4.9631578947368415E-2</v>
      </c>
      <c r="T37" s="44">
        <f t="shared" si="4"/>
        <v>4.9631578947368415E-2</v>
      </c>
      <c r="U37" s="44">
        <f t="shared" si="4"/>
        <v>4.9631578947368415E-2</v>
      </c>
      <c r="V37" s="44">
        <f t="shared" si="4"/>
        <v>4.9631578947368415E-2</v>
      </c>
      <c r="W37" s="44">
        <f t="shared" si="4"/>
        <v>4.9631578947368415E-2</v>
      </c>
      <c r="X37" s="44">
        <f t="shared" ref="D37:AF43" si="5">W37</f>
        <v>4.9631578947368415E-2</v>
      </c>
      <c r="Y37" s="44">
        <f t="shared" si="5"/>
        <v>4.9631578947368415E-2</v>
      </c>
      <c r="Z37" s="44">
        <f t="shared" si="5"/>
        <v>4.9631578947368415E-2</v>
      </c>
      <c r="AA37" s="44">
        <f t="shared" si="5"/>
        <v>4.9631578947368415E-2</v>
      </c>
      <c r="AB37" s="44">
        <f t="shared" si="5"/>
        <v>4.9631578947368415E-2</v>
      </c>
      <c r="AC37" s="44">
        <f t="shared" si="5"/>
        <v>4.9631578947368415E-2</v>
      </c>
      <c r="AD37" s="44">
        <f t="shared" si="5"/>
        <v>4.9631578947368415E-2</v>
      </c>
      <c r="AE37" s="44">
        <f t="shared" si="5"/>
        <v>4.9631578947368415E-2</v>
      </c>
      <c r="AF37" s="44">
        <f t="shared" si="5"/>
        <v>4.9631578947368415E-2</v>
      </c>
    </row>
    <row r="38" spans="1:32" x14ac:dyDescent="0.45">
      <c r="A38" s="3" t="s">
        <v>34</v>
      </c>
      <c r="B38" s="10">
        <f>AVERAGE('OECD Finance Insurance'!$C$29:$AE$29)/100</f>
        <v>4.9631578947368415E-2</v>
      </c>
      <c r="C38" s="44">
        <f t="shared" si="1"/>
        <v>4.9631578947368415E-2</v>
      </c>
      <c r="D38" s="44">
        <f t="shared" si="5"/>
        <v>4.9631578947368415E-2</v>
      </c>
      <c r="E38" s="44">
        <f t="shared" si="5"/>
        <v>4.9631578947368415E-2</v>
      </c>
      <c r="F38" s="44">
        <f t="shared" si="5"/>
        <v>4.9631578947368415E-2</v>
      </c>
      <c r="G38" s="44">
        <f t="shared" si="5"/>
        <v>4.9631578947368415E-2</v>
      </c>
      <c r="H38" s="44">
        <f t="shared" si="5"/>
        <v>4.9631578947368415E-2</v>
      </c>
      <c r="I38" s="44">
        <f t="shared" si="5"/>
        <v>4.9631578947368415E-2</v>
      </c>
      <c r="J38" s="44">
        <f t="shared" si="5"/>
        <v>4.9631578947368415E-2</v>
      </c>
      <c r="K38" s="44">
        <f t="shared" si="5"/>
        <v>4.9631578947368415E-2</v>
      </c>
      <c r="L38" s="44">
        <f t="shared" si="5"/>
        <v>4.9631578947368415E-2</v>
      </c>
      <c r="M38" s="44">
        <f t="shared" si="5"/>
        <v>4.9631578947368415E-2</v>
      </c>
      <c r="N38" s="44">
        <f t="shared" si="5"/>
        <v>4.9631578947368415E-2</v>
      </c>
      <c r="O38" s="44">
        <f t="shared" si="5"/>
        <v>4.9631578947368415E-2</v>
      </c>
      <c r="P38" s="44">
        <f t="shared" si="5"/>
        <v>4.9631578947368415E-2</v>
      </c>
      <c r="Q38" s="44">
        <f t="shared" si="5"/>
        <v>4.9631578947368415E-2</v>
      </c>
      <c r="R38" s="44">
        <f t="shared" si="5"/>
        <v>4.9631578947368415E-2</v>
      </c>
      <c r="S38" s="44">
        <f t="shared" si="5"/>
        <v>4.9631578947368415E-2</v>
      </c>
      <c r="T38" s="44">
        <f t="shared" si="5"/>
        <v>4.9631578947368415E-2</v>
      </c>
      <c r="U38" s="44">
        <f t="shared" si="5"/>
        <v>4.9631578947368415E-2</v>
      </c>
      <c r="V38" s="44">
        <f t="shared" si="5"/>
        <v>4.9631578947368415E-2</v>
      </c>
      <c r="W38" s="44">
        <f t="shared" si="5"/>
        <v>4.9631578947368415E-2</v>
      </c>
      <c r="X38" s="44">
        <f t="shared" si="5"/>
        <v>4.9631578947368415E-2</v>
      </c>
      <c r="Y38" s="44">
        <f t="shared" si="5"/>
        <v>4.9631578947368415E-2</v>
      </c>
      <c r="Z38" s="44">
        <f t="shared" si="5"/>
        <v>4.9631578947368415E-2</v>
      </c>
      <c r="AA38" s="44">
        <f t="shared" si="5"/>
        <v>4.9631578947368415E-2</v>
      </c>
      <c r="AB38" s="44">
        <f t="shared" si="5"/>
        <v>4.9631578947368415E-2</v>
      </c>
      <c r="AC38" s="44">
        <f t="shared" si="5"/>
        <v>4.9631578947368415E-2</v>
      </c>
      <c r="AD38" s="44">
        <f t="shared" si="5"/>
        <v>4.9631578947368415E-2</v>
      </c>
      <c r="AE38" s="44">
        <f t="shared" si="5"/>
        <v>4.9631578947368415E-2</v>
      </c>
      <c r="AF38" s="44">
        <f t="shared" si="5"/>
        <v>4.9631578947368415E-2</v>
      </c>
    </row>
    <row r="39" spans="1:32" x14ac:dyDescent="0.45">
      <c r="A39" s="3" t="s">
        <v>35</v>
      </c>
      <c r="B39" s="10">
        <f>AVERAGE('OECD Prof Tech Admin'!$C$29:$AE$29)/100</f>
        <v>-3.7368421052631551E-4</v>
      </c>
      <c r="C39" s="44">
        <f t="shared" si="1"/>
        <v>-3.7368421052631551E-4</v>
      </c>
      <c r="D39" s="44">
        <f t="shared" si="5"/>
        <v>-3.7368421052631551E-4</v>
      </c>
      <c r="E39" s="44">
        <f t="shared" si="5"/>
        <v>-3.7368421052631551E-4</v>
      </c>
      <c r="F39" s="44">
        <f t="shared" si="5"/>
        <v>-3.7368421052631551E-4</v>
      </c>
      <c r="G39" s="44">
        <f t="shared" si="5"/>
        <v>-3.7368421052631551E-4</v>
      </c>
      <c r="H39" s="44">
        <f t="shared" si="5"/>
        <v>-3.7368421052631551E-4</v>
      </c>
      <c r="I39" s="44">
        <f t="shared" si="5"/>
        <v>-3.7368421052631551E-4</v>
      </c>
      <c r="J39" s="44">
        <f t="shared" si="5"/>
        <v>-3.7368421052631551E-4</v>
      </c>
      <c r="K39" s="44">
        <f t="shared" si="5"/>
        <v>-3.7368421052631551E-4</v>
      </c>
      <c r="L39" s="44">
        <f t="shared" si="5"/>
        <v>-3.7368421052631551E-4</v>
      </c>
      <c r="M39" s="44">
        <f t="shared" si="5"/>
        <v>-3.7368421052631551E-4</v>
      </c>
      <c r="N39" s="44">
        <f t="shared" si="5"/>
        <v>-3.7368421052631551E-4</v>
      </c>
      <c r="O39" s="44">
        <f t="shared" si="5"/>
        <v>-3.7368421052631551E-4</v>
      </c>
      <c r="P39" s="44">
        <f t="shared" si="5"/>
        <v>-3.7368421052631551E-4</v>
      </c>
      <c r="Q39" s="44">
        <f t="shared" si="5"/>
        <v>-3.7368421052631551E-4</v>
      </c>
      <c r="R39" s="44">
        <f t="shared" si="5"/>
        <v>-3.7368421052631551E-4</v>
      </c>
      <c r="S39" s="44">
        <f t="shared" si="5"/>
        <v>-3.7368421052631551E-4</v>
      </c>
      <c r="T39" s="44">
        <f t="shared" si="5"/>
        <v>-3.7368421052631551E-4</v>
      </c>
      <c r="U39" s="44">
        <f t="shared" si="5"/>
        <v>-3.7368421052631551E-4</v>
      </c>
      <c r="V39" s="44">
        <f t="shared" si="5"/>
        <v>-3.7368421052631551E-4</v>
      </c>
      <c r="W39" s="44">
        <f t="shared" si="5"/>
        <v>-3.7368421052631551E-4</v>
      </c>
      <c r="X39" s="44">
        <f t="shared" si="5"/>
        <v>-3.7368421052631551E-4</v>
      </c>
      <c r="Y39" s="44">
        <f t="shared" si="5"/>
        <v>-3.7368421052631551E-4</v>
      </c>
      <c r="Z39" s="44">
        <f t="shared" si="5"/>
        <v>-3.7368421052631551E-4</v>
      </c>
      <c r="AA39" s="44">
        <f t="shared" si="5"/>
        <v>-3.7368421052631551E-4</v>
      </c>
      <c r="AB39" s="44">
        <f t="shared" si="5"/>
        <v>-3.7368421052631551E-4</v>
      </c>
      <c r="AC39" s="44">
        <f t="shared" si="5"/>
        <v>-3.7368421052631551E-4</v>
      </c>
      <c r="AD39" s="44">
        <f t="shared" si="5"/>
        <v>-3.7368421052631551E-4</v>
      </c>
      <c r="AE39" s="44">
        <f t="shared" si="5"/>
        <v>-3.7368421052631551E-4</v>
      </c>
      <c r="AF39" s="44">
        <f t="shared" si="5"/>
        <v>-3.7368421052631551E-4</v>
      </c>
    </row>
    <row r="40" spans="1:32" x14ac:dyDescent="0.45">
      <c r="A40" s="3" t="s">
        <v>36</v>
      </c>
      <c r="B40" s="10">
        <f>AVERAGE('OECD Prof Tech Admin'!$C$29:$AE$29)/100</f>
        <v>-3.7368421052631551E-4</v>
      </c>
      <c r="C40" s="44">
        <f t="shared" si="1"/>
        <v>-3.7368421052631551E-4</v>
      </c>
      <c r="D40" s="44">
        <f t="shared" si="5"/>
        <v>-3.7368421052631551E-4</v>
      </c>
      <c r="E40" s="44">
        <f t="shared" si="5"/>
        <v>-3.7368421052631551E-4</v>
      </c>
      <c r="F40" s="44">
        <f t="shared" si="5"/>
        <v>-3.7368421052631551E-4</v>
      </c>
      <c r="G40" s="44">
        <f t="shared" si="5"/>
        <v>-3.7368421052631551E-4</v>
      </c>
      <c r="H40" s="44">
        <f t="shared" si="5"/>
        <v>-3.7368421052631551E-4</v>
      </c>
      <c r="I40" s="44">
        <f t="shared" si="5"/>
        <v>-3.7368421052631551E-4</v>
      </c>
      <c r="J40" s="44">
        <f t="shared" si="5"/>
        <v>-3.7368421052631551E-4</v>
      </c>
      <c r="K40" s="44">
        <f t="shared" si="5"/>
        <v>-3.7368421052631551E-4</v>
      </c>
      <c r="L40" s="44">
        <f t="shared" si="5"/>
        <v>-3.7368421052631551E-4</v>
      </c>
      <c r="M40" s="44">
        <f t="shared" si="5"/>
        <v>-3.7368421052631551E-4</v>
      </c>
      <c r="N40" s="44">
        <f t="shared" si="5"/>
        <v>-3.7368421052631551E-4</v>
      </c>
      <c r="O40" s="44">
        <f t="shared" si="5"/>
        <v>-3.7368421052631551E-4</v>
      </c>
      <c r="P40" s="44">
        <f t="shared" si="5"/>
        <v>-3.7368421052631551E-4</v>
      </c>
      <c r="Q40" s="44">
        <f t="shared" si="5"/>
        <v>-3.7368421052631551E-4</v>
      </c>
      <c r="R40" s="44">
        <f t="shared" si="5"/>
        <v>-3.7368421052631551E-4</v>
      </c>
      <c r="S40" s="44">
        <f t="shared" si="5"/>
        <v>-3.7368421052631551E-4</v>
      </c>
      <c r="T40" s="44">
        <f t="shared" si="5"/>
        <v>-3.7368421052631551E-4</v>
      </c>
      <c r="U40" s="44">
        <f t="shared" si="5"/>
        <v>-3.7368421052631551E-4</v>
      </c>
      <c r="V40" s="44">
        <f t="shared" si="5"/>
        <v>-3.7368421052631551E-4</v>
      </c>
      <c r="W40" s="44">
        <f t="shared" si="5"/>
        <v>-3.7368421052631551E-4</v>
      </c>
      <c r="X40" s="44">
        <f t="shared" si="5"/>
        <v>-3.7368421052631551E-4</v>
      </c>
      <c r="Y40" s="44">
        <f t="shared" si="5"/>
        <v>-3.7368421052631551E-4</v>
      </c>
      <c r="Z40" s="44">
        <f t="shared" si="5"/>
        <v>-3.7368421052631551E-4</v>
      </c>
      <c r="AA40" s="44">
        <f t="shared" si="5"/>
        <v>-3.7368421052631551E-4</v>
      </c>
      <c r="AB40" s="44">
        <f t="shared" si="5"/>
        <v>-3.7368421052631551E-4</v>
      </c>
      <c r="AC40" s="44">
        <f t="shared" si="5"/>
        <v>-3.7368421052631551E-4</v>
      </c>
      <c r="AD40" s="44">
        <f t="shared" si="5"/>
        <v>-3.7368421052631551E-4</v>
      </c>
      <c r="AE40" s="44">
        <f t="shared" si="5"/>
        <v>-3.7368421052631551E-4</v>
      </c>
      <c r="AF40" s="44">
        <f t="shared" si="5"/>
        <v>-3.7368421052631551E-4</v>
      </c>
    </row>
    <row r="41" spans="1:32" x14ac:dyDescent="0.45">
      <c r="A41" s="3" t="s">
        <v>37</v>
      </c>
      <c r="B41" s="10">
        <f>AVERAGE('OECD Prof Tech Admin'!$C$29:$AE$29)/100</f>
        <v>-3.7368421052631551E-4</v>
      </c>
      <c r="C41" s="44">
        <f t="shared" si="1"/>
        <v>-3.7368421052631551E-4</v>
      </c>
      <c r="D41" s="44">
        <f t="shared" si="5"/>
        <v>-3.7368421052631551E-4</v>
      </c>
      <c r="E41" s="44">
        <f t="shared" si="5"/>
        <v>-3.7368421052631551E-4</v>
      </c>
      <c r="F41" s="44">
        <f t="shared" si="5"/>
        <v>-3.7368421052631551E-4</v>
      </c>
      <c r="G41" s="44">
        <f t="shared" si="5"/>
        <v>-3.7368421052631551E-4</v>
      </c>
      <c r="H41" s="44">
        <f t="shared" si="5"/>
        <v>-3.7368421052631551E-4</v>
      </c>
      <c r="I41" s="44">
        <f t="shared" si="5"/>
        <v>-3.7368421052631551E-4</v>
      </c>
      <c r="J41" s="44">
        <f t="shared" si="5"/>
        <v>-3.7368421052631551E-4</v>
      </c>
      <c r="K41" s="44">
        <f t="shared" si="5"/>
        <v>-3.7368421052631551E-4</v>
      </c>
      <c r="L41" s="44">
        <f t="shared" si="5"/>
        <v>-3.7368421052631551E-4</v>
      </c>
      <c r="M41" s="44">
        <f t="shared" si="5"/>
        <v>-3.7368421052631551E-4</v>
      </c>
      <c r="N41" s="44">
        <f t="shared" si="5"/>
        <v>-3.7368421052631551E-4</v>
      </c>
      <c r="O41" s="44">
        <f t="shared" si="5"/>
        <v>-3.7368421052631551E-4</v>
      </c>
      <c r="P41" s="44">
        <f t="shared" si="5"/>
        <v>-3.7368421052631551E-4</v>
      </c>
      <c r="Q41" s="44">
        <f t="shared" si="5"/>
        <v>-3.7368421052631551E-4</v>
      </c>
      <c r="R41" s="44">
        <f t="shared" si="5"/>
        <v>-3.7368421052631551E-4</v>
      </c>
      <c r="S41" s="44">
        <f t="shared" si="5"/>
        <v>-3.7368421052631551E-4</v>
      </c>
      <c r="T41" s="44">
        <f t="shared" si="5"/>
        <v>-3.7368421052631551E-4</v>
      </c>
      <c r="U41" s="44">
        <f t="shared" si="5"/>
        <v>-3.7368421052631551E-4</v>
      </c>
      <c r="V41" s="44">
        <f t="shared" si="5"/>
        <v>-3.7368421052631551E-4</v>
      </c>
      <c r="W41" s="44">
        <f t="shared" si="5"/>
        <v>-3.7368421052631551E-4</v>
      </c>
      <c r="X41" s="44">
        <f t="shared" si="5"/>
        <v>-3.7368421052631551E-4</v>
      </c>
      <c r="Y41" s="44">
        <f t="shared" si="5"/>
        <v>-3.7368421052631551E-4</v>
      </c>
      <c r="Z41" s="44">
        <f t="shared" si="5"/>
        <v>-3.7368421052631551E-4</v>
      </c>
      <c r="AA41" s="44">
        <f t="shared" si="5"/>
        <v>-3.7368421052631551E-4</v>
      </c>
      <c r="AB41" s="44">
        <f t="shared" si="5"/>
        <v>-3.7368421052631551E-4</v>
      </c>
      <c r="AC41" s="44">
        <f t="shared" si="5"/>
        <v>-3.7368421052631551E-4</v>
      </c>
      <c r="AD41" s="44">
        <f t="shared" si="5"/>
        <v>-3.7368421052631551E-4</v>
      </c>
      <c r="AE41" s="44">
        <f t="shared" si="5"/>
        <v>-3.7368421052631551E-4</v>
      </c>
      <c r="AF41" s="44">
        <f t="shared" si="5"/>
        <v>-3.7368421052631551E-4</v>
      </c>
    </row>
    <row r="42" spans="1:32" x14ac:dyDescent="0.45">
      <c r="A42" s="3" t="s">
        <v>38</v>
      </c>
      <c r="B42" s="10">
        <f>AVERAGE('OECD Prof Tech Admin'!$C$29:$AE$29)/100</f>
        <v>-3.7368421052631551E-4</v>
      </c>
      <c r="C42" s="44">
        <f t="shared" si="1"/>
        <v>-3.7368421052631551E-4</v>
      </c>
      <c r="D42" s="44">
        <f t="shared" si="5"/>
        <v>-3.7368421052631551E-4</v>
      </c>
      <c r="E42" s="44">
        <f t="shared" si="5"/>
        <v>-3.7368421052631551E-4</v>
      </c>
      <c r="F42" s="44">
        <f t="shared" si="5"/>
        <v>-3.7368421052631551E-4</v>
      </c>
      <c r="G42" s="44">
        <f t="shared" si="5"/>
        <v>-3.7368421052631551E-4</v>
      </c>
      <c r="H42" s="44">
        <f t="shared" si="5"/>
        <v>-3.7368421052631551E-4</v>
      </c>
      <c r="I42" s="44">
        <f t="shared" si="5"/>
        <v>-3.7368421052631551E-4</v>
      </c>
      <c r="J42" s="44">
        <f t="shared" si="5"/>
        <v>-3.7368421052631551E-4</v>
      </c>
      <c r="K42" s="44">
        <f t="shared" si="5"/>
        <v>-3.7368421052631551E-4</v>
      </c>
      <c r="L42" s="44">
        <f t="shared" si="5"/>
        <v>-3.7368421052631551E-4</v>
      </c>
      <c r="M42" s="44">
        <f t="shared" si="5"/>
        <v>-3.7368421052631551E-4</v>
      </c>
      <c r="N42" s="44">
        <f t="shared" si="5"/>
        <v>-3.7368421052631551E-4</v>
      </c>
      <c r="O42" s="44">
        <f t="shared" si="5"/>
        <v>-3.7368421052631551E-4</v>
      </c>
      <c r="P42" s="44">
        <f t="shared" si="5"/>
        <v>-3.7368421052631551E-4</v>
      </c>
      <c r="Q42" s="44">
        <f t="shared" si="5"/>
        <v>-3.7368421052631551E-4</v>
      </c>
      <c r="R42" s="44">
        <f t="shared" si="5"/>
        <v>-3.7368421052631551E-4</v>
      </c>
      <c r="S42" s="44">
        <f t="shared" si="5"/>
        <v>-3.7368421052631551E-4</v>
      </c>
      <c r="T42" s="44">
        <f t="shared" si="5"/>
        <v>-3.7368421052631551E-4</v>
      </c>
      <c r="U42" s="44">
        <f t="shared" si="5"/>
        <v>-3.7368421052631551E-4</v>
      </c>
      <c r="V42" s="44">
        <f t="shared" si="5"/>
        <v>-3.7368421052631551E-4</v>
      </c>
      <c r="W42" s="44">
        <f t="shared" si="5"/>
        <v>-3.7368421052631551E-4</v>
      </c>
      <c r="X42" s="44">
        <f t="shared" si="5"/>
        <v>-3.7368421052631551E-4</v>
      </c>
      <c r="Y42" s="44">
        <f t="shared" si="5"/>
        <v>-3.7368421052631551E-4</v>
      </c>
      <c r="Z42" s="44">
        <f t="shared" si="5"/>
        <v>-3.7368421052631551E-4</v>
      </c>
      <c r="AA42" s="44">
        <f t="shared" si="5"/>
        <v>-3.7368421052631551E-4</v>
      </c>
      <c r="AB42" s="44">
        <f t="shared" si="5"/>
        <v>-3.7368421052631551E-4</v>
      </c>
      <c r="AC42" s="44">
        <f t="shared" si="5"/>
        <v>-3.7368421052631551E-4</v>
      </c>
      <c r="AD42" s="44">
        <f t="shared" si="5"/>
        <v>-3.7368421052631551E-4</v>
      </c>
      <c r="AE42" s="44">
        <f t="shared" si="5"/>
        <v>-3.7368421052631551E-4</v>
      </c>
      <c r="AF42" s="44">
        <f t="shared" si="5"/>
        <v>-3.7368421052631551E-4</v>
      </c>
    </row>
    <row r="43" spans="1:32" x14ac:dyDescent="0.45">
      <c r="A43" s="3" t="s">
        <v>39</v>
      </c>
      <c r="B43" s="10">
        <v>0</v>
      </c>
      <c r="C43" s="44">
        <f t="shared" si="1"/>
        <v>0</v>
      </c>
      <c r="D43" s="44">
        <f t="shared" si="5"/>
        <v>0</v>
      </c>
      <c r="E43" s="44">
        <f t="shared" si="5"/>
        <v>0</v>
      </c>
      <c r="F43" s="44">
        <f t="shared" si="5"/>
        <v>0</v>
      </c>
      <c r="G43" s="44">
        <f t="shared" si="5"/>
        <v>0</v>
      </c>
      <c r="H43" s="44">
        <f t="shared" si="5"/>
        <v>0</v>
      </c>
      <c r="I43" s="44">
        <f t="shared" si="5"/>
        <v>0</v>
      </c>
      <c r="J43" s="44">
        <f t="shared" si="5"/>
        <v>0</v>
      </c>
      <c r="K43" s="44">
        <f t="shared" si="5"/>
        <v>0</v>
      </c>
      <c r="L43" s="44">
        <f t="shared" si="5"/>
        <v>0</v>
      </c>
      <c r="M43" s="44">
        <f t="shared" si="5"/>
        <v>0</v>
      </c>
      <c r="N43" s="44">
        <f t="shared" si="5"/>
        <v>0</v>
      </c>
      <c r="O43" s="44">
        <f t="shared" si="5"/>
        <v>0</v>
      </c>
      <c r="P43" s="44">
        <f t="shared" si="5"/>
        <v>0</v>
      </c>
      <c r="Q43" s="44">
        <f t="shared" si="5"/>
        <v>0</v>
      </c>
      <c r="R43" s="44">
        <f t="shared" si="5"/>
        <v>0</v>
      </c>
      <c r="S43" s="44">
        <f t="shared" si="5"/>
        <v>0</v>
      </c>
      <c r="T43" s="44">
        <f t="shared" si="5"/>
        <v>0</v>
      </c>
      <c r="U43" s="44">
        <f t="shared" si="5"/>
        <v>0</v>
      </c>
      <c r="V43" s="44">
        <f t="shared" si="5"/>
        <v>0</v>
      </c>
      <c r="W43" s="44">
        <f t="shared" si="5"/>
        <v>0</v>
      </c>
      <c r="X43" s="44">
        <f t="shared" si="5"/>
        <v>0</v>
      </c>
      <c r="Y43" s="44">
        <f t="shared" si="5"/>
        <v>0</v>
      </c>
      <c r="Z43" s="44">
        <f t="shared" si="5"/>
        <v>0</v>
      </c>
      <c r="AA43" s="44">
        <f t="shared" si="5"/>
        <v>0</v>
      </c>
      <c r="AB43" s="44">
        <f t="shared" si="5"/>
        <v>0</v>
      </c>
      <c r="AC43" s="44">
        <f t="shared" si="5"/>
        <v>0</v>
      </c>
      <c r="AD43" s="44">
        <f t="shared" si="5"/>
        <v>0</v>
      </c>
      <c r="AE43" s="44">
        <f t="shared" si="5"/>
        <v>0</v>
      </c>
      <c r="AF43" s="44">
        <f t="shared" si="5"/>
        <v>0</v>
      </c>
    </row>
  </sheetData>
  <phoneticPr fontId="11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10148FF-6CFF-488B-946D-094A6B7B2FF6}"/>
</file>

<file path=customXml/itemProps2.xml><?xml version="1.0" encoding="utf-8"?>
<ds:datastoreItem xmlns:ds="http://schemas.openxmlformats.org/officeDocument/2006/customXml" ds:itemID="{0E3730DE-5500-4E89-8429-D9CAC24674C0}"/>
</file>

<file path=customXml/itemProps3.xml><?xml version="1.0" encoding="utf-8"?>
<ds:datastoreItem xmlns:ds="http://schemas.openxmlformats.org/officeDocument/2006/customXml" ds:itemID="{D084D571-72B5-4857-B410-7C1E2FEAE15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About</vt:lpstr>
      <vt:lpstr>Key</vt:lpstr>
      <vt:lpstr>OECD Mining &amp; Utilities</vt:lpstr>
      <vt:lpstr>OECD Manufacturing</vt:lpstr>
      <vt:lpstr>OECD Transport Retail Food</vt:lpstr>
      <vt:lpstr>OECD Construction</vt:lpstr>
      <vt:lpstr>OECD Info Comms</vt:lpstr>
      <vt:lpstr>OECD Finance Insurance</vt:lpstr>
      <vt:lpstr>OECD Prof Tech Admin</vt:lpstr>
      <vt:lpstr>LPGRbIC_old</vt:lpstr>
      <vt:lpstr>LPGRbIC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공용계정2</cp:lastModifiedBy>
  <dcterms:created xsi:type="dcterms:W3CDTF">2019-12-02T22:49:06Z</dcterms:created>
  <dcterms:modified xsi:type="dcterms:W3CDTF">2025-03-09T07:41:25Z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