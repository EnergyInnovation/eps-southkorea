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rynna\Dropbox (CEA)\Energy Innovation IO\Deliverable IO files\South Korea\URPbIC\"/>
    </mc:Choice>
  </mc:AlternateContent>
  <xr:revisionPtr revIDLastSave="0" documentId="13_ncr:1_{2FE4E362-F9D8-480C-9E44-55F8BD9A9195}" xr6:coauthVersionLast="46" xr6:coauthVersionMax="46" xr10:uidLastSave="{00000000-0000-0000-0000-000000000000}"/>
  <bookViews>
    <workbookView xWindow="29145" yWindow="1500" windowWidth="21600" windowHeight="11385" activeTab="3" xr2:uid="{111598D9-CA0B-488C-B665-0CB52396764C}"/>
  </bookViews>
  <sheets>
    <sheet name="About" sheetId="2" r:id="rId1"/>
    <sheet name="Korea Labor Union Data 2017" sheetId="6" r:id="rId2"/>
    <sheet name="ISIC to BLS Map" sheetId="4" r:id="rId3"/>
    <sheet name="URPbIC" sheetId="3" r:id="rId4"/>
  </sheets>
  <definedNames>
    <definedName name="_IDX625" localSheetId="1">'Korea Labor Union Data 2017'!#REF!</definedName>
    <definedName name="_IDX626" localSheetId="1">'Korea Labor Union Data 2017'!#REF!</definedName>
    <definedName name="_IDX627" localSheetId="1">'Korea Labor Union Data 2017'!#REF!</definedName>
    <definedName name="_IDX628" localSheetId="1">'Korea Labor Union Data 2017'!#REF!</definedName>
    <definedName name="_IDX630" localSheetId="1">'Korea Labor Union Data 2017'!#REF!</definedName>
    <definedName name="_IDX631" localSheetId="1">'Korea Labor Union Data 2017'!#REF!</definedName>
    <definedName name="_IDX632" localSheetId="1">'Korea Labor Union Data 2017'!#REF!</definedName>
    <definedName name="_IDX633" localSheetId="1">'Korea Labor Union Data 2017'!#REF!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4" l="1"/>
  <c r="D9" i="4"/>
  <c r="D8" i="4"/>
  <c r="D42" i="4"/>
  <c r="D43" i="4"/>
  <c r="D6" i="4"/>
  <c r="D7" i="4"/>
  <c r="D11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2" i="4"/>
  <c r="C18" i="4"/>
  <c r="D18" i="4" s="1"/>
  <c r="C17" i="4"/>
  <c r="C16" i="4"/>
  <c r="D16" i="4" s="1"/>
  <c r="C15" i="4"/>
  <c r="D15" i="4" s="1"/>
  <c r="C14" i="4"/>
  <c r="D14" i="4" s="1"/>
  <c r="C13" i="4"/>
  <c r="D13" i="4" s="1"/>
  <c r="C12" i="4"/>
  <c r="D12" i="4" s="1"/>
  <c r="C6" i="4"/>
  <c r="C5" i="4"/>
  <c r="D5" i="4" s="1"/>
  <c r="C4" i="4"/>
  <c r="D4" i="4" s="1"/>
  <c r="C3" i="4"/>
  <c r="D3" i="4" s="1"/>
  <c r="C22" i="4" l="1"/>
  <c r="C23" i="4"/>
  <c r="C41" i="4"/>
  <c r="C35" i="4"/>
  <c r="C34" i="4"/>
  <c r="C33" i="4"/>
  <c r="C43" i="4"/>
  <c r="C42" i="4"/>
  <c r="C39" i="4"/>
  <c r="C40" i="4"/>
  <c r="C38" i="4"/>
  <c r="C37" i="4"/>
  <c r="C36" i="4"/>
  <c r="C32" i="4"/>
  <c r="C31" i="4"/>
  <c r="C30" i="4"/>
  <c r="C29" i="4"/>
  <c r="C28" i="4"/>
  <c r="C27" i="4"/>
  <c r="C26" i="4"/>
  <c r="C21" i="4"/>
  <c r="C25" i="4"/>
  <c r="C24" i="4"/>
  <c r="C20" i="4"/>
  <c r="C9" i="4"/>
  <c r="C7" i="4"/>
  <c r="C2" i="4"/>
  <c r="O90" i="6"/>
  <c r="O89" i="6"/>
  <c r="O93" i="6" s="1"/>
  <c r="B2" i="3" l="1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<sst xmlns="http://schemas.openxmlformats.org/spreadsheetml/2006/main" count="229" uniqueCount="167">
  <si>
    <t>URPbIC Union Representation Percentage by ISIC Code</t>
  </si>
  <si>
    <t>Source: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</si>
  <si>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</si>
  <si>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</si>
  <si>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</si>
  <si>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</si>
  <si>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</si>
  <si>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</si>
  <si>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</si>
  <si>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</si>
  <si>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</si>
  <si>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</si>
  <si>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</si>
  <si>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</si>
  <si>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</si>
  <si>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</si>
  <si>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</si>
  <si>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</si>
  <si>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</si>
  <si>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</si>
  <si>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</si>
  <si>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</si>
  <si>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</si>
  <si>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</si>
  <si>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</si>
  <si>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</si>
  <si>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</si>
  <si>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</si>
  <si>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</si>
  <si>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</si>
  <si>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</si>
  <si>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</si>
  <si>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</si>
  <si>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dimensionless (% of workers)</t>
  </si>
  <si>
    <t>Percent Union Representation</t>
  </si>
  <si>
    <t>ISIC 21</t>
  </si>
  <si>
    <t>ISIC 20</t>
  </si>
  <si>
    <t>ISIC 06</t>
  </si>
  <si>
    <t>ISIC 05</t>
  </si>
  <si>
    <t>ISIC 239</t>
  </si>
  <si>
    <t>ISIC 231</t>
  </si>
  <si>
    <t>ISIC 241</t>
  </si>
  <si>
    <t>ISIC 242</t>
  </si>
  <si>
    <t>ISIC 351</t>
  </si>
  <si>
    <t>ISIC 352T353</t>
  </si>
  <si>
    <t>ISIC 36T39</t>
  </si>
  <si>
    <t>Construction</t>
  </si>
  <si>
    <t>ISIC Code</t>
  </si>
  <si>
    <t>ISIC Code Meaning</t>
  </si>
  <si>
    <t>Mapped BLS Category</t>
  </si>
  <si>
    <t>Agriculture, forestry and fishing</t>
  </si>
  <si>
    <t>Coal mining</t>
  </si>
  <si>
    <t>Oil and gas extraction</t>
  </si>
  <si>
    <t>Mining and quarrying of non-energy producing products</t>
  </si>
  <si>
    <t>Mining support service activities</t>
  </si>
  <si>
    <t>Food products, beverages and tobacco</t>
  </si>
  <si>
    <t>Textiles, wearing apparel, leather and related products</t>
  </si>
  <si>
    <t>Wood and products of wood and cork</t>
  </si>
  <si>
    <t>Paper products and printing</t>
  </si>
  <si>
    <t>Coke and refined petroleum products</t>
  </si>
  <si>
    <t>Chemicals</t>
  </si>
  <si>
    <t>Pharmaceuticals</t>
  </si>
  <si>
    <t>Rubber and plastic products</t>
  </si>
  <si>
    <t>Glass</t>
  </si>
  <si>
    <t>Cement and other nometallic minerals</t>
  </si>
  <si>
    <t>Iron and steel</t>
  </si>
  <si>
    <t>Other metals</t>
  </si>
  <si>
    <t>Fabricated metal products</t>
  </si>
  <si>
    <t>Computer, electronic and optical products</t>
  </si>
  <si>
    <t>Electrical equipment</t>
  </si>
  <si>
    <t>Machinery and equipment, nec</t>
  </si>
  <si>
    <t>Motor vehicles, trailers and semi-trailers</t>
  </si>
  <si>
    <t>Other transport equipment</t>
  </si>
  <si>
    <t>Other manufacturing; repair and installation of machinery and equipment</t>
  </si>
  <si>
    <t>Electricity generation and distribution</t>
  </si>
  <si>
    <t>Energy pipelines and gas processing</t>
  </si>
  <si>
    <t>Water and waste</t>
  </si>
  <si>
    <t>Wholesale and retail trade; repair of motor vehicles</t>
  </si>
  <si>
    <t>Transportation and storage</t>
  </si>
  <si>
    <t>Accomodation and food services</t>
  </si>
  <si>
    <t>Publishing, audiovisual and broadcasting activities</t>
  </si>
  <si>
    <t>Telecommunications</t>
  </si>
  <si>
    <t>IT and other information services</t>
  </si>
  <si>
    <t>Financial and insurance activities</t>
  </si>
  <si>
    <t>Real estate activities</t>
  </si>
  <si>
    <t>Other business sector services</t>
  </si>
  <si>
    <t>Public admin. and defence; compulsory social security</t>
  </si>
  <si>
    <t>Education</t>
  </si>
  <si>
    <t>Human health and social work</t>
  </si>
  <si>
    <t>Arts, entertainment, recreation and other service activities</t>
  </si>
  <si>
    <t>Private households with employed persons</t>
  </si>
  <si>
    <t>Share Represented by Unions (1984)</t>
  </si>
  <si>
    <r>
      <rPr>
        <b/>
        <sz val="10"/>
        <color indexed="8"/>
        <rFont val="맑은 고딕"/>
        <family val="3"/>
        <charset val="129"/>
      </rPr>
      <t>〈</t>
    </r>
    <r>
      <rPr>
        <b/>
        <sz val="10"/>
        <color indexed="8"/>
        <rFont val="Arial"/>
        <family val="2"/>
      </rPr>
      <t xml:space="preserve">Table </t>
    </r>
    <r>
      <rPr>
        <b/>
        <sz val="10"/>
        <color indexed="8"/>
        <rFont val="맑은 고딕"/>
        <family val="3"/>
        <charset val="129"/>
      </rPr>
      <t>Ⅴ</t>
    </r>
    <r>
      <rPr>
        <b/>
        <sz val="10"/>
        <color indexed="8"/>
        <rFont val="Arial"/>
        <family val="2"/>
      </rPr>
      <t>-5</t>
    </r>
    <r>
      <rPr>
        <b/>
        <sz val="10"/>
        <color indexed="8"/>
        <rFont val="맑은 고딕"/>
        <family val="3"/>
        <charset val="129"/>
      </rPr>
      <t>〉</t>
    </r>
    <r>
      <rPr>
        <b/>
        <sz val="10"/>
        <color indexed="8"/>
        <rFont val="Arial"/>
        <family val="2"/>
      </rPr>
      <t xml:space="preserve"> Union Membership Rate by Characteristics</t>
    </r>
  </si>
  <si>
    <t>(Unit: 1,000 people, %)</t>
  </si>
  <si>
    <t>2012. 8</t>
    <phoneticPr fontId="2" type="noConversion"/>
  </si>
  <si>
    <t>2013. 8</t>
    <phoneticPr fontId="2" type="noConversion"/>
  </si>
  <si>
    <t>2014. 8</t>
    <phoneticPr fontId="2" type="noConversion"/>
  </si>
  <si>
    <t>2015. 8</t>
    <phoneticPr fontId="2" type="noConversion"/>
  </si>
  <si>
    <t>2016. 8</t>
    <phoneticPr fontId="2" type="noConversion"/>
  </si>
  <si>
    <t>2017. 8</t>
    <phoneticPr fontId="2" type="noConversion"/>
  </si>
  <si>
    <t>Wage</t>
  </si>
  <si>
    <t>Members</t>
  </si>
  <si>
    <t>Membership rate</t>
  </si>
  <si>
    <t>Wage</t>
    <phoneticPr fontId="2" type="noConversion"/>
  </si>
  <si>
    <t>Members</t>
    <phoneticPr fontId="2" type="noConversion"/>
  </si>
  <si>
    <t>workers</t>
  </si>
  <si>
    <t>workers</t>
    <phoneticPr fontId="2" type="noConversion"/>
  </si>
  <si>
    <t>Employment type</t>
  </si>
  <si>
    <t>Regular worker</t>
  </si>
  <si>
    <t>Temporary worker</t>
  </si>
  <si>
    <t>Daily worker</t>
  </si>
  <si>
    <t>Gender</t>
  </si>
  <si>
    <t>Men</t>
  </si>
  <si>
    <t>Women</t>
  </si>
  <si>
    <t>High school or below</t>
    <phoneticPr fontId="2" type="noConversion"/>
  </si>
  <si>
    <t>College</t>
  </si>
  <si>
    <t>University</t>
  </si>
  <si>
    <t>Industry</t>
  </si>
  <si>
    <t>Agriculture, forestry, fishing, mining</t>
  </si>
  <si>
    <t>Manufacturing</t>
  </si>
  <si>
    <t>Electricity, gas, water supply</t>
  </si>
  <si>
    <t>Wholesale, retail trade</t>
  </si>
  <si>
    <t>Transportation, warehousing</t>
    <phoneticPr fontId="2" type="noConversion"/>
  </si>
  <si>
    <t>Accommodation, food services</t>
  </si>
  <si>
    <t>Finance, insurance</t>
  </si>
  <si>
    <t>Real estate, leasing</t>
  </si>
  <si>
    <t>Professional, scientific, technical industries</t>
  </si>
  <si>
    <t>Facilities management, business support services</t>
  </si>
  <si>
    <t>Public administration, defense, social security</t>
  </si>
  <si>
    <t>Health, social welfare</t>
  </si>
  <si>
    <t>Other</t>
  </si>
  <si>
    <t>Occupation</t>
  </si>
  <si>
    <t>Senior executives, managers</t>
  </si>
  <si>
    <t>Professionals, related experts</t>
  </si>
  <si>
    <t>Clerks</t>
  </si>
  <si>
    <t>Service workers</t>
  </si>
  <si>
    <t>Sales workers</t>
  </si>
  <si>
    <t>Skilled workers in agriculture, forestry, and fisheries</t>
  </si>
  <si>
    <t>Craftworkers</t>
  </si>
  <si>
    <t>Equipment, machine operation, assembly workers</t>
  </si>
  <si>
    <t>Elementary laborers</t>
  </si>
  <si>
    <t>Total</t>
  </si>
  <si>
    <t xml:space="preserve">Notes: </t>
    <phoneticPr fontId="2" type="noConversion"/>
  </si>
  <si>
    <t xml:space="preserve">1) In 2012, classification is based on the 9th KSIC and 6th KSCO. Since 2013, classification is based on the 10th KSIC and 7th KSCO. </t>
    <phoneticPr fontId="2" type="noConversion"/>
  </si>
  <si>
    <t>2) Raw data have been adjusted based on the 2018 times-series adjustment.</t>
    <phoneticPr fontId="2" type="noConversion"/>
  </si>
  <si>
    <t>3) "Other" includes arts, sports, recreational services, associations, organization, repair and other personal services, domestic services, activities of international institutions, sewage/waste management, materials recovery, and remediation activities.</t>
    <phoneticPr fontId="2" type="noConversion"/>
  </si>
  <si>
    <t xml:space="preserve">Source: </t>
    <phoneticPr fontId="2" type="noConversion"/>
  </si>
  <si>
    <t xml:space="preserve">Statistics Korea, "Economically Active Population Survey, Supplementary Survey", raw data, August, each year. </t>
    <phoneticPr fontId="2" type="noConversion"/>
  </si>
  <si>
    <t>Korea Labor Institute (KLI)</t>
  </si>
  <si>
    <t>KLI Labor Statistics Archive</t>
  </si>
  <si>
    <t>2018.11.22</t>
  </si>
  <si>
    <t>https://www.kli.re.kr/kli_eng/selectBbsNttView.do?key=381&amp;bbsNo=35&amp;nttNo=134320&amp;searchY=&amp;searchCtgry=&amp;searchDplcCtgry=&amp;searchCnd=all&amp;searchKrwd=&amp;pageIndex=1&amp;integrDeptCode=</t>
  </si>
  <si>
    <t>ICT</t>
  </si>
  <si>
    <t>2018_V_Industrial Relations</t>
  </si>
  <si>
    <t>Notes</t>
  </si>
  <si>
    <t xml:space="preserve">1) In 2012, classification is based on the 9th KSIC and 6th KSCO. Since 2013, classification is based on the 10th KSIC and 7th KSCO. </t>
  </si>
  <si>
    <t>2) Raw data have been adjusted based on the 2018 times-series adjustment.</t>
  </si>
  <si>
    <t>3) "Other" includes arts, sports, recreational services, associations, organization, repair and other personal services, domestic services, activities of international institutions, sewage/waste management, materials recovery, and remediation activities.</t>
  </si>
  <si>
    <t xml:space="preserve">Statistics Korea, "Economically Active Population Survey, Supplementary Survey", raw data, August, each year. </t>
  </si>
  <si>
    <t>If there is no statistic for a specific industry from the original data,</t>
  </si>
  <si>
    <t xml:space="preserve">then the assumption is that sector has 10.5% union representation since </t>
  </si>
  <si>
    <t>that is the average percent of union membership in South Korea.</t>
  </si>
  <si>
    <t>OECD</t>
  </si>
  <si>
    <t xml:space="preserve">https://stats.oecd.org/Index.aspx?DataSetCode=TUD </t>
  </si>
  <si>
    <t>Trade Union</t>
  </si>
  <si>
    <t>Trade Union Density, percentage 2017</t>
  </si>
  <si>
    <t>&lt;Table V-5&gt;: Union Membership Rate by Characteristics,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</si>
</sst>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_ "/>
    <numFmt numFmtId="165" formatCode="0_);[Red]\(0\)"/>
    <numFmt numFmtId="166" formatCode="_-* #,##0_-;\-* #,##0_-;_-* &quot;-&quot;_-;_-@_-"/>
    <numFmt numFmtId="167" formatCode="#,##0_ "/>
    <numFmt numFmtId="168" formatCode="#,##0.0_ "/>
    <numFmt numFmtId="169" formatCode="0.0_ "/>
    <numFmt numFmtId="170" formatCode="#,##0.0_);[Red]\(#,##0.0\)"/>
    <numFmt numFmtId="171" formatCode="0.0_);[Red]\(0.0\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64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6" fillId="0" borderId="0">
      <alignment vertical="center"/>
    </xf>
    <xf numFmtId="166" fontId="6" fillId="0" borderId="0" applyFont="0" applyFill="0" applyBorder="0" applyAlignment="0" applyProtection="0">
      <alignment vertical="center"/>
    </xf>
  </cellStyleXfs>
  <cellXfs count="12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9" fontId="0" fillId="0" borderId="0" xfId="3" applyFont="1" applyAlignment="1">
      <alignment horizontal="center"/>
    </xf>
    <xf numFmtId="0" fontId="0" fillId="0" borderId="0" xfId="0" applyBorder="1"/>
    <xf numFmtId="0" fontId="2" fillId="0" borderId="0" xfId="1" applyBorder="1"/>
    <xf numFmtId="0" fontId="0" fillId="0" borderId="0" xfId="0" applyBorder="1" applyAlignment="1">
      <alignment wrapText="1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 applyAlignment="1">
      <alignment horizontal="left"/>
    </xf>
    <xf numFmtId="0" fontId="0" fillId="2" borderId="10" xfId="0" applyFill="1" applyBorder="1"/>
    <xf numFmtId="0" fontId="9" fillId="0" borderId="0" xfId="4" applyFont="1">
      <alignment vertical="center"/>
    </xf>
    <xf numFmtId="0" fontId="4" fillId="0" borderId="0" xfId="4" applyFont="1">
      <alignment vertical="center"/>
    </xf>
    <xf numFmtId="0" fontId="10" fillId="0" borderId="0" xfId="4" applyFont="1">
      <alignment vertical="center"/>
    </xf>
    <xf numFmtId="0" fontId="4" fillId="0" borderId="0" xfId="4" applyFont="1" applyAlignment="1">
      <alignment horizontal="right" vertical="center"/>
    </xf>
    <xf numFmtId="165" fontId="4" fillId="0" borderId="0" xfId="4" applyNumberFormat="1" applyFont="1">
      <alignment vertical="center"/>
    </xf>
    <xf numFmtId="0" fontId="11" fillId="0" borderId="0" xfId="4" applyFont="1" applyAlignment="1">
      <alignment horizontal="right" vertical="center"/>
    </xf>
    <xf numFmtId="0" fontId="11" fillId="3" borderId="17" xfId="4" applyFont="1" applyFill="1" applyBorder="1" applyAlignment="1">
      <alignment horizontal="center" vertical="center" wrapText="1"/>
    </xf>
    <xf numFmtId="0" fontId="11" fillId="3" borderId="18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 wrapText="1"/>
    </xf>
    <xf numFmtId="0" fontId="11" fillId="3" borderId="0" xfId="4" applyFont="1" applyFill="1" applyAlignment="1">
      <alignment horizontal="center" vertical="center" wrapText="1"/>
    </xf>
    <xf numFmtId="0" fontId="11" fillId="0" borderId="25" xfId="4" applyFont="1" applyBorder="1" applyAlignment="1">
      <alignment horizontal="justify" vertical="center" wrapText="1"/>
    </xf>
    <xf numFmtId="167" fontId="4" fillId="0" borderId="17" xfId="5" applyNumberFormat="1" applyFont="1" applyFill="1" applyBorder="1" applyAlignment="1">
      <alignment horizontal="right" vertical="top" wrapText="1"/>
    </xf>
    <xf numFmtId="168" fontId="4" fillId="0" borderId="17" xfId="4" applyNumberFormat="1" applyFont="1" applyBorder="1" applyAlignment="1">
      <alignment horizontal="right" vertical="top" wrapText="1"/>
    </xf>
    <xf numFmtId="166" fontId="4" fillId="0" borderId="17" xfId="5" applyFont="1" applyFill="1" applyBorder="1" applyAlignment="1">
      <alignment horizontal="right" vertical="top" wrapText="1"/>
    </xf>
    <xf numFmtId="169" fontId="4" fillId="0" borderId="17" xfId="4" applyNumberFormat="1" applyFont="1" applyBorder="1" applyAlignment="1">
      <alignment horizontal="right" vertical="top" wrapText="1"/>
    </xf>
    <xf numFmtId="3" fontId="4" fillId="0" borderId="26" xfId="4" applyNumberFormat="1" applyFont="1" applyBorder="1" applyAlignment="1">
      <alignment horizontal="right" vertical="center" wrapText="1"/>
    </xf>
    <xf numFmtId="3" fontId="4" fillId="0" borderId="27" xfId="4" applyNumberFormat="1" applyFont="1" applyBorder="1" applyAlignment="1">
      <alignment horizontal="right" vertical="center" wrapText="1"/>
    </xf>
    <xf numFmtId="169" fontId="4" fillId="0" borderId="28" xfId="4" applyNumberFormat="1" applyFont="1" applyBorder="1" applyAlignment="1">
      <alignment horizontal="right" vertical="center" wrapText="1"/>
    </xf>
    <xf numFmtId="37" fontId="4" fillId="0" borderId="26" xfId="4" applyNumberFormat="1" applyFont="1" applyBorder="1" applyAlignment="1">
      <alignment horizontal="right" vertical="center" wrapText="1"/>
    </xf>
    <xf numFmtId="170" fontId="4" fillId="0" borderId="27" xfId="4" applyNumberFormat="1" applyFont="1" applyBorder="1" applyAlignment="1">
      <alignment horizontal="right" vertical="center" wrapText="1"/>
    </xf>
    <xf numFmtId="171" fontId="4" fillId="0" borderId="28" xfId="4" applyNumberFormat="1" applyFont="1" applyBorder="1" applyAlignment="1">
      <alignment horizontal="right" vertical="center" wrapText="1"/>
    </xf>
    <xf numFmtId="38" fontId="4" fillId="0" borderId="27" xfId="4" applyNumberFormat="1" applyFont="1" applyBorder="1" applyAlignment="1">
      <alignment horizontal="right" vertical="center" wrapText="1"/>
    </xf>
    <xf numFmtId="0" fontId="11" fillId="0" borderId="16" xfId="4" applyFont="1" applyBorder="1" applyAlignment="1">
      <alignment horizontal="justify" vertical="center" wrapText="1"/>
    </xf>
    <xf numFmtId="167" fontId="4" fillId="0" borderId="22" xfId="5" applyNumberFormat="1" applyFont="1" applyFill="1" applyBorder="1" applyAlignment="1">
      <alignment horizontal="right" vertical="top" wrapText="1"/>
    </xf>
    <xf numFmtId="168" fontId="4" fillId="0" borderId="22" xfId="4" applyNumberFormat="1" applyFont="1" applyBorder="1" applyAlignment="1">
      <alignment horizontal="right" vertical="top" wrapText="1"/>
    </xf>
    <xf numFmtId="166" fontId="4" fillId="0" borderId="22" xfId="5" applyFont="1" applyFill="1" applyBorder="1" applyAlignment="1">
      <alignment horizontal="right" vertical="top" wrapText="1"/>
    </xf>
    <xf numFmtId="169" fontId="4" fillId="0" borderId="22" xfId="4" applyNumberFormat="1" applyFont="1" applyBorder="1" applyAlignment="1">
      <alignment horizontal="right" vertical="top" wrapText="1"/>
    </xf>
    <xf numFmtId="3" fontId="4" fillId="0" borderId="30" xfId="4" applyNumberFormat="1" applyFont="1" applyBorder="1" applyAlignment="1">
      <alignment horizontal="right" vertical="center" wrapText="1"/>
    </xf>
    <xf numFmtId="0" fontId="4" fillId="0" borderId="31" xfId="4" applyFont="1" applyBorder="1" applyAlignment="1">
      <alignment horizontal="right" vertical="center" wrapText="1"/>
    </xf>
    <xf numFmtId="169" fontId="4" fillId="0" borderId="32" xfId="4" applyNumberFormat="1" applyFont="1" applyBorder="1" applyAlignment="1">
      <alignment horizontal="right" vertical="center" wrapText="1"/>
    </xf>
    <xf numFmtId="37" fontId="4" fillId="0" borderId="30" xfId="4" applyNumberFormat="1" applyFont="1" applyBorder="1" applyAlignment="1">
      <alignment horizontal="right" vertical="center" wrapText="1"/>
    </xf>
    <xf numFmtId="170" fontId="4" fillId="0" borderId="31" xfId="4" applyNumberFormat="1" applyFont="1" applyBorder="1" applyAlignment="1">
      <alignment horizontal="right" vertical="center" wrapText="1"/>
    </xf>
    <xf numFmtId="171" fontId="4" fillId="0" borderId="32" xfId="4" applyNumberFormat="1" applyFont="1" applyBorder="1" applyAlignment="1">
      <alignment horizontal="right" vertical="center" wrapText="1"/>
    </xf>
    <xf numFmtId="38" fontId="4" fillId="0" borderId="31" xfId="4" applyNumberFormat="1" applyFont="1" applyBorder="1" applyAlignment="1">
      <alignment horizontal="right" vertical="center" wrapText="1"/>
    </xf>
    <xf numFmtId="0" fontId="11" fillId="0" borderId="20" xfId="4" applyFont="1" applyBorder="1" applyAlignment="1">
      <alignment horizontal="justify" vertical="center" wrapText="1"/>
    </xf>
    <xf numFmtId="167" fontId="4" fillId="0" borderId="34" xfId="5" applyNumberFormat="1" applyFont="1" applyFill="1" applyBorder="1" applyAlignment="1">
      <alignment horizontal="right" vertical="top" wrapText="1"/>
    </xf>
    <xf numFmtId="168" fontId="4" fillId="0" borderId="34" xfId="4" applyNumberFormat="1" applyFont="1" applyBorder="1" applyAlignment="1">
      <alignment horizontal="right" vertical="top" wrapText="1"/>
    </xf>
    <xf numFmtId="166" fontId="4" fillId="0" borderId="34" xfId="5" applyFont="1" applyFill="1" applyBorder="1" applyAlignment="1">
      <alignment horizontal="right" vertical="top" wrapText="1"/>
    </xf>
    <xf numFmtId="169" fontId="4" fillId="0" borderId="34" xfId="4" applyNumberFormat="1" applyFont="1" applyBorder="1" applyAlignment="1">
      <alignment horizontal="right" vertical="top" wrapText="1"/>
    </xf>
    <xf numFmtId="3" fontId="4" fillId="0" borderId="35" xfId="4" applyNumberFormat="1" applyFont="1" applyBorder="1" applyAlignment="1">
      <alignment horizontal="right" vertical="center" wrapText="1"/>
    </xf>
    <xf numFmtId="0" fontId="4" fillId="0" borderId="36" xfId="4" applyFont="1" applyBorder="1" applyAlignment="1">
      <alignment horizontal="right" vertical="center" wrapText="1"/>
    </xf>
    <xf numFmtId="169" fontId="4" fillId="0" borderId="37" xfId="4" applyNumberFormat="1" applyFont="1" applyBorder="1" applyAlignment="1">
      <alignment horizontal="right" vertical="center" wrapText="1"/>
    </xf>
    <xf numFmtId="37" fontId="4" fillId="0" borderId="35" xfId="4" applyNumberFormat="1" applyFont="1" applyBorder="1" applyAlignment="1">
      <alignment horizontal="right" vertical="center" wrapText="1"/>
    </xf>
    <xf numFmtId="170" fontId="4" fillId="0" borderId="36" xfId="4" applyNumberFormat="1" applyFont="1" applyBorder="1" applyAlignment="1">
      <alignment horizontal="right" vertical="center" wrapText="1"/>
    </xf>
    <xf numFmtId="171" fontId="4" fillId="0" borderId="37" xfId="4" applyNumberFormat="1" applyFont="1" applyBorder="1" applyAlignment="1">
      <alignment horizontal="right" vertical="center" wrapText="1"/>
    </xf>
    <xf numFmtId="38" fontId="4" fillId="0" borderId="36" xfId="4" applyNumberFormat="1" applyFont="1" applyBorder="1" applyAlignment="1">
      <alignment horizontal="right" vertical="center" wrapText="1"/>
    </xf>
    <xf numFmtId="0" fontId="12" fillId="0" borderId="25" xfId="4" applyFont="1" applyBorder="1" applyAlignment="1">
      <alignment horizontal="justify" vertical="center" wrapText="1"/>
    </xf>
    <xf numFmtId="0" fontId="4" fillId="0" borderId="27" xfId="4" applyFont="1" applyBorder="1" applyAlignment="1">
      <alignment horizontal="right" vertical="center" wrapText="1"/>
    </xf>
    <xf numFmtId="3" fontId="4" fillId="0" borderId="36" xfId="4" applyNumberFormat="1" applyFont="1" applyBorder="1" applyAlignment="1">
      <alignment horizontal="right" vertical="center" wrapText="1"/>
    </xf>
    <xf numFmtId="0" fontId="4" fillId="0" borderId="26" xfId="4" applyFont="1" applyBorder="1" applyAlignment="1">
      <alignment horizontal="right" vertical="center" wrapText="1"/>
    </xf>
    <xf numFmtId="167" fontId="4" fillId="0" borderId="38" xfId="4" applyNumberFormat="1" applyFont="1" applyBorder="1">
      <alignment vertical="center"/>
    </xf>
    <xf numFmtId="38" fontId="4" fillId="0" borderId="38" xfId="4" applyNumberFormat="1" applyFont="1" applyBorder="1">
      <alignment vertical="center"/>
    </xf>
    <xf numFmtId="171" fontId="4" fillId="0" borderId="38" xfId="4" applyNumberFormat="1" applyFont="1" applyBorder="1">
      <alignment vertical="center"/>
    </xf>
    <xf numFmtId="167" fontId="4" fillId="0" borderId="22" xfId="4" applyNumberFormat="1" applyFont="1" applyBorder="1">
      <alignment vertical="center"/>
    </xf>
    <xf numFmtId="38" fontId="4" fillId="0" borderId="22" xfId="4" applyNumberFormat="1" applyFont="1" applyBorder="1">
      <alignment vertical="center"/>
    </xf>
    <xf numFmtId="171" fontId="4" fillId="0" borderId="22" xfId="4" applyNumberFormat="1" applyFont="1" applyBorder="1">
      <alignment vertical="center"/>
    </xf>
    <xf numFmtId="0" fontId="4" fillId="0" borderId="30" xfId="4" applyFont="1" applyBorder="1" applyAlignment="1">
      <alignment horizontal="right" vertical="center" wrapText="1"/>
    </xf>
    <xf numFmtId="167" fontId="4" fillId="0" borderId="23" xfId="4" applyNumberFormat="1" applyFont="1" applyBorder="1">
      <alignment vertical="center"/>
    </xf>
    <xf numFmtId="38" fontId="4" fillId="0" borderId="34" xfId="4" applyNumberFormat="1" applyFont="1" applyBorder="1">
      <alignment vertical="center"/>
    </xf>
    <xf numFmtId="171" fontId="4" fillId="0" borderId="34" xfId="4" applyNumberFormat="1" applyFont="1" applyBorder="1">
      <alignment vertical="center"/>
    </xf>
    <xf numFmtId="38" fontId="4" fillId="0" borderId="32" xfId="4" applyNumberFormat="1" applyFont="1" applyBorder="1">
      <alignment vertical="center"/>
    </xf>
    <xf numFmtId="171" fontId="4" fillId="0" borderId="17" xfId="4" applyNumberFormat="1" applyFont="1" applyBorder="1">
      <alignment vertical="center"/>
    </xf>
    <xf numFmtId="167" fontId="4" fillId="0" borderId="1" xfId="5" applyNumberFormat="1" applyFont="1" applyFill="1" applyBorder="1" applyAlignment="1">
      <alignment horizontal="right" vertical="top" wrapText="1"/>
    </xf>
    <xf numFmtId="168" fontId="4" fillId="0" borderId="1" xfId="4" applyNumberFormat="1" applyFont="1" applyBorder="1" applyAlignment="1">
      <alignment horizontal="right" vertical="top" wrapText="1"/>
    </xf>
    <xf numFmtId="166" fontId="4" fillId="0" borderId="1" xfId="5" applyFont="1" applyFill="1" applyBorder="1" applyAlignment="1">
      <alignment horizontal="right" vertical="top" wrapText="1"/>
    </xf>
    <xf numFmtId="169" fontId="4" fillId="0" borderId="1" xfId="4" applyNumberFormat="1" applyFont="1" applyBorder="1" applyAlignment="1">
      <alignment horizontal="right" vertical="top" wrapText="1"/>
    </xf>
    <xf numFmtId="167" fontId="4" fillId="0" borderId="1" xfId="4" applyNumberFormat="1" applyFont="1" applyBorder="1">
      <alignment vertical="center"/>
    </xf>
    <xf numFmtId="38" fontId="4" fillId="0" borderId="1" xfId="4" applyNumberFormat="1" applyFont="1" applyBorder="1">
      <alignment vertical="center"/>
    </xf>
    <xf numFmtId="171" fontId="4" fillId="0" borderId="1" xfId="4" applyNumberFormat="1" applyFont="1" applyBorder="1">
      <alignment vertical="center"/>
    </xf>
    <xf numFmtId="0" fontId="4" fillId="0" borderId="0" xfId="4" applyFont="1" applyAlignment="1">
      <alignment vertical="center" wrapText="1"/>
    </xf>
    <xf numFmtId="0" fontId="11" fillId="0" borderId="25" xfId="4" applyNumberFormat="1" applyFont="1" applyBorder="1" applyAlignment="1">
      <alignment horizontal="justify" vertical="center" wrapText="1"/>
    </xf>
    <xf numFmtId="0" fontId="11" fillId="0" borderId="16" xfId="4" applyNumberFormat="1" applyFont="1" applyBorder="1" applyAlignment="1">
      <alignment horizontal="justify" vertical="center" wrapText="1"/>
    </xf>
    <xf numFmtId="0" fontId="4" fillId="0" borderId="0" xfId="4" applyNumberFormat="1" applyFont="1">
      <alignment vertical="center"/>
    </xf>
    <xf numFmtId="0" fontId="11" fillId="0" borderId="20" xfId="4" applyNumberFormat="1" applyFont="1" applyBorder="1" applyAlignment="1">
      <alignment horizontal="justify" vertical="center" wrapText="1"/>
    </xf>
    <xf numFmtId="0" fontId="0" fillId="0" borderId="0" xfId="0" applyFont="1"/>
    <xf numFmtId="0" fontId="0" fillId="0" borderId="0" xfId="0" applyFont="1" applyAlignment="1"/>
    <xf numFmtId="0" fontId="2" fillId="0" borderId="0" xfId="1" applyFont="1"/>
    <xf numFmtId="0" fontId="11" fillId="0" borderId="24" xfId="4" applyFont="1" applyBorder="1" applyAlignment="1">
      <alignment horizontal="center" vertical="center" wrapText="1"/>
    </xf>
    <xf numFmtId="0" fontId="11" fillId="0" borderId="29" xfId="4" applyFont="1" applyBorder="1" applyAlignment="1">
      <alignment horizontal="center" vertical="center" wrapText="1"/>
    </xf>
    <xf numFmtId="0" fontId="11" fillId="0" borderId="33" xfId="4" applyFont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 wrapText="1"/>
    </xf>
    <xf numFmtId="0" fontId="11" fillId="3" borderId="23" xfId="4" applyFont="1" applyFill="1" applyBorder="1" applyAlignment="1">
      <alignment horizontal="center" vertical="center" wrapText="1"/>
    </xf>
    <xf numFmtId="0" fontId="4" fillId="0" borderId="0" xfId="4" applyFont="1" applyAlignment="1">
      <alignment horizontal="left" vertical="center"/>
    </xf>
    <xf numFmtId="0" fontId="4" fillId="0" borderId="0" xfId="4" applyFont="1" applyAlignment="1">
      <alignment horizontal="left" vertical="center" wrapText="1"/>
    </xf>
    <xf numFmtId="0" fontId="12" fillId="0" borderId="0" xfId="4" applyFont="1" applyAlignment="1">
      <alignment horizontal="left" vertical="center"/>
    </xf>
    <xf numFmtId="0" fontId="11" fillId="0" borderId="39" xfId="4" applyFont="1" applyBorder="1" applyAlignment="1">
      <alignment horizontal="center" vertical="center" wrapText="1"/>
    </xf>
    <xf numFmtId="0" fontId="11" fillId="0" borderId="40" xfId="4" applyFont="1" applyBorder="1" applyAlignment="1">
      <alignment horizontal="center" vertical="center" wrapText="1"/>
    </xf>
    <xf numFmtId="164" fontId="7" fillId="0" borderId="0" xfId="4" applyNumberFormat="1" applyFont="1" applyAlignment="1">
      <alignment horizontal="center" vertical="center"/>
    </xf>
    <xf numFmtId="165" fontId="4" fillId="0" borderId="0" xfId="4" applyNumberFormat="1" applyFont="1" applyAlignment="1">
      <alignment horizontal="right" vertical="center"/>
    </xf>
    <xf numFmtId="0" fontId="11" fillId="3" borderId="11" xfId="4" applyFont="1" applyFill="1" applyBorder="1" applyAlignment="1">
      <alignment horizontal="center" vertical="center" wrapText="1"/>
    </xf>
    <xf numFmtId="0" fontId="11" fillId="3" borderId="16" xfId="4" applyFont="1" applyFill="1" applyBorder="1" applyAlignment="1">
      <alignment horizontal="center" vertical="center" wrapText="1"/>
    </xf>
    <xf numFmtId="0" fontId="11" fillId="3" borderId="20" xfId="4" applyFont="1" applyFill="1" applyBorder="1" applyAlignment="1">
      <alignment horizontal="center" vertical="center" wrapText="1"/>
    </xf>
    <xf numFmtId="0" fontId="11" fillId="3" borderId="12" xfId="4" applyFont="1" applyFill="1" applyBorder="1" applyAlignment="1">
      <alignment horizontal="center" vertical="center" wrapText="1"/>
    </xf>
    <xf numFmtId="0" fontId="11" fillId="3" borderId="0" xfId="4" applyFont="1" applyFill="1" applyAlignment="1">
      <alignment horizontal="center" vertical="center" wrapText="1"/>
    </xf>
    <xf numFmtId="0" fontId="11" fillId="3" borderId="21" xfId="4" applyFont="1" applyFill="1" applyBorder="1" applyAlignment="1">
      <alignment horizontal="center" vertical="center" wrapText="1"/>
    </xf>
    <xf numFmtId="0" fontId="11" fillId="3" borderId="13" xfId="4" applyFont="1" applyFill="1" applyBorder="1" applyAlignment="1">
      <alignment horizontal="center" vertical="center" wrapText="1"/>
    </xf>
    <xf numFmtId="0" fontId="11" fillId="3" borderId="14" xfId="4" applyFont="1" applyFill="1" applyBorder="1" applyAlignment="1">
      <alignment horizontal="center" vertical="center" wrapText="1"/>
    </xf>
    <xf numFmtId="0" fontId="11" fillId="3" borderId="15" xfId="4" applyFont="1" applyFill="1" applyBorder="1" applyAlignment="1">
      <alignment horizontal="center" vertical="center" wrapText="1"/>
    </xf>
    <xf numFmtId="0" fontId="11" fillId="3" borderId="17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 wrapText="1"/>
    </xf>
    <xf numFmtId="0" fontId="0" fillId="0" borderId="0" xfId="0" applyFill="1"/>
  </cellXfs>
  <cellStyles count="6">
    <cellStyle name="Comma [0] 2" xfId="5" xr:uid="{4EBFEF65-8EA6-4ABA-95FA-1FA87EAAE757}"/>
    <cellStyle name="Hyperlink" xfId="1" builtinId="8"/>
    <cellStyle name="Normal" xfId="0" builtinId="0"/>
    <cellStyle name="Normal 2" xfId="2" xr:uid="{2F0C8A8E-D31E-4F34-A1FB-A6290494DAD1}"/>
    <cellStyle name="Normal 3" xfId="4" xr:uid="{02CB4C63-E8A4-443D-AA7E-7CF4A71E1D2C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TUD" TargetMode="External"/><Relationship Id="rId1" Type="http://schemas.openxmlformats.org/officeDocument/2006/relationships/hyperlink" Target="https://www.kli.re.kr/kli_eng/selectBbsNttView.do?key=381&amp;bbsNo=35&amp;nttNo=134320&amp;searchY=&amp;searchCtgry=&amp;searchDplcCtgry=&amp;searchCnd=all&amp;searchKrwd=&amp;pageIndex=1&amp;integrDeptCode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0408-5795-454F-9839-1063721C3DFB}">
  <dimension ref="A1:C21"/>
  <sheetViews>
    <sheetView workbookViewId="0">
      <selection activeCell="E34" sqref="E34"/>
    </sheetView>
  </sheetViews>
  <sheetFormatPr defaultRowHeight="15"/>
  <cols>
    <col min="3" max="3" width="33" customWidth="1"/>
  </cols>
  <sheetData>
    <row r="1" spans="1:3">
      <c r="A1" s="2" t="s">
        <v>0</v>
      </c>
    </row>
    <row r="3" spans="1:3">
      <c r="A3" t="s">
        <v>1</v>
      </c>
      <c r="C3" s="97" t="s">
        <v>148</v>
      </c>
    </row>
    <row r="4" spans="1:3">
      <c r="B4" s="3"/>
      <c r="C4" s="97" t="s">
        <v>149</v>
      </c>
    </row>
    <row r="5" spans="1:3">
      <c r="C5" s="98" t="s">
        <v>153</v>
      </c>
    </row>
    <row r="6" spans="1:3">
      <c r="B6" s="1"/>
      <c r="C6" s="97" t="s">
        <v>150</v>
      </c>
    </row>
    <row r="7" spans="1:3">
      <c r="C7" s="99" t="s">
        <v>151</v>
      </c>
    </row>
    <row r="8" spans="1:3">
      <c r="C8" s="98" t="s">
        <v>166</v>
      </c>
    </row>
    <row r="10" spans="1:3">
      <c r="C10" t="s">
        <v>162</v>
      </c>
    </row>
    <row r="11" spans="1:3">
      <c r="C11" t="s">
        <v>164</v>
      </c>
    </row>
    <row r="12" spans="1:3">
      <c r="C12" s="1" t="s">
        <v>163</v>
      </c>
    </row>
    <row r="13" spans="1:3">
      <c r="C13" t="s">
        <v>165</v>
      </c>
    </row>
    <row r="14" spans="1:3">
      <c r="A14" t="s">
        <v>154</v>
      </c>
    </row>
    <row r="15" spans="1:3">
      <c r="A15" t="s">
        <v>155</v>
      </c>
    </row>
    <row r="16" spans="1:3">
      <c r="A16" t="s">
        <v>156</v>
      </c>
    </row>
    <row r="17" spans="1:1">
      <c r="A17" t="s">
        <v>157</v>
      </c>
    </row>
    <row r="18" spans="1:1">
      <c r="A18" t="s">
        <v>158</v>
      </c>
    </row>
    <row r="19" spans="1:1">
      <c r="A19" t="s">
        <v>159</v>
      </c>
    </row>
    <row r="20" spans="1:1">
      <c r="A20" t="s">
        <v>160</v>
      </c>
    </row>
    <row r="21" spans="1:1">
      <c r="A21" t="s">
        <v>161</v>
      </c>
    </row>
  </sheetData>
  <hyperlinks>
    <hyperlink ref="C7" r:id="rId1" xr:uid="{960B19AE-4E9A-40CF-BAD1-6D41A1CBA3DC}"/>
    <hyperlink ref="C12" r:id="rId2" xr:uid="{5E83BD6F-3EF9-4772-B6FB-E2C279AEB37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1C9A-4AE0-4AFC-9722-E3DC62CF1479}">
  <sheetPr>
    <pageSetUpPr fitToPage="1"/>
  </sheetPr>
  <dimension ref="A1:T113"/>
  <sheetViews>
    <sheetView topLeftCell="B1" zoomScale="90" zoomScaleNormal="90" workbookViewId="0">
      <selection activeCell="T15" sqref="T15"/>
    </sheetView>
  </sheetViews>
  <sheetFormatPr defaultColWidth="9.7109375" defaultRowHeight="12.75"/>
  <cols>
    <col min="1" max="1" width="10.140625" style="24" customWidth="1"/>
    <col min="2" max="2" width="32.42578125" style="24" customWidth="1"/>
    <col min="3" max="5" width="9.5703125" style="24" customWidth="1"/>
    <col min="6" max="7" width="9" style="27" customWidth="1"/>
    <col min="8" max="8" width="9" style="24" customWidth="1"/>
    <col min="9" max="10" width="9" style="27" customWidth="1"/>
    <col min="11" max="11" width="9" style="24" customWidth="1"/>
    <col min="12" max="13" width="9" style="27" customWidth="1"/>
    <col min="14" max="14" width="9" style="24" customWidth="1"/>
    <col min="15" max="17" width="9.7109375" style="24" customWidth="1"/>
    <col min="18" max="18" width="12.5703125" style="24" customWidth="1"/>
    <col min="19" max="19" width="14.42578125" style="24" customWidth="1"/>
    <col min="20" max="20" width="18.140625" style="24" customWidth="1"/>
    <col min="21" max="16384" width="9.7109375" style="24"/>
  </cols>
  <sheetData>
    <row r="1" spans="1:20" s="23" customFormat="1" ht="13.5">
      <c r="A1" s="110" t="s">
        <v>92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 spans="1:20" ht="13.5" thickBot="1">
      <c r="B2" s="25"/>
      <c r="C2" s="25"/>
      <c r="D2" s="25"/>
      <c r="E2" s="26"/>
      <c r="I2" s="111"/>
      <c r="J2" s="111"/>
      <c r="K2" s="111"/>
      <c r="L2" s="24"/>
      <c r="M2" s="24"/>
      <c r="N2" s="28"/>
      <c r="R2" s="111" t="s">
        <v>93</v>
      </c>
      <c r="S2" s="111"/>
      <c r="T2" s="111"/>
    </row>
    <row r="3" spans="1:20" ht="15.75" customHeight="1" thickTop="1">
      <c r="A3" s="112"/>
      <c r="B3" s="115"/>
      <c r="C3" s="118" t="s">
        <v>94</v>
      </c>
      <c r="D3" s="119"/>
      <c r="E3" s="120"/>
      <c r="F3" s="118" t="s">
        <v>95</v>
      </c>
      <c r="G3" s="119"/>
      <c r="H3" s="120"/>
      <c r="I3" s="118" t="s">
        <v>96</v>
      </c>
      <c r="J3" s="119"/>
      <c r="K3" s="120"/>
      <c r="L3" s="118" t="s">
        <v>97</v>
      </c>
      <c r="M3" s="119"/>
      <c r="N3" s="120"/>
      <c r="O3" s="118" t="s">
        <v>98</v>
      </c>
      <c r="P3" s="119"/>
      <c r="Q3" s="120"/>
      <c r="R3" s="118" t="s">
        <v>99</v>
      </c>
      <c r="S3" s="119"/>
      <c r="T3" s="120"/>
    </row>
    <row r="4" spans="1:20" ht="15.75" customHeight="1">
      <c r="A4" s="113"/>
      <c r="B4" s="116"/>
      <c r="C4" s="29" t="s">
        <v>100</v>
      </c>
      <c r="D4" s="30" t="s">
        <v>101</v>
      </c>
      <c r="E4" s="121" t="s">
        <v>102</v>
      </c>
      <c r="F4" s="29" t="s">
        <v>100</v>
      </c>
      <c r="G4" s="30" t="s">
        <v>101</v>
      </c>
      <c r="H4" s="121" t="s">
        <v>102</v>
      </c>
      <c r="I4" s="29" t="s">
        <v>100</v>
      </c>
      <c r="J4" s="30" t="s">
        <v>101</v>
      </c>
      <c r="K4" s="121" t="s">
        <v>102</v>
      </c>
      <c r="L4" s="29" t="s">
        <v>103</v>
      </c>
      <c r="M4" s="30" t="s">
        <v>101</v>
      </c>
      <c r="N4" s="121" t="s">
        <v>102</v>
      </c>
      <c r="O4" s="29" t="s">
        <v>103</v>
      </c>
      <c r="P4" s="30" t="s">
        <v>104</v>
      </c>
      <c r="Q4" s="103" t="s">
        <v>102</v>
      </c>
      <c r="R4" s="29" t="s">
        <v>103</v>
      </c>
      <c r="S4" s="30" t="s">
        <v>104</v>
      </c>
      <c r="T4" s="103" t="s">
        <v>102</v>
      </c>
    </row>
    <row r="5" spans="1:20" ht="15.75" customHeight="1">
      <c r="A5" s="114"/>
      <c r="B5" s="117"/>
      <c r="C5" s="31" t="s">
        <v>105</v>
      </c>
      <c r="D5" s="32"/>
      <c r="E5" s="122"/>
      <c r="F5" s="31" t="s">
        <v>105</v>
      </c>
      <c r="G5" s="32"/>
      <c r="H5" s="122"/>
      <c r="I5" s="31" t="s">
        <v>105</v>
      </c>
      <c r="J5" s="32"/>
      <c r="K5" s="122"/>
      <c r="L5" s="31" t="s">
        <v>106</v>
      </c>
      <c r="M5" s="32"/>
      <c r="N5" s="122"/>
      <c r="O5" s="31" t="s">
        <v>106</v>
      </c>
      <c r="P5" s="32"/>
      <c r="Q5" s="104"/>
      <c r="R5" s="31" t="s">
        <v>106</v>
      </c>
      <c r="S5" s="32"/>
      <c r="T5" s="104"/>
    </row>
    <row r="6" spans="1:20" ht="15.75" customHeight="1">
      <c r="A6" s="100" t="s">
        <v>107</v>
      </c>
      <c r="B6" s="33" t="s">
        <v>108</v>
      </c>
      <c r="C6" s="34">
        <v>11361.2</v>
      </c>
      <c r="D6" s="34">
        <v>2029.29</v>
      </c>
      <c r="E6" s="35">
        <v>17.861581523078545</v>
      </c>
      <c r="F6" s="36">
        <v>11974.3</v>
      </c>
      <c r="G6" s="36">
        <v>2241.7199999999998</v>
      </c>
      <c r="H6" s="37">
        <v>18.721094343719464</v>
      </c>
      <c r="I6" s="36">
        <v>12329.3</v>
      </c>
      <c r="J6" s="36">
        <v>2337.62</v>
      </c>
      <c r="K6" s="37">
        <v>18.959876067578858</v>
      </c>
      <c r="L6" s="38">
        <v>12797.7</v>
      </c>
      <c r="M6" s="39">
        <v>2368.25</v>
      </c>
      <c r="N6" s="40">
        <v>18.505278292193129</v>
      </c>
      <c r="O6" s="41">
        <v>13050.3</v>
      </c>
      <c r="P6" s="42">
        <v>2336.1</v>
      </c>
      <c r="Q6" s="43">
        <v>17.900737914070941</v>
      </c>
      <c r="R6" s="38">
        <v>13516.9</v>
      </c>
      <c r="S6" s="44">
        <v>2437.84</v>
      </c>
      <c r="T6" s="43">
        <v>18.035496304626061</v>
      </c>
    </row>
    <row r="7" spans="1:20" ht="15.75" customHeight="1">
      <c r="A7" s="101"/>
      <c r="B7" s="45" t="s">
        <v>109</v>
      </c>
      <c r="C7" s="46">
        <v>4974.72</v>
      </c>
      <c r="D7" s="46">
        <v>45.518700000000003</v>
      </c>
      <c r="E7" s="47">
        <v>0.91500024121960633</v>
      </c>
      <c r="F7" s="48">
        <v>4885.51</v>
      </c>
      <c r="G7" s="48">
        <v>50.400700000000001</v>
      </c>
      <c r="H7" s="49">
        <v>1.0316364105282765</v>
      </c>
      <c r="I7" s="48">
        <v>5138.8</v>
      </c>
      <c r="J7" s="48">
        <v>41.9925</v>
      </c>
      <c r="K7" s="49">
        <v>0.81716548610570561</v>
      </c>
      <c r="L7" s="50">
        <v>5131.32</v>
      </c>
      <c r="M7" s="51">
        <v>39.364699999999999</v>
      </c>
      <c r="N7" s="52">
        <v>0.76714568571049946</v>
      </c>
      <c r="O7" s="53">
        <v>5213.18</v>
      </c>
      <c r="P7" s="54">
        <v>28.0318</v>
      </c>
      <c r="Q7" s="55">
        <v>0.53771018840707585</v>
      </c>
      <c r="R7" s="50">
        <v>5045.93</v>
      </c>
      <c r="S7" s="56">
        <v>37</v>
      </c>
      <c r="T7" s="55">
        <v>0.74228140303175028</v>
      </c>
    </row>
    <row r="8" spans="1:20" ht="15.75" customHeight="1">
      <c r="A8" s="102"/>
      <c r="B8" s="57" t="s">
        <v>110</v>
      </c>
      <c r="C8" s="58">
        <v>1605.29</v>
      </c>
      <c r="D8" s="58">
        <v>0.37592999999999999</v>
      </c>
      <c r="E8" s="59">
        <v>2.3418198580941761E-2</v>
      </c>
      <c r="F8" s="60">
        <v>1543.27</v>
      </c>
      <c r="G8" s="60">
        <v>2.6156600000000001</v>
      </c>
      <c r="H8" s="61">
        <v>0.1694881647411017</v>
      </c>
      <c r="I8" s="60">
        <v>1523.74</v>
      </c>
      <c r="J8" s="60">
        <v>0</v>
      </c>
      <c r="K8" s="61">
        <v>0</v>
      </c>
      <c r="L8" s="62">
        <v>1545.4</v>
      </c>
      <c r="M8" s="63">
        <v>3</v>
      </c>
      <c r="N8" s="64">
        <v>0.22496958716189983</v>
      </c>
      <c r="O8" s="65">
        <v>1479.77</v>
      </c>
      <c r="P8" s="66">
        <v>1.2229699999999999</v>
      </c>
      <c r="Q8" s="67">
        <v>8.2645951735742712E-2</v>
      </c>
      <c r="R8" s="62">
        <v>1443.23</v>
      </c>
      <c r="S8" s="68">
        <v>3.9561799999999998</v>
      </c>
      <c r="T8" s="67">
        <v>0.27411985615598344</v>
      </c>
    </row>
    <row r="9" spans="1:20" ht="15.75" customHeight="1">
      <c r="A9" s="100" t="s">
        <v>111</v>
      </c>
      <c r="B9" s="33" t="s">
        <v>112</v>
      </c>
      <c r="C9" s="34">
        <v>10278.200000000001</v>
      </c>
      <c r="D9" s="34">
        <v>1506.8</v>
      </c>
      <c r="E9" s="35">
        <v>14.660154501761008</v>
      </c>
      <c r="F9" s="36">
        <v>10516.6</v>
      </c>
      <c r="G9" s="36">
        <v>1645.98</v>
      </c>
      <c r="H9" s="37">
        <v>15.651256109388967</v>
      </c>
      <c r="I9" s="36">
        <v>10796</v>
      </c>
      <c r="J9" s="36">
        <v>1656.87</v>
      </c>
      <c r="K9" s="37">
        <v>15.347072989996294</v>
      </c>
      <c r="L9" s="38">
        <v>11006.6</v>
      </c>
      <c r="M9" s="39">
        <v>1734.62</v>
      </c>
      <c r="N9" s="40">
        <v>15.759816837170423</v>
      </c>
      <c r="O9" s="41">
        <v>11085.6</v>
      </c>
      <c r="P9" s="42">
        <v>1644.71</v>
      </c>
      <c r="Q9" s="43">
        <v>14.836454499530923</v>
      </c>
      <c r="R9" s="38">
        <v>11188.2</v>
      </c>
      <c r="S9" s="44">
        <v>1695</v>
      </c>
      <c r="T9" s="43">
        <v>15.154001537333977</v>
      </c>
    </row>
    <row r="10" spans="1:20" ht="15.75" customHeight="1">
      <c r="A10" s="102"/>
      <c r="B10" s="57" t="s">
        <v>113</v>
      </c>
      <c r="C10" s="58">
        <v>7662.97</v>
      </c>
      <c r="D10" s="58">
        <v>568.38</v>
      </c>
      <c r="E10" s="59">
        <v>7.4172285680356307</v>
      </c>
      <c r="F10" s="60">
        <v>7886.49</v>
      </c>
      <c r="G10" s="60">
        <v>648.75699999999995</v>
      </c>
      <c r="H10" s="61">
        <v>8.2261817361082059</v>
      </c>
      <c r="I10" s="60">
        <v>8195.82</v>
      </c>
      <c r="J10" s="60">
        <v>722.74300000000005</v>
      </c>
      <c r="K10" s="61">
        <v>8.8184342750328835</v>
      </c>
      <c r="L10" s="62">
        <v>8467.8799999999992</v>
      </c>
      <c r="M10" s="63">
        <v>676.46400000000006</v>
      </c>
      <c r="N10" s="64">
        <v>7.9885874622691881</v>
      </c>
      <c r="O10" s="65">
        <v>8657.6299999999992</v>
      </c>
      <c r="P10" s="66">
        <v>720.65099999999995</v>
      </c>
      <c r="Q10" s="67">
        <v>8.3238830950271616</v>
      </c>
      <c r="R10" s="62">
        <v>8817.86</v>
      </c>
      <c r="S10" s="68">
        <v>783.78899999999999</v>
      </c>
      <c r="T10" s="67">
        <v>8.8886532560054246</v>
      </c>
    </row>
    <row r="11" spans="1:20" ht="15.75" customHeight="1">
      <c r="A11" s="100" t="s">
        <v>87</v>
      </c>
      <c r="B11" s="69" t="s">
        <v>114</v>
      </c>
      <c r="C11" s="34">
        <v>9565.75</v>
      </c>
      <c r="D11" s="34">
        <v>821.75350000000003</v>
      </c>
      <c r="E11" s="35">
        <v>8.5905809790136693</v>
      </c>
      <c r="F11" s="36">
        <v>9556.74</v>
      </c>
      <c r="G11" s="36">
        <v>899.45839999999998</v>
      </c>
      <c r="H11" s="37">
        <v>9.4117701224476136</v>
      </c>
      <c r="I11" s="36">
        <v>9890.66</v>
      </c>
      <c r="J11" s="36">
        <v>923.39959999999996</v>
      </c>
      <c r="K11" s="37">
        <v>9.336076662224766</v>
      </c>
      <c r="L11" s="38">
        <v>10060.650000000001</v>
      </c>
      <c r="M11" s="70">
        <v>926.61989999999992</v>
      </c>
      <c r="N11" s="40">
        <v>9.210338298221286</v>
      </c>
      <c r="O11" s="41">
        <v>10101.25</v>
      </c>
      <c r="P11" s="42">
        <v>891.13110000000006</v>
      </c>
      <c r="Q11" s="43">
        <v>8.8219883677762656</v>
      </c>
      <c r="R11" s="38">
        <v>10041.86</v>
      </c>
      <c r="S11" s="44">
        <v>919.7145999999999</v>
      </c>
      <c r="T11" s="43">
        <v>9.1588072329229835</v>
      </c>
    </row>
    <row r="12" spans="1:20" ht="15.75" customHeight="1">
      <c r="A12" s="101"/>
      <c r="B12" s="45" t="s">
        <v>115</v>
      </c>
      <c r="C12" s="46">
        <v>2782.62</v>
      </c>
      <c r="D12" s="46">
        <v>361.24700000000001</v>
      </c>
      <c r="E12" s="47">
        <v>12.98226132206338</v>
      </c>
      <c r="F12" s="48">
        <v>2864.4</v>
      </c>
      <c r="G12" s="48">
        <v>377.36200000000002</v>
      </c>
      <c r="H12" s="49">
        <v>13.17420751291719</v>
      </c>
      <c r="I12" s="48">
        <v>2831.27</v>
      </c>
      <c r="J12" s="48">
        <v>398.24599999999998</v>
      </c>
      <c r="K12" s="49">
        <v>14.065984522846636</v>
      </c>
      <c r="L12" s="50">
        <v>2826.34</v>
      </c>
      <c r="M12" s="51">
        <v>364.22</v>
      </c>
      <c r="N12" s="52">
        <v>12.886630766291388</v>
      </c>
      <c r="O12" s="53">
        <v>2823.7</v>
      </c>
      <c r="P12" s="54">
        <v>352.09500000000003</v>
      </c>
      <c r="Q12" s="55">
        <v>12.469277897793676</v>
      </c>
      <c r="R12" s="50">
        <v>2918.54</v>
      </c>
      <c r="S12" s="56">
        <v>371.97899999999998</v>
      </c>
      <c r="T12" s="55">
        <v>12.745379539084611</v>
      </c>
    </row>
    <row r="13" spans="1:20" ht="40.5" customHeight="1">
      <c r="A13" s="102"/>
      <c r="B13" s="57" t="s">
        <v>116</v>
      </c>
      <c r="C13" s="58">
        <v>5592.8159999999998</v>
      </c>
      <c r="D13" s="58">
        <v>892.18100000000004</v>
      </c>
      <c r="E13" s="59">
        <v>15.952268052444424</v>
      </c>
      <c r="F13" s="60">
        <v>5981.9389999999994</v>
      </c>
      <c r="G13" s="60">
        <v>1017.9150000000001</v>
      </c>
      <c r="H13" s="61">
        <v>17.016472418057091</v>
      </c>
      <c r="I13" s="60">
        <v>6269.8729999999996</v>
      </c>
      <c r="J13" s="60">
        <v>1057.9639999999999</v>
      </c>
      <c r="K13" s="61">
        <v>16.873770808435832</v>
      </c>
      <c r="L13" s="62">
        <v>6587.451</v>
      </c>
      <c r="M13" s="71">
        <v>1120.248</v>
      </c>
      <c r="N13" s="64">
        <v>17.005788733760603</v>
      </c>
      <c r="O13" s="65">
        <v>6818.3009999999995</v>
      </c>
      <c r="P13" s="66">
        <v>1122.1310000000001</v>
      </c>
      <c r="Q13" s="67">
        <v>16.457633653897066</v>
      </c>
      <c r="R13" s="62">
        <v>7045.66</v>
      </c>
      <c r="S13" s="68">
        <v>1187.55</v>
      </c>
      <c r="T13" s="67">
        <v>16.855056871889929</v>
      </c>
    </row>
    <row r="14" spans="1:20" ht="48.6" customHeight="1">
      <c r="A14" s="100" t="s">
        <v>117</v>
      </c>
      <c r="B14" s="93" t="s">
        <v>118</v>
      </c>
      <c r="C14" s="34">
        <v>149.4117</v>
      </c>
      <c r="D14" s="34">
        <v>10.45528</v>
      </c>
      <c r="E14" s="35">
        <v>6.9976313769269742</v>
      </c>
      <c r="F14" s="36">
        <v>149.64240000000001</v>
      </c>
      <c r="G14" s="36">
        <v>10.363329999999999</v>
      </c>
      <c r="H14" s="37">
        <v>6.9253968126680663</v>
      </c>
      <c r="I14" s="36">
        <v>140.3647</v>
      </c>
      <c r="J14" s="36">
        <v>7.5464199999999995</v>
      </c>
      <c r="K14" s="37">
        <v>5.3762947521705957</v>
      </c>
      <c r="L14" s="72">
        <v>140.03560000000002</v>
      </c>
      <c r="M14" s="70">
        <v>6</v>
      </c>
      <c r="N14" s="40">
        <v>3.9982618705529163</v>
      </c>
      <c r="O14" s="41">
        <v>148.2927</v>
      </c>
      <c r="P14" s="42">
        <v>11.392659999999999</v>
      </c>
      <c r="Q14" s="43">
        <v>7.6825494444433211</v>
      </c>
      <c r="R14" s="73">
        <v>145.90010000000001</v>
      </c>
      <c r="S14" s="74">
        <v>13.8483</v>
      </c>
      <c r="T14" s="75">
        <v>9.4916316027199432</v>
      </c>
    </row>
    <row r="15" spans="1:20" ht="15.75" customHeight="1">
      <c r="A15" s="101"/>
      <c r="B15" s="94" t="s">
        <v>119</v>
      </c>
      <c r="C15" s="46">
        <v>3619.77</v>
      </c>
      <c r="D15" s="46">
        <v>541.81200000000001</v>
      </c>
      <c r="E15" s="47">
        <v>14.968133334438377</v>
      </c>
      <c r="F15" s="48">
        <v>3706.14</v>
      </c>
      <c r="G15" s="48">
        <v>574.39499999999998</v>
      </c>
      <c r="H15" s="49">
        <v>15.498470106364035</v>
      </c>
      <c r="I15" s="48">
        <v>3923.69</v>
      </c>
      <c r="J15" s="48">
        <v>623.35</v>
      </c>
      <c r="K15" s="49">
        <v>15.886831018760402</v>
      </c>
      <c r="L15" s="50">
        <v>4099.7</v>
      </c>
      <c r="M15" s="51">
        <v>676.82399999999996</v>
      </c>
      <c r="N15" s="52">
        <v>16.509110422713857</v>
      </c>
      <c r="O15" s="53">
        <v>3988.54</v>
      </c>
      <c r="P15" s="54">
        <v>626.72400000000005</v>
      </c>
      <c r="Q15" s="55">
        <v>15.713118083308681</v>
      </c>
      <c r="R15" s="76">
        <v>4018.24</v>
      </c>
      <c r="S15" s="77">
        <v>634.13800000000003</v>
      </c>
      <c r="T15" s="78">
        <v>15.781486421916064</v>
      </c>
    </row>
    <row r="16" spans="1:20" ht="15.75" customHeight="1">
      <c r="A16" s="101"/>
      <c r="B16" s="94" t="s">
        <v>120</v>
      </c>
      <c r="C16" s="46">
        <v>77.594700000000003</v>
      </c>
      <c r="D16" s="46">
        <v>48.383099999999999</v>
      </c>
      <c r="E16" s="47">
        <v>62.353614357681643</v>
      </c>
      <c r="F16" s="48">
        <v>77.992000000000004</v>
      </c>
      <c r="G16" s="48">
        <v>43.059899999999999</v>
      </c>
      <c r="H16" s="49">
        <v>55.210662632064825</v>
      </c>
      <c r="I16" s="48">
        <v>69.4953</v>
      </c>
      <c r="J16" s="48">
        <v>42.076799999999999</v>
      </c>
      <c r="K16" s="49">
        <v>60.546252768172813</v>
      </c>
      <c r="L16" s="79">
        <v>77.563100000000006</v>
      </c>
      <c r="M16" s="51">
        <v>46.464799999999997</v>
      </c>
      <c r="N16" s="52">
        <v>59.90580572462936</v>
      </c>
      <c r="O16" s="53">
        <v>72.964200000000005</v>
      </c>
      <c r="P16" s="54">
        <v>43.680399999999999</v>
      </c>
      <c r="Q16" s="55">
        <v>59.865523092146553</v>
      </c>
      <c r="R16" s="76">
        <v>67.0411</v>
      </c>
      <c r="S16" s="77">
        <v>37.1145</v>
      </c>
      <c r="T16" s="78">
        <v>55.360815977064817</v>
      </c>
    </row>
    <row r="17" spans="1:20" ht="15.75" customHeight="1">
      <c r="A17" s="101"/>
      <c r="B17" s="94" t="s">
        <v>46</v>
      </c>
      <c r="C17" s="46">
        <v>1333.61</v>
      </c>
      <c r="D17" s="46">
        <v>40.044899999999998</v>
      </c>
      <c r="E17" s="47">
        <v>3.0027444305306648</v>
      </c>
      <c r="F17" s="48">
        <v>1369.03</v>
      </c>
      <c r="G17" s="48">
        <v>45.796799999999998</v>
      </c>
      <c r="H17" s="49">
        <v>3.34520061649489</v>
      </c>
      <c r="I17" s="48">
        <v>1383.15</v>
      </c>
      <c r="J17" s="48">
        <v>36.307400000000001</v>
      </c>
      <c r="K17" s="49">
        <v>2.6249792141127135</v>
      </c>
      <c r="L17" s="50">
        <v>1409.79</v>
      </c>
      <c r="M17" s="51">
        <v>37.991399999999999</v>
      </c>
      <c r="N17" s="52">
        <v>2.6948268891111442</v>
      </c>
      <c r="O17" s="53">
        <v>1479.5</v>
      </c>
      <c r="P17" s="54">
        <v>41.629800000000003</v>
      </c>
      <c r="Q17" s="55">
        <v>2.8137749239607981</v>
      </c>
      <c r="R17" s="76">
        <v>1512.8</v>
      </c>
      <c r="S17" s="77">
        <v>55.169400000000003</v>
      </c>
      <c r="T17" s="78">
        <v>3.6468402961396094</v>
      </c>
    </row>
    <row r="18" spans="1:20" ht="15.75" customHeight="1">
      <c r="A18" s="101"/>
      <c r="B18" s="94" t="s">
        <v>121</v>
      </c>
      <c r="C18" s="46">
        <v>2174.87</v>
      </c>
      <c r="D18" s="46">
        <v>70.103300000000004</v>
      </c>
      <c r="E18" s="47">
        <v>3.2233328888623229</v>
      </c>
      <c r="F18" s="48">
        <v>2139.46</v>
      </c>
      <c r="G18" s="48">
        <v>78.693299999999994</v>
      </c>
      <c r="H18" s="49">
        <v>3.6781851495237112</v>
      </c>
      <c r="I18" s="48">
        <v>2294.8000000000002</v>
      </c>
      <c r="J18" s="48">
        <v>102.97799999999999</v>
      </c>
      <c r="K18" s="49">
        <v>4.4874498867003654</v>
      </c>
      <c r="L18" s="50">
        <v>2247.08</v>
      </c>
      <c r="M18" s="51">
        <v>117.059</v>
      </c>
      <c r="N18" s="52">
        <v>5.2093828435124694</v>
      </c>
      <c r="O18" s="53">
        <v>2235.71</v>
      </c>
      <c r="P18" s="54">
        <v>100.273</v>
      </c>
      <c r="Q18" s="55">
        <v>4.4850629106637268</v>
      </c>
      <c r="R18" s="76">
        <v>2320.9299999999998</v>
      </c>
      <c r="S18" s="77">
        <v>122.893</v>
      </c>
      <c r="T18" s="78">
        <v>5.2949895085159833</v>
      </c>
    </row>
    <row r="19" spans="1:20" ht="15.75" customHeight="1">
      <c r="A19" s="101"/>
      <c r="B19" s="94" t="s">
        <v>122</v>
      </c>
      <c r="C19" s="46">
        <v>741.46500000000003</v>
      </c>
      <c r="D19" s="46">
        <v>290.815</v>
      </c>
      <c r="E19" s="47">
        <v>39.221676006284852</v>
      </c>
      <c r="F19" s="48">
        <v>769.33</v>
      </c>
      <c r="G19" s="48">
        <v>325.54300000000001</v>
      </c>
      <c r="H19" s="49">
        <v>42.315131348056099</v>
      </c>
      <c r="I19" s="48">
        <v>776.48299999999995</v>
      </c>
      <c r="J19" s="48">
        <v>308.05</v>
      </c>
      <c r="K19" s="49">
        <v>39.672471902153688</v>
      </c>
      <c r="L19" s="79">
        <v>792.928</v>
      </c>
      <c r="M19" s="51">
        <v>270.37400000000002</v>
      </c>
      <c r="N19" s="52">
        <v>34.098177892570327</v>
      </c>
      <c r="O19" s="53">
        <v>774.93399999999997</v>
      </c>
      <c r="P19" s="54">
        <v>251.904</v>
      </c>
      <c r="Q19" s="55">
        <v>32.506510231839094</v>
      </c>
      <c r="R19" s="76">
        <v>783.22799999999995</v>
      </c>
      <c r="S19" s="77">
        <v>252.61</v>
      </c>
      <c r="T19" s="78">
        <v>32.252422027813104</v>
      </c>
    </row>
    <row r="20" spans="1:20" ht="15.75" customHeight="1">
      <c r="A20" s="101"/>
      <c r="B20" s="94" t="s">
        <v>123</v>
      </c>
      <c r="C20" s="46">
        <v>1143.9000000000001</v>
      </c>
      <c r="D20" s="46">
        <v>16.727799999999998</v>
      </c>
      <c r="E20" s="47">
        <v>1.462348107352041</v>
      </c>
      <c r="F20" s="48">
        <v>1239.5899999999999</v>
      </c>
      <c r="G20" s="48">
        <v>26.488</v>
      </c>
      <c r="H20" s="49">
        <v>2.1368355665986334</v>
      </c>
      <c r="I20" s="48">
        <v>1310.22</v>
      </c>
      <c r="J20" s="48">
        <v>14.8255</v>
      </c>
      <c r="K20" s="49">
        <v>1.131527529727832</v>
      </c>
      <c r="L20" s="50">
        <v>1430.17</v>
      </c>
      <c r="M20" s="51">
        <v>18.065100000000001</v>
      </c>
      <c r="N20" s="52">
        <v>1.2631435423760811</v>
      </c>
      <c r="O20" s="53">
        <v>1483.01</v>
      </c>
      <c r="P20" s="54">
        <v>21.944900000000001</v>
      </c>
      <c r="Q20" s="55">
        <v>1.4797540137962659</v>
      </c>
      <c r="R20" s="76">
        <v>1447.54</v>
      </c>
      <c r="S20" s="77">
        <v>24.939299999999999</v>
      </c>
      <c r="T20" s="78">
        <v>1.7228746701300135</v>
      </c>
    </row>
    <row r="21" spans="1:20" ht="15.75" customHeight="1">
      <c r="A21" s="101"/>
      <c r="B21" s="95" t="s">
        <v>152</v>
      </c>
      <c r="C21" s="46">
        <v>637.39800000000002</v>
      </c>
      <c r="D21" s="46">
        <v>108.33</v>
      </c>
      <c r="E21" s="47">
        <v>16.995660482147731</v>
      </c>
      <c r="F21" s="48">
        <v>653.18700000000001</v>
      </c>
      <c r="G21" s="48">
        <v>117.062</v>
      </c>
      <c r="H21" s="49">
        <v>17.921667148917535</v>
      </c>
      <c r="I21" s="48">
        <v>636.59100000000001</v>
      </c>
      <c r="J21" s="48">
        <v>134.13399999999999</v>
      </c>
      <c r="K21" s="49">
        <v>21.070671749993323</v>
      </c>
      <c r="L21" s="79">
        <v>714.97799999999995</v>
      </c>
      <c r="M21" s="51">
        <v>128.542</v>
      </c>
      <c r="N21" s="52">
        <v>17.978455281141521</v>
      </c>
      <c r="O21" s="53">
        <v>709.90800000000002</v>
      </c>
      <c r="P21" s="54">
        <v>125.58199999999999</v>
      </c>
      <c r="Q21" s="55">
        <v>17.689897845918061</v>
      </c>
      <c r="R21" s="76">
        <v>718.40899999999999</v>
      </c>
      <c r="S21" s="77">
        <v>126.643</v>
      </c>
      <c r="T21" s="78">
        <v>17.628259111453225</v>
      </c>
    </row>
    <row r="22" spans="1:20" ht="15.75" customHeight="1">
      <c r="A22" s="101"/>
      <c r="B22" s="94" t="s">
        <v>124</v>
      </c>
      <c r="C22" s="46">
        <v>811.60699999999997</v>
      </c>
      <c r="D22" s="46">
        <v>188.02099999999999</v>
      </c>
      <c r="E22" s="47">
        <v>23.166507928098206</v>
      </c>
      <c r="F22" s="48">
        <v>862.36199999999997</v>
      </c>
      <c r="G22" s="48">
        <v>220.988</v>
      </c>
      <c r="H22" s="49">
        <v>25.625897245008478</v>
      </c>
      <c r="I22" s="48">
        <v>818.96799999999996</v>
      </c>
      <c r="J22" s="48">
        <v>204.43799999999999</v>
      </c>
      <c r="K22" s="49">
        <v>24.962880112531867</v>
      </c>
      <c r="L22" s="79">
        <v>760.26300000000003</v>
      </c>
      <c r="M22" s="51">
        <v>192.88499999999999</v>
      </c>
      <c r="N22" s="52">
        <v>25.370825622186004</v>
      </c>
      <c r="O22" s="53">
        <v>775.99599999999998</v>
      </c>
      <c r="P22" s="54">
        <v>176.279</v>
      </c>
      <c r="Q22" s="55">
        <v>22.716483074655024</v>
      </c>
      <c r="R22" s="76">
        <v>757.64300000000003</v>
      </c>
      <c r="S22" s="77">
        <v>201.19900000000001</v>
      </c>
      <c r="T22" s="78">
        <v>26.555910897348749</v>
      </c>
    </row>
    <row r="23" spans="1:20" ht="15.75" customHeight="1">
      <c r="A23" s="101"/>
      <c r="B23" s="94" t="s">
        <v>125</v>
      </c>
      <c r="C23" s="46">
        <v>314.95999999999998</v>
      </c>
      <c r="D23" s="46">
        <v>14.7677</v>
      </c>
      <c r="E23" s="47">
        <v>4.6887541275082549</v>
      </c>
      <c r="F23" s="48">
        <v>304.34399999999999</v>
      </c>
      <c r="G23" s="48">
        <v>11.2903</v>
      </c>
      <c r="H23" s="49">
        <v>3.7097166364377152</v>
      </c>
      <c r="I23" s="48">
        <v>313.714</v>
      </c>
      <c r="J23" s="48">
        <v>10.091799999999999</v>
      </c>
      <c r="K23" s="49">
        <v>3.2168790681958721</v>
      </c>
      <c r="L23" s="79">
        <v>311.27100000000002</v>
      </c>
      <c r="M23" s="51">
        <v>8</v>
      </c>
      <c r="N23" s="52">
        <v>2.6997535909223793</v>
      </c>
      <c r="O23" s="53">
        <v>324.13900000000001</v>
      </c>
      <c r="P23" s="54">
        <v>11.559699999999999</v>
      </c>
      <c r="Q23" s="55">
        <v>3.5662786644001492</v>
      </c>
      <c r="R23" s="76">
        <v>366.334</v>
      </c>
      <c r="S23" s="77">
        <v>10.641299999999999</v>
      </c>
      <c r="T23" s="78">
        <v>2.9048081805128652</v>
      </c>
    </row>
    <row r="24" spans="1:20" ht="30" customHeight="1">
      <c r="A24" s="101"/>
      <c r="B24" s="94" t="s">
        <v>126</v>
      </c>
      <c r="C24" s="46">
        <v>910.53899999999999</v>
      </c>
      <c r="D24" s="46">
        <v>101.038</v>
      </c>
      <c r="E24" s="47">
        <v>11.096504378176004</v>
      </c>
      <c r="F24" s="48">
        <v>868.43299999999999</v>
      </c>
      <c r="G24" s="48">
        <v>82.145899999999997</v>
      </c>
      <c r="H24" s="49">
        <v>9.4590947142727178</v>
      </c>
      <c r="I24" s="48">
        <v>891.21799999999996</v>
      </c>
      <c r="J24" s="48">
        <v>93.375699999999995</v>
      </c>
      <c r="K24" s="49">
        <v>10.477313070427213</v>
      </c>
      <c r="L24" s="79">
        <v>912.18700000000001</v>
      </c>
      <c r="M24" s="51">
        <v>97</v>
      </c>
      <c r="N24" s="52">
        <v>10.584507343340784</v>
      </c>
      <c r="O24" s="53">
        <v>950.49099999999999</v>
      </c>
      <c r="P24" s="54">
        <v>117.58</v>
      </c>
      <c r="Q24" s="55">
        <v>12.370448536598452</v>
      </c>
      <c r="R24" s="76">
        <v>901.10299999999995</v>
      </c>
      <c r="S24" s="77">
        <v>97.1126</v>
      </c>
      <c r="T24" s="78">
        <v>10.777080977424335</v>
      </c>
    </row>
    <row r="25" spans="1:20" ht="28.5" customHeight="1">
      <c r="A25" s="101"/>
      <c r="B25" s="94" t="s">
        <v>127</v>
      </c>
      <c r="C25" s="46">
        <v>1093.27</v>
      </c>
      <c r="D25" s="46">
        <v>60.151600000000002</v>
      </c>
      <c r="E25" s="47">
        <v>5.5019894445105058</v>
      </c>
      <c r="F25" s="48">
        <v>1127.21</v>
      </c>
      <c r="G25" s="48">
        <v>58.743099999999998</v>
      </c>
      <c r="H25" s="49">
        <v>5.2113714392171824</v>
      </c>
      <c r="I25" s="48">
        <v>1142.69</v>
      </c>
      <c r="J25" s="48">
        <v>53.762500000000003</v>
      </c>
      <c r="K25" s="49">
        <v>4.7049068426257339</v>
      </c>
      <c r="L25" s="50">
        <v>1224.05</v>
      </c>
      <c r="M25" s="51">
        <v>74.740499999999997</v>
      </c>
      <c r="N25" s="52">
        <v>6.1060005718720642</v>
      </c>
      <c r="O25" s="53">
        <v>1291.52</v>
      </c>
      <c r="P25" s="54">
        <v>63.788600000000002</v>
      </c>
      <c r="Q25" s="55">
        <v>4.9390330773042619</v>
      </c>
      <c r="R25" s="76">
        <v>1306.1199999999999</v>
      </c>
      <c r="S25" s="77">
        <v>72.756699999999995</v>
      </c>
      <c r="T25" s="78">
        <v>5.5704452883349163</v>
      </c>
    </row>
    <row r="26" spans="1:20" ht="27" customHeight="1">
      <c r="A26" s="101"/>
      <c r="B26" s="94" t="s">
        <v>128</v>
      </c>
      <c r="C26" s="46">
        <v>979.029</v>
      </c>
      <c r="D26" s="46">
        <v>237.63900000000001</v>
      </c>
      <c r="E26" s="47">
        <v>24.272927563943458</v>
      </c>
      <c r="F26" s="48">
        <v>992.75900000000001</v>
      </c>
      <c r="G26" s="48">
        <v>286.06900000000002</v>
      </c>
      <c r="H26" s="49">
        <v>28.815553422331103</v>
      </c>
      <c r="I26" s="48">
        <v>987.69799999999998</v>
      </c>
      <c r="J26" s="48">
        <v>273.38299999999998</v>
      </c>
      <c r="K26" s="49">
        <v>27.678804654864138</v>
      </c>
      <c r="L26" s="79">
        <v>961.01099999999997</v>
      </c>
      <c r="M26" s="51">
        <v>295.99400000000003</v>
      </c>
      <c r="N26" s="52">
        <v>30.800271797097018</v>
      </c>
      <c r="O26" s="53">
        <v>1024.5899999999999</v>
      </c>
      <c r="P26" s="54">
        <v>319.87099999999998</v>
      </c>
      <c r="Q26" s="55">
        <v>31.219414595106336</v>
      </c>
      <c r="R26" s="76">
        <v>1102.51</v>
      </c>
      <c r="S26" s="77">
        <v>328.64100000000002</v>
      </c>
      <c r="T26" s="78">
        <v>29.808437111681528</v>
      </c>
    </row>
    <row r="27" spans="1:20" ht="15.75" customHeight="1">
      <c r="A27" s="101"/>
      <c r="B27" s="94" t="s">
        <v>87</v>
      </c>
      <c r="C27" s="46">
        <v>1390.04</v>
      </c>
      <c r="D27" s="46">
        <v>179.773</v>
      </c>
      <c r="E27" s="47">
        <v>12.932937181663837</v>
      </c>
      <c r="F27" s="48">
        <v>1419.55</v>
      </c>
      <c r="G27" s="48">
        <v>224.98599999999999</v>
      </c>
      <c r="H27" s="49">
        <v>15.849107111408545</v>
      </c>
      <c r="I27" s="48">
        <v>1446</v>
      </c>
      <c r="J27" s="48">
        <v>255.483</v>
      </c>
      <c r="K27" s="49">
        <v>17.668257261410787</v>
      </c>
      <c r="L27" s="50">
        <v>1473.06</v>
      </c>
      <c r="M27" s="51">
        <v>250.42500000000001</v>
      </c>
      <c r="N27" s="52">
        <v>17.000325852307444</v>
      </c>
      <c r="O27" s="53">
        <v>1493.72</v>
      </c>
      <c r="P27" s="54">
        <v>250.20400000000001</v>
      </c>
      <c r="Q27" s="55">
        <v>16.750394987012289</v>
      </c>
      <c r="R27" s="76">
        <v>1537.8</v>
      </c>
      <c r="S27" s="77">
        <v>261.28500000000003</v>
      </c>
      <c r="T27" s="78">
        <v>16.990831057354665</v>
      </c>
    </row>
    <row r="28" spans="1:20" ht="15.75" customHeight="1">
      <c r="A28" s="101"/>
      <c r="B28" s="94" t="s">
        <v>129</v>
      </c>
      <c r="C28" s="46">
        <v>1340.8</v>
      </c>
      <c r="D28" s="46">
        <v>112.98</v>
      </c>
      <c r="E28" s="47">
        <v>8.4263126491646787</v>
      </c>
      <c r="F28" s="48">
        <v>1494.9</v>
      </c>
      <c r="G28" s="48">
        <v>112.178</v>
      </c>
      <c r="H28" s="49">
        <v>7.5040470934510664</v>
      </c>
      <c r="I28" s="48">
        <v>1649.75</v>
      </c>
      <c r="J28" s="48">
        <v>139.56200000000001</v>
      </c>
      <c r="K28" s="49">
        <v>8.459584785573572</v>
      </c>
      <c r="L28" s="50">
        <v>1702.51</v>
      </c>
      <c r="M28" s="51">
        <v>126.33499999999999</v>
      </c>
      <c r="N28" s="52">
        <v>7.420514416949092</v>
      </c>
      <c r="O28" s="53">
        <v>1816.71</v>
      </c>
      <c r="P28" s="54">
        <v>127.917</v>
      </c>
      <c r="Q28" s="55">
        <v>7.0411347986194821</v>
      </c>
      <c r="R28" s="76">
        <v>1852.27</v>
      </c>
      <c r="S28" s="77">
        <v>159.92099999999999</v>
      </c>
      <c r="T28" s="78">
        <v>8.633784491461828</v>
      </c>
    </row>
    <row r="29" spans="1:20" ht="65.099999999999994" customHeight="1">
      <c r="A29" s="102"/>
      <c r="B29" s="96" t="s">
        <v>130</v>
      </c>
      <c r="C29" s="58">
        <v>1222.9335099999998</v>
      </c>
      <c r="D29" s="58">
        <v>54.139880000000005</v>
      </c>
      <c r="E29" s="59">
        <v>4.4270501672654321</v>
      </c>
      <c r="F29" s="60">
        <v>1229.14581</v>
      </c>
      <c r="G29" s="60">
        <v>76.933819999999997</v>
      </c>
      <c r="H29" s="61">
        <v>6.2591288498148154</v>
      </c>
      <c r="I29" s="60">
        <v>1206.9863</v>
      </c>
      <c r="J29" s="60">
        <v>80.245999999999995</v>
      </c>
      <c r="K29" s="61">
        <v>6.6484598872414704</v>
      </c>
      <c r="L29" s="62">
        <v>1218</v>
      </c>
      <c r="M29" s="63">
        <v>65</v>
      </c>
      <c r="N29" s="64">
        <v>5.3</v>
      </c>
      <c r="O29" s="65">
        <v>1173</v>
      </c>
      <c r="P29" s="66">
        <v>89.996669999999995</v>
      </c>
      <c r="Q29" s="67">
        <v>6.4</v>
      </c>
      <c r="R29" s="80">
        <v>1168</v>
      </c>
      <c r="S29" s="81">
        <v>80</v>
      </c>
      <c r="T29" s="82">
        <v>6.9</v>
      </c>
    </row>
    <row r="30" spans="1:20" ht="15.75" customHeight="1">
      <c r="A30" s="100" t="s">
        <v>131</v>
      </c>
      <c r="B30" s="33" t="s">
        <v>132</v>
      </c>
      <c r="C30" s="34">
        <v>373.11900000000003</v>
      </c>
      <c r="D30" s="34">
        <v>27.5063</v>
      </c>
      <c r="E30" s="35">
        <v>7.3719912414001953</v>
      </c>
      <c r="F30" s="36">
        <v>316.57</v>
      </c>
      <c r="G30" s="36">
        <v>17.2715</v>
      </c>
      <c r="H30" s="37">
        <v>5.4558233566035943</v>
      </c>
      <c r="I30" s="36">
        <v>344.24099999999999</v>
      </c>
      <c r="J30" s="36">
        <v>19.294699999999999</v>
      </c>
      <c r="K30" s="37">
        <v>5.604997661522015</v>
      </c>
      <c r="L30" s="72">
        <v>302.22699999999998</v>
      </c>
      <c r="M30" s="70">
        <v>21</v>
      </c>
      <c r="N30" s="40">
        <v>6.8868764207036444</v>
      </c>
      <c r="O30" s="41">
        <v>288.65100000000001</v>
      </c>
      <c r="P30" s="42">
        <v>24.596399999999999</v>
      </c>
      <c r="Q30" s="43">
        <v>8.5211553051955455</v>
      </c>
      <c r="R30" s="73">
        <v>284.79300000000001</v>
      </c>
      <c r="S30" s="83">
        <v>20.348099999999999</v>
      </c>
      <c r="T30" s="84">
        <v>7.1448736450685226</v>
      </c>
    </row>
    <row r="31" spans="1:20" ht="15.75" customHeight="1">
      <c r="A31" s="101"/>
      <c r="B31" s="45" t="s">
        <v>133</v>
      </c>
      <c r="C31" s="46">
        <v>3913.82</v>
      </c>
      <c r="D31" s="46">
        <v>443.30700000000002</v>
      </c>
      <c r="E31" s="47">
        <v>11.326708944202849</v>
      </c>
      <c r="F31" s="48">
        <v>4142.21</v>
      </c>
      <c r="G31" s="48">
        <v>506.00099999999998</v>
      </c>
      <c r="H31" s="49">
        <v>12.215725421936598</v>
      </c>
      <c r="I31" s="48">
        <v>4177.0600000000004</v>
      </c>
      <c r="J31" s="48">
        <v>540.80499999999995</v>
      </c>
      <c r="K31" s="49">
        <v>12.947024940987198</v>
      </c>
      <c r="L31" s="50">
        <v>4264.4799999999996</v>
      </c>
      <c r="M31" s="51">
        <v>519.23</v>
      </c>
      <c r="N31" s="52">
        <v>12.175693167748474</v>
      </c>
      <c r="O31" s="53">
        <v>4339.8500000000004</v>
      </c>
      <c r="P31" s="54">
        <v>500.45800000000003</v>
      </c>
      <c r="Q31" s="55">
        <v>11.531688883256333</v>
      </c>
      <c r="R31" s="76">
        <v>4433.45</v>
      </c>
      <c r="S31" s="83">
        <v>549.18200000000002</v>
      </c>
      <c r="T31" s="78">
        <v>12.387237929828915</v>
      </c>
    </row>
    <row r="32" spans="1:20" ht="15.75" customHeight="1">
      <c r="A32" s="101"/>
      <c r="B32" s="45" t="s">
        <v>134</v>
      </c>
      <c r="C32" s="46">
        <v>3891.06</v>
      </c>
      <c r="D32" s="46">
        <v>722.54200000000003</v>
      </c>
      <c r="E32" s="47">
        <v>18.569284462331602</v>
      </c>
      <c r="F32" s="48">
        <v>3989.49</v>
      </c>
      <c r="G32" s="48">
        <v>770.97400000000005</v>
      </c>
      <c r="H32" s="49">
        <v>19.325126770589726</v>
      </c>
      <c r="I32" s="48">
        <v>4094.28</v>
      </c>
      <c r="J32" s="48">
        <v>787.48400000000004</v>
      </c>
      <c r="K32" s="49">
        <v>19.23376027042606</v>
      </c>
      <c r="L32" s="50">
        <v>4146.8</v>
      </c>
      <c r="M32" s="51">
        <v>800.69100000000003</v>
      </c>
      <c r="N32" s="52">
        <v>19.308647631908944</v>
      </c>
      <c r="O32" s="53">
        <v>4241.29</v>
      </c>
      <c r="P32" s="54">
        <v>823.56799999999998</v>
      </c>
      <c r="Q32" s="55">
        <v>19.417865790832504</v>
      </c>
      <c r="R32" s="76">
        <v>4387.74</v>
      </c>
      <c r="S32" s="83">
        <v>843.93899999999996</v>
      </c>
      <c r="T32" s="78">
        <v>19.234024805480725</v>
      </c>
    </row>
    <row r="33" spans="1:20" ht="15.75" customHeight="1">
      <c r="A33" s="101"/>
      <c r="B33" s="45" t="s">
        <v>135</v>
      </c>
      <c r="C33" s="46">
        <v>1665.99</v>
      </c>
      <c r="D33" s="46">
        <v>55.753799999999998</v>
      </c>
      <c r="E33" s="47">
        <v>3.3465867142059671</v>
      </c>
      <c r="F33" s="48">
        <v>1726.07</v>
      </c>
      <c r="G33" s="48">
        <v>83.466899999999995</v>
      </c>
      <c r="H33" s="49">
        <v>4.8356613578823575</v>
      </c>
      <c r="I33" s="48">
        <v>1856.66</v>
      </c>
      <c r="J33" s="48">
        <v>92.688999999999993</v>
      </c>
      <c r="K33" s="49">
        <v>4.9922441373218573</v>
      </c>
      <c r="L33" s="50">
        <v>1897.05</v>
      </c>
      <c r="M33" s="51">
        <v>91.111599999999996</v>
      </c>
      <c r="N33" s="52">
        <v>4.8028043541287788</v>
      </c>
      <c r="O33" s="53">
        <v>2003.62</v>
      </c>
      <c r="P33" s="54">
        <v>90.780199999999994</v>
      </c>
      <c r="Q33" s="55">
        <v>4.5308092352841358</v>
      </c>
      <c r="R33" s="76">
        <v>2014.53</v>
      </c>
      <c r="S33" s="83">
        <v>101.839</v>
      </c>
      <c r="T33" s="78">
        <v>5.0552237990995419</v>
      </c>
    </row>
    <row r="34" spans="1:20" ht="15.75" customHeight="1">
      <c r="A34" s="101"/>
      <c r="B34" s="45" t="s">
        <v>136</v>
      </c>
      <c r="C34" s="46">
        <v>1568.46</v>
      </c>
      <c r="D34" s="46">
        <v>35.913899999999998</v>
      </c>
      <c r="E34" s="47">
        <v>2.289755556405646</v>
      </c>
      <c r="F34" s="48">
        <v>1582.39</v>
      </c>
      <c r="G34" s="48">
        <v>51.610900000000001</v>
      </c>
      <c r="H34" s="49">
        <v>3.261579003911804</v>
      </c>
      <c r="I34" s="48">
        <v>1668.91</v>
      </c>
      <c r="J34" s="48">
        <v>56.236400000000003</v>
      </c>
      <c r="K34" s="49">
        <v>3.369648453182017</v>
      </c>
      <c r="L34" s="50">
        <v>1675.51</v>
      </c>
      <c r="M34" s="51">
        <v>67.304100000000005</v>
      </c>
      <c r="N34" s="52">
        <v>4.0169321579698121</v>
      </c>
      <c r="O34" s="53">
        <v>1673.48</v>
      </c>
      <c r="P34" s="54">
        <v>74.742599999999996</v>
      </c>
      <c r="Q34" s="55">
        <v>4.466297774697038</v>
      </c>
      <c r="R34" s="76">
        <v>1682.23</v>
      </c>
      <c r="S34" s="83">
        <v>71.281599999999997</v>
      </c>
      <c r="T34" s="78">
        <v>4.2373278326982637</v>
      </c>
    </row>
    <row r="35" spans="1:20" ht="24.75" customHeight="1">
      <c r="A35" s="101"/>
      <c r="B35" s="45" t="s">
        <v>137</v>
      </c>
      <c r="C35" s="46">
        <v>56.423499999999997</v>
      </c>
      <c r="D35" s="46">
        <v>1.9725900000000001</v>
      </c>
      <c r="E35" s="47">
        <v>3.4960433152852981</v>
      </c>
      <c r="F35" s="48">
        <v>56.283000000000001</v>
      </c>
      <c r="G35" s="48">
        <v>2.8071600000000001</v>
      </c>
      <c r="H35" s="49">
        <v>4.9875806193699699</v>
      </c>
      <c r="I35" s="48">
        <v>47.503</v>
      </c>
      <c r="J35" s="48">
        <v>1.6054299999999999</v>
      </c>
      <c r="K35" s="49">
        <v>3.3796391806833248</v>
      </c>
      <c r="L35" s="79">
        <v>50.026600000000002</v>
      </c>
      <c r="M35" s="51">
        <v>3</v>
      </c>
      <c r="N35" s="52">
        <v>5.59958102289582</v>
      </c>
      <c r="O35" s="53">
        <v>53.942799999999998</v>
      </c>
      <c r="P35" s="54">
        <v>3.0504699999999998</v>
      </c>
      <c r="Q35" s="55">
        <v>5.6550086387803375</v>
      </c>
      <c r="R35" s="76">
        <v>49.955599999999997</v>
      </c>
      <c r="S35" s="83">
        <v>5</v>
      </c>
      <c r="T35" s="78">
        <v>10.656082601350001</v>
      </c>
    </row>
    <row r="36" spans="1:20" ht="15.75" customHeight="1">
      <c r="A36" s="101"/>
      <c r="B36" s="45" t="s">
        <v>138</v>
      </c>
      <c r="C36" s="46">
        <v>1620.44</v>
      </c>
      <c r="D36" s="46">
        <v>163.19399999999999</v>
      </c>
      <c r="E36" s="47">
        <v>10.070968378958799</v>
      </c>
      <c r="F36" s="48">
        <v>1623.98</v>
      </c>
      <c r="G36" s="48">
        <v>155.75</v>
      </c>
      <c r="H36" s="49">
        <v>9.5906353526521251</v>
      </c>
      <c r="I36" s="48">
        <v>1635.71</v>
      </c>
      <c r="J36" s="48">
        <v>160.55199999999999</v>
      </c>
      <c r="K36" s="49">
        <v>9.8154318308257569</v>
      </c>
      <c r="L36" s="50">
        <v>1751.25</v>
      </c>
      <c r="M36" s="51">
        <v>166.339</v>
      </c>
      <c r="N36" s="52">
        <v>9.4983012134189853</v>
      </c>
      <c r="O36" s="53">
        <v>1748.45</v>
      </c>
      <c r="P36" s="54">
        <v>166.91399999999999</v>
      </c>
      <c r="Q36" s="55">
        <v>9.5463982384397603</v>
      </c>
      <c r="R36" s="76">
        <v>1693.75</v>
      </c>
      <c r="S36" s="83">
        <v>163.14099999999999</v>
      </c>
      <c r="T36" s="78">
        <v>9.6319409594095937</v>
      </c>
    </row>
    <row r="37" spans="1:20" ht="23.25" customHeight="1">
      <c r="A37" s="101"/>
      <c r="B37" s="45" t="s">
        <v>139</v>
      </c>
      <c r="C37" s="46">
        <v>2012.71</v>
      </c>
      <c r="D37" s="46">
        <v>531.03599999999994</v>
      </c>
      <c r="E37" s="47">
        <v>26.384128861087785</v>
      </c>
      <c r="F37" s="48">
        <v>2113.34</v>
      </c>
      <c r="G37" s="48">
        <v>581.88300000000004</v>
      </c>
      <c r="H37" s="49">
        <v>27.533809041611857</v>
      </c>
      <c r="I37" s="48">
        <v>2217.4499999999998</v>
      </c>
      <c r="J37" s="48">
        <v>583.30399999999997</v>
      </c>
      <c r="K37" s="49">
        <v>26.305170353333786</v>
      </c>
      <c r="L37" s="50">
        <v>2304.79</v>
      </c>
      <c r="M37" s="51">
        <v>608.62599999999998</v>
      </c>
      <c r="N37" s="52">
        <v>26.407004542713221</v>
      </c>
      <c r="O37" s="53">
        <v>2263.0700000000002</v>
      </c>
      <c r="P37" s="54">
        <v>559.84100000000001</v>
      </c>
      <c r="Q37" s="55">
        <v>24.738121224708028</v>
      </c>
      <c r="R37" s="76">
        <v>2278.65</v>
      </c>
      <c r="S37" s="83">
        <v>582.31600000000003</v>
      </c>
      <c r="T37" s="78">
        <v>25.555306870296008</v>
      </c>
    </row>
    <row r="38" spans="1:20" ht="15.75" customHeight="1">
      <c r="A38" s="102"/>
      <c r="B38" s="57" t="s">
        <v>140</v>
      </c>
      <c r="C38" s="58">
        <v>2839.18</v>
      </c>
      <c r="D38" s="58">
        <v>93.955500000000001</v>
      </c>
      <c r="E38" s="59">
        <v>3.3092477405448051</v>
      </c>
      <c r="F38" s="60">
        <v>2852.75</v>
      </c>
      <c r="G38" s="60">
        <v>124.971</v>
      </c>
      <c r="H38" s="61">
        <v>4.3807203575497322</v>
      </c>
      <c r="I38" s="60">
        <v>2949.99</v>
      </c>
      <c r="J38" s="60">
        <v>137.63999999999999</v>
      </c>
      <c r="K38" s="61">
        <v>4.6657785280628072</v>
      </c>
      <c r="L38" s="62">
        <v>3082.31</v>
      </c>
      <c r="M38" s="63">
        <v>134.16999999999999</v>
      </c>
      <c r="N38" s="64">
        <v>4.3529041530540402</v>
      </c>
      <c r="O38" s="65">
        <v>3130.92</v>
      </c>
      <c r="P38" s="66">
        <v>121.407</v>
      </c>
      <c r="Q38" s="67">
        <v>3.8776781265570501</v>
      </c>
      <c r="R38" s="76">
        <v>3180.95</v>
      </c>
      <c r="S38" s="83">
        <v>141.87899999999999</v>
      </c>
      <c r="T38" s="78">
        <v>4.4602713025982803</v>
      </c>
    </row>
    <row r="39" spans="1:20" ht="15.75" customHeight="1">
      <c r="A39" s="108" t="s">
        <v>141</v>
      </c>
      <c r="B39" s="109"/>
      <c r="C39" s="85">
        <v>17941.2</v>
      </c>
      <c r="D39" s="85">
        <v>2075.1799999999998</v>
      </c>
      <c r="E39" s="86">
        <v>11.566561879918845</v>
      </c>
      <c r="F39" s="87">
        <v>18403.099999999999</v>
      </c>
      <c r="G39" s="87">
        <v>2294.7399999999998</v>
      </c>
      <c r="H39" s="88">
        <v>12.469312235438593</v>
      </c>
      <c r="I39" s="87">
        <v>18991.8</v>
      </c>
      <c r="J39" s="87">
        <v>2379.61</v>
      </c>
      <c r="K39" s="88">
        <v>12.529670699986312</v>
      </c>
      <c r="L39" s="62">
        <v>19474.400000000001</v>
      </c>
      <c r="M39" s="71">
        <v>2411.09</v>
      </c>
      <c r="N39" s="64">
        <v>12.380817894261185</v>
      </c>
      <c r="O39" s="65">
        <v>19743.3</v>
      </c>
      <c r="P39" s="66">
        <v>2365.36</v>
      </c>
      <c r="Q39" s="67">
        <v>11.980570623958508</v>
      </c>
      <c r="R39" s="89">
        <v>20006</v>
      </c>
      <c r="S39" s="90">
        <v>2479.25</v>
      </c>
      <c r="T39" s="91">
        <v>12.392532240327901</v>
      </c>
    </row>
    <row r="40" spans="1:20">
      <c r="A40" s="24" t="s">
        <v>142</v>
      </c>
      <c r="B40" s="105" t="s">
        <v>143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</row>
    <row r="41" spans="1:20">
      <c r="B41" s="105" t="s">
        <v>144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</row>
    <row r="42" spans="1:20" s="92" customFormat="1" ht="13.5" customHeight="1">
      <c r="B42" s="106" t="s">
        <v>145</v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0" ht="15.75" customHeight="1">
      <c r="A43" s="24" t="s">
        <v>146</v>
      </c>
      <c r="B43" s="107" t="s">
        <v>147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</row>
    <row r="64" ht="15.75" customHeight="1"/>
    <row r="71" ht="15.75" customHeight="1"/>
    <row r="72" ht="15.75" customHeight="1"/>
    <row r="78" ht="15.75" customHeight="1"/>
    <row r="79" ht="15.75" customHeight="1"/>
    <row r="86" spans="15:15" ht="15.75" customHeight="1"/>
    <row r="87" spans="15:15" ht="15.75" customHeight="1"/>
    <row r="89" spans="15:15">
      <c r="O89" s="24" t="e">
        <f>#REF!+#REF!</f>
        <v>#REF!</v>
      </c>
    </row>
    <row r="90" spans="15:15">
      <c r="O90" s="24" t="e">
        <f>#REF!+#REF!</f>
        <v>#REF!</v>
      </c>
    </row>
    <row r="93" spans="15:15">
      <c r="O93" s="24" t="e">
        <f>O89+O90</f>
        <v>#REF!</v>
      </c>
    </row>
    <row r="111" ht="16.5" customHeight="1"/>
    <row r="112" ht="15.75" customHeight="1"/>
    <row r="113" ht="15.75" customHeight="1"/>
  </sheetData>
  <mergeCells count="27">
    <mergeCell ref="A1:T1"/>
    <mergeCell ref="I2:K2"/>
    <mergeCell ref="R2:T2"/>
    <mergeCell ref="A3:A5"/>
    <mergeCell ref="B3:B5"/>
    <mergeCell ref="C3:E3"/>
    <mergeCell ref="F3:H3"/>
    <mergeCell ref="I3:K3"/>
    <mergeCell ref="L3:N3"/>
    <mergeCell ref="O3:Q3"/>
    <mergeCell ref="R3:T3"/>
    <mergeCell ref="E4:E5"/>
    <mergeCell ref="H4:H5"/>
    <mergeCell ref="K4:K5"/>
    <mergeCell ref="N4:N5"/>
    <mergeCell ref="Q4:Q5"/>
    <mergeCell ref="T4:T5"/>
    <mergeCell ref="B40:T40"/>
    <mergeCell ref="B41:T41"/>
    <mergeCell ref="B42:T42"/>
    <mergeCell ref="B43:T43"/>
    <mergeCell ref="A39:B39"/>
    <mergeCell ref="A6:A8"/>
    <mergeCell ref="A9:A10"/>
    <mergeCell ref="A11:A13"/>
    <mergeCell ref="A14:A29"/>
    <mergeCell ref="A30:A38"/>
  </mergeCells>
  <pageMargins left="0.75" right="0.75" top="1" bottom="1" header="0.5" footer="0.5"/>
  <pageSetup paperSize="9" scale="3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059D-400C-4D6E-8760-7A1D889573C2}">
  <dimension ref="A1:K43"/>
  <sheetViews>
    <sheetView topLeftCell="A16" workbookViewId="0">
      <selection activeCell="C2" sqref="C2:C43"/>
    </sheetView>
  </sheetViews>
  <sheetFormatPr defaultRowHeight="15"/>
  <cols>
    <col min="1" max="1" width="11.7109375" bestFit="1" customWidth="1"/>
    <col min="2" max="2" width="67.85546875" bestFit="1" customWidth="1"/>
    <col min="3" max="3" width="45.7109375" bestFit="1" customWidth="1"/>
    <col min="4" max="4" width="16.28515625" customWidth="1"/>
    <col min="11" max="11" width="14.28515625" customWidth="1"/>
  </cols>
  <sheetData>
    <row r="1" spans="1:4" ht="45">
      <c r="A1" s="8" t="s">
        <v>47</v>
      </c>
      <c r="B1" s="2" t="s">
        <v>48</v>
      </c>
      <c r="C1" s="2" t="s">
        <v>49</v>
      </c>
      <c r="D1" s="9" t="s">
        <v>91</v>
      </c>
    </row>
    <row r="2" spans="1:4" ht="15.75" thickBot="1">
      <c r="A2" s="3" t="s">
        <v>2</v>
      </c>
      <c r="B2" t="s">
        <v>50</v>
      </c>
      <c r="C2" s="123" t="str">
        <f>'Korea Labor Union Data 2017'!B14</f>
        <v>Agriculture, forestry, fishing, mining</v>
      </c>
      <c r="D2" s="13">
        <f>IFERROR(VLOOKUP(C2,'Korea Labor Union Data 2017'!$B$14:$T$29,19,FALSE),10.5)/100</f>
        <v>9.4916316027199438E-2</v>
      </c>
    </row>
    <row r="3" spans="1:4">
      <c r="A3" s="10" t="s">
        <v>38</v>
      </c>
      <c r="B3" t="s">
        <v>51</v>
      </c>
      <c r="C3" s="123" t="str">
        <f>'Korea Labor Union Data 2017'!B14</f>
        <v>Agriculture, forestry, fishing, mining</v>
      </c>
      <c r="D3" s="13">
        <f>IFERROR(VLOOKUP(C3,'Korea Labor Union Data 2017'!$B$14:$T$29,19,FALSE),10.5)/100</f>
        <v>9.4916316027199438E-2</v>
      </c>
    </row>
    <row r="4" spans="1:4" ht="15.75" thickBot="1">
      <c r="A4" s="11" t="s">
        <v>37</v>
      </c>
      <c r="B4" t="s">
        <v>52</v>
      </c>
      <c r="C4" s="123" t="str">
        <f>'Korea Labor Union Data 2017'!B14</f>
        <v>Agriculture, forestry, fishing, mining</v>
      </c>
      <c r="D4" s="13">
        <f>IFERROR(VLOOKUP(C4,'Korea Labor Union Data 2017'!$B$14:$T$29,19,FALSE),10.5)/100</f>
        <v>9.4916316027199438E-2</v>
      </c>
    </row>
    <row r="5" spans="1:4">
      <c r="A5" s="3" t="s">
        <v>3</v>
      </c>
      <c r="B5" t="s">
        <v>53</v>
      </c>
      <c r="C5" s="123" t="str">
        <f>'Korea Labor Union Data 2017'!B14</f>
        <v>Agriculture, forestry, fishing, mining</v>
      </c>
      <c r="D5" s="13">
        <f>IFERROR(VLOOKUP(C5,'Korea Labor Union Data 2017'!$B$14:$T$29,19,FALSE),10.5)/100</f>
        <v>9.4916316027199438E-2</v>
      </c>
    </row>
    <row r="6" spans="1:4">
      <c r="A6" s="3" t="s">
        <v>4</v>
      </c>
      <c r="B6" t="s">
        <v>54</v>
      </c>
      <c r="C6" s="123" t="str">
        <f>'Korea Labor Union Data 2017'!B14</f>
        <v>Agriculture, forestry, fishing, mining</v>
      </c>
      <c r="D6" s="13">
        <f>IFERROR(VLOOKUP(C6,'Korea Labor Union Data 2017'!$B$14:$T$29,19,FALSE),10.5)/100</f>
        <v>9.4916316027199438E-2</v>
      </c>
    </row>
    <row r="7" spans="1:4">
      <c r="A7" s="3" t="s">
        <v>5</v>
      </c>
      <c r="B7" t="s">
        <v>55</v>
      </c>
      <c r="C7" s="123" t="str">
        <f>'Korea Labor Union Data 2017'!B20</f>
        <v>Accommodation, food services</v>
      </c>
      <c r="D7" s="13">
        <f>IFERROR(VLOOKUP(C7,'Korea Labor Union Data 2017'!$B$14:$T$29,19,FALSE),10.5)/100</f>
        <v>1.7228746701300136E-2</v>
      </c>
    </row>
    <row r="8" spans="1:4">
      <c r="A8" s="3" t="s">
        <v>6</v>
      </c>
      <c r="B8" t="s">
        <v>56</v>
      </c>
      <c r="C8" s="123"/>
      <c r="D8" s="13">
        <f>IFERROR(VLOOKUP(C8,'Korea Labor Union Data 2017'!$B$14:$T$29,19,FALSE),10.5)/100</f>
        <v>0.105</v>
      </c>
    </row>
    <row r="9" spans="1:4">
      <c r="A9" s="3" t="s">
        <v>7</v>
      </c>
      <c r="B9" t="s">
        <v>57</v>
      </c>
      <c r="C9" s="123" t="str">
        <f>'Korea Labor Union Data 2017'!B14</f>
        <v>Agriculture, forestry, fishing, mining</v>
      </c>
      <c r="D9" s="13">
        <f>IFERROR(VLOOKUP(C9,'Korea Labor Union Data 2017'!$B$14:$T$29,19,FALSE),10.5)/100</f>
        <v>9.4916316027199438E-2</v>
      </c>
    </row>
    <row r="10" spans="1:4">
      <c r="A10" s="3" t="s">
        <v>8</v>
      </c>
      <c r="B10" t="s">
        <v>58</v>
      </c>
      <c r="C10" s="123"/>
      <c r="D10" s="13">
        <f>IFERROR(VLOOKUP(C10,'Korea Labor Union Data 2017'!$B$14:$T$29,19,FALSE),10.5)/100</f>
        <v>0.105</v>
      </c>
    </row>
    <row r="11" spans="1:4" ht="15.75" thickBot="1">
      <c r="A11" s="3" t="s">
        <v>9</v>
      </c>
      <c r="B11" t="s">
        <v>59</v>
      </c>
      <c r="C11" s="123"/>
      <c r="D11" s="13">
        <f>IFERROR(VLOOKUP(C11,'Korea Labor Union Data 2017'!$B$14:$T$29,19,FALSE),10.5)/100</f>
        <v>0.105</v>
      </c>
    </row>
    <row r="12" spans="1:4">
      <c r="A12" s="10" t="s">
        <v>36</v>
      </c>
      <c r="B12" t="s">
        <v>60</v>
      </c>
      <c r="C12" s="123" t="str">
        <f>'Korea Labor Union Data 2017'!B15</f>
        <v>Manufacturing</v>
      </c>
      <c r="D12" s="13">
        <f>IFERROR(VLOOKUP(C12,'Korea Labor Union Data 2017'!$B$14:$T$29,19,FALSE),10.5)/100</f>
        <v>0.15781486421916063</v>
      </c>
    </row>
    <row r="13" spans="1:4" ht="15.75" thickBot="1">
      <c r="A13" s="11" t="s">
        <v>35</v>
      </c>
      <c r="B13" t="s">
        <v>61</v>
      </c>
      <c r="C13" s="123" t="str">
        <f>'Korea Labor Union Data 2017'!B15</f>
        <v>Manufacturing</v>
      </c>
      <c r="D13" s="13">
        <f>IFERROR(VLOOKUP(C13,'Korea Labor Union Data 2017'!$B$14:$T$29,19,FALSE),10.5)/100</f>
        <v>0.15781486421916063</v>
      </c>
    </row>
    <row r="14" spans="1:4" ht="15.75" thickBot="1">
      <c r="A14" s="3" t="s">
        <v>10</v>
      </c>
      <c r="B14" t="s">
        <v>62</v>
      </c>
      <c r="C14" s="123" t="str">
        <f>'Korea Labor Union Data 2017'!B15</f>
        <v>Manufacturing</v>
      </c>
      <c r="D14" s="13">
        <f>IFERROR(VLOOKUP(C14,'Korea Labor Union Data 2017'!$B$14:$T$29,19,FALSE),10.5)/100</f>
        <v>0.15781486421916063</v>
      </c>
    </row>
    <row r="15" spans="1:4">
      <c r="A15" s="10" t="s">
        <v>40</v>
      </c>
      <c r="B15" t="s">
        <v>63</v>
      </c>
      <c r="C15" s="123" t="str">
        <f>'Korea Labor Union Data 2017'!B15</f>
        <v>Manufacturing</v>
      </c>
      <c r="D15" s="13">
        <f>IFERROR(VLOOKUP(C15,'Korea Labor Union Data 2017'!$B$14:$T$29,19,FALSE),10.5)/100</f>
        <v>0.15781486421916063</v>
      </c>
    </row>
    <row r="16" spans="1:4" ht="15.75" thickBot="1">
      <c r="A16" s="11" t="s">
        <v>39</v>
      </c>
      <c r="B16" t="s">
        <v>64</v>
      </c>
      <c r="C16" s="123" t="str">
        <f>'Korea Labor Union Data 2017'!B15</f>
        <v>Manufacturing</v>
      </c>
      <c r="D16" s="13">
        <f>IFERROR(VLOOKUP(C16,'Korea Labor Union Data 2017'!$B$14:$T$29,19,FALSE),10.5)/100</f>
        <v>0.15781486421916063</v>
      </c>
    </row>
    <row r="17" spans="1:4">
      <c r="A17" s="10" t="s">
        <v>41</v>
      </c>
      <c r="B17" t="s">
        <v>65</v>
      </c>
      <c r="C17" s="123" t="str">
        <f>'Korea Labor Union Data 2017'!B15</f>
        <v>Manufacturing</v>
      </c>
      <c r="D17" s="13">
        <f>IFERROR(VLOOKUP(C17,'Korea Labor Union Data 2017'!$B$14:$T$29,19,FALSE),10.5)/100</f>
        <v>0.15781486421916063</v>
      </c>
    </row>
    <row r="18" spans="1:4" ht="15.75" thickBot="1">
      <c r="A18" s="11" t="s">
        <v>42</v>
      </c>
      <c r="B18" t="s">
        <v>66</v>
      </c>
      <c r="C18" s="123" t="str">
        <f>'Korea Labor Union Data 2017'!B15</f>
        <v>Manufacturing</v>
      </c>
      <c r="D18" s="13">
        <f>IFERROR(VLOOKUP(C18,'Korea Labor Union Data 2017'!$B$14:$T$29,19,FALSE),10.5)/100</f>
        <v>0.15781486421916063</v>
      </c>
    </row>
    <row r="19" spans="1:4">
      <c r="A19" s="3" t="s">
        <v>11</v>
      </c>
      <c r="B19" t="s">
        <v>67</v>
      </c>
      <c r="C19" s="123"/>
      <c r="D19" s="13">
        <f>IFERROR(VLOOKUP(C19,'Korea Labor Union Data 2017'!$B$14:$T$29,19,FALSE),10.5)/100</f>
        <v>0.105</v>
      </c>
    </row>
    <row r="20" spans="1:4">
      <c r="A20" s="3" t="s">
        <v>12</v>
      </c>
      <c r="B20" t="s">
        <v>68</v>
      </c>
      <c r="C20" s="123" t="str">
        <f>'Korea Labor Union Data 2017'!B24</f>
        <v>Professional, scientific, technical industries</v>
      </c>
      <c r="D20" s="13">
        <f>IFERROR(VLOOKUP(C20,'Korea Labor Union Data 2017'!$B$14:$T$29,19,FALSE),10.5)/100</f>
        <v>0.10777080977424335</v>
      </c>
    </row>
    <row r="21" spans="1:4">
      <c r="A21" s="3" t="s">
        <v>13</v>
      </c>
      <c r="B21" t="s">
        <v>69</v>
      </c>
      <c r="C21" s="123" t="str">
        <f>'Korea Labor Union Data 2017'!B16</f>
        <v>Electricity, gas, water supply</v>
      </c>
      <c r="D21" s="13">
        <f>IFERROR(VLOOKUP(C21,'Korea Labor Union Data 2017'!$B$14:$T$29,19,FALSE),10.5)/100</f>
        <v>0.55360815977064814</v>
      </c>
    </row>
    <row r="22" spans="1:4">
      <c r="A22" s="3" t="s">
        <v>14</v>
      </c>
      <c r="B22" t="s">
        <v>70</v>
      </c>
      <c r="C22" s="123" t="str">
        <f>'Korea Labor Union Data 2017'!B15</f>
        <v>Manufacturing</v>
      </c>
      <c r="D22" s="13">
        <f>IFERROR(VLOOKUP(C22,'Korea Labor Union Data 2017'!$B$14:$T$29,19,FALSE),10.5)/100</f>
        <v>0.15781486421916063</v>
      </c>
    </row>
    <row r="23" spans="1:4">
      <c r="A23" s="3" t="s">
        <v>15</v>
      </c>
      <c r="B23" t="s">
        <v>71</v>
      </c>
      <c r="C23" s="123" t="str">
        <f>'Korea Labor Union Data 2017'!B15</f>
        <v>Manufacturing</v>
      </c>
      <c r="D23" s="13">
        <f>IFERROR(VLOOKUP(C23,'Korea Labor Union Data 2017'!$B$14:$T$29,19,FALSE),10.5)/100</f>
        <v>0.15781486421916063</v>
      </c>
    </row>
    <row r="24" spans="1:4">
      <c r="A24" s="3" t="s">
        <v>16</v>
      </c>
      <c r="B24" t="s">
        <v>72</v>
      </c>
      <c r="C24" s="123" t="str">
        <f>'Korea Labor Union Data 2017'!B15</f>
        <v>Manufacturing</v>
      </c>
      <c r="D24" s="13">
        <f>IFERROR(VLOOKUP(C24,'Korea Labor Union Data 2017'!$B$14:$T$29,19,FALSE),10.5)/100</f>
        <v>0.15781486421916063</v>
      </c>
    </row>
    <row r="25" spans="1:4" ht="15.75" thickBot="1">
      <c r="A25" s="3" t="s">
        <v>17</v>
      </c>
      <c r="B25" t="s">
        <v>73</v>
      </c>
      <c r="C25" s="123" t="str">
        <f>'Korea Labor Union Data 2017'!B15</f>
        <v>Manufacturing</v>
      </c>
      <c r="D25" s="13">
        <f>IFERROR(VLOOKUP(C25,'Korea Labor Union Data 2017'!$B$14:$T$29,19,FALSE),10.5)/100</f>
        <v>0.15781486421916063</v>
      </c>
    </row>
    <row r="26" spans="1:4">
      <c r="A26" s="10" t="s">
        <v>43</v>
      </c>
      <c r="B26" t="s">
        <v>74</v>
      </c>
      <c r="C26" s="123" t="str">
        <f>'Korea Labor Union Data 2017'!B16</f>
        <v>Electricity, gas, water supply</v>
      </c>
      <c r="D26" s="13">
        <f>IFERROR(VLOOKUP(C26,'Korea Labor Union Data 2017'!$B$14:$T$29,19,FALSE),10.5)/100</f>
        <v>0.55360815977064814</v>
      </c>
    </row>
    <row r="27" spans="1:4">
      <c r="A27" s="12" t="s">
        <v>44</v>
      </c>
      <c r="B27" t="s">
        <v>75</v>
      </c>
      <c r="C27" s="123" t="str">
        <f>'Korea Labor Union Data 2017'!B16</f>
        <v>Electricity, gas, water supply</v>
      </c>
      <c r="D27" s="13">
        <f>IFERROR(VLOOKUP(C27,'Korea Labor Union Data 2017'!$B$14:$T$29,19,FALSE),10.5)/100</f>
        <v>0.55360815977064814</v>
      </c>
    </row>
    <row r="28" spans="1:4" ht="15.75" thickBot="1">
      <c r="A28" s="11" t="s">
        <v>45</v>
      </c>
      <c r="B28" t="s">
        <v>76</v>
      </c>
      <c r="C28" s="123" t="str">
        <f>'Korea Labor Union Data 2017'!B16</f>
        <v>Electricity, gas, water supply</v>
      </c>
      <c r="D28" s="13">
        <f>IFERROR(VLOOKUP(C28,'Korea Labor Union Data 2017'!$B$14:$T$29,19,FALSE),10.5)/100</f>
        <v>0.55360815977064814</v>
      </c>
    </row>
    <row r="29" spans="1:4">
      <c r="A29" s="3" t="s">
        <v>18</v>
      </c>
      <c r="B29" t="s">
        <v>46</v>
      </c>
      <c r="C29" s="123" t="str">
        <f>'Korea Labor Union Data 2017'!B17</f>
        <v>Construction</v>
      </c>
      <c r="D29" s="13">
        <f>IFERROR(VLOOKUP(C29,'Korea Labor Union Data 2017'!$B$14:$T$29,19,FALSE),10.5)/100</f>
        <v>3.6468402961396092E-2</v>
      </c>
    </row>
    <row r="30" spans="1:4">
      <c r="A30" s="3" t="s">
        <v>19</v>
      </c>
      <c r="B30" t="s">
        <v>77</v>
      </c>
      <c r="C30" s="123" t="str">
        <f>'Korea Labor Union Data 2017'!B18</f>
        <v>Wholesale, retail trade</v>
      </c>
      <c r="D30" s="13">
        <f>IFERROR(VLOOKUP(C30,'Korea Labor Union Data 2017'!$B$14:$T$29,19,FALSE),10.5)/100</f>
        <v>5.2949895085159834E-2</v>
      </c>
    </row>
    <row r="31" spans="1:4">
      <c r="A31" s="3" t="s">
        <v>20</v>
      </c>
      <c r="B31" t="s">
        <v>78</v>
      </c>
      <c r="C31" s="123" t="str">
        <f>'Korea Labor Union Data 2017'!B19</f>
        <v>Transportation, warehousing</v>
      </c>
      <c r="D31" s="13">
        <f>IFERROR(VLOOKUP(C31,'Korea Labor Union Data 2017'!$B$14:$T$29,19,FALSE),10.5)/100</f>
        <v>0.32252422027813105</v>
      </c>
    </row>
    <row r="32" spans="1:4">
      <c r="A32" s="3" t="s">
        <v>21</v>
      </c>
      <c r="B32" t="s">
        <v>79</v>
      </c>
      <c r="C32" s="123" t="str">
        <f>'Korea Labor Union Data 2017'!B20</f>
        <v>Accommodation, food services</v>
      </c>
      <c r="D32" s="13">
        <f>IFERROR(VLOOKUP(C32,'Korea Labor Union Data 2017'!$B$14:$T$29,19,FALSE),10.5)/100</f>
        <v>1.7228746701300136E-2</v>
      </c>
    </row>
    <row r="33" spans="1:11">
      <c r="A33" s="3" t="s">
        <v>22</v>
      </c>
      <c r="B33" t="s">
        <v>80</v>
      </c>
      <c r="C33" s="123" t="str">
        <f>'Korea Labor Union Data 2017'!B21</f>
        <v>ICT</v>
      </c>
      <c r="D33" s="13">
        <f>IFERROR(VLOOKUP(C33,'Korea Labor Union Data 2017'!$B$14:$T$29,19,FALSE),10.5)/100</f>
        <v>0.17628259111453226</v>
      </c>
    </row>
    <row r="34" spans="1:11">
      <c r="A34" s="3" t="s">
        <v>23</v>
      </c>
      <c r="B34" t="s">
        <v>81</v>
      </c>
      <c r="C34" s="123" t="str">
        <f>'Korea Labor Union Data 2017'!B21</f>
        <v>ICT</v>
      </c>
      <c r="D34" s="13">
        <f>IFERROR(VLOOKUP(C34,'Korea Labor Union Data 2017'!$B$14:$T$29,19,FALSE),10.5)/100</f>
        <v>0.17628259111453226</v>
      </c>
    </row>
    <row r="35" spans="1:11">
      <c r="A35" s="3" t="s">
        <v>24</v>
      </c>
      <c r="B35" t="s">
        <v>82</v>
      </c>
      <c r="C35" s="123" t="str">
        <f>'Korea Labor Union Data 2017'!B21</f>
        <v>ICT</v>
      </c>
      <c r="D35" s="13">
        <f>IFERROR(VLOOKUP(C35,'Korea Labor Union Data 2017'!$B$14:$T$29,19,FALSE),10.5)/100</f>
        <v>0.17628259111453226</v>
      </c>
    </row>
    <row r="36" spans="1:11">
      <c r="A36" s="3" t="s">
        <v>25</v>
      </c>
      <c r="B36" t="s">
        <v>83</v>
      </c>
      <c r="C36" s="123" t="str">
        <f>'Korea Labor Union Data 2017'!B22</f>
        <v>Finance, insurance</v>
      </c>
      <c r="D36" s="13">
        <f>IFERROR(VLOOKUP(C36,'Korea Labor Union Data 2017'!$B$14:$T$29,19,FALSE),10.5)/100</f>
        <v>0.2655591089734875</v>
      </c>
      <c r="K36" s="2"/>
    </row>
    <row r="37" spans="1:11">
      <c r="A37" s="3" t="s">
        <v>26</v>
      </c>
      <c r="B37" t="s">
        <v>84</v>
      </c>
      <c r="C37" s="123" t="str">
        <f>'Korea Labor Union Data 2017'!B23</f>
        <v>Real estate, leasing</v>
      </c>
      <c r="D37" s="13">
        <f>IFERROR(VLOOKUP(C37,'Korea Labor Union Data 2017'!$B$14:$T$29,19,FALSE),10.5)/100</f>
        <v>2.9048081805128651E-2</v>
      </c>
      <c r="K37" s="2"/>
    </row>
    <row r="38" spans="1:11">
      <c r="A38" s="3" t="s">
        <v>27</v>
      </c>
      <c r="B38" t="s">
        <v>85</v>
      </c>
      <c r="C38" s="123" t="str">
        <f>'Korea Labor Union Data 2017'!B29</f>
        <v>Other</v>
      </c>
      <c r="D38" s="13">
        <f>IFERROR(VLOOKUP(C38,'Korea Labor Union Data 2017'!$B$14:$T$29,19,FALSE),10.5)/100</f>
        <v>6.9000000000000006E-2</v>
      </c>
    </row>
    <row r="39" spans="1:11">
      <c r="A39" s="3" t="s">
        <v>28</v>
      </c>
      <c r="B39" t="s">
        <v>86</v>
      </c>
      <c r="C39" s="123" t="str">
        <f>'Korea Labor Union Data 2017'!B26</f>
        <v>Public administration, defense, social security</v>
      </c>
      <c r="D39" s="13">
        <f>IFERROR(VLOOKUP(C39,'Korea Labor Union Data 2017'!$B$14:$T$29,19,FALSE),10.5)/100</f>
        <v>0.29808437111681529</v>
      </c>
    </row>
    <row r="40" spans="1:11">
      <c r="A40" s="3" t="s">
        <v>29</v>
      </c>
      <c r="B40" t="s">
        <v>87</v>
      </c>
      <c r="C40" s="123" t="str">
        <f>'Korea Labor Union Data 2017'!B27</f>
        <v>Education</v>
      </c>
      <c r="D40" s="13">
        <f>IFERROR(VLOOKUP(C40,'Korea Labor Union Data 2017'!$B$14:$T$29,19,FALSE),10.5)/100</f>
        <v>0.16990831057354666</v>
      </c>
    </row>
    <row r="41" spans="1:11">
      <c r="A41" s="3" t="s">
        <v>30</v>
      </c>
      <c r="B41" t="s">
        <v>88</v>
      </c>
      <c r="C41" s="123" t="str">
        <f>'Korea Labor Union Data 2017'!B28</f>
        <v>Health, social welfare</v>
      </c>
      <c r="D41" s="13">
        <f>IFERROR(VLOOKUP(C41,'Korea Labor Union Data 2017'!$B$14:$T$29,19,FALSE),10.5)/100</f>
        <v>8.6337844914618281E-2</v>
      </c>
    </row>
    <row r="42" spans="1:11">
      <c r="A42" s="3" t="s">
        <v>31</v>
      </c>
      <c r="B42" t="s">
        <v>89</v>
      </c>
      <c r="C42" s="123" t="str">
        <f>'Korea Labor Union Data 2017'!B29</f>
        <v>Other</v>
      </c>
      <c r="D42" s="13">
        <f>IFERROR(VLOOKUP(C42,'Korea Labor Union Data 2017'!$B$14:$T$29,19,FALSE),10.5)/100</f>
        <v>6.9000000000000006E-2</v>
      </c>
    </row>
    <row r="43" spans="1:11">
      <c r="A43" s="3" t="s">
        <v>32</v>
      </c>
      <c r="B43" t="s">
        <v>90</v>
      </c>
      <c r="C43" s="123" t="str">
        <f>'Korea Labor Union Data 2017'!B29</f>
        <v>Other</v>
      </c>
      <c r="D43" s="13">
        <f>IFERROR(VLOOKUP(C43,'Korea Labor Union Data 2017'!$B$14:$T$29,19,FALSE),10.5)/100</f>
        <v>6.9000000000000006E-2</v>
      </c>
    </row>
  </sheetData>
  <sortState xmlns:xlrd2="http://schemas.microsoft.com/office/spreadsheetml/2017/richdata2" ref="K30:K45">
    <sortCondition ref="K30:K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55DF-A297-4213-AF7B-8CD84E93B1AA}">
  <sheetPr>
    <tabColor theme="4" tint="-0.249977111117893"/>
  </sheetPr>
  <dimension ref="A1:AQ64"/>
  <sheetViews>
    <sheetView tabSelected="1" workbookViewId="0">
      <selection activeCell="E12" sqref="E12"/>
    </sheetView>
  </sheetViews>
  <sheetFormatPr defaultRowHeight="15"/>
  <cols>
    <col min="1" max="1" width="33.28515625" customWidth="1"/>
    <col min="2" max="2" width="9.7109375" bestFit="1" customWidth="1"/>
    <col min="3" max="4" width="6.7109375" bestFit="1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43" width="11.5703125" customWidth="1"/>
  </cols>
  <sheetData>
    <row r="1" spans="1:43" s="4" customFormat="1">
      <c r="A1" s="6" t="s">
        <v>33</v>
      </c>
      <c r="B1" s="3" t="s">
        <v>2</v>
      </c>
      <c r="C1" s="17" t="s">
        <v>38</v>
      </c>
      <c r="D1" s="18" t="s">
        <v>37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7" t="s">
        <v>36</v>
      </c>
      <c r="M1" s="18" t="s">
        <v>35</v>
      </c>
      <c r="N1" s="3" t="s">
        <v>10</v>
      </c>
      <c r="O1" s="17" t="s">
        <v>40</v>
      </c>
      <c r="P1" s="21" t="s">
        <v>39</v>
      </c>
      <c r="Q1" s="17" t="s">
        <v>41</v>
      </c>
      <c r="R1" s="18" t="s">
        <v>42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17" t="s">
        <v>43</v>
      </c>
      <c r="AA1" s="21" t="s">
        <v>44</v>
      </c>
      <c r="AB1" s="18" t="s">
        <v>45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AK1" s="3" t="s">
        <v>26</v>
      </c>
      <c r="AL1" s="3" t="s">
        <v>27</v>
      </c>
      <c r="AM1" s="3" t="s">
        <v>28</v>
      </c>
      <c r="AN1" s="3" t="s">
        <v>29</v>
      </c>
      <c r="AO1" s="3" t="s">
        <v>30</v>
      </c>
      <c r="AP1" s="3" t="s">
        <v>31</v>
      </c>
      <c r="AQ1" s="3" t="s">
        <v>32</v>
      </c>
    </row>
    <row r="2" spans="1:43" ht="15.75" thickBot="1">
      <c r="A2" s="5" t="s">
        <v>34</v>
      </c>
      <c r="B2" s="5" cm="1">
        <f t="array" ref="B2:AQ2">TRANSPOSE('ISIC to BLS Map'!D2:D43)</f>
        <v>9.4916316027199438E-2</v>
      </c>
      <c r="C2" s="19">
        <v>9.4916316027199438E-2</v>
      </c>
      <c r="D2" s="20">
        <v>9.4916316027199438E-2</v>
      </c>
      <c r="E2" s="5">
        <v>9.4916316027199438E-2</v>
      </c>
      <c r="F2" s="5">
        <v>9.4916316027199438E-2</v>
      </c>
      <c r="G2" s="5">
        <v>1.7228746701300136E-2</v>
      </c>
      <c r="H2" s="5">
        <v>0.105</v>
      </c>
      <c r="I2" s="5">
        <v>9.4916316027199438E-2</v>
      </c>
      <c r="J2" s="5">
        <v>0.105</v>
      </c>
      <c r="K2" s="5">
        <v>0.105</v>
      </c>
      <c r="L2" s="19">
        <v>0.15781486421916063</v>
      </c>
      <c r="M2" s="20">
        <v>0.15781486421916063</v>
      </c>
      <c r="N2" s="5">
        <v>0.15781486421916063</v>
      </c>
      <c r="O2" s="19">
        <v>0.15781486421916063</v>
      </c>
      <c r="P2" s="22">
        <v>0.15781486421916063</v>
      </c>
      <c r="Q2" s="19">
        <v>0.15781486421916063</v>
      </c>
      <c r="R2" s="20">
        <v>0.15781486421916063</v>
      </c>
      <c r="S2" s="5">
        <v>0.105</v>
      </c>
      <c r="T2" s="5">
        <v>0.10777080977424335</v>
      </c>
      <c r="U2" s="5">
        <v>0.55360815977064814</v>
      </c>
      <c r="V2" s="5">
        <v>0.15781486421916063</v>
      </c>
      <c r="W2" s="5">
        <v>0.15781486421916063</v>
      </c>
      <c r="X2" s="5">
        <v>0.15781486421916063</v>
      </c>
      <c r="Y2" s="5">
        <v>0.15781486421916063</v>
      </c>
      <c r="Z2" s="19">
        <v>0.55360815977064814</v>
      </c>
      <c r="AA2" s="22">
        <v>0.55360815977064814</v>
      </c>
      <c r="AB2" s="20">
        <v>0.55360815977064814</v>
      </c>
      <c r="AC2" s="5">
        <v>3.6468402961396092E-2</v>
      </c>
      <c r="AD2" s="5">
        <v>5.2949895085159834E-2</v>
      </c>
      <c r="AE2" s="5">
        <v>0.32252422027813105</v>
      </c>
      <c r="AF2" s="5">
        <v>1.7228746701300136E-2</v>
      </c>
      <c r="AG2" s="5">
        <v>0.17628259111453226</v>
      </c>
      <c r="AH2" s="5">
        <v>0.17628259111453226</v>
      </c>
      <c r="AI2" s="5">
        <v>0.17628259111453226</v>
      </c>
      <c r="AJ2" s="5">
        <v>0.2655591089734875</v>
      </c>
      <c r="AK2" s="5">
        <v>2.9048081805128651E-2</v>
      </c>
      <c r="AL2" s="5">
        <v>6.9000000000000006E-2</v>
      </c>
      <c r="AM2" s="5">
        <v>0.29808437111681529</v>
      </c>
      <c r="AN2" s="5">
        <v>0.16990831057354666</v>
      </c>
      <c r="AO2" s="5">
        <v>8.6337844914618281E-2</v>
      </c>
      <c r="AP2">
        <v>6.9000000000000006E-2</v>
      </c>
      <c r="AQ2">
        <v>6.9000000000000006E-2</v>
      </c>
    </row>
    <row r="3" spans="1:43">
      <c r="AE3" s="7"/>
    </row>
    <row r="6" spans="1:43">
      <c r="B6" s="14"/>
      <c r="C6" s="14"/>
      <c r="D6" s="14"/>
      <c r="E6" s="14"/>
      <c r="F6" s="14"/>
      <c r="G6" s="14"/>
      <c r="H6" s="14"/>
    </row>
    <row r="7" spans="1:43">
      <c r="B7" s="15"/>
      <c r="C7" s="14"/>
      <c r="D7" s="14"/>
      <c r="E7" s="14"/>
      <c r="F7" s="14"/>
      <c r="G7" s="14"/>
      <c r="H7" s="14"/>
    </row>
    <row r="8" spans="1:43">
      <c r="B8" s="14"/>
      <c r="C8" s="14"/>
      <c r="D8" s="14"/>
      <c r="E8" s="14"/>
      <c r="F8" s="14"/>
      <c r="G8" s="14"/>
      <c r="H8" s="14"/>
    </row>
    <row r="9" spans="1:43">
      <c r="B9" s="14"/>
      <c r="C9" s="14"/>
      <c r="D9" s="14"/>
      <c r="E9" s="14"/>
      <c r="F9" s="14"/>
      <c r="G9" s="14"/>
      <c r="H9" s="14"/>
    </row>
    <row r="10" spans="1:43">
      <c r="B10" s="14"/>
      <c r="C10" s="14"/>
      <c r="D10" s="14"/>
      <c r="E10" s="14"/>
      <c r="F10" s="14"/>
      <c r="G10" s="14"/>
      <c r="H10" s="14"/>
    </row>
    <row r="11" spans="1:43">
      <c r="B11" s="14"/>
      <c r="C11" s="14"/>
      <c r="D11" s="14"/>
      <c r="E11" s="14"/>
      <c r="F11" s="14"/>
      <c r="G11" s="14"/>
      <c r="H11" s="14"/>
    </row>
    <row r="12" spans="1:43">
      <c r="B12" s="14"/>
      <c r="C12" s="14"/>
      <c r="D12" s="14"/>
      <c r="E12" s="14"/>
      <c r="F12" s="14"/>
      <c r="G12" s="14"/>
      <c r="H12" s="14"/>
    </row>
    <row r="13" spans="1:43">
      <c r="B13" s="14"/>
      <c r="C13" s="14"/>
      <c r="D13" s="14"/>
      <c r="E13" s="14"/>
      <c r="F13" s="14"/>
      <c r="G13" s="14"/>
      <c r="H13" s="14"/>
    </row>
    <row r="14" spans="1:43">
      <c r="B14" s="14"/>
      <c r="C14" s="14"/>
      <c r="D14" s="14"/>
      <c r="E14" s="14"/>
      <c r="F14" s="14"/>
      <c r="G14" s="14"/>
      <c r="H14" s="14"/>
    </row>
    <row r="15" spans="1:43">
      <c r="B15" s="14"/>
      <c r="C15" s="14"/>
      <c r="D15" s="14"/>
      <c r="E15" s="14"/>
      <c r="F15" s="14"/>
      <c r="G15" s="14"/>
      <c r="H15" s="14"/>
    </row>
    <row r="16" spans="1:43">
      <c r="B16" s="16"/>
      <c r="C16" s="14"/>
      <c r="D16" s="14"/>
      <c r="E16" s="14"/>
      <c r="F16" s="14"/>
      <c r="G16" s="14"/>
      <c r="H16" s="14"/>
    </row>
    <row r="17" spans="2:8">
      <c r="B17" s="14"/>
      <c r="C17" s="14"/>
      <c r="D17" s="14"/>
      <c r="E17" s="14"/>
      <c r="F17" s="14"/>
      <c r="G17" s="14"/>
      <c r="H17" s="14"/>
    </row>
    <row r="18" spans="2:8">
      <c r="B18" s="14"/>
      <c r="C18" s="14"/>
      <c r="D18" s="14"/>
      <c r="E18" s="14"/>
      <c r="F18" s="14"/>
      <c r="G18" s="14"/>
      <c r="H18" s="14"/>
    </row>
    <row r="19" spans="2:8">
      <c r="B19" s="14"/>
      <c r="C19" s="14"/>
      <c r="D19" s="14"/>
      <c r="E19" s="14"/>
      <c r="F19" s="14"/>
      <c r="G19" s="14"/>
      <c r="H19" s="14"/>
    </row>
    <row r="20" spans="2:8">
      <c r="B20" s="14"/>
      <c r="C20" s="14"/>
      <c r="D20" s="14"/>
      <c r="E20" s="14"/>
      <c r="F20" s="14"/>
      <c r="G20" s="14"/>
      <c r="H20" s="14"/>
    </row>
    <row r="21" spans="2:8">
      <c r="B21" s="14"/>
      <c r="C21" s="14"/>
      <c r="D21" s="14"/>
      <c r="E21" s="14"/>
      <c r="F21" s="14"/>
      <c r="G21" s="14"/>
      <c r="H21" s="14"/>
    </row>
    <row r="22" spans="2:8">
      <c r="B22" s="14"/>
      <c r="C22" s="14"/>
      <c r="D22" s="14"/>
      <c r="E22" s="14"/>
      <c r="F22" s="14"/>
      <c r="G22" s="14"/>
      <c r="H22" s="14"/>
    </row>
    <row r="23" spans="2:8">
      <c r="B23" s="14"/>
      <c r="C23" s="14"/>
      <c r="D23" s="14"/>
      <c r="E23" s="14"/>
      <c r="F23" s="14"/>
      <c r="G23" s="14"/>
      <c r="H23" s="14"/>
    </row>
    <row r="24" spans="2:8">
      <c r="B24" s="14"/>
      <c r="C24" s="14"/>
      <c r="D24" s="14"/>
      <c r="E24" s="14"/>
      <c r="F24" s="14"/>
      <c r="G24" s="14"/>
      <c r="H24" s="14"/>
    </row>
    <row r="25" spans="2:8">
      <c r="B25" s="14"/>
      <c r="C25" s="14"/>
      <c r="D25" s="14"/>
      <c r="E25" s="14"/>
      <c r="F25" s="14"/>
      <c r="G25" s="14"/>
      <c r="H25" s="14"/>
    </row>
    <row r="26" spans="2:8">
      <c r="B26" s="14"/>
      <c r="C26" s="14"/>
      <c r="D26" s="14"/>
      <c r="E26" s="14"/>
      <c r="F26" s="14"/>
      <c r="G26" s="14"/>
      <c r="H26" s="14"/>
    </row>
    <row r="27" spans="2:8">
      <c r="B27" s="14"/>
      <c r="C27" s="14"/>
      <c r="D27" s="14"/>
      <c r="E27" s="14"/>
      <c r="F27" s="14"/>
      <c r="G27" s="14"/>
      <c r="H27" s="14"/>
    </row>
    <row r="28" spans="2:8">
      <c r="B28" s="14"/>
      <c r="C28" s="14"/>
      <c r="D28" s="14"/>
      <c r="E28" s="14"/>
      <c r="F28" s="14"/>
      <c r="G28" s="14"/>
      <c r="H28" s="14"/>
    </row>
    <row r="29" spans="2:8">
      <c r="B29" s="14"/>
      <c r="C29" s="14"/>
      <c r="D29" s="14"/>
      <c r="E29" s="14"/>
      <c r="F29" s="14"/>
      <c r="G29" s="14"/>
      <c r="H29" s="14"/>
    </row>
    <row r="30" spans="2:8">
      <c r="B30" s="14"/>
      <c r="C30" s="14"/>
      <c r="D30" s="14"/>
      <c r="E30" s="14"/>
      <c r="F30" s="14"/>
      <c r="G30" s="14"/>
      <c r="H30" s="14"/>
    </row>
    <row r="31" spans="2:8">
      <c r="B31" s="14"/>
      <c r="C31" s="14"/>
      <c r="D31" s="14"/>
      <c r="E31" s="14"/>
      <c r="F31" s="14"/>
      <c r="G31" s="14"/>
      <c r="H31" s="14"/>
    </row>
    <row r="32" spans="2:8">
      <c r="B32" s="14"/>
      <c r="C32" s="14"/>
      <c r="D32" s="14"/>
      <c r="E32" s="14"/>
      <c r="F32" s="14"/>
      <c r="G32" s="14"/>
      <c r="H32" s="14"/>
    </row>
    <row r="33" spans="2:8">
      <c r="B33" s="14"/>
      <c r="C33" s="14"/>
      <c r="D33" s="14"/>
      <c r="E33" s="14"/>
      <c r="F33" s="14"/>
      <c r="G33" s="14"/>
      <c r="H33" s="14"/>
    </row>
    <row r="34" spans="2:8">
      <c r="B34" s="14"/>
      <c r="C34" s="14"/>
      <c r="D34" s="14"/>
      <c r="E34" s="14"/>
      <c r="F34" s="14"/>
      <c r="G34" s="14"/>
      <c r="H34" s="14"/>
    </row>
    <row r="35" spans="2:8">
      <c r="B35" s="14"/>
      <c r="C35" s="14"/>
      <c r="D35" s="14"/>
      <c r="E35" s="14"/>
      <c r="F35" s="14"/>
      <c r="G35" s="14"/>
      <c r="H35" s="14"/>
    </row>
    <row r="36" spans="2:8">
      <c r="B36" s="14"/>
      <c r="C36" s="14"/>
      <c r="D36" s="14"/>
      <c r="E36" s="14"/>
      <c r="F36" s="14"/>
      <c r="G36" s="14"/>
      <c r="H36" s="14"/>
    </row>
    <row r="37" spans="2:8">
      <c r="B37" s="14"/>
      <c r="C37" s="14"/>
      <c r="D37" s="14"/>
      <c r="E37" s="14"/>
      <c r="F37" s="14"/>
      <c r="G37" s="14"/>
      <c r="H37" s="14"/>
    </row>
    <row r="38" spans="2:8">
      <c r="B38" s="14"/>
      <c r="C38" s="14"/>
      <c r="D38" s="14"/>
      <c r="E38" s="14"/>
      <c r="F38" s="14"/>
      <c r="G38" s="14"/>
      <c r="H38" s="14"/>
    </row>
    <row r="39" spans="2:8">
      <c r="B39" s="14"/>
      <c r="C39" s="14"/>
      <c r="D39" s="14"/>
      <c r="E39" s="14"/>
      <c r="F39" s="14"/>
      <c r="G39" s="14"/>
      <c r="H39" s="14"/>
    </row>
    <row r="40" spans="2:8">
      <c r="B40" s="14"/>
      <c r="C40" s="14"/>
      <c r="D40" s="14"/>
      <c r="E40" s="14"/>
      <c r="F40" s="14"/>
      <c r="G40" s="14"/>
      <c r="H40" s="14"/>
    </row>
    <row r="41" spans="2:8">
      <c r="B41" s="14"/>
      <c r="C41" s="14"/>
      <c r="D41" s="14"/>
      <c r="E41" s="14"/>
      <c r="F41" s="14"/>
      <c r="G41" s="14"/>
      <c r="H41" s="14"/>
    </row>
    <row r="42" spans="2:8">
      <c r="B42" s="14"/>
      <c r="C42" s="14"/>
      <c r="D42" s="14"/>
      <c r="E42" s="14"/>
      <c r="F42" s="14"/>
      <c r="G42" s="14"/>
      <c r="H42" s="14"/>
    </row>
    <row r="43" spans="2:8">
      <c r="B43" s="14"/>
      <c r="C43" s="14"/>
      <c r="D43" s="14"/>
      <c r="E43" s="14"/>
      <c r="F43" s="14"/>
      <c r="G43" s="14"/>
      <c r="H43" s="14"/>
    </row>
    <row r="44" spans="2:8">
      <c r="B44" s="14"/>
      <c r="C44" s="14"/>
      <c r="D44" s="14"/>
      <c r="E44" s="14"/>
      <c r="F44" s="14"/>
      <c r="G44" s="14"/>
      <c r="H44" s="14"/>
    </row>
    <row r="45" spans="2:8">
      <c r="B45" s="14"/>
      <c r="C45" s="14"/>
      <c r="D45" s="14"/>
      <c r="E45" s="14"/>
      <c r="F45" s="14"/>
      <c r="G45" s="14"/>
      <c r="H45" s="14"/>
    </row>
    <row r="46" spans="2:8">
      <c r="B46" s="14"/>
      <c r="C46" s="14"/>
      <c r="D46" s="14"/>
      <c r="E46" s="14"/>
      <c r="F46" s="14"/>
      <c r="G46" s="14"/>
      <c r="H46" s="14"/>
    </row>
    <row r="47" spans="2:8">
      <c r="B47" s="14"/>
      <c r="C47" s="14"/>
      <c r="D47" s="14"/>
      <c r="E47" s="14"/>
      <c r="F47" s="14"/>
      <c r="G47" s="14"/>
      <c r="H47" s="14"/>
    </row>
    <row r="48" spans="2:8">
      <c r="B48" s="14"/>
      <c r="C48" s="14"/>
      <c r="D48" s="14"/>
      <c r="E48" s="14"/>
      <c r="F48" s="14"/>
      <c r="G48" s="14"/>
      <c r="H48" s="14"/>
    </row>
    <row r="49" spans="2:8">
      <c r="B49" s="14"/>
      <c r="C49" s="14"/>
      <c r="D49" s="14"/>
      <c r="E49" s="14"/>
      <c r="F49" s="14"/>
      <c r="G49" s="14"/>
      <c r="H49" s="14"/>
    </row>
    <row r="50" spans="2:8">
      <c r="B50" s="14"/>
      <c r="C50" s="14"/>
      <c r="D50" s="14"/>
      <c r="E50" s="14"/>
      <c r="F50" s="14"/>
      <c r="G50" s="14"/>
      <c r="H50" s="14"/>
    </row>
    <row r="51" spans="2:8">
      <c r="B51" s="14"/>
      <c r="C51" s="14"/>
      <c r="D51" s="14"/>
      <c r="E51" s="14"/>
      <c r="F51" s="14"/>
      <c r="G51" s="14"/>
      <c r="H51" s="14"/>
    </row>
    <row r="52" spans="2:8">
      <c r="B52" s="14"/>
      <c r="C52" s="14"/>
      <c r="D52" s="14"/>
      <c r="E52" s="14"/>
      <c r="F52" s="14"/>
      <c r="G52" s="14"/>
      <c r="H52" s="14"/>
    </row>
    <row r="53" spans="2:8">
      <c r="B53" s="14"/>
      <c r="C53" s="14"/>
      <c r="D53" s="14"/>
      <c r="E53" s="14"/>
      <c r="F53" s="14"/>
      <c r="G53" s="14"/>
      <c r="H53" s="14"/>
    </row>
    <row r="54" spans="2:8">
      <c r="B54" s="14"/>
      <c r="C54" s="14"/>
      <c r="D54" s="14"/>
      <c r="E54" s="14"/>
      <c r="F54" s="14"/>
      <c r="G54" s="14"/>
      <c r="H54" s="14"/>
    </row>
    <row r="55" spans="2:8">
      <c r="B55" s="14"/>
      <c r="C55" s="14"/>
      <c r="D55" s="14"/>
      <c r="E55" s="14"/>
      <c r="F55" s="14"/>
      <c r="G55" s="14"/>
      <c r="H55" s="14"/>
    </row>
    <row r="56" spans="2:8">
      <c r="B56" s="14"/>
      <c r="C56" s="14"/>
      <c r="D56" s="14"/>
      <c r="E56" s="14"/>
      <c r="F56" s="14"/>
      <c r="G56" s="14"/>
      <c r="H56" s="14"/>
    </row>
    <row r="57" spans="2:8">
      <c r="B57" s="14"/>
      <c r="C57" s="14"/>
      <c r="D57" s="14"/>
      <c r="E57" s="14"/>
      <c r="F57" s="14"/>
      <c r="G57" s="14"/>
      <c r="H57" s="14"/>
    </row>
    <row r="58" spans="2:8">
      <c r="B58" s="14"/>
      <c r="C58" s="14"/>
      <c r="D58" s="14"/>
      <c r="E58" s="14"/>
      <c r="F58" s="14"/>
      <c r="G58" s="14"/>
      <c r="H58" s="14"/>
    </row>
    <row r="59" spans="2:8">
      <c r="B59" s="14"/>
      <c r="C59" s="14"/>
      <c r="D59" s="14"/>
      <c r="E59" s="14"/>
      <c r="F59" s="14"/>
      <c r="G59" s="14"/>
      <c r="H59" s="14"/>
    </row>
    <row r="60" spans="2:8">
      <c r="B60" s="14"/>
      <c r="C60" s="14"/>
      <c r="D60" s="14"/>
      <c r="E60" s="14"/>
      <c r="F60" s="14"/>
      <c r="G60" s="14"/>
      <c r="H60" s="14"/>
    </row>
    <row r="61" spans="2:8">
      <c r="B61" s="14"/>
      <c r="C61" s="14"/>
      <c r="D61" s="14"/>
      <c r="E61" s="14"/>
      <c r="F61" s="14"/>
      <c r="G61" s="14"/>
      <c r="H61" s="14"/>
    </row>
    <row r="62" spans="2:8">
      <c r="B62" s="14"/>
      <c r="C62" s="14"/>
      <c r="D62" s="14"/>
      <c r="E62" s="14"/>
      <c r="F62" s="14"/>
      <c r="G62" s="14"/>
      <c r="H62" s="14"/>
    </row>
    <row r="63" spans="2:8">
      <c r="B63" s="14"/>
      <c r="C63" s="14"/>
      <c r="D63" s="14"/>
      <c r="E63" s="14"/>
      <c r="F63" s="14"/>
      <c r="G63" s="14"/>
      <c r="H63" s="14"/>
    </row>
    <row r="64" spans="2:8">
      <c r="B64" s="14"/>
      <c r="C64" s="14"/>
      <c r="D64" s="14"/>
      <c r="E64" s="14"/>
      <c r="F64" s="14"/>
      <c r="G64" s="14"/>
      <c r="H64" s="14"/>
    </row>
  </sheetData>
  <conditionalFormatting sqref="G17:G6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A5F3A3-AC91-4538-96F6-DC4D93BE5B46}"/>
</file>

<file path=customXml/itemProps2.xml><?xml version="1.0" encoding="utf-8"?>
<ds:datastoreItem xmlns:ds="http://schemas.openxmlformats.org/officeDocument/2006/customXml" ds:itemID="{776FE187-490B-4441-B62D-D4E9766A7B9E}"/>
</file>

<file path=customXml/itemProps3.xml><?xml version="1.0" encoding="utf-8"?>
<ds:datastoreItem xmlns:ds="http://schemas.openxmlformats.org/officeDocument/2006/customXml" ds:itemID="{B0653414-BACD-496B-92FF-A73B962DC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Korea Labor Union Data 2017</vt:lpstr>
      <vt:lpstr>ISIC to BLS Map</vt:lpstr>
      <vt:lpstr>URPbIC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Sarrynna Sou</cp:lastModifiedBy>
  <dcterms:created xsi:type="dcterms:W3CDTF">2020-06-11T23:16:37Z</dcterms:created>
  <dcterms:modified xsi:type="dcterms:W3CDTF">2021-06-01T22:34:39Z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