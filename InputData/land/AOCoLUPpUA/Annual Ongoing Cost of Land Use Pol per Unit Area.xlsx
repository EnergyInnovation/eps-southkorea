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41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inhe\Dropbox\01. NEXT Group\00. NEXT Group\20. 프로젝트 관리\2025 에너지 수요전망 모형 구축\EPS 모형\eps-southkorea-3.3.1\InputData\land\AOCoLUPpUA\"/>
    </mc:Choice>
  </mc:AlternateContent>
  <xr:revisionPtr revIDLastSave="0" documentId="13_ncr:1_{C0342AB9-CBDD-4140-B4B8-B8251C13B46A}" xr6:coauthVersionLast="36" xr6:coauthVersionMax="47" xr10:uidLastSave="{00000000-0000-0000-0000-000000000000}"/>
  <bookViews>
    <workbookView xWindow="11205" yWindow="840" windowWidth="20520" windowHeight="15465" xr2:uid="{00000000-000D-0000-FFFF-FFFF00000000}"/>
  </bookViews>
  <sheets>
    <sheet name="About" sheetId="1" r:id="rId1"/>
    <sheet name="Cal" sheetId="8" r:id="rId2"/>
    <sheet name="AOCoLUPpUA" sheetId="3" r:id="rId3"/>
  </sheets>
  <externalReferences>
    <externalReference r:id="rId4"/>
  </externalReferences>
  <definedNames>
    <definedName name="C_to_CO2">'[1]Conversion Factors'!$A$4</definedName>
  </definedNames>
  <calcPr calcId="191029"/>
</workbook>
</file>

<file path=xl/calcChain.xml><?xml version="1.0" encoding="utf-8"?>
<calcChain xmlns="http://schemas.openxmlformats.org/spreadsheetml/2006/main">
  <c r="C25" i="8" l="1"/>
  <c r="E6" i="8"/>
  <c r="E7" i="8" s="1"/>
  <c r="C29" i="8" s="1"/>
  <c r="C30" i="8" s="1"/>
  <c r="C31" i="8" s="1"/>
  <c r="B4" i="3" s="1"/>
  <c r="D4" i="8"/>
</calcChain>
</file>

<file path=xl/sharedStrings.xml><?xml version="1.0" encoding="utf-8"?>
<sst xmlns="http://schemas.openxmlformats.org/spreadsheetml/2006/main" count="57" uniqueCount="53">
  <si>
    <t>AOCoLUPpUA Annual Ongoing Cost of Land Use Policies per Unit Area</t>
  </si>
  <si>
    <t>Source:</t>
  </si>
  <si>
    <t>forest set asides</t>
  </si>
  <si>
    <t>afforestation and reforestation</t>
  </si>
  <si>
    <t>improved forest management</t>
  </si>
  <si>
    <t>avoid deforestation</t>
  </si>
  <si>
    <t>peatland restoration</t>
  </si>
  <si>
    <t>forest restoration</t>
  </si>
  <si>
    <t>annual maintenance cost ($ / acre)</t>
  </si>
  <si>
    <t>Notes</t>
    <phoneticPr fontId="6" type="noConversion"/>
  </si>
  <si>
    <t>Unit</t>
    <phoneticPr fontId="6" type="noConversion"/>
  </si>
  <si>
    <t>ha</t>
    <phoneticPr fontId="6" type="noConversion"/>
  </si>
  <si>
    <t>acre</t>
    <phoneticPr fontId="6" type="noConversion"/>
  </si>
  <si>
    <t>산림병해충별 사업비 및 사업면적</t>
    <phoneticPr fontId="6" type="noConversion"/>
  </si>
  <si>
    <t>솔잎혹파리</t>
  </si>
  <si>
    <t>사업비</t>
    <phoneticPr fontId="6" type="noConversion"/>
  </si>
  <si>
    <t>사업면적</t>
    <phoneticPr fontId="6" type="noConversion"/>
  </si>
  <si>
    <t>won</t>
    <phoneticPr fontId="6" type="noConversion"/>
  </si>
  <si>
    <t>ha</t>
    <phoneticPr fontId="6" type="noConversion"/>
  </si>
  <si>
    <t>솔껍질깍지벌레</t>
    <phoneticPr fontId="6" type="noConversion"/>
  </si>
  <si>
    <t>참나무시들음병</t>
    <phoneticPr fontId="6" type="noConversion"/>
  </si>
  <si>
    <t>기타병해충</t>
    <phoneticPr fontId="6" type="noConversion"/>
  </si>
  <si>
    <t>won/ha</t>
    <phoneticPr fontId="6" type="noConversion"/>
  </si>
  <si>
    <t>사업비/사업면적 가중평균치</t>
    <phoneticPr fontId="6" type="noConversion"/>
  </si>
  <si>
    <t>ha당 비료비용</t>
    <phoneticPr fontId="6" type="noConversion"/>
  </si>
  <si>
    <t>years</t>
    <phoneticPr fontId="6" type="noConversion"/>
  </si>
  <si>
    <t>시비란, 수목이 잘 성장할 수 있도록 천연 또는 인공의 양분을 공급하는 수목관리의 한 방법</t>
    <phoneticPr fontId="6" type="noConversion"/>
  </si>
  <si>
    <t>total</t>
    <phoneticPr fontId="6" type="noConversion"/>
  </si>
  <si>
    <t>won/ha</t>
    <phoneticPr fontId="6" type="noConversion"/>
  </si>
  <si>
    <t>won/acre</t>
    <phoneticPr fontId="6" type="noConversion"/>
  </si>
  <si>
    <t>USD</t>
    <phoneticPr fontId="6" type="noConversion"/>
  </si>
  <si>
    <t>$/acre</t>
    <phoneticPr fontId="6" type="noConversion"/>
  </si>
  <si>
    <t>Page 66, 77, 83, 93</t>
    <phoneticPr fontId="6" type="noConversion"/>
  </si>
  <si>
    <t>https://www.forest.go.kr/kfsweb/cmm/fms/FileDown.do;jsessionid=C75neeKhp9P7wk1NBQknRfKjHd53CUaCoAns1Gd3x9pJ6s2sJe4fZX2YEH3dtfEe.frswas02_servlet_engine5?atchFileId=FILE_000000020025108&amp;fileSn=0&amp;dwldHistYn=N&amp;bbsId=BBSMSTR_1069</t>
    <phoneticPr fontId="6" type="noConversion"/>
  </si>
  <si>
    <t>Page 4</t>
    <phoneticPr fontId="6" type="noConversion"/>
  </si>
  <si>
    <t>Avoid deforestion, peatland restoration, and forest restoration policies</t>
  </si>
  <si>
    <t>are not used in the U.S. version of the model.</t>
  </si>
  <si>
    <t>This variable is for the costs to maintain lands previously affected by one of the</t>
  </si>
  <si>
    <t>land use policies (such as "Afforestation/Reforestation") and thereby</t>
  </si>
  <si>
    <t>avoid emission of sequestered CO2.</t>
  </si>
  <si>
    <t>This variable is NOT for use with the Improved Forest Management policy,</t>
  </si>
  <si>
    <t>as that policy must be repeated every year in order to obtain carbon benefits</t>
  </si>
  <si>
    <t>in that year.  Its cost is handled in the "Implementation Cost of Land Use</t>
  </si>
  <si>
    <t>Policies per Unit Area" variable.</t>
  </si>
  <si>
    <t>Both new forests (from afforestation/reforestation) and forests set aside from</t>
  </si>
  <si>
    <t>timber harvesting need to be managed.</t>
  </si>
  <si>
    <t>Cost of pest control per ha</t>
    <phoneticPr fontId="6" type="noConversion"/>
  </si>
  <si>
    <t>Department of Forest</t>
    <phoneticPr fontId="6" type="noConversion"/>
  </si>
  <si>
    <t>Korea Forest Research Institute</t>
    <phoneticPr fontId="6" type="noConversion"/>
  </si>
  <si>
    <t>News Article</t>
    <phoneticPr fontId="6" type="noConversion"/>
  </si>
  <si>
    <t>Forest disease and pestcontrol plan</t>
    <phoneticPr fontId="6" type="noConversion"/>
  </si>
  <si>
    <t>Estimation of fertilizer cost per hectare</t>
    <phoneticPr fontId="6" type="noConversion"/>
  </si>
  <si>
    <t>https://www.forest.go.kr/newkfsweb/cmm/fms/BoardFileDown.do?atchFileId=FILE_000000000355787&amp;fileSn=1&amp;dwldHistYn=N&amp;bbsId=BBSMSTR_1036&amp;fn=%EC%82%B0%EB%B6%88%ED%94%BC%ED%95%B4%EC%A7%80%20%EB%A7%9E%EC%B6%A4%ED%98%95%20%EB%B9%84%EB%A3%8C%EB%A1%9C%20%EC%A1%B0%EA%B8%B0%EB%B3%B4%EA%B5%AC%20%EC%95%9E%EB%8B%B9%EA%B2%A8(%EA%B5%AD%EB%A6%BD%EC%82%B0%EB%A6%BC%EA%B3%BC%ED%95%99%EC%9B%90!).hw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</si>
</sst>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1" formatCode="_-* #,##0_-;\-* #,##0_-;_-* &quot;-&quot;_-;_-@_-"/>
    <numFmt numFmtId="43" formatCode="_-* #,##0.00_-;\-* #,##0.00_-;_-* &quot;-&quot;??_-;_-@_-"/>
    <numFmt numFmtId="176" formatCode="0.00_);[Red]\(0.00\)"/>
    <numFmt numFmtId="177" formatCode="0_);[Red]\(0\)"/>
    <numFmt numFmtId="178" formatCode="0_ "/>
  </numFmts>
  <fonts count="14" x14ac:knownFonts="1">
    <font>
      <sz val="11"/>
      <color theme="1"/>
      <name val="맑은 고딕"/>
      <family val="2"/>
      <scheme val="minor"/>
    </font>
    <font>
      <b/>
      <sz val="11"/>
      <color theme="1"/>
      <name val="맑은 고딕"/>
      <family val="2"/>
      <scheme val="minor"/>
    </font>
    <font>
      <sz val="9"/>
      <color theme="1"/>
      <name val="맑은 고딕"/>
      <family val="2"/>
      <scheme val="minor"/>
    </font>
    <font>
      <b/>
      <sz val="9"/>
      <color theme="1"/>
      <name val="맑은 고딕"/>
      <family val="2"/>
      <scheme val="minor"/>
    </font>
    <font>
      <b/>
      <sz val="12"/>
      <color theme="4"/>
      <name val="맑은 고딕"/>
      <family val="2"/>
      <scheme val="minor"/>
    </font>
    <font>
      <u/>
      <sz val="11"/>
      <color theme="10"/>
      <name val="맑은 고딕"/>
      <family val="2"/>
      <scheme val="minor"/>
    </font>
    <font>
      <sz val="8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ajor"/>
    </font>
    <font>
      <sz val="11"/>
      <color theme="1"/>
      <name val="맑은 고딕"/>
      <family val="2"/>
      <scheme val="minor"/>
    </font>
    <font>
      <sz val="11"/>
      <name val="맑은 고딕"/>
      <family val="2"/>
      <scheme val="minor"/>
    </font>
    <font>
      <sz val="11"/>
      <color rgb="FFFF0000"/>
      <name val="맑은 고딕"/>
      <family val="2"/>
      <scheme val="minor"/>
    </font>
    <font>
      <sz val="11"/>
      <color rgb="FFFF0000"/>
      <name val="맑은 고딕"/>
      <family val="3"/>
      <charset val="129"/>
      <scheme val="minor"/>
    </font>
    <font>
      <u/>
      <sz val="11"/>
      <color rgb="FFFF0000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dashed">
        <color theme="0" tint="-0.24994659260841701"/>
      </bottom>
      <diagonal/>
    </border>
    <border>
      <left/>
      <right/>
      <top style="medium">
        <color theme="4"/>
      </top>
      <bottom/>
      <diagonal/>
    </border>
    <border>
      <left/>
      <right/>
      <top/>
      <bottom style="thin">
        <color theme="0" tint="-0.249977111117893"/>
      </bottom>
      <diagonal/>
    </border>
  </borders>
  <cellStyleXfs count="9">
    <xf numFmtId="0" fontId="0" fillId="0" borderId="0"/>
    <xf numFmtId="0" fontId="2" fillId="0" borderId="2" applyNumberFormat="0" applyFont="0" applyProtection="0">
      <alignment wrapText="1"/>
    </xf>
    <xf numFmtId="0" fontId="2" fillId="0" borderId="0" applyNumberFormat="0" applyFill="0" applyBorder="0" applyAlignment="0" applyProtection="0"/>
    <xf numFmtId="0" fontId="2" fillId="0" borderId="3" applyNumberFormat="0" applyProtection="0">
      <alignment vertical="top" wrapText="1"/>
    </xf>
    <xf numFmtId="0" fontId="3" fillId="0" borderId="1" applyNumberFormat="0" applyProtection="0">
      <alignment wrapText="1"/>
    </xf>
    <xf numFmtId="0" fontId="3" fillId="0" borderId="4" applyNumberFormat="0" applyProtection="0">
      <alignment wrapText="1"/>
    </xf>
    <xf numFmtId="0" fontId="4" fillId="0" borderId="0" applyNumberFormat="0" applyProtection="0">
      <alignment horizontal="left"/>
    </xf>
    <xf numFmtId="0" fontId="5" fillId="0" borderId="0" applyNumberFormat="0" applyFill="0" applyBorder="0" applyAlignment="0" applyProtection="0"/>
    <xf numFmtId="41" fontId="9" fillId="0" borderId="0" applyFont="0" applyFill="0" applyBorder="0" applyAlignment="0" applyProtection="0">
      <alignment vertical="center"/>
    </xf>
  </cellStyleXfs>
  <cellXfs count="25">
    <xf numFmtId="0" fontId="0" fillId="0" borderId="0" xfId="0"/>
    <xf numFmtId="0" fontId="1" fillId="0" borderId="0" xfId="0" applyFont="1"/>
    <xf numFmtId="0" fontId="0" fillId="0" borderId="0" xfId="0" applyAlignment="1">
      <alignment horizontal="left"/>
    </xf>
    <xf numFmtId="0" fontId="0" fillId="2" borderId="0" xfId="0" applyFill="1"/>
    <xf numFmtId="0" fontId="5" fillId="0" borderId="0" xfId="7"/>
    <xf numFmtId="0" fontId="7" fillId="0" borderId="0" xfId="0" applyFont="1"/>
    <xf numFmtId="0" fontId="7" fillId="0" borderId="0" xfId="0" applyFont="1" applyAlignment="1">
      <alignment vertical="center"/>
    </xf>
    <xf numFmtId="0" fontId="0" fillId="0" borderId="0" xfId="0" applyAlignment="1">
      <alignment vertical="center"/>
    </xf>
    <xf numFmtId="0" fontId="8" fillId="0" borderId="0" xfId="0" applyFont="1" applyAlignment="1">
      <alignment vertical="center"/>
    </xf>
    <xf numFmtId="41" fontId="0" fillId="0" borderId="0" xfId="8" applyFont="1" applyAlignment="1">
      <alignment vertical="center"/>
    </xf>
    <xf numFmtId="0" fontId="0" fillId="0" borderId="0" xfId="0" applyAlignment="1">
      <alignment horizontal="left" vertical="center"/>
    </xf>
    <xf numFmtId="43" fontId="0" fillId="0" borderId="0" xfId="0" applyNumberFormat="1" applyAlignment="1">
      <alignment vertical="center"/>
    </xf>
    <xf numFmtId="43" fontId="0" fillId="3" borderId="0" xfId="0" applyNumberFormat="1" applyFill="1" applyAlignment="1">
      <alignment vertical="center"/>
    </xf>
    <xf numFmtId="41" fontId="0" fillId="3" borderId="0" xfId="8" applyFont="1" applyFill="1" applyAlignment="1">
      <alignment vertical="center"/>
    </xf>
    <xf numFmtId="0" fontId="0" fillId="0" borderId="0" xfId="0" applyAlignment="1">
      <alignment horizontal="right"/>
    </xf>
    <xf numFmtId="0" fontId="10" fillId="0" borderId="0" xfId="0" applyFont="1"/>
    <xf numFmtId="176" fontId="0" fillId="0" borderId="0" xfId="0" applyNumberFormat="1" applyFill="1"/>
    <xf numFmtId="0" fontId="7" fillId="2" borderId="0" xfId="0" applyFont="1" applyFill="1"/>
    <xf numFmtId="177" fontId="0" fillId="0" borderId="0" xfId="0" applyNumberFormat="1"/>
    <xf numFmtId="178" fontId="0" fillId="0" borderId="0" xfId="0" applyNumberFormat="1"/>
    <xf numFmtId="0" fontId="11" fillId="0" borderId="0" xfId="0" applyFont="1"/>
    <xf numFmtId="0" fontId="12" fillId="0" borderId="0" xfId="0" applyFont="1" applyAlignment="1">
      <alignment horizontal="left"/>
    </xf>
    <xf numFmtId="0" fontId="12" fillId="0" borderId="0" xfId="0" applyFont="1"/>
    <xf numFmtId="0" fontId="13" fillId="0" borderId="0" xfId="7" applyFont="1"/>
    <xf numFmtId="0" fontId="0" fillId="0" borderId="0" xfId="0" applyAlignment="1">
      <alignment horizontal="right" vertical="center"/>
    </xf>
  </cellXfs>
  <cellStyles count="9">
    <cellStyle name="Body: normal cell" xfId="1" xr:uid="{00000000-0005-0000-0000-000000000000}"/>
    <cellStyle name="Font: Calibri, 9pt regular" xfId="2" xr:uid="{00000000-0005-0000-0000-000001000000}"/>
    <cellStyle name="Footnotes: top row" xfId="3" xr:uid="{00000000-0005-0000-0000-000002000000}"/>
    <cellStyle name="Header: bottom row" xfId="4" xr:uid="{00000000-0005-0000-0000-000003000000}"/>
    <cellStyle name="Parent row" xfId="5" xr:uid="{00000000-0005-0000-0000-000006000000}"/>
    <cellStyle name="Table title" xfId="6" xr:uid="{00000000-0005-0000-0000-000007000000}"/>
    <cellStyle name="쉼표 [0]" xfId="8" builtinId="6"/>
    <cellStyle name="표준" xfId="0" builtinId="0"/>
    <cellStyle name="하이퍼링크" xfId="7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1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10</xdr:row>
      <xdr:rowOff>0</xdr:rowOff>
    </xdr:from>
    <xdr:to>
      <xdr:col>6</xdr:col>
      <xdr:colOff>620005</xdr:colOff>
      <xdr:row>22</xdr:row>
      <xdr:rowOff>162299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8223F760-2A4F-4576-9B1B-9CB4872978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3562350"/>
          <a:ext cx="6306430" cy="2676899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jeff-nonadmin/Dropbox%20(Energy%20InNovation)/Desktop/Old%20U.S.%20land/VFC/Various%20Forestry%20Calculation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bout"/>
      <sheetName val="CO2 Aff &amp; Ref"/>
      <sheetName val="VFC-PIIiCRfAaREY"/>
      <sheetName val="Lost Value Aff &amp; Ref"/>
      <sheetName val="VFC-LVpIIiCAbAaR"/>
      <sheetName val="One Time Cost Aff &amp; Ref"/>
      <sheetName val="VFC-OTCpIIiCAbAaR"/>
      <sheetName val="Ongoing Cost Aff &amp; Ref"/>
      <sheetName val="VFC-OCpMCAbAaR"/>
      <sheetName val="CO2 Set Asides"/>
      <sheetName val="VFC-PACRfFSA"/>
      <sheetName val="Lost Value Set Asides"/>
      <sheetName val="VFC-LVpMCAbFSA"/>
      <sheetName val="CO2 Avoided Deforestation"/>
      <sheetName val="VFC-PACRfAD"/>
      <sheetName val="Lost Value Avoided Deforestatio"/>
      <sheetName val="VFC-LVpMCAbAD"/>
      <sheetName val="County Data"/>
      <sheetName val="Forest Mgmt Costs"/>
      <sheetName val="Conversion Factor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>
        <row r="4">
          <cell r="A4">
            <v>3.6666666666666665</v>
          </cell>
        </row>
      </sheetData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www.forest.go.kr/kfsweb/cmm/fms/FileDown.do;jsessionid=C75neeKhp9P7wk1NBQknRfKjHd53CUaCoAns1Gd3x9pJ6s2sJe4fZX2YEH3dtfEe.frswas02_servlet_engine5?atchFileId=FILE_000000020025108&amp;fileSn=0&amp;dwldHistYn=N&amp;bbsId=BBSMSTR_1069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5"/>
  <sheetViews>
    <sheetView tabSelected="1" workbookViewId="0">
      <selection activeCell="I25" sqref="I25"/>
    </sheetView>
  </sheetViews>
  <sheetFormatPr defaultRowHeight="16.5" x14ac:dyDescent="0.3"/>
  <sheetData>
    <row r="1" spans="1:4" x14ac:dyDescent="0.3">
      <c r="A1" s="1" t="s">
        <v>0</v>
      </c>
    </row>
    <row r="3" spans="1:4" x14ac:dyDescent="0.3">
      <c r="A3" s="1" t="s">
        <v>1</v>
      </c>
      <c r="B3" s="17" t="s">
        <v>46</v>
      </c>
      <c r="C3" s="17"/>
      <c r="D3" s="17"/>
    </row>
    <row r="4" spans="1:4" x14ac:dyDescent="0.3">
      <c r="B4" t="s">
        <v>47</v>
      </c>
    </row>
    <row r="5" spans="1:4" x14ac:dyDescent="0.3">
      <c r="B5" s="2">
        <v>2020</v>
      </c>
    </row>
    <row r="6" spans="1:4" x14ac:dyDescent="0.3">
      <c r="B6" t="s">
        <v>50</v>
      </c>
    </row>
    <row r="7" spans="1:4" x14ac:dyDescent="0.3">
      <c r="B7" s="4" t="s">
        <v>33</v>
      </c>
    </row>
    <row r="8" spans="1:4" x14ac:dyDescent="0.3">
      <c r="B8" t="s">
        <v>32</v>
      </c>
    </row>
    <row r="9" spans="1:4" x14ac:dyDescent="0.3">
      <c r="A9" s="1"/>
    </row>
    <row r="10" spans="1:4" x14ac:dyDescent="0.3">
      <c r="B10" s="17" t="s">
        <v>51</v>
      </c>
      <c r="C10" s="3"/>
      <c r="D10" s="3"/>
    </row>
    <row r="11" spans="1:4" x14ac:dyDescent="0.3">
      <c r="B11" s="20" t="s">
        <v>48</v>
      </c>
    </row>
    <row r="12" spans="1:4" x14ac:dyDescent="0.3">
      <c r="B12" s="21">
        <v>2010</v>
      </c>
    </row>
    <row r="13" spans="1:4" x14ac:dyDescent="0.3">
      <c r="B13" s="22" t="s">
        <v>49</v>
      </c>
    </row>
    <row r="14" spans="1:4" x14ac:dyDescent="0.3">
      <c r="B14" s="23" t="s">
        <v>52</v>
      </c>
    </row>
    <row r="15" spans="1:4" x14ac:dyDescent="0.3">
      <c r="B15" s="22" t="s">
        <v>34</v>
      </c>
    </row>
    <row r="17" spans="1:3" x14ac:dyDescent="0.3">
      <c r="A17" s="6" t="s">
        <v>10</v>
      </c>
      <c r="B17" s="7"/>
      <c r="C17" s="7"/>
    </row>
    <row r="18" spans="1:3" x14ac:dyDescent="0.3">
      <c r="A18" s="7" t="s">
        <v>11</v>
      </c>
      <c r="B18" s="7">
        <v>1</v>
      </c>
      <c r="C18" s="7"/>
    </row>
    <row r="19" spans="1:3" x14ac:dyDescent="0.3">
      <c r="A19" s="7" t="s">
        <v>12</v>
      </c>
      <c r="B19" s="8">
        <v>2.4710540000000001</v>
      </c>
      <c r="C19" s="7"/>
    </row>
    <row r="20" spans="1:3" x14ac:dyDescent="0.3">
      <c r="B20" s="14">
        <v>1179.9000000000001</v>
      </c>
      <c r="C20" s="15" t="s">
        <v>30</v>
      </c>
    </row>
    <row r="21" spans="1:3" x14ac:dyDescent="0.3">
      <c r="A21" s="5" t="s">
        <v>9</v>
      </c>
    </row>
    <row r="22" spans="1:3" x14ac:dyDescent="0.3">
      <c r="A22" t="s">
        <v>35</v>
      </c>
    </row>
    <row r="23" spans="1:3" x14ac:dyDescent="0.3">
      <c r="A23" t="s">
        <v>36</v>
      </c>
    </row>
    <row r="25" spans="1:3" x14ac:dyDescent="0.3">
      <c r="A25" t="s">
        <v>37</v>
      </c>
    </row>
    <row r="26" spans="1:3" x14ac:dyDescent="0.3">
      <c r="A26" t="s">
        <v>38</v>
      </c>
    </row>
    <row r="27" spans="1:3" x14ac:dyDescent="0.3">
      <c r="A27" t="s">
        <v>39</v>
      </c>
    </row>
    <row r="29" spans="1:3" x14ac:dyDescent="0.3">
      <c r="A29" t="s">
        <v>40</v>
      </c>
    </row>
    <row r="30" spans="1:3" x14ac:dyDescent="0.3">
      <c r="A30" t="s">
        <v>41</v>
      </c>
    </row>
    <row r="31" spans="1:3" x14ac:dyDescent="0.3">
      <c r="A31" t="s">
        <v>42</v>
      </c>
    </row>
    <row r="32" spans="1:3" x14ac:dyDescent="0.3">
      <c r="A32" t="s">
        <v>43</v>
      </c>
    </row>
    <row r="34" spans="1:1" x14ac:dyDescent="0.3">
      <c r="A34" t="s">
        <v>44</v>
      </c>
    </row>
    <row r="35" spans="1:1" x14ac:dyDescent="0.3">
      <c r="A35" t="s">
        <v>45</v>
      </c>
    </row>
  </sheetData>
  <phoneticPr fontId="6" type="noConversion"/>
  <hyperlinks>
    <hyperlink ref="B7" r:id="rId1" xr:uid="{00000000-0004-0000-0000-000000000000}"/>
  </hyperlinks>
  <pageMargins left="0.7" right="0.7" top="0.75" bottom="0.75" header="0.3" footer="0.3"/>
  <pageSetup paperSize="9" orientation="portrait" verticalDpi="0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946260-02EE-442B-AB48-95C4123D611A}">
  <dimension ref="A1:G31"/>
  <sheetViews>
    <sheetView workbookViewId="0">
      <selection activeCell="F24" sqref="F24"/>
    </sheetView>
  </sheetViews>
  <sheetFormatPr defaultColWidth="9" defaultRowHeight="16.5" x14ac:dyDescent="0.3"/>
  <cols>
    <col min="1" max="1" width="9" style="7"/>
    <col min="2" max="2" width="13.5" style="7" bestFit="1" customWidth="1"/>
    <col min="3" max="4" width="15.125" style="7" bestFit="1" customWidth="1"/>
    <col min="5" max="5" width="11" style="7" bestFit="1" customWidth="1"/>
    <col min="6" max="6" width="10.875" style="7" bestFit="1" customWidth="1"/>
    <col min="7" max="16384" width="9" style="7"/>
  </cols>
  <sheetData>
    <row r="1" spans="1:7" x14ac:dyDescent="0.3">
      <c r="A1" s="6" t="s">
        <v>13</v>
      </c>
    </row>
    <row r="2" spans="1:7" x14ac:dyDescent="0.3">
      <c r="B2" s="7" t="s">
        <v>14</v>
      </c>
      <c r="C2" s="7" t="s">
        <v>19</v>
      </c>
      <c r="D2" s="7" t="s">
        <v>20</v>
      </c>
      <c r="E2" s="7" t="s">
        <v>21</v>
      </c>
    </row>
    <row r="3" spans="1:7" x14ac:dyDescent="0.3">
      <c r="A3" s="7" t="s">
        <v>15</v>
      </c>
      <c r="B3" s="7">
        <v>4761</v>
      </c>
      <c r="C3" s="7">
        <v>505</v>
      </c>
      <c r="D3" s="7">
        <v>5451</v>
      </c>
      <c r="E3" s="7">
        <v>13642</v>
      </c>
      <c r="F3" s="9">
        <v>1000000</v>
      </c>
      <c r="G3" s="7" t="s">
        <v>17</v>
      </c>
    </row>
    <row r="4" spans="1:7" x14ac:dyDescent="0.3">
      <c r="A4" s="7" t="s">
        <v>16</v>
      </c>
      <c r="B4" s="7">
        <v>5333</v>
      </c>
      <c r="C4" s="7">
        <v>64.099999999999994</v>
      </c>
      <c r="D4" s="7">
        <f>674+3998</f>
        <v>4672</v>
      </c>
      <c r="E4" s="7">
        <v>52260</v>
      </c>
      <c r="F4" s="10" t="s">
        <v>18</v>
      </c>
    </row>
    <row r="5" spans="1:7" x14ac:dyDescent="0.3">
      <c r="F5" s="10"/>
    </row>
    <row r="6" spans="1:7" x14ac:dyDescent="0.3">
      <c r="B6" s="24" t="s">
        <v>23</v>
      </c>
      <c r="C6" s="24"/>
      <c r="D6" s="24"/>
      <c r="E6" s="7">
        <f>SUMPRODUCT(B3:E3,B4:E4)/SUM(B4:E4)</f>
        <v>12254.641499716827</v>
      </c>
      <c r="F6" s="9">
        <v>1000000</v>
      </c>
      <c r="G6" s="7" t="s">
        <v>17</v>
      </c>
    </row>
    <row r="7" spans="1:7" x14ac:dyDescent="0.3">
      <c r="E7" s="12">
        <f>E6/SUM($B$4:$E$4)*F3</f>
        <v>196611.8795188255</v>
      </c>
      <c r="F7" s="7" t="s">
        <v>22</v>
      </c>
    </row>
    <row r="10" spans="1:7" x14ac:dyDescent="0.3">
      <c r="A10" s="6" t="s">
        <v>24</v>
      </c>
    </row>
    <row r="24" spans="1:4" x14ac:dyDescent="0.3">
      <c r="A24" s="7">
        <v>3</v>
      </c>
      <c r="B24" s="7" t="s">
        <v>25</v>
      </c>
      <c r="C24" s="9">
        <v>567000</v>
      </c>
      <c r="D24" s="7" t="s">
        <v>22</v>
      </c>
    </row>
    <row r="25" spans="1:4" x14ac:dyDescent="0.3">
      <c r="A25" s="7">
        <v>1</v>
      </c>
      <c r="B25" s="7" t="s">
        <v>25</v>
      </c>
      <c r="C25" s="13">
        <f>C24/$A$24</f>
        <v>189000</v>
      </c>
      <c r="D25" s="7" t="s">
        <v>22</v>
      </c>
    </row>
    <row r="27" spans="1:4" x14ac:dyDescent="0.3">
      <c r="A27" s="7" t="s">
        <v>26</v>
      </c>
    </row>
    <row r="29" spans="1:4" x14ac:dyDescent="0.3">
      <c r="B29" s="7" t="s">
        <v>27</v>
      </c>
      <c r="C29" s="12">
        <f>E7+C25</f>
        <v>385611.8795188255</v>
      </c>
      <c r="D29" s="7" t="s">
        <v>28</v>
      </c>
    </row>
    <row r="30" spans="1:4" x14ac:dyDescent="0.3">
      <c r="C30" s="11">
        <f>C29/About!B19</f>
        <v>156051.57941462449</v>
      </c>
      <c r="D30" s="7" t="s">
        <v>29</v>
      </c>
    </row>
    <row r="31" spans="1:4" x14ac:dyDescent="0.3">
      <c r="C31" s="11">
        <f>C30/About!B20</f>
        <v>132.25830953015043</v>
      </c>
      <c r="D31" s="7" t="s">
        <v>31</v>
      </c>
    </row>
  </sheetData>
  <mergeCells count="1">
    <mergeCell ref="B6:D6"/>
  </mergeCells>
  <phoneticPr fontId="6" type="noConversion"/>
  <pageMargins left="0.7" right="0.7" top="0.75" bottom="0.75" header="0.3" footer="0.3"/>
  <pageSetup paperSize="9" orientation="portrait" verticalDpi="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3"/>
  </sheetPr>
  <dimension ref="A1:B7"/>
  <sheetViews>
    <sheetView workbookViewId="0">
      <selection activeCell="D24" sqref="D24"/>
    </sheetView>
  </sheetViews>
  <sheetFormatPr defaultRowHeight="16.5" x14ac:dyDescent="0.3"/>
  <cols>
    <col min="1" max="1" width="31.125" customWidth="1"/>
  </cols>
  <sheetData>
    <row r="1" spans="1:2" x14ac:dyDescent="0.3">
      <c r="B1" t="s">
        <v>8</v>
      </c>
    </row>
    <row r="2" spans="1:2" x14ac:dyDescent="0.3">
      <c r="A2" s="1" t="s">
        <v>2</v>
      </c>
      <c r="B2" s="19">
        <v>0</v>
      </c>
    </row>
    <row r="3" spans="1:2" x14ac:dyDescent="0.3">
      <c r="A3" s="1" t="s">
        <v>3</v>
      </c>
      <c r="B3" s="19">
        <v>0</v>
      </c>
    </row>
    <row r="4" spans="1:2" x14ac:dyDescent="0.3">
      <c r="A4" s="1" t="s">
        <v>4</v>
      </c>
      <c r="B4" s="16">
        <f>Cal!C31</f>
        <v>132.25830953015043</v>
      </c>
    </row>
    <row r="5" spans="1:2" x14ac:dyDescent="0.3">
      <c r="A5" s="1" t="s">
        <v>5</v>
      </c>
      <c r="B5" s="18">
        <v>0</v>
      </c>
    </row>
    <row r="6" spans="1:2" x14ac:dyDescent="0.3">
      <c r="A6" s="1" t="s">
        <v>6</v>
      </c>
      <c r="B6" s="18">
        <v>0</v>
      </c>
    </row>
    <row r="7" spans="1:2" x14ac:dyDescent="0.3">
      <c r="A7" s="1" t="s">
        <v>7</v>
      </c>
      <c r="B7" s="18">
        <v>0</v>
      </c>
    </row>
  </sheetData>
  <phoneticPr fontId="6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59C87379D9A4242BB3A95F198D6F941" ma:contentTypeVersion="4" ma:contentTypeDescription="Create a new document." ma:contentTypeScope="" ma:versionID="07a235b40ffe2d9a960bde50f6511605">
  <xsd:schema xmlns:xsd="http://www.w3.org/2001/XMLSchema" xmlns:xs="http://www.w3.org/2001/XMLSchema" xmlns:p="http://schemas.microsoft.com/office/2006/metadata/properties" xmlns:ns2="40f4d404-d193-41dc-bb72-733c1e774208" targetNamespace="http://schemas.microsoft.com/office/2006/metadata/properties" ma:root="true" ma:fieldsID="485fc8e6f691b86ce0aee9b7e82feca0" ns2:_="">
    <xsd:import namespace="40f4d404-d193-41dc-bb72-733c1e77420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0f4d404-d193-41dc-bb72-733c1e77420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81B8D0BD-5CE8-4D2C-8F66-23CB3DD60907}"/>
</file>

<file path=customXml/itemProps2.xml><?xml version="1.0" encoding="utf-8"?>
<ds:datastoreItem xmlns:ds="http://schemas.openxmlformats.org/officeDocument/2006/customXml" ds:itemID="{20034FA4-D942-4AE3-A44C-3C8479018C3F}"/>
</file>

<file path=customXml/itemProps3.xml><?xml version="1.0" encoding="utf-8"?>
<ds:datastoreItem xmlns:ds="http://schemas.openxmlformats.org/officeDocument/2006/customXml" ds:itemID="{0746B9E9-AE4D-4D13-851D-4EFF62BDDAD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About</vt:lpstr>
      <vt:lpstr>Cal</vt:lpstr>
      <vt:lpstr>AOCoLUPpUA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minhe</cp:lastModifiedBy>
  <dcterms:created xsi:type="dcterms:W3CDTF">2017-01-27T09:26:30Z</dcterms:created>
  <dcterms:modified xsi:type="dcterms:W3CDTF">2025-01-23T04:34:15Z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0x010100E59C87379D9A4242BB3A95F198D6F941</vt:lpwstr>
  </property>
</Properties>
</file>