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내 드라이브\2026\01.EPS\05.EPS고도화\04.정합성 검증\260511_오염물질별배출량 조정\"/>
    </mc:Choice>
  </mc:AlternateContent>
  <xr:revisionPtr revIDLastSave="0" documentId="13_ncr:1_{620EA017-24E8-4E3E-BFCF-0EC3443E3DB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bout" sheetId="9" r:id="rId1"/>
    <sheet name="CO2" sheetId="10" r:id="rId2"/>
    <sheet name="CH4" sheetId="11" r:id="rId3"/>
    <sheet name="N2O" sheetId="12" r:id="rId4"/>
    <sheet name="Cal" sheetId="7" r:id="rId5"/>
    <sheet name="BLAPE" sheetId="3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AAA">#REF!</definedName>
    <definedName name="AAAAAAAA">[1]Information!#REF!</definedName>
    <definedName name="CRF_CountryName">[2]Sheet1!$C$4</definedName>
    <definedName name="CRF_InventoryYear">[2]Sheet1!$C$6</definedName>
    <definedName name="CRF_REC_Year">#REF!</definedName>
    <definedName name="CRF_Status">[1]Information!#REF!</definedName>
    <definedName name="CRF_Submission">[2]Sheet1!$C$8</definedName>
    <definedName name="CRF_Summary1.As1_Main">#REF!</definedName>
    <definedName name="CRF_Summary1.As2_Dyn100">#REF!</definedName>
    <definedName name="CRF_Summary1.As2_Dyn101">#REF!</definedName>
    <definedName name="CRF_Summary1.As2_Dyn102">#REF!</definedName>
    <definedName name="CRF_Summary1.As2_Dyn103">#REF!</definedName>
    <definedName name="CRF_Summary1.As2_Dyn104">#REF!</definedName>
    <definedName name="CRF_Summary1.As2_Dyn105">#REF!</definedName>
    <definedName name="CRF_Summary1.As2_Dyn106">#REF!</definedName>
    <definedName name="CRF_Summary1.As2_Dyn107">#REF!</definedName>
    <definedName name="CRF_Summary1.As2_Dyn108">#REF!</definedName>
    <definedName name="CRF_Summary1.As2_Dyn109">#REF!</definedName>
    <definedName name="CRF_Summary1.As2_Dyn110">#REF!</definedName>
    <definedName name="CRF_Summary1.As2_Dyn111">#REF!</definedName>
    <definedName name="CRF_Summary1.As2_Dyn112">#REF!</definedName>
    <definedName name="CRF_Summary1.As2_Dyn113">#REF!</definedName>
    <definedName name="CRF_Summary1.As2_DynA28">#REF!</definedName>
    <definedName name="CRF_Summary1.As2_Main">#REF!</definedName>
    <definedName name="CRF_Summary1.As3_Main">#REF!</definedName>
    <definedName name="CRF_Summary1.B_Main">#REF!</definedName>
    <definedName name="CRF_Summary1_A_Main">#REF!</definedName>
    <definedName name="CRF_Summary1_A_Range1">#REF!</definedName>
    <definedName name="CRF_Summary2_Main">#REF!</definedName>
    <definedName name="CRF_Summary2_Main2">'[3]2001'!#REF!</definedName>
    <definedName name="CRF_Summary2_Range1">#REF!</definedName>
    <definedName name="CRF_Summary3s1_Main">#REF!</definedName>
    <definedName name="CRF_Summary3s2_DynA28">#REF!</definedName>
    <definedName name="CRF_Summary3s2_Main">#REF!</definedName>
    <definedName name="CRF_Table1.A_a_s1_Main">#REF!</definedName>
    <definedName name="CRF_Table1.A_a_s2_Main">#REF!</definedName>
    <definedName name="CRF_Table1.A_a_s3_Dyn10">#REF!</definedName>
    <definedName name="CRF_Table1.A_a_s3_Dyn11">#REF!</definedName>
    <definedName name="CRF_Table1.A_a_s3_Dyn12">#REF!</definedName>
    <definedName name="CRF_Table1.A_a_s3_Dyn13">#REF!</definedName>
    <definedName name="CRF_Table1.A_a_s3_Dyn1A3b">#REF!</definedName>
    <definedName name="CRF_Table1.A_a_s3_Dyn1A3c">#REF!</definedName>
    <definedName name="CRF_Table1.A_a_s3_Dyn1A3d">#REF!</definedName>
    <definedName name="CRF_Table1.A_a_s3_Dyn20">#REF!</definedName>
    <definedName name="CRF_Table1.A_a_s3_Dyn21">#REF!</definedName>
    <definedName name="CRF_Table1.A_a_s3_Dyn22">#REF!</definedName>
    <definedName name="CRF_Table1.A_a_s3_Dyn23">#REF!</definedName>
    <definedName name="CRF_Table1.A_a_s3_Dyn30">#REF!</definedName>
    <definedName name="CRF_Table1.A_a_s3_Dyn31">#REF!</definedName>
    <definedName name="CRF_Table1.A_a_s3_Dyn32">#REF!</definedName>
    <definedName name="CRF_Table1.A_a_s3_Dyn33">#REF!</definedName>
    <definedName name="CRF_Table1.A_a_s3_Main">#REF!</definedName>
    <definedName name="CRF_Table1.A_a_s4_Doc">#REF!</definedName>
    <definedName name="CRF_Table1.A_a_s4_Main">#REF!</definedName>
    <definedName name="CRF_Table1.A_b__Main">#REF!</definedName>
    <definedName name="CRF_Table1.A_c__Doc">#REF!</definedName>
    <definedName name="CRF_Table1.A_c__Main">#REF!</definedName>
    <definedName name="CRF_Table1.A_d__Add">#REF!</definedName>
    <definedName name="CRF_Table1.A_d__Doc">#REF!</definedName>
    <definedName name="CRF_Table1.A_d__Main">#REF!</definedName>
    <definedName name="CRF_Table1.A_d_Dyn1">#REF!</definedName>
    <definedName name="CRF_Table1.A_d_DynA18">#REF!</definedName>
    <definedName name="CRF_Table1.A_d_DynA35">#REF!</definedName>
    <definedName name="CRF_Table1.B.1_Add">#REF!</definedName>
    <definedName name="CRF_Table1.B.1_Doc">#REF!</definedName>
    <definedName name="CRF_Table1.B.1_Dyn11">#REF!</definedName>
    <definedName name="CRF_Table1.B.1_Dyn12">#REF!</definedName>
    <definedName name="CRF_Table1.B.1_Dyn1B1c">#REF!</definedName>
    <definedName name="CRF_Table1.B.1_Main">#REF!</definedName>
    <definedName name="CRF_Table1.B.2_Add">#REF!</definedName>
    <definedName name="CRF_Table1.B.2_Doc">#REF!</definedName>
    <definedName name="CRF_Table1.B.2_Dyn10">#REF!</definedName>
    <definedName name="CRF_Table1.B.2_Dyn11">#REF!</definedName>
    <definedName name="CRF_Table1.B.2_Dyn12">#REF!</definedName>
    <definedName name="CRF_Table1.B.2_Dyn1B2d">#REF!</definedName>
    <definedName name="CRF_Table1.B.2_DynAddN11">#REF!</definedName>
    <definedName name="CRF_Table1.B.2_Main">#REF!</definedName>
    <definedName name="CRF_Table1.C_Add">#REF!</definedName>
    <definedName name="CRF_Table1.C_Doc">#REF!</definedName>
    <definedName name="CRF_Table1.C_Dyn10">#REF!</definedName>
    <definedName name="CRF_Table1.C_Dyn11">#REF!</definedName>
    <definedName name="CRF_Table1.C_Dyn12">#REF!</definedName>
    <definedName name="CRF_Table1.C_Dyn13">#REF!</definedName>
    <definedName name="CRF_Table1.C_DynA15">#REF!</definedName>
    <definedName name="CRF_Table1.C_Main">#REF!</definedName>
    <definedName name="CRF_Table10s1_Dyn10">[2]Table10!#REF!</definedName>
    <definedName name="CRF_Table10s1_Dyn11">[2]Table10!#REF!</definedName>
    <definedName name="CRF_Table10s1_Dyn12">[2]Table10!#REF!</definedName>
    <definedName name="CRF_Table10s1_Dyn13">[2]Table10!#REF!</definedName>
    <definedName name="CRF_Table10s1_Dyn14">[2]Table10!#REF!</definedName>
    <definedName name="CRF_Table10s1_Dyn15">[2]Table10!#REF!</definedName>
    <definedName name="CRF_Table10s1_Dyn16">[2]Table10!#REF!</definedName>
    <definedName name="CRF_Table10s1_Dyn17">[2]Table10!#REF!</definedName>
    <definedName name="CRF_Table10s1_Dyn18">[2]Table10!#REF!</definedName>
    <definedName name="CRF_Table10s1_Dyn19">[2]Table10!#REF!</definedName>
    <definedName name="CRF_Table10s1_Dyn20">[2]Table10!#REF!</definedName>
    <definedName name="CRF_Table10s1_Dyn21">[2]Table10!#REF!</definedName>
    <definedName name="CRF_Table10s1_Dyn22">[2]Table10!#REF!</definedName>
    <definedName name="CRF_Table10s1_DynA45">#REF!</definedName>
    <definedName name="CRF_Table10s1_Main">#REF!</definedName>
    <definedName name="CRF_Table10s2_Dyn10">#REF!</definedName>
    <definedName name="CRF_Table10s2_Dyn11">#REF!</definedName>
    <definedName name="CRF_Table10s2_Dyn12">#REF!</definedName>
    <definedName name="CRF_Table10s2_Dyn13">#REF!</definedName>
    <definedName name="CRF_Table10s2_Dyn14">#REF!</definedName>
    <definedName name="CRF_Table10s2_Dyn15">#REF!</definedName>
    <definedName name="CRF_Table10s2_Dyn16">#REF!</definedName>
    <definedName name="CRF_Table10s2_Dyn17">#REF!</definedName>
    <definedName name="CRF_Table10s2_Dyn18">#REF!</definedName>
    <definedName name="CRF_Table10s2_Dyn19">#REF!</definedName>
    <definedName name="CRF_Table10s2_Dyn20">#REF!</definedName>
    <definedName name="CRF_Table10s2_Dyn21">#REF!</definedName>
    <definedName name="CRF_Table10s2_Dyn22">#REF!</definedName>
    <definedName name="CRF_Table10s2_DynA46">#REF!</definedName>
    <definedName name="CRF_Table10s2_Main">#REF!</definedName>
    <definedName name="CRF_Table10s3_Dyn10">#REF!</definedName>
    <definedName name="CRF_Table10s3_Dyn11">#REF!</definedName>
    <definedName name="CRF_Table10s3_Dyn12">#REF!</definedName>
    <definedName name="CRF_Table10s3_Dyn13">#REF!</definedName>
    <definedName name="CRF_Table10s3_Dyn14">#REF!</definedName>
    <definedName name="CRF_Table10s3_Dyn15">#REF!</definedName>
    <definedName name="CRF_Table10s3_Dyn16">#REF!</definedName>
    <definedName name="CRF_Table10s3_Dyn17">#REF!</definedName>
    <definedName name="CRF_Table10s3_Dyn18">#REF!</definedName>
    <definedName name="CRF_Table10s3_Dyn19">#REF!</definedName>
    <definedName name="CRF_Table10s3_Dyn20">#REF!</definedName>
    <definedName name="CRF_Table10s3_Dyn21">#REF!</definedName>
    <definedName name="CRF_Table10s3_Dyn22">#REF!</definedName>
    <definedName name="CRF_Table10s3_DynA46">#REF!</definedName>
    <definedName name="CRF_Table10s3_Main">#REF!</definedName>
    <definedName name="CRF_Table10s4_Main">#REF!</definedName>
    <definedName name="CRF_Table10s5_Main1">#REF!</definedName>
    <definedName name="CRF_Table10s5_Main2">#REF!</definedName>
    <definedName name="CRF_Table11_CO2_Diff">#REF!</definedName>
    <definedName name="CRF_Table11_CO2_Diff_Explanation">#REF!</definedName>
    <definedName name="CRF_Table11_CO2_WS11">#REF!</definedName>
    <definedName name="CRF_Table11_Completeness">#REF!</definedName>
    <definedName name="CRF_Table11_Contact_Address">#REF!</definedName>
    <definedName name="CRF_Table11_Contact_EMail">#REF!</definedName>
    <definedName name="CRF_Table11_Contact_Fax">#REF!</definedName>
    <definedName name="CRF_Table11_Contact_FocalPoint">#REF!</definedName>
    <definedName name="CRF_Table11_Contact_Institution">#REF!</definedName>
    <definedName name="CRF_Table11_Contact_Tel">#REF!</definedName>
    <definedName name="CRF_Table11_General_BaseYears">#REF!</definedName>
    <definedName name="CRF_Table11_General_BaseYearsPHS">#REF!</definedName>
    <definedName name="CRF_Table11_General_Date">#REF!</definedName>
    <definedName name="CRF_Table11_General_GasesCovered">#REF!</definedName>
    <definedName name="CRF_Table11_General_Omissions">#REF!</definedName>
    <definedName name="CRF_Table11_General_YearsCovered">#REF!</definedName>
    <definedName name="CRF_Table11_HFC_A_Consumption">#REF!</definedName>
    <definedName name="CRF_Table11_HFC_Disaggregation">#REF!</definedName>
    <definedName name="CRF_Table11_HFC_P_Consumption">#REF!</definedName>
    <definedName name="CRF_Table11_HFC_Production">#REF!</definedName>
    <definedName name="CRF_Table11_HFC_Ratio">#REF!</definedName>
    <definedName name="CRF_Table11_Main">#REF!</definedName>
    <definedName name="CRF_Table11_PFC_A_Consumption">#REF!</definedName>
    <definedName name="CRF_Table11_PFC_Disaggregation">#REF!</definedName>
    <definedName name="CRF_Table11_PFC_P_Consumption">#REF!</definedName>
    <definedName name="CRF_Table11_PFC_Production">#REF!</definedName>
    <definedName name="CRF_Table11_PFC_Ratio">#REF!</definedName>
    <definedName name="CRF_Table11_Recalc">#REF!</definedName>
    <definedName name="CRF_Table11_Recalc_CH4_Agriculture">#REF!</definedName>
    <definedName name="CRF_Table11_Recalc_CH4_Energy">#REF!</definedName>
    <definedName name="CRF_Table11_Recalc_CH4_IndProc">#REF!</definedName>
    <definedName name="CRF_Table11_Recalc_CH4_LUCF">#REF!</definedName>
    <definedName name="CRF_Table11_Recalc_CH4_SolventUse">#REF!</definedName>
    <definedName name="CRF_Table11_Recalc_CH4_Waste">#REF!</definedName>
    <definedName name="CRF_Table11_Recalc_CO2_Agriculture">#REF!</definedName>
    <definedName name="CRF_Table11_Recalc_CO2_Energy">#REF!</definedName>
    <definedName name="CRF_Table11_Recalc_CO2_IndProc">#REF!</definedName>
    <definedName name="CRF_Table11_Recalc_CO2_LUCF">#REF!</definedName>
    <definedName name="CRF_Table11_Recalc_CO2_SolventUse">#REF!</definedName>
    <definedName name="CRF_Table11_Recalc_CO2_Waste">#REF!</definedName>
    <definedName name="CRF_Table11_Recalc_Expl_Agriculture">#REF!</definedName>
    <definedName name="CRF_Table11_Recalc_Expl_Energy">#REF!</definedName>
    <definedName name="CRF_Table11_Recalc_Expl_IndProc">#REF!</definedName>
    <definedName name="CRF_Table11_Recalc_Expl_LUCF">#REF!</definedName>
    <definedName name="CRF_Table11_Recalc_Expl_SolventUse">#REF!</definedName>
    <definedName name="CRF_Table11_Recalc_Expl_Waste">#REF!</definedName>
    <definedName name="CRF_Table11_Recalc_For_All_Years">#REF!</definedName>
    <definedName name="CRF_Table11_Recalc_FullCrf">#REF!</definedName>
    <definedName name="CRF_Table11_Recalc_HPS_IndProc">#REF!</definedName>
    <definedName name="CRF_Table11_Recalc_N2O_Agriculture">#REF!</definedName>
    <definedName name="CRF_Table11_Recalc_N2O_Energy">#REF!</definedName>
    <definedName name="CRF_Table11_Recalc_N2O_IndProc">#REF!</definedName>
    <definedName name="CRF_Table11_Recalc_N2O_LUCF">#REF!</definedName>
    <definedName name="CRF_Table11_Recalc_N2O_SolventUse">#REF!</definedName>
    <definedName name="CRF_Table11_Recalc_N2O_Waste">#REF!</definedName>
    <definedName name="CRF_Table11_Reference">#REF!</definedName>
    <definedName name="CRF_Table11_SBDT_Agriculture">#REF!</definedName>
    <definedName name="CRF_Table11_SBDT_Energy">#REF!</definedName>
    <definedName name="CRF_Table11_SBDT_IndProc">#REF!</definedName>
    <definedName name="CRF_Table11_SBDT_LUCF">#REF!</definedName>
    <definedName name="CRF_Table11_SBDT_SolventUse">#REF!</definedName>
    <definedName name="CRF_Table11_SBDT_Waste">#REF!</definedName>
    <definedName name="CRF_Table11_SF6_A_Consumption">#REF!</definedName>
    <definedName name="CRF_Table11_SF6_P_Consumption">#REF!</definedName>
    <definedName name="CRF_Table11_SF6_Production">#REF!</definedName>
    <definedName name="CRF_Table11_SF6_Ratio">#REF!</definedName>
    <definedName name="CRF_Table11_SRT_Agriculture">#REF!</definedName>
    <definedName name="CRF_Table11_SRT_Energy">#REF!</definedName>
    <definedName name="CRF_Table11_SRT_IndProc">#REF!</definedName>
    <definedName name="CRF_Table11_SRT_LUCF">#REF!</definedName>
    <definedName name="CRF_Table11_SRT_SolventUse">#REF!</definedName>
    <definedName name="CRF_Table11_SRT_Waste">#REF!</definedName>
    <definedName name="CRF_Table11_Sum1_7A">#REF!</definedName>
    <definedName name="CRF_Table11_Sum1_7B">#REF!</definedName>
    <definedName name="CRF_Table11_Sum2">#REF!</definedName>
    <definedName name="CRF_Table11_Sum3">#REF!</definedName>
    <definedName name="CRF_Table11_Trend">#REF!</definedName>
    <definedName name="CRF_Table11_Uncertainty_8A">#REF!</definedName>
    <definedName name="CRF_Table11_Uncertainty_NI">#REF!</definedName>
    <definedName name="CRF_Table1s1_Dyn10">#REF!</definedName>
    <definedName name="CRF_Table1s1_Dyn11">#REF!</definedName>
    <definedName name="CRF_Table1s1_Dyn12">#REF!</definedName>
    <definedName name="CRF_Table1s1_Dyn13">#REF!</definedName>
    <definedName name="CRF_Table1s1_Dyn20">#REF!</definedName>
    <definedName name="CRF_Table1s1_Dyn21">#REF!</definedName>
    <definedName name="CRF_Table1s1_Dyn22">#REF!</definedName>
    <definedName name="CRF_Table1s1_Dyn23">#REF!</definedName>
    <definedName name="CRF_Table1s1_Dyn2F">#REF!</definedName>
    <definedName name="CRF_Table1s1_Dyn3e">#REF!</definedName>
    <definedName name="CRF_Table1s1_Main">#REF!</definedName>
    <definedName name="CRF_Table1s2_Dyn1c">#REF!</definedName>
    <definedName name="CRF_Table1s2_Dyn20">#REF!</definedName>
    <definedName name="CRF_Table1s2_Dyn21">#REF!</definedName>
    <definedName name="CRF_Table1s2_Dyn22">#REF!</definedName>
    <definedName name="CRF_Table1s2_Dyn23">#REF!</definedName>
    <definedName name="CRF_Table1s2_Dyn24">#REF!</definedName>
    <definedName name="CRF_Table1s2_Dyn25">#REF!</definedName>
    <definedName name="CRF_Table1s2_Dyn26">#REF!</definedName>
    <definedName name="CRF_Table1s2_Dyn2d">#REF!</definedName>
    <definedName name="CRF_Table1s2_Dyn30">#REF!</definedName>
    <definedName name="CRF_Table1s2_Dyn31">#REF!</definedName>
    <definedName name="CRF_Table1s2_Dyn32">#REF!</definedName>
    <definedName name="CRF_Table1s2_Dyn33">#REF!</definedName>
    <definedName name="CRF_Table1s2_Dyn34">#REF!</definedName>
    <definedName name="CRF_Table1s2_Dyn40">#REF!</definedName>
    <definedName name="CRF_Table1s2_Dyn41">#REF!</definedName>
    <definedName name="CRF_Table1s2_Dyn42">#REF!</definedName>
    <definedName name="CRF_Table1s2_Dyn43">#REF!</definedName>
    <definedName name="CRF_Table1s2_Dyn44">#REF!</definedName>
    <definedName name="CRF_Table1s2_Dyn45">#REF!</definedName>
    <definedName name="CRF_Table1s2_Dyn46">#REF!</definedName>
    <definedName name="CRF_Table1s2_Dyn50">#REF!</definedName>
    <definedName name="CRF_Table1s2_Dyn51">#REF!</definedName>
    <definedName name="CRF_Table1s2_Dyn52">#REF!</definedName>
    <definedName name="CRF_Table1s2_Dyn53">#REF!</definedName>
    <definedName name="CRF_Table1s2_Dyn54">#REF!</definedName>
    <definedName name="CRF_Table1s2_Dyn55">#REF!</definedName>
    <definedName name="CRF_Table1s2_Dyn56">#REF!</definedName>
    <definedName name="CRF_Table1s2_Dyn5a">#REF!</definedName>
    <definedName name="CRF_Table1s2_Dyn5b">#REF!</definedName>
    <definedName name="CRF_Table1s2_Main">#REF!</definedName>
    <definedName name="CRF_Table2_I_.A_Gs1_Dyn10">#REF!</definedName>
    <definedName name="CRF_Table2_I_.A_Gs1_Dyn11">#REF!</definedName>
    <definedName name="CRF_Table2_I_.A_Gs1_Dyn12">#REF!</definedName>
    <definedName name="CRF_Table2_I_.A_Gs1_Dyn20">#REF!</definedName>
    <definedName name="CRF_Table2_I_.A_Gs1_Dyn21">#REF!</definedName>
    <definedName name="CRF_Table2_I_.A_Gs1_Dyn22">#REF!</definedName>
    <definedName name="CRF_Table2_I_.A_Gs1_DynA7">#REF!</definedName>
    <definedName name="CRF_Table2_I_.A_Gs1_DynB5">#REF!</definedName>
    <definedName name="CRF_Table2_I_.A_Gs1_Main">#REF!</definedName>
    <definedName name="CRF_Table2_I_.A_Gs2_Doc">#REF!</definedName>
    <definedName name="CRF_Table2_I_.A_Gs2_Dyn10">#REF!</definedName>
    <definedName name="CRF_Table2_I_.A_Gs2_Dyn11">#REF!</definedName>
    <definedName name="CRF_Table2_I_.A_Gs2_Dyn20">#REF!</definedName>
    <definedName name="CRF_Table2_I_.A_Gs2_Dyn21">#REF!</definedName>
    <definedName name="CRF_Table2_I_.A_Gs2_Dyn22">#REF!</definedName>
    <definedName name="CRF_Table2_I_.A_Gs2_Dyn30">#REF!</definedName>
    <definedName name="CRF_Table2_I_.A_Gs2_Dyn31">#REF!</definedName>
    <definedName name="CRF_Table2_I_.A_Gs2_Dyn32">#REF!</definedName>
    <definedName name="CRF_Table2_I_.A_Gs2_DynA14">#REF!</definedName>
    <definedName name="CRF_Table2_I_.A_Gs2_DynC5">#REF!</definedName>
    <definedName name="CRF_Table2_I_.A_Gs2_DynG">#REF!</definedName>
    <definedName name="CRF_Table2_I_.A_Gs2_Main">#REF!</definedName>
    <definedName name="CRF_Table2_I_s1_Dyn10">#REF!</definedName>
    <definedName name="CRF_Table2_I_s1_Dyn11">#REF!</definedName>
    <definedName name="CRF_Table2_I_s1_Dyn12">#REF!</definedName>
    <definedName name="CRF_Table2_I_s1_Dyn13">#REF!</definedName>
    <definedName name="CRF_Table2_I_s1_Dyn20">#REF!</definedName>
    <definedName name="CRF_Table2_I_s1_Dyn21">#REF!</definedName>
    <definedName name="CRF_Table2_I_s1_Dyn22">#REF!</definedName>
    <definedName name="CRF_Table2_I_s1_Dyn23">#REF!</definedName>
    <definedName name="CRF_Table2_I_s1_Dyn24">#REF!</definedName>
    <definedName name="CRF_Table2_I_s1_Dyn25">#REF!</definedName>
    <definedName name="CRF_Table2_I_s1_Dyn26">#REF!</definedName>
    <definedName name="CRF_Table2_I_s1_Dyn27">#REF!</definedName>
    <definedName name="CRF_Table2_I_s1_Dyn28">#REF!</definedName>
    <definedName name="CRF_Table2_I_s1_Dyn29">#REF!</definedName>
    <definedName name="CRF_Table2_I_s1_Dyn30">#REF!</definedName>
    <definedName name="CRF_Table2_I_s1_Dyn31">#REF!</definedName>
    <definedName name="CRF_Table2_I_s1_Dyn32">#REF!</definedName>
    <definedName name="CRF_Table2_I_s1_Dyn33">#REF!</definedName>
    <definedName name="CRF_Table2_I_s1_Dyn34">#REF!</definedName>
    <definedName name="CRF_Table2_I_s1_Dyn35">#REF!</definedName>
    <definedName name="CRF_Table2_I_s1_Dyn36">#REF!</definedName>
    <definedName name="CRF_Table2_I_s1_Dyn37">#REF!</definedName>
    <definedName name="CRF_Table2_I_s1_Dyn38">#REF!</definedName>
    <definedName name="CRF_Table2_I_s1_Dyn39">#REF!</definedName>
    <definedName name="CRF_Table2_I_s1_DynA7">#REF!</definedName>
    <definedName name="CRF_Table2_I_s1_DynB5">#REF!</definedName>
    <definedName name="CRF_Table2_I_s1_DynC5">#REF!</definedName>
    <definedName name="CRF_Table2_I_s1_Main">#REF!</definedName>
    <definedName name="CRF_Table2_I_s2_Dyn11">#REF!</definedName>
    <definedName name="CRF_Table2_I_s2_Dyn13">#REF!</definedName>
    <definedName name="CRF_Table2_I_s2_Dyn15">#REF!</definedName>
    <definedName name="CRF_Table2_I_s2_Dyn20">#REF!</definedName>
    <definedName name="CRF_Table2_I_s2_Dyn21">#REF!</definedName>
    <definedName name="CRF_Table2_I_s2_Dyn22">#REF!</definedName>
    <definedName name="CRF_Table2_I_s2_Dyn23">#REF!</definedName>
    <definedName name="CRF_Table2_I_s2_Dyn24">#REF!</definedName>
    <definedName name="CRF_Table2_I_s2_Dyn25">#REF!</definedName>
    <definedName name="CRF_Table2_I_s2_Dyn300">#REF!</definedName>
    <definedName name="CRF_Table2_I_s2_Dyn301">#REF!</definedName>
    <definedName name="CRF_Table2_I_s2_Dyn302">#REF!</definedName>
    <definedName name="CRF_Table2_I_s2_Dyn303">#REF!</definedName>
    <definedName name="CRF_Table2_I_s2_Dyn304">#REF!</definedName>
    <definedName name="CRF_Table2_I_s2_Dyn305">#REF!</definedName>
    <definedName name="CRF_Table2_I_s2_Dyn306">#REF!</definedName>
    <definedName name="CRF_Table2_I_s2_Dyn307">#REF!</definedName>
    <definedName name="CRF_Table2_I_s2_Dyn308">#REF!</definedName>
    <definedName name="CRF_Table2_I_s2_Dyn309">#REF!</definedName>
    <definedName name="CRF_Table2_I_s2_Dyn310">#REF!</definedName>
    <definedName name="CRF_Table2_I_s2_Dyn311">#REF!</definedName>
    <definedName name="CRF_Table2_I_s2_Dyn312">#REF!</definedName>
    <definedName name="CRF_Table2_I_s2_DynE3">#REF!</definedName>
    <definedName name="CRF_Table2_I_s2_DynF8">#REF!</definedName>
    <definedName name="CRF_Table2_I_s2_DynG">#REF!</definedName>
    <definedName name="CRF_Table2_I_s2_Main">#REF!</definedName>
    <definedName name="CRF_Table2_II_.C_E_Doc">#REF!</definedName>
    <definedName name="CRF_Table2_II_.C_E_Dyn1A18">#REF!</definedName>
    <definedName name="CRF_Table2_II_.C_E_Dyn2A21">#REF!</definedName>
    <definedName name="CRF_Table2_II_.C_E_Dyn2A23">#REF!</definedName>
    <definedName name="CRF_Table2_II_.C_E_Dyn3">#REF!</definedName>
    <definedName name="CRF_Table2_II_.C_E_Main">#REF!</definedName>
    <definedName name="CRF_Table2_II_.Fs1_Dyn1A17">#REF!</definedName>
    <definedName name="CRF_Table2_II_.Fs1_Dyn1A19">#REF!</definedName>
    <definedName name="CRF_Table2_II_.Fs1_Dyn1A21">#REF!</definedName>
    <definedName name="CRF_Table2_II_.Fs1_Dyn1A23">#REF!</definedName>
    <definedName name="CRF_Table2_II_.Fs1_Dyn1A25">#REF!</definedName>
    <definedName name="CRF_Table2_II_.Fs1_Dyn1A27">#REF!</definedName>
    <definedName name="CRF_Table2_II_.Fs1_Dyn2A30">#REF!</definedName>
    <definedName name="CRF_Table2_II_.Fs1_Dyn2A32">#REF!</definedName>
    <definedName name="CRF_Table2_II_.Fs1_Main">#REF!</definedName>
    <definedName name="CRF_Table2_II_.Fs2_Doc">#REF!</definedName>
    <definedName name="CRF_Table2_II_.Fs2_Dyn3">#REF!</definedName>
    <definedName name="CRF_Table2_II_.Fs2_Dyn4A12">#REF!</definedName>
    <definedName name="CRF_Table2_II_.Fs2_Dyn4A14">#REF!</definedName>
    <definedName name="CRF_Table2_II_.Fs2_Dyn5">#REF!</definedName>
    <definedName name="CRF_Table2_II_.Fs2_Dyn6">#REF!</definedName>
    <definedName name="CRF_Table2_II_.Fs2_Dyn7">#REF!</definedName>
    <definedName name="CRF_Table2_II_.Fs2_Dyn8">#REF!</definedName>
    <definedName name="CRF_Table2_II_.Fs2_Main">#REF!</definedName>
    <definedName name="CRF_Table2_II_s1_Dyn100">#REF!</definedName>
    <definedName name="CRF_Table2_II_s1_Dyn101">#REF!</definedName>
    <definedName name="CRF_Table2_II_s1_Dyn102">#REF!</definedName>
    <definedName name="CRF_Table2_II_s1_Dyn103">#REF!</definedName>
    <definedName name="CRF_Table2_II_s1_Dyn104">#REF!</definedName>
    <definedName name="CRF_Table2_II_s1_Dyn105">#REF!</definedName>
    <definedName name="CRF_Table2_II_s1_Dyn106">#REF!</definedName>
    <definedName name="CRF_Table2_II_s1_Dyn107">#REF!</definedName>
    <definedName name="CRF_Table2_II_s1_Dyn108">#REF!</definedName>
    <definedName name="CRF_Table2_II_s1_Dyn109">#REF!</definedName>
    <definedName name="CRF_Table2_II_s1_Dyn110">#REF!</definedName>
    <definedName name="CRF_Table2_II_s1_Dyn111">#REF!</definedName>
    <definedName name="CRF_Table2_II_s1_Dyn112">#REF!</definedName>
    <definedName name="CRF_Table2_II_s1_Dyn113">#REF!</definedName>
    <definedName name="CRF_Table2_II_s1_Dyn114">#REF!</definedName>
    <definedName name="CRF_Table2_II_s1_Dyn115">#REF!</definedName>
    <definedName name="CRF_Table2_II_s1_Dyn116">#REF!</definedName>
    <definedName name="CRF_Table2_II_s1_Dyn117">#REF!</definedName>
    <definedName name="CRF_Table2_II_s1_Dyn118">#REF!</definedName>
    <definedName name="CRF_Table2_II_s1_Dyn119">#REF!</definedName>
    <definedName name="CRF_Table2_II_s1_Dyn120">#REF!</definedName>
    <definedName name="CRF_Table2_II_s1_Dyn200">#REF!</definedName>
    <definedName name="CRF_Table2_II_s1_Dyn201">#REF!</definedName>
    <definedName name="CRF_Table2_II_s1_Dyn202">#REF!</definedName>
    <definedName name="CRF_Table2_II_s1_Dyn203">#REF!</definedName>
    <definedName name="CRF_Table2_II_s1_Dyn204">#REF!</definedName>
    <definedName name="CRF_Table2_II_s1_Dyn205">#REF!</definedName>
    <definedName name="CRF_Table2_II_s1_Dyn206">#REF!</definedName>
    <definedName name="CRF_Table2_II_s1_Dyn207">#REF!</definedName>
    <definedName name="CRF_Table2_II_s1_Dyn208">#REF!</definedName>
    <definedName name="CRF_Table2_II_s1_Dyn209">#REF!</definedName>
    <definedName name="CRF_Table2_II_s1_Dyn210">#REF!</definedName>
    <definedName name="CRF_Table2_II_s1_Dyn211">#REF!</definedName>
    <definedName name="CRF_Table2_II_s1_Dyn212">#REF!</definedName>
    <definedName name="CRF_Table2_II_s1_Dyn213">#REF!</definedName>
    <definedName name="CRF_Table2_II_s1_Dyn214">#REF!</definedName>
    <definedName name="CRF_Table2_II_s1_Dyn215">#REF!</definedName>
    <definedName name="CRF_Table2_II_s1_Dyn216">#REF!</definedName>
    <definedName name="CRF_Table2_II_s1_Dyn217">#REF!</definedName>
    <definedName name="CRF_Table2_II_s1_Dyn218">#REF!</definedName>
    <definedName name="CRF_Table2_II_s1_Dyn219">#REF!</definedName>
    <definedName name="CRF_Table2_II_s1_Dyn220">#REF!</definedName>
    <definedName name="CRF_Table2_II_s1_Dyn300">#REF!</definedName>
    <definedName name="CRF_Table2_II_s1_Dyn301">#REF!</definedName>
    <definedName name="CRF_Table2_II_s1_Dyn302">#REF!</definedName>
    <definedName name="CRF_Table2_II_s1_Dyn303">#REF!</definedName>
    <definedName name="CRF_Table2_II_s1_Dyn304">#REF!</definedName>
    <definedName name="CRF_Table2_II_s1_Dyn305">#REF!</definedName>
    <definedName name="CRF_Table2_II_s1_Dyn306">#REF!</definedName>
    <definedName name="CRF_Table2_II_s1_Dyn307">#REF!</definedName>
    <definedName name="CRF_Table2_II_s1_Dyn308">#REF!</definedName>
    <definedName name="CRF_Table2_II_s1_Dyn309">#REF!</definedName>
    <definedName name="CRF_Table2_II_s1_Dyn310">#REF!</definedName>
    <definedName name="CRF_Table2_II_s1_Dyn311">#REF!</definedName>
    <definedName name="CRF_Table2_II_s1_Dyn312">#REF!</definedName>
    <definedName name="CRF_Table2_II_s1_Dyn313">#REF!</definedName>
    <definedName name="CRF_Table2_II_s1_Dyn314">#REF!</definedName>
    <definedName name="CRF_Table2_II_s1_Dyn315">#REF!</definedName>
    <definedName name="CRF_Table2_II_s1_Dyn316">#REF!</definedName>
    <definedName name="CRF_Table2_II_s1_Dyn317">#REF!</definedName>
    <definedName name="CRF_Table2_II_s1_Dyn318">#REF!</definedName>
    <definedName name="CRF_Table2_II_s1_Dyn319">#REF!</definedName>
    <definedName name="CRF_Table2_II_s1_Dyn320">#REF!</definedName>
    <definedName name="CRF_Table2_II_s1_DynE3">#REF!</definedName>
    <definedName name="CRF_Table2_II_s1_DynF8">#REF!</definedName>
    <definedName name="CRF_Table2_II_s1_DynG">#REF!</definedName>
    <definedName name="CRF_Table2_II_s1_Main">#REF!</definedName>
    <definedName name="CRF_Table2_II_s2_Main1">#REF!</definedName>
    <definedName name="CRF_Table2_II_s2_Main2">#REF!</definedName>
    <definedName name="CRF_Table2_II_s2_Main3">#REF!</definedName>
    <definedName name="CRF_Table3.A_D_Doc">#REF!</definedName>
    <definedName name="CRF_Table3.A_D_DynD">#REF!</definedName>
    <definedName name="CRF_Table3.A_D_Main">#REF!</definedName>
    <definedName name="CRF_Table3_Dyn10">#REF!</definedName>
    <definedName name="CRF_Table3_Dyn11">#REF!</definedName>
    <definedName name="CRF_Table3_Dyn12">#REF!</definedName>
    <definedName name="CRF_Table3_DynD">#REF!</definedName>
    <definedName name="CRF_Table3_Main">#REF!</definedName>
    <definedName name="CRF_Table4.A_Add">#REF!</definedName>
    <definedName name="CRF_Table4.A_Doc">#REF!</definedName>
    <definedName name="CRF_Table4.A_Dyn10">#REF!</definedName>
    <definedName name="CRF_Table4.A_DynAdd">#REF!</definedName>
    <definedName name="CRF_Table4.A_Main">#REF!</definedName>
    <definedName name="CRF_Table4.B_a__Add">#REF!</definedName>
    <definedName name="CRF_Table4.B_a__Doc">#REF!</definedName>
    <definedName name="CRF_Table4.B_a__Main">#REF!</definedName>
    <definedName name="CRF_Table4.B_b__Add">#REF!</definedName>
    <definedName name="CRF_Table4.B_b__Doc">#REF!</definedName>
    <definedName name="CRF_Table4.B_b__Dyn10">#REF!</definedName>
    <definedName name="CRF_Table4.B_b__Dyn11">#REF!</definedName>
    <definedName name="CRF_Table4.B_b__Dyn12">#REF!</definedName>
    <definedName name="CRF_Table4.B_b__Dyn13">#REF!</definedName>
    <definedName name="CRF_Table4.B_b__Dyn14">#REF!</definedName>
    <definedName name="CRF_Table4.B_b__Dyn15">#REF!</definedName>
    <definedName name="CRF_Table4.B_b__DynA13">#REF!</definedName>
    <definedName name="CRF_Table4.B_b__Main">#REF!</definedName>
    <definedName name="CRF_Table4.C_Doc">#REF!</definedName>
    <definedName name="CRF_Table4.C_Dyn">#REF!</definedName>
    <definedName name="CRF_Table4.C_Dyn10">#REF!</definedName>
    <definedName name="CRF_Table4.C_Dyn11">#REF!</definedName>
    <definedName name="CRF_Table4.C_Main">#REF!</definedName>
    <definedName name="CRF_Table4.D_Add">#REF!</definedName>
    <definedName name="CRF_Table4.D_Doc">#REF!</definedName>
    <definedName name="CRF_Table4.D_Dyn10">#REF!</definedName>
    <definedName name="CRF_Table4.D_Dyn11">#REF!</definedName>
    <definedName name="CRF_Table4.D_DynA18">#REF!</definedName>
    <definedName name="CRF_Table4.D_Main">#REF!</definedName>
    <definedName name="CRF_Table4.E_A8">#REF!</definedName>
    <definedName name="CRF_Table4.E_Add">#REF!</definedName>
    <definedName name="CRF_Table4.E_Doc">#REF!</definedName>
    <definedName name="CRF_Table4.E_Dyn10">#REF!</definedName>
    <definedName name="CRF_Table4.E_Dyn11">#REF!</definedName>
    <definedName name="CRF_Table4.E_Main">#REF!</definedName>
    <definedName name="CRF_Table4.F_Doc">#REF!</definedName>
    <definedName name="CRF_Table4.F_Dyn10">#REF!</definedName>
    <definedName name="CRF_Table4.F_Dyn11">#REF!</definedName>
    <definedName name="CRF_Table4.F_Dyn2">#REF!</definedName>
    <definedName name="CRF_Table4.F_Dyn20">#REF!</definedName>
    <definedName name="CRF_Table4.F_Dyn21">#REF!</definedName>
    <definedName name="CRF_Table4.F_Dyn3">#REF!</definedName>
    <definedName name="CRF_Table4.F_Dyn30">#REF!</definedName>
    <definedName name="CRF_Table4.F_Dyn31">#REF!</definedName>
    <definedName name="CRF_Table4.F_Dyn40">#REF!</definedName>
    <definedName name="CRF_Table4.F_Dyn41">#REF!</definedName>
    <definedName name="CRF_Table4.F_Dyn5">#REF!</definedName>
    <definedName name="CRF_Table4.F_DynA15">#REF!</definedName>
    <definedName name="CRF_Table4.F_Main">#REF!</definedName>
    <definedName name="CRF_Table4s1_Dyn1">#REF!</definedName>
    <definedName name="CRF_Table4s1_DynA20">#REF!</definedName>
    <definedName name="CRF_Table4s1_Main">#REF!</definedName>
    <definedName name="CRF_Table4s2_Dyn10">#REF!</definedName>
    <definedName name="CRF_Table4s2_Dyn11">#REF!</definedName>
    <definedName name="CRF_Table4s2_Dyn20">#REF!</definedName>
    <definedName name="CRF_Table4s2_Dyn21">#REF!</definedName>
    <definedName name="CRF_Table4s2_Dyn22">#REF!</definedName>
    <definedName name="CRF_Table4s2_Dyn30">#REF!</definedName>
    <definedName name="CRF_Table4s2_Dyn31">#REF!</definedName>
    <definedName name="CRF_Table4s2_Dyn32">#REF!</definedName>
    <definedName name="CRF_Table4s2_Dyn33">#REF!</definedName>
    <definedName name="CRF_Table4s2_Dyn34">#REF!</definedName>
    <definedName name="CRF_Table4s2_Dyn40">#REF!</definedName>
    <definedName name="CRF_Table4s2_Dyn41">#REF!</definedName>
    <definedName name="CRF_Table4s2_Dyn42">#REF!</definedName>
    <definedName name="CRF_Table4s2_Dyn50">#REF!</definedName>
    <definedName name="CRF_Table4s2_DynB13">#REF!</definedName>
    <definedName name="CRF_Table4s2_DynC4">#REF!</definedName>
    <definedName name="CRF_Table4s2_DynD4">#REF!</definedName>
    <definedName name="CRF_Table4s2_DynF5">#REF!</definedName>
    <definedName name="CRF_Table4s2_DynG">#REF!</definedName>
    <definedName name="CRF_Table4s2_Main">#REF!</definedName>
    <definedName name="CRF_Table5.A_Doc">#REF!</definedName>
    <definedName name="CRF_Table5.A_Dyn">#REF!</definedName>
    <definedName name="CRF_Table5.A_DynA31">#REF!</definedName>
    <definedName name="CRF_Table5.A_DynB20">#REF!</definedName>
    <definedName name="CRF_Table5.A_DynB26">#REF!</definedName>
    <definedName name="CRF_Table5.A_Main1">#REF!</definedName>
    <definedName name="CRF_Table5.A_Main2">#REF!</definedName>
    <definedName name="CRF_Table5.A_Main3">#REF!</definedName>
    <definedName name="CRF_Table5.B_Add">#REF!</definedName>
    <definedName name="CRF_Table5.B_Doc">#REF!</definedName>
    <definedName name="CRF_Table5.B_DynA27">#REF!</definedName>
    <definedName name="CRF_Table5.B_Main1">#REF!</definedName>
    <definedName name="CRF_Table5.B_Main2">#REF!</definedName>
    <definedName name="CRF_Table5.C_Doc">#REF!</definedName>
    <definedName name="CRF_Table5.C_DynA24">#REF!</definedName>
    <definedName name="CRF_Table5.C_Main1">#REF!</definedName>
    <definedName name="CRF_Table5.C_Main2">#REF!</definedName>
    <definedName name="CRF_Table5.D_Add">#REF!</definedName>
    <definedName name="CRF_Table5.D_Doc">#REF!</definedName>
    <definedName name="CRF_Table5.D_Dyn1">#REF!</definedName>
    <definedName name="CRF_Table5.D_DynA16">#REF!</definedName>
    <definedName name="CRF_Table5.D_Main1">#REF!</definedName>
    <definedName name="CRF_Table5.D_Main2">#REF!</definedName>
    <definedName name="CRF_Table5_.A_Doc">#REF!</definedName>
    <definedName name="CRF_Table5_.A_Main">#REF!</definedName>
    <definedName name="CRF_Table5_.B_Doc">#REF!</definedName>
    <definedName name="CRF_Table5_.B_Main">#REF!</definedName>
    <definedName name="CRF_Table5_.B_Range1">#REF!</definedName>
    <definedName name="CRF_Table5_.C_Doc">#REF!</definedName>
    <definedName name="CRF_Table5_.C_Main">#REF!</definedName>
    <definedName name="CRF_Table5_.C_Range1">#REF!</definedName>
    <definedName name="CRF_Table5_.D_Doc">#REF!</definedName>
    <definedName name="CRF_Table5_.D_Main">#REF!</definedName>
    <definedName name="CRF_Table5_.D_Range1">#REF!</definedName>
    <definedName name="CRF_Table5_.E_Doc">#REF!</definedName>
    <definedName name="CRF_Table5_.E_Main">#REF!</definedName>
    <definedName name="CRF_Table5_.E_Range1">#REF!</definedName>
    <definedName name="CRF_Table5_.F_Doc">#REF!</definedName>
    <definedName name="CRF_Table5_.F_Main">#REF!</definedName>
    <definedName name="CRF_Table5_.F_Range1">#REF!</definedName>
    <definedName name="CRF_Table5_A_Range1">#REF!</definedName>
    <definedName name="CRF_Table5_Dyn10">#REF!</definedName>
    <definedName name="CRF_Table5_Dyn11">#REF!</definedName>
    <definedName name="CRF_Table5_Dyn12">#REF!</definedName>
    <definedName name="CRF_Table5_Dyn20">#REF!</definedName>
    <definedName name="CRF_Table5_Dyn21">#REF!</definedName>
    <definedName name="CRF_Table5_Dyn22">#REF!</definedName>
    <definedName name="CRF_Table5_Dyn23">#REF!</definedName>
    <definedName name="CRF_Table5_Dyn24">#REF!</definedName>
    <definedName name="CRF_Table5_Dyn30">#REF!</definedName>
    <definedName name="CRF_Table5_Dyn31">#REF!</definedName>
    <definedName name="CRF_Table5_Dyn32">#REF!</definedName>
    <definedName name="CRF_Table5_Dyn40">#REF!</definedName>
    <definedName name="CRF_Table5_Dyn41">#REF!</definedName>
    <definedName name="CRF_Table5_Dyn42">#REF!</definedName>
    <definedName name="CRF_Table5_Dyn50">#REF!</definedName>
    <definedName name="CRF_Table5_Dyn51">#REF!</definedName>
    <definedName name="CRF_Table5_Dyn52">#REF!</definedName>
    <definedName name="CRF_Table5_Dyn53">#REF!</definedName>
    <definedName name="CRF_Table5_Dyn54">#REF!</definedName>
    <definedName name="CRF_Table5_Dyn55">#REF!</definedName>
    <definedName name="CRF_Table5_Dyn56">#REF!</definedName>
    <definedName name="CRF_Table5_DynA5">#REF!</definedName>
    <definedName name="CRF_Table5_DynB5">#REF!</definedName>
    <definedName name="CRF_Table5_DynC5">#REF!</definedName>
    <definedName name="CRF_Table5_DynD">#REF!</definedName>
    <definedName name="CRF_Table5_DynE">#REF!</definedName>
    <definedName name="CRF_Table5_I_Doc">#REF!</definedName>
    <definedName name="CRF_Table5_I_Main">#REF!</definedName>
    <definedName name="CRF_Table5_I_Range1">#REF!</definedName>
    <definedName name="CRF_Table5_II_Doc">#REF!</definedName>
    <definedName name="CRF_Table5_II_Main">#REF!</definedName>
    <definedName name="CRF_Table5_II_Range1">#REF!</definedName>
    <definedName name="CRF_Table5_III_Doc">#REF!</definedName>
    <definedName name="CRF_Table5_III_Main">#REF!</definedName>
    <definedName name="CRF_Table5_III_Range1">#REF!</definedName>
    <definedName name="CRF_Table5_IV_Doc">#REF!</definedName>
    <definedName name="CRF_Table5_IV_Main">#REF!</definedName>
    <definedName name="CRF_Table5_IV_Range1">#REF!</definedName>
    <definedName name="CRF_Table5_Main">#REF!</definedName>
    <definedName name="CRF_Table5_V_Doc">#REF!</definedName>
    <definedName name="CRF_Table5_V_Main">#REF!</definedName>
    <definedName name="CRF_Table5_V_Range1">#REF!</definedName>
    <definedName name="CRF_Table6.A_C_Add">#REF!</definedName>
    <definedName name="CRF_Table6.A_C_Doc">#REF!</definedName>
    <definedName name="CRF_Table6.A_C_Dyn10">#REF!</definedName>
    <definedName name="CRF_Table6.A_C_Dyn11">#REF!</definedName>
    <definedName name="CRF_Table6.A_C_Dyn20">#REF!</definedName>
    <definedName name="CRF_Table6.A_C_Dyn21">#REF!</definedName>
    <definedName name="CRF_Table6.A_C_Dyn22">#REF!</definedName>
    <definedName name="CRF_Table6.A_C_DynA13">#REF!</definedName>
    <definedName name="CRF_Table6.A_C_DynA24">#REF!</definedName>
    <definedName name="CRF_Table6.A_C_DynK24">#REF!</definedName>
    <definedName name="CRF_Table6.A_C_Main1">#REF!</definedName>
    <definedName name="CRF_Table6.A_C_Main2">#REF!</definedName>
    <definedName name="CRF_Table6.B_Add1">#REF!</definedName>
    <definedName name="CRF_Table6.B_Add2">#REF!</definedName>
    <definedName name="CRF_Table6.B_Add3">#REF!</definedName>
    <definedName name="CRF_Table6.B_Add4">#REF!</definedName>
    <definedName name="CRF_Table6.B_Doc">#REF!</definedName>
    <definedName name="CRF_Table6.B_Dyn10">#REF!</definedName>
    <definedName name="CRF_Table6.B_Dyn11">#REF!</definedName>
    <definedName name="CRF_Table6.B_Dyn12">#REF!</definedName>
    <definedName name="CRF_Table6.B_DynA12">#REF!</definedName>
    <definedName name="CRF_Table6.B_DynM18">#REF!</definedName>
    <definedName name="CRF_Table6.B_DynM21">#REF!</definedName>
    <definedName name="CRF_Table6.B_DynM23">#REF!</definedName>
    <definedName name="CRF_Table6.B_DynM31">#REF!</definedName>
    <definedName name="CRF_Table6.B_Main1">#REF!</definedName>
    <definedName name="CRF_Table6.B_Main2">#REF!</definedName>
    <definedName name="CRF_Table6_Dyn10">#REF!</definedName>
    <definedName name="CRF_Table6_Dyn11">#REF!</definedName>
    <definedName name="CRF_Table6_Dyn12">#REF!</definedName>
    <definedName name="CRF_Table6_Dyn13">#REF!</definedName>
    <definedName name="CRF_Table6_Dyn14">#REF!</definedName>
    <definedName name="CRF_Table6_Dyn20">#REF!</definedName>
    <definedName name="CRF_Table6_Dyn21">#REF!</definedName>
    <definedName name="CRF_Table6_Dyn22">#REF!</definedName>
    <definedName name="CRF_Table6_Dyn23">#REF!</definedName>
    <definedName name="CRF_Table6_Dyn24">#REF!</definedName>
    <definedName name="CRF_Table6_Dyn30">#REF!</definedName>
    <definedName name="CRF_Table6_Dyn31">#REF!</definedName>
    <definedName name="CRF_Table6_Dyn32">#REF!</definedName>
    <definedName name="CRF_Table6_Dyn33">#REF!</definedName>
    <definedName name="CRF_Table6_Dyn34">#REF!</definedName>
    <definedName name="CRF_Table6_Dyn35">#REF!</definedName>
    <definedName name="CRF_Table6_Dyn36">#REF!</definedName>
    <definedName name="CRF_Table6_DynA3">#REF!</definedName>
    <definedName name="CRF_Table6_DynB3">#REF!</definedName>
    <definedName name="CRF_Table6_DynD">#REF!</definedName>
    <definedName name="CRF_Table6_Main">#REF!</definedName>
    <definedName name="CRF_Table7s1_Main">#REF!</definedName>
    <definedName name="CRF_Table7s2_Main">#REF!</definedName>
    <definedName name="CRF_Table7s3_DynA16">#REF!</definedName>
    <definedName name="CRF_Table7s3_Main">#REF!</definedName>
    <definedName name="CRF_Table8_a_s1_Main">#REF!</definedName>
    <definedName name="CRF_Table8_a_s2_DynA13">#REF!</definedName>
    <definedName name="CRF_Table8_a_s2_Main1">#REF!</definedName>
    <definedName name="CRF_Table8_a_s2_Main2">#REF!</definedName>
    <definedName name="CRF_Table8_a_s2_Main3">#REF!</definedName>
    <definedName name="CRF_Table8_b__Doc">#REF!</definedName>
    <definedName name="CRF_Table8_b__DynA8">#REF!</definedName>
    <definedName name="CRF_Table8_b__Main">#REF!</definedName>
    <definedName name="CRF_Table9s1_DynIE">#REF!</definedName>
    <definedName name="CRF_Table9s1_DynIECH4">#REF!</definedName>
    <definedName name="CRF_Table9s1_DynIECO2">#REF!</definedName>
    <definedName name="CRF_Table9s1_DynIEHFC">#REF!</definedName>
    <definedName name="CRF_Table9s1_DynIEN2O">#REF!</definedName>
    <definedName name="CRF_Table9s1_DynIEPFC">#REF!</definedName>
    <definedName name="CRF_Table9s1_DynIESF6">#REF!</definedName>
    <definedName name="CRF_Table9s1_DynNE">#REF!</definedName>
    <definedName name="CRF_Table9s1_DynNECH4">#REF!</definedName>
    <definedName name="CRF_Table9s1_DynNECO2">#REF!</definedName>
    <definedName name="CRF_Table9s1_DynNEHFC">#REF!</definedName>
    <definedName name="CRF_Table9s1_DynNEN2O">#REF!</definedName>
    <definedName name="CRF_Table9s1_DynNEPFC">#REF!</definedName>
    <definedName name="CRF_Table9s1_DynNESF6">#REF!</definedName>
    <definedName name="CRF_Table9s1_Main1">#REF!</definedName>
    <definedName name="CRF_Table9s1_Main2">#REF!</definedName>
    <definedName name="CRF_Table9s2_DynAdd">#REF!</definedName>
    <definedName name="CRF_Table9s2_Main">#REF!</definedName>
    <definedName name="CRF_Title">[1]Information!#REF!</definedName>
    <definedName name="hh">'[3]2001'!#REF!</definedName>
    <definedName name="kkkhyuk">#REF!</definedName>
    <definedName name="KP_5_KP_ADD">'[4]5(KP)'!#REF!</definedName>
    <definedName name="KP_5_KP_I_A11_2a">#REF!</definedName>
    <definedName name="KP_5_KP_I_A11_ADD">'[4]5(KP-I)A.1.1'!#REF!</definedName>
    <definedName name="KP_5_KP_I_A11_FORMULA_HEADER_ID">#REF!</definedName>
    <definedName name="KP_5_KP_I_A11_IDSUB">'[4]5(KP-I)A.1.1'!#REF!</definedName>
    <definedName name="KP_5_KP_I_A11_IDSUB_2a2b">#REF!</definedName>
    <definedName name="KP_5_KP_I_A11_LOCKCELLS">#REF!</definedName>
    <definedName name="KP_5_KP_I_A12_ADD">'[4]5(KP-I)A.1.2'!#REF!</definedName>
    <definedName name="KP_5_KP_I_A12_FORMULA_HEADER_ID">#REF!</definedName>
    <definedName name="KP_5_KP_I_A12_IDSUB">'[4]5(KP-I)A.1.2'!#REF!</definedName>
    <definedName name="KP_5_KP_I_A12_IDSUB_2a2b">#REF!</definedName>
    <definedName name="KP_5_KP_I_A12_LOCKCELLS">#REF!</definedName>
    <definedName name="KP_5_KP_I_A13_ADD">'[4]5(KP-I)A.1.3'!#REF!</definedName>
    <definedName name="KP_5_KP_I_A13_FORMULA_HEADER_ID">#REF!</definedName>
    <definedName name="KP_5_KP_I_A13_IDSUB">'[4]5(KP-I)A.1.3'!#REF!</definedName>
    <definedName name="KP_5_KP_I_A13_IDSUB_2a2b">#REF!</definedName>
    <definedName name="KP_5_KP_I_A13_LOCKCELLS">#REF!</definedName>
    <definedName name="KP_5_KP_I_A2_ADD">'[4]5(KP-I)A.2.'!#REF!</definedName>
    <definedName name="KP_5_KP_I_A2_FORMULA_HEADER_ID">#REF!</definedName>
    <definedName name="KP_5_KP_I_A2_IDSUB">'[4]5(KP-I)A.2.'!#REF!</definedName>
    <definedName name="KP_5_KP_I_A2_LOCKCELLS">#REF!</definedName>
    <definedName name="KP_5_KP_I_A21_ADD">'[4]5(KP-I)A.2.1'!#REF!</definedName>
    <definedName name="KP_5_KP_I_A21_FORMULA_HEADER_ID">#REF!</definedName>
    <definedName name="KP_5_KP_I_A21_IDSUB">'[4]5(KP-I)A.2.1'!#REF!</definedName>
    <definedName name="KP_5_KP_I_A21_LOCKCELLS">#REF!</definedName>
    <definedName name="KP_5_KP_I_B1_ADD">'[4]5(KP-I)B.1'!#REF!</definedName>
    <definedName name="KP_5_KP_I_B1_FORMULA_HEADER_ID">#REF!</definedName>
    <definedName name="KP_5_KP_I_B1_IDSUB">'[4]5(KP-I)B.1'!#REF!</definedName>
    <definedName name="KP_5_KP_I_B1_LOCKCELLS">#REF!</definedName>
    <definedName name="KP_5_KP_I_B2_ADD">'[4]5(KP-I)B.2'!#REF!</definedName>
    <definedName name="KP_5_KP_I_B2_FORMULA_HEADER_ID">#REF!</definedName>
    <definedName name="KP_5_KP_I_B2_IDSUB">'[4]5(KP-I)B.2'!#REF!</definedName>
    <definedName name="KP_5_KP_I_B2_LOCKCELLS">#REF!</definedName>
    <definedName name="KP_5_KP_I_B3_ADD">'[4]5(KP-I)B.3'!#REF!</definedName>
    <definedName name="KP_5_KP_I_B3_FORMULA_HEADER_ID">#REF!</definedName>
    <definedName name="KP_5_KP_I_B3_IDSUB">'[4]5(KP-I)B.3'!#REF!</definedName>
    <definedName name="KP_5_KP_I_B3_LOCKCELLS">#REF!</definedName>
    <definedName name="KP_5_KP_I_B4_ADD">'[4]5(KP-I)B.4'!#REF!</definedName>
    <definedName name="KP_5_KP_I_B4_FORMULA_HEADER_ID">#REF!</definedName>
    <definedName name="KP_5_KP_I_B4_IDSUB">'[4]5(KP-I)B.4'!#REF!</definedName>
    <definedName name="KP_5_KP_I_B4_LOCKCELLS">#REF!</definedName>
    <definedName name="KP_5_KP_II_1_A11_DYN_REGION">#REF!</definedName>
    <definedName name="KP_5_KP_II_1_A11_DYNROWS">#REF!</definedName>
    <definedName name="KP_5_KP_II_1_A11_FORMULA_HEADER_ID">#REF!</definedName>
    <definedName name="KP_5_KP_II_1_A11_IDCODE">'[4]5(KP-II)1'!#REF!</definedName>
    <definedName name="KP_5_KP_II_1_A12_DYN_REGION">#REF!</definedName>
    <definedName name="KP_5_KP_II_1_A12_DYNROWS">#REF!</definedName>
    <definedName name="KP_5_KP_II_1_A12_FORMULA_HEADER_ID">#REF!</definedName>
    <definedName name="KP_5_KP_II_1_A12_IDCODE">'[4]5(KP-II)1'!#REF!</definedName>
    <definedName name="KP_5_KP_II_1_ADD">'[4]5(KP-II)1'!#REF!</definedName>
    <definedName name="KP_5_KP_II_1_B1_DYN_REGION">#REF!</definedName>
    <definedName name="KP_5_KP_II_1_B1_DYNROWS">#REF!</definedName>
    <definedName name="KP_5_KP_II_1_B1_FORMULA_HEADER_ID">#REF!</definedName>
    <definedName name="KP_5_KP_II_1_B1_IDCODE">'[4]5(KP-II)1'!#REF!</definedName>
    <definedName name="KP_5_KP_II_2_ADD">'[4]5(KP-II)2'!#REF!</definedName>
    <definedName name="KP_5_KP_II_2_B1_DYN_REGION">#REF!</definedName>
    <definedName name="KP_5_KP_II_2_B1_DYNROWS">#REF!</definedName>
    <definedName name="KP_5_KP_II_2_B1_FORMULA_HEADER_ID">#REF!</definedName>
    <definedName name="KP_5_KP_II_2_B1_IDCODE">'[4]5(KP-II)2'!#REF!</definedName>
    <definedName name="KP_5_KP_II_3_A2_DYN_REGION">#REF!</definedName>
    <definedName name="KP_5_KP_II_3_A2_DYNROWS">#REF!</definedName>
    <definedName name="KP_5_KP_II_3_A2_FORMULA_HEADER_ID">#REF!</definedName>
    <definedName name="KP_5_KP_II_3_A21_DYN_REGION">#REF!</definedName>
    <definedName name="KP_5_KP_II_3_A21_DYNROWS">#REF!</definedName>
    <definedName name="KP_5_KP_II_3_A21_FORMULA_HEADER_ID">#REF!</definedName>
    <definedName name="KP_5_KP_II_3_A21_IDCODE_HEADER">'[4]5(KP-II)3'!#REF!</definedName>
    <definedName name="KP_5_KP_II_3_ADD">'[4]5(KP-II)3'!#REF!</definedName>
    <definedName name="KP_5_KP_II_3_B2_DYN_REGION">#REF!</definedName>
    <definedName name="KP_5_KP_II_3_B2_DYNROWS">#REF!</definedName>
    <definedName name="KP_5_KP_II_3_B2_FORMULA_HEADER_ID">#REF!</definedName>
    <definedName name="KP_5_KP_II_3_B2_IDCODE_HEADER">'[4]5(KP-II)3'!#REF!</definedName>
    <definedName name="KP_5_KP_II_3_D15">'[4]5(KP-II)3'!#REF!</definedName>
    <definedName name="KP_5_KP_II_4_A11_DYN_REGION">#REF!</definedName>
    <definedName name="KP_5_KP_II_4_A11_DYNROWS">#REF!</definedName>
    <definedName name="KP_5_KP_II_4_A11_FORMULA_HEADER_ID">#REF!</definedName>
    <definedName name="KP_5_KP_II_4_A11_IDCODE">'[4]5(KP-II)4'!#REF!</definedName>
    <definedName name="KP_5_KP_II_4_A12_DYN_REGION">#REF!</definedName>
    <definedName name="KP_5_KP_II_4_A12_DYNROWS">#REF!</definedName>
    <definedName name="KP_5_KP_II_4_A12_FORMULA_HEADER_ID">#REF!</definedName>
    <definedName name="KP_5_KP_II_4_A12_IDCODE">'[4]5(KP-II)4'!#REF!</definedName>
    <definedName name="KP_5_KP_II_4_A2_DYN_REGION">#REF!</definedName>
    <definedName name="KP_5_KP_II_4_A2_DYNROWS">#REF!</definedName>
    <definedName name="KP_5_KP_II_4_A2_FORMULA_HEADER_ID">#REF!</definedName>
    <definedName name="KP_5_KP_II_4_A2_IDCODE">'[4]5(KP-II)4'!#REF!</definedName>
    <definedName name="KP_5_KP_II_4_ADD">'[4]5(KP-II)4'!#REF!</definedName>
    <definedName name="KP_5_KP_II_4_B1_DYN_REGION">#REF!</definedName>
    <definedName name="KP_5_KP_II_4_B1_DYNROWS">#REF!</definedName>
    <definedName name="KP_5_KP_II_4_B1_FORMULA_HEADER_ID">#REF!</definedName>
    <definedName name="KP_5_KP_II_4_B1_IDCODE">'[4]5(KP-II)4'!#REF!</definedName>
    <definedName name="KP_5_KP_II_4_B2_DYN_REGION">#REF!</definedName>
    <definedName name="KP_5_KP_II_4_B2_DYNROWS">#REF!</definedName>
    <definedName name="KP_5_KP_II_4_B2_FORMULA_HEADER_ID">#REF!</definedName>
    <definedName name="KP_5_KP_II_4_B2_IDCODE">'[4]5(KP-II)4'!#REF!</definedName>
    <definedName name="KP_5_KP_II_4_B3_DYN_REGION">#REF!</definedName>
    <definedName name="KP_5_KP_II_4_B3_DYNROWS">#REF!</definedName>
    <definedName name="KP_5_KP_II_4_B3_FORMULA_HEADER_ID">#REF!</definedName>
    <definedName name="KP_5_KP_II_4_B3_IDCODE">'[4]5(KP-II)4'!#REF!</definedName>
    <definedName name="KP_5_KP_II_4_B4_DYN_REGION">#REF!</definedName>
    <definedName name="KP_5_KP_II_4_B4_DYNROWS">#REF!</definedName>
    <definedName name="KP_5_KP_II_4_B4_FORMULA_HEADER_ID">#REF!</definedName>
    <definedName name="KP_5_KP_II_4_B4_IDCODE">'[4]5(KP-II)4'!#REF!</definedName>
    <definedName name="KP_5_KP_II_5_A11_DYN_REGION">#REF!</definedName>
    <definedName name="KP_5_KP_II_5_A11_DYNROWS">#REF!</definedName>
    <definedName name="KP_5_KP_II_5_A11_FORMULA_HEADER_ID">#REF!</definedName>
    <definedName name="KP_5_KP_II_5_A11_IDCODE">'[4]5(KP-II)5'!#REF!</definedName>
    <definedName name="KP_5_KP_II_5_A12_DYN_REGION">#REF!</definedName>
    <definedName name="KP_5_KP_II_5_A12_DYNROWS">#REF!</definedName>
    <definedName name="KP_5_KP_II_5_A12_FORMULA_HEADER_ID">#REF!</definedName>
    <definedName name="KP_5_KP_II_5_A12_IDCODE">'[4]5(KP-II)5'!#REF!</definedName>
    <definedName name="KP_5_KP_II_5_A12_IDCODE_HEADER">'[4]5(KP-II)5'!#REF!</definedName>
    <definedName name="KP_5_KP_II_5_A2_DYN_REGION">#REF!</definedName>
    <definedName name="KP_5_KP_II_5_A2_DYNROWS">#REF!</definedName>
    <definedName name="KP_5_KP_II_5_A2_FORMULA_HEADER_ID">#REF!</definedName>
    <definedName name="KP_5_KP_II_5_A2_IDCODE">'[4]5(KP-II)5'!#REF!</definedName>
    <definedName name="KP_5_KP_II_5_ADD">'[4]5(KP-II)5'!#REF!</definedName>
    <definedName name="KP_5_KP_II_5_B1_DYN_REGION">#REF!</definedName>
    <definedName name="KP_5_KP_II_5_B1_DYNROWS">#REF!</definedName>
    <definedName name="KP_5_KP_II_5_B1_FORMULA_HEADER_ID">#REF!</definedName>
    <definedName name="KP_5_KP_II_5_B1_IDCODE">'[4]5(KP-II)5'!#REF!</definedName>
    <definedName name="KP_5_KP_II_5_B1_IDCODE_HEADER">'[4]5(KP-II)5'!#REF!</definedName>
    <definedName name="KP_5_KP_II_5_B2_DYN_REGION">#REF!</definedName>
    <definedName name="KP_5_KP_II_5_B2_DYNROWS">#REF!</definedName>
    <definedName name="KP_5_KP_II_5_B2_FORMULA_HEADER_ID">#REF!</definedName>
    <definedName name="KP_5_KP_II_5_B2_IDCODE">'[4]5(KP-II)5'!#REF!</definedName>
    <definedName name="KP_5_KP_II_5_B3_DYN_REGION">#REF!</definedName>
    <definedName name="KP_5_KP_II_5_B3_DYNROWS">#REF!</definedName>
    <definedName name="KP_5_KP_II_5_B3_FORMULA_HEADER_ID">#REF!</definedName>
    <definedName name="KP_5_KP_II_5_B3_IDCODE">'[4]5(KP-II)5'!#REF!</definedName>
    <definedName name="KP_5_KP_II_5_B3_IDCODE_HEADER">'[4]5(KP-II)5'!#REF!</definedName>
    <definedName name="KP_5_KP_II_5_B4_DYN_REGION">#REF!</definedName>
    <definedName name="KP_5_KP_II_5_B4_DYNROWS">#REF!</definedName>
    <definedName name="KP_5_KP_II_5_B4_FORMULA_HEADER_ID">#REF!</definedName>
    <definedName name="KP_5_KP_II_5_B4_IDCODE">'[4]5(KP-II)5'!#REF!</definedName>
    <definedName name="KP_5_KP_II_5_H15">'[4]5(KP-II)5'!#REF!</definedName>
    <definedName name="KP_5_KP_II_5_H27">'[4]5(KP-II)5'!#REF!</definedName>
    <definedName name="KP_5_KP_II_5_H39">'[4]5(KP-II)5'!#REF!</definedName>
    <definedName name="KP_5_KP_II_5_I15">'[4]5(KP-II)5'!#REF!</definedName>
    <definedName name="KP_5_KP_II_5_I27">'[4]5(KP-II)5'!#REF!</definedName>
    <definedName name="KP_5_KP_II_5_I39">'[4]5(KP-II)5'!#REF!</definedName>
    <definedName name="KP_5_KP_II_5_J15">'[4]5(KP-II)5'!#REF!</definedName>
    <definedName name="KP_5_KP_II_5_J27">'[4]5(KP-II)5'!#REF!</definedName>
    <definedName name="KP_5_KP_II_5_J39">'[4]5(KP-II)5'!#REF!</definedName>
    <definedName name="KP_5_KP_INFO_DYN_REGION">#REF!</definedName>
    <definedName name="KP_5_KP_INFO_DYNROWS">#REF!</definedName>
    <definedName name="KP_5_KP_INFO_FORMULA_HEADER_ID">#REF!</definedName>
    <definedName name="KP_5_KP_INFO_IDCODE">'[4]5(KP)'!#REF!</definedName>
    <definedName name="KP_5KP_IA.1.3_A11_IDSUB">#REF!</definedName>
    <definedName name="KP_5KP_IA.1.3_Dyn1A111">#REF!</definedName>
    <definedName name="KP_Accounting_A1_DYN_REGION">#REF!</definedName>
    <definedName name="KP_Accounting_A1_DYNROWS">#REF!</definedName>
    <definedName name="KP_Accounting_A1_FORMULA_HEADER_ID">#REF!</definedName>
    <definedName name="KP_Accounting_A1_IDCODE">#REF!</definedName>
    <definedName name="KP_Accounting_A1_IDCODE_HEADER">#REF!</definedName>
    <definedName name="KP_Accounting_MAIN">#REF!</definedName>
    <definedName name="KP_Accounting_VALUE">#REF!</definedName>
    <definedName name="KP_NIR3_ADD">'[4]NIR-3'!#REF!</definedName>
    <definedName name="KP_NIR3_NEW">'[4]NIR-3'!#REF!</definedName>
    <definedName name="KP_NIR3_VALUE">'[4]NIR-3'!$C$7:$F$10,'[4]NIR-3'!#REF!</definedName>
    <definedName name="PWD">#REF!</definedName>
    <definedName name="Q">#REF!</definedName>
    <definedName name="QW">#REF!</definedName>
    <definedName name="REC_Year">#REF!</definedName>
    <definedName name="SetEntryCellsEmpty">#REF!</definedName>
    <definedName name="Sheet10Range1">#REF!</definedName>
    <definedName name="Sheet10Range2">#REF!</definedName>
    <definedName name="Sheet10Range3">#REF!</definedName>
    <definedName name="Sheet10Range4">#REF!</definedName>
    <definedName name="Sheet11Range1">#REF!</definedName>
    <definedName name="Sheet11Range2">#REF!</definedName>
    <definedName name="Sheet11Range3">#REF!</definedName>
    <definedName name="Sheet11Range4">#REF!</definedName>
    <definedName name="Sheet12Range1">#REF!</definedName>
    <definedName name="Sheet12Range2">#REF!</definedName>
    <definedName name="Sheet12Range3">#REF!</definedName>
    <definedName name="Sheet12Range4">#REF!</definedName>
    <definedName name="Sheet12Range5">#REF!</definedName>
    <definedName name="Sheet13Range1">#REF!</definedName>
    <definedName name="Sheet13Range2">#REF!</definedName>
    <definedName name="Sheet14Range1">#REF!</definedName>
    <definedName name="Sheet14Range2">#REF!</definedName>
    <definedName name="Sheet14Range3">#REF!</definedName>
    <definedName name="Sheet14Range4">#REF!</definedName>
    <definedName name="Sheet15Range1">#REF!</definedName>
    <definedName name="Sheet15Range2">#REF!</definedName>
    <definedName name="Sheet16Range1">#REF!</definedName>
    <definedName name="Sheet16Range2">#REF!</definedName>
    <definedName name="Sheet16Range3">#REF!</definedName>
    <definedName name="Sheet16Range4">#REF!</definedName>
    <definedName name="Sheet17Range1">#REF!</definedName>
    <definedName name="Sheet17Range2">#REF!</definedName>
    <definedName name="Sheet18Range1">#REF!</definedName>
    <definedName name="Sheet18Range2">#REF!</definedName>
    <definedName name="Sheet18Range3">#REF!</definedName>
    <definedName name="Sheet18Range4">#REF!</definedName>
    <definedName name="Sheet18Range5">#REF!</definedName>
    <definedName name="Sheet18Range6">#REF!</definedName>
    <definedName name="Sheet19Range1">#REF!</definedName>
    <definedName name="Sheet19Range2">#REF!</definedName>
    <definedName name="Sheet19Range3">#REF!</definedName>
    <definedName name="Sheet19Range4">#REF!</definedName>
    <definedName name="Sheet1Range1">#REF!</definedName>
    <definedName name="Sheet1Range2">#REF!</definedName>
    <definedName name="Sheet20Range1">#REF!</definedName>
    <definedName name="Sheet20Range2">#REF!</definedName>
    <definedName name="Sheet20Range3">#REF!</definedName>
    <definedName name="Sheet20Range4">#REF!</definedName>
    <definedName name="Sheet21Range1">#REF!</definedName>
    <definedName name="Sheet21Range2">#REF!</definedName>
    <definedName name="Sheet22Range1">#REF!</definedName>
    <definedName name="Sheet22Range2">#REF!</definedName>
    <definedName name="Sheet22Range3">#REF!</definedName>
    <definedName name="Sheet22Range4">#REF!</definedName>
    <definedName name="Sheet23Range1">#REF!</definedName>
    <definedName name="Sheet23Range2">#REF!</definedName>
    <definedName name="Sheet23Range3">#REF!</definedName>
    <definedName name="Sheet23Range4">#REF!</definedName>
    <definedName name="Sheet24Range1">#REF!</definedName>
    <definedName name="Sheet24Range2">#REF!</definedName>
    <definedName name="Sheet24Range3">#REF!</definedName>
    <definedName name="Sheet24Range4">#REF!</definedName>
    <definedName name="Sheet25Range1">#REF!</definedName>
    <definedName name="Sheet25Range2">#REF!</definedName>
    <definedName name="Sheet26Range1">#REF!</definedName>
    <definedName name="Sheet26Range2">#REF!</definedName>
    <definedName name="Sheet26Range3">#REF!</definedName>
    <definedName name="Sheet26Range4">#REF!</definedName>
    <definedName name="Sheet27Range1">#REF!</definedName>
    <definedName name="Sheet27Range2">#REF!</definedName>
    <definedName name="Sheet27Range3">#REF!</definedName>
    <definedName name="Sheet27Range4">#REF!</definedName>
    <definedName name="Sheet27Range5">#REF!</definedName>
    <definedName name="Sheet28Range1">#REF!</definedName>
    <definedName name="Sheet28Range2">#REF!</definedName>
    <definedName name="Sheet28Range3">#REF!</definedName>
    <definedName name="Sheet28Range4">#REF!</definedName>
    <definedName name="Sheet29Range1">#REF!</definedName>
    <definedName name="Sheet29Range2">#REF!</definedName>
    <definedName name="Sheet2Range1">#REF!</definedName>
    <definedName name="Sheet2Range2">#REF!</definedName>
    <definedName name="Sheet2Range3">#REF!</definedName>
    <definedName name="Sheet2Range4">#REF!</definedName>
    <definedName name="Sheet30Range1">#REF!</definedName>
    <definedName name="Sheet30Range2">#REF!</definedName>
    <definedName name="Sheet30Range3">#REF!</definedName>
    <definedName name="Sheet30Range4">#REF!</definedName>
    <definedName name="Sheet30Range5">#REF!</definedName>
    <definedName name="Sheet31Range1">#REF!</definedName>
    <definedName name="Sheet31Range2">#REF!</definedName>
    <definedName name="Sheet31Range3">#REF!</definedName>
    <definedName name="Sheet31Range4">#REF!</definedName>
    <definedName name="Sheet31Range5">#REF!</definedName>
    <definedName name="Sheet32Range1">#REF!</definedName>
    <definedName name="Sheet32Range2">#REF!</definedName>
    <definedName name="Sheet32Range3">#REF!</definedName>
    <definedName name="Sheet32Range4">#REF!</definedName>
    <definedName name="Sheet33Range1">#REF!</definedName>
    <definedName name="Sheet33Range3">#REF!</definedName>
    <definedName name="Sheet34Range1">#REF!</definedName>
    <definedName name="Sheet34Range2">#REF!</definedName>
    <definedName name="Sheet34Range3">#REF!</definedName>
    <definedName name="Sheet34Range4">#REF!</definedName>
    <definedName name="Sheet34Range5">#REF!</definedName>
    <definedName name="Sheet35Range1">#REF!</definedName>
    <definedName name="Sheet35Range2">#REF!</definedName>
    <definedName name="Sheet35Range3">#REF!</definedName>
    <definedName name="Sheet35Range4">#REF!</definedName>
    <definedName name="Sheet36Range1">#REF!</definedName>
    <definedName name="Sheet36Range2">#REF!</definedName>
    <definedName name="Sheet36Range3">#REF!</definedName>
    <definedName name="Sheet36Range4">#REF!</definedName>
    <definedName name="Sheet37Range1">#REF!</definedName>
    <definedName name="Sheet37Range2">#REF!</definedName>
    <definedName name="Sheet37Range3">#REF!</definedName>
    <definedName name="Sheet37Range4">#REF!</definedName>
    <definedName name="Sheet37Range5">#REF!</definedName>
    <definedName name="Sheet37Range6">#REF!</definedName>
    <definedName name="Sheet37Range7">#REF!</definedName>
    <definedName name="Sheet37Range8">#REF!</definedName>
    <definedName name="Sheet37Range9">#REF!</definedName>
    <definedName name="Sheet38Range1">#REF!</definedName>
    <definedName name="Sheet38Range2">#REF!</definedName>
    <definedName name="Sheet38Range3">#REF!</definedName>
    <definedName name="Sheet38Range4">#REF!</definedName>
    <definedName name="Sheet38Range5">#REF!</definedName>
    <definedName name="Sheet38Range6">#REF!</definedName>
    <definedName name="Sheet38Range7">#REF!</definedName>
    <definedName name="Sheet39Range1">#REF!</definedName>
    <definedName name="Sheet39Range2">#REF!</definedName>
    <definedName name="Sheet39Range3">#REF!</definedName>
    <definedName name="Sheet39Range4">#REF!</definedName>
    <definedName name="Sheet39Range5">#REF!</definedName>
    <definedName name="Sheet3Range1">#REF!</definedName>
    <definedName name="Sheet3Range2">#REF!</definedName>
    <definedName name="Sheet40Range1">#REF!</definedName>
    <definedName name="Sheet40Range2">#REF!</definedName>
    <definedName name="Sheet40Range3">#REF!</definedName>
    <definedName name="Sheet40Range4">#REF!</definedName>
    <definedName name="Sheet40Range5">#REF!</definedName>
    <definedName name="Sheet40Range6">#REF!</definedName>
    <definedName name="Sheet40Range7">#REF!</definedName>
    <definedName name="Sheet41Range1">#REF!</definedName>
    <definedName name="Sheet41Range2">#REF!</definedName>
    <definedName name="Sheet42Range1">#REF!</definedName>
    <definedName name="Sheet42Range2">#REF!</definedName>
    <definedName name="Sheet42Range3">#REF!</definedName>
    <definedName name="Sheet42Range4">#REF!</definedName>
    <definedName name="Sheet43Range1">#REF!</definedName>
    <definedName name="Sheet43Range2">#REF!</definedName>
    <definedName name="Sheet43Range3">#REF!</definedName>
    <definedName name="Sheet43Range5">#REF!</definedName>
    <definedName name="Sheet44Range1">#REF!</definedName>
    <definedName name="Sheet44Range2">#REF!</definedName>
    <definedName name="Sheet45Range1">#REF!</definedName>
    <definedName name="Sheet45Range2">#REF!</definedName>
    <definedName name="Sheet45Range3">#REF!</definedName>
    <definedName name="Sheet45Range4">#REF!</definedName>
    <definedName name="Sheet45Range5">#REF!</definedName>
    <definedName name="Sheet46Range1">#REF!</definedName>
    <definedName name="Sheet46Range2">#REF!</definedName>
    <definedName name="Sheet46Range3">#REF!</definedName>
    <definedName name="Sheet46Range4">#REF!</definedName>
    <definedName name="Sheet46Range5">#REF!</definedName>
    <definedName name="Sheet47Range1">#REF!</definedName>
    <definedName name="Sheet47Range2">#REF!</definedName>
    <definedName name="Sheet48Range1">#REF!</definedName>
    <definedName name="Sheet48Range2">#REF!</definedName>
    <definedName name="Sheet49Range1">#REF!</definedName>
    <definedName name="Sheet49Range2">#REF!</definedName>
    <definedName name="Sheet4Range1">#REF!</definedName>
    <definedName name="Sheet4Range2">#REF!</definedName>
    <definedName name="Sheet50Range1">#REF!</definedName>
    <definedName name="Sheet50Range2">#REF!</definedName>
    <definedName name="Sheet51Range1">#REF!</definedName>
    <definedName name="Sheet51Range2">#REF!</definedName>
    <definedName name="Sheet51Range3">[1]Summary2!#REF!</definedName>
    <definedName name="Sheet51Range4">#REF!</definedName>
    <definedName name="Sheet51Range5">#REF!</definedName>
    <definedName name="Sheet52Range1">#REF!</definedName>
    <definedName name="Sheet52Range2">#REF!</definedName>
    <definedName name="Sheet53Range1">#REF!</definedName>
    <definedName name="Sheet53Range2">#REF!</definedName>
    <definedName name="Sheet53Range3">#REF!</definedName>
    <definedName name="Sheet53Range4">#REF!</definedName>
    <definedName name="Sheet54Range1">#REF!</definedName>
    <definedName name="Sheet54Range2">#REF!</definedName>
    <definedName name="Sheet54Range3">#REF!</definedName>
    <definedName name="Sheet55Range1">#REF!</definedName>
    <definedName name="Sheet55Range2">#REF!</definedName>
    <definedName name="Sheet55Range3">#REF!</definedName>
    <definedName name="Sheet55Range4">#REF!</definedName>
    <definedName name="Sheet55Range5">#REF!</definedName>
    <definedName name="Sheet55Range6">#REF!</definedName>
    <definedName name="Sheet56Range1">#REF!</definedName>
    <definedName name="Sheet56Range2">#REF!</definedName>
    <definedName name="Sheet56Range3">#REF!</definedName>
    <definedName name="Sheet56Range4">#REF!</definedName>
    <definedName name="Sheet56Range5">#REF!</definedName>
    <definedName name="Sheet56Range6">#REF!</definedName>
    <definedName name="Sheet57Range1">#REF!</definedName>
    <definedName name="Sheet57Range2">#REF!</definedName>
    <definedName name="Sheet57Range3">#REF!</definedName>
    <definedName name="Sheet58Range1">#REF!</definedName>
    <definedName name="Sheet58Range2">#REF!</definedName>
    <definedName name="Sheet58Range3">#REF!</definedName>
    <definedName name="Sheet58Range4">#REF!</definedName>
    <definedName name="Sheet58Range5">#REF!</definedName>
    <definedName name="Sheet58Range6">#REF!</definedName>
    <definedName name="Sheet59Range1">#REF!</definedName>
    <definedName name="Sheet59Range2">#REF!</definedName>
    <definedName name="Sheet59Range3">#REF!</definedName>
    <definedName name="Sheet5Range1">#REF!</definedName>
    <definedName name="Sheet5Range2">#REF!</definedName>
    <definedName name="Sheet60Range1">#REF!</definedName>
    <definedName name="Sheet60Range2">#REF!</definedName>
    <definedName name="Sheet60Range3">#REF!</definedName>
    <definedName name="Sheet61Range1">#REF!</definedName>
    <definedName name="Sheet61Range2">#REF!</definedName>
    <definedName name="Sheet61Range3">#REF!</definedName>
    <definedName name="Sheet62Range1">#REF!</definedName>
    <definedName name="Sheet62Range2">#REF!</definedName>
    <definedName name="Sheet62Range3">#REF!</definedName>
    <definedName name="Sheet63Range1">#REF!</definedName>
    <definedName name="Sheet63Range2">#REF!</definedName>
    <definedName name="Sheet63Range3">#REF!</definedName>
    <definedName name="Sheet63Range4">#REF!</definedName>
    <definedName name="Sheet63Range5">#REF!</definedName>
    <definedName name="Sheet63Range6">#REF!</definedName>
    <definedName name="Sheet63Range7">#REF!</definedName>
    <definedName name="Sheet64Range1">#REF!</definedName>
    <definedName name="Sheet64Range2">#REF!</definedName>
    <definedName name="Sheet64Range3">#REF!</definedName>
    <definedName name="Sheet64Range4">#REF!</definedName>
    <definedName name="Sheet6Range1">#REF!</definedName>
    <definedName name="Sheet6Range2">#REF!</definedName>
    <definedName name="Sheet6Range3">#REF!</definedName>
    <definedName name="Sheet6Range4">#REF!</definedName>
    <definedName name="Sheet7Range1">#REF!</definedName>
    <definedName name="Sheet7Range2">#REF!</definedName>
    <definedName name="Sheet7Range3">#REF!</definedName>
    <definedName name="Sheet8Range1">#REF!</definedName>
    <definedName name="Sheet8Range2">'[1]Table1.A(c)'!#REF!</definedName>
    <definedName name="Sheet8Range3">#REF!</definedName>
    <definedName name="Sheet8Range4">#REF!</definedName>
    <definedName name="Sheet9Range1">#REF!</definedName>
    <definedName name="Sheet9Range2">#REF!</definedName>
    <definedName name="Sheet9Range3">#REF!</definedName>
    <definedName name="Sheet9Range4">#REF!</definedName>
    <definedName name="Sheet9Range5">#REF!</definedName>
    <definedName name="Sheet9Range6">#REF!</definedName>
    <definedName name="Sheet9Range7">#REF!</definedName>
    <definedName name="Sheet9Range8">#REF!</definedName>
    <definedName name="Sheet9Range9">#REF!</definedName>
    <definedName name="ss">#REF!</definedName>
    <definedName name="ValidateZero">#REF!</definedName>
    <definedName name="WW">'[3]2001'!#REF!</definedName>
    <definedName name="www">#REF!</definedName>
    <definedName name="연도">[5]Intro!$I$7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7" l="1"/>
  <c r="D9" i="7" s="1"/>
  <c r="C15" i="7" s="1"/>
  <c r="E5" i="7"/>
  <c r="F5" i="7"/>
  <c r="F9" i="7" s="1"/>
  <c r="E15" i="7" s="1"/>
  <c r="J21" i="7" s="1"/>
  <c r="E12" i="3" s="1"/>
  <c r="G5" i="7"/>
  <c r="G9" i="7" s="1"/>
  <c r="F15" i="7" s="1"/>
  <c r="H5" i="7"/>
  <c r="I5" i="7"/>
  <c r="I9" i="7" s="1"/>
  <c r="H15" i="7" s="1"/>
  <c r="M21" i="7" s="1"/>
  <c r="H12" i="3" s="1"/>
  <c r="J5" i="7"/>
  <c r="K5" i="7"/>
  <c r="K9" i="7" s="1"/>
  <c r="J15" i="7" s="1"/>
  <c r="O21" i="7" s="1"/>
  <c r="J12" i="3" s="1"/>
  <c r="C5" i="7"/>
  <c r="C9" i="7" s="1"/>
  <c r="B15" i="7" s="1"/>
  <c r="D4" i="7"/>
  <c r="D8" i="7" s="1"/>
  <c r="C14" i="7" s="1"/>
  <c r="E4" i="7"/>
  <c r="E8" i="7" s="1"/>
  <c r="D14" i="7" s="1"/>
  <c r="F4" i="7"/>
  <c r="F8" i="7" s="1"/>
  <c r="E14" i="7" s="1"/>
  <c r="G4" i="7"/>
  <c r="G8" i="7" s="1"/>
  <c r="F14" i="7" s="1"/>
  <c r="K20" i="7" s="1"/>
  <c r="F11" i="3" s="1"/>
  <c r="H4" i="7"/>
  <c r="H8" i="7" s="1"/>
  <c r="G14" i="7" s="1"/>
  <c r="L20" i="7" s="1"/>
  <c r="G11" i="3" s="1"/>
  <c r="I4" i="7"/>
  <c r="I8" i="7" s="1"/>
  <c r="H14" i="7" s="1"/>
  <c r="M20" i="7" s="1"/>
  <c r="H11" i="3" s="1"/>
  <c r="J4" i="7"/>
  <c r="K4" i="7"/>
  <c r="K8" i="7" s="1"/>
  <c r="J14" i="7" s="1"/>
  <c r="O20" i="7" s="1"/>
  <c r="J11" i="3" s="1"/>
  <c r="C4" i="7"/>
  <c r="C8" i="7" s="1"/>
  <c r="B14" i="7" s="1"/>
  <c r="D3" i="7"/>
  <c r="D7" i="7" s="1"/>
  <c r="C13" i="7" s="1"/>
  <c r="C2" i="3" s="1"/>
  <c r="E3" i="7"/>
  <c r="E7" i="7" s="1"/>
  <c r="D13" i="7" s="1"/>
  <c r="D2" i="3" s="1"/>
  <c r="F3" i="7"/>
  <c r="F7" i="7" s="1"/>
  <c r="E13" i="7" s="1"/>
  <c r="E2" i="3" s="1"/>
  <c r="G3" i="7"/>
  <c r="G7" i="7" s="1"/>
  <c r="F13" i="7" s="1"/>
  <c r="F2" i="3" s="1"/>
  <c r="H3" i="7"/>
  <c r="H7" i="7" s="1"/>
  <c r="G13" i="7" s="1"/>
  <c r="G2" i="3" s="1"/>
  <c r="I3" i="7"/>
  <c r="I7" i="7" s="1"/>
  <c r="H13" i="7" s="1"/>
  <c r="H2" i="3" s="1"/>
  <c r="J3" i="7"/>
  <c r="J7" i="7" s="1"/>
  <c r="I13" i="7" s="1"/>
  <c r="I2" i="3" s="1"/>
  <c r="K3" i="7"/>
  <c r="K7" i="7" s="1"/>
  <c r="J13" i="7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AG2" i="3" s="1"/>
  <c r="AH2" i="3" s="1"/>
  <c r="AI2" i="3" s="1"/>
  <c r="AJ2" i="3" s="1"/>
  <c r="AK2" i="3" s="1"/>
  <c r="C3" i="7"/>
  <c r="C7" i="7" s="1"/>
  <c r="B13" i="7" s="1"/>
  <c r="B2" i="3" s="1"/>
  <c r="J9" i="7"/>
  <c r="I15" i="7" s="1"/>
  <c r="N21" i="7" s="1"/>
  <c r="I12" i="3" s="1"/>
  <c r="H9" i="7"/>
  <c r="G15" i="7" s="1"/>
  <c r="L21" i="7" s="1"/>
  <c r="G12" i="3" s="1"/>
  <c r="E9" i="7"/>
  <c r="D15" i="7" s="1"/>
  <c r="J8" i="7"/>
  <c r="I14" i="7" s="1"/>
  <c r="N20" i="7" s="1"/>
  <c r="I11" i="3" s="1"/>
  <c r="I21" i="7" l="1"/>
  <c r="D12" i="3" s="1"/>
  <c r="H21" i="7"/>
  <c r="C12" i="3" s="1"/>
  <c r="G21" i="7"/>
  <c r="B12" i="3" s="1"/>
  <c r="J20" i="7"/>
  <c r="E11" i="3" s="1"/>
  <c r="I20" i="7"/>
  <c r="D11" i="3" s="1"/>
  <c r="H20" i="7"/>
  <c r="C11" i="3" s="1"/>
  <c r="G20" i="7"/>
  <c r="B11" i="3" s="1"/>
  <c r="K11" i="3" l="1"/>
  <c r="L11" i="3" s="1"/>
  <c r="M11" i="3" s="1"/>
  <c r="N11" i="3" s="1"/>
  <c r="O11" i="3" s="1"/>
  <c r="P11" i="3" s="1"/>
  <c r="Q11" i="3" s="1"/>
  <c r="R11" i="3" s="1"/>
  <c r="S11" i="3" s="1"/>
  <c r="T11" i="3" s="1"/>
  <c r="U11" i="3" s="1"/>
  <c r="V11" i="3" s="1"/>
  <c r="W11" i="3" s="1"/>
  <c r="X11" i="3" s="1"/>
  <c r="Y11" i="3" s="1"/>
  <c r="Z11" i="3" s="1"/>
  <c r="AA11" i="3" s="1"/>
  <c r="AB11" i="3" s="1"/>
  <c r="AC11" i="3" s="1"/>
  <c r="AD11" i="3" s="1"/>
  <c r="AE11" i="3" s="1"/>
  <c r="AF11" i="3" s="1"/>
  <c r="AG11" i="3" s="1"/>
  <c r="AH11" i="3" s="1"/>
  <c r="AI11" i="3" s="1"/>
  <c r="AJ11" i="3" s="1"/>
  <c r="AK11" i="3" s="1"/>
  <c r="K21" i="7"/>
  <c r="K12" i="3" l="1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AF12" i="3" s="1"/>
  <c r="AG12" i="3" s="1"/>
  <c r="AH12" i="3" s="1"/>
  <c r="AI12" i="3" s="1"/>
  <c r="AJ12" i="3" s="1"/>
  <c r="AK12" i="3" s="1"/>
  <c r="F12" i="3"/>
</calcChain>
</file>

<file path=xl/sharedStrings.xml><?xml version="1.0" encoding="utf-8"?>
<sst xmlns="http://schemas.openxmlformats.org/spreadsheetml/2006/main" count="4609" uniqueCount="256">
  <si>
    <t>Source:</t>
  </si>
  <si>
    <t>Year</t>
  </si>
  <si>
    <t>Notes</t>
  </si>
  <si>
    <t>BLAPE BAU LULUCF Anthropogenic Pollutant Emissions</t>
  </si>
  <si>
    <t>F gases (g CO2e)</t>
  </si>
  <si>
    <t>CO2 (g)</t>
  </si>
  <si>
    <t>VOCs (g)</t>
  </si>
  <si>
    <t>CO (g)</t>
  </si>
  <si>
    <t>NOx (g)</t>
  </si>
  <si>
    <t>PM10 (g)</t>
  </si>
  <si>
    <t>PM25 (g)</t>
  </si>
  <si>
    <t>SOx (g)</t>
  </si>
  <si>
    <t>BC (g)</t>
  </si>
  <si>
    <t>OC (g)</t>
  </si>
  <si>
    <t>CH4 (g)</t>
  </si>
  <si>
    <t>N2O (g)</t>
  </si>
  <si>
    <t>GHG Emissions and Absorption</t>
    <phoneticPr fontId="4" type="noConversion"/>
  </si>
  <si>
    <t>GHG</t>
    <phoneticPr fontId="4" type="noConversion"/>
  </si>
  <si>
    <t>start year</t>
    <phoneticPr fontId="4" type="noConversion"/>
  </si>
  <si>
    <t>GHG absorption and emission data by greenhouse gas (CO2, N2O, CH4) of LULUCF</t>
    <phoneticPr fontId="4" type="noConversion"/>
  </si>
  <si>
    <t>CO2</t>
  </si>
  <si>
    <t>VOC</t>
  </si>
  <si>
    <t>CO</t>
  </si>
  <si>
    <t>NOx</t>
  </si>
  <si>
    <t>PM10</t>
  </si>
  <si>
    <t>SOx</t>
  </si>
  <si>
    <t>BC</t>
  </si>
  <si>
    <t>OC</t>
  </si>
  <si>
    <t>CH4</t>
  </si>
  <si>
    <t>N2O</t>
  </si>
  <si>
    <t>F gases</t>
  </si>
  <si>
    <t>총배출량</t>
  </si>
  <si>
    <t>순배출량</t>
  </si>
  <si>
    <t>A. 연료연소</t>
  </si>
  <si>
    <t>1. 에너지산업</t>
  </si>
  <si>
    <t>2. 제조업 및 건설업</t>
  </si>
  <si>
    <t>3. 수송</t>
  </si>
  <si>
    <t>4. 기타</t>
  </si>
  <si>
    <t>5. 미분류</t>
  </si>
  <si>
    <t>B. 탈루</t>
  </si>
  <si>
    <t>A. 산림지</t>
  </si>
  <si>
    <t>B. 농경지</t>
  </si>
  <si>
    <t>C. 초지</t>
  </si>
  <si>
    <t>D. 습지</t>
  </si>
  <si>
    <t>E. 정주지</t>
  </si>
  <si>
    <r>
      <t>분야</t>
    </r>
    <r>
      <rPr>
        <sz val="9"/>
        <rFont val="한컴돋움"/>
        <family val="1"/>
        <charset val="129"/>
      </rPr>
      <t>·</t>
    </r>
    <r>
      <rPr>
        <sz val="9"/>
        <rFont val="맑은 고딕"/>
        <family val="3"/>
        <charset val="129"/>
        <scheme val="minor"/>
      </rPr>
      <t>부문/연도</t>
    </r>
  </si>
  <si>
    <r>
      <t>CO</t>
    </r>
    <r>
      <rPr>
        <b/>
        <vertAlign val="subscript"/>
        <sz val="12"/>
        <color theme="4"/>
        <rFont val="맑은 고딕"/>
        <family val="3"/>
        <charset val="129"/>
        <scheme val="minor"/>
      </rPr>
      <t>2</t>
    </r>
    <r>
      <rPr>
        <b/>
        <sz val="12"/>
        <color theme="4"/>
        <rFont val="맑은 고딕"/>
        <family val="3"/>
        <charset val="129"/>
        <scheme val="minor"/>
      </rPr>
      <t xml:space="preserve"> 배출량 (단위: kt CO</t>
    </r>
    <r>
      <rPr>
        <b/>
        <vertAlign val="subscript"/>
        <sz val="12"/>
        <color theme="4"/>
        <rFont val="맑은 고딕"/>
        <family val="3"/>
        <charset val="129"/>
        <scheme val="minor"/>
      </rPr>
      <t>2</t>
    </r>
    <r>
      <rPr>
        <b/>
        <sz val="12"/>
        <color theme="4"/>
        <rFont val="맑은 고딕"/>
        <family val="3"/>
        <charset val="129"/>
        <scheme val="minor"/>
      </rPr>
      <t>-eq)</t>
    </r>
    <phoneticPr fontId="4" type="noConversion"/>
  </si>
  <si>
    <t>1. 에너지</t>
    <phoneticPr fontId="8" type="noConversion"/>
  </si>
  <si>
    <t>a. 공공전기 및 열 생산</t>
  </si>
  <si>
    <t>b. 석유정제</t>
  </si>
  <si>
    <t>c. 고체연료 제조 및 기타 에너지 산업</t>
  </si>
  <si>
    <t>a. 철강</t>
  </si>
  <si>
    <t>b. 비철금속</t>
  </si>
  <si>
    <t>c. 화학</t>
  </si>
  <si>
    <t>d. 펄프, 제지 및 인쇄</t>
  </si>
  <si>
    <t>e. 식음료품 가공 및 담배 제조</t>
  </si>
  <si>
    <t>f. 비금속광물</t>
    <phoneticPr fontId="8" type="noConversion"/>
  </si>
  <si>
    <t>g.기타</t>
    <phoneticPr fontId="8" type="noConversion"/>
  </si>
  <si>
    <t xml:space="preserve">  1. 기계 제조</t>
    <phoneticPr fontId="4" type="noConversion"/>
  </si>
  <si>
    <t xml:space="preserve">  1. 수송장비 제조</t>
    <phoneticPr fontId="4" type="noConversion"/>
  </si>
  <si>
    <t xml:space="preserve">  3. 광업</t>
    <phoneticPr fontId="4" type="noConversion"/>
  </si>
  <si>
    <t xml:space="preserve">  4. 목재 및 목제품</t>
    <phoneticPr fontId="4" type="noConversion"/>
  </si>
  <si>
    <t xml:space="preserve">  5. 건설업</t>
    <phoneticPr fontId="4" type="noConversion"/>
  </si>
  <si>
    <t xml:space="preserve">  6. 섬유 및 가죽</t>
    <phoneticPr fontId="4" type="noConversion"/>
  </si>
  <si>
    <t xml:space="preserve">  8. 기타</t>
    <phoneticPr fontId="4" type="noConversion"/>
  </si>
  <si>
    <t>a. 국내항공</t>
    <phoneticPr fontId="8" type="noConversion"/>
  </si>
  <si>
    <t>b. 도로수송</t>
    <phoneticPr fontId="8" type="noConversion"/>
  </si>
  <si>
    <t>c. 철도</t>
  </si>
  <si>
    <t>d. 국내해운</t>
    <phoneticPr fontId="8" type="noConversion"/>
  </si>
  <si>
    <t>e. 기타수송</t>
  </si>
  <si>
    <t>a. 상업/공공</t>
  </si>
  <si>
    <t>b. 가정</t>
  </si>
  <si>
    <t>c. 농업/임업/어업</t>
  </si>
  <si>
    <t xml:space="preserve">    농업/임업</t>
    <phoneticPr fontId="8" type="noConversion"/>
  </si>
  <si>
    <t xml:space="preserve">    어업</t>
    <phoneticPr fontId="8" type="noConversion"/>
  </si>
  <si>
    <t>1. 고체연료</t>
    <phoneticPr fontId="4" type="noConversion"/>
  </si>
  <si>
    <t>2.  석유 및 천연가스</t>
  </si>
  <si>
    <t>a.석유</t>
  </si>
  <si>
    <t>b.천연가스</t>
  </si>
  <si>
    <t>c.탈기 및 소각</t>
  </si>
  <si>
    <t>C.이산화탄소 수송 및 저장</t>
    <phoneticPr fontId="8" type="noConversion"/>
  </si>
  <si>
    <t>NO</t>
  </si>
  <si>
    <t>2. 산업공정 및 제품 사용</t>
    <phoneticPr fontId="8" type="noConversion"/>
  </si>
  <si>
    <t>A. 광물산업</t>
    <phoneticPr fontId="4" type="noConversion"/>
  </si>
  <si>
    <t>1. 시멘트생산</t>
    <phoneticPr fontId="4" type="noConversion"/>
  </si>
  <si>
    <t>2. 석회생산</t>
    <phoneticPr fontId="4" type="noConversion"/>
  </si>
  <si>
    <t>3. 유리생산</t>
    <phoneticPr fontId="4" type="noConversion"/>
  </si>
  <si>
    <t>4. 탄산염의 기타 공정 사용</t>
    <phoneticPr fontId="4" type="noConversion"/>
  </si>
  <si>
    <t>B. 화학산업</t>
    <phoneticPr fontId="4" type="noConversion"/>
  </si>
  <si>
    <t>1. 암모니아 생산</t>
    <phoneticPr fontId="4" type="noConversion"/>
  </si>
  <si>
    <t>IE</t>
  </si>
  <si>
    <t>2. 질산 생산</t>
    <phoneticPr fontId="4" type="noConversion"/>
  </si>
  <si>
    <t>3. 아디프산 생산</t>
    <phoneticPr fontId="4" type="noConversion"/>
  </si>
  <si>
    <t>4. 카프로락탐, 글리옥살, 글리옥실산 생산</t>
    <phoneticPr fontId="4" type="noConversion"/>
  </si>
  <si>
    <t>5. 카바이드 생산</t>
    <phoneticPr fontId="4" type="noConversion"/>
  </si>
  <si>
    <t>NO, IE</t>
    <phoneticPr fontId="8" type="noConversion"/>
  </si>
  <si>
    <t>6. 이산화티타늄 생산</t>
    <phoneticPr fontId="4" type="noConversion"/>
  </si>
  <si>
    <t>7. 소다회 생산</t>
    <phoneticPr fontId="4" type="noConversion"/>
  </si>
  <si>
    <t>8. 석유화학제품 및 카본블랙 생산</t>
    <phoneticPr fontId="4" type="noConversion"/>
  </si>
  <si>
    <t>9. 불소화합물 생산</t>
    <phoneticPr fontId="4" type="noConversion"/>
  </si>
  <si>
    <t>10. 기타</t>
    <phoneticPr fontId="4" type="noConversion"/>
  </si>
  <si>
    <t>C. 금속산업</t>
    <phoneticPr fontId="4" type="noConversion"/>
  </si>
  <si>
    <t>1. 철강생산</t>
    <phoneticPr fontId="4" type="noConversion"/>
  </si>
  <si>
    <t>2. 합금철 생산</t>
    <phoneticPr fontId="4" type="noConversion"/>
  </si>
  <si>
    <t>3. 알루미늄 생산</t>
    <phoneticPr fontId="4" type="noConversion"/>
  </si>
  <si>
    <t>4. 마그네슘 생산</t>
    <phoneticPr fontId="4" type="noConversion"/>
  </si>
  <si>
    <t>5.  납 생산</t>
    <phoneticPr fontId="4" type="noConversion"/>
  </si>
  <si>
    <t>6.  아연 생산</t>
    <phoneticPr fontId="4" type="noConversion"/>
  </si>
  <si>
    <t>7.  기타</t>
    <phoneticPr fontId="4" type="noConversion"/>
  </si>
  <si>
    <t>NO, NE</t>
    <phoneticPr fontId="8" type="noConversion"/>
  </si>
  <si>
    <t>D. 비에너지 제품 및 용매 사용</t>
    <phoneticPr fontId="4" type="noConversion"/>
  </si>
  <si>
    <t>1. 윤활유 사용</t>
    <phoneticPr fontId="4" type="noConversion"/>
  </si>
  <si>
    <t>2. 파라핀 왁스 사용</t>
    <phoneticPr fontId="4" type="noConversion"/>
  </si>
  <si>
    <t>3.  기타</t>
  </si>
  <si>
    <t>NA</t>
  </si>
  <si>
    <t>E. 전자산업</t>
    <phoneticPr fontId="4" type="noConversion"/>
  </si>
  <si>
    <t>F. 오존층파괴물질의 대체물질 사용</t>
    <phoneticPr fontId="4" type="noConversion"/>
  </si>
  <si>
    <t>1.  냉장 및 냉방</t>
    <phoneticPr fontId="4" type="noConversion"/>
  </si>
  <si>
    <t>2.  발포제</t>
    <phoneticPr fontId="4" type="noConversion"/>
  </si>
  <si>
    <t>3.  소화기</t>
    <phoneticPr fontId="4" type="noConversion"/>
  </si>
  <si>
    <t>4.  에어로졸</t>
    <phoneticPr fontId="4" type="noConversion"/>
  </si>
  <si>
    <t>5.  용매</t>
    <phoneticPr fontId="4" type="noConversion"/>
  </si>
  <si>
    <t>6.  기타 오존층파괴물질의 대체물질 사용</t>
    <phoneticPr fontId="8" type="noConversion"/>
  </si>
  <si>
    <t>G. 기타 제품제조 및 소비</t>
    <phoneticPr fontId="4" type="noConversion"/>
  </si>
  <si>
    <t>1.  중전기기</t>
    <phoneticPr fontId="4" type="noConversion"/>
  </si>
  <si>
    <t>2.  기타 제품사용의 육불화황 및 과불화탄소</t>
    <phoneticPr fontId="4" type="noConversion"/>
  </si>
  <si>
    <t>3.  제품사용의 아산화질소</t>
    <phoneticPr fontId="4" type="noConversion"/>
  </si>
  <si>
    <t>H. 기타</t>
    <phoneticPr fontId="4" type="noConversion"/>
  </si>
  <si>
    <t>1.  펄프 및 종이</t>
    <phoneticPr fontId="4" type="noConversion"/>
  </si>
  <si>
    <t>2.  식품 및 음료</t>
    <phoneticPr fontId="4" type="noConversion"/>
  </si>
  <si>
    <t>3.  기타</t>
    <phoneticPr fontId="4" type="noConversion"/>
  </si>
  <si>
    <t>3. 농업</t>
    <phoneticPr fontId="8" type="noConversion"/>
  </si>
  <si>
    <t>A.  장내발효</t>
    <phoneticPr fontId="4" type="noConversion"/>
  </si>
  <si>
    <t>1. 소</t>
    <phoneticPr fontId="4" type="noConversion"/>
  </si>
  <si>
    <t>2. 양(면양)</t>
    <phoneticPr fontId="4" type="noConversion"/>
  </si>
  <si>
    <t>3. 돼지</t>
    <phoneticPr fontId="4" type="noConversion"/>
  </si>
  <si>
    <t>4. 기타 가축</t>
    <phoneticPr fontId="4" type="noConversion"/>
  </si>
  <si>
    <t>B.  가축분뇨처리</t>
    <phoneticPr fontId="4" type="noConversion"/>
  </si>
  <si>
    <t>5. 간접 아산화질소 배출량</t>
    <phoneticPr fontId="4" type="noConversion"/>
  </si>
  <si>
    <t>C.  벼재배</t>
    <phoneticPr fontId="4" type="noConversion"/>
  </si>
  <si>
    <t>1. 수리답</t>
    <phoneticPr fontId="4" type="noConversion"/>
  </si>
  <si>
    <t>2. 천수답</t>
    <phoneticPr fontId="4" type="noConversion"/>
  </si>
  <si>
    <t>D. 농경지토양</t>
    <phoneticPr fontId="4" type="noConversion"/>
  </si>
  <si>
    <t>1. 직접배출</t>
    <phoneticPr fontId="4" type="noConversion"/>
  </si>
  <si>
    <t>2. 간접배출</t>
    <phoneticPr fontId="4" type="noConversion"/>
  </si>
  <si>
    <t>E. 사바나 소각</t>
    <phoneticPr fontId="4" type="noConversion"/>
  </si>
  <si>
    <t>F. 작물잔사소각</t>
    <phoneticPr fontId="4" type="noConversion"/>
  </si>
  <si>
    <t>1. 곡류</t>
    <phoneticPr fontId="4" type="noConversion"/>
  </si>
  <si>
    <t>2. 두류</t>
    <phoneticPr fontId="4" type="noConversion"/>
  </si>
  <si>
    <t>3. 서류</t>
    <phoneticPr fontId="4" type="noConversion"/>
  </si>
  <si>
    <t>4. 사탕수수</t>
    <phoneticPr fontId="4" type="noConversion"/>
  </si>
  <si>
    <t>5. 기타</t>
    <phoneticPr fontId="4" type="noConversion"/>
  </si>
  <si>
    <t>G. 석회 시용</t>
    <phoneticPr fontId="4" type="noConversion"/>
  </si>
  <si>
    <t>H. 요소 시용</t>
    <phoneticPr fontId="4" type="noConversion"/>
  </si>
  <si>
    <t>4. LULUCF</t>
    <phoneticPr fontId="8" type="noConversion"/>
  </si>
  <si>
    <t>1. 산림지로 유지된 산림지</t>
  </si>
  <si>
    <t>2. 타토지에서 전용된 산림지</t>
  </si>
  <si>
    <t>NO, NE, IE</t>
    <phoneticPr fontId="8" type="noConversion"/>
  </si>
  <si>
    <t>3. 산불(산림지에서 바이오매스 연소에 의한 배출)</t>
    <phoneticPr fontId="20" type="noConversion"/>
  </si>
  <si>
    <t>1. 농경지로 유지된 농경지</t>
  </si>
  <si>
    <t>2. 타토지에서 전용된 농경지</t>
    <phoneticPr fontId="4" type="noConversion"/>
  </si>
  <si>
    <t>1. 초지로 유지된 초지</t>
  </si>
  <si>
    <t>2. 타토지에서 전용된 초지</t>
  </si>
  <si>
    <t>1. 습지로 유지된 습지</t>
  </si>
  <si>
    <t xml:space="preserve">    내륙습지</t>
    <phoneticPr fontId="8" type="noConversion"/>
  </si>
  <si>
    <t xml:space="preserve">    연안습지</t>
    <phoneticPr fontId="8" type="noConversion"/>
  </si>
  <si>
    <t>2. 타토지에서 전용된 습지</t>
  </si>
  <si>
    <t>1. 정주지로 유지된 정주지</t>
    <phoneticPr fontId="8" type="noConversion"/>
  </si>
  <si>
    <t>2. 타토지에서 전용된 정주지</t>
    <phoneticPr fontId="4" type="noConversion"/>
  </si>
  <si>
    <t>F. 기타토지</t>
  </si>
  <si>
    <t>1. 기타토지로 유지된 기타토지</t>
    <phoneticPr fontId="8" type="noConversion"/>
  </si>
  <si>
    <t>2. 타토지에서 전용된 기타토지</t>
    <phoneticPr fontId="4" type="noConversion"/>
  </si>
  <si>
    <t>G. 수확된 목재제품</t>
    <phoneticPr fontId="8" type="noConversion"/>
  </si>
  <si>
    <t>H. 기타</t>
    <phoneticPr fontId="8" type="noConversion"/>
  </si>
  <si>
    <t>5. 폐기물</t>
    <phoneticPr fontId="8" type="noConversion"/>
  </si>
  <si>
    <t>A. 폐기물매립</t>
    <phoneticPr fontId="4" type="noConversion"/>
  </si>
  <si>
    <t>1. 관리형 매립</t>
    <phoneticPr fontId="4" type="noConversion"/>
  </si>
  <si>
    <t>2. 비관리형 매립</t>
    <phoneticPr fontId="4" type="noConversion"/>
  </si>
  <si>
    <t>3. 기타 매립</t>
    <phoneticPr fontId="4" type="noConversion"/>
  </si>
  <si>
    <t>B. 고형폐기물의 생물학적 처리</t>
    <phoneticPr fontId="4" type="noConversion"/>
  </si>
  <si>
    <t>1. 퇴비화</t>
    <phoneticPr fontId="4" type="noConversion"/>
  </si>
  <si>
    <t>2. 바이오가스시설에서의 혐기성 소화</t>
    <phoneticPr fontId="4" type="noConversion"/>
  </si>
  <si>
    <t>C. 폐기물소각 및 노천소각</t>
    <phoneticPr fontId="4" type="noConversion"/>
  </si>
  <si>
    <t>1. 폐기물소각</t>
    <phoneticPr fontId="4" type="noConversion"/>
  </si>
  <si>
    <t>2. 노천소각</t>
    <phoneticPr fontId="4" type="noConversion"/>
  </si>
  <si>
    <t>D. 하폐수처리</t>
    <phoneticPr fontId="4" type="noConversion"/>
  </si>
  <si>
    <t>1. 하수처리</t>
    <phoneticPr fontId="4" type="noConversion"/>
  </si>
  <si>
    <t>2. 폐수처리</t>
    <phoneticPr fontId="4" type="noConversion"/>
  </si>
  <si>
    <t>3. 기타</t>
    <phoneticPr fontId="4" type="noConversion"/>
  </si>
  <si>
    <t>E. 기타</t>
    <phoneticPr fontId="4" type="noConversion"/>
  </si>
  <si>
    <t>NO</t>
    <phoneticPr fontId="8" type="noConversion"/>
  </si>
  <si>
    <t>별도항목(Memo Item)</t>
  </si>
  <si>
    <t>분야·부문/연도</t>
    <phoneticPr fontId="8" type="noConversion"/>
  </si>
  <si>
    <t>D. 국제벙커링 및 다국적 작전</t>
    <phoneticPr fontId="8" type="noConversion"/>
  </si>
  <si>
    <t>1. 벙커링</t>
  </si>
  <si>
    <t>a. 국제 항공</t>
  </si>
  <si>
    <t>b. 국제 해운</t>
  </si>
  <si>
    <t>2. 다국적 작전</t>
  </si>
  <si>
    <t>C</t>
  </si>
  <si>
    <t xml:space="preserve">* 참고 (1) 표기기호 설명 : NO = 특정 배출, 흡수원의 활동이 국내에 존재하지 않는 경우, NE = 배출, 흡수원은 존재하나 특정 사유로 산정하지 아니하는 경우, NA = 배출, 흡수원의 배출활동은 존재하나, 특정 가스의 배출 또는 흡수가 발생하지 않는 경우, IE = 배출, 흡수량이 산정되었으나, 다른 항목에 포함하여 보고하는 경우, C = 해당 배출, 흡수량이 보안상 기밀 정보인 경우
</t>
    <phoneticPr fontId="4" type="noConversion"/>
  </si>
  <si>
    <t xml:space="preserve">* 참고 (2) 회색 음영셀 : IPCC GL에 따라 산정하지 않는 배출, 흡수원에 해당 </t>
    <phoneticPr fontId="8" type="noConversion"/>
  </si>
  <si>
    <t>참고사항(Documentation box)</t>
    <phoneticPr fontId="8" type="noConversion"/>
  </si>
  <si>
    <t>IE(Included Elsewhere) 설명</t>
    <phoneticPr fontId="8" type="noConversion"/>
  </si>
  <si>
    <t>분야</t>
    <phoneticPr fontId="8" type="noConversion"/>
  </si>
  <si>
    <t>보고 부문</t>
    <phoneticPr fontId="8" type="noConversion"/>
  </si>
  <si>
    <t>실제 보고 위치</t>
    <phoneticPr fontId="8" type="noConversion"/>
  </si>
  <si>
    <t>설명</t>
    <phoneticPr fontId="8" type="noConversion"/>
  </si>
  <si>
    <t>2. 산업공정 및 제품사용</t>
    <phoneticPr fontId="8" type="noConversion"/>
  </si>
  <si>
    <t>2.B.1.</t>
    <phoneticPr fontId="8" type="noConversion"/>
  </si>
  <si>
    <t>2.B.10.</t>
  </si>
  <si>
    <t>암모니아 생산(2.B.1.)은 업체의 정보보호를 위해 기타(2.B.10.)에 통합 보고</t>
  </si>
  <si>
    <t>2.B.5.</t>
    <phoneticPr fontId="8" type="noConversion"/>
  </si>
  <si>
    <t>카바이드 생산(2.B.5.)은 업체의 정보보호를 위해 기타(2.B.10.)에 통합 보고</t>
  </si>
  <si>
    <t>2.C.2.</t>
    <phoneticPr fontId="8" type="noConversion"/>
  </si>
  <si>
    <t>1.A.2.a.</t>
    <phoneticPr fontId="8" type="noConversion"/>
  </si>
  <si>
    <t>합금철 생산(2.C.2.)의 환원제 소비는 기초통계에서 활동자료가 구분되지 않아 에너지 분야 철강(1.A.2.a.)에 통합 보고</t>
    <phoneticPr fontId="8" type="noConversion"/>
  </si>
  <si>
    <t>2.C.1.</t>
    <phoneticPr fontId="8" type="noConversion"/>
  </si>
  <si>
    <t>합금철 생산(2.C.2.)의 탄소전극 소비는 산업공정 및 제품 사용 분야 철강 생산(2.C.1.)에 통합 보고</t>
    <phoneticPr fontId="8" type="noConversion"/>
  </si>
  <si>
    <t>2.C.5.</t>
    <phoneticPr fontId="8" type="noConversion"/>
  </si>
  <si>
    <t>2.C.7.</t>
    <phoneticPr fontId="8" type="noConversion"/>
  </si>
  <si>
    <t>납 생산(2.C.5.)은 업체의 정보보호를 위하여 기타(2.C.7.)에 통합 보고</t>
  </si>
  <si>
    <t>2.C.6.</t>
    <phoneticPr fontId="8" type="noConversion"/>
  </si>
  <si>
    <t>아연 생산(2.C.6.)은 업체의 정보보호를 위하여 기타(2.C.7.)에 통합 보고</t>
  </si>
  <si>
    <t>4.A.2.</t>
    <phoneticPr fontId="8" type="noConversion"/>
  </si>
  <si>
    <t>4.A.1.</t>
    <phoneticPr fontId="8" type="noConversion"/>
  </si>
  <si>
    <t>타토지에서 전용된 산림지(4.A.2.)의 바이오매스는 산림지로 유지된 산림지(4.A.1.)에 포함하여 보고</t>
    <phoneticPr fontId="8" type="noConversion"/>
  </si>
  <si>
    <t>4.E.2.</t>
    <phoneticPr fontId="8" type="noConversion"/>
  </si>
  <si>
    <t>4.E.1.</t>
    <phoneticPr fontId="8" type="noConversion"/>
  </si>
  <si>
    <t>타토지에서 전용된 정주지(4.E.2.)의 바이오매스는 정주지로 유지된 정주지(4.E.1.)에 포함하여 보고</t>
    <phoneticPr fontId="8" type="noConversion"/>
  </si>
  <si>
    <r>
      <t>CH</t>
    </r>
    <r>
      <rPr>
        <b/>
        <vertAlign val="subscript"/>
        <sz val="12"/>
        <color theme="4"/>
        <rFont val="맑은 고딕"/>
        <family val="3"/>
        <charset val="129"/>
        <scheme val="minor"/>
      </rPr>
      <t>4</t>
    </r>
    <r>
      <rPr>
        <b/>
        <sz val="12"/>
        <color theme="4"/>
        <rFont val="맑은 고딕"/>
        <family val="3"/>
        <charset val="129"/>
        <scheme val="minor"/>
      </rPr>
      <t xml:space="preserve">  배출량 (단위: kt CO</t>
    </r>
    <r>
      <rPr>
        <b/>
        <vertAlign val="subscript"/>
        <sz val="12"/>
        <color theme="4"/>
        <rFont val="맑은 고딕"/>
        <family val="3"/>
        <charset val="129"/>
        <scheme val="minor"/>
      </rPr>
      <t>2</t>
    </r>
    <r>
      <rPr>
        <b/>
        <sz val="12"/>
        <color theme="4"/>
        <rFont val="맑은 고딕"/>
        <family val="3"/>
        <charset val="129"/>
        <scheme val="minor"/>
      </rPr>
      <t>-eq)</t>
    </r>
    <phoneticPr fontId="4" type="noConversion"/>
  </si>
  <si>
    <t>NO, NA</t>
    <phoneticPr fontId="8" type="noConversion"/>
  </si>
  <si>
    <t>NE</t>
  </si>
  <si>
    <t xml:space="preserve">* 참고 (1) 표기기호 설명 : NO = 특정 배출, 흡수원의 활동이 국내에 존재하지 않는 경우, NE = 배출, 흡수원은 존재하나 특정 사유로 산정하지 아니하는 경우, NA = 배출, 흡수원의 배출활동은 존재하나, 특정 가스의 배출 또는 흡수가 발생하지 않는 경우, C = 해당 배출, 흡수량이 보안상 기밀 정보인 경우
</t>
    <phoneticPr fontId="4" type="noConversion"/>
  </si>
  <si>
    <t>-</t>
    <phoneticPr fontId="8" type="noConversion"/>
  </si>
  <si>
    <r>
      <t>N</t>
    </r>
    <r>
      <rPr>
        <b/>
        <vertAlign val="subscript"/>
        <sz val="12"/>
        <color theme="4"/>
        <rFont val="맑은 고딕"/>
        <family val="3"/>
        <charset val="129"/>
        <scheme val="minor"/>
      </rPr>
      <t>2</t>
    </r>
    <r>
      <rPr>
        <b/>
        <sz val="12"/>
        <color theme="4"/>
        <rFont val="맑은 고딕"/>
        <family val="3"/>
        <charset val="129"/>
        <scheme val="minor"/>
      </rPr>
      <t>O 배출량 (단위: kt CO</t>
    </r>
    <r>
      <rPr>
        <b/>
        <vertAlign val="subscript"/>
        <sz val="12"/>
        <color theme="4"/>
        <rFont val="맑은 고딕"/>
        <family val="3"/>
        <charset val="129"/>
        <scheme val="minor"/>
      </rPr>
      <t>2</t>
    </r>
    <r>
      <rPr>
        <b/>
        <sz val="12"/>
        <color theme="4"/>
        <rFont val="맑은 고딕"/>
        <family val="3"/>
        <charset val="129"/>
        <scheme val="minor"/>
      </rPr>
      <t>-eq)</t>
    </r>
    <phoneticPr fontId="4" type="noConversion"/>
  </si>
  <si>
    <t>a.석유</t>
    <phoneticPr fontId="8" type="noConversion"/>
  </si>
  <si>
    <t>NO, NE</t>
  </si>
  <si>
    <t>NA</t>
    <phoneticPr fontId="8" type="noConversion"/>
  </si>
  <si>
    <t>2.B.3.</t>
    <phoneticPr fontId="8" type="noConversion"/>
  </si>
  <si>
    <t>아디프산 생산(2.B.3.)은 업체의 정보보호를 위해 기타(2.B.10.)에 통합 보고</t>
  </si>
  <si>
    <t>2.B.4.</t>
    <phoneticPr fontId="8" type="noConversion"/>
  </si>
  <si>
    <t>카프로락탐, 글리옥살, 글리옥살산 생산(2.B.4.)은 업체의 정보보호를 위해 기타(2.B.10.)에 통합 보고</t>
  </si>
  <si>
    <t>CO2 배출량 (단위: kt CO2-eq)</t>
  </si>
  <si>
    <t>분야·부문/연도</t>
  </si>
  <si>
    <t>CO2 배출량 (단위: 백만톤 CO2-eq)</t>
  </si>
  <si>
    <t>[Step 1]  CH4, N2O 배출량 합계 (단위: 백만톤 CO2-eq)</t>
  </si>
  <si>
    <t>[Step 2]  g 단위 변환 (from GbPbT)</t>
  </si>
  <si>
    <t>GWP (g CO2e/g pollutant)</t>
  </si>
  <si>
    <t>20년 GWP</t>
  </si>
  <si>
    <t>100년 GWP</t>
  </si>
  <si>
    <t>연도 별 물질별 g 배출량</t>
  </si>
  <si>
    <t>PM2.5</t>
  </si>
  <si>
    <t>https://www.gir.go.kr/home/board/read.do?pagerOffset=0&amp;maxPageItems=10&amp;maxIndexPages=10&amp;searchKey=&amp;searchValue=&amp;menuId=36&amp;boardId=89&amp;boardMasterId=2&amp;boardCategoryId=&amp;pagerOffset=0</t>
  </si>
  <si>
    <t>2025 National Greenhouse Gas Inventory (1990-2023) Publication</t>
  </si>
  <si>
    <t>Greenhouse Gas Inventory &amp; Research Center (GIR)</t>
  </si>
  <si>
    <t>Information Hub / National &amp; Regional GHG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</si>
</sst>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80" formatCode="_-* #,##0.000_-;\-* #,##0.000_-;_-* &quot;-&quot;_-;_-@_-"/>
    <numFmt numFmtId="181" formatCode="_-* #,##0.0000_-;\-* #,##0.0000_-;_-* &quot;-&quot;_-;_-@_-"/>
    <numFmt numFmtId="182" formatCode="_-* #,##0.00000_-;\-* #,##0.00000_-;_-* &quot;-&quot;_-;_-@_-"/>
  </numFmts>
  <fonts count="27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u/>
      <sz val="11"/>
      <color rgb="FFFF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2"/>
      <color theme="4"/>
      <name val="맑은 고딕"/>
      <family val="3"/>
      <charset val="129"/>
      <scheme val="minor"/>
    </font>
    <font>
      <b/>
      <vertAlign val="subscript"/>
      <sz val="12"/>
      <color theme="4"/>
      <name val="맑은 고딕"/>
      <family val="3"/>
      <charset val="129"/>
      <scheme val="minor"/>
    </font>
    <font>
      <sz val="9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한컴돋움"/>
      <family val="1"/>
      <charset val="129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DE9D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4F81B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4F81BD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rgb="FF4F81BD"/>
      </bottom>
      <diagonal/>
    </border>
    <border>
      <left/>
      <right/>
      <top style="thin">
        <color rgb="FF000000"/>
      </top>
      <bottom/>
      <diagonal/>
    </border>
  </borders>
  <cellStyleXfs count="12">
    <xf numFmtId="0" fontId="0" fillId="0" borderId="0"/>
    <xf numFmtId="0" fontId="3" fillId="0" borderId="0" applyNumberFormat="0" applyFill="0" applyBorder="0" applyAlignment="0" applyProtection="0"/>
    <xf numFmtId="0" fontId="12" fillId="0" borderId="2" applyNumberFormat="0" applyFill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7" fillId="0" borderId="0"/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</cellStyleXfs>
  <cellXfs count="90">
    <xf numFmtId="0" fontId="0" fillId="0" borderId="0" xfId="0"/>
    <xf numFmtId="0" fontId="2" fillId="0" borderId="0" xfId="0" applyFont="1"/>
    <xf numFmtId="11" fontId="0" fillId="0" borderId="0" xfId="0" applyNumberFormat="1"/>
    <xf numFmtId="0" fontId="0" fillId="0" borderId="0" xfId="0" applyAlignment="1">
      <alignment vertical="center"/>
    </xf>
    <xf numFmtId="0" fontId="5" fillId="0" borderId="0" xfId="0" applyFont="1"/>
    <xf numFmtId="0" fontId="6" fillId="0" borderId="0" xfId="0" applyFont="1"/>
    <xf numFmtId="0" fontId="9" fillId="0" borderId="0" xfId="0" applyFont="1"/>
    <xf numFmtId="0" fontId="10" fillId="0" borderId="0" xfId="0" applyFont="1" applyAlignment="1">
      <alignment horizontal="left"/>
    </xf>
    <xf numFmtId="0" fontId="10" fillId="0" borderId="0" xfId="0" applyFont="1"/>
    <xf numFmtId="0" fontId="11" fillId="0" borderId="0" xfId="1" applyFont="1"/>
    <xf numFmtId="176" fontId="16" fillId="5" borderId="1" xfId="6" applyNumberFormat="1" applyFont="1" applyFill="1" applyBorder="1" applyAlignment="1">
      <alignment horizontal="right" vertical="center"/>
    </xf>
    <xf numFmtId="181" fontId="16" fillId="0" borderId="1" xfId="6" applyNumberFormat="1" applyFont="1" applyFill="1" applyBorder="1" applyAlignment="1">
      <alignment horizontal="right" vertical="center"/>
    </xf>
    <xf numFmtId="176" fontId="16" fillId="0" borderId="1" xfId="6" applyNumberFormat="1" applyFont="1" applyFill="1" applyBorder="1" applyAlignment="1">
      <alignment horizontal="right" vertical="center"/>
    </xf>
    <xf numFmtId="176" fontId="16" fillId="6" borderId="1" xfId="6" applyNumberFormat="1" applyFont="1" applyFill="1" applyBorder="1" applyAlignment="1">
      <alignment horizontal="right" vertical="center"/>
    </xf>
    <xf numFmtId="176" fontId="16" fillId="4" borderId="1" xfId="6" applyNumberFormat="1" applyFont="1" applyFill="1" applyBorder="1" applyAlignment="1">
      <alignment horizontal="right" vertical="center"/>
    </xf>
    <xf numFmtId="176" fontId="16" fillId="2" borderId="1" xfId="6" applyNumberFormat="1" applyFont="1" applyFill="1" applyBorder="1" applyAlignment="1">
      <alignment horizontal="right" vertical="center"/>
    </xf>
    <xf numFmtId="180" fontId="16" fillId="0" borderId="1" xfId="6" applyNumberFormat="1" applyFont="1" applyFill="1" applyBorder="1" applyAlignment="1">
      <alignment horizontal="right" vertical="center"/>
    </xf>
    <xf numFmtId="176" fontId="16" fillId="0" borderId="1" xfId="6" quotePrefix="1" applyNumberFormat="1" applyFont="1" applyFill="1" applyBorder="1" applyAlignment="1">
      <alignment horizontal="right" vertical="center"/>
    </xf>
    <xf numFmtId="0" fontId="13" fillId="0" borderId="2" xfId="2" applyFont="1" applyAlignment="1">
      <alignment vertical="center"/>
    </xf>
    <xf numFmtId="0" fontId="15" fillId="0" borderId="0" xfId="7" applyFont="1" applyAlignment="1">
      <alignment horizontal="right"/>
    </xf>
    <xf numFmtId="0" fontId="17" fillId="0" borderId="0" xfId="7" applyFont="1" applyAlignment="1"/>
    <xf numFmtId="0" fontId="15" fillId="0" borderId="0" xfId="7" applyFont="1" applyAlignment="1"/>
    <xf numFmtId="49" fontId="16" fillId="4" borderId="3" xfId="7" applyNumberFormat="1" applyFont="1" applyFill="1" applyBorder="1" applyAlignment="1">
      <alignment horizontal="center" vertical="center" wrapText="1"/>
    </xf>
    <xf numFmtId="0" fontId="16" fillId="5" borderId="1" xfId="7" applyFont="1" applyFill="1" applyBorder="1" applyAlignment="1"/>
    <xf numFmtId="0" fontId="16" fillId="2" borderId="1" xfId="7" applyFont="1" applyFill="1" applyBorder="1" applyAlignment="1"/>
    <xf numFmtId="0" fontId="16" fillId="0" borderId="1" xfId="7" applyFont="1" applyBorder="1" applyAlignment="1">
      <alignment horizontal="left" indent="1"/>
    </xf>
    <xf numFmtId="0" fontId="16" fillId="0" borderId="1" xfId="7" applyFont="1" applyBorder="1" applyAlignment="1">
      <alignment horizontal="left" indent="2"/>
    </xf>
    <xf numFmtId="0" fontId="16" fillId="0" borderId="1" xfId="7" applyFont="1" applyBorder="1" applyAlignment="1">
      <alignment horizontal="left" indent="3"/>
    </xf>
    <xf numFmtId="0" fontId="16" fillId="0" borderId="1" xfId="7" applyFont="1" applyBorder="1" applyAlignment="1">
      <alignment horizontal="left" vertical="center" indent="1"/>
    </xf>
    <xf numFmtId="0" fontId="16" fillId="0" borderId="1" xfId="7" applyFont="1" applyBorder="1" applyAlignment="1">
      <alignment horizontal="left" vertical="center" indent="2"/>
    </xf>
    <xf numFmtId="0" fontId="1" fillId="0" borderId="0" xfId="7">
      <alignment vertical="center"/>
    </xf>
    <xf numFmtId="0" fontId="1" fillId="6" borderId="0" xfId="7" applyFill="1">
      <alignment vertical="center"/>
    </xf>
    <xf numFmtId="0" fontId="16" fillId="0" borderId="5" xfId="7" applyFont="1" applyBorder="1" applyAlignment="1">
      <alignment vertical="top"/>
    </xf>
    <xf numFmtId="0" fontId="21" fillId="0" borderId="0" xfId="7" applyFont="1">
      <alignment vertical="center"/>
    </xf>
    <xf numFmtId="0" fontId="22" fillId="0" borderId="0" xfId="7" applyFont="1">
      <alignment vertical="center"/>
    </xf>
    <xf numFmtId="0" fontId="23" fillId="0" borderId="0" xfId="7" applyFont="1">
      <alignment vertical="center"/>
    </xf>
    <xf numFmtId="176" fontId="21" fillId="0" borderId="0" xfId="7" applyNumberFormat="1" applyFont="1">
      <alignment vertical="center"/>
    </xf>
    <xf numFmtId="0" fontId="15" fillId="0" borderId="0" xfId="7" applyFont="1">
      <alignment vertical="center"/>
    </xf>
    <xf numFmtId="0" fontId="16" fillId="0" borderId="0" xfId="7" applyFont="1">
      <alignment vertical="center"/>
    </xf>
    <xf numFmtId="49" fontId="16" fillId="4" borderId="6" xfId="7" applyNumberFormat="1" applyFont="1" applyFill="1" applyBorder="1" applyAlignment="1">
      <alignment horizontal="center" vertical="center" wrapText="1"/>
    </xf>
    <xf numFmtId="0" fontId="21" fillId="0" borderId="9" xfId="7" applyFont="1" applyBorder="1">
      <alignment vertical="center"/>
    </xf>
    <xf numFmtId="0" fontId="21" fillId="0" borderId="7" xfId="7" applyFont="1" applyBorder="1">
      <alignment vertical="center"/>
    </xf>
    <xf numFmtId="0" fontId="21" fillId="4" borderId="9" xfId="7" applyFont="1" applyFill="1" applyBorder="1">
      <alignment vertical="center"/>
    </xf>
    <xf numFmtId="0" fontId="21" fillId="4" borderId="7" xfId="7" applyFont="1" applyFill="1" applyBorder="1">
      <alignment vertical="center"/>
    </xf>
    <xf numFmtId="49" fontId="16" fillId="4" borderId="1" xfId="7" applyNumberFormat="1" applyFont="1" applyFill="1" applyBorder="1" applyAlignment="1">
      <alignment horizontal="center" vertical="center" wrapText="1"/>
    </xf>
    <xf numFmtId="0" fontId="23" fillId="0" borderId="9" xfId="7" applyFont="1" applyBorder="1">
      <alignment vertical="center"/>
    </xf>
    <xf numFmtId="0" fontId="23" fillId="0" borderId="7" xfId="7" applyFont="1" applyBorder="1">
      <alignment vertical="center"/>
    </xf>
    <xf numFmtId="0" fontId="21" fillId="0" borderId="1" xfId="7" applyFont="1" applyBorder="1" applyAlignment="1">
      <alignment horizontal="center" vertical="center"/>
    </xf>
    <xf numFmtId="0" fontId="21" fillId="0" borderId="1" xfId="7" applyFont="1" applyBorder="1" applyAlignment="1">
      <alignment horizontal="left" vertical="center" indent="1"/>
    </xf>
    <xf numFmtId="0" fontId="21" fillId="0" borderId="6" xfId="7" applyFont="1" applyBorder="1" applyAlignment="1">
      <alignment horizontal="left" vertical="center" indent="1"/>
    </xf>
    <xf numFmtId="0" fontId="16" fillId="0" borderId="0" xfId="7" applyFont="1" applyAlignment="1">
      <alignment vertical="top"/>
    </xf>
    <xf numFmtId="182" fontId="16" fillId="0" borderId="1" xfId="6" applyNumberFormat="1" applyFont="1" applyFill="1" applyBorder="1" applyAlignment="1">
      <alignment horizontal="right" vertical="center"/>
    </xf>
    <xf numFmtId="0" fontId="24" fillId="7" borderId="10" xfId="2" applyFont="1" applyFill="1" applyBorder="1" applyAlignment="1">
      <alignment vertical="center"/>
    </xf>
    <xf numFmtId="49" fontId="17" fillId="8" borderId="11" xfId="7" applyNumberFormat="1" applyFont="1" applyFill="1" applyBorder="1" applyAlignment="1">
      <alignment horizontal="center" vertical="center" wrapText="1"/>
    </xf>
    <xf numFmtId="49" fontId="17" fillId="8" borderId="12" xfId="7" applyNumberFormat="1" applyFont="1" applyFill="1" applyBorder="1" applyAlignment="1">
      <alignment horizontal="center" vertical="center" wrapText="1"/>
    </xf>
    <xf numFmtId="49" fontId="17" fillId="8" borderId="13" xfId="7" applyNumberFormat="1" applyFont="1" applyFill="1" applyBorder="1" applyAlignment="1">
      <alignment horizontal="center" vertical="center" wrapText="1"/>
    </xf>
    <xf numFmtId="0" fontId="0" fillId="7" borderId="0" xfId="0" applyFill="1" applyAlignment="1">
      <alignment vertical="center"/>
    </xf>
    <xf numFmtId="0" fontId="16" fillId="9" borderId="14" xfId="3" applyFont="1" applyFill="1" applyBorder="1">
      <alignment vertical="center"/>
    </xf>
    <xf numFmtId="0" fontId="1" fillId="0" borderId="0" xfId="3">
      <alignment vertical="center"/>
    </xf>
    <xf numFmtId="0" fontId="16" fillId="9" borderId="14" xfId="7" applyFont="1" applyFill="1" applyBorder="1">
      <alignment vertical="center"/>
    </xf>
    <xf numFmtId="0" fontId="0" fillId="7" borderId="18" xfId="0" applyFill="1" applyBorder="1" applyAlignment="1">
      <alignment vertical="center"/>
    </xf>
    <xf numFmtId="0" fontId="0" fillId="7" borderId="17" xfId="0" applyFill="1" applyBorder="1" applyAlignment="1">
      <alignment vertical="center"/>
    </xf>
    <xf numFmtId="43" fontId="0" fillId="0" borderId="0" xfId="0" applyNumberFormat="1" applyAlignment="1">
      <alignment vertical="center"/>
    </xf>
    <xf numFmtId="0" fontId="24" fillId="7" borderId="10" xfId="0" applyFont="1" applyFill="1" applyBorder="1" applyAlignment="1">
      <alignment vertical="center"/>
    </xf>
    <xf numFmtId="0" fontId="0" fillId="7" borderId="15" xfId="0" applyFill="1" applyBorder="1" applyAlignment="1">
      <alignment vertical="center"/>
    </xf>
    <xf numFmtId="0" fontId="0" fillId="7" borderId="10" xfId="0" applyFill="1" applyBorder="1" applyAlignment="1">
      <alignment vertical="center"/>
    </xf>
    <xf numFmtId="0" fontId="5" fillId="0" borderId="0" xfId="0" applyFont="1" applyAlignment="1">
      <alignment vertical="center"/>
    </xf>
    <xf numFmtId="0" fontId="25" fillId="8" borderId="13" xfId="0" applyFont="1" applyFill="1" applyBorder="1" applyAlignment="1">
      <alignment horizontal="center" vertical="center"/>
    </xf>
    <xf numFmtId="49" fontId="22" fillId="8" borderId="12" xfId="0" applyNumberFormat="1" applyFont="1" applyFill="1" applyBorder="1" applyAlignment="1">
      <alignment horizontal="center" vertical="center"/>
    </xf>
    <xf numFmtId="49" fontId="22" fillId="8" borderId="11" xfId="0" applyNumberFormat="1" applyFont="1" applyFill="1" applyBorder="1" applyAlignment="1">
      <alignment horizontal="center" vertical="center"/>
    </xf>
    <xf numFmtId="0" fontId="25" fillId="9" borderId="14" xfId="0" applyFont="1" applyFill="1" applyBorder="1" applyAlignment="1">
      <alignment vertical="center"/>
    </xf>
    <xf numFmtId="43" fontId="23" fillId="0" borderId="0" xfId="0" applyNumberFormat="1" applyFont="1" applyAlignment="1">
      <alignment vertical="center"/>
    </xf>
    <xf numFmtId="0" fontId="22" fillId="9" borderId="14" xfId="0" applyFont="1" applyFill="1" applyBorder="1" applyAlignment="1">
      <alignment vertical="center"/>
    </xf>
    <xf numFmtId="0" fontId="22" fillId="9" borderId="11" xfId="0" applyFont="1" applyFill="1" applyBorder="1" applyAlignment="1">
      <alignment vertical="center"/>
    </xf>
    <xf numFmtId="0" fontId="24" fillId="7" borderId="0" xfId="0" applyFont="1" applyFill="1" applyAlignment="1">
      <alignment vertical="center"/>
    </xf>
    <xf numFmtId="0" fontId="22" fillId="8" borderId="13" xfId="0" applyFont="1" applyFill="1" applyBorder="1" applyAlignment="1">
      <alignment vertical="center"/>
    </xf>
    <xf numFmtId="0" fontId="22" fillId="8" borderId="12" xfId="0" applyFont="1" applyFill="1" applyBorder="1" applyAlignment="1">
      <alignment horizontal="center" vertical="center"/>
    </xf>
    <xf numFmtId="0" fontId="22" fillId="8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176" fontId="16" fillId="0" borderId="8" xfId="4" applyNumberFormat="1" applyFont="1" applyFill="1" applyBorder="1" applyAlignment="1">
      <alignment horizontal="right" vertical="center"/>
    </xf>
    <xf numFmtId="176" fontId="16" fillId="0" borderId="4" xfId="4" applyNumberFormat="1" applyFont="1" applyFill="1" applyBorder="1" applyAlignment="1">
      <alignment horizontal="right" vertical="center"/>
    </xf>
    <xf numFmtId="176" fontId="16" fillId="0" borderId="7" xfId="4" applyNumberFormat="1" applyFont="1" applyFill="1" applyBorder="1" applyAlignment="1">
      <alignment horizontal="right" vertical="center"/>
    </xf>
    <xf numFmtId="176" fontId="16" fillId="0" borderId="1" xfId="4" applyNumberFormat="1" applyFont="1" applyFill="1" applyBorder="1" applyAlignment="1">
      <alignment horizontal="right" vertical="center"/>
    </xf>
    <xf numFmtId="176" fontId="16" fillId="0" borderId="16" xfId="4" applyNumberFormat="1" applyFont="1" applyFill="1" applyBorder="1" applyAlignment="1">
      <alignment horizontal="right" vertical="center"/>
    </xf>
    <xf numFmtId="176" fontId="16" fillId="0" borderId="3" xfId="4" applyNumberFormat="1" applyFont="1" applyFill="1" applyBorder="1" applyAlignment="1">
      <alignment horizontal="right" vertical="center"/>
    </xf>
    <xf numFmtId="0" fontId="25" fillId="8" borderId="1" xfId="0" applyFont="1" applyFill="1" applyBorder="1" applyAlignment="1">
      <alignment vertical="center"/>
    </xf>
    <xf numFmtId="49" fontId="22" fillId="8" borderId="1" xfId="0" applyNumberFormat="1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vertical="center"/>
    </xf>
    <xf numFmtId="0" fontId="23" fillId="3" borderId="1" xfId="0" applyFont="1" applyFill="1" applyBorder="1" applyAlignment="1">
      <alignment vertical="center"/>
    </xf>
  </cellXfs>
  <cellStyles count="12">
    <cellStyle name="백분율 2" xfId="5" xr:uid="{83776B3D-20B5-4D2F-B50B-2E591EAF929C}"/>
    <cellStyle name="쉼표 [0] 18 2" xfId="11" xr:uid="{6FCD8873-DC6F-4FC4-B09B-759CD3F2DB8E}"/>
    <cellStyle name="쉼표 [0] 2" xfId="4" xr:uid="{4965A23A-6BFD-4718-9269-BECFF4C2146D}"/>
    <cellStyle name="쉼표 [0] 3" xfId="6" xr:uid="{D7999FAE-AA38-4A11-A290-C3874BFB9F6B}"/>
    <cellStyle name="제목 1" xfId="2" builtinId="16"/>
    <cellStyle name="표준" xfId="0" builtinId="0"/>
    <cellStyle name="표준 13 2 2 5" xfId="7" xr:uid="{6C2B8508-AB1C-48B4-98F5-752FB2E2BF43}"/>
    <cellStyle name="표준 2" xfId="3" xr:uid="{415EA99F-E8DB-4B54-B369-56FBB1FA0AE1}"/>
    <cellStyle name="표준 43 2 2" xfId="9" xr:uid="{0A096705-7581-42FC-84FA-4CE833DDDFB7}"/>
    <cellStyle name="표준 45 2" xfId="10" xr:uid="{D7847518-1462-4878-849A-F8DD55A284DD}"/>
    <cellStyle name="표준 54" xfId="8" xr:uid="{D34F9490-9590-4DEF-8CD6-6029DE9EDD96}"/>
    <cellStyle name="하이퍼링크" xfId="1" builtinId="8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gram%20Files\UNFCCC\CRF%20Reporter\CRFReport-templa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NFCCC\CRFReporter2\Template\FromCustomer\LULUCF%20module%20-%20v%201.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a\My%20Documents\Invent_\101031_NIR\NIR\NIR_&#48512;&#47928;&#48324;_&#51228;&#52636;&#50896;&#48376;\&#50756;&#51204;&#49457;\2010CRF_&#52392;&#48512;4_1_2010121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gram%20Files\UNFCCC\CRF%20Reporter\CRFReport-templateK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9468;&#53552;(10-11)\01.%20&#51064;&#48292;&#53664;&#47532;\2011\02_02%20&#44397;&#44032;&#48176;&#52636;&#47049;%20&#44160;&#51613;(%6009)\08.&#52572;&#51333;&#54200;&#51665;\09%20CRF%20&#52712;&#54633;\05.&#54224;&#44592;&#47932;_1&#52264;&#49688;&#51221;\CRF(Waste%20sector_2009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2(I)s1"/>
      <sheetName val="Table2(I)s2"/>
      <sheetName val="Table2(I).A-Gs1"/>
      <sheetName val="Table2(I).A-Gs2"/>
      <sheetName val="Table2(II)s1"/>
      <sheetName val="Table2(II)s2"/>
      <sheetName val="Table2(II).C"/>
      <sheetName val="Table2(II).E"/>
      <sheetName val="Table2(II).Fs1"/>
      <sheetName val="Table2(II).Fs2"/>
      <sheetName val="Table3"/>
      <sheetName val="Table3.A-D"/>
      <sheetName val="Table4s1"/>
      <sheetName val="Table4s2"/>
      <sheetName val="Table4.A"/>
      <sheetName val="Table4.B(a)s1"/>
      <sheetName val="Table4.B(a)s2"/>
      <sheetName val="Table4.B(b)"/>
      <sheetName val="Table4.C"/>
      <sheetName val="Table4.Ds1"/>
      <sheetName val="Table4.Ds2"/>
      <sheetName val="Table4.E"/>
      <sheetName val="Table4.F"/>
      <sheetName val="Table5"/>
      <sheetName val="Table5.A"/>
      <sheetName val="Table5.B"/>
      <sheetName val="Table5.C"/>
      <sheetName val="Table5.D"/>
      <sheetName val="Table5.E"/>
      <sheetName val="Table5.F"/>
      <sheetName val="Table5(I)"/>
      <sheetName val="Table5(II)"/>
      <sheetName val="Table5(III)"/>
      <sheetName val="Table5(IV)"/>
      <sheetName val="Table5(V)"/>
      <sheetName val="Table6"/>
      <sheetName val="Table6.A,C"/>
      <sheetName val="Table6.Bs1"/>
      <sheetName val="Table6.Bs2"/>
      <sheetName val="Summary1.As1"/>
      <sheetName val="Summary1.As2"/>
      <sheetName val="Summary1.As3"/>
      <sheetName val="Summary1.B"/>
      <sheetName val="Summary2"/>
      <sheetName val="Summary3s1"/>
      <sheetName val="Summary3s2"/>
      <sheetName val="Table7"/>
      <sheetName val="Table8(a)s1"/>
      <sheetName val="Table8(a)s2"/>
      <sheetName val="Table8(b)"/>
      <sheetName val="Table9(a)"/>
      <sheetName val="Table9(b)"/>
      <sheetName val="Table10s1"/>
      <sheetName val="Table10s1.2"/>
      <sheetName val="Table10s2"/>
      <sheetName val="Table10s2.2"/>
      <sheetName val="Table10s3"/>
      <sheetName val="Table10s3.2"/>
      <sheetName val="Table10s4"/>
      <sheetName val="Table10s4.2"/>
      <sheetName val="Table10s5"/>
      <sheetName val="Table10s5.2"/>
      <sheetName val="ReporterHelpSheet"/>
      <sheetName val="Table8(b).2"/>
      <sheetName val="Table8(b).3"/>
      <sheetName val="Table8(b).4"/>
      <sheetName val="Table8(b).5"/>
      <sheetName val="Table8(b).6"/>
      <sheetName val="Table8(b).7"/>
      <sheetName val="Table10s1.3"/>
      <sheetName val="Table10s2.3"/>
      <sheetName val="Table10s3.3"/>
      <sheetName val="Table10s4.3"/>
      <sheetName val="Table10s5.3"/>
      <sheetName val="Table8(b).8"/>
      <sheetName val="Table8(b).9"/>
      <sheetName val="Table8(b).10"/>
      <sheetName val="Table8(b).11"/>
      <sheetName val="Table8(b).12"/>
      <sheetName val="Table8(b).13"/>
      <sheetName val="Table8(b).14"/>
      <sheetName val="Table8(b).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ble5"/>
      <sheetName val="Table5.A"/>
      <sheetName val="Table5.B"/>
      <sheetName val="Table5.C"/>
      <sheetName val="Table5.D"/>
      <sheetName val="Table5.E"/>
      <sheetName val="Table5.F"/>
      <sheetName val="Table5(I)"/>
      <sheetName val="Table5(II)"/>
      <sheetName val="Table5(III)"/>
      <sheetName val="Table5(IV)"/>
      <sheetName val="Table5(V)"/>
      <sheetName val="Summary1.A"/>
      <sheetName val="Summary2"/>
      <sheetName val="Summary3"/>
      <sheetName val="Table7"/>
      <sheetName val="Table9"/>
      <sheetName val="Table10"/>
    </sheetNames>
    <sheetDataSet>
      <sheetData sheetId="0">
        <row r="4">
          <cell r="C4" t="str">
            <v>Country</v>
          </cell>
        </row>
        <row r="6">
          <cell r="C6" t="str">
            <v>Inventory Year</v>
          </cell>
        </row>
        <row r="8">
          <cell r="C8" t="str">
            <v>Submission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elp"/>
      <sheetName val="Summary1990"/>
      <sheetName val="1991 "/>
      <sheetName val="1992 "/>
      <sheetName val="1993 "/>
      <sheetName val="1994 "/>
      <sheetName val="1995 "/>
      <sheetName val="1996 "/>
      <sheetName val="1997"/>
      <sheetName val="1998"/>
      <sheetName val="1999"/>
      <sheetName val="2000"/>
      <sheetName val="2001"/>
      <sheetName val="2002"/>
      <sheetName val="2003"/>
      <sheetName val="2004"/>
      <sheetName val="2005"/>
      <sheetName val="2006"/>
      <sheetName val="2007"/>
      <sheetName val="20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NIR-1"/>
      <sheetName val="NIR-2"/>
      <sheetName val="NIR-3"/>
      <sheetName val="5(KP)"/>
      <sheetName val="5(KP-I)A.1.1"/>
      <sheetName val="5(KP-I)A.1.2"/>
      <sheetName val="5(KP-I)A.1.3"/>
      <sheetName val="5(KP-I)A.2."/>
      <sheetName val="5(KP-I)A.2.1"/>
      <sheetName val="5(KP-I)B.1"/>
      <sheetName val="5(KP-I)B.2"/>
      <sheetName val="5(KP-I)B.3"/>
      <sheetName val="5(KP-I)B.4"/>
      <sheetName val="5(KP-II)1"/>
      <sheetName val="5(KP-II)2"/>
      <sheetName val="5(KP-II)3"/>
      <sheetName val="5(KP-II)4"/>
      <sheetName val="5(KP-II)5"/>
      <sheetName val="Accounting"/>
      <sheetName val="ReporterHelpSheet"/>
    </sheetNames>
    <sheetDataSet>
      <sheetData sheetId="0"/>
      <sheetData sheetId="1"/>
      <sheetData sheetId="2"/>
      <sheetData sheetId="3">
        <row r="8">
          <cell r="C8" t="str">
            <v>Conversion to forest land</v>
          </cell>
          <cell r="D8" t="str">
            <v>Yes</v>
          </cell>
          <cell r="E8" t="str">
            <v>NA</v>
          </cell>
          <cell r="F8" t="str">
            <v>UNFCCC category is key, catergory is greater than smallest UNFCCC key category</v>
          </cell>
        </row>
        <row r="9">
          <cell r="C9" t="str">
            <v>Conversion to cropland, Conversion to grassland</v>
          </cell>
          <cell r="D9" t="str">
            <v>Yes</v>
          </cell>
          <cell r="E9" t="str">
            <v>NA</v>
          </cell>
          <cell r="F9" t="str">
            <v>UNFCCC category is key, catergory is greater than smallest UNFCCC key category</v>
          </cell>
        </row>
        <row r="10">
          <cell r="C10" t="str">
            <v>Conversion to cropland</v>
          </cell>
          <cell r="D10" t="str">
            <v>No</v>
          </cell>
          <cell r="E10" t="str">
            <v>NA</v>
          </cell>
          <cell r="F10" t="str">
            <v>UNFCCC category is key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정결과(매립_6.A)"/>
      <sheetName val="산정결과(관리형_6.A.1)"/>
      <sheetName val="산정결과(비관리형_6.A.2.a)"/>
      <sheetName val="산정결과(비관리형_6.A.2.b)"/>
      <sheetName val="활동자료(매립)"/>
      <sheetName val="산정결과(하폐수_6.B)"/>
      <sheetName val="산정결과(산업폐수_6.B.1)"/>
      <sheetName val="산정결과(하수_6.B.2)"/>
      <sheetName val="활동자료(하폐수)"/>
      <sheetName val="산정결과(소각_6.C)"/>
      <sheetName val="활동자료(소각)"/>
      <sheetName val="산정결과(생물학적처리_6.D)"/>
      <sheetName val="활동자료(생물학적처리)"/>
      <sheetName val="Intro"/>
      <sheetName val="Summary1.As1"/>
      <sheetName val="Summary1.As2"/>
      <sheetName val="Summary1.As3"/>
      <sheetName val="Summary1.B"/>
      <sheetName val="Summary2"/>
      <sheetName val="Summary3s1"/>
      <sheetName val="Summary3s2"/>
      <sheetName val="Table6"/>
      <sheetName val="Table6.A,C"/>
      <sheetName val="Table6.Bs1"/>
      <sheetName val="Table6.Bs2"/>
    </sheetNames>
    <sheetDataSet>
      <sheetData sheetId="0">
        <row r="9">
          <cell r="S9">
            <v>1992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7">
          <cell r="B17">
            <v>1992</v>
          </cell>
        </row>
      </sheetData>
      <sheetData sheetId="10"/>
      <sheetData sheetId="11"/>
      <sheetData sheetId="12"/>
      <sheetData sheetId="13">
        <row r="7">
          <cell r="I7">
            <v>2008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996BB42-2DBE-4070-863D-C89B8B3F1D2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756e9a2-63cf-4e0d-a380-6ad2a403551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A0573-59AF-4FAA-8EBD-CC0E6929DBE3}">
  <dimension ref="A1:I15"/>
  <sheetViews>
    <sheetView tabSelected="1" workbookViewId="0">
      <selection activeCell="A7" sqref="A7"/>
    </sheetView>
  </sheetViews>
  <sheetFormatPr defaultRowHeight="17"/>
  <cols>
    <col min="1" max="2" width="9" customWidth="1"/>
    <col min="12" max="12" width="16" bestFit="1" customWidth="1"/>
  </cols>
  <sheetData>
    <row r="1" spans="1:9">
      <c r="A1" s="1" t="s">
        <v>3</v>
      </c>
    </row>
    <row r="3" spans="1:9">
      <c r="A3" s="1" t="s">
        <v>0</v>
      </c>
      <c r="B3" s="1" t="s">
        <v>16</v>
      </c>
      <c r="I3" s="5"/>
    </row>
    <row r="4" spans="1:9">
      <c r="B4" s="6" t="s">
        <v>253</v>
      </c>
    </row>
    <row r="5" spans="1:9">
      <c r="B5" s="7">
        <v>2025</v>
      </c>
    </row>
    <row r="6" spans="1:9">
      <c r="B6" s="8" t="s">
        <v>254</v>
      </c>
    </row>
    <row r="7" spans="1:9">
      <c r="B7" s="9" t="s">
        <v>252</v>
      </c>
    </row>
    <row r="8" spans="1:9">
      <c r="B8" s="6" t="s">
        <v>255</v>
      </c>
    </row>
    <row r="11" spans="1:9">
      <c r="A11" s="1" t="s">
        <v>2</v>
      </c>
    </row>
    <row r="12" spans="1:9">
      <c r="A12" t="s">
        <v>18</v>
      </c>
      <c r="B12">
        <v>2019</v>
      </c>
    </row>
    <row r="14" spans="1:9">
      <c r="A14" s="4" t="s">
        <v>17</v>
      </c>
    </row>
    <row r="15" spans="1:9">
      <c r="A15" t="s">
        <v>19</v>
      </c>
    </row>
  </sheetData>
  <phoneticPr fontId="4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1DBB-F785-40BF-89D8-BDE8C5B2FCBA}">
  <dimension ref="B1:AM205"/>
  <sheetViews>
    <sheetView zoomScaleNormal="100" workbookViewId="0">
      <pane xSplit="2" ySplit="4" topLeftCell="Y116" activePane="bottomRight" state="frozen"/>
      <selection pane="topRight" activeCell="C1" sqref="C1"/>
      <selection pane="bottomLeft" activeCell="A5" sqref="A5"/>
      <selection pane="bottomRight" activeCell="A120" sqref="A120:XFD120"/>
    </sheetView>
  </sheetViews>
  <sheetFormatPr defaultRowHeight="17"/>
  <cols>
    <col min="1" max="1" width="8.6640625" style="30"/>
    <col min="2" max="2" width="48.5" style="30" bestFit="1" customWidth="1"/>
    <col min="3" max="36" width="12.08203125" style="30" customWidth="1"/>
    <col min="37" max="16384" width="8.6640625" style="30"/>
  </cols>
  <sheetData>
    <row r="1" spans="2:36" ht="18" thickBot="1">
      <c r="B1" s="18" t="s">
        <v>46</v>
      </c>
    </row>
    <row r="2" spans="2:36" ht="17.5" thickTop="1"/>
    <row r="4" spans="2:36">
      <c r="B4" s="22" t="s">
        <v>45</v>
      </c>
      <c r="C4" s="22">
        <v>1990</v>
      </c>
      <c r="D4" s="22">
        <v>1991</v>
      </c>
      <c r="E4" s="22">
        <v>1992</v>
      </c>
      <c r="F4" s="22">
        <v>1993</v>
      </c>
      <c r="G4" s="22">
        <v>1994</v>
      </c>
      <c r="H4" s="22">
        <v>1995</v>
      </c>
      <c r="I4" s="22">
        <v>1996</v>
      </c>
      <c r="J4" s="22">
        <v>1997</v>
      </c>
      <c r="K4" s="22">
        <v>1998</v>
      </c>
      <c r="L4" s="22">
        <v>1999</v>
      </c>
      <c r="M4" s="22">
        <v>2000</v>
      </c>
      <c r="N4" s="22">
        <v>2001</v>
      </c>
      <c r="O4" s="22">
        <v>2002</v>
      </c>
      <c r="P4" s="22">
        <v>2003</v>
      </c>
      <c r="Q4" s="22">
        <v>2004</v>
      </c>
      <c r="R4" s="22">
        <v>2005</v>
      </c>
      <c r="S4" s="22">
        <v>2006</v>
      </c>
      <c r="T4" s="22">
        <v>2007</v>
      </c>
      <c r="U4" s="22">
        <v>2008</v>
      </c>
      <c r="V4" s="22">
        <v>2009</v>
      </c>
      <c r="W4" s="22">
        <v>2010</v>
      </c>
      <c r="X4" s="22">
        <v>2011</v>
      </c>
      <c r="Y4" s="22">
        <v>2012</v>
      </c>
      <c r="Z4" s="22">
        <v>2013</v>
      </c>
      <c r="AA4" s="22">
        <v>2014</v>
      </c>
      <c r="AB4" s="22">
        <v>2015</v>
      </c>
      <c r="AC4" s="22">
        <v>2016</v>
      </c>
      <c r="AD4" s="22">
        <v>2017</v>
      </c>
      <c r="AE4" s="22">
        <v>2018</v>
      </c>
      <c r="AF4" s="22">
        <v>2019</v>
      </c>
      <c r="AG4" s="22">
        <v>2020</v>
      </c>
      <c r="AH4" s="22">
        <v>2021</v>
      </c>
      <c r="AI4" s="22">
        <v>2022</v>
      </c>
      <c r="AJ4" s="22">
        <v>2023</v>
      </c>
    </row>
    <row r="5" spans="2:36">
      <c r="B5" s="23" t="s">
        <v>31</v>
      </c>
      <c r="C5" s="10">
        <v>256267.35</v>
      </c>
      <c r="D5" s="10">
        <v>286248.61</v>
      </c>
      <c r="E5" s="10">
        <v>310421.34000000003</v>
      </c>
      <c r="F5" s="10">
        <v>344718.36</v>
      </c>
      <c r="G5" s="10">
        <v>372283.57</v>
      </c>
      <c r="H5" s="10">
        <v>401764.1</v>
      </c>
      <c r="I5" s="10">
        <v>437283.39</v>
      </c>
      <c r="J5" s="10">
        <v>458072.3</v>
      </c>
      <c r="K5" s="10">
        <v>394728.56</v>
      </c>
      <c r="L5" s="10">
        <v>430301.05</v>
      </c>
      <c r="M5" s="10">
        <v>462898.48</v>
      </c>
      <c r="N5" s="10">
        <v>482505.29</v>
      </c>
      <c r="O5" s="10">
        <v>500405.66</v>
      </c>
      <c r="P5" s="10">
        <v>512627.77</v>
      </c>
      <c r="Q5" s="10">
        <v>521974.19</v>
      </c>
      <c r="R5" s="10">
        <v>524748.31999999995</v>
      </c>
      <c r="S5" s="10">
        <v>533517.38</v>
      </c>
      <c r="T5" s="10">
        <v>546776.01</v>
      </c>
      <c r="U5" s="10">
        <v>561457.93000000005</v>
      </c>
      <c r="V5" s="10">
        <v>564640.13</v>
      </c>
      <c r="W5" s="10">
        <v>618413.64</v>
      </c>
      <c r="X5" s="10">
        <v>651162.19999999995</v>
      </c>
      <c r="Y5" s="10">
        <v>647722.73</v>
      </c>
      <c r="Z5" s="10">
        <v>653775.91</v>
      </c>
      <c r="AA5" s="10">
        <v>645934.44999999995</v>
      </c>
      <c r="AB5" s="10">
        <v>650168.56999999995</v>
      </c>
      <c r="AC5" s="10">
        <v>660414.06000000006</v>
      </c>
      <c r="AD5" s="10">
        <v>677013.59</v>
      </c>
      <c r="AE5" s="10">
        <v>697579.19</v>
      </c>
      <c r="AF5" s="10">
        <v>673287.02</v>
      </c>
      <c r="AG5" s="10">
        <v>623833.06000000006</v>
      </c>
      <c r="AH5" s="10">
        <v>650976.15</v>
      </c>
      <c r="AI5" s="10">
        <v>633764.79</v>
      </c>
      <c r="AJ5" s="10">
        <v>621683.9</v>
      </c>
    </row>
    <row r="6" spans="2:36">
      <c r="B6" s="23" t="s">
        <v>32</v>
      </c>
      <c r="C6" s="10">
        <v>216882.7</v>
      </c>
      <c r="D6" s="10">
        <v>250848.03</v>
      </c>
      <c r="E6" s="10">
        <v>275859.69</v>
      </c>
      <c r="F6" s="10">
        <v>311742.65999999997</v>
      </c>
      <c r="G6" s="10">
        <v>336947.84</v>
      </c>
      <c r="H6" s="10">
        <v>368183.8</v>
      </c>
      <c r="I6" s="10">
        <v>400263.04</v>
      </c>
      <c r="J6" s="10">
        <v>416050.85</v>
      </c>
      <c r="K6" s="10">
        <v>344319.95</v>
      </c>
      <c r="L6" s="10">
        <v>371700.01</v>
      </c>
      <c r="M6" s="10">
        <v>402039.74</v>
      </c>
      <c r="N6" s="10">
        <v>421410.51</v>
      </c>
      <c r="O6" s="10">
        <v>441631.06</v>
      </c>
      <c r="P6" s="10">
        <v>454168.85</v>
      </c>
      <c r="Q6" s="10">
        <v>462162.6</v>
      </c>
      <c r="R6" s="10">
        <v>466903.48</v>
      </c>
      <c r="S6" s="10">
        <v>474474.75</v>
      </c>
      <c r="T6" s="10">
        <v>487021.41</v>
      </c>
      <c r="U6" s="10">
        <v>500758.92</v>
      </c>
      <c r="V6" s="10">
        <v>504167.73</v>
      </c>
      <c r="W6" s="10">
        <v>560664.19999999995</v>
      </c>
      <c r="X6" s="10">
        <v>594219.51</v>
      </c>
      <c r="Y6" s="10">
        <v>596783</v>
      </c>
      <c r="Z6" s="10">
        <v>607133.66</v>
      </c>
      <c r="AA6" s="10">
        <v>598403.35</v>
      </c>
      <c r="AB6" s="10">
        <v>601968.29</v>
      </c>
      <c r="AC6" s="10">
        <v>611786.68999999994</v>
      </c>
      <c r="AD6" s="10">
        <v>633756.56000000006</v>
      </c>
      <c r="AE6" s="10">
        <v>655615.03</v>
      </c>
      <c r="AF6" s="10">
        <v>634196.15</v>
      </c>
      <c r="AG6" s="10">
        <v>584550.93000000005</v>
      </c>
      <c r="AH6" s="10">
        <v>611684.17000000004</v>
      </c>
      <c r="AI6" s="10">
        <v>595290.73</v>
      </c>
      <c r="AJ6" s="10">
        <v>581828.51</v>
      </c>
    </row>
    <row r="7" spans="2:36">
      <c r="B7" s="24" t="s">
        <v>47</v>
      </c>
      <c r="C7" s="15">
        <v>219172.3</v>
      </c>
      <c r="D7" s="15">
        <v>242960.55</v>
      </c>
      <c r="E7" s="15">
        <v>260630.17</v>
      </c>
      <c r="F7" s="15">
        <v>288174.90999999997</v>
      </c>
      <c r="G7" s="15">
        <v>312173.46000000002</v>
      </c>
      <c r="H7" s="15">
        <v>337711.41</v>
      </c>
      <c r="I7" s="15">
        <v>371560.36</v>
      </c>
      <c r="J7" s="15">
        <v>388533.27</v>
      </c>
      <c r="K7" s="15">
        <v>330938.36</v>
      </c>
      <c r="L7" s="15">
        <v>363578.93</v>
      </c>
      <c r="M7" s="15">
        <v>393249.64</v>
      </c>
      <c r="N7" s="15">
        <v>405976.62</v>
      </c>
      <c r="O7" s="15">
        <v>423182.63</v>
      </c>
      <c r="P7" s="15">
        <v>433275.71</v>
      </c>
      <c r="Q7" s="15">
        <v>442738.95</v>
      </c>
      <c r="R7" s="15">
        <v>442697.47</v>
      </c>
      <c r="S7" s="15">
        <v>449884.35</v>
      </c>
      <c r="T7" s="15">
        <v>468435.86</v>
      </c>
      <c r="U7" s="15">
        <v>480988.03</v>
      </c>
      <c r="V7" s="15">
        <v>489589.3</v>
      </c>
      <c r="W7" s="15">
        <v>540718.52</v>
      </c>
      <c r="X7" s="15">
        <v>573348.81999999995</v>
      </c>
      <c r="Y7" s="15">
        <v>568606.78</v>
      </c>
      <c r="Z7" s="15">
        <v>563505.09</v>
      </c>
      <c r="AA7" s="15">
        <v>555291.26</v>
      </c>
      <c r="AB7" s="15">
        <v>555733.93000000005</v>
      </c>
      <c r="AC7" s="15">
        <v>566982.02</v>
      </c>
      <c r="AD7" s="15">
        <v>581576.39</v>
      </c>
      <c r="AE7" s="15">
        <v>604410.64</v>
      </c>
      <c r="AF7" s="15">
        <v>581655.31999999995</v>
      </c>
      <c r="AG7" s="15">
        <v>539016.9</v>
      </c>
      <c r="AH7" s="15">
        <v>561902.44999999995</v>
      </c>
      <c r="AI7" s="15">
        <v>547089.21</v>
      </c>
      <c r="AJ7" s="15">
        <v>536521.24</v>
      </c>
    </row>
    <row r="8" spans="2:36">
      <c r="B8" s="25" t="s">
        <v>33</v>
      </c>
      <c r="C8" s="12">
        <v>218985.32</v>
      </c>
      <c r="D8" s="12">
        <v>242796.98</v>
      </c>
      <c r="E8" s="12">
        <v>260500.1</v>
      </c>
      <c r="F8" s="12">
        <v>288072.21999999997</v>
      </c>
      <c r="G8" s="12">
        <v>312092.49</v>
      </c>
      <c r="H8" s="12">
        <v>337649.01</v>
      </c>
      <c r="I8" s="12">
        <v>371506.22</v>
      </c>
      <c r="J8" s="12">
        <v>388483.8</v>
      </c>
      <c r="K8" s="12">
        <v>330890.51</v>
      </c>
      <c r="L8" s="12">
        <v>363532.74</v>
      </c>
      <c r="M8" s="12">
        <v>393203.84</v>
      </c>
      <c r="N8" s="12">
        <v>405934.38</v>
      </c>
      <c r="O8" s="12">
        <v>423145.74</v>
      </c>
      <c r="P8" s="12">
        <v>433238.99</v>
      </c>
      <c r="Q8" s="12">
        <v>442694.38</v>
      </c>
      <c r="R8" s="12">
        <v>442641.15</v>
      </c>
      <c r="S8" s="12">
        <v>449830.99</v>
      </c>
      <c r="T8" s="12">
        <v>468386.99</v>
      </c>
      <c r="U8" s="12">
        <v>480945.68</v>
      </c>
      <c r="V8" s="12">
        <v>489537.41</v>
      </c>
      <c r="W8" s="12">
        <v>540669.06000000006</v>
      </c>
      <c r="X8" s="12">
        <v>573303.65</v>
      </c>
      <c r="Y8" s="12">
        <v>568562.25</v>
      </c>
      <c r="Z8" s="12">
        <v>563462.28</v>
      </c>
      <c r="AA8" s="12">
        <v>555255.91</v>
      </c>
      <c r="AB8" s="12">
        <v>555704.71</v>
      </c>
      <c r="AC8" s="12">
        <v>566954.68000000005</v>
      </c>
      <c r="AD8" s="12">
        <v>581542.93000000005</v>
      </c>
      <c r="AE8" s="12">
        <v>604381.81000000006</v>
      </c>
      <c r="AF8" s="12">
        <v>581630.03</v>
      </c>
      <c r="AG8" s="12">
        <v>538995.85</v>
      </c>
      <c r="AH8" s="12">
        <v>561888.57999999996</v>
      </c>
      <c r="AI8" s="12">
        <v>547078.57999999996</v>
      </c>
      <c r="AJ8" s="12">
        <v>536512.73</v>
      </c>
    </row>
    <row r="9" spans="2:36">
      <c r="B9" s="26" t="s">
        <v>34</v>
      </c>
      <c r="C9" s="13">
        <v>41862.910000000003</v>
      </c>
      <c r="D9" s="13">
        <v>49781.26</v>
      </c>
      <c r="E9" s="13">
        <v>58854.01</v>
      </c>
      <c r="F9" s="13">
        <v>67011.41</v>
      </c>
      <c r="G9" s="13">
        <v>81046.89</v>
      </c>
      <c r="H9" s="13">
        <v>91650.47</v>
      </c>
      <c r="I9" s="13">
        <v>109709.33</v>
      </c>
      <c r="J9" s="13">
        <v>120169.74</v>
      </c>
      <c r="K9" s="13">
        <v>107566.89</v>
      </c>
      <c r="L9" s="13">
        <v>117320.37</v>
      </c>
      <c r="M9" s="13">
        <v>135819.69</v>
      </c>
      <c r="N9" s="13">
        <v>146598.01999999999</v>
      </c>
      <c r="O9" s="13">
        <v>155303.26999999999</v>
      </c>
      <c r="P9" s="13">
        <v>159257.12</v>
      </c>
      <c r="Q9" s="13">
        <v>171855.01</v>
      </c>
      <c r="R9" s="13">
        <v>177703.37</v>
      </c>
      <c r="S9" s="13">
        <v>186462.87</v>
      </c>
      <c r="T9" s="13">
        <v>198786.72</v>
      </c>
      <c r="U9" s="13">
        <v>211668.54</v>
      </c>
      <c r="V9" s="13">
        <v>229789.41</v>
      </c>
      <c r="W9" s="13">
        <v>253692.74</v>
      </c>
      <c r="X9" s="13">
        <v>264016.86</v>
      </c>
      <c r="Y9" s="13">
        <v>268491.43</v>
      </c>
      <c r="Z9" s="13">
        <v>275114.77</v>
      </c>
      <c r="AA9" s="13">
        <v>262954.53999999998</v>
      </c>
      <c r="AB9" s="13">
        <v>261273.91</v>
      </c>
      <c r="AC9" s="13">
        <v>262856.19</v>
      </c>
      <c r="AD9" s="13">
        <v>272622.82</v>
      </c>
      <c r="AE9" s="13">
        <v>296288.65999999997</v>
      </c>
      <c r="AF9" s="13">
        <v>277663.84000000003</v>
      </c>
      <c r="AG9" s="13">
        <v>245561.72</v>
      </c>
      <c r="AH9" s="13">
        <v>258208.85</v>
      </c>
      <c r="AI9" s="13">
        <v>256317.57</v>
      </c>
      <c r="AJ9" s="13">
        <v>246843.12</v>
      </c>
    </row>
    <row r="10" spans="2:36">
      <c r="B10" s="27" t="s">
        <v>48</v>
      </c>
      <c r="C10" s="13">
        <v>37044.76</v>
      </c>
      <c r="D10" s="13">
        <v>43623.51</v>
      </c>
      <c r="E10" s="13">
        <v>51109.72</v>
      </c>
      <c r="F10" s="13">
        <v>57898.080000000002</v>
      </c>
      <c r="G10" s="13">
        <v>71469.05</v>
      </c>
      <c r="H10" s="13">
        <v>79276.27</v>
      </c>
      <c r="I10" s="13">
        <v>96299.15</v>
      </c>
      <c r="J10" s="13">
        <v>104197.73</v>
      </c>
      <c r="K10" s="13">
        <v>92143.63</v>
      </c>
      <c r="L10" s="13">
        <v>101496.92</v>
      </c>
      <c r="M10" s="13">
        <v>120324.83</v>
      </c>
      <c r="N10" s="13">
        <v>131435.29</v>
      </c>
      <c r="O10" s="13">
        <v>141053.97</v>
      </c>
      <c r="P10" s="13">
        <v>145126.17000000001</v>
      </c>
      <c r="Q10" s="13">
        <v>156779.28</v>
      </c>
      <c r="R10" s="13">
        <v>162729.57999999999</v>
      </c>
      <c r="S10" s="13">
        <v>171556.62</v>
      </c>
      <c r="T10" s="13">
        <v>183816.94</v>
      </c>
      <c r="U10" s="13">
        <v>195425.03</v>
      </c>
      <c r="V10" s="13">
        <v>214045.02</v>
      </c>
      <c r="W10" s="13">
        <v>239037.82</v>
      </c>
      <c r="X10" s="13">
        <v>247819.58</v>
      </c>
      <c r="Y10" s="13">
        <v>252218.81</v>
      </c>
      <c r="Z10" s="13">
        <v>259272.77</v>
      </c>
      <c r="AA10" s="13">
        <v>243704.29</v>
      </c>
      <c r="AB10" s="13">
        <v>243463.01</v>
      </c>
      <c r="AC10" s="13">
        <v>243807.03</v>
      </c>
      <c r="AD10" s="13">
        <v>254191.08</v>
      </c>
      <c r="AE10" s="13">
        <v>275199.88</v>
      </c>
      <c r="AF10" s="13">
        <v>256165.93</v>
      </c>
      <c r="AG10" s="13">
        <v>225746.56</v>
      </c>
      <c r="AH10" s="13">
        <v>238363.89</v>
      </c>
      <c r="AI10" s="13">
        <v>236592.34</v>
      </c>
      <c r="AJ10" s="13">
        <v>225672.72</v>
      </c>
    </row>
    <row r="11" spans="2:36">
      <c r="B11" s="27" t="s">
        <v>49</v>
      </c>
      <c r="C11" s="13">
        <v>4183.18</v>
      </c>
      <c r="D11" s="13">
        <v>4965.9399999999996</v>
      </c>
      <c r="E11" s="13">
        <v>6081.84</v>
      </c>
      <c r="F11" s="13">
        <v>6775.56</v>
      </c>
      <c r="G11" s="13">
        <v>7027.56</v>
      </c>
      <c r="H11" s="13">
        <v>9271.65</v>
      </c>
      <c r="I11" s="13">
        <v>10501.9</v>
      </c>
      <c r="J11" s="13">
        <v>13134.09</v>
      </c>
      <c r="K11" s="13">
        <v>13371.07</v>
      </c>
      <c r="L11" s="13">
        <v>13845.9</v>
      </c>
      <c r="M11" s="13">
        <v>13676.07</v>
      </c>
      <c r="N11" s="13">
        <v>13801.89</v>
      </c>
      <c r="O11" s="13">
        <v>13785.72</v>
      </c>
      <c r="P11" s="13">
        <v>13347.33</v>
      </c>
      <c r="Q11" s="13">
        <v>13331.83</v>
      </c>
      <c r="R11" s="13">
        <v>13856.89</v>
      </c>
      <c r="S11" s="13">
        <v>13965.52</v>
      </c>
      <c r="T11" s="13">
        <v>14204.72</v>
      </c>
      <c r="U11" s="13">
        <v>15575.43</v>
      </c>
      <c r="V11" s="13">
        <v>15149.36</v>
      </c>
      <c r="W11" s="13">
        <v>13979.79</v>
      </c>
      <c r="X11" s="13">
        <v>15317.36</v>
      </c>
      <c r="Y11" s="13">
        <v>15160.25</v>
      </c>
      <c r="Z11" s="13">
        <v>14751.99</v>
      </c>
      <c r="AA11" s="13">
        <v>18494.490000000002</v>
      </c>
      <c r="AB11" s="13">
        <v>17143.28</v>
      </c>
      <c r="AC11" s="13">
        <v>18386.2</v>
      </c>
      <c r="AD11" s="13">
        <v>17248.759999999998</v>
      </c>
      <c r="AE11" s="13">
        <v>20264.91</v>
      </c>
      <c r="AF11" s="13">
        <v>20628</v>
      </c>
      <c r="AG11" s="13">
        <v>19145.189999999999</v>
      </c>
      <c r="AH11" s="13">
        <v>18872.3</v>
      </c>
      <c r="AI11" s="13">
        <v>18403.72</v>
      </c>
      <c r="AJ11" s="13">
        <v>19583.96</v>
      </c>
    </row>
    <row r="12" spans="2:36">
      <c r="B12" s="27" t="s">
        <v>50</v>
      </c>
      <c r="C12" s="13">
        <v>634.97</v>
      </c>
      <c r="D12" s="13">
        <v>1191.81</v>
      </c>
      <c r="E12" s="13">
        <v>1662.45</v>
      </c>
      <c r="F12" s="13">
        <v>2337.7800000000002</v>
      </c>
      <c r="G12" s="13">
        <v>2550.27</v>
      </c>
      <c r="H12" s="13">
        <v>3102.56</v>
      </c>
      <c r="I12" s="13">
        <v>2908.28</v>
      </c>
      <c r="J12" s="13">
        <v>2837.92</v>
      </c>
      <c r="K12" s="13">
        <v>2052.1799999999998</v>
      </c>
      <c r="L12" s="13">
        <v>1977.55</v>
      </c>
      <c r="M12" s="13">
        <v>1818.79</v>
      </c>
      <c r="N12" s="13">
        <v>1360.84</v>
      </c>
      <c r="O12" s="13">
        <v>463.58</v>
      </c>
      <c r="P12" s="13">
        <v>783.62</v>
      </c>
      <c r="Q12" s="13">
        <v>1743.9</v>
      </c>
      <c r="R12" s="13">
        <v>1116.8900000000001</v>
      </c>
      <c r="S12" s="13">
        <v>940.73</v>
      </c>
      <c r="T12" s="13">
        <v>765.06</v>
      </c>
      <c r="U12" s="13">
        <v>668.08</v>
      </c>
      <c r="V12" s="13">
        <v>595.03</v>
      </c>
      <c r="W12" s="13">
        <v>675.14</v>
      </c>
      <c r="X12" s="13">
        <v>879.91</v>
      </c>
      <c r="Y12" s="13">
        <v>1112.3800000000001</v>
      </c>
      <c r="Z12" s="13">
        <v>1090.01</v>
      </c>
      <c r="AA12" s="13">
        <v>755.76</v>
      </c>
      <c r="AB12" s="13">
        <v>667.62</v>
      </c>
      <c r="AC12" s="13">
        <v>662.96</v>
      </c>
      <c r="AD12" s="13">
        <v>1182.98</v>
      </c>
      <c r="AE12" s="13">
        <v>823.88</v>
      </c>
      <c r="AF12" s="13">
        <v>869.9</v>
      </c>
      <c r="AG12" s="13">
        <v>669.97</v>
      </c>
      <c r="AH12" s="13">
        <v>972.66</v>
      </c>
      <c r="AI12" s="13">
        <v>1321.52</v>
      </c>
      <c r="AJ12" s="13">
        <v>1586.44</v>
      </c>
    </row>
    <row r="13" spans="2:36">
      <c r="B13" s="26" t="s">
        <v>35</v>
      </c>
      <c r="C13" s="13">
        <v>71945.14</v>
      </c>
      <c r="D13" s="13">
        <v>85016.98</v>
      </c>
      <c r="E13" s="13">
        <v>88560.19</v>
      </c>
      <c r="F13" s="13">
        <v>102635.2</v>
      </c>
      <c r="G13" s="13">
        <v>102557.48</v>
      </c>
      <c r="H13" s="13">
        <v>104272.86</v>
      </c>
      <c r="I13" s="13">
        <v>111351.2</v>
      </c>
      <c r="J13" s="13">
        <v>110941.73</v>
      </c>
      <c r="K13" s="13">
        <v>100766.19</v>
      </c>
      <c r="L13" s="13">
        <v>108518.88</v>
      </c>
      <c r="M13" s="13">
        <v>115153.37</v>
      </c>
      <c r="N13" s="13">
        <v>115287.74</v>
      </c>
      <c r="O13" s="13">
        <v>118833.65</v>
      </c>
      <c r="P13" s="13">
        <v>123985.46</v>
      </c>
      <c r="Q13" s="13">
        <v>124769.09</v>
      </c>
      <c r="R13" s="13">
        <v>116009.43</v>
      </c>
      <c r="S13" s="13">
        <v>118351.23</v>
      </c>
      <c r="T13" s="13">
        <v>124007.66</v>
      </c>
      <c r="U13" s="13">
        <v>127787.62</v>
      </c>
      <c r="V13" s="13">
        <v>118716.8</v>
      </c>
      <c r="W13" s="13">
        <v>141562.32</v>
      </c>
      <c r="X13" s="13">
        <v>165680.72</v>
      </c>
      <c r="Y13" s="13">
        <v>156684.23000000001</v>
      </c>
      <c r="Z13" s="13">
        <v>144092.07</v>
      </c>
      <c r="AA13" s="13">
        <v>153663.53</v>
      </c>
      <c r="AB13" s="13">
        <v>149235.63</v>
      </c>
      <c r="AC13" s="13">
        <v>152569.93</v>
      </c>
      <c r="AD13" s="13">
        <v>156708.04</v>
      </c>
      <c r="AE13" s="13">
        <v>156493.35999999999</v>
      </c>
      <c r="AF13" s="13">
        <v>152473</v>
      </c>
      <c r="AG13" s="13">
        <v>148442.73000000001</v>
      </c>
      <c r="AH13" s="13">
        <v>156299.4</v>
      </c>
      <c r="AI13" s="13">
        <v>143788.84</v>
      </c>
      <c r="AJ13" s="13">
        <v>146548.54999999999</v>
      </c>
    </row>
    <row r="14" spans="2:36">
      <c r="B14" s="27" t="s">
        <v>51</v>
      </c>
      <c r="C14" s="13">
        <v>27806.85</v>
      </c>
      <c r="D14" s="13">
        <v>35147.82</v>
      </c>
      <c r="E14" s="13">
        <v>37175.68</v>
      </c>
      <c r="F14" s="13">
        <v>41653.99</v>
      </c>
      <c r="G14" s="13">
        <v>41310.1</v>
      </c>
      <c r="H14" s="13">
        <v>42942.78</v>
      </c>
      <c r="I14" s="13">
        <v>43477.67</v>
      </c>
      <c r="J14" s="13">
        <v>41549.440000000002</v>
      </c>
      <c r="K14" s="13">
        <v>42478.94</v>
      </c>
      <c r="L14" s="13">
        <v>44929.72</v>
      </c>
      <c r="M14" s="13">
        <v>46609.47</v>
      </c>
      <c r="N14" s="13">
        <v>46822.91</v>
      </c>
      <c r="O14" s="13">
        <v>49156.15</v>
      </c>
      <c r="P14" s="13">
        <v>50181.79</v>
      </c>
      <c r="Q14" s="13">
        <v>52771.3</v>
      </c>
      <c r="R14" s="13">
        <v>47009.65</v>
      </c>
      <c r="S14" s="13">
        <v>49513.19</v>
      </c>
      <c r="T14" s="13">
        <v>55225.54</v>
      </c>
      <c r="U14" s="13">
        <v>58678.54</v>
      </c>
      <c r="V14" s="13">
        <v>50894.38</v>
      </c>
      <c r="W14" s="13">
        <v>68509.13</v>
      </c>
      <c r="X14" s="13">
        <v>86528.63</v>
      </c>
      <c r="Y14" s="13">
        <v>84749.61</v>
      </c>
      <c r="Z14" s="13">
        <v>72142.23</v>
      </c>
      <c r="AA14" s="13">
        <v>84299.46</v>
      </c>
      <c r="AB14" s="13">
        <v>79211.259999999995</v>
      </c>
      <c r="AC14" s="13">
        <v>78009.13</v>
      </c>
      <c r="AD14" s="13">
        <v>81594.789999999994</v>
      </c>
      <c r="AE14" s="13">
        <v>83531.58</v>
      </c>
      <c r="AF14" s="13">
        <v>82554.78</v>
      </c>
      <c r="AG14" s="13">
        <v>79505.67</v>
      </c>
      <c r="AH14" s="13">
        <v>82885.960000000006</v>
      </c>
      <c r="AI14" s="13">
        <v>73696.36</v>
      </c>
      <c r="AJ14" s="13">
        <v>74895.789999999994</v>
      </c>
    </row>
    <row r="15" spans="2:36">
      <c r="B15" s="27" t="s">
        <v>52</v>
      </c>
      <c r="C15" s="13">
        <v>547.94000000000005</v>
      </c>
      <c r="D15" s="13">
        <v>544.09</v>
      </c>
      <c r="E15" s="13">
        <v>403</v>
      </c>
      <c r="F15" s="13">
        <v>415.85</v>
      </c>
      <c r="G15" s="13">
        <v>942.72</v>
      </c>
      <c r="H15" s="13">
        <v>1017.66</v>
      </c>
      <c r="I15" s="13">
        <v>963.3</v>
      </c>
      <c r="J15" s="13">
        <v>788</v>
      </c>
      <c r="K15" s="13">
        <v>781.56</v>
      </c>
      <c r="L15" s="13">
        <v>868.88</v>
      </c>
      <c r="M15" s="13">
        <v>1168.6199999999999</v>
      </c>
      <c r="N15" s="13">
        <v>1101.8800000000001</v>
      </c>
      <c r="O15" s="13">
        <v>1136.79</v>
      </c>
      <c r="P15" s="13">
        <v>1352.23</v>
      </c>
      <c r="Q15" s="13">
        <v>1336.61</v>
      </c>
      <c r="R15" s="13">
        <v>1241.03</v>
      </c>
      <c r="S15" s="13">
        <v>1269.07</v>
      </c>
      <c r="T15" s="13">
        <v>1789.65</v>
      </c>
      <c r="U15" s="13">
        <v>2006.67</v>
      </c>
      <c r="V15" s="13">
        <v>2652.83</v>
      </c>
      <c r="W15" s="13">
        <v>2206.7600000000002</v>
      </c>
      <c r="X15" s="13">
        <v>2548.29</v>
      </c>
      <c r="Y15" s="13">
        <v>2255.6799999999998</v>
      </c>
      <c r="Z15" s="13">
        <v>2398.9899999999998</v>
      </c>
      <c r="AA15" s="13">
        <v>2398.08</v>
      </c>
      <c r="AB15" s="13">
        <v>2691.25</v>
      </c>
      <c r="AC15" s="13">
        <v>2656.55</v>
      </c>
      <c r="AD15" s="13">
        <v>2635.11</v>
      </c>
      <c r="AE15" s="13">
        <v>2913.65</v>
      </c>
      <c r="AF15" s="13">
        <v>2859.26</v>
      </c>
      <c r="AG15" s="13">
        <v>3189.54</v>
      </c>
      <c r="AH15" s="13">
        <v>3748.43</v>
      </c>
      <c r="AI15" s="13">
        <v>3474.27</v>
      </c>
      <c r="AJ15" s="13">
        <v>3759.57</v>
      </c>
    </row>
    <row r="16" spans="2:36">
      <c r="B16" s="27" t="s">
        <v>53</v>
      </c>
      <c r="C16" s="13">
        <v>8551.6299999999992</v>
      </c>
      <c r="D16" s="13">
        <v>10278.59</v>
      </c>
      <c r="E16" s="13">
        <v>10408.709999999999</v>
      </c>
      <c r="F16" s="13">
        <v>11356.41</v>
      </c>
      <c r="G16" s="13">
        <v>12069.09</v>
      </c>
      <c r="H16" s="13">
        <v>11421.24</v>
      </c>
      <c r="I16" s="13">
        <v>13300.5</v>
      </c>
      <c r="J16" s="13">
        <v>16859</v>
      </c>
      <c r="K16" s="13">
        <v>13533.63</v>
      </c>
      <c r="L16" s="13">
        <v>14631.8</v>
      </c>
      <c r="M16" s="13">
        <v>15222.29</v>
      </c>
      <c r="N16" s="13">
        <v>15235.43</v>
      </c>
      <c r="O16" s="13">
        <v>15078.8</v>
      </c>
      <c r="P16" s="13">
        <v>17635.88</v>
      </c>
      <c r="Q16" s="13">
        <v>18527.580000000002</v>
      </c>
      <c r="R16" s="13">
        <v>17241.939999999999</v>
      </c>
      <c r="S16" s="13">
        <v>16965.47</v>
      </c>
      <c r="T16" s="13">
        <v>17715.14</v>
      </c>
      <c r="U16" s="13">
        <v>17433.87</v>
      </c>
      <c r="V16" s="13">
        <v>18030.22</v>
      </c>
      <c r="W16" s="13">
        <v>20039.22</v>
      </c>
      <c r="X16" s="13">
        <v>21857.42</v>
      </c>
      <c r="Y16" s="13">
        <v>19352.39</v>
      </c>
      <c r="Z16" s="13">
        <v>20084.04</v>
      </c>
      <c r="AA16" s="13">
        <v>19934.07</v>
      </c>
      <c r="AB16" s="13">
        <v>18848.07</v>
      </c>
      <c r="AC16" s="13">
        <v>20760.55</v>
      </c>
      <c r="AD16" s="13">
        <v>22262.25</v>
      </c>
      <c r="AE16" s="13">
        <v>23607.05</v>
      </c>
      <c r="AF16" s="13">
        <v>22162.67</v>
      </c>
      <c r="AG16" s="13">
        <v>23516.1</v>
      </c>
      <c r="AH16" s="13">
        <v>25789.09</v>
      </c>
      <c r="AI16" s="13">
        <v>23068.07</v>
      </c>
      <c r="AJ16" s="13">
        <v>24770.22</v>
      </c>
    </row>
    <row r="17" spans="2:36">
      <c r="B17" s="27" t="s">
        <v>54</v>
      </c>
      <c r="C17" s="12">
        <v>2873.77</v>
      </c>
      <c r="D17" s="12">
        <v>2880.05</v>
      </c>
      <c r="E17" s="12">
        <v>3310.65</v>
      </c>
      <c r="F17" s="12">
        <v>3478.06</v>
      </c>
      <c r="G17" s="12">
        <v>4033.58</v>
      </c>
      <c r="H17" s="12">
        <v>4129.75</v>
      </c>
      <c r="I17" s="12">
        <v>4477.33</v>
      </c>
      <c r="J17" s="12">
        <v>4493.1400000000003</v>
      </c>
      <c r="K17" s="12">
        <v>3821.73</v>
      </c>
      <c r="L17" s="12">
        <v>4196.9799999999996</v>
      </c>
      <c r="M17" s="12">
        <v>3848.97</v>
      </c>
      <c r="N17" s="12">
        <v>3540.36</v>
      </c>
      <c r="O17" s="12">
        <v>3633.16</v>
      </c>
      <c r="P17" s="12">
        <v>3646.9</v>
      </c>
      <c r="Q17" s="12">
        <v>3521.64</v>
      </c>
      <c r="R17" s="12">
        <v>3145.33</v>
      </c>
      <c r="S17" s="12">
        <v>2826.66</v>
      </c>
      <c r="T17" s="12">
        <v>2560.2800000000002</v>
      </c>
      <c r="U17" s="12">
        <v>2196.48</v>
      </c>
      <c r="V17" s="12">
        <v>1982.83</v>
      </c>
      <c r="W17" s="12">
        <v>1869.77</v>
      </c>
      <c r="X17" s="12">
        <v>1574.16</v>
      </c>
      <c r="Y17" s="12">
        <v>1240.2</v>
      </c>
      <c r="Z17" s="12">
        <v>1146.08</v>
      </c>
      <c r="AA17" s="12">
        <v>919.4</v>
      </c>
      <c r="AB17" s="12">
        <v>850.16</v>
      </c>
      <c r="AC17" s="12">
        <v>2157.79</v>
      </c>
      <c r="AD17" s="12">
        <v>2242.64</v>
      </c>
      <c r="AE17" s="12">
        <v>2253.21</v>
      </c>
      <c r="AF17" s="12">
        <v>2401.83</v>
      </c>
      <c r="AG17" s="12">
        <v>2341.7600000000002</v>
      </c>
      <c r="AH17" s="12">
        <v>2332.87</v>
      </c>
      <c r="AI17" s="12">
        <v>2635.6</v>
      </c>
      <c r="AJ17" s="12">
        <v>2706.07</v>
      </c>
    </row>
    <row r="18" spans="2:36">
      <c r="B18" s="27" t="s">
        <v>55</v>
      </c>
      <c r="C18" s="12">
        <v>3300.85</v>
      </c>
      <c r="D18" s="12">
        <v>3360.8</v>
      </c>
      <c r="E18" s="12">
        <v>3700.9</v>
      </c>
      <c r="F18" s="12">
        <v>4100.5600000000004</v>
      </c>
      <c r="G18" s="12">
        <v>4104.5200000000004</v>
      </c>
      <c r="H18" s="12">
        <v>4377.3</v>
      </c>
      <c r="I18" s="12">
        <v>4418.5200000000004</v>
      </c>
      <c r="J18" s="12">
        <v>4066.37</v>
      </c>
      <c r="K18" s="12">
        <v>3414.12</v>
      </c>
      <c r="L18" s="12">
        <v>3153.22</v>
      </c>
      <c r="M18" s="12">
        <v>3139.8</v>
      </c>
      <c r="N18" s="12">
        <v>2890.04</v>
      </c>
      <c r="O18" s="12">
        <v>2927.81</v>
      </c>
      <c r="P18" s="12">
        <v>2848.59</v>
      </c>
      <c r="Q18" s="12">
        <v>2811.11</v>
      </c>
      <c r="R18" s="12">
        <v>2787.83</v>
      </c>
      <c r="S18" s="12">
        <v>2535.12</v>
      </c>
      <c r="T18" s="12">
        <v>2542.92</v>
      </c>
      <c r="U18" s="12">
        <v>2179.54</v>
      </c>
      <c r="V18" s="12">
        <v>2199.59</v>
      </c>
      <c r="W18" s="12">
        <v>2314.9699999999998</v>
      </c>
      <c r="X18" s="12">
        <v>2197.69</v>
      </c>
      <c r="Y18" s="12">
        <v>2107.35</v>
      </c>
      <c r="Z18" s="12">
        <v>1927.58</v>
      </c>
      <c r="AA18" s="12">
        <v>1876.15</v>
      </c>
      <c r="AB18" s="12">
        <v>1904.72</v>
      </c>
      <c r="AC18" s="12">
        <v>2182.09</v>
      </c>
      <c r="AD18" s="12">
        <v>2078.48</v>
      </c>
      <c r="AE18" s="12">
        <v>2160.19</v>
      </c>
      <c r="AF18" s="12">
        <v>1921.93</v>
      </c>
      <c r="AG18" s="12">
        <v>2038.42</v>
      </c>
      <c r="AH18" s="12">
        <v>2104.6999999999998</v>
      </c>
      <c r="AI18" s="12">
        <v>2211.04</v>
      </c>
      <c r="AJ18" s="12">
        <v>2058.12</v>
      </c>
    </row>
    <row r="19" spans="2:36">
      <c r="B19" s="27" t="s">
        <v>56</v>
      </c>
      <c r="C19" s="12">
        <v>13868.22</v>
      </c>
      <c r="D19" s="12">
        <v>16050.93</v>
      </c>
      <c r="E19" s="12">
        <v>17670.009999999998</v>
      </c>
      <c r="F19" s="12">
        <v>20734.509999999998</v>
      </c>
      <c r="G19" s="12">
        <v>21932.18</v>
      </c>
      <c r="H19" s="12">
        <v>22059.25</v>
      </c>
      <c r="I19" s="12">
        <v>19241.71</v>
      </c>
      <c r="J19" s="12">
        <v>21117.81</v>
      </c>
      <c r="K19" s="12">
        <v>15670.33</v>
      </c>
      <c r="L19" s="12">
        <v>16332.57</v>
      </c>
      <c r="M19" s="12">
        <v>18450.189999999999</v>
      </c>
      <c r="N19" s="12">
        <v>18742.43</v>
      </c>
      <c r="O19" s="12">
        <v>18576.96</v>
      </c>
      <c r="P19" s="12">
        <v>19876.98</v>
      </c>
      <c r="Q19" s="12">
        <v>18453.75</v>
      </c>
      <c r="R19" s="12">
        <v>17142.03</v>
      </c>
      <c r="S19" s="12">
        <v>17385.12</v>
      </c>
      <c r="T19" s="12">
        <v>17265.240000000002</v>
      </c>
      <c r="U19" s="12">
        <v>18267.68</v>
      </c>
      <c r="V19" s="12">
        <v>16096.55</v>
      </c>
      <c r="W19" s="12">
        <v>16915.41</v>
      </c>
      <c r="X19" s="12">
        <v>17809.32</v>
      </c>
      <c r="Y19" s="12">
        <v>16644.64</v>
      </c>
      <c r="Z19" s="12">
        <v>17161.240000000002</v>
      </c>
      <c r="AA19" s="12">
        <v>17286.150000000001</v>
      </c>
      <c r="AB19" s="12">
        <v>16992.330000000002</v>
      </c>
      <c r="AC19" s="12">
        <v>16280.99</v>
      </c>
      <c r="AD19" s="12">
        <v>14728.48</v>
      </c>
      <c r="AE19" s="12">
        <v>13566.06</v>
      </c>
      <c r="AF19" s="12">
        <v>14775.67</v>
      </c>
      <c r="AG19" s="12">
        <v>13390.35</v>
      </c>
      <c r="AH19" s="12">
        <v>13966.37</v>
      </c>
      <c r="AI19" s="12">
        <v>14455.62</v>
      </c>
      <c r="AJ19" s="12">
        <v>15269.05</v>
      </c>
    </row>
    <row r="20" spans="2:36">
      <c r="B20" s="27" t="s">
        <v>57</v>
      </c>
      <c r="C20" s="12">
        <v>14995.87</v>
      </c>
      <c r="D20" s="12">
        <v>16754.689999999999</v>
      </c>
      <c r="E20" s="12">
        <v>15891.24</v>
      </c>
      <c r="F20" s="12">
        <v>20895.810000000001</v>
      </c>
      <c r="G20" s="12">
        <v>18165.29</v>
      </c>
      <c r="H20" s="12">
        <v>18324.87</v>
      </c>
      <c r="I20" s="12">
        <v>25472.16</v>
      </c>
      <c r="J20" s="12">
        <v>22067.97</v>
      </c>
      <c r="K20" s="12">
        <v>21065.88</v>
      </c>
      <c r="L20" s="12">
        <v>24405.7</v>
      </c>
      <c r="M20" s="12">
        <v>26714.02</v>
      </c>
      <c r="N20" s="12">
        <v>26954.69</v>
      </c>
      <c r="O20" s="12">
        <v>28324</v>
      </c>
      <c r="P20" s="12">
        <v>28443.09</v>
      </c>
      <c r="Q20" s="12">
        <v>27347.09</v>
      </c>
      <c r="R20" s="12">
        <v>27441.62</v>
      </c>
      <c r="S20" s="12">
        <v>27856.6</v>
      </c>
      <c r="T20" s="12">
        <v>26908.9</v>
      </c>
      <c r="U20" s="12">
        <v>27024.84</v>
      </c>
      <c r="V20" s="12">
        <v>26860.400000000001</v>
      </c>
      <c r="W20" s="12">
        <v>29707.07</v>
      </c>
      <c r="X20" s="12">
        <v>33165.22</v>
      </c>
      <c r="Y20" s="12">
        <v>30334.36</v>
      </c>
      <c r="Z20" s="12">
        <v>29231.91</v>
      </c>
      <c r="AA20" s="12">
        <v>26950.22</v>
      </c>
      <c r="AB20" s="12">
        <v>28737.84</v>
      </c>
      <c r="AC20" s="12">
        <v>30522.83</v>
      </c>
      <c r="AD20" s="12">
        <v>31166.29</v>
      </c>
      <c r="AE20" s="12">
        <v>28461.62</v>
      </c>
      <c r="AF20" s="12">
        <v>25796.86</v>
      </c>
      <c r="AG20" s="12">
        <v>24460.9</v>
      </c>
      <c r="AH20" s="12">
        <v>25471.98</v>
      </c>
      <c r="AI20" s="12">
        <v>24247.87</v>
      </c>
      <c r="AJ20" s="12">
        <v>23089.74</v>
      </c>
    </row>
    <row r="21" spans="2:36">
      <c r="B21" s="27" t="s">
        <v>58</v>
      </c>
      <c r="C21" s="12">
        <v>2001.42</v>
      </c>
      <c r="D21" s="12">
        <v>2272.79</v>
      </c>
      <c r="E21" s="12">
        <v>2518.4499999999998</v>
      </c>
      <c r="F21" s="12">
        <v>4152.2700000000004</v>
      </c>
      <c r="G21" s="12">
        <v>3010.91</v>
      </c>
      <c r="H21" s="12">
        <v>3263.65</v>
      </c>
      <c r="I21" s="12">
        <v>3834.23</v>
      </c>
      <c r="J21" s="12">
        <v>3980.35</v>
      </c>
      <c r="K21" s="12">
        <v>3246.75</v>
      </c>
      <c r="L21" s="12">
        <v>3866.93</v>
      </c>
      <c r="M21" s="12">
        <v>3221.16</v>
      </c>
      <c r="N21" s="12">
        <v>3117.4</v>
      </c>
      <c r="O21" s="12">
        <v>3230.66</v>
      </c>
      <c r="P21" s="12">
        <v>3168.39</v>
      </c>
      <c r="Q21" s="12">
        <v>3371.11</v>
      </c>
      <c r="R21" s="12">
        <v>3502.83</v>
      </c>
      <c r="S21" s="12">
        <v>3377.52</v>
      </c>
      <c r="T21" s="12">
        <v>2121.2399999999998</v>
      </c>
      <c r="U21" s="12">
        <v>2522.4899999999998</v>
      </c>
      <c r="V21" s="12">
        <v>2277.66</v>
      </c>
      <c r="W21" s="12">
        <v>2453.2399999999998</v>
      </c>
      <c r="X21" s="12">
        <v>2621.89</v>
      </c>
      <c r="Y21" s="12">
        <v>2470.15</v>
      </c>
      <c r="Z21" s="12">
        <v>2237.65</v>
      </c>
      <c r="AA21" s="12">
        <v>2851.8</v>
      </c>
      <c r="AB21" s="12">
        <v>2406.27</v>
      </c>
      <c r="AC21" s="12">
        <v>2861.49</v>
      </c>
      <c r="AD21" s="12">
        <v>3808.82</v>
      </c>
      <c r="AE21" s="12">
        <v>3465.46</v>
      </c>
      <c r="AF21" s="12">
        <v>4021.3</v>
      </c>
      <c r="AG21" s="12">
        <v>3922.27</v>
      </c>
      <c r="AH21" s="12">
        <v>4065.46</v>
      </c>
      <c r="AI21" s="12">
        <v>4199</v>
      </c>
      <c r="AJ21" s="12">
        <v>4764.75</v>
      </c>
    </row>
    <row r="22" spans="2:36">
      <c r="B22" s="27" t="s">
        <v>59</v>
      </c>
      <c r="C22" s="12">
        <v>754.09</v>
      </c>
      <c r="D22" s="12">
        <v>865.13</v>
      </c>
      <c r="E22" s="12">
        <v>848.93</v>
      </c>
      <c r="F22" s="12">
        <v>908.84</v>
      </c>
      <c r="G22" s="12">
        <v>979.69</v>
      </c>
      <c r="H22" s="12">
        <v>1049.72</v>
      </c>
      <c r="I22" s="12">
        <v>1114.0899999999999</v>
      </c>
      <c r="J22" s="12">
        <v>1691.7</v>
      </c>
      <c r="K22" s="12">
        <v>2608.41</v>
      </c>
      <c r="L22" s="12">
        <v>3173.93</v>
      </c>
      <c r="M22" s="12">
        <v>2924</v>
      </c>
      <c r="N22" s="12">
        <v>2534.9299999999998</v>
      </c>
      <c r="O22" s="12">
        <v>2500.13</v>
      </c>
      <c r="P22" s="12">
        <v>1951.63</v>
      </c>
      <c r="Q22" s="12">
        <v>1235.95</v>
      </c>
      <c r="R22" s="12">
        <v>548.22</v>
      </c>
      <c r="S22" s="12">
        <v>408.82</v>
      </c>
      <c r="T22" s="12">
        <v>1966.99</v>
      </c>
      <c r="U22" s="12">
        <v>2079.08</v>
      </c>
      <c r="V22" s="12">
        <v>1784.42</v>
      </c>
      <c r="W22" s="12">
        <v>2069.5</v>
      </c>
      <c r="X22" s="12">
        <v>2618.4499999999998</v>
      </c>
      <c r="Y22" s="12">
        <v>2798.17</v>
      </c>
      <c r="Z22" s="12">
        <v>3018.63</v>
      </c>
      <c r="AA22" s="12">
        <v>2437.9899999999998</v>
      </c>
      <c r="AB22" s="12">
        <v>2322.67</v>
      </c>
      <c r="AC22" s="12">
        <v>3635.71</v>
      </c>
      <c r="AD22" s="12">
        <v>3425.07</v>
      </c>
      <c r="AE22" s="12">
        <v>2436.06</v>
      </c>
      <c r="AF22" s="12">
        <v>2203.42</v>
      </c>
      <c r="AG22" s="12">
        <v>2176.73</v>
      </c>
      <c r="AH22" s="12">
        <v>2241.36</v>
      </c>
      <c r="AI22" s="12">
        <v>2227.41</v>
      </c>
      <c r="AJ22" s="12">
        <v>2347.6</v>
      </c>
    </row>
    <row r="23" spans="2:36">
      <c r="B23" s="27" t="s">
        <v>60</v>
      </c>
      <c r="C23" s="12">
        <v>436.53</v>
      </c>
      <c r="D23" s="12">
        <v>346.08</v>
      </c>
      <c r="E23" s="12">
        <v>332.77</v>
      </c>
      <c r="F23" s="12">
        <v>226.29</v>
      </c>
      <c r="G23" s="12">
        <v>229.16</v>
      </c>
      <c r="H23" s="12">
        <v>215.74</v>
      </c>
      <c r="I23" s="12">
        <v>194.12</v>
      </c>
      <c r="J23" s="12">
        <v>155.91</v>
      </c>
      <c r="K23" s="12">
        <v>123.1</v>
      </c>
      <c r="L23" s="12">
        <v>113.48</v>
      </c>
      <c r="M23" s="12">
        <v>150.94</v>
      </c>
      <c r="N23" s="12">
        <v>158.5</v>
      </c>
      <c r="O23" s="12">
        <v>163.69</v>
      </c>
      <c r="P23" s="12">
        <v>196.21</v>
      </c>
      <c r="Q23" s="12">
        <v>167.09</v>
      </c>
      <c r="R23" s="12">
        <v>196.34</v>
      </c>
      <c r="S23" s="12">
        <v>193.88</v>
      </c>
      <c r="T23" s="12">
        <v>163.98</v>
      </c>
      <c r="U23" s="12">
        <v>145.71</v>
      </c>
      <c r="V23" s="12">
        <v>155.83000000000001</v>
      </c>
      <c r="W23" s="12">
        <v>193.39</v>
      </c>
      <c r="X23" s="12">
        <v>182.11</v>
      </c>
      <c r="Y23" s="12">
        <v>170.81</v>
      </c>
      <c r="Z23" s="12">
        <v>183.86</v>
      </c>
      <c r="AA23" s="12">
        <v>146.4</v>
      </c>
      <c r="AB23" s="12">
        <v>135.32</v>
      </c>
      <c r="AC23" s="12">
        <v>140.65</v>
      </c>
      <c r="AD23" s="12">
        <v>123.28</v>
      </c>
      <c r="AE23" s="12">
        <v>120.7</v>
      </c>
      <c r="AF23" s="12">
        <v>119.39</v>
      </c>
      <c r="AG23" s="12">
        <v>134.93</v>
      </c>
      <c r="AH23" s="12">
        <v>130.99</v>
      </c>
      <c r="AI23" s="12">
        <v>122.49</v>
      </c>
      <c r="AJ23" s="12">
        <v>164.06</v>
      </c>
    </row>
    <row r="24" spans="2:36">
      <c r="B24" s="27" t="s">
        <v>61</v>
      </c>
      <c r="C24" s="12">
        <v>220.17</v>
      </c>
      <c r="D24" s="12">
        <v>240.59</v>
      </c>
      <c r="E24" s="12">
        <v>236.24</v>
      </c>
      <c r="F24" s="12">
        <v>104.8</v>
      </c>
      <c r="G24" s="12">
        <v>339.79</v>
      </c>
      <c r="H24" s="12">
        <v>269.19</v>
      </c>
      <c r="I24" s="12">
        <v>288.32</v>
      </c>
      <c r="J24" s="12">
        <v>287.94</v>
      </c>
      <c r="K24" s="12">
        <v>207.49</v>
      </c>
      <c r="L24" s="12">
        <v>256.3</v>
      </c>
      <c r="M24" s="12">
        <v>256.76</v>
      </c>
      <c r="N24" s="12">
        <v>237.58</v>
      </c>
      <c r="O24" s="12">
        <v>253.08</v>
      </c>
      <c r="P24" s="12">
        <v>217.78</v>
      </c>
      <c r="Q24" s="12">
        <v>267.37</v>
      </c>
      <c r="R24" s="12">
        <v>171.94</v>
      </c>
      <c r="S24" s="12">
        <v>149.18</v>
      </c>
      <c r="T24" s="12">
        <v>185.16</v>
      </c>
      <c r="U24" s="12">
        <v>180.07</v>
      </c>
      <c r="V24" s="12">
        <v>224.76</v>
      </c>
      <c r="W24" s="12">
        <v>214.64</v>
      </c>
      <c r="X24" s="12">
        <v>182.06</v>
      </c>
      <c r="Y24" s="12">
        <v>162.82</v>
      </c>
      <c r="Z24" s="12">
        <v>156.78</v>
      </c>
      <c r="AA24" s="12">
        <v>191.86</v>
      </c>
      <c r="AB24" s="12">
        <v>186.59</v>
      </c>
      <c r="AC24" s="12">
        <v>126.51</v>
      </c>
      <c r="AD24" s="12">
        <v>128.13999999999999</v>
      </c>
      <c r="AE24" s="12">
        <v>157.11000000000001</v>
      </c>
      <c r="AF24" s="12">
        <v>113.32</v>
      </c>
      <c r="AG24" s="12">
        <v>136.41999999999999</v>
      </c>
      <c r="AH24" s="12">
        <v>125.3</v>
      </c>
      <c r="AI24" s="12">
        <v>131.08000000000001</v>
      </c>
      <c r="AJ24" s="12">
        <v>88.96</v>
      </c>
    </row>
    <row r="25" spans="2:36">
      <c r="B25" s="27" t="s">
        <v>62</v>
      </c>
      <c r="C25" s="12">
        <v>1639.47</v>
      </c>
      <c r="D25" s="12">
        <v>1540.08</v>
      </c>
      <c r="E25" s="12">
        <v>1362.64</v>
      </c>
      <c r="F25" s="12">
        <v>1615</v>
      </c>
      <c r="G25" s="12">
        <v>1259.43</v>
      </c>
      <c r="H25" s="12">
        <v>1216.51</v>
      </c>
      <c r="I25" s="12">
        <v>1213.97</v>
      </c>
      <c r="J25" s="12">
        <v>1379.61</v>
      </c>
      <c r="K25" s="12">
        <v>1021.85</v>
      </c>
      <c r="L25" s="12">
        <v>1060.3499999999999</v>
      </c>
      <c r="M25" s="12">
        <v>1400.2</v>
      </c>
      <c r="N25" s="12">
        <v>1319.79</v>
      </c>
      <c r="O25" s="12">
        <v>1565.09</v>
      </c>
      <c r="P25" s="12">
        <v>1640.48</v>
      </c>
      <c r="Q25" s="12">
        <v>1759.46</v>
      </c>
      <c r="R25" s="12">
        <v>1931.86</v>
      </c>
      <c r="S25" s="12">
        <v>2650.53</v>
      </c>
      <c r="T25" s="12">
        <v>2370.4299999999998</v>
      </c>
      <c r="U25" s="12">
        <v>2314.44</v>
      </c>
      <c r="V25" s="12">
        <v>2317.9499999999998</v>
      </c>
      <c r="W25" s="12">
        <v>2503.36</v>
      </c>
      <c r="X25" s="12">
        <v>2542.08</v>
      </c>
      <c r="Y25" s="12">
        <v>2235.15</v>
      </c>
      <c r="Z25" s="12">
        <v>2170.61</v>
      </c>
      <c r="AA25" s="12">
        <v>2322.15</v>
      </c>
      <c r="AB25" s="12">
        <v>2572.1799999999998</v>
      </c>
      <c r="AC25" s="12">
        <v>2647.41</v>
      </c>
      <c r="AD25" s="12">
        <v>2228.1999999999998</v>
      </c>
      <c r="AE25" s="12">
        <v>2185.64</v>
      </c>
      <c r="AF25" s="12">
        <v>2150.0700000000002</v>
      </c>
      <c r="AG25" s="12">
        <v>2107.58</v>
      </c>
      <c r="AH25" s="12">
        <v>2004.55</v>
      </c>
      <c r="AI25" s="12">
        <v>1938.47</v>
      </c>
      <c r="AJ25" s="12">
        <v>1786.25</v>
      </c>
    </row>
    <row r="26" spans="2:36">
      <c r="B26" s="27" t="s">
        <v>63</v>
      </c>
      <c r="C26" s="12">
        <v>6182.24</v>
      </c>
      <c r="D26" s="12">
        <v>6078.83</v>
      </c>
      <c r="E26" s="12">
        <v>6119.04</v>
      </c>
      <c r="F26" s="12">
        <v>6353.56</v>
      </c>
      <c r="G26" s="12">
        <v>6921.78</v>
      </c>
      <c r="H26" s="12">
        <v>6729.42</v>
      </c>
      <c r="I26" s="12">
        <v>7302.11</v>
      </c>
      <c r="J26" s="12">
        <v>8913.67</v>
      </c>
      <c r="K26" s="12">
        <v>9578.02</v>
      </c>
      <c r="L26" s="12">
        <v>10493.23</v>
      </c>
      <c r="M26" s="12">
        <v>10520.12</v>
      </c>
      <c r="N26" s="12">
        <v>10190.74</v>
      </c>
      <c r="O26" s="12">
        <v>9703.77</v>
      </c>
      <c r="P26" s="12">
        <v>8954.61</v>
      </c>
      <c r="Q26" s="12">
        <v>9433.57</v>
      </c>
      <c r="R26" s="12">
        <v>8617.16</v>
      </c>
      <c r="S26" s="12">
        <v>7816.53</v>
      </c>
      <c r="T26" s="12">
        <v>7536.87</v>
      </c>
      <c r="U26" s="12">
        <v>7412.9</v>
      </c>
      <c r="V26" s="12">
        <v>6974.24</v>
      </c>
      <c r="W26" s="12">
        <v>6822.03</v>
      </c>
      <c r="X26" s="12">
        <v>6576.52</v>
      </c>
      <c r="Y26" s="12">
        <v>5967.51</v>
      </c>
      <c r="Z26" s="12">
        <v>5314.48</v>
      </c>
      <c r="AA26" s="12">
        <v>5640.82</v>
      </c>
      <c r="AB26" s="12">
        <v>4963.6099999999997</v>
      </c>
      <c r="AC26" s="12">
        <v>4930.3999999999996</v>
      </c>
      <c r="AD26" s="12">
        <v>5314.42</v>
      </c>
      <c r="AE26" s="12">
        <v>4923.8</v>
      </c>
      <c r="AF26" s="12">
        <v>4575.5200000000004</v>
      </c>
      <c r="AG26" s="12">
        <v>4115.1499999999996</v>
      </c>
      <c r="AH26" s="12">
        <v>4337.34</v>
      </c>
      <c r="AI26" s="12">
        <v>4202.45</v>
      </c>
      <c r="AJ26" s="12">
        <v>4493.13</v>
      </c>
    </row>
    <row r="27" spans="2:36">
      <c r="B27" s="27" t="s">
        <v>64</v>
      </c>
      <c r="C27" s="12">
        <v>3761.96</v>
      </c>
      <c r="D27" s="12">
        <v>5411.2</v>
      </c>
      <c r="E27" s="12">
        <v>4473.16</v>
      </c>
      <c r="F27" s="12">
        <v>7535.04</v>
      </c>
      <c r="G27" s="12">
        <v>5424.53</v>
      </c>
      <c r="H27" s="12">
        <v>5580.65</v>
      </c>
      <c r="I27" s="12">
        <v>11525.33</v>
      </c>
      <c r="J27" s="12">
        <v>5658.79</v>
      </c>
      <c r="K27" s="12">
        <v>4280.26</v>
      </c>
      <c r="L27" s="12">
        <v>5441.49</v>
      </c>
      <c r="M27" s="12">
        <v>8240.85</v>
      </c>
      <c r="N27" s="12">
        <v>9395.75</v>
      </c>
      <c r="O27" s="12">
        <v>10907.6</v>
      </c>
      <c r="P27" s="12">
        <v>12314</v>
      </c>
      <c r="Q27" s="12">
        <v>11112.53</v>
      </c>
      <c r="R27" s="12">
        <v>12473.26</v>
      </c>
      <c r="S27" s="12">
        <v>13260.14</v>
      </c>
      <c r="T27" s="12">
        <v>12564.24</v>
      </c>
      <c r="U27" s="12">
        <v>12370.15</v>
      </c>
      <c r="V27" s="12">
        <v>13125.55</v>
      </c>
      <c r="W27" s="12">
        <v>15450.91</v>
      </c>
      <c r="X27" s="12">
        <v>18442.11</v>
      </c>
      <c r="Y27" s="12">
        <v>16529.740000000002</v>
      </c>
      <c r="Z27" s="12">
        <v>16149.91</v>
      </c>
      <c r="AA27" s="12">
        <v>13359.19</v>
      </c>
      <c r="AB27" s="12">
        <v>16151.2</v>
      </c>
      <c r="AC27" s="12">
        <v>16180.66</v>
      </c>
      <c r="AD27" s="12">
        <v>16138.36</v>
      </c>
      <c r="AE27" s="12">
        <v>15172.85</v>
      </c>
      <c r="AF27" s="12">
        <v>12613.84</v>
      </c>
      <c r="AG27" s="12">
        <v>11867.82</v>
      </c>
      <c r="AH27" s="12">
        <v>12566.98</v>
      </c>
      <c r="AI27" s="12">
        <v>11426.95</v>
      </c>
      <c r="AJ27" s="12">
        <v>9444.98</v>
      </c>
    </row>
    <row r="28" spans="2:36">
      <c r="B28" s="26" t="s">
        <v>36</v>
      </c>
      <c r="C28" s="12">
        <v>35651.61</v>
      </c>
      <c r="D28" s="12">
        <v>38762.26</v>
      </c>
      <c r="E28" s="12">
        <v>44141.54</v>
      </c>
      <c r="F28" s="12">
        <v>55806.91</v>
      </c>
      <c r="G28" s="12">
        <v>57810.05</v>
      </c>
      <c r="H28" s="12">
        <v>64999.49</v>
      </c>
      <c r="I28" s="12">
        <v>69084.27</v>
      </c>
      <c r="J28" s="12">
        <v>74507.28</v>
      </c>
      <c r="K28" s="12">
        <v>57752.41</v>
      </c>
      <c r="L28" s="12">
        <v>62774.28</v>
      </c>
      <c r="M28" s="12">
        <v>70134.429999999993</v>
      </c>
      <c r="N28" s="12">
        <v>73273.919999999998</v>
      </c>
      <c r="O28" s="12">
        <v>78262.990000000005</v>
      </c>
      <c r="P28" s="12">
        <v>81070.289999999994</v>
      </c>
      <c r="Q28" s="12">
        <v>81210.48</v>
      </c>
      <c r="R28" s="12">
        <v>82016.42</v>
      </c>
      <c r="S28" s="12">
        <v>82693.72</v>
      </c>
      <c r="T28" s="12">
        <v>84914.99</v>
      </c>
      <c r="U28" s="12">
        <v>82487.100000000006</v>
      </c>
      <c r="V28" s="12">
        <v>83104.350000000006</v>
      </c>
      <c r="W28" s="12">
        <v>84553.26</v>
      </c>
      <c r="X28" s="12">
        <v>84267.78</v>
      </c>
      <c r="Y28" s="12">
        <v>85609.54</v>
      </c>
      <c r="Z28" s="12">
        <v>87510.49</v>
      </c>
      <c r="AA28" s="12">
        <v>87782.3</v>
      </c>
      <c r="AB28" s="12">
        <v>93151.43</v>
      </c>
      <c r="AC28" s="12">
        <v>97564.93</v>
      </c>
      <c r="AD28" s="12">
        <v>97043.6</v>
      </c>
      <c r="AE28" s="12">
        <v>96482.75</v>
      </c>
      <c r="AF28" s="12">
        <v>99399.56</v>
      </c>
      <c r="AG28" s="12">
        <v>94561.47</v>
      </c>
      <c r="AH28" s="12">
        <v>97198.46</v>
      </c>
      <c r="AI28" s="12">
        <v>96217.76</v>
      </c>
      <c r="AJ28" s="12">
        <v>95421.84</v>
      </c>
    </row>
    <row r="29" spans="2:36">
      <c r="B29" s="27" t="s">
        <v>65</v>
      </c>
      <c r="C29" s="12">
        <v>857.4</v>
      </c>
      <c r="D29" s="12">
        <v>933.54</v>
      </c>
      <c r="E29" s="12">
        <v>1083.8800000000001</v>
      </c>
      <c r="F29" s="12">
        <v>1223.1500000000001</v>
      </c>
      <c r="G29" s="12">
        <v>1254.05</v>
      </c>
      <c r="H29" s="12">
        <v>1382.26</v>
      </c>
      <c r="I29" s="12">
        <v>1434.82</v>
      </c>
      <c r="J29" s="12">
        <v>1647.28</v>
      </c>
      <c r="K29" s="12">
        <v>1403.01</v>
      </c>
      <c r="L29" s="12">
        <v>1351.69</v>
      </c>
      <c r="M29" s="12">
        <v>1465.6</v>
      </c>
      <c r="N29" s="12">
        <v>1352.81</v>
      </c>
      <c r="O29" s="12">
        <v>1396.37</v>
      </c>
      <c r="P29" s="12">
        <v>1433.42</v>
      </c>
      <c r="Q29" s="12">
        <v>1186.32</v>
      </c>
      <c r="R29" s="12">
        <v>1075.75</v>
      </c>
      <c r="S29" s="12">
        <v>1007.22</v>
      </c>
      <c r="T29" s="12">
        <v>989.88</v>
      </c>
      <c r="U29" s="12">
        <v>1031.98</v>
      </c>
      <c r="V29" s="12">
        <v>1137.4000000000001</v>
      </c>
      <c r="W29" s="12">
        <v>1199.0899999999999</v>
      </c>
      <c r="X29" s="12">
        <v>1267.8399999999999</v>
      </c>
      <c r="Y29" s="12">
        <v>1277.76</v>
      </c>
      <c r="Z29" s="12">
        <v>1381.53</v>
      </c>
      <c r="AA29" s="12">
        <v>1493.42</v>
      </c>
      <c r="AB29" s="12">
        <v>1538.57</v>
      </c>
      <c r="AC29" s="12">
        <v>1750.84</v>
      </c>
      <c r="AD29" s="12">
        <v>1750.81</v>
      </c>
      <c r="AE29" s="12">
        <v>1697.31</v>
      </c>
      <c r="AF29" s="12">
        <v>1745.49</v>
      </c>
      <c r="AG29" s="12">
        <v>1659.77</v>
      </c>
      <c r="AH29" s="12">
        <v>1952.06</v>
      </c>
      <c r="AI29" s="12">
        <v>1851.04</v>
      </c>
      <c r="AJ29" s="12">
        <v>1755.81</v>
      </c>
    </row>
    <row r="30" spans="2:36">
      <c r="B30" s="27" t="s">
        <v>66</v>
      </c>
      <c r="C30" s="12">
        <v>31003.279999999999</v>
      </c>
      <c r="D30" s="12">
        <v>35565.68</v>
      </c>
      <c r="E30" s="12">
        <v>40658.54</v>
      </c>
      <c r="F30" s="12">
        <v>49012.800000000003</v>
      </c>
      <c r="G30" s="12">
        <v>51588.78</v>
      </c>
      <c r="H30" s="12">
        <v>58724.21</v>
      </c>
      <c r="I30" s="12">
        <v>64345.63</v>
      </c>
      <c r="J30" s="12">
        <v>68934.210000000006</v>
      </c>
      <c r="K30" s="12">
        <v>52747.09</v>
      </c>
      <c r="L30" s="12">
        <v>58137.68</v>
      </c>
      <c r="M30" s="12">
        <v>64632.06</v>
      </c>
      <c r="N30" s="12">
        <v>67662.28</v>
      </c>
      <c r="O30" s="12">
        <v>72609.919999999998</v>
      </c>
      <c r="P30" s="12">
        <v>75220.12</v>
      </c>
      <c r="Q30" s="12">
        <v>75937.62</v>
      </c>
      <c r="R30" s="12">
        <v>76998.69</v>
      </c>
      <c r="S30" s="12">
        <v>77908.61</v>
      </c>
      <c r="T30" s="12">
        <v>80299.11</v>
      </c>
      <c r="U30" s="12">
        <v>77807.44</v>
      </c>
      <c r="V30" s="12">
        <v>78561.399999999994</v>
      </c>
      <c r="W30" s="12">
        <v>80130.59</v>
      </c>
      <c r="X30" s="12">
        <v>79801.77</v>
      </c>
      <c r="Y30" s="12">
        <v>81259.31</v>
      </c>
      <c r="Z30" s="12">
        <v>83835.710000000006</v>
      </c>
      <c r="AA30" s="12">
        <v>84421.45</v>
      </c>
      <c r="AB30" s="12">
        <v>88987.66</v>
      </c>
      <c r="AC30" s="12">
        <v>93311.26</v>
      </c>
      <c r="AD30" s="12">
        <v>92869.61</v>
      </c>
      <c r="AE30" s="12">
        <v>92979.55</v>
      </c>
      <c r="AF30" s="12">
        <v>95756.47</v>
      </c>
      <c r="AG30" s="12">
        <v>91525.69</v>
      </c>
      <c r="AH30" s="12">
        <v>93653.56</v>
      </c>
      <c r="AI30" s="12">
        <v>92735.88</v>
      </c>
      <c r="AJ30" s="12">
        <v>92058.2</v>
      </c>
    </row>
    <row r="31" spans="2:36">
      <c r="B31" s="27" t="s">
        <v>67</v>
      </c>
      <c r="C31" s="12">
        <v>882.29</v>
      </c>
      <c r="D31" s="12">
        <v>897.64</v>
      </c>
      <c r="E31" s="12">
        <v>912.92</v>
      </c>
      <c r="F31" s="12">
        <v>984.45</v>
      </c>
      <c r="G31" s="12">
        <v>934.29</v>
      </c>
      <c r="H31" s="12">
        <v>944.23</v>
      </c>
      <c r="I31" s="12">
        <v>933.38</v>
      </c>
      <c r="J31" s="12">
        <v>929.56</v>
      </c>
      <c r="K31" s="12">
        <v>915.34</v>
      </c>
      <c r="L31" s="12">
        <v>952.47</v>
      </c>
      <c r="M31" s="12">
        <v>976</v>
      </c>
      <c r="N31" s="12">
        <v>985.68</v>
      </c>
      <c r="O31" s="12">
        <v>985.51</v>
      </c>
      <c r="P31" s="12">
        <v>1007.63</v>
      </c>
      <c r="Q31" s="12">
        <v>861.71</v>
      </c>
      <c r="R31" s="12">
        <v>813.41</v>
      </c>
      <c r="S31" s="12">
        <v>741.22</v>
      </c>
      <c r="T31" s="12">
        <v>663.92</v>
      </c>
      <c r="U31" s="12">
        <v>653.99</v>
      </c>
      <c r="V31" s="12">
        <v>576.45000000000005</v>
      </c>
      <c r="W31" s="12">
        <v>559.41999999999996</v>
      </c>
      <c r="X31" s="12">
        <v>508.91</v>
      </c>
      <c r="Y31" s="12">
        <v>511.19</v>
      </c>
      <c r="Z31" s="12">
        <v>451.17</v>
      </c>
      <c r="AA31" s="12">
        <v>377.53</v>
      </c>
      <c r="AB31" s="12">
        <v>343.89</v>
      </c>
      <c r="AC31" s="12">
        <v>300.85000000000002</v>
      </c>
      <c r="AD31" s="12">
        <v>290.89</v>
      </c>
      <c r="AE31" s="12">
        <v>289.52</v>
      </c>
      <c r="AF31" s="12">
        <v>275.07</v>
      </c>
      <c r="AG31" s="12">
        <v>242.54</v>
      </c>
      <c r="AH31" s="12">
        <v>215.73</v>
      </c>
      <c r="AI31" s="12">
        <v>180.93</v>
      </c>
      <c r="AJ31" s="12">
        <v>165.29</v>
      </c>
    </row>
    <row r="32" spans="2:36">
      <c r="B32" s="27" t="s">
        <v>68</v>
      </c>
      <c r="C32" s="12">
        <v>2457.37</v>
      </c>
      <c r="D32" s="12">
        <v>1041.31</v>
      </c>
      <c r="E32" s="12">
        <v>1145.1300000000001</v>
      </c>
      <c r="F32" s="12">
        <v>4346.25</v>
      </c>
      <c r="G32" s="12">
        <v>3700.84</v>
      </c>
      <c r="H32" s="12">
        <v>3655.74</v>
      </c>
      <c r="I32" s="12">
        <v>1974.55</v>
      </c>
      <c r="J32" s="12">
        <v>2599.81</v>
      </c>
      <c r="K32" s="12">
        <v>2218.7800000000002</v>
      </c>
      <c r="L32" s="12">
        <v>2071.73</v>
      </c>
      <c r="M32" s="12">
        <v>2767.99</v>
      </c>
      <c r="N32" s="12">
        <v>2514.2600000000002</v>
      </c>
      <c r="O32" s="12">
        <v>2920.5</v>
      </c>
      <c r="P32" s="12">
        <v>3040.57</v>
      </c>
      <c r="Q32" s="12">
        <v>2896.68</v>
      </c>
      <c r="R32" s="12">
        <v>2793.47</v>
      </c>
      <c r="S32" s="12">
        <v>2697.88</v>
      </c>
      <c r="T32" s="12">
        <v>2601.7800000000002</v>
      </c>
      <c r="U32" s="12">
        <v>2638.82</v>
      </c>
      <c r="V32" s="12">
        <v>2440.88</v>
      </c>
      <c r="W32" s="12">
        <v>2282.87</v>
      </c>
      <c r="X32" s="12">
        <v>2276.75</v>
      </c>
      <c r="Y32" s="12">
        <v>2158.61</v>
      </c>
      <c r="Z32" s="12">
        <v>1417.49</v>
      </c>
      <c r="AA32" s="12">
        <v>1016.12</v>
      </c>
      <c r="AB32" s="12">
        <v>1649.82</v>
      </c>
      <c r="AC32" s="12">
        <v>1415.5</v>
      </c>
      <c r="AD32" s="12">
        <v>1347.19</v>
      </c>
      <c r="AE32" s="12">
        <v>1027.8499999999999</v>
      </c>
      <c r="AF32" s="12">
        <v>1224.95</v>
      </c>
      <c r="AG32" s="12">
        <v>1000.52</v>
      </c>
      <c r="AH32" s="12">
        <v>1286.5899999999999</v>
      </c>
      <c r="AI32" s="12">
        <v>1381.93</v>
      </c>
      <c r="AJ32" s="12">
        <v>1370.07</v>
      </c>
    </row>
    <row r="33" spans="2:36">
      <c r="B33" s="27" t="s">
        <v>69</v>
      </c>
      <c r="C33" s="12">
        <v>451.26</v>
      </c>
      <c r="D33" s="12">
        <v>324.08</v>
      </c>
      <c r="E33" s="12">
        <v>341.07</v>
      </c>
      <c r="F33" s="12">
        <v>240.26</v>
      </c>
      <c r="G33" s="12">
        <v>332.08</v>
      </c>
      <c r="H33" s="12">
        <v>293.05</v>
      </c>
      <c r="I33" s="12">
        <v>395.89</v>
      </c>
      <c r="J33" s="12">
        <v>396.42</v>
      </c>
      <c r="K33" s="12">
        <v>468.19</v>
      </c>
      <c r="L33" s="12">
        <v>260.72000000000003</v>
      </c>
      <c r="M33" s="12">
        <v>292.77</v>
      </c>
      <c r="N33" s="12">
        <v>758.89</v>
      </c>
      <c r="O33" s="12">
        <v>350.69</v>
      </c>
      <c r="P33" s="12">
        <v>368.54</v>
      </c>
      <c r="Q33" s="12">
        <v>328.14</v>
      </c>
      <c r="R33" s="12">
        <v>335.1</v>
      </c>
      <c r="S33" s="12">
        <v>338.79</v>
      </c>
      <c r="T33" s="12">
        <v>360.31</v>
      </c>
      <c r="U33" s="12">
        <v>354.87</v>
      </c>
      <c r="V33" s="12">
        <v>388.23</v>
      </c>
      <c r="W33" s="12">
        <v>381.29</v>
      </c>
      <c r="X33" s="12">
        <v>412.51</v>
      </c>
      <c r="Y33" s="12">
        <v>402.67</v>
      </c>
      <c r="Z33" s="12">
        <v>424.58</v>
      </c>
      <c r="AA33" s="12">
        <v>473.77</v>
      </c>
      <c r="AB33" s="12">
        <v>631.47</v>
      </c>
      <c r="AC33" s="12">
        <v>786.49</v>
      </c>
      <c r="AD33" s="12">
        <v>785.1</v>
      </c>
      <c r="AE33" s="12">
        <v>488.52</v>
      </c>
      <c r="AF33" s="12">
        <v>397.58</v>
      </c>
      <c r="AG33" s="12">
        <v>132.96</v>
      </c>
      <c r="AH33" s="12">
        <v>90.51</v>
      </c>
      <c r="AI33" s="12">
        <v>67.98</v>
      </c>
      <c r="AJ33" s="12">
        <v>72.459999999999994</v>
      </c>
    </row>
    <row r="34" spans="2:36">
      <c r="B34" s="26" t="s">
        <v>37</v>
      </c>
      <c r="C34" s="12">
        <v>69343.34</v>
      </c>
      <c r="D34" s="12">
        <v>64560.44</v>
      </c>
      <c r="E34" s="12">
        <v>65990.009999999995</v>
      </c>
      <c r="F34" s="12">
        <v>59456.51</v>
      </c>
      <c r="G34" s="12">
        <v>67827.460000000006</v>
      </c>
      <c r="H34" s="12">
        <v>73901.740000000005</v>
      </c>
      <c r="I34" s="12">
        <v>78279.199999999997</v>
      </c>
      <c r="J34" s="12">
        <v>79931.240000000005</v>
      </c>
      <c r="K34" s="12">
        <v>62140.28</v>
      </c>
      <c r="L34" s="12">
        <v>72182.98</v>
      </c>
      <c r="M34" s="12">
        <v>69684.320000000007</v>
      </c>
      <c r="N34" s="12">
        <v>67652.160000000003</v>
      </c>
      <c r="O34" s="12">
        <v>67903.649999999994</v>
      </c>
      <c r="P34" s="12">
        <v>65599.31</v>
      </c>
      <c r="Q34" s="12">
        <v>61705.22</v>
      </c>
      <c r="R34" s="12">
        <v>63678.18</v>
      </c>
      <c r="S34" s="12">
        <v>59468.28</v>
      </c>
      <c r="T34" s="12">
        <v>57766.43</v>
      </c>
      <c r="U34" s="12">
        <v>56397.279999999999</v>
      </c>
      <c r="V34" s="12">
        <v>55045.78</v>
      </c>
      <c r="W34" s="12">
        <v>57908.56</v>
      </c>
      <c r="X34" s="12">
        <v>56453.3</v>
      </c>
      <c r="Y34" s="12">
        <v>54843.75</v>
      </c>
      <c r="Z34" s="12">
        <v>53757.47</v>
      </c>
      <c r="AA34" s="12">
        <v>47988.12</v>
      </c>
      <c r="AB34" s="12">
        <v>48937.86</v>
      </c>
      <c r="AC34" s="12">
        <v>50882.84</v>
      </c>
      <c r="AD34" s="12">
        <v>51964.97</v>
      </c>
      <c r="AE34" s="12">
        <v>51987.58</v>
      </c>
      <c r="AF34" s="12">
        <v>49138.8</v>
      </c>
      <c r="AG34" s="12">
        <v>47509.45</v>
      </c>
      <c r="AH34" s="12">
        <v>47249.75</v>
      </c>
      <c r="AI34" s="12">
        <v>47726.15</v>
      </c>
      <c r="AJ34" s="12">
        <v>44695.13</v>
      </c>
    </row>
    <row r="35" spans="2:36">
      <c r="B35" s="27" t="s">
        <v>70</v>
      </c>
      <c r="C35" s="12">
        <v>26662.28</v>
      </c>
      <c r="D35" s="12">
        <v>27448.48</v>
      </c>
      <c r="E35" s="12">
        <v>32077.72</v>
      </c>
      <c r="F35" s="12">
        <v>27560.26</v>
      </c>
      <c r="G35" s="12">
        <v>39231.85</v>
      </c>
      <c r="H35" s="12">
        <v>44346.51</v>
      </c>
      <c r="I35" s="12">
        <v>47189.64</v>
      </c>
      <c r="J35" s="12">
        <v>48601.35</v>
      </c>
      <c r="K35" s="12">
        <v>35283.519999999997</v>
      </c>
      <c r="L35" s="12">
        <v>38086.53</v>
      </c>
      <c r="M35" s="12">
        <v>29975.96</v>
      </c>
      <c r="N35" s="12">
        <v>25328.62</v>
      </c>
      <c r="O35" s="12">
        <v>24838.22</v>
      </c>
      <c r="P35" s="12">
        <v>24740.03</v>
      </c>
      <c r="Q35" s="12">
        <v>22739.74</v>
      </c>
      <c r="R35" s="12">
        <v>20840.59</v>
      </c>
      <c r="S35" s="12">
        <v>18288.689999999999</v>
      </c>
      <c r="T35" s="12">
        <v>19517.18</v>
      </c>
      <c r="U35" s="12">
        <v>18528.900000000001</v>
      </c>
      <c r="V35" s="12">
        <v>17877.34</v>
      </c>
      <c r="W35" s="12">
        <v>18489.810000000001</v>
      </c>
      <c r="X35" s="12">
        <v>18235.080000000002</v>
      </c>
      <c r="Y35" s="12">
        <v>17854.400000000001</v>
      </c>
      <c r="Z35" s="12">
        <v>17415.189999999999</v>
      </c>
      <c r="AA35" s="12">
        <v>15704.22</v>
      </c>
      <c r="AB35" s="12">
        <v>17504.86</v>
      </c>
      <c r="AC35" s="12">
        <v>18135.47</v>
      </c>
      <c r="AD35" s="12">
        <v>18654.150000000001</v>
      </c>
      <c r="AE35" s="12">
        <v>17658.97</v>
      </c>
      <c r="AF35" s="12">
        <v>15917.66</v>
      </c>
      <c r="AG35" s="12">
        <v>13338.73</v>
      </c>
      <c r="AH35" s="12">
        <v>13243</v>
      </c>
      <c r="AI35" s="12">
        <v>13581.83</v>
      </c>
      <c r="AJ35" s="12">
        <v>13550.18</v>
      </c>
    </row>
    <row r="36" spans="2:36">
      <c r="B36" s="27" t="s">
        <v>71</v>
      </c>
      <c r="C36" s="12">
        <v>36949.870000000003</v>
      </c>
      <c r="D36" s="12">
        <v>31545.15</v>
      </c>
      <c r="E36" s="12">
        <v>27685.34</v>
      </c>
      <c r="F36" s="12">
        <v>24287.54</v>
      </c>
      <c r="G36" s="12">
        <v>20552.57</v>
      </c>
      <c r="H36" s="12">
        <v>21003.13</v>
      </c>
      <c r="I36" s="12">
        <v>21533.06</v>
      </c>
      <c r="J36" s="12">
        <v>20795.89</v>
      </c>
      <c r="K36" s="12">
        <v>17414.93</v>
      </c>
      <c r="L36" s="12">
        <v>23935.49</v>
      </c>
      <c r="M36" s="12">
        <v>29057.82</v>
      </c>
      <c r="N36" s="12">
        <v>30337.84</v>
      </c>
      <c r="O36" s="12">
        <v>31288.44</v>
      </c>
      <c r="P36" s="12">
        <v>30587.59</v>
      </c>
      <c r="Q36" s="12">
        <v>29785.84</v>
      </c>
      <c r="R36" s="12">
        <v>33851.08</v>
      </c>
      <c r="S36" s="12">
        <v>32495.02</v>
      </c>
      <c r="T36" s="12">
        <v>29922.21</v>
      </c>
      <c r="U36" s="12">
        <v>30609.63</v>
      </c>
      <c r="V36" s="12">
        <v>29793.57</v>
      </c>
      <c r="W36" s="12">
        <v>31851.37</v>
      </c>
      <c r="X36" s="12">
        <v>31143.89</v>
      </c>
      <c r="Y36" s="12">
        <v>30002.86</v>
      </c>
      <c r="Z36" s="12">
        <v>29194.53</v>
      </c>
      <c r="AA36" s="12">
        <v>26737.82</v>
      </c>
      <c r="AB36" s="12">
        <v>26539.64</v>
      </c>
      <c r="AC36" s="12">
        <v>28436.12</v>
      </c>
      <c r="AD36" s="12">
        <v>29329.16</v>
      </c>
      <c r="AE36" s="12">
        <v>30567.16</v>
      </c>
      <c r="AF36" s="12">
        <v>29205.79</v>
      </c>
      <c r="AG36" s="12">
        <v>29710.51</v>
      </c>
      <c r="AH36" s="12">
        <v>30027.74</v>
      </c>
      <c r="AI36" s="12">
        <v>30525.14</v>
      </c>
      <c r="AJ36" s="12">
        <v>27638.11</v>
      </c>
    </row>
    <row r="37" spans="2:36">
      <c r="B37" s="27" t="s">
        <v>72</v>
      </c>
      <c r="C37" s="12">
        <v>5731.2</v>
      </c>
      <c r="D37" s="12">
        <v>5566.81</v>
      </c>
      <c r="E37" s="12">
        <v>6226.95</v>
      </c>
      <c r="F37" s="12">
        <v>7608.72</v>
      </c>
      <c r="G37" s="12">
        <v>8043.03</v>
      </c>
      <c r="H37" s="12">
        <v>8552.11</v>
      </c>
      <c r="I37" s="12">
        <v>9556.5</v>
      </c>
      <c r="J37" s="12">
        <v>10534</v>
      </c>
      <c r="K37" s="12">
        <v>9441.83</v>
      </c>
      <c r="L37" s="12">
        <v>10160.959999999999</v>
      </c>
      <c r="M37" s="12">
        <v>10650.54</v>
      </c>
      <c r="N37" s="12">
        <v>11985.69</v>
      </c>
      <c r="O37" s="12">
        <v>11776.99</v>
      </c>
      <c r="P37" s="12">
        <v>10271.69</v>
      </c>
      <c r="Q37" s="12">
        <v>9179.64</v>
      </c>
      <c r="R37" s="12">
        <v>8986.5</v>
      </c>
      <c r="S37" s="12">
        <v>8684.58</v>
      </c>
      <c r="T37" s="12">
        <v>8327.0400000000009</v>
      </c>
      <c r="U37" s="12">
        <v>7258.74</v>
      </c>
      <c r="V37" s="12">
        <v>7374.87</v>
      </c>
      <c r="W37" s="12">
        <v>7567.38</v>
      </c>
      <c r="X37" s="12">
        <v>7074.33</v>
      </c>
      <c r="Y37" s="12">
        <v>6986.49</v>
      </c>
      <c r="Z37" s="12">
        <v>7147.75</v>
      </c>
      <c r="AA37" s="12">
        <v>5546.07</v>
      </c>
      <c r="AB37" s="12">
        <v>4893.3500000000004</v>
      </c>
      <c r="AC37" s="12">
        <v>4311.25</v>
      </c>
      <c r="AD37" s="12">
        <v>3981.66</v>
      </c>
      <c r="AE37" s="12">
        <v>3761.46</v>
      </c>
      <c r="AF37" s="12">
        <v>4015.36</v>
      </c>
      <c r="AG37" s="12">
        <v>4460.21</v>
      </c>
      <c r="AH37" s="12">
        <v>3979.01</v>
      </c>
      <c r="AI37" s="12">
        <v>3619.19</v>
      </c>
      <c r="AJ37" s="12">
        <v>3506.83</v>
      </c>
    </row>
    <row r="38" spans="2:36">
      <c r="B38" s="27" t="s">
        <v>73</v>
      </c>
      <c r="C38" s="12">
        <v>3123.64</v>
      </c>
      <c r="D38" s="12">
        <v>2956.14</v>
      </c>
      <c r="E38" s="12">
        <v>3355.38</v>
      </c>
      <c r="F38" s="12">
        <v>4414.05</v>
      </c>
      <c r="G38" s="12">
        <v>4221.33</v>
      </c>
      <c r="H38" s="12">
        <v>4466.63</v>
      </c>
      <c r="I38" s="12">
        <v>5395.33</v>
      </c>
      <c r="J38" s="12">
        <v>6146.89</v>
      </c>
      <c r="K38" s="12">
        <v>5450.1</v>
      </c>
      <c r="L38" s="12">
        <v>6632.75</v>
      </c>
      <c r="M38" s="12">
        <v>6876.68</v>
      </c>
      <c r="N38" s="12">
        <v>7810.85</v>
      </c>
      <c r="O38" s="12">
        <v>7644.51</v>
      </c>
      <c r="P38" s="12">
        <v>6270.08</v>
      </c>
      <c r="Q38" s="12">
        <v>5446.62</v>
      </c>
      <c r="R38" s="12">
        <v>5605.88</v>
      </c>
      <c r="S38" s="12">
        <v>5310.94</v>
      </c>
      <c r="T38" s="12">
        <v>5069.42</v>
      </c>
      <c r="U38" s="12">
        <v>4727</v>
      </c>
      <c r="V38" s="12">
        <v>4537.3599999999997</v>
      </c>
      <c r="W38" s="12">
        <v>4789.8</v>
      </c>
      <c r="X38" s="12">
        <v>4562.3100000000004</v>
      </c>
      <c r="Y38" s="12">
        <v>4529.1000000000004</v>
      </c>
      <c r="Z38" s="12">
        <v>4523.09</v>
      </c>
      <c r="AA38" s="12">
        <v>3128.29</v>
      </c>
      <c r="AB38" s="12">
        <v>2159.64</v>
      </c>
      <c r="AC38" s="12">
        <v>1404.89</v>
      </c>
      <c r="AD38" s="12">
        <v>1199.03</v>
      </c>
      <c r="AE38" s="12">
        <v>1208.1400000000001</v>
      </c>
      <c r="AF38" s="12">
        <v>1149.56</v>
      </c>
      <c r="AG38" s="12">
        <v>1442.13</v>
      </c>
      <c r="AH38" s="12">
        <v>1428.71</v>
      </c>
      <c r="AI38" s="12">
        <v>1300.52</v>
      </c>
      <c r="AJ38" s="12">
        <v>1170.06</v>
      </c>
    </row>
    <row r="39" spans="2:36">
      <c r="B39" s="27" t="s">
        <v>74</v>
      </c>
      <c r="C39" s="12">
        <v>2607.56</v>
      </c>
      <c r="D39" s="12">
        <v>2610.6799999999998</v>
      </c>
      <c r="E39" s="12">
        <v>2871.57</v>
      </c>
      <c r="F39" s="12">
        <v>3194.66</v>
      </c>
      <c r="G39" s="12">
        <v>3821.7</v>
      </c>
      <c r="H39" s="12">
        <v>4085.48</v>
      </c>
      <c r="I39" s="12">
        <v>4161.17</v>
      </c>
      <c r="J39" s="12">
        <v>4387.1099999999997</v>
      </c>
      <c r="K39" s="12">
        <v>3991.73</v>
      </c>
      <c r="L39" s="12">
        <v>3528.21</v>
      </c>
      <c r="M39" s="12">
        <v>3773.85</v>
      </c>
      <c r="N39" s="12">
        <v>4174.84</v>
      </c>
      <c r="O39" s="12">
        <v>4132.4799999999996</v>
      </c>
      <c r="P39" s="12">
        <v>4001.61</v>
      </c>
      <c r="Q39" s="12">
        <v>3733.02</v>
      </c>
      <c r="R39" s="12">
        <v>3380.63</v>
      </c>
      <c r="S39" s="12">
        <v>3373.64</v>
      </c>
      <c r="T39" s="12">
        <v>3257.62</v>
      </c>
      <c r="U39" s="12">
        <v>2531.73</v>
      </c>
      <c r="V39" s="12">
        <v>2837.51</v>
      </c>
      <c r="W39" s="12">
        <v>2777.58</v>
      </c>
      <c r="X39" s="12">
        <v>2512.02</v>
      </c>
      <c r="Y39" s="12">
        <v>2457.39</v>
      </c>
      <c r="Z39" s="12">
        <v>2624.67</v>
      </c>
      <c r="AA39" s="12">
        <v>2417.7800000000002</v>
      </c>
      <c r="AB39" s="12">
        <v>2733.72</v>
      </c>
      <c r="AC39" s="12">
        <v>2906.36</v>
      </c>
      <c r="AD39" s="12">
        <v>2782.63</v>
      </c>
      <c r="AE39" s="12">
        <v>2553.3200000000002</v>
      </c>
      <c r="AF39" s="12">
        <v>2865.8</v>
      </c>
      <c r="AG39" s="12">
        <v>3018.07</v>
      </c>
      <c r="AH39" s="12">
        <v>2550.3000000000002</v>
      </c>
      <c r="AI39" s="12">
        <v>2318.67</v>
      </c>
      <c r="AJ39" s="12">
        <v>2336.77</v>
      </c>
    </row>
    <row r="40" spans="2:36">
      <c r="B40" s="26" t="s">
        <v>38</v>
      </c>
      <c r="C40" s="12">
        <v>182.31</v>
      </c>
      <c r="D40" s="12">
        <v>4676.04</v>
      </c>
      <c r="E40" s="12">
        <v>2954.36</v>
      </c>
      <c r="F40" s="12">
        <v>3162.19</v>
      </c>
      <c r="G40" s="12">
        <v>2850.62</v>
      </c>
      <c r="H40" s="12">
        <v>2824.46</v>
      </c>
      <c r="I40" s="12">
        <v>3082.23</v>
      </c>
      <c r="J40" s="12">
        <v>2933.8</v>
      </c>
      <c r="K40" s="12">
        <v>2664.75</v>
      </c>
      <c r="L40" s="12">
        <v>2736.23</v>
      </c>
      <c r="M40" s="12">
        <v>2412.02</v>
      </c>
      <c r="N40" s="12">
        <v>3122.54</v>
      </c>
      <c r="O40" s="12">
        <v>2842.18</v>
      </c>
      <c r="P40" s="12">
        <v>3326.82</v>
      </c>
      <c r="Q40" s="12">
        <v>3154.58</v>
      </c>
      <c r="R40" s="12">
        <v>3233.76</v>
      </c>
      <c r="S40" s="12">
        <v>2854.89</v>
      </c>
      <c r="T40" s="12">
        <v>2911.19</v>
      </c>
      <c r="U40" s="12">
        <v>2605.15</v>
      </c>
      <c r="V40" s="12">
        <v>2881.07</v>
      </c>
      <c r="W40" s="12">
        <v>2952.18</v>
      </c>
      <c r="X40" s="12">
        <v>2885</v>
      </c>
      <c r="Y40" s="12">
        <v>2933.29</v>
      </c>
      <c r="Z40" s="12">
        <v>2987.48</v>
      </c>
      <c r="AA40" s="12">
        <v>2867.43</v>
      </c>
      <c r="AB40" s="12">
        <v>3105.89</v>
      </c>
      <c r="AC40" s="12">
        <v>3080.79</v>
      </c>
      <c r="AD40" s="12">
        <v>3203.49</v>
      </c>
      <c r="AE40" s="12">
        <v>3129.45</v>
      </c>
      <c r="AF40" s="12">
        <v>2954.83</v>
      </c>
      <c r="AG40" s="12">
        <v>2920.49</v>
      </c>
      <c r="AH40" s="12">
        <v>2932.13</v>
      </c>
      <c r="AI40" s="12">
        <v>3028.26</v>
      </c>
      <c r="AJ40" s="12">
        <v>3004.08</v>
      </c>
    </row>
    <row r="41" spans="2:36">
      <c r="B41" s="25" t="s">
        <v>39</v>
      </c>
      <c r="C41" s="12">
        <v>186.98</v>
      </c>
      <c r="D41" s="12">
        <v>163.57</v>
      </c>
      <c r="E41" s="12">
        <v>130.07</v>
      </c>
      <c r="F41" s="12">
        <v>102.7</v>
      </c>
      <c r="G41" s="12">
        <v>80.98</v>
      </c>
      <c r="H41" s="12">
        <v>62.39</v>
      </c>
      <c r="I41" s="12">
        <v>54.14</v>
      </c>
      <c r="J41" s="12">
        <v>49.47</v>
      </c>
      <c r="K41" s="12">
        <v>47.85</v>
      </c>
      <c r="L41" s="12">
        <v>46.19</v>
      </c>
      <c r="M41" s="12">
        <v>45.8</v>
      </c>
      <c r="N41" s="12">
        <v>42.24</v>
      </c>
      <c r="O41" s="12">
        <v>36.89</v>
      </c>
      <c r="P41" s="12">
        <v>36.72</v>
      </c>
      <c r="Q41" s="12">
        <v>44.57</v>
      </c>
      <c r="R41" s="12">
        <v>56.32</v>
      </c>
      <c r="S41" s="12">
        <v>53.36</v>
      </c>
      <c r="T41" s="12">
        <v>48.86</v>
      </c>
      <c r="U41" s="12">
        <v>42.35</v>
      </c>
      <c r="V41" s="12">
        <v>51.88</v>
      </c>
      <c r="W41" s="12">
        <v>49.46</v>
      </c>
      <c r="X41" s="12">
        <v>45.17</v>
      </c>
      <c r="Y41" s="12">
        <v>44.53</v>
      </c>
      <c r="Z41" s="12">
        <v>42.81</v>
      </c>
      <c r="AA41" s="12">
        <v>35.35</v>
      </c>
      <c r="AB41" s="12">
        <v>29.22</v>
      </c>
      <c r="AC41" s="12">
        <v>27.34</v>
      </c>
      <c r="AD41" s="12">
        <v>33.47</v>
      </c>
      <c r="AE41" s="12">
        <v>28.83</v>
      </c>
      <c r="AF41" s="12">
        <v>25.28</v>
      </c>
      <c r="AG41" s="12">
        <v>21.05</v>
      </c>
      <c r="AH41" s="12">
        <v>13.87</v>
      </c>
      <c r="AI41" s="12">
        <v>10.63</v>
      </c>
      <c r="AJ41" s="12">
        <v>8.51</v>
      </c>
    </row>
    <row r="42" spans="2:36">
      <c r="B42" s="26" t="s">
        <v>75</v>
      </c>
      <c r="C42" s="12">
        <v>186.91</v>
      </c>
      <c r="D42" s="12">
        <v>163.47</v>
      </c>
      <c r="E42" s="12">
        <v>129.94</v>
      </c>
      <c r="F42" s="12">
        <v>102.51</v>
      </c>
      <c r="G42" s="12">
        <v>80.75</v>
      </c>
      <c r="H42" s="12">
        <v>62.1</v>
      </c>
      <c r="I42" s="12">
        <v>53.75</v>
      </c>
      <c r="J42" s="12">
        <v>48.98</v>
      </c>
      <c r="K42" s="12">
        <v>47.34</v>
      </c>
      <c r="L42" s="12">
        <v>45.56</v>
      </c>
      <c r="M42" s="12">
        <v>45.05</v>
      </c>
      <c r="N42" s="12">
        <v>41.44</v>
      </c>
      <c r="O42" s="12">
        <v>36.020000000000003</v>
      </c>
      <c r="P42" s="12">
        <v>35.799999999999997</v>
      </c>
      <c r="Q42" s="12">
        <v>34.64</v>
      </c>
      <c r="R42" s="12">
        <v>30.74</v>
      </c>
      <c r="S42" s="12">
        <v>30.66</v>
      </c>
      <c r="T42" s="12">
        <v>31.33</v>
      </c>
      <c r="U42" s="12">
        <v>30.1</v>
      </c>
      <c r="V42" s="12">
        <v>27.35</v>
      </c>
      <c r="W42" s="12">
        <v>22.62</v>
      </c>
      <c r="X42" s="12">
        <v>22.62</v>
      </c>
      <c r="Y42" s="12">
        <v>22.73</v>
      </c>
      <c r="Z42" s="12">
        <v>19.7</v>
      </c>
      <c r="AA42" s="12">
        <v>18.98</v>
      </c>
      <c r="AB42" s="12">
        <v>19.149999999999999</v>
      </c>
      <c r="AC42" s="12">
        <v>18.739999999999998</v>
      </c>
      <c r="AD42" s="12">
        <v>16.12</v>
      </c>
      <c r="AE42" s="12">
        <v>13.05</v>
      </c>
      <c r="AF42" s="12">
        <v>11.77</v>
      </c>
      <c r="AG42" s="12">
        <v>11.06</v>
      </c>
      <c r="AH42" s="12">
        <v>9.75</v>
      </c>
      <c r="AI42" s="12">
        <v>8.9</v>
      </c>
      <c r="AJ42" s="12">
        <v>7.01</v>
      </c>
    </row>
    <row r="43" spans="2:36">
      <c r="B43" s="26" t="s">
        <v>76</v>
      </c>
      <c r="C43" s="12">
        <v>7.0000000000000007E-2</v>
      </c>
      <c r="D43" s="12">
        <v>0.1</v>
      </c>
      <c r="E43" s="12">
        <v>0.13</v>
      </c>
      <c r="F43" s="12">
        <v>0.18</v>
      </c>
      <c r="G43" s="12">
        <v>0.23</v>
      </c>
      <c r="H43" s="12">
        <v>0.3</v>
      </c>
      <c r="I43" s="12">
        <v>0.39</v>
      </c>
      <c r="J43" s="12">
        <v>0.49</v>
      </c>
      <c r="K43" s="12">
        <v>0.51</v>
      </c>
      <c r="L43" s="12">
        <v>0.63</v>
      </c>
      <c r="M43" s="12">
        <v>0.75</v>
      </c>
      <c r="N43" s="12">
        <v>0.8</v>
      </c>
      <c r="O43" s="12">
        <v>0.87</v>
      </c>
      <c r="P43" s="12">
        <v>0.92</v>
      </c>
      <c r="Q43" s="12">
        <v>9.93</v>
      </c>
      <c r="R43" s="12">
        <v>25.58</v>
      </c>
      <c r="S43" s="12">
        <v>22.7</v>
      </c>
      <c r="T43" s="12">
        <v>17.53</v>
      </c>
      <c r="U43" s="12">
        <v>12.24</v>
      </c>
      <c r="V43" s="12">
        <v>24.54</v>
      </c>
      <c r="W43" s="12">
        <v>26.83</v>
      </c>
      <c r="X43" s="12">
        <v>22.54</v>
      </c>
      <c r="Y43" s="12">
        <v>21.8</v>
      </c>
      <c r="Z43" s="12">
        <v>23.1</v>
      </c>
      <c r="AA43" s="12">
        <v>16.38</v>
      </c>
      <c r="AB43" s="12">
        <v>10.07</v>
      </c>
      <c r="AC43" s="12">
        <v>8.6</v>
      </c>
      <c r="AD43" s="12">
        <v>17.350000000000001</v>
      </c>
      <c r="AE43" s="12">
        <v>15.78</v>
      </c>
      <c r="AF43" s="12">
        <v>13.51</v>
      </c>
      <c r="AG43" s="12">
        <v>9.99</v>
      </c>
      <c r="AH43" s="12">
        <v>4.12</v>
      </c>
      <c r="AI43" s="12">
        <v>1.72</v>
      </c>
      <c r="AJ43" s="12">
        <v>1.5</v>
      </c>
    </row>
    <row r="44" spans="2:36">
      <c r="B44" s="27" t="s">
        <v>77</v>
      </c>
      <c r="C44" s="12">
        <v>0.02</v>
      </c>
      <c r="D44" s="12">
        <v>0.03</v>
      </c>
      <c r="E44" s="12">
        <v>0.04</v>
      </c>
      <c r="F44" s="12">
        <v>0.04</v>
      </c>
      <c r="G44" s="12">
        <v>0.04</v>
      </c>
      <c r="H44" s="12">
        <v>0.05</v>
      </c>
      <c r="I44" s="12">
        <v>0.06</v>
      </c>
      <c r="J44" s="12">
        <v>7.0000000000000007E-2</v>
      </c>
      <c r="K44" s="12">
        <v>0.06</v>
      </c>
      <c r="L44" s="12">
        <v>7.0000000000000007E-2</v>
      </c>
      <c r="M44" s="12">
        <v>7.0000000000000007E-2</v>
      </c>
      <c r="N44" s="12">
        <v>7.0000000000000007E-2</v>
      </c>
      <c r="O44" s="12">
        <v>0.06</v>
      </c>
      <c r="P44" s="12">
        <v>0.06</v>
      </c>
      <c r="Q44" s="12">
        <v>0.06</v>
      </c>
      <c r="R44" s="12">
        <v>7.0000000000000007E-2</v>
      </c>
      <c r="S44" s="12">
        <v>7.0000000000000007E-2</v>
      </c>
      <c r="T44" s="12">
        <v>7.0000000000000007E-2</v>
      </c>
      <c r="U44" s="12">
        <v>7.0000000000000007E-2</v>
      </c>
      <c r="V44" s="12">
        <v>7.0000000000000007E-2</v>
      </c>
      <c r="W44" s="12">
        <v>7.0000000000000007E-2</v>
      </c>
      <c r="X44" s="12">
        <v>7.0000000000000007E-2</v>
      </c>
      <c r="Y44" s="12">
        <v>7.0000000000000007E-2</v>
      </c>
      <c r="Z44" s="12">
        <v>7.0000000000000007E-2</v>
      </c>
      <c r="AA44" s="12">
        <v>7.0000000000000007E-2</v>
      </c>
      <c r="AB44" s="12">
        <v>0.08</v>
      </c>
      <c r="AC44" s="12">
        <v>0.08</v>
      </c>
      <c r="AD44" s="12">
        <v>0.09</v>
      </c>
      <c r="AE44" s="12">
        <v>0.09</v>
      </c>
      <c r="AF44" s="12">
        <v>0.08</v>
      </c>
      <c r="AG44" s="12">
        <v>0.08</v>
      </c>
      <c r="AH44" s="12">
        <v>7.0000000000000007E-2</v>
      </c>
      <c r="AI44" s="12">
        <v>0.08</v>
      </c>
      <c r="AJ44" s="12">
        <v>0.08</v>
      </c>
    </row>
    <row r="45" spans="2:36">
      <c r="B45" s="27" t="s">
        <v>78</v>
      </c>
      <c r="C45" s="12">
        <v>0.04</v>
      </c>
      <c r="D45" s="12">
        <v>0.06</v>
      </c>
      <c r="E45" s="12">
        <v>0.08</v>
      </c>
      <c r="F45" s="12">
        <v>0.12</v>
      </c>
      <c r="G45" s="12">
        <v>0.16</v>
      </c>
      <c r="H45" s="12">
        <v>0.22</v>
      </c>
      <c r="I45" s="12">
        <v>0.3</v>
      </c>
      <c r="J45" s="12">
        <v>0.38</v>
      </c>
      <c r="K45" s="12">
        <v>0.41</v>
      </c>
      <c r="L45" s="12">
        <v>0.51</v>
      </c>
      <c r="M45" s="12">
        <v>0.62</v>
      </c>
      <c r="N45" s="12">
        <v>0.68</v>
      </c>
      <c r="O45" s="12">
        <v>0.74</v>
      </c>
      <c r="P45" s="12">
        <v>0.78</v>
      </c>
      <c r="Q45" s="12">
        <v>0.82</v>
      </c>
      <c r="R45" s="12">
        <v>0.93</v>
      </c>
      <c r="S45" s="12">
        <v>0.92</v>
      </c>
      <c r="T45" s="12">
        <v>0.95</v>
      </c>
      <c r="U45" s="12">
        <v>1.01</v>
      </c>
      <c r="V45" s="12">
        <v>1.02</v>
      </c>
      <c r="W45" s="12">
        <v>1.1599999999999999</v>
      </c>
      <c r="X45" s="12">
        <v>1.22</v>
      </c>
      <c r="Y45" s="12">
        <v>1.33</v>
      </c>
      <c r="Z45" s="12">
        <v>1.3</v>
      </c>
      <c r="AA45" s="12">
        <v>1.2</v>
      </c>
      <c r="AB45" s="12">
        <v>1.1100000000000001</v>
      </c>
      <c r="AC45" s="12">
        <v>1.1399999999999999</v>
      </c>
      <c r="AD45" s="12">
        <v>1.23</v>
      </c>
      <c r="AE45" s="12">
        <v>1.34</v>
      </c>
      <c r="AF45" s="12">
        <v>1.26</v>
      </c>
      <c r="AG45" s="12">
        <v>1.23</v>
      </c>
      <c r="AH45" s="12">
        <v>1.3</v>
      </c>
      <c r="AI45" s="12">
        <v>1.36</v>
      </c>
      <c r="AJ45" s="12">
        <v>1.25</v>
      </c>
    </row>
    <row r="46" spans="2:36">
      <c r="B46" s="27" t="s">
        <v>79</v>
      </c>
      <c r="C46" s="12">
        <v>0.01</v>
      </c>
      <c r="D46" s="12">
        <v>0.01</v>
      </c>
      <c r="E46" s="12">
        <v>0.01</v>
      </c>
      <c r="F46" s="12">
        <v>0.02</v>
      </c>
      <c r="G46" s="12">
        <v>0.02</v>
      </c>
      <c r="H46" s="12">
        <v>0.03</v>
      </c>
      <c r="I46" s="12">
        <v>0.03</v>
      </c>
      <c r="J46" s="12">
        <v>0.04</v>
      </c>
      <c r="K46" s="12">
        <v>0.04</v>
      </c>
      <c r="L46" s="12">
        <v>0.05</v>
      </c>
      <c r="M46" s="12">
        <v>0.06</v>
      </c>
      <c r="N46" s="12">
        <v>0.06</v>
      </c>
      <c r="O46" s="12">
        <v>7.0000000000000007E-2</v>
      </c>
      <c r="P46" s="12">
        <v>7.0000000000000007E-2</v>
      </c>
      <c r="Q46" s="12">
        <v>9.0399999999999991</v>
      </c>
      <c r="R46" s="12">
        <v>24.59</v>
      </c>
      <c r="S46" s="12">
        <v>21.71</v>
      </c>
      <c r="T46" s="12">
        <v>16.52</v>
      </c>
      <c r="U46" s="12">
        <v>11.17</v>
      </c>
      <c r="V46" s="12">
        <v>23.45</v>
      </c>
      <c r="W46" s="12">
        <v>25.6</v>
      </c>
      <c r="X46" s="12">
        <v>21.25</v>
      </c>
      <c r="Y46" s="12">
        <v>20.399999999999999</v>
      </c>
      <c r="Z46" s="12">
        <v>21.73</v>
      </c>
      <c r="AA46" s="12">
        <v>15.1</v>
      </c>
      <c r="AB46" s="12">
        <v>8.8800000000000008</v>
      </c>
      <c r="AC46" s="12">
        <v>7.37</v>
      </c>
      <c r="AD46" s="12">
        <v>16.03</v>
      </c>
      <c r="AE46" s="12">
        <v>14.36</v>
      </c>
      <c r="AF46" s="12">
        <v>12.17</v>
      </c>
      <c r="AG46" s="12">
        <v>8.68</v>
      </c>
      <c r="AH46" s="12">
        <v>2.74</v>
      </c>
      <c r="AI46" s="12">
        <v>0.28999999999999998</v>
      </c>
      <c r="AJ46" s="12">
        <v>0.17</v>
      </c>
    </row>
    <row r="47" spans="2:36">
      <c r="B47" s="25" t="s">
        <v>80</v>
      </c>
      <c r="C47" s="12" t="s">
        <v>81</v>
      </c>
      <c r="D47" s="12" t="s">
        <v>81</v>
      </c>
      <c r="E47" s="12" t="s">
        <v>81</v>
      </c>
      <c r="F47" s="12" t="s">
        <v>81</v>
      </c>
      <c r="G47" s="12" t="s">
        <v>81</v>
      </c>
      <c r="H47" s="12" t="s">
        <v>81</v>
      </c>
      <c r="I47" s="12" t="s">
        <v>81</v>
      </c>
      <c r="J47" s="12" t="s">
        <v>81</v>
      </c>
      <c r="K47" s="12" t="s">
        <v>81</v>
      </c>
      <c r="L47" s="12" t="s">
        <v>81</v>
      </c>
      <c r="M47" s="12" t="s">
        <v>81</v>
      </c>
      <c r="N47" s="12" t="s">
        <v>81</v>
      </c>
      <c r="O47" s="12" t="s">
        <v>81</v>
      </c>
      <c r="P47" s="12" t="s">
        <v>81</v>
      </c>
      <c r="Q47" s="12" t="s">
        <v>81</v>
      </c>
      <c r="R47" s="12" t="s">
        <v>81</v>
      </c>
      <c r="S47" s="12" t="s">
        <v>81</v>
      </c>
      <c r="T47" s="12" t="s">
        <v>81</v>
      </c>
      <c r="U47" s="12" t="s">
        <v>81</v>
      </c>
      <c r="V47" s="12" t="s">
        <v>81</v>
      </c>
      <c r="W47" s="12" t="s">
        <v>81</v>
      </c>
      <c r="X47" s="12" t="s">
        <v>81</v>
      </c>
      <c r="Y47" s="12" t="s">
        <v>81</v>
      </c>
      <c r="Z47" s="12" t="s">
        <v>81</v>
      </c>
      <c r="AA47" s="12" t="s">
        <v>81</v>
      </c>
      <c r="AB47" s="12" t="s">
        <v>81</v>
      </c>
      <c r="AC47" s="12" t="s">
        <v>81</v>
      </c>
      <c r="AD47" s="12" t="s">
        <v>81</v>
      </c>
      <c r="AE47" s="12" t="s">
        <v>81</v>
      </c>
      <c r="AF47" s="12" t="s">
        <v>81</v>
      </c>
      <c r="AG47" s="12" t="s">
        <v>81</v>
      </c>
      <c r="AH47" s="12" t="s">
        <v>81</v>
      </c>
      <c r="AI47" s="12" t="s">
        <v>81</v>
      </c>
      <c r="AJ47" s="12" t="s">
        <v>81</v>
      </c>
    </row>
    <row r="48" spans="2:36">
      <c r="B48" s="24" t="s">
        <v>82</v>
      </c>
      <c r="C48" s="15">
        <v>36130.019999999997</v>
      </c>
      <c r="D48" s="15">
        <v>42288.2</v>
      </c>
      <c r="E48" s="15">
        <v>48620.49</v>
      </c>
      <c r="F48" s="15">
        <v>55172.47</v>
      </c>
      <c r="G48" s="15">
        <v>58302.98</v>
      </c>
      <c r="H48" s="15">
        <v>61617.98</v>
      </c>
      <c r="I48" s="15">
        <v>63896.24</v>
      </c>
      <c r="J48" s="15">
        <v>67326.7</v>
      </c>
      <c r="K48" s="15">
        <v>61670.02</v>
      </c>
      <c r="L48" s="15">
        <v>63290.81</v>
      </c>
      <c r="M48" s="15">
        <v>65200.18</v>
      </c>
      <c r="N48" s="15">
        <v>71429.31</v>
      </c>
      <c r="O48" s="15">
        <v>72707.91</v>
      </c>
      <c r="P48" s="15">
        <v>74684.3</v>
      </c>
      <c r="Q48" s="15">
        <v>74591.149999999994</v>
      </c>
      <c r="R48" s="15">
        <v>77202.09</v>
      </c>
      <c r="S48" s="15">
        <v>78516.86</v>
      </c>
      <c r="T48" s="15">
        <v>73918.3</v>
      </c>
      <c r="U48" s="15">
        <v>76372.5</v>
      </c>
      <c r="V48" s="15">
        <v>70937.31</v>
      </c>
      <c r="W48" s="15">
        <v>73753.179999999993</v>
      </c>
      <c r="X48" s="15">
        <v>73150.09</v>
      </c>
      <c r="Y48" s="15">
        <v>73885.350000000006</v>
      </c>
      <c r="Z48" s="15">
        <v>84997.96</v>
      </c>
      <c r="AA48" s="15">
        <v>85802.66</v>
      </c>
      <c r="AB48" s="15">
        <v>89315.88</v>
      </c>
      <c r="AC48" s="15">
        <v>88278.77</v>
      </c>
      <c r="AD48" s="15">
        <v>90068.82</v>
      </c>
      <c r="AE48" s="15">
        <v>88199.75</v>
      </c>
      <c r="AF48" s="15">
        <v>86773.119999999995</v>
      </c>
      <c r="AG48" s="15">
        <v>80251.63</v>
      </c>
      <c r="AH48" s="15">
        <v>84488.14</v>
      </c>
      <c r="AI48" s="15">
        <v>82317.95</v>
      </c>
      <c r="AJ48" s="15">
        <v>80326.09</v>
      </c>
    </row>
    <row r="49" spans="2:36">
      <c r="B49" s="25" t="s">
        <v>83</v>
      </c>
      <c r="C49" s="12">
        <v>16386.71</v>
      </c>
      <c r="D49" s="12">
        <v>19523.830000000002</v>
      </c>
      <c r="E49" s="12">
        <v>21749.27</v>
      </c>
      <c r="F49" s="12">
        <v>25352.7</v>
      </c>
      <c r="G49" s="12">
        <v>27687.119999999999</v>
      </c>
      <c r="H49" s="12">
        <v>29093.200000000001</v>
      </c>
      <c r="I49" s="12">
        <v>29305.51</v>
      </c>
      <c r="J49" s="12">
        <v>30433.51</v>
      </c>
      <c r="K49" s="12">
        <v>23929.33</v>
      </c>
      <c r="L49" s="12">
        <v>24996.35</v>
      </c>
      <c r="M49" s="12">
        <v>26101.3</v>
      </c>
      <c r="N49" s="12">
        <v>27071.25</v>
      </c>
      <c r="O49" s="12">
        <v>28485.06</v>
      </c>
      <c r="P49" s="12">
        <v>29471.32</v>
      </c>
      <c r="Q49" s="12">
        <v>27768.27</v>
      </c>
      <c r="R49" s="12">
        <v>25097.93</v>
      </c>
      <c r="S49" s="12">
        <v>24905.72</v>
      </c>
      <c r="T49" s="12">
        <v>28165.27</v>
      </c>
      <c r="U49" s="12">
        <v>28819.51</v>
      </c>
      <c r="V49" s="12">
        <v>28089.119999999999</v>
      </c>
      <c r="W49" s="12">
        <v>28334.52</v>
      </c>
      <c r="X49" s="12">
        <v>29172.79</v>
      </c>
      <c r="Y49" s="12">
        <v>29364.92</v>
      </c>
      <c r="Z49" s="12">
        <v>29451.7</v>
      </c>
      <c r="AA49" s="12">
        <v>29893.4</v>
      </c>
      <c r="AB49" s="12">
        <v>30550.15</v>
      </c>
      <c r="AC49" s="12">
        <v>32196.9</v>
      </c>
      <c r="AD49" s="12">
        <v>31963.439999999999</v>
      </c>
      <c r="AE49" s="12">
        <v>30453.919999999998</v>
      </c>
      <c r="AF49" s="12">
        <v>30539.66</v>
      </c>
      <c r="AG49" s="12">
        <v>27967.39</v>
      </c>
      <c r="AH49" s="12">
        <v>29005.86</v>
      </c>
      <c r="AI49" s="12">
        <v>28421.13</v>
      </c>
      <c r="AJ49" s="12">
        <v>28027.05</v>
      </c>
    </row>
    <row r="50" spans="2:36">
      <c r="B50" s="26" t="s">
        <v>84</v>
      </c>
      <c r="C50" s="12">
        <v>15870.87</v>
      </c>
      <c r="D50" s="12">
        <v>18960.060000000001</v>
      </c>
      <c r="E50" s="12">
        <v>21126.45</v>
      </c>
      <c r="F50" s="12">
        <v>24697.88</v>
      </c>
      <c r="G50" s="12">
        <v>26837.24</v>
      </c>
      <c r="H50" s="12">
        <v>28101.72</v>
      </c>
      <c r="I50" s="12">
        <v>28305.66</v>
      </c>
      <c r="J50" s="12">
        <v>29317.11</v>
      </c>
      <c r="K50" s="12">
        <v>22876.59</v>
      </c>
      <c r="L50" s="12">
        <v>23716.89</v>
      </c>
      <c r="M50" s="12">
        <v>24753.54</v>
      </c>
      <c r="N50" s="12">
        <v>25662.76</v>
      </c>
      <c r="O50" s="12">
        <v>27104.25</v>
      </c>
      <c r="P50" s="12">
        <v>27917.99</v>
      </c>
      <c r="Q50" s="12">
        <v>26121.25</v>
      </c>
      <c r="R50" s="12">
        <v>23323.54</v>
      </c>
      <c r="S50" s="12">
        <v>23137.27</v>
      </c>
      <c r="T50" s="12">
        <v>26272.63</v>
      </c>
      <c r="U50" s="12">
        <v>26077.02</v>
      </c>
      <c r="V50" s="12">
        <v>24550.65</v>
      </c>
      <c r="W50" s="12">
        <v>24294.28</v>
      </c>
      <c r="X50" s="12">
        <v>24717.81</v>
      </c>
      <c r="Y50" s="12">
        <v>24845.98</v>
      </c>
      <c r="Z50" s="12">
        <v>25047.57</v>
      </c>
      <c r="AA50" s="12">
        <v>25409.1</v>
      </c>
      <c r="AB50" s="12">
        <v>25776.03</v>
      </c>
      <c r="AC50" s="12">
        <v>26669.1</v>
      </c>
      <c r="AD50" s="12">
        <v>26347.96</v>
      </c>
      <c r="AE50" s="12">
        <v>24699.53</v>
      </c>
      <c r="AF50" s="12">
        <v>24927.31</v>
      </c>
      <c r="AG50" s="12">
        <v>22700.5</v>
      </c>
      <c r="AH50" s="12">
        <v>23516.13</v>
      </c>
      <c r="AI50" s="12">
        <v>23227.360000000001</v>
      </c>
      <c r="AJ50" s="12">
        <v>22737.360000000001</v>
      </c>
    </row>
    <row r="51" spans="2:36">
      <c r="B51" s="26" t="s">
        <v>85</v>
      </c>
      <c r="C51" s="12">
        <v>256.81</v>
      </c>
      <c r="D51" s="12">
        <v>297.3</v>
      </c>
      <c r="E51" s="12">
        <v>321.7</v>
      </c>
      <c r="F51" s="12">
        <v>356.06</v>
      </c>
      <c r="G51" s="12">
        <v>509.39</v>
      </c>
      <c r="H51" s="12">
        <v>637.75</v>
      </c>
      <c r="I51" s="12">
        <v>635.09</v>
      </c>
      <c r="J51" s="12">
        <v>750.25</v>
      </c>
      <c r="K51" s="12">
        <v>762.23</v>
      </c>
      <c r="L51" s="12">
        <v>815.95</v>
      </c>
      <c r="M51" s="12">
        <v>803.6</v>
      </c>
      <c r="N51" s="12">
        <v>787.75</v>
      </c>
      <c r="O51" s="12">
        <v>758.82</v>
      </c>
      <c r="P51" s="12">
        <v>893.5</v>
      </c>
      <c r="Q51" s="12">
        <v>932.56</v>
      </c>
      <c r="R51" s="12">
        <v>1033.49</v>
      </c>
      <c r="S51" s="12">
        <v>1028.29</v>
      </c>
      <c r="T51" s="12">
        <v>1019.56</v>
      </c>
      <c r="U51" s="12">
        <v>1856.6</v>
      </c>
      <c r="V51" s="12">
        <v>2607.1799999999998</v>
      </c>
      <c r="W51" s="12">
        <v>2970.56</v>
      </c>
      <c r="X51" s="12">
        <v>3314.36</v>
      </c>
      <c r="Y51" s="12">
        <v>3365.5</v>
      </c>
      <c r="Z51" s="12">
        <v>3242.23</v>
      </c>
      <c r="AA51" s="12">
        <v>3287.57</v>
      </c>
      <c r="AB51" s="12">
        <v>3415.22</v>
      </c>
      <c r="AC51" s="12">
        <v>4109</v>
      </c>
      <c r="AD51" s="12">
        <v>4153.96</v>
      </c>
      <c r="AE51" s="12">
        <v>4303.18</v>
      </c>
      <c r="AF51" s="12">
        <v>4335.6000000000004</v>
      </c>
      <c r="AG51" s="12">
        <v>3978.67</v>
      </c>
      <c r="AH51" s="12">
        <v>4215.7</v>
      </c>
      <c r="AI51" s="12">
        <v>3961.71</v>
      </c>
      <c r="AJ51" s="12">
        <v>4110.2299999999996</v>
      </c>
    </row>
    <row r="52" spans="2:36">
      <c r="B52" s="26" t="s">
        <v>86</v>
      </c>
      <c r="C52" s="12">
        <v>57.38</v>
      </c>
      <c r="D52" s="12">
        <v>76.7</v>
      </c>
      <c r="E52" s="12">
        <v>86.16</v>
      </c>
      <c r="F52" s="12">
        <v>94.52</v>
      </c>
      <c r="G52" s="12">
        <v>99.29</v>
      </c>
      <c r="H52" s="12">
        <v>100.64</v>
      </c>
      <c r="I52" s="12">
        <v>111.64</v>
      </c>
      <c r="J52" s="12">
        <v>123.14</v>
      </c>
      <c r="K52" s="12">
        <v>89.05</v>
      </c>
      <c r="L52" s="12">
        <v>91.46</v>
      </c>
      <c r="M52" s="12">
        <v>109.67</v>
      </c>
      <c r="N52" s="12">
        <v>121.58</v>
      </c>
      <c r="O52" s="12">
        <v>113.6</v>
      </c>
      <c r="P52" s="12">
        <v>128.02000000000001</v>
      </c>
      <c r="Q52" s="12">
        <v>131.28</v>
      </c>
      <c r="R52" s="12">
        <v>129.47</v>
      </c>
      <c r="S52" s="12">
        <v>138.97</v>
      </c>
      <c r="T52" s="12">
        <v>136.47</v>
      </c>
      <c r="U52" s="12">
        <v>143.62</v>
      </c>
      <c r="V52" s="12">
        <v>115.58</v>
      </c>
      <c r="W52" s="12">
        <v>223.63</v>
      </c>
      <c r="X52" s="12">
        <v>240.88</v>
      </c>
      <c r="Y52" s="12">
        <v>197.29</v>
      </c>
      <c r="Z52" s="12">
        <v>211.04</v>
      </c>
      <c r="AA52" s="12">
        <v>212.71</v>
      </c>
      <c r="AB52" s="12">
        <v>226.74</v>
      </c>
      <c r="AC52" s="12">
        <v>254.02</v>
      </c>
      <c r="AD52" s="12">
        <v>248.76</v>
      </c>
      <c r="AE52" s="12">
        <v>302.58999999999997</v>
      </c>
      <c r="AF52" s="12">
        <v>272.43</v>
      </c>
      <c r="AG52" s="12">
        <v>253.47</v>
      </c>
      <c r="AH52" s="12">
        <v>255.49</v>
      </c>
      <c r="AI52" s="12">
        <v>260.47000000000003</v>
      </c>
      <c r="AJ52" s="12">
        <v>260.70999999999998</v>
      </c>
    </row>
    <row r="53" spans="2:36">
      <c r="B53" s="26" t="s">
        <v>87</v>
      </c>
      <c r="C53" s="12">
        <v>201.64</v>
      </c>
      <c r="D53" s="12">
        <v>189.77</v>
      </c>
      <c r="E53" s="12">
        <v>214.96</v>
      </c>
      <c r="F53" s="12">
        <v>204.25</v>
      </c>
      <c r="G53" s="12">
        <v>241.2</v>
      </c>
      <c r="H53" s="12">
        <v>253.08</v>
      </c>
      <c r="I53" s="12">
        <v>253.12</v>
      </c>
      <c r="J53" s="12">
        <v>243</v>
      </c>
      <c r="K53" s="12">
        <v>201.46</v>
      </c>
      <c r="L53" s="12">
        <v>372.06</v>
      </c>
      <c r="M53" s="12">
        <v>434.49</v>
      </c>
      <c r="N53" s="12">
        <v>499.16</v>
      </c>
      <c r="O53" s="12">
        <v>508.39</v>
      </c>
      <c r="P53" s="12">
        <v>531.80999999999995</v>
      </c>
      <c r="Q53" s="12">
        <v>583.17999999999995</v>
      </c>
      <c r="R53" s="12">
        <v>611.42999999999995</v>
      </c>
      <c r="S53" s="12">
        <v>601.17999999999995</v>
      </c>
      <c r="T53" s="12">
        <v>736.6</v>
      </c>
      <c r="U53" s="12">
        <v>742.27</v>
      </c>
      <c r="V53" s="12">
        <v>815.71</v>
      </c>
      <c r="W53" s="12">
        <v>846.06</v>
      </c>
      <c r="X53" s="12">
        <v>899.74</v>
      </c>
      <c r="Y53" s="12">
        <v>956.16</v>
      </c>
      <c r="Z53" s="12">
        <v>950.86</v>
      </c>
      <c r="AA53" s="12">
        <v>984.02</v>
      </c>
      <c r="AB53" s="12">
        <v>1132.1500000000001</v>
      </c>
      <c r="AC53" s="12">
        <v>1164.78</v>
      </c>
      <c r="AD53" s="12">
        <v>1212.76</v>
      </c>
      <c r="AE53" s="12">
        <v>1148.6199999999999</v>
      </c>
      <c r="AF53" s="12">
        <v>1004.33</v>
      </c>
      <c r="AG53" s="12">
        <v>1034.75</v>
      </c>
      <c r="AH53" s="12">
        <v>1018.54</v>
      </c>
      <c r="AI53" s="12">
        <v>971.58</v>
      </c>
      <c r="AJ53" s="12">
        <v>918.75</v>
      </c>
    </row>
    <row r="54" spans="2:36">
      <c r="B54" s="25" t="s">
        <v>88</v>
      </c>
      <c r="C54" s="12">
        <v>6322.1</v>
      </c>
      <c r="D54" s="12">
        <v>8135.36</v>
      </c>
      <c r="E54" s="12">
        <v>11614.17</v>
      </c>
      <c r="F54" s="12">
        <v>12715.13</v>
      </c>
      <c r="G54" s="12">
        <v>13872.33</v>
      </c>
      <c r="H54" s="12">
        <v>14553.22</v>
      </c>
      <c r="I54" s="12">
        <v>15310.34</v>
      </c>
      <c r="J54" s="12">
        <v>18209.84</v>
      </c>
      <c r="K54" s="12">
        <v>19927.240000000002</v>
      </c>
      <c r="L54" s="12">
        <v>20503.189999999999</v>
      </c>
      <c r="M54" s="12">
        <v>20107.77</v>
      </c>
      <c r="N54" s="12">
        <v>24865.26</v>
      </c>
      <c r="O54" s="12">
        <v>25155.439999999999</v>
      </c>
      <c r="P54" s="12">
        <v>25788.47</v>
      </c>
      <c r="Q54" s="12">
        <v>26811.56</v>
      </c>
      <c r="R54" s="12">
        <v>28466.45</v>
      </c>
      <c r="S54" s="12">
        <v>29764.34</v>
      </c>
      <c r="T54" s="12">
        <v>25106.65</v>
      </c>
      <c r="U54" s="12">
        <v>24551.64</v>
      </c>
      <c r="V54" s="12">
        <v>23248.97</v>
      </c>
      <c r="W54" s="12">
        <v>23628.28</v>
      </c>
      <c r="X54" s="12">
        <v>24662.46</v>
      </c>
      <c r="Y54" s="12">
        <v>26076.25</v>
      </c>
      <c r="Z54" s="12">
        <v>25496.47</v>
      </c>
      <c r="AA54" s="12">
        <v>26350.89</v>
      </c>
      <c r="AB54" s="12">
        <v>27107.23</v>
      </c>
      <c r="AC54" s="12">
        <v>29410.36</v>
      </c>
      <c r="AD54" s="12">
        <v>30575.32</v>
      </c>
      <c r="AE54" s="12">
        <v>30733.279999999999</v>
      </c>
      <c r="AF54" s="12">
        <v>30004.58</v>
      </c>
      <c r="AG54" s="12">
        <v>28551.98</v>
      </c>
      <c r="AH54" s="12">
        <v>32629.47</v>
      </c>
      <c r="AI54" s="12">
        <v>30449.21</v>
      </c>
      <c r="AJ54" s="12">
        <v>28079.15</v>
      </c>
    </row>
    <row r="55" spans="2:36">
      <c r="B55" s="26" t="s">
        <v>89</v>
      </c>
      <c r="C55" s="12" t="s">
        <v>90</v>
      </c>
      <c r="D55" s="12" t="s">
        <v>90</v>
      </c>
      <c r="E55" s="12" t="s">
        <v>90</v>
      </c>
      <c r="F55" s="12" t="s">
        <v>90</v>
      </c>
      <c r="G55" s="12" t="s">
        <v>90</v>
      </c>
      <c r="H55" s="12" t="s">
        <v>90</v>
      </c>
      <c r="I55" s="12" t="s">
        <v>90</v>
      </c>
      <c r="J55" s="12" t="s">
        <v>90</v>
      </c>
      <c r="K55" s="12" t="s">
        <v>90</v>
      </c>
      <c r="L55" s="12" t="s">
        <v>90</v>
      </c>
      <c r="M55" s="12" t="s">
        <v>90</v>
      </c>
      <c r="N55" s="12" t="s">
        <v>90</v>
      </c>
      <c r="O55" s="12" t="s">
        <v>90</v>
      </c>
      <c r="P55" s="12" t="s">
        <v>90</v>
      </c>
      <c r="Q55" s="12" t="s">
        <v>90</v>
      </c>
      <c r="R55" s="12" t="s">
        <v>90</v>
      </c>
      <c r="S55" s="12" t="s">
        <v>90</v>
      </c>
      <c r="T55" s="12" t="s">
        <v>90</v>
      </c>
      <c r="U55" s="12" t="s">
        <v>90</v>
      </c>
      <c r="V55" s="12" t="s">
        <v>90</v>
      </c>
      <c r="W55" s="12" t="s">
        <v>90</v>
      </c>
      <c r="X55" s="12" t="s">
        <v>90</v>
      </c>
      <c r="Y55" s="12" t="s">
        <v>90</v>
      </c>
      <c r="Z55" s="12" t="s">
        <v>90</v>
      </c>
      <c r="AA55" s="12" t="s">
        <v>90</v>
      </c>
      <c r="AB55" s="12" t="s">
        <v>90</v>
      </c>
      <c r="AC55" s="12" t="s">
        <v>90</v>
      </c>
      <c r="AD55" s="12" t="s">
        <v>90</v>
      </c>
      <c r="AE55" s="12" t="s">
        <v>90</v>
      </c>
      <c r="AF55" s="12" t="s">
        <v>90</v>
      </c>
      <c r="AG55" s="12" t="s">
        <v>90</v>
      </c>
      <c r="AH55" s="12" t="s">
        <v>90</v>
      </c>
      <c r="AI55" s="12" t="s">
        <v>90</v>
      </c>
      <c r="AJ55" s="12" t="s">
        <v>90</v>
      </c>
    </row>
    <row r="56" spans="2:36">
      <c r="B56" s="26" t="s">
        <v>91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</row>
    <row r="57" spans="2:36">
      <c r="B57" s="26" t="s">
        <v>92</v>
      </c>
      <c r="C57" s="12" t="s">
        <v>81</v>
      </c>
      <c r="D57" s="12" t="s">
        <v>81</v>
      </c>
      <c r="E57" s="12" t="s">
        <v>81</v>
      </c>
      <c r="F57" s="12" t="s">
        <v>81</v>
      </c>
      <c r="G57" s="12" t="s">
        <v>81</v>
      </c>
      <c r="H57" s="12" t="s">
        <v>81</v>
      </c>
      <c r="I57" s="12" t="s">
        <v>81</v>
      </c>
      <c r="J57" s="12" t="s">
        <v>81</v>
      </c>
      <c r="K57" s="12" t="s">
        <v>81</v>
      </c>
      <c r="L57" s="12" t="s">
        <v>81</v>
      </c>
      <c r="M57" s="12" t="s">
        <v>81</v>
      </c>
      <c r="N57" s="12" t="s">
        <v>81</v>
      </c>
      <c r="O57" s="12" t="s">
        <v>81</v>
      </c>
      <c r="P57" s="12" t="s">
        <v>81</v>
      </c>
      <c r="Q57" s="12" t="s">
        <v>81</v>
      </c>
      <c r="R57" s="12" t="s">
        <v>81</v>
      </c>
      <c r="S57" s="12" t="s">
        <v>81</v>
      </c>
      <c r="T57" s="12" t="s">
        <v>81</v>
      </c>
      <c r="U57" s="12" t="s">
        <v>81</v>
      </c>
      <c r="V57" s="12" t="s">
        <v>81</v>
      </c>
      <c r="W57" s="12" t="s">
        <v>81</v>
      </c>
      <c r="X57" s="12" t="s">
        <v>81</v>
      </c>
      <c r="Y57" s="12" t="s">
        <v>81</v>
      </c>
      <c r="Z57" s="12" t="s">
        <v>81</v>
      </c>
      <c r="AA57" s="12" t="s">
        <v>81</v>
      </c>
      <c r="AB57" s="12" t="s">
        <v>81</v>
      </c>
      <c r="AC57" s="12" t="s">
        <v>81</v>
      </c>
      <c r="AD57" s="12" t="s">
        <v>81</v>
      </c>
      <c r="AE57" s="12" t="s">
        <v>81</v>
      </c>
      <c r="AF57" s="12" t="s">
        <v>81</v>
      </c>
      <c r="AG57" s="12" t="s">
        <v>81</v>
      </c>
      <c r="AH57" s="12" t="s">
        <v>81</v>
      </c>
      <c r="AI57" s="12" t="s">
        <v>81</v>
      </c>
      <c r="AJ57" s="12" t="s">
        <v>81</v>
      </c>
    </row>
    <row r="58" spans="2:36">
      <c r="B58" s="26" t="s">
        <v>93</v>
      </c>
      <c r="C58" s="12" t="s">
        <v>81</v>
      </c>
      <c r="D58" s="12" t="s">
        <v>81</v>
      </c>
      <c r="E58" s="12" t="s">
        <v>81</v>
      </c>
      <c r="F58" s="12" t="s">
        <v>81</v>
      </c>
      <c r="G58" s="12" t="s">
        <v>81</v>
      </c>
      <c r="H58" s="12" t="s">
        <v>81</v>
      </c>
      <c r="I58" s="12" t="s">
        <v>81</v>
      </c>
      <c r="J58" s="12" t="s">
        <v>81</v>
      </c>
      <c r="K58" s="12" t="s">
        <v>81</v>
      </c>
      <c r="L58" s="12" t="s">
        <v>81</v>
      </c>
      <c r="M58" s="12" t="s">
        <v>81</v>
      </c>
      <c r="N58" s="12" t="s">
        <v>81</v>
      </c>
      <c r="O58" s="12" t="s">
        <v>81</v>
      </c>
      <c r="P58" s="12" t="s">
        <v>81</v>
      </c>
      <c r="Q58" s="12" t="s">
        <v>81</v>
      </c>
      <c r="R58" s="12" t="s">
        <v>81</v>
      </c>
      <c r="S58" s="12" t="s">
        <v>81</v>
      </c>
      <c r="T58" s="12" t="s">
        <v>81</v>
      </c>
      <c r="U58" s="12" t="s">
        <v>81</v>
      </c>
      <c r="V58" s="12" t="s">
        <v>81</v>
      </c>
      <c r="W58" s="12" t="s">
        <v>81</v>
      </c>
      <c r="X58" s="12" t="s">
        <v>81</v>
      </c>
      <c r="Y58" s="12" t="s">
        <v>81</v>
      </c>
      <c r="Z58" s="12" t="s">
        <v>81</v>
      </c>
      <c r="AA58" s="12" t="s">
        <v>81</v>
      </c>
      <c r="AB58" s="12" t="s">
        <v>81</v>
      </c>
      <c r="AC58" s="12" t="s">
        <v>81</v>
      </c>
      <c r="AD58" s="12" t="s">
        <v>81</v>
      </c>
      <c r="AE58" s="12" t="s">
        <v>81</v>
      </c>
      <c r="AF58" s="12" t="s">
        <v>81</v>
      </c>
      <c r="AG58" s="12" t="s">
        <v>81</v>
      </c>
      <c r="AH58" s="12" t="s">
        <v>81</v>
      </c>
      <c r="AI58" s="12" t="s">
        <v>81</v>
      </c>
      <c r="AJ58" s="12" t="s">
        <v>81</v>
      </c>
    </row>
    <row r="59" spans="2:36">
      <c r="B59" s="26" t="s">
        <v>94</v>
      </c>
      <c r="C59" s="12" t="s">
        <v>95</v>
      </c>
      <c r="D59" s="12" t="s">
        <v>95</v>
      </c>
      <c r="E59" s="12" t="s">
        <v>95</v>
      </c>
      <c r="F59" s="12" t="s">
        <v>95</v>
      </c>
      <c r="G59" s="12" t="s">
        <v>95</v>
      </c>
      <c r="H59" s="12" t="s">
        <v>95</v>
      </c>
      <c r="I59" s="12" t="s">
        <v>95</v>
      </c>
      <c r="J59" s="12" t="s">
        <v>95</v>
      </c>
      <c r="K59" s="12" t="s">
        <v>95</v>
      </c>
      <c r="L59" s="12" t="s">
        <v>95</v>
      </c>
      <c r="M59" s="12" t="s">
        <v>95</v>
      </c>
      <c r="N59" s="12" t="s">
        <v>95</v>
      </c>
      <c r="O59" s="12" t="s">
        <v>95</v>
      </c>
      <c r="P59" s="12" t="s">
        <v>95</v>
      </c>
      <c r="Q59" s="12" t="s">
        <v>95</v>
      </c>
      <c r="R59" s="12" t="s">
        <v>95</v>
      </c>
      <c r="S59" s="12" t="s">
        <v>95</v>
      </c>
      <c r="T59" s="12" t="s">
        <v>95</v>
      </c>
      <c r="U59" s="12" t="s">
        <v>95</v>
      </c>
      <c r="V59" s="12" t="s">
        <v>95</v>
      </c>
      <c r="W59" s="12" t="s">
        <v>95</v>
      </c>
      <c r="X59" s="12" t="s">
        <v>95</v>
      </c>
      <c r="Y59" s="12" t="s">
        <v>95</v>
      </c>
      <c r="Z59" s="12" t="s">
        <v>95</v>
      </c>
      <c r="AA59" s="12" t="s">
        <v>95</v>
      </c>
      <c r="AB59" s="12" t="s">
        <v>95</v>
      </c>
      <c r="AC59" s="12" t="s">
        <v>95</v>
      </c>
      <c r="AD59" s="12" t="s">
        <v>95</v>
      </c>
      <c r="AE59" s="12" t="s">
        <v>95</v>
      </c>
      <c r="AF59" s="12" t="s">
        <v>95</v>
      </c>
      <c r="AG59" s="12" t="s">
        <v>95</v>
      </c>
      <c r="AH59" s="12" t="s">
        <v>95</v>
      </c>
      <c r="AI59" s="12" t="s">
        <v>95</v>
      </c>
      <c r="AJ59" s="12" t="s">
        <v>95</v>
      </c>
    </row>
    <row r="60" spans="2:36">
      <c r="B60" s="26" t="s">
        <v>96</v>
      </c>
      <c r="C60" s="12" t="s">
        <v>81</v>
      </c>
      <c r="D60" s="12" t="s">
        <v>81</v>
      </c>
      <c r="E60" s="12" t="s">
        <v>81</v>
      </c>
      <c r="F60" s="12" t="s">
        <v>81</v>
      </c>
      <c r="G60" s="12" t="s">
        <v>81</v>
      </c>
      <c r="H60" s="12" t="s">
        <v>81</v>
      </c>
      <c r="I60" s="12" t="s">
        <v>81</v>
      </c>
      <c r="J60" s="12" t="s">
        <v>81</v>
      </c>
      <c r="K60" s="12" t="s">
        <v>81</v>
      </c>
      <c r="L60" s="12" t="s">
        <v>81</v>
      </c>
      <c r="M60" s="12" t="s">
        <v>81</v>
      </c>
      <c r="N60" s="12" t="s">
        <v>81</v>
      </c>
      <c r="O60" s="12" t="s">
        <v>81</v>
      </c>
      <c r="P60" s="12" t="s">
        <v>81</v>
      </c>
      <c r="Q60" s="12" t="s">
        <v>81</v>
      </c>
      <c r="R60" s="12" t="s">
        <v>81</v>
      </c>
      <c r="S60" s="12" t="s">
        <v>81</v>
      </c>
      <c r="T60" s="12" t="s">
        <v>81</v>
      </c>
      <c r="U60" s="12" t="s">
        <v>81</v>
      </c>
      <c r="V60" s="12" t="s">
        <v>81</v>
      </c>
      <c r="W60" s="12" t="s">
        <v>81</v>
      </c>
      <c r="X60" s="12" t="s">
        <v>81</v>
      </c>
      <c r="Y60" s="12" t="s">
        <v>81</v>
      </c>
      <c r="Z60" s="12" t="s">
        <v>81</v>
      </c>
      <c r="AA60" s="12" t="s">
        <v>81</v>
      </c>
      <c r="AB60" s="12" t="s">
        <v>81</v>
      </c>
      <c r="AC60" s="12" t="s">
        <v>81</v>
      </c>
      <c r="AD60" s="12" t="s">
        <v>81</v>
      </c>
      <c r="AE60" s="12" t="s">
        <v>81</v>
      </c>
      <c r="AF60" s="12" t="s">
        <v>81</v>
      </c>
      <c r="AG60" s="12" t="s">
        <v>81</v>
      </c>
      <c r="AH60" s="12" t="s">
        <v>81</v>
      </c>
      <c r="AI60" s="12" t="s">
        <v>81</v>
      </c>
      <c r="AJ60" s="12" t="s">
        <v>81</v>
      </c>
    </row>
    <row r="61" spans="2:36">
      <c r="B61" s="26" t="s">
        <v>97</v>
      </c>
      <c r="C61" s="12" t="s">
        <v>81</v>
      </c>
      <c r="D61" s="12" t="s">
        <v>81</v>
      </c>
      <c r="E61" s="12" t="s">
        <v>81</v>
      </c>
      <c r="F61" s="12" t="s">
        <v>81</v>
      </c>
      <c r="G61" s="12" t="s">
        <v>81</v>
      </c>
      <c r="H61" s="12" t="s">
        <v>81</v>
      </c>
      <c r="I61" s="12" t="s">
        <v>81</v>
      </c>
      <c r="J61" s="12" t="s">
        <v>81</v>
      </c>
      <c r="K61" s="12" t="s">
        <v>81</v>
      </c>
      <c r="L61" s="12" t="s">
        <v>81</v>
      </c>
      <c r="M61" s="12" t="s">
        <v>81</v>
      </c>
      <c r="N61" s="12" t="s">
        <v>81</v>
      </c>
      <c r="O61" s="12" t="s">
        <v>81</v>
      </c>
      <c r="P61" s="12" t="s">
        <v>81</v>
      </c>
      <c r="Q61" s="12" t="s">
        <v>81</v>
      </c>
      <c r="R61" s="12" t="s">
        <v>81</v>
      </c>
      <c r="S61" s="12" t="s">
        <v>81</v>
      </c>
      <c r="T61" s="12" t="s">
        <v>81</v>
      </c>
      <c r="U61" s="12" t="s">
        <v>81</v>
      </c>
      <c r="V61" s="12" t="s">
        <v>81</v>
      </c>
      <c r="W61" s="12" t="s">
        <v>81</v>
      </c>
      <c r="X61" s="12" t="s">
        <v>81</v>
      </c>
      <c r="Y61" s="12" t="s">
        <v>81</v>
      </c>
      <c r="Z61" s="12" t="s">
        <v>81</v>
      </c>
      <c r="AA61" s="12" t="s">
        <v>81</v>
      </c>
      <c r="AB61" s="12" t="s">
        <v>81</v>
      </c>
      <c r="AC61" s="12" t="s">
        <v>81</v>
      </c>
      <c r="AD61" s="12" t="s">
        <v>81</v>
      </c>
      <c r="AE61" s="12" t="s">
        <v>81</v>
      </c>
      <c r="AF61" s="12" t="s">
        <v>81</v>
      </c>
      <c r="AG61" s="12" t="s">
        <v>81</v>
      </c>
      <c r="AH61" s="12" t="s">
        <v>81</v>
      </c>
      <c r="AI61" s="12" t="s">
        <v>81</v>
      </c>
      <c r="AJ61" s="12" t="s">
        <v>81</v>
      </c>
    </row>
    <row r="62" spans="2:36">
      <c r="B62" s="26" t="s">
        <v>98</v>
      </c>
      <c r="C62" s="12">
        <v>5264.22</v>
      </c>
      <c r="D62" s="12">
        <v>7087.48</v>
      </c>
      <c r="E62" s="12">
        <v>10475.799999999999</v>
      </c>
      <c r="F62" s="12">
        <v>11723.92</v>
      </c>
      <c r="G62" s="12">
        <v>12399.11</v>
      </c>
      <c r="H62" s="12">
        <v>12973.58</v>
      </c>
      <c r="I62" s="12">
        <v>13782.37</v>
      </c>
      <c r="J62" s="12">
        <v>16907.080000000002</v>
      </c>
      <c r="K62" s="12">
        <v>18654.37</v>
      </c>
      <c r="L62" s="12">
        <v>19273.13</v>
      </c>
      <c r="M62" s="12">
        <v>19133.86</v>
      </c>
      <c r="N62" s="12">
        <v>23848.34</v>
      </c>
      <c r="O62" s="12">
        <v>24690.66</v>
      </c>
      <c r="P62" s="12">
        <v>25462.639999999999</v>
      </c>
      <c r="Q62" s="12">
        <v>26397.919999999998</v>
      </c>
      <c r="R62" s="12">
        <v>28067.040000000001</v>
      </c>
      <c r="S62" s="12">
        <v>29548.62</v>
      </c>
      <c r="T62" s="12">
        <v>24887.22</v>
      </c>
      <c r="U62" s="12">
        <v>24328.04</v>
      </c>
      <c r="V62" s="12">
        <v>23038.560000000001</v>
      </c>
      <c r="W62" s="12">
        <v>23423.32</v>
      </c>
      <c r="X62" s="12">
        <v>24588</v>
      </c>
      <c r="Y62" s="12">
        <v>26074.44</v>
      </c>
      <c r="Z62" s="12">
        <v>25494.7</v>
      </c>
      <c r="AA62" s="12">
        <v>26349.17</v>
      </c>
      <c r="AB62" s="12">
        <v>27105.65</v>
      </c>
      <c r="AC62" s="12">
        <v>29408.799999999999</v>
      </c>
      <c r="AD62" s="12">
        <v>30573.759999999998</v>
      </c>
      <c r="AE62" s="12">
        <v>30731.95</v>
      </c>
      <c r="AF62" s="12">
        <v>30003.38</v>
      </c>
      <c r="AG62" s="12">
        <v>28550.799999999999</v>
      </c>
      <c r="AH62" s="12">
        <v>32628.39</v>
      </c>
      <c r="AI62" s="12">
        <v>30448.21</v>
      </c>
      <c r="AJ62" s="12">
        <v>28078.1</v>
      </c>
    </row>
    <row r="63" spans="2:36">
      <c r="B63" s="26" t="s">
        <v>99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</row>
    <row r="64" spans="2:36">
      <c r="B64" s="26" t="s">
        <v>100</v>
      </c>
      <c r="C64" s="12">
        <v>1057.8800000000001</v>
      </c>
      <c r="D64" s="12">
        <v>1047.8699999999999</v>
      </c>
      <c r="E64" s="12">
        <v>1138.3699999999999</v>
      </c>
      <c r="F64" s="12">
        <v>991.2</v>
      </c>
      <c r="G64" s="12">
        <v>1473.22</v>
      </c>
      <c r="H64" s="12">
        <v>1579.63</v>
      </c>
      <c r="I64" s="12">
        <v>1527.97</v>
      </c>
      <c r="J64" s="12">
        <v>1302.76</v>
      </c>
      <c r="K64" s="12">
        <v>1272.8699999999999</v>
      </c>
      <c r="L64" s="12">
        <v>1230.06</v>
      </c>
      <c r="M64" s="12">
        <v>973.9</v>
      </c>
      <c r="N64" s="12">
        <v>1016.91</v>
      </c>
      <c r="O64" s="12">
        <v>464.79</v>
      </c>
      <c r="P64" s="12">
        <v>325.83</v>
      </c>
      <c r="Q64" s="12">
        <v>413.64</v>
      </c>
      <c r="R64" s="12">
        <v>399.41</v>
      </c>
      <c r="S64" s="12">
        <v>215.71</v>
      </c>
      <c r="T64" s="12">
        <v>219.43</v>
      </c>
      <c r="U64" s="12">
        <v>223.6</v>
      </c>
      <c r="V64" s="12">
        <v>210.41</v>
      </c>
      <c r="W64" s="12">
        <v>204.96</v>
      </c>
      <c r="X64" s="12">
        <v>74.459999999999994</v>
      </c>
      <c r="Y64" s="12">
        <v>1.81</v>
      </c>
      <c r="Z64" s="12">
        <v>1.77</v>
      </c>
      <c r="AA64" s="12">
        <v>1.72</v>
      </c>
      <c r="AB64" s="12">
        <v>1.58</v>
      </c>
      <c r="AC64" s="12">
        <v>1.56</v>
      </c>
      <c r="AD64" s="12">
        <v>1.57</v>
      </c>
      <c r="AE64" s="12">
        <v>1.33</v>
      </c>
      <c r="AF64" s="12">
        <v>1.2</v>
      </c>
      <c r="AG64" s="12">
        <v>1.18</v>
      </c>
      <c r="AH64" s="12">
        <v>1.08</v>
      </c>
      <c r="AI64" s="12">
        <v>1</v>
      </c>
      <c r="AJ64" s="12">
        <v>1.04</v>
      </c>
    </row>
    <row r="65" spans="2:36">
      <c r="B65" s="25" t="s">
        <v>101</v>
      </c>
      <c r="C65" s="12">
        <v>13064.48</v>
      </c>
      <c r="D65" s="12">
        <v>14268.54</v>
      </c>
      <c r="E65" s="12">
        <v>14868.81</v>
      </c>
      <c r="F65" s="12">
        <v>16695.57</v>
      </c>
      <c r="G65" s="12">
        <v>16296.95</v>
      </c>
      <c r="H65" s="12">
        <v>17488.62</v>
      </c>
      <c r="I65" s="12">
        <v>18750.330000000002</v>
      </c>
      <c r="J65" s="12">
        <v>18153.48</v>
      </c>
      <c r="K65" s="12">
        <v>17404.740000000002</v>
      </c>
      <c r="L65" s="12">
        <v>17305.59</v>
      </c>
      <c r="M65" s="12">
        <v>18480.560000000001</v>
      </c>
      <c r="N65" s="12">
        <v>19007.169999999998</v>
      </c>
      <c r="O65" s="12">
        <v>18581.259999999998</v>
      </c>
      <c r="P65" s="12">
        <v>18901.32</v>
      </c>
      <c r="Q65" s="12">
        <v>19475.27</v>
      </c>
      <c r="R65" s="12">
        <v>23102.63</v>
      </c>
      <c r="S65" s="12">
        <v>23326.35</v>
      </c>
      <c r="T65" s="12">
        <v>20123.89</v>
      </c>
      <c r="U65" s="12">
        <v>22483.72</v>
      </c>
      <c r="V65" s="12">
        <v>19129.21</v>
      </c>
      <c r="W65" s="12">
        <v>21244.85</v>
      </c>
      <c r="X65" s="12">
        <v>18770.259999999998</v>
      </c>
      <c r="Y65" s="12">
        <v>17887.599999999999</v>
      </c>
      <c r="Z65" s="12">
        <v>29476.43</v>
      </c>
      <c r="AA65" s="12">
        <v>28975.35</v>
      </c>
      <c r="AB65" s="12">
        <v>31051.94</v>
      </c>
      <c r="AC65" s="12">
        <v>26065.97</v>
      </c>
      <c r="AD65" s="12">
        <v>26909.46</v>
      </c>
      <c r="AE65" s="12">
        <v>26413.51</v>
      </c>
      <c r="AF65" s="12">
        <v>25659.33</v>
      </c>
      <c r="AG65" s="12">
        <v>23183.51</v>
      </c>
      <c r="AH65" s="12">
        <v>22279.43</v>
      </c>
      <c r="AI65" s="12">
        <v>22834.16</v>
      </c>
      <c r="AJ65" s="12">
        <v>23580.31</v>
      </c>
    </row>
    <row r="66" spans="2:36">
      <c r="B66" s="26" t="s">
        <v>102</v>
      </c>
      <c r="C66" s="12">
        <v>13041.22</v>
      </c>
      <c r="D66" s="12">
        <v>14268.54</v>
      </c>
      <c r="E66" s="12">
        <v>14868.81</v>
      </c>
      <c r="F66" s="12">
        <v>16695.57</v>
      </c>
      <c r="G66" s="12">
        <v>16296.95</v>
      </c>
      <c r="H66" s="12">
        <v>17488.62</v>
      </c>
      <c r="I66" s="12">
        <v>18750.330000000002</v>
      </c>
      <c r="J66" s="12">
        <v>18153.48</v>
      </c>
      <c r="K66" s="12">
        <v>17404.740000000002</v>
      </c>
      <c r="L66" s="12">
        <v>17305.59</v>
      </c>
      <c r="M66" s="12">
        <v>18480.560000000001</v>
      </c>
      <c r="N66" s="12">
        <v>19007.169999999998</v>
      </c>
      <c r="O66" s="12">
        <v>18581.259999999998</v>
      </c>
      <c r="P66" s="12">
        <v>18901.32</v>
      </c>
      <c r="Q66" s="12">
        <v>19475.27</v>
      </c>
      <c r="R66" s="12">
        <v>23102.63</v>
      </c>
      <c r="S66" s="12">
        <v>23326.35</v>
      </c>
      <c r="T66" s="12">
        <v>20055.63</v>
      </c>
      <c r="U66" s="12">
        <v>22416.74</v>
      </c>
      <c r="V66" s="12">
        <v>19052.740000000002</v>
      </c>
      <c r="W66" s="12">
        <v>21157.46</v>
      </c>
      <c r="X66" s="12">
        <v>18691.13</v>
      </c>
      <c r="Y66" s="12">
        <v>17796.32</v>
      </c>
      <c r="Z66" s="12">
        <v>29375.25</v>
      </c>
      <c r="AA66" s="12">
        <v>28878.76</v>
      </c>
      <c r="AB66" s="12">
        <v>30973.22</v>
      </c>
      <c r="AC66" s="12">
        <v>25980.62</v>
      </c>
      <c r="AD66" s="12">
        <v>26824.42</v>
      </c>
      <c r="AE66" s="12">
        <v>26328.23</v>
      </c>
      <c r="AF66" s="12">
        <v>25582.15</v>
      </c>
      <c r="AG66" s="12">
        <v>23101.599999999999</v>
      </c>
      <c r="AH66" s="12">
        <v>22202.400000000001</v>
      </c>
      <c r="AI66" s="12">
        <v>22773.51</v>
      </c>
      <c r="AJ66" s="12">
        <v>23518.84</v>
      </c>
    </row>
    <row r="67" spans="2:36">
      <c r="B67" s="26" t="s">
        <v>103</v>
      </c>
      <c r="C67" s="12" t="s">
        <v>90</v>
      </c>
      <c r="D67" s="12" t="s">
        <v>90</v>
      </c>
      <c r="E67" s="12" t="s">
        <v>90</v>
      </c>
      <c r="F67" s="12" t="s">
        <v>90</v>
      </c>
      <c r="G67" s="12" t="s">
        <v>90</v>
      </c>
      <c r="H67" s="12" t="s">
        <v>90</v>
      </c>
      <c r="I67" s="12" t="s">
        <v>90</v>
      </c>
      <c r="J67" s="12" t="s">
        <v>90</v>
      </c>
      <c r="K67" s="12" t="s">
        <v>90</v>
      </c>
      <c r="L67" s="12" t="s">
        <v>90</v>
      </c>
      <c r="M67" s="12" t="s">
        <v>90</v>
      </c>
      <c r="N67" s="12" t="s">
        <v>90</v>
      </c>
      <c r="O67" s="12" t="s">
        <v>90</v>
      </c>
      <c r="P67" s="12" t="s">
        <v>90</v>
      </c>
      <c r="Q67" s="12" t="s">
        <v>90</v>
      </c>
      <c r="R67" s="12" t="s">
        <v>90</v>
      </c>
      <c r="S67" s="12" t="s">
        <v>90</v>
      </c>
      <c r="T67" s="12">
        <v>11.21</v>
      </c>
      <c r="U67" s="12">
        <v>6.4</v>
      </c>
      <c r="V67" s="12">
        <v>12.82</v>
      </c>
      <c r="W67" s="12">
        <v>15.68</v>
      </c>
      <c r="X67" s="12">
        <v>18.48</v>
      </c>
      <c r="Y67" s="12">
        <v>18.88</v>
      </c>
      <c r="Z67" s="12">
        <v>16.16</v>
      </c>
      <c r="AA67" s="12">
        <v>8.73</v>
      </c>
      <c r="AB67" s="12">
        <v>7.74</v>
      </c>
      <c r="AC67" s="12">
        <v>2.8</v>
      </c>
      <c r="AD67" s="12">
        <v>1.58</v>
      </c>
      <c r="AE67" s="12">
        <v>0.91</v>
      </c>
      <c r="AF67" s="12">
        <v>0.8</v>
      </c>
      <c r="AG67" s="12">
        <v>0.77</v>
      </c>
      <c r="AH67" s="12">
        <v>1.92</v>
      </c>
      <c r="AI67" s="12">
        <v>1.91</v>
      </c>
      <c r="AJ67" s="12">
        <v>0.48</v>
      </c>
    </row>
    <row r="68" spans="2:36">
      <c r="B68" s="26" t="s">
        <v>104</v>
      </c>
      <c r="C68" s="12">
        <v>23.26</v>
      </c>
      <c r="D68" s="12" t="s">
        <v>81</v>
      </c>
      <c r="E68" s="12" t="s">
        <v>81</v>
      </c>
      <c r="F68" s="12" t="s">
        <v>81</v>
      </c>
      <c r="G68" s="12" t="s">
        <v>81</v>
      </c>
      <c r="H68" s="12" t="s">
        <v>81</v>
      </c>
      <c r="I68" s="12" t="s">
        <v>81</v>
      </c>
      <c r="J68" s="12" t="s">
        <v>81</v>
      </c>
      <c r="K68" s="12" t="s">
        <v>81</v>
      </c>
      <c r="L68" s="12" t="s">
        <v>81</v>
      </c>
      <c r="M68" s="12" t="s">
        <v>81</v>
      </c>
      <c r="N68" s="12" t="s">
        <v>81</v>
      </c>
      <c r="O68" s="12" t="s">
        <v>81</v>
      </c>
      <c r="P68" s="12" t="s">
        <v>81</v>
      </c>
      <c r="Q68" s="12" t="s">
        <v>81</v>
      </c>
      <c r="R68" s="12" t="s">
        <v>81</v>
      </c>
      <c r="S68" s="12" t="s">
        <v>81</v>
      </c>
      <c r="T68" s="12" t="s">
        <v>81</v>
      </c>
      <c r="U68" s="12" t="s">
        <v>81</v>
      </c>
      <c r="V68" s="12" t="s">
        <v>81</v>
      </c>
      <c r="W68" s="12" t="s">
        <v>81</v>
      </c>
      <c r="X68" s="12" t="s">
        <v>81</v>
      </c>
      <c r="Y68" s="12" t="s">
        <v>81</v>
      </c>
      <c r="Z68" s="12" t="s">
        <v>81</v>
      </c>
      <c r="AA68" s="12" t="s">
        <v>81</v>
      </c>
      <c r="AB68" s="12" t="s">
        <v>81</v>
      </c>
      <c r="AC68" s="12" t="s">
        <v>81</v>
      </c>
      <c r="AD68" s="12" t="s">
        <v>81</v>
      </c>
      <c r="AE68" s="12" t="s">
        <v>81</v>
      </c>
      <c r="AF68" s="12" t="s">
        <v>81</v>
      </c>
      <c r="AG68" s="12" t="s">
        <v>81</v>
      </c>
      <c r="AH68" s="12" t="s">
        <v>81</v>
      </c>
      <c r="AI68" s="12" t="s">
        <v>81</v>
      </c>
      <c r="AJ68" s="12" t="s">
        <v>81</v>
      </c>
    </row>
    <row r="69" spans="2:36">
      <c r="B69" s="26" t="s">
        <v>105</v>
      </c>
      <c r="C69" s="17" t="s">
        <v>81</v>
      </c>
      <c r="D69" s="17" t="s">
        <v>81</v>
      </c>
      <c r="E69" s="17" t="s">
        <v>81</v>
      </c>
      <c r="F69" s="17" t="s">
        <v>81</v>
      </c>
      <c r="G69" s="17" t="s">
        <v>81</v>
      </c>
      <c r="H69" s="17" t="s">
        <v>81</v>
      </c>
      <c r="I69" s="17" t="s">
        <v>81</v>
      </c>
      <c r="J69" s="17" t="s">
        <v>81</v>
      </c>
      <c r="K69" s="17" t="s">
        <v>81</v>
      </c>
      <c r="L69" s="17" t="s">
        <v>81</v>
      </c>
      <c r="M69" s="17" t="s">
        <v>81</v>
      </c>
      <c r="N69" s="17" t="s">
        <v>81</v>
      </c>
      <c r="O69" s="17" t="s">
        <v>81</v>
      </c>
      <c r="P69" s="17" t="s">
        <v>81</v>
      </c>
      <c r="Q69" s="17" t="s">
        <v>81</v>
      </c>
      <c r="R69" s="17" t="s">
        <v>81</v>
      </c>
      <c r="S69" s="17" t="s">
        <v>81</v>
      </c>
      <c r="T69" s="17" t="s">
        <v>81</v>
      </c>
      <c r="U69" s="17" t="s">
        <v>81</v>
      </c>
      <c r="V69" s="17" t="s">
        <v>81</v>
      </c>
      <c r="W69" s="17" t="s">
        <v>81</v>
      </c>
      <c r="X69" s="17" t="s">
        <v>81</v>
      </c>
      <c r="Y69" s="17" t="s">
        <v>81</v>
      </c>
      <c r="Z69" s="17">
        <v>7.19</v>
      </c>
      <c r="AA69" s="17">
        <v>8.44</v>
      </c>
      <c r="AB69" s="17" t="s">
        <v>81</v>
      </c>
      <c r="AC69" s="17" t="s">
        <v>81</v>
      </c>
      <c r="AD69" s="17" t="s">
        <v>81</v>
      </c>
      <c r="AE69" s="17" t="s">
        <v>81</v>
      </c>
      <c r="AF69" s="17" t="s">
        <v>81</v>
      </c>
      <c r="AG69" s="17" t="s">
        <v>81</v>
      </c>
      <c r="AH69" s="17" t="s">
        <v>81</v>
      </c>
      <c r="AI69" s="17" t="s">
        <v>81</v>
      </c>
      <c r="AJ69" s="17" t="s">
        <v>81</v>
      </c>
    </row>
    <row r="70" spans="2:36">
      <c r="B70" s="26" t="s">
        <v>106</v>
      </c>
      <c r="C70" s="17" t="s">
        <v>90</v>
      </c>
      <c r="D70" s="17" t="s">
        <v>90</v>
      </c>
      <c r="E70" s="17" t="s">
        <v>90</v>
      </c>
      <c r="F70" s="17" t="s">
        <v>90</v>
      </c>
      <c r="G70" s="17" t="s">
        <v>90</v>
      </c>
      <c r="H70" s="17" t="s">
        <v>90</v>
      </c>
      <c r="I70" s="17" t="s">
        <v>90</v>
      </c>
      <c r="J70" s="17" t="s">
        <v>90</v>
      </c>
      <c r="K70" s="17" t="s">
        <v>90</v>
      </c>
      <c r="L70" s="17" t="s">
        <v>90</v>
      </c>
      <c r="M70" s="17" t="s">
        <v>90</v>
      </c>
      <c r="N70" s="17" t="s">
        <v>90</v>
      </c>
      <c r="O70" s="17" t="s">
        <v>90</v>
      </c>
      <c r="P70" s="17" t="s">
        <v>90</v>
      </c>
      <c r="Q70" s="17" t="s">
        <v>90</v>
      </c>
      <c r="R70" s="17" t="s">
        <v>90</v>
      </c>
      <c r="S70" s="17" t="s">
        <v>90</v>
      </c>
      <c r="T70" s="17" t="s">
        <v>90</v>
      </c>
      <c r="U70" s="17" t="s">
        <v>90</v>
      </c>
      <c r="V70" s="17" t="s">
        <v>90</v>
      </c>
      <c r="W70" s="17" t="s">
        <v>90</v>
      </c>
      <c r="X70" s="17" t="s">
        <v>90</v>
      </c>
      <c r="Y70" s="17" t="s">
        <v>90</v>
      </c>
      <c r="Z70" s="17" t="s">
        <v>90</v>
      </c>
      <c r="AA70" s="17" t="s">
        <v>90</v>
      </c>
      <c r="AB70" s="17" t="s">
        <v>90</v>
      </c>
      <c r="AC70" s="17" t="s">
        <v>90</v>
      </c>
      <c r="AD70" s="17" t="s">
        <v>90</v>
      </c>
      <c r="AE70" s="17" t="s">
        <v>90</v>
      </c>
      <c r="AF70" s="17" t="s">
        <v>90</v>
      </c>
      <c r="AG70" s="17" t="s">
        <v>90</v>
      </c>
      <c r="AH70" s="17" t="s">
        <v>90</v>
      </c>
      <c r="AI70" s="17" t="s">
        <v>90</v>
      </c>
      <c r="AJ70" s="17" t="s">
        <v>90</v>
      </c>
    </row>
    <row r="71" spans="2:36">
      <c r="B71" s="26" t="s">
        <v>107</v>
      </c>
      <c r="C71" s="17" t="s">
        <v>90</v>
      </c>
      <c r="D71" s="17" t="s">
        <v>90</v>
      </c>
      <c r="E71" s="17" t="s">
        <v>90</v>
      </c>
      <c r="F71" s="17" t="s">
        <v>90</v>
      </c>
      <c r="G71" s="17" t="s">
        <v>90</v>
      </c>
      <c r="H71" s="17" t="s">
        <v>90</v>
      </c>
      <c r="I71" s="17" t="s">
        <v>90</v>
      </c>
      <c r="J71" s="17" t="s">
        <v>90</v>
      </c>
      <c r="K71" s="17" t="s">
        <v>90</v>
      </c>
      <c r="L71" s="17" t="s">
        <v>90</v>
      </c>
      <c r="M71" s="17" t="s">
        <v>90</v>
      </c>
      <c r="N71" s="17" t="s">
        <v>90</v>
      </c>
      <c r="O71" s="17" t="s">
        <v>90</v>
      </c>
      <c r="P71" s="17" t="s">
        <v>90</v>
      </c>
      <c r="Q71" s="17" t="s">
        <v>90</v>
      </c>
      <c r="R71" s="17" t="s">
        <v>90</v>
      </c>
      <c r="S71" s="17" t="s">
        <v>90</v>
      </c>
      <c r="T71" s="17" t="s">
        <v>90</v>
      </c>
      <c r="U71" s="17" t="s">
        <v>90</v>
      </c>
      <c r="V71" s="17" t="s">
        <v>90</v>
      </c>
      <c r="W71" s="17" t="s">
        <v>90</v>
      </c>
      <c r="X71" s="17" t="s">
        <v>90</v>
      </c>
      <c r="Y71" s="17" t="s">
        <v>90</v>
      </c>
      <c r="Z71" s="17" t="s">
        <v>90</v>
      </c>
      <c r="AA71" s="17" t="s">
        <v>90</v>
      </c>
      <c r="AB71" s="17" t="s">
        <v>90</v>
      </c>
      <c r="AC71" s="17" t="s">
        <v>90</v>
      </c>
      <c r="AD71" s="17" t="s">
        <v>90</v>
      </c>
      <c r="AE71" s="17" t="s">
        <v>90</v>
      </c>
      <c r="AF71" s="17" t="s">
        <v>90</v>
      </c>
      <c r="AG71" s="17" t="s">
        <v>90</v>
      </c>
      <c r="AH71" s="17" t="s">
        <v>90</v>
      </c>
      <c r="AI71" s="17" t="s">
        <v>90</v>
      </c>
      <c r="AJ71" s="17" t="s">
        <v>90</v>
      </c>
    </row>
    <row r="72" spans="2:36">
      <c r="B72" s="26" t="s">
        <v>108</v>
      </c>
      <c r="C72" s="12" t="s">
        <v>109</v>
      </c>
      <c r="D72" s="12" t="s">
        <v>109</v>
      </c>
      <c r="E72" s="12" t="s">
        <v>109</v>
      </c>
      <c r="F72" s="12" t="s">
        <v>109</v>
      </c>
      <c r="G72" s="12" t="s">
        <v>109</v>
      </c>
      <c r="H72" s="12" t="s">
        <v>109</v>
      </c>
      <c r="I72" s="12" t="s">
        <v>109</v>
      </c>
      <c r="J72" s="12" t="s">
        <v>109</v>
      </c>
      <c r="K72" s="12" t="s">
        <v>109</v>
      </c>
      <c r="L72" s="12" t="s">
        <v>109</v>
      </c>
      <c r="M72" s="12" t="s">
        <v>109</v>
      </c>
      <c r="N72" s="12" t="s">
        <v>109</v>
      </c>
      <c r="O72" s="12" t="s">
        <v>109</v>
      </c>
      <c r="P72" s="12" t="s">
        <v>109</v>
      </c>
      <c r="Q72" s="12" t="s">
        <v>109</v>
      </c>
      <c r="R72" s="12" t="s">
        <v>109</v>
      </c>
      <c r="S72" s="12" t="s">
        <v>109</v>
      </c>
      <c r="T72" s="12">
        <v>57.05</v>
      </c>
      <c r="U72" s="12">
        <v>60.59</v>
      </c>
      <c r="V72" s="12">
        <v>63.66</v>
      </c>
      <c r="W72" s="12">
        <v>71.709999999999994</v>
      </c>
      <c r="X72" s="12">
        <v>60.64</v>
      </c>
      <c r="Y72" s="12">
        <v>72.400000000000006</v>
      </c>
      <c r="Z72" s="12">
        <v>77.84</v>
      </c>
      <c r="AA72" s="12">
        <v>79.41</v>
      </c>
      <c r="AB72" s="12">
        <v>70.98</v>
      </c>
      <c r="AC72" s="12">
        <v>82.55</v>
      </c>
      <c r="AD72" s="12">
        <v>83.47</v>
      </c>
      <c r="AE72" s="12">
        <v>84.37</v>
      </c>
      <c r="AF72" s="12">
        <v>76.38</v>
      </c>
      <c r="AG72" s="12">
        <v>81.14</v>
      </c>
      <c r="AH72" s="12">
        <v>75.11</v>
      </c>
      <c r="AI72" s="12">
        <v>58.74</v>
      </c>
      <c r="AJ72" s="12">
        <v>60.99</v>
      </c>
    </row>
    <row r="73" spans="2:36">
      <c r="B73" s="25" t="s">
        <v>110</v>
      </c>
      <c r="C73" s="12">
        <v>356.72</v>
      </c>
      <c r="D73" s="12">
        <v>360.47</v>
      </c>
      <c r="E73" s="12">
        <v>388.23</v>
      </c>
      <c r="F73" s="12">
        <v>409.07</v>
      </c>
      <c r="G73" s="12">
        <v>446.59</v>
      </c>
      <c r="H73" s="12">
        <v>482.95</v>
      </c>
      <c r="I73" s="12">
        <v>530.04999999999995</v>
      </c>
      <c r="J73" s="12">
        <v>529.87</v>
      </c>
      <c r="K73" s="12">
        <v>408.71</v>
      </c>
      <c r="L73" s="12">
        <v>485.68</v>
      </c>
      <c r="M73" s="12">
        <v>510.55</v>
      </c>
      <c r="N73" s="12">
        <v>485.64</v>
      </c>
      <c r="O73" s="12">
        <v>486.15</v>
      </c>
      <c r="P73" s="12">
        <v>523.20000000000005</v>
      </c>
      <c r="Q73" s="12">
        <v>536.05999999999995</v>
      </c>
      <c r="R73" s="12">
        <v>535.07000000000005</v>
      </c>
      <c r="S73" s="12">
        <v>520.46</v>
      </c>
      <c r="T73" s="12">
        <v>522.49</v>
      </c>
      <c r="U73" s="12">
        <v>517.63</v>
      </c>
      <c r="V73" s="12">
        <v>470.01</v>
      </c>
      <c r="W73" s="12">
        <v>545.53</v>
      </c>
      <c r="X73" s="12">
        <v>544.59</v>
      </c>
      <c r="Y73" s="12">
        <v>556.58000000000004</v>
      </c>
      <c r="Z73" s="12">
        <v>573.36</v>
      </c>
      <c r="AA73" s="12">
        <v>583.02</v>
      </c>
      <c r="AB73" s="12">
        <v>606.57000000000005</v>
      </c>
      <c r="AC73" s="12">
        <v>605.54</v>
      </c>
      <c r="AD73" s="12">
        <v>620.59</v>
      </c>
      <c r="AE73" s="12">
        <v>599.04999999999995</v>
      </c>
      <c r="AF73" s="12">
        <v>569.54</v>
      </c>
      <c r="AG73" s="12">
        <v>548.75</v>
      </c>
      <c r="AH73" s="12">
        <v>573.38</v>
      </c>
      <c r="AI73" s="12">
        <v>613.45000000000005</v>
      </c>
      <c r="AJ73" s="12">
        <v>639.58000000000004</v>
      </c>
    </row>
    <row r="74" spans="2:36">
      <c r="B74" s="26" t="s">
        <v>111</v>
      </c>
      <c r="C74" s="12">
        <v>356.72</v>
      </c>
      <c r="D74" s="12">
        <v>360.47</v>
      </c>
      <c r="E74" s="12">
        <v>388.23</v>
      </c>
      <c r="F74" s="12">
        <v>409.07</v>
      </c>
      <c r="G74" s="12">
        <v>446.59</v>
      </c>
      <c r="H74" s="12">
        <v>482.95</v>
      </c>
      <c r="I74" s="12">
        <v>530.04999999999995</v>
      </c>
      <c r="J74" s="12">
        <v>522.39</v>
      </c>
      <c r="K74" s="12">
        <v>403.3</v>
      </c>
      <c r="L74" s="12">
        <v>479.55</v>
      </c>
      <c r="M74" s="12">
        <v>504.97</v>
      </c>
      <c r="N74" s="12">
        <v>479.35</v>
      </c>
      <c r="O74" s="12">
        <v>479.37</v>
      </c>
      <c r="P74" s="12">
        <v>515.49</v>
      </c>
      <c r="Q74" s="12">
        <v>526.20000000000005</v>
      </c>
      <c r="R74" s="12">
        <v>526.79999999999995</v>
      </c>
      <c r="S74" s="12">
        <v>511.38</v>
      </c>
      <c r="T74" s="12">
        <v>510.8</v>
      </c>
      <c r="U74" s="12">
        <v>507.84</v>
      </c>
      <c r="V74" s="12">
        <v>460.88</v>
      </c>
      <c r="W74" s="12">
        <v>534.96</v>
      </c>
      <c r="X74" s="12">
        <v>535.53</v>
      </c>
      <c r="Y74" s="12">
        <v>547.59</v>
      </c>
      <c r="Z74" s="12">
        <v>563.62</v>
      </c>
      <c r="AA74" s="12">
        <v>573.14</v>
      </c>
      <c r="AB74" s="12">
        <v>597.27</v>
      </c>
      <c r="AC74" s="12">
        <v>594.97</v>
      </c>
      <c r="AD74" s="12">
        <v>609.74</v>
      </c>
      <c r="AE74" s="12">
        <v>589.59</v>
      </c>
      <c r="AF74" s="12">
        <v>556.9</v>
      </c>
      <c r="AG74" s="12">
        <v>536.73</v>
      </c>
      <c r="AH74" s="12">
        <v>558.32000000000005</v>
      </c>
      <c r="AI74" s="12">
        <v>598.78</v>
      </c>
      <c r="AJ74" s="12">
        <v>624.61</v>
      </c>
    </row>
    <row r="75" spans="2:36">
      <c r="B75" s="26" t="s">
        <v>112</v>
      </c>
      <c r="C75" s="12" t="s">
        <v>81</v>
      </c>
      <c r="D75" s="12" t="s">
        <v>81</v>
      </c>
      <c r="E75" s="12" t="s">
        <v>81</v>
      </c>
      <c r="F75" s="12" t="s">
        <v>81</v>
      </c>
      <c r="G75" s="12" t="s">
        <v>81</v>
      </c>
      <c r="H75" s="12" t="s">
        <v>81</v>
      </c>
      <c r="I75" s="12" t="s">
        <v>81</v>
      </c>
      <c r="J75" s="12">
        <v>7.47</v>
      </c>
      <c r="K75" s="12">
        <v>5.41</v>
      </c>
      <c r="L75" s="12">
        <v>6.13</v>
      </c>
      <c r="M75" s="12">
        <v>5.58</v>
      </c>
      <c r="N75" s="12">
        <v>6.29</v>
      </c>
      <c r="O75" s="12">
        <v>6.78</v>
      </c>
      <c r="P75" s="12">
        <v>7.71</v>
      </c>
      <c r="Q75" s="12">
        <v>9.86</v>
      </c>
      <c r="R75" s="12">
        <v>8.27</v>
      </c>
      <c r="S75" s="12">
        <v>9.08</v>
      </c>
      <c r="T75" s="12">
        <v>11.69</v>
      </c>
      <c r="U75" s="12">
        <v>9.7899999999999991</v>
      </c>
      <c r="V75" s="12">
        <v>9.1199999999999992</v>
      </c>
      <c r="W75" s="12">
        <v>10.57</v>
      </c>
      <c r="X75" s="12">
        <v>9.06</v>
      </c>
      <c r="Y75" s="12">
        <v>8.99</v>
      </c>
      <c r="Z75" s="12">
        <v>9.74</v>
      </c>
      <c r="AA75" s="12">
        <v>9.8800000000000008</v>
      </c>
      <c r="AB75" s="12">
        <v>9.2899999999999991</v>
      </c>
      <c r="AC75" s="12">
        <v>10.57</v>
      </c>
      <c r="AD75" s="12">
        <v>10.85</v>
      </c>
      <c r="AE75" s="12">
        <v>9.4600000000000009</v>
      </c>
      <c r="AF75" s="12">
        <v>12.65</v>
      </c>
      <c r="AG75" s="12">
        <v>12.02</v>
      </c>
      <c r="AH75" s="12">
        <v>15.06</v>
      </c>
      <c r="AI75" s="12">
        <v>14.67</v>
      </c>
      <c r="AJ75" s="12">
        <v>14.98</v>
      </c>
    </row>
    <row r="76" spans="2:36">
      <c r="B76" s="26" t="s">
        <v>113</v>
      </c>
      <c r="C76" s="12" t="s">
        <v>114</v>
      </c>
      <c r="D76" s="12" t="s">
        <v>114</v>
      </c>
      <c r="E76" s="12" t="s">
        <v>114</v>
      </c>
      <c r="F76" s="12" t="s">
        <v>114</v>
      </c>
      <c r="G76" s="12" t="s">
        <v>114</v>
      </c>
      <c r="H76" s="12" t="s">
        <v>114</v>
      </c>
      <c r="I76" s="12" t="s">
        <v>114</v>
      </c>
      <c r="J76" s="12" t="s">
        <v>114</v>
      </c>
      <c r="K76" s="12" t="s">
        <v>114</v>
      </c>
      <c r="L76" s="12" t="s">
        <v>114</v>
      </c>
      <c r="M76" s="12" t="s">
        <v>114</v>
      </c>
      <c r="N76" s="12" t="s">
        <v>114</v>
      </c>
      <c r="O76" s="12" t="s">
        <v>114</v>
      </c>
      <c r="P76" s="12" t="s">
        <v>114</v>
      </c>
      <c r="Q76" s="12" t="s">
        <v>114</v>
      </c>
      <c r="R76" s="12" t="s">
        <v>114</v>
      </c>
      <c r="S76" s="12" t="s">
        <v>114</v>
      </c>
      <c r="T76" s="12" t="s">
        <v>114</v>
      </c>
      <c r="U76" s="12" t="s">
        <v>114</v>
      </c>
      <c r="V76" s="12" t="s">
        <v>114</v>
      </c>
      <c r="W76" s="12" t="s">
        <v>114</v>
      </c>
      <c r="X76" s="12" t="s">
        <v>114</v>
      </c>
      <c r="Y76" s="12" t="s">
        <v>114</v>
      </c>
      <c r="Z76" s="12" t="s">
        <v>114</v>
      </c>
      <c r="AA76" s="12" t="s">
        <v>114</v>
      </c>
      <c r="AB76" s="12" t="s">
        <v>114</v>
      </c>
      <c r="AC76" s="12" t="s">
        <v>114</v>
      </c>
      <c r="AD76" s="12" t="s">
        <v>114</v>
      </c>
      <c r="AE76" s="12" t="s">
        <v>114</v>
      </c>
      <c r="AF76" s="12" t="s">
        <v>114</v>
      </c>
      <c r="AG76" s="12" t="s">
        <v>114</v>
      </c>
      <c r="AH76" s="12" t="s">
        <v>114</v>
      </c>
      <c r="AI76" s="12" t="s">
        <v>114</v>
      </c>
      <c r="AJ76" s="12" t="s">
        <v>114</v>
      </c>
    </row>
    <row r="77" spans="2:36">
      <c r="B77" s="25" t="s">
        <v>115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</row>
    <row r="78" spans="2:36">
      <c r="B78" s="28" t="s">
        <v>116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</row>
    <row r="79" spans="2:36">
      <c r="B79" s="29" t="s">
        <v>117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</row>
    <row r="80" spans="2:36">
      <c r="B80" s="29" t="s">
        <v>118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</row>
    <row r="81" spans="2:38">
      <c r="B81" s="29" t="s">
        <v>119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</row>
    <row r="82" spans="2:38">
      <c r="B82" s="29" t="s">
        <v>120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</row>
    <row r="83" spans="2:38">
      <c r="B83" s="29" t="s">
        <v>121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</row>
    <row r="84" spans="2:38">
      <c r="B84" s="29" t="s">
        <v>122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</row>
    <row r="85" spans="2:38">
      <c r="B85" s="28" t="s">
        <v>123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</row>
    <row r="86" spans="2:38">
      <c r="B86" s="29" t="s">
        <v>124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</row>
    <row r="87" spans="2:38">
      <c r="B87" s="29" t="s">
        <v>125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</row>
    <row r="88" spans="2:38">
      <c r="B88" s="29" t="s">
        <v>126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</row>
    <row r="89" spans="2:38">
      <c r="B89" s="28" t="s">
        <v>127</v>
      </c>
      <c r="C89" s="12" t="s">
        <v>81</v>
      </c>
      <c r="D89" s="12" t="s">
        <v>81</v>
      </c>
      <c r="E89" s="12" t="s">
        <v>81</v>
      </c>
      <c r="F89" s="12" t="s">
        <v>81</v>
      </c>
      <c r="G89" s="12" t="s">
        <v>81</v>
      </c>
      <c r="H89" s="12" t="s">
        <v>81</v>
      </c>
      <c r="I89" s="12" t="s">
        <v>81</v>
      </c>
      <c r="J89" s="12" t="s">
        <v>81</v>
      </c>
      <c r="K89" s="12" t="s">
        <v>81</v>
      </c>
      <c r="L89" s="12" t="s">
        <v>81</v>
      </c>
      <c r="M89" s="12" t="s">
        <v>81</v>
      </c>
      <c r="N89" s="12" t="s">
        <v>81</v>
      </c>
      <c r="O89" s="12" t="s">
        <v>81</v>
      </c>
      <c r="P89" s="12" t="s">
        <v>81</v>
      </c>
      <c r="Q89" s="12" t="s">
        <v>81</v>
      </c>
      <c r="R89" s="12" t="s">
        <v>81</v>
      </c>
      <c r="S89" s="12" t="s">
        <v>81</v>
      </c>
      <c r="T89" s="12" t="s">
        <v>81</v>
      </c>
      <c r="U89" s="12" t="s">
        <v>81</v>
      </c>
      <c r="V89" s="12" t="s">
        <v>81</v>
      </c>
      <c r="W89" s="12" t="s">
        <v>81</v>
      </c>
      <c r="X89" s="12" t="s">
        <v>81</v>
      </c>
      <c r="Y89" s="12" t="s">
        <v>81</v>
      </c>
      <c r="Z89" s="12" t="s">
        <v>81</v>
      </c>
      <c r="AA89" s="12" t="s">
        <v>81</v>
      </c>
      <c r="AB89" s="12" t="s">
        <v>81</v>
      </c>
      <c r="AC89" s="12" t="s">
        <v>81</v>
      </c>
      <c r="AD89" s="12" t="s">
        <v>81</v>
      </c>
      <c r="AE89" s="12" t="s">
        <v>81</v>
      </c>
      <c r="AF89" s="12" t="s">
        <v>81</v>
      </c>
      <c r="AG89" s="12" t="s">
        <v>81</v>
      </c>
      <c r="AH89" s="12" t="s">
        <v>81</v>
      </c>
      <c r="AI89" s="12" t="s">
        <v>81</v>
      </c>
      <c r="AJ89" s="12" t="s">
        <v>81</v>
      </c>
    </row>
    <row r="90" spans="2:38">
      <c r="B90" s="29" t="s">
        <v>128</v>
      </c>
      <c r="C90" s="12" t="s">
        <v>81</v>
      </c>
      <c r="D90" s="12" t="s">
        <v>81</v>
      </c>
      <c r="E90" s="12" t="s">
        <v>81</v>
      </c>
      <c r="F90" s="12" t="s">
        <v>81</v>
      </c>
      <c r="G90" s="12" t="s">
        <v>81</v>
      </c>
      <c r="H90" s="12" t="s">
        <v>81</v>
      </c>
      <c r="I90" s="12" t="s">
        <v>81</v>
      </c>
      <c r="J90" s="12" t="s">
        <v>81</v>
      </c>
      <c r="K90" s="12" t="s">
        <v>81</v>
      </c>
      <c r="L90" s="12" t="s">
        <v>81</v>
      </c>
      <c r="M90" s="12" t="s">
        <v>81</v>
      </c>
      <c r="N90" s="12" t="s">
        <v>81</v>
      </c>
      <c r="O90" s="12" t="s">
        <v>81</v>
      </c>
      <c r="P90" s="12" t="s">
        <v>81</v>
      </c>
      <c r="Q90" s="12" t="s">
        <v>81</v>
      </c>
      <c r="R90" s="12" t="s">
        <v>81</v>
      </c>
      <c r="S90" s="12" t="s">
        <v>81</v>
      </c>
      <c r="T90" s="12" t="s">
        <v>81</v>
      </c>
      <c r="U90" s="12" t="s">
        <v>81</v>
      </c>
      <c r="V90" s="12" t="s">
        <v>81</v>
      </c>
      <c r="W90" s="12" t="s">
        <v>81</v>
      </c>
      <c r="X90" s="12" t="s">
        <v>81</v>
      </c>
      <c r="Y90" s="12" t="s">
        <v>81</v>
      </c>
      <c r="Z90" s="12" t="s">
        <v>81</v>
      </c>
      <c r="AA90" s="12" t="s">
        <v>81</v>
      </c>
      <c r="AB90" s="12" t="s">
        <v>81</v>
      </c>
      <c r="AC90" s="12" t="s">
        <v>81</v>
      </c>
      <c r="AD90" s="12" t="s">
        <v>81</v>
      </c>
      <c r="AE90" s="12" t="s">
        <v>81</v>
      </c>
      <c r="AF90" s="12" t="s">
        <v>81</v>
      </c>
      <c r="AG90" s="12" t="s">
        <v>81</v>
      </c>
      <c r="AH90" s="12" t="s">
        <v>81</v>
      </c>
      <c r="AI90" s="12" t="s">
        <v>81</v>
      </c>
      <c r="AJ90" s="12" t="s">
        <v>81</v>
      </c>
    </row>
    <row r="91" spans="2:38">
      <c r="B91" s="29" t="s">
        <v>129</v>
      </c>
      <c r="C91" s="12" t="s">
        <v>81</v>
      </c>
      <c r="D91" s="12" t="s">
        <v>81</v>
      </c>
      <c r="E91" s="12" t="s">
        <v>81</v>
      </c>
      <c r="F91" s="12" t="s">
        <v>81</v>
      </c>
      <c r="G91" s="12" t="s">
        <v>81</v>
      </c>
      <c r="H91" s="12" t="s">
        <v>81</v>
      </c>
      <c r="I91" s="12" t="s">
        <v>81</v>
      </c>
      <c r="J91" s="12" t="s">
        <v>81</v>
      </c>
      <c r="K91" s="12" t="s">
        <v>81</v>
      </c>
      <c r="L91" s="12" t="s">
        <v>81</v>
      </c>
      <c r="M91" s="12" t="s">
        <v>81</v>
      </c>
      <c r="N91" s="12" t="s">
        <v>81</v>
      </c>
      <c r="O91" s="12" t="s">
        <v>81</v>
      </c>
      <c r="P91" s="12" t="s">
        <v>81</v>
      </c>
      <c r="Q91" s="12" t="s">
        <v>81</v>
      </c>
      <c r="R91" s="12" t="s">
        <v>81</v>
      </c>
      <c r="S91" s="12" t="s">
        <v>81</v>
      </c>
      <c r="T91" s="12" t="s">
        <v>81</v>
      </c>
      <c r="U91" s="12" t="s">
        <v>81</v>
      </c>
      <c r="V91" s="12" t="s">
        <v>81</v>
      </c>
      <c r="W91" s="12" t="s">
        <v>81</v>
      </c>
      <c r="X91" s="12" t="s">
        <v>81</v>
      </c>
      <c r="Y91" s="12" t="s">
        <v>81</v>
      </c>
      <c r="Z91" s="12" t="s">
        <v>81</v>
      </c>
      <c r="AA91" s="12" t="s">
        <v>81</v>
      </c>
      <c r="AB91" s="12" t="s">
        <v>81</v>
      </c>
      <c r="AC91" s="12" t="s">
        <v>81</v>
      </c>
      <c r="AD91" s="12" t="s">
        <v>81</v>
      </c>
      <c r="AE91" s="12" t="s">
        <v>81</v>
      </c>
      <c r="AF91" s="12" t="s">
        <v>81</v>
      </c>
      <c r="AG91" s="12" t="s">
        <v>81</v>
      </c>
      <c r="AH91" s="12" t="s">
        <v>81</v>
      </c>
      <c r="AI91" s="12" t="s">
        <v>81</v>
      </c>
      <c r="AJ91" s="12" t="s">
        <v>81</v>
      </c>
    </row>
    <row r="92" spans="2:38">
      <c r="B92" s="29" t="s">
        <v>130</v>
      </c>
      <c r="C92" s="12" t="s">
        <v>81</v>
      </c>
      <c r="D92" s="12" t="s">
        <v>81</v>
      </c>
      <c r="E92" s="12" t="s">
        <v>81</v>
      </c>
      <c r="F92" s="12" t="s">
        <v>81</v>
      </c>
      <c r="G92" s="12" t="s">
        <v>81</v>
      </c>
      <c r="H92" s="12" t="s">
        <v>81</v>
      </c>
      <c r="I92" s="12" t="s">
        <v>81</v>
      </c>
      <c r="J92" s="12" t="s">
        <v>81</v>
      </c>
      <c r="K92" s="12" t="s">
        <v>81</v>
      </c>
      <c r="L92" s="12" t="s">
        <v>81</v>
      </c>
      <c r="M92" s="12" t="s">
        <v>81</v>
      </c>
      <c r="N92" s="12" t="s">
        <v>81</v>
      </c>
      <c r="O92" s="12" t="s">
        <v>81</v>
      </c>
      <c r="P92" s="12" t="s">
        <v>81</v>
      </c>
      <c r="Q92" s="12" t="s">
        <v>81</v>
      </c>
      <c r="R92" s="12" t="s">
        <v>81</v>
      </c>
      <c r="S92" s="12" t="s">
        <v>81</v>
      </c>
      <c r="T92" s="12" t="s">
        <v>81</v>
      </c>
      <c r="U92" s="12" t="s">
        <v>81</v>
      </c>
      <c r="V92" s="12" t="s">
        <v>81</v>
      </c>
      <c r="W92" s="12" t="s">
        <v>81</v>
      </c>
      <c r="X92" s="12" t="s">
        <v>81</v>
      </c>
      <c r="Y92" s="12" t="s">
        <v>81</v>
      </c>
      <c r="Z92" s="12" t="s">
        <v>81</v>
      </c>
      <c r="AA92" s="12" t="s">
        <v>81</v>
      </c>
      <c r="AB92" s="12" t="s">
        <v>81</v>
      </c>
      <c r="AC92" s="12" t="s">
        <v>81</v>
      </c>
      <c r="AD92" s="12" t="s">
        <v>81</v>
      </c>
      <c r="AE92" s="12" t="s">
        <v>81</v>
      </c>
      <c r="AF92" s="12" t="s">
        <v>81</v>
      </c>
      <c r="AG92" s="12" t="s">
        <v>81</v>
      </c>
      <c r="AH92" s="12" t="s">
        <v>81</v>
      </c>
      <c r="AI92" s="12" t="s">
        <v>81</v>
      </c>
      <c r="AJ92" s="12" t="s">
        <v>81</v>
      </c>
    </row>
    <row r="93" spans="2:38">
      <c r="B93" s="24" t="s">
        <v>131</v>
      </c>
      <c r="C93" s="15">
        <v>435.03</v>
      </c>
      <c r="D93" s="15">
        <v>294.58</v>
      </c>
      <c r="E93" s="15">
        <v>341.92</v>
      </c>
      <c r="F93" s="15">
        <v>348.69</v>
      </c>
      <c r="G93" s="15">
        <v>330.39</v>
      </c>
      <c r="H93" s="15">
        <v>320.92</v>
      </c>
      <c r="I93" s="15">
        <v>318.13</v>
      </c>
      <c r="J93" s="15">
        <v>307.58</v>
      </c>
      <c r="K93" s="15">
        <v>323.02</v>
      </c>
      <c r="L93" s="15">
        <v>312.5</v>
      </c>
      <c r="M93" s="15">
        <v>288.27999999999997</v>
      </c>
      <c r="N93" s="15">
        <v>240.73</v>
      </c>
      <c r="O93" s="15">
        <v>230.4</v>
      </c>
      <c r="P93" s="15">
        <v>223.42</v>
      </c>
      <c r="Q93" s="15">
        <v>245.19</v>
      </c>
      <c r="R93" s="15">
        <v>165.58</v>
      </c>
      <c r="S93" s="15">
        <v>130.44</v>
      </c>
      <c r="T93" s="15">
        <v>193.67</v>
      </c>
      <c r="U93" s="15">
        <v>157.19999999999999</v>
      </c>
      <c r="V93" s="15">
        <v>134.06</v>
      </c>
      <c r="W93" s="15">
        <v>124.26</v>
      </c>
      <c r="X93" s="15">
        <v>139.72999999999999</v>
      </c>
      <c r="Y93" s="15">
        <v>140.28</v>
      </c>
      <c r="Z93" s="15">
        <v>132.91999999999999</v>
      </c>
      <c r="AA93" s="15">
        <v>130.91999999999999</v>
      </c>
      <c r="AB93" s="15">
        <v>122.13</v>
      </c>
      <c r="AC93" s="15">
        <v>121.58</v>
      </c>
      <c r="AD93" s="15">
        <v>114.34</v>
      </c>
      <c r="AE93" s="15">
        <v>120.16</v>
      </c>
      <c r="AF93" s="15">
        <v>112.84</v>
      </c>
      <c r="AG93" s="15">
        <v>107.8</v>
      </c>
      <c r="AH93" s="15">
        <v>112.76</v>
      </c>
      <c r="AI93" s="15">
        <v>94.32</v>
      </c>
      <c r="AJ93" s="15">
        <v>95.03</v>
      </c>
    </row>
    <row r="94" spans="2:38">
      <c r="B94" s="25" t="s">
        <v>132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31"/>
      <c r="AL94" s="31"/>
    </row>
    <row r="95" spans="2:38">
      <c r="B95" s="26" t="s">
        <v>133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31"/>
      <c r="AL95" s="31"/>
    </row>
    <row r="96" spans="2:38">
      <c r="B96" s="26" t="s">
        <v>134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31"/>
      <c r="AL96" s="31"/>
    </row>
    <row r="97" spans="2:38">
      <c r="B97" s="26" t="s">
        <v>135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31"/>
      <c r="AL97" s="31"/>
    </row>
    <row r="98" spans="2:38">
      <c r="B98" s="26" t="s">
        <v>136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31"/>
      <c r="AL98" s="31"/>
    </row>
    <row r="99" spans="2:38">
      <c r="B99" s="25" t="s">
        <v>137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31"/>
      <c r="AL99" s="31"/>
    </row>
    <row r="100" spans="2:38">
      <c r="B100" s="26" t="s">
        <v>133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31"/>
      <c r="AL100" s="31"/>
    </row>
    <row r="101" spans="2:38">
      <c r="B101" s="26" t="s">
        <v>134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31"/>
      <c r="AL101" s="31"/>
    </row>
    <row r="102" spans="2:38">
      <c r="B102" s="26" t="s">
        <v>135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31"/>
      <c r="AL102" s="31"/>
    </row>
    <row r="103" spans="2:38">
      <c r="B103" s="26" t="s">
        <v>136</v>
      </c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31"/>
      <c r="AL103" s="31"/>
    </row>
    <row r="104" spans="2:38">
      <c r="B104" s="26" t="s">
        <v>138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31"/>
      <c r="AL104" s="31"/>
    </row>
    <row r="105" spans="2:38">
      <c r="B105" s="25" t="s">
        <v>139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31"/>
      <c r="AL105" s="31"/>
    </row>
    <row r="106" spans="2:38">
      <c r="B106" s="26" t="s">
        <v>140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31"/>
      <c r="AL106" s="31"/>
    </row>
    <row r="107" spans="2:38">
      <c r="B107" s="26" t="s">
        <v>141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31"/>
      <c r="AL107" s="31"/>
    </row>
    <row r="108" spans="2:38">
      <c r="B108" s="25" t="s">
        <v>142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31"/>
      <c r="AL108" s="31"/>
    </row>
    <row r="109" spans="2:38">
      <c r="B109" s="26" t="s">
        <v>143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31"/>
      <c r="AL109" s="31"/>
    </row>
    <row r="110" spans="2:38">
      <c r="B110" s="26" t="s">
        <v>144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31"/>
      <c r="AL110" s="31"/>
    </row>
    <row r="111" spans="2:38">
      <c r="B111" s="25" t="s">
        <v>145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31"/>
      <c r="AL111" s="31"/>
    </row>
    <row r="112" spans="2:38">
      <c r="B112" s="25" t="s">
        <v>146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31"/>
      <c r="AL112" s="31"/>
    </row>
    <row r="113" spans="2:38">
      <c r="B113" s="26" t="s">
        <v>147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31"/>
      <c r="AL113" s="31"/>
    </row>
    <row r="114" spans="2:38">
      <c r="B114" s="26" t="s">
        <v>148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31"/>
      <c r="AL114" s="31"/>
    </row>
    <row r="115" spans="2:38">
      <c r="B115" s="26" t="s">
        <v>149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31"/>
      <c r="AL115" s="31"/>
    </row>
    <row r="116" spans="2:38">
      <c r="B116" s="26" t="s">
        <v>150</v>
      </c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31"/>
      <c r="AL116" s="31"/>
    </row>
    <row r="117" spans="2:38">
      <c r="B117" s="26" t="s">
        <v>151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31"/>
      <c r="AL117" s="31"/>
    </row>
    <row r="118" spans="2:38">
      <c r="B118" s="25" t="s">
        <v>152</v>
      </c>
      <c r="C118" s="12">
        <v>2.54</v>
      </c>
      <c r="D118" s="12">
        <v>2.39</v>
      </c>
      <c r="E118" s="12">
        <v>2.15</v>
      </c>
      <c r="F118" s="12">
        <v>2.83</v>
      </c>
      <c r="G118" s="12">
        <v>2.98</v>
      </c>
      <c r="H118" s="12">
        <v>2.67</v>
      </c>
      <c r="I118" s="12">
        <v>2.68</v>
      </c>
      <c r="J118" s="12">
        <v>3.17</v>
      </c>
      <c r="K118" s="12">
        <v>3.63</v>
      </c>
      <c r="L118" s="12">
        <v>3.49</v>
      </c>
      <c r="M118" s="12">
        <v>3.42</v>
      </c>
      <c r="N118" s="12">
        <v>4.05</v>
      </c>
      <c r="O118" s="12">
        <v>4.93</v>
      </c>
      <c r="P118" s="12">
        <v>4.49</v>
      </c>
      <c r="Q118" s="12">
        <v>4.0199999999999996</v>
      </c>
      <c r="R118" s="12">
        <v>4.38</v>
      </c>
      <c r="S118" s="12">
        <v>3.99</v>
      </c>
      <c r="T118" s="12">
        <v>3.45</v>
      </c>
      <c r="U118" s="12">
        <v>3.06</v>
      </c>
      <c r="V118" s="12">
        <v>3.45</v>
      </c>
      <c r="W118" s="12">
        <v>2.67</v>
      </c>
      <c r="X118" s="12">
        <v>4.2699999999999996</v>
      </c>
      <c r="Y118" s="12">
        <v>3.87</v>
      </c>
      <c r="Z118" s="12">
        <v>3.43</v>
      </c>
      <c r="AA118" s="12">
        <v>3.8</v>
      </c>
      <c r="AB118" s="12">
        <v>3.49</v>
      </c>
      <c r="AC118" s="12">
        <v>3.51</v>
      </c>
      <c r="AD118" s="12">
        <v>3.55</v>
      </c>
      <c r="AE118" s="12">
        <v>3.12</v>
      </c>
      <c r="AF118" s="12">
        <v>2.21</v>
      </c>
      <c r="AG118" s="12">
        <v>2.79</v>
      </c>
      <c r="AH118" s="12">
        <v>2.4700000000000002</v>
      </c>
      <c r="AI118" s="12">
        <v>2.48</v>
      </c>
      <c r="AJ118" s="12">
        <v>2.7</v>
      </c>
    </row>
    <row r="119" spans="2:38">
      <c r="B119" s="25" t="s">
        <v>153</v>
      </c>
      <c r="C119" s="12">
        <v>432.49</v>
      </c>
      <c r="D119" s="12">
        <v>292.2</v>
      </c>
      <c r="E119" s="12">
        <v>339.77</v>
      </c>
      <c r="F119" s="12">
        <v>345.86</v>
      </c>
      <c r="G119" s="12">
        <v>327.41000000000003</v>
      </c>
      <c r="H119" s="12">
        <v>318.25</v>
      </c>
      <c r="I119" s="12">
        <v>315.45</v>
      </c>
      <c r="J119" s="12">
        <v>304.41000000000003</v>
      </c>
      <c r="K119" s="12">
        <v>319.39</v>
      </c>
      <c r="L119" s="12">
        <v>309.02</v>
      </c>
      <c r="M119" s="12">
        <v>284.85000000000002</v>
      </c>
      <c r="N119" s="12">
        <v>236.68</v>
      </c>
      <c r="O119" s="12">
        <v>225.47</v>
      </c>
      <c r="P119" s="12">
        <v>218.93</v>
      </c>
      <c r="Q119" s="12">
        <v>241.17</v>
      </c>
      <c r="R119" s="12">
        <v>161.19</v>
      </c>
      <c r="S119" s="12">
        <v>126.45</v>
      </c>
      <c r="T119" s="12">
        <v>190.22</v>
      </c>
      <c r="U119" s="12">
        <v>154.13999999999999</v>
      </c>
      <c r="V119" s="12">
        <v>130.61000000000001</v>
      </c>
      <c r="W119" s="12">
        <v>121.6</v>
      </c>
      <c r="X119" s="12">
        <v>135.46</v>
      </c>
      <c r="Y119" s="12">
        <v>136.41</v>
      </c>
      <c r="Z119" s="12">
        <v>129.49</v>
      </c>
      <c r="AA119" s="12">
        <v>127.12</v>
      </c>
      <c r="AB119" s="12">
        <v>118.64</v>
      </c>
      <c r="AC119" s="12">
        <v>118.06</v>
      </c>
      <c r="AD119" s="12">
        <v>110.79</v>
      </c>
      <c r="AE119" s="12">
        <v>117.04</v>
      </c>
      <c r="AF119" s="12">
        <v>110.62</v>
      </c>
      <c r="AG119" s="12">
        <v>105.01</v>
      </c>
      <c r="AH119" s="12">
        <v>110.29</v>
      </c>
      <c r="AI119" s="12">
        <v>91.84</v>
      </c>
      <c r="AJ119" s="12">
        <v>92.33</v>
      </c>
    </row>
    <row r="120" spans="2:38">
      <c r="B120" s="24" t="s">
        <v>154</v>
      </c>
      <c r="C120" s="15">
        <v>-39384.65</v>
      </c>
      <c r="D120" s="15">
        <v>-35400.58</v>
      </c>
      <c r="E120" s="15">
        <v>-34561.65</v>
      </c>
      <c r="F120" s="15">
        <v>-32975.699999999997</v>
      </c>
      <c r="G120" s="15">
        <v>-35335.730000000003</v>
      </c>
      <c r="H120" s="15">
        <v>-33580.300000000003</v>
      </c>
      <c r="I120" s="15">
        <v>-37020.35</v>
      </c>
      <c r="J120" s="15">
        <v>-42021.440000000002</v>
      </c>
      <c r="K120" s="15">
        <v>-50408.61</v>
      </c>
      <c r="L120" s="15">
        <v>-58601.03</v>
      </c>
      <c r="M120" s="15">
        <v>-60858.75</v>
      </c>
      <c r="N120" s="15">
        <v>-61094.78</v>
      </c>
      <c r="O120" s="15">
        <v>-58774.61</v>
      </c>
      <c r="P120" s="15">
        <v>-58458.92</v>
      </c>
      <c r="Q120" s="15">
        <v>-59811.59</v>
      </c>
      <c r="R120" s="15">
        <v>-57844.84</v>
      </c>
      <c r="S120" s="15">
        <v>-59042.63</v>
      </c>
      <c r="T120" s="15">
        <v>-59754.6</v>
      </c>
      <c r="U120" s="15">
        <v>-60699.02</v>
      </c>
      <c r="V120" s="15">
        <v>-60472.4</v>
      </c>
      <c r="W120" s="15">
        <v>-57749.440000000002</v>
      </c>
      <c r="X120" s="15">
        <v>-56942.69</v>
      </c>
      <c r="Y120" s="15">
        <v>-50939.73</v>
      </c>
      <c r="Z120" s="15">
        <v>-46642.25</v>
      </c>
      <c r="AA120" s="15">
        <v>-47531.1</v>
      </c>
      <c r="AB120" s="15">
        <v>-48200.29</v>
      </c>
      <c r="AC120" s="15">
        <v>-48627.37</v>
      </c>
      <c r="AD120" s="15">
        <v>-43257.03</v>
      </c>
      <c r="AE120" s="15">
        <v>-41964.15</v>
      </c>
      <c r="AF120" s="15">
        <v>-39090.870000000003</v>
      </c>
      <c r="AG120" s="15">
        <v>-39282.129999999997</v>
      </c>
      <c r="AH120" s="15">
        <v>-39291.980000000003</v>
      </c>
      <c r="AI120" s="15">
        <v>-38474.050000000003</v>
      </c>
      <c r="AJ120" s="15">
        <v>-39855.39</v>
      </c>
    </row>
    <row r="121" spans="2:38">
      <c r="B121" s="25" t="s">
        <v>40</v>
      </c>
      <c r="C121" s="12">
        <v>-38226.33</v>
      </c>
      <c r="D121" s="12">
        <v>-34163.25</v>
      </c>
      <c r="E121" s="12">
        <v>-33540.81</v>
      </c>
      <c r="F121" s="12">
        <v>-31968.59</v>
      </c>
      <c r="G121" s="12">
        <v>-34375.699999999997</v>
      </c>
      <c r="H121" s="12">
        <v>-33102.61</v>
      </c>
      <c r="I121" s="12">
        <v>-36825.760000000002</v>
      </c>
      <c r="J121" s="12">
        <v>-41925.03</v>
      </c>
      <c r="K121" s="12">
        <v>-50590.83</v>
      </c>
      <c r="L121" s="12">
        <v>-58347.23</v>
      </c>
      <c r="M121" s="12">
        <v>-60590.33</v>
      </c>
      <c r="N121" s="12">
        <v>-60918.49</v>
      </c>
      <c r="O121" s="12">
        <v>-58657.08</v>
      </c>
      <c r="P121" s="12">
        <v>-58358.19</v>
      </c>
      <c r="Q121" s="12">
        <v>-59594.87</v>
      </c>
      <c r="R121" s="12">
        <v>-57612.52</v>
      </c>
      <c r="S121" s="12">
        <v>-59187.42</v>
      </c>
      <c r="T121" s="12">
        <v>-60257.75</v>
      </c>
      <c r="U121" s="12">
        <v>-61485.52</v>
      </c>
      <c r="V121" s="12">
        <v>-61241.79</v>
      </c>
      <c r="W121" s="12">
        <v>-58836.95</v>
      </c>
      <c r="X121" s="12">
        <v>-57732.37</v>
      </c>
      <c r="Y121" s="12">
        <v>-51553.42</v>
      </c>
      <c r="Z121" s="12">
        <v>-47014.1</v>
      </c>
      <c r="AA121" s="12">
        <v>-47856.79</v>
      </c>
      <c r="AB121" s="12">
        <v>-48486.43</v>
      </c>
      <c r="AC121" s="12">
        <v>-48728.61</v>
      </c>
      <c r="AD121" s="12">
        <v>-43702.34</v>
      </c>
      <c r="AE121" s="12">
        <v>-42633.120000000003</v>
      </c>
      <c r="AF121" s="12">
        <v>-39974.75</v>
      </c>
      <c r="AG121" s="12">
        <v>-40244.160000000003</v>
      </c>
      <c r="AH121" s="12">
        <v>-40385.360000000001</v>
      </c>
      <c r="AI121" s="12">
        <v>-39539.93</v>
      </c>
      <c r="AJ121" s="12">
        <v>-41066.43</v>
      </c>
    </row>
    <row r="122" spans="2:38">
      <c r="B122" s="26" t="s">
        <v>155</v>
      </c>
      <c r="C122" s="12">
        <v>-38226.51</v>
      </c>
      <c r="D122" s="12">
        <v>-34164.239999999998</v>
      </c>
      <c r="E122" s="12">
        <v>-33542.19</v>
      </c>
      <c r="F122" s="12">
        <v>-31971.37</v>
      </c>
      <c r="G122" s="12">
        <v>-34377.769999999997</v>
      </c>
      <c r="H122" s="12">
        <v>-33104.370000000003</v>
      </c>
      <c r="I122" s="12">
        <v>-37033.68</v>
      </c>
      <c r="J122" s="12">
        <v>-41948.4</v>
      </c>
      <c r="K122" s="12">
        <v>-50616.11</v>
      </c>
      <c r="L122" s="12">
        <v>-58350.9</v>
      </c>
      <c r="M122" s="12">
        <v>-61380.17</v>
      </c>
      <c r="N122" s="12">
        <v>-60937.94</v>
      </c>
      <c r="O122" s="12">
        <v>-58844.14</v>
      </c>
      <c r="P122" s="12">
        <v>-58359.6</v>
      </c>
      <c r="Q122" s="12">
        <v>-59625.35</v>
      </c>
      <c r="R122" s="12">
        <v>-57678.27</v>
      </c>
      <c r="S122" s="12">
        <v>-59191.93</v>
      </c>
      <c r="T122" s="12">
        <v>-60261.49</v>
      </c>
      <c r="U122" s="12">
        <v>-61488.160000000003</v>
      </c>
      <c r="V122" s="12">
        <v>-61294.65</v>
      </c>
      <c r="W122" s="12">
        <v>-58843.38</v>
      </c>
      <c r="X122" s="12">
        <v>-57762.62</v>
      </c>
      <c r="Y122" s="12">
        <v>-51554.84</v>
      </c>
      <c r="Z122" s="12">
        <v>-47052.53</v>
      </c>
      <c r="AA122" s="12">
        <v>-47860.800000000003</v>
      </c>
      <c r="AB122" s="12">
        <v>-48504.6</v>
      </c>
      <c r="AC122" s="12">
        <v>-48732.42</v>
      </c>
      <c r="AD122" s="12">
        <v>-43830.85</v>
      </c>
      <c r="AE122" s="12">
        <v>-42690.78</v>
      </c>
      <c r="AF122" s="12">
        <v>-40261.67</v>
      </c>
      <c r="AG122" s="12">
        <v>-40521.96</v>
      </c>
      <c r="AH122" s="12">
        <v>-40388.58</v>
      </c>
      <c r="AI122" s="12">
        <v>-41207.25</v>
      </c>
      <c r="AJ122" s="12">
        <v>-41331.040000000001</v>
      </c>
    </row>
    <row r="123" spans="2:38">
      <c r="B123" s="26" t="s">
        <v>156</v>
      </c>
      <c r="C123" s="12" t="s">
        <v>157</v>
      </c>
      <c r="D123" s="12" t="s">
        <v>157</v>
      </c>
      <c r="E123" s="12" t="s">
        <v>157</v>
      </c>
      <c r="F123" s="12" t="s">
        <v>157</v>
      </c>
      <c r="G123" s="12" t="s">
        <v>157</v>
      </c>
      <c r="H123" s="12" t="s">
        <v>157</v>
      </c>
      <c r="I123" s="12" t="s">
        <v>157</v>
      </c>
      <c r="J123" s="12" t="s">
        <v>157</v>
      </c>
      <c r="K123" s="12" t="s">
        <v>157</v>
      </c>
      <c r="L123" s="12" t="s">
        <v>157</v>
      </c>
      <c r="M123" s="12" t="s">
        <v>157</v>
      </c>
      <c r="N123" s="12" t="s">
        <v>157</v>
      </c>
      <c r="O123" s="12" t="s">
        <v>157</v>
      </c>
      <c r="P123" s="12" t="s">
        <v>157</v>
      </c>
      <c r="Q123" s="12" t="s">
        <v>157</v>
      </c>
      <c r="R123" s="12" t="s">
        <v>157</v>
      </c>
      <c r="S123" s="12" t="s">
        <v>157</v>
      </c>
      <c r="T123" s="12" t="s">
        <v>157</v>
      </c>
      <c r="U123" s="12" t="s">
        <v>157</v>
      </c>
      <c r="V123" s="12" t="s">
        <v>157</v>
      </c>
      <c r="W123" s="12" t="s">
        <v>157</v>
      </c>
      <c r="X123" s="12" t="s">
        <v>157</v>
      </c>
      <c r="Y123" s="12" t="s">
        <v>157</v>
      </c>
      <c r="Z123" s="12" t="s">
        <v>157</v>
      </c>
      <c r="AA123" s="12" t="s">
        <v>157</v>
      </c>
      <c r="AB123" s="12" t="s">
        <v>157</v>
      </c>
      <c r="AC123" s="12" t="s">
        <v>157</v>
      </c>
      <c r="AD123" s="12" t="s">
        <v>157</v>
      </c>
      <c r="AE123" s="12" t="s">
        <v>157</v>
      </c>
      <c r="AF123" s="12" t="s">
        <v>157</v>
      </c>
      <c r="AG123" s="12" t="s">
        <v>157</v>
      </c>
      <c r="AH123" s="12" t="s">
        <v>157</v>
      </c>
      <c r="AI123" s="12" t="s">
        <v>157</v>
      </c>
      <c r="AJ123" s="12" t="s">
        <v>157</v>
      </c>
    </row>
    <row r="124" spans="2:38">
      <c r="B124" s="26" t="s">
        <v>158</v>
      </c>
      <c r="C124" s="12">
        <v>0.18</v>
      </c>
      <c r="D124" s="12">
        <v>0.99</v>
      </c>
      <c r="E124" s="12">
        <v>1.38</v>
      </c>
      <c r="F124" s="12">
        <v>2.78</v>
      </c>
      <c r="G124" s="12">
        <v>2.06</v>
      </c>
      <c r="H124" s="12">
        <v>1.76</v>
      </c>
      <c r="I124" s="12">
        <v>207.92</v>
      </c>
      <c r="J124" s="12">
        <v>23.37</v>
      </c>
      <c r="K124" s="12">
        <v>25.28</v>
      </c>
      <c r="L124" s="12">
        <v>3.66</v>
      </c>
      <c r="M124" s="12">
        <v>789.84</v>
      </c>
      <c r="N124" s="12">
        <v>19.45</v>
      </c>
      <c r="O124" s="12">
        <v>187.06</v>
      </c>
      <c r="P124" s="12">
        <v>1.41</v>
      </c>
      <c r="Q124" s="12">
        <v>30.48</v>
      </c>
      <c r="R124" s="12">
        <v>65.75</v>
      </c>
      <c r="S124" s="12">
        <v>4.51</v>
      </c>
      <c r="T124" s="12">
        <v>3.74</v>
      </c>
      <c r="U124" s="12">
        <v>2.64</v>
      </c>
      <c r="V124" s="12">
        <v>52.86</v>
      </c>
      <c r="W124" s="12">
        <v>6.43</v>
      </c>
      <c r="X124" s="12">
        <v>30.25</v>
      </c>
      <c r="Y124" s="12">
        <v>1.42</v>
      </c>
      <c r="Z124" s="12">
        <v>38.44</v>
      </c>
      <c r="AA124" s="12">
        <v>4.01</v>
      </c>
      <c r="AB124" s="12">
        <v>18.16</v>
      </c>
      <c r="AC124" s="12">
        <v>3.82</v>
      </c>
      <c r="AD124" s="12">
        <v>128.51</v>
      </c>
      <c r="AE124" s="12">
        <v>57.66</v>
      </c>
      <c r="AF124" s="12">
        <v>286.93</v>
      </c>
      <c r="AG124" s="12">
        <v>277.81</v>
      </c>
      <c r="AH124" s="12">
        <v>3.22</v>
      </c>
      <c r="AI124" s="12">
        <v>1667.33</v>
      </c>
      <c r="AJ124" s="12">
        <v>264.61</v>
      </c>
    </row>
    <row r="125" spans="2:38">
      <c r="B125" s="25" t="s">
        <v>41</v>
      </c>
      <c r="C125" s="12">
        <v>-29.89</v>
      </c>
      <c r="D125" s="12">
        <v>123.45</v>
      </c>
      <c r="E125" s="12">
        <v>338.94</v>
      </c>
      <c r="F125" s="12">
        <v>514.24</v>
      </c>
      <c r="G125" s="12">
        <v>779.06</v>
      </c>
      <c r="H125" s="12">
        <v>1278.96</v>
      </c>
      <c r="I125" s="12">
        <v>1700.2</v>
      </c>
      <c r="J125" s="12">
        <v>1841.71</v>
      </c>
      <c r="K125" s="12">
        <v>1870.26</v>
      </c>
      <c r="L125" s="12">
        <v>1852.34</v>
      </c>
      <c r="M125" s="12">
        <v>1843.02</v>
      </c>
      <c r="N125" s="12">
        <v>1910.85</v>
      </c>
      <c r="O125" s="12">
        <v>1943.15</v>
      </c>
      <c r="P125" s="12">
        <v>2037.88</v>
      </c>
      <c r="Q125" s="12">
        <v>2095.27</v>
      </c>
      <c r="R125" s="12">
        <v>2165.1999999999998</v>
      </c>
      <c r="S125" s="12">
        <v>2379.3200000000002</v>
      </c>
      <c r="T125" s="12">
        <v>2569.5100000000002</v>
      </c>
      <c r="U125" s="12">
        <v>2754.62</v>
      </c>
      <c r="V125" s="12">
        <v>2900.12</v>
      </c>
      <c r="W125" s="12">
        <v>2971.71</v>
      </c>
      <c r="X125" s="12">
        <v>3031.48</v>
      </c>
      <c r="Y125" s="12">
        <v>2703.68</v>
      </c>
      <c r="Z125" s="12">
        <v>2712.58</v>
      </c>
      <c r="AA125" s="12">
        <v>2768.42</v>
      </c>
      <c r="AB125" s="12">
        <v>2486.7800000000002</v>
      </c>
      <c r="AC125" s="12">
        <v>2370.96</v>
      </c>
      <c r="AD125" s="12">
        <v>2448.61</v>
      </c>
      <c r="AE125" s="12">
        <v>2570.48</v>
      </c>
      <c r="AF125" s="12">
        <v>2635.54</v>
      </c>
      <c r="AG125" s="12">
        <v>2684.21</v>
      </c>
      <c r="AH125" s="12">
        <v>2873.77</v>
      </c>
      <c r="AI125" s="12">
        <v>2859.49</v>
      </c>
      <c r="AJ125" s="12">
        <v>2863.43</v>
      </c>
    </row>
    <row r="126" spans="2:38">
      <c r="B126" s="26" t="s">
        <v>159</v>
      </c>
      <c r="C126" s="12" t="s">
        <v>109</v>
      </c>
      <c r="D126" s="12" t="s">
        <v>109</v>
      </c>
      <c r="E126" s="12" t="s">
        <v>109</v>
      </c>
      <c r="F126" s="12" t="s">
        <v>109</v>
      </c>
      <c r="G126" s="12" t="s">
        <v>109</v>
      </c>
      <c r="H126" s="12" t="s">
        <v>109</v>
      </c>
      <c r="I126" s="12" t="s">
        <v>109</v>
      </c>
      <c r="J126" s="12" t="s">
        <v>109</v>
      </c>
      <c r="K126" s="12" t="s">
        <v>109</v>
      </c>
      <c r="L126" s="12" t="s">
        <v>109</v>
      </c>
      <c r="M126" s="12" t="s">
        <v>109</v>
      </c>
      <c r="N126" s="12" t="s">
        <v>109</v>
      </c>
      <c r="O126" s="12" t="s">
        <v>109</v>
      </c>
      <c r="P126" s="12" t="s">
        <v>109</v>
      </c>
      <c r="Q126" s="12" t="s">
        <v>109</v>
      </c>
      <c r="R126" s="12" t="s">
        <v>109</v>
      </c>
      <c r="S126" s="12" t="s">
        <v>109</v>
      </c>
      <c r="T126" s="12" t="s">
        <v>109</v>
      </c>
      <c r="U126" s="12" t="s">
        <v>109</v>
      </c>
      <c r="V126" s="12" t="s">
        <v>109</v>
      </c>
      <c r="W126" s="12" t="s">
        <v>109</v>
      </c>
      <c r="X126" s="12" t="s">
        <v>109</v>
      </c>
      <c r="Y126" s="12" t="s">
        <v>109</v>
      </c>
      <c r="Z126" s="12" t="s">
        <v>109</v>
      </c>
      <c r="AA126" s="12" t="s">
        <v>109</v>
      </c>
      <c r="AB126" s="12" t="s">
        <v>109</v>
      </c>
      <c r="AC126" s="12" t="s">
        <v>109</v>
      </c>
      <c r="AD126" s="12" t="s">
        <v>109</v>
      </c>
      <c r="AE126" s="12" t="s">
        <v>109</v>
      </c>
      <c r="AF126" s="12" t="s">
        <v>109</v>
      </c>
      <c r="AG126" s="12" t="s">
        <v>109</v>
      </c>
      <c r="AH126" s="12" t="s">
        <v>109</v>
      </c>
      <c r="AI126" s="12" t="s">
        <v>109</v>
      </c>
      <c r="AJ126" s="12" t="s">
        <v>109</v>
      </c>
    </row>
    <row r="127" spans="2:38">
      <c r="B127" s="26" t="s">
        <v>160</v>
      </c>
      <c r="C127" s="12">
        <v>-29.89</v>
      </c>
      <c r="D127" s="12">
        <v>123.45</v>
      </c>
      <c r="E127" s="12">
        <v>338.94</v>
      </c>
      <c r="F127" s="12">
        <v>514.24</v>
      </c>
      <c r="G127" s="12">
        <v>779.06</v>
      </c>
      <c r="H127" s="12">
        <v>1278.96</v>
      </c>
      <c r="I127" s="12">
        <v>1700.2</v>
      </c>
      <c r="J127" s="12">
        <v>1841.71</v>
      </c>
      <c r="K127" s="12">
        <v>1870.26</v>
      </c>
      <c r="L127" s="12">
        <v>1852.34</v>
      </c>
      <c r="M127" s="12">
        <v>1843.02</v>
      </c>
      <c r="N127" s="12">
        <v>1910.85</v>
      </c>
      <c r="O127" s="12">
        <v>1943.15</v>
      </c>
      <c r="P127" s="12">
        <v>2037.88</v>
      </c>
      <c r="Q127" s="12">
        <v>2095.27</v>
      </c>
      <c r="R127" s="12">
        <v>2165.1999999999998</v>
      </c>
      <c r="S127" s="12">
        <v>2379.3200000000002</v>
      </c>
      <c r="T127" s="12">
        <v>2569.5100000000002</v>
      </c>
      <c r="U127" s="12">
        <v>2754.62</v>
      </c>
      <c r="V127" s="12">
        <v>2900.12</v>
      </c>
      <c r="W127" s="12">
        <v>2971.71</v>
      </c>
      <c r="X127" s="12">
        <v>3031.48</v>
      </c>
      <c r="Y127" s="12">
        <v>2703.68</v>
      </c>
      <c r="Z127" s="12">
        <v>2712.58</v>
      </c>
      <c r="AA127" s="12">
        <v>2768.42</v>
      </c>
      <c r="AB127" s="12">
        <v>2486.7800000000002</v>
      </c>
      <c r="AC127" s="12">
        <v>2370.96</v>
      </c>
      <c r="AD127" s="12">
        <v>2448.61</v>
      </c>
      <c r="AE127" s="12">
        <v>2570.48</v>
      </c>
      <c r="AF127" s="12">
        <v>2635.54</v>
      </c>
      <c r="AG127" s="12">
        <v>2684.21</v>
      </c>
      <c r="AH127" s="12">
        <v>2873.77</v>
      </c>
      <c r="AI127" s="12">
        <v>2859.49</v>
      </c>
      <c r="AJ127" s="12">
        <v>2863.43</v>
      </c>
    </row>
    <row r="128" spans="2:38">
      <c r="B128" s="25" t="s">
        <v>42</v>
      </c>
      <c r="C128" s="12">
        <v>-670.41</v>
      </c>
      <c r="D128" s="12">
        <v>-712.21</v>
      </c>
      <c r="E128" s="12">
        <v>-686.06</v>
      </c>
      <c r="F128" s="12">
        <v>-679.09</v>
      </c>
      <c r="G128" s="12">
        <v>-678.03</v>
      </c>
      <c r="H128" s="12">
        <v>-693.12</v>
      </c>
      <c r="I128" s="12">
        <v>-711.17</v>
      </c>
      <c r="J128" s="12">
        <v>-728.41</v>
      </c>
      <c r="K128" s="12">
        <v>-734.29</v>
      </c>
      <c r="L128" s="12">
        <v>-734.55</v>
      </c>
      <c r="M128" s="12">
        <v>-741.89</v>
      </c>
      <c r="N128" s="12">
        <v>-722.83</v>
      </c>
      <c r="O128" s="12">
        <v>-688.75</v>
      </c>
      <c r="P128" s="12">
        <v>-670.25</v>
      </c>
      <c r="Q128" s="12">
        <v>-622.22</v>
      </c>
      <c r="R128" s="12">
        <v>-531.52</v>
      </c>
      <c r="S128" s="12">
        <v>-377.15</v>
      </c>
      <c r="T128" s="12">
        <v>-298.26</v>
      </c>
      <c r="U128" s="12">
        <v>-252.1</v>
      </c>
      <c r="V128" s="12">
        <v>-231.14</v>
      </c>
      <c r="W128" s="12">
        <v>-211.75</v>
      </c>
      <c r="X128" s="12">
        <v>-161.47999999999999</v>
      </c>
      <c r="Y128" s="12">
        <v>-174.72</v>
      </c>
      <c r="Z128" s="12">
        <v>-167.52</v>
      </c>
      <c r="AA128" s="12">
        <v>-150.55000000000001</v>
      </c>
      <c r="AB128" s="12">
        <v>-120.8</v>
      </c>
      <c r="AC128" s="12">
        <v>-88.89</v>
      </c>
      <c r="AD128" s="12">
        <v>-55.86</v>
      </c>
      <c r="AE128" s="12">
        <v>-36.36</v>
      </c>
      <c r="AF128" s="12">
        <v>-23.93</v>
      </c>
      <c r="AG128" s="12">
        <v>-16.02</v>
      </c>
      <c r="AH128" s="12">
        <v>-6.9</v>
      </c>
      <c r="AI128" s="12">
        <v>1.24</v>
      </c>
      <c r="AJ128" s="12">
        <v>8.11</v>
      </c>
    </row>
    <row r="129" spans="2:36">
      <c r="B129" s="26" t="s">
        <v>161</v>
      </c>
      <c r="C129" s="12" t="s">
        <v>109</v>
      </c>
      <c r="D129" s="12" t="s">
        <v>109</v>
      </c>
      <c r="E129" s="12" t="s">
        <v>109</v>
      </c>
      <c r="F129" s="12" t="s">
        <v>109</v>
      </c>
      <c r="G129" s="12" t="s">
        <v>109</v>
      </c>
      <c r="H129" s="12" t="s">
        <v>109</v>
      </c>
      <c r="I129" s="12" t="s">
        <v>109</v>
      </c>
      <c r="J129" s="12" t="s">
        <v>109</v>
      </c>
      <c r="K129" s="12" t="s">
        <v>109</v>
      </c>
      <c r="L129" s="12" t="s">
        <v>109</v>
      </c>
      <c r="M129" s="12" t="s">
        <v>109</v>
      </c>
      <c r="N129" s="12" t="s">
        <v>109</v>
      </c>
      <c r="O129" s="12" t="s">
        <v>109</v>
      </c>
      <c r="P129" s="12" t="s">
        <v>109</v>
      </c>
      <c r="Q129" s="12" t="s">
        <v>109</v>
      </c>
      <c r="R129" s="12" t="s">
        <v>109</v>
      </c>
      <c r="S129" s="12" t="s">
        <v>109</v>
      </c>
      <c r="T129" s="12" t="s">
        <v>109</v>
      </c>
      <c r="U129" s="12" t="s">
        <v>109</v>
      </c>
      <c r="V129" s="12" t="s">
        <v>109</v>
      </c>
      <c r="W129" s="12" t="s">
        <v>109</v>
      </c>
      <c r="X129" s="12" t="s">
        <v>109</v>
      </c>
      <c r="Y129" s="12" t="s">
        <v>109</v>
      </c>
      <c r="Z129" s="12" t="s">
        <v>109</v>
      </c>
      <c r="AA129" s="12" t="s">
        <v>109</v>
      </c>
      <c r="AB129" s="12" t="s">
        <v>109</v>
      </c>
      <c r="AC129" s="12" t="s">
        <v>109</v>
      </c>
      <c r="AD129" s="12" t="s">
        <v>109</v>
      </c>
      <c r="AE129" s="12" t="s">
        <v>109</v>
      </c>
      <c r="AF129" s="12" t="s">
        <v>109</v>
      </c>
      <c r="AG129" s="12" t="s">
        <v>109</v>
      </c>
      <c r="AH129" s="12" t="s">
        <v>109</v>
      </c>
      <c r="AI129" s="12" t="s">
        <v>109</v>
      </c>
      <c r="AJ129" s="12" t="s">
        <v>109</v>
      </c>
    </row>
    <row r="130" spans="2:36">
      <c r="B130" s="26" t="s">
        <v>162</v>
      </c>
      <c r="C130" s="12">
        <v>-670.41</v>
      </c>
      <c r="D130" s="12">
        <v>-712.21</v>
      </c>
      <c r="E130" s="12">
        <v>-686.06</v>
      </c>
      <c r="F130" s="12">
        <v>-679.09</v>
      </c>
      <c r="G130" s="12">
        <v>-678.03</v>
      </c>
      <c r="H130" s="12">
        <v>-693.12</v>
      </c>
      <c r="I130" s="12">
        <v>-711.17</v>
      </c>
      <c r="J130" s="12">
        <v>-728.41</v>
      </c>
      <c r="K130" s="12">
        <v>-734.29</v>
      </c>
      <c r="L130" s="12">
        <v>-734.55</v>
      </c>
      <c r="M130" s="12">
        <v>-741.89</v>
      </c>
      <c r="N130" s="12">
        <v>-722.83</v>
      </c>
      <c r="O130" s="12">
        <v>-688.75</v>
      </c>
      <c r="P130" s="12">
        <v>-670.25</v>
      </c>
      <c r="Q130" s="12">
        <v>-622.22</v>
      </c>
      <c r="R130" s="12">
        <v>-531.52</v>
      </c>
      <c r="S130" s="12">
        <v>-377.15</v>
      </c>
      <c r="T130" s="12">
        <v>-298.26</v>
      </c>
      <c r="U130" s="12">
        <v>-252.1</v>
      </c>
      <c r="V130" s="12">
        <v>-231.14</v>
      </c>
      <c r="W130" s="12">
        <v>-211.75</v>
      </c>
      <c r="X130" s="12">
        <v>-161.47999999999999</v>
      </c>
      <c r="Y130" s="12">
        <v>-174.72</v>
      </c>
      <c r="Z130" s="12">
        <v>-167.52</v>
      </c>
      <c r="AA130" s="12">
        <v>-150.55000000000001</v>
      </c>
      <c r="AB130" s="12">
        <v>-120.8</v>
      </c>
      <c r="AC130" s="12">
        <v>-88.89</v>
      </c>
      <c r="AD130" s="12">
        <v>-55.86</v>
      </c>
      <c r="AE130" s="12">
        <v>-36.36</v>
      </c>
      <c r="AF130" s="12">
        <v>-23.93</v>
      </c>
      <c r="AG130" s="12">
        <v>-16.02</v>
      </c>
      <c r="AH130" s="12">
        <v>-6.9</v>
      </c>
      <c r="AI130" s="12">
        <v>1.24</v>
      </c>
      <c r="AJ130" s="12">
        <v>8.11</v>
      </c>
    </row>
    <row r="131" spans="2:36">
      <c r="B131" s="25" t="s">
        <v>43</v>
      </c>
      <c r="C131" s="12">
        <v>65.239999999999995</v>
      </c>
      <c r="D131" s="12">
        <v>58.2</v>
      </c>
      <c r="E131" s="12">
        <v>63.62</v>
      </c>
      <c r="F131" s="12">
        <v>63.49</v>
      </c>
      <c r="G131" s="12">
        <v>63.59</v>
      </c>
      <c r="H131" s="12">
        <v>76.77</v>
      </c>
      <c r="I131" s="12">
        <v>71.180000000000007</v>
      </c>
      <c r="J131" s="12">
        <v>74.83</v>
      </c>
      <c r="K131" s="12">
        <v>75.099999999999994</v>
      </c>
      <c r="L131" s="12">
        <v>69.22</v>
      </c>
      <c r="M131" s="12">
        <v>71.010000000000005</v>
      </c>
      <c r="N131" s="12">
        <v>70.569999999999993</v>
      </c>
      <c r="O131" s="12">
        <v>72.099999999999994</v>
      </c>
      <c r="P131" s="12">
        <v>65.599999999999994</v>
      </c>
      <c r="Q131" s="12">
        <v>56.46</v>
      </c>
      <c r="R131" s="12">
        <v>29.44</v>
      </c>
      <c r="S131" s="12">
        <v>21.64</v>
      </c>
      <c r="T131" s="12">
        <v>25.08</v>
      </c>
      <c r="U131" s="12">
        <v>35.65</v>
      </c>
      <c r="V131" s="12">
        <v>35.869999999999997</v>
      </c>
      <c r="W131" s="12">
        <v>29.19</v>
      </c>
      <c r="X131" s="12">
        <v>30.06</v>
      </c>
      <c r="Y131" s="12">
        <v>24.79</v>
      </c>
      <c r="Z131" s="12">
        <v>30.61</v>
      </c>
      <c r="AA131" s="12">
        <v>32.26</v>
      </c>
      <c r="AB131" s="12">
        <v>41.46</v>
      </c>
      <c r="AC131" s="12">
        <v>44.33</v>
      </c>
      <c r="AD131" s="12">
        <v>27.67</v>
      </c>
      <c r="AE131" s="12">
        <v>15.19</v>
      </c>
      <c r="AF131" s="12">
        <v>10.24</v>
      </c>
      <c r="AG131" s="12">
        <v>8.75</v>
      </c>
      <c r="AH131" s="12">
        <v>4.6900000000000004</v>
      </c>
      <c r="AI131" s="12">
        <v>0.13</v>
      </c>
      <c r="AJ131" s="12">
        <v>-0.4</v>
      </c>
    </row>
    <row r="132" spans="2:36">
      <c r="B132" s="26" t="s">
        <v>163</v>
      </c>
      <c r="C132" s="12">
        <v>-21.06</v>
      </c>
      <c r="D132" s="12">
        <v>-20.79</v>
      </c>
      <c r="E132" s="12">
        <v>-19.16</v>
      </c>
      <c r="F132" s="12">
        <v>-18.72</v>
      </c>
      <c r="G132" s="12">
        <v>-19.25</v>
      </c>
      <c r="H132" s="12">
        <v>-19.23</v>
      </c>
      <c r="I132" s="12">
        <v>-20.22</v>
      </c>
      <c r="J132" s="12">
        <v>-18.66</v>
      </c>
      <c r="K132" s="12">
        <v>-19.46</v>
      </c>
      <c r="L132" s="12">
        <v>-21.07</v>
      </c>
      <c r="M132" s="12">
        <v>-20.83</v>
      </c>
      <c r="N132" s="12">
        <v>-22.28</v>
      </c>
      <c r="O132" s="12">
        <v>-21.68</v>
      </c>
      <c r="P132" s="12">
        <v>-23.03</v>
      </c>
      <c r="Q132" s="12">
        <v>-22.83</v>
      </c>
      <c r="R132" s="12">
        <v>-24.48</v>
      </c>
      <c r="S132" s="12">
        <v>-25.22</v>
      </c>
      <c r="T132" s="12">
        <v>-24.7</v>
      </c>
      <c r="U132" s="12">
        <v>-24.43</v>
      </c>
      <c r="V132" s="12">
        <v>-25.13</v>
      </c>
      <c r="W132" s="12">
        <v>-27.64</v>
      </c>
      <c r="X132" s="12">
        <v>-27.97</v>
      </c>
      <c r="Y132" s="12">
        <v>-27.42</v>
      </c>
      <c r="Z132" s="12">
        <v>-21.31</v>
      </c>
      <c r="AA132" s="12">
        <v>-21.83</v>
      </c>
      <c r="AB132" s="12">
        <v>-20.74</v>
      </c>
      <c r="AC132" s="12">
        <v>-20.85</v>
      </c>
      <c r="AD132" s="12">
        <v>-23.06</v>
      </c>
      <c r="AE132" s="12">
        <v>-20.420000000000002</v>
      </c>
      <c r="AF132" s="12">
        <v>-21.47</v>
      </c>
      <c r="AG132" s="12">
        <v>-21.82</v>
      </c>
      <c r="AH132" s="12">
        <v>-22.24</v>
      </c>
      <c r="AI132" s="12">
        <v>-23.72</v>
      </c>
      <c r="AJ132" s="12">
        <v>-23.22</v>
      </c>
    </row>
    <row r="133" spans="2:36">
      <c r="B133" s="26" t="s">
        <v>164</v>
      </c>
      <c r="C133" s="12" t="s">
        <v>109</v>
      </c>
      <c r="D133" s="12" t="s">
        <v>109</v>
      </c>
      <c r="E133" s="12" t="s">
        <v>109</v>
      </c>
      <c r="F133" s="12" t="s">
        <v>109</v>
      </c>
      <c r="G133" s="12" t="s">
        <v>109</v>
      </c>
      <c r="H133" s="12" t="s">
        <v>109</v>
      </c>
      <c r="I133" s="12" t="s">
        <v>109</v>
      </c>
      <c r="J133" s="12" t="s">
        <v>109</v>
      </c>
      <c r="K133" s="12" t="s">
        <v>109</v>
      </c>
      <c r="L133" s="12" t="s">
        <v>109</v>
      </c>
      <c r="M133" s="12" t="s">
        <v>109</v>
      </c>
      <c r="N133" s="12" t="s">
        <v>109</v>
      </c>
      <c r="O133" s="12" t="s">
        <v>109</v>
      </c>
      <c r="P133" s="12" t="s">
        <v>109</v>
      </c>
      <c r="Q133" s="12" t="s">
        <v>109</v>
      </c>
      <c r="R133" s="12" t="s">
        <v>109</v>
      </c>
      <c r="S133" s="12" t="s">
        <v>109</v>
      </c>
      <c r="T133" s="12" t="s">
        <v>109</v>
      </c>
      <c r="U133" s="12" t="s">
        <v>109</v>
      </c>
      <c r="V133" s="12" t="s">
        <v>109</v>
      </c>
      <c r="W133" s="12" t="s">
        <v>109</v>
      </c>
      <c r="X133" s="12" t="s">
        <v>109</v>
      </c>
      <c r="Y133" s="12" t="s">
        <v>109</v>
      </c>
      <c r="Z133" s="12" t="s">
        <v>109</v>
      </c>
      <c r="AA133" s="12" t="s">
        <v>109</v>
      </c>
      <c r="AB133" s="12" t="s">
        <v>109</v>
      </c>
      <c r="AC133" s="12" t="s">
        <v>109</v>
      </c>
      <c r="AD133" s="12" t="s">
        <v>109</v>
      </c>
      <c r="AE133" s="12" t="s">
        <v>109</v>
      </c>
      <c r="AF133" s="12" t="s">
        <v>109</v>
      </c>
      <c r="AG133" s="12" t="s">
        <v>109</v>
      </c>
      <c r="AH133" s="12" t="s">
        <v>109</v>
      </c>
      <c r="AI133" s="12" t="s">
        <v>109</v>
      </c>
      <c r="AJ133" s="12" t="s">
        <v>109</v>
      </c>
    </row>
    <row r="134" spans="2:36">
      <c r="B134" s="26" t="s">
        <v>165</v>
      </c>
      <c r="C134" s="12">
        <v>-21.06</v>
      </c>
      <c r="D134" s="12">
        <v>-20.79</v>
      </c>
      <c r="E134" s="12">
        <v>-19.16</v>
      </c>
      <c r="F134" s="12">
        <v>-18.72</v>
      </c>
      <c r="G134" s="12">
        <v>-19.25</v>
      </c>
      <c r="H134" s="12">
        <v>-19.23</v>
      </c>
      <c r="I134" s="12">
        <v>-20.22</v>
      </c>
      <c r="J134" s="12">
        <v>-18.66</v>
      </c>
      <c r="K134" s="12">
        <v>-19.46</v>
      </c>
      <c r="L134" s="12">
        <v>-21.07</v>
      </c>
      <c r="M134" s="12">
        <v>-20.83</v>
      </c>
      <c r="N134" s="12">
        <v>-22.28</v>
      </c>
      <c r="O134" s="12">
        <v>-21.68</v>
      </c>
      <c r="P134" s="12">
        <v>-23.03</v>
      </c>
      <c r="Q134" s="12">
        <v>-22.83</v>
      </c>
      <c r="R134" s="12">
        <v>-24.48</v>
      </c>
      <c r="S134" s="12">
        <v>-25.22</v>
      </c>
      <c r="T134" s="12">
        <v>-24.7</v>
      </c>
      <c r="U134" s="12">
        <v>-24.43</v>
      </c>
      <c r="V134" s="12">
        <v>-25.13</v>
      </c>
      <c r="W134" s="12">
        <v>-27.64</v>
      </c>
      <c r="X134" s="12">
        <v>-27.97</v>
      </c>
      <c r="Y134" s="12">
        <v>-27.42</v>
      </c>
      <c r="Z134" s="12">
        <v>-21.31</v>
      </c>
      <c r="AA134" s="12">
        <v>-21.83</v>
      </c>
      <c r="AB134" s="12">
        <v>-20.74</v>
      </c>
      <c r="AC134" s="12">
        <v>-20.85</v>
      </c>
      <c r="AD134" s="12">
        <v>-23.06</v>
      </c>
      <c r="AE134" s="12">
        <v>-20.420000000000002</v>
      </c>
      <c r="AF134" s="12">
        <v>-21.47</v>
      </c>
      <c r="AG134" s="12">
        <v>-21.82</v>
      </c>
      <c r="AH134" s="12">
        <v>-22.24</v>
      </c>
      <c r="AI134" s="12">
        <v>-23.72</v>
      </c>
      <c r="AJ134" s="12">
        <v>-23.22</v>
      </c>
    </row>
    <row r="135" spans="2:36">
      <c r="B135" s="26" t="s">
        <v>166</v>
      </c>
      <c r="C135" s="12">
        <v>86.3</v>
      </c>
      <c r="D135" s="12">
        <v>78.989999999999995</v>
      </c>
      <c r="E135" s="12">
        <v>82.79</v>
      </c>
      <c r="F135" s="12">
        <v>82.21</v>
      </c>
      <c r="G135" s="12">
        <v>82.84</v>
      </c>
      <c r="H135" s="12">
        <v>96</v>
      </c>
      <c r="I135" s="12">
        <v>91.4</v>
      </c>
      <c r="J135" s="12">
        <v>93.49</v>
      </c>
      <c r="K135" s="12">
        <v>94.56</v>
      </c>
      <c r="L135" s="12">
        <v>90.3</v>
      </c>
      <c r="M135" s="12">
        <v>91.84</v>
      </c>
      <c r="N135" s="12">
        <v>92.85</v>
      </c>
      <c r="O135" s="12">
        <v>93.78</v>
      </c>
      <c r="P135" s="12">
        <v>88.63</v>
      </c>
      <c r="Q135" s="12">
        <v>79.28</v>
      </c>
      <c r="R135" s="12">
        <v>53.92</v>
      </c>
      <c r="S135" s="12">
        <v>46.86</v>
      </c>
      <c r="T135" s="12">
        <v>49.79</v>
      </c>
      <c r="U135" s="12">
        <v>60.08</v>
      </c>
      <c r="V135" s="12">
        <v>61</v>
      </c>
      <c r="W135" s="12">
        <v>56.83</v>
      </c>
      <c r="X135" s="12">
        <v>58.03</v>
      </c>
      <c r="Y135" s="12">
        <v>52.22</v>
      </c>
      <c r="Z135" s="12">
        <v>51.91</v>
      </c>
      <c r="AA135" s="12">
        <v>54.09</v>
      </c>
      <c r="AB135" s="12">
        <v>62.2</v>
      </c>
      <c r="AC135" s="12">
        <v>65.17</v>
      </c>
      <c r="AD135" s="12">
        <v>50.73</v>
      </c>
      <c r="AE135" s="12">
        <v>35.6</v>
      </c>
      <c r="AF135" s="12">
        <v>31.71</v>
      </c>
      <c r="AG135" s="12">
        <v>30.57</v>
      </c>
      <c r="AH135" s="12">
        <v>26.94</v>
      </c>
      <c r="AI135" s="12">
        <v>23.85</v>
      </c>
      <c r="AJ135" s="12">
        <v>22.82</v>
      </c>
    </row>
    <row r="136" spans="2:36">
      <c r="B136" s="26" t="s">
        <v>164</v>
      </c>
      <c r="C136" s="12">
        <v>86.3</v>
      </c>
      <c r="D136" s="12">
        <v>78.989999999999995</v>
      </c>
      <c r="E136" s="12">
        <v>82.79</v>
      </c>
      <c r="F136" s="12">
        <v>82.21</v>
      </c>
      <c r="G136" s="12">
        <v>82.84</v>
      </c>
      <c r="H136" s="12">
        <v>96</v>
      </c>
      <c r="I136" s="12">
        <v>91.4</v>
      </c>
      <c r="J136" s="12">
        <v>93.49</v>
      </c>
      <c r="K136" s="12">
        <v>94.56</v>
      </c>
      <c r="L136" s="12">
        <v>90.3</v>
      </c>
      <c r="M136" s="12">
        <v>91.84</v>
      </c>
      <c r="N136" s="12">
        <v>92.85</v>
      </c>
      <c r="O136" s="12">
        <v>93.78</v>
      </c>
      <c r="P136" s="12">
        <v>88.63</v>
      </c>
      <c r="Q136" s="12">
        <v>79.28</v>
      </c>
      <c r="R136" s="12">
        <v>53.92</v>
      </c>
      <c r="S136" s="12">
        <v>46.86</v>
      </c>
      <c r="T136" s="12">
        <v>49.79</v>
      </c>
      <c r="U136" s="12">
        <v>60.08</v>
      </c>
      <c r="V136" s="12">
        <v>61</v>
      </c>
      <c r="W136" s="12">
        <v>56.83</v>
      </c>
      <c r="X136" s="12">
        <v>58.03</v>
      </c>
      <c r="Y136" s="12">
        <v>52.22</v>
      </c>
      <c r="Z136" s="12">
        <v>51.91</v>
      </c>
      <c r="AA136" s="12">
        <v>54.09</v>
      </c>
      <c r="AB136" s="12">
        <v>62.2</v>
      </c>
      <c r="AC136" s="12">
        <v>65.17</v>
      </c>
      <c r="AD136" s="12">
        <v>50.73</v>
      </c>
      <c r="AE136" s="12">
        <v>35.6</v>
      </c>
      <c r="AF136" s="12">
        <v>31.71</v>
      </c>
      <c r="AG136" s="12">
        <v>30.57</v>
      </c>
      <c r="AH136" s="12">
        <v>26.94</v>
      </c>
      <c r="AI136" s="12">
        <v>23.85</v>
      </c>
      <c r="AJ136" s="12">
        <v>22.82</v>
      </c>
    </row>
    <row r="137" spans="2:36">
      <c r="B137" s="25" t="s">
        <v>44</v>
      </c>
      <c r="C137" s="12">
        <v>-729.01</v>
      </c>
      <c r="D137" s="12">
        <v>-750.14</v>
      </c>
      <c r="E137" s="12">
        <v>-770.95</v>
      </c>
      <c r="F137" s="12">
        <v>-791.44</v>
      </c>
      <c r="G137" s="12">
        <v>-811.62</v>
      </c>
      <c r="H137" s="12">
        <v>-831.48</v>
      </c>
      <c r="I137" s="12">
        <v>-851.03</v>
      </c>
      <c r="J137" s="12">
        <v>-870.26</v>
      </c>
      <c r="K137" s="12">
        <v>-889.17</v>
      </c>
      <c r="L137" s="12">
        <v>-907.77</v>
      </c>
      <c r="M137" s="12">
        <v>-926.05</v>
      </c>
      <c r="N137" s="12">
        <v>-944.01</v>
      </c>
      <c r="O137" s="12">
        <v>-915.35</v>
      </c>
      <c r="P137" s="12">
        <v>-936.74</v>
      </c>
      <c r="Q137" s="12">
        <v>-957.77</v>
      </c>
      <c r="R137" s="12">
        <v>-978.43</v>
      </c>
      <c r="S137" s="12">
        <v>-998.72</v>
      </c>
      <c r="T137" s="12">
        <v>-1018.65</v>
      </c>
      <c r="U137" s="12">
        <v>-1038.21</v>
      </c>
      <c r="V137" s="12">
        <v>-1057.4000000000001</v>
      </c>
      <c r="W137" s="12">
        <v>-1076.23</v>
      </c>
      <c r="X137" s="12">
        <v>-1094.69</v>
      </c>
      <c r="Y137" s="12">
        <v>-1112.78</v>
      </c>
      <c r="Z137" s="12">
        <v>-1130.51</v>
      </c>
      <c r="AA137" s="12">
        <v>-1147.8800000000001</v>
      </c>
      <c r="AB137" s="12">
        <v>-1164.8699999999999</v>
      </c>
      <c r="AC137" s="12">
        <v>-1181.5</v>
      </c>
      <c r="AD137" s="12">
        <v>-1197.77</v>
      </c>
      <c r="AE137" s="12">
        <v>-1213.67</v>
      </c>
      <c r="AF137" s="12">
        <v>-1229.2</v>
      </c>
      <c r="AG137" s="12">
        <v>-1224.7</v>
      </c>
      <c r="AH137" s="12">
        <v>-1220.18</v>
      </c>
      <c r="AI137" s="12">
        <v>-1215.6400000000001</v>
      </c>
      <c r="AJ137" s="12">
        <v>-1211.07</v>
      </c>
    </row>
    <row r="138" spans="2:36">
      <c r="B138" s="26" t="s">
        <v>167</v>
      </c>
      <c r="C138" s="12">
        <v>-729.01</v>
      </c>
      <c r="D138" s="12">
        <v>-750.14</v>
      </c>
      <c r="E138" s="12">
        <v>-770.95</v>
      </c>
      <c r="F138" s="12">
        <v>-791.44</v>
      </c>
      <c r="G138" s="12">
        <v>-811.62</v>
      </c>
      <c r="H138" s="12">
        <v>-831.48</v>
      </c>
      <c r="I138" s="12">
        <v>-851.03</v>
      </c>
      <c r="J138" s="12">
        <v>-870.26</v>
      </c>
      <c r="K138" s="12">
        <v>-889.17</v>
      </c>
      <c r="L138" s="12">
        <v>-907.77</v>
      </c>
      <c r="M138" s="12">
        <v>-926.05</v>
      </c>
      <c r="N138" s="12">
        <v>-944.01</v>
      </c>
      <c r="O138" s="12">
        <v>-915.35</v>
      </c>
      <c r="P138" s="12">
        <v>-936.74</v>
      </c>
      <c r="Q138" s="12">
        <v>-957.77</v>
      </c>
      <c r="R138" s="12">
        <v>-978.43</v>
      </c>
      <c r="S138" s="12">
        <v>-998.72</v>
      </c>
      <c r="T138" s="12">
        <v>-1018.65</v>
      </c>
      <c r="U138" s="12">
        <v>-1038.21</v>
      </c>
      <c r="V138" s="12">
        <v>-1057.4000000000001</v>
      </c>
      <c r="W138" s="12">
        <v>-1076.23</v>
      </c>
      <c r="X138" s="12">
        <v>-1094.69</v>
      </c>
      <c r="Y138" s="12">
        <v>-1112.78</v>
      </c>
      <c r="Z138" s="12">
        <v>-1130.51</v>
      </c>
      <c r="AA138" s="12">
        <v>-1147.8800000000001</v>
      </c>
      <c r="AB138" s="12">
        <v>-1164.8699999999999</v>
      </c>
      <c r="AC138" s="12">
        <v>-1181.5</v>
      </c>
      <c r="AD138" s="12">
        <v>-1197.77</v>
      </c>
      <c r="AE138" s="12">
        <v>-1213.67</v>
      </c>
      <c r="AF138" s="12">
        <v>-1229.2</v>
      </c>
      <c r="AG138" s="12">
        <v>-1224.7</v>
      </c>
      <c r="AH138" s="12">
        <v>-1220.18</v>
      </c>
      <c r="AI138" s="12">
        <v>-1215.6400000000001</v>
      </c>
      <c r="AJ138" s="12">
        <v>-1211.07</v>
      </c>
    </row>
    <row r="139" spans="2:36">
      <c r="B139" s="26" t="s">
        <v>168</v>
      </c>
      <c r="C139" s="12" t="s">
        <v>157</v>
      </c>
      <c r="D139" s="12" t="s">
        <v>157</v>
      </c>
      <c r="E139" s="12" t="s">
        <v>157</v>
      </c>
      <c r="F139" s="12" t="s">
        <v>157</v>
      </c>
      <c r="G139" s="12" t="s">
        <v>157</v>
      </c>
      <c r="H139" s="12" t="s">
        <v>157</v>
      </c>
      <c r="I139" s="12" t="s">
        <v>157</v>
      </c>
      <c r="J139" s="12" t="s">
        <v>157</v>
      </c>
      <c r="K139" s="12" t="s">
        <v>157</v>
      </c>
      <c r="L139" s="12" t="s">
        <v>157</v>
      </c>
      <c r="M139" s="12" t="s">
        <v>157</v>
      </c>
      <c r="N139" s="12" t="s">
        <v>157</v>
      </c>
      <c r="O139" s="12" t="s">
        <v>157</v>
      </c>
      <c r="P139" s="12" t="s">
        <v>157</v>
      </c>
      <c r="Q139" s="12" t="s">
        <v>157</v>
      </c>
      <c r="R139" s="12" t="s">
        <v>157</v>
      </c>
      <c r="S139" s="12" t="s">
        <v>157</v>
      </c>
      <c r="T139" s="12" t="s">
        <v>157</v>
      </c>
      <c r="U139" s="12" t="s">
        <v>157</v>
      </c>
      <c r="V139" s="12" t="s">
        <v>157</v>
      </c>
      <c r="W139" s="12" t="s">
        <v>157</v>
      </c>
      <c r="X139" s="12" t="s">
        <v>157</v>
      </c>
      <c r="Y139" s="12" t="s">
        <v>157</v>
      </c>
      <c r="Z139" s="12" t="s">
        <v>157</v>
      </c>
      <c r="AA139" s="12" t="s">
        <v>157</v>
      </c>
      <c r="AB139" s="12" t="s">
        <v>157</v>
      </c>
      <c r="AC139" s="12" t="s">
        <v>157</v>
      </c>
      <c r="AD139" s="12" t="s">
        <v>157</v>
      </c>
      <c r="AE139" s="12" t="s">
        <v>157</v>
      </c>
      <c r="AF139" s="12" t="s">
        <v>157</v>
      </c>
      <c r="AG139" s="12" t="s">
        <v>157</v>
      </c>
      <c r="AH139" s="12" t="s">
        <v>157</v>
      </c>
      <c r="AI139" s="12" t="s">
        <v>157</v>
      </c>
      <c r="AJ139" s="12" t="s">
        <v>157</v>
      </c>
    </row>
    <row r="140" spans="2:36">
      <c r="B140" s="25" t="s">
        <v>169</v>
      </c>
      <c r="C140" s="12" t="s">
        <v>109</v>
      </c>
      <c r="D140" s="12" t="s">
        <v>109</v>
      </c>
      <c r="E140" s="12" t="s">
        <v>109</v>
      </c>
      <c r="F140" s="12" t="s">
        <v>109</v>
      </c>
      <c r="G140" s="12" t="s">
        <v>109</v>
      </c>
      <c r="H140" s="12" t="s">
        <v>109</v>
      </c>
      <c r="I140" s="12" t="s">
        <v>109</v>
      </c>
      <c r="J140" s="12" t="s">
        <v>109</v>
      </c>
      <c r="K140" s="12" t="s">
        <v>109</v>
      </c>
      <c r="L140" s="12" t="s">
        <v>109</v>
      </c>
      <c r="M140" s="12" t="s">
        <v>109</v>
      </c>
      <c r="N140" s="12" t="s">
        <v>109</v>
      </c>
      <c r="O140" s="12" t="s">
        <v>109</v>
      </c>
      <c r="P140" s="12" t="s">
        <v>109</v>
      </c>
      <c r="Q140" s="12" t="s">
        <v>109</v>
      </c>
      <c r="R140" s="12" t="s">
        <v>109</v>
      </c>
      <c r="S140" s="12" t="s">
        <v>109</v>
      </c>
      <c r="T140" s="12" t="s">
        <v>109</v>
      </c>
      <c r="U140" s="12" t="s">
        <v>109</v>
      </c>
      <c r="V140" s="12" t="s">
        <v>109</v>
      </c>
      <c r="W140" s="12" t="s">
        <v>109</v>
      </c>
      <c r="X140" s="12" t="s">
        <v>109</v>
      </c>
      <c r="Y140" s="12" t="s">
        <v>109</v>
      </c>
      <c r="Z140" s="12" t="s">
        <v>109</v>
      </c>
      <c r="AA140" s="12" t="s">
        <v>109</v>
      </c>
      <c r="AB140" s="12" t="s">
        <v>109</v>
      </c>
      <c r="AC140" s="12" t="s">
        <v>109</v>
      </c>
      <c r="AD140" s="12" t="s">
        <v>109</v>
      </c>
      <c r="AE140" s="12" t="s">
        <v>109</v>
      </c>
      <c r="AF140" s="12" t="s">
        <v>109</v>
      </c>
      <c r="AG140" s="12" t="s">
        <v>109</v>
      </c>
      <c r="AH140" s="12" t="s">
        <v>109</v>
      </c>
      <c r="AI140" s="12" t="s">
        <v>109</v>
      </c>
      <c r="AJ140" s="12" t="s">
        <v>109</v>
      </c>
    </row>
    <row r="141" spans="2:36">
      <c r="B141" s="26" t="s">
        <v>170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</row>
    <row r="142" spans="2:36">
      <c r="B142" s="26" t="s">
        <v>171</v>
      </c>
      <c r="C142" s="12" t="s">
        <v>109</v>
      </c>
      <c r="D142" s="12" t="s">
        <v>109</v>
      </c>
      <c r="E142" s="12" t="s">
        <v>109</v>
      </c>
      <c r="F142" s="12" t="s">
        <v>109</v>
      </c>
      <c r="G142" s="12" t="s">
        <v>109</v>
      </c>
      <c r="H142" s="12" t="s">
        <v>109</v>
      </c>
      <c r="I142" s="12" t="s">
        <v>109</v>
      </c>
      <c r="J142" s="12" t="s">
        <v>109</v>
      </c>
      <c r="K142" s="12" t="s">
        <v>109</v>
      </c>
      <c r="L142" s="12" t="s">
        <v>109</v>
      </c>
      <c r="M142" s="12" t="s">
        <v>109</v>
      </c>
      <c r="N142" s="12" t="s">
        <v>109</v>
      </c>
      <c r="O142" s="12" t="s">
        <v>109</v>
      </c>
      <c r="P142" s="12" t="s">
        <v>109</v>
      </c>
      <c r="Q142" s="12" t="s">
        <v>109</v>
      </c>
      <c r="R142" s="12" t="s">
        <v>109</v>
      </c>
      <c r="S142" s="12" t="s">
        <v>109</v>
      </c>
      <c r="T142" s="12" t="s">
        <v>109</v>
      </c>
      <c r="U142" s="12" t="s">
        <v>109</v>
      </c>
      <c r="V142" s="12" t="s">
        <v>109</v>
      </c>
      <c r="W142" s="12" t="s">
        <v>109</v>
      </c>
      <c r="X142" s="12" t="s">
        <v>109</v>
      </c>
      <c r="Y142" s="12" t="s">
        <v>109</v>
      </c>
      <c r="Z142" s="12" t="s">
        <v>109</v>
      </c>
      <c r="AA142" s="12" t="s">
        <v>109</v>
      </c>
      <c r="AB142" s="12" t="s">
        <v>109</v>
      </c>
      <c r="AC142" s="12" t="s">
        <v>109</v>
      </c>
      <c r="AD142" s="12" t="s">
        <v>109</v>
      </c>
      <c r="AE142" s="12" t="s">
        <v>109</v>
      </c>
      <c r="AF142" s="12" t="s">
        <v>109</v>
      </c>
      <c r="AG142" s="12" t="s">
        <v>109</v>
      </c>
      <c r="AH142" s="12" t="s">
        <v>109</v>
      </c>
      <c r="AI142" s="12" t="s">
        <v>109</v>
      </c>
      <c r="AJ142" s="12" t="s">
        <v>109</v>
      </c>
    </row>
    <row r="143" spans="2:36">
      <c r="B143" s="25" t="s">
        <v>172</v>
      </c>
      <c r="C143" s="12">
        <v>205.75</v>
      </c>
      <c r="D143" s="12">
        <v>43.36</v>
      </c>
      <c r="E143" s="12">
        <v>33.6</v>
      </c>
      <c r="F143" s="12">
        <v>-114.3</v>
      </c>
      <c r="G143" s="12">
        <v>-313.02999999999997</v>
      </c>
      <c r="H143" s="12">
        <v>-308.82</v>
      </c>
      <c r="I143" s="12">
        <v>-403.78</v>
      </c>
      <c r="J143" s="12">
        <v>-414.29</v>
      </c>
      <c r="K143" s="12">
        <v>-139.66999999999999</v>
      </c>
      <c r="L143" s="12">
        <v>-533.04999999999995</v>
      </c>
      <c r="M143" s="12">
        <v>-514.51</v>
      </c>
      <c r="N143" s="12">
        <v>-490.86</v>
      </c>
      <c r="O143" s="12">
        <v>-528.66999999999996</v>
      </c>
      <c r="P143" s="12">
        <v>-597.22</v>
      </c>
      <c r="Q143" s="12">
        <v>-788.46</v>
      </c>
      <c r="R143" s="12">
        <v>-917.02</v>
      </c>
      <c r="S143" s="12">
        <v>-880.31</v>
      </c>
      <c r="T143" s="12">
        <v>-774.53</v>
      </c>
      <c r="U143" s="12">
        <v>-713.46</v>
      </c>
      <c r="V143" s="12">
        <v>-878.06</v>
      </c>
      <c r="W143" s="12">
        <v>-625.41999999999996</v>
      </c>
      <c r="X143" s="12">
        <v>-1015.69</v>
      </c>
      <c r="Y143" s="12">
        <v>-827.28</v>
      </c>
      <c r="Z143" s="12">
        <v>-1073.31</v>
      </c>
      <c r="AA143" s="12">
        <v>-1176.57</v>
      </c>
      <c r="AB143" s="12">
        <v>-956.42</v>
      </c>
      <c r="AC143" s="12">
        <v>-1043.6500000000001</v>
      </c>
      <c r="AD143" s="12">
        <v>-777.34</v>
      </c>
      <c r="AE143" s="12">
        <v>-666.67</v>
      </c>
      <c r="AF143" s="12">
        <v>-508.78</v>
      </c>
      <c r="AG143" s="12">
        <v>-490.21</v>
      </c>
      <c r="AH143" s="12">
        <v>-558</v>
      </c>
      <c r="AI143" s="12">
        <v>-579.36</v>
      </c>
      <c r="AJ143" s="12">
        <v>-449.03</v>
      </c>
    </row>
    <row r="144" spans="2:36">
      <c r="B144" s="25" t="s">
        <v>173</v>
      </c>
      <c r="C144" s="12" t="s">
        <v>81</v>
      </c>
      <c r="D144" s="12" t="s">
        <v>81</v>
      </c>
      <c r="E144" s="12" t="s">
        <v>81</v>
      </c>
      <c r="F144" s="12" t="s">
        <v>81</v>
      </c>
      <c r="G144" s="12" t="s">
        <v>81</v>
      </c>
      <c r="H144" s="12" t="s">
        <v>81</v>
      </c>
      <c r="I144" s="12" t="s">
        <v>81</v>
      </c>
      <c r="J144" s="12" t="s">
        <v>81</v>
      </c>
      <c r="K144" s="12" t="s">
        <v>81</v>
      </c>
      <c r="L144" s="12" t="s">
        <v>81</v>
      </c>
      <c r="M144" s="12" t="s">
        <v>81</v>
      </c>
      <c r="N144" s="12" t="s">
        <v>81</v>
      </c>
      <c r="O144" s="12" t="s">
        <v>81</v>
      </c>
      <c r="P144" s="12" t="s">
        <v>81</v>
      </c>
      <c r="Q144" s="12" t="s">
        <v>81</v>
      </c>
      <c r="R144" s="12" t="s">
        <v>81</v>
      </c>
      <c r="S144" s="12" t="s">
        <v>81</v>
      </c>
      <c r="T144" s="12" t="s">
        <v>81</v>
      </c>
      <c r="U144" s="12" t="s">
        <v>81</v>
      </c>
      <c r="V144" s="12" t="s">
        <v>81</v>
      </c>
      <c r="W144" s="12" t="s">
        <v>81</v>
      </c>
      <c r="X144" s="12" t="s">
        <v>81</v>
      </c>
      <c r="Y144" s="12" t="s">
        <v>81</v>
      </c>
      <c r="Z144" s="12" t="s">
        <v>81</v>
      </c>
      <c r="AA144" s="12" t="s">
        <v>81</v>
      </c>
      <c r="AB144" s="12" t="s">
        <v>81</v>
      </c>
      <c r="AC144" s="12" t="s">
        <v>81</v>
      </c>
      <c r="AD144" s="12" t="s">
        <v>81</v>
      </c>
      <c r="AE144" s="12" t="s">
        <v>81</v>
      </c>
      <c r="AF144" s="12" t="s">
        <v>81</v>
      </c>
      <c r="AG144" s="12" t="s">
        <v>81</v>
      </c>
      <c r="AH144" s="12" t="s">
        <v>81</v>
      </c>
      <c r="AI144" s="12" t="s">
        <v>81</v>
      </c>
      <c r="AJ144" s="12" t="s">
        <v>81</v>
      </c>
    </row>
    <row r="145" spans="2:39">
      <c r="B145" s="24" t="s">
        <v>174</v>
      </c>
      <c r="C145" s="15">
        <v>530.01</v>
      </c>
      <c r="D145" s="15">
        <v>705.28</v>
      </c>
      <c r="E145" s="15">
        <v>828.76</v>
      </c>
      <c r="F145" s="15">
        <v>1022.29</v>
      </c>
      <c r="G145" s="15">
        <v>1476.73</v>
      </c>
      <c r="H145" s="15">
        <v>2113.79</v>
      </c>
      <c r="I145" s="15">
        <v>1508.67</v>
      </c>
      <c r="J145" s="15">
        <v>1904.74</v>
      </c>
      <c r="K145" s="15">
        <v>1797.16</v>
      </c>
      <c r="L145" s="15">
        <v>3118.8</v>
      </c>
      <c r="M145" s="15">
        <v>4160.3900000000003</v>
      </c>
      <c r="N145" s="15">
        <v>4858.63</v>
      </c>
      <c r="O145" s="15">
        <v>4284.72</v>
      </c>
      <c r="P145" s="15">
        <v>4444.34</v>
      </c>
      <c r="Q145" s="15">
        <v>4398.8900000000003</v>
      </c>
      <c r="R145" s="15">
        <v>4683.18</v>
      </c>
      <c r="S145" s="15">
        <v>4985.7299999999996</v>
      </c>
      <c r="T145" s="15">
        <v>4228.18</v>
      </c>
      <c r="U145" s="15">
        <v>3940.21</v>
      </c>
      <c r="V145" s="15">
        <v>3979.47</v>
      </c>
      <c r="W145" s="15">
        <v>3817.67</v>
      </c>
      <c r="X145" s="15">
        <v>4523.5600000000004</v>
      </c>
      <c r="Y145" s="15">
        <v>5090.3100000000004</v>
      </c>
      <c r="Z145" s="15">
        <v>5139.93</v>
      </c>
      <c r="AA145" s="15">
        <v>4709.6099999999997</v>
      </c>
      <c r="AB145" s="15">
        <v>4996.63</v>
      </c>
      <c r="AC145" s="15">
        <v>5031.7</v>
      </c>
      <c r="AD145" s="15">
        <v>5254.04</v>
      </c>
      <c r="AE145" s="15">
        <v>4848.6400000000003</v>
      </c>
      <c r="AF145" s="15">
        <v>4745.75</v>
      </c>
      <c r="AG145" s="15">
        <v>4456.7299999999996</v>
      </c>
      <c r="AH145" s="15">
        <v>4472.8</v>
      </c>
      <c r="AI145" s="15">
        <v>4263.3100000000004</v>
      </c>
      <c r="AJ145" s="15">
        <v>4741.54</v>
      </c>
    </row>
    <row r="146" spans="2:39">
      <c r="B146" s="25" t="s">
        <v>175</v>
      </c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31"/>
      <c r="AL146" s="31"/>
      <c r="AM146" s="31"/>
    </row>
    <row r="147" spans="2:39">
      <c r="B147" s="26" t="s">
        <v>176</v>
      </c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31"/>
      <c r="AL147" s="31"/>
      <c r="AM147" s="31"/>
    </row>
    <row r="148" spans="2:39">
      <c r="B148" s="26" t="s">
        <v>177</v>
      </c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31"/>
      <c r="AL148" s="31"/>
      <c r="AM148" s="31"/>
    </row>
    <row r="149" spans="2:39">
      <c r="B149" s="26" t="s">
        <v>178</v>
      </c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31"/>
      <c r="AL149" s="31"/>
      <c r="AM149" s="31"/>
    </row>
    <row r="150" spans="2:39">
      <c r="B150" s="25" t="s">
        <v>179</v>
      </c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31"/>
      <c r="AL150" s="31"/>
      <c r="AM150" s="31"/>
    </row>
    <row r="151" spans="2:39">
      <c r="B151" s="26" t="s">
        <v>180</v>
      </c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31"/>
      <c r="AL151" s="31"/>
      <c r="AM151" s="31"/>
    </row>
    <row r="152" spans="2:39">
      <c r="B152" s="26" t="s">
        <v>181</v>
      </c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31"/>
      <c r="AL152" s="31"/>
      <c r="AM152" s="31"/>
    </row>
    <row r="153" spans="2:39">
      <c r="B153" s="25" t="s">
        <v>182</v>
      </c>
      <c r="C153" s="12">
        <v>530.01</v>
      </c>
      <c r="D153" s="12">
        <v>705.28</v>
      </c>
      <c r="E153" s="12">
        <v>828.76</v>
      </c>
      <c r="F153" s="12">
        <v>1022.29</v>
      </c>
      <c r="G153" s="12">
        <v>1476.73</v>
      </c>
      <c r="H153" s="12">
        <v>2113.79</v>
      </c>
      <c r="I153" s="12">
        <v>1508.67</v>
      </c>
      <c r="J153" s="12">
        <v>1904.74</v>
      </c>
      <c r="K153" s="12">
        <v>1797.16</v>
      </c>
      <c r="L153" s="12">
        <v>3118.8</v>
      </c>
      <c r="M153" s="12">
        <v>4160.3900000000003</v>
      </c>
      <c r="N153" s="12">
        <v>4858.63</v>
      </c>
      <c r="O153" s="12">
        <v>4284.72</v>
      </c>
      <c r="P153" s="12">
        <v>4444.34</v>
      </c>
      <c r="Q153" s="12">
        <v>4398.8900000000003</v>
      </c>
      <c r="R153" s="12">
        <v>4683.18</v>
      </c>
      <c r="S153" s="12">
        <v>4985.7299999999996</v>
      </c>
      <c r="T153" s="12">
        <v>4228.18</v>
      </c>
      <c r="U153" s="12">
        <v>3940.21</v>
      </c>
      <c r="V153" s="12">
        <v>3979.47</v>
      </c>
      <c r="W153" s="12">
        <v>3817.67</v>
      </c>
      <c r="X153" s="12">
        <v>4523.5600000000004</v>
      </c>
      <c r="Y153" s="12">
        <v>5090.3100000000004</v>
      </c>
      <c r="Z153" s="12">
        <v>5139.93</v>
      </c>
      <c r="AA153" s="12">
        <v>4709.6099999999997</v>
      </c>
      <c r="AB153" s="12">
        <v>4996.63</v>
      </c>
      <c r="AC153" s="12">
        <v>5031.7</v>
      </c>
      <c r="AD153" s="12">
        <v>5254.04</v>
      </c>
      <c r="AE153" s="12">
        <v>4848.6400000000003</v>
      </c>
      <c r="AF153" s="12">
        <v>4745.75</v>
      </c>
      <c r="AG153" s="12">
        <v>4456.7299999999996</v>
      </c>
      <c r="AH153" s="12">
        <v>4472.8</v>
      </c>
      <c r="AI153" s="12">
        <v>4263.3100000000004</v>
      </c>
      <c r="AJ153" s="12">
        <v>4741.54</v>
      </c>
      <c r="AK153" s="31"/>
      <c r="AL153" s="31"/>
      <c r="AM153" s="31"/>
    </row>
    <row r="154" spans="2:39">
      <c r="B154" s="26" t="s">
        <v>183</v>
      </c>
      <c r="C154" s="12">
        <v>530.01</v>
      </c>
      <c r="D154" s="12">
        <v>705.28</v>
      </c>
      <c r="E154" s="12">
        <v>828.76</v>
      </c>
      <c r="F154" s="12">
        <v>1022.29</v>
      </c>
      <c r="G154" s="12">
        <v>1476.73</v>
      </c>
      <c r="H154" s="12">
        <v>2113.79</v>
      </c>
      <c r="I154" s="12">
        <v>1508.67</v>
      </c>
      <c r="J154" s="12">
        <v>1904.74</v>
      </c>
      <c r="K154" s="12">
        <v>1797.16</v>
      </c>
      <c r="L154" s="12">
        <v>3118.8</v>
      </c>
      <c r="M154" s="12">
        <v>4160.3900000000003</v>
      </c>
      <c r="N154" s="12">
        <v>4858.63</v>
      </c>
      <c r="O154" s="12">
        <v>4284.72</v>
      </c>
      <c r="P154" s="12">
        <v>4444.34</v>
      </c>
      <c r="Q154" s="12">
        <v>4398.8900000000003</v>
      </c>
      <c r="R154" s="12">
        <v>4683.18</v>
      </c>
      <c r="S154" s="12">
        <v>4985.7299999999996</v>
      </c>
      <c r="T154" s="12">
        <v>4228.18</v>
      </c>
      <c r="U154" s="12">
        <v>3940.21</v>
      </c>
      <c r="V154" s="12">
        <v>3979.47</v>
      </c>
      <c r="W154" s="12">
        <v>3817.67</v>
      </c>
      <c r="X154" s="12">
        <v>4523.5600000000004</v>
      </c>
      <c r="Y154" s="12">
        <v>5090.3100000000004</v>
      </c>
      <c r="Z154" s="12">
        <v>5139.93</v>
      </c>
      <c r="AA154" s="12">
        <v>4709.6099999999997</v>
      </c>
      <c r="AB154" s="12">
        <v>4996.63</v>
      </c>
      <c r="AC154" s="12">
        <v>5031.7</v>
      </c>
      <c r="AD154" s="12">
        <v>5254.04</v>
      </c>
      <c r="AE154" s="12">
        <v>4848.6400000000003</v>
      </c>
      <c r="AF154" s="12">
        <v>4745.75</v>
      </c>
      <c r="AG154" s="12">
        <v>4456.7299999999996</v>
      </c>
      <c r="AH154" s="12">
        <v>4472.8</v>
      </c>
      <c r="AI154" s="12">
        <v>4263.3100000000004</v>
      </c>
      <c r="AJ154" s="12">
        <v>4741.54</v>
      </c>
      <c r="AK154" s="31"/>
      <c r="AL154" s="31"/>
      <c r="AM154" s="31"/>
    </row>
    <row r="155" spans="2:39">
      <c r="B155" s="26" t="s">
        <v>184</v>
      </c>
      <c r="C155" s="12" t="s">
        <v>81</v>
      </c>
      <c r="D155" s="12" t="s">
        <v>81</v>
      </c>
      <c r="E155" s="12" t="s">
        <v>81</v>
      </c>
      <c r="F155" s="12" t="s">
        <v>81</v>
      </c>
      <c r="G155" s="12" t="s">
        <v>81</v>
      </c>
      <c r="H155" s="12" t="s">
        <v>81</v>
      </c>
      <c r="I155" s="12" t="s">
        <v>81</v>
      </c>
      <c r="J155" s="12" t="s">
        <v>81</v>
      </c>
      <c r="K155" s="12" t="s">
        <v>81</v>
      </c>
      <c r="L155" s="12" t="s">
        <v>81</v>
      </c>
      <c r="M155" s="12" t="s">
        <v>81</v>
      </c>
      <c r="N155" s="12" t="s">
        <v>81</v>
      </c>
      <c r="O155" s="12" t="s">
        <v>81</v>
      </c>
      <c r="P155" s="12" t="s">
        <v>81</v>
      </c>
      <c r="Q155" s="12" t="s">
        <v>81</v>
      </c>
      <c r="R155" s="12" t="s">
        <v>81</v>
      </c>
      <c r="S155" s="12" t="s">
        <v>81</v>
      </c>
      <c r="T155" s="12" t="s">
        <v>81</v>
      </c>
      <c r="U155" s="12" t="s">
        <v>81</v>
      </c>
      <c r="V155" s="12" t="s">
        <v>81</v>
      </c>
      <c r="W155" s="12" t="s">
        <v>81</v>
      </c>
      <c r="X155" s="12" t="s">
        <v>81</v>
      </c>
      <c r="Y155" s="12" t="s">
        <v>81</v>
      </c>
      <c r="Z155" s="12" t="s">
        <v>81</v>
      </c>
      <c r="AA155" s="12" t="s">
        <v>81</v>
      </c>
      <c r="AB155" s="12" t="s">
        <v>81</v>
      </c>
      <c r="AC155" s="12" t="s">
        <v>81</v>
      </c>
      <c r="AD155" s="12" t="s">
        <v>81</v>
      </c>
      <c r="AE155" s="12" t="s">
        <v>81</v>
      </c>
      <c r="AF155" s="12" t="s">
        <v>81</v>
      </c>
      <c r="AG155" s="12" t="s">
        <v>81</v>
      </c>
      <c r="AH155" s="12" t="s">
        <v>81</v>
      </c>
      <c r="AI155" s="12" t="s">
        <v>81</v>
      </c>
      <c r="AJ155" s="12" t="s">
        <v>81</v>
      </c>
      <c r="AK155" s="31"/>
      <c r="AL155" s="31"/>
      <c r="AM155" s="31"/>
    </row>
    <row r="156" spans="2:39">
      <c r="B156" s="25" t="s">
        <v>185</v>
      </c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31"/>
      <c r="AL156" s="31"/>
      <c r="AM156" s="31"/>
    </row>
    <row r="157" spans="2:39">
      <c r="B157" s="26" t="s">
        <v>186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31"/>
      <c r="AL157" s="31"/>
      <c r="AM157" s="31"/>
    </row>
    <row r="158" spans="2:39">
      <c r="B158" s="26" t="s">
        <v>187</v>
      </c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31"/>
      <c r="AL158" s="31"/>
      <c r="AM158" s="31"/>
    </row>
    <row r="159" spans="2:39">
      <c r="B159" s="26" t="s">
        <v>188</v>
      </c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31"/>
      <c r="AL159" s="31"/>
      <c r="AM159" s="31"/>
    </row>
    <row r="160" spans="2:39">
      <c r="B160" s="25" t="s">
        <v>189</v>
      </c>
      <c r="C160" s="12" t="s">
        <v>190</v>
      </c>
      <c r="D160" s="12" t="s">
        <v>190</v>
      </c>
      <c r="E160" s="12" t="s">
        <v>190</v>
      </c>
      <c r="F160" s="12" t="s">
        <v>190</v>
      </c>
      <c r="G160" s="12" t="s">
        <v>190</v>
      </c>
      <c r="H160" s="12" t="s">
        <v>190</v>
      </c>
      <c r="I160" s="12" t="s">
        <v>190</v>
      </c>
      <c r="J160" s="12" t="s">
        <v>190</v>
      </c>
      <c r="K160" s="12" t="s">
        <v>190</v>
      </c>
      <c r="L160" s="12" t="s">
        <v>190</v>
      </c>
      <c r="M160" s="12" t="s">
        <v>190</v>
      </c>
      <c r="N160" s="12" t="s">
        <v>190</v>
      </c>
      <c r="O160" s="12" t="s">
        <v>190</v>
      </c>
      <c r="P160" s="12" t="s">
        <v>190</v>
      </c>
      <c r="Q160" s="12" t="s">
        <v>190</v>
      </c>
      <c r="R160" s="12" t="s">
        <v>190</v>
      </c>
      <c r="S160" s="12" t="s">
        <v>190</v>
      </c>
      <c r="T160" s="12" t="s">
        <v>190</v>
      </c>
      <c r="U160" s="12" t="s">
        <v>190</v>
      </c>
      <c r="V160" s="12" t="s">
        <v>190</v>
      </c>
      <c r="W160" s="12" t="s">
        <v>190</v>
      </c>
      <c r="X160" s="12" t="s">
        <v>190</v>
      </c>
      <c r="Y160" s="12" t="s">
        <v>190</v>
      </c>
      <c r="Z160" s="12" t="s">
        <v>190</v>
      </c>
      <c r="AA160" s="12" t="s">
        <v>190</v>
      </c>
      <c r="AB160" s="12" t="s">
        <v>190</v>
      </c>
      <c r="AC160" s="12" t="s">
        <v>190</v>
      </c>
      <c r="AD160" s="12" t="s">
        <v>190</v>
      </c>
      <c r="AE160" s="12" t="s">
        <v>190</v>
      </c>
      <c r="AF160" s="12" t="s">
        <v>190</v>
      </c>
      <c r="AG160" s="12" t="s">
        <v>190</v>
      </c>
      <c r="AH160" s="12" t="s">
        <v>190</v>
      </c>
      <c r="AI160" s="12" t="s">
        <v>190</v>
      </c>
      <c r="AJ160" s="12" t="s">
        <v>190</v>
      </c>
      <c r="AK160" s="31"/>
      <c r="AL160" s="31"/>
      <c r="AM160" s="31"/>
    </row>
    <row r="161" spans="2:36">
      <c r="B161" s="21"/>
    </row>
    <row r="162" spans="2:36">
      <c r="B162" s="20" t="s">
        <v>191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</row>
    <row r="163" spans="2:36">
      <c r="B163" s="22" t="s">
        <v>192</v>
      </c>
      <c r="C163" s="22">
        <v>1990</v>
      </c>
      <c r="D163" s="22">
        <v>1991</v>
      </c>
      <c r="E163" s="22">
        <v>1992</v>
      </c>
      <c r="F163" s="22">
        <v>1993</v>
      </c>
      <c r="G163" s="22">
        <v>1994</v>
      </c>
      <c r="H163" s="22">
        <v>1995</v>
      </c>
      <c r="I163" s="22">
        <v>1996</v>
      </c>
      <c r="J163" s="22">
        <v>1997</v>
      </c>
      <c r="K163" s="22">
        <v>1998</v>
      </c>
      <c r="L163" s="22">
        <v>1999</v>
      </c>
      <c r="M163" s="22">
        <v>2000</v>
      </c>
      <c r="N163" s="22">
        <v>2001</v>
      </c>
      <c r="O163" s="22">
        <v>2002</v>
      </c>
      <c r="P163" s="22">
        <v>2003</v>
      </c>
      <c r="Q163" s="22">
        <v>2004</v>
      </c>
      <c r="R163" s="22">
        <v>2005</v>
      </c>
      <c r="S163" s="22">
        <v>2006</v>
      </c>
      <c r="T163" s="22">
        <v>2007</v>
      </c>
      <c r="U163" s="22">
        <v>2008</v>
      </c>
      <c r="V163" s="22">
        <v>2009</v>
      </c>
      <c r="W163" s="22">
        <v>2010</v>
      </c>
      <c r="X163" s="22">
        <v>2011</v>
      </c>
      <c r="Y163" s="22">
        <v>2012</v>
      </c>
      <c r="Z163" s="22">
        <v>2013</v>
      </c>
      <c r="AA163" s="22">
        <v>2014</v>
      </c>
      <c r="AB163" s="22">
        <v>2015</v>
      </c>
      <c r="AC163" s="22">
        <v>2016</v>
      </c>
      <c r="AD163" s="22">
        <v>2017</v>
      </c>
      <c r="AE163" s="22">
        <v>2018</v>
      </c>
      <c r="AF163" s="22">
        <v>2019</v>
      </c>
      <c r="AG163" s="22">
        <v>2020</v>
      </c>
      <c r="AH163" s="22">
        <v>2021</v>
      </c>
      <c r="AI163" s="22">
        <v>2022</v>
      </c>
      <c r="AJ163" s="22">
        <v>2023</v>
      </c>
    </row>
    <row r="164" spans="2:36">
      <c r="B164" s="25" t="s">
        <v>193</v>
      </c>
      <c r="C164" s="12">
        <v>14002.49</v>
      </c>
      <c r="D164" s="12">
        <v>16854.27</v>
      </c>
      <c r="E164" s="12">
        <v>20921.349999999999</v>
      </c>
      <c r="F164" s="12">
        <v>22161.62</v>
      </c>
      <c r="G164" s="12">
        <v>25547.03</v>
      </c>
      <c r="H164" s="12">
        <v>29437.16</v>
      </c>
      <c r="I164" s="12">
        <v>35083.4</v>
      </c>
      <c r="J164" s="12">
        <v>38504.550000000003</v>
      </c>
      <c r="K164" s="12">
        <v>38082.959999999999</v>
      </c>
      <c r="L164" s="12">
        <v>41216.47</v>
      </c>
      <c r="M164" s="12">
        <v>39069.910000000003</v>
      </c>
      <c r="N164" s="12">
        <v>38182.300000000003</v>
      </c>
      <c r="O164" s="12">
        <v>38262.949999999997</v>
      </c>
      <c r="P164" s="12">
        <v>40918.14</v>
      </c>
      <c r="Q164" s="12">
        <v>42711.45</v>
      </c>
      <c r="R164" s="12">
        <v>43166.36</v>
      </c>
      <c r="S164" s="12">
        <v>41232.28</v>
      </c>
      <c r="T164" s="12">
        <v>41801.96</v>
      </c>
      <c r="U164" s="12">
        <v>39319.82</v>
      </c>
      <c r="V164" s="12">
        <v>36096.639999999999</v>
      </c>
      <c r="W164" s="12">
        <v>38624.639999999999</v>
      </c>
      <c r="X164" s="12">
        <v>38346.33</v>
      </c>
      <c r="Y164" s="12">
        <v>37583.72</v>
      </c>
      <c r="Z164" s="12">
        <v>37604.660000000003</v>
      </c>
      <c r="AA164" s="12">
        <v>38152.75</v>
      </c>
      <c r="AB164" s="12">
        <v>41227.730000000003</v>
      </c>
      <c r="AC164" s="12">
        <v>46305.2</v>
      </c>
      <c r="AD164" s="12">
        <v>47233.1</v>
      </c>
      <c r="AE164" s="12">
        <v>46345.87</v>
      </c>
      <c r="AF164" s="12">
        <v>42292.79</v>
      </c>
      <c r="AG164" s="12">
        <v>41908.44</v>
      </c>
      <c r="AH164" s="12">
        <v>41744.06</v>
      </c>
      <c r="AI164" s="12">
        <v>46469</v>
      </c>
      <c r="AJ164" s="12">
        <v>50057.75</v>
      </c>
    </row>
    <row r="165" spans="2:36">
      <c r="B165" s="26" t="s">
        <v>194</v>
      </c>
      <c r="C165" s="12">
        <v>14002.49</v>
      </c>
      <c r="D165" s="12">
        <v>16854.27</v>
      </c>
      <c r="E165" s="12">
        <v>20921.349999999999</v>
      </c>
      <c r="F165" s="12">
        <v>22161.62</v>
      </c>
      <c r="G165" s="12">
        <v>25547.03</v>
      </c>
      <c r="H165" s="12">
        <v>29437.16</v>
      </c>
      <c r="I165" s="12">
        <v>35083.4</v>
      </c>
      <c r="J165" s="12">
        <v>38504.550000000003</v>
      </c>
      <c r="K165" s="12">
        <v>38082.959999999999</v>
      </c>
      <c r="L165" s="12">
        <v>41216.47</v>
      </c>
      <c r="M165" s="12">
        <v>39069.910000000003</v>
      </c>
      <c r="N165" s="12">
        <v>38182.300000000003</v>
      </c>
      <c r="O165" s="12">
        <v>38262.949999999997</v>
      </c>
      <c r="P165" s="12">
        <v>40918.14</v>
      </c>
      <c r="Q165" s="12">
        <v>42711.45</v>
      </c>
      <c r="R165" s="12">
        <v>43166.36</v>
      </c>
      <c r="S165" s="12">
        <v>41232.28</v>
      </c>
      <c r="T165" s="12">
        <v>41801.96</v>
      </c>
      <c r="U165" s="12">
        <v>39319.82</v>
      </c>
      <c r="V165" s="12">
        <v>36096.639999999999</v>
      </c>
      <c r="W165" s="12">
        <v>38624.639999999999</v>
      </c>
      <c r="X165" s="12">
        <v>38346.33</v>
      </c>
      <c r="Y165" s="12">
        <v>37583.72</v>
      </c>
      <c r="Z165" s="12">
        <v>37604.660000000003</v>
      </c>
      <c r="AA165" s="12">
        <v>38152.75</v>
      </c>
      <c r="AB165" s="12">
        <v>41227.730000000003</v>
      </c>
      <c r="AC165" s="12">
        <v>46305.2</v>
      </c>
      <c r="AD165" s="12">
        <v>47233.1</v>
      </c>
      <c r="AE165" s="12">
        <v>46345.87</v>
      </c>
      <c r="AF165" s="12">
        <v>42292.79</v>
      </c>
      <c r="AG165" s="12">
        <v>41908.44</v>
      </c>
      <c r="AH165" s="12">
        <v>41744.06</v>
      </c>
      <c r="AI165" s="12">
        <v>46469</v>
      </c>
      <c r="AJ165" s="12">
        <v>50057.75</v>
      </c>
    </row>
    <row r="166" spans="2:36">
      <c r="B166" s="27" t="s">
        <v>195</v>
      </c>
      <c r="C166" s="12">
        <v>6248.11</v>
      </c>
      <c r="D166" s="12">
        <v>4262.55</v>
      </c>
      <c r="E166" s="12">
        <v>5099.75</v>
      </c>
      <c r="F166" s="12">
        <v>5630.95</v>
      </c>
      <c r="G166" s="12">
        <v>6323.61</v>
      </c>
      <c r="H166" s="12">
        <v>7152.82</v>
      </c>
      <c r="I166" s="12">
        <v>7817</v>
      </c>
      <c r="J166" s="12">
        <v>8513.2000000000007</v>
      </c>
      <c r="K166" s="12">
        <v>7045.01</v>
      </c>
      <c r="L166" s="12">
        <v>7289.84</v>
      </c>
      <c r="M166" s="12">
        <v>7694.64</v>
      </c>
      <c r="N166" s="12">
        <v>8063.42</v>
      </c>
      <c r="O166" s="12">
        <v>9107.81</v>
      </c>
      <c r="P166" s="12">
        <v>9572.16</v>
      </c>
      <c r="Q166" s="12">
        <v>10201.200000000001</v>
      </c>
      <c r="R166" s="12">
        <v>10616.47</v>
      </c>
      <c r="S166" s="12">
        <v>8608.7099999999991</v>
      </c>
      <c r="T166" s="12">
        <v>12127.86</v>
      </c>
      <c r="U166" s="12">
        <v>11064.8</v>
      </c>
      <c r="V166" s="12">
        <v>10539.23</v>
      </c>
      <c r="W166" s="12">
        <v>11733.31</v>
      </c>
      <c r="X166" s="12">
        <v>11833.61</v>
      </c>
      <c r="Y166" s="12">
        <v>11923.9</v>
      </c>
      <c r="Z166" s="12">
        <v>12589.9</v>
      </c>
      <c r="AA166" s="12">
        <v>12620.33</v>
      </c>
      <c r="AB166" s="12">
        <v>12979.23</v>
      </c>
      <c r="AC166" s="12">
        <v>14499.33</v>
      </c>
      <c r="AD166" s="12">
        <v>14853.99</v>
      </c>
      <c r="AE166" s="12">
        <v>15650.32</v>
      </c>
      <c r="AF166" s="12">
        <v>15948.22</v>
      </c>
      <c r="AG166" s="12">
        <v>9955.56</v>
      </c>
      <c r="AH166" s="12">
        <v>7821.71</v>
      </c>
      <c r="AI166" s="12">
        <v>9857.1</v>
      </c>
      <c r="AJ166" s="12">
        <v>15972.25</v>
      </c>
    </row>
    <row r="167" spans="2:36">
      <c r="B167" s="27" t="s">
        <v>196</v>
      </c>
      <c r="C167" s="12">
        <v>7754.38</v>
      </c>
      <c r="D167" s="12">
        <v>12591.72</v>
      </c>
      <c r="E167" s="12">
        <v>15821.6</v>
      </c>
      <c r="F167" s="12">
        <v>16530.669999999998</v>
      </c>
      <c r="G167" s="12">
        <v>19223.419999999998</v>
      </c>
      <c r="H167" s="12">
        <v>22284.34</v>
      </c>
      <c r="I167" s="12">
        <v>27266.400000000001</v>
      </c>
      <c r="J167" s="12">
        <v>29991.35</v>
      </c>
      <c r="K167" s="12">
        <v>31037.95</v>
      </c>
      <c r="L167" s="12">
        <v>33926.629999999997</v>
      </c>
      <c r="M167" s="12">
        <v>31375.26</v>
      </c>
      <c r="N167" s="12">
        <v>30118.880000000001</v>
      </c>
      <c r="O167" s="12">
        <v>29155.15</v>
      </c>
      <c r="P167" s="12">
        <v>31345.98</v>
      </c>
      <c r="Q167" s="12">
        <v>32510.25</v>
      </c>
      <c r="R167" s="12">
        <v>32549.89</v>
      </c>
      <c r="S167" s="12">
        <v>32623.57</v>
      </c>
      <c r="T167" s="12">
        <v>29674.1</v>
      </c>
      <c r="U167" s="12">
        <v>28255.01</v>
      </c>
      <c r="V167" s="12">
        <v>25557.41</v>
      </c>
      <c r="W167" s="12">
        <v>26891.33</v>
      </c>
      <c r="X167" s="12">
        <v>26512.720000000001</v>
      </c>
      <c r="Y167" s="12">
        <v>25659.82</v>
      </c>
      <c r="Z167" s="12">
        <v>25014.76</v>
      </c>
      <c r="AA167" s="12">
        <v>25532.42</v>
      </c>
      <c r="AB167" s="12">
        <v>28248.5</v>
      </c>
      <c r="AC167" s="12">
        <v>31805.87</v>
      </c>
      <c r="AD167" s="12">
        <v>32379.11</v>
      </c>
      <c r="AE167" s="12">
        <v>30695.55</v>
      </c>
      <c r="AF167" s="12">
        <v>26344.57</v>
      </c>
      <c r="AG167" s="12">
        <v>31952.87</v>
      </c>
      <c r="AH167" s="12">
        <v>33922.35</v>
      </c>
      <c r="AI167" s="12">
        <v>36611.9</v>
      </c>
      <c r="AJ167" s="12">
        <v>34085.51</v>
      </c>
    </row>
    <row r="168" spans="2:36">
      <c r="B168" s="26" t="s">
        <v>197</v>
      </c>
      <c r="C168" s="12" t="s">
        <v>198</v>
      </c>
      <c r="D168" s="12" t="s">
        <v>198</v>
      </c>
      <c r="E168" s="12" t="s">
        <v>198</v>
      </c>
      <c r="F168" s="12" t="s">
        <v>198</v>
      </c>
      <c r="G168" s="12" t="s">
        <v>198</v>
      </c>
      <c r="H168" s="12" t="s">
        <v>198</v>
      </c>
      <c r="I168" s="12" t="s">
        <v>198</v>
      </c>
      <c r="J168" s="12" t="s">
        <v>198</v>
      </c>
      <c r="K168" s="12" t="s">
        <v>198</v>
      </c>
      <c r="L168" s="12" t="s">
        <v>198</v>
      </c>
      <c r="M168" s="12" t="s">
        <v>198</v>
      </c>
      <c r="N168" s="12" t="s">
        <v>198</v>
      </c>
      <c r="O168" s="12" t="s">
        <v>198</v>
      </c>
      <c r="P168" s="12" t="s">
        <v>198</v>
      </c>
      <c r="Q168" s="12" t="s">
        <v>198</v>
      </c>
      <c r="R168" s="12" t="s">
        <v>198</v>
      </c>
      <c r="S168" s="12" t="s">
        <v>198</v>
      </c>
      <c r="T168" s="12" t="s">
        <v>198</v>
      </c>
      <c r="U168" s="12" t="s">
        <v>198</v>
      </c>
      <c r="V168" s="12" t="s">
        <v>198</v>
      </c>
      <c r="W168" s="12" t="s">
        <v>198</v>
      </c>
      <c r="X168" s="12" t="s">
        <v>198</v>
      </c>
      <c r="Y168" s="12" t="s">
        <v>198</v>
      </c>
      <c r="Z168" s="12" t="s">
        <v>198</v>
      </c>
      <c r="AA168" s="12" t="s">
        <v>198</v>
      </c>
      <c r="AB168" s="12" t="s">
        <v>198</v>
      </c>
      <c r="AC168" s="12" t="s">
        <v>198</v>
      </c>
      <c r="AD168" s="12" t="s">
        <v>198</v>
      </c>
      <c r="AE168" s="12" t="s">
        <v>198</v>
      </c>
      <c r="AF168" s="12" t="s">
        <v>198</v>
      </c>
      <c r="AG168" s="12" t="s">
        <v>198</v>
      </c>
      <c r="AH168" s="12" t="s">
        <v>198</v>
      </c>
      <c r="AI168" s="12" t="s">
        <v>198</v>
      </c>
      <c r="AJ168" s="12" t="s">
        <v>198</v>
      </c>
    </row>
    <row r="169" spans="2:36">
      <c r="B169" s="32" t="s">
        <v>199</v>
      </c>
    </row>
    <row r="170" spans="2:36" s="33" customFormat="1" ht="14.5">
      <c r="B170" s="50" t="s">
        <v>200</v>
      </c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</row>
    <row r="171" spans="2:36" s="33" customFormat="1" ht="14.5">
      <c r="B171" s="50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</row>
    <row r="172" spans="2:36" s="33" customFormat="1" ht="14.5">
      <c r="B172" s="20" t="s">
        <v>201</v>
      </c>
    </row>
    <row r="173" spans="2:36" s="33" customFormat="1" ht="14.5">
      <c r="B173" s="33" t="s">
        <v>202</v>
      </c>
      <c r="AI173" s="36"/>
    </row>
    <row r="174" spans="2:36" s="33" customFormat="1" ht="14.5">
      <c r="B174" s="44" t="s">
        <v>203</v>
      </c>
      <c r="C174" s="44" t="s">
        <v>204</v>
      </c>
      <c r="D174" s="44" t="s">
        <v>205</v>
      </c>
      <c r="E174" s="39" t="s">
        <v>206</v>
      </c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3"/>
      <c r="AI174" s="36"/>
    </row>
    <row r="175" spans="2:36" s="33" customFormat="1" ht="14.5">
      <c r="B175" s="48" t="s">
        <v>207</v>
      </c>
      <c r="C175" s="47" t="s">
        <v>208</v>
      </c>
      <c r="D175" s="47" t="s">
        <v>209</v>
      </c>
      <c r="E175" s="49" t="s">
        <v>210</v>
      </c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1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6"/>
    </row>
    <row r="176" spans="2:36" s="33" customFormat="1" ht="14.5">
      <c r="B176" s="48" t="s">
        <v>207</v>
      </c>
      <c r="C176" s="47" t="s">
        <v>211</v>
      </c>
      <c r="D176" s="47" t="s">
        <v>209</v>
      </c>
      <c r="E176" s="49" t="s">
        <v>212</v>
      </c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6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6"/>
    </row>
    <row r="177" spans="2:18" s="33" customFormat="1" ht="14.5">
      <c r="B177" s="48" t="s">
        <v>207</v>
      </c>
      <c r="C177" s="47" t="s">
        <v>213</v>
      </c>
      <c r="D177" s="47" t="s">
        <v>214</v>
      </c>
      <c r="E177" s="49" t="s">
        <v>215</v>
      </c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1"/>
    </row>
    <row r="178" spans="2:18" s="33" customFormat="1" ht="14.5">
      <c r="B178" s="48" t="s">
        <v>207</v>
      </c>
      <c r="C178" s="47" t="s">
        <v>213</v>
      </c>
      <c r="D178" s="47" t="s">
        <v>216</v>
      </c>
      <c r="E178" s="49" t="s">
        <v>217</v>
      </c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1"/>
    </row>
    <row r="179" spans="2:18" s="33" customFormat="1" ht="14.5">
      <c r="B179" s="48" t="s">
        <v>207</v>
      </c>
      <c r="C179" s="47" t="s">
        <v>218</v>
      </c>
      <c r="D179" s="47" t="s">
        <v>219</v>
      </c>
      <c r="E179" s="49" t="s">
        <v>220</v>
      </c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1"/>
    </row>
    <row r="180" spans="2:18" s="33" customFormat="1" ht="14.5">
      <c r="B180" s="48" t="s">
        <v>207</v>
      </c>
      <c r="C180" s="47" t="s">
        <v>221</v>
      </c>
      <c r="D180" s="47" t="s">
        <v>219</v>
      </c>
      <c r="E180" s="49" t="s">
        <v>222</v>
      </c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1"/>
    </row>
    <row r="181" spans="2:18" s="33" customFormat="1" ht="14.5">
      <c r="B181" s="48" t="s">
        <v>154</v>
      </c>
      <c r="C181" s="47" t="s">
        <v>223</v>
      </c>
      <c r="D181" s="47" t="s">
        <v>224</v>
      </c>
      <c r="E181" s="49" t="s">
        <v>225</v>
      </c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1"/>
    </row>
    <row r="182" spans="2:18" s="33" customFormat="1" ht="14.5">
      <c r="B182" s="48" t="s">
        <v>154</v>
      </c>
      <c r="C182" s="47" t="s">
        <v>226</v>
      </c>
      <c r="D182" s="47" t="s">
        <v>227</v>
      </c>
      <c r="E182" s="49" t="s">
        <v>228</v>
      </c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1"/>
    </row>
    <row r="183" spans="2:18" s="33" customFormat="1" ht="14.5"/>
    <row r="184" spans="2:18" s="33" customFormat="1" ht="14.5">
      <c r="B184" s="35"/>
    </row>
    <row r="185" spans="2:18" s="33" customFormat="1" ht="14.5"/>
    <row r="186" spans="2:18" s="33" customFormat="1" ht="14.5"/>
    <row r="187" spans="2:18" s="33" customFormat="1" ht="14.5"/>
    <row r="188" spans="2:18" s="33" customFormat="1" ht="14.5"/>
    <row r="189" spans="2:18" s="33" customFormat="1" ht="14.5"/>
    <row r="190" spans="2:18" s="33" customFormat="1" ht="14.5"/>
    <row r="191" spans="2:18" s="33" customFormat="1" ht="14.5"/>
    <row r="192" spans="2:18" s="33" customFormat="1" ht="14.5"/>
    <row r="193" s="33" customFormat="1" ht="14.5"/>
    <row r="194" s="33" customFormat="1" ht="14.5"/>
    <row r="195" s="33" customFormat="1" ht="14.5"/>
    <row r="196" s="33" customFormat="1" ht="14.5"/>
    <row r="197" s="33" customFormat="1" ht="14.5"/>
    <row r="198" s="33" customFormat="1" ht="14.5"/>
    <row r="199" s="33" customFormat="1" ht="14.5"/>
    <row r="200" s="33" customFormat="1" ht="14.5"/>
    <row r="201" s="33" customFormat="1" ht="14.5"/>
    <row r="202" s="33" customFormat="1" ht="14.5"/>
    <row r="203" s="33" customFormat="1" ht="14.5"/>
    <row r="204" s="33" customFormat="1" ht="14.5"/>
    <row r="205" s="33" customFormat="1" ht="14.5"/>
  </sheetData>
  <phoneticPr fontId="4" type="noConversion"/>
  <conditionalFormatting sqref="B185:AJ229">
    <cfRule type="cellIs" dxfId="2" priority="1" operator="notEqual">
      <formula>B48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B32C7-F145-4348-A4DE-F9EB4B1A3E70}">
  <dimension ref="B1:AJ193"/>
  <sheetViews>
    <sheetView zoomScaleNormal="100" workbookViewId="0">
      <pane xSplit="2" ySplit="4" topLeftCell="W113" activePane="bottomRight" state="frozen"/>
      <selection pane="topRight" activeCell="C1" sqref="C1"/>
      <selection pane="bottomLeft" activeCell="A5" sqref="A5"/>
      <selection pane="bottomRight" activeCell="Z2" sqref="Z2"/>
    </sheetView>
  </sheetViews>
  <sheetFormatPr defaultRowHeight="17"/>
  <cols>
    <col min="1" max="1" width="8.6640625" style="30"/>
    <col min="2" max="2" width="48.5" style="30" bestFit="1" customWidth="1"/>
    <col min="3" max="36" width="12.08203125" style="30" customWidth="1"/>
    <col min="37" max="16384" width="8.6640625" style="30"/>
  </cols>
  <sheetData>
    <row r="1" spans="2:36" ht="18" thickBot="1">
      <c r="B1" s="18" t="s">
        <v>229</v>
      </c>
    </row>
    <row r="2" spans="2:36" ht="17.5" thickTop="1"/>
    <row r="4" spans="2:36">
      <c r="B4" s="22" t="s">
        <v>45</v>
      </c>
      <c r="C4" s="22">
        <v>1990</v>
      </c>
      <c r="D4" s="22">
        <v>1991</v>
      </c>
      <c r="E4" s="22">
        <v>1992</v>
      </c>
      <c r="F4" s="22">
        <v>1993</v>
      </c>
      <c r="G4" s="22">
        <v>1994</v>
      </c>
      <c r="H4" s="22">
        <v>1995</v>
      </c>
      <c r="I4" s="22">
        <v>1996</v>
      </c>
      <c r="J4" s="22">
        <v>1997</v>
      </c>
      <c r="K4" s="22">
        <v>1998</v>
      </c>
      <c r="L4" s="22">
        <v>1999</v>
      </c>
      <c r="M4" s="22">
        <v>2000</v>
      </c>
      <c r="N4" s="22">
        <v>2001</v>
      </c>
      <c r="O4" s="22">
        <v>2002</v>
      </c>
      <c r="P4" s="22">
        <v>2003</v>
      </c>
      <c r="Q4" s="22">
        <v>2004</v>
      </c>
      <c r="R4" s="22">
        <v>2005</v>
      </c>
      <c r="S4" s="22">
        <v>2006</v>
      </c>
      <c r="T4" s="22">
        <v>2007</v>
      </c>
      <c r="U4" s="22">
        <v>2008</v>
      </c>
      <c r="V4" s="22">
        <v>2009</v>
      </c>
      <c r="W4" s="22">
        <v>2010</v>
      </c>
      <c r="X4" s="22">
        <v>2011</v>
      </c>
      <c r="Y4" s="22">
        <v>2012</v>
      </c>
      <c r="Z4" s="22">
        <v>2013</v>
      </c>
      <c r="AA4" s="22">
        <v>2014</v>
      </c>
      <c r="AB4" s="22">
        <v>2015</v>
      </c>
      <c r="AC4" s="22">
        <v>2016</v>
      </c>
      <c r="AD4" s="22">
        <v>2017</v>
      </c>
      <c r="AE4" s="22">
        <v>2018</v>
      </c>
      <c r="AF4" s="22">
        <v>2019</v>
      </c>
      <c r="AG4" s="22">
        <v>2020</v>
      </c>
      <c r="AH4" s="22">
        <v>2021</v>
      </c>
      <c r="AI4" s="22">
        <v>2022</v>
      </c>
      <c r="AJ4" s="22">
        <v>2023</v>
      </c>
    </row>
    <row r="5" spans="2:36">
      <c r="B5" s="23" t="s">
        <v>31</v>
      </c>
      <c r="C5" s="10">
        <v>46792.93</v>
      </c>
      <c r="D5" s="10">
        <v>47106.81</v>
      </c>
      <c r="E5" s="10">
        <v>47238.53</v>
      </c>
      <c r="F5" s="10">
        <v>47071.92</v>
      </c>
      <c r="G5" s="10">
        <v>47313.49</v>
      </c>
      <c r="H5" s="10">
        <v>47058.879999999997</v>
      </c>
      <c r="I5" s="10">
        <v>47018.83</v>
      </c>
      <c r="J5" s="10">
        <v>46992.09</v>
      </c>
      <c r="K5" s="10">
        <v>45601.61</v>
      </c>
      <c r="L5" s="10">
        <v>44826.239999999998</v>
      </c>
      <c r="M5" s="10">
        <v>44600.39</v>
      </c>
      <c r="N5" s="10">
        <v>44884.85</v>
      </c>
      <c r="O5" s="10">
        <v>44494.91</v>
      </c>
      <c r="P5" s="10">
        <v>44228.03</v>
      </c>
      <c r="Q5" s="10">
        <v>42413.02</v>
      </c>
      <c r="R5" s="10">
        <v>42127.79</v>
      </c>
      <c r="S5" s="10">
        <v>41832.300000000003</v>
      </c>
      <c r="T5" s="10">
        <v>41088.74</v>
      </c>
      <c r="U5" s="10">
        <v>40737.78</v>
      </c>
      <c r="V5" s="10">
        <v>40722.199999999997</v>
      </c>
      <c r="W5" s="10">
        <v>40563.760000000002</v>
      </c>
      <c r="X5" s="10">
        <v>39446.83</v>
      </c>
      <c r="Y5" s="10">
        <v>38848.870000000003</v>
      </c>
      <c r="Z5" s="10">
        <v>38310.699999999997</v>
      </c>
      <c r="AA5" s="10">
        <v>37943.58</v>
      </c>
      <c r="AB5" s="10">
        <v>37813.03</v>
      </c>
      <c r="AC5" s="10">
        <v>37589.33</v>
      </c>
      <c r="AD5" s="10">
        <v>37882.17</v>
      </c>
      <c r="AE5" s="10">
        <v>37112.51</v>
      </c>
      <c r="AF5" s="10">
        <v>35894.720000000001</v>
      </c>
      <c r="AG5" s="10">
        <v>35510.089999999997</v>
      </c>
      <c r="AH5" s="10">
        <v>35279.61</v>
      </c>
      <c r="AI5" s="10">
        <v>35056.65</v>
      </c>
      <c r="AJ5" s="10">
        <v>34239.18</v>
      </c>
    </row>
    <row r="6" spans="2:36">
      <c r="B6" s="23" t="s">
        <v>32</v>
      </c>
      <c r="C6" s="10">
        <v>47071.64</v>
      </c>
      <c r="D6" s="10">
        <v>47365.05</v>
      </c>
      <c r="E6" s="10">
        <v>47510.8</v>
      </c>
      <c r="F6" s="10">
        <v>47333.52</v>
      </c>
      <c r="G6" s="10">
        <v>47582.239999999998</v>
      </c>
      <c r="H6" s="10">
        <v>47326.73</v>
      </c>
      <c r="I6" s="10">
        <v>47306.81</v>
      </c>
      <c r="J6" s="10">
        <v>47290.71</v>
      </c>
      <c r="K6" s="10">
        <v>45913.33</v>
      </c>
      <c r="L6" s="10">
        <v>45126.66</v>
      </c>
      <c r="M6" s="10">
        <v>44985.86</v>
      </c>
      <c r="N6" s="10">
        <v>45214.29</v>
      </c>
      <c r="O6" s="10">
        <v>44853.19</v>
      </c>
      <c r="P6" s="10">
        <v>44570.39</v>
      </c>
      <c r="Q6" s="10">
        <v>42749.97</v>
      </c>
      <c r="R6" s="10">
        <v>42450.239999999998</v>
      </c>
      <c r="S6" s="10">
        <v>42173.08</v>
      </c>
      <c r="T6" s="10">
        <v>41436.81</v>
      </c>
      <c r="U6" s="10">
        <v>41103.14</v>
      </c>
      <c r="V6" s="10">
        <v>41079.379999999997</v>
      </c>
      <c r="W6" s="10">
        <v>40906.629999999997</v>
      </c>
      <c r="X6" s="10">
        <v>39810.19</v>
      </c>
      <c r="Y6" s="10">
        <v>39192.58</v>
      </c>
      <c r="Z6" s="10">
        <v>38661.480000000003</v>
      </c>
      <c r="AA6" s="10">
        <v>38312.18</v>
      </c>
      <c r="AB6" s="10">
        <v>38230.19</v>
      </c>
      <c r="AC6" s="10">
        <v>37983.480000000003</v>
      </c>
      <c r="AD6" s="10">
        <v>38268.26</v>
      </c>
      <c r="AE6" s="10">
        <v>37495.67</v>
      </c>
      <c r="AF6" s="10">
        <v>36305.839999999997</v>
      </c>
      <c r="AG6" s="10">
        <v>35930.160000000003</v>
      </c>
      <c r="AH6" s="10">
        <v>35676.720000000001</v>
      </c>
      <c r="AI6" s="10">
        <v>35572</v>
      </c>
      <c r="AJ6" s="10">
        <v>34649.75</v>
      </c>
    </row>
    <row r="7" spans="2:36">
      <c r="B7" s="24" t="s">
        <v>47</v>
      </c>
      <c r="C7" s="15">
        <v>14099.77</v>
      </c>
      <c r="D7" s="15">
        <v>13062.02</v>
      </c>
      <c r="E7" s="15">
        <v>11677.72</v>
      </c>
      <c r="F7" s="15">
        <v>10465.92</v>
      </c>
      <c r="G7" s="15">
        <v>9160.6200000000008</v>
      </c>
      <c r="H7" s="15">
        <v>8243.34</v>
      </c>
      <c r="I7" s="15">
        <v>7728.68</v>
      </c>
      <c r="J7" s="15">
        <v>7385.12</v>
      </c>
      <c r="K7" s="15">
        <v>6919.03</v>
      </c>
      <c r="L7" s="15">
        <v>6829.85</v>
      </c>
      <c r="M7" s="15">
        <v>6821.45</v>
      </c>
      <c r="N7" s="15">
        <v>6792.99</v>
      </c>
      <c r="O7" s="15">
        <v>6525.73</v>
      </c>
      <c r="P7" s="15">
        <v>6467.3</v>
      </c>
      <c r="Q7" s="15">
        <v>6352.05</v>
      </c>
      <c r="R7" s="15">
        <v>6350.9</v>
      </c>
      <c r="S7" s="15">
        <v>6328.96</v>
      </c>
      <c r="T7" s="15">
        <v>6337.38</v>
      </c>
      <c r="U7" s="15">
        <v>6328.7</v>
      </c>
      <c r="V7" s="15">
        <v>6201.75</v>
      </c>
      <c r="W7" s="15">
        <v>6155.49</v>
      </c>
      <c r="X7" s="15">
        <v>6161.92</v>
      </c>
      <c r="Y7" s="15">
        <v>6196.63</v>
      </c>
      <c r="Z7" s="15">
        <v>6023.16</v>
      </c>
      <c r="AA7" s="15">
        <v>5689.66</v>
      </c>
      <c r="AB7" s="15">
        <v>5685.03</v>
      </c>
      <c r="AC7" s="15">
        <v>5697.53</v>
      </c>
      <c r="AD7" s="15">
        <v>5593.72</v>
      </c>
      <c r="AE7" s="15">
        <v>5536.42</v>
      </c>
      <c r="AF7" s="15">
        <v>5172.55</v>
      </c>
      <c r="AG7" s="15">
        <v>5015.2299999999996</v>
      </c>
      <c r="AH7" s="15">
        <v>5000.4399999999996</v>
      </c>
      <c r="AI7" s="15">
        <v>4982.05</v>
      </c>
      <c r="AJ7" s="15">
        <v>4909.3999999999996</v>
      </c>
    </row>
    <row r="8" spans="2:36">
      <c r="B8" s="25" t="s">
        <v>33</v>
      </c>
      <c r="C8" s="12">
        <v>3292.6</v>
      </c>
      <c r="D8" s="12">
        <v>2761.54</v>
      </c>
      <c r="E8" s="12">
        <v>2291.84</v>
      </c>
      <c r="F8" s="12">
        <v>1848</v>
      </c>
      <c r="G8" s="12">
        <v>1459.57</v>
      </c>
      <c r="H8" s="12">
        <v>1308.06</v>
      </c>
      <c r="I8" s="12">
        <v>1214.42</v>
      </c>
      <c r="J8" s="12">
        <v>1208.49</v>
      </c>
      <c r="K8" s="12">
        <v>990.45</v>
      </c>
      <c r="L8" s="12">
        <v>1068.06</v>
      </c>
      <c r="M8" s="12">
        <v>1159.19</v>
      </c>
      <c r="N8" s="12">
        <v>1277.9000000000001</v>
      </c>
      <c r="O8" s="12">
        <v>1349.55</v>
      </c>
      <c r="P8" s="12">
        <v>1364.44</v>
      </c>
      <c r="Q8" s="12">
        <v>1363.55</v>
      </c>
      <c r="R8" s="12">
        <v>1494.09</v>
      </c>
      <c r="S8" s="12">
        <v>1563.86</v>
      </c>
      <c r="T8" s="12">
        <v>1618.14</v>
      </c>
      <c r="U8" s="12">
        <v>1679.01</v>
      </c>
      <c r="V8" s="12">
        <v>1701.28</v>
      </c>
      <c r="W8" s="12">
        <v>1796.15</v>
      </c>
      <c r="X8" s="12">
        <v>1818.27</v>
      </c>
      <c r="Y8" s="12">
        <v>1841.56</v>
      </c>
      <c r="Z8" s="12">
        <v>1849.93</v>
      </c>
      <c r="AA8" s="12">
        <v>1653.83</v>
      </c>
      <c r="AB8" s="12">
        <v>1732.12</v>
      </c>
      <c r="AC8" s="12">
        <v>1780.99</v>
      </c>
      <c r="AD8" s="12">
        <v>1861.38</v>
      </c>
      <c r="AE8" s="12">
        <v>1877.28</v>
      </c>
      <c r="AF8" s="12">
        <v>1644.25</v>
      </c>
      <c r="AG8" s="12">
        <v>1578.25</v>
      </c>
      <c r="AH8" s="12">
        <v>1593.87</v>
      </c>
      <c r="AI8" s="12">
        <v>1590.89</v>
      </c>
      <c r="AJ8" s="12">
        <v>1675.92</v>
      </c>
    </row>
    <row r="9" spans="2:36">
      <c r="B9" s="26" t="s">
        <v>34</v>
      </c>
      <c r="C9" s="13">
        <v>27.31</v>
      </c>
      <c r="D9" s="13">
        <v>35.409999999999997</v>
      </c>
      <c r="E9" s="13">
        <v>43.08</v>
      </c>
      <c r="F9" s="13">
        <v>45.39</v>
      </c>
      <c r="G9" s="13">
        <v>52.76</v>
      </c>
      <c r="H9" s="13">
        <v>58.45</v>
      </c>
      <c r="I9" s="13">
        <v>65.61</v>
      </c>
      <c r="J9" s="13">
        <v>67.27</v>
      </c>
      <c r="K9" s="13">
        <v>49.87</v>
      </c>
      <c r="L9" s="13">
        <v>54.21</v>
      </c>
      <c r="M9" s="13">
        <v>64.81</v>
      </c>
      <c r="N9" s="13">
        <v>69.63</v>
      </c>
      <c r="O9" s="13">
        <v>70.8</v>
      </c>
      <c r="P9" s="13">
        <v>71.87</v>
      </c>
      <c r="Q9" s="13">
        <v>74.69</v>
      </c>
      <c r="R9" s="13">
        <v>77.260000000000005</v>
      </c>
      <c r="S9" s="13">
        <v>80.13</v>
      </c>
      <c r="T9" s="13">
        <v>84.5</v>
      </c>
      <c r="U9" s="13">
        <v>83.69</v>
      </c>
      <c r="V9" s="13">
        <v>88.6</v>
      </c>
      <c r="W9" s="13">
        <v>96.66</v>
      </c>
      <c r="X9" s="13">
        <v>106.06</v>
      </c>
      <c r="Y9" s="13">
        <v>105.84</v>
      </c>
      <c r="Z9" s="13">
        <v>115.11</v>
      </c>
      <c r="AA9" s="13">
        <v>126.42</v>
      </c>
      <c r="AB9" s="13">
        <v>134.72999999999999</v>
      </c>
      <c r="AC9" s="13">
        <v>137.32</v>
      </c>
      <c r="AD9" s="13">
        <v>70.599999999999994</v>
      </c>
      <c r="AE9" s="13">
        <v>74.2</v>
      </c>
      <c r="AF9" s="13">
        <v>73.930000000000007</v>
      </c>
      <c r="AG9" s="13">
        <v>68.239999999999995</v>
      </c>
      <c r="AH9" s="13">
        <v>74.959999999999994</v>
      </c>
      <c r="AI9" s="13">
        <v>86.71</v>
      </c>
      <c r="AJ9" s="13">
        <v>122.85</v>
      </c>
    </row>
    <row r="10" spans="2:36">
      <c r="B10" s="27" t="s">
        <v>48</v>
      </c>
      <c r="C10" s="13">
        <v>23.16</v>
      </c>
      <c r="D10" s="13">
        <v>30.17</v>
      </c>
      <c r="E10" s="13">
        <v>36.51</v>
      </c>
      <c r="F10" s="13">
        <v>37.799999999999997</v>
      </c>
      <c r="G10" s="13">
        <v>44.86</v>
      </c>
      <c r="H10" s="13">
        <v>49.75</v>
      </c>
      <c r="I10" s="13">
        <v>55.81</v>
      </c>
      <c r="J10" s="13">
        <v>56.23</v>
      </c>
      <c r="K10" s="13">
        <v>38.81</v>
      </c>
      <c r="L10" s="13">
        <v>42.89</v>
      </c>
      <c r="M10" s="13">
        <v>53.82</v>
      </c>
      <c r="N10" s="13">
        <v>58.62</v>
      </c>
      <c r="O10" s="13">
        <v>60.27</v>
      </c>
      <c r="P10" s="13">
        <v>61.67</v>
      </c>
      <c r="Q10" s="13">
        <v>64.069999999999993</v>
      </c>
      <c r="R10" s="13">
        <v>65.22</v>
      </c>
      <c r="S10" s="13">
        <v>68.209999999999994</v>
      </c>
      <c r="T10" s="13">
        <v>72.510000000000005</v>
      </c>
      <c r="U10" s="13">
        <v>71.83</v>
      </c>
      <c r="V10" s="13">
        <v>77.819999999999993</v>
      </c>
      <c r="W10" s="13">
        <v>87.46</v>
      </c>
      <c r="X10" s="13">
        <v>95.87</v>
      </c>
      <c r="Y10" s="13">
        <v>96.16</v>
      </c>
      <c r="Z10" s="13">
        <v>105.95</v>
      </c>
      <c r="AA10" s="13">
        <v>117.39</v>
      </c>
      <c r="AB10" s="13">
        <v>126.26</v>
      </c>
      <c r="AC10" s="13">
        <v>127.36</v>
      </c>
      <c r="AD10" s="13">
        <v>62.83</v>
      </c>
      <c r="AE10" s="13">
        <v>66.48</v>
      </c>
      <c r="AF10" s="13">
        <v>65.5</v>
      </c>
      <c r="AG10" s="13">
        <v>62</v>
      </c>
      <c r="AH10" s="13">
        <v>69.08</v>
      </c>
      <c r="AI10" s="13">
        <v>80.22</v>
      </c>
      <c r="AJ10" s="13">
        <v>115.5</v>
      </c>
    </row>
    <row r="11" spans="2:36">
      <c r="B11" s="27" t="s">
        <v>49</v>
      </c>
      <c r="C11" s="13">
        <v>3.83</v>
      </c>
      <c r="D11" s="13">
        <v>4.6399999999999997</v>
      </c>
      <c r="E11" s="13">
        <v>5.74</v>
      </c>
      <c r="F11" s="13">
        <v>6.41</v>
      </c>
      <c r="G11" s="13">
        <v>6.67</v>
      </c>
      <c r="H11" s="13">
        <v>7.25</v>
      </c>
      <c r="I11" s="13">
        <v>8.42</v>
      </c>
      <c r="J11" s="13">
        <v>9.51</v>
      </c>
      <c r="K11" s="13">
        <v>9.8000000000000007</v>
      </c>
      <c r="L11" s="13">
        <v>10.34</v>
      </c>
      <c r="M11" s="13">
        <v>10.02</v>
      </c>
      <c r="N11" s="13">
        <v>10.199999999999999</v>
      </c>
      <c r="O11" s="13">
        <v>10.130000000000001</v>
      </c>
      <c r="P11" s="13">
        <v>9.6199999999999992</v>
      </c>
      <c r="Q11" s="13">
        <v>9.51</v>
      </c>
      <c r="R11" s="13">
        <v>10.1</v>
      </c>
      <c r="S11" s="13">
        <v>10.029999999999999</v>
      </c>
      <c r="T11" s="13">
        <v>10.17</v>
      </c>
      <c r="U11" s="13">
        <v>10.3</v>
      </c>
      <c r="V11" s="13">
        <v>9.4600000000000009</v>
      </c>
      <c r="W11" s="13">
        <v>7.98</v>
      </c>
      <c r="X11" s="13">
        <v>8.26</v>
      </c>
      <c r="Y11" s="13">
        <v>7.5</v>
      </c>
      <c r="Z11" s="13">
        <v>7.27</v>
      </c>
      <c r="AA11" s="13">
        <v>8.5500000000000007</v>
      </c>
      <c r="AB11" s="13">
        <v>8.07</v>
      </c>
      <c r="AC11" s="13">
        <v>9.59</v>
      </c>
      <c r="AD11" s="13">
        <v>7.04</v>
      </c>
      <c r="AE11" s="13">
        <v>7.28</v>
      </c>
      <c r="AF11" s="13">
        <v>6.5</v>
      </c>
      <c r="AG11" s="13">
        <v>5.87</v>
      </c>
      <c r="AH11" s="13">
        <v>5.2</v>
      </c>
      <c r="AI11" s="13">
        <v>5.4</v>
      </c>
      <c r="AJ11" s="13">
        <v>5.91</v>
      </c>
    </row>
    <row r="12" spans="2:36">
      <c r="B12" s="27" t="s">
        <v>50</v>
      </c>
      <c r="C12" s="13">
        <v>0.33</v>
      </c>
      <c r="D12" s="13">
        <v>0.6</v>
      </c>
      <c r="E12" s="13">
        <v>0.83</v>
      </c>
      <c r="F12" s="13">
        <v>1.18</v>
      </c>
      <c r="G12" s="13">
        <v>1.24</v>
      </c>
      <c r="H12" s="13">
        <v>1.46</v>
      </c>
      <c r="I12" s="13">
        <v>1.38</v>
      </c>
      <c r="J12" s="13">
        <v>1.54</v>
      </c>
      <c r="K12" s="13">
        <v>1.25</v>
      </c>
      <c r="L12" s="13">
        <v>0.98</v>
      </c>
      <c r="M12" s="13">
        <v>0.96</v>
      </c>
      <c r="N12" s="13">
        <v>0.81</v>
      </c>
      <c r="O12" s="13">
        <v>0.41</v>
      </c>
      <c r="P12" s="13">
        <v>0.57999999999999996</v>
      </c>
      <c r="Q12" s="13">
        <v>1.1000000000000001</v>
      </c>
      <c r="R12" s="13">
        <v>1.94</v>
      </c>
      <c r="S12" s="13">
        <v>1.89</v>
      </c>
      <c r="T12" s="13">
        <v>1.82</v>
      </c>
      <c r="U12" s="13">
        <v>1.56</v>
      </c>
      <c r="V12" s="13">
        <v>1.33</v>
      </c>
      <c r="W12" s="13">
        <v>1.22</v>
      </c>
      <c r="X12" s="13">
        <v>1.93</v>
      </c>
      <c r="Y12" s="13">
        <v>2.1800000000000002</v>
      </c>
      <c r="Z12" s="13">
        <v>1.88</v>
      </c>
      <c r="AA12" s="13">
        <v>0.48</v>
      </c>
      <c r="AB12" s="13">
        <v>0.4</v>
      </c>
      <c r="AC12" s="13">
        <v>0.37</v>
      </c>
      <c r="AD12" s="13">
        <v>0.73</v>
      </c>
      <c r="AE12" s="13">
        <v>0.44</v>
      </c>
      <c r="AF12" s="13">
        <v>1.94</v>
      </c>
      <c r="AG12" s="13">
        <v>0.37</v>
      </c>
      <c r="AH12" s="13">
        <v>0.68</v>
      </c>
      <c r="AI12" s="13">
        <v>1.0900000000000001</v>
      </c>
      <c r="AJ12" s="13">
        <v>1.44</v>
      </c>
    </row>
    <row r="13" spans="2:36">
      <c r="B13" s="26" t="s">
        <v>35</v>
      </c>
      <c r="C13" s="13">
        <v>81.55</v>
      </c>
      <c r="D13" s="13">
        <v>98.96</v>
      </c>
      <c r="E13" s="13">
        <v>102.57</v>
      </c>
      <c r="F13" s="13">
        <v>117.15</v>
      </c>
      <c r="G13" s="13">
        <v>123.44</v>
      </c>
      <c r="H13" s="13">
        <v>124.8</v>
      </c>
      <c r="I13" s="13">
        <v>136.41</v>
      </c>
      <c r="J13" s="13">
        <v>136.69</v>
      </c>
      <c r="K13" s="13">
        <v>119.79</v>
      </c>
      <c r="L13" s="13">
        <v>126.72</v>
      </c>
      <c r="M13" s="13">
        <v>148.87</v>
      </c>
      <c r="N13" s="13">
        <v>153.56</v>
      </c>
      <c r="O13" s="13">
        <v>152.77000000000001</v>
      </c>
      <c r="P13" s="13">
        <v>165.93</v>
      </c>
      <c r="Q13" s="13">
        <v>162.9</v>
      </c>
      <c r="R13" s="13">
        <v>154.38999999999999</v>
      </c>
      <c r="S13" s="13">
        <v>157.08000000000001</v>
      </c>
      <c r="T13" s="13">
        <v>168.88</v>
      </c>
      <c r="U13" s="13">
        <v>179.32</v>
      </c>
      <c r="V13" s="13">
        <v>168.15</v>
      </c>
      <c r="W13" s="13">
        <v>197.83</v>
      </c>
      <c r="X13" s="13">
        <v>206.2</v>
      </c>
      <c r="Y13" s="13">
        <v>191.85</v>
      </c>
      <c r="Z13" s="13">
        <v>185.23</v>
      </c>
      <c r="AA13" s="13">
        <v>202.94</v>
      </c>
      <c r="AB13" s="13">
        <v>205.17</v>
      </c>
      <c r="AC13" s="13">
        <v>210.1</v>
      </c>
      <c r="AD13" s="13">
        <v>211.3</v>
      </c>
      <c r="AE13" s="13">
        <v>230.55</v>
      </c>
      <c r="AF13" s="13">
        <v>225.49</v>
      </c>
      <c r="AG13" s="13">
        <v>221.52</v>
      </c>
      <c r="AH13" s="13">
        <v>244.42</v>
      </c>
      <c r="AI13" s="13">
        <v>240.42</v>
      </c>
      <c r="AJ13" s="13">
        <v>228.2</v>
      </c>
    </row>
    <row r="14" spans="2:36">
      <c r="B14" s="27" t="s">
        <v>51</v>
      </c>
      <c r="C14" s="13">
        <v>11.86</v>
      </c>
      <c r="D14" s="13">
        <v>19.07</v>
      </c>
      <c r="E14" s="13">
        <v>21.1</v>
      </c>
      <c r="F14" s="13">
        <v>23.11</v>
      </c>
      <c r="G14" s="13">
        <v>23.49</v>
      </c>
      <c r="H14" s="13">
        <v>24</v>
      </c>
      <c r="I14" s="13">
        <v>24.49</v>
      </c>
      <c r="J14" s="13">
        <v>22.7</v>
      </c>
      <c r="K14" s="13">
        <v>22.61</v>
      </c>
      <c r="L14" s="13">
        <v>24.77</v>
      </c>
      <c r="M14" s="13">
        <v>25</v>
      </c>
      <c r="N14" s="13">
        <v>26.9</v>
      </c>
      <c r="O14" s="13">
        <v>26.26</v>
      </c>
      <c r="P14" s="13">
        <v>27.43</v>
      </c>
      <c r="Q14" s="13">
        <v>31.34</v>
      </c>
      <c r="R14" s="13">
        <v>20.99</v>
      </c>
      <c r="S14" s="13">
        <v>22.17</v>
      </c>
      <c r="T14" s="13">
        <v>32.950000000000003</v>
      </c>
      <c r="U14" s="13">
        <v>37.51</v>
      </c>
      <c r="V14" s="13">
        <v>30.48</v>
      </c>
      <c r="W14" s="13">
        <v>44.29</v>
      </c>
      <c r="X14" s="13">
        <v>42.47</v>
      </c>
      <c r="Y14" s="13">
        <v>38.659999999999997</v>
      </c>
      <c r="Z14" s="13">
        <v>24.5</v>
      </c>
      <c r="AA14" s="13">
        <v>27.56</v>
      </c>
      <c r="AB14" s="13">
        <v>31.71</v>
      </c>
      <c r="AC14" s="13">
        <v>26.73</v>
      </c>
      <c r="AD14" s="13">
        <v>26.14</v>
      </c>
      <c r="AE14" s="13">
        <v>33.299999999999997</v>
      </c>
      <c r="AF14" s="13">
        <v>26.93</v>
      </c>
      <c r="AG14" s="13">
        <v>23.91</v>
      </c>
      <c r="AH14" s="13">
        <v>25.3</v>
      </c>
      <c r="AI14" s="13">
        <v>24.17</v>
      </c>
      <c r="AJ14" s="13">
        <v>21.24</v>
      </c>
    </row>
    <row r="15" spans="2:36">
      <c r="B15" s="27" t="s">
        <v>52</v>
      </c>
      <c r="C15" s="13">
        <v>0.59</v>
      </c>
      <c r="D15" s="13">
        <v>0.57999999999999996</v>
      </c>
      <c r="E15" s="13">
        <v>0.43</v>
      </c>
      <c r="F15" s="13">
        <v>0.41</v>
      </c>
      <c r="G15" s="13">
        <v>0.68</v>
      </c>
      <c r="H15" s="13">
        <v>0.8</v>
      </c>
      <c r="I15" s="13">
        <v>0.63</v>
      </c>
      <c r="J15" s="13">
        <v>0.53</v>
      </c>
      <c r="K15" s="13">
        <v>0.6</v>
      </c>
      <c r="L15" s="13">
        <v>0.7</v>
      </c>
      <c r="M15" s="13">
        <v>2.0299999999999998</v>
      </c>
      <c r="N15" s="13">
        <v>1.6</v>
      </c>
      <c r="O15" s="13">
        <v>1.94</v>
      </c>
      <c r="P15" s="13">
        <v>2.15</v>
      </c>
      <c r="Q15" s="13">
        <v>2.08</v>
      </c>
      <c r="R15" s="13">
        <v>1.98</v>
      </c>
      <c r="S15" s="13">
        <v>1.99</v>
      </c>
      <c r="T15" s="13">
        <v>2.68</v>
      </c>
      <c r="U15" s="13">
        <v>3.32</v>
      </c>
      <c r="V15" s="13">
        <v>5.31</v>
      </c>
      <c r="W15" s="13">
        <v>4</v>
      </c>
      <c r="X15" s="13">
        <v>4.83</v>
      </c>
      <c r="Y15" s="13">
        <v>3.88</v>
      </c>
      <c r="Z15" s="13">
        <v>4.18</v>
      </c>
      <c r="AA15" s="13">
        <v>4.3600000000000003</v>
      </c>
      <c r="AB15" s="13">
        <v>4.6900000000000004</v>
      </c>
      <c r="AC15" s="13">
        <v>4.97</v>
      </c>
      <c r="AD15" s="13">
        <v>3.88</v>
      </c>
      <c r="AE15" s="13">
        <v>4.3099999999999996</v>
      </c>
      <c r="AF15" s="13">
        <v>4.3899999999999997</v>
      </c>
      <c r="AG15" s="13">
        <v>4.9400000000000004</v>
      </c>
      <c r="AH15" s="13">
        <v>5.09</v>
      </c>
      <c r="AI15" s="13">
        <v>5.52</v>
      </c>
      <c r="AJ15" s="13">
        <v>5.35</v>
      </c>
    </row>
    <row r="16" spans="2:36">
      <c r="B16" s="27" t="s">
        <v>53</v>
      </c>
      <c r="C16" s="13">
        <v>9.9600000000000009</v>
      </c>
      <c r="D16" s="13">
        <v>11.95</v>
      </c>
      <c r="E16" s="13">
        <v>11.72</v>
      </c>
      <c r="F16" s="13">
        <v>12.51</v>
      </c>
      <c r="G16" s="13">
        <v>13.44</v>
      </c>
      <c r="H16" s="13">
        <v>12.33</v>
      </c>
      <c r="I16" s="13">
        <v>14.39</v>
      </c>
      <c r="J16" s="13">
        <v>22.09</v>
      </c>
      <c r="K16" s="13">
        <v>18.48</v>
      </c>
      <c r="L16" s="13">
        <v>19.27</v>
      </c>
      <c r="M16" s="13">
        <v>19.809999999999999</v>
      </c>
      <c r="N16" s="13">
        <v>20.04</v>
      </c>
      <c r="O16" s="13">
        <v>19.899999999999999</v>
      </c>
      <c r="P16" s="13">
        <v>23.01</v>
      </c>
      <c r="Q16" s="13">
        <v>21.38</v>
      </c>
      <c r="R16" s="13">
        <v>21.69</v>
      </c>
      <c r="S16" s="13">
        <v>21.65</v>
      </c>
      <c r="T16" s="13">
        <v>22.13</v>
      </c>
      <c r="U16" s="13">
        <v>20.239999999999998</v>
      </c>
      <c r="V16" s="13">
        <v>20.64</v>
      </c>
      <c r="W16" s="13">
        <v>22.1</v>
      </c>
      <c r="X16" s="13">
        <v>23.09</v>
      </c>
      <c r="Y16" s="13">
        <v>19.13</v>
      </c>
      <c r="Z16" s="13">
        <v>19.579999999999998</v>
      </c>
      <c r="AA16" s="13">
        <v>19.97</v>
      </c>
      <c r="AB16" s="13">
        <v>19.2</v>
      </c>
      <c r="AC16" s="13">
        <v>25.76</v>
      </c>
      <c r="AD16" s="13">
        <v>31.37</v>
      </c>
      <c r="AE16" s="13">
        <v>50.82</v>
      </c>
      <c r="AF16" s="13">
        <v>43.09</v>
      </c>
      <c r="AG16" s="13">
        <v>39.630000000000003</v>
      </c>
      <c r="AH16" s="13">
        <v>53.2</v>
      </c>
      <c r="AI16" s="13">
        <v>45.43</v>
      </c>
      <c r="AJ16" s="13">
        <v>33.58</v>
      </c>
    </row>
    <row r="17" spans="2:36">
      <c r="B17" s="27" t="s">
        <v>54</v>
      </c>
      <c r="C17" s="12">
        <v>3.48</v>
      </c>
      <c r="D17" s="12">
        <v>3.11</v>
      </c>
      <c r="E17" s="12">
        <v>3.63</v>
      </c>
      <c r="F17" s="12">
        <v>3.82</v>
      </c>
      <c r="G17" s="12">
        <v>4.42</v>
      </c>
      <c r="H17" s="12">
        <v>4.54</v>
      </c>
      <c r="I17" s="12">
        <v>4.8899999999999997</v>
      </c>
      <c r="J17" s="12">
        <v>4.8899999999999997</v>
      </c>
      <c r="K17" s="12">
        <v>4.3099999999999996</v>
      </c>
      <c r="L17" s="12">
        <v>4.54</v>
      </c>
      <c r="M17" s="12">
        <v>4.12</v>
      </c>
      <c r="N17" s="12">
        <v>3.77</v>
      </c>
      <c r="O17" s="12">
        <v>3.86</v>
      </c>
      <c r="P17" s="12">
        <v>3.82</v>
      </c>
      <c r="Q17" s="12">
        <v>3.69</v>
      </c>
      <c r="R17" s="12">
        <v>8.27</v>
      </c>
      <c r="S17" s="12">
        <v>6.97</v>
      </c>
      <c r="T17" s="12">
        <v>6.66</v>
      </c>
      <c r="U17" s="12">
        <v>5.7</v>
      </c>
      <c r="V17" s="12">
        <v>4.4000000000000004</v>
      </c>
      <c r="W17" s="12">
        <v>3.73</v>
      </c>
      <c r="X17" s="12">
        <v>2.5</v>
      </c>
      <c r="Y17" s="12">
        <v>10.53</v>
      </c>
      <c r="Z17" s="12">
        <v>10.91</v>
      </c>
      <c r="AA17" s="12">
        <v>21.83</v>
      </c>
      <c r="AB17" s="12">
        <v>14.82</v>
      </c>
      <c r="AC17" s="12">
        <v>16.38</v>
      </c>
      <c r="AD17" s="12">
        <v>14.76</v>
      </c>
      <c r="AE17" s="12">
        <v>14.61</v>
      </c>
      <c r="AF17" s="12">
        <v>13.84</v>
      </c>
      <c r="AG17" s="12">
        <v>13.62</v>
      </c>
      <c r="AH17" s="12">
        <v>15</v>
      </c>
      <c r="AI17" s="12">
        <v>14.23</v>
      </c>
      <c r="AJ17" s="12">
        <v>17.25</v>
      </c>
    </row>
    <row r="18" spans="2:36">
      <c r="B18" s="27" t="s">
        <v>55</v>
      </c>
      <c r="C18" s="12">
        <v>3.75</v>
      </c>
      <c r="D18" s="12">
        <v>3.76</v>
      </c>
      <c r="E18" s="12">
        <v>4.21</v>
      </c>
      <c r="F18" s="12">
        <v>4.4400000000000004</v>
      </c>
      <c r="G18" s="12">
        <v>4.6500000000000004</v>
      </c>
      <c r="H18" s="12">
        <v>4.95</v>
      </c>
      <c r="I18" s="12">
        <v>4.9800000000000004</v>
      </c>
      <c r="J18" s="12">
        <v>4.58</v>
      </c>
      <c r="K18" s="12">
        <v>4.04</v>
      </c>
      <c r="L18" s="12">
        <v>3.4</v>
      </c>
      <c r="M18" s="12">
        <v>3.36</v>
      </c>
      <c r="N18" s="12">
        <v>3.08</v>
      </c>
      <c r="O18" s="12">
        <v>3.04</v>
      </c>
      <c r="P18" s="12">
        <v>2.93</v>
      </c>
      <c r="Q18" s="12">
        <v>2.93</v>
      </c>
      <c r="R18" s="12">
        <v>2.91</v>
      </c>
      <c r="S18" s="12">
        <v>2.64</v>
      </c>
      <c r="T18" s="12">
        <v>2.4900000000000002</v>
      </c>
      <c r="U18" s="12">
        <v>1.96</v>
      </c>
      <c r="V18" s="12">
        <v>1.94</v>
      </c>
      <c r="W18" s="12">
        <v>1.97</v>
      </c>
      <c r="X18" s="12">
        <v>1.79</v>
      </c>
      <c r="Y18" s="12">
        <v>1.73</v>
      </c>
      <c r="Z18" s="12">
        <v>1.53</v>
      </c>
      <c r="AA18" s="12">
        <v>2.84</v>
      </c>
      <c r="AB18" s="12">
        <v>4.75</v>
      </c>
      <c r="AC18" s="12">
        <v>5.3</v>
      </c>
      <c r="AD18" s="12">
        <v>4.41</v>
      </c>
      <c r="AE18" s="12">
        <v>4.1399999999999997</v>
      </c>
      <c r="AF18" s="12">
        <v>2.72</v>
      </c>
      <c r="AG18" s="12">
        <v>3.16</v>
      </c>
      <c r="AH18" s="12">
        <v>3.23</v>
      </c>
      <c r="AI18" s="12">
        <v>3.47</v>
      </c>
      <c r="AJ18" s="12">
        <v>3.13</v>
      </c>
    </row>
    <row r="19" spans="2:36">
      <c r="B19" s="27" t="s">
        <v>56</v>
      </c>
      <c r="C19" s="12">
        <v>34.01</v>
      </c>
      <c r="D19" s="12">
        <v>39.82</v>
      </c>
      <c r="E19" s="12">
        <v>43.48</v>
      </c>
      <c r="F19" s="12">
        <v>51.01</v>
      </c>
      <c r="G19" s="12">
        <v>55.05</v>
      </c>
      <c r="H19" s="12">
        <v>55.81</v>
      </c>
      <c r="I19" s="12">
        <v>47.67</v>
      </c>
      <c r="J19" s="12">
        <v>53.7</v>
      </c>
      <c r="K19" s="12">
        <v>41.61</v>
      </c>
      <c r="L19" s="12">
        <v>42.44</v>
      </c>
      <c r="M19" s="12">
        <v>56.65</v>
      </c>
      <c r="N19" s="12">
        <v>57.02</v>
      </c>
      <c r="O19" s="12">
        <v>52.38</v>
      </c>
      <c r="P19" s="12">
        <v>58.04</v>
      </c>
      <c r="Q19" s="12">
        <v>56.76</v>
      </c>
      <c r="R19" s="12">
        <v>52.1</v>
      </c>
      <c r="S19" s="12">
        <v>53.26</v>
      </c>
      <c r="T19" s="12">
        <v>53.51</v>
      </c>
      <c r="U19" s="12">
        <v>61.38</v>
      </c>
      <c r="V19" s="12">
        <v>54.71</v>
      </c>
      <c r="W19" s="12">
        <v>59.65</v>
      </c>
      <c r="X19" s="12">
        <v>61.96</v>
      </c>
      <c r="Y19" s="12">
        <v>60.84</v>
      </c>
      <c r="Z19" s="12">
        <v>65.89</v>
      </c>
      <c r="AA19" s="12">
        <v>65.430000000000007</v>
      </c>
      <c r="AB19" s="12">
        <v>64.52</v>
      </c>
      <c r="AC19" s="12">
        <v>58.49</v>
      </c>
      <c r="AD19" s="12">
        <v>52.47</v>
      </c>
      <c r="AE19" s="12">
        <v>48.33</v>
      </c>
      <c r="AF19" s="12">
        <v>51.94</v>
      </c>
      <c r="AG19" s="12">
        <v>50.32</v>
      </c>
      <c r="AH19" s="12">
        <v>56.08</v>
      </c>
      <c r="AI19" s="12">
        <v>59.62</v>
      </c>
      <c r="AJ19" s="12">
        <v>67.680000000000007</v>
      </c>
    </row>
    <row r="20" spans="2:36">
      <c r="B20" s="27" t="s">
        <v>57</v>
      </c>
      <c r="C20" s="12">
        <v>17.89</v>
      </c>
      <c r="D20" s="12">
        <v>20.67</v>
      </c>
      <c r="E20" s="12">
        <v>17.989999999999998</v>
      </c>
      <c r="F20" s="12">
        <v>21.85</v>
      </c>
      <c r="G20" s="12">
        <v>21.71</v>
      </c>
      <c r="H20" s="12">
        <v>22.38</v>
      </c>
      <c r="I20" s="12">
        <v>39.35</v>
      </c>
      <c r="J20" s="12">
        <v>28.21</v>
      </c>
      <c r="K20" s="12">
        <v>28.14</v>
      </c>
      <c r="L20" s="12">
        <v>31.59</v>
      </c>
      <c r="M20" s="12">
        <v>37.9</v>
      </c>
      <c r="N20" s="12">
        <v>41.14</v>
      </c>
      <c r="O20" s="12">
        <v>45.38</v>
      </c>
      <c r="P20" s="12">
        <v>48.54</v>
      </c>
      <c r="Q20" s="12">
        <v>44.72</v>
      </c>
      <c r="R20" s="12">
        <v>46.45</v>
      </c>
      <c r="S20" s="12">
        <v>48.42</v>
      </c>
      <c r="T20" s="12">
        <v>48.45</v>
      </c>
      <c r="U20" s="12">
        <v>49.21</v>
      </c>
      <c r="V20" s="12">
        <v>50.67</v>
      </c>
      <c r="W20" s="12">
        <v>62.08</v>
      </c>
      <c r="X20" s="12">
        <v>69.55</v>
      </c>
      <c r="Y20" s="12">
        <v>57.09</v>
      </c>
      <c r="Z20" s="12">
        <v>58.64</v>
      </c>
      <c r="AA20" s="12">
        <v>60.95</v>
      </c>
      <c r="AB20" s="12">
        <v>65.47</v>
      </c>
      <c r="AC20" s="12">
        <v>72.459999999999994</v>
      </c>
      <c r="AD20" s="12">
        <v>78.28</v>
      </c>
      <c r="AE20" s="12">
        <v>75.040000000000006</v>
      </c>
      <c r="AF20" s="12">
        <v>82.59</v>
      </c>
      <c r="AG20" s="12">
        <v>85.95</v>
      </c>
      <c r="AH20" s="12">
        <v>86.53</v>
      </c>
      <c r="AI20" s="12">
        <v>87.99</v>
      </c>
      <c r="AJ20" s="12">
        <v>79.959999999999994</v>
      </c>
    </row>
    <row r="21" spans="2:36">
      <c r="B21" s="27" t="s">
        <v>58</v>
      </c>
      <c r="C21" s="12">
        <v>2.0499999999999998</v>
      </c>
      <c r="D21" s="12">
        <v>2.31</v>
      </c>
      <c r="E21" s="12">
        <v>2.58</v>
      </c>
      <c r="F21" s="12">
        <v>4.2</v>
      </c>
      <c r="G21" s="12">
        <v>3.03</v>
      </c>
      <c r="H21" s="12">
        <v>3.24</v>
      </c>
      <c r="I21" s="12">
        <v>3.64</v>
      </c>
      <c r="J21" s="12">
        <v>3.63</v>
      </c>
      <c r="K21" s="12">
        <v>3.08</v>
      </c>
      <c r="L21" s="12">
        <v>3.46</v>
      </c>
      <c r="M21" s="12">
        <v>2.58</v>
      </c>
      <c r="N21" s="12">
        <v>2.4500000000000002</v>
      </c>
      <c r="O21" s="12">
        <v>2.4900000000000002</v>
      </c>
      <c r="P21" s="12">
        <v>2.4700000000000002</v>
      </c>
      <c r="Q21" s="12">
        <v>2.64</v>
      </c>
      <c r="R21" s="12">
        <v>3.22</v>
      </c>
      <c r="S21" s="12">
        <v>2.68</v>
      </c>
      <c r="T21" s="12">
        <v>1.97</v>
      </c>
      <c r="U21" s="12">
        <v>2.25</v>
      </c>
      <c r="V21" s="12">
        <v>2.37</v>
      </c>
      <c r="W21" s="12">
        <v>3.22</v>
      </c>
      <c r="X21" s="12">
        <v>2.44</v>
      </c>
      <c r="Y21" s="12">
        <v>2.04</v>
      </c>
      <c r="Z21" s="12">
        <v>1.86</v>
      </c>
      <c r="AA21" s="12">
        <v>1.92</v>
      </c>
      <c r="AB21" s="12">
        <v>1.5</v>
      </c>
      <c r="AC21" s="12">
        <v>2.0699999999999998</v>
      </c>
      <c r="AD21" s="12">
        <v>7.51</v>
      </c>
      <c r="AE21" s="12">
        <v>9.7100000000000009</v>
      </c>
      <c r="AF21" s="12">
        <v>13.67</v>
      </c>
      <c r="AG21" s="12">
        <v>15.25</v>
      </c>
      <c r="AH21" s="12">
        <v>10.31</v>
      </c>
      <c r="AI21" s="12">
        <v>14.54</v>
      </c>
      <c r="AJ21" s="12">
        <v>13.09</v>
      </c>
    </row>
    <row r="22" spans="2:36">
      <c r="B22" s="27" t="s">
        <v>59</v>
      </c>
      <c r="C22" s="12">
        <v>1</v>
      </c>
      <c r="D22" s="12">
        <v>1.38</v>
      </c>
      <c r="E22" s="12">
        <v>1.4</v>
      </c>
      <c r="F22" s="12">
        <v>1.48</v>
      </c>
      <c r="G22" s="12">
        <v>1.73</v>
      </c>
      <c r="H22" s="12">
        <v>1.73</v>
      </c>
      <c r="I22" s="12">
        <v>1.88</v>
      </c>
      <c r="J22" s="12">
        <v>2.56</v>
      </c>
      <c r="K22" s="12">
        <v>3.31</v>
      </c>
      <c r="L22" s="12">
        <v>4.2</v>
      </c>
      <c r="M22" s="12">
        <v>4.05</v>
      </c>
      <c r="N22" s="12">
        <v>3.6</v>
      </c>
      <c r="O22" s="12">
        <v>3.22</v>
      </c>
      <c r="P22" s="12">
        <v>2.41</v>
      </c>
      <c r="Q22" s="12">
        <v>1.51</v>
      </c>
      <c r="R22" s="12">
        <v>0.83</v>
      </c>
      <c r="S22" s="12">
        <v>0.72</v>
      </c>
      <c r="T22" s="12">
        <v>1.61</v>
      </c>
      <c r="U22" s="12">
        <v>1.96</v>
      </c>
      <c r="V22" s="12">
        <v>1.74</v>
      </c>
      <c r="W22" s="12">
        <v>1.97</v>
      </c>
      <c r="X22" s="12">
        <v>2.37</v>
      </c>
      <c r="Y22" s="12">
        <v>2.41</v>
      </c>
      <c r="Z22" s="12">
        <v>2.38</v>
      </c>
      <c r="AA22" s="12">
        <v>2.31</v>
      </c>
      <c r="AB22" s="12">
        <v>2.0299999999999998</v>
      </c>
      <c r="AC22" s="12">
        <v>15.12</v>
      </c>
      <c r="AD22" s="12">
        <v>17.61</v>
      </c>
      <c r="AE22" s="12">
        <v>3.64</v>
      </c>
      <c r="AF22" s="12">
        <v>4.01</v>
      </c>
      <c r="AG22" s="12">
        <v>4.4800000000000004</v>
      </c>
      <c r="AH22" s="12">
        <v>4.7</v>
      </c>
      <c r="AI22" s="12">
        <v>4.12</v>
      </c>
      <c r="AJ22" s="12">
        <v>4.59</v>
      </c>
    </row>
    <row r="23" spans="2:36">
      <c r="B23" s="27" t="s">
        <v>60</v>
      </c>
      <c r="C23" s="12">
        <v>0.55000000000000004</v>
      </c>
      <c r="D23" s="12">
        <v>0.44</v>
      </c>
      <c r="E23" s="12">
        <v>0.42</v>
      </c>
      <c r="F23" s="12">
        <v>0.28999999999999998</v>
      </c>
      <c r="G23" s="12">
        <v>0.28999999999999998</v>
      </c>
      <c r="H23" s="12">
        <v>0.26</v>
      </c>
      <c r="I23" s="12">
        <v>0.23</v>
      </c>
      <c r="J23" s="12">
        <v>0.18</v>
      </c>
      <c r="K23" s="12">
        <v>0.18</v>
      </c>
      <c r="L23" s="12">
        <v>0.14000000000000001</v>
      </c>
      <c r="M23" s="12">
        <v>0.18</v>
      </c>
      <c r="N23" s="12">
        <v>0.19</v>
      </c>
      <c r="O23" s="12">
        <v>0.2</v>
      </c>
      <c r="P23" s="12">
        <v>0.23</v>
      </c>
      <c r="Q23" s="12">
        <v>0.19</v>
      </c>
      <c r="R23" s="12">
        <v>0.22</v>
      </c>
      <c r="S23" s="12">
        <v>0.22</v>
      </c>
      <c r="T23" s="12">
        <v>0.19</v>
      </c>
      <c r="U23" s="12">
        <v>0.17</v>
      </c>
      <c r="V23" s="12">
        <v>0.18</v>
      </c>
      <c r="W23" s="12">
        <v>0.23</v>
      </c>
      <c r="X23" s="12">
        <v>0.22</v>
      </c>
      <c r="Y23" s="12">
        <v>0.22</v>
      </c>
      <c r="Z23" s="12">
        <v>0.24</v>
      </c>
      <c r="AA23" s="12">
        <v>0.21</v>
      </c>
      <c r="AB23" s="12">
        <v>0.18</v>
      </c>
      <c r="AC23" s="12">
        <v>0.19</v>
      </c>
      <c r="AD23" s="12">
        <v>0.16</v>
      </c>
      <c r="AE23" s="12">
        <v>0.17</v>
      </c>
      <c r="AF23" s="12">
        <v>0.17</v>
      </c>
      <c r="AG23" s="12">
        <v>0.19</v>
      </c>
      <c r="AH23" s="12">
        <v>0.18</v>
      </c>
      <c r="AI23" s="12">
        <v>0.17</v>
      </c>
      <c r="AJ23" s="12">
        <v>0.15</v>
      </c>
    </row>
    <row r="24" spans="2:36">
      <c r="B24" s="27" t="s">
        <v>61</v>
      </c>
      <c r="C24" s="12">
        <v>0.24</v>
      </c>
      <c r="D24" s="12">
        <v>0.27</v>
      </c>
      <c r="E24" s="12">
        <v>0.26</v>
      </c>
      <c r="F24" s="12">
        <v>0.11</v>
      </c>
      <c r="G24" s="12">
        <v>0.37</v>
      </c>
      <c r="H24" s="12">
        <v>1.46</v>
      </c>
      <c r="I24" s="12">
        <v>0.76</v>
      </c>
      <c r="J24" s="12">
        <v>1.29</v>
      </c>
      <c r="K24" s="12">
        <v>2.25</v>
      </c>
      <c r="L24" s="12">
        <v>2.56</v>
      </c>
      <c r="M24" s="12">
        <v>2.35</v>
      </c>
      <c r="N24" s="12">
        <v>2.44</v>
      </c>
      <c r="O24" s="12">
        <v>3.29</v>
      </c>
      <c r="P24" s="12">
        <v>3.66</v>
      </c>
      <c r="Q24" s="12">
        <v>3.36</v>
      </c>
      <c r="R24" s="12">
        <v>2.68</v>
      </c>
      <c r="S24" s="12">
        <v>3.34</v>
      </c>
      <c r="T24" s="12">
        <v>3.4</v>
      </c>
      <c r="U24" s="12">
        <v>2.99</v>
      </c>
      <c r="V24" s="12">
        <v>3.02</v>
      </c>
      <c r="W24" s="12">
        <v>2.75</v>
      </c>
      <c r="X24" s="12">
        <v>3.47</v>
      </c>
      <c r="Y24" s="12">
        <v>4.1500000000000004</v>
      </c>
      <c r="Z24" s="12">
        <v>5.6</v>
      </c>
      <c r="AA24" s="12">
        <v>5.42</v>
      </c>
      <c r="AB24" s="12">
        <v>9.68</v>
      </c>
      <c r="AC24" s="12">
        <v>5.74</v>
      </c>
      <c r="AD24" s="12">
        <v>4.68</v>
      </c>
      <c r="AE24" s="12">
        <v>3.11</v>
      </c>
      <c r="AF24" s="12">
        <v>3.75</v>
      </c>
      <c r="AG24" s="12">
        <v>3.84</v>
      </c>
      <c r="AH24" s="12">
        <v>3.11</v>
      </c>
      <c r="AI24" s="12">
        <v>3.71</v>
      </c>
      <c r="AJ24" s="12">
        <v>1.96</v>
      </c>
    </row>
    <row r="25" spans="2:36">
      <c r="B25" s="27" t="s">
        <v>62</v>
      </c>
      <c r="C25" s="12">
        <v>2.33</v>
      </c>
      <c r="D25" s="12">
        <v>2.2000000000000002</v>
      </c>
      <c r="E25" s="12">
        <v>1.9</v>
      </c>
      <c r="F25" s="12">
        <v>2.12</v>
      </c>
      <c r="G25" s="12">
        <v>1.76</v>
      </c>
      <c r="H25" s="12">
        <v>1.72</v>
      </c>
      <c r="I25" s="12">
        <v>1.67</v>
      </c>
      <c r="J25" s="12">
        <v>1.82</v>
      </c>
      <c r="K25" s="12">
        <v>1.33</v>
      </c>
      <c r="L25" s="12">
        <v>1.42</v>
      </c>
      <c r="M25" s="12">
        <v>1.93</v>
      </c>
      <c r="N25" s="12">
        <v>1.83</v>
      </c>
      <c r="O25" s="12">
        <v>2.17</v>
      </c>
      <c r="P25" s="12">
        <v>2.2000000000000002</v>
      </c>
      <c r="Q25" s="12">
        <v>2.52</v>
      </c>
      <c r="R25" s="12">
        <v>2.83</v>
      </c>
      <c r="S25" s="12">
        <v>4.0599999999999996</v>
      </c>
      <c r="T25" s="12">
        <v>3.73</v>
      </c>
      <c r="U25" s="12">
        <v>3.54</v>
      </c>
      <c r="V25" s="12">
        <v>3.58</v>
      </c>
      <c r="W25" s="12">
        <v>3.84</v>
      </c>
      <c r="X25" s="12">
        <v>4.1399999999999997</v>
      </c>
      <c r="Y25" s="12">
        <v>3.7</v>
      </c>
      <c r="Z25" s="12">
        <v>3.43</v>
      </c>
      <c r="AA25" s="12">
        <v>3.68</v>
      </c>
      <c r="AB25" s="12">
        <v>4.22</v>
      </c>
      <c r="AC25" s="12">
        <v>4.1500000000000004</v>
      </c>
      <c r="AD25" s="12">
        <v>3.51</v>
      </c>
      <c r="AE25" s="12">
        <v>3.41</v>
      </c>
      <c r="AF25" s="12">
        <v>4.08</v>
      </c>
      <c r="AG25" s="12">
        <v>3.73</v>
      </c>
      <c r="AH25" s="12">
        <v>3.47</v>
      </c>
      <c r="AI25" s="12">
        <v>3.4</v>
      </c>
      <c r="AJ25" s="12">
        <v>3.22</v>
      </c>
    </row>
    <row r="26" spans="2:36">
      <c r="B26" s="27" t="s">
        <v>63</v>
      </c>
      <c r="C26" s="12">
        <v>6.36</v>
      </c>
      <c r="D26" s="12">
        <v>5.89</v>
      </c>
      <c r="E26" s="12">
        <v>6.08</v>
      </c>
      <c r="F26" s="12">
        <v>6.15</v>
      </c>
      <c r="G26" s="12">
        <v>6.65</v>
      </c>
      <c r="H26" s="12">
        <v>6.75</v>
      </c>
      <c r="I26" s="12">
        <v>6.9</v>
      </c>
      <c r="J26" s="12">
        <v>11.52</v>
      </c>
      <c r="K26" s="12">
        <v>12.78</v>
      </c>
      <c r="L26" s="12">
        <v>13.31</v>
      </c>
      <c r="M26" s="12">
        <v>13.31</v>
      </c>
      <c r="N26" s="12">
        <v>12.97</v>
      </c>
      <c r="O26" s="12">
        <v>12.73</v>
      </c>
      <c r="P26" s="12">
        <v>11.95</v>
      </c>
      <c r="Q26" s="12">
        <v>12.01</v>
      </c>
      <c r="R26" s="12">
        <v>11.29</v>
      </c>
      <c r="S26" s="12">
        <v>10.61</v>
      </c>
      <c r="T26" s="12">
        <v>10.3</v>
      </c>
      <c r="U26" s="12">
        <v>10.26</v>
      </c>
      <c r="V26" s="12">
        <v>10.029999999999999</v>
      </c>
      <c r="W26" s="12">
        <v>11.48</v>
      </c>
      <c r="X26" s="12">
        <v>11.59</v>
      </c>
      <c r="Y26" s="12">
        <v>11.73</v>
      </c>
      <c r="Z26" s="12">
        <v>10.82</v>
      </c>
      <c r="AA26" s="12">
        <v>10.34</v>
      </c>
      <c r="AB26" s="12">
        <v>11.59</v>
      </c>
      <c r="AC26" s="12">
        <v>11.7</v>
      </c>
      <c r="AD26" s="12">
        <v>10.37</v>
      </c>
      <c r="AE26" s="12">
        <v>11.21</v>
      </c>
      <c r="AF26" s="12">
        <v>10.1</v>
      </c>
      <c r="AG26" s="12">
        <v>9.5</v>
      </c>
      <c r="AH26" s="12">
        <v>9.2200000000000006</v>
      </c>
      <c r="AI26" s="12">
        <v>9.4</v>
      </c>
      <c r="AJ26" s="12">
        <v>8.86</v>
      </c>
    </row>
    <row r="27" spans="2:36">
      <c r="B27" s="27" t="s">
        <v>64</v>
      </c>
      <c r="C27" s="12">
        <v>5.36</v>
      </c>
      <c r="D27" s="12">
        <v>8.19</v>
      </c>
      <c r="E27" s="12">
        <v>5.36</v>
      </c>
      <c r="F27" s="12">
        <v>7.49</v>
      </c>
      <c r="G27" s="12">
        <v>7.89</v>
      </c>
      <c r="H27" s="12">
        <v>7.21</v>
      </c>
      <c r="I27" s="12">
        <v>24.26</v>
      </c>
      <c r="J27" s="12">
        <v>7.2</v>
      </c>
      <c r="K27" s="12">
        <v>5.21</v>
      </c>
      <c r="L27" s="12">
        <v>6.5</v>
      </c>
      <c r="M27" s="12">
        <v>13.49</v>
      </c>
      <c r="N27" s="12">
        <v>17.66</v>
      </c>
      <c r="O27" s="12">
        <v>21.28</v>
      </c>
      <c r="P27" s="12">
        <v>25.62</v>
      </c>
      <c r="Q27" s="12">
        <v>22.49</v>
      </c>
      <c r="R27" s="12">
        <v>25.38</v>
      </c>
      <c r="S27" s="12">
        <v>26.78</v>
      </c>
      <c r="T27" s="12">
        <v>27.25</v>
      </c>
      <c r="U27" s="12">
        <v>28.03</v>
      </c>
      <c r="V27" s="12">
        <v>29.74</v>
      </c>
      <c r="W27" s="12">
        <v>38.590000000000003</v>
      </c>
      <c r="X27" s="12">
        <v>45.32</v>
      </c>
      <c r="Y27" s="12">
        <v>32.83</v>
      </c>
      <c r="Z27" s="12">
        <v>34.31</v>
      </c>
      <c r="AA27" s="12">
        <v>37.07</v>
      </c>
      <c r="AB27" s="12">
        <v>36.28</v>
      </c>
      <c r="AC27" s="12">
        <v>33.479999999999997</v>
      </c>
      <c r="AD27" s="12">
        <v>34.44</v>
      </c>
      <c r="AE27" s="12">
        <v>43.79</v>
      </c>
      <c r="AF27" s="12">
        <v>46.8</v>
      </c>
      <c r="AG27" s="12">
        <v>48.95</v>
      </c>
      <c r="AH27" s="12">
        <v>55.54</v>
      </c>
      <c r="AI27" s="12">
        <v>52.64</v>
      </c>
      <c r="AJ27" s="12">
        <v>48.09</v>
      </c>
    </row>
    <row r="28" spans="2:36">
      <c r="B28" s="26" t="s">
        <v>36</v>
      </c>
      <c r="C28" s="12">
        <v>201.61</v>
      </c>
      <c r="D28" s="12">
        <v>220.87</v>
      </c>
      <c r="E28" s="12">
        <v>256.42</v>
      </c>
      <c r="F28" s="12">
        <v>307.27999999999997</v>
      </c>
      <c r="G28" s="12">
        <v>344.7</v>
      </c>
      <c r="H28" s="12">
        <v>386.74</v>
      </c>
      <c r="I28" s="12">
        <v>423.08</v>
      </c>
      <c r="J28" s="12">
        <v>480.34</v>
      </c>
      <c r="K28" s="12">
        <v>396.31</v>
      </c>
      <c r="L28" s="12">
        <v>444.9</v>
      </c>
      <c r="M28" s="12">
        <v>505.75</v>
      </c>
      <c r="N28" s="12">
        <v>542.12</v>
      </c>
      <c r="O28" s="12">
        <v>577.16999999999996</v>
      </c>
      <c r="P28" s="12">
        <v>591.34</v>
      </c>
      <c r="Q28" s="12">
        <v>602.54999999999995</v>
      </c>
      <c r="R28" s="12">
        <v>625.13</v>
      </c>
      <c r="S28" s="12">
        <v>650.58000000000004</v>
      </c>
      <c r="T28" s="12">
        <v>690.25</v>
      </c>
      <c r="U28" s="12">
        <v>704.57</v>
      </c>
      <c r="V28" s="12">
        <v>740.32</v>
      </c>
      <c r="W28" s="12">
        <v>763.44</v>
      </c>
      <c r="X28" s="12">
        <v>754</v>
      </c>
      <c r="Y28" s="12">
        <v>752.16</v>
      </c>
      <c r="Z28" s="12">
        <v>757.38</v>
      </c>
      <c r="AA28" s="12">
        <v>738.88</v>
      </c>
      <c r="AB28" s="12">
        <v>750.65</v>
      </c>
      <c r="AC28" s="12">
        <v>750.73</v>
      </c>
      <c r="AD28" s="12">
        <v>735.21</v>
      </c>
      <c r="AE28" s="12">
        <v>716.81</v>
      </c>
      <c r="AF28" s="12">
        <v>725.1</v>
      </c>
      <c r="AG28" s="12">
        <v>672.57</v>
      </c>
      <c r="AH28" s="12">
        <v>677.25</v>
      </c>
      <c r="AI28" s="12">
        <v>676.83</v>
      </c>
      <c r="AJ28" s="12">
        <v>668.8</v>
      </c>
    </row>
    <row r="29" spans="2:36">
      <c r="B29" s="27" t="s">
        <v>65</v>
      </c>
      <c r="C29" s="12">
        <v>0.53</v>
      </c>
      <c r="D29" s="12">
        <v>0.47</v>
      </c>
      <c r="E29" s="12">
        <v>0.24</v>
      </c>
      <c r="F29" s="12">
        <v>0.65</v>
      </c>
      <c r="G29" s="12">
        <v>0.56999999999999995</v>
      </c>
      <c r="H29" s="12">
        <v>0.57999999999999996</v>
      </c>
      <c r="I29" s="12">
        <v>0.65</v>
      </c>
      <c r="J29" s="12">
        <v>0.85</v>
      </c>
      <c r="K29" s="12">
        <v>0.62</v>
      </c>
      <c r="L29" s="12">
        <v>0.51</v>
      </c>
      <c r="M29" s="12">
        <v>0.53</v>
      </c>
      <c r="N29" s="12">
        <v>0.46</v>
      </c>
      <c r="O29" s="12">
        <v>0.48</v>
      </c>
      <c r="P29" s="12">
        <v>0.47</v>
      </c>
      <c r="Q29" s="12">
        <v>0.38</v>
      </c>
      <c r="R29" s="12">
        <v>0.33</v>
      </c>
      <c r="S29" s="12">
        <v>0.34</v>
      </c>
      <c r="T29" s="12">
        <v>0.28000000000000003</v>
      </c>
      <c r="U29" s="12">
        <v>0.31</v>
      </c>
      <c r="V29" s="12">
        <v>0.34</v>
      </c>
      <c r="W29" s="12">
        <v>0.36</v>
      </c>
      <c r="X29" s="12">
        <v>0.38</v>
      </c>
      <c r="Y29" s="12">
        <v>0.38</v>
      </c>
      <c r="Z29" s="12">
        <v>0.4</v>
      </c>
      <c r="AA29" s="12">
        <v>0.43</v>
      </c>
      <c r="AB29" s="12">
        <v>0.45</v>
      </c>
      <c r="AC29" s="12">
        <v>0.43</v>
      </c>
      <c r="AD29" s="12">
        <v>0.48</v>
      </c>
      <c r="AE29" s="12">
        <v>0.46</v>
      </c>
      <c r="AF29" s="12">
        <v>0.46</v>
      </c>
      <c r="AG29" s="12">
        <v>0.45</v>
      </c>
      <c r="AH29" s="12">
        <v>0.52</v>
      </c>
      <c r="AI29" s="12">
        <v>0.56000000000000005</v>
      </c>
      <c r="AJ29" s="12">
        <v>0.5</v>
      </c>
    </row>
    <row r="30" spans="2:36">
      <c r="B30" s="27" t="s">
        <v>66</v>
      </c>
      <c r="C30" s="12">
        <v>190.61</v>
      </c>
      <c r="D30" s="12">
        <v>214.51</v>
      </c>
      <c r="E30" s="12">
        <v>249.75</v>
      </c>
      <c r="F30" s="12">
        <v>292.58999999999997</v>
      </c>
      <c r="G30" s="12">
        <v>331.07</v>
      </c>
      <c r="H30" s="12">
        <v>373.45</v>
      </c>
      <c r="I30" s="12">
        <v>413.34</v>
      </c>
      <c r="J30" s="12">
        <v>468.8</v>
      </c>
      <c r="K30" s="12">
        <v>384.56</v>
      </c>
      <c r="L30" s="12">
        <v>435.51</v>
      </c>
      <c r="M30" s="12">
        <v>495.21</v>
      </c>
      <c r="N30" s="12">
        <v>530.77</v>
      </c>
      <c r="O30" s="12">
        <v>565.13</v>
      </c>
      <c r="P30" s="12">
        <v>578.72</v>
      </c>
      <c r="Q30" s="12">
        <v>591.24</v>
      </c>
      <c r="R30" s="12">
        <v>614.24</v>
      </c>
      <c r="S30" s="12">
        <v>640.03</v>
      </c>
      <c r="T30" s="12">
        <v>679.84</v>
      </c>
      <c r="U30" s="12">
        <v>693.95</v>
      </c>
      <c r="V30" s="12">
        <v>730.2</v>
      </c>
      <c r="W30" s="12">
        <v>753.6</v>
      </c>
      <c r="X30" s="12">
        <v>744</v>
      </c>
      <c r="Y30" s="12">
        <v>742.64</v>
      </c>
      <c r="Z30" s="12">
        <v>749.54</v>
      </c>
      <c r="AA30" s="12">
        <v>732.03</v>
      </c>
      <c r="AB30" s="12">
        <v>740.49</v>
      </c>
      <c r="AC30" s="12">
        <v>739.76</v>
      </c>
      <c r="AD30" s="12">
        <v>724.3</v>
      </c>
      <c r="AE30" s="12">
        <v>709.34</v>
      </c>
      <c r="AF30" s="12">
        <v>717.98</v>
      </c>
      <c r="AG30" s="12">
        <v>668.3</v>
      </c>
      <c r="AH30" s="12">
        <v>672.49</v>
      </c>
      <c r="AI30" s="12">
        <v>671.85</v>
      </c>
      <c r="AJ30" s="12">
        <v>663.96</v>
      </c>
    </row>
    <row r="31" spans="2:36">
      <c r="B31" s="27" t="s">
        <v>67</v>
      </c>
      <c r="C31" s="12">
        <v>1.38</v>
      </c>
      <c r="D31" s="12">
        <v>1.41</v>
      </c>
      <c r="E31" s="12">
        <v>1.43</v>
      </c>
      <c r="F31" s="12">
        <v>1.54</v>
      </c>
      <c r="G31" s="12">
        <v>1.46</v>
      </c>
      <c r="H31" s="12">
        <v>1.48</v>
      </c>
      <c r="I31" s="12">
        <v>1.46</v>
      </c>
      <c r="J31" s="12">
        <v>1.46</v>
      </c>
      <c r="K31" s="12">
        <v>1.44</v>
      </c>
      <c r="L31" s="12">
        <v>1.49</v>
      </c>
      <c r="M31" s="12">
        <v>1.53</v>
      </c>
      <c r="N31" s="12">
        <v>1.55</v>
      </c>
      <c r="O31" s="12">
        <v>1.55</v>
      </c>
      <c r="P31" s="12">
        <v>1.58</v>
      </c>
      <c r="Q31" s="12">
        <v>1.35</v>
      </c>
      <c r="R31" s="12">
        <v>1.28</v>
      </c>
      <c r="S31" s="12">
        <v>1.1599999999999999</v>
      </c>
      <c r="T31" s="12">
        <v>1.05</v>
      </c>
      <c r="U31" s="12">
        <v>1.04</v>
      </c>
      <c r="V31" s="12">
        <v>0.91</v>
      </c>
      <c r="W31" s="12">
        <v>0.89</v>
      </c>
      <c r="X31" s="12">
        <v>0.81</v>
      </c>
      <c r="Y31" s="12">
        <v>0.8</v>
      </c>
      <c r="Z31" s="12">
        <v>0.71</v>
      </c>
      <c r="AA31" s="12">
        <v>0.59</v>
      </c>
      <c r="AB31" s="12">
        <v>0.54</v>
      </c>
      <c r="AC31" s="12">
        <v>0.47</v>
      </c>
      <c r="AD31" s="12">
        <v>0.46</v>
      </c>
      <c r="AE31" s="12">
        <v>0.46</v>
      </c>
      <c r="AF31" s="12">
        <v>0.43</v>
      </c>
      <c r="AG31" s="12">
        <v>0.38</v>
      </c>
      <c r="AH31" s="12">
        <v>0.34</v>
      </c>
      <c r="AI31" s="12">
        <v>0.28999999999999998</v>
      </c>
      <c r="AJ31" s="12">
        <v>0.26</v>
      </c>
    </row>
    <row r="32" spans="2:36">
      <c r="B32" s="27" t="s">
        <v>68</v>
      </c>
      <c r="C32" s="12">
        <v>6.31</v>
      </c>
      <c r="D32" s="12">
        <v>2.7</v>
      </c>
      <c r="E32" s="12">
        <v>2.96</v>
      </c>
      <c r="F32" s="12">
        <v>11.12</v>
      </c>
      <c r="G32" s="12">
        <v>9.4600000000000009</v>
      </c>
      <c r="H32" s="12">
        <v>9.3699999999999992</v>
      </c>
      <c r="I32" s="12">
        <v>5.1100000000000003</v>
      </c>
      <c r="J32" s="12">
        <v>6.69</v>
      </c>
      <c r="K32" s="12">
        <v>5.75</v>
      </c>
      <c r="L32" s="12">
        <v>5.55</v>
      </c>
      <c r="M32" s="12">
        <v>7.19</v>
      </c>
      <c r="N32" s="12">
        <v>6.49</v>
      </c>
      <c r="O32" s="12">
        <v>7.56</v>
      </c>
      <c r="P32" s="12">
        <v>7.86</v>
      </c>
      <c r="Q32" s="12">
        <v>7.49</v>
      </c>
      <c r="R32" s="12">
        <v>7.21</v>
      </c>
      <c r="S32" s="12">
        <v>6.97</v>
      </c>
      <c r="T32" s="12">
        <v>6.82</v>
      </c>
      <c r="U32" s="12">
        <v>7.01</v>
      </c>
      <c r="V32" s="12">
        <v>6.39</v>
      </c>
      <c r="W32" s="12">
        <v>5.98</v>
      </c>
      <c r="X32" s="12">
        <v>5.96</v>
      </c>
      <c r="Y32" s="12">
        <v>5.68</v>
      </c>
      <c r="Z32" s="12">
        <v>3.84</v>
      </c>
      <c r="AA32" s="12">
        <v>2.71</v>
      </c>
      <c r="AB32" s="12">
        <v>4.45</v>
      </c>
      <c r="AC32" s="12">
        <v>3.85</v>
      </c>
      <c r="AD32" s="12">
        <v>3.54</v>
      </c>
      <c r="AE32" s="12">
        <v>2.83</v>
      </c>
      <c r="AF32" s="12">
        <v>3.33</v>
      </c>
      <c r="AG32" s="12">
        <v>2.68</v>
      </c>
      <c r="AH32" s="12">
        <v>3.46</v>
      </c>
      <c r="AI32" s="12">
        <v>3.79</v>
      </c>
      <c r="AJ32" s="12">
        <v>3.75</v>
      </c>
    </row>
    <row r="33" spans="2:36">
      <c r="B33" s="27" t="s">
        <v>69</v>
      </c>
      <c r="C33" s="12">
        <v>2.78</v>
      </c>
      <c r="D33" s="12">
        <v>1.78</v>
      </c>
      <c r="E33" s="12">
        <v>2.0299999999999998</v>
      </c>
      <c r="F33" s="12">
        <v>1.38</v>
      </c>
      <c r="G33" s="12">
        <v>2.14</v>
      </c>
      <c r="H33" s="12">
        <v>1.85</v>
      </c>
      <c r="I33" s="12">
        <v>2.52</v>
      </c>
      <c r="J33" s="12">
        <v>2.54</v>
      </c>
      <c r="K33" s="12">
        <v>3.95</v>
      </c>
      <c r="L33" s="12">
        <v>1.83</v>
      </c>
      <c r="M33" s="12">
        <v>1.3</v>
      </c>
      <c r="N33" s="12">
        <v>2.85</v>
      </c>
      <c r="O33" s="12">
        <v>2.46</v>
      </c>
      <c r="P33" s="12">
        <v>2.71</v>
      </c>
      <c r="Q33" s="12">
        <v>2.09</v>
      </c>
      <c r="R33" s="12">
        <v>2.08</v>
      </c>
      <c r="S33" s="12">
        <v>2.0699999999999998</v>
      </c>
      <c r="T33" s="12">
        <v>2.2599999999999998</v>
      </c>
      <c r="U33" s="12">
        <v>2.2599999999999998</v>
      </c>
      <c r="V33" s="12">
        <v>2.4700000000000002</v>
      </c>
      <c r="W33" s="12">
        <v>2.61</v>
      </c>
      <c r="X33" s="12">
        <v>2.85</v>
      </c>
      <c r="Y33" s="12">
        <v>2.65</v>
      </c>
      <c r="Z33" s="12">
        <v>2.9</v>
      </c>
      <c r="AA33" s="12">
        <v>3.12</v>
      </c>
      <c r="AB33" s="12">
        <v>4.72</v>
      </c>
      <c r="AC33" s="12">
        <v>6.22</v>
      </c>
      <c r="AD33" s="12">
        <v>6.44</v>
      </c>
      <c r="AE33" s="12">
        <v>3.73</v>
      </c>
      <c r="AF33" s="12">
        <v>2.9</v>
      </c>
      <c r="AG33" s="12">
        <v>0.76</v>
      </c>
      <c r="AH33" s="12">
        <v>0.45</v>
      </c>
      <c r="AI33" s="12">
        <v>0.34</v>
      </c>
      <c r="AJ33" s="12">
        <v>0.32</v>
      </c>
    </row>
    <row r="34" spans="2:36">
      <c r="B34" s="26" t="s">
        <v>37</v>
      </c>
      <c r="C34" s="12">
        <v>2981.44</v>
      </c>
      <c r="D34" s="12">
        <v>2388.29</v>
      </c>
      <c r="E34" s="12">
        <v>1878.44</v>
      </c>
      <c r="F34" s="12">
        <v>1366.14</v>
      </c>
      <c r="G34" s="12">
        <v>927.76</v>
      </c>
      <c r="H34" s="12">
        <v>727.25</v>
      </c>
      <c r="I34" s="12">
        <v>577.51</v>
      </c>
      <c r="J34" s="12">
        <v>512.97</v>
      </c>
      <c r="K34" s="12">
        <v>414.32</v>
      </c>
      <c r="L34" s="12">
        <v>431.72</v>
      </c>
      <c r="M34" s="12">
        <v>430.5</v>
      </c>
      <c r="N34" s="12">
        <v>500.57</v>
      </c>
      <c r="O34" s="12">
        <v>537.87</v>
      </c>
      <c r="P34" s="12">
        <v>522.45000000000005</v>
      </c>
      <c r="Q34" s="12">
        <v>511.21</v>
      </c>
      <c r="R34" s="12">
        <v>624.84</v>
      </c>
      <c r="S34" s="12">
        <v>665.09</v>
      </c>
      <c r="T34" s="12">
        <v>663.35</v>
      </c>
      <c r="U34" s="12">
        <v>701.43</v>
      </c>
      <c r="V34" s="12">
        <v>693.16</v>
      </c>
      <c r="W34" s="12">
        <v>726.9</v>
      </c>
      <c r="X34" s="12">
        <v>740.93</v>
      </c>
      <c r="Y34" s="12">
        <v>780.57</v>
      </c>
      <c r="Z34" s="12">
        <v>780.86</v>
      </c>
      <c r="AA34" s="12">
        <v>574.67999999999995</v>
      </c>
      <c r="AB34" s="12">
        <v>629.75</v>
      </c>
      <c r="AC34" s="12">
        <v>671.13</v>
      </c>
      <c r="AD34" s="12">
        <v>832.1</v>
      </c>
      <c r="AE34" s="12">
        <v>843.83</v>
      </c>
      <c r="AF34" s="12">
        <v>608.51</v>
      </c>
      <c r="AG34" s="12">
        <v>604.82000000000005</v>
      </c>
      <c r="AH34" s="12">
        <v>586.11</v>
      </c>
      <c r="AI34" s="12">
        <v>575.42999999999995</v>
      </c>
      <c r="AJ34" s="12">
        <v>644.67999999999995</v>
      </c>
    </row>
    <row r="35" spans="2:36">
      <c r="B35" s="27" t="s">
        <v>70</v>
      </c>
      <c r="C35" s="12">
        <v>91.39</v>
      </c>
      <c r="D35" s="12">
        <v>93.01</v>
      </c>
      <c r="E35" s="12">
        <v>110.62</v>
      </c>
      <c r="F35" s="12">
        <v>99.9</v>
      </c>
      <c r="G35" s="12">
        <v>137.46</v>
      </c>
      <c r="H35" s="12">
        <v>159.86000000000001</v>
      </c>
      <c r="I35" s="12">
        <v>169.98</v>
      </c>
      <c r="J35" s="12">
        <v>183.8</v>
      </c>
      <c r="K35" s="12">
        <v>134.46</v>
      </c>
      <c r="L35" s="12">
        <v>145.37</v>
      </c>
      <c r="M35" s="12">
        <v>110.99</v>
      </c>
      <c r="N35" s="12">
        <v>170.32</v>
      </c>
      <c r="O35" s="12">
        <v>201.24</v>
      </c>
      <c r="P35" s="12">
        <v>208.69</v>
      </c>
      <c r="Q35" s="12">
        <v>213.62</v>
      </c>
      <c r="R35" s="12">
        <v>232.17</v>
      </c>
      <c r="S35" s="12">
        <v>233.78</v>
      </c>
      <c r="T35" s="12">
        <v>270.83999999999997</v>
      </c>
      <c r="U35" s="12">
        <v>277.22000000000003</v>
      </c>
      <c r="V35" s="12">
        <v>294.63</v>
      </c>
      <c r="W35" s="12">
        <v>348.99</v>
      </c>
      <c r="X35" s="12">
        <v>370.11</v>
      </c>
      <c r="Y35" s="12">
        <v>412.95</v>
      </c>
      <c r="Z35" s="12">
        <v>410.16</v>
      </c>
      <c r="AA35" s="12">
        <v>274.13</v>
      </c>
      <c r="AB35" s="12">
        <v>298.75</v>
      </c>
      <c r="AC35" s="12">
        <v>344.24</v>
      </c>
      <c r="AD35" s="12">
        <v>343.14</v>
      </c>
      <c r="AE35" s="12">
        <v>377.38</v>
      </c>
      <c r="AF35" s="12">
        <v>332.98</v>
      </c>
      <c r="AG35" s="12">
        <v>342.63</v>
      </c>
      <c r="AH35" s="12">
        <v>348.89</v>
      </c>
      <c r="AI35" s="12">
        <v>315.58</v>
      </c>
      <c r="AJ35" s="12">
        <v>380.16</v>
      </c>
    </row>
    <row r="36" spans="2:36">
      <c r="B36" s="27" t="s">
        <v>71</v>
      </c>
      <c r="C36" s="12">
        <v>2793.09</v>
      </c>
      <c r="D36" s="12">
        <v>2214.48</v>
      </c>
      <c r="E36" s="12">
        <v>1700.16</v>
      </c>
      <c r="F36" s="12">
        <v>1206.28</v>
      </c>
      <c r="G36" s="12">
        <v>739.67</v>
      </c>
      <c r="H36" s="12">
        <v>526.74</v>
      </c>
      <c r="I36" s="12">
        <v>364.44</v>
      </c>
      <c r="J36" s="12">
        <v>282</v>
      </c>
      <c r="K36" s="12">
        <v>217.39</v>
      </c>
      <c r="L36" s="12">
        <v>224.76</v>
      </c>
      <c r="M36" s="12">
        <v>258.5</v>
      </c>
      <c r="N36" s="12">
        <v>207.56</v>
      </c>
      <c r="O36" s="12">
        <v>210.19</v>
      </c>
      <c r="P36" s="12">
        <v>202.84</v>
      </c>
      <c r="Q36" s="12">
        <v>211.51</v>
      </c>
      <c r="R36" s="12">
        <v>279.36</v>
      </c>
      <c r="S36" s="12">
        <v>303.92</v>
      </c>
      <c r="T36" s="12">
        <v>275.51</v>
      </c>
      <c r="U36" s="12">
        <v>303.08999999999997</v>
      </c>
      <c r="V36" s="12">
        <v>293.94</v>
      </c>
      <c r="W36" s="12">
        <v>275.10000000000002</v>
      </c>
      <c r="X36" s="12">
        <v>265.45</v>
      </c>
      <c r="Y36" s="12">
        <v>258.79000000000002</v>
      </c>
      <c r="Z36" s="12">
        <v>275.37</v>
      </c>
      <c r="AA36" s="12">
        <v>220.23</v>
      </c>
      <c r="AB36" s="12">
        <v>237.47</v>
      </c>
      <c r="AC36" s="12">
        <v>242.41</v>
      </c>
      <c r="AD36" s="12">
        <v>225.04</v>
      </c>
      <c r="AE36" s="12">
        <v>205.83</v>
      </c>
      <c r="AF36" s="12">
        <v>213.82</v>
      </c>
      <c r="AG36" s="12">
        <v>195.31</v>
      </c>
      <c r="AH36" s="12">
        <v>187.81</v>
      </c>
      <c r="AI36" s="12">
        <v>191.02</v>
      </c>
      <c r="AJ36" s="12">
        <v>178.01</v>
      </c>
    </row>
    <row r="37" spans="2:36">
      <c r="B37" s="27" t="s">
        <v>72</v>
      </c>
      <c r="C37" s="12">
        <v>96.96</v>
      </c>
      <c r="D37" s="12">
        <v>80.8</v>
      </c>
      <c r="E37" s="12">
        <v>67.66</v>
      </c>
      <c r="F37" s="12">
        <v>59.96</v>
      </c>
      <c r="G37" s="12">
        <v>50.64</v>
      </c>
      <c r="H37" s="12">
        <v>40.65</v>
      </c>
      <c r="I37" s="12">
        <v>43.08</v>
      </c>
      <c r="J37" s="12">
        <v>47.17</v>
      </c>
      <c r="K37" s="12">
        <v>62.47</v>
      </c>
      <c r="L37" s="12">
        <v>61.59</v>
      </c>
      <c r="M37" s="12">
        <v>61.01</v>
      </c>
      <c r="N37" s="12">
        <v>122.69</v>
      </c>
      <c r="O37" s="12">
        <v>126.44</v>
      </c>
      <c r="P37" s="12">
        <v>110.93</v>
      </c>
      <c r="Q37" s="12">
        <v>86.07</v>
      </c>
      <c r="R37" s="12">
        <v>113.31</v>
      </c>
      <c r="S37" s="12">
        <v>127.39</v>
      </c>
      <c r="T37" s="12">
        <v>117</v>
      </c>
      <c r="U37" s="12">
        <v>121.12</v>
      </c>
      <c r="V37" s="12">
        <v>104.58</v>
      </c>
      <c r="W37" s="12">
        <v>102.82</v>
      </c>
      <c r="X37" s="12">
        <v>105.37</v>
      </c>
      <c r="Y37" s="12">
        <v>108.83</v>
      </c>
      <c r="Z37" s="12">
        <v>95.32</v>
      </c>
      <c r="AA37" s="12">
        <v>80.33</v>
      </c>
      <c r="AB37" s="12">
        <v>93.54</v>
      </c>
      <c r="AC37" s="12">
        <v>84.48</v>
      </c>
      <c r="AD37" s="12">
        <v>263.92</v>
      </c>
      <c r="AE37" s="12">
        <v>260.62</v>
      </c>
      <c r="AF37" s="12">
        <v>61.71</v>
      </c>
      <c r="AG37" s="12">
        <v>66.88</v>
      </c>
      <c r="AH37" s="12">
        <v>49.42</v>
      </c>
      <c r="AI37" s="12">
        <v>68.83</v>
      </c>
      <c r="AJ37" s="12">
        <v>86.51</v>
      </c>
    </row>
    <row r="38" spans="2:36">
      <c r="B38" s="27" t="s">
        <v>73</v>
      </c>
      <c r="C38" s="12">
        <v>90.08</v>
      </c>
      <c r="D38" s="12">
        <v>73.91</v>
      </c>
      <c r="E38" s="12">
        <v>60.08</v>
      </c>
      <c r="F38" s="12">
        <v>51.53</v>
      </c>
      <c r="G38" s="12">
        <v>40.549999999999997</v>
      </c>
      <c r="H38" s="12">
        <v>29.86</v>
      </c>
      <c r="I38" s="12">
        <v>32.11</v>
      </c>
      <c r="J38" s="12">
        <v>35.58</v>
      </c>
      <c r="K38" s="12">
        <v>51.8</v>
      </c>
      <c r="L38" s="12">
        <v>52.24</v>
      </c>
      <c r="M38" s="12">
        <v>51</v>
      </c>
      <c r="N38" s="12">
        <v>111.61</v>
      </c>
      <c r="O38" s="12">
        <v>115.46</v>
      </c>
      <c r="P38" s="12">
        <v>100.31</v>
      </c>
      <c r="Q38" s="12">
        <v>76.16</v>
      </c>
      <c r="R38" s="12">
        <v>104.33</v>
      </c>
      <c r="S38" s="12">
        <v>118.43</v>
      </c>
      <c r="T38" s="12">
        <v>108.3</v>
      </c>
      <c r="U38" s="12">
        <v>114.35</v>
      </c>
      <c r="V38" s="12">
        <v>97.01</v>
      </c>
      <c r="W38" s="12">
        <v>95.4</v>
      </c>
      <c r="X38" s="12">
        <v>98.65</v>
      </c>
      <c r="Y38" s="12">
        <v>102.33</v>
      </c>
      <c r="Z38" s="12">
        <v>88.38</v>
      </c>
      <c r="AA38" s="12">
        <v>73.930000000000007</v>
      </c>
      <c r="AB38" s="12">
        <v>86.3</v>
      </c>
      <c r="AC38" s="12">
        <v>76.790000000000006</v>
      </c>
      <c r="AD38" s="12">
        <v>256.52</v>
      </c>
      <c r="AE38" s="12">
        <v>253.82</v>
      </c>
      <c r="AF38" s="12">
        <v>54.09</v>
      </c>
      <c r="AG38" s="12">
        <v>58.85</v>
      </c>
      <c r="AH38" s="12">
        <v>42.63</v>
      </c>
      <c r="AI38" s="12">
        <v>62.65</v>
      </c>
      <c r="AJ38" s="12">
        <v>80.28</v>
      </c>
    </row>
    <row r="39" spans="2:36">
      <c r="B39" s="27" t="s">
        <v>74</v>
      </c>
      <c r="C39" s="12">
        <v>6.88</v>
      </c>
      <c r="D39" s="12">
        <v>6.89</v>
      </c>
      <c r="E39" s="12">
        <v>7.58</v>
      </c>
      <c r="F39" s="12">
        <v>8.44</v>
      </c>
      <c r="G39" s="12">
        <v>10.09</v>
      </c>
      <c r="H39" s="12">
        <v>10.79</v>
      </c>
      <c r="I39" s="12">
        <v>10.97</v>
      </c>
      <c r="J39" s="12">
        <v>11.59</v>
      </c>
      <c r="K39" s="12">
        <v>10.67</v>
      </c>
      <c r="L39" s="12">
        <v>9.35</v>
      </c>
      <c r="M39" s="12">
        <v>10.01</v>
      </c>
      <c r="N39" s="12">
        <v>11.08</v>
      </c>
      <c r="O39" s="12">
        <v>10.98</v>
      </c>
      <c r="P39" s="12">
        <v>10.62</v>
      </c>
      <c r="Q39" s="12">
        <v>9.91</v>
      </c>
      <c r="R39" s="12">
        <v>8.98</v>
      </c>
      <c r="S39" s="12">
        <v>8.9600000000000009</v>
      </c>
      <c r="T39" s="12">
        <v>8.6999999999999993</v>
      </c>
      <c r="U39" s="12">
        <v>6.76</v>
      </c>
      <c r="V39" s="12">
        <v>7.58</v>
      </c>
      <c r="W39" s="12">
        <v>7.42</v>
      </c>
      <c r="X39" s="12">
        <v>6.71</v>
      </c>
      <c r="Y39" s="12">
        <v>6.5</v>
      </c>
      <c r="Z39" s="12">
        <v>6.95</v>
      </c>
      <c r="AA39" s="12">
        <v>6.4</v>
      </c>
      <c r="AB39" s="12">
        <v>7.23</v>
      </c>
      <c r="AC39" s="12">
        <v>7.69</v>
      </c>
      <c r="AD39" s="12">
        <v>7.4</v>
      </c>
      <c r="AE39" s="12">
        <v>6.79</v>
      </c>
      <c r="AF39" s="12">
        <v>7.62</v>
      </c>
      <c r="AG39" s="12">
        <v>8.0299999999999994</v>
      </c>
      <c r="AH39" s="12">
        <v>6.79</v>
      </c>
      <c r="AI39" s="12">
        <v>6.18</v>
      </c>
      <c r="AJ39" s="12">
        <v>6.23</v>
      </c>
    </row>
    <row r="40" spans="2:36">
      <c r="B40" s="26" t="s">
        <v>38</v>
      </c>
      <c r="C40" s="12">
        <v>0.69</v>
      </c>
      <c r="D40" s="12">
        <v>18.010000000000002</v>
      </c>
      <c r="E40" s="12">
        <v>11.33</v>
      </c>
      <c r="F40" s="12">
        <v>12.04</v>
      </c>
      <c r="G40" s="12">
        <v>10.9</v>
      </c>
      <c r="H40" s="12">
        <v>10.82</v>
      </c>
      <c r="I40" s="12">
        <v>11.81</v>
      </c>
      <c r="J40" s="12">
        <v>11.21</v>
      </c>
      <c r="K40" s="12">
        <v>10.16</v>
      </c>
      <c r="L40" s="12">
        <v>10.51</v>
      </c>
      <c r="M40" s="12">
        <v>9.26</v>
      </c>
      <c r="N40" s="12">
        <v>12.03</v>
      </c>
      <c r="O40" s="12">
        <v>10.94</v>
      </c>
      <c r="P40" s="12">
        <v>12.85</v>
      </c>
      <c r="Q40" s="12">
        <v>12.2</v>
      </c>
      <c r="R40" s="12">
        <v>12.47</v>
      </c>
      <c r="S40" s="12">
        <v>10.98</v>
      </c>
      <c r="T40" s="12">
        <v>11.16</v>
      </c>
      <c r="U40" s="12">
        <v>10</v>
      </c>
      <c r="V40" s="12">
        <v>11.06</v>
      </c>
      <c r="W40" s="12">
        <v>11.32</v>
      </c>
      <c r="X40" s="12">
        <v>11.08</v>
      </c>
      <c r="Y40" s="12">
        <v>11.15</v>
      </c>
      <c r="Z40" s="12">
        <v>11.35</v>
      </c>
      <c r="AA40" s="12">
        <v>10.91</v>
      </c>
      <c r="AB40" s="12">
        <v>11.82</v>
      </c>
      <c r="AC40" s="12">
        <v>11.71</v>
      </c>
      <c r="AD40" s="12">
        <v>12.17</v>
      </c>
      <c r="AE40" s="12">
        <v>11.89</v>
      </c>
      <c r="AF40" s="12">
        <v>11.22</v>
      </c>
      <c r="AG40" s="12">
        <v>11.09</v>
      </c>
      <c r="AH40" s="12">
        <v>11.13</v>
      </c>
      <c r="AI40" s="12">
        <v>11.49</v>
      </c>
      <c r="AJ40" s="12">
        <v>11.4</v>
      </c>
    </row>
    <row r="41" spans="2:36">
      <c r="B41" s="25" t="s">
        <v>39</v>
      </c>
      <c r="C41" s="12">
        <v>10807.16</v>
      </c>
      <c r="D41" s="12">
        <v>10300.48</v>
      </c>
      <c r="E41" s="12">
        <v>9385.8799999999992</v>
      </c>
      <c r="F41" s="12">
        <v>8617.92</v>
      </c>
      <c r="G41" s="12">
        <v>7701.06</v>
      </c>
      <c r="H41" s="12">
        <v>6935.28</v>
      </c>
      <c r="I41" s="12">
        <v>6514.26</v>
      </c>
      <c r="J41" s="12">
        <v>6176.63</v>
      </c>
      <c r="K41" s="12">
        <v>5928.59</v>
      </c>
      <c r="L41" s="12">
        <v>5761.8</v>
      </c>
      <c r="M41" s="12">
        <v>5662.26</v>
      </c>
      <c r="N41" s="12">
        <v>5515.08</v>
      </c>
      <c r="O41" s="12">
        <v>5176.18</v>
      </c>
      <c r="P41" s="12">
        <v>5102.87</v>
      </c>
      <c r="Q41" s="12">
        <v>4988.5</v>
      </c>
      <c r="R41" s="12">
        <v>4856.8100000000004</v>
      </c>
      <c r="S41" s="12">
        <v>4765.1000000000004</v>
      </c>
      <c r="T41" s="12">
        <v>4719.25</v>
      </c>
      <c r="U41" s="12">
        <v>4649.6899999999996</v>
      </c>
      <c r="V41" s="12">
        <v>4500.47</v>
      </c>
      <c r="W41" s="12">
        <v>4359.34</v>
      </c>
      <c r="X41" s="12">
        <v>4343.6499999999996</v>
      </c>
      <c r="Y41" s="12">
        <v>4355.07</v>
      </c>
      <c r="Z41" s="12">
        <v>4173.2299999999996</v>
      </c>
      <c r="AA41" s="12">
        <v>4035.83</v>
      </c>
      <c r="AB41" s="12">
        <v>3952.91</v>
      </c>
      <c r="AC41" s="12">
        <v>3916.54</v>
      </c>
      <c r="AD41" s="12">
        <v>3732.34</v>
      </c>
      <c r="AE41" s="12">
        <v>3659.14</v>
      </c>
      <c r="AF41" s="12">
        <v>3528.3</v>
      </c>
      <c r="AG41" s="12">
        <v>3436.98</v>
      </c>
      <c r="AH41" s="12">
        <v>3406.58</v>
      </c>
      <c r="AI41" s="12">
        <v>3391.16</v>
      </c>
      <c r="AJ41" s="12">
        <v>3233.47</v>
      </c>
    </row>
    <row r="42" spans="2:36">
      <c r="B42" s="26" t="s">
        <v>75</v>
      </c>
      <c r="C42" s="12">
        <v>10744.55</v>
      </c>
      <c r="D42" s="12">
        <v>10215.57</v>
      </c>
      <c r="E42" s="12">
        <v>9272.4599999999991</v>
      </c>
      <c r="F42" s="12">
        <v>8474.25</v>
      </c>
      <c r="G42" s="12">
        <v>7531.3</v>
      </c>
      <c r="H42" s="12">
        <v>6719.71</v>
      </c>
      <c r="I42" s="12">
        <v>6240.02</v>
      </c>
      <c r="J42" s="12">
        <v>5835.59</v>
      </c>
      <c r="K42" s="12">
        <v>5577.01</v>
      </c>
      <c r="L42" s="12">
        <v>5338.5</v>
      </c>
      <c r="M42" s="12">
        <v>5170.04</v>
      </c>
      <c r="N42" s="12">
        <v>4992.71</v>
      </c>
      <c r="O42" s="12">
        <v>4625.3900000000003</v>
      </c>
      <c r="P42" s="12">
        <v>4524.33</v>
      </c>
      <c r="Q42" s="12">
        <v>4378.6899999999996</v>
      </c>
      <c r="R42" s="12">
        <v>4177.6899999999996</v>
      </c>
      <c r="S42" s="12">
        <v>4086.48</v>
      </c>
      <c r="T42" s="12">
        <v>4024.24</v>
      </c>
      <c r="U42" s="12">
        <v>3920.44</v>
      </c>
      <c r="V42" s="12">
        <v>3766.31</v>
      </c>
      <c r="W42" s="12">
        <v>3529.26</v>
      </c>
      <c r="X42" s="12">
        <v>3470.16</v>
      </c>
      <c r="Y42" s="12">
        <v>3415.44</v>
      </c>
      <c r="Z42" s="12">
        <v>3250.03</v>
      </c>
      <c r="AA42" s="12">
        <v>3176.54</v>
      </c>
      <c r="AB42" s="12">
        <v>3135.24</v>
      </c>
      <c r="AC42" s="12">
        <v>3073.44</v>
      </c>
      <c r="AD42" s="12">
        <v>2827.94</v>
      </c>
      <c r="AE42" s="12">
        <v>2691.19</v>
      </c>
      <c r="AF42" s="12">
        <v>2608.83</v>
      </c>
      <c r="AG42" s="12">
        <v>2551.9699999999998</v>
      </c>
      <c r="AH42" s="12">
        <v>2473.89</v>
      </c>
      <c r="AI42" s="12">
        <v>2417.4699999999998</v>
      </c>
      <c r="AJ42" s="12">
        <v>2327.0100000000002</v>
      </c>
    </row>
    <row r="43" spans="2:36">
      <c r="B43" s="26" t="s">
        <v>76</v>
      </c>
      <c r="C43" s="12">
        <v>62.61</v>
      </c>
      <c r="D43" s="12">
        <v>84.9</v>
      </c>
      <c r="E43" s="12">
        <v>113.41</v>
      </c>
      <c r="F43" s="12">
        <v>143.66999999999999</v>
      </c>
      <c r="G43" s="12">
        <v>169.76</v>
      </c>
      <c r="H43" s="12">
        <v>215.57</v>
      </c>
      <c r="I43" s="12">
        <v>274.25</v>
      </c>
      <c r="J43" s="12">
        <v>341.04</v>
      </c>
      <c r="K43" s="12">
        <v>351.58</v>
      </c>
      <c r="L43" s="12">
        <v>423.3</v>
      </c>
      <c r="M43" s="12">
        <v>492.21</v>
      </c>
      <c r="N43" s="12">
        <v>522.38</v>
      </c>
      <c r="O43" s="12">
        <v>550.79</v>
      </c>
      <c r="P43" s="12">
        <v>578.54</v>
      </c>
      <c r="Q43" s="12">
        <v>609.79999999999995</v>
      </c>
      <c r="R43" s="12">
        <v>679.12</v>
      </c>
      <c r="S43" s="12">
        <v>678.61</v>
      </c>
      <c r="T43" s="12">
        <v>695.01</v>
      </c>
      <c r="U43" s="12">
        <v>729.26</v>
      </c>
      <c r="V43" s="12">
        <v>734.16</v>
      </c>
      <c r="W43" s="12">
        <v>830.08</v>
      </c>
      <c r="X43" s="12">
        <v>873.49</v>
      </c>
      <c r="Y43" s="12">
        <v>939.63</v>
      </c>
      <c r="Z43" s="12">
        <v>923.19</v>
      </c>
      <c r="AA43" s="12">
        <v>859.29</v>
      </c>
      <c r="AB43" s="12">
        <v>817.67</v>
      </c>
      <c r="AC43" s="12">
        <v>843.1</v>
      </c>
      <c r="AD43" s="12">
        <v>904.4</v>
      </c>
      <c r="AE43" s="12">
        <v>967.95</v>
      </c>
      <c r="AF43" s="12">
        <v>919.47</v>
      </c>
      <c r="AG43" s="12">
        <v>885.01</v>
      </c>
      <c r="AH43" s="12">
        <v>932.68</v>
      </c>
      <c r="AI43" s="12">
        <v>973.7</v>
      </c>
      <c r="AJ43" s="12">
        <v>906.46</v>
      </c>
    </row>
    <row r="44" spans="2:36">
      <c r="B44" s="27" t="s">
        <v>77</v>
      </c>
      <c r="C44" s="12">
        <v>37.69</v>
      </c>
      <c r="D44" s="12">
        <v>48.22</v>
      </c>
      <c r="E44" s="12">
        <v>61.6</v>
      </c>
      <c r="F44" s="12">
        <v>67.680000000000007</v>
      </c>
      <c r="G44" s="12">
        <v>68.510000000000005</v>
      </c>
      <c r="H44" s="12">
        <v>76.28</v>
      </c>
      <c r="I44" s="12">
        <v>87.24</v>
      </c>
      <c r="J44" s="12">
        <v>105.62</v>
      </c>
      <c r="K44" s="12">
        <v>99.84</v>
      </c>
      <c r="L44" s="12">
        <v>105.76</v>
      </c>
      <c r="M44" s="12">
        <v>108.07</v>
      </c>
      <c r="N44" s="12">
        <v>104.13</v>
      </c>
      <c r="O44" s="12">
        <v>95.42</v>
      </c>
      <c r="P44" s="12">
        <v>95.38</v>
      </c>
      <c r="Q44" s="12">
        <v>100.1</v>
      </c>
      <c r="R44" s="12">
        <v>103</v>
      </c>
      <c r="S44" s="12">
        <v>106.61</v>
      </c>
      <c r="T44" s="12">
        <v>106.61</v>
      </c>
      <c r="U44" s="12">
        <v>104.8</v>
      </c>
      <c r="V44" s="12">
        <v>101.44</v>
      </c>
      <c r="W44" s="12">
        <v>105.62</v>
      </c>
      <c r="X44" s="12">
        <v>112</v>
      </c>
      <c r="Y44" s="12">
        <v>114.58</v>
      </c>
      <c r="Z44" s="12">
        <v>110.26</v>
      </c>
      <c r="AA44" s="12">
        <v>111.42</v>
      </c>
      <c r="AB44" s="12">
        <v>123.16</v>
      </c>
      <c r="AC44" s="12">
        <v>129.97</v>
      </c>
      <c r="AD44" s="12">
        <v>135.24</v>
      </c>
      <c r="AE44" s="12">
        <v>134.19999999999999</v>
      </c>
      <c r="AF44" s="12">
        <v>129.04</v>
      </c>
      <c r="AG44" s="12">
        <v>118.7</v>
      </c>
      <c r="AH44" s="12">
        <v>116.38</v>
      </c>
      <c r="AI44" s="12">
        <v>124.37</v>
      </c>
      <c r="AJ44" s="12">
        <v>121.86</v>
      </c>
    </row>
    <row r="45" spans="2:36">
      <c r="B45" s="27" t="s">
        <v>78</v>
      </c>
      <c r="C45" s="12">
        <v>23.02</v>
      </c>
      <c r="D45" s="12">
        <v>34.65</v>
      </c>
      <c r="E45" s="12">
        <v>49.28</v>
      </c>
      <c r="F45" s="12">
        <v>72.3</v>
      </c>
      <c r="G45" s="12">
        <v>96.3</v>
      </c>
      <c r="H45" s="12">
        <v>133.6</v>
      </c>
      <c r="I45" s="12">
        <v>179.5</v>
      </c>
      <c r="J45" s="12">
        <v>226.04</v>
      </c>
      <c r="K45" s="12">
        <v>243.17</v>
      </c>
      <c r="L45" s="12">
        <v>307.3</v>
      </c>
      <c r="M45" s="12">
        <v>371.47</v>
      </c>
      <c r="N45" s="12">
        <v>405.59</v>
      </c>
      <c r="O45" s="12">
        <v>440.1</v>
      </c>
      <c r="P45" s="12">
        <v>467.58</v>
      </c>
      <c r="Q45" s="12">
        <v>491.82</v>
      </c>
      <c r="R45" s="12">
        <v>555.24</v>
      </c>
      <c r="S45" s="12">
        <v>550.30999999999995</v>
      </c>
      <c r="T45" s="12">
        <v>565.33000000000004</v>
      </c>
      <c r="U45" s="12">
        <v>601.99</v>
      </c>
      <c r="V45" s="12">
        <v>608.80999999999995</v>
      </c>
      <c r="W45" s="12">
        <v>696.1</v>
      </c>
      <c r="X45" s="12">
        <v>729.8</v>
      </c>
      <c r="Y45" s="12">
        <v>792.07</v>
      </c>
      <c r="Z45" s="12">
        <v>778.32</v>
      </c>
      <c r="AA45" s="12">
        <v>716.51</v>
      </c>
      <c r="AB45" s="12">
        <v>665.67</v>
      </c>
      <c r="AC45" s="12">
        <v>683.31</v>
      </c>
      <c r="AD45" s="12">
        <v>737.03</v>
      </c>
      <c r="AE45" s="12">
        <v>797.51</v>
      </c>
      <c r="AF45" s="12">
        <v>755.08</v>
      </c>
      <c r="AG45" s="12">
        <v>731.11</v>
      </c>
      <c r="AH45" s="12">
        <v>777.67</v>
      </c>
      <c r="AI45" s="12">
        <v>811.15</v>
      </c>
      <c r="AJ45" s="12">
        <v>748</v>
      </c>
    </row>
    <row r="46" spans="2:36">
      <c r="B46" s="27" t="s">
        <v>79</v>
      </c>
      <c r="C46" s="12">
        <v>1.9</v>
      </c>
      <c r="D46" s="12">
        <v>2.0299999999999998</v>
      </c>
      <c r="E46" s="12">
        <v>2.5299999999999998</v>
      </c>
      <c r="F46" s="12">
        <v>3.7</v>
      </c>
      <c r="G46" s="12">
        <v>4.95</v>
      </c>
      <c r="H46" s="12">
        <v>5.68</v>
      </c>
      <c r="I46" s="12">
        <v>7.5</v>
      </c>
      <c r="J46" s="12">
        <v>9.3800000000000008</v>
      </c>
      <c r="K46" s="12">
        <v>8.57</v>
      </c>
      <c r="L46" s="12">
        <v>10.24</v>
      </c>
      <c r="M46" s="12">
        <v>12.67</v>
      </c>
      <c r="N46" s="12">
        <v>12.66</v>
      </c>
      <c r="O46" s="12">
        <v>15.28</v>
      </c>
      <c r="P46" s="12">
        <v>15.58</v>
      </c>
      <c r="Q46" s="12">
        <v>17.88</v>
      </c>
      <c r="R46" s="12">
        <v>20.88</v>
      </c>
      <c r="S46" s="12">
        <v>21.69</v>
      </c>
      <c r="T46" s="12">
        <v>23.06</v>
      </c>
      <c r="U46" s="12">
        <v>22.47</v>
      </c>
      <c r="V46" s="12">
        <v>23.91</v>
      </c>
      <c r="W46" s="12">
        <v>28.36</v>
      </c>
      <c r="X46" s="12">
        <v>31.7</v>
      </c>
      <c r="Y46" s="12">
        <v>32.979999999999997</v>
      </c>
      <c r="Z46" s="12">
        <v>34.61</v>
      </c>
      <c r="AA46" s="12">
        <v>31.36</v>
      </c>
      <c r="AB46" s="12">
        <v>28.84</v>
      </c>
      <c r="AC46" s="12">
        <v>29.82</v>
      </c>
      <c r="AD46" s="12">
        <v>32.130000000000003</v>
      </c>
      <c r="AE46" s="12">
        <v>36.25</v>
      </c>
      <c r="AF46" s="12">
        <v>35.35</v>
      </c>
      <c r="AG46" s="12">
        <v>35.19</v>
      </c>
      <c r="AH46" s="12">
        <v>38.630000000000003</v>
      </c>
      <c r="AI46" s="12">
        <v>38.19</v>
      </c>
      <c r="AJ46" s="12">
        <v>36.6</v>
      </c>
    </row>
    <row r="47" spans="2:36">
      <c r="B47" s="25" t="s">
        <v>80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</row>
    <row r="48" spans="2:36">
      <c r="B48" s="24" t="s">
        <v>82</v>
      </c>
      <c r="C48" s="15">
        <v>50.02</v>
      </c>
      <c r="D48" s="15">
        <v>88.86</v>
      </c>
      <c r="E48" s="15">
        <v>136.44999999999999</v>
      </c>
      <c r="F48" s="15">
        <v>139.79</v>
      </c>
      <c r="G48" s="15">
        <v>150.29</v>
      </c>
      <c r="H48" s="15">
        <v>153.76</v>
      </c>
      <c r="I48" s="15">
        <v>186.06</v>
      </c>
      <c r="J48" s="15">
        <v>238.18</v>
      </c>
      <c r="K48" s="15">
        <v>253.29</v>
      </c>
      <c r="L48" s="15">
        <v>264.60000000000002</v>
      </c>
      <c r="M48" s="15">
        <v>277.02</v>
      </c>
      <c r="N48" s="15">
        <v>261.07</v>
      </c>
      <c r="O48" s="15">
        <v>294.88</v>
      </c>
      <c r="P48" s="15">
        <v>285.01</v>
      </c>
      <c r="Q48" s="15">
        <v>296.55</v>
      </c>
      <c r="R48" s="15">
        <v>305.64999999999998</v>
      </c>
      <c r="S48" s="15">
        <v>327.68</v>
      </c>
      <c r="T48" s="15">
        <v>333.53</v>
      </c>
      <c r="U48" s="15">
        <v>309.64999999999998</v>
      </c>
      <c r="V48" s="15">
        <v>311.02</v>
      </c>
      <c r="W48" s="15">
        <v>307.55</v>
      </c>
      <c r="X48" s="15">
        <v>309.20999999999998</v>
      </c>
      <c r="Y48" s="15">
        <v>314.82</v>
      </c>
      <c r="Z48" s="15">
        <v>306.19</v>
      </c>
      <c r="AA48" s="15">
        <v>339.38</v>
      </c>
      <c r="AB48" s="15">
        <v>320.97000000000003</v>
      </c>
      <c r="AC48" s="15">
        <v>342.87</v>
      </c>
      <c r="AD48" s="15">
        <v>335.06</v>
      </c>
      <c r="AE48" s="15">
        <v>350.2</v>
      </c>
      <c r="AF48" s="15">
        <v>302.7</v>
      </c>
      <c r="AG48" s="15">
        <v>288.08999999999997</v>
      </c>
      <c r="AH48" s="15">
        <v>323</v>
      </c>
      <c r="AI48" s="15">
        <v>252.58</v>
      </c>
      <c r="AJ48" s="15">
        <v>190.82</v>
      </c>
    </row>
    <row r="49" spans="2:36">
      <c r="B49" s="25" t="s">
        <v>83</v>
      </c>
      <c r="C49" s="12" t="s">
        <v>81</v>
      </c>
      <c r="D49" s="12" t="s">
        <v>81</v>
      </c>
      <c r="E49" s="12" t="s">
        <v>81</v>
      </c>
      <c r="F49" s="12" t="s">
        <v>81</v>
      </c>
      <c r="G49" s="12" t="s">
        <v>81</v>
      </c>
      <c r="H49" s="12" t="s">
        <v>81</v>
      </c>
      <c r="I49" s="12" t="s">
        <v>81</v>
      </c>
      <c r="J49" s="12" t="s">
        <v>81</v>
      </c>
      <c r="K49" s="12" t="s">
        <v>81</v>
      </c>
      <c r="L49" s="12" t="s">
        <v>81</v>
      </c>
      <c r="M49" s="12" t="s">
        <v>81</v>
      </c>
      <c r="N49" s="12" t="s">
        <v>81</v>
      </c>
      <c r="O49" s="12" t="s">
        <v>81</v>
      </c>
      <c r="P49" s="12" t="s">
        <v>81</v>
      </c>
      <c r="Q49" s="12" t="s">
        <v>81</v>
      </c>
      <c r="R49" s="12" t="s">
        <v>81</v>
      </c>
      <c r="S49" s="12" t="s">
        <v>81</v>
      </c>
      <c r="T49" s="12" t="s">
        <v>81</v>
      </c>
      <c r="U49" s="12" t="s">
        <v>81</v>
      </c>
      <c r="V49" s="12" t="s">
        <v>81</v>
      </c>
      <c r="W49" s="12" t="s">
        <v>81</v>
      </c>
      <c r="X49" s="12" t="s">
        <v>81</v>
      </c>
      <c r="Y49" s="12" t="s">
        <v>81</v>
      </c>
      <c r="Z49" s="12" t="s">
        <v>81</v>
      </c>
      <c r="AA49" s="12" t="s">
        <v>81</v>
      </c>
      <c r="AB49" s="12" t="s">
        <v>81</v>
      </c>
      <c r="AC49" s="12" t="s">
        <v>81</v>
      </c>
      <c r="AD49" s="12" t="s">
        <v>81</v>
      </c>
      <c r="AE49" s="12" t="s">
        <v>81</v>
      </c>
      <c r="AF49" s="12" t="s">
        <v>81</v>
      </c>
      <c r="AG49" s="12" t="s">
        <v>81</v>
      </c>
      <c r="AH49" s="12" t="s">
        <v>81</v>
      </c>
      <c r="AI49" s="12" t="s">
        <v>81</v>
      </c>
      <c r="AJ49" s="12" t="s">
        <v>81</v>
      </c>
    </row>
    <row r="50" spans="2:36">
      <c r="B50" s="26" t="s">
        <v>84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</row>
    <row r="51" spans="2:36">
      <c r="B51" s="26" t="s">
        <v>85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</row>
    <row r="52" spans="2:36">
      <c r="B52" s="26" t="s">
        <v>86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</row>
    <row r="53" spans="2:36">
      <c r="B53" s="26" t="s">
        <v>87</v>
      </c>
      <c r="C53" s="12" t="s">
        <v>81</v>
      </c>
      <c r="D53" s="12" t="s">
        <v>81</v>
      </c>
      <c r="E53" s="12" t="s">
        <v>81</v>
      </c>
      <c r="F53" s="12" t="s">
        <v>81</v>
      </c>
      <c r="G53" s="12" t="s">
        <v>81</v>
      </c>
      <c r="H53" s="12" t="s">
        <v>81</v>
      </c>
      <c r="I53" s="12" t="s">
        <v>81</v>
      </c>
      <c r="J53" s="12" t="s">
        <v>81</v>
      </c>
      <c r="K53" s="12" t="s">
        <v>81</v>
      </c>
      <c r="L53" s="12" t="s">
        <v>81</v>
      </c>
      <c r="M53" s="12" t="s">
        <v>81</v>
      </c>
      <c r="N53" s="12" t="s">
        <v>81</v>
      </c>
      <c r="O53" s="12" t="s">
        <v>81</v>
      </c>
      <c r="P53" s="12" t="s">
        <v>81</v>
      </c>
      <c r="Q53" s="12" t="s">
        <v>81</v>
      </c>
      <c r="R53" s="12" t="s">
        <v>81</v>
      </c>
      <c r="S53" s="12" t="s">
        <v>81</v>
      </c>
      <c r="T53" s="12" t="s">
        <v>81</v>
      </c>
      <c r="U53" s="12" t="s">
        <v>81</v>
      </c>
      <c r="V53" s="12" t="s">
        <v>81</v>
      </c>
      <c r="W53" s="12" t="s">
        <v>81</v>
      </c>
      <c r="X53" s="12" t="s">
        <v>81</v>
      </c>
      <c r="Y53" s="12" t="s">
        <v>81</v>
      </c>
      <c r="Z53" s="12" t="s">
        <v>81</v>
      </c>
      <c r="AA53" s="12" t="s">
        <v>81</v>
      </c>
      <c r="AB53" s="12" t="s">
        <v>81</v>
      </c>
      <c r="AC53" s="12" t="s">
        <v>81</v>
      </c>
      <c r="AD53" s="12" t="s">
        <v>81</v>
      </c>
      <c r="AE53" s="12" t="s">
        <v>81</v>
      </c>
      <c r="AF53" s="12" t="s">
        <v>81</v>
      </c>
      <c r="AG53" s="12" t="s">
        <v>81</v>
      </c>
      <c r="AH53" s="12" t="s">
        <v>81</v>
      </c>
      <c r="AI53" s="12" t="s">
        <v>81</v>
      </c>
      <c r="AJ53" s="12" t="s">
        <v>81</v>
      </c>
    </row>
    <row r="54" spans="2:36">
      <c r="B54" s="25" t="s">
        <v>88</v>
      </c>
      <c r="C54" s="12">
        <v>50.02</v>
      </c>
      <c r="D54" s="12">
        <v>88.86</v>
      </c>
      <c r="E54" s="12">
        <v>136.44999999999999</v>
      </c>
      <c r="F54" s="12">
        <v>139.79</v>
      </c>
      <c r="G54" s="12">
        <v>150.29</v>
      </c>
      <c r="H54" s="12">
        <v>153.76</v>
      </c>
      <c r="I54" s="12">
        <v>186.06</v>
      </c>
      <c r="J54" s="12">
        <v>238.18</v>
      </c>
      <c r="K54" s="12">
        <v>253.29</v>
      </c>
      <c r="L54" s="12">
        <v>264.60000000000002</v>
      </c>
      <c r="M54" s="12">
        <v>277.02</v>
      </c>
      <c r="N54" s="12">
        <v>261.07</v>
      </c>
      <c r="O54" s="12">
        <v>294.88</v>
      </c>
      <c r="P54" s="12">
        <v>285.01</v>
      </c>
      <c r="Q54" s="12">
        <v>296.55</v>
      </c>
      <c r="R54" s="12">
        <v>305.64999999999998</v>
      </c>
      <c r="S54" s="12">
        <v>327.68</v>
      </c>
      <c r="T54" s="12">
        <v>333.53</v>
      </c>
      <c r="U54" s="12">
        <v>309.64999999999998</v>
      </c>
      <c r="V54" s="12">
        <v>311.02</v>
      </c>
      <c r="W54" s="12">
        <v>307.55</v>
      </c>
      <c r="X54" s="12">
        <v>309.20999999999998</v>
      </c>
      <c r="Y54" s="12">
        <v>314.82</v>
      </c>
      <c r="Z54" s="12">
        <v>306.19</v>
      </c>
      <c r="AA54" s="12">
        <v>339.38</v>
      </c>
      <c r="AB54" s="12">
        <v>320.97000000000003</v>
      </c>
      <c r="AC54" s="12">
        <v>342.87</v>
      </c>
      <c r="AD54" s="12">
        <v>335.06</v>
      </c>
      <c r="AE54" s="12">
        <v>350.2</v>
      </c>
      <c r="AF54" s="12">
        <v>302.7</v>
      </c>
      <c r="AG54" s="12">
        <v>288.08999999999997</v>
      </c>
      <c r="AH54" s="12">
        <v>323</v>
      </c>
      <c r="AI54" s="12">
        <v>252.58</v>
      </c>
      <c r="AJ54" s="12">
        <v>190.82</v>
      </c>
    </row>
    <row r="55" spans="2:36">
      <c r="B55" s="26" t="s">
        <v>89</v>
      </c>
      <c r="C55" s="12" t="s">
        <v>114</v>
      </c>
      <c r="D55" s="12" t="s">
        <v>114</v>
      </c>
      <c r="E55" s="12" t="s">
        <v>114</v>
      </c>
      <c r="F55" s="12" t="s">
        <v>114</v>
      </c>
      <c r="G55" s="12" t="s">
        <v>114</v>
      </c>
      <c r="H55" s="12" t="s">
        <v>114</v>
      </c>
      <c r="I55" s="12" t="s">
        <v>114</v>
      </c>
      <c r="J55" s="12" t="s">
        <v>114</v>
      </c>
      <c r="K55" s="12" t="s">
        <v>114</v>
      </c>
      <c r="L55" s="12" t="s">
        <v>114</v>
      </c>
      <c r="M55" s="12" t="s">
        <v>114</v>
      </c>
      <c r="N55" s="12" t="s">
        <v>114</v>
      </c>
      <c r="O55" s="12" t="s">
        <v>114</v>
      </c>
      <c r="P55" s="12" t="s">
        <v>114</v>
      </c>
      <c r="Q55" s="12" t="s">
        <v>114</v>
      </c>
      <c r="R55" s="12" t="s">
        <v>114</v>
      </c>
      <c r="S55" s="12" t="s">
        <v>114</v>
      </c>
      <c r="T55" s="12" t="s">
        <v>114</v>
      </c>
      <c r="U55" s="12" t="s">
        <v>114</v>
      </c>
      <c r="V55" s="12" t="s">
        <v>114</v>
      </c>
      <c r="W55" s="12" t="s">
        <v>114</v>
      </c>
      <c r="X55" s="12" t="s">
        <v>114</v>
      </c>
      <c r="Y55" s="12" t="s">
        <v>114</v>
      </c>
      <c r="Z55" s="12" t="s">
        <v>114</v>
      </c>
      <c r="AA55" s="12" t="s">
        <v>114</v>
      </c>
      <c r="AB55" s="12" t="s">
        <v>114</v>
      </c>
      <c r="AC55" s="12" t="s">
        <v>114</v>
      </c>
      <c r="AD55" s="12" t="s">
        <v>114</v>
      </c>
      <c r="AE55" s="12" t="s">
        <v>114</v>
      </c>
      <c r="AF55" s="12" t="s">
        <v>114</v>
      </c>
      <c r="AG55" s="12" t="s">
        <v>114</v>
      </c>
      <c r="AH55" s="12" t="s">
        <v>114</v>
      </c>
      <c r="AI55" s="12" t="s">
        <v>114</v>
      </c>
      <c r="AJ55" s="12" t="s">
        <v>114</v>
      </c>
    </row>
    <row r="56" spans="2:36">
      <c r="B56" s="26" t="s">
        <v>91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</row>
    <row r="57" spans="2:36">
      <c r="B57" s="26" t="s">
        <v>92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</row>
    <row r="58" spans="2:36">
      <c r="B58" s="26" t="s">
        <v>93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</row>
    <row r="59" spans="2:36">
      <c r="B59" s="26" t="s">
        <v>94</v>
      </c>
      <c r="C59" s="12" t="s">
        <v>81</v>
      </c>
      <c r="D59" s="12" t="s">
        <v>81</v>
      </c>
      <c r="E59" s="12" t="s">
        <v>81</v>
      </c>
      <c r="F59" s="12" t="s">
        <v>81</v>
      </c>
      <c r="G59" s="12" t="s">
        <v>81</v>
      </c>
      <c r="H59" s="12" t="s">
        <v>81</v>
      </c>
      <c r="I59" s="12" t="s">
        <v>81</v>
      </c>
      <c r="J59" s="12" t="s">
        <v>81</v>
      </c>
      <c r="K59" s="12" t="s">
        <v>81</v>
      </c>
      <c r="L59" s="12" t="s">
        <v>81</v>
      </c>
      <c r="M59" s="12" t="s">
        <v>81</v>
      </c>
      <c r="N59" s="12" t="s">
        <v>81</v>
      </c>
      <c r="O59" s="12" t="s">
        <v>81</v>
      </c>
      <c r="P59" s="12" t="s">
        <v>81</v>
      </c>
      <c r="Q59" s="12" t="s">
        <v>81</v>
      </c>
      <c r="R59" s="12" t="s">
        <v>81</v>
      </c>
      <c r="S59" s="12" t="s">
        <v>81</v>
      </c>
      <c r="T59" s="12" t="s">
        <v>81</v>
      </c>
      <c r="U59" s="12" t="s">
        <v>81</v>
      </c>
      <c r="V59" s="12" t="s">
        <v>81</v>
      </c>
      <c r="W59" s="12" t="s">
        <v>81</v>
      </c>
      <c r="X59" s="12" t="s">
        <v>81</v>
      </c>
      <c r="Y59" s="12" t="s">
        <v>81</v>
      </c>
      <c r="Z59" s="12" t="s">
        <v>81</v>
      </c>
      <c r="AA59" s="12" t="s">
        <v>81</v>
      </c>
      <c r="AB59" s="12" t="s">
        <v>81</v>
      </c>
      <c r="AC59" s="12" t="s">
        <v>81</v>
      </c>
      <c r="AD59" s="12" t="s">
        <v>81</v>
      </c>
      <c r="AE59" s="12" t="s">
        <v>81</v>
      </c>
      <c r="AF59" s="12" t="s">
        <v>81</v>
      </c>
      <c r="AG59" s="12" t="s">
        <v>81</v>
      </c>
      <c r="AH59" s="12" t="s">
        <v>81</v>
      </c>
      <c r="AI59" s="12" t="s">
        <v>81</v>
      </c>
      <c r="AJ59" s="12" t="s">
        <v>81</v>
      </c>
    </row>
    <row r="60" spans="2:36">
      <c r="B60" s="26" t="s">
        <v>96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</row>
    <row r="61" spans="2:36">
      <c r="B61" s="26" t="s">
        <v>97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</row>
    <row r="62" spans="2:36">
      <c r="B62" s="26" t="s">
        <v>98</v>
      </c>
      <c r="C62" s="12">
        <v>50.02</v>
      </c>
      <c r="D62" s="12">
        <v>88.86</v>
      </c>
      <c r="E62" s="12">
        <v>136.44999999999999</v>
      </c>
      <c r="F62" s="12">
        <v>139.79</v>
      </c>
      <c r="G62" s="12">
        <v>150.29</v>
      </c>
      <c r="H62" s="12">
        <v>153.76</v>
      </c>
      <c r="I62" s="12">
        <v>186.06</v>
      </c>
      <c r="J62" s="12">
        <v>238.18</v>
      </c>
      <c r="K62" s="12">
        <v>253.29</v>
      </c>
      <c r="L62" s="12">
        <v>264.60000000000002</v>
      </c>
      <c r="M62" s="12">
        <v>277.02</v>
      </c>
      <c r="N62" s="12">
        <v>261.07</v>
      </c>
      <c r="O62" s="12">
        <v>294.88</v>
      </c>
      <c r="P62" s="12">
        <v>285.01</v>
      </c>
      <c r="Q62" s="12">
        <v>296.55</v>
      </c>
      <c r="R62" s="12">
        <v>305.64999999999998</v>
      </c>
      <c r="S62" s="12">
        <v>327.68</v>
      </c>
      <c r="T62" s="12">
        <v>333.53</v>
      </c>
      <c r="U62" s="12">
        <v>309.64999999999998</v>
      </c>
      <c r="V62" s="12">
        <v>311.02</v>
      </c>
      <c r="W62" s="12">
        <v>307.55</v>
      </c>
      <c r="X62" s="12">
        <v>309.20999999999998</v>
      </c>
      <c r="Y62" s="12">
        <v>314.82</v>
      </c>
      <c r="Z62" s="12">
        <v>306.19</v>
      </c>
      <c r="AA62" s="12">
        <v>339.38</v>
      </c>
      <c r="AB62" s="12">
        <v>320.97000000000003</v>
      </c>
      <c r="AC62" s="12">
        <v>342.87</v>
      </c>
      <c r="AD62" s="12">
        <v>335.06</v>
      </c>
      <c r="AE62" s="12">
        <v>350.2</v>
      </c>
      <c r="AF62" s="12">
        <v>302.7</v>
      </c>
      <c r="AG62" s="12">
        <v>288.08999999999997</v>
      </c>
      <c r="AH62" s="12">
        <v>323</v>
      </c>
      <c r="AI62" s="12">
        <v>252.58</v>
      </c>
      <c r="AJ62" s="12">
        <v>190.82</v>
      </c>
    </row>
    <row r="63" spans="2:36">
      <c r="B63" s="26" t="s">
        <v>99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</row>
    <row r="64" spans="2:36">
      <c r="B64" s="26" t="s">
        <v>100</v>
      </c>
      <c r="C64" s="12" t="s">
        <v>81</v>
      </c>
      <c r="D64" s="12" t="s">
        <v>81</v>
      </c>
      <c r="E64" s="12" t="s">
        <v>81</v>
      </c>
      <c r="F64" s="12" t="s">
        <v>81</v>
      </c>
      <c r="G64" s="12" t="s">
        <v>81</v>
      </c>
      <c r="H64" s="12" t="s">
        <v>81</v>
      </c>
      <c r="I64" s="12" t="s">
        <v>81</v>
      </c>
      <c r="J64" s="12" t="s">
        <v>81</v>
      </c>
      <c r="K64" s="12" t="s">
        <v>81</v>
      </c>
      <c r="L64" s="12" t="s">
        <v>81</v>
      </c>
      <c r="M64" s="12" t="s">
        <v>81</v>
      </c>
      <c r="N64" s="12" t="s">
        <v>81</v>
      </c>
      <c r="O64" s="12" t="s">
        <v>81</v>
      </c>
      <c r="P64" s="12" t="s">
        <v>81</v>
      </c>
      <c r="Q64" s="12" t="s">
        <v>81</v>
      </c>
      <c r="R64" s="12" t="s">
        <v>81</v>
      </c>
      <c r="S64" s="12" t="s">
        <v>81</v>
      </c>
      <c r="T64" s="12" t="s">
        <v>81</v>
      </c>
      <c r="U64" s="12" t="s">
        <v>81</v>
      </c>
      <c r="V64" s="12" t="s">
        <v>81</v>
      </c>
      <c r="W64" s="12" t="s">
        <v>81</v>
      </c>
      <c r="X64" s="12" t="s">
        <v>81</v>
      </c>
      <c r="Y64" s="12" t="s">
        <v>81</v>
      </c>
      <c r="Z64" s="12" t="s">
        <v>81</v>
      </c>
      <c r="AA64" s="12" t="s">
        <v>81</v>
      </c>
      <c r="AB64" s="12" t="s">
        <v>81</v>
      </c>
      <c r="AC64" s="12" t="s">
        <v>81</v>
      </c>
      <c r="AD64" s="12" t="s">
        <v>81</v>
      </c>
      <c r="AE64" s="12" t="s">
        <v>81</v>
      </c>
      <c r="AF64" s="12" t="s">
        <v>81</v>
      </c>
      <c r="AG64" s="12" t="s">
        <v>81</v>
      </c>
      <c r="AH64" s="12" t="s">
        <v>81</v>
      </c>
      <c r="AI64" s="12" t="s">
        <v>81</v>
      </c>
      <c r="AJ64" s="12" t="s">
        <v>81</v>
      </c>
    </row>
    <row r="65" spans="2:36">
      <c r="B65" s="25" t="s">
        <v>101</v>
      </c>
      <c r="C65" s="12" t="s">
        <v>81</v>
      </c>
      <c r="D65" s="12" t="s">
        <v>81</v>
      </c>
      <c r="E65" s="12" t="s">
        <v>81</v>
      </c>
      <c r="F65" s="12" t="s">
        <v>81</v>
      </c>
      <c r="G65" s="12" t="s">
        <v>81</v>
      </c>
      <c r="H65" s="12" t="s">
        <v>81</v>
      </c>
      <c r="I65" s="12" t="s">
        <v>81</v>
      </c>
      <c r="J65" s="12" t="s">
        <v>81</v>
      </c>
      <c r="K65" s="12" t="s">
        <v>81</v>
      </c>
      <c r="L65" s="12" t="s">
        <v>81</v>
      </c>
      <c r="M65" s="12" t="s">
        <v>81</v>
      </c>
      <c r="N65" s="12" t="s">
        <v>81</v>
      </c>
      <c r="O65" s="12" t="s">
        <v>81</v>
      </c>
      <c r="P65" s="12" t="s">
        <v>81</v>
      </c>
      <c r="Q65" s="12" t="s">
        <v>81</v>
      </c>
      <c r="R65" s="12" t="s">
        <v>81</v>
      </c>
      <c r="S65" s="12" t="s">
        <v>81</v>
      </c>
      <c r="T65" s="12" t="s">
        <v>81</v>
      </c>
      <c r="U65" s="12" t="s">
        <v>81</v>
      </c>
      <c r="V65" s="12" t="s">
        <v>81</v>
      </c>
      <c r="W65" s="12" t="s">
        <v>81</v>
      </c>
      <c r="X65" s="12" t="s">
        <v>81</v>
      </c>
      <c r="Y65" s="12" t="s">
        <v>81</v>
      </c>
      <c r="Z65" s="12" t="s">
        <v>81</v>
      </c>
      <c r="AA65" s="12" t="s">
        <v>81</v>
      </c>
      <c r="AB65" s="12" t="s">
        <v>81</v>
      </c>
      <c r="AC65" s="12" t="s">
        <v>81</v>
      </c>
      <c r="AD65" s="12" t="s">
        <v>81</v>
      </c>
      <c r="AE65" s="12" t="s">
        <v>81</v>
      </c>
      <c r="AF65" s="12" t="s">
        <v>81</v>
      </c>
      <c r="AG65" s="12" t="s">
        <v>81</v>
      </c>
      <c r="AH65" s="12" t="s">
        <v>81</v>
      </c>
      <c r="AI65" s="12" t="s">
        <v>81</v>
      </c>
      <c r="AJ65" s="12" t="s">
        <v>81</v>
      </c>
    </row>
    <row r="66" spans="2:36">
      <c r="B66" s="26" t="s">
        <v>102</v>
      </c>
      <c r="C66" s="12" t="s">
        <v>81</v>
      </c>
      <c r="D66" s="12" t="s">
        <v>81</v>
      </c>
      <c r="E66" s="12" t="s">
        <v>81</v>
      </c>
      <c r="F66" s="12" t="s">
        <v>81</v>
      </c>
      <c r="G66" s="12" t="s">
        <v>81</v>
      </c>
      <c r="H66" s="12" t="s">
        <v>81</v>
      </c>
      <c r="I66" s="12" t="s">
        <v>81</v>
      </c>
      <c r="J66" s="12" t="s">
        <v>81</v>
      </c>
      <c r="K66" s="12" t="s">
        <v>81</v>
      </c>
      <c r="L66" s="12" t="s">
        <v>81</v>
      </c>
      <c r="M66" s="12" t="s">
        <v>81</v>
      </c>
      <c r="N66" s="12" t="s">
        <v>81</v>
      </c>
      <c r="O66" s="12" t="s">
        <v>81</v>
      </c>
      <c r="P66" s="12" t="s">
        <v>81</v>
      </c>
      <c r="Q66" s="12" t="s">
        <v>81</v>
      </c>
      <c r="R66" s="12" t="s">
        <v>81</v>
      </c>
      <c r="S66" s="12" t="s">
        <v>81</v>
      </c>
      <c r="T66" s="12" t="s">
        <v>81</v>
      </c>
      <c r="U66" s="12" t="s">
        <v>81</v>
      </c>
      <c r="V66" s="12" t="s">
        <v>81</v>
      </c>
      <c r="W66" s="12" t="s">
        <v>81</v>
      </c>
      <c r="X66" s="12" t="s">
        <v>81</v>
      </c>
      <c r="Y66" s="12" t="s">
        <v>81</v>
      </c>
      <c r="Z66" s="12" t="s">
        <v>81</v>
      </c>
      <c r="AA66" s="12" t="s">
        <v>81</v>
      </c>
      <c r="AB66" s="12" t="s">
        <v>81</v>
      </c>
      <c r="AC66" s="12" t="s">
        <v>81</v>
      </c>
      <c r="AD66" s="12" t="s">
        <v>81</v>
      </c>
      <c r="AE66" s="12" t="s">
        <v>81</v>
      </c>
      <c r="AF66" s="12" t="s">
        <v>81</v>
      </c>
      <c r="AG66" s="12" t="s">
        <v>81</v>
      </c>
      <c r="AH66" s="12" t="s">
        <v>81</v>
      </c>
      <c r="AI66" s="12" t="s">
        <v>81</v>
      </c>
      <c r="AJ66" s="12" t="s">
        <v>81</v>
      </c>
    </row>
    <row r="67" spans="2:36">
      <c r="B67" s="26" t="s">
        <v>103</v>
      </c>
      <c r="C67" s="12" t="s">
        <v>81</v>
      </c>
      <c r="D67" s="12" t="s">
        <v>81</v>
      </c>
      <c r="E67" s="12" t="s">
        <v>81</v>
      </c>
      <c r="F67" s="12" t="s">
        <v>81</v>
      </c>
      <c r="G67" s="12" t="s">
        <v>81</v>
      </c>
      <c r="H67" s="12" t="s">
        <v>81</v>
      </c>
      <c r="I67" s="12" t="s">
        <v>81</v>
      </c>
      <c r="J67" s="12" t="s">
        <v>81</v>
      </c>
      <c r="K67" s="12" t="s">
        <v>81</v>
      </c>
      <c r="L67" s="12" t="s">
        <v>81</v>
      </c>
      <c r="M67" s="12" t="s">
        <v>81</v>
      </c>
      <c r="N67" s="12" t="s">
        <v>81</v>
      </c>
      <c r="O67" s="12" t="s">
        <v>81</v>
      </c>
      <c r="P67" s="12" t="s">
        <v>81</v>
      </c>
      <c r="Q67" s="12" t="s">
        <v>81</v>
      </c>
      <c r="R67" s="12" t="s">
        <v>81</v>
      </c>
      <c r="S67" s="12" t="s">
        <v>81</v>
      </c>
      <c r="T67" s="12" t="s">
        <v>81</v>
      </c>
      <c r="U67" s="12" t="s">
        <v>81</v>
      </c>
      <c r="V67" s="12" t="s">
        <v>81</v>
      </c>
      <c r="W67" s="12" t="s">
        <v>81</v>
      </c>
      <c r="X67" s="12" t="s">
        <v>81</v>
      </c>
      <c r="Y67" s="12" t="s">
        <v>81</v>
      </c>
      <c r="Z67" s="12" t="s">
        <v>81</v>
      </c>
      <c r="AA67" s="12" t="s">
        <v>81</v>
      </c>
      <c r="AB67" s="12" t="s">
        <v>81</v>
      </c>
      <c r="AC67" s="12" t="s">
        <v>81</v>
      </c>
      <c r="AD67" s="12" t="s">
        <v>81</v>
      </c>
      <c r="AE67" s="12" t="s">
        <v>81</v>
      </c>
      <c r="AF67" s="12" t="s">
        <v>81</v>
      </c>
      <c r="AG67" s="12" t="s">
        <v>81</v>
      </c>
      <c r="AH67" s="12" t="s">
        <v>81</v>
      </c>
      <c r="AI67" s="12" t="s">
        <v>81</v>
      </c>
      <c r="AJ67" s="12" t="s">
        <v>81</v>
      </c>
    </row>
    <row r="68" spans="2:36">
      <c r="B68" s="26" t="s">
        <v>104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</row>
    <row r="69" spans="2:36">
      <c r="B69" s="26" t="s">
        <v>105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</row>
    <row r="70" spans="2:36">
      <c r="B70" s="26" t="s">
        <v>106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</row>
    <row r="71" spans="2:36">
      <c r="B71" s="26" t="s">
        <v>107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</row>
    <row r="72" spans="2:36">
      <c r="B72" s="26" t="s">
        <v>108</v>
      </c>
      <c r="C72" s="12" t="s">
        <v>81</v>
      </c>
      <c r="D72" s="12" t="s">
        <v>81</v>
      </c>
      <c r="E72" s="12" t="s">
        <v>81</v>
      </c>
      <c r="F72" s="12" t="s">
        <v>81</v>
      </c>
      <c r="G72" s="12" t="s">
        <v>81</v>
      </c>
      <c r="H72" s="12" t="s">
        <v>81</v>
      </c>
      <c r="I72" s="12" t="s">
        <v>81</v>
      </c>
      <c r="J72" s="12" t="s">
        <v>81</v>
      </c>
      <c r="K72" s="12" t="s">
        <v>81</v>
      </c>
      <c r="L72" s="12" t="s">
        <v>81</v>
      </c>
      <c r="M72" s="12" t="s">
        <v>81</v>
      </c>
      <c r="N72" s="12" t="s">
        <v>81</v>
      </c>
      <c r="O72" s="12" t="s">
        <v>81</v>
      </c>
      <c r="P72" s="12" t="s">
        <v>81</v>
      </c>
      <c r="Q72" s="12" t="s">
        <v>81</v>
      </c>
      <c r="R72" s="12" t="s">
        <v>81</v>
      </c>
      <c r="S72" s="12" t="s">
        <v>81</v>
      </c>
      <c r="T72" s="12" t="s">
        <v>81</v>
      </c>
      <c r="U72" s="12" t="s">
        <v>81</v>
      </c>
      <c r="V72" s="12" t="s">
        <v>81</v>
      </c>
      <c r="W72" s="12" t="s">
        <v>81</v>
      </c>
      <c r="X72" s="12" t="s">
        <v>81</v>
      </c>
      <c r="Y72" s="12" t="s">
        <v>81</v>
      </c>
      <c r="Z72" s="12" t="s">
        <v>81</v>
      </c>
      <c r="AA72" s="12" t="s">
        <v>81</v>
      </c>
      <c r="AB72" s="12" t="s">
        <v>81</v>
      </c>
      <c r="AC72" s="12" t="s">
        <v>81</v>
      </c>
      <c r="AD72" s="12" t="s">
        <v>81</v>
      </c>
      <c r="AE72" s="12" t="s">
        <v>81</v>
      </c>
      <c r="AF72" s="12" t="s">
        <v>81</v>
      </c>
      <c r="AG72" s="12" t="s">
        <v>81</v>
      </c>
      <c r="AH72" s="12" t="s">
        <v>81</v>
      </c>
      <c r="AI72" s="12" t="s">
        <v>81</v>
      </c>
      <c r="AJ72" s="12" t="s">
        <v>81</v>
      </c>
    </row>
    <row r="73" spans="2:36">
      <c r="B73" s="25" t="s">
        <v>110</v>
      </c>
      <c r="C73" s="12" t="s">
        <v>230</v>
      </c>
      <c r="D73" s="12" t="s">
        <v>230</v>
      </c>
      <c r="E73" s="12" t="s">
        <v>230</v>
      </c>
      <c r="F73" s="12" t="s">
        <v>230</v>
      </c>
      <c r="G73" s="12" t="s">
        <v>230</v>
      </c>
      <c r="H73" s="12" t="s">
        <v>230</v>
      </c>
      <c r="I73" s="12" t="s">
        <v>230</v>
      </c>
      <c r="J73" s="12" t="s">
        <v>230</v>
      </c>
      <c r="K73" s="12" t="s">
        <v>230</v>
      </c>
      <c r="L73" s="12" t="s">
        <v>230</v>
      </c>
      <c r="M73" s="12" t="s">
        <v>230</v>
      </c>
      <c r="N73" s="12" t="s">
        <v>230</v>
      </c>
      <c r="O73" s="12" t="s">
        <v>230</v>
      </c>
      <c r="P73" s="12" t="s">
        <v>230</v>
      </c>
      <c r="Q73" s="12" t="s">
        <v>230</v>
      </c>
      <c r="R73" s="12" t="s">
        <v>230</v>
      </c>
      <c r="S73" s="12" t="s">
        <v>230</v>
      </c>
      <c r="T73" s="12" t="s">
        <v>230</v>
      </c>
      <c r="U73" s="12" t="s">
        <v>230</v>
      </c>
      <c r="V73" s="12" t="s">
        <v>230</v>
      </c>
      <c r="W73" s="12" t="s">
        <v>230</v>
      </c>
      <c r="X73" s="12" t="s">
        <v>230</v>
      </c>
      <c r="Y73" s="12" t="s">
        <v>230</v>
      </c>
      <c r="Z73" s="12" t="s">
        <v>230</v>
      </c>
      <c r="AA73" s="12" t="s">
        <v>230</v>
      </c>
      <c r="AB73" s="12" t="s">
        <v>230</v>
      </c>
      <c r="AC73" s="12" t="s">
        <v>230</v>
      </c>
      <c r="AD73" s="12" t="s">
        <v>230</v>
      </c>
      <c r="AE73" s="12" t="s">
        <v>230</v>
      </c>
      <c r="AF73" s="12" t="s">
        <v>230</v>
      </c>
      <c r="AG73" s="12" t="s">
        <v>230</v>
      </c>
      <c r="AH73" s="12" t="s">
        <v>230</v>
      </c>
      <c r="AI73" s="12" t="s">
        <v>230</v>
      </c>
      <c r="AJ73" s="12" t="s">
        <v>230</v>
      </c>
    </row>
    <row r="74" spans="2:36">
      <c r="B74" s="26" t="s">
        <v>111</v>
      </c>
      <c r="C74" s="12" t="s">
        <v>81</v>
      </c>
      <c r="D74" s="12" t="s">
        <v>81</v>
      </c>
      <c r="E74" s="12" t="s">
        <v>81</v>
      </c>
      <c r="F74" s="12" t="s">
        <v>81</v>
      </c>
      <c r="G74" s="12" t="s">
        <v>81</v>
      </c>
      <c r="H74" s="12" t="s">
        <v>81</v>
      </c>
      <c r="I74" s="12" t="s">
        <v>81</v>
      </c>
      <c r="J74" s="12" t="s">
        <v>81</v>
      </c>
      <c r="K74" s="12" t="s">
        <v>81</v>
      </c>
      <c r="L74" s="12" t="s">
        <v>81</v>
      </c>
      <c r="M74" s="12" t="s">
        <v>81</v>
      </c>
      <c r="N74" s="12" t="s">
        <v>81</v>
      </c>
      <c r="O74" s="12" t="s">
        <v>81</v>
      </c>
      <c r="P74" s="12" t="s">
        <v>81</v>
      </c>
      <c r="Q74" s="12" t="s">
        <v>81</v>
      </c>
      <c r="R74" s="12" t="s">
        <v>81</v>
      </c>
      <c r="S74" s="12" t="s">
        <v>81</v>
      </c>
      <c r="T74" s="12" t="s">
        <v>81</v>
      </c>
      <c r="U74" s="12" t="s">
        <v>81</v>
      </c>
      <c r="V74" s="12" t="s">
        <v>81</v>
      </c>
      <c r="W74" s="12" t="s">
        <v>81</v>
      </c>
      <c r="X74" s="12" t="s">
        <v>81</v>
      </c>
      <c r="Y74" s="12" t="s">
        <v>81</v>
      </c>
      <c r="Z74" s="12" t="s">
        <v>81</v>
      </c>
      <c r="AA74" s="12" t="s">
        <v>81</v>
      </c>
      <c r="AB74" s="12" t="s">
        <v>81</v>
      </c>
      <c r="AC74" s="12" t="s">
        <v>81</v>
      </c>
      <c r="AD74" s="12" t="s">
        <v>81</v>
      </c>
      <c r="AE74" s="12" t="s">
        <v>81</v>
      </c>
      <c r="AF74" s="12" t="s">
        <v>81</v>
      </c>
      <c r="AG74" s="12" t="s">
        <v>81</v>
      </c>
      <c r="AH74" s="12" t="s">
        <v>81</v>
      </c>
      <c r="AI74" s="12" t="s">
        <v>81</v>
      </c>
      <c r="AJ74" s="12" t="s">
        <v>81</v>
      </c>
    </row>
    <row r="75" spans="2:36">
      <c r="B75" s="26" t="s">
        <v>112</v>
      </c>
      <c r="C75" s="12" t="s">
        <v>81</v>
      </c>
      <c r="D75" s="12" t="s">
        <v>81</v>
      </c>
      <c r="E75" s="12" t="s">
        <v>81</v>
      </c>
      <c r="F75" s="12" t="s">
        <v>81</v>
      </c>
      <c r="G75" s="12" t="s">
        <v>81</v>
      </c>
      <c r="H75" s="12" t="s">
        <v>81</v>
      </c>
      <c r="I75" s="12" t="s">
        <v>81</v>
      </c>
      <c r="J75" s="12" t="s">
        <v>81</v>
      </c>
      <c r="K75" s="12" t="s">
        <v>81</v>
      </c>
      <c r="L75" s="12" t="s">
        <v>81</v>
      </c>
      <c r="M75" s="12" t="s">
        <v>81</v>
      </c>
      <c r="N75" s="12" t="s">
        <v>81</v>
      </c>
      <c r="O75" s="12" t="s">
        <v>81</v>
      </c>
      <c r="P75" s="12" t="s">
        <v>81</v>
      </c>
      <c r="Q75" s="12" t="s">
        <v>81</v>
      </c>
      <c r="R75" s="12" t="s">
        <v>81</v>
      </c>
      <c r="S75" s="12" t="s">
        <v>81</v>
      </c>
      <c r="T75" s="12" t="s">
        <v>81</v>
      </c>
      <c r="U75" s="12" t="s">
        <v>81</v>
      </c>
      <c r="V75" s="12" t="s">
        <v>81</v>
      </c>
      <c r="W75" s="12" t="s">
        <v>81</v>
      </c>
      <c r="X75" s="12" t="s">
        <v>81</v>
      </c>
      <c r="Y75" s="12" t="s">
        <v>81</v>
      </c>
      <c r="Z75" s="12" t="s">
        <v>81</v>
      </c>
      <c r="AA75" s="12" t="s">
        <v>81</v>
      </c>
      <c r="AB75" s="12" t="s">
        <v>81</v>
      </c>
      <c r="AC75" s="12" t="s">
        <v>81</v>
      </c>
      <c r="AD75" s="12" t="s">
        <v>81</v>
      </c>
      <c r="AE75" s="12" t="s">
        <v>81</v>
      </c>
      <c r="AF75" s="12" t="s">
        <v>81</v>
      </c>
      <c r="AG75" s="12" t="s">
        <v>81</v>
      </c>
      <c r="AH75" s="12" t="s">
        <v>81</v>
      </c>
      <c r="AI75" s="12" t="s">
        <v>81</v>
      </c>
      <c r="AJ75" s="12" t="s">
        <v>81</v>
      </c>
    </row>
    <row r="76" spans="2:36">
      <c r="B76" s="26" t="s">
        <v>113</v>
      </c>
      <c r="C76" s="12" t="s">
        <v>114</v>
      </c>
      <c r="D76" s="12" t="s">
        <v>114</v>
      </c>
      <c r="E76" s="12" t="s">
        <v>114</v>
      </c>
      <c r="F76" s="12" t="s">
        <v>114</v>
      </c>
      <c r="G76" s="12" t="s">
        <v>114</v>
      </c>
      <c r="H76" s="12" t="s">
        <v>114</v>
      </c>
      <c r="I76" s="12" t="s">
        <v>114</v>
      </c>
      <c r="J76" s="12" t="s">
        <v>114</v>
      </c>
      <c r="K76" s="12" t="s">
        <v>114</v>
      </c>
      <c r="L76" s="12" t="s">
        <v>114</v>
      </c>
      <c r="M76" s="12" t="s">
        <v>114</v>
      </c>
      <c r="N76" s="12" t="s">
        <v>114</v>
      </c>
      <c r="O76" s="12" t="s">
        <v>114</v>
      </c>
      <c r="P76" s="12" t="s">
        <v>114</v>
      </c>
      <c r="Q76" s="12" t="s">
        <v>114</v>
      </c>
      <c r="R76" s="12" t="s">
        <v>114</v>
      </c>
      <c r="S76" s="12" t="s">
        <v>114</v>
      </c>
      <c r="T76" s="12" t="s">
        <v>114</v>
      </c>
      <c r="U76" s="12" t="s">
        <v>114</v>
      </c>
      <c r="V76" s="12" t="s">
        <v>114</v>
      </c>
      <c r="W76" s="12" t="s">
        <v>114</v>
      </c>
      <c r="X76" s="12" t="s">
        <v>114</v>
      </c>
      <c r="Y76" s="12" t="s">
        <v>114</v>
      </c>
      <c r="Z76" s="12" t="s">
        <v>114</v>
      </c>
      <c r="AA76" s="12" t="s">
        <v>114</v>
      </c>
      <c r="AB76" s="12" t="s">
        <v>114</v>
      </c>
      <c r="AC76" s="12" t="s">
        <v>114</v>
      </c>
      <c r="AD76" s="12" t="s">
        <v>114</v>
      </c>
      <c r="AE76" s="12" t="s">
        <v>114</v>
      </c>
      <c r="AF76" s="12" t="s">
        <v>114</v>
      </c>
      <c r="AG76" s="12" t="s">
        <v>114</v>
      </c>
      <c r="AH76" s="12" t="s">
        <v>114</v>
      </c>
      <c r="AI76" s="12" t="s">
        <v>114</v>
      </c>
      <c r="AJ76" s="12" t="s">
        <v>114</v>
      </c>
    </row>
    <row r="77" spans="2:36">
      <c r="B77" s="25" t="s">
        <v>115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</row>
    <row r="78" spans="2:36">
      <c r="B78" s="28" t="s">
        <v>116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</row>
    <row r="79" spans="2:36">
      <c r="B79" s="29" t="s">
        <v>117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</row>
    <row r="80" spans="2:36">
      <c r="B80" s="29" t="s">
        <v>118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</row>
    <row r="81" spans="2:36">
      <c r="B81" s="29" t="s">
        <v>119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</row>
    <row r="82" spans="2:36">
      <c r="B82" s="29" t="s">
        <v>120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</row>
    <row r="83" spans="2:36">
      <c r="B83" s="29" t="s">
        <v>121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</row>
    <row r="84" spans="2:36">
      <c r="B84" s="29" t="s">
        <v>122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</row>
    <row r="85" spans="2:36">
      <c r="B85" s="28" t="s">
        <v>123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</row>
    <row r="86" spans="2:36">
      <c r="B86" s="29" t="s">
        <v>124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</row>
    <row r="87" spans="2:36">
      <c r="B87" s="29" t="s">
        <v>125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</row>
    <row r="88" spans="2:36">
      <c r="B88" s="29" t="s">
        <v>126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</row>
    <row r="89" spans="2:36">
      <c r="B89" s="28" t="s">
        <v>127</v>
      </c>
      <c r="C89" s="12" t="s">
        <v>81</v>
      </c>
      <c r="D89" s="12" t="s">
        <v>81</v>
      </c>
      <c r="E89" s="12" t="s">
        <v>81</v>
      </c>
      <c r="F89" s="12" t="s">
        <v>81</v>
      </c>
      <c r="G89" s="12" t="s">
        <v>81</v>
      </c>
      <c r="H89" s="12" t="s">
        <v>81</v>
      </c>
      <c r="I89" s="12" t="s">
        <v>81</v>
      </c>
      <c r="J89" s="12" t="s">
        <v>81</v>
      </c>
      <c r="K89" s="12" t="s">
        <v>81</v>
      </c>
      <c r="L89" s="12" t="s">
        <v>81</v>
      </c>
      <c r="M89" s="12" t="s">
        <v>81</v>
      </c>
      <c r="N89" s="12" t="s">
        <v>81</v>
      </c>
      <c r="O89" s="12" t="s">
        <v>81</v>
      </c>
      <c r="P89" s="12" t="s">
        <v>81</v>
      </c>
      <c r="Q89" s="12" t="s">
        <v>81</v>
      </c>
      <c r="R89" s="12" t="s">
        <v>81</v>
      </c>
      <c r="S89" s="12" t="s">
        <v>81</v>
      </c>
      <c r="T89" s="12" t="s">
        <v>81</v>
      </c>
      <c r="U89" s="12" t="s">
        <v>81</v>
      </c>
      <c r="V89" s="12" t="s">
        <v>81</v>
      </c>
      <c r="W89" s="12" t="s">
        <v>81</v>
      </c>
      <c r="X89" s="12" t="s">
        <v>81</v>
      </c>
      <c r="Y89" s="12" t="s">
        <v>81</v>
      </c>
      <c r="Z89" s="12" t="s">
        <v>81</v>
      </c>
      <c r="AA89" s="12" t="s">
        <v>81</v>
      </c>
      <c r="AB89" s="12" t="s">
        <v>81</v>
      </c>
      <c r="AC89" s="12" t="s">
        <v>81</v>
      </c>
      <c r="AD89" s="12" t="s">
        <v>81</v>
      </c>
      <c r="AE89" s="12" t="s">
        <v>81</v>
      </c>
      <c r="AF89" s="12" t="s">
        <v>81</v>
      </c>
      <c r="AG89" s="12" t="s">
        <v>81</v>
      </c>
      <c r="AH89" s="12" t="s">
        <v>81</v>
      </c>
      <c r="AI89" s="12" t="s">
        <v>81</v>
      </c>
      <c r="AJ89" s="12" t="s">
        <v>81</v>
      </c>
    </row>
    <row r="90" spans="2:36">
      <c r="B90" s="29" t="s">
        <v>128</v>
      </c>
      <c r="C90" s="12" t="s">
        <v>81</v>
      </c>
      <c r="D90" s="12" t="s">
        <v>81</v>
      </c>
      <c r="E90" s="12" t="s">
        <v>81</v>
      </c>
      <c r="F90" s="12" t="s">
        <v>81</v>
      </c>
      <c r="G90" s="12" t="s">
        <v>81</v>
      </c>
      <c r="H90" s="12" t="s">
        <v>81</v>
      </c>
      <c r="I90" s="12" t="s">
        <v>81</v>
      </c>
      <c r="J90" s="12" t="s">
        <v>81</v>
      </c>
      <c r="K90" s="12" t="s">
        <v>81</v>
      </c>
      <c r="L90" s="12" t="s">
        <v>81</v>
      </c>
      <c r="M90" s="12" t="s">
        <v>81</v>
      </c>
      <c r="N90" s="12" t="s">
        <v>81</v>
      </c>
      <c r="O90" s="12" t="s">
        <v>81</v>
      </c>
      <c r="P90" s="12" t="s">
        <v>81</v>
      </c>
      <c r="Q90" s="12" t="s">
        <v>81</v>
      </c>
      <c r="R90" s="12" t="s">
        <v>81</v>
      </c>
      <c r="S90" s="12" t="s">
        <v>81</v>
      </c>
      <c r="T90" s="12" t="s">
        <v>81</v>
      </c>
      <c r="U90" s="12" t="s">
        <v>81</v>
      </c>
      <c r="V90" s="12" t="s">
        <v>81</v>
      </c>
      <c r="W90" s="12" t="s">
        <v>81</v>
      </c>
      <c r="X90" s="12" t="s">
        <v>81</v>
      </c>
      <c r="Y90" s="12" t="s">
        <v>81</v>
      </c>
      <c r="Z90" s="12" t="s">
        <v>81</v>
      </c>
      <c r="AA90" s="12" t="s">
        <v>81</v>
      </c>
      <c r="AB90" s="12" t="s">
        <v>81</v>
      </c>
      <c r="AC90" s="12" t="s">
        <v>81</v>
      </c>
      <c r="AD90" s="12" t="s">
        <v>81</v>
      </c>
      <c r="AE90" s="12" t="s">
        <v>81</v>
      </c>
      <c r="AF90" s="12" t="s">
        <v>81</v>
      </c>
      <c r="AG90" s="12" t="s">
        <v>81</v>
      </c>
      <c r="AH90" s="12" t="s">
        <v>81</v>
      </c>
      <c r="AI90" s="12" t="s">
        <v>81</v>
      </c>
      <c r="AJ90" s="12" t="s">
        <v>81</v>
      </c>
    </row>
    <row r="91" spans="2:36">
      <c r="B91" s="29" t="s">
        <v>129</v>
      </c>
      <c r="C91" s="12" t="s">
        <v>81</v>
      </c>
      <c r="D91" s="12" t="s">
        <v>81</v>
      </c>
      <c r="E91" s="12" t="s">
        <v>81</v>
      </c>
      <c r="F91" s="12" t="s">
        <v>81</v>
      </c>
      <c r="G91" s="12" t="s">
        <v>81</v>
      </c>
      <c r="H91" s="12" t="s">
        <v>81</v>
      </c>
      <c r="I91" s="12" t="s">
        <v>81</v>
      </c>
      <c r="J91" s="12" t="s">
        <v>81</v>
      </c>
      <c r="K91" s="12" t="s">
        <v>81</v>
      </c>
      <c r="L91" s="12" t="s">
        <v>81</v>
      </c>
      <c r="M91" s="12" t="s">
        <v>81</v>
      </c>
      <c r="N91" s="12" t="s">
        <v>81</v>
      </c>
      <c r="O91" s="12" t="s">
        <v>81</v>
      </c>
      <c r="P91" s="12" t="s">
        <v>81</v>
      </c>
      <c r="Q91" s="12" t="s">
        <v>81</v>
      </c>
      <c r="R91" s="12" t="s">
        <v>81</v>
      </c>
      <c r="S91" s="12" t="s">
        <v>81</v>
      </c>
      <c r="T91" s="12" t="s">
        <v>81</v>
      </c>
      <c r="U91" s="12" t="s">
        <v>81</v>
      </c>
      <c r="V91" s="12" t="s">
        <v>81</v>
      </c>
      <c r="W91" s="12" t="s">
        <v>81</v>
      </c>
      <c r="X91" s="12" t="s">
        <v>81</v>
      </c>
      <c r="Y91" s="12" t="s">
        <v>81</v>
      </c>
      <c r="Z91" s="12" t="s">
        <v>81</v>
      </c>
      <c r="AA91" s="12" t="s">
        <v>81</v>
      </c>
      <c r="AB91" s="12" t="s">
        <v>81</v>
      </c>
      <c r="AC91" s="12" t="s">
        <v>81</v>
      </c>
      <c r="AD91" s="12" t="s">
        <v>81</v>
      </c>
      <c r="AE91" s="12" t="s">
        <v>81</v>
      </c>
      <c r="AF91" s="12" t="s">
        <v>81</v>
      </c>
      <c r="AG91" s="12" t="s">
        <v>81</v>
      </c>
      <c r="AH91" s="12" t="s">
        <v>81</v>
      </c>
      <c r="AI91" s="12" t="s">
        <v>81</v>
      </c>
      <c r="AJ91" s="12" t="s">
        <v>81</v>
      </c>
    </row>
    <row r="92" spans="2:36">
      <c r="B92" s="29" t="s">
        <v>130</v>
      </c>
      <c r="C92" s="12" t="s">
        <v>81</v>
      </c>
      <c r="D92" s="12" t="s">
        <v>81</v>
      </c>
      <c r="E92" s="12" t="s">
        <v>81</v>
      </c>
      <c r="F92" s="12" t="s">
        <v>81</v>
      </c>
      <c r="G92" s="12" t="s">
        <v>81</v>
      </c>
      <c r="H92" s="12" t="s">
        <v>81</v>
      </c>
      <c r="I92" s="12" t="s">
        <v>81</v>
      </c>
      <c r="J92" s="12" t="s">
        <v>81</v>
      </c>
      <c r="K92" s="12" t="s">
        <v>81</v>
      </c>
      <c r="L92" s="12" t="s">
        <v>81</v>
      </c>
      <c r="M92" s="12" t="s">
        <v>81</v>
      </c>
      <c r="N92" s="12" t="s">
        <v>81</v>
      </c>
      <c r="O92" s="12" t="s">
        <v>81</v>
      </c>
      <c r="P92" s="12" t="s">
        <v>81</v>
      </c>
      <c r="Q92" s="12" t="s">
        <v>81</v>
      </c>
      <c r="R92" s="12" t="s">
        <v>81</v>
      </c>
      <c r="S92" s="12" t="s">
        <v>81</v>
      </c>
      <c r="T92" s="12" t="s">
        <v>81</v>
      </c>
      <c r="U92" s="12" t="s">
        <v>81</v>
      </c>
      <c r="V92" s="12" t="s">
        <v>81</v>
      </c>
      <c r="W92" s="12" t="s">
        <v>81</v>
      </c>
      <c r="X92" s="12" t="s">
        <v>81</v>
      </c>
      <c r="Y92" s="12" t="s">
        <v>81</v>
      </c>
      <c r="Z92" s="12" t="s">
        <v>81</v>
      </c>
      <c r="AA92" s="12" t="s">
        <v>81</v>
      </c>
      <c r="AB92" s="12" t="s">
        <v>81</v>
      </c>
      <c r="AC92" s="12" t="s">
        <v>81</v>
      </c>
      <c r="AD92" s="12" t="s">
        <v>81</v>
      </c>
      <c r="AE92" s="12" t="s">
        <v>81</v>
      </c>
      <c r="AF92" s="12" t="s">
        <v>81</v>
      </c>
      <c r="AG92" s="12" t="s">
        <v>81</v>
      </c>
      <c r="AH92" s="12" t="s">
        <v>81</v>
      </c>
      <c r="AI92" s="12" t="s">
        <v>81</v>
      </c>
      <c r="AJ92" s="12" t="s">
        <v>81</v>
      </c>
    </row>
    <row r="93" spans="2:36">
      <c r="B93" s="24" t="s">
        <v>131</v>
      </c>
      <c r="C93" s="15">
        <v>19813.3</v>
      </c>
      <c r="D93" s="15">
        <v>19954.46</v>
      </c>
      <c r="E93" s="15">
        <v>20043.78</v>
      </c>
      <c r="F93" s="15">
        <v>20282.75</v>
      </c>
      <c r="G93" s="15">
        <v>20267.990000000002</v>
      </c>
      <c r="H93" s="15">
        <v>20226.55</v>
      </c>
      <c r="I93" s="15">
        <v>20413.990000000002</v>
      </c>
      <c r="J93" s="15">
        <v>20355.46</v>
      </c>
      <c r="K93" s="15">
        <v>20357.09</v>
      </c>
      <c r="L93" s="15">
        <v>19629.77</v>
      </c>
      <c r="M93" s="15">
        <v>19340.7</v>
      </c>
      <c r="N93" s="15">
        <v>19143.11</v>
      </c>
      <c r="O93" s="15">
        <v>19094.259999999998</v>
      </c>
      <c r="P93" s="15">
        <v>18949.240000000002</v>
      </c>
      <c r="Q93" s="15">
        <v>18786.8</v>
      </c>
      <c r="R93" s="15">
        <v>18619.7</v>
      </c>
      <c r="S93" s="15">
        <v>18700.32</v>
      </c>
      <c r="T93" s="15">
        <v>18847.400000000001</v>
      </c>
      <c r="U93" s="15">
        <v>18887.21</v>
      </c>
      <c r="V93" s="15">
        <v>19112.87</v>
      </c>
      <c r="W93" s="15">
        <v>19423.61</v>
      </c>
      <c r="X93" s="15">
        <v>18489.61</v>
      </c>
      <c r="Y93" s="15">
        <v>18810.810000000001</v>
      </c>
      <c r="Z93" s="15">
        <v>18607.490000000002</v>
      </c>
      <c r="AA93" s="15">
        <v>18665.259999999998</v>
      </c>
      <c r="AB93" s="15">
        <v>18327.38</v>
      </c>
      <c r="AC93" s="15">
        <v>18276.060000000001</v>
      </c>
      <c r="AD93" s="15">
        <v>18326.68</v>
      </c>
      <c r="AE93" s="15">
        <v>18034.96</v>
      </c>
      <c r="AF93" s="15">
        <v>17716.03</v>
      </c>
      <c r="AG93" s="15">
        <v>17520.28</v>
      </c>
      <c r="AH93" s="15">
        <v>17469.45</v>
      </c>
      <c r="AI93" s="15">
        <v>17324.21</v>
      </c>
      <c r="AJ93" s="15">
        <v>17108.080000000002</v>
      </c>
    </row>
    <row r="94" spans="2:36">
      <c r="B94" s="25" t="s">
        <v>132</v>
      </c>
      <c r="C94" s="12">
        <v>3727.75</v>
      </c>
      <c r="D94" s="12">
        <v>3960.56</v>
      </c>
      <c r="E94" s="12">
        <v>4282.79</v>
      </c>
      <c r="F94" s="12">
        <v>4759.76</v>
      </c>
      <c r="G94" s="12">
        <v>5040.46</v>
      </c>
      <c r="H94" s="12">
        <v>5265.81</v>
      </c>
      <c r="I94" s="12">
        <v>5677.54</v>
      </c>
      <c r="J94" s="12">
        <v>5725.22</v>
      </c>
      <c r="K94" s="12">
        <v>5525.6</v>
      </c>
      <c r="L94" s="12">
        <v>4779.29</v>
      </c>
      <c r="M94" s="12">
        <v>4318.41</v>
      </c>
      <c r="N94" s="12">
        <v>4007.05</v>
      </c>
      <c r="O94" s="12">
        <v>3929.82</v>
      </c>
      <c r="P94" s="12">
        <v>3928.32</v>
      </c>
      <c r="Q94" s="12">
        <v>4110.03</v>
      </c>
      <c r="R94" s="12">
        <v>4235.3999999999996</v>
      </c>
      <c r="S94" s="12">
        <v>4456.1099999999997</v>
      </c>
      <c r="T94" s="12">
        <v>4686.7700000000004</v>
      </c>
      <c r="U94" s="12">
        <v>4965.38</v>
      </c>
      <c r="V94" s="12">
        <v>5229.32</v>
      </c>
      <c r="W94" s="12">
        <v>5618.12</v>
      </c>
      <c r="X94" s="12">
        <v>5628.92</v>
      </c>
      <c r="Y94" s="12">
        <v>5846.17</v>
      </c>
      <c r="Z94" s="12">
        <v>5846.63</v>
      </c>
      <c r="AA94" s="12">
        <v>6069.67</v>
      </c>
      <c r="AB94" s="12">
        <v>5798.63</v>
      </c>
      <c r="AC94" s="12">
        <v>5756.19</v>
      </c>
      <c r="AD94" s="12">
        <v>5857.44</v>
      </c>
      <c r="AE94" s="12">
        <v>5937.85</v>
      </c>
      <c r="AF94" s="12">
        <v>6085.7</v>
      </c>
      <c r="AG94" s="12">
        <v>6286.29</v>
      </c>
      <c r="AH94" s="12">
        <v>6517.49</v>
      </c>
      <c r="AI94" s="12">
        <v>6701.04</v>
      </c>
      <c r="AJ94" s="12">
        <v>6738.79</v>
      </c>
    </row>
    <row r="95" spans="2:36">
      <c r="B95" s="26" t="s">
        <v>133</v>
      </c>
      <c r="C95" s="12">
        <v>3538.66</v>
      </c>
      <c r="D95" s="12">
        <v>3741.35</v>
      </c>
      <c r="E95" s="12">
        <v>4027.18</v>
      </c>
      <c r="F95" s="12">
        <v>4475.7</v>
      </c>
      <c r="G95" s="12">
        <v>4734.91</v>
      </c>
      <c r="H95" s="12">
        <v>4934.49</v>
      </c>
      <c r="I95" s="12">
        <v>5328.3</v>
      </c>
      <c r="J95" s="12">
        <v>5359.15</v>
      </c>
      <c r="K95" s="12">
        <v>5140.3999999999996</v>
      </c>
      <c r="L95" s="12">
        <v>4397.3900000000003</v>
      </c>
      <c r="M95" s="12">
        <v>3923.54</v>
      </c>
      <c r="N95" s="12">
        <v>3604.54</v>
      </c>
      <c r="O95" s="12">
        <v>3518.33</v>
      </c>
      <c r="P95" s="12">
        <v>3508.63</v>
      </c>
      <c r="Q95" s="12">
        <v>3694.39</v>
      </c>
      <c r="R95" s="12">
        <v>3820.87</v>
      </c>
      <c r="S95" s="12">
        <v>4037.93</v>
      </c>
      <c r="T95" s="12">
        <v>4275.41</v>
      </c>
      <c r="U95" s="12">
        <v>4588.7700000000004</v>
      </c>
      <c r="V95" s="12">
        <v>4861.3500000000004</v>
      </c>
      <c r="W95" s="12">
        <v>5245.01</v>
      </c>
      <c r="X95" s="12">
        <v>5320.37</v>
      </c>
      <c r="Y95" s="12">
        <v>5492.54</v>
      </c>
      <c r="Z95" s="12">
        <v>5487.21</v>
      </c>
      <c r="AA95" s="12">
        <v>5717.77</v>
      </c>
      <c r="AB95" s="12">
        <v>5444.62</v>
      </c>
      <c r="AC95" s="12">
        <v>5391.8</v>
      </c>
      <c r="AD95" s="12">
        <v>5463.21</v>
      </c>
      <c r="AE95" s="12">
        <v>5530.19</v>
      </c>
      <c r="AF95" s="12">
        <v>5670.53</v>
      </c>
      <c r="AG95" s="12">
        <v>5871.88</v>
      </c>
      <c r="AH95" s="12">
        <v>6108.51</v>
      </c>
      <c r="AI95" s="12">
        <v>6301.51</v>
      </c>
      <c r="AJ95" s="12">
        <v>6346.3</v>
      </c>
    </row>
    <row r="96" spans="2:36">
      <c r="B96" s="26" t="s">
        <v>134</v>
      </c>
      <c r="C96" s="12">
        <v>0.46</v>
      </c>
      <c r="D96" s="12">
        <v>0.47</v>
      </c>
      <c r="E96" s="12">
        <v>0.49</v>
      </c>
      <c r="F96" s="12">
        <v>0.43</v>
      </c>
      <c r="G96" s="12">
        <v>0.35</v>
      </c>
      <c r="H96" s="12">
        <v>0.24</v>
      </c>
      <c r="I96" s="12">
        <v>0.22</v>
      </c>
      <c r="J96" s="12">
        <v>0.22</v>
      </c>
      <c r="K96" s="12">
        <v>0.2</v>
      </c>
      <c r="L96" s="12">
        <v>0.18</v>
      </c>
      <c r="M96" s="12">
        <v>0.15</v>
      </c>
      <c r="N96" s="12">
        <v>0.13</v>
      </c>
      <c r="O96" s="12">
        <v>0.11</v>
      </c>
      <c r="P96" s="12">
        <v>0.12</v>
      </c>
      <c r="Q96" s="12">
        <v>0.13</v>
      </c>
      <c r="R96" s="12">
        <v>0.15</v>
      </c>
      <c r="S96" s="12">
        <v>0.17</v>
      </c>
      <c r="T96" s="12">
        <v>0.2</v>
      </c>
      <c r="U96" s="12">
        <v>0.28000000000000003</v>
      </c>
      <c r="V96" s="12">
        <v>0.37</v>
      </c>
      <c r="W96" s="12">
        <v>0.61</v>
      </c>
      <c r="X96" s="12">
        <v>0.61</v>
      </c>
      <c r="Y96" s="12">
        <v>0.6</v>
      </c>
      <c r="Z96" s="12">
        <v>0.4</v>
      </c>
      <c r="AA96" s="12">
        <v>0.36</v>
      </c>
      <c r="AB96" s="12">
        <v>0.37</v>
      </c>
      <c r="AC96" s="12">
        <v>0.32</v>
      </c>
      <c r="AD96" s="12">
        <v>0.34</v>
      </c>
      <c r="AE96" s="12">
        <v>0.32</v>
      </c>
      <c r="AF96" s="12">
        <v>0.35</v>
      </c>
      <c r="AG96" s="12">
        <v>0.33</v>
      </c>
      <c r="AH96" s="12">
        <v>0.31</v>
      </c>
      <c r="AI96" s="12">
        <v>0.3</v>
      </c>
      <c r="AJ96" s="12">
        <v>0.28000000000000003</v>
      </c>
    </row>
    <row r="97" spans="2:36">
      <c r="B97" s="26" t="s">
        <v>135</v>
      </c>
      <c r="C97" s="12">
        <v>137.33000000000001</v>
      </c>
      <c r="D97" s="12">
        <v>153</v>
      </c>
      <c r="E97" s="12">
        <v>168.59</v>
      </c>
      <c r="F97" s="12">
        <v>176.35</v>
      </c>
      <c r="G97" s="12">
        <v>180.78</v>
      </c>
      <c r="H97" s="12">
        <v>192.53</v>
      </c>
      <c r="I97" s="12">
        <v>198.44</v>
      </c>
      <c r="J97" s="12">
        <v>207.61</v>
      </c>
      <c r="K97" s="12">
        <v>226.09</v>
      </c>
      <c r="L97" s="12">
        <v>225.02</v>
      </c>
      <c r="M97" s="12">
        <v>240.51</v>
      </c>
      <c r="N97" s="12">
        <v>248.57</v>
      </c>
      <c r="O97" s="12">
        <v>257.02</v>
      </c>
      <c r="P97" s="12">
        <v>263.74</v>
      </c>
      <c r="Q97" s="12">
        <v>257.97000000000003</v>
      </c>
      <c r="R97" s="12">
        <v>257.33</v>
      </c>
      <c r="S97" s="12">
        <v>267.08</v>
      </c>
      <c r="T97" s="12">
        <v>273.89</v>
      </c>
      <c r="U97" s="12">
        <v>258.51</v>
      </c>
      <c r="V97" s="12">
        <v>265.48</v>
      </c>
      <c r="W97" s="12">
        <v>281.62</v>
      </c>
      <c r="X97" s="12">
        <v>222.67</v>
      </c>
      <c r="Y97" s="12">
        <v>272.27</v>
      </c>
      <c r="Z97" s="12">
        <v>282.79000000000002</v>
      </c>
      <c r="AA97" s="12">
        <v>278.55</v>
      </c>
      <c r="AB97" s="12">
        <v>284.13</v>
      </c>
      <c r="AC97" s="12">
        <v>291.83</v>
      </c>
      <c r="AD97" s="12">
        <v>316.24</v>
      </c>
      <c r="AE97" s="12">
        <v>317.26</v>
      </c>
      <c r="AF97" s="12">
        <v>315.3</v>
      </c>
      <c r="AG97" s="12">
        <v>310.32</v>
      </c>
      <c r="AH97" s="12">
        <v>310.3</v>
      </c>
      <c r="AI97" s="12">
        <v>308.36</v>
      </c>
      <c r="AJ97" s="12">
        <v>305.92</v>
      </c>
    </row>
    <row r="98" spans="2:36">
      <c r="B98" s="26" t="s">
        <v>136</v>
      </c>
      <c r="C98" s="12">
        <v>51.3</v>
      </c>
      <c r="D98" s="12">
        <v>65.739999999999995</v>
      </c>
      <c r="E98" s="12">
        <v>86.53</v>
      </c>
      <c r="F98" s="12">
        <v>107.27</v>
      </c>
      <c r="G98" s="12">
        <v>124.42</v>
      </c>
      <c r="H98" s="12">
        <v>138.55000000000001</v>
      </c>
      <c r="I98" s="12">
        <v>150.57</v>
      </c>
      <c r="J98" s="12">
        <v>158.24</v>
      </c>
      <c r="K98" s="12">
        <v>158.91</v>
      </c>
      <c r="L98" s="12">
        <v>156.69999999999999</v>
      </c>
      <c r="M98" s="12">
        <v>154.21</v>
      </c>
      <c r="N98" s="12">
        <v>153.81</v>
      </c>
      <c r="O98" s="12">
        <v>154.35</v>
      </c>
      <c r="P98" s="12">
        <v>155.83000000000001</v>
      </c>
      <c r="Q98" s="12">
        <v>157.54</v>
      </c>
      <c r="R98" s="12">
        <v>157.05000000000001</v>
      </c>
      <c r="S98" s="12">
        <v>150.94</v>
      </c>
      <c r="T98" s="12">
        <v>137.27000000000001</v>
      </c>
      <c r="U98" s="12">
        <v>117.82</v>
      </c>
      <c r="V98" s="12">
        <v>102.12</v>
      </c>
      <c r="W98" s="12">
        <v>90.88</v>
      </c>
      <c r="X98" s="12">
        <v>85.27</v>
      </c>
      <c r="Y98" s="12">
        <v>80.760000000000005</v>
      </c>
      <c r="Z98" s="12">
        <v>76.23</v>
      </c>
      <c r="AA98" s="12">
        <v>73</v>
      </c>
      <c r="AB98" s="12">
        <v>69.5</v>
      </c>
      <c r="AC98" s="12">
        <v>72.23</v>
      </c>
      <c r="AD98" s="12">
        <v>77.64</v>
      </c>
      <c r="AE98" s="12">
        <v>90.08</v>
      </c>
      <c r="AF98" s="12">
        <v>99.53</v>
      </c>
      <c r="AG98" s="12">
        <v>103.76</v>
      </c>
      <c r="AH98" s="12">
        <v>98.37</v>
      </c>
      <c r="AI98" s="12">
        <v>90.88</v>
      </c>
      <c r="AJ98" s="12">
        <v>86.3</v>
      </c>
    </row>
    <row r="99" spans="2:36">
      <c r="B99" s="25" t="s">
        <v>137</v>
      </c>
      <c r="C99" s="12">
        <v>1968.29</v>
      </c>
      <c r="D99" s="12">
        <v>2077.35</v>
      </c>
      <c r="E99" s="12">
        <v>2214.64</v>
      </c>
      <c r="F99" s="12">
        <v>2354.3200000000002</v>
      </c>
      <c r="G99" s="12">
        <v>2437.79</v>
      </c>
      <c r="H99" s="12">
        <v>2522.77</v>
      </c>
      <c r="I99" s="12">
        <v>2601.35</v>
      </c>
      <c r="J99" s="12">
        <v>2662.34</v>
      </c>
      <c r="K99" s="12">
        <v>2839.51</v>
      </c>
      <c r="L99" s="12">
        <v>2805.77</v>
      </c>
      <c r="M99" s="12">
        <v>2939.45</v>
      </c>
      <c r="N99" s="12">
        <v>3026.41</v>
      </c>
      <c r="O99" s="12">
        <v>3109.7</v>
      </c>
      <c r="P99" s="12">
        <v>3151.6</v>
      </c>
      <c r="Q99" s="12">
        <v>3073.22</v>
      </c>
      <c r="R99" s="12">
        <v>3037.7</v>
      </c>
      <c r="S99" s="12">
        <v>3090.46</v>
      </c>
      <c r="T99" s="12">
        <v>3147.22</v>
      </c>
      <c r="U99" s="12">
        <v>3040</v>
      </c>
      <c r="V99" s="12">
        <v>3089.72</v>
      </c>
      <c r="W99" s="12">
        <v>3211.95</v>
      </c>
      <c r="X99" s="12">
        <v>2641.32</v>
      </c>
      <c r="Y99" s="12">
        <v>3115.76</v>
      </c>
      <c r="Z99" s="12">
        <v>3248.27</v>
      </c>
      <c r="AA99" s="12">
        <v>3231.54</v>
      </c>
      <c r="AB99" s="12">
        <v>3286.46</v>
      </c>
      <c r="AC99" s="12">
        <v>3335.31</v>
      </c>
      <c r="AD99" s="12">
        <v>3507.57</v>
      </c>
      <c r="AE99" s="12">
        <v>3539.92</v>
      </c>
      <c r="AF99" s="12">
        <v>3546.66</v>
      </c>
      <c r="AG99" s="12">
        <v>3510.84</v>
      </c>
      <c r="AH99" s="12">
        <v>3512.12</v>
      </c>
      <c r="AI99" s="12">
        <v>3490.12</v>
      </c>
      <c r="AJ99" s="12">
        <v>3478.13</v>
      </c>
    </row>
    <row r="100" spans="2:36">
      <c r="B100" s="26" t="s">
        <v>133</v>
      </c>
      <c r="C100" s="12">
        <v>855.71</v>
      </c>
      <c r="D100" s="12">
        <v>860.38</v>
      </c>
      <c r="E100" s="12">
        <v>864.58</v>
      </c>
      <c r="F100" s="12">
        <v>934.1</v>
      </c>
      <c r="G100" s="12">
        <v>968</v>
      </c>
      <c r="H100" s="12">
        <v>963.7</v>
      </c>
      <c r="I100" s="12">
        <v>982.99</v>
      </c>
      <c r="J100" s="12">
        <v>969.14</v>
      </c>
      <c r="K100" s="12">
        <v>975.7</v>
      </c>
      <c r="L100" s="12">
        <v>926.62</v>
      </c>
      <c r="M100" s="12">
        <v>927.42</v>
      </c>
      <c r="N100" s="12">
        <v>927.17</v>
      </c>
      <c r="O100" s="12">
        <v>925.15</v>
      </c>
      <c r="P100" s="12">
        <v>908.01</v>
      </c>
      <c r="Q100" s="12">
        <v>868.18</v>
      </c>
      <c r="R100" s="12">
        <v>841.7</v>
      </c>
      <c r="S100" s="12">
        <v>820.1</v>
      </c>
      <c r="T100" s="12">
        <v>801.67</v>
      </c>
      <c r="U100" s="12">
        <v>791.95</v>
      </c>
      <c r="V100" s="12">
        <v>790.91</v>
      </c>
      <c r="W100" s="12">
        <v>786.78</v>
      </c>
      <c r="X100" s="12">
        <v>735.74</v>
      </c>
      <c r="Y100" s="12">
        <v>756.19</v>
      </c>
      <c r="Z100" s="12">
        <v>767.86</v>
      </c>
      <c r="AA100" s="12">
        <v>800.78</v>
      </c>
      <c r="AB100" s="12">
        <v>784.94</v>
      </c>
      <c r="AC100" s="12">
        <v>765.74</v>
      </c>
      <c r="AD100" s="12">
        <v>754.26</v>
      </c>
      <c r="AE100" s="12">
        <v>747.16</v>
      </c>
      <c r="AF100" s="12">
        <v>747.4</v>
      </c>
      <c r="AG100" s="12">
        <v>756.86</v>
      </c>
      <c r="AH100" s="12">
        <v>751.21</v>
      </c>
      <c r="AI100" s="12">
        <v>738.5</v>
      </c>
      <c r="AJ100" s="12">
        <v>729.11</v>
      </c>
    </row>
    <row r="101" spans="2:36">
      <c r="B101" s="26" t="s">
        <v>134</v>
      </c>
      <c r="C101" s="12">
        <v>0.01</v>
      </c>
      <c r="D101" s="12">
        <v>0.01</v>
      </c>
      <c r="E101" s="12">
        <v>0.01</v>
      </c>
      <c r="F101" s="12">
        <v>0.01</v>
      </c>
      <c r="G101" s="12">
        <v>0.01</v>
      </c>
      <c r="H101" s="12">
        <v>5.0000000000000001E-3</v>
      </c>
      <c r="I101" s="12">
        <v>4.0000000000000001E-3</v>
      </c>
      <c r="J101" s="12">
        <v>4.0000000000000001E-3</v>
      </c>
      <c r="K101" s="12">
        <v>4.0000000000000001E-3</v>
      </c>
      <c r="L101" s="12">
        <v>4.0000000000000001E-3</v>
      </c>
      <c r="M101" s="12">
        <v>3.0000000000000001E-3</v>
      </c>
      <c r="N101" s="12">
        <v>3.0000000000000001E-3</v>
      </c>
      <c r="O101" s="12">
        <v>2E-3</v>
      </c>
      <c r="P101" s="12">
        <v>2E-3</v>
      </c>
      <c r="Q101" s="12">
        <v>3.0000000000000001E-3</v>
      </c>
      <c r="R101" s="12">
        <v>3.0000000000000001E-3</v>
      </c>
      <c r="S101" s="12">
        <v>3.0000000000000001E-3</v>
      </c>
      <c r="T101" s="12">
        <v>4.0000000000000001E-3</v>
      </c>
      <c r="U101" s="12">
        <v>0.01</v>
      </c>
      <c r="V101" s="12">
        <v>0.01</v>
      </c>
      <c r="W101" s="12">
        <v>0.01</v>
      </c>
      <c r="X101" s="12">
        <v>0.01</v>
      </c>
      <c r="Y101" s="12">
        <v>0.01</v>
      </c>
      <c r="Z101" s="12">
        <v>0.01</v>
      </c>
      <c r="AA101" s="12">
        <v>0.01</v>
      </c>
      <c r="AB101" s="12">
        <v>0.01</v>
      </c>
      <c r="AC101" s="12">
        <v>0.01</v>
      </c>
      <c r="AD101" s="12">
        <v>0.01</v>
      </c>
      <c r="AE101" s="12">
        <v>0.01</v>
      </c>
      <c r="AF101" s="12">
        <v>0.01</v>
      </c>
      <c r="AG101" s="12">
        <v>0.01</v>
      </c>
      <c r="AH101" s="12">
        <v>0.01</v>
      </c>
      <c r="AI101" s="12">
        <v>0.01</v>
      </c>
      <c r="AJ101" s="12">
        <v>0.01</v>
      </c>
    </row>
    <row r="102" spans="2:36">
      <c r="B102" s="26" t="s">
        <v>135</v>
      </c>
      <c r="C102" s="12">
        <v>1061.72</v>
      </c>
      <c r="D102" s="12">
        <v>1160.79</v>
      </c>
      <c r="E102" s="12">
        <v>1292.3699999999999</v>
      </c>
      <c r="F102" s="12">
        <v>1362.65</v>
      </c>
      <c r="G102" s="12">
        <v>1410.7</v>
      </c>
      <c r="H102" s="12">
        <v>1493.89</v>
      </c>
      <c r="I102" s="12">
        <v>1550.81</v>
      </c>
      <c r="J102" s="12">
        <v>1624.11</v>
      </c>
      <c r="K102" s="12">
        <v>1797.96</v>
      </c>
      <c r="L102" s="12">
        <v>1805.85</v>
      </c>
      <c r="M102" s="12">
        <v>1934.86</v>
      </c>
      <c r="N102" s="12">
        <v>2019.36</v>
      </c>
      <c r="O102" s="12">
        <v>2101.7199999999998</v>
      </c>
      <c r="P102" s="12">
        <v>2164.2199999999998</v>
      </c>
      <c r="Q102" s="12">
        <v>2125.39</v>
      </c>
      <c r="R102" s="12">
        <v>2104.08</v>
      </c>
      <c r="S102" s="12">
        <v>2176.4499999999998</v>
      </c>
      <c r="T102" s="12">
        <v>2249.44</v>
      </c>
      <c r="U102" s="12">
        <v>2151.81</v>
      </c>
      <c r="V102" s="12">
        <v>2191.7399999999998</v>
      </c>
      <c r="W102" s="12">
        <v>2313.9499999999998</v>
      </c>
      <c r="X102" s="12">
        <v>1793.83</v>
      </c>
      <c r="Y102" s="12">
        <v>2249.69</v>
      </c>
      <c r="Z102" s="12">
        <v>2371.2199999999998</v>
      </c>
      <c r="AA102" s="12">
        <v>2317.83</v>
      </c>
      <c r="AB102" s="12">
        <v>2379.4499999999998</v>
      </c>
      <c r="AC102" s="12">
        <v>2448.67</v>
      </c>
      <c r="AD102" s="12">
        <v>2639.97</v>
      </c>
      <c r="AE102" s="12">
        <v>2667.4</v>
      </c>
      <c r="AF102" s="12">
        <v>2670.52</v>
      </c>
      <c r="AG102" s="12">
        <v>2624.09</v>
      </c>
      <c r="AH102" s="12">
        <v>2638.36</v>
      </c>
      <c r="AI102" s="12">
        <v>2625.64</v>
      </c>
      <c r="AJ102" s="12">
        <v>2620.2600000000002</v>
      </c>
    </row>
    <row r="103" spans="2:36">
      <c r="B103" s="26" t="s">
        <v>136</v>
      </c>
      <c r="C103" s="12">
        <v>50.85</v>
      </c>
      <c r="D103" s="12">
        <v>56.17</v>
      </c>
      <c r="E103" s="12">
        <v>57.68</v>
      </c>
      <c r="F103" s="12">
        <v>57.57</v>
      </c>
      <c r="G103" s="12">
        <v>59.08</v>
      </c>
      <c r="H103" s="12">
        <v>65.17</v>
      </c>
      <c r="I103" s="12">
        <v>67.55</v>
      </c>
      <c r="J103" s="12">
        <v>69.08</v>
      </c>
      <c r="K103" s="12">
        <v>65.84</v>
      </c>
      <c r="L103" s="12">
        <v>73.3</v>
      </c>
      <c r="M103" s="12">
        <v>77.17</v>
      </c>
      <c r="N103" s="12">
        <v>79.88</v>
      </c>
      <c r="O103" s="12">
        <v>82.83</v>
      </c>
      <c r="P103" s="12">
        <v>79.37</v>
      </c>
      <c r="Q103" s="12">
        <v>79.650000000000006</v>
      </c>
      <c r="R103" s="12">
        <v>91.91</v>
      </c>
      <c r="S103" s="12">
        <v>93.9</v>
      </c>
      <c r="T103" s="12">
        <v>96.11</v>
      </c>
      <c r="U103" s="12">
        <v>96.24</v>
      </c>
      <c r="V103" s="12">
        <v>107.06</v>
      </c>
      <c r="W103" s="12">
        <v>111.21</v>
      </c>
      <c r="X103" s="12">
        <v>111.74</v>
      </c>
      <c r="Y103" s="12">
        <v>109.87</v>
      </c>
      <c r="Z103" s="12">
        <v>109.17</v>
      </c>
      <c r="AA103" s="12">
        <v>112.93</v>
      </c>
      <c r="AB103" s="12">
        <v>122.08</v>
      </c>
      <c r="AC103" s="12">
        <v>120.89</v>
      </c>
      <c r="AD103" s="12">
        <v>113.33</v>
      </c>
      <c r="AE103" s="12">
        <v>125.35</v>
      </c>
      <c r="AF103" s="12">
        <v>128.72999999999999</v>
      </c>
      <c r="AG103" s="12">
        <v>129.88999999999999</v>
      </c>
      <c r="AH103" s="12">
        <v>122.55</v>
      </c>
      <c r="AI103" s="12">
        <v>125.97</v>
      </c>
      <c r="AJ103" s="12">
        <v>128.75</v>
      </c>
    </row>
    <row r="104" spans="2:36">
      <c r="B104" s="26" t="s">
        <v>138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</row>
    <row r="105" spans="2:36">
      <c r="B105" s="25" t="s">
        <v>139</v>
      </c>
      <c r="C105" s="12">
        <v>14073.08</v>
      </c>
      <c r="D105" s="12">
        <v>13876.62</v>
      </c>
      <c r="E105" s="12">
        <v>13506.9</v>
      </c>
      <c r="F105" s="12">
        <v>13129.33</v>
      </c>
      <c r="G105" s="12">
        <v>12749.12</v>
      </c>
      <c r="H105" s="12">
        <v>12395.49</v>
      </c>
      <c r="I105" s="12">
        <v>12089.88</v>
      </c>
      <c r="J105" s="12">
        <v>11921.38</v>
      </c>
      <c r="K105" s="12">
        <v>11947.47</v>
      </c>
      <c r="L105" s="12">
        <v>11998.26</v>
      </c>
      <c r="M105" s="12">
        <v>12034.93</v>
      </c>
      <c r="N105" s="12">
        <v>12057.87</v>
      </c>
      <c r="O105" s="12">
        <v>12004.91</v>
      </c>
      <c r="P105" s="12">
        <v>11822.34</v>
      </c>
      <c r="Q105" s="12">
        <v>11557.66</v>
      </c>
      <c r="R105" s="12">
        <v>11299.87</v>
      </c>
      <c r="S105" s="12">
        <v>11106.46</v>
      </c>
      <c r="T105" s="12">
        <v>10966.54</v>
      </c>
      <c r="U105" s="12">
        <v>10836.03</v>
      </c>
      <c r="V105" s="12">
        <v>10748.05</v>
      </c>
      <c r="W105" s="12">
        <v>10551.23</v>
      </c>
      <c r="X105" s="12">
        <v>10181.33</v>
      </c>
      <c r="Y105" s="12">
        <v>9812.86</v>
      </c>
      <c r="Z105" s="12">
        <v>9476.3799999999992</v>
      </c>
      <c r="AA105" s="12">
        <v>9327.25</v>
      </c>
      <c r="AB105" s="12">
        <v>9206.57</v>
      </c>
      <c r="AC105" s="12">
        <v>9150.83</v>
      </c>
      <c r="AD105" s="12">
        <v>8929.27</v>
      </c>
      <c r="AE105" s="12">
        <v>8523.9699999999993</v>
      </c>
      <c r="AF105" s="12">
        <v>8048.63</v>
      </c>
      <c r="AG105" s="12">
        <v>7692.49</v>
      </c>
      <c r="AH105" s="12">
        <v>7413.2</v>
      </c>
      <c r="AI105" s="12">
        <v>7112.37</v>
      </c>
      <c r="AJ105" s="12">
        <v>6879.37</v>
      </c>
    </row>
    <row r="106" spans="2:36">
      <c r="B106" s="26" t="s">
        <v>140</v>
      </c>
      <c r="C106" s="12">
        <v>14029.76</v>
      </c>
      <c r="D106" s="12">
        <v>13833.96</v>
      </c>
      <c r="E106" s="12">
        <v>13465.41</v>
      </c>
      <c r="F106" s="12">
        <v>13089.01</v>
      </c>
      <c r="G106" s="12">
        <v>12709.99</v>
      </c>
      <c r="H106" s="12">
        <v>12357.45</v>
      </c>
      <c r="I106" s="12">
        <v>12052.78</v>
      </c>
      <c r="J106" s="12">
        <v>11884.81</v>
      </c>
      <c r="K106" s="12">
        <v>11910.82</v>
      </c>
      <c r="L106" s="12">
        <v>11961.47</v>
      </c>
      <c r="M106" s="12">
        <v>11998.03</v>
      </c>
      <c r="N106" s="12">
        <v>12020.89</v>
      </c>
      <c r="O106" s="12">
        <v>11968.08</v>
      </c>
      <c r="P106" s="12">
        <v>11786.07</v>
      </c>
      <c r="Q106" s="12">
        <v>11522.23</v>
      </c>
      <c r="R106" s="12">
        <v>11265.25</v>
      </c>
      <c r="S106" s="12">
        <v>11072.42</v>
      </c>
      <c r="T106" s="12">
        <v>10932.94</v>
      </c>
      <c r="U106" s="12">
        <v>10802.83</v>
      </c>
      <c r="V106" s="12">
        <v>10715.13</v>
      </c>
      <c r="W106" s="12">
        <v>10518.91</v>
      </c>
      <c r="X106" s="12">
        <v>10148.6</v>
      </c>
      <c r="Y106" s="12">
        <v>9777.1200000000008</v>
      </c>
      <c r="Z106" s="12">
        <v>9441.6</v>
      </c>
      <c r="AA106" s="12">
        <v>9295.84</v>
      </c>
      <c r="AB106" s="12">
        <v>9180.2000000000007</v>
      </c>
      <c r="AC106" s="12">
        <v>9124.31</v>
      </c>
      <c r="AD106" s="12">
        <v>8902.6</v>
      </c>
      <c r="AE106" s="12">
        <v>8498.64</v>
      </c>
      <c r="AF106" s="12">
        <v>8027.07</v>
      </c>
      <c r="AG106" s="12">
        <v>7673.64</v>
      </c>
      <c r="AH106" s="12">
        <v>7396.96</v>
      </c>
      <c r="AI106" s="12">
        <v>7098.45</v>
      </c>
      <c r="AJ106" s="12">
        <v>6869.3</v>
      </c>
    </row>
    <row r="107" spans="2:36">
      <c r="B107" s="26" t="s">
        <v>141</v>
      </c>
      <c r="C107" s="12">
        <v>43.32</v>
      </c>
      <c r="D107" s="12">
        <v>42.67</v>
      </c>
      <c r="E107" s="12">
        <v>41.48</v>
      </c>
      <c r="F107" s="12">
        <v>40.32</v>
      </c>
      <c r="G107" s="12">
        <v>39.119999999999997</v>
      </c>
      <c r="H107" s="12">
        <v>38.04</v>
      </c>
      <c r="I107" s="12">
        <v>37.090000000000003</v>
      </c>
      <c r="J107" s="12">
        <v>36.57</v>
      </c>
      <c r="K107" s="12">
        <v>36.65</v>
      </c>
      <c r="L107" s="12">
        <v>36.78</v>
      </c>
      <c r="M107" s="12">
        <v>36.9</v>
      </c>
      <c r="N107" s="12">
        <v>36.99</v>
      </c>
      <c r="O107" s="12">
        <v>36.83</v>
      </c>
      <c r="P107" s="12">
        <v>36.270000000000003</v>
      </c>
      <c r="Q107" s="12">
        <v>35.43</v>
      </c>
      <c r="R107" s="12">
        <v>34.619999999999997</v>
      </c>
      <c r="S107" s="12">
        <v>34.03</v>
      </c>
      <c r="T107" s="12">
        <v>33.6</v>
      </c>
      <c r="U107" s="12">
        <v>33.200000000000003</v>
      </c>
      <c r="V107" s="12">
        <v>32.93</v>
      </c>
      <c r="W107" s="12">
        <v>32.32</v>
      </c>
      <c r="X107" s="12">
        <v>32.729999999999997</v>
      </c>
      <c r="Y107" s="12">
        <v>35.729999999999997</v>
      </c>
      <c r="Z107" s="12">
        <v>34.78</v>
      </c>
      <c r="AA107" s="12">
        <v>31.41</v>
      </c>
      <c r="AB107" s="12">
        <v>26.37</v>
      </c>
      <c r="AC107" s="12">
        <v>26.52</v>
      </c>
      <c r="AD107" s="12">
        <v>26.67</v>
      </c>
      <c r="AE107" s="12">
        <v>25.33</v>
      </c>
      <c r="AF107" s="12">
        <v>21.56</v>
      </c>
      <c r="AG107" s="12">
        <v>18.850000000000001</v>
      </c>
      <c r="AH107" s="12">
        <v>16.23</v>
      </c>
      <c r="AI107" s="12">
        <v>13.92</v>
      </c>
      <c r="AJ107" s="12">
        <v>10.07</v>
      </c>
    </row>
    <row r="108" spans="2:36">
      <c r="B108" s="25" t="s">
        <v>142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</row>
    <row r="109" spans="2:36">
      <c r="B109" s="26" t="s">
        <v>143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</row>
    <row r="110" spans="2:36">
      <c r="B110" s="26" t="s">
        <v>144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</row>
    <row r="111" spans="2:36">
      <c r="B111" s="25" t="s">
        <v>145</v>
      </c>
      <c r="C111" s="12" t="s">
        <v>81</v>
      </c>
      <c r="D111" s="12" t="s">
        <v>81</v>
      </c>
      <c r="E111" s="12" t="s">
        <v>81</v>
      </c>
      <c r="F111" s="12" t="s">
        <v>81</v>
      </c>
      <c r="G111" s="12" t="s">
        <v>81</v>
      </c>
      <c r="H111" s="12" t="s">
        <v>81</v>
      </c>
      <c r="I111" s="12" t="s">
        <v>81</v>
      </c>
      <c r="J111" s="12" t="s">
        <v>81</v>
      </c>
      <c r="K111" s="12" t="s">
        <v>81</v>
      </c>
      <c r="L111" s="12" t="s">
        <v>81</v>
      </c>
      <c r="M111" s="12" t="s">
        <v>81</v>
      </c>
      <c r="N111" s="12" t="s">
        <v>81</v>
      </c>
      <c r="O111" s="12" t="s">
        <v>81</v>
      </c>
      <c r="P111" s="12" t="s">
        <v>81</v>
      </c>
      <c r="Q111" s="12" t="s">
        <v>81</v>
      </c>
      <c r="R111" s="12" t="s">
        <v>81</v>
      </c>
      <c r="S111" s="12" t="s">
        <v>81</v>
      </c>
      <c r="T111" s="12" t="s">
        <v>81</v>
      </c>
      <c r="U111" s="12" t="s">
        <v>81</v>
      </c>
      <c r="V111" s="12" t="s">
        <v>81</v>
      </c>
      <c r="W111" s="12" t="s">
        <v>81</v>
      </c>
      <c r="X111" s="12" t="s">
        <v>81</v>
      </c>
      <c r="Y111" s="12" t="s">
        <v>81</v>
      </c>
      <c r="Z111" s="12" t="s">
        <v>81</v>
      </c>
      <c r="AA111" s="12" t="s">
        <v>81</v>
      </c>
      <c r="AB111" s="12" t="s">
        <v>81</v>
      </c>
      <c r="AC111" s="12" t="s">
        <v>81</v>
      </c>
      <c r="AD111" s="12" t="s">
        <v>81</v>
      </c>
      <c r="AE111" s="12" t="s">
        <v>81</v>
      </c>
      <c r="AF111" s="12" t="s">
        <v>81</v>
      </c>
      <c r="AG111" s="12" t="s">
        <v>81</v>
      </c>
      <c r="AH111" s="12" t="s">
        <v>81</v>
      </c>
      <c r="AI111" s="12" t="s">
        <v>81</v>
      </c>
      <c r="AJ111" s="12" t="s">
        <v>81</v>
      </c>
    </row>
    <row r="112" spans="2:36">
      <c r="B112" s="25" t="s">
        <v>146</v>
      </c>
      <c r="C112" s="12">
        <v>44.18</v>
      </c>
      <c r="D112" s="12">
        <v>39.93</v>
      </c>
      <c r="E112" s="12">
        <v>39.450000000000003</v>
      </c>
      <c r="F112" s="12">
        <v>39.340000000000003</v>
      </c>
      <c r="G112" s="12">
        <v>40.619999999999997</v>
      </c>
      <c r="H112" s="12">
        <v>42.48</v>
      </c>
      <c r="I112" s="12">
        <v>45.23</v>
      </c>
      <c r="J112" s="12">
        <v>46.53</v>
      </c>
      <c r="K112" s="12">
        <v>44.52</v>
      </c>
      <c r="L112" s="12">
        <v>46.46</v>
      </c>
      <c r="M112" s="12">
        <v>47.91</v>
      </c>
      <c r="N112" s="12">
        <v>51.77</v>
      </c>
      <c r="O112" s="12">
        <v>49.82</v>
      </c>
      <c r="P112" s="12">
        <v>46.98</v>
      </c>
      <c r="Q112" s="12">
        <v>45.9</v>
      </c>
      <c r="R112" s="12">
        <v>46.73</v>
      </c>
      <c r="S112" s="12">
        <v>47.29</v>
      </c>
      <c r="T112" s="12">
        <v>46.86</v>
      </c>
      <c r="U112" s="12">
        <v>45.8</v>
      </c>
      <c r="V112" s="12">
        <v>45.78</v>
      </c>
      <c r="W112" s="12">
        <v>42.32</v>
      </c>
      <c r="X112" s="12">
        <v>38.04</v>
      </c>
      <c r="Y112" s="12">
        <v>36.020000000000003</v>
      </c>
      <c r="Z112" s="12">
        <v>36.21</v>
      </c>
      <c r="AA112" s="12">
        <v>36.79</v>
      </c>
      <c r="AB112" s="12">
        <v>35.71</v>
      </c>
      <c r="AC112" s="12">
        <v>33.729999999999997</v>
      </c>
      <c r="AD112" s="12">
        <v>32.4</v>
      </c>
      <c r="AE112" s="12">
        <v>33.229999999999997</v>
      </c>
      <c r="AF112" s="12">
        <v>35.04</v>
      </c>
      <c r="AG112" s="12">
        <v>30.66</v>
      </c>
      <c r="AH112" s="12">
        <v>26.64</v>
      </c>
      <c r="AI112" s="12">
        <v>20.68</v>
      </c>
      <c r="AJ112" s="12">
        <v>11.79</v>
      </c>
    </row>
    <row r="113" spans="2:36">
      <c r="B113" s="26" t="s">
        <v>147</v>
      </c>
      <c r="C113" s="12">
        <v>6.97</v>
      </c>
      <c r="D113" s="12">
        <v>5.93</v>
      </c>
      <c r="E113" s="12">
        <v>5.01</v>
      </c>
      <c r="F113" s="12">
        <v>4.57</v>
      </c>
      <c r="G113" s="12">
        <v>4.0999999999999996</v>
      </c>
      <c r="H113" s="12">
        <v>4.05</v>
      </c>
      <c r="I113" s="12">
        <v>4.03</v>
      </c>
      <c r="J113" s="12">
        <v>3.89</v>
      </c>
      <c r="K113" s="12">
        <v>3.39</v>
      </c>
      <c r="L113" s="12">
        <v>3.09</v>
      </c>
      <c r="M113" s="12">
        <v>2.91</v>
      </c>
      <c r="N113" s="12">
        <v>3.27</v>
      </c>
      <c r="O113" s="12">
        <v>3.17</v>
      </c>
      <c r="P113" s="12">
        <v>3.24</v>
      </c>
      <c r="Q113" s="12">
        <v>2.93</v>
      </c>
      <c r="R113" s="12">
        <v>2.86</v>
      </c>
      <c r="S113" s="12">
        <v>2.77</v>
      </c>
      <c r="T113" s="12">
        <v>2.67</v>
      </c>
      <c r="U113" s="12">
        <v>2.59</v>
      </c>
      <c r="V113" s="12">
        <v>2.75</v>
      </c>
      <c r="W113" s="12">
        <v>2.72</v>
      </c>
      <c r="X113" s="12">
        <v>2.67</v>
      </c>
      <c r="Y113" s="12">
        <v>2.4500000000000002</v>
      </c>
      <c r="Z113" s="12">
        <v>2.13</v>
      </c>
      <c r="AA113" s="12">
        <v>1.95</v>
      </c>
      <c r="AB113" s="12">
        <v>1.92</v>
      </c>
      <c r="AC113" s="12">
        <v>2.21</v>
      </c>
      <c r="AD113" s="12">
        <v>2.2999999999999998</v>
      </c>
      <c r="AE113" s="12">
        <v>2.31</v>
      </c>
      <c r="AF113" s="12">
        <v>1.79</v>
      </c>
      <c r="AG113" s="12">
        <v>1.54</v>
      </c>
      <c r="AH113" s="12">
        <v>1.41</v>
      </c>
      <c r="AI113" s="12">
        <v>1.48</v>
      </c>
      <c r="AJ113" s="12">
        <v>1.6</v>
      </c>
    </row>
    <row r="114" spans="2:36">
      <c r="B114" s="26" t="s">
        <v>148</v>
      </c>
      <c r="C114" s="12">
        <v>7.77</v>
      </c>
      <c r="D114" s="12">
        <v>7.08</v>
      </c>
      <c r="E114" s="12">
        <v>6.27</v>
      </c>
      <c r="F114" s="12">
        <v>5.65</v>
      </c>
      <c r="G114" s="12">
        <v>5.24</v>
      </c>
      <c r="H114" s="12">
        <v>5.04</v>
      </c>
      <c r="I114" s="12">
        <v>4.93</v>
      </c>
      <c r="J114" s="12">
        <v>4.97</v>
      </c>
      <c r="K114" s="12">
        <v>4.75</v>
      </c>
      <c r="L114" s="12">
        <v>4.3</v>
      </c>
      <c r="M114" s="12">
        <v>3.88</v>
      </c>
      <c r="N114" s="12">
        <v>3.66</v>
      </c>
      <c r="O114" s="12">
        <v>3.62</v>
      </c>
      <c r="P114" s="12">
        <v>3.51</v>
      </c>
      <c r="Q114" s="12">
        <v>3.65</v>
      </c>
      <c r="R114" s="12">
        <v>4.22</v>
      </c>
      <c r="S114" s="12">
        <v>4.6500000000000004</v>
      </c>
      <c r="T114" s="12">
        <v>4.41</v>
      </c>
      <c r="U114" s="12">
        <v>3.95</v>
      </c>
      <c r="V114" s="12">
        <v>3.82</v>
      </c>
      <c r="W114" s="12">
        <v>3.74</v>
      </c>
      <c r="X114" s="12">
        <v>3.69</v>
      </c>
      <c r="Y114" s="12">
        <v>3.53</v>
      </c>
      <c r="Z114" s="12">
        <v>4</v>
      </c>
      <c r="AA114" s="12">
        <v>4.1500000000000004</v>
      </c>
      <c r="AB114" s="12">
        <v>4</v>
      </c>
      <c r="AC114" s="12">
        <v>3.27</v>
      </c>
      <c r="AD114" s="12">
        <v>2.76</v>
      </c>
      <c r="AE114" s="12">
        <v>2.81</v>
      </c>
      <c r="AF114" s="12">
        <v>3.29</v>
      </c>
      <c r="AG114" s="12">
        <v>2.71</v>
      </c>
      <c r="AH114" s="12">
        <v>2.2999999999999998</v>
      </c>
      <c r="AI114" s="12">
        <v>1.74</v>
      </c>
      <c r="AJ114" s="12">
        <v>1.6</v>
      </c>
    </row>
    <row r="115" spans="2:36">
      <c r="B115" s="26" t="s">
        <v>149</v>
      </c>
      <c r="C115" s="12" t="s">
        <v>81</v>
      </c>
      <c r="D115" s="12" t="s">
        <v>81</v>
      </c>
      <c r="E115" s="12" t="s">
        <v>81</v>
      </c>
      <c r="F115" s="12" t="s">
        <v>81</v>
      </c>
      <c r="G115" s="12" t="s">
        <v>81</v>
      </c>
      <c r="H115" s="12" t="s">
        <v>81</v>
      </c>
      <c r="I115" s="12" t="s">
        <v>81</v>
      </c>
      <c r="J115" s="12" t="s">
        <v>81</v>
      </c>
      <c r="K115" s="12" t="s">
        <v>81</v>
      </c>
      <c r="L115" s="12" t="s">
        <v>81</v>
      </c>
      <c r="M115" s="12" t="s">
        <v>81</v>
      </c>
      <c r="N115" s="12" t="s">
        <v>81</v>
      </c>
      <c r="O115" s="12" t="s">
        <v>81</v>
      </c>
      <c r="P115" s="12" t="s">
        <v>81</v>
      </c>
      <c r="Q115" s="12" t="s">
        <v>81</v>
      </c>
      <c r="R115" s="12" t="s">
        <v>81</v>
      </c>
      <c r="S115" s="12" t="s">
        <v>81</v>
      </c>
      <c r="T115" s="12" t="s">
        <v>81</v>
      </c>
      <c r="U115" s="12" t="s">
        <v>81</v>
      </c>
      <c r="V115" s="12" t="s">
        <v>81</v>
      </c>
      <c r="W115" s="12" t="s">
        <v>81</v>
      </c>
      <c r="X115" s="12" t="s">
        <v>81</v>
      </c>
      <c r="Y115" s="12" t="s">
        <v>81</v>
      </c>
      <c r="Z115" s="12" t="s">
        <v>81</v>
      </c>
      <c r="AA115" s="12" t="s">
        <v>81</v>
      </c>
      <c r="AB115" s="12" t="s">
        <v>81</v>
      </c>
      <c r="AC115" s="12" t="s">
        <v>81</v>
      </c>
      <c r="AD115" s="12" t="s">
        <v>81</v>
      </c>
      <c r="AE115" s="12" t="s">
        <v>81</v>
      </c>
      <c r="AF115" s="12" t="s">
        <v>81</v>
      </c>
      <c r="AG115" s="12" t="s">
        <v>81</v>
      </c>
      <c r="AH115" s="12" t="s">
        <v>81</v>
      </c>
      <c r="AI115" s="12" t="s">
        <v>81</v>
      </c>
      <c r="AJ115" s="12" t="s">
        <v>81</v>
      </c>
    </row>
    <row r="116" spans="2:36">
      <c r="B116" s="26" t="s">
        <v>150</v>
      </c>
      <c r="C116" s="12" t="s">
        <v>81</v>
      </c>
      <c r="D116" s="12" t="s">
        <v>81</v>
      </c>
      <c r="E116" s="12" t="s">
        <v>81</v>
      </c>
      <c r="F116" s="12" t="s">
        <v>81</v>
      </c>
      <c r="G116" s="12" t="s">
        <v>81</v>
      </c>
      <c r="H116" s="12" t="s">
        <v>81</v>
      </c>
      <c r="I116" s="12" t="s">
        <v>81</v>
      </c>
      <c r="J116" s="12" t="s">
        <v>81</v>
      </c>
      <c r="K116" s="12" t="s">
        <v>81</v>
      </c>
      <c r="L116" s="12" t="s">
        <v>81</v>
      </c>
      <c r="M116" s="12" t="s">
        <v>81</v>
      </c>
      <c r="N116" s="12" t="s">
        <v>81</v>
      </c>
      <c r="O116" s="12" t="s">
        <v>81</v>
      </c>
      <c r="P116" s="12" t="s">
        <v>81</v>
      </c>
      <c r="Q116" s="12" t="s">
        <v>81</v>
      </c>
      <c r="R116" s="12" t="s">
        <v>81</v>
      </c>
      <c r="S116" s="12" t="s">
        <v>81</v>
      </c>
      <c r="T116" s="12" t="s">
        <v>81</v>
      </c>
      <c r="U116" s="12" t="s">
        <v>81</v>
      </c>
      <c r="V116" s="12" t="s">
        <v>81</v>
      </c>
      <c r="W116" s="12" t="s">
        <v>81</v>
      </c>
      <c r="X116" s="12" t="s">
        <v>81</v>
      </c>
      <c r="Y116" s="12" t="s">
        <v>81</v>
      </c>
      <c r="Z116" s="12" t="s">
        <v>81</v>
      </c>
      <c r="AA116" s="12" t="s">
        <v>81</v>
      </c>
      <c r="AB116" s="12" t="s">
        <v>81</v>
      </c>
      <c r="AC116" s="12" t="s">
        <v>81</v>
      </c>
      <c r="AD116" s="12" t="s">
        <v>81</v>
      </c>
      <c r="AE116" s="12" t="s">
        <v>81</v>
      </c>
      <c r="AF116" s="12" t="s">
        <v>81</v>
      </c>
      <c r="AG116" s="12" t="s">
        <v>81</v>
      </c>
      <c r="AH116" s="12" t="s">
        <v>81</v>
      </c>
      <c r="AI116" s="12" t="s">
        <v>81</v>
      </c>
      <c r="AJ116" s="12" t="s">
        <v>81</v>
      </c>
    </row>
    <row r="117" spans="2:36">
      <c r="B117" s="26" t="s">
        <v>151</v>
      </c>
      <c r="C117" s="12">
        <v>29.44</v>
      </c>
      <c r="D117" s="12">
        <v>26.91</v>
      </c>
      <c r="E117" s="12">
        <v>28.17</v>
      </c>
      <c r="F117" s="12">
        <v>29.12</v>
      </c>
      <c r="G117" s="12">
        <v>31.28</v>
      </c>
      <c r="H117" s="12">
        <v>33.380000000000003</v>
      </c>
      <c r="I117" s="12">
        <v>36.26</v>
      </c>
      <c r="J117" s="12">
        <v>37.659999999999997</v>
      </c>
      <c r="K117" s="12">
        <v>36.380000000000003</v>
      </c>
      <c r="L117" s="12">
        <v>39.06</v>
      </c>
      <c r="M117" s="12">
        <v>41.12</v>
      </c>
      <c r="N117" s="12">
        <v>44.84</v>
      </c>
      <c r="O117" s="12">
        <v>43.03</v>
      </c>
      <c r="P117" s="12">
        <v>40.229999999999997</v>
      </c>
      <c r="Q117" s="12">
        <v>39.32</v>
      </c>
      <c r="R117" s="12">
        <v>39.65</v>
      </c>
      <c r="S117" s="12">
        <v>39.869999999999997</v>
      </c>
      <c r="T117" s="12">
        <v>39.79</v>
      </c>
      <c r="U117" s="12">
        <v>39.26</v>
      </c>
      <c r="V117" s="12">
        <v>39.21</v>
      </c>
      <c r="W117" s="12">
        <v>35.86</v>
      </c>
      <c r="X117" s="12">
        <v>31.68</v>
      </c>
      <c r="Y117" s="12">
        <v>30.04</v>
      </c>
      <c r="Z117" s="12">
        <v>30.08</v>
      </c>
      <c r="AA117" s="12">
        <v>30.69</v>
      </c>
      <c r="AB117" s="12">
        <v>29.8</v>
      </c>
      <c r="AC117" s="12">
        <v>28.26</v>
      </c>
      <c r="AD117" s="12">
        <v>27.34</v>
      </c>
      <c r="AE117" s="12">
        <v>28.11</v>
      </c>
      <c r="AF117" s="12">
        <v>29.96</v>
      </c>
      <c r="AG117" s="12">
        <v>26.41</v>
      </c>
      <c r="AH117" s="12">
        <v>22.93</v>
      </c>
      <c r="AI117" s="12">
        <v>17.46</v>
      </c>
      <c r="AJ117" s="12">
        <v>8.59</v>
      </c>
    </row>
    <row r="118" spans="2:36">
      <c r="B118" s="25" t="s">
        <v>152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</row>
    <row r="119" spans="2:36">
      <c r="B119" s="25" t="s">
        <v>153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</row>
    <row r="120" spans="2:36">
      <c r="B120" s="24" t="s">
        <v>154</v>
      </c>
      <c r="C120" s="15">
        <v>278.70999999999998</v>
      </c>
      <c r="D120" s="15">
        <v>258.24</v>
      </c>
      <c r="E120" s="15">
        <v>272.27</v>
      </c>
      <c r="F120" s="15">
        <v>261.60000000000002</v>
      </c>
      <c r="G120" s="15">
        <v>268.75</v>
      </c>
      <c r="H120" s="15">
        <v>267.85000000000002</v>
      </c>
      <c r="I120" s="15">
        <v>287.97000000000003</v>
      </c>
      <c r="J120" s="15">
        <v>298.61</v>
      </c>
      <c r="K120" s="15">
        <v>311.72000000000003</v>
      </c>
      <c r="L120" s="15">
        <v>300.42</v>
      </c>
      <c r="M120" s="15">
        <v>385.47</v>
      </c>
      <c r="N120" s="15">
        <v>329.44</v>
      </c>
      <c r="O120" s="15">
        <v>358.28</v>
      </c>
      <c r="P120" s="15">
        <v>342.36</v>
      </c>
      <c r="Q120" s="15">
        <v>336.95</v>
      </c>
      <c r="R120" s="15">
        <v>322.45999999999998</v>
      </c>
      <c r="S120" s="15">
        <v>340.78</v>
      </c>
      <c r="T120" s="15">
        <v>348.07</v>
      </c>
      <c r="U120" s="15">
        <v>365.36</v>
      </c>
      <c r="V120" s="15">
        <v>357.18</v>
      </c>
      <c r="W120" s="15">
        <v>342.87</v>
      </c>
      <c r="X120" s="15">
        <v>363.37</v>
      </c>
      <c r="Y120" s="15">
        <v>343.71</v>
      </c>
      <c r="Z120" s="15">
        <v>350.79</v>
      </c>
      <c r="AA120" s="15">
        <v>368.6</v>
      </c>
      <c r="AB120" s="15">
        <v>417.15</v>
      </c>
      <c r="AC120" s="15">
        <v>394.15</v>
      </c>
      <c r="AD120" s="15">
        <v>386.1</v>
      </c>
      <c r="AE120" s="15">
        <v>383.15</v>
      </c>
      <c r="AF120" s="15">
        <v>411.12</v>
      </c>
      <c r="AG120" s="15">
        <v>420.07</v>
      </c>
      <c r="AH120" s="15">
        <v>397.1</v>
      </c>
      <c r="AI120" s="15">
        <v>515.35</v>
      </c>
      <c r="AJ120" s="15">
        <v>410.57</v>
      </c>
    </row>
    <row r="121" spans="2:36">
      <c r="B121" s="25" t="s">
        <v>40</v>
      </c>
      <c r="C121" s="12">
        <v>0.02</v>
      </c>
      <c r="D121" s="12">
        <v>0.08</v>
      </c>
      <c r="E121" s="12">
        <v>0.12</v>
      </c>
      <c r="F121" s="12">
        <v>0.23</v>
      </c>
      <c r="G121" s="12">
        <v>0.17</v>
      </c>
      <c r="H121" s="12">
        <v>0.15</v>
      </c>
      <c r="I121" s="12">
        <v>17.440000000000001</v>
      </c>
      <c r="J121" s="12">
        <v>1.96</v>
      </c>
      <c r="K121" s="12">
        <v>2.12</v>
      </c>
      <c r="L121" s="12">
        <v>0.31</v>
      </c>
      <c r="M121" s="12">
        <v>66.25</v>
      </c>
      <c r="N121" s="12">
        <v>1.63</v>
      </c>
      <c r="O121" s="12">
        <v>15.69</v>
      </c>
      <c r="P121" s="12">
        <v>0.12</v>
      </c>
      <c r="Q121" s="12">
        <v>2.56</v>
      </c>
      <c r="R121" s="12">
        <v>5.51</v>
      </c>
      <c r="S121" s="12">
        <v>0.38</v>
      </c>
      <c r="T121" s="12">
        <v>0.31</v>
      </c>
      <c r="U121" s="12">
        <v>0.22</v>
      </c>
      <c r="V121" s="12">
        <v>4.43</v>
      </c>
      <c r="W121" s="12">
        <v>0.54</v>
      </c>
      <c r="X121" s="12">
        <v>2.54</v>
      </c>
      <c r="Y121" s="12">
        <v>0.12</v>
      </c>
      <c r="Z121" s="12">
        <v>3.22</v>
      </c>
      <c r="AA121" s="12">
        <v>0.34</v>
      </c>
      <c r="AB121" s="12">
        <v>1.52</v>
      </c>
      <c r="AC121" s="12">
        <v>0.32</v>
      </c>
      <c r="AD121" s="12">
        <v>10.78</v>
      </c>
      <c r="AE121" s="12">
        <v>4.84</v>
      </c>
      <c r="AF121" s="12">
        <v>24.07</v>
      </c>
      <c r="AG121" s="12">
        <v>23.3</v>
      </c>
      <c r="AH121" s="12">
        <v>0.27</v>
      </c>
      <c r="AI121" s="12">
        <v>139.85</v>
      </c>
      <c r="AJ121" s="12">
        <v>22.19</v>
      </c>
    </row>
    <row r="122" spans="2:36">
      <c r="B122" s="26" t="s">
        <v>155</v>
      </c>
      <c r="C122" s="12" t="s">
        <v>190</v>
      </c>
      <c r="D122" s="12" t="s">
        <v>190</v>
      </c>
      <c r="E122" s="12" t="s">
        <v>190</v>
      </c>
      <c r="F122" s="12" t="s">
        <v>190</v>
      </c>
      <c r="G122" s="12" t="s">
        <v>190</v>
      </c>
      <c r="H122" s="12" t="s">
        <v>190</v>
      </c>
      <c r="I122" s="12" t="s">
        <v>190</v>
      </c>
      <c r="J122" s="12" t="s">
        <v>190</v>
      </c>
      <c r="K122" s="12" t="s">
        <v>190</v>
      </c>
      <c r="L122" s="12" t="s">
        <v>190</v>
      </c>
      <c r="M122" s="12" t="s">
        <v>190</v>
      </c>
      <c r="N122" s="12" t="s">
        <v>190</v>
      </c>
      <c r="O122" s="12" t="s">
        <v>190</v>
      </c>
      <c r="P122" s="12" t="s">
        <v>190</v>
      </c>
      <c r="Q122" s="12" t="s">
        <v>190</v>
      </c>
      <c r="R122" s="12" t="s">
        <v>190</v>
      </c>
      <c r="S122" s="12" t="s">
        <v>190</v>
      </c>
      <c r="T122" s="12" t="s">
        <v>190</v>
      </c>
      <c r="U122" s="12" t="s">
        <v>190</v>
      </c>
      <c r="V122" s="12" t="s">
        <v>190</v>
      </c>
      <c r="W122" s="12" t="s">
        <v>190</v>
      </c>
      <c r="X122" s="12" t="s">
        <v>190</v>
      </c>
      <c r="Y122" s="12" t="s">
        <v>190</v>
      </c>
      <c r="Z122" s="12" t="s">
        <v>190</v>
      </c>
      <c r="AA122" s="12" t="s">
        <v>190</v>
      </c>
      <c r="AB122" s="12" t="s">
        <v>190</v>
      </c>
      <c r="AC122" s="12" t="s">
        <v>190</v>
      </c>
      <c r="AD122" s="12" t="s">
        <v>190</v>
      </c>
      <c r="AE122" s="12" t="s">
        <v>190</v>
      </c>
      <c r="AF122" s="12" t="s">
        <v>190</v>
      </c>
      <c r="AG122" s="12" t="s">
        <v>190</v>
      </c>
      <c r="AH122" s="12" t="s">
        <v>190</v>
      </c>
      <c r="AI122" s="12" t="s">
        <v>190</v>
      </c>
      <c r="AJ122" s="12" t="s">
        <v>190</v>
      </c>
    </row>
    <row r="123" spans="2:36">
      <c r="B123" s="26" t="s">
        <v>156</v>
      </c>
      <c r="C123" s="12" t="s">
        <v>190</v>
      </c>
      <c r="D123" s="12" t="s">
        <v>190</v>
      </c>
      <c r="E123" s="12" t="s">
        <v>190</v>
      </c>
      <c r="F123" s="12" t="s">
        <v>190</v>
      </c>
      <c r="G123" s="12" t="s">
        <v>190</v>
      </c>
      <c r="H123" s="12" t="s">
        <v>190</v>
      </c>
      <c r="I123" s="12" t="s">
        <v>190</v>
      </c>
      <c r="J123" s="12" t="s">
        <v>190</v>
      </c>
      <c r="K123" s="12" t="s">
        <v>190</v>
      </c>
      <c r="L123" s="12" t="s">
        <v>190</v>
      </c>
      <c r="M123" s="12" t="s">
        <v>190</v>
      </c>
      <c r="N123" s="12" t="s">
        <v>190</v>
      </c>
      <c r="O123" s="12" t="s">
        <v>190</v>
      </c>
      <c r="P123" s="12" t="s">
        <v>190</v>
      </c>
      <c r="Q123" s="12" t="s">
        <v>190</v>
      </c>
      <c r="R123" s="12" t="s">
        <v>190</v>
      </c>
      <c r="S123" s="12" t="s">
        <v>190</v>
      </c>
      <c r="T123" s="12" t="s">
        <v>190</v>
      </c>
      <c r="U123" s="12" t="s">
        <v>190</v>
      </c>
      <c r="V123" s="12" t="s">
        <v>190</v>
      </c>
      <c r="W123" s="12" t="s">
        <v>190</v>
      </c>
      <c r="X123" s="12" t="s">
        <v>190</v>
      </c>
      <c r="Y123" s="12" t="s">
        <v>190</v>
      </c>
      <c r="Z123" s="12" t="s">
        <v>190</v>
      </c>
      <c r="AA123" s="12" t="s">
        <v>190</v>
      </c>
      <c r="AB123" s="12" t="s">
        <v>190</v>
      </c>
      <c r="AC123" s="12" t="s">
        <v>190</v>
      </c>
      <c r="AD123" s="12" t="s">
        <v>190</v>
      </c>
      <c r="AE123" s="12" t="s">
        <v>190</v>
      </c>
      <c r="AF123" s="12" t="s">
        <v>190</v>
      </c>
      <c r="AG123" s="12" t="s">
        <v>190</v>
      </c>
      <c r="AH123" s="12" t="s">
        <v>190</v>
      </c>
      <c r="AI123" s="12" t="s">
        <v>190</v>
      </c>
      <c r="AJ123" s="12" t="s">
        <v>190</v>
      </c>
    </row>
    <row r="124" spans="2:36">
      <c r="B124" s="26" t="s">
        <v>158</v>
      </c>
      <c r="C124" s="12">
        <v>0.02</v>
      </c>
      <c r="D124" s="12">
        <v>0.08</v>
      </c>
      <c r="E124" s="12">
        <v>0.12</v>
      </c>
      <c r="F124" s="12">
        <v>0.23</v>
      </c>
      <c r="G124" s="12">
        <v>0.17</v>
      </c>
      <c r="H124" s="12">
        <v>0.15</v>
      </c>
      <c r="I124" s="12">
        <v>17.440000000000001</v>
      </c>
      <c r="J124" s="12">
        <v>1.96</v>
      </c>
      <c r="K124" s="12">
        <v>2.12</v>
      </c>
      <c r="L124" s="12">
        <v>0.31</v>
      </c>
      <c r="M124" s="12">
        <v>66.25</v>
      </c>
      <c r="N124" s="12">
        <v>1.63</v>
      </c>
      <c r="O124" s="12">
        <v>15.69</v>
      </c>
      <c r="P124" s="12">
        <v>0.12</v>
      </c>
      <c r="Q124" s="12">
        <v>2.56</v>
      </c>
      <c r="R124" s="12">
        <v>5.51</v>
      </c>
      <c r="S124" s="12">
        <v>0.38</v>
      </c>
      <c r="T124" s="12">
        <v>0.31</v>
      </c>
      <c r="U124" s="12">
        <v>0.22</v>
      </c>
      <c r="V124" s="12">
        <v>4.43</v>
      </c>
      <c r="W124" s="12">
        <v>0.54</v>
      </c>
      <c r="X124" s="12">
        <v>2.54</v>
      </c>
      <c r="Y124" s="12">
        <v>0.12</v>
      </c>
      <c r="Z124" s="12">
        <v>3.22</v>
      </c>
      <c r="AA124" s="12">
        <v>0.34</v>
      </c>
      <c r="AB124" s="12">
        <v>1.52</v>
      </c>
      <c r="AC124" s="12">
        <v>0.32</v>
      </c>
      <c r="AD124" s="12">
        <v>10.78</v>
      </c>
      <c r="AE124" s="12">
        <v>4.84</v>
      </c>
      <c r="AF124" s="12">
        <v>24.07</v>
      </c>
      <c r="AG124" s="12">
        <v>23.3</v>
      </c>
      <c r="AH124" s="12">
        <v>0.27</v>
      </c>
      <c r="AI124" s="12">
        <v>139.85</v>
      </c>
      <c r="AJ124" s="12">
        <v>22.19</v>
      </c>
    </row>
    <row r="125" spans="2:36">
      <c r="B125" s="25" t="s">
        <v>41</v>
      </c>
      <c r="C125" s="12" t="s">
        <v>109</v>
      </c>
      <c r="D125" s="12" t="s">
        <v>109</v>
      </c>
      <c r="E125" s="12" t="s">
        <v>109</v>
      </c>
      <c r="F125" s="12" t="s">
        <v>109</v>
      </c>
      <c r="G125" s="12" t="s">
        <v>109</v>
      </c>
      <c r="H125" s="12" t="s">
        <v>109</v>
      </c>
      <c r="I125" s="12" t="s">
        <v>109</v>
      </c>
      <c r="J125" s="12" t="s">
        <v>109</v>
      </c>
      <c r="K125" s="12" t="s">
        <v>109</v>
      </c>
      <c r="L125" s="12" t="s">
        <v>109</v>
      </c>
      <c r="M125" s="12" t="s">
        <v>109</v>
      </c>
      <c r="N125" s="12" t="s">
        <v>109</v>
      </c>
      <c r="O125" s="12" t="s">
        <v>109</v>
      </c>
      <c r="P125" s="12" t="s">
        <v>109</v>
      </c>
      <c r="Q125" s="12" t="s">
        <v>109</v>
      </c>
      <c r="R125" s="12" t="s">
        <v>109</v>
      </c>
      <c r="S125" s="12" t="s">
        <v>109</v>
      </c>
      <c r="T125" s="12" t="s">
        <v>109</v>
      </c>
      <c r="U125" s="12" t="s">
        <v>109</v>
      </c>
      <c r="V125" s="12" t="s">
        <v>109</v>
      </c>
      <c r="W125" s="12" t="s">
        <v>109</v>
      </c>
      <c r="X125" s="12" t="s">
        <v>109</v>
      </c>
      <c r="Y125" s="12" t="s">
        <v>109</v>
      </c>
      <c r="Z125" s="12" t="s">
        <v>109</v>
      </c>
      <c r="AA125" s="12" t="s">
        <v>109</v>
      </c>
      <c r="AB125" s="12" t="s">
        <v>109</v>
      </c>
      <c r="AC125" s="12" t="s">
        <v>109</v>
      </c>
      <c r="AD125" s="12" t="s">
        <v>109</v>
      </c>
      <c r="AE125" s="12" t="s">
        <v>109</v>
      </c>
      <c r="AF125" s="12" t="s">
        <v>109</v>
      </c>
      <c r="AG125" s="12" t="s">
        <v>109</v>
      </c>
      <c r="AH125" s="12" t="s">
        <v>109</v>
      </c>
      <c r="AI125" s="12" t="s">
        <v>109</v>
      </c>
      <c r="AJ125" s="12" t="s">
        <v>109</v>
      </c>
    </row>
    <row r="126" spans="2:36">
      <c r="B126" s="26" t="s">
        <v>159</v>
      </c>
      <c r="C126" s="12" t="s">
        <v>109</v>
      </c>
      <c r="D126" s="12" t="s">
        <v>109</v>
      </c>
      <c r="E126" s="12" t="s">
        <v>109</v>
      </c>
      <c r="F126" s="12" t="s">
        <v>109</v>
      </c>
      <c r="G126" s="12" t="s">
        <v>109</v>
      </c>
      <c r="H126" s="12" t="s">
        <v>109</v>
      </c>
      <c r="I126" s="12" t="s">
        <v>109</v>
      </c>
      <c r="J126" s="12" t="s">
        <v>109</v>
      </c>
      <c r="K126" s="12" t="s">
        <v>109</v>
      </c>
      <c r="L126" s="12" t="s">
        <v>109</v>
      </c>
      <c r="M126" s="12" t="s">
        <v>109</v>
      </c>
      <c r="N126" s="12" t="s">
        <v>109</v>
      </c>
      <c r="O126" s="12" t="s">
        <v>109</v>
      </c>
      <c r="P126" s="12" t="s">
        <v>109</v>
      </c>
      <c r="Q126" s="12" t="s">
        <v>109</v>
      </c>
      <c r="R126" s="12" t="s">
        <v>109</v>
      </c>
      <c r="S126" s="12" t="s">
        <v>109</v>
      </c>
      <c r="T126" s="12" t="s">
        <v>109</v>
      </c>
      <c r="U126" s="12" t="s">
        <v>109</v>
      </c>
      <c r="V126" s="12" t="s">
        <v>109</v>
      </c>
      <c r="W126" s="12" t="s">
        <v>109</v>
      </c>
      <c r="X126" s="12" t="s">
        <v>109</v>
      </c>
      <c r="Y126" s="12" t="s">
        <v>109</v>
      </c>
      <c r="Z126" s="12" t="s">
        <v>109</v>
      </c>
      <c r="AA126" s="12" t="s">
        <v>109</v>
      </c>
      <c r="AB126" s="12" t="s">
        <v>109</v>
      </c>
      <c r="AC126" s="12" t="s">
        <v>109</v>
      </c>
      <c r="AD126" s="12" t="s">
        <v>109</v>
      </c>
      <c r="AE126" s="12" t="s">
        <v>109</v>
      </c>
      <c r="AF126" s="12" t="s">
        <v>109</v>
      </c>
      <c r="AG126" s="12" t="s">
        <v>109</v>
      </c>
      <c r="AH126" s="12" t="s">
        <v>109</v>
      </c>
      <c r="AI126" s="12" t="s">
        <v>109</v>
      </c>
      <c r="AJ126" s="12" t="s">
        <v>109</v>
      </c>
    </row>
    <row r="127" spans="2:36">
      <c r="B127" s="26" t="s">
        <v>160</v>
      </c>
      <c r="C127" s="12" t="s">
        <v>109</v>
      </c>
      <c r="D127" s="12" t="s">
        <v>109</v>
      </c>
      <c r="E127" s="12" t="s">
        <v>109</v>
      </c>
      <c r="F127" s="12" t="s">
        <v>109</v>
      </c>
      <c r="G127" s="12" t="s">
        <v>109</v>
      </c>
      <c r="H127" s="12" t="s">
        <v>109</v>
      </c>
      <c r="I127" s="12" t="s">
        <v>109</v>
      </c>
      <c r="J127" s="12" t="s">
        <v>109</v>
      </c>
      <c r="K127" s="12" t="s">
        <v>109</v>
      </c>
      <c r="L127" s="12" t="s">
        <v>109</v>
      </c>
      <c r="M127" s="12" t="s">
        <v>109</v>
      </c>
      <c r="N127" s="12" t="s">
        <v>109</v>
      </c>
      <c r="O127" s="12" t="s">
        <v>109</v>
      </c>
      <c r="P127" s="12" t="s">
        <v>109</v>
      </c>
      <c r="Q127" s="12" t="s">
        <v>109</v>
      </c>
      <c r="R127" s="12" t="s">
        <v>109</v>
      </c>
      <c r="S127" s="12" t="s">
        <v>109</v>
      </c>
      <c r="T127" s="12" t="s">
        <v>109</v>
      </c>
      <c r="U127" s="12" t="s">
        <v>109</v>
      </c>
      <c r="V127" s="12" t="s">
        <v>109</v>
      </c>
      <c r="W127" s="12" t="s">
        <v>109</v>
      </c>
      <c r="X127" s="12" t="s">
        <v>109</v>
      </c>
      <c r="Y127" s="12" t="s">
        <v>109</v>
      </c>
      <c r="Z127" s="12" t="s">
        <v>109</v>
      </c>
      <c r="AA127" s="12" t="s">
        <v>109</v>
      </c>
      <c r="AB127" s="12" t="s">
        <v>109</v>
      </c>
      <c r="AC127" s="12" t="s">
        <v>109</v>
      </c>
      <c r="AD127" s="12" t="s">
        <v>109</v>
      </c>
      <c r="AE127" s="12" t="s">
        <v>109</v>
      </c>
      <c r="AF127" s="12" t="s">
        <v>109</v>
      </c>
      <c r="AG127" s="12" t="s">
        <v>109</v>
      </c>
      <c r="AH127" s="12" t="s">
        <v>109</v>
      </c>
      <c r="AI127" s="12" t="s">
        <v>109</v>
      </c>
      <c r="AJ127" s="12" t="s">
        <v>109</v>
      </c>
    </row>
    <row r="128" spans="2:36">
      <c r="B128" s="25" t="s">
        <v>42</v>
      </c>
      <c r="C128" s="12" t="s">
        <v>109</v>
      </c>
      <c r="D128" s="12" t="s">
        <v>109</v>
      </c>
      <c r="E128" s="12" t="s">
        <v>109</v>
      </c>
      <c r="F128" s="12" t="s">
        <v>109</v>
      </c>
      <c r="G128" s="12" t="s">
        <v>109</v>
      </c>
      <c r="H128" s="12" t="s">
        <v>109</v>
      </c>
      <c r="I128" s="12" t="s">
        <v>109</v>
      </c>
      <c r="J128" s="12" t="s">
        <v>109</v>
      </c>
      <c r="K128" s="12" t="s">
        <v>109</v>
      </c>
      <c r="L128" s="12" t="s">
        <v>109</v>
      </c>
      <c r="M128" s="12" t="s">
        <v>109</v>
      </c>
      <c r="N128" s="12" t="s">
        <v>109</v>
      </c>
      <c r="O128" s="12" t="s">
        <v>109</v>
      </c>
      <c r="P128" s="12" t="s">
        <v>109</v>
      </c>
      <c r="Q128" s="12" t="s">
        <v>109</v>
      </c>
      <c r="R128" s="12" t="s">
        <v>109</v>
      </c>
      <c r="S128" s="12" t="s">
        <v>109</v>
      </c>
      <c r="T128" s="12" t="s">
        <v>109</v>
      </c>
      <c r="U128" s="12" t="s">
        <v>109</v>
      </c>
      <c r="V128" s="12" t="s">
        <v>109</v>
      </c>
      <c r="W128" s="12" t="s">
        <v>109</v>
      </c>
      <c r="X128" s="12" t="s">
        <v>109</v>
      </c>
      <c r="Y128" s="12" t="s">
        <v>109</v>
      </c>
      <c r="Z128" s="12" t="s">
        <v>109</v>
      </c>
      <c r="AA128" s="12" t="s">
        <v>109</v>
      </c>
      <c r="AB128" s="12" t="s">
        <v>109</v>
      </c>
      <c r="AC128" s="12" t="s">
        <v>109</v>
      </c>
      <c r="AD128" s="12" t="s">
        <v>109</v>
      </c>
      <c r="AE128" s="12" t="s">
        <v>109</v>
      </c>
      <c r="AF128" s="12" t="s">
        <v>109</v>
      </c>
      <c r="AG128" s="12" t="s">
        <v>109</v>
      </c>
      <c r="AH128" s="12" t="s">
        <v>109</v>
      </c>
      <c r="AI128" s="12" t="s">
        <v>109</v>
      </c>
      <c r="AJ128" s="12" t="s">
        <v>109</v>
      </c>
    </row>
    <row r="129" spans="2:36">
      <c r="B129" s="26" t="s">
        <v>161</v>
      </c>
      <c r="C129" s="12" t="s">
        <v>109</v>
      </c>
      <c r="D129" s="12" t="s">
        <v>109</v>
      </c>
      <c r="E129" s="12" t="s">
        <v>109</v>
      </c>
      <c r="F129" s="12" t="s">
        <v>109</v>
      </c>
      <c r="G129" s="12" t="s">
        <v>109</v>
      </c>
      <c r="H129" s="12" t="s">
        <v>109</v>
      </c>
      <c r="I129" s="12" t="s">
        <v>109</v>
      </c>
      <c r="J129" s="12" t="s">
        <v>109</v>
      </c>
      <c r="K129" s="12" t="s">
        <v>109</v>
      </c>
      <c r="L129" s="12" t="s">
        <v>109</v>
      </c>
      <c r="M129" s="12" t="s">
        <v>109</v>
      </c>
      <c r="N129" s="12" t="s">
        <v>109</v>
      </c>
      <c r="O129" s="12" t="s">
        <v>109</v>
      </c>
      <c r="P129" s="12" t="s">
        <v>109</v>
      </c>
      <c r="Q129" s="12" t="s">
        <v>109</v>
      </c>
      <c r="R129" s="12" t="s">
        <v>109</v>
      </c>
      <c r="S129" s="12" t="s">
        <v>109</v>
      </c>
      <c r="T129" s="12" t="s">
        <v>109</v>
      </c>
      <c r="U129" s="12" t="s">
        <v>109</v>
      </c>
      <c r="V129" s="12" t="s">
        <v>109</v>
      </c>
      <c r="W129" s="12" t="s">
        <v>109</v>
      </c>
      <c r="X129" s="12" t="s">
        <v>109</v>
      </c>
      <c r="Y129" s="12" t="s">
        <v>109</v>
      </c>
      <c r="Z129" s="12" t="s">
        <v>109</v>
      </c>
      <c r="AA129" s="12" t="s">
        <v>109</v>
      </c>
      <c r="AB129" s="12" t="s">
        <v>109</v>
      </c>
      <c r="AC129" s="12" t="s">
        <v>109</v>
      </c>
      <c r="AD129" s="12" t="s">
        <v>109</v>
      </c>
      <c r="AE129" s="12" t="s">
        <v>109</v>
      </c>
      <c r="AF129" s="12" t="s">
        <v>109</v>
      </c>
      <c r="AG129" s="12" t="s">
        <v>109</v>
      </c>
      <c r="AH129" s="12" t="s">
        <v>109</v>
      </c>
      <c r="AI129" s="12" t="s">
        <v>109</v>
      </c>
      <c r="AJ129" s="12" t="s">
        <v>109</v>
      </c>
    </row>
    <row r="130" spans="2:36">
      <c r="B130" s="26" t="s">
        <v>162</v>
      </c>
      <c r="C130" s="12" t="s">
        <v>109</v>
      </c>
      <c r="D130" s="12" t="s">
        <v>109</v>
      </c>
      <c r="E130" s="12" t="s">
        <v>109</v>
      </c>
      <c r="F130" s="12" t="s">
        <v>109</v>
      </c>
      <c r="G130" s="12" t="s">
        <v>109</v>
      </c>
      <c r="H130" s="12" t="s">
        <v>109</v>
      </c>
      <c r="I130" s="12" t="s">
        <v>109</v>
      </c>
      <c r="J130" s="12" t="s">
        <v>109</v>
      </c>
      <c r="K130" s="12" t="s">
        <v>109</v>
      </c>
      <c r="L130" s="12" t="s">
        <v>109</v>
      </c>
      <c r="M130" s="12" t="s">
        <v>109</v>
      </c>
      <c r="N130" s="12" t="s">
        <v>109</v>
      </c>
      <c r="O130" s="12" t="s">
        <v>109</v>
      </c>
      <c r="P130" s="12" t="s">
        <v>109</v>
      </c>
      <c r="Q130" s="12" t="s">
        <v>109</v>
      </c>
      <c r="R130" s="12" t="s">
        <v>109</v>
      </c>
      <c r="S130" s="12" t="s">
        <v>109</v>
      </c>
      <c r="T130" s="12" t="s">
        <v>109</v>
      </c>
      <c r="U130" s="12" t="s">
        <v>109</v>
      </c>
      <c r="V130" s="12" t="s">
        <v>109</v>
      </c>
      <c r="W130" s="12" t="s">
        <v>109</v>
      </c>
      <c r="X130" s="12" t="s">
        <v>109</v>
      </c>
      <c r="Y130" s="12" t="s">
        <v>109</v>
      </c>
      <c r="Z130" s="12" t="s">
        <v>109</v>
      </c>
      <c r="AA130" s="12" t="s">
        <v>109</v>
      </c>
      <c r="AB130" s="12" t="s">
        <v>109</v>
      </c>
      <c r="AC130" s="12" t="s">
        <v>109</v>
      </c>
      <c r="AD130" s="12" t="s">
        <v>109</v>
      </c>
      <c r="AE130" s="12" t="s">
        <v>109</v>
      </c>
      <c r="AF130" s="12" t="s">
        <v>109</v>
      </c>
      <c r="AG130" s="12" t="s">
        <v>109</v>
      </c>
      <c r="AH130" s="12" t="s">
        <v>109</v>
      </c>
      <c r="AI130" s="12" t="s">
        <v>109</v>
      </c>
      <c r="AJ130" s="12" t="s">
        <v>109</v>
      </c>
    </row>
    <row r="131" spans="2:36">
      <c r="B131" s="25" t="s">
        <v>43</v>
      </c>
      <c r="C131" s="12">
        <v>278.7</v>
      </c>
      <c r="D131" s="12">
        <v>258.16000000000003</v>
      </c>
      <c r="E131" s="12">
        <v>272.14999999999998</v>
      </c>
      <c r="F131" s="12">
        <v>261.37</v>
      </c>
      <c r="G131" s="12">
        <v>268.58</v>
      </c>
      <c r="H131" s="12">
        <v>267.7</v>
      </c>
      <c r="I131" s="12">
        <v>270.52999999999997</v>
      </c>
      <c r="J131" s="12">
        <v>296.64999999999998</v>
      </c>
      <c r="K131" s="12">
        <v>309.60000000000002</v>
      </c>
      <c r="L131" s="12">
        <v>300.11</v>
      </c>
      <c r="M131" s="12">
        <v>319.22000000000003</v>
      </c>
      <c r="N131" s="12">
        <v>327.81</v>
      </c>
      <c r="O131" s="12">
        <v>342.59</v>
      </c>
      <c r="P131" s="12">
        <v>342.24</v>
      </c>
      <c r="Q131" s="12">
        <v>334.39</v>
      </c>
      <c r="R131" s="12">
        <v>316.94</v>
      </c>
      <c r="S131" s="12">
        <v>340.41</v>
      </c>
      <c r="T131" s="12">
        <v>347.76</v>
      </c>
      <c r="U131" s="12">
        <v>365.14</v>
      </c>
      <c r="V131" s="12">
        <v>352.74</v>
      </c>
      <c r="W131" s="12">
        <v>342.33</v>
      </c>
      <c r="X131" s="12">
        <v>360.83</v>
      </c>
      <c r="Y131" s="12">
        <v>343.59</v>
      </c>
      <c r="Z131" s="12">
        <v>347.56</v>
      </c>
      <c r="AA131" s="12">
        <v>368.27</v>
      </c>
      <c r="AB131" s="12">
        <v>415.63</v>
      </c>
      <c r="AC131" s="12">
        <v>393.83</v>
      </c>
      <c r="AD131" s="12">
        <v>375.32</v>
      </c>
      <c r="AE131" s="12">
        <v>378.32</v>
      </c>
      <c r="AF131" s="12">
        <v>387.06</v>
      </c>
      <c r="AG131" s="12">
        <v>396.77</v>
      </c>
      <c r="AH131" s="12">
        <v>396.83</v>
      </c>
      <c r="AI131" s="12">
        <v>375.5</v>
      </c>
      <c r="AJ131" s="12">
        <v>388.38</v>
      </c>
    </row>
    <row r="132" spans="2:36">
      <c r="B132" s="26" t="s">
        <v>163</v>
      </c>
      <c r="C132" s="12">
        <v>278.7</v>
      </c>
      <c r="D132" s="12">
        <v>258.16000000000003</v>
      </c>
      <c r="E132" s="12">
        <v>272.14999999999998</v>
      </c>
      <c r="F132" s="12">
        <v>261.37</v>
      </c>
      <c r="G132" s="12">
        <v>268.58</v>
      </c>
      <c r="H132" s="12">
        <v>267.7</v>
      </c>
      <c r="I132" s="12">
        <v>270.52999999999997</v>
      </c>
      <c r="J132" s="12">
        <v>296.64999999999998</v>
      </c>
      <c r="K132" s="12">
        <v>309.60000000000002</v>
      </c>
      <c r="L132" s="12">
        <v>300.11</v>
      </c>
      <c r="M132" s="12">
        <v>319.22000000000003</v>
      </c>
      <c r="N132" s="12">
        <v>327.81</v>
      </c>
      <c r="O132" s="12">
        <v>342.59</v>
      </c>
      <c r="P132" s="12">
        <v>342.24</v>
      </c>
      <c r="Q132" s="12">
        <v>334.39</v>
      </c>
      <c r="R132" s="12">
        <v>316.94</v>
      </c>
      <c r="S132" s="12">
        <v>340.41</v>
      </c>
      <c r="T132" s="12">
        <v>347.76</v>
      </c>
      <c r="U132" s="12">
        <v>365.14</v>
      </c>
      <c r="V132" s="12">
        <v>352.74</v>
      </c>
      <c r="W132" s="12">
        <v>342.33</v>
      </c>
      <c r="X132" s="12">
        <v>360.83</v>
      </c>
      <c r="Y132" s="12">
        <v>343.59</v>
      </c>
      <c r="Z132" s="12">
        <v>347.56</v>
      </c>
      <c r="AA132" s="12">
        <v>368.27</v>
      </c>
      <c r="AB132" s="12">
        <v>415.63</v>
      </c>
      <c r="AC132" s="12">
        <v>393.83</v>
      </c>
      <c r="AD132" s="12">
        <v>375.32</v>
      </c>
      <c r="AE132" s="12">
        <v>378.32</v>
      </c>
      <c r="AF132" s="12">
        <v>387.06</v>
      </c>
      <c r="AG132" s="12">
        <v>396.77</v>
      </c>
      <c r="AH132" s="12">
        <v>396.83</v>
      </c>
      <c r="AI132" s="12">
        <v>375.5</v>
      </c>
      <c r="AJ132" s="12">
        <v>388.38</v>
      </c>
    </row>
    <row r="133" spans="2:36">
      <c r="B133" s="26" t="s">
        <v>164</v>
      </c>
      <c r="C133" s="12">
        <v>278.7</v>
      </c>
      <c r="D133" s="12">
        <v>258.16000000000003</v>
      </c>
      <c r="E133" s="12">
        <v>272.14999999999998</v>
      </c>
      <c r="F133" s="12">
        <v>261.37</v>
      </c>
      <c r="G133" s="12">
        <v>268.58</v>
      </c>
      <c r="H133" s="12">
        <v>267.7</v>
      </c>
      <c r="I133" s="12">
        <v>270.52999999999997</v>
      </c>
      <c r="J133" s="12">
        <v>296.64999999999998</v>
      </c>
      <c r="K133" s="12">
        <v>309.60000000000002</v>
      </c>
      <c r="L133" s="12">
        <v>300.11</v>
      </c>
      <c r="M133" s="12">
        <v>319.22000000000003</v>
      </c>
      <c r="N133" s="12">
        <v>327.81</v>
      </c>
      <c r="O133" s="12">
        <v>342.59</v>
      </c>
      <c r="P133" s="12">
        <v>342.24</v>
      </c>
      <c r="Q133" s="12">
        <v>334.39</v>
      </c>
      <c r="R133" s="12">
        <v>316.94</v>
      </c>
      <c r="S133" s="12">
        <v>340.41</v>
      </c>
      <c r="T133" s="12">
        <v>347.76</v>
      </c>
      <c r="U133" s="12">
        <v>365.14</v>
      </c>
      <c r="V133" s="12">
        <v>352.74</v>
      </c>
      <c r="W133" s="12">
        <v>342.33</v>
      </c>
      <c r="X133" s="12">
        <v>360.83</v>
      </c>
      <c r="Y133" s="12">
        <v>343.59</v>
      </c>
      <c r="Z133" s="12">
        <v>347.56</v>
      </c>
      <c r="AA133" s="12">
        <v>368.27</v>
      </c>
      <c r="AB133" s="12">
        <v>415.63</v>
      </c>
      <c r="AC133" s="12">
        <v>393.83</v>
      </c>
      <c r="AD133" s="12">
        <v>375.32</v>
      </c>
      <c r="AE133" s="12">
        <v>378.32</v>
      </c>
      <c r="AF133" s="12">
        <v>387.06</v>
      </c>
      <c r="AG133" s="12">
        <v>396.77</v>
      </c>
      <c r="AH133" s="12">
        <v>396.83</v>
      </c>
      <c r="AI133" s="12">
        <v>375.5</v>
      </c>
      <c r="AJ133" s="12">
        <v>388.38</v>
      </c>
    </row>
    <row r="134" spans="2:36">
      <c r="B134" s="26" t="s">
        <v>165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</row>
    <row r="135" spans="2:36">
      <c r="B135" s="26" t="s">
        <v>166</v>
      </c>
      <c r="C135" s="12" t="s">
        <v>109</v>
      </c>
      <c r="D135" s="12" t="s">
        <v>109</v>
      </c>
      <c r="E135" s="12" t="s">
        <v>109</v>
      </c>
      <c r="F135" s="12" t="s">
        <v>109</v>
      </c>
      <c r="G135" s="12" t="s">
        <v>109</v>
      </c>
      <c r="H135" s="12" t="s">
        <v>109</v>
      </c>
      <c r="I135" s="12" t="s">
        <v>109</v>
      </c>
      <c r="J135" s="12" t="s">
        <v>109</v>
      </c>
      <c r="K135" s="12" t="s">
        <v>109</v>
      </c>
      <c r="L135" s="12" t="s">
        <v>109</v>
      </c>
      <c r="M135" s="12" t="s">
        <v>109</v>
      </c>
      <c r="N135" s="12" t="s">
        <v>109</v>
      </c>
      <c r="O135" s="12" t="s">
        <v>109</v>
      </c>
      <c r="P135" s="12" t="s">
        <v>109</v>
      </c>
      <c r="Q135" s="12" t="s">
        <v>109</v>
      </c>
      <c r="R135" s="12" t="s">
        <v>109</v>
      </c>
      <c r="S135" s="12" t="s">
        <v>109</v>
      </c>
      <c r="T135" s="12" t="s">
        <v>109</v>
      </c>
      <c r="U135" s="12" t="s">
        <v>109</v>
      </c>
      <c r="V135" s="12" t="s">
        <v>109</v>
      </c>
      <c r="W135" s="12" t="s">
        <v>109</v>
      </c>
      <c r="X135" s="12" t="s">
        <v>109</v>
      </c>
      <c r="Y135" s="12" t="s">
        <v>109</v>
      </c>
      <c r="Z135" s="12" t="s">
        <v>109</v>
      </c>
      <c r="AA135" s="12" t="s">
        <v>109</v>
      </c>
      <c r="AB135" s="12" t="s">
        <v>109</v>
      </c>
      <c r="AC135" s="12" t="s">
        <v>109</v>
      </c>
      <c r="AD135" s="12" t="s">
        <v>109</v>
      </c>
      <c r="AE135" s="12" t="s">
        <v>109</v>
      </c>
      <c r="AF135" s="12" t="s">
        <v>109</v>
      </c>
      <c r="AG135" s="12" t="s">
        <v>109</v>
      </c>
      <c r="AH135" s="12" t="s">
        <v>109</v>
      </c>
      <c r="AI135" s="12" t="s">
        <v>109</v>
      </c>
      <c r="AJ135" s="12" t="s">
        <v>109</v>
      </c>
    </row>
    <row r="136" spans="2:36">
      <c r="B136" s="26" t="s">
        <v>164</v>
      </c>
      <c r="C136" s="12" t="s">
        <v>109</v>
      </c>
      <c r="D136" s="12" t="s">
        <v>109</v>
      </c>
      <c r="E136" s="12" t="s">
        <v>109</v>
      </c>
      <c r="F136" s="12" t="s">
        <v>109</v>
      </c>
      <c r="G136" s="12" t="s">
        <v>109</v>
      </c>
      <c r="H136" s="12" t="s">
        <v>109</v>
      </c>
      <c r="I136" s="12" t="s">
        <v>109</v>
      </c>
      <c r="J136" s="12" t="s">
        <v>109</v>
      </c>
      <c r="K136" s="12" t="s">
        <v>109</v>
      </c>
      <c r="L136" s="12" t="s">
        <v>109</v>
      </c>
      <c r="M136" s="12" t="s">
        <v>109</v>
      </c>
      <c r="N136" s="12" t="s">
        <v>109</v>
      </c>
      <c r="O136" s="12" t="s">
        <v>109</v>
      </c>
      <c r="P136" s="12" t="s">
        <v>109</v>
      </c>
      <c r="Q136" s="12" t="s">
        <v>109</v>
      </c>
      <c r="R136" s="12" t="s">
        <v>109</v>
      </c>
      <c r="S136" s="12" t="s">
        <v>109</v>
      </c>
      <c r="T136" s="12" t="s">
        <v>109</v>
      </c>
      <c r="U136" s="12" t="s">
        <v>109</v>
      </c>
      <c r="V136" s="12" t="s">
        <v>109</v>
      </c>
      <c r="W136" s="12" t="s">
        <v>109</v>
      </c>
      <c r="X136" s="12" t="s">
        <v>109</v>
      </c>
      <c r="Y136" s="12" t="s">
        <v>109</v>
      </c>
      <c r="Z136" s="12" t="s">
        <v>109</v>
      </c>
      <c r="AA136" s="12" t="s">
        <v>109</v>
      </c>
      <c r="AB136" s="12" t="s">
        <v>109</v>
      </c>
      <c r="AC136" s="12" t="s">
        <v>109</v>
      </c>
      <c r="AD136" s="12" t="s">
        <v>109</v>
      </c>
      <c r="AE136" s="12" t="s">
        <v>109</v>
      </c>
      <c r="AF136" s="12" t="s">
        <v>109</v>
      </c>
      <c r="AG136" s="12" t="s">
        <v>109</v>
      </c>
      <c r="AH136" s="12" t="s">
        <v>109</v>
      </c>
      <c r="AI136" s="12" t="s">
        <v>109</v>
      </c>
      <c r="AJ136" s="12" t="s">
        <v>109</v>
      </c>
    </row>
    <row r="137" spans="2:36">
      <c r="B137" s="25" t="s">
        <v>44</v>
      </c>
      <c r="C137" s="12" t="s">
        <v>109</v>
      </c>
      <c r="D137" s="12" t="s">
        <v>109</v>
      </c>
      <c r="E137" s="12" t="s">
        <v>109</v>
      </c>
      <c r="F137" s="12" t="s">
        <v>109</v>
      </c>
      <c r="G137" s="12" t="s">
        <v>109</v>
      </c>
      <c r="H137" s="12" t="s">
        <v>109</v>
      </c>
      <c r="I137" s="12" t="s">
        <v>109</v>
      </c>
      <c r="J137" s="12" t="s">
        <v>109</v>
      </c>
      <c r="K137" s="12" t="s">
        <v>109</v>
      </c>
      <c r="L137" s="12" t="s">
        <v>109</v>
      </c>
      <c r="M137" s="12" t="s">
        <v>109</v>
      </c>
      <c r="N137" s="12" t="s">
        <v>109</v>
      </c>
      <c r="O137" s="12" t="s">
        <v>109</v>
      </c>
      <c r="P137" s="12" t="s">
        <v>109</v>
      </c>
      <c r="Q137" s="12" t="s">
        <v>109</v>
      </c>
      <c r="R137" s="12" t="s">
        <v>109</v>
      </c>
      <c r="S137" s="12" t="s">
        <v>109</v>
      </c>
      <c r="T137" s="12" t="s">
        <v>109</v>
      </c>
      <c r="U137" s="12" t="s">
        <v>109</v>
      </c>
      <c r="V137" s="12" t="s">
        <v>109</v>
      </c>
      <c r="W137" s="12" t="s">
        <v>109</v>
      </c>
      <c r="X137" s="12" t="s">
        <v>109</v>
      </c>
      <c r="Y137" s="12" t="s">
        <v>109</v>
      </c>
      <c r="Z137" s="12" t="s">
        <v>109</v>
      </c>
      <c r="AA137" s="12" t="s">
        <v>109</v>
      </c>
      <c r="AB137" s="12" t="s">
        <v>109</v>
      </c>
      <c r="AC137" s="12" t="s">
        <v>109</v>
      </c>
      <c r="AD137" s="12" t="s">
        <v>109</v>
      </c>
      <c r="AE137" s="12" t="s">
        <v>109</v>
      </c>
      <c r="AF137" s="12" t="s">
        <v>109</v>
      </c>
      <c r="AG137" s="12" t="s">
        <v>109</v>
      </c>
      <c r="AH137" s="12" t="s">
        <v>109</v>
      </c>
      <c r="AI137" s="12" t="s">
        <v>109</v>
      </c>
      <c r="AJ137" s="12" t="s">
        <v>109</v>
      </c>
    </row>
    <row r="138" spans="2:36">
      <c r="B138" s="26" t="s">
        <v>167</v>
      </c>
      <c r="C138" s="12" t="s">
        <v>109</v>
      </c>
      <c r="D138" s="12" t="s">
        <v>109</v>
      </c>
      <c r="E138" s="12" t="s">
        <v>109</v>
      </c>
      <c r="F138" s="12" t="s">
        <v>109</v>
      </c>
      <c r="G138" s="12" t="s">
        <v>109</v>
      </c>
      <c r="H138" s="12" t="s">
        <v>109</v>
      </c>
      <c r="I138" s="12" t="s">
        <v>109</v>
      </c>
      <c r="J138" s="12" t="s">
        <v>109</v>
      </c>
      <c r="K138" s="12" t="s">
        <v>109</v>
      </c>
      <c r="L138" s="12" t="s">
        <v>109</v>
      </c>
      <c r="M138" s="12" t="s">
        <v>109</v>
      </c>
      <c r="N138" s="12" t="s">
        <v>109</v>
      </c>
      <c r="O138" s="12" t="s">
        <v>109</v>
      </c>
      <c r="P138" s="12" t="s">
        <v>109</v>
      </c>
      <c r="Q138" s="12" t="s">
        <v>109</v>
      </c>
      <c r="R138" s="12" t="s">
        <v>109</v>
      </c>
      <c r="S138" s="12" t="s">
        <v>109</v>
      </c>
      <c r="T138" s="12" t="s">
        <v>109</v>
      </c>
      <c r="U138" s="12" t="s">
        <v>109</v>
      </c>
      <c r="V138" s="12" t="s">
        <v>109</v>
      </c>
      <c r="W138" s="12" t="s">
        <v>109</v>
      </c>
      <c r="X138" s="12" t="s">
        <v>109</v>
      </c>
      <c r="Y138" s="12" t="s">
        <v>109</v>
      </c>
      <c r="Z138" s="12" t="s">
        <v>109</v>
      </c>
      <c r="AA138" s="12" t="s">
        <v>109</v>
      </c>
      <c r="AB138" s="12" t="s">
        <v>109</v>
      </c>
      <c r="AC138" s="12" t="s">
        <v>109</v>
      </c>
      <c r="AD138" s="12" t="s">
        <v>109</v>
      </c>
      <c r="AE138" s="12" t="s">
        <v>109</v>
      </c>
      <c r="AF138" s="12" t="s">
        <v>109</v>
      </c>
      <c r="AG138" s="12" t="s">
        <v>109</v>
      </c>
      <c r="AH138" s="12" t="s">
        <v>109</v>
      </c>
      <c r="AI138" s="12" t="s">
        <v>109</v>
      </c>
      <c r="AJ138" s="12" t="s">
        <v>109</v>
      </c>
    </row>
    <row r="139" spans="2:36">
      <c r="B139" s="26" t="s">
        <v>168</v>
      </c>
      <c r="C139" s="12" t="s">
        <v>109</v>
      </c>
      <c r="D139" s="12" t="s">
        <v>109</v>
      </c>
      <c r="E139" s="12" t="s">
        <v>109</v>
      </c>
      <c r="F139" s="12" t="s">
        <v>109</v>
      </c>
      <c r="G139" s="12" t="s">
        <v>109</v>
      </c>
      <c r="H139" s="12" t="s">
        <v>109</v>
      </c>
      <c r="I139" s="12" t="s">
        <v>109</v>
      </c>
      <c r="J139" s="12" t="s">
        <v>109</v>
      </c>
      <c r="K139" s="12" t="s">
        <v>109</v>
      </c>
      <c r="L139" s="12" t="s">
        <v>109</v>
      </c>
      <c r="M139" s="12" t="s">
        <v>109</v>
      </c>
      <c r="N139" s="12" t="s">
        <v>109</v>
      </c>
      <c r="O139" s="12" t="s">
        <v>109</v>
      </c>
      <c r="P139" s="12" t="s">
        <v>109</v>
      </c>
      <c r="Q139" s="12" t="s">
        <v>109</v>
      </c>
      <c r="R139" s="12" t="s">
        <v>109</v>
      </c>
      <c r="S139" s="12" t="s">
        <v>109</v>
      </c>
      <c r="T139" s="12" t="s">
        <v>109</v>
      </c>
      <c r="U139" s="12" t="s">
        <v>109</v>
      </c>
      <c r="V139" s="12" t="s">
        <v>109</v>
      </c>
      <c r="W139" s="12" t="s">
        <v>109</v>
      </c>
      <c r="X139" s="12" t="s">
        <v>109</v>
      </c>
      <c r="Y139" s="12" t="s">
        <v>109</v>
      </c>
      <c r="Z139" s="12" t="s">
        <v>109</v>
      </c>
      <c r="AA139" s="12" t="s">
        <v>109</v>
      </c>
      <c r="AB139" s="12" t="s">
        <v>109</v>
      </c>
      <c r="AC139" s="12" t="s">
        <v>109</v>
      </c>
      <c r="AD139" s="12" t="s">
        <v>109</v>
      </c>
      <c r="AE139" s="12" t="s">
        <v>109</v>
      </c>
      <c r="AF139" s="12" t="s">
        <v>109</v>
      </c>
      <c r="AG139" s="12" t="s">
        <v>109</v>
      </c>
      <c r="AH139" s="12" t="s">
        <v>109</v>
      </c>
      <c r="AI139" s="12" t="s">
        <v>109</v>
      </c>
      <c r="AJ139" s="12" t="s">
        <v>109</v>
      </c>
    </row>
    <row r="140" spans="2:36">
      <c r="B140" s="25" t="s">
        <v>169</v>
      </c>
      <c r="C140" s="12" t="s">
        <v>81</v>
      </c>
      <c r="D140" s="12" t="s">
        <v>81</v>
      </c>
      <c r="E140" s="12" t="s">
        <v>81</v>
      </c>
      <c r="F140" s="12" t="s">
        <v>81</v>
      </c>
      <c r="G140" s="12" t="s">
        <v>81</v>
      </c>
      <c r="H140" s="12" t="s">
        <v>81</v>
      </c>
      <c r="I140" s="12" t="s">
        <v>81</v>
      </c>
      <c r="J140" s="12" t="s">
        <v>81</v>
      </c>
      <c r="K140" s="12" t="s">
        <v>81</v>
      </c>
      <c r="L140" s="12" t="s">
        <v>81</v>
      </c>
      <c r="M140" s="12" t="s">
        <v>81</v>
      </c>
      <c r="N140" s="12" t="s">
        <v>81</v>
      </c>
      <c r="O140" s="12" t="s">
        <v>81</v>
      </c>
      <c r="P140" s="12" t="s">
        <v>81</v>
      </c>
      <c r="Q140" s="12" t="s">
        <v>81</v>
      </c>
      <c r="R140" s="12" t="s">
        <v>81</v>
      </c>
      <c r="S140" s="12" t="s">
        <v>81</v>
      </c>
      <c r="T140" s="12" t="s">
        <v>81</v>
      </c>
      <c r="U140" s="12" t="s">
        <v>81</v>
      </c>
      <c r="V140" s="12" t="s">
        <v>81</v>
      </c>
      <c r="W140" s="12" t="s">
        <v>81</v>
      </c>
      <c r="X140" s="12" t="s">
        <v>81</v>
      </c>
      <c r="Y140" s="12" t="s">
        <v>81</v>
      </c>
      <c r="Z140" s="12" t="s">
        <v>81</v>
      </c>
      <c r="AA140" s="12" t="s">
        <v>81</v>
      </c>
      <c r="AB140" s="12" t="s">
        <v>81</v>
      </c>
      <c r="AC140" s="12" t="s">
        <v>81</v>
      </c>
      <c r="AD140" s="12" t="s">
        <v>81</v>
      </c>
      <c r="AE140" s="12" t="s">
        <v>81</v>
      </c>
      <c r="AF140" s="12" t="s">
        <v>81</v>
      </c>
      <c r="AG140" s="12" t="s">
        <v>81</v>
      </c>
      <c r="AH140" s="12" t="s">
        <v>81</v>
      </c>
      <c r="AI140" s="12" t="s">
        <v>81</v>
      </c>
      <c r="AJ140" s="12" t="s">
        <v>81</v>
      </c>
    </row>
    <row r="141" spans="2:36">
      <c r="B141" s="26" t="s">
        <v>170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</row>
    <row r="142" spans="2:36">
      <c r="B142" s="26" t="s">
        <v>171</v>
      </c>
      <c r="C142" s="12" t="s">
        <v>81</v>
      </c>
      <c r="D142" s="12" t="s">
        <v>81</v>
      </c>
      <c r="E142" s="12" t="s">
        <v>81</v>
      </c>
      <c r="F142" s="12" t="s">
        <v>81</v>
      </c>
      <c r="G142" s="12" t="s">
        <v>81</v>
      </c>
      <c r="H142" s="12" t="s">
        <v>81</v>
      </c>
      <c r="I142" s="12" t="s">
        <v>81</v>
      </c>
      <c r="J142" s="12" t="s">
        <v>81</v>
      </c>
      <c r="K142" s="12" t="s">
        <v>81</v>
      </c>
      <c r="L142" s="12" t="s">
        <v>81</v>
      </c>
      <c r="M142" s="12" t="s">
        <v>81</v>
      </c>
      <c r="N142" s="12" t="s">
        <v>81</v>
      </c>
      <c r="O142" s="12" t="s">
        <v>81</v>
      </c>
      <c r="P142" s="12" t="s">
        <v>81</v>
      </c>
      <c r="Q142" s="12" t="s">
        <v>81</v>
      </c>
      <c r="R142" s="12" t="s">
        <v>81</v>
      </c>
      <c r="S142" s="12" t="s">
        <v>81</v>
      </c>
      <c r="T142" s="12" t="s">
        <v>81</v>
      </c>
      <c r="U142" s="12" t="s">
        <v>81</v>
      </c>
      <c r="V142" s="12" t="s">
        <v>81</v>
      </c>
      <c r="W142" s="12" t="s">
        <v>81</v>
      </c>
      <c r="X142" s="12" t="s">
        <v>81</v>
      </c>
      <c r="Y142" s="12" t="s">
        <v>81</v>
      </c>
      <c r="Z142" s="12" t="s">
        <v>81</v>
      </c>
      <c r="AA142" s="12" t="s">
        <v>81</v>
      </c>
      <c r="AB142" s="12" t="s">
        <v>81</v>
      </c>
      <c r="AC142" s="12" t="s">
        <v>81</v>
      </c>
      <c r="AD142" s="12" t="s">
        <v>81</v>
      </c>
      <c r="AE142" s="12" t="s">
        <v>81</v>
      </c>
      <c r="AF142" s="12" t="s">
        <v>81</v>
      </c>
      <c r="AG142" s="12" t="s">
        <v>81</v>
      </c>
      <c r="AH142" s="12" t="s">
        <v>81</v>
      </c>
      <c r="AI142" s="12" t="s">
        <v>81</v>
      </c>
      <c r="AJ142" s="12" t="s">
        <v>81</v>
      </c>
    </row>
    <row r="143" spans="2:36">
      <c r="B143" s="25" t="s">
        <v>172</v>
      </c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</row>
    <row r="144" spans="2:36">
      <c r="B144" s="25" t="s">
        <v>173</v>
      </c>
      <c r="C144" s="12" t="s">
        <v>81</v>
      </c>
      <c r="D144" s="12" t="s">
        <v>81</v>
      </c>
      <c r="E144" s="12" t="s">
        <v>81</v>
      </c>
      <c r="F144" s="12" t="s">
        <v>81</v>
      </c>
      <c r="G144" s="12" t="s">
        <v>81</v>
      </c>
      <c r="H144" s="12" t="s">
        <v>81</v>
      </c>
      <c r="I144" s="12" t="s">
        <v>81</v>
      </c>
      <c r="J144" s="12" t="s">
        <v>81</v>
      </c>
      <c r="K144" s="12" t="s">
        <v>81</v>
      </c>
      <c r="L144" s="12" t="s">
        <v>81</v>
      </c>
      <c r="M144" s="12" t="s">
        <v>81</v>
      </c>
      <c r="N144" s="12" t="s">
        <v>81</v>
      </c>
      <c r="O144" s="12" t="s">
        <v>81</v>
      </c>
      <c r="P144" s="12" t="s">
        <v>81</v>
      </c>
      <c r="Q144" s="12" t="s">
        <v>81</v>
      </c>
      <c r="R144" s="12" t="s">
        <v>81</v>
      </c>
      <c r="S144" s="12" t="s">
        <v>81</v>
      </c>
      <c r="T144" s="12" t="s">
        <v>81</v>
      </c>
      <c r="U144" s="12" t="s">
        <v>81</v>
      </c>
      <c r="V144" s="12" t="s">
        <v>81</v>
      </c>
      <c r="W144" s="12" t="s">
        <v>81</v>
      </c>
      <c r="X144" s="12" t="s">
        <v>81</v>
      </c>
      <c r="Y144" s="12" t="s">
        <v>81</v>
      </c>
      <c r="Z144" s="12" t="s">
        <v>81</v>
      </c>
      <c r="AA144" s="12" t="s">
        <v>81</v>
      </c>
      <c r="AB144" s="12" t="s">
        <v>81</v>
      </c>
      <c r="AC144" s="12" t="s">
        <v>81</v>
      </c>
      <c r="AD144" s="12" t="s">
        <v>81</v>
      </c>
      <c r="AE144" s="12" t="s">
        <v>81</v>
      </c>
      <c r="AF144" s="12" t="s">
        <v>81</v>
      </c>
      <c r="AG144" s="12" t="s">
        <v>81</v>
      </c>
      <c r="AH144" s="12" t="s">
        <v>81</v>
      </c>
      <c r="AI144" s="12" t="s">
        <v>81</v>
      </c>
      <c r="AJ144" s="12" t="s">
        <v>81</v>
      </c>
    </row>
    <row r="145" spans="2:36">
      <c r="B145" s="24" t="s">
        <v>174</v>
      </c>
      <c r="C145" s="15">
        <v>12829.84</v>
      </c>
      <c r="D145" s="15">
        <v>14001.48</v>
      </c>
      <c r="E145" s="15">
        <v>15380.58</v>
      </c>
      <c r="F145" s="15">
        <v>16183.46</v>
      </c>
      <c r="G145" s="15">
        <v>17734.580000000002</v>
      </c>
      <c r="H145" s="15">
        <v>18435.23</v>
      </c>
      <c r="I145" s="15">
        <v>18690.099999999999</v>
      </c>
      <c r="J145" s="15">
        <v>19013.330000000002</v>
      </c>
      <c r="K145" s="15">
        <v>18072.189999999999</v>
      </c>
      <c r="L145" s="15">
        <v>18102.02</v>
      </c>
      <c r="M145" s="15">
        <v>18161.22</v>
      </c>
      <c r="N145" s="15">
        <v>18687.689999999999</v>
      </c>
      <c r="O145" s="15">
        <v>18580.04</v>
      </c>
      <c r="P145" s="15">
        <v>18526.48</v>
      </c>
      <c r="Q145" s="15">
        <v>16977.61</v>
      </c>
      <c r="R145" s="15">
        <v>16851.53</v>
      </c>
      <c r="S145" s="15">
        <v>16475.349999999999</v>
      </c>
      <c r="T145" s="15">
        <v>15570.42</v>
      </c>
      <c r="U145" s="15">
        <v>15212.22</v>
      </c>
      <c r="V145" s="15">
        <v>15096.55</v>
      </c>
      <c r="W145" s="15">
        <v>14677.1</v>
      </c>
      <c r="X145" s="15">
        <v>14486.09</v>
      </c>
      <c r="Y145" s="15">
        <v>13526.62</v>
      </c>
      <c r="Z145" s="15">
        <v>13373.86</v>
      </c>
      <c r="AA145" s="15">
        <v>13249.28</v>
      </c>
      <c r="AB145" s="15">
        <v>13479.66</v>
      </c>
      <c r="AC145" s="15">
        <v>13272.88</v>
      </c>
      <c r="AD145" s="15">
        <v>13626.71</v>
      </c>
      <c r="AE145" s="15">
        <v>13190.93</v>
      </c>
      <c r="AF145" s="15">
        <v>12703.44</v>
      </c>
      <c r="AG145" s="15">
        <v>12686.49</v>
      </c>
      <c r="AH145" s="15">
        <v>12486.72</v>
      </c>
      <c r="AI145" s="15">
        <v>12497.8</v>
      </c>
      <c r="AJ145" s="15">
        <v>12030.89</v>
      </c>
    </row>
    <row r="146" spans="2:36">
      <c r="B146" s="25" t="s">
        <v>175</v>
      </c>
      <c r="C146" s="12">
        <v>12148.98</v>
      </c>
      <c r="D146" s="12">
        <v>13164.37</v>
      </c>
      <c r="E146" s="12">
        <v>14430.12</v>
      </c>
      <c r="F146" s="12">
        <v>15460.95</v>
      </c>
      <c r="G146" s="12">
        <v>16497.29</v>
      </c>
      <c r="H146" s="12">
        <v>17222.64</v>
      </c>
      <c r="I146" s="12">
        <v>17604.88</v>
      </c>
      <c r="J146" s="12">
        <v>18127.88</v>
      </c>
      <c r="K146" s="12">
        <v>17159.73</v>
      </c>
      <c r="L146" s="12">
        <v>17188.59</v>
      </c>
      <c r="M146" s="12">
        <v>17258.009999999998</v>
      </c>
      <c r="N146" s="12">
        <v>17724.2</v>
      </c>
      <c r="O146" s="12">
        <v>17526.27</v>
      </c>
      <c r="P146" s="12">
        <v>17543.96</v>
      </c>
      <c r="Q146" s="12">
        <v>16071.66</v>
      </c>
      <c r="R146" s="12">
        <v>15885.26</v>
      </c>
      <c r="S146" s="12">
        <v>15584.96</v>
      </c>
      <c r="T146" s="12">
        <v>14584.07</v>
      </c>
      <c r="U146" s="12">
        <v>14338.99</v>
      </c>
      <c r="V146" s="12">
        <v>14223.65</v>
      </c>
      <c r="W146" s="12">
        <v>13766.51</v>
      </c>
      <c r="X146" s="12">
        <v>13325.22</v>
      </c>
      <c r="Y146" s="12">
        <v>12598.76</v>
      </c>
      <c r="Z146" s="12">
        <v>12320.67</v>
      </c>
      <c r="AA146" s="12">
        <v>12305.04</v>
      </c>
      <c r="AB146" s="12">
        <v>12583.2</v>
      </c>
      <c r="AC146" s="12">
        <v>12266.85</v>
      </c>
      <c r="AD146" s="12">
        <v>12507.26</v>
      </c>
      <c r="AE146" s="12">
        <v>12328.27</v>
      </c>
      <c r="AF146" s="12">
        <v>12098.32</v>
      </c>
      <c r="AG146" s="12">
        <v>12015.97</v>
      </c>
      <c r="AH146" s="12">
        <v>11767.71</v>
      </c>
      <c r="AI146" s="12">
        <v>11598.48</v>
      </c>
      <c r="AJ146" s="12">
        <v>11312.07</v>
      </c>
    </row>
    <row r="147" spans="2:36">
      <c r="B147" s="26" t="s">
        <v>176</v>
      </c>
      <c r="C147" s="12">
        <v>8999.75</v>
      </c>
      <c r="D147" s="12">
        <v>9679.44</v>
      </c>
      <c r="E147" s="12">
        <v>10750.54</v>
      </c>
      <c r="F147" s="12">
        <v>11757.51</v>
      </c>
      <c r="G147" s="12">
        <v>12871.43</v>
      </c>
      <c r="H147" s="12">
        <v>13627.72</v>
      </c>
      <c r="I147" s="12">
        <v>14098.24</v>
      </c>
      <c r="J147" s="12">
        <v>14722.16</v>
      </c>
      <c r="K147" s="12">
        <v>13838.13</v>
      </c>
      <c r="L147" s="12">
        <v>13958.68</v>
      </c>
      <c r="M147" s="12">
        <v>14144.85</v>
      </c>
      <c r="N147" s="12">
        <v>14739.94</v>
      </c>
      <c r="O147" s="12">
        <v>14684.37</v>
      </c>
      <c r="P147" s="12">
        <v>14839.41</v>
      </c>
      <c r="Q147" s="12">
        <v>13497.91</v>
      </c>
      <c r="R147" s="12">
        <v>13437.03</v>
      </c>
      <c r="S147" s="12">
        <v>13256.13</v>
      </c>
      <c r="T147" s="12">
        <v>12368.82</v>
      </c>
      <c r="U147" s="12">
        <v>12231.78</v>
      </c>
      <c r="V147" s="12">
        <v>12219.22</v>
      </c>
      <c r="W147" s="12">
        <v>11859.83</v>
      </c>
      <c r="X147" s="12">
        <v>11511.53</v>
      </c>
      <c r="Y147" s="12">
        <v>10873.53</v>
      </c>
      <c r="Z147" s="12">
        <v>10679.57</v>
      </c>
      <c r="AA147" s="12">
        <v>10743.98</v>
      </c>
      <c r="AB147" s="12">
        <v>11098.27</v>
      </c>
      <c r="AC147" s="12">
        <v>10854.34</v>
      </c>
      <c r="AD147" s="12">
        <v>11163.65</v>
      </c>
      <c r="AE147" s="12">
        <v>11050.19</v>
      </c>
      <c r="AF147" s="12">
        <v>10882.57</v>
      </c>
      <c r="AG147" s="12">
        <v>10859.51</v>
      </c>
      <c r="AH147" s="12">
        <v>10667.65</v>
      </c>
      <c r="AI147" s="12">
        <v>10552.08</v>
      </c>
      <c r="AJ147" s="12">
        <v>10316.69</v>
      </c>
    </row>
    <row r="148" spans="2:36">
      <c r="B148" s="26" t="s">
        <v>177</v>
      </c>
      <c r="C148" s="12">
        <v>3149.23</v>
      </c>
      <c r="D148" s="12">
        <v>3484.93</v>
      </c>
      <c r="E148" s="12">
        <v>3679.58</v>
      </c>
      <c r="F148" s="12">
        <v>3703.44</v>
      </c>
      <c r="G148" s="12">
        <v>3625.86</v>
      </c>
      <c r="H148" s="12">
        <v>3594.92</v>
      </c>
      <c r="I148" s="12">
        <v>3506.64</v>
      </c>
      <c r="J148" s="12">
        <v>3405.72</v>
      </c>
      <c r="K148" s="12">
        <v>3321.6</v>
      </c>
      <c r="L148" s="12">
        <v>3229.91</v>
      </c>
      <c r="M148" s="12">
        <v>3113.16</v>
      </c>
      <c r="N148" s="12">
        <v>2984.26</v>
      </c>
      <c r="O148" s="12">
        <v>2841.89</v>
      </c>
      <c r="P148" s="12">
        <v>2704.55</v>
      </c>
      <c r="Q148" s="12">
        <v>2573.75</v>
      </c>
      <c r="R148" s="12">
        <v>2448.23</v>
      </c>
      <c r="S148" s="12">
        <v>2328.83</v>
      </c>
      <c r="T148" s="12">
        <v>2215.25</v>
      </c>
      <c r="U148" s="12">
        <v>2107.21</v>
      </c>
      <c r="V148" s="12">
        <v>2004.44</v>
      </c>
      <c r="W148" s="12">
        <v>1906.68</v>
      </c>
      <c r="X148" s="12">
        <v>1813.69</v>
      </c>
      <c r="Y148" s="12">
        <v>1725.24</v>
      </c>
      <c r="Z148" s="12">
        <v>1641.1</v>
      </c>
      <c r="AA148" s="12">
        <v>1561.06</v>
      </c>
      <c r="AB148" s="12">
        <v>1484.92</v>
      </c>
      <c r="AC148" s="12">
        <v>1412.5</v>
      </c>
      <c r="AD148" s="12">
        <v>1343.62</v>
      </c>
      <c r="AE148" s="12">
        <v>1278.0899999999999</v>
      </c>
      <c r="AF148" s="12">
        <v>1215.75</v>
      </c>
      <c r="AG148" s="12">
        <v>1156.46</v>
      </c>
      <c r="AH148" s="12">
        <v>1100.06</v>
      </c>
      <c r="AI148" s="12">
        <v>1046.4100000000001</v>
      </c>
      <c r="AJ148" s="12">
        <v>995.37</v>
      </c>
    </row>
    <row r="149" spans="2:36">
      <c r="B149" s="26" t="s">
        <v>178</v>
      </c>
      <c r="C149" s="12" t="s">
        <v>81</v>
      </c>
      <c r="D149" s="12" t="s">
        <v>81</v>
      </c>
      <c r="E149" s="12" t="s">
        <v>81</v>
      </c>
      <c r="F149" s="12" t="s">
        <v>81</v>
      </c>
      <c r="G149" s="12" t="s">
        <v>81</v>
      </c>
      <c r="H149" s="12" t="s">
        <v>81</v>
      </c>
      <c r="I149" s="12" t="s">
        <v>81</v>
      </c>
      <c r="J149" s="12" t="s">
        <v>81</v>
      </c>
      <c r="K149" s="12" t="s">
        <v>81</v>
      </c>
      <c r="L149" s="12" t="s">
        <v>81</v>
      </c>
      <c r="M149" s="12" t="s">
        <v>81</v>
      </c>
      <c r="N149" s="12" t="s">
        <v>81</v>
      </c>
      <c r="O149" s="12" t="s">
        <v>81</v>
      </c>
      <c r="P149" s="12" t="s">
        <v>81</v>
      </c>
      <c r="Q149" s="12" t="s">
        <v>81</v>
      </c>
      <c r="R149" s="12" t="s">
        <v>81</v>
      </c>
      <c r="S149" s="12" t="s">
        <v>81</v>
      </c>
      <c r="T149" s="12" t="s">
        <v>81</v>
      </c>
      <c r="U149" s="12" t="s">
        <v>81</v>
      </c>
      <c r="V149" s="12" t="s">
        <v>81</v>
      </c>
      <c r="W149" s="12" t="s">
        <v>81</v>
      </c>
      <c r="X149" s="12" t="s">
        <v>81</v>
      </c>
      <c r="Y149" s="12" t="s">
        <v>81</v>
      </c>
      <c r="Z149" s="12" t="s">
        <v>81</v>
      </c>
      <c r="AA149" s="12" t="s">
        <v>81</v>
      </c>
      <c r="AB149" s="12" t="s">
        <v>81</v>
      </c>
      <c r="AC149" s="12" t="s">
        <v>81</v>
      </c>
      <c r="AD149" s="12" t="s">
        <v>81</v>
      </c>
      <c r="AE149" s="12" t="s">
        <v>81</v>
      </c>
      <c r="AF149" s="12" t="s">
        <v>81</v>
      </c>
      <c r="AG149" s="12" t="s">
        <v>81</v>
      </c>
      <c r="AH149" s="12" t="s">
        <v>81</v>
      </c>
      <c r="AI149" s="12" t="s">
        <v>81</v>
      </c>
      <c r="AJ149" s="12" t="s">
        <v>81</v>
      </c>
    </row>
    <row r="150" spans="2:36">
      <c r="B150" s="25" t="s">
        <v>179</v>
      </c>
      <c r="C150" s="12" t="s">
        <v>231</v>
      </c>
      <c r="D150" s="12" t="s">
        <v>231</v>
      </c>
      <c r="E150" s="12" t="s">
        <v>231</v>
      </c>
      <c r="F150" s="12" t="s">
        <v>231</v>
      </c>
      <c r="G150" s="12">
        <v>0.66</v>
      </c>
      <c r="H150" s="12">
        <v>0.08</v>
      </c>
      <c r="I150" s="12">
        <v>0.24</v>
      </c>
      <c r="J150" s="12">
        <v>0.72</v>
      </c>
      <c r="K150" s="12">
        <v>0.7</v>
      </c>
      <c r="L150" s="12">
        <v>2.5</v>
      </c>
      <c r="M150" s="12">
        <v>4.8899999999999997</v>
      </c>
      <c r="N150" s="12">
        <v>4.83</v>
      </c>
      <c r="O150" s="12">
        <v>7.24</v>
      </c>
      <c r="P150" s="12">
        <v>7.26</v>
      </c>
      <c r="Q150" s="12">
        <v>7.54</v>
      </c>
      <c r="R150" s="12">
        <v>10.93</v>
      </c>
      <c r="S150" s="12">
        <v>13.2</v>
      </c>
      <c r="T150" s="12">
        <v>14.03</v>
      </c>
      <c r="U150" s="12">
        <v>14.46</v>
      </c>
      <c r="V150" s="12">
        <v>15.43</v>
      </c>
      <c r="W150" s="12">
        <v>15.18</v>
      </c>
      <c r="X150" s="12">
        <v>17.39</v>
      </c>
      <c r="Y150" s="12">
        <v>18.03</v>
      </c>
      <c r="Z150" s="12">
        <v>23.69</v>
      </c>
      <c r="AA150" s="12">
        <v>29.52</v>
      </c>
      <c r="AB150" s="12">
        <v>156.15</v>
      </c>
      <c r="AC150" s="12">
        <v>149.09</v>
      </c>
      <c r="AD150" s="12">
        <v>148.93</v>
      </c>
      <c r="AE150" s="12">
        <v>93.23</v>
      </c>
      <c r="AF150" s="12">
        <v>90.7</v>
      </c>
      <c r="AG150" s="12">
        <v>101.89</v>
      </c>
      <c r="AH150" s="12">
        <v>103.08</v>
      </c>
      <c r="AI150" s="12">
        <v>138.24</v>
      </c>
      <c r="AJ150" s="12">
        <v>148.68</v>
      </c>
    </row>
    <row r="151" spans="2:36">
      <c r="B151" s="26" t="s">
        <v>180</v>
      </c>
      <c r="C151" s="12" t="s">
        <v>231</v>
      </c>
      <c r="D151" s="12" t="s">
        <v>231</v>
      </c>
      <c r="E151" s="12" t="s">
        <v>231</v>
      </c>
      <c r="F151" s="12" t="s">
        <v>231</v>
      </c>
      <c r="G151" s="12">
        <v>0.66</v>
      </c>
      <c r="H151" s="12">
        <v>0.08</v>
      </c>
      <c r="I151" s="12">
        <v>0.24</v>
      </c>
      <c r="J151" s="12">
        <v>0.72</v>
      </c>
      <c r="K151" s="12">
        <v>0.7</v>
      </c>
      <c r="L151" s="12">
        <v>2.5</v>
      </c>
      <c r="M151" s="12">
        <v>4.8899999999999997</v>
      </c>
      <c r="N151" s="12">
        <v>4.83</v>
      </c>
      <c r="O151" s="12">
        <v>7.24</v>
      </c>
      <c r="P151" s="12">
        <v>7.26</v>
      </c>
      <c r="Q151" s="12">
        <v>7.54</v>
      </c>
      <c r="R151" s="12">
        <v>10.93</v>
      </c>
      <c r="S151" s="12">
        <v>13.2</v>
      </c>
      <c r="T151" s="12">
        <v>14.03</v>
      </c>
      <c r="U151" s="12">
        <v>14.46</v>
      </c>
      <c r="V151" s="12">
        <v>15.43</v>
      </c>
      <c r="W151" s="12">
        <v>12.45</v>
      </c>
      <c r="X151" s="12">
        <v>14.81</v>
      </c>
      <c r="Y151" s="12">
        <v>15.58</v>
      </c>
      <c r="Z151" s="12">
        <v>19.010000000000002</v>
      </c>
      <c r="AA151" s="12">
        <v>21.34</v>
      </c>
      <c r="AB151" s="12">
        <v>23.42</v>
      </c>
      <c r="AC151" s="12">
        <v>25.39</v>
      </c>
      <c r="AD151" s="12">
        <v>25.88</v>
      </c>
      <c r="AE151" s="12">
        <v>30.6</v>
      </c>
      <c r="AF151" s="12">
        <v>32.57</v>
      </c>
      <c r="AG151" s="12">
        <v>28.98</v>
      </c>
      <c r="AH151" s="12">
        <v>30.36</v>
      </c>
      <c r="AI151" s="12">
        <v>31.82</v>
      </c>
      <c r="AJ151" s="12">
        <v>36.72</v>
      </c>
    </row>
    <row r="152" spans="2:36">
      <c r="B152" s="26" t="s">
        <v>181</v>
      </c>
      <c r="C152" s="12" t="s">
        <v>231</v>
      </c>
      <c r="D152" s="12" t="s">
        <v>231</v>
      </c>
      <c r="E152" s="12" t="s">
        <v>231</v>
      </c>
      <c r="F152" s="12" t="s">
        <v>231</v>
      </c>
      <c r="G152" s="12" t="s">
        <v>231</v>
      </c>
      <c r="H152" s="12" t="s">
        <v>231</v>
      </c>
      <c r="I152" s="12" t="s">
        <v>231</v>
      </c>
      <c r="J152" s="12" t="s">
        <v>231</v>
      </c>
      <c r="K152" s="12" t="s">
        <v>231</v>
      </c>
      <c r="L152" s="12" t="s">
        <v>231</v>
      </c>
      <c r="M152" s="12" t="s">
        <v>231</v>
      </c>
      <c r="N152" s="12" t="s">
        <v>231</v>
      </c>
      <c r="O152" s="12" t="s">
        <v>231</v>
      </c>
      <c r="P152" s="12" t="s">
        <v>231</v>
      </c>
      <c r="Q152" s="12" t="s">
        <v>231</v>
      </c>
      <c r="R152" s="12" t="s">
        <v>231</v>
      </c>
      <c r="S152" s="12" t="s">
        <v>231</v>
      </c>
      <c r="T152" s="12" t="s">
        <v>231</v>
      </c>
      <c r="U152" s="12" t="s">
        <v>231</v>
      </c>
      <c r="V152" s="12" t="s">
        <v>231</v>
      </c>
      <c r="W152" s="12">
        <v>2.73</v>
      </c>
      <c r="X152" s="12">
        <v>2.59</v>
      </c>
      <c r="Y152" s="12">
        <v>2.4500000000000002</v>
      </c>
      <c r="Z152" s="12">
        <v>4.68</v>
      </c>
      <c r="AA152" s="12">
        <v>8.18</v>
      </c>
      <c r="AB152" s="12">
        <v>132.72999999999999</v>
      </c>
      <c r="AC152" s="12">
        <v>123.7</v>
      </c>
      <c r="AD152" s="12">
        <v>123.05</v>
      </c>
      <c r="AE152" s="12">
        <v>62.63</v>
      </c>
      <c r="AF152" s="12">
        <v>58.13</v>
      </c>
      <c r="AG152" s="12">
        <v>72.91</v>
      </c>
      <c r="AH152" s="12">
        <v>72.709999999999994</v>
      </c>
      <c r="AI152" s="12">
        <v>106.42</v>
      </c>
      <c r="AJ152" s="12">
        <v>111.97</v>
      </c>
    </row>
    <row r="153" spans="2:36">
      <c r="B153" s="25" t="s">
        <v>182</v>
      </c>
      <c r="C153" s="12">
        <v>0.35</v>
      </c>
      <c r="D153" s="12">
        <v>0.47</v>
      </c>
      <c r="E153" s="12">
        <v>0.56999999999999995</v>
      </c>
      <c r="F153" s="12">
        <v>0.69</v>
      </c>
      <c r="G153" s="12">
        <v>0.8</v>
      </c>
      <c r="H153" s="12">
        <v>1.1100000000000001</v>
      </c>
      <c r="I153" s="12">
        <v>1.1100000000000001</v>
      </c>
      <c r="J153" s="12">
        <v>1.24</v>
      </c>
      <c r="K153" s="12">
        <v>1.17</v>
      </c>
      <c r="L153" s="12">
        <v>1.38</v>
      </c>
      <c r="M153" s="12">
        <v>1.81</v>
      </c>
      <c r="N153" s="12">
        <v>1.94</v>
      </c>
      <c r="O153" s="12">
        <v>1.74</v>
      </c>
      <c r="P153" s="12">
        <v>1.78</v>
      </c>
      <c r="Q153" s="12">
        <v>1.78</v>
      </c>
      <c r="R153" s="12">
        <v>1.52</v>
      </c>
      <c r="S153" s="12">
        <v>1.58</v>
      </c>
      <c r="T153" s="12">
        <v>1.55</v>
      </c>
      <c r="U153" s="12">
        <v>1.54</v>
      </c>
      <c r="V153" s="12">
        <v>1.48</v>
      </c>
      <c r="W153" s="12">
        <v>1.59</v>
      </c>
      <c r="X153" s="12">
        <v>1.68</v>
      </c>
      <c r="Y153" s="12">
        <v>1.9</v>
      </c>
      <c r="Z153" s="12">
        <v>1.96</v>
      </c>
      <c r="AA153" s="12">
        <v>1.83</v>
      </c>
      <c r="AB153" s="12">
        <v>1.95</v>
      </c>
      <c r="AC153" s="12">
        <v>1.93</v>
      </c>
      <c r="AD153" s="12">
        <v>1.94</v>
      </c>
      <c r="AE153" s="12">
        <v>1.94</v>
      </c>
      <c r="AF153" s="12">
        <v>1.77</v>
      </c>
      <c r="AG153" s="12">
        <v>1.89</v>
      </c>
      <c r="AH153" s="12">
        <v>1.83</v>
      </c>
      <c r="AI153" s="12">
        <v>1.78</v>
      </c>
      <c r="AJ153" s="12">
        <v>1.86</v>
      </c>
    </row>
    <row r="154" spans="2:36">
      <c r="B154" s="26" t="s">
        <v>183</v>
      </c>
      <c r="C154" s="12">
        <v>0.35</v>
      </c>
      <c r="D154" s="12">
        <v>0.47</v>
      </c>
      <c r="E154" s="12">
        <v>0.56999999999999995</v>
      </c>
      <c r="F154" s="12">
        <v>0.69</v>
      </c>
      <c r="G154" s="12">
        <v>0.8</v>
      </c>
      <c r="H154" s="12">
        <v>1.1100000000000001</v>
      </c>
      <c r="I154" s="12">
        <v>1.1100000000000001</v>
      </c>
      <c r="J154" s="12">
        <v>1.24</v>
      </c>
      <c r="K154" s="12">
        <v>1.17</v>
      </c>
      <c r="L154" s="12">
        <v>1.38</v>
      </c>
      <c r="M154" s="12">
        <v>1.81</v>
      </c>
      <c r="N154" s="12">
        <v>1.94</v>
      </c>
      <c r="O154" s="12">
        <v>1.74</v>
      </c>
      <c r="P154" s="12">
        <v>1.78</v>
      </c>
      <c r="Q154" s="12">
        <v>1.78</v>
      </c>
      <c r="R154" s="12">
        <v>1.52</v>
      </c>
      <c r="S154" s="12">
        <v>1.58</v>
      </c>
      <c r="T154" s="12">
        <v>1.55</v>
      </c>
      <c r="U154" s="12">
        <v>1.54</v>
      </c>
      <c r="V154" s="12">
        <v>1.48</v>
      </c>
      <c r="W154" s="12">
        <v>1.59</v>
      </c>
      <c r="X154" s="12">
        <v>1.68</v>
      </c>
      <c r="Y154" s="12">
        <v>1.9</v>
      </c>
      <c r="Z154" s="12">
        <v>1.96</v>
      </c>
      <c r="AA154" s="12">
        <v>1.83</v>
      </c>
      <c r="AB154" s="12">
        <v>1.95</v>
      </c>
      <c r="AC154" s="12">
        <v>1.93</v>
      </c>
      <c r="AD154" s="12">
        <v>1.94</v>
      </c>
      <c r="AE154" s="12">
        <v>1.94</v>
      </c>
      <c r="AF154" s="12">
        <v>1.77</v>
      </c>
      <c r="AG154" s="12">
        <v>1.89</v>
      </c>
      <c r="AH154" s="12">
        <v>1.83</v>
      </c>
      <c r="AI154" s="12">
        <v>1.78</v>
      </c>
      <c r="AJ154" s="12">
        <v>1.86</v>
      </c>
    </row>
    <row r="155" spans="2:36">
      <c r="B155" s="26" t="s">
        <v>184</v>
      </c>
      <c r="C155" s="12" t="s">
        <v>81</v>
      </c>
      <c r="D155" s="12" t="s">
        <v>81</v>
      </c>
      <c r="E155" s="12" t="s">
        <v>81</v>
      </c>
      <c r="F155" s="12" t="s">
        <v>81</v>
      </c>
      <c r="G155" s="12" t="s">
        <v>81</v>
      </c>
      <c r="H155" s="12" t="s">
        <v>81</v>
      </c>
      <c r="I155" s="12" t="s">
        <v>81</v>
      </c>
      <c r="J155" s="12" t="s">
        <v>81</v>
      </c>
      <c r="K155" s="12" t="s">
        <v>81</v>
      </c>
      <c r="L155" s="12" t="s">
        <v>81</v>
      </c>
      <c r="M155" s="12" t="s">
        <v>81</v>
      </c>
      <c r="N155" s="12" t="s">
        <v>81</v>
      </c>
      <c r="O155" s="12" t="s">
        <v>81</v>
      </c>
      <c r="P155" s="12" t="s">
        <v>81</v>
      </c>
      <c r="Q155" s="12" t="s">
        <v>81</v>
      </c>
      <c r="R155" s="12" t="s">
        <v>81</v>
      </c>
      <c r="S155" s="12" t="s">
        <v>81</v>
      </c>
      <c r="T155" s="12" t="s">
        <v>81</v>
      </c>
      <c r="U155" s="12" t="s">
        <v>81</v>
      </c>
      <c r="V155" s="12" t="s">
        <v>81</v>
      </c>
      <c r="W155" s="12" t="s">
        <v>81</v>
      </c>
      <c r="X155" s="12" t="s">
        <v>81</v>
      </c>
      <c r="Y155" s="12" t="s">
        <v>81</v>
      </c>
      <c r="Z155" s="12" t="s">
        <v>81</v>
      </c>
      <c r="AA155" s="12" t="s">
        <v>81</v>
      </c>
      <c r="AB155" s="12" t="s">
        <v>81</v>
      </c>
      <c r="AC155" s="12" t="s">
        <v>81</v>
      </c>
      <c r="AD155" s="12" t="s">
        <v>81</v>
      </c>
      <c r="AE155" s="12" t="s">
        <v>81</v>
      </c>
      <c r="AF155" s="12" t="s">
        <v>81</v>
      </c>
      <c r="AG155" s="12" t="s">
        <v>81</v>
      </c>
      <c r="AH155" s="12" t="s">
        <v>81</v>
      </c>
      <c r="AI155" s="12" t="s">
        <v>81</v>
      </c>
      <c r="AJ155" s="12" t="s">
        <v>81</v>
      </c>
    </row>
    <row r="156" spans="2:36">
      <c r="B156" s="25" t="s">
        <v>185</v>
      </c>
      <c r="C156" s="12">
        <v>680.51</v>
      </c>
      <c r="D156" s="12">
        <v>836.65</v>
      </c>
      <c r="E156" s="12">
        <v>949.9</v>
      </c>
      <c r="F156" s="12">
        <v>721.82</v>
      </c>
      <c r="G156" s="12">
        <v>1235.83</v>
      </c>
      <c r="H156" s="12">
        <v>1211.4000000000001</v>
      </c>
      <c r="I156" s="12">
        <v>1083.8699999999999</v>
      </c>
      <c r="J156" s="12">
        <v>883.49</v>
      </c>
      <c r="K156" s="12">
        <v>910.6</v>
      </c>
      <c r="L156" s="12">
        <v>909.55</v>
      </c>
      <c r="M156" s="12">
        <v>896.51</v>
      </c>
      <c r="N156" s="12">
        <v>956.73</v>
      </c>
      <c r="O156" s="12">
        <v>1044.8</v>
      </c>
      <c r="P156" s="12">
        <v>973.48</v>
      </c>
      <c r="Q156" s="12">
        <v>896.65</v>
      </c>
      <c r="R156" s="12">
        <v>953.82</v>
      </c>
      <c r="S156" s="12">
        <v>875.6</v>
      </c>
      <c r="T156" s="12">
        <v>970.77</v>
      </c>
      <c r="U156" s="12">
        <v>857.23</v>
      </c>
      <c r="V156" s="12">
        <v>855.99</v>
      </c>
      <c r="W156" s="12">
        <v>893.83</v>
      </c>
      <c r="X156" s="12">
        <v>1141.79</v>
      </c>
      <c r="Y156" s="12">
        <v>907.92</v>
      </c>
      <c r="Z156" s="12">
        <v>1027.54</v>
      </c>
      <c r="AA156" s="12">
        <v>912.89</v>
      </c>
      <c r="AB156" s="12">
        <v>738.36</v>
      </c>
      <c r="AC156" s="12">
        <v>855.01</v>
      </c>
      <c r="AD156" s="12">
        <v>968.58</v>
      </c>
      <c r="AE156" s="12">
        <v>767.49</v>
      </c>
      <c r="AF156" s="12">
        <v>512.65</v>
      </c>
      <c r="AG156" s="12">
        <v>566.74</v>
      </c>
      <c r="AH156" s="12">
        <v>614.1</v>
      </c>
      <c r="AI156" s="12">
        <v>759.29</v>
      </c>
      <c r="AJ156" s="12">
        <v>568.27</v>
      </c>
    </row>
    <row r="157" spans="2:36">
      <c r="B157" s="26" t="s">
        <v>186</v>
      </c>
      <c r="C157" s="12">
        <v>582.03</v>
      </c>
      <c r="D157" s="12">
        <v>718.64</v>
      </c>
      <c r="E157" s="12">
        <v>799.39</v>
      </c>
      <c r="F157" s="12">
        <v>547.88</v>
      </c>
      <c r="G157" s="12">
        <v>999.12</v>
      </c>
      <c r="H157" s="12">
        <v>929.38</v>
      </c>
      <c r="I157" s="12">
        <v>929.16</v>
      </c>
      <c r="J157" s="12">
        <v>733.07</v>
      </c>
      <c r="K157" s="12">
        <v>783.58</v>
      </c>
      <c r="L157" s="12">
        <v>754.53</v>
      </c>
      <c r="M157" s="12">
        <v>741.48</v>
      </c>
      <c r="N157" s="12">
        <v>773.71</v>
      </c>
      <c r="O157" s="12">
        <v>829.13</v>
      </c>
      <c r="P157" s="12">
        <v>754.07</v>
      </c>
      <c r="Q157" s="12">
        <v>723.75</v>
      </c>
      <c r="R157" s="12">
        <v>710.66</v>
      </c>
      <c r="S157" s="12">
        <v>715.28</v>
      </c>
      <c r="T157" s="12">
        <v>664.89</v>
      </c>
      <c r="U157" s="12">
        <v>571.59</v>
      </c>
      <c r="V157" s="12">
        <v>571.64</v>
      </c>
      <c r="W157" s="12">
        <v>544.76</v>
      </c>
      <c r="X157" s="12">
        <v>530.04</v>
      </c>
      <c r="Y157" s="12">
        <v>510.45</v>
      </c>
      <c r="Z157" s="12">
        <v>497.47</v>
      </c>
      <c r="AA157" s="12">
        <v>451.1</v>
      </c>
      <c r="AB157" s="12">
        <v>365.08</v>
      </c>
      <c r="AC157" s="12">
        <v>354.13</v>
      </c>
      <c r="AD157" s="12">
        <v>327.45999999999998</v>
      </c>
      <c r="AE157" s="12">
        <v>338.2</v>
      </c>
      <c r="AF157" s="12">
        <v>331.89</v>
      </c>
      <c r="AG157" s="12">
        <v>336.57</v>
      </c>
      <c r="AH157" s="12">
        <v>321.5</v>
      </c>
      <c r="AI157" s="12">
        <v>306.8</v>
      </c>
      <c r="AJ157" s="12">
        <v>308.27999999999997</v>
      </c>
    </row>
    <row r="158" spans="2:36">
      <c r="B158" s="26" t="s">
        <v>187</v>
      </c>
      <c r="C158" s="12">
        <v>98.48</v>
      </c>
      <c r="D158" s="12">
        <v>118</v>
      </c>
      <c r="E158" s="12">
        <v>150.5</v>
      </c>
      <c r="F158" s="12">
        <v>173.94</v>
      </c>
      <c r="G158" s="12">
        <v>236.71</v>
      </c>
      <c r="H158" s="12">
        <v>282.02</v>
      </c>
      <c r="I158" s="12">
        <v>154.71</v>
      </c>
      <c r="J158" s="12">
        <v>150.41999999999999</v>
      </c>
      <c r="K158" s="12">
        <v>127.02</v>
      </c>
      <c r="L158" s="12">
        <v>155.02000000000001</v>
      </c>
      <c r="M158" s="12">
        <v>155.02000000000001</v>
      </c>
      <c r="N158" s="12">
        <v>183.02</v>
      </c>
      <c r="O158" s="12">
        <v>215.67</v>
      </c>
      <c r="P158" s="12">
        <v>219.41</v>
      </c>
      <c r="Q158" s="12">
        <v>172.9</v>
      </c>
      <c r="R158" s="12">
        <v>243.16</v>
      </c>
      <c r="S158" s="12">
        <v>160.32</v>
      </c>
      <c r="T158" s="12">
        <v>305.88</v>
      </c>
      <c r="U158" s="12">
        <v>285.64</v>
      </c>
      <c r="V158" s="12">
        <v>284.35000000000002</v>
      </c>
      <c r="W158" s="12">
        <v>349.06</v>
      </c>
      <c r="X158" s="12">
        <v>611.76</v>
      </c>
      <c r="Y158" s="12">
        <v>397.47</v>
      </c>
      <c r="Z158" s="12">
        <v>530.07000000000005</v>
      </c>
      <c r="AA158" s="12">
        <v>461.78</v>
      </c>
      <c r="AB158" s="12">
        <v>373.28</v>
      </c>
      <c r="AC158" s="12">
        <v>500.87</v>
      </c>
      <c r="AD158" s="12">
        <v>641.13</v>
      </c>
      <c r="AE158" s="12">
        <v>429.28</v>
      </c>
      <c r="AF158" s="12">
        <v>180.76</v>
      </c>
      <c r="AG158" s="12">
        <v>230.17</v>
      </c>
      <c r="AH158" s="12">
        <v>292.60000000000002</v>
      </c>
      <c r="AI158" s="12">
        <v>452.49</v>
      </c>
      <c r="AJ158" s="12">
        <v>259.99</v>
      </c>
    </row>
    <row r="159" spans="2:36">
      <c r="B159" s="26" t="s">
        <v>188</v>
      </c>
      <c r="C159" s="12" t="s">
        <v>81</v>
      </c>
      <c r="D159" s="12" t="s">
        <v>81</v>
      </c>
      <c r="E159" s="12" t="s">
        <v>81</v>
      </c>
      <c r="F159" s="12" t="s">
        <v>81</v>
      </c>
      <c r="G159" s="12" t="s">
        <v>81</v>
      </c>
      <c r="H159" s="12" t="s">
        <v>81</v>
      </c>
      <c r="I159" s="12" t="s">
        <v>81</v>
      </c>
      <c r="J159" s="12" t="s">
        <v>81</v>
      </c>
      <c r="K159" s="12" t="s">
        <v>81</v>
      </c>
      <c r="L159" s="12" t="s">
        <v>81</v>
      </c>
      <c r="M159" s="12" t="s">
        <v>81</v>
      </c>
      <c r="N159" s="12" t="s">
        <v>81</v>
      </c>
      <c r="O159" s="12" t="s">
        <v>81</v>
      </c>
      <c r="P159" s="12" t="s">
        <v>81</v>
      </c>
      <c r="Q159" s="12" t="s">
        <v>81</v>
      </c>
      <c r="R159" s="12" t="s">
        <v>81</v>
      </c>
      <c r="S159" s="12" t="s">
        <v>81</v>
      </c>
      <c r="T159" s="12" t="s">
        <v>81</v>
      </c>
      <c r="U159" s="12" t="s">
        <v>81</v>
      </c>
      <c r="V159" s="12" t="s">
        <v>81</v>
      </c>
      <c r="W159" s="12" t="s">
        <v>81</v>
      </c>
      <c r="X159" s="12" t="s">
        <v>81</v>
      </c>
      <c r="Y159" s="12" t="s">
        <v>81</v>
      </c>
      <c r="Z159" s="12" t="s">
        <v>81</v>
      </c>
      <c r="AA159" s="12" t="s">
        <v>81</v>
      </c>
      <c r="AB159" s="12" t="s">
        <v>81</v>
      </c>
      <c r="AC159" s="12" t="s">
        <v>81</v>
      </c>
      <c r="AD159" s="12" t="s">
        <v>81</v>
      </c>
      <c r="AE159" s="12" t="s">
        <v>81</v>
      </c>
      <c r="AF159" s="12" t="s">
        <v>81</v>
      </c>
      <c r="AG159" s="12" t="s">
        <v>81</v>
      </c>
      <c r="AH159" s="12" t="s">
        <v>81</v>
      </c>
      <c r="AI159" s="12" t="s">
        <v>81</v>
      </c>
      <c r="AJ159" s="12" t="s">
        <v>81</v>
      </c>
    </row>
    <row r="160" spans="2:36">
      <c r="B160" s="25" t="s">
        <v>189</v>
      </c>
      <c r="C160" s="12" t="s">
        <v>190</v>
      </c>
      <c r="D160" s="12" t="s">
        <v>190</v>
      </c>
      <c r="E160" s="12" t="s">
        <v>190</v>
      </c>
      <c r="F160" s="12" t="s">
        <v>190</v>
      </c>
      <c r="G160" s="12" t="s">
        <v>190</v>
      </c>
      <c r="H160" s="12" t="s">
        <v>190</v>
      </c>
      <c r="I160" s="12" t="s">
        <v>190</v>
      </c>
      <c r="J160" s="12" t="s">
        <v>190</v>
      </c>
      <c r="K160" s="12" t="s">
        <v>190</v>
      </c>
      <c r="L160" s="12" t="s">
        <v>190</v>
      </c>
      <c r="M160" s="12" t="s">
        <v>190</v>
      </c>
      <c r="N160" s="12" t="s">
        <v>190</v>
      </c>
      <c r="O160" s="12" t="s">
        <v>190</v>
      </c>
      <c r="P160" s="12" t="s">
        <v>190</v>
      </c>
      <c r="Q160" s="12" t="s">
        <v>190</v>
      </c>
      <c r="R160" s="12" t="s">
        <v>190</v>
      </c>
      <c r="S160" s="12" t="s">
        <v>190</v>
      </c>
      <c r="T160" s="12" t="s">
        <v>190</v>
      </c>
      <c r="U160" s="12" t="s">
        <v>190</v>
      </c>
      <c r="V160" s="12" t="s">
        <v>190</v>
      </c>
      <c r="W160" s="12" t="s">
        <v>190</v>
      </c>
      <c r="X160" s="12" t="s">
        <v>190</v>
      </c>
      <c r="Y160" s="12" t="s">
        <v>190</v>
      </c>
      <c r="Z160" s="12" t="s">
        <v>190</v>
      </c>
      <c r="AA160" s="12" t="s">
        <v>190</v>
      </c>
      <c r="AB160" s="12" t="s">
        <v>190</v>
      </c>
      <c r="AC160" s="12" t="s">
        <v>190</v>
      </c>
      <c r="AD160" s="12" t="s">
        <v>190</v>
      </c>
      <c r="AE160" s="12" t="s">
        <v>190</v>
      </c>
      <c r="AF160" s="12" t="s">
        <v>190</v>
      </c>
      <c r="AG160" s="12" t="s">
        <v>190</v>
      </c>
      <c r="AH160" s="12" t="s">
        <v>190</v>
      </c>
      <c r="AI160" s="12" t="s">
        <v>190</v>
      </c>
      <c r="AJ160" s="12" t="s">
        <v>190</v>
      </c>
    </row>
    <row r="161" spans="2:36">
      <c r="B161" s="21"/>
    </row>
    <row r="162" spans="2:36">
      <c r="B162" s="20" t="s">
        <v>191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</row>
    <row r="163" spans="2:36">
      <c r="B163" s="22" t="s">
        <v>192</v>
      </c>
      <c r="C163" s="22">
        <v>1990</v>
      </c>
      <c r="D163" s="22">
        <v>1991</v>
      </c>
      <c r="E163" s="22">
        <v>1992</v>
      </c>
      <c r="F163" s="22">
        <v>1993</v>
      </c>
      <c r="G163" s="22">
        <v>1994</v>
      </c>
      <c r="H163" s="22">
        <v>1995</v>
      </c>
      <c r="I163" s="22">
        <v>1996</v>
      </c>
      <c r="J163" s="22">
        <v>1997</v>
      </c>
      <c r="K163" s="22">
        <v>1998</v>
      </c>
      <c r="L163" s="22">
        <v>1999</v>
      </c>
      <c r="M163" s="22">
        <v>2000</v>
      </c>
      <c r="N163" s="22">
        <v>2001</v>
      </c>
      <c r="O163" s="22">
        <v>2002</v>
      </c>
      <c r="P163" s="22">
        <v>2003</v>
      </c>
      <c r="Q163" s="22">
        <v>2004</v>
      </c>
      <c r="R163" s="22">
        <v>2005</v>
      </c>
      <c r="S163" s="22">
        <v>2006</v>
      </c>
      <c r="T163" s="22">
        <v>2007</v>
      </c>
      <c r="U163" s="22">
        <v>2008</v>
      </c>
      <c r="V163" s="22">
        <v>2009</v>
      </c>
      <c r="W163" s="22">
        <v>2010</v>
      </c>
      <c r="X163" s="22">
        <v>2011</v>
      </c>
      <c r="Y163" s="22">
        <v>2012</v>
      </c>
      <c r="Z163" s="22">
        <v>2013</v>
      </c>
      <c r="AA163" s="22">
        <v>2014</v>
      </c>
      <c r="AB163" s="22">
        <v>2015</v>
      </c>
      <c r="AC163" s="22">
        <v>2016</v>
      </c>
      <c r="AD163" s="22">
        <v>2017</v>
      </c>
      <c r="AE163" s="22">
        <v>2018</v>
      </c>
      <c r="AF163" s="22">
        <v>2019</v>
      </c>
      <c r="AG163" s="22">
        <v>2020</v>
      </c>
      <c r="AH163" s="22">
        <v>2021</v>
      </c>
      <c r="AI163" s="22">
        <v>2022</v>
      </c>
      <c r="AJ163" s="22">
        <v>2023</v>
      </c>
    </row>
    <row r="164" spans="2:36">
      <c r="B164" s="25" t="s">
        <v>193</v>
      </c>
      <c r="C164" s="12">
        <v>21.02</v>
      </c>
      <c r="D164" s="12">
        <v>32.950000000000003</v>
      </c>
      <c r="E164" s="12">
        <v>41.34</v>
      </c>
      <c r="F164" s="12">
        <v>43.22</v>
      </c>
      <c r="G164" s="12">
        <v>50.23</v>
      </c>
      <c r="H164" s="12">
        <v>58.21</v>
      </c>
      <c r="I164" s="12">
        <v>71.11</v>
      </c>
      <c r="J164" s="12">
        <v>78.16</v>
      </c>
      <c r="K164" s="12">
        <v>80.53</v>
      </c>
      <c r="L164" s="12">
        <v>87.98</v>
      </c>
      <c r="M164" s="12">
        <v>81.400000000000006</v>
      </c>
      <c r="N164" s="12">
        <v>78.25</v>
      </c>
      <c r="O164" s="12">
        <v>76.040000000000006</v>
      </c>
      <c r="P164" s="12">
        <v>81.67</v>
      </c>
      <c r="Q164" s="12">
        <v>84.75</v>
      </c>
      <c r="R164" s="12">
        <v>84.86</v>
      </c>
      <c r="S164" s="12">
        <v>84.64</v>
      </c>
      <c r="T164" s="12">
        <v>78.92</v>
      </c>
      <c r="U164" s="12">
        <v>75.040000000000006</v>
      </c>
      <c r="V164" s="12">
        <v>67.959999999999994</v>
      </c>
      <c r="W164" s="12">
        <v>71.63</v>
      </c>
      <c r="X164" s="12">
        <v>70.650000000000006</v>
      </c>
      <c r="Y164" s="12">
        <v>68.97</v>
      </c>
      <c r="Z164" s="12">
        <v>67.430000000000007</v>
      </c>
      <c r="AA164" s="12">
        <v>68.790000000000006</v>
      </c>
      <c r="AB164" s="12">
        <v>75.959999999999994</v>
      </c>
      <c r="AC164" s="12">
        <v>85.48</v>
      </c>
      <c r="AD164" s="12">
        <v>82.48</v>
      </c>
      <c r="AE164" s="12">
        <v>78.5</v>
      </c>
      <c r="AF164" s="12">
        <v>68.12</v>
      </c>
      <c r="AG164" s="12">
        <v>80.73</v>
      </c>
      <c r="AH164" s="12">
        <v>85.35</v>
      </c>
      <c r="AI164" s="12">
        <v>94.91</v>
      </c>
      <c r="AJ164" s="12">
        <v>90.04</v>
      </c>
    </row>
    <row r="165" spans="2:36">
      <c r="B165" s="26" t="s">
        <v>194</v>
      </c>
      <c r="C165" s="12">
        <v>21.02</v>
      </c>
      <c r="D165" s="12">
        <v>32.950000000000003</v>
      </c>
      <c r="E165" s="12">
        <v>41.34</v>
      </c>
      <c r="F165" s="12">
        <v>43.22</v>
      </c>
      <c r="G165" s="12">
        <v>50.23</v>
      </c>
      <c r="H165" s="12">
        <v>58.21</v>
      </c>
      <c r="I165" s="12">
        <v>71.11</v>
      </c>
      <c r="J165" s="12">
        <v>78.16</v>
      </c>
      <c r="K165" s="12">
        <v>80.53</v>
      </c>
      <c r="L165" s="12">
        <v>87.98</v>
      </c>
      <c r="M165" s="12">
        <v>81.400000000000006</v>
      </c>
      <c r="N165" s="12">
        <v>78.25</v>
      </c>
      <c r="O165" s="12">
        <v>76.040000000000006</v>
      </c>
      <c r="P165" s="12">
        <v>81.67</v>
      </c>
      <c r="Q165" s="12">
        <v>84.75</v>
      </c>
      <c r="R165" s="12">
        <v>84.86</v>
      </c>
      <c r="S165" s="12">
        <v>84.64</v>
      </c>
      <c r="T165" s="12">
        <v>78.92</v>
      </c>
      <c r="U165" s="12">
        <v>75.040000000000006</v>
      </c>
      <c r="V165" s="12">
        <v>67.959999999999994</v>
      </c>
      <c r="W165" s="12">
        <v>71.63</v>
      </c>
      <c r="X165" s="12">
        <v>70.650000000000006</v>
      </c>
      <c r="Y165" s="12">
        <v>68.97</v>
      </c>
      <c r="Z165" s="12">
        <v>67.430000000000007</v>
      </c>
      <c r="AA165" s="12">
        <v>68.790000000000006</v>
      </c>
      <c r="AB165" s="12">
        <v>75.959999999999994</v>
      </c>
      <c r="AC165" s="12">
        <v>85.48</v>
      </c>
      <c r="AD165" s="12">
        <v>82.48</v>
      </c>
      <c r="AE165" s="12">
        <v>78.5</v>
      </c>
      <c r="AF165" s="12">
        <v>68.12</v>
      </c>
      <c r="AG165" s="12">
        <v>80.73</v>
      </c>
      <c r="AH165" s="12">
        <v>85.35</v>
      </c>
      <c r="AI165" s="12">
        <v>94.91</v>
      </c>
      <c r="AJ165" s="12">
        <v>90.04</v>
      </c>
    </row>
    <row r="166" spans="2:36">
      <c r="B166" s="27" t="s">
        <v>195</v>
      </c>
      <c r="C166" s="12">
        <v>1.22</v>
      </c>
      <c r="D166" s="12">
        <v>0.83</v>
      </c>
      <c r="E166" s="12">
        <v>1</v>
      </c>
      <c r="F166" s="12">
        <v>1.1000000000000001</v>
      </c>
      <c r="G166" s="12">
        <v>1.24</v>
      </c>
      <c r="H166" s="12">
        <v>1.4</v>
      </c>
      <c r="I166" s="12">
        <v>1.53</v>
      </c>
      <c r="J166" s="12">
        <v>1.67</v>
      </c>
      <c r="K166" s="12">
        <v>1.38</v>
      </c>
      <c r="L166" s="12">
        <v>1.43</v>
      </c>
      <c r="M166" s="12">
        <v>1.51</v>
      </c>
      <c r="N166" s="12">
        <v>1.58</v>
      </c>
      <c r="O166" s="12">
        <v>1.78</v>
      </c>
      <c r="P166" s="12">
        <v>1.87</v>
      </c>
      <c r="Q166" s="12">
        <v>2</v>
      </c>
      <c r="R166" s="12">
        <v>2.08</v>
      </c>
      <c r="S166" s="12">
        <v>1.69</v>
      </c>
      <c r="T166" s="12">
        <v>2.36</v>
      </c>
      <c r="U166" s="12">
        <v>2.16</v>
      </c>
      <c r="V166" s="12">
        <v>2.0499999999999998</v>
      </c>
      <c r="W166" s="12">
        <v>2.29</v>
      </c>
      <c r="X166" s="12">
        <v>2.31</v>
      </c>
      <c r="Y166" s="12">
        <v>2.2999999999999998</v>
      </c>
      <c r="Z166" s="12">
        <v>2.4300000000000002</v>
      </c>
      <c r="AA166" s="12">
        <v>2.4300000000000002</v>
      </c>
      <c r="AB166" s="12">
        <v>2.5</v>
      </c>
      <c r="AC166" s="12">
        <v>2.8</v>
      </c>
      <c r="AD166" s="12">
        <v>2.85</v>
      </c>
      <c r="AE166" s="12">
        <v>3</v>
      </c>
      <c r="AF166" s="12">
        <v>3.06</v>
      </c>
      <c r="AG166" s="12">
        <v>1.91</v>
      </c>
      <c r="AH166" s="12">
        <v>1.5</v>
      </c>
      <c r="AI166" s="12">
        <v>1.89</v>
      </c>
      <c r="AJ166" s="12">
        <v>3.06</v>
      </c>
    </row>
    <row r="167" spans="2:36">
      <c r="B167" s="27" t="s">
        <v>196</v>
      </c>
      <c r="C167" s="12">
        <v>19.8</v>
      </c>
      <c r="D167" s="12">
        <v>32.11</v>
      </c>
      <c r="E167" s="12">
        <v>40.35</v>
      </c>
      <c r="F167" s="12">
        <v>42.12</v>
      </c>
      <c r="G167" s="12">
        <v>48.99</v>
      </c>
      <c r="H167" s="12">
        <v>56.81</v>
      </c>
      <c r="I167" s="12">
        <v>69.58</v>
      </c>
      <c r="J167" s="12">
        <v>76.5</v>
      </c>
      <c r="K167" s="12">
        <v>79.150000000000006</v>
      </c>
      <c r="L167" s="12">
        <v>86.56</v>
      </c>
      <c r="M167" s="12">
        <v>79.89</v>
      </c>
      <c r="N167" s="12">
        <v>76.67</v>
      </c>
      <c r="O167" s="12">
        <v>74.260000000000005</v>
      </c>
      <c r="P167" s="12">
        <v>79.790000000000006</v>
      </c>
      <c r="Q167" s="12">
        <v>82.75</v>
      </c>
      <c r="R167" s="12">
        <v>82.78</v>
      </c>
      <c r="S167" s="12">
        <v>82.95</v>
      </c>
      <c r="T167" s="12">
        <v>76.56</v>
      </c>
      <c r="U167" s="12">
        <v>72.88</v>
      </c>
      <c r="V167" s="12">
        <v>65.900000000000006</v>
      </c>
      <c r="W167" s="12">
        <v>69.349999999999994</v>
      </c>
      <c r="X167" s="12">
        <v>68.34</v>
      </c>
      <c r="Y167" s="12">
        <v>66.67</v>
      </c>
      <c r="Z167" s="12">
        <v>65</v>
      </c>
      <c r="AA167" s="12">
        <v>66.36</v>
      </c>
      <c r="AB167" s="12">
        <v>73.459999999999994</v>
      </c>
      <c r="AC167" s="12">
        <v>82.68</v>
      </c>
      <c r="AD167" s="12">
        <v>79.64</v>
      </c>
      <c r="AE167" s="12">
        <v>75.5</v>
      </c>
      <c r="AF167" s="12">
        <v>65.06</v>
      </c>
      <c r="AG167" s="12">
        <v>78.819999999999993</v>
      </c>
      <c r="AH167" s="12">
        <v>83.86</v>
      </c>
      <c r="AI167" s="12">
        <v>93.03</v>
      </c>
      <c r="AJ167" s="12">
        <v>86.99</v>
      </c>
    </row>
    <row r="168" spans="2:36">
      <c r="B168" s="26" t="s">
        <v>197</v>
      </c>
      <c r="C168" s="12" t="s">
        <v>198</v>
      </c>
      <c r="D168" s="12" t="s">
        <v>198</v>
      </c>
      <c r="E168" s="12" t="s">
        <v>198</v>
      </c>
      <c r="F168" s="12" t="s">
        <v>198</v>
      </c>
      <c r="G168" s="12" t="s">
        <v>198</v>
      </c>
      <c r="H168" s="12" t="s">
        <v>198</v>
      </c>
      <c r="I168" s="12" t="s">
        <v>198</v>
      </c>
      <c r="J168" s="12" t="s">
        <v>198</v>
      </c>
      <c r="K168" s="12" t="s">
        <v>198</v>
      </c>
      <c r="L168" s="12" t="s">
        <v>198</v>
      </c>
      <c r="M168" s="12" t="s">
        <v>198</v>
      </c>
      <c r="N168" s="12" t="s">
        <v>198</v>
      </c>
      <c r="O168" s="12" t="s">
        <v>198</v>
      </c>
      <c r="P168" s="12" t="s">
        <v>198</v>
      </c>
      <c r="Q168" s="12" t="s">
        <v>198</v>
      </c>
      <c r="R168" s="12" t="s">
        <v>198</v>
      </c>
      <c r="S168" s="12" t="s">
        <v>198</v>
      </c>
      <c r="T168" s="12" t="s">
        <v>198</v>
      </c>
      <c r="U168" s="12" t="s">
        <v>198</v>
      </c>
      <c r="V168" s="12" t="s">
        <v>198</v>
      </c>
      <c r="W168" s="12" t="s">
        <v>198</v>
      </c>
      <c r="X168" s="12" t="s">
        <v>198</v>
      </c>
      <c r="Y168" s="12" t="s">
        <v>198</v>
      </c>
      <c r="Z168" s="12" t="s">
        <v>198</v>
      </c>
      <c r="AA168" s="12" t="s">
        <v>198</v>
      </c>
      <c r="AB168" s="12" t="s">
        <v>198</v>
      </c>
      <c r="AC168" s="12" t="s">
        <v>198</v>
      </c>
      <c r="AD168" s="12" t="s">
        <v>198</v>
      </c>
      <c r="AE168" s="12" t="s">
        <v>198</v>
      </c>
      <c r="AF168" s="12" t="s">
        <v>198</v>
      </c>
      <c r="AG168" s="12" t="s">
        <v>198</v>
      </c>
      <c r="AH168" s="12" t="s">
        <v>198</v>
      </c>
      <c r="AI168" s="12" t="s">
        <v>198</v>
      </c>
      <c r="AJ168" s="12" t="s">
        <v>198</v>
      </c>
    </row>
    <row r="169" spans="2:36">
      <c r="B169" s="32" t="s">
        <v>232</v>
      </c>
    </row>
    <row r="170" spans="2:36" s="33" customFormat="1" ht="14.5">
      <c r="B170" s="50" t="s">
        <v>200</v>
      </c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</row>
    <row r="171" spans="2:36" s="33" customFormat="1" ht="14.5">
      <c r="B171" s="50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</row>
    <row r="172" spans="2:36" s="33" customFormat="1" ht="14.5">
      <c r="B172" s="20" t="s">
        <v>201</v>
      </c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</row>
    <row r="173" spans="2:36" s="33" customFormat="1" ht="14.5">
      <c r="B173" s="33" t="s">
        <v>202</v>
      </c>
      <c r="AI173" s="36"/>
    </row>
    <row r="174" spans="2:36" s="33" customFormat="1" ht="14.5">
      <c r="B174" s="44" t="s">
        <v>203</v>
      </c>
      <c r="C174" s="44" t="s">
        <v>204</v>
      </c>
      <c r="D174" s="44" t="s">
        <v>205</v>
      </c>
      <c r="E174" s="39" t="s">
        <v>206</v>
      </c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3"/>
      <c r="AI174" s="36"/>
    </row>
    <row r="175" spans="2:36" s="33" customFormat="1" ht="14.5">
      <c r="B175" s="48" t="s">
        <v>233</v>
      </c>
      <c r="C175" s="47" t="s">
        <v>233</v>
      </c>
      <c r="D175" s="47" t="s">
        <v>233</v>
      </c>
      <c r="E175" s="49" t="s">
        <v>233</v>
      </c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1"/>
      <c r="AI175" s="36"/>
    </row>
    <row r="176" spans="2:36" s="33" customFormat="1" ht="14.5"/>
    <row r="177" s="33" customFormat="1" ht="14.5"/>
    <row r="178" s="33" customFormat="1" ht="14.5"/>
    <row r="179" s="33" customFormat="1" ht="14.5"/>
    <row r="180" s="33" customFormat="1" ht="14.5"/>
    <row r="181" s="33" customFormat="1" ht="14.5"/>
    <row r="182" s="33" customFormat="1" ht="14.5"/>
    <row r="183" s="33" customFormat="1" ht="14.5"/>
    <row r="184" s="33" customFormat="1" ht="14.5"/>
    <row r="185" s="33" customFormat="1" ht="14.5"/>
    <row r="186" s="33" customFormat="1" ht="14.5"/>
    <row r="187" s="33" customFormat="1" ht="14.5"/>
    <row r="188" s="33" customFormat="1" ht="14.5"/>
    <row r="189" s="33" customFormat="1" ht="14.5"/>
    <row r="190" s="33" customFormat="1" ht="14.5"/>
    <row r="191" s="33" customFormat="1" ht="14.5"/>
    <row r="192" s="33" customFormat="1" ht="14.5"/>
    <row r="193" s="33" customFormat="1" ht="14.5"/>
  </sheetData>
  <phoneticPr fontId="4" type="noConversion"/>
  <conditionalFormatting sqref="B176:AJ213">
    <cfRule type="cellIs" dxfId="1" priority="1" operator="notEqual">
      <formula>B55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EBF63-5A32-43F1-9DD7-542CBB28C251}">
  <dimension ref="B1:AJ201"/>
  <sheetViews>
    <sheetView zoomScaleNormal="100" workbookViewId="0">
      <pane xSplit="2" ySplit="4" topLeftCell="W116" activePane="bottomRight" state="frozen"/>
      <selection pane="topRight" activeCell="C1" sqref="C1"/>
      <selection pane="bottomLeft" activeCell="A5" sqref="A5"/>
      <selection pane="bottomRight" activeCell="A120" sqref="A120:XFD120"/>
    </sheetView>
  </sheetViews>
  <sheetFormatPr defaultRowHeight="17"/>
  <cols>
    <col min="1" max="1" width="8.6640625" style="30"/>
    <col min="2" max="2" width="48.5" style="30" bestFit="1" customWidth="1"/>
    <col min="3" max="36" width="12.08203125" style="30" customWidth="1"/>
    <col min="37" max="16384" width="8.6640625" style="30"/>
  </cols>
  <sheetData>
    <row r="1" spans="2:36" ht="18" thickBot="1">
      <c r="B1" s="18" t="s">
        <v>234</v>
      </c>
    </row>
    <row r="2" spans="2:36" ht="17.5" thickTop="1"/>
    <row r="4" spans="2:36">
      <c r="B4" s="22" t="s">
        <v>45</v>
      </c>
      <c r="C4" s="22">
        <v>1990</v>
      </c>
      <c r="D4" s="22">
        <v>1991</v>
      </c>
      <c r="E4" s="22">
        <v>1992</v>
      </c>
      <c r="F4" s="22">
        <v>1993</v>
      </c>
      <c r="G4" s="22">
        <v>1994</v>
      </c>
      <c r="H4" s="22">
        <v>1995</v>
      </c>
      <c r="I4" s="22">
        <v>1996</v>
      </c>
      <c r="J4" s="22">
        <v>1997</v>
      </c>
      <c r="K4" s="22">
        <v>1998</v>
      </c>
      <c r="L4" s="22">
        <v>1999</v>
      </c>
      <c r="M4" s="22">
        <v>2000</v>
      </c>
      <c r="N4" s="22">
        <v>2001</v>
      </c>
      <c r="O4" s="22">
        <v>2002</v>
      </c>
      <c r="P4" s="22">
        <v>2003</v>
      </c>
      <c r="Q4" s="22">
        <v>2004</v>
      </c>
      <c r="R4" s="22">
        <v>2005</v>
      </c>
      <c r="S4" s="22">
        <v>2006</v>
      </c>
      <c r="T4" s="22">
        <v>2007</v>
      </c>
      <c r="U4" s="22">
        <v>2008</v>
      </c>
      <c r="V4" s="22">
        <v>2009</v>
      </c>
      <c r="W4" s="22">
        <v>2010</v>
      </c>
      <c r="X4" s="22">
        <v>2011</v>
      </c>
      <c r="Y4" s="22">
        <v>2012</v>
      </c>
      <c r="Z4" s="22">
        <v>2013</v>
      </c>
      <c r="AA4" s="22">
        <v>2014</v>
      </c>
      <c r="AB4" s="22">
        <v>2015</v>
      </c>
      <c r="AC4" s="22">
        <v>2016</v>
      </c>
      <c r="AD4" s="22">
        <v>2017</v>
      </c>
      <c r="AE4" s="22">
        <v>2018</v>
      </c>
      <c r="AF4" s="22">
        <v>2019</v>
      </c>
      <c r="AG4" s="22">
        <v>2020</v>
      </c>
      <c r="AH4" s="22">
        <v>2021</v>
      </c>
      <c r="AI4" s="22">
        <v>2022</v>
      </c>
      <c r="AJ4" s="22">
        <v>2023</v>
      </c>
    </row>
    <row r="5" spans="2:36">
      <c r="B5" s="23" t="s">
        <v>31</v>
      </c>
      <c r="C5" s="10">
        <v>6294.56</v>
      </c>
      <c r="D5" s="10">
        <v>6699.32</v>
      </c>
      <c r="E5" s="10">
        <v>8816.49</v>
      </c>
      <c r="F5" s="10">
        <v>9287.14</v>
      </c>
      <c r="G5" s="10">
        <v>9999.1200000000008</v>
      </c>
      <c r="H5" s="10">
        <v>10848.13</v>
      </c>
      <c r="I5" s="10">
        <v>11812.25</v>
      </c>
      <c r="J5" s="10">
        <v>12726.24</v>
      </c>
      <c r="K5" s="10">
        <v>12953.86</v>
      </c>
      <c r="L5" s="10">
        <v>13845.48</v>
      </c>
      <c r="M5" s="10">
        <v>14784.38</v>
      </c>
      <c r="N5" s="10">
        <v>15050.06</v>
      </c>
      <c r="O5" s="10">
        <v>15067.72</v>
      </c>
      <c r="P5" s="10">
        <v>17781.45</v>
      </c>
      <c r="Q5" s="10">
        <v>19927.77</v>
      </c>
      <c r="R5" s="10">
        <v>18718.7</v>
      </c>
      <c r="S5" s="10">
        <v>17979.990000000002</v>
      </c>
      <c r="T5" s="10">
        <v>10556.59</v>
      </c>
      <c r="U5" s="10">
        <v>9881.24</v>
      </c>
      <c r="V5" s="10">
        <v>10173.44</v>
      </c>
      <c r="W5" s="10">
        <v>10479.91</v>
      </c>
      <c r="X5" s="10">
        <v>9611.41</v>
      </c>
      <c r="Y5" s="10">
        <v>10075.58</v>
      </c>
      <c r="Z5" s="10">
        <v>10089.84</v>
      </c>
      <c r="AA5" s="10">
        <v>10104.719999999999</v>
      </c>
      <c r="AB5" s="10">
        <v>9947.52</v>
      </c>
      <c r="AC5" s="10">
        <v>10196.030000000001</v>
      </c>
      <c r="AD5" s="10">
        <v>10458.959999999999</v>
      </c>
      <c r="AE5" s="10">
        <v>10724.15</v>
      </c>
      <c r="AF5" s="10">
        <v>10844.56</v>
      </c>
      <c r="AG5" s="10">
        <v>10555.6</v>
      </c>
      <c r="AH5" s="10">
        <v>10679.81</v>
      </c>
      <c r="AI5" s="10">
        <v>10587.46</v>
      </c>
      <c r="AJ5" s="10">
        <v>10614.33</v>
      </c>
    </row>
    <row r="6" spans="2:36">
      <c r="B6" s="23" t="s">
        <v>32</v>
      </c>
      <c r="C6" s="10">
        <v>6294.57</v>
      </c>
      <c r="D6" s="10">
        <v>6699.37</v>
      </c>
      <c r="E6" s="10">
        <v>8816.5499999999993</v>
      </c>
      <c r="F6" s="10">
        <v>9287.26</v>
      </c>
      <c r="G6" s="10">
        <v>9999.2099999999991</v>
      </c>
      <c r="H6" s="10">
        <v>10848.2</v>
      </c>
      <c r="I6" s="10">
        <v>11821.38</v>
      </c>
      <c r="J6" s="10">
        <v>12727.26</v>
      </c>
      <c r="K6" s="10">
        <v>12954.97</v>
      </c>
      <c r="L6" s="10">
        <v>13845.64</v>
      </c>
      <c r="M6" s="10">
        <v>14819.06</v>
      </c>
      <c r="N6" s="10">
        <v>15050.92</v>
      </c>
      <c r="O6" s="10">
        <v>15075.93</v>
      </c>
      <c r="P6" s="10">
        <v>17781.52</v>
      </c>
      <c r="Q6" s="10">
        <v>19929.11</v>
      </c>
      <c r="R6" s="10">
        <v>18721.59</v>
      </c>
      <c r="S6" s="10">
        <v>17980.189999999999</v>
      </c>
      <c r="T6" s="10">
        <v>10556.75</v>
      </c>
      <c r="U6" s="10">
        <v>9881.36</v>
      </c>
      <c r="V6" s="10">
        <v>10175.76</v>
      </c>
      <c r="W6" s="10">
        <v>10480.19</v>
      </c>
      <c r="X6" s="10">
        <v>9612.74</v>
      </c>
      <c r="Y6" s="10">
        <v>10075.64</v>
      </c>
      <c r="Z6" s="10">
        <v>10091.52</v>
      </c>
      <c r="AA6" s="10">
        <v>10104.89</v>
      </c>
      <c r="AB6" s="10">
        <v>9948.32</v>
      </c>
      <c r="AC6" s="10">
        <v>10196.200000000001</v>
      </c>
      <c r="AD6" s="10">
        <v>10464.61</v>
      </c>
      <c r="AE6" s="10">
        <v>10726.69</v>
      </c>
      <c r="AF6" s="10">
        <v>10857.16</v>
      </c>
      <c r="AG6" s="10">
        <v>10567.8</v>
      </c>
      <c r="AH6" s="10">
        <v>10679.95</v>
      </c>
      <c r="AI6" s="10">
        <v>10660.68</v>
      </c>
      <c r="AJ6" s="10">
        <v>10625.95</v>
      </c>
    </row>
    <row r="7" spans="2:36">
      <c r="B7" s="24" t="s">
        <v>47</v>
      </c>
      <c r="C7" s="15">
        <v>1245.93</v>
      </c>
      <c r="D7" s="15">
        <v>1351.42</v>
      </c>
      <c r="E7" s="15">
        <v>1491.68</v>
      </c>
      <c r="F7" s="15">
        <v>1765.23</v>
      </c>
      <c r="G7" s="15">
        <v>1886.64</v>
      </c>
      <c r="H7" s="15">
        <v>2075.7199999999998</v>
      </c>
      <c r="I7" s="15">
        <v>2314.34</v>
      </c>
      <c r="J7" s="15">
        <v>2524.1</v>
      </c>
      <c r="K7" s="15">
        <v>2040.1</v>
      </c>
      <c r="L7" s="15">
        <v>2224.3000000000002</v>
      </c>
      <c r="M7" s="15">
        <v>2410.88</v>
      </c>
      <c r="N7" s="15">
        <v>2502.06</v>
      </c>
      <c r="O7" s="15">
        <v>2584.88</v>
      </c>
      <c r="P7" s="15">
        <v>2588.19</v>
      </c>
      <c r="Q7" s="15">
        <v>2579.4699999999998</v>
      </c>
      <c r="R7" s="15">
        <v>2570.0100000000002</v>
      </c>
      <c r="S7" s="15">
        <v>2571.27</v>
      </c>
      <c r="T7" s="15">
        <v>2613.46</v>
      </c>
      <c r="U7" s="15">
        <v>2633.99</v>
      </c>
      <c r="V7" s="15">
        <v>2725.48</v>
      </c>
      <c r="W7" s="15">
        <v>2874.51</v>
      </c>
      <c r="X7" s="15">
        <v>2936.05</v>
      </c>
      <c r="Y7" s="15">
        <v>2921.98</v>
      </c>
      <c r="Z7" s="15">
        <v>2965.97</v>
      </c>
      <c r="AA7" s="15">
        <v>2949.84</v>
      </c>
      <c r="AB7" s="15">
        <v>3020.99</v>
      </c>
      <c r="AC7" s="15">
        <v>3083.79</v>
      </c>
      <c r="AD7" s="15">
        <v>3603.01</v>
      </c>
      <c r="AE7" s="15">
        <v>3725.8</v>
      </c>
      <c r="AF7" s="15">
        <v>3661.15</v>
      </c>
      <c r="AG7" s="15">
        <v>3452.94</v>
      </c>
      <c r="AH7" s="15">
        <v>3595.83</v>
      </c>
      <c r="AI7" s="15">
        <v>3559.39</v>
      </c>
      <c r="AJ7" s="15">
        <v>3557.66</v>
      </c>
    </row>
    <row r="8" spans="2:36">
      <c r="B8" s="25" t="s">
        <v>33</v>
      </c>
      <c r="C8" s="12">
        <v>1245.93</v>
      </c>
      <c r="D8" s="12">
        <v>1351.42</v>
      </c>
      <c r="E8" s="12">
        <v>1491.68</v>
      </c>
      <c r="F8" s="12">
        <v>1765.23</v>
      </c>
      <c r="G8" s="12">
        <v>1886.64</v>
      </c>
      <c r="H8" s="12">
        <v>2075.7199999999998</v>
      </c>
      <c r="I8" s="12">
        <v>2314.34</v>
      </c>
      <c r="J8" s="12">
        <v>2524.1</v>
      </c>
      <c r="K8" s="12">
        <v>2040.1</v>
      </c>
      <c r="L8" s="12">
        <v>2224.3000000000002</v>
      </c>
      <c r="M8" s="12">
        <v>2410.88</v>
      </c>
      <c r="N8" s="12">
        <v>2502.06</v>
      </c>
      <c r="O8" s="12">
        <v>2584.88</v>
      </c>
      <c r="P8" s="12">
        <v>2588.19</v>
      </c>
      <c r="Q8" s="12">
        <v>2579.46</v>
      </c>
      <c r="R8" s="12">
        <v>2569.9899999999998</v>
      </c>
      <c r="S8" s="12">
        <v>2571.2600000000002</v>
      </c>
      <c r="T8" s="12">
        <v>2613.4499999999998</v>
      </c>
      <c r="U8" s="12">
        <v>2633.98</v>
      </c>
      <c r="V8" s="12">
        <v>2725.47</v>
      </c>
      <c r="W8" s="12">
        <v>2874.5</v>
      </c>
      <c r="X8" s="12">
        <v>2936.04</v>
      </c>
      <c r="Y8" s="12">
        <v>2921.97</v>
      </c>
      <c r="Z8" s="12">
        <v>2965.96</v>
      </c>
      <c r="AA8" s="12">
        <v>2949.83</v>
      </c>
      <c r="AB8" s="12">
        <v>3020.98</v>
      </c>
      <c r="AC8" s="12">
        <v>3083.79</v>
      </c>
      <c r="AD8" s="12">
        <v>3603</v>
      </c>
      <c r="AE8" s="12">
        <v>3725.79</v>
      </c>
      <c r="AF8" s="12">
        <v>3661.14</v>
      </c>
      <c r="AG8" s="12">
        <v>3452.94</v>
      </c>
      <c r="AH8" s="12">
        <v>3595.83</v>
      </c>
      <c r="AI8" s="12">
        <v>3559.39</v>
      </c>
      <c r="AJ8" s="12">
        <v>3557.66</v>
      </c>
    </row>
    <row r="9" spans="2:36">
      <c r="B9" s="26" t="s">
        <v>34</v>
      </c>
      <c r="C9" s="13">
        <v>113.84</v>
      </c>
      <c r="D9" s="13">
        <v>129.05000000000001</v>
      </c>
      <c r="E9" s="13">
        <v>147.9</v>
      </c>
      <c r="F9" s="13">
        <v>176.46</v>
      </c>
      <c r="G9" s="13">
        <v>218.61</v>
      </c>
      <c r="H9" s="13">
        <v>243.51</v>
      </c>
      <c r="I9" s="13">
        <v>305.14999999999998</v>
      </c>
      <c r="J9" s="13">
        <v>338.51</v>
      </c>
      <c r="K9" s="13">
        <v>335.63</v>
      </c>
      <c r="L9" s="13">
        <v>366.44</v>
      </c>
      <c r="M9" s="13">
        <v>431.96</v>
      </c>
      <c r="N9" s="13">
        <v>472.42</v>
      </c>
      <c r="O9" s="13">
        <v>505.4</v>
      </c>
      <c r="P9" s="13">
        <v>521.26</v>
      </c>
      <c r="Q9" s="13">
        <v>553.71</v>
      </c>
      <c r="R9" s="13">
        <v>577.96</v>
      </c>
      <c r="S9" s="13">
        <v>601.23</v>
      </c>
      <c r="T9" s="13">
        <v>628.62</v>
      </c>
      <c r="U9" s="13">
        <v>690.91</v>
      </c>
      <c r="V9" s="13">
        <v>776.67</v>
      </c>
      <c r="W9" s="13">
        <v>829.78</v>
      </c>
      <c r="X9" s="13">
        <v>866.94</v>
      </c>
      <c r="Y9" s="13">
        <v>852.37</v>
      </c>
      <c r="Z9" s="13">
        <v>869.44</v>
      </c>
      <c r="AA9" s="13">
        <v>865.87</v>
      </c>
      <c r="AB9" s="13">
        <v>895.78</v>
      </c>
      <c r="AC9" s="13">
        <v>886.84</v>
      </c>
      <c r="AD9" s="13">
        <v>1268.4100000000001</v>
      </c>
      <c r="AE9" s="13">
        <v>1370.08</v>
      </c>
      <c r="AF9" s="13">
        <v>1285.46</v>
      </c>
      <c r="AG9" s="13">
        <v>1138.02</v>
      </c>
      <c r="AH9" s="13">
        <v>1204.73</v>
      </c>
      <c r="AI9" s="13">
        <v>1202.46</v>
      </c>
      <c r="AJ9" s="13">
        <v>1189.42</v>
      </c>
    </row>
    <row r="10" spans="2:36">
      <c r="B10" s="27" t="s">
        <v>48</v>
      </c>
      <c r="C10" s="13">
        <v>106.74</v>
      </c>
      <c r="D10" s="13">
        <v>120.14</v>
      </c>
      <c r="E10" s="13">
        <v>136.76</v>
      </c>
      <c r="F10" s="13">
        <v>163.71</v>
      </c>
      <c r="G10" s="13">
        <v>205.4</v>
      </c>
      <c r="H10" s="13">
        <v>229.14</v>
      </c>
      <c r="I10" s="13">
        <v>288.70999999999998</v>
      </c>
      <c r="J10" s="13">
        <v>320.01</v>
      </c>
      <c r="K10" s="13">
        <v>316.73</v>
      </c>
      <c r="L10" s="13">
        <v>347.24</v>
      </c>
      <c r="M10" s="13">
        <v>413.41</v>
      </c>
      <c r="N10" s="13">
        <v>453.56</v>
      </c>
      <c r="O10" s="13">
        <v>486.92</v>
      </c>
      <c r="P10" s="13">
        <v>503.62</v>
      </c>
      <c r="Q10" s="13">
        <v>535.77</v>
      </c>
      <c r="R10" s="13">
        <v>557.64</v>
      </c>
      <c r="S10" s="13">
        <v>581.17999999999995</v>
      </c>
      <c r="T10" s="13">
        <v>608.5</v>
      </c>
      <c r="U10" s="13">
        <v>671.4</v>
      </c>
      <c r="V10" s="13">
        <v>758.93</v>
      </c>
      <c r="W10" s="13">
        <v>815.16</v>
      </c>
      <c r="X10" s="13">
        <v>851.29</v>
      </c>
      <c r="Y10" s="13">
        <v>838.16</v>
      </c>
      <c r="Z10" s="13">
        <v>855.77</v>
      </c>
      <c r="AA10" s="13">
        <v>853.07</v>
      </c>
      <c r="AB10" s="13">
        <v>883.23</v>
      </c>
      <c r="AC10" s="13">
        <v>871.37</v>
      </c>
      <c r="AD10" s="13">
        <v>1248.8800000000001</v>
      </c>
      <c r="AE10" s="13">
        <v>1352.45</v>
      </c>
      <c r="AF10" s="13">
        <v>1264.9100000000001</v>
      </c>
      <c r="AG10" s="13">
        <v>1119.07</v>
      </c>
      <c r="AH10" s="13">
        <v>1185.8</v>
      </c>
      <c r="AI10" s="13">
        <v>1185.52</v>
      </c>
      <c r="AJ10" s="13">
        <v>1171.6500000000001</v>
      </c>
    </row>
    <row r="11" spans="2:36">
      <c r="B11" s="27" t="s">
        <v>49</v>
      </c>
      <c r="C11" s="13">
        <v>6.72</v>
      </c>
      <c r="D11" s="13">
        <v>8.2200000000000006</v>
      </c>
      <c r="E11" s="13">
        <v>10.210000000000001</v>
      </c>
      <c r="F11" s="13">
        <v>11.4</v>
      </c>
      <c r="G11" s="13">
        <v>11.87</v>
      </c>
      <c r="H11" s="13">
        <v>12.88</v>
      </c>
      <c r="I11" s="13">
        <v>14.99</v>
      </c>
      <c r="J11" s="13">
        <v>16.66</v>
      </c>
      <c r="K11" s="13">
        <v>17.22</v>
      </c>
      <c r="L11" s="13">
        <v>18.18</v>
      </c>
      <c r="M11" s="13">
        <v>17.47</v>
      </c>
      <c r="N11" s="13">
        <v>17.87</v>
      </c>
      <c r="O11" s="13">
        <v>17.79</v>
      </c>
      <c r="P11" s="13">
        <v>16.77</v>
      </c>
      <c r="Q11" s="13">
        <v>16.5</v>
      </c>
      <c r="R11" s="13">
        <v>17.690000000000001</v>
      </c>
      <c r="S11" s="13">
        <v>17.510000000000002</v>
      </c>
      <c r="T11" s="13">
        <v>17.66</v>
      </c>
      <c r="U11" s="13">
        <v>17.39</v>
      </c>
      <c r="V11" s="13">
        <v>15.89</v>
      </c>
      <c r="W11" s="13">
        <v>12.91</v>
      </c>
      <c r="X11" s="13">
        <v>13.08</v>
      </c>
      <c r="Y11" s="13">
        <v>11.33</v>
      </c>
      <c r="Z11" s="13">
        <v>11.21</v>
      </c>
      <c r="AA11" s="13">
        <v>12.14</v>
      </c>
      <c r="AB11" s="13">
        <v>12.02</v>
      </c>
      <c r="AC11" s="13">
        <v>15</v>
      </c>
      <c r="AD11" s="13">
        <v>18.53</v>
      </c>
      <c r="AE11" s="13">
        <v>17.100000000000001</v>
      </c>
      <c r="AF11" s="13">
        <v>18.14</v>
      </c>
      <c r="AG11" s="13">
        <v>18.489999999999998</v>
      </c>
      <c r="AH11" s="13">
        <v>17.940000000000001</v>
      </c>
      <c r="AI11" s="13">
        <v>15.15</v>
      </c>
      <c r="AJ11" s="13">
        <v>15.28</v>
      </c>
    </row>
    <row r="12" spans="2:36">
      <c r="B12" s="27" t="s">
        <v>50</v>
      </c>
      <c r="C12" s="13">
        <v>0.38</v>
      </c>
      <c r="D12" s="13">
        <v>0.69</v>
      </c>
      <c r="E12" s="13">
        <v>0.93</v>
      </c>
      <c r="F12" s="13">
        <v>1.35</v>
      </c>
      <c r="G12" s="13">
        <v>1.34</v>
      </c>
      <c r="H12" s="13">
        <v>1.5</v>
      </c>
      <c r="I12" s="13">
        <v>1.45</v>
      </c>
      <c r="J12" s="13">
        <v>1.84</v>
      </c>
      <c r="K12" s="13">
        <v>1.68</v>
      </c>
      <c r="L12" s="13">
        <v>1.03</v>
      </c>
      <c r="M12" s="13">
        <v>1.07</v>
      </c>
      <c r="N12" s="13">
        <v>1</v>
      </c>
      <c r="O12" s="13">
        <v>0.7</v>
      </c>
      <c r="P12" s="13">
        <v>0.88</v>
      </c>
      <c r="Q12" s="13">
        <v>1.45</v>
      </c>
      <c r="R12" s="13">
        <v>2.63</v>
      </c>
      <c r="S12" s="13">
        <v>2.54</v>
      </c>
      <c r="T12" s="13">
        <v>2.46</v>
      </c>
      <c r="U12" s="13">
        <v>2.12</v>
      </c>
      <c r="V12" s="13">
        <v>1.85</v>
      </c>
      <c r="W12" s="13">
        <v>1.71</v>
      </c>
      <c r="X12" s="13">
        <v>2.57</v>
      </c>
      <c r="Y12" s="13">
        <v>2.88</v>
      </c>
      <c r="Z12" s="13">
        <v>2.46</v>
      </c>
      <c r="AA12" s="13">
        <v>0.67</v>
      </c>
      <c r="AB12" s="13">
        <v>0.54</v>
      </c>
      <c r="AC12" s="13">
        <v>0.46</v>
      </c>
      <c r="AD12" s="13">
        <v>1</v>
      </c>
      <c r="AE12" s="13">
        <v>0.52</v>
      </c>
      <c r="AF12" s="13">
        <v>2.4</v>
      </c>
      <c r="AG12" s="13">
        <v>0.46</v>
      </c>
      <c r="AH12" s="13">
        <v>0.99</v>
      </c>
      <c r="AI12" s="13">
        <v>1.78</v>
      </c>
      <c r="AJ12" s="13">
        <v>2.4900000000000002</v>
      </c>
    </row>
    <row r="13" spans="2:36">
      <c r="B13" s="26" t="s">
        <v>35</v>
      </c>
      <c r="C13" s="13">
        <v>165.77</v>
      </c>
      <c r="D13" s="13">
        <v>192.15</v>
      </c>
      <c r="E13" s="13">
        <v>196.11</v>
      </c>
      <c r="F13" s="13">
        <v>223.76</v>
      </c>
      <c r="G13" s="13">
        <v>232.22</v>
      </c>
      <c r="H13" s="13">
        <v>234.26</v>
      </c>
      <c r="I13" s="13">
        <v>259.13</v>
      </c>
      <c r="J13" s="13">
        <v>264.01</v>
      </c>
      <c r="K13" s="13">
        <v>232.64</v>
      </c>
      <c r="L13" s="13">
        <v>237.5</v>
      </c>
      <c r="M13" s="13">
        <v>267.89</v>
      </c>
      <c r="N13" s="13">
        <v>268.02999999999997</v>
      </c>
      <c r="O13" s="13">
        <v>261.24</v>
      </c>
      <c r="P13" s="13">
        <v>278.32</v>
      </c>
      <c r="Q13" s="13">
        <v>285.52</v>
      </c>
      <c r="R13" s="13">
        <v>266.06</v>
      </c>
      <c r="S13" s="13">
        <v>278.95</v>
      </c>
      <c r="T13" s="13">
        <v>297.70999999999998</v>
      </c>
      <c r="U13" s="13">
        <v>313.38</v>
      </c>
      <c r="V13" s="13">
        <v>296.70999999999998</v>
      </c>
      <c r="W13" s="13">
        <v>335.54</v>
      </c>
      <c r="X13" s="13">
        <v>360.44</v>
      </c>
      <c r="Y13" s="13">
        <v>330.44</v>
      </c>
      <c r="Z13" s="13">
        <v>315.19</v>
      </c>
      <c r="AA13" s="13">
        <v>354.93</v>
      </c>
      <c r="AB13" s="13">
        <v>357.82</v>
      </c>
      <c r="AC13" s="13">
        <v>370.36</v>
      </c>
      <c r="AD13" s="13">
        <v>474.61</v>
      </c>
      <c r="AE13" s="13">
        <v>485.55</v>
      </c>
      <c r="AF13" s="13">
        <v>470.1</v>
      </c>
      <c r="AG13" s="13">
        <v>458.43</v>
      </c>
      <c r="AH13" s="13">
        <v>486.75</v>
      </c>
      <c r="AI13" s="13">
        <v>462.37</v>
      </c>
      <c r="AJ13" s="13">
        <v>463.63</v>
      </c>
    </row>
    <row r="14" spans="2:36">
      <c r="B14" s="27" t="s">
        <v>51</v>
      </c>
      <c r="C14" s="13">
        <v>17.71</v>
      </c>
      <c r="D14" s="13">
        <v>27.72</v>
      </c>
      <c r="E14" s="13">
        <v>30.83</v>
      </c>
      <c r="F14" s="13">
        <v>33.82</v>
      </c>
      <c r="G14" s="13">
        <v>34.68</v>
      </c>
      <c r="H14" s="13">
        <v>35.4</v>
      </c>
      <c r="I14" s="13">
        <v>35.6</v>
      </c>
      <c r="J14" s="13">
        <v>31.96</v>
      </c>
      <c r="K14" s="13">
        <v>31.29</v>
      </c>
      <c r="L14" s="13">
        <v>34.840000000000003</v>
      </c>
      <c r="M14" s="13">
        <v>34.770000000000003</v>
      </c>
      <c r="N14" s="13">
        <v>34.78</v>
      </c>
      <c r="O14" s="13">
        <v>35.630000000000003</v>
      </c>
      <c r="P14" s="13">
        <v>37.07</v>
      </c>
      <c r="Q14" s="13">
        <v>42.45</v>
      </c>
      <c r="R14" s="13">
        <v>27.5</v>
      </c>
      <c r="S14" s="13">
        <v>29.01</v>
      </c>
      <c r="T14" s="13">
        <v>44.26</v>
      </c>
      <c r="U14" s="13">
        <v>50.53</v>
      </c>
      <c r="V14" s="13">
        <v>40.32</v>
      </c>
      <c r="W14" s="13">
        <v>57.5</v>
      </c>
      <c r="X14" s="13">
        <v>54.92</v>
      </c>
      <c r="Y14" s="13">
        <v>49.88</v>
      </c>
      <c r="Z14" s="13">
        <v>30.25</v>
      </c>
      <c r="AA14" s="13">
        <v>34.299999999999997</v>
      </c>
      <c r="AB14" s="13">
        <v>40.26</v>
      </c>
      <c r="AC14" s="13">
        <v>33.14</v>
      </c>
      <c r="AD14" s="13">
        <v>90.47</v>
      </c>
      <c r="AE14" s="13">
        <v>98.33</v>
      </c>
      <c r="AF14" s="13">
        <v>93.78</v>
      </c>
      <c r="AG14" s="13">
        <v>90.93</v>
      </c>
      <c r="AH14" s="13">
        <v>90.47</v>
      </c>
      <c r="AI14" s="13">
        <v>81.41</v>
      </c>
      <c r="AJ14" s="13">
        <v>80.23</v>
      </c>
    </row>
    <row r="15" spans="2:36">
      <c r="B15" s="27" t="s">
        <v>52</v>
      </c>
      <c r="C15" s="13">
        <v>1.36</v>
      </c>
      <c r="D15" s="13">
        <v>1.32</v>
      </c>
      <c r="E15" s="13">
        <v>1.02</v>
      </c>
      <c r="F15" s="13">
        <v>0.99</v>
      </c>
      <c r="G15" s="13">
        <v>3.01</v>
      </c>
      <c r="H15" s="13">
        <v>3.03</v>
      </c>
      <c r="I15" s="13">
        <v>3.23</v>
      </c>
      <c r="J15" s="13">
        <v>2.57</v>
      </c>
      <c r="K15" s="13">
        <v>2.71</v>
      </c>
      <c r="L15" s="13">
        <v>2.58</v>
      </c>
      <c r="M15" s="13">
        <v>3.63</v>
      </c>
      <c r="N15" s="13">
        <v>3.47</v>
      </c>
      <c r="O15" s="13">
        <v>3.66</v>
      </c>
      <c r="P15" s="13">
        <v>4.5199999999999996</v>
      </c>
      <c r="Q15" s="13">
        <v>4.54</v>
      </c>
      <c r="R15" s="13">
        <v>4.28</v>
      </c>
      <c r="S15" s="13">
        <v>4.41</v>
      </c>
      <c r="T15" s="13">
        <v>5.35</v>
      </c>
      <c r="U15" s="13">
        <v>6.19</v>
      </c>
      <c r="V15" s="13">
        <v>8.73</v>
      </c>
      <c r="W15" s="13">
        <v>6.93</v>
      </c>
      <c r="X15" s="13">
        <v>7.98</v>
      </c>
      <c r="Y15" s="13">
        <v>6.9</v>
      </c>
      <c r="Z15" s="13">
        <v>7.21</v>
      </c>
      <c r="AA15" s="13">
        <v>7.53</v>
      </c>
      <c r="AB15" s="13">
        <v>8.1</v>
      </c>
      <c r="AC15" s="13">
        <v>8.32</v>
      </c>
      <c r="AD15" s="13">
        <v>8.9499999999999993</v>
      </c>
      <c r="AE15" s="13">
        <v>9.1</v>
      </c>
      <c r="AF15" s="13">
        <v>9.0299999999999994</v>
      </c>
      <c r="AG15" s="13">
        <v>9.6</v>
      </c>
      <c r="AH15" s="13">
        <v>12.1</v>
      </c>
      <c r="AI15" s="13">
        <v>10.69</v>
      </c>
      <c r="AJ15" s="13">
        <v>10.51</v>
      </c>
    </row>
    <row r="16" spans="2:36">
      <c r="B16" s="27" t="s">
        <v>53</v>
      </c>
      <c r="C16" s="13">
        <v>20.92</v>
      </c>
      <c r="D16" s="13">
        <v>24.15</v>
      </c>
      <c r="E16" s="13">
        <v>24.88</v>
      </c>
      <c r="F16" s="13">
        <v>28.33</v>
      </c>
      <c r="G16" s="13">
        <v>29.77</v>
      </c>
      <c r="H16" s="13">
        <v>29.55</v>
      </c>
      <c r="I16" s="13">
        <v>34.74</v>
      </c>
      <c r="J16" s="13">
        <v>47.25</v>
      </c>
      <c r="K16" s="13">
        <v>40.39</v>
      </c>
      <c r="L16" s="13">
        <v>41.75</v>
      </c>
      <c r="M16" s="13">
        <v>43.25</v>
      </c>
      <c r="N16" s="13">
        <v>43.29</v>
      </c>
      <c r="O16" s="13">
        <v>42.58</v>
      </c>
      <c r="P16" s="13">
        <v>47.27</v>
      </c>
      <c r="Q16" s="13">
        <v>55.06</v>
      </c>
      <c r="R16" s="13">
        <v>49.34</v>
      </c>
      <c r="S16" s="13">
        <v>48.36</v>
      </c>
      <c r="T16" s="13">
        <v>49.52</v>
      </c>
      <c r="U16" s="13">
        <v>48.91</v>
      </c>
      <c r="V16" s="13">
        <v>51.76</v>
      </c>
      <c r="W16" s="13">
        <v>57.73</v>
      </c>
      <c r="X16" s="13">
        <v>67.56</v>
      </c>
      <c r="Y16" s="13">
        <v>57.53</v>
      </c>
      <c r="Z16" s="13">
        <v>51.34</v>
      </c>
      <c r="AA16" s="13">
        <v>63.27</v>
      </c>
      <c r="AB16" s="13">
        <v>59.91</v>
      </c>
      <c r="AC16" s="13">
        <v>75.27</v>
      </c>
      <c r="AD16" s="13">
        <v>117.72</v>
      </c>
      <c r="AE16" s="13">
        <v>137.24</v>
      </c>
      <c r="AF16" s="13">
        <v>122.95</v>
      </c>
      <c r="AG16" s="13">
        <v>120.66</v>
      </c>
      <c r="AH16" s="13">
        <v>143.12</v>
      </c>
      <c r="AI16" s="13">
        <v>125.96</v>
      </c>
      <c r="AJ16" s="13">
        <v>121.97</v>
      </c>
    </row>
    <row r="17" spans="2:36">
      <c r="B17" s="27" t="s">
        <v>54</v>
      </c>
      <c r="C17" s="12">
        <v>6.62</v>
      </c>
      <c r="D17" s="12">
        <v>6.05</v>
      </c>
      <c r="E17" s="12">
        <v>6.95</v>
      </c>
      <c r="F17" s="12">
        <v>7.44</v>
      </c>
      <c r="G17" s="12">
        <v>8.49</v>
      </c>
      <c r="H17" s="12">
        <v>8.86</v>
      </c>
      <c r="I17" s="12">
        <v>9.43</v>
      </c>
      <c r="J17" s="12">
        <v>9.41</v>
      </c>
      <c r="K17" s="12">
        <v>8.49</v>
      </c>
      <c r="L17" s="12">
        <v>8.61</v>
      </c>
      <c r="M17" s="12">
        <v>7.82</v>
      </c>
      <c r="N17" s="12">
        <v>7.11</v>
      </c>
      <c r="O17" s="12">
        <v>7.31</v>
      </c>
      <c r="P17" s="12">
        <v>7.47</v>
      </c>
      <c r="Q17" s="12">
        <v>7.2</v>
      </c>
      <c r="R17" s="12">
        <v>12.51</v>
      </c>
      <c r="S17" s="12">
        <v>10.65</v>
      </c>
      <c r="T17" s="12">
        <v>10.07</v>
      </c>
      <c r="U17" s="12">
        <v>8.48</v>
      </c>
      <c r="V17" s="12">
        <v>6.62</v>
      </c>
      <c r="W17" s="12">
        <v>5.76</v>
      </c>
      <c r="X17" s="12">
        <v>3.87</v>
      </c>
      <c r="Y17" s="12">
        <v>13.75</v>
      </c>
      <c r="Z17" s="12">
        <v>14.19</v>
      </c>
      <c r="AA17" s="12">
        <v>27.87</v>
      </c>
      <c r="AB17" s="12">
        <v>18.95</v>
      </c>
      <c r="AC17" s="12">
        <v>20.76</v>
      </c>
      <c r="AD17" s="12">
        <v>24.16</v>
      </c>
      <c r="AE17" s="12">
        <v>23.75</v>
      </c>
      <c r="AF17" s="12">
        <v>23.35</v>
      </c>
      <c r="AG17" s="12">
        <v>22.75</v>
      </c>
      <c r="AH17" s="12">
        <v>24.16</v>
      </c>
      <c r="AI17" s="12">
        <v>23.49</v>
      </c>
      <c r="AJ17" s="12">
        <v>26.92</v>
      </c>
    </row>
    <row r="18" spans="2:36">
      <c r="B18" s="27" t="s">
        <v>55</v>
      </c>
      <c r="C18" s="12">
        <v>8.9499999999999993</v>
      </c>
      <c r="D18" s="12">
        <v>9.19</v>
      </c>
      <c r="E18" s="12">
        <v>10.06</v>
      </c>
      <c r="F18" s="12">
        <v>10.78</v>
      </c>
      <c r="G18" s="12">
        <v>10.52</v>
      </c>
      <c r="H18" s="12">
        <v>11.61</v>
      </c>
      <c r="I18" s="12">
        <v>11.04</v>
      </c>
      <c r="J18" s="12">
        <v>9.9499999999999993</v>
      </c>
      <c r="K18" s="12">
        <v>8.6199999999999992</v>
      </c>
      <c r="L18" s="12">
        <v>6.73</v>
      </c>
      <c r="M18" s="12">
        <v>6.61</v>
      </c>
      <c r="N18" s="12">
        <v>6.03</v>
      </c>
      <c r="O18" s="12">
        <v>5.69</v>
      </c>
      <c r="P18" s="12">
        <v>5.32</v>
      </c>
      <c r="Q18" s="12">
        <v>5.19</v>
      </c>
      <c r="R18" s="12">
        <v>5.21</v>
      </c>
      <c r="S18" s="12">
        <v>4.74</v>
      </c>
      <c r="T18" s="12">
        <v>4.2699999999999996</v>
      </c>
      <c r="U18" s="12">
        <v>3.23</v>
      </c>
      <c r="V18" s="12">
        <v>3.18</v>
      </c>
      <c r="W18" s="12">
        <v>3.19</v>
      </c>
      <c r="X18" s="12">
        <v>2.73</v>
      </c>
      <c r="Y18" s="12">
        <v>2.61</v>
      </c>
      <c r="Z18" s="12">
        <v>2.2599999999999998</v>
      </c>
      <c r="AA18" s="12">
        <v>3.93</v>
      </c>
      <c r="AB18" s="12">
        <v>6.26</v>
      </c>
      <c r="AC18" s="12">
        <v>6.97</v>
      </c>
      <c r="AD18" s="12">
        <v>6.31</v>
      </c>
      <c r="AE18" s="12">
        <v>5.99</v>
      </c>
      <c r="AF18" s="12">
        <v>3.44</v>
      </c>
      <c r="AG18" s="12">
        <v>4.17</v>
      </c>
      <c r="AH18" s="12">
        <v>3.89</v>
      </c>
      <c r="AI18" s="12">
        <v>4.22</v>
      </c>
      <c r="AJ18" s="12">
        <v>3.8</v>
      </c>
    </row>
    <row r="19" spans="2:36">
      <c r="B19" s="27" t="s">
        <v>56</v>
      </c>
      <c r="C19" s="12">
        <v>53.37</v>
      </c>
      <c r="D19" s="12">
        <v>61.83</v>
      </c>
      <c r="E19" s="12">
        <v>66.849999999999994</v>
      </c>
      <c r="F19" s="12">
        <v>77.78</v>
      </c>
      <c r="G19" s="12">
        <v>83.31</v>
      </c>
      <c r="H19" s="12">
        <v>84.08</v>
      </c>
      <c r="I19" s="12">
        <v>72.55</v>
      </c>
      <c r="J19" s="12">
        <v>81.16</v>
      </c>
      <c r="K19" s="12">
        <v>61.05</v>
      </c>
      <c r="L19" s="12">
        <v>63.04</v>
      </c>
      <c r="M19" s="12">
        <v>80.61</v>
      </c>
      <c r="N19" s="12">
        <v>81.33</v>
      </c>
      <c r="O19" s="12">
        <v>75.45</v>
      </c>
      <c r="P19" s="12">
        <v>82.95</v>
      </c>
      <c r="Q19" s="12">
        <v>80.37</v>
      </c>
      <c r="R19" s="12">
        <v>73.91</v>
      </c>
      <c r="S19" s="12">
        <v>75.39</v>
      </c>
      <c r="T19" s="12">
        <v>75.91</v>
      </c>
      <c r="U19" s="12">
        <v>86.7</v>
      </c>
      <c r="V19" s="12">
        <v>76.95</v>
      </c>
      <c r="W19" s="12">
        <v>83.55</v>
      </c>
      <c r="X19" s="12">
        <v>87.1</v>
      </c>
      <c r="Y19" s="12">
        <v>85.27</v>
      </c>
      <c r="Z19" s="12">
        <v>91.84</v>
      </c>
      <c r="AA19" s="12">
        <v>91.9</v>
      </c>
      <c r="AB19" s="12">
        <v>91.77</v>
      </c>
      <c r="AC19" s="12">
        <v>84.31</v>
      </c>
      <c r="AD19" s="12">
        <v>76.62</v>
      </c>
      <c r="AE19" s="12">
        <v>70.44</v>
      </c>
      <c r="AF19" s="12">
        <v>77.72</v>
      </c>
      <c r="AG19" s="12">
        <v>73.150000000000006</v>
      </c>
      <c r="AH19" s="12">
        <v>78.930000000000007</v>
      </c>
      <c r="AI19" s="12">
        <v>85.48</v>
      </c>
      <c r="AJ19" s="12">
        <v>96.24</v>
      </c>
    </row>
    <row r="20" spans="2:36">
      <c r="B20" s="27" t="s">
        <v>57</v>
      </c>
      <c r="C20" s="12">
        <v>56.83</v>
      </c>
      <c r="D20" s="12">
        <v>61.89</v>
      </c>
      <c r="E20" s="12">
        <v>55.53</v>
      </c>
      <c r="F20" s="12">
        <v>64.61</v>
      </c>
      <c r="G20" s="12">
        <v>62.45</v>
      </c>
      <c r="H20" s="12">
        <v>61.73</v>
      </c>
      <c r="I20" s="12">
        <v>92.54</v>
      </c>
      <c r="J20" s="12">
        <v>81.709999999999994</v>
      </c>
      <c r="K20" s="12">
        <v>80.08</v>
      </c>
      <c r="L20" s="12">
        <v>79.95</v>
      </c>
      <c r="M20" s="12">
        <v>91.2</v>
      </c>
      <c r="N20" s="12">
        <v>92.01</v>
      </c>
      <c r="O20" s="12">
        <v>90.92</v>
      </c>
      <c r="P20" s="12">
        <v>93.72</v>
      </c>
      <c r="Q20" s="12">
        <v>90.72</v>
      </c>
      <c r="R20" s="12">
        <v>93.32</v>
      </c>
      <c r="S20" s="12">
        <v>106.39</v>
      </c>
      <c r="T20" s="12">
        <v>108.32</v>
      </c>
      <c r="U20" s="12">
        <v>109.35</v>
      </c>
      <c r="V20" s="12">
        <v>109.17</v>
      </c>
      <c r="W20" s="12">
        <v>120.87</v>
      </c>
      <c r="X20" s="12">
        <v>136.28</v>
      </c>
      <c r="Y20" s="12">
        <v>114.51</v>
      </c>
      <c r="Z20" s="12">
        <v>118.11</v>
      </c>
      <c r="AA20" s="12">
        <v>126.15</v>
      </c>
      <c r="AB20" s="12">
        <v>132.56</v>
      </c>
      <c r="AC20" s="12">
        <v>141.6</v>
      </c>
      <c r="AD20" s="12">
        <v>150.38</v>
      </c>
      <c r="AE20" s="12">
        <v>140.71</v>
      </c>
      <c r="AF20" s="12">
        <v>139.83000000000001</v>
      </c>
      <c r="AG20" s="12">
        <v>137.18</v>
      </c>
      <c r="AH20" s="12">
        <v>134.09</v>
      </c>
      <c r="AI20" s="12">
        <v>131.11000000000001</v>
      </c>
      <c r="AJ20" s="12">
        <v>123.96</v>
      </c>
    </row>
    <row r="21" spans="2:36">
      <c r="B21" s="27" t="s">
        <v>58</v>
      </c>
      <c r="C21" s="12">
        <v>5.34</v>
      </c>
      <c r="D21" s="12">
        <v>5.81</v>
      </c>
      <c r="E21" s="12">
        <v>6.67</v>
      </c>
      <c r="F21" s="12">
        <v>10.48</v>
      </c>
      <c r="G21" s="12">
        <v>7.57</v>
      </c>
      <c r="H21" s="12">
        <v>8.16</v>
      </c>
      <c r="I21" s="12">
        <v>8.82</v>
      </c>
      <c r="J21" s="12">
        <v>8.4499999999999993</v>
      </c>
      <c r="K21" s="12">
        <v>6.29</v>
      </c>
      <c r="L21" s="12">
        <v>6.61</v>
      </c>
      <c r="M21" s="12">
        <v>4.8499999999999996</v>
      </c>
      <c r="N21" s="12">
        <v>4.29</v>
      </c>
      <c r="O21" s="12">
        <v>4.29</v>
      </c>
      <c r="P21" s="12">
        <v>4.1900000000000004</v>
      </c>
      <c r="Q21" s="12">
        <v>4.38</v>
      </c>
      <c r="R21" s="12">
        <v>5.22</v>
      </c>
      <c r="S21" s="12">
        <v>5.0599999999999996</v>
      </c>
      <c r="T21" s="12">
        <v>4.58</v>
      </c>
      <c r="U21" s="12">
        <v>4.88</v>
      </c>
      <c r="V21" s="12">
        <v>4.6399999999999997</v>
      </c>
      <c r="W21" s="12">
        <v>5.69</v>
      </c>
      <c r="X21" s="12">
        <v>4.8099999999999996</v>
      </c>
      <c r="Y21" s="12">
        <v>4.33</v>
      </c>
      <c r="Z21" s="12">
        <v>4.29</v>
      </c>
      <c r="AA21" s="12">
        <v>5.27</v>
      </c>
      <c r="AB21" s="12">
        <v>2.68</v>
      </c>
      <c r="AC21" s="12">
        <v>4.88</v>
      </c>
      <c r="AD21" s="12">
        <v>15.03</v>
      </c>
      <c r="AE21" s="12">
        <v>15.46</v>
      </c>
      <c r="AF21" s="12">
        <v>22.25</v>
      </c>
      <c r="AG21" s="12">
        <v>23.22</v>
      </c>
      <c r="AH21" s="12">
        <v>17.16</v>
      </c>
      <c r="AI21" s="12">
        <v>22.58</v>
      </c>
      <c r="AJ21" s="12">
        <v>23.57</v>
      </c>
    </row>
    <row r="22" spans="2:36">
      <c r="B22" s="27" t="s">
        <v>59</v>
      </c>
      <c r="C22" s="12">
        <v>2.77</v>
      </c>
      <c r="D22" s="12">
        <v>3.92</v>
      </c>
      <c r="E22" s="12">
        <v>4.07</v>
      </c>
      <c r="F22" s="12">
        <v>4.4000000000000004</v>
      </c>
      <c r="G22" s="12">
        <v>4.88</v>
      </c>
      <c r="H22" s="12">
        <v>4.78</v>
      </c>
      <c r="I22" s="12">
        <v>5.41</v>
      </c>
      <c r="J22" s="12">
        <v>7.05</v>
      </c>
      <c r="K22" s="12">
        <v>7.5</v>
      </c>
      <c r="L22" s="12">
        <v>9.59</v>
      </c>
      <c r="M22" s="12">
        <v>9.58</v>
      </c>
      <c r="N22" s="12">
        <v>9.1999999999999993</v>
      </c>
      <c r="O22" s="12">
        <v>7.6</v>
      </c>
      <c r="P22" s="12">
        <v>5.49</v>
      </c>
      <c r="Q22" s="12">
        <v>3.45</v>
      </c>
      <c r="R22" s="12">
        <v>2.4700000000000002</v>
      </c>
      <c r="S22" s="12">
        <v>2.4</v>
      </c>
      <c r="T22" s="12">
        <v>3.8</v>
      </c>
      <c r="U22" s="12">
        <v>5.19</v>
      </c>
      <c r="V22" s="12">
        <v>4.6500000000000004</v>
      </c>
      <c r="W22" s="12">
        <v>5.34</v>
      </c>
      <c r="X22" s="12">
        <v>6.41</v>
      </c>
      <c r="Y22" s="12">
        <v>5.82</v>
      </c>
      <c r="Z22" s="12">
        <v>5.66</v>
      </c>
      <c r="AA22" s="12">
        <v>6.14</v>
      </c>
      <c r="AB22" s="12">
        <v>5.78</v>
      </c>
      <c r="AC22" s="12">
        <v>23.35</v>
      </c>
      <c r="AD22" s="12">
        <v>25.76</v>
      </c>
      <c r="AE22" s="12">
        <v>7.2</v>
      </c>
      <c r="AF22" s="12">
        <v>7.99</v>
      </c>
      <c r="AG22" s="12">
        <v>9.1</v>
      </c>
      <c r="AH22" s="12">
        <v>8.84</v>
      </c>
      <c r="AI22" s="12">
        <v>8.8800000000000008</v>
      </c>
      <c r="AJ22" s="12">
        <v>9.99</v>
      </c>
    </row>
    <row r="23" spans="2:36">
      <c r="B23" s="27" t="s">
        <v>60</v>
      </c>
      <c r="C23" s="12">
        <v>2.27</v>
      </c>
      <c r="D23" s="12">
        <v>1.94</v>
      </c>
      <c r="E23" s="12">
        <v>1.76</v>
      </c>
      <c r="F23" s="12">
        <v>1.28</v>
      </c>
      <c r="G23" s="12">
        <v>1.37</v>
      </c>
      <c r="H23" s="12">
        <v>1.27</v>
      </c>
      <c r="I23" s="12">
        <v>1.1599999999999999</v>
      </c>
      <c r="J23" s="12">
        <v>0.84</v>
      </c>
      <c r="K23" s="12">
        <v>0.81</v>
      </c>
      <c r="L23" s="12">
        <v>0.59</v>
      </c>
      <c r="M23" s="12">
        <v>0.73</v>
      </c>
      <c r="N23" s="12">
        <v>0.76</v>
      </c>
      <c r="O23" s="12">
        <v>0.76</v>
      </c>
      <c r="P23" s="12">
        <v>0.81</v>
      </c>
      <c r="Q23" s="12">
        <v>0.57999999999999996</v>
      </c>
      <c r="R23" s="12">
        <v>0.67</v>
      </c>
      <c r="S23" s="12">
        <v>0.71</v>
      </c>
      <c r="T23" s="12">
        <v>0.68</v>
      </c>
      <c r="U23" s="12">
        <v>0.66</v>
      </c>
      <c r="V23" s="12">
        <v>0.72</v>
      </c>
      <c r="W23" s="12">
        <v>1</v>
      </c>
      <c r="X23" s="12">
        <v>1.04</v>
      </c>
      <c r="Y23" s="12">
        <v>1.23</v>
      </c>
      <c r="Z23" s="12">
        <v>1.52</v>
      </c>
      <c r="AA23" s="12">
        <v>1.43</v>
      </c>
      <c r="AB23" s="12">
        <v>1.24</v>
      </c>
      <c r="AC23" s="12">
        <v>1.21</v>
      </c>
      <c r="AD23" s="12">
        <v>1.1299999999999999</v>
      </c>
      <c r="AE23" s="12">
        <v>1.28</v>
      </c>
      <c r="AF23" s="12">
        <v>1.34</v>
      </c>
      <c r="AG23" s="12">
        <v>1.45</v>
      </c>
      <c r="AH23" s="12">
        <v>1.26</v>
      </c>
      <c r="AI23" s="12">
        <v>1.18</v>
      </c>
      <c r="AJ23" s="12">
        <v>1.38</v>
      </c>
    </row>
    <row r="24" spans="2:36">
      <c r="B24" s="27" t="s">
        <v>61</v>
      </c>
      <c r="C24" s="12">
        <v>0.55000000000000004</v>
      </c>
      <c r="D24" s="12">
        <v>0.59</v>
      </c>
      <c r="E24" s="12">
        <v>0.56999999999999995</v>
      </c>
      <c r="F24" s="12">
        <v>0.3</v>
      </c>
      <c r="G24" s="12">
        <v>0.8</v>
      </c>
      <c r="H24" s="12">
        <v>2.11</v>
      </c>
      <c r="I24" s="12">
        <v>1.27</v>
      </c>
      <c r="J24" s="12">
        <v>1.92</v>
      </c>
      <c r="K24" s="12">
        <v>3.01</v>
      </c>
      <c r="L24" s="12">
        <v>3.43</v>
      </c>
      <c r="M24" s="12">
        <v>3.25</v>
      </c>
      <c r="N24" s="12">
        <v>3.35</v>
      </c>
      <c r="O24" s="12">
        <v>4.45</v>
      </c>
      <c r="P24" s="12">
        <v>4.88</v>
      </c>
      <c r="Q24" s="12">
        <v>4.4800000000000004</v>
      </c>
      <c r="R24" s="12">
        <v>3.61</v>
      </c>
      <c r="S24" s="12">
        <v>4.43</v>
      </c>
      <c r="T24" s="12">
        <v>4.5</v>
      </c>
      <c r="U24" s="12">
        <v>3.96</v>
      </c>
      <c r="V24" s="12">
        <v>4.03</v>
      </c>
      <c r="W24" s="12">
        <v>3.76</v>
      </c>
      <c r="X24" s="12">
        <v>4.66</v>
      </c>
      <c r="Y24" s="12">
        <v>5.51</v>
      </c>
      <c r="Z24" s="12">
        <v>7.31</v>
      </c>
      <c r="AA24" s="12">
        <v>6.98</v>
      </c>
      <c r="AB24" s="12">
        <v>12.27</v>
      </c>
      <c r="AC24" s="12">
        <v>7.31</v>
      </c>
      <c r="AD24" s="12">
        <v>5.97</v>
      </c>
      <c r="AE24" s="12">
        <v>3.96</v>
      </c>
      <c r="AF24" s="12">
        <v>4.78</v>
      </c>
      <c r="AG24" s="12">
        <v>4.99</v>
      </c>
      <c r="AH24" s="12">
        <v>4.07</v>
      </c>
      <c r="AI24" s="12">
        <v>4.8</v>
      </c>
      <c r="AJ24" s="12">
        <v>2.59</v>
      </c>
    </row>
    <row r="25" spans="2:36">
      <c r="B25" s="27" t="s">
        <v>62</v>
      </c>
      <c r="C25" s="12">
        <v>15.54</v>
      </c>
      <c r="D25" s="12">
        <v>15.95</v>
      </c>
      <c r="E25" s="12">
        <v>13.1</v>
      </c>
      <c r="F25" s="12">
        <v>13.82</v>
      </c>
      <c r="G25" s="12">
        <v>11.97</v>
      </c>
      <c r="H25" s="12">
        <v>11.13</v>
      </c>
      <c r="I25" s="12">
        <v>10.72</v>
      </c>
      <c r="J25" s="12">
        <v>11.22</v>
      </c>
      <c r="K25" s="12">
        <v>8.4700000000000006</v>
      </c>
      <c r="L25" s="12">
        <v>8.17</v>
      </c>
      <c r="M25" s="12">
        <v>12.4</v>
      </c>
      <c r="N25" s="12">
        <v>11.36</v>
      </c>
      <c r="O25" s="12">
        <v>13.69</v>
      </c>
      <c r="P25" s="12">
        <v>15.14</v>
      </c>
      <c r="Q25" s="12">
        <v>16.809999999999999</v>
      </c>
      <c r="R25" s="12">
        <v>17.89</v>
      </c>
      <c r="S25" s="12">
        <v>29.12</v>
      </c>
      <c r="T25" s="12">
        <v>28.78</v>
      </c>
      <c r="U25" s="12">
        <v>27.92</v>
      </c>
      <c r="V25" s="12">
        <v>28.15</v>
      </c>
      <c r="W25" s="12">
        <v>30.3</v>
      </c>
      <c r="X25" s="12">
        <v>30.98</v>
      </c>
      <c r="Y25" s="12">
        <v>27.39</v>
      </c>
      <c r="Z25" s="12">
        <v>26.97</v>
      </c>
      <c r="AA25" s="12">
        <v>30.14</v>
      </c>
      <c r="AB25" s="12">
        <v>34.619999999999997</v>
      </c>
      <c r="AC25" s="12">
        <v>34.65</v>
      </c>
      <c r="AD25" s="12">
        <v>29.53</v>
      </c>
      <c r="AE25" s="12">
        <v>29.06</v>
      </c>
      <c r="AF25" s="12">
        <v>29.26</v>
      </c>
      <c r="AG25" s="12">
        <v>27.73</v>
      </c>
      <c r="AH25" s="12">
        <v>26.9</v>
      </c>
      <c r="AI25" s="12">
        <v>24.94</v>
      </c>
      <c r="AJ25" s="12">
        <v>23.56</v>
      </c>
    </row>
    <row r="26" spans="2:36">
      <c r="B26" s="27" t="s">
        <v>63</v>
      </c>
      <c r="C26" s="12">
        <v>15.83</v>
      </c>
      <c r="D26" s="12">
        <v>15.67</v>
      </c>
      <c r="E26" s="12">
        <v>16.670000000000002</v>
      </c>
      <c r="F26" s="12">
        <v>18.37</v>
      </c>
      <c r="G26" s="12">
        <v>19.309999999999999</v>
      </c>
      <c r="H26" s="12">
        <v>17.97</v>
      </c>
      <c r="I26" s="12">
        <v>20.8</v>
      </c>
      <c r="J26" s="12">
        <v>27.08</v>
      </c>
      <c r="K26" s="12">
        <v>30.16</v>
      </c>
      <c r="L26" s="12">
        <v>30.64</v>
      </c>
      <c r="M26" s="12">
        <v>30.22</v>
      </c>
      <c r="N26" s="12">
        <v>29.47</v>
      </c>
      <c r="O26" s="12">
        <v>27.56</v>
      </c>
      <c r="P26" s="12">
        <v>25.57</v>
      </c>
      <c r="Q26" s="12">
        <v>28.39</v>
      </c>
      <c r="R26" s="12">
        <v>26.56</v>
      </c>
      <c r="S26" s="12">
        <v>25.18</v>
      </c>
      <c r="T26" s="12">
        <v>25.22</v>
      </c>
      <c r="U26" s="12">
        <v>25.22</v>
      </c>
      <c r="V26" s="12">
        <v>24.21</v>
      </c>
      <c r="W26" s="12">
        <v>24.7</v>
      </c>
      <c r="X26" s="12">
        <v>24.85</v>
      </c>
      <c r="Y26" s="12">
        <v>24.6</v>
      </c>
      <c r="Z26" s="12">
        <v>22.6</v>
      </c>
      <c r="AA26" s="12">
        <v>23.8</v>
      </c>
      <c r="AB26" s="12">
        <v>22.6</v>
      </c>
      <c r="AC26" s="12">
        <v>22.79</v>
      </c>
      <c r="AD26" s="12">
        <v>25.38</v>
      </c>
      <c r="AE26" s="12">
        <v>25.92</v>
      </c>
      <c r="AF26" s="12">
        <v>23.14</v>
      </c>
      <c r="AG26" s="12">
        <v>21.58</v>
      </c>
      <c r="AH26" s="12">
        <v>21.64</v>
      </c>
      <c r="AI26" s="12">
        <v>21.6</v>
      </c>
      <c r="AJ26" s="12">
        <v>22.78</v>
      </c>
    </row>
    <row r="27" spans="2:36">
      <c r="B27" s="27" t="s">
        <v>64</v>
      </c>
      <c r="C27" s="12">
        <v>14.53</v>
      </c>
      <c r="D27" s="12">
        <v>18</v>
      </c>
      <c r="E27" s="12">
        <v>12.68</v>
      </c>
      <c r="F27" s="12">
        <v>15.96</v>
      </c>
      <c r="G27" s="12">
        <v>16.55</v>
      </c>
      <c r="H27" s="12">
        <v>16.3</v>
      </c>
      <c r="I27" s="12">
        <v>44.36</v>
      </c>
      <c r="J27" s="12">
        <v>25.14</v>
      </c>
      <c r="K27" s="12">
        <v>23.84</v>
      </c>
      <c r="L27" s="12">
        <v>20.93</v>
      </c>
      <c r="M27" s="12">
        <v>30.17</v>
      </c>
      <c r="N27" s="12">
        <v>33.57</v>
      </c>
      <c r="O27" s="12">
        <v>32.56</v>
      </c>
      <c r="P27" s="12">
        <v>37.64</v>
      </c>
      <c r="Q27" s="12">
        <v>32.619999999999997</v>
      </c>
      <c r="R27" s="12">
        <v>36.9</v>
      </c>
      <c r="S27" s="12">
        <v>39.479999999999997</v>
      </c>
      <c r="T27" s="12">
        <v>40.78</v>
      </c>
      <c r="U27" s="12">
        <v>41.51</v>
      </c>
      <c r="V27" s="12">
        <v>42.77</v>
      </c>
      <c r="W27" s="12">
        <v>50.08</v>
      </c>
      <c r="X27" s="12">
        <v>63.53</v>
      </c>
      <c r="Y27" s="12">
        <v>45.62</v>
      </c>
      <c r="Z27" s="12">
        <v>49.75</v>
      </c>
      <c r="AA27" s="12">
        <v>52.38</v>
      </c>
      <c r="AB27" s="12">
        <v>53.37</v>
      </c>
      <c r="AC27" s="12">
        <v>47.42</v>
      </c>
      <c r="AD27" s="12">
        <v>47.58</v>
      </c>
      <c r="AE27" s="12">
        <v>57.83</v>
      </c>
      <c r="AF27" s="12">
        <v>51.07</v>
      </c>
      <c r="AG27" s="12">
        <v>49.12</v>
      </c>
      <c r="AH27" s="12">
        <v>54.23</v>
      </c>
      <c r="AI27" s="12">
        <v>47.13</v>
      </c>
      <c r="AJ27" s="12">
        <v>40.08</v>
      </c>
    </row>
    <row r="28" spans="2:36">
      <c r="B28" s="26" t="s">
        <v>36</v>
      </c>
      <c r="C28" s="12">
        <v>649.25</v>
      </c>
      <c r="D28" s="12">
        <v>728.03</v>
      </c>
      <c r="E28" s="12">
        <v>838.3</v>
      </c>
      <c r="F28" s="12">
        <v>1027.43</v>
      </c>
      <c r="G28" s="12">
        <v>1096.04</v>
      </c>
      <c r="H28" s="12">
        <v>1242.33</v>
      </c>
      <c r="I28" s="12">
        <v>1357.56</v>
      </c>
      <c r="J28" s="12">
        <v>1496.82</v>
      </c>
      <c r="K28" s="12">
        <v>1141.1400000000001</v>
      </c>
      <c r="L28" s="12">
        <v>1217.95</v>
      </c>
      <c r="M28" s="12">
        <v>1280.8800000000001</v>
      </c>
      <c r="N28" s="12">
        <v>1312.26</v>
      </c>
      <c r="O28" s="12">
        <v>1375.1</v>
      </c>
      <c r="P28" s="12">
        <v>1393.76</v>
      </c>
      <c r="Q28" s="12">
        <v>1366.29</v>
      </c>
      <c r="R28" s="12">
        <v>1379.56</v>
      </c>
      <c r="S28" s="12">
        <v>1382.66</v>
      </c>
      <c r="T28" s="12">
        <v>1388.46</v>
      </c>
      <c r="U28" s="12">
        <v>1358.11</v>
      </c>
      <c r="V28" s="12">
        <v>1375.32</v>
      </c>
      <c r="W28" s="12">
        <v>1417.03</v>
      </c>
      <c r="X28" s="12">
        <v>1419.66</v>
      </c>
      <c r="Y28" s="12">
        <v>1439.27</v>
      </c>
      <c r="Z28" s="12">
        <v>1477.71</v>
      </c>
      <c r="AA28" s="12">
        <v>1488.15</v>
      </c>
      <c r="AB28" s="12">
        <v>1574.75</v>
      </c>
      <c r="AC28" s="12">
        <v>1656.3</v>
      </c>
      <c r="AD28" s="12">
        <v>1673.43</v>
      </c>
      <c r="AE28" s="12">
        <v>1682.83</v>
      </c>
      <c r="AF28" s="12">
        <v>1740.21</v>
      </c>
      <c r="AG28" s="12">
        <v>1679.38</v>
      </c>
      <c r="AH28" s="12">
        <v>1735.37</v>
      </c>
      <c r="AI28" s="12">
        <v>1731.4</v>
      </c>
      <c r="AJ28" s="12">
        <v>1735.3</v>
      </c>
    </row>
    <row r="29" spans="2:36">
      <c r="B29" s="27" t="s">
        <v>65</v>
      </c>
      <c r="C29" s="12">
        <v>7.57</v>
      </c>
      <c r="D29" s="12">
        <v>8.31</v>
      </c>
      <c r="E29" s="12">
        <v>9.59</v>
      </c>
      <c r="F29" s="12">
        <v>10.97</v>
      </c>
      <c r="G29" s="12">
        <v>11.35</v>
      </c>
      <c r="H29" s="12">
        <v>12.49</v>
      </c>
      <c r="I29" s="12">
        <v>13.04</v>
      </c>
      <c r="J29" s="12">
        <v>14.96</v>
      </c>
      <c r="K29" s="12">
        <v>12.75</v>
      </c>
      <c r="L29" s="12">
        <v>12.23</v>
      </c>
      <c r="M29" s="12">
        <v>13.25</v>
      </c>
      <c r="N29" s="12">
        <v>12.2</v>
      </c>
      <c r="O29" s="12">
        <v>12.56</v>
      </c>
      <c r="P29" s="12">
        <v>12.84</v>
      </c>
      <c r="Q29" s="12">
        <v>10.6</v>
      </c>
      <c r="R29" s="12">
        <v>9.57</v>
      </c>
      <c r="S29" s="12">
        <v>9.25</v>
      </c>
      <c r="T29" s="12">
        <v>8.82</v>
      </c>
      <c r="U29" s="12">
        <v>9.23</v>
      </c>
      <c r="V29" s="12">
        <v>10.19</v>
      </c>
      <c r="W29" s="12">
        <v>10.76</v>
      </c>
      <c r="X29" s="12">
        <v>11.32</v>
      </c>
      <c r="Y29" s="12">
        <v>11.37</v>
      </c>
      <c r="Z29" s="12">
        <v>12.2</v>
      </c>
      <c r="AA29" s="12">
        <v>13.14</v>
      </c>
      <c r="AB29" s="12">
        <v>13.55</v>
      </c>
      <c r="AC29" s="12">
        <v>15.31</v>
      </c>
      <c r="AD29" s="12">
        <v>15.44</v>
      </c>
      <c r="AE29" s="12">
        <v>15.02</v>
      </c>
      <c r="AF29" s="12">
        <v>15.46</v>
      </c>
      <c r="AG29" s="12">
        <v>14.64</v>
      </c>
      <c r="AH29" s="12">
        <v>17.09</v>
      </c>
      <c r="AI29" s="12">
        <v>16.149999999999999</v>
      </c>
      <c r="AJ29" s="12">
        <v>15.38</v>
      </c>
    </row>
    <row r="30" spans="2:36">
      <c r="B30" s="27" t="s">
        <v>66</v>
      </c>
      <c r="C30" s="12">
        <v>524.4</v>
      </c>
      <c r="D30" s="12">
        <v>613.69000000000005</v>
      </c>
      <c r="E30" s="12">
        <v>719.71</v>
      </c>
      <c r="F30" s="12">
        <v>881.41</v>
      </c>
      <c r="G30" s="12">
        <v>955.83</v>
      </c>
      <c r="H30" s="12">
        <v>1101.24</v>
      </c>
      <c r="I30" s="12">
        <v>1226.06</v>
      </c>
      <c r="J30" s="12">
        <v>1359.49</v>
      </c>
      <c r="K30" s="12">
        <v>1006.94</v>
      </c>
      <c r="L30" s="12">
        <v>1087.8399999999999</v>
      </c>
      <c r="M30" s="12">
        <v>1142.9000000000001</v>
      </c>
      <c r="N30" s="12">
        <v>1168.07</v>
      </c>
      <c r="O30" s="12">
        <v>1232.96</v>
      </c>
      <c r="P30" s="12">
        <v>1247.56</v>
      </c>
      <c r="Q30" s="12">
        <v>1239.8599999999999</v>
      </c>
      <c r="R30" s="12">
        <v>1259.71</v>
      </c>
      <c r="S30" s="12">
        <v>1271.1300000000001</v>
      </c>
      <c r="T30" s="12">
        <v>1284.4000000000001</v>
      </c>
      <c r="U30" s="12">
        <v>1254.53</v>
      </c>
      <c r="V30" s="12">
        <v>1279.43</v>
      </c>
      <c r="W30" s="12">
        <v>1323.3</v>
      </c>
      <c r="X30" s="12">
        <v>1329.84</v>
      </c>
      <c r="Y30" s="12">
        <v>1351.02</v>
      </c>
      <c r="Z30" s="12">
        <v>1399.27</v>
      </c>
      <c r="AA30" s="12">
        <v>1418.15</v>
      </c>
      <c r="AB30" s="12">
        <v>1498.58</v>
      </c>
      <c r="AC30" s="12">
        <v>1579.91</v>
      </c>
      <c r="AD30" s="12">
        <v>1597.84</v>
      </c>
      <c r="AE30" s="12">
        <v>1618.43</v>
      </c>
      <c r="AF30" s="12">
        <v>1678.12</v>
      </c>
      <c r="AG30" s="12">
        <v>1629.98</v>
      </c>
      <c r="AH30" s="12">
        <v>1685.4</v>
      </c>
      <c r="AI30" s="12">
        <v>1685.62</v>
      </c>
      <c r="AJ30" s="12">
        <v>1691.97</v>
      </c>
    </row>
    <row r="31" spans="2:36">
      <c r="B31" s="27" t="s">
        <v>67</v>
      </c>
      <c r="C31" s="12">
        <v>90.18</v>
      </c>
      <c r="D31" s="12">
        <v>91.75</v>
      </c>
      <c r="E31" s="12">
        <v>93.31</v>
      </c>
      <c r="F31" s="12">
        <v>100.69</v>
      </c>
      <c r="G31" s="12">
        <v>95.51</v>
      </c>
      <c r="H31" s="12">
        <v>96.52</v>
      </c>
      <c r="I31" s="12">
        <v>95.42</v>
      </c>
      <c r="J31" s="12">
        <v>95.05</v>
      </c>
      <c r="K31" s="12">
        <v>93.61</v>
      </c>
      <c r="L31" s="12">
        <v>97.45</v>
      </c>
      <c r="M31" s="12">
        <v>99.82</v>
      </c>
      <c r="N31" s="12">
        <v>100.81</v>
      </c>
      <c r="O31" s="12">
        <v>100.79</v>
      </c>
      <c r="P31" s="12">
        <v>103.06</v>
      </c>
      <c r="Q31" s="12">
        <v>88.13</v>
      </c>
      <c r="R31" s="12">
        <v>83.18</v>
      </c>
      <c r="S31" s="12">
        <v>75.8</v>
      </c>
      <c r="T31" s="12">
        <v>68.61</v>
      </c>
      <c r="U31" s="12">
        <v>67.59</v>
      </c>
      <c r="V31" s="12">
        <v>59.58</v>
      </c>
      <c r="W31" s="12">
        <v>57.82</v>
      </c>
      <c r="X31" s="12">
        <v>52.6</v>
      </c>
      <c r="Y31" s="12">
        <v>52.31</v>
      </c>
      <c r="Z31" s="12">
        <v>46.17</v>
      </c>
      <c r="AA31" s="12">
        <v>38.64</v>
      </c>
      <c r="AB31" s="12">
        <v>35.19</v>
      </c>
      <c r="AC31" s="12">
        <v>30.79</v>
      </c>
      <c r="AD31" s="12">
        <v>29.9</v>
      </c>
      <c r="AE31" s="12">
        <v>29.76</v>
      </c>
      <c r="AF31" s="12">
        <v>28.27</v>
      </c>
      <c r="AG31" s="12">
        <v>24.93</v>
      </c>
      <c r="AH31" s="12">
        <v>22.17</v>
      </c>
      <c r="AI31" s="12">
        <v>18.62</v>
      </c>
      <c r="AJ31" s="12">
        <v>17.010000000000002</v>
      </c>
    </row>
    <row r="32" spans="2:36">
      <c r="B32" s="27" t="s">
        <v>68</v>
      </c>
      <c r="C32" s="12">
        <v>17.059999999999999</v>
      </c>
      <c r="D32" s="12">
        <v>7.3</v>
      </c>
      <c r="E32" s="12">
        <v>8.02</v>
      </c>
      <c r="F32" s="12">
        <v>30.07</v>
      </c>
      <c r="G32" s="12">
        <v>25.57</v>
      </c>
      <c r="H32" s="12">
        <v>25.32</v>
      </c>
      <c r="I32" s="12">
        <v>13.82</v>
      </c>
      <c r="J32" s="12">
        <v>18.09</v>
      </c>
      <c r="K32" s="12">
        <v>15.48</v>
      </c>
      <c r="L32" s="12">
        <v>14.65</v>
      </c>
      <c r="M32" s="12">
        <v>19.34</v>
      </c>
      <c r="N32" s="12">
        <v>17.47</v>
      </c>
      <c r="O32" s="12">
        <v>20.309999999999999</v>
      </c>
      <c r="P32" s="12">
        <v>21.14</v>
      </c>
      <c r="Q32" s="12">
        <v>20.14</v>
      </c>
      <c r="R32" s="12">
        <v>19.41</v>
      </c>
      <c r="S32" s="12">
        <v>18.8</v>
      </c>
      <c r="T32" s="12">
        <v>18.37</v>
      </c>
      <c r="U32" s="12">
        <v>18.579999999999998</v>
      </c>
      <c r="V32" s="12">
        <v>17.2</v>
      </c>
      <c r="W32" s="12">
        <v>16.100000000000001</v>
      </c>
      <c r="X32" s="12">
        <v>16.05</v>
      </c>
      <c r="Y32" s="12">
        <v>15.24</v>
      </c>
      <c r="Z32" s="12">
        <v>10.02</v>
      </c>
      <c r="AA32" s="12">
        <v>7.2</v>
      </c>
      <c r="AB32" s="12">
        <v>11.66</v>
      </c>
      <c r="AC32" s="12">
        <v>10.01</v>
      </c>
      <c r="AD32" s="12">
        <v>9.39</v>
      </c>
      <c r="AE32" s="12">
        <v>7.19</v>
      </c>
      <c r="AF32" s="12">
        <v>8.51</v>
      </c>
      <c r="AG32" s="12">
        <v>6.97</v>
      </c>
      <c r="AH32" s="12">
        <v>8.9</v>
      </c>
      <c r="AI32" s="12">
        <v>9.68</v>
      </c>
      <c r="AJ32" s="12">
        <v>9.59</v>
      </c>
    </row>
    <row r="33" spans="2:36">
      <c r="B33" s="27" t="s">
        <v>69</v>
      </c>
      <c r="C33" s="12">
        <v>10.029999999999999</v>
      </c>
      <c r="D33" s="12">
        <v>6.99</v>
      </c>
      <c r="E33" s="12">
        <v>7.67</v>
      </c>
      <c r="F33" s="12">
        <v>4.28</v>
      </c>
      <c r="G33" s="12">
        <v>7.78</v>
      </c>
      <c r="H33" s="12">
        <v>6.75</v>
      </c>
      <c r="I33" s="12">
        <v>9.2100000000000009</v>
      </c>
      <c r="J33" s="12">
        <v>9.23</v>
      </c>
      <c r="K33" s="12">
        <v>12.36</v>
      </c>
      <c r="L33" s="12">
        <v>5.78</v>
      </c>
      <c r="M33" s="12">
        <v>5.57</v>
      </c>
      <c r="N33" s="12">
        <v>13.72</v>
      </c>
      <c r="O33" s="12">
        <v>8.48</v>
      </c>
      <c r="P33" s="12">
        <v>9.17</v>
      </c>
      <c r="Q33" s="12">
        <v>7.54</v>
      </c>
      <c r="R33" s="12">
        <v>7.69</v>
      </c>
      <c r="S33" s="12">
        <v>7.68</v>
      </c>
      <c r="T33" s="12">
        <v>8.26</v>
      </c>
      <c r="U33" s="12">
        <v>8.19</v>
      </c>
      <c r="V33" s="12">
        <v>8.93</v>
      </c>
      <c r="W33" s="12">
        <v>9.06</v>
      </c>
      <c r="X33" s="12">
        <v>9.85</v>
      </c>
      <c r="Y33" s="12">
        <v>9.34</v>
      </c>
      <c r="Z33" s="12">
        <v>10.050000000000001</v>
      </c>
      <c r="AA33" s="12">
        <v>11.02</v>
      </c>
      <c r="AB33" s="12">
        <v>15.77</v>
      </c>
      <c r="AC33" s="12">
        <v>20.27</v>
      </c>
      <c r="AD33" s="12">
        <v>20.86</v>
      </c>
      <c r="AE33" s="12">
        <v>12.43</v>
      </c>
      <c r="AF33" s="12">
        <v>9.84</v>
      </c>
      <c r="AG33" s="12">
        <v>2.86</v>
      </c>
      <c r="AH33" s="12">
        <v>1.8</v>
      </c>
      <c r="AI33" s="12">
        <v>1.33</v>
      </c>
      <c r="AJ33" s="12">
        <v>1.36</v>
      </c>
    </row>
    <row r="34" spans="2:36">
      <c r="B34" s="26" t="s">
        <v>37</v>
      </c>
      <c r="C34" s="12">
        <v>316.68</v>
      </c>
      <c r="D34" s="12">
        <v>291.95999999999998</v>
      </c>
      <c r="E34" s="12">
        <v>302.93</v>
      </c>
      <c r="F34" s="12">
        <v>330.74</v>
      </c>
      <c r="G34" s="12">
        <v>333.59</v>
      </c>
      <c r="H34" s="12">
        <v>349.49</v>
      </c>
      <c r="I34" s="12">
        <v>385.8</v>
      </c>
      <c r="J34" s="12">
        <v>418.42</v>
      </c>
      <c r="K34" s="12">
        <v>324.95999999999998</v>
      </c>
      <c r="L34" s="12">
        <v>396.45</v>
      </c>
      <c r="M34" s="12">
        <v>424.91</v>
      </c>
      <c r="N34" s="12">
        <v>442.53</v>
      </c>
      <c r="O34" s="12">
        <v>436.94</v>
      </c>
      <c r="P34" s="12">
        <v>387.55</v>
      </c>
      <c r="Q34" s="12">
        <v>367.02</v>
      </c>
      <c r="R34" s="12">
        <v>339.35</v>
      </c>
      <c r="S34" s="12">
        <v>302.20999999999998</v>
      </c>
      <c r="T34" s="12">
        <v>292.35000000000002</v>
      </c>
      <c r="U34" s="12">
        <v>265.92</v>
      </c>
      <c r="V34" s="12">
        <v>270.51</v>
      </c>
      <c r="W34" s="12">
        <v>285.74</v>
      </c>
      <c r="X34" s="12">
        <v>282.73</v>
      </c>
      <c r="Y34" s="12">
        <v>293.58999999999997</v>
      </c>
      <c r="Z34" s="12">
        <v>297.2</v>
      </c>
      <c r="AA34" s="12">
        <v>234.7</v>
      </c>
      <c r="AB34" s="12">
        <v>185.94</v>
      </c>
      <c r="AC34" s="12">
        <v>163.66999999999999</v>
      </c>
      <c r="AD34" s="12">
        <v>179.67</v>
      </c>
      <c r="AE34" s="12">
        <v>180.61</v>
      </c>
      <c r="AF34" s="12">
        <v>159.04</v>
      </c>
      <c r="AG34" s="12">
        <v>170.83</v>
      </c>
      <c r="AH34" s="12">
        <v>162.68</v>
      </c>
      <c r="AI34" s="12">
        <v>156.66</v>
      </c>
      <c r="AJ34" s="12">
        <v>162.87</v>
      </c>
    </row>
    <row r="35" spans="2:36">
      <c r="B35" s="27" t="s">
        <v>70</v>
      </c>
      <c r="C35" s="12">
        <v>52.98</v>
      </c>
      <c r="D35" s="12">
        <v>52.01</v>
      </c>
      <c r="E35" s="12">
        <v>58.83</v>
      </c>
      <c r="F35" s="12">
        <v>55.43</v>
      </c>
      <c r="G35" s="12">
        <v>72.17</v>
      </c>
      <c r="H35" s="12">
        <v>82.77</v>
      </c>
      <c r="I35" s="12">
        <v>87.89</v>
      </c>
      <c r="J35" s="12">
        <v>92.14</v>
      </c>
      <c r="K35" s="12">
        <v>63.94</v>
      </c>
      <c r="L35" s="12">
        <v>68.45</v>
      </c>
      <c r="M35" s="12">
        <v>48.39</v>
      </c>
      <c r="N35" s="12">
        <v>50.26</v>
      </c>
      <c r="O35" s="12">
        <v>52.68</v>
      </c>
      <c r="P35" s="12">
        <v>53.6</v>
      </c>
      <c r="Q35" s="12">
        <v>51.92</v>
      </c>
      <c r="R35" s="12">
        <v>51.01</v>
      </c>
      <c r="S35" s="12">
        <v>47.02</v>
      </c>
      <c r="T35" s="12">
        <v>53.53</v>
      </c>
      <c r="U35" s="12">
        <v>52.83</v>
      </c>
      <c r="V35" s="12">
        <v>54.07</v>
      </c>
      <c r="W35" s="12">
        <v>59.91</v>
      </c>
      <c r="X35" s="12">
        <v>62.81</v>
      </c>
      <c r="Y35" s="12">
        <v>68.7</v>
      </c>
      <c r="Z35" s="12">
        <v>67.45</v>
      </c>
      <c r="AA35" s="12">
        <v>62.25</v>
      </c>
      <c r="AB35" s="12">
        <v>57.03</v>
      </c>
      <c r="AC35" s="12">
        <v>59.41</v>
      </c>
      <c r="AD35" s="12">
        <v>62.1</v>
      </c>
      <c r="AE35" s="12">
        <v>63.62</v>
      </c>
      <c r="AF35" s="12">
        <v>54.18</v>
      </c>
      <c r="AG35" s="12">
        <v>51.43</v>
      </c>
      <c r="AH35" s="12">
        <v>51.87</v>
      </c>
      <c r="AI35" s="12">
        <v>48.28</v>
      </c>
      <c r="AJ35" s="12">
        <v>57.94</v>
      </c>
    </row>
    <row r="36" spans="2:36">
      <c r="B36" s="27" t="s">
        <v>71</v>
      </c>
      <c r="C36" s="12">
        <v>139.69999999999999</v>
      </c>
      <c r="D36" s="12">
        <v>113.77</v>
      </c>
      <c r="E36" s="12">
        <v>91.95</v>
      </c>
      <c r="F36" s="12">
        <v>70.900000000000006</v>
      </c>
      <c r="G36" s="12">
        <v>50.11</v>
      </c>
      <c r="H36" s="12">
        <v>43.37</v>
      </c>
      <c r="I36" s="12">
        <v>36.840000000000003</v>
      </c>
      <c r="J36" s="12">
        <v>31.58</v>
      </c>
      <c r="K36" s="12">
        <v>22.98</v>
      </c>
      <c r="L36" s="12">
        <v>33.03</v>
      </c>
      <c r="M36" s="12">
        <v>41.82</v>
      </c>
      <c r="N36" s="12">
        <v>42.75</v>
      </c>
      <c r="O36" s="12">
        <v>42.74</v>
      </c>
      <c r="P36" s="12">
        <v>39.46</v>
      </c>
      <c r="Q36" s="12">
        <v>37.21</v>
      </c>
      <c r="R36" s="12">
        <v>41.29</v>
      </c>
      <c r="S36" s="12">
        <v>39.950000000000003</v>
      </c>
      <c r="T36" s="12">
        <v>33.450000000000003</v>
      </c>
      <c r="U36" s="12">
        <v>35.450000000000003</v>
      </c>
      <c r="V36" s="12">
        <v>35.61</v>
      </c>
      <c r="W36" s="12">
        <v>34.57</v>
      </c>
      <c r="X36" s="12">
        <v>32.83</v>
      </c>
      <c r="Y36" s="12">
        <v>31.28</v>
      </c>
      <c r="Z36" s="12">
        <v>31.86</v>
      </c>
      <c r="AA36" s="12">
        <v>26.11</v>
      </c>
      <c r="AB36" s="12">
        <v>30.12</v>
      </c>
      <c r="AC36" s="12">
        <v>32.64</v>
      </c>
      <c r="AD36" s="12">
        <v>32.22</v>
      </c>
      <c r="AE36" s="12">
        <v>31.32</v>
      </c>
      <c r="AF36" s="12">
        <v>30.92</v>
      </c>
      <c r="AG36" s="12">
        <v>30.13</v>
      </c>
      <c r="AH36" s="12">
        <v>29.86</v>
      </c>
      <c r="AI36" s="12">
        <v>29.74</v>
      </c>
      <c r="AJ36" s="12">
        <v>27.24</v>
      </c>
    </row>
    <row r="37" spans="2:36">
      <c r="B37" s="27" t="s">
        <v>72</v>
      </c>
      <c r="C37" s="12">
        <v>124</v>
      </c>
      <c r="D37" s="12">
        <v>126.19</v>
      </c>
      <c r="E37" s="12">
        <v>152.16</v>
      </c>
      <c r="F37" s="12">
        <v>204.41</v>
      </c>
      <c r="G37" s="12">
        <v>211.31</v>
      </c>
      <c r="H37" s="12">
        <v>223.34</v>
      </c>
      <c r="I37" s="12">
        <v>261.07</v>
      </c>
      <c r="J37" s="12">
        <v>294.7</v>
      </c>
      <c r="K37" s="12">
        <v>238.05</v>
      </c>
      <c r="L37" s="12">
        <v>294.98</v>
      </c>
      <c r="M37" s="12">
        <v>334.7</v>
      </c>
      <c r="N37" s="12">
        <v>349.51</v>
      </c>
      <c r="O37" s="12">
        <v>341.51</v>
      </c>
      <c r="P37" s="12">
        <v>294.5</v>
      </c>
      <c r="Q37" s="12">
        <v>277.89999999999998</v>
      </c>
      <c r="R37" s="12">
        <v>247.05</v>
      </c>
      <c r="S37" s="12">
        <v>215.24</v>
      </c>
      <c r="T37" s="12">
        <v>205.37</v>
      </c>
      <c r="U37" s="12">
        <v>177.64</v>
      </c>
      <c r="V37" s="12">
        <v>180.84</v>
      </c>
      <c r="W37" s="12">
        <v>191.26</v>
      </c>
      <c r="X37" s="12">
        <v>187.1</v>
      </c>
      <c r="Y37" s="12">
        <v>193.6</v>
      </c>
      <c r="Z37" s="12">
        <v>197.88</v>
      </c>
      <c r="AA37" s="12">
        <v>146.33000000000001</v>
      </c>
      <c r="AB37" s="12">
        <v>98.79</v>
      </c>
      <c r="AC37" s="12">
        <v>71.62</v>
      </c>
      <c r="AD37" s="12">
        <v>85.34</v>
      </c>
      <c r="AE37" s="12">
        <v>85.66</v>
      </c>
      <c r="AF37" s="12">
        <v>73.94</v>
      </c>
      <c r="AG37" s="12">
        <v>89.27</v>
      </c>
      <c r="AH37" s="12">
        <v>80.95</v>
      </c>
      <c r="AI37" s="12">
        <v>78.650000000000006</v>
      </c>
      <c r="AJ37" s="12">
        <v>77.69</v>
      </c>
    </row>
    <row r="38" spans="2:36">
      <c r="B38" s="27" t="s">
        <v>73</v>
      </c>
      <c r="C38" s="12">
        <v>105.43</v>
      </c>
      <c r="D38" s="12">
        <v>107.58</v>
      </c>
      <c r="E38" s="12">
        <v>131.68</v>
      </c>
      <c r="F38" s="12">
        <v>181.63</v>
      </c>
      <c r="G38" s="12">
        <v>184.07</v>
      </c>
      <c r="H38" s="12">
        <v>194.25</v>
      </c>
      <c r="I38" s="12">
        <v>231.46</v>
      </c>
      <c r="J38" s="12">
        <v>263.39999999999998</v>
      </c>
      <c r="K38" s="12">
        <v>209.95</v>
      </c>
      <c r="L38" s="12">
        <v>269.75</v>
      </c>
      <c r="M38" s="12">
        <v>307.66000000000003</v>
      </c>
      <c r="N38" s="12">
        <v>319.58999999999997</v>
      </c>
      <c r="O38" s="12">
        <v>311.89999999999998</v>
      </c>
      <c r="P38" s="12">
        <v>265.81</v>
      </c>
      <c r="Q38" s="12">
        <v>251.12</v>
      </c>
      <c r="R38" s="12">
        <v>222.8</v>
      </c>
      <c r="S38" s="12">
        <v>191.04</v>
      </c>
      <c r="T38" s="12">
        <v>181.86</v>
      </c>
      <c r="U38" s="12">
        <v>159.37</v>
      </c>
      <c r="V38" s="12">
        <v>160.35</v>
      </c>
      <c r="W38" s="12">
        <v>171.2</v>
      </c>
      <c r="X38" s="12">
        <v>168.95</v>
      </c>
      <c r="Y38" s="12">
        <v>176.04</v>
      </c>
      <c r="Z38" s="12">
        <v>179.11</v>
      </c>
      <c r="AA38" s="12">
        <v>129.07</v>
      </c>
      <c r="AB38" s="12">
        <v>79.27</v>
      </c>
      <c r="AC38" s="12">
        <v>50.87</v>
      </c>
      <c r="AD38" s="12">
        <v>65.349999999999994</v>
      </c>
      <c r="AE38" s="12">
        <v>67.31</v>
      </c>
      <c r="AF38" s="12">
        <v>53.34</v>
      </c>
      <c r="AG38" s="12">
        <v>67.59</v>
      </c>
      <c r="AH38" s="12">
        <v>62.63</v>
      </c>
      <c r="AI38" s="12">
        <v>61.98</v>
      </c>
      <c r="AJ38" s="12">
        <v>60.91</v>
      </c>
    </row>
    <row r="39" spans="2:36">
      <c r="B39" s="27" t="s">
        <v>74</v>
      </c>
      <c r="C39" s="12">
        <v>18.57</v>
      </c>
      <c r="D39" s="12">
        <v>18.61</v>
      </c>
      <c r="E39" s="12">
        <v>20.48</v>
      </c>
      <c r="F39" s="12">
        <v>22.78</v>
      </c>
      <c r="G39" s="12">
        <v>27.24</v>
      </c>
      <c r="H39" s="12">
        <v>29.09</v>
      </c>
      <c r="I39" s="12">
        <v>29.61</v>
      </c>
      <c r="J39" s="12">
        <v>31.3</v>
      </c>
      <c r="K39" s="12">
        <v>28.1</v>
      </c>
      <c r="L39" s="12">
        <v>25.23</v>
      </c>
      <c r="M39" s="12">
        <v>27.03</v>
      </c>
      <c r="N39" s="12">
        <v>29.92</v>
      </c>
      <c r="O39" s="12">
        <v>29.61</v>
      </c>
      <c r="P39" s="12">
        <v>28.69</v>
      </c>
      <c r="Q39" s="12">
        <v>26.77</v>
      </c>
      <c r="R39" s="12">
        <v>24.26</v>
      </c>
      <c r="S39" s="12">
        <v>24.2</v>
      </c>
      <c r="T39" s="12">
        <v>23.51</v>
      </c>
      <c r="U39" s="12">
        <v>18.27</v>
      </c>
      <c r="V39" s="12">
        <v>20.49</v>
      </c>
      <c r="W39" s="12">
        <v>20.059999999999999</v>
      </c>
      <c r="X39" s="12">
        <v>18.149999999999999</v>
      </c>
      <c r="Y39" s="12">
        <v>17.57</v>
      </c>
      <c r="Z39" s="12">
        <v>18.78</v>
      </c>
      <c r="AA39" s="12">
        <v>17.27</v>
      </c>
      <c r="AB39" s="12">
        <v>19.52</v>
      </c>
      <c r="AC39" s="12">
        <v>20.75</v>
      </c>
      <c r="AD39" s="12">
        <v>19.989999999999998</v>
      </c>
      <c r="AE39" s="12">
        <v>18.350000000000001</v>
      </c>
      <c r="AF39" s="12">
        <v>20.6</v>
      </c>
      <c r="AG39" s="12">
        <v>21.68</v>
      </c>
      <c r="AH39" s="12">
        <v>18.32</v>
      </c>
      <c r="AI39" s="12">
        <v>16.670000000000002</v>
      </c>
      <c r="AJ39" s="12">
        <v>16.79</v>
      </c>
    </row>
    <row r="40" spans="2:36">
      <c r="B40" s="26" t="s">
        <v>38</v>
      </c>
      <c r="C40" s="12">
        <v>0.39</v>
      </c>
      <c r="D40" s="12">
        <v>10.23</v>
      </c>
      <c r="E40" s="12">
        <v>6.43</v>
      </c>
      <c r="F40" s="12">
        <v>6.83</v>
      </c>
      <c r="G40" s="12">
        <v>6.18</v>
      </c>
      <c r="H40" s="12">
        <v>6.14</v>
      </c>
      <c r="I40" s="12">
        <v>6.7</v>
      </c>
      <c r="J40" s="12">
        <v>6.34</v>
      </c>
      <c r="K40" s="12">
        <v>5.72</v>
      </c>
      <c r="L40" s="12">
        <v>5.95</v>
      </c>
      <c r="M40" s="12">
        <v>5.24</v>
      </c>
      <c r="N40" s="12">
        <v>6.82</v>
      </c>
      <c r="O40" s="12">
        <v>6.19</v>
      </c>
      <c r="P40" s="12">
        <v>7.29</v>
      </c>
      <c r="Q40" s="12">
        <v>6.92</v>
      </c>
      <c r="R40" s="12">
        <v>7.06</v>
      </c>
      <c r="S40" s="12">
        <v>6.21</v>
      </c>
      <c r="T40" s="12">
        <v>6.32</v>
      </c>
      <c r="U40" s="12">
        <v>5.66</v>
      </c>
      <c r="V40" s="12">
        <v>6.25</v>
      </c>
      <c r="W40" s="12">
        <v>6.4</v>
      </c>
      <c r="X40" s="12">
        <v>6.26</v>
      </c>
      <c r="Y40" s="12">
        <v>6.3</v>
      </c>
      <c r="Z40" s="12">
        <v>6.42</v>
      </c>
      <c r="AA40" s="12">
        <v>6.18</v>
      </c>
      <c r="AB40" s="12">
        <v>6.69</v>
      </c>
      <c r="AC40" s="12">
        <v>6.62</v>
      </c>
      <c r="AD40" s="12">
        <v>6.88</v>
      </c>
      <c r="AE40" s="12">
        <v>6.72</v>
      </c>
      <c r="AF40" s="12">
        <v>6.34</v>
      </c>
      <c r="AG40" s="12">
        <v>6.27</v>
      </c>
      <c r="AH40" s="12">
        <v>6.29</v>
      </c>
      <c r="AI40" s="12">
        <v>6.5</v>
      </c>
      <c r="AJ40" s="12">
        <v>6.44</v>
      </c>
    </row>
    <row r="41" spans="2:36">
      <c r="B41" s="25" t="s">
        <v>39</v>
      </c>
      <c r="C41" s="12" t="s">
        <v>230</v>
      </c>
      <c r="D41" s="12" t="s">
        <v>230</v>
      </c>
      <c r="E41" s="12" t="s">
        <v>230</v>
      </c>
      <c r="F41" s="12" t="s">
        <v>230</v>
      </c>
      <c r="G41" s="12" t="s">
        <v>230</v>
      </c>
      <c r="H41" s="12" t="s">
        <v>230</v>
      </c>
      <c r="I41" s="12" t="s">
        <v>230</v>
      </c>
      <c r="J41" s="12" t="s">
        <v>230</v>
      </c>
      <c r="K41" s="12" t="s">
        <v>230</v>
      </c>
      <c r="L41" s="12" t="s">
        <v>230</v>
      </c>
      <c r="M41" s="12" t="s">
        <v>230</v>
      </c>
      <c r="N41" s="12" t="s">
        <v>230</v>
      </c>
      <c r="O41" s="12" t="s">
        <v>230</v>
      </c>
      <c r="P41" s="12" t="s">
        <v>230</v>
      </c>
      <c r="Q41" s="16">
        <v>2.8999999999999998E-3</v>
      </c>
      <c r="R41" s="16">
        <v>1.804E-2</v>
      </c>
      <c r="S41" s="16">
        <v>1.5270000000000001E-2</v>
      </c>
      <c r="T41" s="16">
        <v>1.119E-2</v>
      </c>
      <c r="U41" s="16">
        <v>7.43E-3</v>
      </c>
      <c r="V41" s="16">
        <v>1.554E-2</v>
      </c>
      <c r="W41" s="16">
        <v>1.7680000000000001E-2</v>
      </c>
      <c r="X41" s="16">
        <v>1.391E-2</v>
      </c>
      <c r="Y41" s="16">
        <v>1.3089999999999999E-2</v>
      </c>
      <c r="Z41" s="16">
        <v>1.418E-2</v>
      </c>
      <c r="AA41" s="16">
        <v>9.75E-3</v>
      </c>
      <c r="AB41" s="16">
        <v>5.6800000000000002E-3</v>
      </c>
      <c r="AC41" s="16">
        <v>4.9199999999999999E-3</v>
      </c>
      <c r="AD41" s="16">
        <v>1.0540000000000001E-2</v>
      </c>
      <c r="AE41" s="16">
        <v>9.2800000000000001E-3</v>
      </c>
      <c r="AF41" s="16">
        <v>7.7400000000000004E-3</v>
      </c>
      <c r="AG41" s="16">
        <v>5.3099999999999996E-3</v>
      </c>
      <c r="AH41" s="16">
        <v>1.7099999999999999E-3</v>
      </c>
      <c r="AI41" s="11">
        <v>4.4999999999999999E-4</v>
      </c>
      <c r="AJ41" s="12" t="s">
        <v>81</v>
      </c>
    </row>
    <row r="42" spans="2:36">
      <c r="B42" s="26" t="s">
        <v>75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2:36">
      <c r="B43" s="26" t="s">
        <v>76</v>
      </c>
      <c r="C43" s="12" t="s">
        <v>230</v>
      </c>
      <c r="D43" s="12" t="s">
        <v>230</v>
      </c>
      <c r="E43" s="12" t="s">
        <v>230</v>
      </c>
      <c r="F43" s="12" t="s">
        <v>230</v>
      </c>
      <c r="G43" s="12" t="s">
        <v>230</v>
      </c>
      <c r="H43" s="12" t="s">
        <v>230</v>
      </c>
      <c r="I43" s="12" t="s">
        <v>230</v>
      </c>
      <c r="J43" s="12" t="s">
        <v>230</v>
      </c>
      <c r="K43" s="12" t="s">
        <v>230</v>
      </c>
      <c r="L43" s="12" t="s">
        <v>230</v>
      </c>
      <c r="M43" s="12" t="s">
        <v>230</v>
      </c>
      <c r="N43" s="12" t="s">
        <v>230</v>
      </c>
      <c r="O43" s="12" t="s">
        <v>230</v>
      </c>
      <c r="P43" s="12" t="s">
        <v>230</v>
      </c>
      <c r="Q43" s="16">
        <v>2.8999999999999998E-3</v>
      </c>
      <c r="R43" s="16">
        <v>1.804E-2</v>
      </c>
      <c r="S43" s="16">
        <v>1.5270000000000001E-2</v>
      </c>
      <c r="T43" s="16">
        <v>1.119E-2</v>
      </c>
      <c r="U43" s="16">
        <v>7.43E-3</v>
      </c>
      <c r="V43" s="16">
        <v>1.554E-2</v>
      </c>
      <c r="W43" s="16">
        <v>1.7680000000000001E-2</v>
      </c>
      <c r="X43" s="16">
        <v>1.391E-2</v>
      </c>
      <c r="Y43" s="16">
        <v>1.3089999999999999E-2</v>
      </c>
      <c r="Z43" s="16">
        <v>1.418E-2</v>
      </c>
      <c r="AA43" s="16">
        <v>9.75E-3</v>
      </c>
      <c r="AB43" s="16">
        <v>5.6800000000000002E-3</v>
      </c>
      <c r="AC43" s="16">
        <v>4.9199999999999999E-3</v>
      </c>
      <c r="AD43" s="16">
        <v>1.0540000000000001E-2</v>
      </c>
      <c r="AE43" s="16">
        <v>9.2800000000000001E-3</v>
      </c>
      <c r="AF43" s="16">
        <v>7.7400000000000004E-3</v>
      </c>
      <c r="AG43" s="16">
        <v>5.3099999999999996E-3</v>
      </c>
      <c r="AH43" s="16">
        <v>1.7099999999999999E-3</v>
      </c>
      <c r="AI43" s="11">
        <v>4.4999999999999999E-4</v>
      </c>
      <c r="AJ43" s="51" t="s">
        <v>81</v>
      </c>
    </row>
    <row r="44" spans="2:36">
      <c r="B44" s="27" t="s">
        <v>235</v>
      </c>
      <c r="C44" s="12" t="s">
        <v>230</v>
      </c>
      <c r="D44" s="12" t="s">
        <v>230</v>
      </c>
      <c r="E44" s="12" t="s">
        <v>230</v>
      </c>
      <c r="F44" s="12" t="s">
        <v>230</v>
      </c>
      <c r="G44" s="12" t="s">
        <v>230</v>
      </c>
      <c r="H44" s="12" t="s">
        <v>230</v>
      </c>
      <c r="I44" s="12" t="s">
        <v>230</v>
      </c>
      <c r="J44" s="12" t="s">
        <v>230</v>
      </c>
      <c r="K44" s="12" t="s">
        <v>230</v>
      </c>
      <c r="L44" s="12" t="s">
        <v>230</v>
      </c>
      <c r="M44" s="12" t="s">
        <v>230</v>
      </c>
      <c r="N44" s="12" t="s">
        <v>230</v>
      </c>
      <c r="O44" s="12" t="s">
        <v>230</v>
      </c>
      <c r="P44" s="12" t="s">
        <v>230</v>
      </c>
      <c r="Q44" s="12" t="s">
        <v>230</v>
      </c>
      <c r="R44" s="12" t="s">
        <v>230</v>
      </c>
      <c r="S44" s="12" t="s">
        <v>230</v>
      </c>
      <c r="T44" s="12" t="s">
        <v>230</v>
      </c>
      <c r="U44" s="12" t="s">
        <v>230</v>
      </c>
      <c r="V44" s="12" t="s">
        <v>230</v>
      </c>
      <c r="W44" s="12" t="s">
        <v>230</v>
      </c>
      <c r="X44" s="12" t="s">
        <v>230</v>
      </c>
      <c r="Y44" s="12" t="s">
        <v>230</v>
      </c>
      <c r="Z44" s="12" t="s">
        <v>230</v>
      </c>
      <c r="AA44" s="12" t="s">
        <v>230</v>
      </c>
      <c r="AB44" s="12" t="s">
        <v>230</v>
      </c>
      <c r="AC44" s="12" t="s">
        <v>230</v>
      </c>
      <c r="AD44" s="12" t="s">
        <v>230</v>
      </c>
      <c r="AE44" s="12" t="s">
        <v>230</v>
      </c>
      <c r="AF44" s="12" t="s">
        <v>230</v>
      </c>
      <c r="AG44" s="12" t="s">
        <v>230</v>
      </c>
      <c r="AH44" s="12" t="s">
        <v>230</v>
      </c>
      <c r="AI44" s="12" t="s">
        <v>230</v>
      </c>
      <c r="AJ44" s="12" t="s">
        <v>230</v>
      </c>
    </row>
    <row r="45" spans="2:36">
      <c r="B45" s="27" t="s">
        <v>78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</row>
    <row r="46" spans="2:36">
      <c r="B46" s="27" t="s">
        <v>79</v>
      </c>
      <c r="C46" s="12" t="s">
        <v>81</v>
      </c>
      <c r="D46" s="12" t="s">
        <v>81</v>
      </c>
      <c r="E46" s="12" t="s">
        <v>81</v>
      </c>
      <c r="F46" s="12" t="s">
        <v>81</v>
      </c>
      <c r="G46" s="12" t="s">
        <v>81</v>
      </c>
      <c r="H46" s="12" t="s">
        <v>81</v>
      </c>
      <c r="I46" s="12" t="s">
        <v>81</v>
      </c>
      <c r="J46" s="12" t="s">
        <v>81</v>
      </c>
      <c r="K46" s="12" t="s">
        <v>81</v>
      </c>
      <c r="L46" s="12" t="s">
        <v>81</v>
      </c>
      <c r="M46" s="12" t="s">
        <v>81</v>
      </c>
      <c r="N46" s="12" t="s">
        <v>81</v>
      </c>
      <c r="O46" s="12" t="s">
        <v>81</v>
      </c>
      <c r="P46" s="12" t="s">
        <v>81</v>
      </c>
      <c r="Q46" s="16">
        <v>2.8999999999999998E-3</v>
      </c>
      <c r="R46" s="16">
        <v>1.804E-2</v>
      </c>
      <c r="S46" s="16">
        <v>1.5270000000000001E-2</v>
      </c>
      <c r="T46" s="16">
        <v>1.119E-2</v>
      </c>
      <c r="U46" s="16">
        <v>7.43E-3</v>
      </c>
      <c r="V46" s="16">
        <v>1.554E-2</v>
      </c>
      <c r="W46" s="16">
        <v>1.7680000000000001E-2</v>
      </c>
      <c r="X46" s="16">
        <v>1.391E-2</v>
      </c>
      <c r="Y46" s="16">
        <v>1.3089999999999999E-2</v>
      </c>
      <c r="Z46" s="16">
        <v>1.418E-2</v>
      </c>
      <c r="AA46" s="16">
        <v>9.75E-3</v>
      </c>
      <c r="AB46" s="16">
        <v>5.6800000000000002E-3</v>
      </c>
      <c r="AC46" s="16">
        <v>4.9199999999999999E-3</v>
      </c>
      <c r="AD46" s="16">
        <v>1.0540000000000001E-2</v>
      </c>
      <c r="AE46" s="16">
        <v>9.2800000000000001E-3</v>
      </c>
      <c r="AF46" s="16">
        <v>7.7400000000000004E-3</v>
      </c>
      <c r="AG46" s="16">
        <v>5.3099999999999996E-3</v>
      </c>
      <c r="AH46" s="16">
        <v>1.7099999999999999E-3</v>
      </c>
      <c r="AI46" s="11">
        <v>4.4999999999999999E-4</v>
      </c>
      <c r="AJ46" s="12" t="s">
        <v>81</v>
      </c>
    </row>
    <row r="47" spans="2:36">
      <c r="B47" s="25" t="s">
        <v>80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</row>
    <row r="48" spans="2:36">
      <c r="B48" s="24" t="s">
        <v>82</v>
      </c>
      <c r="C48" s="15">
        <v>417.19</v>
      </c>
      <c r="D48" s="15">
        <v>640.42999999999995</v>
      </c>
      <c r="E48" s="15">
        <v>2405.5300000000002</v>
      </c>
      <c r="F48" s="15">
        <v>2458.7600000000002</v>
      </c>
      <c r="G48" s="15">
        <v>2677.05</v>
      </c>
      <c r="H48" s="15">
        <v>3135.19</v>
      </c>
      <c r="I48" s="15">
        <v>3528</v>
      </c>
      <c r="J48" s="15">
        <v>4177.09</v>
      </c>
      <c r="K48" s="15">
        <v>4734.6400000000003</v>
      </c>
      <c r="L48" s="15">
        <v>5567.39</v>
      </c>
      <c r="M48" s="15">
        <v>6324.63</v>
      </c>
      <c r="N48" s="15">
        <v>6663.43</v>
      </c>
      <c r="O48" s="15">
        <v>6488.86</v>
      </c>
      <c r="P48" s="15">
        <v>9432.84</v>
      </c>
      <c r="Q48" s="15">
        <v>11525.7</v>
      </c>
      <c r="R48" s="15">
        <v>10265.06</v>
      </c>
      <c r="S48" s="15">
        <v>9531.07</v>
      </c>
      <c r="T48" s="15">
        <v>2003.35</v>
      </c>
      <c r="U48" s="15">
        <v>1374.63</v>
      </c>
      <c r="V48" s="15">
        <v>1359.65</v>
      </c>
      <c r="W48" s="15">
        <v>1418.31</v>
      </c>
      <c r="X48" s="15">
        <v>835.11</v>
      </c>
      <c r="Y48" s="15">
        <v>972.18</v>
      </c>
      <c r="Z48" s="15">
        <v>842.23</v>
      </c>
      <c r="AA48" s="15">
        <v>807.98</v>
      </c>
      <c r="AB48" s="15">
        <v>630.62</v>
      </c>
      <c r="AC48" s="15">
        <v>802.57</v>
      </c>
      <c r="AD48" s="15">
        <v>535.98</v>
      </c>
      <c r="AE48" s="15">
        <v>548.91999999999996</v>
      </c>
      <c r="AF48" s="15">
        <v>641.39</v>
      </c>
      <c r="AG48" s="15">
        <v>506.98</v>
      </c>
      <c r="AH48" s="15">
        <v>408.71</v>
      </c>
      <c r="AI48" s="15">
        <v>303.5</v>
      </c>
      <c r="AJ48" s="15">
        <v>322.86</v>
      </c>
    </row>
    <row r="49" spans="2:36">
      <c r="B49" s="25" t="s">
        <v>83</v>
      </c>
      <c r="C49" s="12" t="s">
        <v>81</v>
      </c>
      <c r="D49" s="12" t="s">
        <v>81</v>
      </c>
      <c r="E49" s="12" t="s">
        <v>81</v>
      </c>
      <c r="F49" s="12" t="s">
        <v>81</v>
      </c>
      <c r="G49" s="12" t="s">
        <v>81</v>
      </c>
      <c r="H49" s="12" t="s">
        <v>81</v>
      </c>
      <c r="I49" s="12" t="s">
        <v>81</v>
      </c>
      <c r="J49" s="12" t="s">
        <v>81</v>
      </c>
      <c r="K49" s="12" t="s">
        <v>81</v>
      </c>
      <c r="L49" s="12" t="s">
        <v>81</v>
      </c>
      <c r="M49" s="12" t="s">
        <v>81</v>
      </c>
      <c r="N49" s="12" t="s">
        <v>81</v>
      </c>
      <c r="O49" s="12" t="s">
        <v>81</v>
      </c>
      <c r="P49" s="12" t="s">
        <v>81</v>
      </c>
      <c r="Q49" s="12" t="s">
        <v>81</v>
      </c>
      <c r="R49" s="12" t="s">
        <v>81</v>
      </c>
      <c r="S49" s="12" t="s">
        <v>81</v>
      </c>
      <c r="T49" s="12" t="s">
        <v>81</v>
      </c>
      <c r="U49" s="12" t="s">
        <v>81</v>
      </c>
      <c r="V49" s="12" t="s">
        <v>81</v>
      </c>
      <c r="W49" s="12" t="s">
        <v>81</v>
      </c>
      <c r="X49" s="12" t="s">
        <v>81</v>
      </c>
      <c r="Y49" s="12" t="s">
        <v>81</v>
      </c>
      <c r="Z49" s="12" t="s">
        <v>81</v>
      </c>
      <c r="AA49" s="12" t="s">
        <v>81</v>
      </c>
      <c r="AB49" s="12" t="s">
        <v>81</v>
      </c>
      <c r="AC49" s="12" t="s">
        <v>81</v>
      </c>
      <c r="AD49" s="12" t="s">
        <v>81</v>
      </c>
      <c r="AE49" s="12" t="s">
        <v>81</v>
      </c>
      <c r="AF49" s="12" t="s">
        <v>81</v>
      </c>
      <c r="AG49" s="12" t="s">
        <v>81</v>
      </c>
      <c r="AH49" s="12" t="s">
        <v>81</v>
      </c>
      <c r="AI49" s="12" t="s">
        <v>81</v>
      </c>
      <c r="AJ49" s="12" t="s">
        <v>81</v>
      </c>
    </row>
    <row r="50" spans="2:36">
      <c r="B50" s="26" t="s">
        <v>84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</row>
    <row r="51" spans="2:36">
      <c r="B51" s="26" t="s">
        <v>85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</row>
    <row r="52" spans="2:36">
      <c r="B52" s="26" t="s">
        <v>86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</row>
    <row r="53" spans="2:36">
      <c r="B53" s="26" t="s">
        <v>87</v>
      </c>
      <c r="C53" s="12" t="s">
        <v>81</v>
      </c>
      <c r="D53" s="12" t="s">
        <v>81</v>
      </c>
      <c r="E53" s="12" t="s">
        <v>81</v>
      </c>
      <c r="F53" s="12" t="s">
        <v>81</v>
      </c>
      <c r="G53" s="12" t="s">
        <v>81</v>
      </c>
      <c r="H53" s="12" t="s">
        <v>81</v>
      </c>
      <c r="I53" s="12" t="s">
        <v>81</v>
      </c>
      <c r="J53" s="12" t="s">
        <v>81</v>
      </c>
      <c r="K53" s="12" t="s">
        <v>81</v>
      </c>
      <c r="L53" s="12" t="s">
        <v>81</v>
      </c>
      <c r="M53" s="12" t="s">
        <v>81</v>
      </c>
      <c r="N53" s="12" t="s">
        <v>81</v>
      </c>
      <c r="O53" s="12" t="s">
        <v>81</v>
      </c>
      <c r="P53" s="12" t="s">
        <v>81</v>
      </c>
      <c r="Q53" s="12" t="s">
        <v>81</v>
      </c>
      <c r="R53" s="12" t="s">
        <v>81</v>
      </c>
      <c r="S53" s="12" t="s">
        <v>81</v>
      </c>
      <c r="T53" s="12" t="s">
        <v>81</v>
      </c>
      <c r="U53" s="12" t="s">
        <v>81</v>
      </c>
      <c r="V53" s="12" t="s">
        <v>81</v>
      </c>
      <c r="W53" s="12" t="s">
        <v>81</v>
      </c>
      <c r="X53" s="12" t="s">
        <v>81</v>
      </c>
      <c r="Y53" s="12" t="s">
        <v>81</v>
      </c>
      <c r="Z53" s="12" t="s">
        <v>81</v>
      </c>
      <c r="AA53" s="12" t="s">
        <v>81</v>
      </c>
      <c r="AB53" s="12" t="s">
        <v>81</v>
      </c>
      <c r="AC53" s="12" t="s">
        <v>81</v>
      </c>
      <c r="AD53" s="12" t="s">
        <v>81</v>
      </c>
      <c r="AE53" s="12" t="s">
        <v>81</v>
      </c>
      <c r="AF53" s="12" t="s">
        <v>81</v>
      </c>
      <c r="AG53" s="12" t="s">
        <v>81</v>
      </c>
      <c r="AH53" s="12" t="s">
        <v>81</v>
      </c>
      <c r="AI53" s="12" t="s">
        <v>81</v>
      </c>
      <c r="AJ53" s="12" t="s">
        <v>81</v>
      </c>
    </row>
    <row r="54" spans="2:36">
      <c r="B54" s="25" t="s">
        <v>88</v>
      </c>
      <c r="C54" s="12">
        <v>417.19</v>
      </c>
      <c r="D54" s="12">
        <v>640.42999999999995</v>
      </c>
      <c r="E54" s="12">
        <v>2405.5300000000002</v>
      </c>
      <c r="F54" s="12">
        <v>2458.7600000000002</v>
      </c>
      <c r="G54" s="12">
        <v>2677.05</v>
      </c>
      <c r="H54" s="12">
        <v>3135.19</v>
      </c>
      <c r="I54" s="12">
        <v>3528</v>
      </c>
      <c r="J54" s="12">
        <v>4177.09</v>
      </c>
      <c r="K54" s="12">
        <v>4734.6400000000003</v>
      </c>
      <c r="L54" s="12">
        <v>5567.39</v>
      </c>
      <c r="M54" s="12">
        <v>6324.63</v>
      </c>
      <c r="N54" s="12">
        <v>6663.43</v>
      </c>
      <c r="O54" s="12">
        <v>6488.86</v>
      </c>
      <c r="P54" s="12">
        <v>9432.84</v>
      </c>
      <c r="Q54" s="12">
        <v>11446.92</v>
      </c>
      <c r="R54" s="12">
        <v>10119.68</v>
      </c>
      <c r="S54" s="12">
        <v>9379.9</v>
      </c>
      <c r="T54" s="12">
        <v>1834.06</v>
      </c>
      <c r="U54" s="12">
        <v>1202.18</v>
      </c>
      <c r="V54" s="12">
        <v>1177.19</v>
      </c>
      <c r="W54" s="12">
        <v>1219.79</v>
      </c>
      <c r="X54" s="12">
        <v>632.66</v>
      </c>
      <c r="Y54" s="12">
        <v>744.77</v>
      </c>
      <c r="Z54" s="12">
        <v>595.79</v>
      </c>
      <c r="AA54" s="12">
        <v>599.98</v>
      </c>
      <c r="AB54" s="12">
        <v>469.44</v>
      </c>
      <c r="AC54" s="12">
        <v>663.07</v>
      </c>
      <c r="AD54" s="12">
        <v>404.16</v>
      </c>
      <c r="AE54" s="12">
        <v>416.56</v>
      </c>
      <c r="AF54" s="12">
        <v>505.09</v>
      </c>
      <c r="AG54" s="12">
        <v>379.88</v>
      </c>
      <c r="AH54" s="12">
        <v>312.98</v>
      </c>
      <c r="AI54" s="12">
        <v>199.81</v>
      </c>
      <c r="AJ54" s="12">
        <v>170.56</v>
      </c>
    </row>
    <row r="55" spans="2:36">
      <c r="B55" s="26" t="s">
        <v>89</v>
      </c>
      <c r="C55" s="12" t="s">
        <v>114</v>
      </c>
      <c r="D55" s="12" t="s">
        <v>114</v>
      </c>
      <c r="E55" s="12" t="s">
        <v>114</v>
      </c>
      <c r="F55" s="12" t="s">
        <v>114</v>
      </c>
      <c r="G55" s="12" t="s">
        <v>114</v>
      </c>
      <c r="H55" s="12" t="s">
        <v>114</v>
      </c>
      <c r="I55" s="12" t="s">
        <v>114</v>
      </c>
      <c r="J55" s="12" t="s">
        <v>114</v>
      </c>
      <c r="K55" s="12" t="s">
        <v>114</v>
      </c>
      <c r="L55" s="12" t="s">
        <v>114</v>
      </c>
      <c r="M55" s="12" t="s">
        <v>114</v>
      </c>
      <c r="N55" s="12" t="s">
        <v>114</v>
      </c>
      <c r="O55" s="12" t="s">
        <v>114</v>
      </c>
      <c r="P55" s="12" t="s">
        <v>114</v>
      </c>
      <c r="Q55" s="12" t="s">
        <v>114</v>
      </c>
      <c r="R55" s="12" t="s">
        <v>114</v>
      </c>
      <c r="S55" s="12" t="s">
        <v>114</v>
      </c>
      <c r="T55" s="12" t="s">
        <v>114</v>
      </c>
      <c r="U55" s="12" t="s">
        <v>114</v>
      </c>
      <c r="V55" s="12" t="s">
        <v>114</v>
      </c>
      <c r="W55" s="12" t="s">
        <v>114</v>
      </c>
      <c r="X55" s="12" t="s">
        <v>114</v>
      </c>
      <c r="Y55" s="12" t="s">
        <v>114</v>
      </c>
      <c r="Z55" s="12" t="s">
        <v>114</v>
      </c>
      <c r="AA55" s="12" t="s">
        <v>114</v>
      </c>
      <c r="AB55" s="12" t="s">
        <v>114</v>
      </c>
      <c r="AC55" s="12" t="s">
        <v>114</v>
      </c>
      <c r="AD55" s="12" t="s">
        <v>114</v>
      </c>
      <c r="AE55" s="12" t="s">
        <v>114</v>
      </c>
      <c r="AF55" s="12" t="s">
        <v>114</v>
      </c>
      <c r="AG55" s="12" t="s">
        <v>114</v>
      </c>
      <c r="AH55" s="12" t="s">
        <v>114</v>
      </c>
      <c r="AI55" s="12" t="s">
        <v>114</v>
      </c>
      <c r="AJ55" s="12" t="s">
        <v>114</v>
      </c>
    </row>
    <row r="56" spans="2:36">
      <c r="B56" s="26" t="s">
        <v>91</v>
      </c>
      <c r="C56" s="12">
        <v>219.29</v>
      </c>
      <c r="D56" s="12">
        <v>270.85000000000002</v>
      </c>
      <c r="E56" s="12">
        <v>352.77</v>
      </c>
      <c r="F56" s="12">
        <v>438.3</v>
      </c>
      <c r="G56" s="12">
        <v>493.48</v>
      </c>
      <c r="H56" s="12">
        <v>599.99</v>
      </c>
      <c r="I56" s="12">
        <v>673.29</v>
      </c>
      <c r="J56" s="12">
        <v>777.58</v>
      </c>
      <c r="K56" s="12">
        <v>861.48</v>
      </c>
      <c r="L56" s="12">
        <v>879.28</v>
      </c>
      <c r="M56" s="12">
        <v>1064.25</v>
      </c>
      <c r="N56" s="12">
        <v>1021.54</v>
      </c>
      <c r="O56" s="12">
        <v>1087.6199999999999</v>
      </c>
      <c r="P56" s="12">
        <v>1370.72</v>
      </c>
      <c r="Q56" s="12">
        <v>1411.46</v>
      </c>
      <c r="R56" s="12">
        <v>1485.43</v>
      </c>
      <c r="S56" s="12">
        <v>1648.19</v>
      </c>
      <c r="T56" s="12">
        <v>463.63</v>
      </c>
      <c r="U56" s="12">
        <v>168.3</v>
      </c>
      <c r="V56" s="12">
        <v>142.53</v>
      </c>
      <c r="W56" s="12">
        <v>160.27000000000001</v>
      </c>
      <c r="X56" s="12">
        <v>187.59</v>
      </c>
      <c r="Y56" s="12">
        <v>332.51</v>
      </c>
      <c r="Z56" s="12">
        <v>204.04</v>
      </c>
      <c r="AA56" s="12">
        <v>242.71</v>
      </c>
      <c r="AB56" s="12">
        <v>229.55</v>
      </c>
      <c r="AC56" s="12">
        <v>305.08</v>
      </c>
      <c r="AD56" s="12">
        <v>301.93</v>
      </c>
      <c r="AE56" s="12">
        <v>291.52</v>
      </c>
      <c r="AF56" s="12">
        <v>374.08</v>
      </c>
      <c r="AG56" s="12">
        <v>276.2</v>
      </c>
      <c r="AH56" s="12">
        <v>189.7</v>
      </c>
      <c r="AI56" s="12">
        <v>96.3</v>
      </c>
      <c r="AJ56" s="12">
        <v>100.88</v>
      </c>
    </row>
    <row r="57" spans="2:36">
      <c r="B57" s="26" t="s">
        <v>92</v>
      </c>
      <c r="C57" s="12" t="s">
        <v>90</v>
      </c>
      <c r="D57" s="12" t="s">
        <v>90</v>
      </c>
      <c r="E57" s="12" t="s">
        <v>90</v>
      </c>
      <c r="F57" s="12" t="s">
        <v>90</v>
      </c>
      <c r="G57" s="12" t="s">
        <v>90</v>
      </c>
      <c r="H57" s="12" t="s">
        <v>90</v>
      </c>
      <c r="I57" s="12" t="s">
        <v>90</v>
      </c>
      <c r="J57" s="12" t="s">
        <v>90</v>
      </c>
      <c r="K57" s="12" t="s">
        <v>90</v>
      </c>
      <c r="L57" s="12" t="s">
        <v>90</v>
      </c>
      <c r="M57" s="12" t="s">
        <v>90</v>
      </c>
      <c r="N57" s="12" t="s">
        <v>90</v>
      </c>
      <c r="O57" s="12" t="s">
        <v>90</v>
      </c>
      <c r="P57" s="12" t="s">
        <v>90</v>
      </c>
      <c r="Q57" s="12" t="s">
        <v>90</v>
      </c>
      <c r="R57" s="12" t="s">
        <v>90</v>
      </c>
      <c r="S57" s="12" t="s">
        <v>90</v>
      </c>
      <c r="T57" s="12" t="s">
        <v>90</v>
      </c>
      <c r="U57" s="12" t="s">
        <v>90</v>
      </c>
      <c r="V57" s="12" t="s">
        <v>90</v>
      </c>
      <c r="W57" s="12" t="s">
        <v>90</v>
      </c>
      <c r="X57" s="12" t="s">
        <v>90</v>
      </c>
      <c r="Y57" s="12" t="s">
        <v>90</v>
      </c>
      <c r="Z57" s="12" t="s">
        <v>90</v>
      </c>
      <c r="AA57" s="12" t="s">
        <v>90</v>
      </c>
      <c r="AB57" s="12" t="s">
        <v>90</v>
      </c>
      <c r="AC57" s="12" t="s">
        <v>90</v>
      </c>
      <c r="AD57" s="12" t="s">
        <v>90</v>
      </c>
      <c r="AE57" s="12" t="s">
        <v>90</v>
      </c>
      <c r="AF57" s="12" t="s">
        <v>90</v>
      </c>
      <c r="AG57" s="12" t="s">
        <v>90</v>
      </c>
      <c r="AH57" s="12" t="s">
        <v>90</v>
      </c>
      <c r="AI57" s="12" t="s">
        <v>90</v>
      </c>
      <c r="AJ57" s="12" t="s">
        <v>90</v>
      </c>
    </row>
    <row r="58" spans="2:36">
      <c r="B58" s="26" t="s">
        <v>93</v>
      </c>
      <c r="C58" s="12" t="s">
        <v>95</v>
      </c>
      <c r="D58" s="12" t="s">
        <v>95</v>
      </c>
      <c r="E58" s="12" t="s">
        <v>95</v>
      </c>
      <c r="F58" s="12" t="s">
        <v>95</v>
      </c>
      <c r="G58" s="12" t="s">
        <v>95</v>
      </c>
      <c r="H58" s="12" t="s">
        <v>95</v>
      </c>
      <c r="I58" s="12" t="s">
        <v>95</v>
      </c>
      <c r="J58" s="12" t="s">
        <v>95</v>
      </c>
      <c r="K58" s="12" t="s">
        <v>95</v>
      </c>
      <c r="L58" s="12" t="s">
        <v>95</v>
      </c>
      <c r="M58" s="12" t="s">
        <v>95</v>
      </c>
      <c r="N58" s="12" t="s">
        <v>95</v>
      </c>
      <c r="O58" s="12" t="s">
        <v>95</v>
      </c>
      <c r="P58" s="12" t="s">
        <v>95</v>
      </c>
      <c r="Q58" s="12" t="s">
        <v>95</v>
      </c>
      <c r="R58" s="12" t="s">
        <v>95</v>
      </c>
      <c r="S58" s="12" t="s">
        <v>95</v>
      </c>
      <c r="T58" s="12" t="s">
        <v>95</v>
      </c>
      <c r="U58" s="12" t="s">
        <v>95</v>
      </c>
      <c r="V58" s="12" t="s">
        <v>95</v>
      </c>
      <c r="W58" s="12" t="s">
        <v>95</v>
      </c>
      <c r="X58" s="12" t="s">
        <v>95</v>
      </c>
      <c r="Y58" s="12" t="s">
        <v>95</v>
      </c>
      <c r="Z58" s="12" t="s">
        <v>95</v>
      </c>
      <c r="AA58" s="12" t="s">
        <v>95</v>
      </c>
      <c r="AB58" s="12" t="s">
        <v>95</v>
      </c>
      <c r="AC58" s="12" t="s">
        <v>95</v>
      </c>
      <c r="AD58" s="12" t="s">
        <v>95</v>
      </c>
      <c r="AE58" s="12" t="s">
        <v>95</v>
      </c>
      <c r="AF58" s="12" t="s">
        <v>95</v>
      </c>
      <c r="AG58" s="12" t="s">
        <v>95</v>
      </c>
      <c r="AH58" s="12" t="s">
        <v>95</v>
      </c>
      <c r="AI58" s="12" t="s">
        <v>95</v>
      </c>
      <c r="AJ58" s="12" t="s">
        <v>95</v>
      </c>
    </row>
    <row r="59" spans="2:36">
      <c r="B59" s="26" t="s">
        <v>94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</row>
    <row r="60" spans="2:36">
      <c r="B60" s="26" t="s">
        <v>96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</row>
    <row r="61" spans="2:36">
      <c r="B61" s="26" t="s">
        <v>97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</row>
    <row r="62" spans="2:36">
      <c r="B62" s="26" t="s">
        <v>98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</row>
    <row r="63" spans="2:36">
      <c r="B63" s="26" t="s">
        <v>99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</row>
    <row r="64" spans="2:36">
      <c r="B64" s="26" t="s">
        <v>100</v>
      </c>
      <c r="C64" s="12">
        <v>197.9</v>
      </c>
      <c r="D64" s="12">
        <v>369.58</v>
      </c>
      <c r="E64" s="12">
        <v>2052.7600000000002</v>
      </c>
      <c r="F64" s="12">
        <v>2020.47</v>
      </c>
      <c r="G64" s="12">
        <v>2183.58</v>
      </c>
      <c r="H64" s="12">
        <v>2535.1999999999998</v>
      </c>
      <c r="I64" s="12">
        <v>2854.71</v>
      </c>
      <c r="J64" s="12">
        <v>3399.51</v>
      </c>
      <c r="K64" s="12">
        <v>3873.16</v>
      </c>
      <c r="L64" s="12">
        <v>4688.1099999999997</v>
      </c>
      <c r="M64" s="12">
        <v>5260.38</v>
      </c>
      <c r="N64" s="12">
        <v>5641.89</v>
      </c>
      <c r="O64" s="12">
        <v>5401.24</v>
      </c>
      <c r="P64" s="12">
        <v>8062.12</v>
      </c>
      <c r="Q64" s="12">
        <v>10035.459999999999</v>
      </c>
      <c r="R64" s="12">
        <v>8634.26</v>
      </c>
      <c r="S64" s="12">
        <v>7731.71</v>
      </c>
      <c r="T64" s="12">
        <v>1370.44</v>
      </c>
      <c r="U64" s="12">
        <v>1033.8699999999999</v>
      </c>
      <c r="V64" s="12">
        <v>1034.6600000000001</v>
      </c>
      <c r="W64" s="12">
        <v>1059.52</v>
      </c>
      <c r="X64" s="12">
        <v>445.07</v>
      </c>
      <c r="Y64" s="12">
        <v>412.26</v>
      </c>
      <c r="Z64" s="12">
        <v>391.76</v>
      </c>
      <c r="AA64" s="12">
        <v>357.27</v>
      </c>
      <c r="AB64" s="12">
        <v>239.89</v>
      </c>
      <c r="AC64" s="12">
        <v>357.99</v>
      </c>
      <c r="AD64" s="12">
        <v>102.23</v>
      </c>
      <c r="AE64" s="12">
        <v>125.04</v>
      </c>
      <c r="AF64" s="12">
        <v>131.01</v>
      </c>
      <c r="AG64" s="12">
        <v>103.68</v>
      </c>
      <c r="AH64" s="12">
        <v>123.27</v>
      </c>
      <c r="AI64" s="12">
        <v>103.51</v>
      </c>
      <c r="AJ64" s="12">
        <v>69.680000000000007</v>
      </c>
    </row>
    <row r="65" spans="2:36">
      <c r="B65" s="25" t="s">
        <v>101</v>
      </c>
      <c r="C65" s="12" t="s">
        <v>81</v>
      </c>
      <c r="D65" s="12" t="s">
        <v>81</v>
      </c>
      <c r="E65" s="12" t="s">
        <v>81</v>
      </c>
      <c r="F65" s="12" t="s">
        <v>81</v>
      </c>
      <c r="G65" s="12" t="s">
        <v>81</v>
      </c>
      <c r="H65" s="12" t="s">
        <v>81</v>
      </c>
      <c r="I65" s="12" t="s">
        <v>81</v>
      </c>
      <c r="J65" s="12" t="s">
        <v>81</v>
      </c>
      <c r="K65" s="12" t="s">
        <v>81</v>
      </c>
      <c r="L65" s="12" t="s">
        <v>81</v>
      </c>
      <c r="M65" s="12" t="s">
        <v>81</v>
      </c>
      <c r="N65" s="12" t="s">
        <v>81</v>
      </c>
      <c r="O65" s="12" t="s">
        <v>81</v>
      </c>
      <c r="P65" s="12" t="s">
        <v>81</v>
      </c>
      <c r="Q65" s="12" t="s">
        <v>81</v>
      </c>
      <c r="R65" s="12" t="s">
        <v>81</v>
      </c>
      <c r="S65" s="12" t="s">
        <v>81</v>
      </c>
      <c r="T65" s="12" t="s">
        <v>81</v>
      </c>
      <c r="U65" s="12" t="s">
        <v>81</v>
      </c>
      <c r="V65" s="12" t="s">
        <v>81</v>
      </c>
      <c r="W65" s="12" t="s">
        <v>81</v>
      </c>
      <c r="X65" s="12" t="s">
        <v>81</v>
      </c>
      <c r="Y65" s="12" t="s">
        <v>81</v>
      </c>
      <c r="Z65" s="12" t="s">
        <v>81</v>
      </c>
      <c r="AA65" s="12" t="s">
        <v>81</v>
      </c>
      <c r="AB65" s="12" t="s">
        <v>81</v>
      </c>
      <c r="AC65" s="12" t="s">
        <v>81</v>
      </c>
      <c r="AD65" s="12" t="s">
        <v>81</v>
      </c>
      <c r="AE65" s="12" t="s">
        <v>81</v>
      </c>
      <c r="AF65" s="12" t="s">
        <v>81</v>
      </c>
      <c r="AG65" s="12" t="s">
        <v>81</v>
      </c>
      <c r="AH65" s="12" t="s">
        <v>81</v>
      </c>
      <c r="AI65" s="12" t="s">
        <v>81</v>
      </c>
      <c r="AJ65" s="12" t="s">
        <v>81</v>
      </c>
    </row>
    <row r="66" spans="2:36">
      <c r="B66" s="26" t="s">
        <v>102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</row>
    <row r="67" spans="2:36">
      <c r="B67" s="26" t="s">
        <v>103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</row>
    <row r="68" spans="2:36">
      <c r="B68" s="26" t="s">
        <v>104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</row>
    <row r="69" spans="2:36">
      <c r="B69" s="26" t="s">
        <v>105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</row>
    <row r="70" spans="2:36">
      <c r="B70" s="26" t="s">
        <v>106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</row>
    <row r="71" spans="2:36">
      <c r="B71" s="26" t="s">
        <v>107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</row>
    <row r="72" spans="2:36">
      <c r="B72" s="26" t="s">
        <v>108</v>
      </c>
      <c r="C72" s="12" t="s">
        <v>81</v>
      </c>
      <c r="D72" s="12" t="s">
        <v>81</v>
      </c>
      <c r="E72" s="12" t="s">
        <v>81</v>
      </c>
      <c r="F72" s="12" t="s">
        <v>81</v>
      </c>
      <c r="G72" s="12" t="s">
        <v>81</v>
      </c>
      <c r="H72" s="12" t="s">
        <v>81</v>
      </c>
      <c r="I72" s="12" t="s">
        <v>81</v>
      </c>
      <c r="J72" s="12" t="s">
        <v>81</v>
      </c>
      <c r="K72" s="12" t="s">
        <v>81</v>
      </c>
      <c r="L72" s="12" t="s">
        <v>81</v>
      </c>
      <c r="M72" s="12" t="s">
        <v>81</v>
      </c>
      <c r="N72" s="12" t="s">
        <v>81</v>
      </c>
      <c r="O72" s="12" t="s">
        <v>81</v>
      </c>
      <c r="P72" s="12" t="s">
        <v>81</v>
      </c>
      <c r="Q72" s="12" t="s">
        <v>81</v>
      </c>
      <c r="R72" s="12" t="s">
        <v>81</v>
      </c>
      <c r="S72" s="12" t="s">
        <v>81</v>
      </c>
      <c r="T72" s="12" t="s">
        <v>81</v>
      </c>
      <c r="U72" s="12" t="s">
        <v>81</v>
      </c>
      <c r="V72" s="12" t="s">
        <v>81</v>
      </c>
      <c r="W72" s="12" t="s">
        <v>81</v>
      </c>
      <c r="X72" s="12" t="s">
        <v>81</v>
      </c>
      <c r="Y72" s="12" t="s">
        <v>81</v>
      </c>
      <c r="Z72" s="12" t="s">
        <v>81</v>
      </c>
      <c r="AA72" s="12" t="s">
        <v>81</v>
      </c>
      <c r="AB72" s="12" t="s">
        <v>81</v>
      </c>
      <c r="AC72" s="12" t="s">
        <v>81</v>
      </c>
      <c r="AD72" s="12" t="s">
        <v>81</v>
      </c>
      <c r="AE72" s="12" t="s">
        <v>81</v>
      </c>
      <c r="AF72" s="12" t="s">
        <v>81</v>
      </c>
      <c r="AG72" s="12" t="s">
        <v>81</v>
      </c>
      <c r="AH72" s="12" t="s">
        <v>81</v>
      </c>
      <c r="AI72" s="12" t="s">
        <v>81</v>
      </c>
      <c r="AJ72" s="12" t="s">
        <v>81</v>
      </c>
    </row>
    <row r="73" spans="2:36">
      <c r="B73" s="25" t="s">
        <v>110</v>
      </c>
      <c r="C73" s="12" t="s">
        <v>230</v>
      </c>
      <c r="D73" s="12" t="s">
        <v>230</v>
      </c>
      <c r="E73" s="12" t="s">
        <v>230</v>
      </c>
      <c r="F73" s="12" t="s">
        <v>230</v>
      </c>
      <c r="G73" s="12" t="s">
        <v>230</v>
      </c>
      <c r="H73" s="12" t="s">
        <v>230</v>
      </c>
      <c r="I73" s="12" t="s">
        <v>230</v>
      </c>
      <c r="J73" s="12" t="s">
        <v>230</v>
      </c>
      <c r="K73" s="12" t="s">
        <v>230</v>
      </c>
      <c r="L73" s="12" t="s">
        <v>230</v>
      </c>
      <c r="M73" s="12" t="s">
        <v>230</v>
      </c>
      <c r="N73" s="12" t="s">
        <v>230</v>
      </c>
      <c r="O73" s="12" t="s">
        <v>230</v>
      </c>
      <c r="P73" s="12" t="s">
        <v>230</v>
      </c>
      <c r="Q73" s="12" t="s">
        <v>230</v>
      </c>
      <c r="R73" s="12" t="s">
        <v>230</v>
      </c>
      <c r="S73" s="12" t="s">
        <v>230</v>
      </c>
      <c r="T73" s="12" t="s">
        <v>230</v>
      </c>
      <c r="U73" s="12" t="s">
        <v>230</v>
      </c>
      <c r="V73" s="12" t="s">
        <v>230</v>
      </c>
      <c r="W73" s="12" t="s">
        <v>230</v>
      </c>
      <c r="X73" s="12" t="s">
        <v>230</v>
      </c>
      <c r="Y73" s="12" t="s">
        <v>230</v>
      </c>
      <c r="Z73" s="12" t="s">
        <v>230</v>
      </c>
      <c r="AA73" s="12" t="s">
        <v>230</v>
      </c>
      <c r="AB73" s="12" t="s">
        <v>230</v>
      </c>
      <c r="AC73" s="12" t="s">
        <v>230</v>
      </c>
      <c r="AD73" s="12" t="s">
        <v>230</v>
      </c>
      <c r="AE73" s="12" t="s">
        <v>230</v>
      </c>
      <c r="AF73" s="12" t="s">
        <v>230</v>
      </c>
      <c r="AG73" s="12" t="s">
        <v>230</v>
      </c>
      <c r="AH73" s="12" t="s">
        <v>230</v>
      </c>
      <c r="AI73" s="12" t="s">
        <v>230</v>
      </c>
      <c r="AJ73" s="12" t="s">
        <v>230</v>
      </c>
    </row>
    <row r="74" spans="2:36">
      <c r="B74" s="26" t="s">
        <v>111</v>
      </c>
      <c r="C74" s="12" t="s">
        <v>81</v>
      </c>
      <c r="D74" s="12" t="s">
        <v>81</v>
      </c>
      <c r="E74" s="12" t="s">
        <v>81</v>
      </c>
      <c r="F74" s="12" t="s">
        <v>81</v>
      </c>
      <c r="G74" s="12" t="s">
        <v>81</v>
      </c>
      <c r="H74" s="12" t="s">
        <v>81</v>
      </c>
      <c r="I74" s="12" t="s">
        <v>81</v>
      </c>
      <c r="J74" s="12" t="s">
        <v>81</v>
      </c>
      <c r="K74" s="12" t="s">
        <v>81</v>
      </c>
      <c r="L74" s="12" t="s">
        <v>81</v>
      </c>
      <c r="M74" s="12" t="s">
        <v>81</v>
      </c>
      <c r="N74" s="12" t="s">
        <v>81</v>
      </c>
      <c r="O74" s="12" t="s">
        <v>81</v>
      </c>
      <c r="P74" s="12" t="s">
        <v>81</v>
      </c>
      <c r="Q74" s="12" t="s">
        <v>81</v>
      </c>
      <c r="R74" s="12" t="s">
        <v>81</v>
      </c>
      <c r="S74" s="12" t="s">
        <v>81</v>
      </c>
      <c r="T74" s="12" t="s">
        <v>81</v>
      </c>
      <c r="U74" s="12" t="s">
        <v>81</v>
      </c>
      <c r="V74" s="12" t="s">
        <v>81</v>
      </c>
      <c r="W74" s="12" t="s">
        <v>81</v>
      </c>
      <c r="X74" s="12" t="s">
        <v>81</v>
      </c>
      <c r="Y74" s="12" t="s">
        <v>81</v>
      </c>
      <c r="Z74" s="12" t="s">
        <v>81</v>
      </c>
      <c r="AA74" s="12" t="s">
        <v>81</v>
      </c>
      <c r="AB74" s="12" t="s">
        <v>81</v>
      </c>
      <c r="AC74" s="12" t="s">
        <v>81</v>
      </c>
      <c r="AD74" s="12" t="s">
        <v>81</v>
      </c>
      <c r="AE74" s="12" t="s">
        <v>81</v>
      </c>
      <c r="AF74" s="12" t="s">
        <v>81</v>
      </c>
      <c r="AG74" s="12" t="s">
        <v>81</v>
      </c>
      <c r="AH74" s="12" t="s">
        <v>81</v>
      </c>
      <c r="AI74" s="12" t="s">
        <v>81</v>
      </c>
      <c r="AJ74" s="12" t="s">
        <v>81</v>
      </c>
    </row>
    <row r="75" spans="2:36">
      <c r="B75" s="26" t="s">
        <v>112</v>
      </c>
      <c r="C75" s="12" t="s">
        <v>81</v>
      </c>
      <c r="D75" s="12" t="s">
        <v>81</v>
      </c>
      <c r="E75" s="12" t="s">
        <v>81</v>
      </c>
      <c r="F75" s="12" t="s">
        <v>81</v>
      </c>
      <c r="G75" s="12" t="s">
        <v>81</v>
      </c>
      <c r="H75" s="12" t="s">
        <v>81</v>
      </c>
      <c r="I75" s="12" t="s">
        <v>81</v>
      </c>
      <c r="J75" s="12" t="s">
        <v>81</v>
      </c>
      <c r="K75" s="12" t="s">
        <v>81</v>
      </c>
      <c r="L75" s="12" t="s">
        <v>81</v>
      </c>
      <c r="M75" s="12" t="s">
        <v>81</v>
      </c>
      <c r="N75" s="12" t="s">
        <v>81</v>
      </c>
      <c r="O75" s="12" t="s">
        <v>81</v>
      </c>
      <c r="P75" s="12" t="s">
        <v>81</v>
      </c>
      <c r="Q75" s="12" t="s">
        <v>81</v>
      </c>
      <c r="R75" s="12" t="s">
        <v>81</v>
      </c>
      <c r="S75" s="12" t="s">
        <v>81</v>
      </c>
      <c r="T75" s="12" t="s">
        <v>81</v>
      </c>
      <c r="U75" s="12" t="s">
        <v>81</v>
      </c>
      <c r="V75" s="12" t="s">
        <v>81</v>
      </c>
      <c r="W75" s="12" t="s">
        <v>81</v>
      </c>
      <c r="X75" s="12" t="s">
        <v>81</v>
      </c>
      <c r="Y75" s="12" t="s">
        <v>81</v>
      </c>
      <c r="Z75" s="12" t="s">
        <v>81</v>
      </c>
      <c r="AA75" s="12" t="s">
        <v>81</v>
      </c>
      <c r="AB75" s="12" t="s">
        <v>81</v>
      </c>
      <c r="AC75" s="12" t="s">
        <v>81</v>
      </c>
      <c r="AD75" s="12" t="s">
        <v>81</v>
      </c>
      <c r="AE75" s="12" t="s">
        <v>81</v>
      </c>
      <c r="AF75" s="12" t="s">
        <v>81</v>
      </c>
      <c r="AG75" s="12" t="s">
        <v>81</v>
      </c>
      <c r="AH75" s="12" t="s">
        <v>81</v>
      </c>
      <c r="AI75" s="12" t="s">
        <v>81</v>
      </c>
      <c r="AJ75" s="12" t="s">
        <v>81</v>
      </c>
    </row>
    <row r="76" spans="2:36">
      <c r="B76" s="26" t="s">
        <v>113</v>
      </c>
      <c r="C76" s="12" t="s">
        <v>114</v>
      </c>
      <c r="D76" s="12" t="s">
        <v>114</v>
      </c>
      <c r="E76" s="12" t="s">
        <v>114</v>
      </c>
      <c r="F76" s="12" t="s">
        <v>114</v>
      </c>
      <c r="G76" s="12" t="s">
        <v>114</v>
      </c>
      <c r="H76" s="12" t="s">
        <v>114</v>
      </c>
      <c r="I76" s="12" t="s">
        <v>114</v>
      </c>
      <c r="J76" s="12" t="s">
        <v>114</v>
      </c>
      <c r="K76" s="12" t="s">
        <v>114</v>
      </c>
      <c r="L76" s="12" t="s">
        <v>114</v>
      </c>
      <c r="M76" s="12" t="s">
        <v>114</v>
      </c>
      <c r="N76" s="12" t="s">
        <v>114</v>
      </c>
      <c r="O76" s="12" t="s">
        <v>114</v>
      </c>
      <c r="P76" s="12" t="s">
        <v>114</v>
      </c>
      <c r="Q76" s="12" t="s">
        <v>114</v>
      </c>
      <c r="R76" s="12" t="s">
        <v>114</v>
      </c>
      <c r="S76" s="12" t="s">
        <v>114</v>
      </c>
      <c r="T76" s="12" t="s">
        <v>114</v>
      </c>
      <c r="U76" s="12" t="s">
        <v>114</v>
      </c>
      <c r="V76" s="12" t="s">
        <v>114</v>
      </c>
      <c r="W76" s="12" t="s">
        <v>114</v>
      </c>
      <c r="X76" s="12" t="s">
        <v>114</v>
      </c>
      <c r="Y76" s="12" t="s">
        <v>114</v>
      </c>
      <c r="Z76" s="12" t="s">
        <v>114</v>
      </c>
      <c r="AA76" s="12" t="s">
        <v>114</v>
      </c>
      <c r="AB76" s="12" t="s">
        <v>114</v>
      </c>
      <c r="AC76" s="12" t="s">
        <v>114</v>
      </c>
      <c r="AD76" s="12" t="s">
        <v>114</v>
      </c>
      <c r="AE76" s="12" t="s">
        <v>114</v>
      </c>
      <c r="AF76" s="12" t="s">
        <v>114</v>
      </c>
      <c r="AG76" s="12" t="s">
        <v>114</v>
      </c>
      <c r="AH76" s="12" t="s">
        <v>114</v>
      </c>
      <c r="AI76" s="12" t="s">
        <v>114</v>
      </c>
      <c r="AJ76" s="12" t="s">
        <v>114</v>
      </c>
    </row>
    <row r="77" spans="2:36">
      <c r="B77" s="25" t="s">
        <v>115</v>
      </c>
      <c r="C77" s="12" t="s">
        <v>230</v>
      </c>
      <c r="D77" s="12" t="s">
        <v>230</v>
      </c>
      <c r="E77" s="12" t="s">
        <v>230</v>
      </c>
      <c r="F77" s="12" t="s">
        <v>230</v>
      </c>
      <c r="G77" s="12" t="s">
        <v>230</v>
      </c>
      <c r="H77" s="12" t="s">
        <v>230</v>
      </c>
      <c r="I77" s="12" t="s">
        <v>230</v>
      </c>
      <c r="J77" s="12" t="s">
        <v>230</v>
      </c>
      <c r="K77" s="12" t="s">
        <v>230</v>
      </c>
      <c r="L77" s="12" t="s">
        <v>230</v>
      </c>
      <c r="M77" s="12" t="s">
        <v>230</v>
      </c>
      <c r="N77" s="12" t="s">
        <v>230</v>
      </c>
      <c r="O77" s="12" t="s">
        <v>230</v>
      </c>
      <c r="P77" s="12" t="s">
        <v>230</v>
      </c>
      <c r="Q77" s="12" t="s">
        <v>230</v>
      </c>
      <c r="R77" s="12" t="s">
        <v>230</v>
      </c>
      <c r="S77" s="12" t="s">
        <v>230</v>
      </c>
      <c r="T77" s="12" t="s">
        <v>230</v>
      </c>
      <c r="U77" s="12" t="s">
        <v>230</v>
      </c>
      <c r="V77" s="12" t="s">
        <v>230</v>
      </c>
      <c r="W77" s="12" t="s">
        <v>230</v>
      </c>
      <c r="X77" s="12" t="s">
        <v>230</v>
      </c>
      <c r="Y77" s="12" t="s">
        <v>230</v>
      </c>
      <c r="Z77" s="12" t="s">
        <v>230</v>
      </c>
      <c r="AA77" s="12" t="s">
        <v>230</v>
      </c>
      <c r="AB77" s="12" t="s">
        <v>230</v>
      </c>
      <c r="AC77" s="12" t="s">
        <v>230</v>
      </c>
      <c r="AD77" s="12" t="s">
        <v>230</v>
      </c>
      <c r="AE77" s="12" t="s">
        <v>230</v>
      </c>
      <c r="AF77" s="12" t="s">
        <v>230</v>
      </c>
      <c r="AG77" s="12" t="s">
        <v>230</v>
      </c>
      <c r="AH77" s="12" t="s">
        <v>230</v>
      </c>
      <c r="AI77" s="12" t="s">
        <v>230</v>
      </c>
      <c r="AJ77" s="12" t="s">
        <v>230</v>
      </c>
    </row>
    <row r="78" spans="2:36">
      <c r="B78" s="28" t="s">
        <v>116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</row>
    <row r="79" spans="2:36">
      <c r="B79" s="29" t="s">
        <v>117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</row>
    <row r="80" spans="2:36">
      <c r="B80" s="29" t="s">
        <v>118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</row>
    <row r="81" spans="2:36">
      <c r="B81" s="29" t="s">
        <v>119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</row>
    <row r="82" spans="2:36">
      <c r="B82" s="29" t="s">
        <v>120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</row>
    <row r="83" spans="2:36">
      <c r="B83" s="29" t="s">
        <v>121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</row>
    <row r="84" spans="2:36">
      <c r="B84" s="29" t="s">
        <v>122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</row>
    <row r="85" spans="2:36">
      <c r="B85" s="28" t="s">
        <v>123</v>
      </c>
      <c r="C85" s="12" t="s">
        <v>109</v>
      </c>
      <c r="D85" s="12" t="s">
        <v>109</v>
      </c>
      <c r="E85" s="12" t="s">
        <v>109</v>
      </c>
      <c r="F85" s="12" t="s">
        <v>109</v>
      </c>
      <c r="G85" s="12" t="s">
        <v>109</v>
      </c>
      <c r="H85" s="12" t="s">
        <v>109</v>
      </c>
      <c r="I85" s="12" t="s">
        <v>109</v>
      </c>
      <c r="J85" s="12" t="s">
        <v>109</v>
      </c>
      <c r="K85" s="12" t="s">
        <v>109</v>
      </c>
      <c r="L85" s="12" t="s">
        <v>109</v>
      </c>
      <c r="M85" s="12" t="s">
        <v>109</v>
      </c>
      <c r="N85" s="12" t="s">
        <v>109</v>
      </c>
      <c r="O85" s="12" t="s">
        <v>109</v>
      </c>
      <c r="P85" s="12" t="s">
        <v>109</v>
      </c>
      <c r="Q85" s="12">
        <v>78.78</v>
      </c>
      <c r="R85" s="12">
        <v>145.37</v>
      </c>
      <c r="S85" s="12">
        <v>151.16999999999999</v>
      </c>
      <c r="T85" s="12">
        <v>169.28</v>
      </c>
      <c r="U85" s="12">
        <v>172.46</v>
      </c>
      <c r="V85" s="12">
        <v>182.46</v>
      </c>
      <c r="W85" s="12">
        <v>198.51</v>
      </c>
      <c r="X85" s="12">
        <v>202.45</v>
      </c>
      <c r="Y85" s="12">
        <v>227.41</v>
      </c>
      <c r="Z85" s="12">
        <v>246.43</v>
      </c>
      <c r="AA85" s="12">
        <v>208</v>
      </c>
      <c r="AB85" s="12">
        <v>161.16999999999999</v>
      </c>
      <c r="AC85" s="12">
        <v>139.5</v>
      </c>
      <c r="AD85" s="12">
        <v>131.82</v>
      </c>
      <c r="AE85" s="12">
        <v>132.36000000000001</v>
      </c>
      <c r="AF85" s="12">
        <v>136.30000000000001</v>
      </c>
      <c r="AG85" s="12">
        <v>127.1</v>
      </c>
      <c r="AH85" s="12">
        <v>95.73</v>
      </c>
      <c r="AI85" s="12">
        <v>103.69</v>
      </c>
      <c r="AJ85" s="12">
        <v>152.30000000000001</v>
      </c>
    </row>
    <row r="86" spans="2:36">
      <c r="B86" s="29" t="s">
        <v>124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</row>
    <row r="87" spans="2:36">
      <c r="B87" s="29" t="s">
        <v>125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</row>
    <row r="88" spans="2:36">
      <c r="B88" s="29" t="s">
        <v>126</v>
      </c>
      <c r="C88" s="12" t="s">
        <v>109</v>
      </c>
      <c r="D88" s="12" t="s">
        <v>109</v>
      </c>
      <c r="E88" s="12" t="s">
        <v>109</v>
      </c>
      <c r="F88" s="12" t="s">
        <v>109</v>
      </c>
      <c r="G88" s="12" t="s">
        <v>109</v>
      </c>
      <c r="H88" s="12" t="s">
        <v>109</v>
      </c>
      <c r="I88" s="12" t="s">
        <v>109</v>
      </c>
      <c r="J88" s="12" t="s">
        <v>109</v>
      </c>
      <c r="K88" s="12" t="s">
        <v>109</v>
      </c>
      <c r="L88" s="12" t="s">
        <v>109</v>
      </c>
      <c r="M88" s="12" t="s">
        <v>109</v>
      </c>
      <c r="N88" s="12" t="s">
        <v>109</v>
      </c>
      <c r="O88" s="12" t="s">
        <v>109</v>
      </c>
      <c r="P88" s="12" t="s">
        <v>109</v>
      </c>
      <c r="Q88" s="12">
        <v>78.78</v>
      </c>
      <c r="R88" s="12">
        <v>145.37</v>
      </c>
      <c r="S88" s="12">
        <v>151.16999999999999</v>
      </c>
      <c r="T88" s="12">
        <v>169.28</v>
      </c>
      <c r="U88" s="12">
        <v>172.46</v>
      </c>
      <c r="V88" s="12">
        <v>182.46</v>
      </c>
      <c r="W88" s="12">
        <v>198.51</v>
      </c>
      <c r="X88" s="12">
        <v>202.45</v>
      </c>
      <c r="Y88" s="12">
        <v>227.41</v>
      </c>
      <c r="Z88" s="12">
        <v>246.43</v>
      </c>
      <c r="AA88" s="12">
        <v>208</v>
      </c>
      <c r="AB88" s="12">
        <v>161.16999999999999</v>
      </c>
      <c r="AC88" s="12">
        <v>139.5</v>
      </c>
      <c r="AD88" s="12">
        <v>131.82</v>
      </c>
      <c r="AE88" s="12">
        <v>132.36000000000001</v>
      </c>
      <c r="AF88" s="12">
        <v>136.30000000000001</v>
      </c>
      <c r="AG88" s="12">
        <v>127.1</v>
      </c>
      <c r="AH88" s="12">
        <v>95.73</v>
      </c>
      <c r="AI88" s="12">
        <v>103.69</v>
      </c>
      <c r="AJ88" s="12">
        <v>152.30000000000001</v>
      </c>
    </row>
    <row r="89" spans="2:36">
      <c r="B89" s="28" t="s">
        <v>127</v>
      </c>
      <c r="C89" s="12" t="s">
        <v>81</v>
      </c>
      <c r="D89" s="12" t="s">
        <v>81</v>
      </c>
      <c r="E89" s="12" t="s">
        <v>81</v>
      </c>
      <c r="F89" s="12" t="s">
        <v>81</v>
      </c>
      <c r="G89" s="12" t="s">
        <v>81</v>
      </c>
      <c r="H89" s="12" t="s">
        <v>81</v>
      </c>
      <c r="I89" s="12" t="s">
        <v>81</v>
      </c>
      <c r="J89" s="12" t="s">
        <v>81</v>
      </c>
      <c r="K89" s="12" t="s">
        <v>81</v>
      </c>
      <c r="L89" s="12" t="s">
        <v>81</v>
      </c>
      <c r="M89" s="12" t="s">
        <v>81</v>
      </c>
      <c r="N89" s="12" t="s">
        <v>81</v>
      </c>
      <c r="O89" s="12" t="s">
        <v>81</v>
      </c>
      <c r="P89" s="12" t="s">
        <v>81</v>
      </c>
      <c r="Q89" s="12" t="s">
        <v>81</v>
      </c>
      <c r="R89" s="12" t="s">
        <v>81</v>
      </c>
      <c r="S89" s="12" t="s">
        <v>81</v>
      </c>
      <c r="T89" s="12" t="s">
        <v>81</v>
      </c>
      <c r="U89" s="12" t="s">
        <v>81</v>
      </c>
      <c r="V89" s="12" t="s">
        <v>81</v>
      </c>
      <c r="W89" s="12" t="s">
        <v>81</v>
      </c>
      <c r="X89" s="12" t="s">
        <v>81</v>
      </c>
      <c r="Y89" s="12" t="s">
        <v>81</v>
      </c>
      <c r="Z89" s="12" t="s">
        <v>81</v>
      </c>
      <c r="AA89" s="12" t="s">
        <v>81</v>
      </c>
      <c r="AB89" s="12" t="s">
        <v>81</v>
      </c>
      <c r="AC89" s="12" t="s">
        <v>81</v>
      </c>
      <c r="AD89" s="12" t="s">
        <v>81</v>
      </c>
      <c r="AE89" s="12" t="s">
        <v>81</v>
      </c>
      <c r="AF89" s="12" t="s">
        <v>81</v>
      </c>
      <c r="AG89" s="12" t="s">
        <v>81</v>
      </c>
      <c r="AH89" s="12" t="s">
        <v>81</v>
      </c>
      <c r="AI89" s="12" t="s">
        <v>81</v>
      </c>
      <c r="AJ89" s="12" t="s">
        <v>81</v>
      </c>
    </row>
    <row r="90" spans="2:36">
      <c r="B90" s="29" t="s">
        <v>128</v>
      </c>
      <c r="C90" s="12" t="s">
        <v>81</v>
      </c>
      <c r="D90" s="12" t="s">
        <v>81</v>
      </c>
      <c r="E90" s="12" t="s">
        <v>81</v>
      </c>
      <c r="F90" s="12" t="s">
        <v>81</v>
      </c>
      <c r="G90" s="12" t="s">
        <v>81</v>
      </c>
      <c r="H90" s="12" t="s">
        <v>81</v>
      </c>
      <c r="I90" s="12" t="s">
        <v>81</v>
      </c>
      <c r="J90" s="12" t="s">
        <v>81</v>
      </c>
      <c r="K90" s="12" t="s">
        <v>81</v>
      </c>
      <c r="L90" s="12" t="s">
        <v>81</v>
      </c>
      <c r="M90" s="12" t="s">
        <v>81</v>
      </c>
      <c r="N90" s="12" t="s">
        <v>81</v>
      </c>
      <c r="O90" s="12" t="s">
        <v>81</v>
      </c>
      <c r="P90" s="12" t="s">
        <v>81</v>
      </c>
      <c r="Q90" s="12" t="s">
        <v>81</v>
      </c>
      <c r="R90" s="12" t="s">
        <v>81</v>
      </c>
      <c r="S90" s="12" t="s">
        <v>81</v>
      </c>
      <c r="T90" s="12" t="s">
        <v>81</v>
      </c>
      <c r="U90" s="12" t="s">
        <v>81</v>
      </c>
      <c r="V90" s="12" t="s">
        <v>81</v>
      </c>
      <c r="W90" s="12" t="s">
        <v>81</v>
      </c>
      <c r="X90" s="12" t="s">
        <v>81</v>
      </c>
      <c r="Y90" s="12" t="s">
        <v>81</v>
      </c>
      <c r="Z90" s="12" t="s">
        <v>81</v>
      </c>
      <c r="AA90" s="12" t="s">
        <v>81</v>
      </c>
      <c r="AB90" s="12" t="s">
        <v>81</v>
      </c>
      <c r="AC90" s="12" t="s">
        <v>81</v>
      </c>
      <c r="AD90" s="12" t="s">
        <v>81</v>
      </c>
      <c r="AE90" s="12" t="s">
        <v>81</v>
      </c>
      <c r="AF90" s="12" t="s">
        <v>81</v>
      </c>
      <c r="AG90" s="12" t="s">
        <v>81</v>
      </c>
      <c r="AH90" s="12" t="s">
        <v>81</v>
      </c>
      <c r="AI90" s="12" t="s">
        <v>81</v>
      </c>
      <c r="AJ90" s="12" t="s">
        <v>81</v>
      </c>
    </row>
    <row r="91" spans="2:36">
      <c r="B91" s="29" t="s">
        <v>129</v>
      </c>
      <c r="C91" s="12" t="s">
        <v>81</v>
      </c>
      <c r="D91" s="12" t="s">
        <v>81</v>
      </c>
      <c r="E91" s="12" t="s">
        <v>81</v>
      </c>
      <c r="F91" s="12" t="s">
        <v>81</v>
      </c>
      <c r="G91" s="12" t="s">
        <v>81</v>
      </c>
      <c r="H91" s="12" t="s">
        <v>81</v>
      </c>
      <c r="I91" s="12" t="s">
        <v>81</v>
      </c>
      <c r="J91" s="12" t="s">
        <v>81</v>
      </c>
      <c r="K91" s="12" t="s">
        <v>81</v>
      </c>
      <c r="L91" s="12" t="s">
        <v>81</v>
      </c>
      <c r="M91" s="12" t="s">
        <v>81</v>
      </c>
      <c r="N91" s="12" t="s">
        <v>81</v>
      </c>
      <c r="O91" s="12" t="s">
        <v>81</v>
      </c>
      <c r="P91" s="12" t="s">
        <v>81</v>
      </c>
      <c r="Q91" s="12" t="s">
        <v>81</v>
      </c>
      <c r="R91" s="12" t="s">
        <v>81</v>
      </c>
      <c r="S91" s="12" t="s">
        <v>81</v>
      </c>
      <c r="T91" s="12" t="s">
        <v>81</v>
      </c>
      <c r="U91" s="12" t="s">
        <v>81</v>
      </c>
      <c r="V91" s="12" t="s">
        <v>81</v>
      </c>
      <c r="W91" s="12" t="s">
        <v>81</v>
      </c>
      <c r="X91" s="12" t="s">
        <v>81</v>
      </c>
      <c r="Y91" s="12" t="s">
        <v>81</v>
      </c>
      <c r="Z91" s="12" t="s">
        <v>81</v>
      </c>
      <c r="AA91" s="12" t="s">
        <v>81</v>
      </c>
      <c r="AB91" s="12" t="s">
        <v>81</v>
      </c>
      <c r="AC91" s="12" t="s">
        <v>81</v>
      </c>
      <c r="AD91" s="12" t="s">
        <v>81</v>
      </c>
      <c r="AE91" s="12" t="s">
        <v>81</v>
      </c>
      <c r="AF91" s="12" t="s">
        <v>81</v>
      </c>
      <c r="AG91" s="12" t="s">
        <v>81</v>
      </c>
      <c r="AH91" s="12" t="s">
        <v>81</v>
      </c>
      <c r="AI91" s="12" t="s">
        <v>81</v>
      </c>
      <c r="AJ91" s="12" t="s">
        <v>81</v>
      </c>
    </row>
    <row r="92" spans="2:36">
      <c r="B92" s="29" t="s">
        <v>130</v>
      </c>
      <c r="C92" s="12" t="s">
        <v>81</v>
      </c>
      <c r="D92" s="12" t="s">
        <v>81</v>
      </c>
      <c r="E92" s="12" t="s">
        <v>81</v>
      </c>
      <c r="F92" s="12" t="s">
        <v>81</v>
      </c>
      <c r="G92" s="12" t="s">
        <v>81</v>
      </c>
      <c r="H92" s="12" t="s">
        <v>81</v>
      </c>
      <c r="I92" s="12" t="s">
        <v>81</v>
      </c>
      <c r="J92" s="12" t="s">
        <v>81</v>
      </c>
      <c r="K92" s="12" t="s">
        <v>81</v>
      </c>
      <c r="L92" s="12" t="s">
        <v>81</v>
      </c>
      <c r="M92" s="12" t="s">
        <v>81</v>
      </c>
      <c r="N92" s="12" t="s">
        <v>81</v>
      </c>
      <c r="O92" s="12" t="s">
        <v>81</v>
      </c>
      <c r="P92" s="12" t="s">
        <v>81</v>
      </c>
      <c r="Q92" s="12" t="s">
        <v>81</v>
      </c>
      <c r="R92" s="12" t="s">
        <v>81</v>
      </c>
      <c r="S92" s="12" t="s">
        <v>81</v>
      </c>
      <c r="T92" s="12" t="s">
        <v>81</v>
      </c>
      <c r="U92" s="12" t="s">
        <v>81</v>
      </c>
      <c r="V92" s="12" t="s">
        <v>81</v>
      </c>
      <c r="W92" s="12" t="s">
        <v>81</v>
      </c>
      <c r="X92" s="12" t="s">
        <v>81</v>
      </c>
      <c r="Y92" s="12" t="s">
        <v>81</v>
      </c>
      <c r="Z92" s="12" t="s">
        <v>81</v>
      </c>
      <c r="AA92" s="12" t="s">
        <v>81</v>
      </c>
      <c r="AB92" s="12" t="s">
        <v>81</v>
      </c>
      <c r="AC92" s="12" t="s">
        <v>81</v>
      </c>
      <c r="AD92" s="12" t="s">
        <v>81</v>
      </c>
      <c r="AE92" s="12" t="s">
        <v>81</v>
      </c>
      <c r="AF92" s="12" t="s">
        <v>81</v>
      </c>
      <c r="AG92" s="12" t="s">
        <v>81</v>
      </c>
      <c r="AH92" s="12" t="s">
        <v>81</v>
      </c>
      <c r="AI92" s="12" t="s">
        <v>81</v>
      </c>
      <c r="AJ92" s="12" t="s">
        <v>81</v>
      </c>
    </row>
    <row r="93" spans="2:36">
      <c r="B93" s="24" t="s">
        <v>131</v>
      </c>
      <c r="C93" s="15">
        <v>4551.93</v>
      </c>
      <c r="D93" s="15">
        <v>4592.13</v>
      </c>
      <c r="E93" s="15">
        <v>4749.3599999999997</v>
      </c>
      <c r="F93" s="15">
        <v>4834.62</v>
      </c>
      <c r="G93" s="15">
        <v>5083.43</v>
      </c>
      <c r="H93" s="15">
        <v>5229.97</v>
      </c>
      <c r="I93" s="15">
        <v>5393.49</v>
      </c>
      <c r="J93" s="15">
        <v>5414.49</v>
      </c>
      <c r="K93" s="15">
        <v>5351.71</v>
      </c>
      <c r="L93" s="15">
        <v>5096.1000000000004</v>
      </c>
      <c r="M93" s="15">
        <v>4980.42</v>
      </c>
      <c r="N93" s="15">
        <v>4818.29</v>
      </c>
      <c r="O93" s="15">
        <v>4728.07</v>
      </c>
      <c r="P93" s="15">
        <v>4627.74</v>
      </c>
      <c r="Q93" s="15">
        <v>4691.8100000000004</v>
      </c>
      <c r="R93" s="15">
        <v>4769.16</v>
      </c>
      <c r="S93" s="15">
        <v>4724.6000000000004</v>
      </c>
      <c r="T93" s="15">
        <v>4755.33</v>
      </c>
      <c r="U93" s="15">
        <v>4727.2700000000004</v>
      </c>
      <c r="V93" s="15">
        <v>4920.13</v>
      </c>
      <c r="W93" s="15">
        <v>4971.13</v>
      </c>
      <c r="X93" s="15">
        <v>4669.6000000000004</v>
      </c>
      <c r="Y93" s="15">
        <v>4943.78</v>
      </c>
      <c r="Z93" s="15">
        <v>5011.21</v>
      </c>
      <c r="AA93" s="15">
        <v>5077.08</v>
      </c>
      <c r="AB93" s="15">
        <v>5019.93</v>
      </c>
      <c r="AC93" s="15">
        <v>4985.41</v>
      </c>
      <c r="AD93" s="15">
        <v>5049.7299999999996</v>
      </c>
      <c r="AE93" s="15">
        <v>5152.42</v>
      </c>
      <c r="AF93" s="15">
        <v>5243.91</v>
      </c>
      <c r="AG93" s="15">
        <v>5277.57</v>
      </c>
      <c r="AH93" s="15">
        <v>5321.74</v>
      </c>
      <c r="AI93" s="15">
        <v>5363.93</v>
      </c>
      <c r="AJ93" s="15">
        <v>5334.23</v>
      </c>
    </row>
    <row r="94" spans="2:36">
      <c r="B94" s="25" t="s">
        <v>132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</row>
    <row r="95" spans="2:36">
      <c r="B95" s="26" t="s">
        <v>133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</row>
    <row r="96" spans="2:36">
      <c r="B96" s="26" t="s">
        <v>134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</row>
    <row r="97" spans="2:36">
      <c r="B97" s="26" t="s">
        <v>135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</row>
    <row r="98" spans="2:36">
      <c r="B98" s="26" t="s">
        <v>136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</row>
    <row r="99" spans="2:36">
      <c r="B99" s="25" t="s">
        <v>137</v>
      </c>
      <c r="C99" s="12">
        <v>1321.8</v>
      </c>
      <c r="D99" s="12">
        <v>1412.45</v>
      </c>
      <c r="E99" s="12">
        <v>1521.27</v>
      </c>
      <c r="F99" s="12">
        <v>1652.52</v>
      </c>
      <c r="G99" s="12">
        <v>1736.89</v>
      </c>
      <c r="H99" s="12">
        <v>1819.41</v>
      </c>
      <c r="I99" s="12">
        <v>1934.98</v>
      </c>
      <c r="J99" s="12">
        <v>1969.09</v>
      </c>
      <c r="K99" s="12">
        <v>1956.48</v>
      </c>
      <c r="L99" s="12">
        <v>1801.04</v>
      </c>
      <c r="M99" s="12">
        <v>1744.06</v>
      </c>
      <c r="N99" s="12">
        <v>1701.47</v>
      </c>
      <c r="O99" s="12">
        <v>1720.67</v>
      </c>
      <c r="P99" s="12">
        <v>1728.06</v>
      </c>
      <c r="Q99" s="12">
        <v>1752.96</v>
      </c>
      <c r="R99" s="12">
        <v>1802.15</v>
      </c>
      <c r="S99" s="12">
        <v>1873.78</v>
      </c>
      <c r="T99" s="12">
        <v>1947.98</v>
      </c>
      <c r="U99" s="12">
        <v>1977.86</v>
      </c>
      <c r="V99" s="12">
        <v>2067.84</v>
      </c>
      <c r="W99" s="12">
        <v>2191.4</v>
      </c>
      <c r="X99" s="12">
        <v>2044.72</v>
      </c>
      <c r="Y99" s="12">
        <v>2216.13</v>
      </c>
      <c r="Z99" s="12">
        <v>2224.89</v>
      </c>
      <c r="AA99" s="12">
        <v>2265.84</v>
      </c>
      <c r="AB99" s="12">
        <v>2245.56</v>
      </c>
      <c r="AC99" s="12">
        <v>2236.2399999999998</v>
      </c>
      <c r="AD99" s="12">
        <v>2314.9499999999998</v>
      </c>
      <c r="AE99" s="12">
        <v>2362.8200000000002</v>
      </c>
      <c r="AF99" s="12">
        <v>2408.62</v>
      </c>
      <c r="AG99" s="12">
        <v>2421.64</v>
      </c>
      <c r="AH99" s="12">
        <v>2430.92</v>
      </c>
      <c r="AI99" s="12">
        <v>2502.41</v>
      </c>
      <c r="AJ99" s="12">
        <v>2503.9</v>
      </c>
    </row>
    <row r="100" spans="2:36">
      <c r="B100" s="26" t="s">
        <v>133</v>
      </c>
      <c r="C100" s="12">
        <v>601.14</v>
      </c>
      <c r="D100" s="12">
        <v>630.55999999999995</v>
      </c>
      <c r="E100" s="12">
        <v>672.74</v>
      </c>
      <c r="F100" s="12">
        <v>747.47</v>
      </c>
      <c r="G100" s="12">
        <v>792.18</v>
      </c>
      <c r="H100" s="12">
        <v>818.52</v>
      </c>
      <c r="I100" s="12">
        <v>879.51</v>
      </c>
      <c r="J100" s="12">
        <v>883.66</v>
      </c>
      <c r="K100" s="12">
        <v>845.57</v>
      </c>
      <c r="L100" s="12">
        <v>726.64</v>
      </c>
      <c r="M100" s="12">
        <v>655.4</v>
      </c>
      <c r="N100" s="12">
        <v>604.84</v>
      </c>
      <c r="O100" s="12">
        <v>595.34</v>
      </c>
      <c r="P100" s="12">
        <v>590.29999999999995</v>
      </c>
      <c r="Q100" s="12">
        <v>613.64</v>
      </c>
      <c r="R100" s="12">
        <v>631.76</v>
      </c>
      <c r="S100" s="12">
        <v>661.59</v>
      </c>
      <c r="T100" s="12">
        <v>693.71</v>
      </c>
      <c r="U100" s="12">
        <v>735.61</v>
      </c>
      <c r="V100" s="12">
        <v>771.85</v>
      </c>
      <c r="W100" s="12">
        <v>823.52</v>
      </c>
      <c r="X100" s="12">
        <v>827.74</v>
      </c>
      <c r="Y100" s="12">
        <v>849.25</v>
      </c>
      <c r="Z100" s="12">
        <v>842.69</v>
      </c>
      <c r="AA100" s="12">
        <v>865.48</v>
      </c>
      <c r="AB100" s="12">
        <v>825.22</v>
      </c>
      <c r="AC100" s="12">
        <v>811.21</v>
      </c>
      <c r="AD100" s="12">
        <v>816.17</v>
      </c>
      <c r="AE100" s="12">
        <v>827.98</v>
      </c>
      <c r="AF100" s="12">
        <v>846.73</v>
      </c>
      <c r="AG100" s="12">
        <v>872.26</v>
      </c>
      <c r="AH100" s="12">
        <v>899.56</v>
      </c>
      <c r="AI100" s="12">
        <v>925.1</v>
      </c>
      <c r="AJ100" s="12">
        <v>927.56</v>
      </c>
    </row>
    <row r="101" spans="2:36">
      <c r="B101" s="26" t="s">
        <v>134</v>
      </c>
      <c r="C101" s="12">
        <v>0.05</v>
      </c>
      <c r="D101" s="12">
        <v>0.05</v>
      </c>
      <c r="E101" s="12">
        <v>0.05</v>
      </c>
      <c r="F101" s="12">
        <v>0.05</v>
      </c>
      <c r="G101" s="12">
        <v>0.04</v>
      </c>
      <c r="H101" s="12">
        <v>0.03</v>
      </c>
      <c r="I101" s="12">
        <v>0.02</v>
      </c>
      <c r="J101" s="12">
        <v>0.02</v>
      </c>
      <c r="K101" s="12">
        <v>0.02</v>
      </c>
      <c r="L101" s="12">
        <v>0.02</v>
      </c>
      <c r="M101" s="12">
        <v>0.02</v>
      </c>
      <c r="N101" s="12">
        <v>0.01</v>
      </c>
      <c r="O101" s="12">
        <v>0.01</v>
      </c>
      <c r="P101" s="12">
        <v>0.01</v>
      </c>
      <c r="Q101" s="12">
        <v>0.01</v>
      </c>
      <c r="R101" s="12">
        <v>0.02</v>
      </c>
      <c r="S101" s="12">
        <v>0.02</v>
      </c>
      <c r="T101" s="12">
        <v>0.02</v>
      </c>
      <c r="U101" s="12">
        <v>0.03</v>
      </c>
      <c r="V101" s="12">
        <v>0.04</v>
      </c>
      <c r="W101" s="12">
        <v>7.0000000000000007E-2</v>
      </c>
      <c r="X101" s="12">
        <v>7.0000000000000007E-2</v>
      </c>
      <c r="Y101" s="12">
        <v>7.0000000000000007E-2</v>
      </c>
      <c r="Z101" s="12">
        <v>0.04</v>
      </c>
      <c r="AA101" s="12">
        <v>0.04</v>
      </c>
      <c r="AB101" s="12">
        <v>0.04</v>
      </c>
      <c r="AC101" s="12">
        <v>0.03</v>
      </c>
      <c r="AD101" s="12">
        <v>0.04</v>
      </c>
      <c r="AE101" s="12">
        <v>0.03</v>
      </c>
      <c r="AF101" s="12">
        <v>0.04</v>
      </c>
      <c r="AG101" s="12">
        <v>0.04</v>
      </c>
      <c r="AH101" s="12">
        <v>0.03</v>
      </c>
      <c r="AI101" s="12">
        <v>0.03</v>
      </c>
      <c r="AJ101" s="12">
        <v>0.03</v>
      </c>
    </row>
    <row r="102" spans="2:36">
      <c r="B102" s="26" t="s">
        <v>135</v>
      </c>
      <c r="C102" s="12">
        <v>150.13</v>
      </c>
      <c r="D102" s="12">
        <v>164.86</v>
      </c>
      <c r="E102" s="12">
        <v>182.99</v>
      </c>
      <c r="F102" s="12">
        <v>192.3</v>
      </c>
      <c r="G102" s="12">
        <v>198.38</v>
      </c>
      <c r="H102" s="12">
        <v>210.33</v>
      </c>
      <c r="I102" s="12">
        <v>217.53</v>
      </c>
      <c r="J102" s="12">
        <v>227.12</v>
      </c>
      <c r="K102" s="12">
        <v>249.86</v>
      </c>
      <c r="L102" s="12">
        <v>250.53</v>
      </c>
      <c r="M102" s="12">
        <v>268.04000000000002</v>
      </c>
      <c r="N102" s="12">
        <v>279.02</v>
      </c>
      <c r="O102" s="12">
        <v>289.79000000000002</v>
      </c>
      <c r="P102" s="12">
        <v>298.14999999999998</v>
      </c>
      <c r="Q102" s="12">
        <v>292.31</v>
      </c>
      <c r="R102" s="12">
        <v>289.85000000000002</v>
      </c>
      <c r="S102" s="12">
        <v>299.95</v>
      </c>
      <c r="T102" s="12">
        <v>309.43</v>
      </c>
      <c r="U102" s="12">
        <v>294.91000000000003</v>
      </c>
      <c r="V102" s="12">
        <v>300.33999999999997</v>
      </c>
      <c r="W102" s="12">
        <v>316.86</v>
      </c>
      <c r="X102" s="12">
        <v>247.27</v>
      </c>
      <c r="Y102" s="12">
        <v>289.58999999999997</v>
      </c>
      <c r="Z102" s="12">
        <v>295.83999999999997</v>
      </c>
      <c r="AA102" s="12">
        <v>288.77999999999997</v>
      </c>
      <c r="AB102" s="12">
        <v>298.39999999999998</v>
      </c>
      <c r="AC102" s="12">
        <v>309.17</v>
      </c>
      <c r="AD102" s="12">
        <v>345.03</v>
      </c>
      <c r="AE102" s="12">
        <v>326.94</v>
      </c>
      <c r="AF102" s="12">
        <v>321.8</v>
      </c>
      <c r="AG102" s="12">
        <v>321.22000000000003</v>
      </c>
      <c r="AH102" s="12">
        <v>328.43</v>
      </c>
      <c r="AI102" s="12">
        <v>346.25</v>
      </c>
      <c r="AJ102" s="12">
        <v>338.42</v>
      </c>
    </row>
    <row r="103" spans="2:36">
      <c r="B103" s="26" t="s">
        <v>136</v>
      </c>
      <c r="C103" s="12">
        <v>57.06</v>
      </c>
      <c r="D103" s="12">
        <v>63.83</v>
      </c>
      <c r="E103" s="12">
        <v>67.42</v>
      </c>
      <c r="F103" s="12">
        <v>69.62</v>
      </c>
      <c r="G103" s="12">
        <v>73.03</v>
      </c>
      <c r="H103" s="12">
        <v>80.760000000000005</v>
      </c>
      <c r="I103" s="12">
        <v>85.62</v>
      </c>
      <c r="J103" s="12">
        <v>88.9</v>
      </c>
      <c r="K103" s="12">
        <v>87.16</v>
      </c>
      <c r="L103" s="12">
        <v>95.06</v>
      </c>
      <c r="M103" s="12">
        <v>99.72</v>
      </c>
      <c r="N103" s="12">
        <v>103.75</v>
      </c>
      <c r="O103" s="12">
        <v>107.98</v>
      </c>
      <c r="P103" s="12">
        <v>106.2</v>
      </c>
      <c r="Q103" s="12">
        <v>106.75</v>
      </c>
      <c r="R103" s="12">
        <v>117.47</v>
      </c>
      <c r="S103" s="12">
        <v>118.45</v>
      </c>
      <c r="T103" s="12">
        <v>119.45</v>
      </c>
      <c r="U103" s="12">
        <v>117.95</v>
      </c>
      <c r="V103" s="12">
        <v>126.91</v>
      </c>
      <c r="W103" s="12">
        <v>130.30000000000001</v>
      </c>
      <c r="X103" s="12">
        <v>129.79</v>
      </c>
      <c r="Y103" s="12">
        <v>135.37</v>
      </c>
      <c r="Z103" s="12">
        <v>130.72</v>
      </c>
      <c r="AA103" s="12">
        <v>142.81</v>
      </c>
      <c r="AB103" s="12">
        <v>145.4</v>
      </c>
      <c r="AC103" s="12">
        <v>135.5</v>
      </c>
      <c r="AD103" s="12">
        <v>149.79</v>
      </c>
      <c r="AE103" s="12">
        <v>159.26</v>
      </c>
      <c r="AF103" s="12">
        <v>169.03</v>
      </c>
      <c r="AG103" s="12">
        <v>154.01</v>
      </c>
      <c r="AH103" s="12">
        <v>127.61</v>
      </c>
      <c r="AI103" s="12">
        <v>150.74</v>
      </c>
      <c r="AJ103" s="12">
        <v>150.47</v>
      </c>
    </row>
    <row r="104" spans="2:36">
      <c r="B104" s="26" t="s">
        <v>138</v>
      </c>
      <c r="C104" s="12">
        <v>513.41999999999996</v>
      </c>
      <c r="D104" s="12">
        <v>553.16</v>
      </c>
      <c r="E104" s="12">
        <v>598.04999999999995</v>
      </c>
      <c r="F104" s="12">
        <v>643.08000000000004</v>
      </c>
      <c r="G104" s="12">
        <v>673.27</v>
      </c>
      <c r="H104" s="12">
        <v>709.78</v>
      </c>
      <c r="I104" s="12">
        <v>752.3</v>
      </c>
      <c r="J104" s="12">
        <v>769.38</v>
      </c>
      <c r="K104" s="12">
        <v>773.86</v>
      </c>
      <c r="L104" s="12">
        <v>728.8</v>
      </c>
      <c r="M104" s="12">
        <v>720.88</v>
      </c>
      <c r="N104" s="12">
        <v>713.85</v>
      </c>
      <c r="O104" s="12">
        <v>727.54</v>
      </c>
      <c r="P104" s="12">
        <v>733.4</v>
      </c>
      <c r="Q104" s="12">
        <v>740.25</v>
      </c>
      <c r="R104" s="12">
        <v>763.05</v>
      </c>
      <c r="S104" s="12">
        <v>793.77</v>
      </c>
      <c r="T104" s="12">
        <v>825.38</v>
      </c>
      <c r="U104" s="12">
        <v>829.36</v>
      </c>
      <c r="V104" s="12">
        <v>868.71</v>
      </c>
      <c r="W104" s="12">
        <v>920.65</v>
      </c>
      <c r="X104" s="12">
        <v>839.85</v>
      </c>
      <c r="Y104" s="12">
        <v>941.86</v>
      </c>
      <c r="Z104" s="12">
        <v>955.6</v>
      </c>
      <c r="AA104" s="12">
        <v>968.73</v>
      </c>
      <c r="AB104" s="12">
        <v>976.5</v>
      </c>
      <c r="AC104" s="12">
        <v>980.34</v>
      </c>
      <c r="AD104" s="12">
        <v>1003.92</v>
      </c>
      <c r="AE104" s="12">
        <v>1048.6099999999999</v>
      </c>
      <c r="AF104" s="12">
        <v>1071.02</v>
      </c>
      <c r="AG104" s="12">
        <v>1074.1199999999999</v>
      </c>
      <c r="AH104" s="12">
        <v>1075.29</v>
      </c>
      <c r="AI104" s="12">
        <v>1080.29</v>
      </c>
      <c r="AJ104" s="12">
        <v>1087.42</v>
      </c>
    </row>
    <row r="105" spans="2:36">
      <c r="B105" s="25" t="s">
        <v>139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</row>
    <row r="106" spans="2:36">
      <c r="B106" s="26" t="s">
        <v>140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</row>
    <row r="107" spans="2:36">
      <c r="B107" s="26" t="s">
        <v>141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</row>
    <row r="108" spans="2:36">
      <c r="B108" s="25" t="s">
        <v>142</v>
      </c>
      <c r="C108" s="12">
        <v>3219.3</v>
      </c>
      <c r="D108" s="12">
        <v>3169.88</v>
      </c>
      <c r="E108" s="12">
        <v>3218.42</v>
      </c>
      <c r="F108" s="12">
        <v>3172.45</v>
      </c>
      <c r="G108" s="12">
        <v>3336.57</v>
      </c>
      <c r="H108" s="12">
        <v>3400.14</v>
      </c>
      <c r="I108" s="12">
        <v>3447.42</v>
      </c>
      <c r="J108" s="12">
        <v>3433.99</v>
      </c>
      <c r="K108" s="12">
        <v>3384.31</v>
      </c>
      <c r="L108" s="12">
        <v>3283.66</v>
      </c>
      <c r="M108" s="12">
        <v>3224.6</v>
      </c>
      <c r="N108" s="12">
        <v>3104.11</v>
      </c>
      <c r="O108" s="12">
        <v>2995.18</v>
      </c>
      <c r="P108" s="12">
        <v>2888.16</v>
      </c>
      <c r="Q108" s="12">
        <v>2927.59</v>
      </c>
      <c r="R108" s="12">
        <v>2955.55</v>
      </c>
      <c r="S108" s="12">
        <v>2839.22</v>
      </c>
      <c r="T108" s="12">
        <v>2795.85</v>
      </c>
      <c r="U108" s="12">
        <v>2738.17</v>
      </c>
      <c r="V108" s="12">
        <v>2841.06</v>
      </c>
      <c r="W108" s="12">
        <v>2769.34</v>
      </c>
      <c r="X108" s="12">
        <v>2615.54</v>
      </c>
      <c r="Y108" s="12">
        <v>2718.81</v>
      </c>
      <c r="Z108" s="12">
        <v>2777.43</v>
      </c>
      <c r="AA108" s="12">
        <v>2802.21</v>
      </c>
      <c r="AB108" s="12">
        <v>2765.6</v>
      </c>
      <c r="AC108" s="12">
        <v>2740.89</v>
      </c>
      <c r="AD108" s="12">
        <v>2726.83</v>
      </c>
      <c r="AE108" s="12">
        <v>2781.44</v>
      </c>
      <c r="AF108" s="12">
        <v>2826.69</v>
      </c>
      <c r="AG108" s="12">
        <v>2848.4</v>
      </c>
      <c r="AH108" s="12">
        <v>2884.28</v>
      </c>
      <c r="AI108" s="12">
        <v>2856.44</v>
      </c>
      <c r="AJ108" s="12">
        <v>2827.44</v>
      </c>
    </row>
    <row r="109" spans="2:36">
      <c r="B109" s="26" t="s">
        <v>143</v>
      </c>
      <c r="C109" s="12">
        <v>1706.5</v>
      </c>
      <c r="D109" s="12">
        <v>1684.65</v>
      </c>
      <c r="E109" s="12">
        <v>1719.73</v>
      </c>
      <c r="F109" s="12">
        <v>1705.27</v>
      </c>
      <c r="G109" s="12">
        <v>1802.06</v>
      </c>
      <c r="H109" s="12">
        <v>1844.15</v>
      </c>
      <c r="I109" s="12">
        <v>1877.91</v>
      </c>
      <c r="J109" s="12">
        <v>1873.21</v>
      </c>
      <c r="K109" s="12">
        <v>1843.4</v>
      </c>
      <c r="L109" s="12">
        <v>1779.08</v>
      </c>
      <c r="M109" s="12">
        <v>1744.64</v>
      </c>
      <c r="N109" s="12">
        <v>1678.61</v>
      </c>
      <c r="O109" s="12">
        <v>1623.32</v>
      </c>
      <c r="P109" s="12">
        <v>1565.86</v>
      </c>
      <c r="Q109" s="12">
        <v>1591.67</v>
      </c>
      <c r="R109" s="12">
        <v>1613.55</v>
      </c>
      <c r="S109" s="12">
        <v>1561.04</v>
      </c>
      <c r="T109" s="12">
        <v>1543.82</v>
      </c>
      <c r="U109" s="12">
        <v>1518.55</v>
      </c>
      <c r="V109" s="12">
        <v>1581.55</v>
      </c>
      <c r="W109" s="12">
        <v>1552.23</v>
      </c>
      <c r="X109" s="12">
        <v>1465.61</v>
      </c>
      <c r="Y109" s="12">
        <v>1534.04</v>
      </c>
      <c r="Z109" s="12">
        <v>1572.24</v>
      </c>
      <c r="AA109" s="12">
        <v>1588.29</v>
      </c>
      <c r="AB109" s="12">
        <v>1568.14</v>
      </c>
      <c r="AC109" s="12">
        <v>1553.5</v>
      </c>
      <c r="AD109" s="12">
        <v>1546.62</v>
      </c>
      <c r="AE109" s="12">
        <v>1579.05</v>
      </c>
      <c r="AF109" s="12">
        <v>1607.35</v>
      </c>
      <c r="AG109" s="12">
        <v>1622.97</v>
      </c>
      <c r="AH109" s="12">
        <v>1646.84</v>
      </c>
      <c r="AI109" s="12">
        <v>1634.42</v>
      </c>
      <c r="AJ109" s="12">
        <v>1620.95</v>
      </c>
    </row>
    <row r="110" spans="2:36">
      <c r="B110" s="26" t="s">
        <v>144</v>
      </c>
      <c r="C110" s="12">
        <v>1512.8</v>
      </c>
      <c r="D110" s="12">
        <v>1485.23</v>
      </c>
      <c r="E110" s="12">
        <v>1498.69</v>
      </c>
      <c r="F110" s="12">
        <v>1467.18</v>
      </c>
      <c r="G110" s="12">
        <v>1534.51</v>
      </c>
      <c r="H110" s="12">
        <v>1555.99</v>
      </c>
      <c r="I110" s="12">
        <v>1569.5</v>
      </c>
      <c r="J110" s="12">
        <v>1560.78</v>
      </c>
      <c r="K110" s="12">
        <v>1540.91</v>
      </c>
      <c r="L110" s="12">
        <v>1504.58</v>
      </c>
      <c r="M110" s="12">
        <v>1479.96</v>
      </c>
      <c r="N110" s="12">
        <v>1425.5</v>
      </c>
      <c r="O110" s="12">
        <v>1371.85</v>
      </c>
      <c r="P110" s="12">
        <v>1322.3</v>
      </c>
      <c r="Q110" s="12">
        <v>1335.92</v>
      </c>
      <c r="R110" s="12">
        <v>1342</v>
      </c>
      <c r="S110" s="12">
        <v>1278.17</v>
      </c>
      <c r="T110" s="12">
        <v>1252.03</v>
      </c>
      <c r="U110" s="12">
        <v>1219.6199999999999</v>
      </c>
      <c r="V110" s="12">
        <v>1259.51</v>
      </c>
      <c r="W110" s="12">
        <v>1217.1099999999999</v>
      </c>
      <c r="X110" s="12">
        <v>1149.93</v>
      </c>
      <c r="Y110" s="12">
        <v>1184.77</v>
      </c>
      <c r="Z110" s="12">
        <v>1205.19</v>
      </c>
      <c r="AA110" s="12">
        <v>1213.92</v>
      </c>
      <c r="AB110" s="12">
        <v>1197.47</v>
      </c>
      <c r="AC110" s="12">
        <v>1187.3900000000001</v>
      </c>
      <c r="AD110" s="12">
        <v>1180.21</v>
      </c>
      <c r="AE110" s="12">
        <v>1202.3900000000001</v>
      </c>
      <c r="AF110" s="12">
        <v>1219.3499999999999</v>
      </c>
      <c r="AG110" s="12">
        <v>1225.44</v>
      </c>
      <c r="AH110" s="12">
        <v>1237.45</v>
      </c>
      <c r="AI110" s="12">
        <v>1222.02</v>
      </c>
      <c r="AJ110" s="12">
        <v>1206.48</v>
      </c>
    </row>
    <row r="111" spans="2:36">
      <c r="B111" s="25" t="s">
        <v>145</v>
      </c>
      <c r="C111" s="12" t="s">
        <v>81</v>
      </c>
      <c r="D111" s="12" t="s">
        <v>81</v>
      </c>
      <c r="E111" s="12" t="s">
        <v>81</v>
      </c>
      <c r="F111" s="12" t="s">
        <v>81</v>
      </c>
      <c r="G111" s="12" t="s">
        <v>81</v>
      </c>
      <c r="H111" s="12" t="s">
        <v>81</v>
      </c>
      <c r="I111" s="12" t="s">
        <v>81</v>
      </c>
      <c r="J111" s="12" t="s">
        <v>81</v>
      </c>
      <c r="K111" s="12" t="s">
        <v>81</v>
      </c>
      <c r="L111" s="12" t="s">
        <v>81</v>
      </c>
      <c r="M111" s="12" t="s">
        <v>81</v>
      </c>
      <c r="N111" s="12" t="s">
        <v>81</v>
      </c>
      <c r="O111" s="12" t="s">
        <v>81</v>
      </c>
      <c r="P111" s="12" t="s">
        <v>81</v>
      </c>
      <c r="Q111" s="12" t="s">
        <v>81</v>
      </c>
      <c r="R111" s="12" t="s">
        <v>81</v>
      </c>
      <c r="S111" s="12" t="s">
        <v>81</v>
      </c>
      <c r="T111" s="12" t="s">
        <v>81</v>
      </c>
      <c r="U111" s="12" t="s">
        <v>81</v>
      </c>
      <c r="V111" s="12" t="s">
        <v>81</v>
      </c>
      <c r="W111" s="12" t="s">
        <v>81</v>
      </c>
      <c r="X111" s="12" t="s">
        <v>81</v>
      </c>
      <c r="Y111" s="12" t="s">
        <v>81</v>
      </c>
      <c r="Z111" s="12" t="s">
        <v>81</v>
      </c>
      <c r="AA111" s="12" t="s">
        <v>81</v>
      </c>
      <c r="AB111" s="12" t="s">
        <v>81</v>
      </c>
      <c r="AC111" s="12" t="s">
        <v>81</v>
      </c>
      <c r="AD111" s="12" t="s">
        <v>81</v>
      </c>
      <c r="AE111" s="12" t="s">
        <v>81</v>
      </c>
      <c r="AF111" s="12" t="s">
        <v>81</v>
      </c>
      <c r="AG111" s="12" t="s">
        <v>81</v>
      </c>
      <c r="AH111" s="12" t="s">
        <v>81</v>
      </c>
      <c r="AI111" s="12" t="s">
        <v>81</v>
      </c>
      <c r="AJ111" s="12" t="s">
        <v>81</v>
      </c>
    </row>
    <row r="112" spans="2:36">
      <c r="B112" s="25" t="s">
        <v>146</v>
      </c>
      <c r="C112" s="12">
        <v>10.84</v>
      </c>
      <c r="D112" s="12">
        <v>9.8000000000000007</v>
      </c>
      <c r="E112" s="12">
        <v>9.68</v>
      </c>
      <c r="F112" s="12">
        <v>9.65</v>
      </c>
      <c r="G112" s="12">
        <v>9.9700000000000006</v>
      </c>
      <c r="H112" s="12">
        <v>10.42</v>
      </c>
      <c r="I112" s="12">
        <v>11.1</v>
      </c>
      <c r="J112" s="12">
        <v>11.42</v>
      </c>
      <c r="K112" s="12">
        <v>10.92</v>
      </c>
      <c r="L112" s="12">
        <v>11.4</v>
      </c>
      <c r="M112" s="12">
        <v>11.76</v>
      </c>
      <c r="N112" s="12">
        <v>12.7</v>
      </c>
      <c r="O112" s="12">
        <v>12.22</v>
      </c>
      <c r="P112" s="12">
        <v>11.53</v>
      </c>
      <c r="Q112" s="12">
        <v>11.26</v>
      </c>
      <c r="R112" s="12">
        <v>11.47</v>
      </c>
      <c r="S112" s="12">
        <v>11.6</v>
      </c>
      <c r="T112" s="12">
        <v>11.5</v>
      </c>
      <c r="U112" s="12">
        <v>11.24</v>
      </c>
      <c r="V112" s="12">
        <v>11.23</v>
      </c>
      <c r="W112" s="12">
        <v>10.38</v>
      </c>
      <c r="X112" s="12">
        <v>9.33</v>
      </c>
      <c r="Y112" s="12">
        <v>8.84</v>
      </c>
      <c r="Z112" s="12">
        <v>8.8800000000000008</v>
      </c>
      <c r="AA112" s="12">
        <v>9.0299999999999994</v>
      </c>
      <c r="AB112" s="12">
        <v>8.76</v>
      </c>
      <c r="AC112" s="12">
        <v>8.2799999999999994</v>
      </c>
      <c r="AD112" s="12">
        <v>7.95</v>
      </c>
      <c r="AE112" s="12">
        <v>8.15</v>
      </c>
      <c r="AF112" s="12">
        <v>8.6</v>
      </c>
      <c r="AG112" s="12">
        <v>7.52</v>
      </c>
      <c r="AH112" s="12">
        <v>6.54</v>
      </c>
      <c r="AI112" s="12">
        <v>5.07</v>
      </c>
      <c r="AJ112" s="12">
        <v>2.89</v>
      </c>
    </row>
    <row r="113" spans="2:36">
      <c r="B113" s="26" t="s">
        <v>147</v>
      </c>
      <c r="C113" s="12">
        <v>1.71</v>
      </c>
      <c r="D113" s="12">
        <v>1.46</v>
      </c>
      <c r="E113" s="12">
        <v>1.23</v>
      </c>
      <c r="F113" s="12">
        <v>1.1200000000000001</v>
      </c>
      <c r="G113" s="12">
        <v>1.01</v>
      </c>
      <c r="H113" s="12">
        <v>0.99</v>
      </c>
      <c r="I113" s="12">
        <v>0.99</v>
      </c>
      <c r="J113" s="12">
        <v>0.96</v>
      </c>
      <c r="K113" s="12">
        <v>0.83</v>
      </c>
      <c r="L113" s="12">
        <v>0.76</v>
      </c>
      <c r="M113" s="12">
        <v>0.71</v>
      </c>
      <c r="N113" s="12">
        <v>0.8</v>
      </c>
      <c r="O113" s="12">
        <v>0.78</v>
      </c>
      <c r="P113" s="12">
        <v>0.79</v>
      </c>
      <c r="Q113" s="12">
        <v>0.72</v>
      </c>
      <c r="R113" s="12">
        <v>0.7</v>
      </c>
      <c r="S113" s="12">
        <v>0.68</v>
      </c>
      <c r="T113" s="12">
        <v>0.65</v>
      </c>
      <c r="U113" s="12">
        <v>0.64</v>
      </c>
      <c r="V113" s="12">
        <v>0.67</v>
      </c>
      <c r="W113" s="12">
        <v>0.67</v>
      </c>
      <c r="X113" s="12">
        <v>0.65</v>
      </c>
      <c r="Y113" s="12">
        <v>0.6</v>
      </c>
      <c r="Z113" s="12">
        <v>0.52</v>
      </c>
      <c r="AA113" s="12">
        <v>0.48</v>
      </c>
      <c r="AB113" s="12">
        <v>0.47</v>
      </c>
      <c r="AC113" s="12">
        <v>0.54</v>
      </c>
      <c r="AD113" s="12">
        <v>0.56999999999999995</v>
      </c>
      <c r="AE113" s="12">
        <v>0.56999999999999995</v>
      </c>
      <c r="AF113" s="12">
        <v>0.44</v>
      </c>
      <c r="AG113" s="12">
        <v>0.38</v>
      </c>
      <c r="AH113" s="12">
        <v>0.35</v>
      </c>
      <c r="AI113" s="12">
        <v>0.36</v>
      </c>
      <c r="AJ113" s="12">
        <v>0.39</v>
      </c>
    </row>
    <row r="114" spans="2:36">
      <c r="B114" s="26" t="s">
        <v>148</v>
      </c>
      <c r="C114" s="12">
        <v>1.91</v>
      </c>
      <c r="D114" s="12">
        <v>1.74</v>
      </c>
      <c r="E114" s="12">
        <v>1.54</v>
      </c>
      <c r="F114" s="12">
        <v>1.39</v>
      </c>
      <c r="G114" s="12">
        <v>1.29</v>
      </c>
      <c r="H114" s="12">
        <v>1.24</v>
      </c>
      <c r="I114" s="12">
        <v>1.21</v>
      </c>
      <c r="J114" s="12">
        <v>1.22</v>
      </c>
      <c r="K114" s="12">
        <v>1.17</v>
      </c>
      <c r="L114" s="12">
        <v>1.06</v>
      </c>
      <c r="M114" s="12">
        <v>0.95</v>
      </c>
      <c r="N114" s="12">
        <v>0.9</v>
      </c>
      <c r="O114" s="12">
        <v>0.89</v>
      </c>
      <c r="P114" s="12">
        <v>0.86</v>
      </c>
      <c r="Q114" s="12">
        <v>0.9</v>
      </c>
      <c r="R114" s="12">
        <v>1.03</v>
      </c>
      <c r="S114" s="12">
        <v>1.1399999999999999</v>
      </c>
      <c r="T114" s="12">
        <v>1.08</v>
      </c>
      <c r="U114" s="12">
        <v>0.97</v>
      </c>
      <c r="V114" s="12">
        <v>0.94</v>
      </c>
      <c r="W114" s="12">
        <v>0.92</v>
      </c>
      <c r="X114" s="12">
        <v>0.91</v>
      </c>
      <c r="Y114" s="12">
        <v>0.86</v>
      </c>
      <c r="Z114" s="12">
        <v>0.98</v>
      </c>
      <c r="AA114" s="12">
        <v>1.02</v>
      </c>
      <c r="AB114" s="12">
        <v>0.98</v>
      </c>
      <c r="AC114" s="12">
        <v>0.8</v>
      </c>
      <c r="AD114" s="12">
        <v>0.68</v>
      </c>
      <c r="AE114" s="12">
        <v>0.69</v>
      </c>
      <c r="AF114" s="12">
        <v>0.81</v>
      </c>
      <c r="AG114" s="12">
        <v>0.67</v>
      </c>
      <c r="AH114" s="12">
        <v>0.56000000000000005</v>
      </c>
      <c r="AI114" s="12">
        <v>0.43</v>
      </c>
      <c r="AJ114" s="12">
        <v>0.39</v>
      </c>
    </row>
    <row r="115" spans="2:36">
      <c r="B115" s="26" t="s">
        <v>149</v>
      </c>
      <c r="C115" s="12" t="s">
        <v>81</v>
      </c>
      <c r="D115" s="12" t="s">
        <v>81</v>
      </c>
      <c r="E115" s="12" t="s">
        <v>81</v>
      </c>
      <c r="F115" s="12" t="s">
        <v>81</v>
      </c>
      <c r="G115" s="12" t="s">
        <v>81</v>
      </c>
      <c r="H115" s="12" t="s">
        <v>81</v>
      </c>
      <c r="I115" s="12" t="s">
        <v>81</v>
      </c>
      <c r="J115" s="12" t="s">
        <v>81</v>
      </c>
      <c r="K115" s="12" t="s">
        <v>81</v>
      </c>
      <c r="L115" s="12" t="s">
        <v>81</v>
      </c>
      <c r="M115" s="12" t="s">
        <v>81</v>
      </c>
      <c r="N115" s="12" t="s">
        <v>81</v>
      </c>
      <c r="O115" s="12" t="s">
        <v>81</v>
      </c>
      <c r="P115" s="12" t="s">
        <v>81</v>
      </c>
      <c r="Q115" s="12" t="s">
        <v>81</v>
      </c>
      <c r="R115" s="12" t="s">
        <v>81</v>
      </c>
      <c r="S115" s="12" t="s">
        <v>81</v>
      </c>
      <c r="T115" s="12" t="s">
        <v>81</v>
      </c>
      <c r="U115" s="12" t="s">
        <v>81</v>
      </c>
      <c r="V115" s="12" t="s">
        <v>81</v>
      </c>
      <c r="W115" s="12" t="s">
        <v>81</v>
      </c>
      <c r="X115" s="12" t="s">
        <v>81</v>
      </c>
      <c r="Y115" s="12" t="s">
        <v>81</v>
      </c>
      <c r="Z115" s="12" t="s">
        <v>81</v>
      </c>
      <c r="AA115" s="12" t="s">
        <v>81</v>
      </c>
      <c r="AB115" s="12" t="s">
        <v>81</v>
      </c>
      <c r="AC115" s="12" t="s">
        <v>81</v>
      </c>
      <c r="AD115" s="12" t="s">
        <v>81</v>
      </c>
      <c r="AE115" s="12" t="s">
        <v>81</v>
      </c>
      <c r="AF115" s="12" t="s">
        <v>81</v>
      </c>
      <c r="AG115" s="12" t="s">
        <v>81</v>
      </c>
      <c r="AH115" s="12" t="s">
        <v>81</v>
      </c>
      <c r="AI115" s="12" t="s">
        <v>81</v>
      </c>
      <c r="AJ115" s="12" t="s">
        <v>81</v>
      </c>
    </row>
    <row r="116" spans="2:36">
      <c r="B116" s="26" t="s">
        <v>150</v>
      </c>
      <c r="C116" s="12" t="s">
        <v>81</v>
      </c>
      <c r="D116" s="12" t="s">
        <v>81</v>
      </c>
      <c r="E116" s="12" t="s">
        <v>81</v>
      </c>
      <c r="F116" s="12" t="s">
        <v>81</v>
      </c>
      <c r="G116" s="12" t="s">
        <v>81</v>
      </c>
      <c r="H116" s="12" t="s">
        <v>81</v>
      </c>
      <c r="I116" s="12" t="s">
        <v>81</v>
      </c>
      <c r="J116" s="12" t="s">
        <v>81</v>
      </c>
      <c r="K116" s="12" t="s">
        <v>81</v>
      </c>
      <c r="L116" s="12" t="s">
        <v>81</v>
      </c>
      <c r="M116" s="12" t="s">
        <v>81</v>
      </c>
      <c r="N116" s="12" t="s">
        <v>81</v>
      </c>
      <c r="O116" s="12" t="s">
        <v>81</v>
      </c>
      <c r="P116" s="12" t="s">
        <v>81</v>
      </c>
      <c r="Q116" s="12" t="s">
        <v>81</v>
      </c>
      <c r="R116" s="12" t="s">
        <v>81</v>
      </c>
      <c r="S116" s="12" t="s">
        <v>81</v>
      </c>
      <c r="T116" s="12" t="s">
        <v>81</v>
      </c>
      <c r="U116" s="12" t="s">
        <v>81</v>
      </c>
      <c r="V116" s="12" t="s">
        <v>81</v>
      </c>
      <c r="W116" s="12" t="s">
        <v>81</v>
      </c>
      <c r="X116" s="12" t="s">
        <v>81</v>
      </c>
      <c r="Y116" s="12" t="s">
        <v>81</v>
      </c>
      <c r="Z116" s="12" t="s">
        <v>81</v>
      </c>
      <c r="AA116" s="12" t="s">
        <v>81</v>
      </c>
      <c r="AB116" s="12" t="s">
        <v>81</v>
      </c>
      <c r="AC116" s="12" t="s">
        <v>81</v>
      </c>
      <c r="AD116" s="12" t="s">
        <v>81</v>
      </c>
      <c r="AE116" s="12" t="s">
        <v>81</v>
      </c>
      <c r="AF116" s="12" t="s">
        <v>81</v>
      </c>
      <c r="AG116" s="12" t="s">
        <v>81</v>
      </c>
      <c r="AH116" s="12" t="s">
        <v>81</v>
      </c>
      <c r="AI116" s="12" t="s">
        <v>81</v>
      </c>
      <c r="AJ116" s="12" t="s">
        <v>81</v>
      </c>
    </row>
    <row r="117" spans="2:36">
      <c r="B117" s="26" t="s">
        <v>151</v>
      </c>
      <c r="C117" s="12">
        <v>7.22</v>
      </c>
      <c r="D117" s="12">
        <v>6.6</v>
      </c>
      <c r="E117" s="12">
        <v>6.91</v>
      </c>
      <c r="F117" s="12">
        <v>7.15</v>
      </c>
      <c r="G117" s="12">
        <v>7.68</v>
      </c>
      <c r="H117" s="12">
        <v>8.19</v>
      </c>
      <c r="I117" s="12">
        <v>8.9</v>
      </c>
      <c r="J117" s="12">
        <v>9.24</v>
      </c>
      <c r="K117" s="12">
        <v>8.93</v>
      </c>
      <c r="L117" s="12">
        <v>9.58</v>
      </c>
      <c r="M117" s="12">
        <v>10.09</v>
      </c>
      <c r="N117" s="12">
        <v>11</v>
      </c>
      <c r="O117" s="12">
        <v>10.56</v>
      </c>
      <c r="P117" s="12">
        <v>9.8699999999999992</v>
      </c>
      <c r="Q117" s="12">
        <v>9.65</v>
      </c>
      <c r="R117" s="12">
        <v>9.73</v>
      </c>
      <c r="S117" s="12">
        <v>9.7799999999999994</v>
      </c>
      <c r="T117" s="12">
        <v>9.76</v>
      </c>
      <c r="U117" s="12">
        <v>9.6300000000000008</v>
      </c>
      <c r="V117" s="12">
        <v>9.6199999999999992</v>
      </c>
      <c r="W117" s="12">
        <v>8.8000000000000007</v>
      </c>
      <c r="X117" s="12">
        <v>7.77</v>
      </c>
      <c r="Y117" s="12">
        <v>7.37</v>
      </c>
      <c r="Z117" s="12">
        <v>7.38</v>
      </c>
      <c r="AA117" s="12">
        <v>7.53</v>
      </c>
      <c r="AB117" s="12">
        <v>7.31</v>
      </c>
      <c r="AC117" s="12">
        <v>6.93</v>
      </c>
      <c r="AD117" s="12">
        <v>6.71</v>
      </c>
      <c r="AE117" s="12">
        <v>6.9</v>
      </c>
      <c r="AF117" s="12">
        <v>7.35</v>
      </c>
      <c r="AG117" s="12">
        <v>6.48</v>
      </c>
      <c r="AH117" s="12">
        <v>5.63</v>
      </c>
      <c r="AI117" s="12">
        <v>4.28</v>
      </c>
      <c r="AJ117" s="12">
        <v>2.11</v>
      </c>
    </row>
    <row r="118" spans="2:36">
      <c r="B118" s="25" t="s">
        <v>152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</row>
    <row r="119" spans="2:36">
      <c r="B119" s="25" t="s">
        <v>153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</row>
    <row r="120" spans="2:36">
      <c r="B120" s="24" t="s">
        <v>154</v>
      </c>
      <c r="C120" s="15">
        <v>0.01</v>
      </c>
      <c r="D120" s="15">
        <v>0.04</v>
      </c>
      <c r="E120" s="15">
        <v>0.06</v>
      </c>
      <c r="F120" s="15">
        <v>0.12</v>
      </c>
      <c r="G120" s="15">
        <v>0.09</v>
      </c>
      <c r="H120" s="15">
        <v>0.08</v>
      </c>
      <c r="I120" s="15">
        <v>9.1300000000000008</v>
      </c>
      <c r="J120" s="15">
        <v>1.03</v>
      </c>
      <c r="K120" s="15">
        <v>1.1100000000000001</v>
      </c>
      <c r="L120" s="15">
        <v>0.16</v>
      </c>
      <c r="M120" s="15">
        <v>34.68</v>
      </c>
      <c r="N120" s="15">
        <v>0.85</v>
      </c>
      <c r="O120" s="15">
        <v>8.2100000000000009</v>
      </c>
      <c r="P120" s="15">
        <v>0.06</v>
      </c>
      <c r="Q120" s="15">
        <v>1.34</v>
      </c>
      <c r="R120" s="15">
        <v>2.89</v>
      </c>
      <c r="S120" s="15">
        <v>0.2</v>
      </c>
      <c r="T120" s="15">
        <v>0.16</v>
      </c>
      <c r="U120" s="15">
        <v>0.12</v>
      </c>
      <c r="V120" s="15">
        <v>2.3199999999999998</v>
      </c>
      <c r="W120" s="15">
        <v>0.28000000000000003</v>
      </c>
      <c r="X120" s="15">
        <v>1.33</v>
      </c>
      <c r="Y120" s="15">
        <v>0.06</v>
      </c>
      <c r="Z120" s="15">
        <v>1.69</v>
      </c>
      <c r="AA120" s="15">
        <v>0.18</v>
      </c>
      <c r="AB120" s="15">
        <v>0.8</v>
      </c>
      <c r="AC120" s="15">
        <v>0.17</v>
      </c>
      <c r="AD120" s="15">
        <v>5.64</v>
      </c>
      <c r="AE120" s="15">
        <v>2.5299999999999998</v>
      </c>
      <c r="AF120" s="15">
        <v>12.6</v>
      </c>
      <c r="AG120" s="15">
        <v>12.2</v>
      </c>
      <c r="AH120" s="15">
        <v>0.14000000000000001</v>
      </c>
      <c r="AI120" s="15">
        <v>73.22</v>
      </c>
      <c r="AJ120" s="15">
        <v>11.62</v>
      </c>
    </row>
    <row r="121" spans="2:36">
      <c r="B121" s="25" t="s">
        <v>40</v>
      </c>
      <c r="C121" s="12">
        <v>0.01</v>
      </c>
      <c r="D121" s="12">
        <v>0.04</v>
      </c>
      <c r="E121" s="12">
        <v>0.06</v>
      </c>
      <c r="F121" s="12">
        <v>0.12</v>
      </c>
      <c r="G121" s="12">
        <v>0.09</v>
      </c>
      <c r="H121" s="12">
        <v>0.08</v>
      </c>
      <c r="I121" s="12">
        <v>9.1300000000000008</v>
      </c>
      <c r="J121" s="12">
        <v>1.03</v>
      </c>
      <c r="K121" s="12">
        <v>1.1100000000000001</v>
      </c>
      <c r="L121" s="12">
        <v>0.16</v>
      </c>
      <c r="M121" s="12">
        <v>34.68</v>
      </c>
      <c r="N121" s="12">
        <v>0.85</v>
      </c>
      <c r="O121" s="12">
        <v>8.2100000000000009</v>
      </c>
      <c r="P121" s="12">
        <v>0.06</v>
      </c>
      <c r="Q121" s="12">
        <v>1.34</v>
      </c>
      <c r="R121" s="12">
        <v>2.89</v>
      </c>
      <c r="S121" s="12">
        <v>0.2</v>
      </c>
      <c r="T121" s="12">
        <v>0.16</v>
      </c>
      <c r="U121" s="12">
        <v>0.12</v>
      </c>
      <c r="V121" s="12">
        <v>2.3199999999999998</v>
      </c>
      <c r="W121" s="12">
        <v>0.28000000000000003</v>
      </c>
      <c r="X121" s="12">
        <v>1.33</v>
      </c>
      <c r="Y121" s="12">
        <v>0.06</v>
      </c>
      <c r="Z121" s="12">
        <v>1.69</v>
      </c>
      <c r="AA121" s="12">
        <v>0.18</v>
      </c>
      <c r="AB121" s="12">
        <v>0.8</v>
      </c>
      <c r="AC121" s="12">
        <v>0.17</v>
      </c>
      <c r="AD121" s="12">
        <v>5.64</v>
      </c>
      <c r="AE121" s="12">
        <v>2.5299999999999998</v>
      </c>
      <c r="AF121" s="12">
        <v>12.6</v>
      </c>
      <c r="AG121" s="12">
        <v>12.2</v>
      </c>
      <c r="AH121" s="12">
        <v>0.14000000000000001</v>
      </c>
      <c r="AI121" s="12">
        <v>73.22</v>
      </c>
      <c r="AJ121" s="12">
        <v>11.62</v>
      </c>
    </row>
    <row r="122" spans="2:36">
      <c r="B122" s="26" t="s">
        <v>155</v>
      </c>
      <c r="C122" s="12" t="s">
        <v>190</v>
      </c>
      <c r="D122" s="12" t="s">
        <v>190</v>
      </c>
      <c r="E122" s="12" t="s">
        <v>190</v>
      </c>
      <c r="F122" s="12" t="s">
        <v>190</v>
      </c>
      <c r="G122" s="12" t="s">
        <v>190</v>
      </c>
      <c r="H122" s="12" t="s">
        <v>190</v>
      </c>
      <c r="I122" s="12" t="s">
        <v>190</v>
      </c>
      <c r="J122" s="12" t="s">
        <v>190</v>
      </c>
      <c r="K122" s="12" t="s">
        <v>190</v>
      </c>
      <c r="L122" s="12" t="s">
        <v>190</v>
      </c>
      <c r="M122" s="12" t="s">
        <v>190</v>
      </c>
      <c r="N122" s="12" t="s">
        <v>190</v>
      </c>
      <c r="O122" s="12" t="s">
        <v>190</v>
      </c>
      <c r="P122" s="12" t="s">
        <v>190</v>
      </c>
      <c r="Q122" s="12" t="s">
        <v>190</v>
      </c>
      <c r="R122" s="12" t="s">
        <v>190</v>
      </c>
      <c r="S122" s="12" t="s">
        <v>190</v>
      </c>
      <c r="T122" s="12" t="s">
        <v>190</v>
      </c>
      <c r="U122" s="12" t="s">
        <v>190</v>
      </c>
      <c r="V122" s="12" t="s">
        <v>190</v>
      </c>
      <c r="W122" s="12" t="s">
        <v>190</v>
      </c>
      <c r="X122" s="12" t="s">
        <v>190</v>
      </c>
      <c r="Y122" s="12" t="s">
        <v>190</v>
      </c>
      <c r="Z122" s="12" t="s">
        <v>190</v>
      </c>
      <c r="AA122" s="12" t="s">
        <v>190</v>
      </c>
      <c r="AB122" s="12" t="s">
        <v>190</v>
      </c>
      <c r="AC122" s="12" t="s">
        <v>190</v>
      </c>
      <c r="AD122" s="12" t="s">
        <v>190</v>
      </c>
      <c r="AE122" s="12" t="s">
        <v>190</v>
      </c>
      <c r="AF122" s="12" t="s">
        <v>190</v>
      </c>
      <c r="AG122" s="12" t="s">
        <v>190</v>
      </c>
      <c r="AH122" s="12" t="s">
        <v>190</v>
      </c>
      <c r="AI122" s="12" t="s">
        <v>190</v>
      </c>
      <c r="AJ122" s="12" t="s">
        <v>190</v>
      </c>
    </row>
    <row r="123" spans="2:36">
      <c r="B123" s="26" t="s">
        <v>156</v>
      </c>
      <c r="C123" s="12" t="s">
        <v>236</v>
      </c>
      <c r="D123" s="12" t="s">
        <v>236</v>
      </c>
      <c r="E123" s="12" t="s">
        <v>236</v>
      </c>
      <c r="F123" s="12" t="s">
        <v>236</v>
      </c>
      <c r="G123" s="12" t="s">
        <v>236</v>
      </c>
      <c r="H123" s="12" t="s">
        <v>236</v>
      </c>
      <c r="I123" s="12" t="s">
        <v>236</v>
      </c>
      <c r="J123" s="12" t="s">
        <v>236</v>
      </c>
      <c r="K123" s="12" t="s">
        <v>236</v>
      </c>
      <c r="L123" s="12" t="s">
        <v>236</v>
      </c>
      <c r="M123" s="12" t="s">
        <v>236</v>
      </c>
      <c r="N123" s="12" t="s">
        <v>236</v>
      </c>
      <c r="O123" s="12" t="s">
        <v>236</v>
      </c>
      <c r="P123" s="12" t="s">
        <v>236</v>
      </c>
      <c r="Q123" s="12" t="s">
        <v>236</v>
      </c>
      <c r="R123" s="12" t="s">
        <v>236</v>
      </c>
      <c r="S123" s="12" t="s">
        <v>236</v>
      </c>
      <c r="T123" s="12" t="s">
        <v>236</v>
      </c>
      <c r="U123" s="12" t="s">
        <v>236</v>
      </c>
      <c r="V123" s="12" t="s">
        <v>236</v>
      </c>
      <c r="W123" s="12" t="s">
        <v>236</v>
      </c>
      <c r="X123" s="12" t="s">
        <v>236</v>
      </c>
      <c r="Y123" s="12" t="s">
        <v>236</v>
      </c>
      <c r="Z123" s="12" t="s">
        <v>236</v>
      </c>
      <c r="AA123" s="12" t="s">
        <v>236</v>
      </c>
      <c r="AB123" s="12" t="s">
        <v>236</v>
      </c>
      <c r="AC123" s="12" t="s">
        <v>236</v>
      </c>
      <c r="AD123" s="12" t="s">
        <v>236</v>
      </c>
      <c r="AE123" s="12" t="s">
        <v>236</v>
      </c>
      <c r="AF123" s="12" t="s">
        <v>236</v>
      </c>
      <c r="AG123" s="12" t="s">
        <v>236</v>
      </c>
      <c r="AH123" s="12" t="s">
        <v>236</v>
      </c>
      <c r="AI123" s="12" t="s">
        <v>236</v>
      </c>
      <c r="AJ123" s="12" t="s">
        <v>236</v>
      </c>
    </row>
    <row r="124" spans="2:36">
      <c r="B124" s="26" t="s">
        <v>158</v>
      </c>
      <c r="C124" s="12">
        <v>0.01</v>
      </c>
      <c r="D124" s="12">
        <v>0.04</v>
      </c>
      <c r="E124" s="12">
        <v>0.06</v>
      </c>
      <c r="F124" s="12">
        <v>0.12</v>
      </c>
      <c r="G124" s="12">
        <v>0.09</v>
      </c>
      <c r="H124" s="12">
        <v>0.08</v>
      </c>
      <c r="I124" s="12">
        <v>9.1300000000000008</v>
      </c>
      <c r="J124" s="12">
        <v>1.03</v>
      </c>
      <c r="K124" s="12">
        <v>1.1100000000000001</v>
      </c>
      <c r="L124" s="12">
        <v>0.16</v>
      </c>
      <c r="M124" s="12">
        <v>34.68</v>
      </c>
      <c r="N124" s="12">
        <v>0.85</v>
      </c>
      <c r="O124" s="12">
        <v>8.2100000000000009</v>
      </c>
      <c r="P124" s="12">
        <v>0.06</v>
      </c>
      <c r="Q124" s="12">
        <v>1.34</v>
      </c>
      <c r="R124" s="12">
        <v>2.89</v>
      </c>
      <c r="S124" s="12">
        <v>0.2</v>
      </c>
      <c r="T124" s="12">
        <v>0.16</v>
      </c>
      <c r="U124" s="12">
        <v>0.12</v>
      </c>
      <c r="V124" s="12">
        <v>2.3199999999999998</v>
      </c>
      <c r="W124" s="12">
        <v>0.28000000000000003</v>
      </c>
      <c r="X124" s="12">
        <v>1.33</v>
      </c>
      <c r="Y124" s="12">
        <v>0.06</v>
      </c>
      <c r="Z124" s="12">
        <v>1.69</v>
      </c>
      <c r="AA124" s="12">
        <v>0.18</v>
      </c>
      <c r="AB124" s="12">
        <v>0.8</v>
      </c>
      <c r="AC124" s="12">
        <v>0.17</v>
      </c>
      <c r="AD124" s="12">
        <v>5.64</v>
      </c>
      <c r="AE124" s="12">
        <v>2.5299999999999998</v>
      </c>
      <c r="AF124" s="12">
        <v>12.6</v>
      </c>
      <c r="AG124" s="12">
        <v>12.2</v>
      </c>
      <c r="AH124" s="12">
        <v>0.14000000000000001</v>
      </c>
      <c r="AI124" s="12">
        <v>73.22</v>
      </c>
      <c r="AJ124" s="12">
        <v>11.62</v>
      </c>
    </row>
    <row r="125" spans="2:36">
      <c r="B125" s="25" t="s">
        <v>41</v>
      </c>
      <c r="C125" s="12" t="s">
        <v>109</v>
      </c>
      <c r="D125" s="12" t="s">
        <v>109</v>
      </c>
      <c r="E125" s="12" t="s">
        <v>109</v>
      </c>
      <c r="F125" s="12" t="s">
        <v>109</v>
      </c>
      <c r="G125" s="12" t="s">
        <v>109</v>
      </c>
      <c r="H125" s="12" t="s">
        <v>109</v>
      </c>
      <c r="I125" s="12" t="s">
        <v>109</v>
      </c>
      <c r="J125" s="12" t="s">
        <v>109</v>
      </c>
      <c r="K125" s="12" t="s">
        <v>109</v>
      </c>
      <c r="L125" s="12" t="s">
        <v>109</v>
      </c>
      <c r="M125" s="12" t="s">
        <v>109</v>
      </c>
      <c r="N125" s="12" t="s">
        <v>109</v>
      </c>
      <c r="O125" s="12" t="s">
        <v>109</v>
      </c>
      <c r="P125" s="12" t="s">
        <v>109</v>
      </c>
      <c r="Q125" s="12" t="s">
        <v>109</v>
      </c>
      <c r="R125" s="12" t="s">
        <v>109</v>
      </c>
      <c r="S125" s="12" t="s">
        <v>109</v>
      </c>
      <c r="T125" s="12" t="s">
        <v>109</v>
      </c>
      <c r="U125" s="12" t="s">
        <v>109</v>
      </c>
      <c r="V125" s="12" t="s">
        <v>109</v>
      </c>
      <c r="W125" s="12" t="s">
        <v>109</v>
      </c>
      <c r="X125" s="12" t="s">
        <v>109</v>
      </c>
      <c r="Y125" s="12" t="s">
        <v>109</v>
      </c>
      <c r="Z125" s="12" t="s">
        <v>109</v>
      </c>
      <c r="AA125" s="12" t="s">
        <v>109</v>
      </c>
      <c r="AB125" s="12" t="s">
        <v>109</v>
      </c>
      <c r="AC125" s="12" t="s">
        <v>109</v>
      </c>
      <c r="AD125" s="12" t="s">
        <v>109</v>
      </c>
      <c r="AE125" s="12" t="s">
        <v>109</v>
      </c>
      <c r="AF125" s="12" t="s">
        <v>109</v>
      </c>
      <c r="AG125" s="12" t="s">
        <v>109</v>
      </c>
      <c r="AH125" s="12" t="s">
        <v>109</v>
      </c>
      <c r="AI125" s="12" t="s">
        <v>109</v>
      </c>
      <c r="AJ125" s="12" t="s">
        <v>109</v>
      </c>
    </row>
    <row r="126" spans="2:36">
      <c r="B126" s="26" t="s">
        <v>159</v>
      </c>
      <c r="C126" s="12" t="s">
        <v>109</v>
      </c>
      <c r="D126" s="12" t="s">
        <v>109</v>
      </c>
      <c r="E126" s="12" t="s">
        <v>109</v>
      </c>
      <c r="F126" s="12" t="s">
        <v>109</v>
      </c>
      <c r="G126" s="12" t="s">
        <v>109</v>
      </c>
      <c r="H126" s="12" t="s">
        <v>109</v>
      </c>
      <c r="I126" s="12" t="s">
        <v>109</v>
      </c>
      <c r="J126" s="12" t="s">
        <v>109</v>
      </c>
      <c r="K126" s="12" t="s">
        <v>109</v>
      </c>
      <c r="L126" s="12" t="s">
        <v>109</v>
      </c>
      <c r="M126" s="12" t="s">
        <v>109</v>
      </c>
      <c r="N126" s="12" t="s">
        <v>109</v>
      </c>
      <c r="O126" s="12" t="s">
        <v>109</v>
      </c>
      <c r="P126" s="12" t="s">
        <v>109</v>
      </c>
      <c r="Q126" s="12" t="s">
        <v>109</v>
      </c>
      <c r="R126" s="12" t="s">
        <v>109</v>
      </c>
      <c r="S126" s="12" t="s">
        <v>109</v>
      </c>
      <c r="T126" s="12" t="s">
        <v>109</v>
      </c>
      <c r="U126" s="12" t="s">
        <v>109</v>
      </c>
      <c r="V126" s="12" t="s">
        <v>109</v>
      </c>
      <c r="W126" s="12" t="s">
        <v>109</v>
      </c>
      <c r="X126" s="12" t="s">
        <v>109</v>
      </c>
      <c r="Y126" s="12" t="s">
        <v>109</v>
      </c>
      <c r="Z126" s="12" t="s">
        <v>109</v>
      </c>
      <c r="AA126" s="12" t="s">
        <v>109</v>
      </c>
      <c r="AB126" s="12" t="s">
        <v>109</v>
      </c>
      <c r="AC126" s="12" t="s">
        <v>109</v>
      </c>
      <c r="AD126" s="12" t="s">
        <v>109</v>
      </c>
      <c r="AE126" s="12" t="s">
        <v>109</v>
      </c>
      <c r="AF126" s="12" t="s">
        <v>109</v>
      </c>
      <c r="AG126" s="12" t="s">
        <v>109</v>
      </c>
      <c r="AH126" s="12" t="s">
        <v>109</v>
      </c>
      <c r="AI126" s="12" t="s">
        <v>109</v>
      </c>
      <c r="AJ126" s="12" t="s">
        <v>109</v>
      </c>
    </row>
    <row r="127" spans="2:36">
      <c r="B127" s="26" t="s">
        <v>160</v>
      </c>
      <c r="C127" s="12" t="s">
        <v>109</v>
      </c>
      <c r="D127" s="12" t="s">
        <v>109</v>
      </c>
      <c r="E127" s="12" t="s">
        <v>109</v>
      </c>
      <c r="F127" s="12" t="s">
        <v>109</v>
      </c>
      <c r="G127" s="12" t="s">
        <v>109</v>
      </c>
      <c r="H127" s="12" t="s">
        <v>109</v>
      </c>
      <c r="I127" s="12" t="s">
        <v>109</v>
      </c>
      <c r="J127" s="12" t="s">
        <v>109</v>
      </c>
      <c r="K127" s="12" t="s">
        <v>109</v>
      </c>
      <c r="L127" s="12" t="s">
        <v>109</v>
      </c>
      <c r="M127" s="12" t="s">
        <v>109</v>
      </c>
      <c r="N127" s="12" t="s">
        <v>109</v>
      </c>
      <c r="O127" s="12" t="s">
        <v>109</v>
      </c>
      <c r="P127" s="12" t="s">
        <v>109</v>
      </c>
      <c r="Q127" s="12" t="s">
        <v>109</v>
      </c>
      <c r="R127" s="12" t="s">
        <v>109</v>
      </c>
      <c r="S127" s="12" t="s">
        <v>109</v>
      </c>
      <c r="T127" s="12" t="s">
        <v>109</v>
      </c>
      <c r="U127" s="12" t="s">
        <v>109</v>
      </c>
      <c r="V127" s="12" t="s">
        <v>109</v>
      </c>
      <c r="W127" s="12" t="s">
        <v>109</v>
      </c>
      <c r="X127" s="12" t="s">
        <v>109</v>
      </c>
      <c r="Y127" s="12" t="s">
        <v>109</v>
      </c>
      <c r="Z127" s="12" t="s">
        <v>109</v>
      </c>
      <c r="AA127" s="12" t="s">
        <v>109</v>
      </c>
      <c r="AB127" s="12" t="s">
        <v>109</v>
      </c>
      <c r="AC127" s="12" t="s">
        <v>109</v>
      </c>
      <c r="AD127" s="12" t="s">
        <v>109</v>
      </c>
      <c r="AE127" s="12" t="s">
        <v>109</v>
      </c>
      <c r="AF127" s="12" t="s">
        <v>109</v>
      </c>
      <c r="AG127" s="12" t="s">
        <v>109</v>
      </c>
      <c r="AH127" s="12" t="s">
        <v>109</v>
      </c>
      <c r="AI127" s="12" t="s">
        <v>109</v>
      </c>
      <c r="AJ127" s="12" t="s">
        <v>109</v>
      </c>
    </row>
    <row r="128" spans="2:36">
      <c r="B128" s="25" t="s">
        <v>42</v>
      </c>
      <c r="C128" s="12" t="s">
        <v>109</v>
      </c>
      <c r="D128" s="12" t="s">
        <v>109</v>
      </c>
      <c r="E128" s="12" t="s">
        <v>109</v>
      </c>
      <c r="F128" s="12" t="s">
        <v>109</v>
      </c>
      <c r="G128" s="12" t="s">
        <v>109</v>
      </c>
      <c r="H128" s="12" t="s">
        <v>109</v>
      </c>
      <c r="I128" s="12" t="s">
        <v>109</v>
      </c>
      <c r="J128" s="12" t="s">
        <v>109</v>
      </c>
      <c r="K128" s="12" t="s">
        <v>109</v>
      </c>
      <c r="L128" s="12" t="s">
        <v>109</v>
      </c>
      <c r="M128" s="12" t="s">
        <v>109</v>
      </c>
      <c r="N128" s="12" t="s">
        <v>109</v>
      </c>
      <c r="O128" s="12" t="s">
        <v>109</v>
      </c>
      <c r="P128" s="12" t="s">
        <v>109</v>
      </c>
      <c r="Q128" s="12" t="s">
        <v>109</v>
      </c>
      <c r="R128" s="12" t="s">
        <v>109</v>
      </c>
      <c r="S128" s="12" t="s">
        <v>109</v>
      </c>
      <c r="T128" s="12" t="s">
        <v>109</v>
      </c>
      <c r="U128" s="12" t="s">
        <v>109</v>
      </c>
      <c r="V128" s="12" t="s">
        <v>109</v>
      </c>
      <c r="W128" s="12" t="s">
        <v>109</v>
      </c>
      <c r="X128" s="12" t="s">
        <v>109</v>
      </c>
      <c r="Y128" s="12" t="s">
        <v>109</v>
      </c>
      <c r="Z128" s="12" t="s">
        <v>109</v>
      </c>
      <c r="AA128" s="12" t="s">
        <v>109</v>
      </c>
      <c r="AB128" s="12" t="s">
        <v>109</v>
      </c>
      <c r="AC128" s="12" t="s">
        <v>109</v>
      </c>
      <c r="AD128" s="12" t="s">
        <v>109</v>
      </c>
      <c r="AE128" s="12" t="s">
        <v>109</v>
      </c>
      <c r="AF128" s="12" t="s">
        <v>109</v>
      </c>
      <c r="AG128" s="12" t="s">
        <v>109</v>
      </c>
      <c r="AH128" s="12" t="s">
        <v>109</v>
      </c>
      <c r="AI128" s="12" t="s">
        <v>109</v>
      </c>
      <c r="AJ128" s="12" t="s">
        <v>109</v>
      </c>
    </row>
    <row r="129" spans="2:36">
      <c r="B129" s="26" t="s">
        <v>161</v>
      </c>
      <c r="C129" s="12" t="s">
        <v>109</v>
      </c>
      <c r="D129" s="12" t="s">
        <v>109</v>
      </c>
      <c r="E129" s="12" t="s">
        <v>109</v>
      </c>
      <c r="F129" s="12" t="s">
        <v>109</v>
      </c>
      <c r="G129" s="12" t="s">
        <v>109</v>
      </c>
      <c r="H129" s="12" t="s">
        <v>109</v>
      </c>
      <c r="I129" s="12" t="s">
        <v>109</v>
      </c>
      <c r="J129" s="12" t="s">
        <v>109</v>
      </c>
      <c r="K129" s="12" t="s">
        <v>109</v>
      </c>
      <c r="L129" s="12" t="s">
        <v>109</v>
      </c>
      <c r="M129" s="12" t="s">
        <v>109</v>
      </c>
      <c r="N129" s="12" t="s">
        <v>109</v>
      </c>
      <c r="O129" s="12" t="s">
        <v>109</v>
      </c>
      <c r="P129" s="12" t="s">
        <v>109</v>
      </c>
      <c r="Q129" s="12" t="s">
        <v>109</v>
      </c>
      <c r="R129" s="12" t="s">
        <v>109</v>
      </c>
      <c r="S129" s="12" t="s">
        <v>109</v>
      </c>
      <c r="T129" s="12" t="s">
        <v>109</v>
      </c>
      <c r="U129" s="12" t="s">
        <v>109</v>
      </c>
      <c r="V129" s="12" t="s">
        <v>109</v>
      </c>
      <c r="W129" s="12" t="s">
        <v>109</v>
      </c>
      <c r="X129" s="12" t="s">
        <v>109</v>
      </c>
      <c r="Y129" s="12" t="s">
        <v>109</v>
      </c>
      <c r="Z129" s="12" t="s">
        <v>109</v>
      </c>
      <c r="AA129" s="12" t="s">
        <v>109</v>
      </c>
      <c r="AB129" s="12" t="s">
        <v>109</v>
      </c>
      <c r="AC129" s="12" t="s">
        <v>109</v>
      </c>
      <c r="AD129" s="12" t="s">
        <v>109</v>
      </c>
      <c r="AE129" s="12" t="s">
        <v>109</v>
      </c>
      <c r="AF129" s="12" t="s">
        <v>109</v>
      </c>
      <c r="AG129" s="12" t="s">
        <v>109</v>
      </c>
      <c r="AH129" s="12" t="s">
        <v>109</v>
      </c>
      <c r="AI129" s="12" t="s">
        <v>109</v>
      </c>
      <c r="AJ129" s="12" t="s">
        <v>109</v>
      </c>
    </row>
    <row r="130" spans="2:36">
      <c r="B130" s="26" t="s">
        <v>162</v>
      </c>
      <c r="C130" s="12" t="s">
        <v>109</v>
      </c>
      <c r="D130" s="12" t="s">
        <v>109</v>
      </c>
      <c r="E130" s="12" t="s">
        <v>109</v>
      </c>
      <c r="F130" s="12" t="s">
        <v>109</v>
      </c>
      <c r="G130" s="12" t="s">
        <v>109</v>
      </c>
      <c r="H130" s="12" t="s">
        <v>109</v>
      </c>
      <c r="I130" s="12" t="s">
        <v>109</v>
      </c>
      <c r="J130" s="12" t="s">
        <v>109</v>
      </c>
      <c r="K130" s="12" t="s">
        <v>109</v>
      </c>
      <c r="L130" s="12" t="s">
        <v>109</v>
      </c>
      <c r="M130" s="12" t="s">
        <v>109</v>
      </c>
      <c r="N130" s="12" t="s">
        <v>109</v>
      </c>
      <c r="O130" s="12" t="s">
        <v>109</v>
      </c>
      <c r="P130" s="12" t="s">
        <v>109</v>
      </c>
      <c r="Q130" s="12" t="s">
        <v>109</v>
      </c>
      <c r="R130" s="12" t="s">
        <v>109</v>
      </c>
      <c r="S130" s="12" t="s">
        <v>109</v>
      </c>
      <c r="T130" s="12" t="s">
        <v>109</v>
      </c>
      <c r="U130" s="12" t="s">
        <v>109</v>
      </c>
      <c r="V130" s="12" t="s">
        <v>109</v>
      </c>
      <c r="W130" s="12" t="s">
        <v>109</v>
      </c>
      <c r="X130" s="12" t="s">
        <v>109</v>
      </c>
      <c r="Y130" s="12" t="s">
        <v>109</v>
      </c>
      <c r="Z130" s="12" t="s">
        <v>109</v>
      </c>
      <c r="AA130" s="12" t="s">
        <v>109</v>
      </c>
      <c r="AB130" s="12" t="s">
        <v>109</v>
      </c>
      <c r="AC130" s="12" t="s">
        <v>109</v>
      </c>
      <c r="AD130" s="12" t="s">
        <v>109</v>
      </c>
      <c r="AE130" s="12" t="s">
        <v>109</v>
      </c>
      <c r="AF130" s="12" t="s">
        <v>109</v>
      </c>
      <c r="AG130" s="12" t="s">
        <v>109</v>
      </c>
      <c r="AH130" s="12" t="s">
        <v>109</v>
      </c>
      <c r="AI130" s="12" t="s">
        <v>109</v>
      </c>
      <c r="AJ130" s="12" t="s">
        <v>109</v>
      </c>
    </row>
    <row r="131" spans="2:36">
      <c r="B131" s="25" t="s">
        <v>43</v>
      </c>
      <c r="C131" s="12" t="s">
        <v>109</v>
      </c>
      <c r="D131" s="12" t="s">
        <v>109</v>
      </c>
      <c r="E131" s="12" t="s">
        <v>109</v>
      </c>
      <c r="F131" s="12" t="s">
        <v>109</v>
      </c>
      <c r="G131" s="12" t="s">
        <v>109</v>
      </c>
      <c r="H131" s="12" t="s">
        <v>109</v>
      </c>
      <c r="I131" s="12" t="s">
        <v>109</v>
      </c>
      <c r="J131" s="12" t="s">
        <v>109</v>
      </c>
      <c r="K131" s="12" t="s">
        <v>109</v>
      </c>
      <c r="L131" s="12" t="s">
        <v>109</v>
      </c>
      <c r="M131" s="12" t="s">
        <v>109</v>
      </c>
      <c r="N131" s="12" t="s">
        <v>109</v>
      </c>
      <c r="O131" s="12" t="s">
        <v>109</v>
      </c>
      <c r="P131" s="12" t="s">
        <v>109</v>
      </c>
      <c r="Q131" s="12" t="s">
        <v>109</v>
      </c>
      <c r="R131" s="12" t="s">
        <v>109</v>
      </c>
      <c r="S131" s="12" t="s">
        <v>109</v>
      </c>
      <c r="T131" s="12" t="s">
        <v>109</v>
      </c>
      <c r="U131" s="12" t="s">
        <v>109</v>
      </c>
      <c r="V131" s="12" t="s">
        <v>109</v>
      </c>
      <c r="W131" s="12" t="s">
        <v>109</v>
      </c>
      <c r="X131" s="12" t="s">
        <v>109</v>
      </c>
      <c r="Y131" s="12" t="s">
        <v>109</v>
      </c>
      <c r="Z131" s="12" t="s">
        <v>109</v>
      </c>
      <c r="AA131" s="12" t="s">
        <v>109</v>
      </c>
      <c r="AB131" s="12" t="s">
        <v>109</v>
      </c>
      <c r="AC131" s="12" t="s">
        <v>109</v>
      </c>
      <c r="AD131" s="12" t="s">
        <v>109</v>
      </c>
      <c r="AE131" s="12" t="s">
        <v>109</v>
      </c>
      <c r="AF131" s="12" t="s">
        <v>109</v>
      </c>
      <c r="AG131" s="12" t="s">
        <v>109</v>
      </c>
      <c r="AH131" s="12" t="s">
        <v>109</v>
      </c>
      <c r="AI131" s="12" t="s">
        <v>109</v>
      </c>
      <c r="AJ131" s="12" t="s">
        <v>109</v>
      </c>
    </row>
    <row r="132" spans="2:36">
      <c r="B132" s="26" t="s">
        <v>163</v>
      </c>
      <c r="C132" s="12" t="s">
        <v>109</v>
      </c>
      <c r="D132" s="12" t="s">
        <v>109</v>
      </c>
      <c r="E132" s="12" t="s">
        <v>109</v>
      </c>
      <c r="F132" s="12" t="s">
        <v>109</v>
      </c>
      <c r="G132" s="12" t="s">
        <v>109</v>
      </c>
      <c r="H132" s="12" t="s">
        <v>109</v>
      </c>
      <c r="I132" s="12" t="s">
        <v>109</v>
      </c>
      <c r="J132" s="12" t="s">
        <v>109</v>
      </c>
      <c r="K132" s="12" t="s">
        <v>109</v>
      </c>
      <c r="L132" s="12" t="s">
        <v>109</v>
      </c>
      <c r="M132" s="12" t="s">
        <v>109</v>
      </c>
      <c r="N132" s="12" t="s">
        <v>109</v>
      </c>
      <c r="O132" s="12" t="s">
        <v>109</v>
      </c>
      <c r="P132" s="12" t="s">
        <v>109</v>
      </c>
      <c r="Q132" s="12" t="s">
        <v>109</v>
      </c>
      <c r="R132" s="12" t="s">
        <v>109</v>
      </c>
      <c r="S132" s="12" t="s">
        <v>109</v>
      </c>
      <c r="T132" s="12" t="s">
        <v>109</v>
      </c>
      <c r="U132" s="12" t="s">
        <v>109</v>
      </c>
      <c r="V132" s="12" t="s">
        <v>109</v>
      </c>
      <c r="W132" s="12" t="s">
        <v>109</v>
      </c>
      <c r="X132" s="12" t="s">
        <v>109</v>
      </c>
      <c r="Y132" s="12" t="s">
        <v>109</v>
      </c>
      <c r="Z132" s="12" t="s">
        <v>109</v>
      </c>
      <c r="AA132" s="12" t="s">
        <v>109</v>
      </c>
      <c r="AB132" s="12" t="s">
        <v>109</v>
      </c>
      <c r="AC132" s="12" t="s">
        <v>109</v>
      </c>
      <c r="AD132" s="12" t="s">
        <v>109</v>
      </c>
      <c r="AE132" s="12" t="s">
        <v>109</v>
      </c>
      <c r="AF132" s="12" t="s">
        <v>109</v>
      </c>
      <c r="AG132" s="12" t="s">
        <v>109</v>
      </c>
      <c r="AH132" s="12" t="s">
        <v>109</v>
      </c>
      <c r="AI132" s="12" t="s">
        <v>109</v>
      </c>
      <c r="AJ132" s="12" t="s">
        <v>109</v>
      </c>
    </row>
    <row r="133" spans="2:36">
      <c r="B133" s="26" t="s">
        <v>164</v>
      </c>
      <c r="C133" s="12" t="s">
        <v>109</v>
      </c>
      <c r="D133" s="12" t="s">
        <v>109</v>
      </c>
      <c r="E133" s="12" t="s">
        <v>109</v>
      </c>
      <c r="F133" s="12" t="s">
        <v>109</v>
      </c>
      <c r="G133" s="12" t="s">
        <v>109</v>
      </c>
      <c r="H133" s="12" t="s">
        <v>109</v>
      </c>
      <c r="I133" s="12" t="s">
        <v>109</v>
      </c>
      <c r="J133" s="12" t="s">
        <v>109</v>
      </c>
      <c r="K133" s="12" t="s">
        <v>109</v>
      </c>
      <c r="L133" s="12" t="s">
        <v>109</v>
      </c>
      <c r="M133" s="12" t="s">
        <v>109</v>
      </c>
      <c r="N133" s="12" t="s">
        <v>109</v>
      </c>
      <c r="O133" s="12" t="s">
        <v>109</v>
      </c>
      <c r="P133" s="12" t="s">
        <v>109</v>
      </c>
      <c r="Q133" s="12" t="s">
        <v>109</v>
      </c>
      <c r="R133" s="12" t="s">
        <v>109</v>
      </c>
      <c r="S133" s="12" t="s">
        <v>109</v>
      </c>
      <c r="T133" s="12" t="s">
        <v>109</v>
      </c>
      <c r="U133" s="12" t="s">
        <v>109</v>
      </c>
      <c r="V133" s="12" t="s">
        <v>109</v>
      </c>
      <c r="W133" s="12" t="s">
        <v>109</v>
      </c>
      <c r="X133" s="12" t="s">
        <v>109</v>
      </c>
      <c r="Y133" s="12" t="s">
        <v>109</v>
      </c>
      <c r="Z133" s="12" t="s">
        <v>109</v>
      </c>
      <c r="AA133" s="12" t="s">
        <v>109</v>
      </c>
      <c r="AB133" s="12" t="s">
        <v>109</v>
      </c>
      <c r="AC133" s="12" t="s">
        <v>109</v>
      </c>
      <c r="AD133" s="12" t="s">
        <v>109</v>
      </c>
      <c r="AE133" s="12" t="s">
        <v>109</v>
      </c>
      <c r="AF133" s="12" t="s">
        <v>109</v>
      </c>
      <c r="AG133" s="12" t="s">
        <v>109</v>
      </c>
      <c r="AH133" s="12" t="s">
        <v>109</v>
      </c>
      <c r="AI133" s="12" t="s">
        <v>109</v>
      </c>
      <c r="AJ133" s="12" t="s">
        <v>109</v>
      </c>
    </row>
    <row r="134" spans="2:36">
      <c r="B134" s="26" t="s">
        <v>165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</row>
    <row r="135" spans="2:36">
      <c r="B135" s="26" t="s">
        <v>166</v>
      </c>
      <c r="C135" s="12" t="s">
        <v>109</v>
      </c>
      <c r="D135" s="12" t="s">
        <v>109</v>
      </c>
      <c r="E135" s="12" t="s">
        <v>109</v>
      </c>
      <c r="F135" s="12" t="s">
        <v>109</v>
      </c>
      <c r="G135" s="12" t="s">
        <v>109</v>
      </c>
      <c r="H135" s="12" t="s">
        <v>109</v>
      </c>
      <c r="I135" s="12" t="s">
        <v>109</v>
      </c>
      <c r="J135" s="12" t="s">
        <v>109</v>
      </c>
      <c r="K135" s="12" t="s">
        <v>109</v>
      </c>
      <c r="L135" s="12" t="s">
        <v>109</v>
      </c>
      <c r="M135" s="12" t="s">
        <v>109</v>
      </c>
      <c r="N135" s="12" t="s">
        <v>109</v>
      </c>
      <c r="O135" s="12" t="s">
        <v>109</v>
      </c>
      <c r="P135" s="12" t="s">
        <v>109</v>
      </c>
      <c r="Q135" s="12" t="s">
        <v>109</v>
      </c>
      <c r="R135" s="12" t="s">
        <v>109</v>
      </c>
      <c r="S135" s="12" t="s">
        <v>109</v>
      </c>
      <c r="T135" s="12" t="s">
        <v>109</v>
      </c>
      <c r="U135" s="12" t="s">
        <v>109</v>
      </c>
      <c r="V135" s="12" t="s">
        <v>109</v>
      </c>
      <c r="W135" s="12" t="s">
        <v>109</v>
      </c>
      <c r="X135" s="12" t="s">
        <v>109</v>
      </c>
      <c r="Y135" s="12" t="s">
        <v>109</v>
      </c>
      <c r="Z135" s="12" t="s">
        <v>109</v>
      </c>
      <c r="AA135" s="12" t="s">
        <v>109</v>
      </c>
      <c r="AB135" s="12" t="s">
        <v>109</v>
      </c>
      <c r="AC135" s="12" t="s">
        <v>109</v>
      </c>
      <c r="AD135" s="12" t="s">
        <v>109</v>
      </c>
      <c r="AE135" s="12" t="s">
        <v>109</v>
      </c>
      <c r="AF135" s="12" t="s">
        <v>109</v>
      </c>
      <c r="AG135" s="12" t="s">
        <v>109</v>
      </c>
      <c r="AH135" s="12" t="s">
        <v>109</v>
      </c>
      <c r="AI135" s="12" t="s">
        <v>109</v>
      </c>
      <c r="AJ135" s="12" t="s">
        <v>109</v>
      </c>
    </row>
    <row r="136" spans="2:36">
      <c r="B136" s="26" t="s">
        <v>164</v>
      </c>
      <c r="C136" s="12" t="s">
        <v>109</v>
      </c>
      <c r="D136" s="12" t="s">
        <v>109</v>
      </c>
      <c r="E136" s="12" t="s">
        <v>109</v>
      </c>
      <c r="F136" s="12" t="s">
        <v>109</v>
      </c>
      <c r="G136" s="12" t="s">
        <v>109</v>
      </c>
      <c r="H136" s="12" t="s">
        <v>109</v>
      </c>
      <c r="I136" s="12" t="s">
        <v>109</v>
      </c>
      <c r="J136" s="12" t="s">
        <v>109</v>
      </c>
      <c r="K136" s="12" t="s">
        <v>109</v>
      </c>
      <c r="L136" s="12" t="s">
        <v>109</v>
      </c>
      <c r="M136" s="12" t="s">
        <v>109</v>
      </c>
      <c r="N136" s="12" t="s">
        <v>109</v>
      </c>
      <c r="O136" s="12" t="s">
        <v>109</v>
      </c>
      <c r="P136" s="12" t="s">
        <v>109</v>
      </c>
      <c r="Q136" s="12" t="s">
        <v>109</v>
      </c>
      <c r="R136" s="12" t="s">
        <v>109</v>
      </c>
      <c r="S136" s="12" t="s">
        <v>109</v>
      </c>
      <c r="T136" s="12" t="s">
        <v>109</v>
      </c>
      <c r="U136" s="12" t="s">
        <v>109</v>
      </c>
      <c r="V136" s="12" t="s">
        <v>109</v>
      </c>
      <c r="W136" s="12" t="s">
        <v>109</v>
      </c>
      <c r="X136" s="12" t="s">
        <v>109</v>
      </c>
      <c r="Y136" s="12" t="s">
        <v>109</v>
      </c>
      <c r="Z136" s="12" t="s">
        <v>109</v>
      </c>
      <c r="AA136" s="12" t="s">
        <v>109</v>
      </c>
      <c r="AB136" s="12" t="s">
        <v>109</v>
      </c>
      <c r="AC136" s="12" t="s">
        <v>109</v>
      </c>
      <c r="AD136" s="12" t="s">
        <v>109</v>
      </c>
      <c r="AE136" s="12" t="s">
        <v>109</v>
      </c>
      <c r="AF136" s="12" t="s">
        <v>109</v>
      </c>
      <c r="AG136" s="12" t="s">
        <v>109</v>
      </c>
      <c r="AH136" s="12" t="s">
        <v>109</v>
      </c>
      <c r="AI136" s="12" t="s">
        <v>109</v>
      </c>
      <c r="AJ136" s="12" t="s">
        <v>109</v>
      </c>
    </row>
    <row r="137" spans="2:36">
      <c r="B137" s="25" t="s">
        <v>44</v>
      </c>
      <c r="C137" s="12" t="s">
        <v>109</v>
      </c>
      <c r="D137" s="12" t="s">
        <v>109</v>
      </c>
      <c r="E137" s="12" t="s">
        <v>109</v>
      </c>
      <c r="F137" s="12" t="s">
        <v>109</v>
      </c>
      <c r="G137" s="12" t="s">
        <v>109</v>
      </c>
      <c r="H137" s="12" t="s">
        <v>109</v>
      </c>
      <c r="I137" s="12" t="s">
        <v>109</v>
      </c>
      <c r="J137" s="12" t="s">
        <v>109</v>
      </c>
      <c r="K137" s="12" t="s">
        <v>109</v>
      </c>
      <c r="L137" s="12" t="s">
        <v>109</v>
      </c>
      <c r="M137" s="12" t="s">
        <v>109</v>
      </c>
      <c r="N137" s="12" t="s">
        <v>109</v>
      </c>
      <c r="O137" s="12" t="s">
        <v>109</v>
      </c>
      <c r="P137" s="12" t="s">
        <v>109</v>
      </c>
      <c r="Q137" s="12" t="s">
        <v>109</v>
      </c>
      <c r="R137" s="12" t="s">
        <v>109</v>
      </c>
      <c r="S137" s="12" t="s">
        <v>109</v>
      </c>
      <c r="T137" s="12" t="s">
        <v>109</v>
      </c>
      <c r="U137" s="12" t="s">
        <v>109</v>
      </c>
      <c r="V137" s="12" t="s">
        <v>109</v>
      </c>
      <c r="W137" s="12" t="s">
        <v>109</v>
      </c>
      <c r="X137" s="12" t="s">
        <v>109</v>
      </c>
      <c r="Y137" s="12" t="s">
        <v>109</v>
      </c>
      <c r="Z137" s="12" t="s">
        <v>109</v>
      </c>
      <c r="AA137" s="12" t="s">
        <v>109</v>
      </c>
      <c r="AB137" s="12" t="s">
        <v>109</v>
      </c>
      <c r="AC137" s="12" t="s">
        <v>109</v>
      </c>
      <c r="AD137" s="12" t="s">
        <v>109</v>
      </c>
      <c r="AE137" s="12" t="s">
        <v>109</v>
      </c>
      <c r="AF137" s="12" t="s">
        <v>109</v>
      </c>
      <c r="AG137" s="12" t="s">
        <v>109</v>
      </c>
      <c r="AH137" s="12" t="s">
        <v>109</v>
      </c>
      <c r="AI137" s="12" t="s">
        <v>109</v>
      </c>
      <c r="AJ137" s="12" t="s">
        <v>109</v>
      </c>
    </row>
    <row r="138" spans="2:36">
      <c r="B138" s="26" t="s">
        <v>167</v>
      </c>
      <c r="C138" s="12" t="s">
        <v>109</v>
      </c>
      <c r="D138" s="12" t="s">
        <v>109</v>
      </c>
      <c r="E138" s="12" t="s">
        <v>109</v>
      </c>
      <c r="F138" s="12" t="s">
        <v>109</v>
      </c>
      <c r="G138" s="12" t="s">
        <v>109</v>
      </c>
      <c r="H138" s="12" t="s">
        <v>109</v>
      </c>
      <c r="I138" s="12" t="s">
        <v>109</v>
      </c>
      <c r="J138" s="12" t="s">
        <v>109</v>
      </c>
      <c r="K138" s="12" t="s">
        <v>109</v>
      </c>
      <c r="L138" s="12" t="s">
        <v>109</v>
      </c>
      <c r="M138" s="12" t="s">
        <v>109</v>
      </c>
      <c r="N138" s="12" t="s">
        <v>109</v>
      </c>
      <c r="O138" s="12" t="s">
        <v>109</v>
      </c>
      <c r="P138" s="12" t="s">
        <v>109</v>
      </c>
      <c r="Q138" s="12" t="s">
        <v>109</v>
      </c>
      <c r="R138" s="12" t="s">
        <v>109</v>
      </c>
      <c r="S138" s="12" t="s">
        <v>109</v>
      </c>
      <c r="T138" s="12" t="s">
        <v>109</v>
      </c>
      <c r="U138" s="12" t="s">
        <v>109</v>
      </c>
      <c r="V138" s="12" t="s">
        <v>109</v>
      </c>
      <c r="W138" s="12" t="s">
        <v>109</v>
      </c>
      <c r="X138" s="12" t="s">
        <v>109</v>
      </c>
      <c r="Y138" s="12" t="s">
        <v>109</v>
      </c>
      <c r="Z138" s="12" t="s">
        <v>109</v>
      </c>
      <c r="AA138" s="12" t="s">
        <v>109</v>
      </c>
      <c r="AB138" s="12" t="s">
        <v>109</v>
      </c>
      <c r="AC138" s="12" t="s">
        <v>109</v>
      </c>
      <c r="AD138" s="12" t="s">
        <v>109</v>
      </c>
      <c r="AE138" s="12" t="s">
        <v>109</v>
      </c>
      <c r="AF138" s="12" t="s">
        <v>109</v>
      </c>
      <c r="AG138" s="12" t="s">
        <v>109</v>
      </c>
      <c r="AH138" s="12" t="s">
        <v>109</v>
      </c>
      <c r="AI138" s="12" t="s">
        <v>109</v>
      </c>
      <c r="AJ138" s="12" t="s">
        <v>109</v>
      </c>
    </row>
    <row r="139" spans="2:36">
      <c r="B139" s="26" t="s">
        <v>168</v>
      </c>
      <c r="C139" s="12" t="s">
        <v>109</v>
      </c>
      <c r="D139" s="12" t="s">
        <v>109</v>
      </c>
      <c r="E139" s="12" t="s">
        <v>109</v>
      </c>
      <c r="F139" s="12" t="s">
        <v>109</v>
      </c>
      <c r="G139" s="12" t="s">
        <v>109</v>
      </c>
      <c r="H139" s="12" t="s">
        <v>109</v>
      </c>
      <c r="I139" s="12" t="s">
        <v>109</v>
      </c>
      <c r="J139" s="12" t="s">
        <v>109</v>
      </c>
      <c r="K139" s="12" t="s">
        <v>109</v>
      </c>
      <c r="L139" s="12" t="s">
        <v>109</v>
      </c>
      <c r="M139" s="12" t="s">
        <v>109</v>
      </c>
      <c r="N139" s="12" t="s">
        <v>109</v>
      </c>
      <c r="O139" s="12" t="s">
        <v>109</v>
      </c>
      <c r="P139" s="12" t="s">
        <v>109</v>
      </c>
      <c r="Q139" s="12" t="s">
        <v>109</v>
      </c>
      <c r="R139" s="12" t="s">
        <v>109</v>
      </c>
      <c r="S139" s="12" t="s">
        <v>109</v>
      </c>
      <c r="T139" s="12" t="s">
        <v>109</v>
      </c>
      <c r="U139" s="12" t="s">
        <v>109</v>
      </c>
      <c r="V139" s="12" t="s">
        <v>109</v>
      </c>
      <c r="W139" s="12" t="s">
        <v>109</v>
      </c>
      <c r="X139" s="12" t="s">
        <v>109</v>
      </c>
      <c r="Y139" s="12" t="s">
        <v>109</v>
      </c>
      <c r="Z139" s="12" t="s">
        <v>109</v>
      </c>
      <c r="AA139" s="12" t="s">
        <v>109</v>
      </c>
      <c r="AB139" s="12" t="s">
        <v>109</v>
      </c>
      <c r="AC139" s="12" t="s">
        <v>109</v>
      </c>
      <c r="AD139" s="12" t="s">
        <v>109</v>
      </c>
      <c r="AE139" s="12" t="s">
        <v>109</v>
      </c>
      <c r="AF139" s="12" t="s">
        <v>109</v>
      </c>
      <c r="AG139" s="12" t="s">
        <v>109</v>
      </c>
      <c r="AH139" s="12" t="s">
        <v>109</v>
      </c>
      <c r="AI139" s="12" t="s">
        <v>109</v>
      </c>
      <c r="AJ139" s="12" t="s">
        <v>109</v>
      </c>
    </row>
    <row r="140" spans="2:36">
      <c r="B140" s="25" t="s">
        <v>169</v>
      </c>
      <c r="C140" s="12" t="s">
        <v>109</v>
      </c>
      <c r="D140" s="12" t="s">
        <v>109</v>
      </c>
      <c r="E140" s="12" t="s">
        <v>109</v>
      </c>
      <c r="F140" s="12" t="s">
        <v>109</v>
      </c>
      <c r="G140" s="12" t="s">
        <v>109</v>
      </c>
      <c r="H140" s="12" t="s">
        <v>109</v>
      </c>
      <c r="I140" s="12" t="s">
        <v>109</v>
      </c>
      <c r="J140" s="12" t="s">
        <v>109</v>
      </c>
      <c r="K140" s="12" t="s">
        <v>109</v>
      </c>
      <c r="L140" s="12" t="s">
        <v>109</v>
      </c>
      <c r="M140" s="12" t="s">
        <v>109</v>
      </c>
      <c r="N140" s="12" t="s">
        <v>109</v>
      </c>
      <c r="O140" s="12" t="s">
        <v>109</v>
      </c>
      <c r="P140" s="12" t="s">
        <v>109</v>
      </c>
      <c r="Q140" s="12" t="s">
        <v>109</v>
      </c>
      <c r="R140" s="12" t="s">
        <v>109</v>
      </c>
      <c r="S140" s="12" t="s">
        <v>109</v>
      </c>
      <c r="T140" s="12" t="s">
        <v>109</v>
      </c>
      <c r="U140" s="12" t="s">
        <v>109</v>
      </c>
      <c r="V140" s="12" t="s">
        <v>109</v>
      </c>
      <c r="W140" s="12" t="s">
        <v>109</v>
      </c>
      <c r="X140" s="12" t="s">
        <v>109</v>
      </c>
      <c r="Y140" s="12" t="s">
        <v>109</v>
      </c>
      <c r="Z140" s="12" t="s">
        <v>109</v>
      </c>
      <c r="AA140" s="12" t="s">
        <v>109</v>
      </c>
      <c r="AB140" s="12" t="s">
        <v>109</v>
      </c>
      <c r="AC140" s="12" t="s">
        <v>109</v>
      </c>
      <c r="AD140" s="12" t="s">
        <v>109</v>
      </c>
      <c r="AE140" s="12" t="s">
        <v>109</v>
      </c>
      <c r="AF140" s="12" t="s">
        <v>109</v>
      </c>
      <c r="AG140" s="12" t="s">
        <v>109</v>
      </c>
      <c r="AH140" s="12" t="s">
        <v>109</v>
      </c>
      <c r="AI140" s="12" t="s">
        <v>109</v>
      </c>
      <c r="AJ140" s="12" t="s">
        <v>109</v>
      </c>
    </row>
    <row r="141" spans="2:36">
      <c r="B141" s="26" t="s">
        <v>170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</row>
    <row r="142" spans="2:36">
      <c r="B142" s="26" t="s">
        <v>171</v>
      </c>
      <c r="C142" s="12" t="s">
        <v>109</v>
      </c>
      <c r="D142" s="12" t="s">
        <v>109</v>
      </c>
      <c r="E142" s="12" t="s">
        <v>109</v>
      </c>
      <c r="F142" s="12" t="s">
        <v>109</v>
      </c>
      <c r="G142" s="12" t="s">
        <v>109</v>
      </c>
      <c r="H142" s="12" t="s">
        <v>109</v>
      </c>
      <c r="I142" s="12" t="s">
        <v>109</v>
      </c>
      <c r="J142" s="12" t="s">
        <v>109</v>
      </c>
      <c r="K142" s="12" t="s">
        <v>109</v>
      </c>
      <c r="L142" s="12" t="s">
        <v>109</v>
      </c>
      <c r="M142" s="12" t="s">
        <v>109</v>
      </c>
      <c r="N142" s="12" t="s">
        <v>109</v>
      </c>
      <c r="O142" s="12" t="s">
        <v>109</v>
      </c>
      <c r="P142" s="12" t="s">
        <v>109</v>
      </c>
      <c r="Q142" s="12" t="s">
        <v>109</v>
      </c>
      <c r="R142" s="12" t="s">
        <v>109</v>
      </c>
      <c r="S142" s="12" t="s">
        <v>109</v>
      </c>
      <c r="T142" s="12" t="s">
        <v>109</v>
      </c>
      <c r="U142" s="12" t="s">
        <v>109</v>
      </c>
      <c r="V142" s="12" t="s">
        <v>109</v>
      </c>
      <c r="W142" s="12" t="s">
        <v>109</v>
      </c>
      <c r="X142" s="12" t="s">
        <v>109</v>
      </c>
      <c r="Y142" s="12" t="s">
        <v>109</v>
      </c>
      <c r="Z142" s="12" t="s">
        <v>109</v>
      </c>
      <c r="AA142" s="12" t="s">
        <v>109</v>
      </c>
      <c r="AB142" s="12" t="s">
        <v>109</v>
      </c>
      <c r="AC142" s="12" t="s">
        <v>109</v>
      </c>
      <c r="AD142" s="12" t="s">
        <v>109</v>
      </c>
      <c r="AE142" s="12" t="s">
        <v>109</v>
      </c>
      <c r="AF142" s="12" t="s">
        <v>109</v>
      </c>
      <c r="AG142" s="12" t="s">
        <v>109</v>
      </c>
      <c r="AH142" s="12" t="s">
        <v>109</v>
      </c>
      <c r="AI142" s="12" t="s">
        <v>109</v>
      </c>
      <c r="AJ142" s="12" t="s">
        <v>109</v>
      </c>
    </row>
    <row r="143" spans="2:36">
      <c r="B143" s="25" t="s">
        <v>172</v>
      </c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</row>
    <row r="144" spans="2:36">
      <c r="B144" s="25" t="s">
        <v>173</v>
      </c>
      <c r="C144" s="12" t="s">
        <v>81</v>
      </c>
      <c r="D144" s="12" t="s">
        <v>81</v>
      </c>
      <c r="E144" s="12" t="s">
        <v>81</v>
      </c>
      <c r="F144" s="12" t="s">
        <v>81</v>
      </c>
      <c r="G144" s="12" t="s">
        <v>81</v>
      </c>
      <c r="H144" s="12" t="s">
        <v>81</v>
      </c>
      <c r="I144" s="12" t="s">
        <v>81</v>
      </c>
      <c r="J144" s="12" t="s">
        <v>81</v>
      </c>
      <c r="K144" s="12" t="s">
        <v>81</v>
      </c>
      <c r="L144" s="12" t="s">
        <v>81</v>
      </c>
      <c r="M144" s="12" t="s">
        <v>81</v>
      </c>
      <c r="N144" s="12" t="s">
        <v>81</v>
      </c>
      <c r="O144" s="12" t="s">
        <v>81</v>
      </c>
      <c r="P144" s="12" t="s">
        <v>81</v>
      </c>
      <c r="Q144" s="12" t="s">
        <v>81</v>
      </c>
      <c r="R144" s="12" t="s">
        <v>81</v>
      </c>
      <c r="S144" s="12" t="s">
        <v>81</v>
      </c>
      <c r="T144" s="12" t="s">
        <v>81</v>
      </c>
      <c r="U144" s="12" t="s">
        <v>81</v>
      </c>
      <c r="V144" s="12" t="s">
        <v>81</v>
      </c>
      <c r="W144" s="12" t="s">
        <v>81</v>
      </c>
      <c r="X144" s="12" t="s">
        <v>81</v>
      </c>
      <c r="Y144" s="12" t="s">
        <v>81</v>
      </c>
      <c r="Z144" s="12" t="s">
        <v>81</v>
      </c>
      <c r="AA144" s="12" t="s">
        <v>81</v>
      </c>
      <c r="AB144" s="12" t="s">
        <v>81</v>
      </c>
      <c r="AC144" s="12" t="s">
        <v>81</v>
      </c>
      <c r="AD144" s="12" t="s">
        <v>81</v>
      </c>
      <c r="AE144" s="12" t="s">
        <v>81</v>
      </c>
      <c r="AF144" s="12" t="s">
        <v>81</v>
      </c>
      <c r="AG144" s="12" t="s">
        <v>81</v>
      </c>
      <c r="AH144" s="12" t="s">
        <v>81</v>
      </c>
      <c r="AI144" s="12" t="s">
        <v>81</v>
      </c>
      <c r="AJ144" s="12" t="s">
        <v>81</v>
      </c>
    </row>
    <row r="145" spans="2:36">
      <c r="B145" s="24" t="s">
        <v>174</v>
      </c>
      <c r="C145" s="15">
        <v>79.510000000000005</v>
      </c>
      <c r="D145" s="15">
        <v>115.34</v>
      </c>
      <c r="E145" s="15">
        <v>169.92</v>
      </c>
      <c r="F145" s="15">
        <v>228.52</v>
      </c>
      <c r="G145" s="15">
        <v>352</v>
      </c>
      <c r="H145" s="15">
        <v>407.24</v>
      </c>
      <c r="I145" s="15">
        <v>576.42999999999995</v>
      </c>
      <c r="J145" s="15">
        <v>610.55999999999995</v>
      </c>
      <c r="K145" s="15">
        <v>827.4</v>
      </c>
      <c r="L145" s="15">
        <v>957.69</v>
      </c>
      <c r="M145" s="15">
        <v>1068.44</v>
      </c>
      <c r="N145" s="15">
        <v>1066.29</v>
      </c>
      <c r="O145" s="15">
        <v>1265.9100000000001</v>
      </c>
      <c r="P145" s="15">
        <v>1132.68</v>
      </c>
      <c r="Q145" s="15">
        <v>1130.79</v>
      </c>
      <c r="R145" s="15">
        <v>1114.48</v>
      </c>
      <c r="S145" s="15">
        <v>1153.05</v>
      </c>
      <c r="T145" s="15">
        <v>1184.45</v>
      </c>
      <c r="U145" s="15">
        <v>1145.3499999999999</v>
      </c>
      <c r="V145" s="15">
        <v>1168.18</v>
      </c>
      <c r="W145" s="15">
        <v>1215.96</v>
      </c>
      <c r="X145" s="15">
        <v>1170.6600000000001</v>
      </c>
      <c r="Y145" s="15">
        <v>1237.6400000000001</v>
      </c>
      <c r="Z145" s="15">
        <v>1270.43</v>
      </c>
      <c r="AA145" s="15">
        <v>1269.82</v>
      </c>
      <c r="AB145" s="15">
        <v>1275.99</v>
      </c>
      <c r="AC145" s="15">
        <v>1324.25</v>
      </c>
      <c r="AD145" s="15">
        <v>1270.25</v>
      </c>
      <c r="AE145" s="15">
        <v>1297.02</v>
      </c>
      <c r="AF145" s="15">
        <v>1298.1199999999999</v>
      </c>
      <c r="AG145" s="15">
        <v>1318.12</v>
      </c>
      <c r="AH145" s="15">
        <v>1353.53</v>
      </c>
      <c r="AI145" s="15">
        <v>1360.64</v>
      </c>
      <c r="AJ145" s="15">
        <v>1399.57</v>
      </c>
    </row>
    <row r="146" spans="2:36">
      <c r="B146" s="25" t="s">
        <v>175</v>
      </c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</row>
    <row r="147" spans="2:36">
      <c r="B147" s="26" t="s">
        <v>176</v>
      </c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</row>
    <row r="148" spans="2:36">
      <c r="B148" s="26" t="s">
        <v>177</v>
      </c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</row>
    <row r="149" spans="2:36">
      <c r="B149" s="26" t="s">
        <v>178</v>
      </c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</row>
    <row r="150" spans="2:36">
      <c r="B150" s="25" t="s">
        <v>179</v>
      </c>
      <c r="C150" s="12" t="s">
        <v>109</v>
      </c>
      <c r="D150" s="12" t="s">
        <v>109</v>
      </c>
      <c r="E150" s="12" t="s">
        <v>109</v>
      </c>
      <c r="F150" s="12" t="s">
        <v>109</v>
      </c>
      <c r="G150" s="12">
        <v>3.6</v>
      </c>
      <c r="H150" s="12">
        <v>0.43</v>
      </c>
      <c r="I150" s="12">
        <v>1.33</v>
      </c>
      <c r="J150" s="12">
        <v>3.95</v>
      </c>
      <c r="K150" s="12">
        <v>3.8</v>
      </c>
      <c r="L150" s="12">
        <v>13.64</v>
      </c>
      <c r="M150" s="12">
        <v>26.72</v>
      </c>
      <c r="N150" s="12">
        <v>26.35</v>
      </c>
      <c r="O150" s="12">
        <v>39.520000000000003</v>
      </c>
      <c r="P150" s="12">
        <v>39.64</v>
      </c>
      <c r="Q150" s="12">
        <v>41.14</v>
      </c>
      <c r="R150" s="12">
        <v>59.69</v>
      </c>
      <c r="S150" s="12">
        <v>72.09</v>
      </c>
      <c r="T150" s="12">
        <v>76.62</v>
      </c>
      <c r="U150" s="12">
        <v>78.930000000000007</v>
      </c>
      <c r="V150" s="12">
        <v>84.27</v>
      </c>
      <c r="W150" s="12">
        <v>67.98</v>
      </c>
      <c r="X150" s="12">
        <v>80.849999999999994</v>
      </c>
      <c r="Y150" s="12">
        <v>85.05</v>
      </c>
      <c r="Z150" s="12">
        <v>103.79</v>
      </c>
      <c r="AA150" s="12">
        <v>116.5</v>
      </c>
      <c r="AB150" s="12">
        <v>127.88</v>
      </c>
      <c r="AC150" s="12">
        <v>138.62</v>
      </c>
      <c r="AD150" s="12">
        <v>141.29</v>
      </c>
      <c r="AE150" s="12">
        <v>167.09</v>
      </c>
      <c r="AF150" s="12">
        <v>177.83</v>
      </c>
      <c r="AG150" s="12">
        <v>158.25</v>
      </c>
      <c r="AH150" s="12">
        <v>165.79</v>
      </c>
      <c r="AI150" s="12">
        <v>173.76</v>
      </c>
      <c r="AJ150" s="12">
        <v>200.48</v>
      </c>
    </row>
    <row r="151" spans="2:36">
      <c r="B151" s="26" t="s">
        <v>180</v>
      </c>
      <c r="C151" s="12" t="s">
        <v>231</v>
      </c>
      <c r="D151" s="12" t="s">
        <v>231</v>
      </c>
      <c r="E151" s="12" t="s">
        <v>231</v>
      </c>
      <c r="F151" s="12" t="s">
        <v>231</v>
      </c>
      <c r="G151" s="12">
        <v>3.6</v>
      </c>
      <c r="H151" s="12">
        <v>0.43</v>
      </c>
      <c r="I151" s="12">
        <v>1.33</v>
      </c>
      <c r="J151" s="12">
        <v>3.95</v>
      </c>
      <c r="K151" s="12">
        <v>3.8</v>
      </c>
      <c r="L151" s="12">
        <v>13.64</v>
      </c>
      <c r="M151" s="12">
        <v>26.72</v>
      </c>
      <c r="N151" s="12">
        <v>26.35</v>
      </c>
      <c r="O151" s="12">
        <v>39.520000000000003</v>
      </c>
      <c r="P151" s="12">
        <v>39.64</v>
      </c>
      <c r="Q151" s="12">
        <v>41.14</v>
      </c>
      <c r="R151" s="12">
        <v>59.69</v>
      </c>
      <c r="S151" s="12">
        <v>72.09</v>
      </c>
      <c r="T151" s="12">
        <v>76.62</v>
      </c>
      <c r="U151" s="12">
        <v>78.930000000000007</v>
      </c>
      <c r="V151" s="12">
        <v>84.27</v>
      </c>
      <c r="W151" s="12">
        <v>67.98</v>
      </c>
      <c r="X151" s="12">
        <v>80.849999999999994</v>
      </c>
      <c r="Y151" s="12">
        <v>85.05</v>
      </c>
      <c r="Z151" s="12">
        <v>103.79</v>
      </c>
      <c r="AA151" s="12">
        <v>116.5</v>
      </c>
      <c r="AB151" s="12">
        <v>127.88</v>
      </c>
      <c r="AC151" s="12">
        <v>138.62</v>
      </c>
      <c r="AD151" s="12">
        <v>141.29</v>
      </c>
      <c r="AE151" s="12">
        <v>167.09</v>
      </c>
      <c r="AF151" s="12">
        <v>177.83</v>
      </c>
      <c r="AG151" s="12">
        <v>158.25</v>
      </c>
      <c r="AH151" s="12">
        <v>165.79</v>
      </c>
      <c r="AI151" s="12">
        <v>173.76</v>
      </c>
      <c r="AJ151" s="12">
        <v>200.48</v>
      </c>
    </row>
    <row r="152" spans="2:36">
      <c r="B152" s="26" t="s">
        <v>181</v>
      </c>
      <c r="C152" s="12" t="s">
        <v>81</v>
      </c>
      <c r="D152" s="12" t="s">
        <v>81</v>
      </c>
      <c r="E152" s="12" t="s">
        <v>81</v>
      </c>
      <c r="F152" s="12" t="s">
        <v>81</v>
      </c>
      <c r="G152" s="12" t="s">
        <v>81</v>
      </c>
      <c r="H152" s="12" t="s">
        <v>81</v>
      </c>
      <c r="I152" s="12" t="s">
        <v>81</v>
      </c>
      <c r="J152" s="12" t="s">
        <v>81</v>
      </c>
      <c r="K152" s="12" t="s">
        <v>81</v>
      </c>
      <c r="L152" s="12" t="s">
        <v>81</v>
      </c>
      <c r="M152" s="12" t="s">
        <v>81</v>
      </c>
      <c r="N152" s="12" t="s">
        <v>81</v>
      </c>
      <c r="O152" s="12" t="s">
        <v>81</v>
      </c>
      <c r="P152" s="12" t="s">
        <v>81</v>
      </c>
      <c r="Q152" s="12" t="s">
        <v>81</v>
      </c>
      <c r="R152" s="12" t="s">
        <v>81</v>
      </c>
      <c r="S152" s="12" t="s">
        <v>81</v>
      </c>
      <c r="T152" s="12" t="s">
        <v>81</v>
      </c>
      <c r="U152" s="12" t="s">
        <v>81</v>
      </c>
      <c r="V152" s="12" t="s">
        <v>81</v>
      </c>
      <c r="W152" s="12" t="s">
        <v>81</v>
      </c>
      <c r="X152" s="12" t="s">
        <v>81</v>
      </c>
      <c r="Y152" s="12" t="s">
        <v>81</v>
      </c>
      <c r="Z152" s="12" t="s">
        <v>81</v>
      </c>
      <c r="AA152" s="12" t="s">
        <v>81</v>
      </c>
      <c r="AB152" s="12" t="s">
        <v>81</v>
      </c>
      <c r="AC152" s="12" t="s">
        <v>81</v>
      </c>
      <c r="AD152" s="12" t="s">
        <v>81</v>
      </c>
      <c r="AE152" s="12" t="s">
        <v>81</v>
      </c>
      <c r="AF152" s="12" t="s">
        <v>81</v>
      </c>
      <c r="AG152" s="12" t="s">
        <v>81</v>
      </c>
      <c r="AH152" s="12" t="s">
        <v>81</v>
      </c>
      <c r="AI152" s="12" t="s">
        <v>81</v>
      </c>
      <c r="AJ152" s="12" t="s">
        <v>81</v>
      </c>
    </row>
    <row r="153" spans="2:36">
      <c r="B153" s="25" t="s">
        <v>182</v>
      </c>
      <c r="C153" s="12">
        <v>30.5</v>
      </c>
      <c r="D153" s="12">
        <v>40.619999999999997</v>
      </c>
      <c r="E153" s="12">
        <v>49.76</v>
      </c>
      <c r="F153" s="12">
        <v>60.75</v>
      </c>
      <c r="G153" s="12">
        <v>70.39</v>
      </c>
      <c r="H153" s="12">
        <v>97.94</v>
      </c>
      <c r="I153" s="12">
        <v>97.73</v>
      </c>
      <c r="J153" s="12">
        <v>108.4</v>
      </c>
      <c r="K153" s="12">
        <v>103.05</v>
      </c>
      <c r="L153" s="12">
        <v>125.13</v>
      </c>
      <c r="M153" s="12">
        <v>161.97</v>
      </c>
      <c r="N153" s="12">
        <v>172.95</v>
      </c>
      <c r="O153" s="12">
        <v>168.19</v>
      </c>
      <c r="P153" s="12">
        <v>177.58</v>
      </c>
      <c r="Q153" s="12">
        <v>177.64</v>
      </c>
      <c r="R153" s="12">
        <v>152.12</v>
      </c>
      <c r="S153" s="12">
        <v>147.54</v>
      </c>
      <c r="T153" s="12">
        <v>163.62</v>
      </c>
      <c r="U153" s="12">
        <v>164.21</v>
      </c>
      <c r="V153" s="12">
        <v>155.66999999999999</v>
      </c>
      <c r="W153" s="12">
        <v>187.76</v>
      </c>
      <c r="X153" s="12">
        <v>190.01</v>
      </c>
      <c r="Y153" s="12">
        <v>222.19</v>
      </c>
      <c r="Z153" s="12">
        <v>228.83</v>
      </c>
      <c r="AA153" s="12">
        <v>222.02</v>
      </c>
      <c r="AB153" s="12">
        <v>233.12</v>
      </c>
      <c r="AC153" s="12">
        <v>219.19</v>
      </c>
      <c r="AD153" s="12">
        <v>219.64</v>
      </c>
      <c r="AE153" s="12">
        <v>221.52</v>
      </c>
      <c r="AF153" s="12">
        <v>200.78</v>
      </c>
      <c r="AG153" s="12">
        <v>226.03</v>
      </c>
      <c r="AH153" s="12">
        <v>218.42</v>
      </c>
      <c r="AI153" s="12">
        <v>218.53</v>
      </c>
      <c r="AJ153" s="12">
        <v>222.42</v>
      </c>
    </row>
    <row r="154" spans="2:36">
      <c r="B154" s="26" t="s">
        <v>183</v>
      </c>
      <c r="C154" s="12">
        <v>30.5</v>
      </c>
      <c r="D154" s="12">
        <v>40.619999999999997</v>
      </c>
      <c r="E154" s="12">
        <v>49.76</v>
      </c>
      <c r="F154" s="12">
        <v>60.75</v>
      </c>
      <c r="G154" s="12">
        <v>70.39</v>
      </c>
      <c r="H154" s="12">
        <v>97.94</v>
      </c>
      <c r="I154" s="12">
        <v>97.73</v>
      </c>
      <c r="J154" s="12">
        <v>108.4</v>
      </c>
      <c r="K154" s="12">
        <v>103.05</v>
      </c>
      <c r="L154" s="12">
        <v>125.13</v>
      </c>
      <c r="M154" s="12">
        <v>161.97</v>
      </c>
      <c r="N154" s="12">
        <v>172.95</v>
      </c>
      <c r="O154" s="12">
        <v>168.19</v>
      </c>
      <c r="P154" s="12">
        <v>177.58</v>
      </c>
      <c r="Q154" s="12">
        <v>177.64</v>
      </c>
      <c r="R154" s="12">
        <v>152.12</v>
      </c>
      <c r="S154" s="12">
        <v>147.54</v>
      </c>
      <c r="T154" s="12">
        <v>163.62</v>
      </c>
      <c r="U154" s="12">
        <v>164.21</v>
      </c>
      <c r="V154" s="12">
        <v>155.66999999999999</v>
      </c>
      <c r="W154" s="12">
        <v>187.76</v>
      </c>
      <c r="X154" s="12">
        <v>190.01</v>
      </c>
      <c r="Y154" s="12">
        <v>222.19</v>
      </c>
      <c r="Z154" s="12">
        <v>228.83</v>
      </c>
      <c r="AA154" s="12">
        <v>222.02</v>
      </c>
      <c r="AB154" s="12">
        <v>233.12</v>
      </c>
      <c r="AC154" s="12">
        <v>219.19</v>
      </c>
      <c r="AD154" s="12">
        <v>219.64</v>
      </c>
      <c r="AE154" s="12">
        <v>221.52</v>
      </c>
      <c r="AF154" s="12">
        <v>200.78</v>
      </c>
      <c r="AG154" s="12">
        <v>226.03</v>
      </c>
      <c r="AH154" s="12">
        <v>218.42</v>
      </c>
      <c r="AI154" s="12">
        <v>218.53</v>
      </c>
      <c r="AJ154" s="12">
        <v>222.42</v>
      </c>
    </row>
    <row r="155" spans="2:36">
      <c r="B155" s="26" t="s">
        <v>184</v>
      </c>
      <c r="C155" s="12" t="s">
        <v>81</v>
      </c>
      <c r="D155" s="12" t="s">
        <v>81</v>
      </c>
      <c r="E155" s="12" t="s">
        <v>81</v>
      </c>
      <c r="F155" s="12" t="s">
        <v>81</v>
      </c>
      <c r="G155" s="12" t="s">
        <v>81</v>
      </c>
      <c r="H155" s="12" t="s">
        <v>81</v>
      </c>
      <c r="I155" s="12" t="s">
        <v>81</v>
      </c>
      <c r="J155" s="12" t="s">
        <v>81</v>
      </c>
      <c r="K155" s="12" t="s">
        <v>81</v>
      </c>
      <c r="L155" s="12" t="s">
        <v>81</v>
      </c>
      <c r="M155" s="12" t="s">
        <v>81</v>
      </c>
      <c r="N155" s="12" t="s">
        <v>81</v>
      </c>
      <c r="O155" s="12" t="s">
        <v>81</v>
      </c>
      <c r="P155" s="12" t="s">
        <v>81</v>
      </c>
      <c r="Q155" s="12" t="s">
        <v>81</v>
      </c>
      <c r="R155" s="12" t="s">
        <v>81</v>
      </c>
      <c r="S155" s="12" t="s">
        <v>81</v>
      </c>
      <c r="T155" s="12" t="s">
        <v>81</v>
      </c>
      <c r="U155" s="12" t="s">
        <v>81</v>
      </c>
      <c r="V155" s="12" t="s">
        <v>81</v>
      </c>
      <c r="W155" s="12" t="s">
        <v>81</v>
      </c>
      <c r="X155" s="12" t="s">
        <v>81</v>
      </c>
      <c r="Y155" s="12" t="s">
        <v>81</v>
      </c>
      <c r="Z155" s="12" t="s">
        <v>81</v>
      </c>
      <c r="AA155" s="12" t="s">
        <v>81</v>
      </c>
      <c r="AB155" s="12" t="s">
        <v>81</v>
      </c>
      <c r="AC155" s="12" t="s">
        <v>81</v>
      </c>
      <c r="AD155" s="12" t="s">
        <v>81</v>
      </c>
      <c r="AE155" s="12" t="s">
        <v>81</v>
      </c>
      <c r="AF155" s="12" t="s">
        <v>81</v>
      </c>
      <c r="AG155" s="12" t="s">
        <v>81</v>
      </c>
      <c r="AH155" s="12" t="s">
        <v>81</v>
      </c>
      <c r="AI155" s="12" t="s">
        <v>81</v>
      </c>
      <c r="AJ155" s="12" t="s">
        <v>81</v>
      </c>
    </row>
    <row r="156" spans="2:36">
      <c r="B156" s="25" t="s">
        <v>185</v>
      </c>
      <c r="C156" s="12">
        <v>49.01</v>
      </c>
      <c r="D156" s="12">
        <v>74.72</v>
      </c>
      <c r="E156" s="12">
        <v>120.16</v>
      </c>
      <c r="F156" s="12">
        <v>167.77</v>
      </c>
      <c r="G156" s="12">
        <v>278</v>
      </c>
      <c r="H156" s="12">
        <v>308.86</v>
      </c>
      <c r="I156" s="12">
        <v>477.37</v>
      </c>
      <c r="J156" s="12">
        <v>498.21</v>
      </c>
      <c r="K156" s="12">
        <v>720.56</v>
      </c>
      <c r="L156" s="12">
        <v>818.92</v>
      </c>
      <c r="M156" s="12">
        <v>879.76</v>
      </c>
      <c r="N156" s="12">
        <v>866.99</v>
      </c>
      <c r="O156" s="12">
        <v>1058.2</v>
      </c>
      <c r="P156" s="12">
        <v>915.47</v>
      </c>
      <c r="Q156" s="12">
        <v>912.01</v>
      </c>
      <c r="R156" s="12">
        <v>902.67</v>
      </c>
      <c r="S156" s="12">
        <v>933.41</v>
      </c>
      <c r="T156" s="12">
        <v>944.2</v>
      </c>
      <c r="U156" s="12">
        <v>902.21</v>
      </c>
      <c r="V156" s="12">
        <v>928.23</v>
      </c>
      <c r="W156" s="12">
        <v>960.22</v>
      </c>
      <c r="X156" s="12">
        <v>899.8</v>
      </c>
      <c r="Y156" s="12">
        <v>930.4</v>
      </c>
      <c r="Z156" s="12">
        <v>937.81</v>
      </c>
      <c r="AA156" s="12">
        <v>931.3</v>
      </c>
      <c r="AB156" s="12">
        <v>914.99</v>
      </c>
      <c r="AC156" s="12">
        <v>966.44</v>
      </c>
      <c r="AD156" s="12">
        <v>909.32</v>
      </c>
      <c r="AE156" s="12">
        <v>908.41</v>
      </c>
      <c r="AF156" s="12">
        <v>919.5</v>
      </c>
      <c r="AG156" s="12">
        <v>933.84</v>
      </c>
      <c r="AH156" s="12">
        <v>969.33</v>
      </c>
      <c r="AI156" s="12">
        <v>968.35</v>
      </c>
      <c r="AJ156" s="12">
        <v>976.67</v>
      </c>
    </row>
    <row r="157" spans="2:36">
      <c r="B157" s="26" t="s">
        <v>186</v>
      </c>
      <c r="C157" s="12">
        <v>49.01</v>
      </c>
      <c r="D157" s="12">
        <v>74.72</v>
      </c>
      <c r="E157" s="12">
        <v>120.16</v>
      </c>
      <c r="F157" s="12">
        <v>167.77</v>
      </c>
      <c r="G157" s="12">
        <v>278</v>
      </c>
      <c r="H157" s="12">
        <v>308.86</v>
      </c>
      <c r="I157" s="12">
        <v>477.37</v>
      </c>
      <c r="J157" s="12">
        <v>498.21</v>
      </c>
      <c r="K157" s="12">
        <v>720.56</v>
      </c>
      <c r="L157" s="12">
        <v>818.92</v>
      </c>
      <c r="M157" s="12">
        <v>879.76</v>
      </c>
      <c r="N157" s="12">
        <v>866.99</v>
      </c>
      <c r="O157" s="12">
        <v>1058.2</v>
      </c>
      <c r="P157" s="12">
        <v>915.47</v>
      </c>
      <c r="Q157" s="12">
        <v>912.01</v>
      </c>
      <c r="R157" s="12">
        <v>902.67</v>
      </c>
      <c r="S157" s="12">
        <v>933.41</v>
      </c>
      <c r="T157" s="12">
        <v>944.2</v>
      </c>
      <c r="U157" s="12">
        <v>902.21</v>
      </c>
      <c r="V157" s="12">
        <v>928.23</v>
      </c>
      <c r="W157" s="12">
        <v>960.22</v>
      </c>
      <c r="X157" s="12">
        <v>899.8</v>
      </c>
      <c r="Y157" s="12">
        <v>930.4</v>
      </c>
      <c r="Z157" s="12">
        <v>937.81</v>
      </c>
      <c r="AA157" s="12">
        <v>931.3</v>
      </c>
      <c r="AB157" s="12">
        <v>914.99</v>
      </c>
      <c r="AC157" s="12">
        <v>966.44</v>
      </c>
      <c r="AD157" s="12">
        <v>909.32</v>
      </c>
      <c r="AE157" s="12">
        <v>908.41</v>
      </c>
      <c r="AF157" s="12">
        <v>919.5</v>
      </c>
      <c r="AG157" s="12">
        <v>933.84</v>
      </c>
      <c r="AH157" s="12">
        <v>969.33</v>
      </c>
      <c r="AI157" s="12">
        <v>968.35</v>
      </c>
      <c r="AJ157" s="12">
        <v>976.67</v>
      </c>
    </row>
    <row r="158" spans="2:36">
      <c r="B158" s="26" t="s">
        <v>187</v>
      </c>
      <c r="C158" s="12" t="s">
        <v>237</v>
      </c>
      <c r="D158" s="12" t="s">
        <v>237</v>
      </c>
      <c r="E158" s="12" t="s">
        <v>237</v>
      </c>
      <c r="F158" s="12" t="s">
        <v>237</v>
      </c>
      <c r="G158" s="12" t="s">
        <v>237</v>
      </c>
      <c r="H158" s="12" t="s">
        <v>237</v>
      </c>
      <c r="I158" s="12" t="s">
        <v>237</v>
      </c>
      <c r="J158" s="12" t="s">
        <v>237</v>
      </c>
      <c r="K158" s="12" t="s">
        <v>237</v>
      </c>
      <c r="L158" s="12" t="s">
        <v>237</v>
      </c>
      <c r="M158" s="12" t="s">
        <v>237</v>
      </c>
      <c r="N158" s="12" t="s">
        <v>237</v>
      </c>
      <c r="O158" s="12" t="s">
        <v>237</v>
      </c>
      <c r="P158" s="12" t="s">
        <v>237</v>
      </c>
      <c r="Q158" s="12" t="s">
        <v>237</v>
      </c>
      <c r="R158" s="12" t="s">
        <v>237</v>
      </c>
      <c r="S158" s="12" t="s">
        <v>237</v>
      </c>
      <c r="T158" s="12" t="s">
        <v>237</v>
      </c>
      <c r="U158" s="12" t="s">
        <v>237</v>
      </c>
      <c r="V158" s="12" t="s">
        <v>237</v>
      </c>
      <c r="W158" s="12" t="s">
        <v>237</v>
      </c>
      <c r="X158" s="12" t="s">
        <v>237</v>
      </c>
      <c r="Y158" s="12" t="s">
        <v>237</v>
      </c>
      <c r="Z158" s="12" t="s">
        <v>237</v>
      </c>
      <c r="AA158" s="12" t="s">
        <v>237</v>
      </c>
      <c r="AB158" s="12" t="s">
        <v>237</v>
      </c>
      <c r="AC158" s="12" t="s">
        <v>237</v>
      </c>
      <c r="AD158" s="12" t="s">
        <v>237</v>
      </c>
      <c r="AE158" s="12" t="s">
        <v>237</v>
      </c>
      <c r="AF158" s="12" t="s">
        <v>237</v>
      </c>
      <c r="AG158" s="12" t="s">
        <v>237</v>
      </c>
      <c r="AH158" s="12" t="s">
        <v>237</v>
      </c>
      <c r="AI158" s="12" t="s">
        <v>237</v>
      </c>
      <c r="AJ158" s="12" t="s">
        <v>237</v>
      </c>
    </row>
    <row r="159" spans="2:36">
      <c r="B159" s="26" t="s">
        <v>188</v>
      </c>
      <c r="C159" s="12" t="s">
        <v>81</v>
      </c>
      <c r="D159" s="12" t="s">
        <v>81</v>
      </c>
      <c r="E159" s="12" t="s">
        <v>81</v>
      </c>
      <c r="F159" s="12" t="s">
        <v>81</v>
      </c>
      <c r="G159" s="12" t="s">
        <v>81</v>
      </c>
      <c r="H159" s="12" t="s">
        <v>81</v>
      </c>
      <c r="I159" s="12" t="s">
        <v>81</v>
      </c>
      <c r="J159" s="12" t="s">
        <v>81</v>
      </c>
      <c r="K159" s="12" t="s">
        <v>81</v>
      </c>
      <c r="L159" s="12" t="s">
        <v>81</v>
      </c>
      <c r="M159" s="12" t="s">
        <v>81</v>
      </c>
      <c r="N159" s="12" t="s">
        <v>81</v>
      </c>
      <c r="O159" s="12" t="s">
        <v>81</v>
      </c>
      <c r="P159" s="12" t="s">
        <v>81</v>
      </c>
      <c r="Q159" s="12" t="s">
        <v>81</v>
      </c>
      <c r="R159" s="12" t="s">
        <v>81</v>
      </c>
      <c r="S159" s="12" t="s">
        <v>81</v>
      </c>
      <c r="T159" s="12" t="s">
        <v>81</v>
      </c>
      <c r="U159" s="12" t="s">
        <v>81</v>
      </c>
      <c r="V159" s="12" t="s">
        <v>81</v>
      </c>
      <c r="W159" s="12" t="s">
        <v>81</v>
      </c>
      <c r="X159" s="12" t="s">
        <v>81</v>
      </c>
      <c r="Y159" s="12" t="s">
        <v>81</v>
      </c>
      <c r="Z159" s="12" t="s">
        <v>81</v>
      </c>
      <c r="AA159" s="12" t="s">
        <v>81</v>
      </c>
      <c r="AB159" s="12" t="s">
        <v>81</v>
      </c>
      <c r="AC159" s="12" t="s">
        <v>81</v>
      </c>
      <c r="AD159" s="12" t="s">
        <v>81</v>
      </c>
      <c r="AE159" s="12" t="s">
        <v>81</v>
      </c>
      <c r="AF159" s="12" t="s">
        <v>81</v>
      </c>
      <c r="AG159" s="12" t="s">
        <v>81</v>
      </c>
      <c r="AH159" s="12" t="s">
        <v>81</v>
      </c>
      <c r="AI159" s="12" t="s">
        <v>81</v>
      </c>
      <c r="AJ159" s="12" t="s">
        <v>81</v>
      </c>
    </row>
    <row r="160" spans="2:36">
      <c r="B160" s="25" t="s">
        <v>189</v>
      </c>
      <c r="C160" s="12" t="s">
        <v>190</v>
      </c>
      <c r="D160" s="12" t="s">
        <v>190</v>
      </c>
      <c r="E160" s="12" t="s">
        <v>190</v>
      </c>
      <c r="F160" s="12" t="s">
        <v>190</v>
      </c>
      <c r="G160" s="12" t="s">
        <v>190</v>
      </c>
      <c r="H160" s="12" t="s">
        <v>190</v>
      </c>
      <c r="I160" s="12" t="s">
        <v>190</v>
      </c>
      <c r="J160" s="12" t="s">
        <v>190</v>
      </c>
      <c r="K160" s="12" t="s">
        <v>190</v>
      </c>
      <c r="L160" s="12" t="s">
        <v>190</v>
      </c>
      <c r="M160" s="12" t="s">
        <v>190</v>
      </c>
      <c r="N160" s="12" t="s">
        <v>190</v>
      </c>
      <c r="O160" s="12" t="s">
        <v>190</v>
      </c>
      <c r="P160" s="12" t="s">
        <v>190</v>
      </c>
      <c r="Q160" s="12" t="s">
        <v>190</v>
      </c>
      <c r="R160" s="12" t="s">
        <v>190</v>
      </c>
      <c r="S160" s="12" t="s">
        <v>190</v>
      </c>
      <c r="T160" s="12" t="s">
        <v>190</v>
      </c>
      <c r="U160" s="12" t="s">
        <v>190</v>
      </c>
      <c r="V160" s="12" t="s">
        <v>190</v>
      </c>
      <c r="W160" s="12" t="s">
        <v>190</v>
      </c>
      <c r="X160" s="12" t="s">
        <v>190</v>
      </c>
      <c r="Y160" s="12" t="s">
        <v>190</v>
      </c>
      <c r="Z160" s="12" t="s">
        <v>190</v>
      </c>
      <c r="AA160" s="12" t="s">
        <v>190</v>
      </c>
      <c r="AB160" s="12" t="s">
        <v>190</v>
      </c>
      <c r="AC160" s="12" t="s">
        <v>190</v>
      </c>
      <c r="AD160" s="12" t="s">
        <v>190</v>
      </c>
      <c r="AE160" s="12" t="s">
        <v>190</v>
      </c>
      <c r="AF160" s="12" t="s">
        <v>190</v>
      </c>
      <c r="AG160" s="12" t="s">
        <v>190</v>
      </c>
      <c r="AH160" s="12" t="s">
        <v>190</v>
      </c>
      <c r="AI160" s="12" t="s">
        <v>190</v>
      </c>
      <c r="AJ160" s="12" t="s">
        <v>190</v>
      </c>
    </row>
    <row r="161" spans="2:36">
      <c r="B161" s="21"/>
    </row>
    <row r="162" spans="2:36">
      <c r="B162" s="20" t="s">
        <v>191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</row>
    <row r="163" spans="2:36">
      <c r="B163" s="22" t="s">
        <v>192</v>
      </c>
      <c r="C163" s="22">
        <v>1990</v>
      </c>
      <c r="D163" s="22">
        <v>1991</v>
      </c>
      <c r="E163" s="22">
        <v>1992</v>
      </c>
      <c r="F163" s="22">
        <v>1993</v>
      </c>
      <c r="G163" s="22">
        <v>1994</v>
      </c>
      <c r="H163" s="22">
        <v>1995</v>
      </c>
      <c r="I163" s="22">
        <v>1996</v>
      </c>
      <c r="J163" s="22">
        <v>1997</v>
      </c>
      <c r="K163" s="22">
        <v>1998</v>
      </c>
      <c r="L163" s="22">
        <v>1999</v>
      </c>
      <c r="M163" s="22">
        <v>2000</v>
      </c>
      <c r="N163" s="22">
        <v>2001</v>
      </c>
      <c r="O163" s="22">
        <v>2002</v>
      </c>
      <c r="P163" s="22">
        <v>2003</v>
      </c>
      <c r="Q163" s="22">
        <v>2004</v>
      </c>
      <c r="R163" s="22">
        <v>2005</v>
      </c>
      <c r="S163" s="22">
        <v>2006</v>
      </c>
      <c r="T163" s="22">
        <v>2007</v>
      </c>
      <c r="U163" s="22">
        <v>2008</v>
      </c>
      <c r="V163" s="22">
        <v>2009</v>
      </c>
      <c r="W163" s="22">
        <v>2010</v>
      </c>
      <c r="X163" s="22">
        <v>2011</v>
      </c>
      <c r="Y163" s="22">
        <v>2012</v>
      </c>
      <c r="Z163" s="22">
        <v>2013</v>
      </c>
      <c r="AA163" s="22">
        <v>2014</v>
      </c>
      <c r="AB163" s="22">
        <v>2015</v>
      </c>
      <c r="AC163" s="22">
        <v>2016</v>
      </c>
      <c r="AD163" s="22">
        <v>2017</v>
      </c>
      <c r="AE163" s="22">
        <v>2018</v>
      </c>
      <c r="AF163" s="22">
        <v>2019</v>
      </c>
      <c r="AG163" s="22">
        <v>2020</v>
      </c>
      <c r="AH163" s="22">
        <v>2021</v>
      </c>
      <c r="AI163" s="22">
        <v>2022</v>
      </c>
      <c r="AJ163" s="22">
        <v>2023</v>
      </c>
    </row>
    <row r="164" spans="2:36">
      <c r="B164" s="25" t="s">
        <v>193</v>
      </c>
      <c r="C164" s="12">
        <v>99.85</v>
      </c>
      <c r="D164" s="12">
        <v>118.43</v>
      </c>
      <c r="E164" s="12">
        <v>146.9</v>
      </c>
      <c r="F164" s="12">
        <v>155.63999999999999</v>
      </c>
      <c r="G164" s="12">
        <v>179.36</v>
      </c>
      <c r="H164" s="12">
        <v>206.64</v>
      </c>
      <c r="I164" s="12">
        <v>245.87</v>
      </c>
      <c r="J164" s="12">
        <v>269.75</v>
      </c>
      <c r="K164" s="12">
        <v>266.25</v>
      </c>
      <c r="L164" s="12">
        <v>287.85000000000002</v>
      </c>
      <c r="M164" s="12">
        <v>273.06</v>
      </c>
      <c r="N164" s="12">
        <v>267.08999999999997</v>
      </c>
      <c r="O164" s="12">
        <v>268.19</v>
      </c>
      <c r="P164" s="12">
        <v>286.67</v>
      </c>
      <c r="Q164" s="12">
        <v>299.33</v>
      </c>
      <c r="R164" s="12">
        <v>302.54000000000002</v>
      </c>
      <c r="S164" s="12">
        <v>288.12</v>
      </c>
      <c r="T164" s="12">
        <v>296.45999999999998</v>
      </c>
      <c r="U164" s="12">
        <v>278.68</v>
      </c>
      <c r="V164" s="12">
        <v>255.93</v>
      </c>
      <c r="W164" s="12">
        <v>274.05</v>
      </c>
      <c r="X164" s="12">
        <v>272.07</v>
      </c>
      <c r="Y164" s="12">
        <v>267.33999999999997</v>
      </c>
      <c r="Z164" s="12">
        <v>267.68</v>
      </c>
      <c r="AA164" s="12">
        <v>271.58</v>
      </c>
      <c r="AB164" s="12">
        <v>293.39999999999998</v>
      </c>
      <c r="AC164" s="12">
        <v>329.43</v>
      </c>
      <c r="AD164" s="12">
        <v>323.07</v>
      </c>
      <c r="AE164" s="12">
        <v>317.67</v>
      </c>
      <c r="AF164" s="12">
        <v>291.60000000000002</v>
      </c>
      <c r="AG164" s="12">
        <v>285.33999999999997</v>
      </c>
      <c r="AH164" s="12">
        <v>283.48</v>
      </c>
      <c r="AI164" s="12">
        <v>322.95</v>
      </c>
      <c r="AJ164" s="12">
        <v>349.92</v>
      </c>
    </row>
    <row r="165" spans="2:36">
      <c r="B165" s="26" t="s">
        <v>194</v>
      </c>
      <c r="C165" s="12">
        <v>99.85</v>
      </c>
      <c r="D165" s="12">
        <v>118.43</v>
      </c>
      <c r="E165" s="12">
        <v>146.9</v>
      </c>
      <c r="F165" s="12">
        <v>155.63999999999999</v>
      </c>
      <c r="G165" s="12">
        <v>179.36</v>
      </c>
      <c r="H165" s="12">
        <v>206.64</v>
      </c>
      <c r="I165" s="12">
        <v>245.87</v>
      </c>
      <c r="J165" s="12">
        <v>269.75</v>
      </c>
      <c r="K165" s="12">
        <v>266.25</v>
      </c>
      <c r="L165" s="12">
        <v>287.85000000000002</v>
      </c>
      <c r="M165" s="12">
        <v>273.06</v>
      </c>
      <c r="N165" s="12">
        <v>267.08999999999997</v>
      </c>
      <c r="O165" s="12">
        <v>268.19</v>
      </c>
      <c r="P165" s="12">
        <v>286.67</v>
      </c>
      <c r="Q165" s="12">
        <v>299.33</v>
      </c>
      <c r="R165" s="12">
        <v>302.54000000000002</v>
      </c>
      <c r="S165" s="12">
        <v>288.12</v>
      </c>
      <c r="T165" s="12">
        <v>296.45999999999998</v>
      </c>
      <c r="U165" s="12">
        <v>278.68</v>
      </c>
      <c r="V165" s="12">
        <v>255.93</v>
      </c>
      <c r="W165" s="12">
        <v>274.05</v>
      </c>
      <c r="X165" s="12">
        <v>272.07</v>
      </c>
      <c r="Y165" s="12">
        <v>267.33999999999997</v>
      </c>
      <c r="Z165" s="12">
        <v>267.68</v>
      </c>
      <c r="AA165" s="12">
        <v>271.58</v>
      </c>
      <c r="AB165" s="12">
        <v>293.39999999999998</v>
      </c>
      <c r="AC165" s="12">
        <v>329.43</v>
      </c>
      <c r="AD165" s="12">
        <v>323.07</v>
      </c>
      <c r="AE165" s="12">
        <v>317.67</v>
      </c>
      <c r="AF165" s="12">
        <v>291.60000000000002</v>
      </c>
      <c r="AG165" s="12">
        <v>285.33999999999997</v>
      </c>
      <c r="AH165" s="12">
        <v>283.48</v>
      </c>
      <c r="AI165" s="12">
        <v>322.95</v>
      </c>
      <c r="AJ165" s="12">
        <v>349.92</v>
      </c>
    </row>
    <row r="166" spans="2:36">
      <c r="B166" s="27" t="s">
        <v>195</v>
      </c>
      <c r="C166" s="12">
        <v>46.32</v>
      </c>
      <c r="D166" s="12">
        <v>31.6</v>
      </c>
      <c r="E166" s="12">
        <v>37.799999999999997</v>
      </c>
      <c r="F166" s="12">
        <v>41.74</v>
      </c>
      <c r="G166" s="12">
        <v>46.87</v>
      </c>
      <c r="H166" s="12">
        <v>53.02</v>
      </c>
      <c r="I166" s="12">
        <v>57.94</v>
      </c>
      <c r="J166" s="12">
        <v>63.11</v>
      </c>
      <c r="K166" s="12">
        <v>52.22</v>
      </c>
      <c r="L166" s="12">
        <v>54.04</v>
      </c>
      <c r="M166" s="12">
        <v>57.04</v>
      </c>
      <c r="N166" s="12">
        <v>59.77</v>
      </c>
      <c r="O166" s="12">
        <v>67.510000000000005</v>
      </c>
      <c r="P166" s="12">
        <v>70.95</v>
      </c>
      <c r="Q166" s="12">
        <v>75.62</v>
      </c>
      <c r="R166" s="12">
        <v>78.7</v>
      </c>
      <c r="S166" s="12">
        <v>63.81</v>
      </c>
      <c r="T166" s="12">
        <v>89.44</v>
      </c>
      <c r="U166" s="12">
        <v>81.599999999999994</v>
      </c>
      <c r="V166" s="12">
        <v>77.72</v>
      </c>
      <c r="W166" s="12">
        <v>86.53</v>
      </c>
      <c r="X166" s="12">
        <v>87.27</v>
      </c>
      <c r="Y166" s="12">
        <v>87.05</v>
      </c>
      <c r="Z166" s="12">
        <v>91.91</v>
      </c>
      <c r="AA166" s="12">
        <v>92.13</v>
      </c>
      <c r="AB166" s="12">
        <v>94.75</v>
      </c>
      <c r="AC166" s="12">
        <v>105.85</v>
      </c>
      <c r="AD166" s="12">
        <v>107.73</v>
      </c>
      <c r="AE166" s="12">
        <v>113.5</v>
      </c>
      <c r="AF166" s="12">
        <v>115.66</v>
      </c>
      <c r="AG166" s="12">
        <v>72.2</v>
      </c>
      <c r="AH166" s="12">
        <v>56.73</v>
      </c>
      <c r="AI166" s="12">
        <v>71.400000000000006</v>
      </c>
      <c r="AJ166" s="12">
        <v>115.69</v>
      </c>
    </row>
    <row r="167" spans="2:36">
      <c r="B167" s="27" t="s">
        <v>196</v>
      </c>
      <c r="C167" s="12">
        <v>53.53</v>
      </c>
      <c r="D167" s="12">
        <v>86.84</v>
      </c>
      <c r="E167" s="12">
        <v>109.1</v>
      </c>
      <c r="F167" s="12">
        <v>113.9</v>
      </c>
      <c r="G167" s="12">
        <v>132.47999999999999</v>
      </c>
      <c r="H167" s="12">
        <v>153.62</v>
      </c>
      <c r="I167" s="12">
        <v>187.93</v>
      </c>
      <c r="J167" s="12">
        <v>206.64</v>
      </c>
      <c r="K167" s="12">
        <v>214.03</v>
      </c>
      <c r="L167" s="12">
        <v>233.81</v>
      </c>
      <c r="M167" s="12">
        <v>216.02</v>
      </c>
      <c r="N167" s="12">
        <v>207.32</v>
      </c>
      <c r="O167" s="12">
        <v>200.67</v>
      </c>
      <c r="P167" s="12">
        <v>215.72</v>
      </c>
      <c r="Q167" s="12">
        <v>223.71</v>
      </c>
      <c r="R167" s="12">
        <v>223.85</v>
      </c>
      <c r="S167" s="12">
        <v>224.3</v>
      </c>
      <c r="T167" s="12">
        <v>207.02</v>
      </c>
      <c r="U167" s="12">
        <v>197.08</v>
      </c>
      <c r="V167" s="12">
        <v>178.21</v>
      </c>
      <c r="W167" s="12">
        <v>187.52</v>
      </c>
      <c r="X167" s="12">
        <v>184.8</v>
      </c>
      <c r="Y167" s="12">
        <v>180.29</v>
      </c>
      <c r="Z167" s="12">
        <v>175.77</v>
      </c>
      <c r="AA167" s="12">
        <v>179.44</v>
      </c>
      <c r="AB167" s="12">
        <v>198.65</v>
      </c>
      <c r="AC167" s="12">
        <v>223.58</v>
      </c>
      <c r="AD167" s="12">
        <v>215.34</v>
      </c>
      <c r="AE167" s="12">
        <v>204.17</v>
      </c>
      <c r="AF167" s="12">
        <v>175.93</v>
      </c>
      <c r="AG167" s="12">
        <v>213.14</v>
      </c>
      <c r="AH167" s="12">
        <v>226.75</v>
      </c>
      <c r="AI167" s="12">
        <v>251.55</v>
      </c>
      <c r="AJ167" s="12">
        <v>234.23</v>
      </c>
    </row>
    <row r="168" spans="2:36">
      <c r="B168" s="26" t="s">
        <v>197</v>
      </c>
      <c r="C168" s="12" t="s">
        <v>198</v>
      </c>
      <c r="D168" s="12" t="s">
        <v>198</v>
      </c>
      <c r="E168" s="12" t="s">
        <v>198</v>
      </c>
      <c r="F168" s="12" t="s">
        <v>198</v>
      </c>
      <c r="G168" s="12" t="s">
        <v>198</v>
      </c>
      <c r="H168" s="12" t="s">
        <v>198</v>
      </c>
      <c r="I168" s="12" t="s">
        <v>198</v>
      </c>
      <c r="J168" s="12" t="s">
        <v>198</v>
      </c>
      <c r="K168" s="12" t="s">
        <v>198</v>
      </c>
      <c r="L168" s="12" t="s">
        <v>198</v>
      </c>
      <c r="M168" s="12" t="s">
        <v>198</v>
      </c>
      <c r="N168" s="12" t="s">
        <v>198</v>
      </c>
      <c r="O168" s="12" t="s">
        <v>198</v>
      </c>
      <c r="P168" s="12" t="s">
        <v>198</v>
      </c>
      <c r="Q168" s="12" t="s">
        <v>198</v>
      </c>
      <c r="R168" s="12" t="s">
        <v>198</v>
      </c>
      <c r="S168" s="12" t="s">
        <v>198</v>
      </c>
      <c r="T168" s="12" t="s">
        <v>198</v>
      </c>
      <c r="U168" s="12" t="s">
        <v>198</v>
      </c>
      <c r="V168" s="12" t="s">
        <v>198</v>
      </c>
      <c r="W168" s="12" t="s">
        <v>198</v>
      </c>
      <c r="X168" s="12" t="s">
        <v>198</v>
      </c>
      <c r="Y168" s="12" t="s">
        <v>198</v>
      </c>
      <c r="Z168" s="12" t="s">
        <v>198</v>
      </c>
      <c r="AA168" s="12" t="s">
        <v>198</v>
      </c>
      <c r="AB168" s="12" t="s">
        <v>198</v>
      </c>
      <c r="AC168" s="12" t="s">
        <v>198</v>
      </c>
      <c r="AD168" s="12" t="s">
        <v>198</v>
      </c>
      <c r="AE168" s="12" t="s">
        <v>198</v>
      </c>
      <c r="AF168" s="12" t="s">
        <v>198</v>
      </c>
      <c r="AG168" s="12" t="s">
        <v>198</v>
      </c>
      <c r="AH168" s="12" t="s">
        <v>198</v>
      </c>
      <c r="AI168" s="12" t="s">
        <v>198</v>
      </c>
      <c r="AJ168" s="12" t="s">
        <v>198</v>
      </c>
    </row>
    <row r="169" spans="2:36">
      <c r="B169" s="32" t="s">
        <v>199</v>
      </c>
    </row>
    <row r="170" spans="2:36" s="33" customFormat="1" ht="14.5">
      <c r="B170" s="50" t="s">
        <v>200</v>
      </c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</row>
    <row r="171" spans="2:36" s="33" customFormat="1" ht="14.5">
      <c r="B171" s="50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</row>
    <row r="172" spans="2:36" s="33" customFormat="1" ht="14.5">
      <c r="B172" s="20" t="s">
        <v>201</v>
      </c>
    </row>
    <row r="173" spans="2:36" s="33" customFormat="1" ht="14.5">
      <c r="B173" s="33" t="s">
        <v>202</v>
      </c>
    </row>
    <row r="174" spans="2:36" s="33" customFormat="1" ht="14.5">
      <c r="B174" s="44" t="s">
        <v>203</v>
      </c>
      <c r="C174" s="44" t="s">
        <v>204</v>
      </c>
      <c r="D174" s="44" t="s">
        <v>205</v>
      </c>
      <c r="E174" s="39" t="s">
        <v>206</v>
      </c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3"/>
      <c r="AI174" s="36"/>
    </row>
    <row r="175" spans="2:36" s="33" customFormat="1" ht="14.5">
      <c r="B175" s="48" t="s">
        <v>207</v>
      </c>
      <c r="C175" s="47" t="s">
        <v>238</v>
      </c>
      <c r="D175" s="47" t="s">
        <v>209</v>
      </c>
      <c r="E175" s="49" t="s">
        <v>239</v>
      </c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1"/>
      <c r="AI175" s="36"/>
    </row>
    <row r="176" spans="2:36" s="33" customFormat="1" ht="14.5">
      <c r="B176" s="48" t="s">
        <v>207</v>
      </c>
      <c r="C176" s="47" t="s">
        <v>240</v>
      </c>
      <c r="D176" s="47" t="s">
        <v>209</v>
      </c>
      <c r="E176" s="49" t="s">
        <v>241</v>
      </c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1"/>
      <c r="AI176" s="36"/>
    </row>
    <row r="177" s="33" customFormat="1" ht="14.5"/>
    <row r="178" s="33" customFormat="1" ht="14.5"/>
    <row r="179" s="33" customFormat="1" ht="14.5"/>
    <row r="180" s="33" customFormat="1" ht="14.5"/>
    <row r="181" s="33" customFormat="1" ht="14.5"/>
    <row r="182" s="33" customFormat="1" ht="14.5"/>
    <row r="183" s="33" customFormat="1" ht="14.5"/>
    <row r="184" s="33" customFormat="1" ht="14.5"/>
    <row r="185" s="33" customFormat="1" ht="14.5"/>
    <row r="186" s="33" customFormat="1" ht="14.5"/>
    <row r="187" s="33" customFormat="1" ht="14.5"/>
    <row r="188" s="33" customFormat="1" ht="14.5"/>
    <row r="189" s="33" customFormat="1" ht="14.5"/>
    <row r="190" s="33" customFormat="1" ht="14.5"/>
    <row r="191" s="33" customFormat="1" ht="14.5"/>
    <row r="192" s="33" customFormat="1" ht="14.5"/>
    <row r="193" s="33" customFormat="1" ht="14.5"/>
    <row r="194" s="33" customFormat="1" ht="14.5"/>
    <row r="195" s="33" customFormat="1" ht="14.5"/>
    <row r="196" s="33" customFormat="1" ht="14.5"/>
    <row r="197" s="33" customFormat="1" ht="14.5"/>
    <row r="198" s="33" customFormat="1" ht="14.5"/>
    <row r="199" s="33" customFormat="1" ht="14.5"/>
    <row r="200" s="33" customFormat="1" ht="14.5"/>
    <row r="201" s="33" customFormat="1" ht="14.5"/>
  </sheetData>
  <phoneticPr fontId="4" type="noConversion"/>
  <conditionalFormatting sqref="B177:AJ212">
    <cfRule type="cellIs" dxfId="0" priority="1" operator="notEqual">
      <formula>B57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26408-EE7E-4D30-852D-933FB8969B28}">
  <dimension ref="A1:O31"/>
  <sheetViews>
    <sheetView workbookViewId="0">
      <selection activeCell="G20" sqref="G20:O21"/>
    </sheetView>
  </sheetViews>
  <sheetFormatPr defaultRowHeight="17"/>
  <cols>
    <col min="1" max="1" width="33.33203125" customWidth="1"/>
    <col min="2" max="3" width="13.33203125" customWidth="1"/>
    <col min="4" max="15" width="12" customWidth="1"/>
  </cols>
  <sheetData>
    <row r="1" spans="1:15" ht="22" customHeight="1" thickBot="1">
      <c r="A1" s="52" t="s">
        <v>242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3"/>
      <c r="M1" s="3"/>
      <c r="N1" s="3"/>
      <c r="O1" s="3"/>
    </row>
    <row r="2" spans="1:15" ht="16" customHeight="1">
      <c r="A2" s="3"/>
      <c r="B2" s="55" t="s">
        <v>243</v>
      </c>
      <c r="C2" s="54">
        <v>2015</v>
      </c>
      <c r="D2" s="54">
        <v>2016</v>
      </c>
      <c r="E2" s="54">
        <v>2017</v>
      </c>
      <c r="F2" s="54">
        <v>2018</v>
      </c>
      <c r="G2" s="54">
        <v>2019</v>
      </c>
      <c r="H2" s="54">
        <v>2020</v>
      </c>
      <c r="I2" s="54">
        <v>2021</v>
      </c>
      <c r="J2" s="54">
        <v>2022</v>
      </c>
      <c r="K2" s="53">
        <v>2023</v>
      </c>
      <c r="L2" s="3"/>
      <c r="M2" s="3"/>
      <c r="N2" s="3"/>
      <c r="O2" s="3"/>
    </row>
    <row r="3" spans="1:15" ht="16" customHeight="1">
      <c r="A3" s="3"/>
      <c r="B3" s="57" t="s">
        <v>20</v>
      </c>
      <c r="C3" s="80">
        <f>'CO2'!AB120</f>
        <v>-48200.29</v>
      </c>
      <c r="D3" s="81">
        <f>'CO2'!AC120</f>
        <v>-48627.37</v>
      </c>
      <c r="E3" s="81">
        <f>'CO2'!AD120</f>
        <v>-43257.03</v>
      </c>
      <c r="F3" s="81">
        <f>'CO2'!AE120</f>
        <v>-41964.15</v>
      </c>
      <c r="G3" s="81">
        <f>'CO2'!AF120</f>
        <v>-39090.870000000003</v>
      </c>
      <c r="H3" s="81">
        <f>'CO2'!AG120</f>
        <v>-39282.129999999997</v>
      </c>
      <c r="I3" s="81">
        <f>'CO2'!AH120</f>
        <v>-39291.980000000003</v>
      </c>
      <c r="J3" s="81">
        <f>'CO2'!AI120</f>
        <v>-38474.050000000003</v>
      </c>
      <c r="K3" s="81">
        <f>'CO2'!AJ120</f>
        <v>-39855.39</v>
      </c>
      <c r="L3" s="58"/>
      <c r="M3" s="58"/>
      <c r="N3" s="3"/>
      <c r="O3" s="3"/>
    </row>
    <row r="4" spans="1:15" ht="16" customHeight="1">
      <c r="A4" s="3"/>
      <c r="B4" s="59" t="s">
        <v>28</v>
      </c>
      <c r="C4" s="82">
        <f>'CH4'!AB120</f>
        <v>417.15</v>
      </c>
      <c r="D4" s="83">
        <f>'CH4'!AC120</f>
        <v>394.15</v>
      </c>
      <c r="E4" s="83">
        <f>'CH4'!AD120</f>
        <v>386.1</v>
      </c>
      <c r="F4" s="83">
        <f>'CH4'!AE120</f>
        <v>383.15</v>
      </c>
      <c r="G4" s="83">
        <f>'CH4'!AF120</f>
        <v>411.12</v>
      </c>
      <c r="H4" s="83">
        <f>'CH4'!AG120</f>
        <v>420.07</v>
      </c>
      <c r="I4" s="83">
        <f>'CH4'!AH120</f>
        <v>397.1</v>
      </c>
      <c r="J4" s="83">
        <f>'CH4'!AI120</f>
        <v>515.35</v>
      </c>
      <c r="K4" s="83">
        <f>'CH4'!AJ120</f>
        <v>410.57</v>
      </c>
      <c r="L4" s="3"/>
      <c r="M4" s="3"/>
      <c r="N4" s="3"/>
      <c r="O4" s="3"/>
    </row>
    <row r="5" spans="1:15" ht="16" customHeight="1">
      <c r="A5" s="3"/>
      <c r="B5" s="59" t="s">
        <v>29</v>
      </c>
      <c r="C5" s="84">
        <f>N2O!AB120</f>
        <v>0.8</v>
      </c>
      <c r="D5" s="85">
        <f>N2O!AC120</f>
        <v>0.17</v>
      </c>
      <c r="E5" s="85">
        <f>N2O!AD120</f>
        <v>5.64</v>
      </c>
      <c r="F5" s="85">
        <f>N2O!AE120</f>
        <v>2.5299999999999998</v>
      </c>
      <c r="G5" s="85">
        <f>N2O!AF120</f>
        <v>12.6</v>
      </c>
      <c r="H5" s="85">
        <f>N2O!AG120</f>
        <v>12.2</v>
      </c>
      <c r="I5" s="85">
        <f>N2O!AH120</f>
        <v>0.14000000000000001</v>
      </c>
      <c r="J5" s="85">
        <f>N2O!AI120</f>
        <v>73.22</v>
      </c>
      <c r="K5" s="85">
        <f>N2O!AJ120</f>
        <v>11.62</v>
      </c>
      <c r="L5" s="3"/>
      <c r="M5" s="3"/>
      <c r="N5" s="3"/>
      <c r="O5" s="3"/>
    </row>
    <row r="6" spans="1:15" ht="22" customHeight="1" thickBot="1">
      <c r="A6" s="52" t="s">
        <v>244</v>
      </c>
      <c r="B6" s="60"/>
      <c r="C6" s="61"/>
      <c r="D6" s="61"/>
      <c r="E6" s="61"/>
      <c r="F6" s="61"/>
      <c r="G6" s="61"/>
      <c r="H6" s="61"/>
      <c r="I6" s="61"/>
      <c r="J6" s="61"/>
      <c r="K6" s="61"/>
      <c r="L6" s="3"/>
      <c r="M6" s="3"/>
      <c r="N6" s="3"/>
      <c r="O6" s="3"/>
    </row>
    <row r="7" spans="1:15" ht="16" customHeight="1">
      <c r="A7" s="3"/>
      <c r="B7" s="57" t="s">
        <v>20</v>
      </c>
      <c r="C7" s="62">
        <f>C3/1000</f>
        <v>-48.200290000000003</v>
      </c>
      <c r="D7" s="62">
        <f t="shared" ref="D7:K7" si="0">D3/1000</f>
        <v>-48.627369999999999</v>
      </c>
      <c r="E7" s="62">
        <f t="shared" si="0"/>
        <v>-43.25703</v>
      </c>
      <c r="F7" s="62">
        <f t="shared" si="0"/>
        <v>-41.964150000000004</v>
      </c>
      <c r="G7" s="62">
        <f t="shared" si="0"/>
        <v>-39.090870000000002</v>
      </c>
      <c r="H7" s="62">
        <f t="shared" si="0"/>
        <v>-39.282129999999995</v>
      </c>
      <c r="I7" s="62">
        <f t="shared" si="0"/>
        <v>-39.291980000000002</v>
      </c>
      <c r="J7" s="62">
        <f t="shared" si="0"/>
        <v>-38.474050000000005</v>
      </c>
      <c r="K7" s="62">
        <f t="shared" si="0"/>
        <v>-39.85539</v>
      </c>
      <c r="L7" s="3"/>
      <c r="M7" s="3"/>
      <c r="N7" s="3"/>
      <c r="O7" s="3"/>
    </row>
    <row r="8" spans="1:15" ht="16" customHeight="1">
      <c r="A8" s="3"/>
      <c r="B8" s="59" t="s">
        <v>28</v>
      </c>
      <c r="C8" s="62">
        <f t="shared" ref="C8:K9" si="1">C4/1000</f>
        <v>0.41714999999999997</v>
      </c>
      <c r="D8" s="62">
        <f t="shared" si="1"/>
        <v>0.39415</v>
      </c>
      <c r="E8" s="62">
        <f t="shared" si="1"/>
        <v>0.3861</v>
      </c>
      <c r="F8" s="62">
        <f t="shared" si="1"/>
        <v>0.38314999999999999</v>
      </c>
      <c r="G8" s="62">
        <f t="shared" si="1"/>
        <v>0.41111999999999999</v>
      </c>
      <c r="H8" s="62">
        <f t="shared" si="1"/>
        <v>0.42007</v>
      </c>
      <c r="I8" s="62">
        <f t="shared" si="1"/>
        <v>0.39710000000000001</v>
      </c>
      <c r="J8" s="62">
        <f t="shared" si="1"/>
        <v>0.51534999999999997</v>
      </c>
      <c r="K8" s="62">
        <f t="shared" si="1"/>
        <v>0.41056999999999999</v>
      </c>
      <c r="L8" s="3"/>
      <c r="M8" s="3"/>
      <c r="N8" s="3"/>
      <c r="O8" s="3"/>
    </row>
    <row r="9" spans="1:15" ht="16" customHeight="1">
      <c r="A9" s="3"/>
      <c r="B9" s="59" t="s">
        <v>29</v>
      </c>
      <c r="C9" s="62">
        <f t="shared" si="1"/>
        <v>8.0000000000000004E-4</v>
      </c>
      <c r="D9" s="62">
        <f t="shared" si="1"/>
        <v>1.7000000000000001E-4</v>
      </c>
      <c r="E9" s="62">
        <f t="shared" si="1"/>
        <v>5.64E-3</v>
      </c>
      <c r="F9" s="62">
        <f t="shared" si="1"/>
        <v>2.5299999999999997E-3</v>
      </c>
      <c r="G9" s="62">
        <f t="shared" si="1"/>
        <v>1.26E-2</v>
      </c>
      <c r="H9" s="62">
        <f t="shared" si="1"/>
        <v>1.2199999999999999E-2</v>
      </c>
      <c r="I9" s="62">
        <f t="shared" si="1"/>
        <v>1.4000000000000001E-4</v>
      </c>
      <c r="J9" s="62">
        <f t="shared" si="1"/>
        <v>7.3219999999999993E-2</v>
      </c>
      <c r="K9" s="62">
        <f t="shared" si="1"/>
        <v>1.1619999999999998E-2</v>
      </c>
      <c r="L9" s="3"/>
      <c r="M9" s="3"/>
      <c r="N9" s="3"/>
      <c r="O9" s="3"/>
    </row>
    <row r="10" spans="1:15" ht="22" customHeight="1" thickBot="1">
      <c r="A10" s="63" t="s">
        <v>245</v>
      </c>
      <c r="B10" s="64"/>
      <c r="C10" s="65"/>
      <c r="D10" s="65"/>
      <c r="E10" s="65"/>
      <c r="F10" s="65"/>
      <c r="G10" s="65"/>
      <c r="H10" s="65"/>
      <c r="I10" s="65"/>
      <c r="J10" s="65"/>
      <c r="K10" s="65"/>
      <c r="L10" s="3"/>
      <c r="M10" s="3"/>
      <c r="N10" s="3"/>
      <c r="O10" s="3"/>
    </row>
    <row r="11" spans="1:15" ht="8" customHeight="1">
      <c r="A11" s="66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ht="16" customHeight="1">
      <c r="A12" s="67" t="s">
        <v>243</v>
      </c>
      <c r="B12" s="68">
        <v>2015</v>
      </c>
      <c r="C12" s="68">
        <v>2016</v>
      </c>
      <c r="D12" s="68">
        <v>2017</v>
      </c>
      <c r="E12" s="68">
        <v>2018</v>
      </c>
      <c r="F12" s="68">
        <v>2019</v>
      </c>
      <c r="G12" s="68">
        <v>2020</v>
      </c>
      <c r="H12" s="68">
        <v>2021</v>
      </c>
      <c r="I12" s="68">
        <v>2022</v>
      </c>
      <c r="J12" s="69">
        <v>2023</v>
      </c>
      <c r="K12" s="3"/>
      <c r="L12" s="3"/>
      <c r="M12" s="3"/>
      <c r="N12" s="3"/>
      <c r="O12" s="3"/>
    </row>
    <row r="13" spans="1:15" ht="16" customHeight="1">
      <c r="A13" s="70" t="s">
        <v>20</v>
      </c>
      <c r="B13" s="71">
        <f>C7</f>
        <v>-48.200290000000003</v>
      </c>
      <c r="C13" s="71">
        <f t="shared" ref="C13:H13" si="2">D7</f>
        <v>-48.627369999999999</v>
      </c>
      <c r="D13" s="71">
        <f t="shared" si="2"/>
        <v>-43.25703</v>
      </c>
      <c r="E13" s="71">
        <f t="shared" si="2"/>
        <v>-41.964150000000004</v>
      </c>
      <c r="F13" s="71">
        <f t="shared" si="2"/>
        <v>-39.090870000000002</v>
      </c>
      <c r="G13" s="71">
        <f t="shared" si="2"/>
        <v>-39.282129999999995</v>
      </c>
      <c r="H13" s="71">
        <f t="shared" si="2"/>
        <v>-39.291980000000002</v>
      </c>
      <c r="I13" s="71">
        <f>J7</f>
        <v>-38.474050000000005</v>
      </c>
      <c r="J13" s="71">
        <f t="shared" ref="J13" si="3">K7</f>
        <v>-39.85539</v>
      </c>
      <c r="K13" s="3"/>
      <c r="L13" s="3"/>
      <c r="M13" s="3"/>
      <c r="N13" s="3"/>
      <c r="O13" s="3"/>
    </row>
    <row r="14" spans="1:15" ht="16" customHeight="1">
      <c r="A14" s="72" t="s">
        <v>28</v>
      </c>
      <c r="B14" s="71">
        <f>C8</f>
        <v>0.41714999999999997</v>
      </c>
      <c r="C14" s="71">
        <f t="shared" ref="C14:H15" si="4">D8</f>
        <v>0.39415</v>
      </c>
      <c r="D14" s="71">
        <f t="shared" si="4"/>
        <v>0.3861</v>
      </c>
      <c r="E14" s="71">
        <f t="shared" si="4"/>
        <v>0.38314999999999999</v>
      </c>
      <c r="F14" s="71">
        <f t="shared" si="4"/>
        <v>0.41111999999999999</v>
      </c>
      <c r="G14" s="71">
        <f t="shared" si="4"/>
        <v>0.42007</v>
      </c>
      <c r="H14" s="71">
        <f t="shared" si="4"/>
        <v>0.39710000000000001</v>
      </c>
      <c r="I14" s="71">
        <f>J8</f>
        <v>0.51534999999999997</v>
      </c>
      <c r="J14" s="71">
        <f t="shared" ref="J14" si="5">K8</f>
        <v>0.41056999999999999</v>
      </c>
      <c r="K14" s="3"/>
      <c r="L14" s="3"/>
      <c r="M14" s="3"/>
      <c r="N14" s="3"/>
      <c r="O14" s="3"/>
    </row>
    <row r="15" spans="1:15" ht="16" customHeight="1">
      <c r="A15" s="73" t="s">
        <v>29</v>
      </c>
      <c r="B15" s="71">
        <f>C9</f>
        <v>8.0000000000000004E-4</v>
      </c>
      <c r="C15" s="71">
        <f t="shared" si="4"/>
        <v>1.7000000000000001E-4</v>
      </c>
      <c r="D15" s="71">
        <f t="shared" si="4"/>
        <v>5.64E-3</v>
      </c>
      <c r="E15" s="71">
        <f t="shared" si="4"/>
        <v>2.5299999999999997E-3</v>
      </c>
      <c r="F15" s="71">
        <f t="shared" si="4"/>
        <v>1.26E-2</v>
      </c>
      <c r="G15" s="71">
        <f t="shared" si="4"/>
        <v>1.2199999999999999E-2</v>
      </c>
      <c r="H15" s="71">
        <f t="shared" si="4"/>
        <v>1.4000000000000001E-4</v>
      </c>
      <c r="I15" s="71">
        <f>J9</f>
        <v>7.3219999999999993E-2</v>
      </c>
      <c r="J15" s="71">
        <f t="shared" ref="J15" si="6">K9</f>
        <v>1.1619999999999998E-2</v>
      </c>
      <c r="K15" s="3"/>
      <c r="L15" s="3"/>
      <c r="M15" s="3"/>
      <c r="N15" s="3"/>
      <c r="O15" s="3"/>
    </row>
    <row r="16" spans="1:15" ht="16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6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22" customHeight="1" thickBot="1">
      <c r="A18" s="74" t="s">
        <v>246</v>
      </c>
      <c r="B18" s="56"/>
      <c r="C18" s="56"/>
      <c r="D18" s="65"/>
      <c r="E18" s="65"/>
      <c r="F18" s="56"/>
      <c r="G18" s="56"/>
      <c r="H18" s="56"/>
      <c r="I18" s="56"/>
      <c r="J18" s="56"/>
      <c r="K18" s="56"/>
      <c r="L18" s="56"/>
      <c r="M18" s="56"/>
      <c r="N18" s="56"/>
      <c r="O18" s="56"/>
    </row>
    <row r="19" spans="1:15" ht="16" customHeight="1">
      <c r="A19" s="75" t="s">
        <v>247</v>
      </c>
      <c r="B19" s="76" t="s">
        <v>248</v>
      </c>
      <c r="C19" s="77" t="s">
        <v>249</v>
      </c>
      <c r="D19" s="3"/>
      <c r="E19" s="3"/>
      <c r="F19" s="86" t="s">
        <v>250</v>
      </c>
      <c r="G19" s="87">
        <v>2015</v>
      </c>
      <c r="H19" s="87">
        <v>2016</v>
      </c>
      <c r="I19" s="87">
        <v>2017</v>
      </c>
      <c r="J19" s="87">
        <v>2018</v>
      </c>
      <c r="K19" s="87">
        <v>2019</v>
      </c>
      <c r="L19" s="87">
        <v>2020</v>
      </c>
      <c r="M19" s="87">
        <v>2021</v>
      </c>
      <c r="N19" s="87">
        <v>2022</v>
      </c>
      <c r="O19" s="87">
        <v>2023</v>
      </c>
    </row>
    <row r="20" spans="1:15" ht="16" customHeight="1">
      <c r="A20" s="72" t="s">
        <v>20</v>
      </c>
      <c r="B20" s="78">
        <v>1</v>
      </c>
      <c r="C20" s="79">
        <v>1</v>
      </c>
      <c r="D20" s="3"/>
      <c r="E20" s="3"/>
      <c r="F20" s="88" t="s">
        <v>28</v>
      </c>
      <c r="G20" s="89">
        <f>B14/$C$29</f>
        <v>1.4898214285714284E-2</v>
      </c>
      <c r="H20" s="89">
        <f>C14/$C$29</f>
        <v>1.4076785714285714E-2</v>
      </c>
      <c r="I20" s="89">
        <f>D14/$C$29</f>
        <v>1.3789285714285714E-2</v>
      </c>
      <c r="J20" s="89">
        <f>E14/$C$29</f>
        <v>1.3683928571428571E-2</v>
      </c>
      <c r="K20" s="89">
        <f>F14/$C$29</f>
        <v>1.4682857142857142E-2</v>
      </c>
      <c r="L20" s="89">
        <f t="shared" ref="L20" si="7">G14/$C$29</f>
        <v>1.50025E-2</v>
      </c>
      <c r="M20" s="89">
        <f t="shared" ref="M20" si="8">H14/$C$29</f>
        <v>1.4182142857142857E-2</v>
      </c>
      <c r="N20" s="89">
        <f t="shared" ref="N20" si="9">I14/$C$29</f>
        <v>1.8405357142857143E-2</v>
      </c>
      <c r="O20" s="89">
        <f t="shared" ref="O20" si="10">J14/$C$29</f>
        <v>1.4663214285714285E-2</v>
      </c>
    </row>
    <row r="21" spans="1:15" ht="16" customHeight="1">
      <c r="A21" s="72" t="s">
        <v>21</v>
      </c>
      <c r="B21" s="78">
        <v>16.2</v>
      </c>
      <c r="C21" s="79">
        <v>5</v>
      </c>
      <c r="D21" s="3"/>
      <c r="E21" s="3"/>
      <c r="F21" s="88" t="s">
        <v>29</v>
      </c>
      <c r="G21" s="89">
        <f>B15/$C$30</f>
        <v>3.0188679245283022E-6</v>
      </c>
      <c r="H21" s="89">
        <f>C15/$C$30</f>
        <v>6.415094339622642E-7</v>
      </c>
      <c r="I21" s="89">
        <f>D15/$C$30</f>
        <v>2.1283018867924529E-5</v>
      </c>
      <c r="J21" s="89">
        <f>E15/$C$30</f>
        <v>9.5471698113207533E-6</v>
      </c>
      <c r="K21" s="89">
        <f>F15/$C$30</f>
        <v>4.7547169811320757E-5</v>
      </c>
      <c r="L21" s="89">
        <f t="shared" ref="L21" si="11">G15/$C$30</f>
        <v>4.6037735849056601E-5</v>
      </c>
      <c r="M21" s="89">
        <f t="shared" ref="M21" si="12">H15/$C$30</f>
        <v>5.2830188679245284E-7</v>
      </c>
      <c r="N21" s="89">
        <f t="shared" ref="N21" si="13">I15/$C$30</f>
        <v>2.7630188679245279E-4</v>
      </c>
      <c r="O21" s="89">
        <f t="shared" ref="O21" si="14">J15/$C$30</f>
        <v>4.3849056603773582E-5</v>
      </c>
    </row>
    <row r="22" spans="1:15" ht="16" customHeight="1">
      <c r="A22" s="72" t="s">
        <v>22</v>
      </c>
      <c r="B22" s="78">
        <v>5.6</v>
      </c>
      <c r="C22" s="79">
        <v>1.8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6" customHeight="1">
      <c r="A23" s="72" t="s">
        <v>23</v>
      </c>
      <c r="B23" s="78">
        <v>-2.4</v>
      </c>
      <c r="C23" s="79">
        <v>-8.1999999999999993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6" customHeight="1">
      <c r="A24" s="72" t="s">
        <v>24</v>
      </c>
      <c r="B24" s="78">
        <v>0</v>
      </c>
      <c r="C24" s="79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6" customHeight="1">
      <c r="A25" s="72" t="s">
        <v>251</v>
      </c>
      <c r="B25" s="78">
        <v>0</v>
      </c>
      <c r="C25" s="79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6" customHeight="1">
      <c r="A26" s="72" t="s">
        <v>25</v>
      </c>
      <c r="B26" s="78">
        <v>0</v>
      </c>
      <c r="C26" s="79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ht="16" customHeight="1">
      <c r="A27" s="72" t="s">
        <v>26</v>
      </c>
      <c r="B27" s="78">
        <v>1200</v>
      </c>
      <c r="C27" s="79">
        <v>345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ht="16" customHeight="1">
      <c r="A28" s="72" t="s">
        <v>27</v>
      </c>
      <c r="B28" s="78">
        <v>-160</v>
      </c>
      <c r="C28" s="79">
        <v>-46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ht="16" customHeight="1">
      <c r="A29" s="72" t="s">
        <v>28</v>
      </c>
      <c r="B29" s="78">
        <v>84</v>
      </c>
      <c r="C29" s="79">
        <v>28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ht="16" customHeight="1">
      <c r="A30" s="72" t="s">
        <v>29</v>
      </c>
      <c r="B30" s="78">
        <v>264</v>
      </c>
      <c r="C30" s="79">
        <v>265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ht="16" customHeight="1">
      <c r="A31" s="73" t="s">
        <v>30</v>
      </c>
      <c r="B31" s="78">
        <v>1</v>
      </c>
      <c r="C31" s="79">
        <v>1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</sheetData>
  <phoneticPr fontId="4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K13"/>
  <sheetViews>
    <sheetView workbookViewId="0">
      <selection activeCell="B2" sqref="B2"/>
    </sheetView>
  </sheetViews>
  <sheetFormatPr defaultColWidth="9" defaultRowHeight="17"/>
  <cols>
    <col min="1" max="1" width="16.58203125" customWidth="1"/>
    <col min="2" max="17" width="11.08203125" bestFit="1" customWidth="1"/>
    <col min="18" max="37" width="10" bestFit="1" customWidth="1"/>
  </cols>
  <sheetData>
    <row r="1" spans="1:37">
      <c r="A1" t="s">
        <v>1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>
      <c r="A2" t="s">
        <v>5</v>
      </c>
      <c r="B2" s="2">
        <f>Cal!B13*10^12</f>
        <v>-48200290000000</v>
      </c>
      <c r="C2" s="2">
        <f>Cal!C13*10^12</f>
        <v>-48627370000000</v>
      </c>
      <c r="D2" s="2">
        <f>Cal!D13*10^12</f>
        <v>-43257030000000</v>
      </c>
      <c r="E2" s="2">
        <f>Cal!E13*10^12</f>
        <v>-41964150000000</v>
      </c>
      <c r="F2" s="2">
        <f>Cal!F13*10^12</f>
        <v>-39090870000000</v>
      </c>
      <c r="G2" s="2">
        <f>Cal!G13*10^12</f>
        <v>-39282129999999.992</v>
      </c>
      <c r="H2" s="2">
        <f>Cal!H13*10^12</f>
        <v>-39291980000000</v>
      </c>
      <c r="I2" s="2">
        <f>Cal!I13*10^12</f>
        <v>-38474050000000.008</v>
      </c>
      <c r="J2" s="2">
        <f>Cal!J13*10^12</f>
        <v>-39855390000000</v>
      </c>
      <c r="K2" s="2">
        <f>J2</f>
        <v>-39855390000000</v>
      </c>
      <c r="L2" s="2">
        <f t="shared" ref="L2:AK2" si="0">K2</f>
        <v>-39855390000000</v>
      </c>
      <c r="M2" s="2">
        <f t="shared" si="0"/>
        <v>-39855390000000</v>
      </c>
      <c r="N2" s="2">
        <f t="shared" si="0"/>
        <v>-39855390000000</v>
      </c>
      <c r="O2" s="2">
        <f t="shared" si="0"/>
        <v>-39855390000000</v>
      </c>
      <c r="P2" s="2">
        <f t="shared" si="0"/>
        <v>-39855390000000</v>
      </c>
      <c r="Q2" s="2">
        <f t="shared" si="0"/>
        <v>-39855390000000</v>
      </c>
      <c r="R2" s="2">
        <f t="shared" si="0"/>
        <v>-39855390000000</v>
      </c>
      <c r="S2" s="2">
        <f t="shared" si="0"/>
        <v>-39855390000000</v>
      </c>
      <c r="T2" s="2">
        <f t="shared" si="0"/>
        <v>-39855390000000</v>
      </c>
      <c r="U2" s="2">
        <f t="shared" si="0"/>
        <v>-39855390000000</v>
      </c>
      <c r="V2" s="2">
        <f t="shared" si="0"/>
        <v>-39855390000000</v>
      </c>
      <c r="W2" s="2">
        <f t="shared" si="0"/>
        <v>-39855390000000</v>
      </c>
      <c r="X2" s="2">
        <f t="shared" si="0"/>
        <v>-39855390000000</v>
      </c>
      <c r="Y2" s="2">
        <f t="shared" si="0"/>
        <v>-39855390000000</v>
      </c>
      <c r="Z2" s="2">
        <f t="shared" si="0"/>
        <v>-39855390000000</v>
      </c>
      <c r="AA2" s="2">
        <f t="shared" si="0"/>
        <v>-39855390000000</v>
      </c>
      <c r="AB2" s="2">
        <f t="shared" si="0"/>
        <v>-39855390000000</v>
      </c>
      <c r="AC2" s="2">
        <f t="shared" si="0"/>
        <v>-39855390000000</v>
      </c>
      <c r="AD2" s="2">
        <f t="shared" si="0"/>
        <v>-39855390000000</v>
      </c>
      <c r="AE2" s="2">
        <f t="shared" si="0"/>
        <v>-39855390000000</v>
      </c>
      <c r="AF2" s="2">
        <f t="shared" si="0"/>
        <v>-39855390000000</v>
      </c>
      <c r="AG2" s="2">
        <f t="shared" si="0"/>
        <v>-39855390000000</v>
      </c>
      <c r="AH2" s="2">
        <f t="shared" si="0"/>
        <v>-39855390000000</v>
      </c>
      <c r="AI2" s="2">
        <f t="shared" si="0"/>
        <v>-39855390000000</v>
      </c>
      <c r="AJ2" s="2">
        <f t="shared" si="0"/>
        <v>-39855390000000</v>
      </c>
      <c r="AK2" s="2">
        <f t="shared" si="0"/>
        <v>-39855390000000</v>
      </c>
    </row>
    <row r="3" spans="1:37">
      <c r="A3" t="s">
        <v>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>
      <c r="A11" t="s">
        <v>14</v>
      </c>
      <c r="B11" s="2">
        <f>Cal!G20*10^12</f>
        <v>14898214285.714283</v>
      </c>
      <c r="C11" s="2">
        <f>Cal!H20*10^12</f>
        <v>14076785714.285713</v>
      </c>
      <c r="D11" s="2">
        <f>Cal!I20*10^12</f>
        <v>13789285714.285713</v>
      </c>
      <c r="E11" s="2">
        <f>Cal!J20*10^12</f>
        <v>13683928571.428572</v>
      </c>
      <c r="F11" s="2">
        <f>Cal!K20*10^12</f>
        <v>14682857142.857141</v>
      </c>
      <c r="G11" s="2">
        <f>Cal!L20*10^12</f>
        <v>15002500000</v>
      </c>
      <c r="H11" s="2">
        <f>Cal!M20*10^12</f>
        <v>14182142857.142857</v>
      </c>
      <c r="I11" s="2">
        <f>Cal!N20*10^12</f>
        <v>18405357142.857143</v>
      </c>
      <c r="J11" s="2">
        <f>Cal!O20*10^12</f>
        <v>14663214285.714285</v>
      </c>
      <c r="K11" s="2">
        <f t="shared" ref="K11:AK11" si="1">J11</f>
        <v>14663214285.714285</v>
      </c>
      <c r="L11" s="2">
        <f t="shared" si="1"/>
        <v>14663214285.714285</v>
      </c>
      <c r="M11" s="2">
        <f t="shared" si="1"/>
        <v>14663214285.714285</v>
      </c>
      <c r="N11" s="2">
        <f t="shared" si="1"/>
        <v>14663214285.714285</v>
      </c>
      <c r="O11" s="2">
        <f t="shared" si="1"/>
        <v>14663214285.714285</v>
      </c>
      <c r="P11" s="2">
        <f t="shared" si="1"/>
        <v>14663214285.714285</v>
      </c>
      <c r="Q11" s="2">
        <f t="shared" si="1"/>
        <v>14663214285.714285</v>
      </c>
      <c r="R11" s="2">
        <f t="shared" si="1"/>
        <v>14663214285.714285</v>
      </c>
      <c r="S11" s="2">
        <f t="shared" si="1"/>
        <v>14663214285.714285</v>
      </c>
      <c r="T11" s="2">
        <f t="shared" si="1"/>
        <v>14663214285.714285</v>
      </c>
      <c r="U11" s="2">
        <f t="shared" si="1"/>
        <v>14663214285.714285</v>
      </c>
      <c r="V11" s="2">
        <f t="shared" si="1"/>
        <v>14663214285.714285</v>
      </c>
      <c r="W11" s="2">
        <f t="shared" si="1"/>
        <v>14663214285.714285</v>
      </c>
      <c r="X11" s="2">
        <f t="shared" si="1"/>
        <v>14663214285.714285</v>
      </c>
      <c r="Y11" s="2">
        <f t="shared" si="1"/>
        <v>14663214285.714285</v>
      </c>
      <c r="Z11" s="2">
        <f t="shared" si="1"/>
        <v>14663214285.714285</v>
      </c>
      <c r="AA11" s="2">
        <f t="shared" si="1"/>
        <v>14663214285.714285</v>
      </c>
      <c r="AB11" s="2">
        <f t="shared" si="1"/>
        <v>14663214285.714285</v>
      </c>
      <c r="AC11" s="2">
        <f t="shared" si="1"/>
        <v>14663214285.714285</v>
      </c>
      <c r="AD11" s="2">
        <f t="shared" si="1"/>
        <v>14663214285.714285</v>
      </c>
      <c r="AE11" s="2">
        <f t="shared" si="1"/>
        <v>14663214285.714285</v>
      </c>
      <c r="AF11" s="2">
        <f t="shared" si="1"/>
        <v>14663214285.714285</v>
      </c>
      <c r="AG11" s="2">
        <f t="shared" si="1"/>
        <v>14663214285.714285</v>
      </c>
      <c r="AH11" s="2">
        <f t="shared" si="1"/>
        <v>14663214285.714285</v>
      </c>
      <c r="AI11" s="2">
        <f t="shared" si="1"/>
        <v>14663214285.714285</v>
      </c>
      <c r="AJ11" s="2">
        <f t="shared" si="1"/>
        <v>14663214285.714285</v>
      </c>
      <c r="AK11" s="2">
        <f t="shared" si="1"/>
        <v>14663214285.714285</v>
      </c>
    </row>
    <row r="12" spans="1:37">
      <c r="A12" t="s">
        <v>15</v>
      </c>
      <c r="B12" s="2">
        <f>Cal!G21*10^12</f>
        <v>3018867.9245283022</v>
      </c>
      <c r="C12" s="2">
        <f>Cal!H21*10^12</f>
        <v>641509.43396226421</v>
      </c>
      <c r="D12" s="2">
        <f>Cal!I21*10^12</f>
        <v>21283018.86792453</v>
      </c>
      <c r="E12" s="2">
        <f>Cal!J21*10^12</f>
        <v>9547169.8113207538</v>
      </c>
      <c r="F12" s="2">
        <f>Cal!K21*10^12</f>
        <v>47547169.811320759</v>
      </c>
      <c r="G12" s="2">
        <f>Cal!L21*10^12</f>
        <v>46037735.849056602</v>
      </c>
      <c r="H12" s="2">
        <f>Cal!M21*10^12</f>
        <v>528301.88679245289</v>
      </c>
      <c r="I12" s="2">
        <f>Cal!N21*10^12</f>
        <v>276301886.79245281</v>
      </c>
      <c r="J12" s="2">
        <f>Cal!O21*10^12</f>
        <v>43849056.603773579</v>
      </c>
      <c r="K12" s="2">
        <f t="shared" ref="K12:AK12" si="2">J12</f>
        <v>43849056.603773579</v>
      </c>
      <c r="L12" s="2">
        <f t="shared" si="2"/>
        <v>43849056.603773579</v>
      </c>
      <c r="M12" s="2">
        <f t="shared" si="2"/>
        <v>43849056.603773579</v>
      </c>
      <c r="N12" s="2">
        <f t="shared" si="2"/>
        <v>43849056.603773579</v>
      </c>
      <c r="O12" s="2">
        <f t="shared" si="2"/>
        <v>43849056.603773579</v>
      </c>
      <c r="P12" s="2">
        <f t="shared" si="2"/>
        <v>43849056.603773579</v>
      </c>
      <c r="Q12" s="2">
        <f t="shared" si="2"/>
        <v>43849056.603773579</v>
      </c>
      <c r="R12" s="2">
        <f t="shared" si="2"/>
        <v>43849056.603773579</v>
      </c>
      <c r="S12" s="2">
        <f t="shared" si="2"/>
        <v>43849056.603773579</v>
      </c>
      <c r="T12" s="2">
        <f t="shared" si="2"/>
        <v>43849056.603773579</v>
      </c>
      <c r="U12" s="2">
        <f t="shared" si="2"/>
        <v>43849056.603773579</v>
      </c>
      <c r="V12" s="2">
        <f t="shared" si="2"/>
        <v>43849056.603773579</v>
      </c>
      <c r="W12" s="2">
        <f t="shared" si="2"/>
        <v>43849056.603773579</v>
      </c>
      <c r="X12" s="2">
        <f t="shared" si="2"/>
        <v>43849056.603773579</v>
      </c>
      <c r="Y12" s="2">
        <f t="shared" si="2"/>
        <v>43849056.603773579</v>
      </c>
      <c r="Z12" s="2">
        <f t="shared" si="2"/>
        <v>43849056.603773579</v>
      </c>
      <c r="AA12" s="2">
        <f t="shared" si="2"/>
        <v>43849056.603773579</v>
      </c>
      <c r="AB12" s="2">
        <f t="shared" si="2"/>
        <v>43849056.603773579</v>
      </c>
      <c r="AC12" s="2">
        <f t="shared" si="2"/>
        <v>43849056.603773579</v>
      </c>
      <c r="AD12" s="2">
        <f t="shared" si="2"/>
        <v>43849056.603773579</v>
      </c>
      <c r="AE12" s="2">
        <f t="shared" si="2"/>
        <v>43849056.603773579</v>
      </c>
      <c r="AF12" s="2">
        <f t="shared" si="2"/>
        <v>43849056.603773579</v>
      </c>
      <c r="AG12" s="2">
        <f t="shared" si="2"/>
        <v>43849056.603773579</v>
      </c>
      <c r="AH12" s="2">
        <f t="shared" si="2"/>
        <v>43849056.603773579</v>
      </c>
      <c r="AI12" s="2">
        <f t="shared" si="2"/>
        <v>43849056.603773579</v>
      </c>
      <c r="AJ12" s="2">
        <f t="shared" si="2"/>
        <v>43849056.603773579</v>
      </c>
      <c r="AK12" s="2">
        <f t="shared" si="2"/>
        <v>43849056.603773579</v>
      </c>
    </row>
    <row r="13" spans="1:37">
      <c r="A13" t="s">
        <v>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88c5d3b-a76a-458b-b159-91c2a115468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350D42B0D95040ACC873ED5DCB146E" ma:contentTypeVersion="10" ma:contentTypeDescription="Create a new document." ma:contentTypeScope="" ma:versionID="07e9ea90ad522b71e445466745b665d9">
  <xsd:schema xmlns:xsd="http://www.w3.org/2001/XMLSchema" xmlns:xs="http://www.w3.org/2001/XMLSchema" xmlns:p="http://schemas.microsoft.com/office/2006/metadata/properties" xmlns:ns2="688c5d3b-a76a-458b-b159-91c2a1154680" targetNamespace="http://schemas.microsoft.com/office/2006/metadata/properties" ma:root="true" ma:fieldsID="2528a4ec313a4f0a1f4e92f7a0496c8f" ns2:_="">
    <xsd:import namespace="688c5d3b-a76a-458b-b159-91c2a11546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8c5d3b-a76a-458b-b159-91c2a11546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ca5b831-c3dc-41cf-bd85-218b82cecb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3623E1-00EA-47EB-8072-0BD8B6F932B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8BA2403-9E0D-4130-B9E9-9171FF267D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E8F737-D770-4C89-8E00-68BD239074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About</vt:lpstr>
      <vt:lpstr>CO2</vt:lpstr>
      <vt:lpstr>CH4</vt:lpstr>
      <vt:lpstr>N2O</vt:lpstr>
      <vt:lpstr>Cal</vt:lpstr>
      <vt:lpstr>BLAPE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공용계정2</cp:lastModifiedBy>
  <dcterms:created xsi:type="dcterms:W3CDTF">2015-08-06T00:31:42Z</dcterms:created>
  <dcterms:modified xsi:type="dcterms:W3CDTF">2026-05-11T12:41:50Z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0x01010027350D42B0D95040ACC873ED5DCB146E</vt:lpwstr>
  </property>
</Properties>
</file>