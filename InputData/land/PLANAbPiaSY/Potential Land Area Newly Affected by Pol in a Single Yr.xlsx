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119_메일회신\"/>
    </mc:Choice>
  </mc:AlternateContent>
  <xr:revisionPtr revIDLastSave="0" documentId="13_ncr:1_{56422AF8-C8D7-4E8D-A7B2-D7EC6EC67127}" xr6:coauthVersionLast="47" xr6:coauthVersionMax="47" xr10:uidLastSave="{00000000-0000-0000-0000-000000000000}"/>
  <bookViews>
    <workbookView xWindow="-105" yWindow="0" windowWidth="14610" windowHeight="15585" tabRatio="777" firstSheet="5" activeTab="7" xr2:uid="{00000000-000D-0000-FFFF-FFFF00000000}"/>
  </bookViews>
  <sheets>
    <sheet name="About" sheetId="1" r:id="rId1"/>
    <sheet name="Aff Ref" sheetId="5" r:id="rId2"/>
    <sheet name="Set Asides" sheetId="6" r:id="rId3"/>
    <sheet name="Avoided Def" sheetId="7" r:id="rId4"/>
    <sheet name="Impr Forest Mgmt" sheetId="9" r:id="rId5"/>
    <sheet name="Forest Restoration" sheetId="10" r:id="rId6"/>
    <sheet name="Peatland Restoration" sheetId="13" r:id="rId7"/>
    <sheet name="PLANAbPiaSY" sheetId="3" r:id="rId8"/>
  </sheets>
  <definedNames>
    <definedName name="acres_per_million_hectar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3" l="1"/>
  <c r="N6" i="3" s="1"/>
  <c r="B11" i="13"/>
  <c r="I6" i="3" s="1"/>
  <c r="B6" i="13"/>
  <c r="B8" i="13" s="1"/>
  <c r="C6" i="13"/>
  <c r="C8" i="13" l="1"/>
  <c r="C6" i="3"/>
  <c r="D6" i="3" s="1"/>
  <c r="E6" i="3" s="1"/>
  <c r="F6" i="3" s="1"/>
  <c r="G6" i="3" s="1"/>
  <c r="H6" i="3" s="1"/>
  <c r="J6" i="3" s="1"/>
  <c r="K6" i="3" s="1"/>
  <c r="L6" i="3" s="1"/>
  <c r="M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B2" i="3" l="1"/>
  <c r="A7" i="7" l="1"/>
  <c r="B5" i="3" s="1"/>
  <c r="A18" i="9"/>
  <c r="A19" i="9" s="1"/>
  <c r="B7" i="5" l="1"/>
  <c r="A16" i="5" s="1"/>
  <c r="A20" i="9" l="1"/>
  <c r="B7" i="10"/>
  <c r="A13" i="10" s="1"/>
  <c r="A14" i="10" s="1"/>
  <c r="A15" i="10" s="1"/>
  <c r="C7" i="3" l="1"/>
  <c r="O7" i="3"/>
  <c r="AA7" i="3"/>
  <c r="D7" i="3"/>
  <c r="P7" i="3"/>
  <c r="AB7" i="3"/>
  <c r="T7" i="3"/>
  <c r="J7" i="3"/>
  <c r="L7" i="3"/>
  <c r="N7" i="3"/>
  <c r="E7" i="3"/>
  <c r="Q7" i="3"/>
  <c r="AC7" i="3"/>
  <c r="S7" i="3"/>
  <c r="AF7" i="3"/>
  <c r="U7" i="3"/>
  <c r="V7" i="3"/>
  <c r="AI7" i="3"/>
  <c r="X7" i="3"/>
  <c r="F7" i="3"/>
  <c r="R7" i="3"/>
  <c r="AD7" i="3"/>
  <c r="AE7" i="3"/>
  <c r="I7" i="3"/>
  <c r="AG7" i="3"/>
  <c r="W7" i="3"/>
  <c r="M7" i="3"/>
  <c r="G7" i="3"/>
  <c r="AH7" i="3"/>
  <c r="AJ7" i="3"/>
  <c r="Z7" i="3"/>
  <c r="H7" i="3"/>
  <c r="K7" i="3"/>
  <c r="Y7" i="3"/>
  <c r="B7" i="3"/>
  <c r="D4" i="3" l="1"/>
  <c r="E8" i="9"/>
  <c r="A17" i="9" s="1"/>
  <c r="G4" i="3" l="1"/>
  <c r="I4" i="3"/>
  <c r="J4" i="3"/>
  <c r="U4" i="3"/>
  <c r="AG4" i="3"/>
  <c r="K4" i="3"/>
  <c r="AH4" i="3"/>
  <c r="AF4" i="3"/>
  <c r="T4" i="3"/>
  <c r="AI4" i="3"/>
  <c r="Y4" i="3"/>
  <c r="W4" i="3"/>
  <c r="AE4" i="3"/>
  <c r="AC4" i="3"/>
  <c r="AJ4" i="3"/>
  <c r="X4" i="3"/>
  <c r="S4" i="3"/>
  <c r="Q4" i="3"/>
  <c r="L4" i="3"/>
  <c r="N4" i="3"/>
  <c r="AB4" i="3"/>
  <c r="F4" i="3"/>
  <c r="Z4" i="3"/>
  <c r="R4" i="3"/>
  <c r="C4" i="3"/>
  <c r="M4" i="3"/>
  <c r="E4" i="3"/>
  <c r="AD4" i="3"/>
  <c r="AA4" i="3"/>
  <c r="B4" i="3"/>
  <c r="V4" i="3"/>
  <c r="H4" i="3"/>
  <c r="P4" i="3"/>
  <c r="O4" i="3"/>
  <c r="C5" i="3" l="1"/>
  <c r="D5" i="3"/>
  <c r="P5" i="3"/>
  <c r="AB5" i="3"/>
  <c r="X5" i="3"/>
  <c r="N5" i="3"/>
  <c r="AA5" i="3"/>
  <c r="E5" i="3"/>
  <c r="Q5" i="3"/>
  <c r="AC5" i="3"/>
  <c r="S5" i="3"/>
  <c r="AE5" i="3"/>
  <c r="H5" i="3"/>
  <c r="U5" i="3"/>
  <c r="V5" i="3"/>
  <c r="AH5" i="3"/>
  <c r="K5" i="3"/>
  <c r="AJ5" i="3"/>
  <c r="M5" i="3"/>
  <c r="Z5" i="3"/>
  <c r="O5" i="3"/>
  <c r="F5" i="3"/>
  <c r="R5" i="3"/>
  <c r="AD5" i="3"/>
  <c r="G5" i="3"/>
  <c r="T5" i="3"/>
  <c r="AF5" i="3"/>
  <c r="I5" i="3"/>
  <c r="AG5" i="3"/>
  <c r="J5" i="3"/>
  <c r="W5" i="3"/>
  <c r="AI5" i="3"/>
  <c r="L5" i="3"/>
  <c r="Y5" i="3"/>
  <c r="B7" i="6" l="1"/>
  <c r="B10" i="6" s="1"/>
  <c r="A17" i="5" l="1"/>
  <c r="A18" i="5" s="1"/>
  <c r="A19" i="5" s="1"/>
  <c r="C2" i="3"/>
  <c r="AH2" i="3" l="1"/>
  <c r="AD2" i="3"/>
  <c r="Z2" i="3"/>
  <c r="V2" i="3"/>
  <c r="R2" i="3"/>
  <c r="N2" i="3"/>
  <c r="J2" i="3"/>
  <c r="F2" i="3"/>
  <c r="AG2" i="3"/>
  <c r="AC2" i="3"/>
  <c r="Y2" i="3"/>
  <c r="U2" i="3"/>
  <c r="Q2" i="3"/>
  <c r="M2" i="3"/>
  <c r="I2" i="3"/>
  <c r="E2" i="3"/>
  <c r="AJ2" i="3"/>
  <c r="AF2" i="3"/>
  <c r="AB2" i="3"/>
  <c r="X2" i="3"/>
  <c r="T2" i="3"/>
  <c r="P2" i="3"/>
  <c r="L2" i="3"/>
  <c r="H2" i="3"/>
  <c r="D2" i="3"/>
  <c r="AI2" i="3"/>
  <c r="AE2" i="3"/>
  <c r="AA2" i="3"/>
  <c r="W2" i="3"/>
  <c r="S2" i="3"/>
  <c r="O2" i="3"/>
  <c r="K2" i="3"/>
  <c r="G2" i="3"/>
  <c r="D3" i="3" l="1"/>
  <c r="H3" i="3"/>
  <c r="L3" i="3"/>
  <c r="P3" i="3"/>
  <c r="T3" i="3"/>
  <c r="X3" i="3"/>
  <c r="AB3" i="3"/>
  <c r="AF3" i="3"/>
  <c r="AJ3" i="3"/>
  <c r="E3" i="3"/>
  <c r="I3" i="3"/>
  <c r="M3" i="3"/>
  <c r="Q3" i="3"/>
  <c r="U3" i="3"/>
  <c r="Y3" i="3"/>
  <c r="AC3" i="3"/>
  <c r="AG3" i="3"/>
  <c r="B3" i="3"/>
  <c r="F3" i="3"/>
  <c r="J3" i="3"/>
  <c r="N3" i="3"/>
  <c r="R3" i="3"/>
  <c r="V3" i="3"/>
  <c r="Z3" i="3"/>
  <c r="AD3" i="3"/>
  <c r="AH3" i="3"/>
  <c r="C3" i="3"/>
  <c r="G3" i="3"/>
  <c r="K3" i="3"/>
  <c r="O3" i="3"/>
  <c r="S3" i="3"/>
  <c r="W3" i="3"/>
  <c r="AA3" i="3"/>
  <c r="AE3" i="3"/>
  <c r="AI3" i="3"/>
</calcChain>
</file>

<file path=xl/sharedStrings.xml><?xml version="1.0" encoding="utf-8"?>
<sst xmlns="http://schemas.openxmlformats.org/spreadsheetml/2006/main" count="195" uniqueCount="129">
  <si>
    <t>PLANAbPiaSY Potential Land Area Newly Affected by Policy in a Single Year</t>
  </si>
  <si>
    <t>Sources: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</si>
  <si>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</si>
  <si>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</si>
  <si>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</si>
  <si>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</si>
  <si>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</si>
  <si>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</si>
  <si>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Potential Land Area (acres/year)</t>
  </si>
  <si>
    <t>Hectare Available for Afforestation</t>
    <phoneticPr fontId="5" type="noConversion"/>
  </si>
  <si>
    <t>Korea Forest Service</t>
  </si>
  <si>
    <t>Reforestation</t>
    <phoneticPr fontId="5" type="noConversion"/>
  </si>
  <si>
    <t>Annual Hectarage Cut</t>
    <phoneticPr fontId="5" type="noConversion"/>
  </si>
  <si>
    <t>Hectares Available for Afforestation and Reforestation</t>
    <phoneticPr fontId="5" type="noConversion"/>
  </si>
  <si>
    <t>조림현황</t>
    <phoneticPr fontId="5" type="noConversion"/>
  </si>
  <si>
    <t>ha</t>
    <phoneticPr fontId="5" type="noConversion"/>
  </si>
  <si>
    <t/>
  </si>
  <si>
    <t>조림면적</t>
  </si>
  <si>
    <t>산림복원현황</t>
    <phoneticPr fontId="5" type="noConversion"/>
  </si>
  <si>
    <t>복원면적</t>
    <phoneticPr fontId="5" type="noConversion"/>
  </si>
  <si>
    <t>조림면적 평균</t>
    <phoneticPr fontId="5" type="noConversion"/>
  </si>
  <si>
    <t>2015-2019</t>
    <phoneticPr fontId="5" type="noConversion"/>
  </si>
  <si>
    <t>복원면적 평균</t>
    <phoneticPr fontId="5" type="noConversion"/>
  </si>
  <si>
    <t>국토면적</t>
    <phoneticPr fontId="5" type="noConversion"/>
  </si>
  <si>
    <t>산림면적</t>
    <phoneticPr fontId="5" type="noConversion"/>
  </si>
  <si>
    <t>Hectares Available Annually for Conversion</t>
    <phoneticPr fontId="5" type="noConversion"/>
  </si>
  <si>
    <t>acre</t>
    <phoneticPr fontId="5" type="noConversion"/>
  </si>
  <si>
    <t>벌채면적</t>
    <phoneticPr fontId="5" type="noConversion"/>
  </si>
  <si>
    <t>Potential Annual Avoided Deforestation</t>
    <phoneticPr fontId="5" type="noConversion"/>
  </si>
  <si>
    <t>가정치</t>
    <phoneticPr fontId="5" type="noConversion"/>
  </si>
  <si>
    <t>불법 산림 훼손 방지 정책</t>
    <phoneticPr fontId="5" type="noConversion"/>
  </si>
  <si>
    <t>피해면적</t>
    <phoneticPr fontId="5" type="noConversion"/>
  </si>
  <si>
    <t>Note</t>
    <phoneticPr fontId="5" type="noConversion"/>
  </si>
  <si>
    <t>북부지방산림청 산림사범수사팀 사회적 이슈, 기획수사 등 추진을 18년부터 실시</t>
    <phoneticPr fontId="5" type="noConversion"/>
  </si>
  <si>
    <t>Page 2-5, 8-18</t>
    <phoneticPr fontId="5" type="noConversion"/>
  </si>
  <si>
    <t>Avoid Deforestation</t>
    <phoneticPr fontId="5" type="noConversion"/>
  </si>
  <si>
    <t>m^3/ha</t>
    <phoneticPr fontId="5" type="noConversion"/>
  </si>
  <si>
    <t>전국</t>
    <phoneticPr fontId="5" type="noConversion"/>
  </si>
  <si>
    <t>국유림</t>
    <phoneticPr fontId="5" type="noConversion"/>
  </si>
  <si>
    <t>공유림</t>
    <phoneticPr fontId="5" type="noConversion"/>
  </si>
  <si>
    <t>사유림</t>
    <phoneticPr fontId="5" type="noConversion"/>
  </si>
  <si>
    <t>합계</t>
    <phoneticPr fontId="5" type="noConversion"/>
  </si>
  <si>
    <t>Impr Forest Mgmt</t>
  </si>
  <si>
    <t>면적</t>
    <phoneticPr fontId="5" type="noConversion"/>
  </si>
  <si>
    <t>소유별 산림현황</t>
    <phoneticPr fontId="5" type="noConversion"/>
  </si>
  <si>
    <t>thousands ha</t>
    <phoneticPr fontId="5" type="noConversion"/>
  </si>
  <si>
    <t>Fraction Achievable Each Year</t>
  </si>
  <si>
    <t>전체 산림 면적 대비 사유림의 면적 비율</t>
    <phoneticPr fontId="5" type="noConversion"/>
  </si>
  <si>
    <t>https://www.forest.go.kr/kfsweb/cmm/fms/FileDown.do;jsessionid=k0fYVVAkp86itw1OwAmg93ZoLZiXXBkCMdutsOmQygvzZbFRJYE99JLIVnbWrKh1.frswas01_servlet_engine5?atchFileId=FILE_000000020048257&amp;fileSn=0&amp;dwldHistYn=N&amp;bbsId=BBSMSTR_1069</t>
    <phoneticPr fontId="5" type="noConversion"/>
  </si>
  <si>
    <t>Notes</t>
    <phoneticPr fontId="5" type="noConversion"/>
  </si>
  <si>
    <t>Aff Ref</t>
    <phoneticPr fontId="5" type="noConversion"/>
  </si>
  <si>
    <t>Unit</t>
    <phoneticPr fontId="5" type="noConversion"/>
  </si>
  <si>
    <t>Unit:</t>
    <phoneticPr fontId="5" type="noConversion"/>
  </si>
  <si>
    <t>Set Asides</t>
    <phoneticPr fontId="5" type="noConversion"/>
  </si>
  <si>
    <t>Avoided Def</t>
    <phoneticPr fontId="5" type="noConversion"/>
  </si>
  <si>
    <t>소유별 평균임목축적 현황</t>
    <phoneticPr fontId="5" type="noConversion"/>
  </si>
  <si>
    <t>2018년과 2019년 사이의 피해면적의 감소 (1463-&gt;895)는 초기값이라 생각하고 제외함</t>
    <phoneticPr fontId="5" type="noConversion"/>
  </si>
  <si>
    <t>피해면적은 점차 수렴할 것으로 생각하여 2019, 2020년 데이터의 평균으로 가정치 산출</t>
    <phoneticPr fontId="5" type="noConversion"/>
  </si>
  <si>
    <t>Impr Forest Mgmt</t>
    <phoneticPr fontId="5" type="noConversion"/>
  </si>
  <si>
    <t>Hectares Available for Forest Restoration</t>
    <phoneticPr fontId="5" type="noConversion"/>
  </si>
  <si>
    <t>매년 숲으로 복원될 면적</t>
    <phoneticPr fontId="5" type="noConversion"/>
  </si>
  <si>
    <t>ha/yr</t>
    <phoneticPr fontId="5" type="noConversion"/>
  </si>
  <si>
    <t>acres/yr</t>
    <phoneticPr fontId="5" type="noConversion"/>
  </si>
  <si>
    <t>소유별 숲가꾸기 실적</t>
    <phoneticPr fontId="5" type="noConversion"/>
  </si>
  <si>
    <t>합계</t>
  </si>
  <si>
    <t>국유림</t>
  </si>
  <si>
    <t>민유림</t>
  </si>
  <si>
    <t>사유림 중 숲가꾸기 면적 비율</t>
    <phoneticPr fontId="5" type="noConversion"/>
  </si>
  <si>
    <t>Land area of South Korea</t>
    <phoneticPr fontId="5" type="noConversion"/>
  </si>
  <si>
    <t>Page 22, Land use</t>
    <phoneticPr fontId="5" type="noConversion"/>
  </si>
  <si>
    <t>Comprehensive measures to prevent illegal deforestation (2021)</t>
    <phoneticPr fontId="5" type="noConversion"/>
  </si>
  <si>
    <t>Converted hectar to acre</t>
    <phoneticPr fontId="5" type="noConversion"/>
  </si>
  <si>
    <t>Reforestation rate per annum</t>
    <phoneticPr fontId="5" type="noConversion"/>
  </si>
  <si>
    <t>Forest management in Korea is largely divided into afforestation and forest management. Afforestation is the act of artificially creating a forest, such as sowing seeds or planting trees.</t>
    <phoneticPr fontId="5" type="noConversion"/>
  </si>
  <si>
    <t>On the other hand, reforestation refers to continuous management after reforestation or to increase the level of the forest.</t>
    <phoneticPr fontId="5" type="noConversion"/>
  </si>
  <si>
    <t>Therefore, the figure representing the area converted to forest only reflects the area of reforestation.</t>
    <phoneticPr fontId="5" type="noConversion"/>
  </si>
  <si>
    <t>Currently, many forests in Korea were created in 1970-1980, and the Korea Forest Service judged that the CO2 absorption rate of forests older than 30 years was low.</t>
    <phoneticPr fontId="5" type="noConversion"/>
  </si>
  <si>
    <t>In order to increase the carbon absorption rate of forests, the 'Project for Improving the Basic Structure' has been established.</t>
    <phoneticPr fontId="5" type="noConversion"/>
  </si>
  <si>
    <t>Therefore, we assumed that the reduction rate of deforestation in Korea was zero.</t>
    <phoneticPr fontId="5" type="noConversion"/>
  </si>
  <si>
    <t>Among the illegally converted mountainous land, illegal conversion of agricultural land, agricultural road, forest road, and residential land development are common.</t>
    <phoneticPr fontId="5" type="noConversion"/>
  </si>
  <si>
    <t>The amount of CO2 absorption can be reduced by the illegal conversions of mountainous areas.</t>
    <phoneticPr fontId="5" type="noConversion"/>
  </si>
  <si>
    <t>Details of that assumption are written in the Avoided Def Sheet.</t>
    <phoneticPr fontId="5" type="noConversion"/>
  </si>
  <si>
    <t>In addition, we calculated the assumption value because it was thought to be meaningful to prevent illegal mountain land conversion and damage through policies.</t>
    <phoneticPr fontId="5" type="noConversion"/>
  </si>
  <si>
    <t>This is data reflecting forest care during forest management in Korea.</t>
    <phoneticPr fontId="5" type="noConversion"/>
  </si>
  <si>
    <t>By comparing the data on the forestry accumulation between national and private forests, it was assumed that national forests had higher economic value, and that they were well managed.</t>
    <phoneticPr fontId="5" type="noConversion"/>
  </si>
  <si>
    <t>Logging permits</t>
    <phoneticPr fontId="5" type="noConversion"/>
  </si>
  <si>
    <t>Average logging area (per year)</t>
    <phoneticPr fontId="5" type="noConversion"/>
  </si>
  <si>
    <t>logging area / forest area</t>
    <phoneticPr fontId="5" type="noConversion"/>
  </si>
  <si>
    <t>logging reduction rate</t>
    <phoneticPr fontId="5" type="noConversion"/>
  </si>
  <si>
    <t>assumed</t>
    <phoneticPr fontId="5" type="noConversion"/>
  </si>
  <si>
    <t>https://kfss.forest.go.kr/stat/comm/commFileDown.do?fileSeq=6868</t>
  </si>
  <si>
    <t>2024 산림임업통계연보</t>
    <phoneticPr fontId="5" type="noConversion"/>
  </si>
  <si>
    <t>Page 204, 소유별 조림실적</t>
    <phoneticPr fontId="5" type="noConversion"/>
  </si>
  <si>
    <t>FoSS(Forest Satistical System)</t>
    <phoneticPr fontId="5" type="noConversion"/>
  </si>
  <si>
    <t>Page 248, 입목벌채 허가실적</t>
    <phoneticPr fontId="5" type="noConversion"/>
  </si>
  <si>
    <t>2020년</t>
    <phoneticPr fontId="5" type="noConversion"/>
  </si>
  <si>
    <t>E 나라지표</t>
    <phoneticPr fontId="5" type="noConversion"/>
  </si>
  <si>
    <t>Page 20, 2020 소유별 산림현황 및 산림비율</t>
    <phoneticPr fontId="5" type="noConversion"/>
  </si>
  <si>
    <t>Page 192, 산림복원 현황</t>
    <phoneticPr fontId="5" type="noConversion"/>
  </si>
  <si>
    <t>https://www.index.go.kr/unity/potal/main/EachDtlPageDetail.do?idx_cd=1304</t>
    <phoneticPr fontId="5" type="noConversion"/>
  </si>
  <si>
    <t>Impr Wetland Mgmt</t>
    <phoneticPr fontId="5" type="noConversion"/>
  </si>
  <si>
    <t>km2</t>
    <phoneticPr fontId="5" type="noConversion"/>
  </si>
  <si>
    <t>Measure</t>
  </si>
  <si>
    <t>Acres Covered</t>
  </si>
  <si>
    <t>Restoring Wetlands</t>
  </si>
  <si>
    <t>Restoring Riparian Forest Buffers</t>
  </si>
  <si>
    <t>Total</t>
  </si>
  <si>
    <t xml:space="preserve"> (acres/year)</t>
    <phoneticPr fontId="5" type="noConversion"/>
  </si>
  <si>
    <t>(31페이지) - 2. 습지의 실표적 보전관리/ 연안습지 복원면적</t>
    <phoneticPr fontId="5" type="noConversion"/>
  </si>
  <si>
    <t>제4차 습지보전기본계획(2023~2027)</t>
    <phoneticPr fontId="5" type="noConversion"/>
  </si>
  <si>
    <t>https://www.mcee.go.kr/home/web/policy_data/read.do?menuId=10261&amp;seq=7993</t>
  </si>
  <si>
    <t>note</t>
    <phoneticPr fontId="5" type="noConversion"/>
  </si>
  <si>
    <t>- 연안습지 복원 '25년까지 4.5㎢(갯벌기본계획 목표 연계), '27년 7㎢ 복원 목표 및 갯벌 식생 복원 사업 확대 시행('27년 60㎢)</t>
    <phoneticPr fontId="5" type="noConversion"/>
  </si>
  <si>
    <t>1. 제4차 습지보전기본계획(2023~2027)(31페이지) - 2. 습지의 실효적 보전관리/ 연안습지 복원면적 기준 계획</t>
    <phoneticPr fontId="5" type="noConversion"/>
  </si>
  <si>
    <t>acres</t>
    <phoneticPr fontId="5" type="noConversion"/>
  </si>
  <si>
    <r>
      <t xml:space="preserve">2050년까지 </t>
    </r>
    <r>
      <rPr>
        <b/>
        <sz val="11"/>
        <color theme="1"/>
        <rFont val="맑은 고딕"/>
        <family val="3"/>
        <charset val="129"/>
        <scheme val="minor"/>
      </rPr>
      <t>블루카본 부문에서 1.362 MtCO₂eq 흡수</t>
    </r>
    <r>
      <rPr>
        <sz val="11"/>
        <color theme="1"/>
        <rFont val="맑은 고딕"/>
        <family val="2"/>
        <scheme val="minor"/>
      </rPr>
      <t>를 목표로 하면서,</t>
    </r>
  </si>
  <si>
    <r>
      <t xml:space="preserve">이를 위해 </t>
    </r>
    <r>
      <rPr>
        <b/>
        <sz val="11"/>
        <color theme="1"/>
        <rFont val="맑은 고딕"/>
        <family val="3"/>
        <charset val="129"/>
        <scheme val="minor"/>
      </rPr>
      <t>폐염전·폐어장 등을 활용해 2050년까지 갯벌 30 km²를 복원</t>
    </r>
    <r>
      <rPr>
        <sz val="11"/>
        <color theme="1"/>
        <rFont val="맑은 고딕"/>
        <family val="2"/>
        <scheme val="minor"/>
      </rPr>
      <t>하고, 잘피 군락도 확대하겠다고 명시함</t>
    </r>
  </si>
  <si>
    <t>2027년</t>
    <phoneticPr fontId="5" type="noConversion"/>
  </si>
  <si>
    <t>2050년</t>
    <phoneticPr fontId="5" type="noConversion"/>
  </si>
  <si>
    <t>Total Divided Over Years</t>
    <phoneticPr fontId="5" type="noConversion"/>
  </si>
  <si>
    <t>2023~2027</t>
    <phoneticPr fontId="5" type="noConversion"/>
  </si>
  <si>
    <t>2028~2050</t>
    <phoneticPr fontId="5" type="noConversion"/>
  </si>
  <si>
    <t>2. IMO 제출용 [Toward Green Shipping by 2050] 에서 2050년 목표 언급</t>
    <phoneticPr fontId="5" type="noConversion"/>
  </si>
  <si>
    <t>This study utilized two official sources to set the mid-to-long-term wetland restoration potential for South Korea.</t>
  </si>
  <si>
    <t>Impr Peatland Restoration</t>
    <phoneticPr fontId="5" type="noConversion"/>
  </si>
  <si>
    <t>Korea has expanded this policy (peatland restoration) to encompass overall wetland restoration efforts.</t>
  </si>
  <si>
    <t>First, the 4th Basic Plan for Wetland Conservation (2023–2027) proposes a coastal wetland restoration target of 7 km2 by 2027 and specifies a plan to expand the tidal flat vegetation restoration project to a scale of 60 km2 by 2027.</t>
    <phoneticPr fontId="5" type="noConversion"/>
  </si>
  <si>
    <t>Second, the national goal presented in the "Toward Green Shipping by 2050" report submitted by the Korean government to the IMO states that the Blue Carbon sector aims to achieve a total CO2 absorption of 1,362 MtCO2eq by 2050 by restoring a total of 30km2 of tidal flats, utilizing abandoned salt and fish farms by 2050.</t>
    <phoneticPr fontId="5" type="noConversion"/>
  </si>
  <si>
    <t>Accordingly, this study set the mid-to-long-term restoration pathway as follows: Restoring the Basic Plan's target of 7km2 between 2023 and 2037, and subsequently carrying out additional restoration until the cumulative restored area reaches 30km2 by 2050.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</si>
</sst>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00"/>
    <numFmt numFmtId="177" formatCode="_-* #,##0.00_-;\-* #,##0.00_-;_-* &quot;-&quot;_-;_-@_-"/>
    <numFmt numFmtId="178" formatCode="0.0"/>
    <numFmt numFmtId="179" formatCode="_-* #,##0.0000_-;\-* #,##0.0000_-;_-* &quot;-&quot;??_-;_-@_-"/>
    <numFmt numFmtId="180" formatCode="_-* #,##0.0_-;\-* #,##0.0_-;_-* &quot;-&quot;_-;_-@_-"/>
  </numFmts>
  <fonts count="1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rgb="FF444444"/>
      <name val="Arial"/>
      <family val="2"/>
    </font>
    <font>
      <i/>
      <sz val="11"/>
      <color theme="1"/>
      <name val="맑은 고딕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177" fontId="6" fillId="0" borderId="1" xfId="2" applyNumberFormat="1" applyFont="1" applyBorder="1" applyAlignment="1">
      <alignment horizontal="right" vertical="center"/>
    </xf>
    <xf numFmtId="176" fontId="6" fillId="0" borderId="0" xfId="0" applyNumberFormat="1" applyFont="1"/>
    <xf numFmtId="1" fontId="6" fillId="0" borderId="0" xfId="0" applyNumberFormat="1" applyFont="1"/>
    <xf numFmtId="4" fontId="6" fillId="0" borderId="0" xfId="0" applyNumberFormat="1" applyFont="1"/>
    <xf numFmtId="11" fontId="4" fillId="0" borderId="0" xfId="0" applyNumberFormat="1" applyFont="1"/>
    <xf numFmtId="41" fontId="6" fillId="0" borderId="0" xfId="2" applyFont="1" applyAlignment="1"/>
    <xf numFmtId="2" fontId="6" fillId="0" borderId="0" xfId="0" applyNumberFormat="1" applyFont="1"/>
    <xf numFmtId="178" fontId="6" fillId="0" borderId="0" xfId="0" applyNumberFormat="1" applyFont="1"/>
    <xf numFmtId="0" fontId="8" fillId="0" borderId="0" xfId="0" applyFont="1"/>
    <xf numFmtId="41" fontId="6" fillId="0" borderId="1" xfId="2" applyFont="1" applyBorder="1" applyAlignment="1">
      <alignment horizontal="right" vertical="center"/>
    </xf>
    <xf numFmtId="41" fontId="0" fillId="0" borderId="0" xfId="0" applyNumberFormat="1"/>
    <xf numFmtId="9" fontId="0" fillId="0" borderId="0" xfId="0" applyNumberFormat="1"/>
    <xf numFmtId="10" fontId="6" fillId="2" borderId="0" xfId="0" applyNumberFormat="1" applyFont="1" applyFill="1"/>
    <xf numFmtId="43" fontId="0" fillId="0" borderId="0" xfId="0" applyNumberFormat="1"/>
    <xf numFmtId="180" fontId="6" fillId="0" borderId="1" xfId="2" applyNumberFormat="1" applyFont="1" applyBorder="1" applyAlignment="1">
      <alignment horizontal="right" vertical="center"/>
    </xf>
    <xf numFmtId="0" fontId="3" fillId="0" borderId="0" xfId="1"/>
    <xf numFmtId="10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6" fillId="0" borderId="0" xfId="0" quotePrefix="1" applyFont="1"/>
    <xf numFmtId="0" fontId="6" fillId="6" borderId="0" xfId="0" applyFont="1" applyFill="1"/>
    <xf numFmtId="11" fontId="0" fillId="6" borderId="0" xfId="0" applyNumberFormat="1" applyFill="1"/>
    <xf numFmtId="0" fontId="0" fillId="6" borderId="0" xfId="0" applyFill="1"/>
    <xf numFmtId="179" fontId="0" fillId="6" borderId="0" xfId="0" applyNumberFormat="1" applyFill="1"/>
    <xf numFmtId="0" fontId="9" fillId="3" borderId="2" xfId="3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1" fontId="0" fillId="0" borderId="2" xfId="2" applyFont="1" applyBorder="1" applyAlignment="1"/>
    <xf numFmtId="43" fontId="11" fillId="5" borderId="0" xfId="0" applyNumberFormat="1" applyFont="1" applyFill="1"/>
    <xf numFmtId="41" fontId="0" fillId="0" borderId="0" xfId="2" applyFont="1" applyAlignment="1"/>
    <xf numFmtId="0" fontId="11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3" borderId="3" xfId="0" applyFont="1" applyFill="1" applyBorder="1" applyAlignment="1">
      <alignment horizontal="center" vertical="center"/>
    </xf>
    <xf numFmtId="177" fontId="13" fillId="0" borderId="3" xfId="2" applyNumberFormat="1" applyFont="1" applyFill="1" applyBorder="1" applyAlignment="1">
      <alignment horizontal="right" vertical="center"/>
    </xf>
    <xf numFmtId="41" fontId="13" fillId="0" borderId="3" xfId="2" applyFont="1" applyFill="1" applyBorder="1" applyAlignment="1">
      <alignment horizontal="right" vertical="center"/>
    </xf>
    <xf numFmtId="41" fontId="13" fillId="0" borderId="1" xfId="2" applyFont="1" applyBorder="1" applyAlignment="1">
      <alignment horizontal="right" vertical="center"/>
    </xf>
    <xf numFmtId="41" fontId="13" fillId="5" borderId="1" xfId="2" applyFont="1" applyFill="1" applyBorder="1" applyAlignment="1">
      <alignment horizontal="right" vertical="center"/>
    </xf>
    <xf numFmtId="0" fontId="11" fillId="0" borderId="0" xfId="0" applyFont="1"/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41" fontId="13" fillId="0" borderId="5" xfId="2" applyFont="1" applyBorder="1" applyAlignment="1"/>
    <xf numFmtId="3" fontId="13" fillId="7" borderId="2" xfId="0" applyNumberFormat="1" applyFont="1" applyFill="1" applyBorder="1" applyAlignment="1">
      <alignment vertical="center"/>
    </xf>
    <xf numFmtId="3" fontId="13" fillId="7" borderId="0" xfId="0" applyNumberFormat="1" applyFont="1" applyFill="1" applyAlignment="1">
      <alignment vertical="center"/>
    </xf>
    <xf numFmtId="41" fontId="13" fillId="0" borderId="2" xfId="2" applyFont="1" applyBorder="1" applyAlignment="1"/>
    <xf numFmtId="41" fontId="13" fillId="0" borderId="7" xfId="2" applyFont="1" applyBorder="1" applyAlignment="1"/>
    <xf numFmtId="3" fontId="13" fillId="7" borderId="5" xfId="0" applyNumberFormat="1" applyFont="1" applyFill="1" applyBorder="1" applyAlignment="1">
      <alignment vertical="center"/>
    </xf>
    <xf numFmtId="41" fontId="13" fillId="0" borderId="8" xfId="2" applyFont="1" applyBorder="1" applyAlignment="1"/>
    <xf numFmtId="1" fontId="13" fillId="0" borderId="0" xfId="0" applyNumberFormat="1" applyFont="1"/>
    <xf numFmtId="3" fontId="15" fillId="7" borderId="0" xfId="0" applyNumberFormat="1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77" fontId="13" fillId="0" borderId="3" xfId="2" quotePrefix="1" applyNumberFormat="1" applyFont="1" applyFill="1" applyBorder="1" applyAlignment="1">
      <alignment horizontal="right" vertical="center"/>
    </xf>
    <xf numFmtId="0" fontId="16" fillId="0" borderId="0" xfId="0" applyFont="1"/>
    <xf numFmtId="0" fontId="0" fillId="0" borderId="0" xfId="0" applyAlignment="1">
      <alignment wrapText="1"/>
    </xf>
    <xf numFmtId="0" fontId="1" fillId="0" borderId="0" xfId="0" applyFont="1" applyBorder="1"/>
    <xf numFmtId="0" fontId="0" fillId="0" borderId="0" xfId="0" applyBorder="1"/>
    <xf numFmtId="0" fontId="3" fillId="0" borderId="0" xfId="1" applyAlignment="1">
      <alignment horizontal="left"/>
    </xf>
    <xf numFmtId="0" fontId="0" fillId="0" borderId="0" xfId="0" quotePrefix="1"/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vertical="center"/>
    </xf>
    <xf numFmtId="0" fontId="0" fillId="0" borderId="0" xfId="0" applyFont="1"/>
  </cellXfs>
  <cellStyles count="4">
    <cellStyle name="쉼표 [0]" xfId="2" builtinId="6"/>
    <cellStyle name="표준" xfId="0" builtinId="0"/>
    <cellStyle name="표준 2" xfId="3" xr:uid="{1B11B79B-1EF7-445A-B731-8AE2AF5AAF52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dex.go.kr/unity/potal/main/EachDtlPageDetail.do?idx_cd=1304" TargetMode="External"/><Relationship Id="rId1" Type="http://schemas.openxmlformats.org/officeDocument/2006/relationships/hyperlink" Target="https://www.forest.go.kr/kfsweb/cmm/fms/FileDown.do;jsessionid=k0fYVVAkp86itw1OwAmg93ZoLZiXXBkCMdutsOmQygvzZbFRJYE99JLIVnbWrKh1.frswas01_servlet_engine5?atchFileId=FILE_000000020048257&amp;fileSn=0&amp;dwldHistYn=N&amp;bbsId=BBSMSTR_10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opLeftCell="A16" workbookViewId="0">
      <selection activeCell="A69" sqref="A69:A70"/>
    </sheetView>
  </sheetViews>
  <sheetFormatPr defaultRowHeight="16.5" x14ac:dyDescent="0.3"/>
  <cols>
    <col min="1" max="1" width="15.25" customWidth="1"/>
    <col min="2" max="2" width="57.62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6" t="s">
        <v>9</v>
      </c>
    </row>
    <row r="4" spans="1:2" x14ac:dyDescent="0.3">
      <c r="B4" s="41" t="s">
        <v>93</v>
      </c>
    </row>
    <row r="5" spans="1:2" x14ac:dyDescent="0.3">
      <c r="B5" s="42">
        <v>2024</v>
      </c>
    </row>
    <row r="6" spans="1:2" x14ac:dyDescent="0.3">
      <c r="B6" s="42" t="s">
        <v>91</v>
      </c>
    </row>
    <row r="7" spans="1:2" x14ac:dyDescent="0.3">
      <c r="B7" s="40" t="s">
        <v>90</v>
      </c>
    </row>
    <row r="8" spans="1:2" x14ac:dyDescent="0.3">
      <c r="B8" s="39" t="s">
        <v>98</v>
      </c>
    </row>
    <row r="9" spans="1:2" x14ac:dyDescent="0.3">
      <c r="B9" s="6" t="s">
        <v>68</v>
      </c>
    </row>
    <row r="10" spans="1:2" x14ac:dyDescent="0.3">
      <c r="B10" s="4" t="s">
        <v>69</v>
      </c>
    </row>
    <row r="12" spans="1:2" x14ac:dyDescent="0.3">
      <c r="B12" s="1" t="s">
        <v>11</v>
      </c>
    </row>
    <row r="13" spans="1:2" x14ac:dyDescent="0.3">
      <c r="B13" s="41" t="s">
        <v>93</v>
      </c>
    </row>
    <row r="14" spans="1:2" x14ac:dyDescent="0.3">
      <c r="B14" s="42">
        <v>2024</v>
      </c>
    </row>
    <row r="15" spans="1:2" x14ac:dyDescent="0.3">
      <c r="B15" s="42" t="s">
        <v>91</v>
      </c>
    </row>
    <row r="16" spans="1:2" x14ac:dyDescent="0.3">
      <c r="B16" s="40" t="s">
        <v>90</v>
      </c>
    </row>
    <row r="17" spans="1:2" x14ac:dyDescent="0.3">
      <c r="B17" s="42" t="s">
        <v>92</v>
      </c>
    </row>
    <row r="19" spans="1:2" x14ac:dyDescent="0.3">
      <c r="B19" s="1" t="s">
        <v>12</v>
      </c>
    </row>
    <row r="20" spans="1:2" x14ac:dyDescent="0.3">
      <c r="B20" s="41" t="s">
        <v>93</v>
      </c>
    </row>
    <row r="21" spans="1:2" x14ac:dyDescent="0.3">
      <c r="B21" s="42">
        <v>2024</v>
      </c>
    </row>
    <row r="22" spans="1:2" x14ac:dyDescent="0.3">
      <c r="B22" s="42" t="s">
        <v>91</v>
      </c>
    </row>
    <row r="23" spans="1:2" x14ac:dyDescent="0.3">
      <c r="B23" s="40" t="s">
        <v>90</v>
      </c>
    </row>
    <row r="24" spans="1:2" x14ac:dyDescent="0.3">
      <c r="B24" s="39" t="s">
        <v>94</v>
      </c>
    </row>
    <row r="26" spans="1:2" x14ac:dyDescent="0.3">
      <c r="A26" s="7"/>
      <c r="B26" s="7" t="s">
        <v>35</v>
      </c>
    </row>
    <row r="27" spans="1:2" x14ac:dyDescent="0.3">
      <c r="B27" t="s">
        <v>10</v>
      </c>
    </row>
    <row r="28" spans="1:2" x14ac:dyDescent="0.3">
      <c r="B28" s="4">
        <v>2021</v>
      </c>
    </row>
    <row r="29" spans="1:2" x14ac:dyDescent="0.3">
      <c r="B29" t="s">
        <v>70</v>
      </c>
    </row>
    <row r="30" spans="1:2" x14ac:dyDescent="0.3">
      <c r="B30" s="26" t="s">
        <v>48</v>
      </c>
    </row>
    <row r="31" spans="1:2" x14ac:dyDescent="0.3">
      <c r="B31" t="s">
        <v>34</v>
      </c>
    </row>
    <row r="33" spans="2:2" x14ac:dyDescent="0.3">
      <c r="B33" s="7" t="s">
        <v>42</v>
      </c>
    </row>
    <row r="34" spans="2:2" x14ac:dyDescent="0.3">
      <c r="B34" s="41" t="s">
        <v>93</v>
      </c>
    </row>
    <row r="35" spans="2:2" x14ac:dyDescent="0.3">
      <c r="B35" s="42">
        <v>2024</v>
      </c>
    </row>
    <row r="36" spans="2:2" x14ac:dyDescent="0.3">
      <c r="B36" s="42" t="s">
        <v>91</v>
      </c>
    </row>
    <row r="37" spans="2:2" x14ac:dyDescent="0.3">
      <c r="B37" s="40" t="s">
        <v>90</v>
      </c>
    </row>
    <row r="38" spans="2:2" x14ac:dyDescent="0.3">
      <c r="B38" s="41" t="s">
        <v>97</v>
      </c>
    </row>
    <row r="40" spans="2:2" x14ac:dyDescent="0.3">
      <c r="B40" s="7" t="s">
        <v>42</v>
      </c>
    </row>
    <row r="41" spans="2:2" x14ac:dyDescent="0.3">
      <c r="B41" s="48" t="s">
        <v>96</v>
      </c>
    </row>
    <row r="42" spans="2:2" x14ac:dyDescent="0.3">
      <c r="B42" s="42">
        <v>2022</v>
      </c>
    </row>
    <row r="43" spans="2:2" x14ac:dyDescent="0.3">
      <c r="B43" s="26" t="s">
        <v>99</v>
      </c>
    </row>
    <row r="44" spans="2:2" x14ac:dyDescent="0.3">
      <c r="B44" s="41" t="s">
        <v>63</v>
      </c>
    </row>
    <row r="45" spans="2:2" x14ac:dyDescent="0.3">
      <c r="B45" s="41"/>
    </row>
    <row r="46" spans="2:2" x14ac:dyDescent="0.3">
      <c r="B46" s="7" t="s">
        <v>100</v>
      </c>
    </row>
    <row r="47" spans="2:2" x14ac:dyDescent="0.3">
      <c r="B47" t="s">
        <v>109</v>
      </c>
    </row>
    <row r="48" spans="2:2" x14ac:dyDescent="0.3">
      <c r="B48" s="42">
        <v>2022</v>
      </c>
    </row>
    <row r="49" spans="1:2" x14ac:dyDescent="0.3">
      <c r="B49" s="67" t="s">
        <v>110</v>
      </c>
    </row>
    <row r="50" spans="1:2" x14ac:dyDescent="0.3">
      <c r="B50" s="42"/>
    </row>
    <row r="52" spans="1:2" x14ac:dyDescent="0.3">
      <c r="A52" s="7" t="s">
        <v>49</v>
      </c>
    </row>
    <row r="53" spans="1:2" x14ac:dyDescent="0.3">
      <c r="A53" s="8" t="s">
        <v>71</v>
      </c>
    </row>
    <row r="55" spans="1:2" x14ac:dyDescent="0.3">
      <c r="A55" s="7" t="s">
        <v>50</v>
      </c>
    </row>
    <row r="56" spans="1:2" x14ac:dyDescent="0.3">
      <c r="A56" t="s">
        <v>73</v>
      </c>
    </row>
    <row r="57" spans="1:2" x14ac:dyDescent="0.3">
      <c r="A57" t="s">
        <v>74</v>
      </c>
    </row>
    <row r="58" spans="1:2" x14ac:dyDescent="0.3">
      <c r="A58" t="s">
        <v>75</v>
      </c>
    </row>
    <row r="59" spans="1:2" x14ac:dyDescent="0.3">
      <c r="A59" s="7" t="s">
        <v>53</v>
      </c>
    </row>
    <row r="60" spans="1:2" x14ac:dyDescent="0.3">
      <c r="A60" t="s">
        <v>76</v>
      </c>
    </row>
    <row r="61" spans="1:2" x14ac:dyDescent="0.3">
      <c r="A61" t="s">
        <v>77</v>
      </c>
    </row>
    <row r="62" spans="1:2" x14ac:dyDescent="0.3">
      <c r="A62" t="s">
        <v>78</v>
      </c>
    </row>
    <row r="63" spans="1:2" x14ac:dyDescent="0.3">
      <c r="A63" s="7" t="s">
        <v>54</v>
      </c>
    </row>
    <row r="64" spans="1:2" x14ac:dyDescent="0.3">
      <c r="A64" t="s">
        <v>79</v>
      </c>
    </row>
    <row r="65" spans="1:1" x14ac:dyDescent="0.3">
      <c r="A65" t="s">
        <v>80</v>
      </c>
    </row>
    <row r="66" spans="1:1" x14ac:dyDescent="0.3">
      <c r="A66" t="s">
        <v>82</v>
      </c>
    </row>
    <row r="67" spans="1:1" x14ac:dyDescent="0.3">
      <c r="A67" t="s">
        <v>81</v>
      </c>
    </row>
    <row r="68" spans="1:1" x14ac:dyDescent="0.3">
      <c r="A68" s="7" t="s">
        <v>58</v>
      </c>
    </row>
    <row r="69" spans="1:1" x14ac:dyDescent="0.3">
      <c r="A69" t="s">
        <v>83</v>
      </c>
    </row>
    <row r="70" spans="1:1" x14ac:dyDescent="0.3">
      <c r="A70" t="s">
        <v>84</v>
      </c>
    </row>
    <row r="71" spans="1:1" x14ac:dyDescent="0.3">
      <c r="A71" s="7" t="s">
        <v>124</v>
      </c>
    </row>
    <row r="72" spans="1:1" x14ac:dyDescent="0.3">
      <c r="A72" t="s">
        <v>125</v>
      </c>
    </row>
    <row r="73" spans="1:1" x14ac:dyDescent="0.3">
      <c r="A73" s="70" t="s">
        <v>123</v>
      </c>
    </row>
    <row r="74" spans="1:1" s="71" customFormat="1" x14ac:dyDescent="0.3">
      <c r="A74" s="70" t="s">
        <v>126</v>
      </c>
    </row>
    <row r="75" spans="1:1" s="71" customFormat="1" x14ac:dyDescent="0.3">
      <c r="A75" s="70" t="s">
        <v>127</v>
      </c>
    </row>
    <row r="76" spans="1:1" s="71" customFormat="1" x14ac:dyDescent="0.3">
      <c r="A76" s="70" t="s">
        <v>128</v>
      </c>
    </row>
    <row r="77" spans="1:1" s="71" customFormat="1" x14ac:dyDescent="0.3">
      <c r="A77" s="70"/>
    </row>
  </sheetData>
  <phoneticPr fontId="5" type="noConversion"/>
  <hyperlinks>
    <hyperlink ref="B30" r:id="rId1" xr:uid="{E3C92502-A1D2-45B8-85DE-CCE90EDEF2CE}"/>
    <hyperlink ref="B43" r:id="rId2" xr:uid="{8B0C0082-1835-4C72-9132-A2097D5281D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B13" sqref="B13"/>
    </sheetView>
  </sheetViews>
  <sheetFormatPr defaultRowHeight="16.5" x14ac:dyDescent="0.3"/>
  <cols>
    <col min="1" max="1" width="17.125" customWidth="1"/>
  </cols>
  <sheetData>
    <row r="1" spans="1:10" x14ac:dyDescent="0.3">
      <c r="A1" s="7" t="s">
        <v>13</v>
      </c>
      <c r="B1" s="8"/>
      <c r="C1" s="8"/>
      <c r="D1" s="8"/>
      <c r="E1" s="8"/>
      <c r="F1" s="8"/>
      <c r="G1" s="8"/>
    </row>
    <row r="2" spans="1:10" x14ac:dyDescent="0.3">
      <c r="A2" s="7" t="s">
        <v>14</v>
      </c>
      <c r="C2" s="9" t="s">
        <v>52</v>
      </c>
      <c r="D2" t="s">
        <v>45</v>
      </c>
      <c r="E2" s="8"/>
    </row>
    <row r="3" spans="1:10" x14ac:dyDescent="0.3">
      <c r="A3" s="10" t="s">
        <v>16</v>
      </c>
      <c r="B3" s="10">
        <v>2015</v>
      </c>
      <c r="C3" s="10">
        <v>2016</v>
      </c>
      <c r="D3" s="10">
        <v>2017</v>
      </c>
      <c r="E3" s="10">
        <v>2018</v>
      </c>
      <c r="F3" s="10">
        <v>2019</v>
      </c>
      <c r="G3" s="43">
        <v>2020</v>
      </c>
      <c r="H3" s="43">
        <v>2021</v>
      </c>
      <c r="I3" s="43">
        <v>2022</v>
      </c>
      <c r="J3" s="43">
        <v>2023</v>
      </c>
    </row>
    <row r="4" spans="1:10" x14ac:dyDescent="0.3">
      <c r="A4" s="10" t="s">
        <v>17</v>
      </c>
      <c r="B4" s="11">
        <v>23.178000000000001</v>
      </c>
      <c r="C4" s="11">
        <v>23.917000000000002</v>
      </c>
      <c r="D4" s="11">
        <v>23.673999999999999</v>
      </c>
      <c r="E4" s="11">
        <v>23.088999999999999</v>
      </c>
      <c r="F4" s="11">
        <v>23.413</v>
      </c>
      <c r="G4" s="44">
        <v>23.17</v>
      </c>
      <c r="H4" s="44">
        <v>20.6</v>
      </c>
      <c r="I4" s="44">
        <v>19.170000000000002</v>
      </c>
      <c r="J4" s="44">
        <v>21.11</v>
      </c>
    </row>
    <row r="5" spans="1:10" x14ac:dyDescent="0.3">
      <c r="A5" s="7"/>
      <c r="B5" s="8"/>
      <c r="C5" s="9"/>
      <c r="D5" s="8"/>
      <c r="E5" s="8"/>
      <c r="F5" s="8"/>
      <c r="G5" s="8"/>
    </row>
    <row r="6" spans="1:10" x14ac:dyDescent="0.3">
      <c r="A6" s="7" t="s">
        <v>20</v>
      </c>
      <c r="B6" s="8"/>
      <c r="C6" s="9" t="s">
        <v>52</v>
      </c>
      <c r="D6" t="s">
        <v>45</v>
      </c>
      <c r="E6" s="8"/>
      <c r="F6" s="8"/>
      <c r="G6" s="8"/>
    </row>
    <row r="7" spans="1:10" x14ac:dyDescent="0.3">
      <c r="A7" s="12" t="s">
        <v>21</v>
      </c>
      <c r="B7" s="13">
        <f>AVERAGE($B$4:$F$4)</f>
        <v>23.4542</v>
      </c>
      <c r="C7" s="8"/>
      <c r="D7" s="8"/>
      <c r="E7" s="8"/>
      <c r="F7" s="8"/>
      <c r="G7" s="8"/>
    </row>
    <row r="8" spans="1:10" x14ac:dyDescent="0.3">
      <c r="A8" s="8"/>
      <c r="B8" s="8"/>
      <c r="C8" s="8"/>
      <c r="D8" s="8"/>
      <c r="E8" s="8"/>
      <c r="F8" s="8"/>
      <c r="G8" s="8"/>
    </row>
    <row r="9" spans="1:10" x14ac:dyDescent="0.3">
      <c r="A9" s="7" t="s">
        <v>23</v>
      </c>
      <c r="B9" s="8"/>
      <c r="C9" s="9" t="s">
        <v>52</v>
      </c>
      <c r="D9" t="s">
        <v>45</v>
      </c>
      <c r="E9" s="8"/>
      <c r="F9" s="8"/>
      <c r="G9" s="8"/>
    </row>
    <row r="10" spans="1:10" x14ac:dyDescent="0.3">
      <c r="A10" s="8">
        <v>2020</v>
      </c>
      <c r="B10" s="14">
        <v>10041.280000000001</v>
      </c>
      <c r="C10" s="8"/>
      <c r="D10" s="8"/>
      <c r="E10" s="8"/>
      <c r="F10" s="8"/>
      <c r="G10" s="8"/>
    </row>
    <row r="11" spans="1:10" x14ac:dyDescent="0.3">
      <c r="A11" s="8"/>
      <c r="B11" s="8"/>
      <c r="C11" s="8"/>
      <c r="D11" s="8"/>
      <c r="E11" s="8"/>
      <c r="F11" s="8"/>
      <c r="G11" s="8"/>
    </row>
    <row r="12" spans="1:10" x14ac:dyDescent="0.3">
      <c r="A12" s="15" t="s">
        <v>24</v>
      </c>
      <c r="B12" s="8"/>
      <c r="C12" s="9" t="s">
        <v>52</v>
      </c>
      <c r="D12" t="s">
        <v>45</v>
      </c>
      <c r="E12" s="8"/>
      <c r="F12" s="8"/>
      <c r="G12" s="8"/>
    </row>
    <row r="13" spans="1:10" x14ac:dyDescent="0.3">
      <c r="A13" s="8">
        <v>2020</v>
      </c>
      <c r="B13" s="16">
        <v>6363.549</v>
      </c>
      <c r="C13" s="8"/>
      <c r="D13" s="8"/>
      <c r="E13" s="8"/>
      <c r="F13" s="8"/>
      <c r="G13" s="8"/>
    </row>
    <row r="14" spans="1:10" x14ac:dyDescent="0.3">
      <c r="A14" s="8"/>
      <c r="B14" s="8"/>
      <c r="C14" s="8"/>
      <c r="D14" s="8"/>
      <c r="E14" s="8"/>
      <c r="F14" s="8"/>
      <c r="G14" s="8"/>
    </row>
    <row r="15" spans="1:10" x14ac:dyDescent="0.3">
      <c r="A15" s="15" t="s">
        <v>25</v>
      </c>
      <c r="B15" s="8"/>
      <c r="C15" s="8"/>
      <c r="D15" s="8"/>
      <c r="E15" s="8"/>
      <c r="F15" s="8"/>
      <c r="G15" s="8"/>
    </row>
    <row r="16" spans="1:10" x14ac:dyDescent="0.3">
      <c r="A16" s="23">
        <f>($B7)/$B10</f>
        <v>2.3357779087925046E-3</v>
      </c>
      <c r="B16" s="8"/>
      <c r="C16" s="8" t="s">
        <v>72</v>
      </c>
      <c r="D16" s="8"/>
      <c r="E16" s="8"/>
      <c r="F16" s="8"/>
      <c r="G16" s="8"/>
    </row>
    <row r="17" spans="1:5" x14ac:dyDescent="0.3">
      <c r="A17" s="17">
        <f>$A16*$B10</f>
        <v>23.454200000000004</v>
      </c>
      <c r="B17" s="8"/>
      <c r="C17" s="9" t="s">
        <v>52</v>
      </c>
      <c r="D17" t="s">
        <v>45</v>
      </c>
      <c r="E17" s="8"/>
    </row>
    <row r="18" spans="1:5" x14ac:dyDescent="0.3">
      <c r="A18" s="18">
        <f>$A17*10^3</f>
        <v>23454.200000000004</v>
      </c>
      <c r="C18" s="9" t="s">
        <v>52</v>
      </c>
      <c r="D18" t="s">
        <v>15</v>
      </c>
    </row>
    <row r="19" spans="1:5" x14ac:dyDescent="0.3">
      <c r="A19" s="32">
        <f>$A18*$B$23</f>
        <v>57956.594726800016</v>
      </c>
      <c r="C19" s="9" t="s">
        <v>52</v>
      </c>
      <c r="D19" t="s">
        <v>26</v>
      </c>
    </row>
    <row r="21" spans="1:5" x14ac:dyDescent="0.3">
      <c r="A21" s="7" t="s">
        <v>51</v>
      </c>
    </row>
    <row r="22" spans="1:5" x14ac:dyDescent="0.3">
      <c r="A22" t="s">
        <v>15</v>
      </c>
      <c r="B22" t="s">
        <v>26</v>
      </c>
    </row>
    <row r="23" spans="1:5" x14ac:dyDescent="0.3">
      <c r="A23">
        <v>1</v>
      </c>
      <c r="B23" s="19">
        <v>2.4710540000000001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B10" sqref="B10"/>
    </sheetView>
  </sheetViews>
  <sheetFormatPr defaultRowHeight="16.5" x14ac:dyDescent="0.3"/>
  <cols>
    <col min="1" max="1" width="15.875" customWidth="1"/>
    <col min="2" max="2" width="12.625" bestFit="1" customWidth="1"/>
    <col min="7" max="9" width="9.375" bestFit="1" customWidth="1"/>
  </cols>
  <sheetData>
    <row r="1" spans="1:10" x14ac:dyDescent="0.3">
      <c r="A1" s="1" t="s">
        <v>12</v>
      </c>
    </row>
    <row r="2" spans="1:10" x14ac:dyDescent="0.3">
      <c r="A2" s="7" t="s">
        <v>85</v>
      </c>
      <c r="C2" s="9" t="s">
        <v>52</v>
      </c>
      <c r="D2" t="s">
        <v>15</v>
      </c>
    </row>
    <row r="3" spans="1:10" x14ac:dyDescent="0.3">
      <c r="A3" s="10" t="s">
        <v>16</v>
      </c>
      <c r="B3" s="10">
        <v>2015</v>
      </c>
      <c r="C3" s="10">
        <v>2016</v>
      </c>
      <c r="D3" s="10">
        <v>2017</v>
      </c>
      <c r="E3" s="10">
        <v>2018</v>
      </c>
      <c r="F3" s="10">
        <v>2019</v>
      </c>
      <c r="G3" s="43">
        <v>2020</v>
      </c>
      <c r="H3" s="43">
        <v>2021</v>
      </c>
      <c r="I3" s="43">
        <v>2022</v>
      </c>
      <c r="J3" s="60"/>
    </row>
    <row r="4" spans="1:10" x14ac:dyDescent="0.3">
      <c r="A4" s="10" t="s">
        <v>27</v>
      </c>
      <c r="B4" s="20">
        <v>166871</v>
      </c>
      <c r="C4" s="20">
        <v>265684</v>
      </c>
      <c r="D4" s="20">
        <v>183362</v>
      </c>
      <c r="E4" s="20">
        <v>116931</v>
      </c>
      <c r="F4" s="20">
        <v>100588</v>
      </c>
      <c r="G4" s="45">
        <v>127700</v>
      </c>
      <c r="H4" s="45">
        <v>106031</v>
      </c>
      <c r="I4" s="45">
        <v>115528</v>
      </c>
    </row>
    <row r="6" spans="1:10" x14ac:dyDescent="0.3">
      <c r="A6" s="7" t="s">
        <v>86</v>
      </c>
      <c r="C6" s="9" t="s">
        <v>52</v>
      </c>
      <c r="D6" t="s">
        <v>15</v>
      </c>
    </row>
    <row r="7" spans="1:10" x14ac:dyDescent="0.3">
      <c r="A7" t="s">
        <v>21</v>
      </c>
      <c r="B7" s="21">
        <f>AVERAGE($B$4:$F$4)</f>
        <v>166687.20000000001</v>
      </c>
    </row>
    <row r="9" spans="1:10" x14ac:dyDescent="0.3">
      <c r="A9" s="7" t="s">
        <v>87</v>
      </c>
      <c r="C9" s="9"/>
    </row>
    <row r="10" spans="1:10" x14ac:dyDescent="0.3">
      <c r="B10" s="27">
        <f>$B$7/('Aff Ref'!B13*1000)</f>
        <v>2.6194062464200404E-2</v>
      </c>
    </row>
    <row r="12" spans="1:10" x14ac:dyDescent="0.3">
      <c r="A12" s="7" t="s">
        <v>88</v>
      </c>
    </row>
    <row r="13" spans="1:10" x14ac:dyDescent="0.3">
      <c r="A13" s="32">
        <v>0</v>
      </c>
      <c r="B13" t="s">
        <v>89</v>
      </c>
    </row>
    <row r="16" spans="1:10" x14ac:dyDescent="0.3">
      <c r="A16" s="1"/>
    </row>
    <row r="29" spans="1:1" x14ac:dyDescent="0.3">
      <c r="A29" s="22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A7" sqref="A7"/>
    </sheetView>
  </sheetViews>
  <sheetFormatPr defaultRowHeight="16.5" x14ac:dyDescent="0.3"/>
  <cols>
    <col min="1" max="1" width="9.125" customWidth="1"/>
    <col min="2" max="2" width="15.875" customWidth="1"/>
  </cols>
  <sheetData>
    <row r="1" spans="1:6" x14ac:dyDescent="0.3">
      <c r="A1" s="7" t="s">
        <v>30</v>
      </c>
    </row>
    <row r="2" spans="1:6" x14ac:dyDescent="0.3">
      <c r="E2" s="9" t="s">
        <v>52</v>
      </c>
      <c r="F2" t="s">
        <v>15</v>
      </c>
    </row>
    <row r="3" spans="1:6" x14ac:dyDescent="0.3">
      <c r="A3" s="10" t="s">
        <v>16</v>
      </c>
      <c r="B3" s="10">
        <v>2016</v>
      </c>
      <c r="C3" s="10">
        <v>2017</v>
      </c>
      <c r="D3" s="10">
        <v>2018</v>
      </c>
      <c r="E3" s="10">
        <v>2019</v>
      </c>
      <c r="F3" s="10">
        <v>2020</v>
      </c>
    </row>
    <row r="4" spans="1:6" x14ac:dyDescent="0.3">
      <c r="A4" s="10" t="s">
        <v>31</v>
      </c>
      <c r="B4" s="20">
        <v>1134</v>
      </c>
      <c r="C4" s="20">
        <v>1632</v>
      </c>
      <c r="D4" s="20">
        <v>1463</v>
      </c>
      <c r="E4" s="20">
        <v>895</v>
      </c>
      <c r="F4" s="20">
        <v>704</v>
      </c>
    </row>
    <row r="6" spans="1:6" x14ac:dyDescent="0.3">
      <c r="A6" s="1" t="s">
        <v>28</v>
      </c>
    </row>
    <row r="7" spans="1:6" x14ac:dyDescent="0.3">
      <c r="A7" s="33">
        <f>AVERAGE($E$4:$F$4)/('Aff Ref'!B13*1000)</f>
        <v>1.2563743910827118E-4</v>
      </c>
      <c r="B7" t="s">
        <v>29</v>
      </c>
    </row>
    <row r="8" spans="1:6" x14ac:dyDescent="0.3">
      <c r="A8" s="1"/>
    </row>
    <row r="9" spans="1:6" x14ac:dyDescent="0.3">
      <c r="A9" s="7" t="s">
        <v>32</v>
      </c>
    </row>
    <row r="10" spans="1:6" x14ac:dyDescent="0.3">
      <c r="A10" t="s">
        <v>33</v>
      </c>
    </row>
    <row r="11" spans="1:6" x14ac:dyDescent="0.3">
      <c r="A11" t="s">
        <v>56</v>
      </c>
    </row>
    <row r="12" spans="1:6" x14ac:dyDescent="0.3">
      <c r="A12" t="s">
        <v>57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"/>
  <sheetViews>
    <sheetView workbookViewId="0">
      <selection activeCell="E21" sqref="E21"/>
    </sheetView>
  </sheetViews>
  <sheetFormatPr defaultRowHeight="16.5" x14ac:dyDescent="0.3"/>
  <cols>
    <col min="1" max="1" width="10.625" customWidth="1"/>
    <col min="2" max="2" width="12.125" style="4" customWidth="1"/>
    <col min="3" max="3" width="10.625" customWidth="1"/>
    <col min="4" max="4" width="10.625" style="4" customWidth="1"/>
    <col min="5" max="5" width="10.625" customWidth="1"/>
    <col min="6" max="6" width="10.625" style="4" customWidth="1"/>
  </cols>
  <sheetData>
    <row r="1" spans="1:13" x14ac:dyDescent="0.3">
      <c r="A1" s="1" t="s">
        <v>4</v>
      </c>
    </row>
    <row r="2" spans="1:13" x14ac:dyDescent="0.3">
      <c r="A2" s="7" t="s">
        <v>55</v>
      </c>
      <c r="B2"/>
      <c r="C2" s="9" t="s">
        <v>52</v>
      </c>
      <c r="D2" t="s">
        <v>36</v>
      </c>
      <c r="E2" s="9"/>
      <c r="F2"/>
    </row>
    <row r="3" spans="1:13" x14ac:dyDescent="0.3">
      <c r="A3" s="10" t="s">
        <v>16</v>
      </c>
      <c r="B3" s="10" t="s">
        <v>38</v>
      </c>
      <c r="C3" s="10" t="s">
        <v>39</v>
      </c>
      <c r="D3" s="10" t="s">
        <v>40</v>
      </c>
      <c r="F3"/>
    </row>
    <row r="4" spans="1:13" x14ac:dyDescent="0.3">
      <c r="A4" s="10" t="s">
        <v>37</v>
      </c>
      <c r="B4" s="25">
        <v>163.30000000000001</v>
      </c>
      <c r="C4" s="25">
        <v>155.9</v>
      </c>
      <c r="D4" s="25">
        <v>138.30000000000001</v>
      </c>
      <c r="F4"/>
    </row>
    <row r="6" spans="1:13" x14ac:dyDescent="0.3">
      <c r="A6" s="7" t="s">
        <v>44</v>
      </c>
      <c r="B6"/>
      <c r="C6" s="9" t="s">
        <v>52</v>
      </c>
      <c r="D6" t="s">
        <v>15</v>
      </c>
      <c r="F6"/>
    </row>
    <row r="7" spans="1:13" x14ac:dyDescent="0.3">
      <c r="A7" s="10" t="s">
        <v>16</v>
      </c>
      <c r="B7" s="10" t="s">
        <v>38</v>
      </c>
      <c r="C7" s="10" t="s">
        <v>39</v>
      </c>
      <c r="D7" s="10" t="s">
        <v>40</v>
      </c>
      <c r="E7" s="10" t="s">
        <v>41</v>
      </c>
      <c r="F7"/>
    </row>
    <row r="8" spans="1:13" x14ac:dyDescent="0.3">
      <c r="A8" s="10" t="s">
        <v>43</v>
      </c>
      <c r="B8" s="46">
        <v>1652736</v>
      </c>
      <c r="C8" s="46">
        <v>483202</v>
      </c>
      <c r="D8" s="47">
        <v>4162196</v>
      </c>
      <c r="E8" s="46">
        <f>SUM($B$8:$D$8)</f>
        <v>6298134</v>
      </c>
      <c r="F8" s="45" t="s">
        <v>95</v>
      </c>
      <c r="G8" s="48"/>
    </row>
    <row r="10" spans="1:13" x14ac:dyDescent="0.3">
      <c r="A10" s="7" t="s">
        <v>63</v>
      </c>
      <c r="C10" s="9" t="s">
        <v>52</v>
      </c>
      <c r="D10" t="s">
        <v>45</v>
      </c>
      <c r="H10" s="9"/>
    </row>
    <row r="11" spans="1:13" x14ac:dyDescent="0.3">
      <c r="A11" s="34" t="s">
        <v>16</v>
      </c>
      <c r="B11" s="35">
        <v>2011</v>
      </c>
      <c r="C11" s="35">
        <v>2012</v>
      </c>
      <c r="D11" s="35">
        <v>2013</v>
      </c>
      <c r="E11" s="35">
        <v>2014</v>
      </c>
      <c r="F11" s="35">
        <v>2015</v>
      </c>
      <c r="G11" s="35">
        <v>2016</v>
      </c>
      <c r="H11" s="50">
        <v>2017</v>
      </c>
      <c r="I11" s="50">
        <v>2018</v>
      </c>
      <c r="J11" s="50">
        <v>2019</v>
      </c>
      <c r="K11" s="49">
        <v>2020</v>
      </c>
      <c r="L11" s="49">
        <v>2021</v>
      </c>
      <c r="M11" s="49">
        <v>2022</v>
      </c>
    </row>
    <row r="12" spans="1:13" x14ac:dyDescent="0.3">
      <c r="A12" s="34" t="s">
        <v>64</v>
      </c>
      <c r="B12" s="36">
        <v>459.964</v>
      </c>
      <c r="C12" s="36">
        <v>415.21499999999997</v>
      </c>
      <c r="D12" s="36">
        <v>370.61700000000002</v>
      </c>
      <c r="E12" s="36">
        <v>293.33699999999999</v>
      </c>
      <c r="F12" s="36">
        <v>279.15699999999998</v>
      </c>
      <c r="G12" s="51">
        <v>283.59199999999998</v>
      </c>
      <c r="H12" s="52">
        <v>306.49900000000002</v>
      </c>
      <c r="I12" s="52">
        <v>255.02500000000001</v>
      </c>
      <c r="J12" s="56">
        <v>210.62100000000001</v>
      </c>
      <c r="K12" s="53">
        <v>228.78</v>
      </c>
      <c r="L12" s="53">
        <v>209.16</v>
      </c>
      <c r="M12" s="53">
        <v>224.53899999999999</v>
      </c>
    </row>
    <row r="13" spans="1:13" x14ac:dyDescent="0.3">
      <c r="A13" s="34" t="s">
        <v>65</v>
      </c>
      <c r="B13" s="36">
        <v>71.022000000000006</v>
      </c>
      <c r="C13" s="36">
        <v>65.173000000000002</v>
      </c>
      <c r="D13" s="36">
        <v>69.256</v>
      </c>
      <c r="E13" s="36">
        <v>54.654000000000003</v>
      </c>
      <c r="F13" s="36">
        <v>50.322000000000003</v>
      </c>
      <c r="G13" s="54">
        <v>51.484999999999999</v>
      </c>
      <c r="H13" s="55">
        <v>52.985999999999997</v>
      </c>
      <c r="I13" s="55">
        <v>41.805999999999997</v>
      </c>
      <c r="J13" s="57">
        <v>44.359000000000002</v>
      </c>
      <c r="K13" s="58">
        <v>37.811</v>
      </c>
      <c r="L13" s="58">
        <v>35.911999999999999</v>
      </c>
      <c r="M13" s="58">
        <v>33.878999999999998</v>
      </c>
    </row>
    <row r="14" spans="1:13" x14ac:dyDescent="0.3">
      <c r="A14" s="34" t="s">
        <v>66</v>
      </c>
      <c r="B14" s="36">
        <v>388.94200000000001</v>
      </c>
      <c r="C14" s="36">
        <v>350.04199999999997</v>
      </c>
      <c r="D14" s="36">
        <v>301.36099999999999</v>
      </c>
      <c r="E14" s="36">
        <v>238.68299999999999</v>
      </c>
      <c r="F14" s="36">
        <v>228.83500000000001</v>
      </c>
      <c r="G14" s="54">
        <v>232.107</v>
      </c>
      <c r="H14" s="54">
        <v>253.51300000000001</v>
      </c>
      <c r="I14" s="54">
        <v>213.16499999999999</v>
      </c>
      <c r="J14" s="51">
        <v>166.262</v>
      </c>
      <c r="K14" s="58">
        <v>190.96899999999999</v>
      </c>
      <c r="L14" s="58">
        <v>173.24799999999999</v>
      </c>
      <c r="M14" s="58">
        <v>19.66</v>
      </c>
    </row>
    <row r="15" spans="1:13" x14ac:dyDescent="0.3">
      <c r="C15" s="4"/>
      <c r="E15" s="4"/>
    </row>
    <row r="16" spans="1:13" x14ac:dyDescent="0.3">
      <c r="A16" s="1" t="s">
        <v>46</v>
      </c>
      <c r="C16" s="4"/>
    </row>
    <row r="17" spans="1:13" x14ac:dyDescent="0.3">
      <c r="A17" s="24">
        <f>$D$8/$E$8</f>
        <v>0.66086177270918656</v>
      </c>
      <c r="B17" s="4" t="s">
        <v>47</v>
      </c>
      <c r="C17" s="4"/>
    </row>
    <row r="18" spans="1:13" x14ac:dyDescent="0.3">
      <c r="A18" s="37">
        <f>AVERAGE(F14:J14)*1000/$D$8</f>
        <v>5.2562733710762304E-2</v>
      </c>
      <c r="B18" s="4" t="s">
        <v>67</v>
      </c>
    </row>
    <row r="19" spans="1:13" x14ac:dyDescent="0.3">
      <c r="A19">
        <f>A18*D8</f>
        <v>218776.40000000002</v>
      </c>
      <c r="B19" t="s">
        <v>29</v>
      </c>
      <c r="C19" s="9" t="s">
        <v>52</v>
      </c>
      <c r="D19" s="4" t="s">
        <v>61</v>
      </c>
      <c r="G19" s="59"/>
      <c r="H19" s="59"/>
      <c r="I19" s="59"/>
      <c r="J19" s="59"/>
      <c r="K19" s="59"/>
      <c r="L19" s="59"/>
      <c r="M19" s="59"/>
    </row>
    <row r="20" spans="1:13" x14ac:dyDescent="0.3">
      <c r="A20" s="31">
        <f>A19*'Aff Ref'!B23</f>
        <v>540608.2983256001</v>
      </c>
      <c r="B20"/>
      <c r="C20" s="9" t="s">
        <v>52</v>
      </c>
      <c r="D20" t="s">
        <v>62</v>
      </c>
      <c r="G20" s="59"/>
      <c r="H20" s="59"/>
      <c r="I20" s="59"/>
      <c r="J20" s="59"/>
      <c r="K20" s="59"/>
      <c r="L20" s="59"/>
      <c r="M20" s="59"/>
    </row>
    <row r="21" spans="1:13" x14ac:dyDescent="0.3">
      <c r="G21" s="59"/>
      <c r="H21" s="59"/>
      <c r="I21" s="59"/>
      <c r="J21" s="59"/>
      <c r="K21" s="59"/>
      <c r="L21" s="59"/>
      <c r="M21" s="59"/>
    </row>
    <row r="22" spans="1:13" x14ac:dyDescent="0.3">
      <c r="A22" s="1"/>
    </row>
    <row r="23" spans="1:13" x14ac:dyDescent="0.3">
      <c r="B23"/>
    </row>
    <row r="24" spans="1:13" x14ac:dyDescent="0.3">
      <c r="B24"/>
    </row>
    <row r="25" spans="1:13" x14ac:dyDescent="0.3">
      <c r="A25" s="5"/>
      <c r="B25"/>
    </row>
    <row r="26" spans="1:13" x14ac:dyDescent="0.3">
      <c r="A26" s="1"/>
    </row>
    <row r="37" spans="1:2" x14ac:dyDescent="0.3">
      <c r="A37" s="22"/>
    </row>
    <row r="40" spans="1:2" x14ac:dyDescent="0.3">
      <c r="A40" s="5"/>
      <c r="B40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838-1967-4FE2-B106-BAA6ED57FE86}">
  <dimension ref="A1:J15"/>
  <sheetViews>
    <sheetView workbookViewId="0">
      <selection sqref="A1:F15"/>
    </sheetView>
  </sheetViews>
  <sheetFormatPr defaultColWidth="9" defaultRowHeight="16.5" x14ac:dyDescent="0.3"/>
  <cols>
    <col min="1" max="1" width="17.125" style="8" customWidth="1"/>
    <col min="2" max="6" width="9.125" style="8" bestFit="1" customWidth="1"/>
    <col min="7" max="16384" width="9" style="8"/>
  </cols>
  <sheetData>
    <row r="1" spans="1:10" x14ac:dyDescent="0.3">
      <c r="A1" s="7" t="s">
        <v>59</v>
      </c>
    </row>
    <row r="2" spans="1:10" x14ac:dyDescent="0.3">
      <c r="A2" s="7" t="s">
        <v>18</v>
      </c>
      <c r="C2" s="9" t="s">
        <v>52</v>
      </c>
      <c r="D2" s="8" t="s">
        <v>15</v>
      </c>
    </row>
    <row r="3" spans="1:10" x14ac:dyDescent="0.3">
      <c r="A3" s="28" t="s">
        <v>16</v>
      </c>
      <c r="B3" s="28">
        <v>2015</v>
      </c>
      <c r="C3" s="28">
        <v>2016</v>
      </c>
      <c r="D3" s="28">
        <v>2017</v>
      </c>
      <c r="E3" s="28">
        <v>2018</v>
      </c>
      <c r="F3" s="28">
        <v>2019</v>
      </c>
      <c r="G3" s="61">
        <v>2020</v>
      </c>
      <c r="H3" s="61">
        <v>2021</v>
      </c>
      <c r="I3" s="61">
        <v>2022</v>
      </c>
      <c r="J3" s="61">
        <v>2023</v>
      </c>
    </row>
    <row r="4" spans="1:10" x14ac:dyDescent="0.3">
      <c r="A4" s="28" t="s">
        <v>19</v>
      </c>
      <c r="B4" s="11">
        <v>51.4</v>
      </c>
      <c r="C4" s="11">
        <v>48.2</v>
      </c>
      <c r="D4" s="11">
        <v>54.5</v>
      </c>
      <c r="E4" s="11">
        <v>46.3</v>
      </c>
      <c r="F4" s="11">
        <v>27.4</v>
      </c>
      <c r="G4" s="62">
        <v>58</v>
      </c>
      <c r="H4" s="44">
        <v>86.5</v>
      </c>
      <c r="I4" s="44">
        <v>164.1</v>
      </c>
      <c r="J4" s="44">
        <v>319.2</v>
      </c>
    </row>
    <row r="5" spans="1:10" x14ac:dyDescent="0.3">
      <c r="A5" s="7"/>
      <c r="C5" s="9"/>
    </row>
    <row r="6" spans="1:10" x14ac:dyDescent="0.3">
      <c r="A6" s="7" t="s">
        <v>22</v>
      </c>
      <c r="C6" s="9" t="s">
        <v>52</v>
      </c>
      <c r="D6" s="8" t="s">
        <v>45</v>
      </c>
      <c r="G6" s="29"/>
    </row>
    <row r="7" spans="1:10" x14ac:dyDescent="0.3">
      <c r="A7" s="8" t="s">
        <v>21</v>
      </c>
      <c r="B7" s="14">
        <f>AVERAGE($B$4:$F$4)/10^3</f>
        <v>4.5559999999999996E-2</v>
      </c>
    </row>
    <row r="9" spans="1:10" x14ac:dyDescent="0.3">
      <c r="A9" s="15" t="s">
        <v>24</v>
      </c>
      <c r="C9" s="9" t="s">
        <v>52</v>
      </c>
      <c r="D9" s="8" t="s">
        <v>45</v>
      </c>
    </row>
    <row r="10" spans="1:10" x14ac:dyDescent="0.3">
      <c r="A10" s="8">
        <v>2020</v>
      </c>
      <c r="B10" s="16">
        <v>6363.549</v>
      </c>
    </row>
    <row r="12" spans="1:10" x14ac:dyDescent="0.3">
      <c r="A12" s="7" t="s">
        <v>60</v>
      </c>
    </row>
    <row r="13" spans="1:10" x14ac:dyDescent="0.3">
      <c r="A13" s="17">
        <f>B7</f>
        <v>4.5559999999999996E-2</v>
      </c>
      <c r="C13" s="9" t="s">
        <v>52</v>
      </c>
      <c r="D13" s="8" t="s">
        <v>45</v>
      </c>
    </row>
    <row r="14" spans="1:10" x14ac:dyDescent="0.3">
      <c r="A14" s="18">
        <f>$A13*10^3</f>
        <v>45.559999999999995</v>
      </c>
      <c r="C14" s="9" t="s">
        <v>52</v>
      </c>
      <c r="D14" s="8" t="s">
        <v>15</v>
      </c>
    </row>
    <row r="15" spans="1:10" x14ac:dyDescent="0.3">
      <c r="A15" s="30">
        <f>$A14*'Aff Ref'!$B$23</f>
        <v>112.58122023999999</v>
      </c>
      <c r="C15" s="9" t="s">
        <v>52</v>
      </c>
      <c r="D15" s="8" t="s">
        <v>26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F33E-7EFA-4C86-96D0-4CC055EC0D44}">
  <dimension ref="A1:C24"/>
  <sheetViews>
    <sheetView workbookViewId="0">
      <selection activeCell="A19" sqref="A19:A24"/>
    </sheetView>
  </sheetViews>
  <sheetFormatPr defaultRowHeight="16.5" x14ac:dyDescent="0.3"/>
  <cols>
    <col min="1" max="1" width="21.375" bestFit="1" customWidth="1"/>
    <col min="2" max="2" width="14.75" bestFit="1" customWidth="1"/>
  </cols>
  <sheetData>
    <row r="1" spans="1:3" x14ac:dyDescent="0.3">
      <c r="A1" t="s">
        <v>109</v>
      </c>
    </row>
    <row r="2" spans="1:3" s="66" customFormat="1" x14ac:dyDescent="0.3">
      <c r="A2" s="65" t="s">
        <v>108</v>
      </c>
    </row>
    <row r="3" spans="1:3" x14ac:dyDescent="0.3">
      <c r="B3" t="s">
        <v>107</v>
      </c>
    </row>
    <row r="4" spans="1:3" x14ac:dyDescent="0.3">
      <c r="B4" t="s">
        <v>117</v>
      </c>
      <c r="C4" t="s">
        <v>118</v>
      </c>
    </row>
    <row r="5" spans="1:3" x14ac:dyDescent="0.3">
      <c r="A5" s="63" t="s">
        <v>102</v>
      </c>
      <c r="B5" s="63" t="s">
        <v>103</v>
      </c>
    </row>
    <row r="6" spans="1:3" x14ac:dyDescent="0.3">
      <c r="A6" t="s">
        <v>104</v>
      </c>
      <c r="B6">
        <f>7*B15</f>
        <v>1729.7376669999999</v>
      </c>
      <c r="C6">
        <f>30*B15</f>
        <v>7413.1614300000001</v>
      </c>
    </row>
    <row r="7" spans="1:3" ht="33" x14ac:dyDescent="0.3">
      <c r="A7" s="64" t="s">
        <v>105</v>
      </c>
      <c r="B7">
        <v>0</v>
      </c>
    </row>
    <row r="8" spans="1:3" x14ac:dyDescent="0.3">
      <c r="A8" s="64" t="s">
        <v>106</v>
      </c>
      <c r="B8">
        <f>SUM(B6:B7)</f>
        <v>1729.7376669999999</v>
      </c>
      <c r="C8">
        <f>SUM(C6:C7)</f>
        <v>7413.1614300000001</v>
      </c>
    </row>
    <row r="10" spans="1:3" ht="33" x14ac:dyDescent="0.3">
      <c r="A10" s="64" t="s">
        <v>119</v>
      </c>
    </row>
    <row r="11" spans="1:3" x14ac:dyDescent="0.3">
      <c r="A11" s="64" t="s">
        <v>120</v>
      </c>
      <c r="B11">
        <f>B8/(2027-2023+1)</f>
        <v>345.9475334</v>
      </c>
    </row>
    <row r="12" spans="1:3" x14ac:dyDescent="0.3">
      <c r="A12" s="64" t="s">
        <v>121</v>
      </c>
      <c r="B12">
        <f>(C6-B6)/(2050-2028+1)</f>
        <v>247.10538100000002</v>
      </c>
    </row>
    <row r="14" spans="1:3" x14ac:dyDescent="0.3">
      <c r="A14" t="s">
        <v>101</v>
      </c>
      <c r="B14" t="s">
        <v>114</v>
      </c>
    </row>
    <row r="15" spans="1:3" x14ac:dyDescent="0.3">
      <c r="A15">
        <v>1</v>
      </c>
      <c r="B15">
        <v>247.10538099999999</v>
      </c>
    </row>
    <row r="16" spans="1:3" x14ac:dyDescent="0.3">
      <c r="A16" t="s">
        <v>15</v>
      </c>
      <c r="B16" t="s">
        <v>114</v>
      </c>
    </row>
    <row r="17" spans="1:2" x14ac:dyDescent="0.3">
      <c r="A17">
        <v>1</v>
      </c>
      <c r="B17">
        <v>2.4710538099999999</v>
      </c>
    </row>
    <row r="18" spans="1:2" x14ac:dyDescent="0.3">
      <c r="A18" t="s">
        <v>111</v>
      </c>
    </row>
    <row r="19" spans="1:2" x14ac:dyDescent="0.3">
      <c r="A19" t="s">
        <v>113</v>
      </c>
    </row>
    <row r="20" spans="1:2" x14ac:dyDescent="0.3">
      <c r="A20" s="68" t="s">
        <v>112</v>
      </c>
    </row>
    <row r="22" spans="1:2" x14ac:dyDescent="0.3">
      <c r="A22" t="s">
        <v>122</v>
      </c>
    </row>
    <row r="23" spans="1:2" x14ac:dyDescent="0.3">
      <c r="A23" s="69" t="s">
        <v>115</v>
      </c>
    </row>
    <row r="24" spans="1:2" x14ac:dyDescent="0.3">
      <c r="A24" s="69" t="s">
        <v>116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7"/>
  <sheetViews>
    <sheetView tabSelected="1" workbookViewId="0">
      <selection activeCell="B4" sqref="B4"/>
    </sheetView>
  </sheetViews>
  <sheetFormatPr defaultRowHeight="16.5" x14ac:dyDescent="0.3"/>
  <cols>
    <col min="1" max="1" width="29.125" customWidth="1"/>
    <col min="2" max="2" width="10.875" customWidth="1"/>
  </cols>
  <sheetData>
    <row r="1" spans="1:36" x14ac:dyDescent="0.3">
      <c r="A1" s="1" t="s">
        <v>8</v>
      </c>
      <c r="B1" s="2">
        <v>2016</v>
      </c>
      <c r="C1">
        <v>2017</v>
      </c>
      <c r="D1" s="2">
        <v>2018</v>
      </c>
      <c r="E1">
        <v>2019</v>
      </c>
      <c r="F1" s="2">
        <v>2020</v>
      </c>
      <c r="G1">
        <v>2021</v>
      </c>
      <c r="H1" s="2">
        <v>2022</v>
      </c>
      <c r="I1">
        <v>2023</v>
      </c>
      <c r="J1" s="2">
        <v>2024</v>
      </c>
      <c r="K1">
        <v>2025</v>
      </c>
      <c r="L1" s="2">
        <v>2026</v>
      </c>
      <c r="M1">
        <v>2027</v>
      </c>
      <c r="N1" s="2">
        <v>2028</v>
      </c>
      <c r="O1">
        <v>2029</v>
      </c>
      <c r="P1" s="2">
        <v>2030</v>
      </c>
      <c r="Q1">
        <v>2031</v>
      </c>
      <c r="R1" s="2">
        <v>2032</v>
      </c>
      <c r="S1">
        <v>2033</v>
      </c>
      <c r="T1" s="2">
        <v>2034</v>
      </c>
      <c r="U1">
        <v>2035</v>
      </c>
      <c r="V1" s="2">
        <v>2036</v>
      </c>
      <c r="W1">
        <v>2037</v>
      </c>
      <c r="X1" s="2">
        <v>2038</v>
      </c>
      <c r="Y1">
        <v>2039</v>
      </c>
      <c r="Z1" s="2">
        <v>2040</v>
      </c>
      <c r="AA1">
        <v>2041</v>
      </c>
      <c r="AB1" s="2">
        <v>2042</v>
      </c>
      <c r="AC1">
        <v>2043</v>
      </c>
      <c r="AD1" s="2">
        <v>2044</v>
      </c>
      <c r="AE1">
        <v>2045</v>
      </c>
      <c r="AF1" s="2">
        <v>2046</v>
      </c>
      <c r="AG1">
        <v>2047</v>
      </c>
      <c r="AH1" s="2">
        <v>2048</v>
      </c>
      <c r="AI1">
        <v>2049</v>
      </c>
      <c r="AJ1" s="2">
        <v>2050</v>
      </c>
    </row>
    <row r="2" spans="1:36" x14ac:dyDescent="0.3">
      <c r="A2" t="s">
        <v>2</v>
      </c>
      <c r="B2">
        <f>'Set Asides'!$A32</f>
        <v>0</v>
      </c>
      <c r="C2">
        <f>'Set Asides'!$A32</f>
        <v>0</v>
      </c>
      <c r="D2">
        <f>'Set Asides'!$A32</f>
        <v>0</v>
      </c>
      <c r="E2">
        <f>'Set Asides'!$A32</f>
        <v>0</v>
      </c>
      <c r="F2">
        <f>'Set Asides'!$A32</f>
        <v>0</v>
      </c>
      <c r="G2">
        <f>'Set Asides'!$A32</f>
        <v>0</v>
      </c>
      <c r="H2">
        <f>'Set Asides'!$A32</f>
        <v>0</v>
      </c>
      <c r="I2">
        <f>'Set Asides'!$A32</f>
        <v>0</v>
      </c>
      <c r="J2">
        <f>'Set Asides'!$A32</f>
        <v>0</v>
      </c>
      <c r="K2">
        <f>'Set Asides'!$A32</f>
        <v>0</v>
      </c>
      <c r="L2">
        <f>'Set Asides'!$A32</f>
        <v>0</v>
      </c>
      <c r="M2">
        <f>'Set Asides'!$A32</f>
        <v>0</v>
      </c>
      <c r="N2">
        <f>'Set Asides'!$A32</f>
        <v>0</v>
      </c>
      <c r="O2">
        <f>'Set Asides'!$A32</f>
        <v>0</v>
      </c>
      <c r="P2">
        <f>'Set Asides'!$A32</f>
        <v>0</v>
      </c>
      <c r="Q2">
        <f>'Set Asides'!$A32</f>
        <v>0</v>
      </c>
      <c r="R2">
        <f>'Set Asides'!$A32</f>
        <v>0</v>
      </c>
      <c r="S2">
        <f>'Set Asides'!$A32</f>
        <v>0</v>
      </c>
      <c r="T2">
        <f>'Set Asides'!$A32</f>
        <v>0</v>
      </c>
      <c r="U2">
        <f>'Set Asides'!$A32</f>
        <v>0</v>
      </c>
      <c r="V2">
        <f>'Set Asides'!$A32</f>
        <v>0</v>
      </c>
      <c r="W2">
        <f>'Set Asides'!$A32</f>
        <v>0</v>
      </c>
      <c r="X2">
        <f>'Set Asides'!$A32</f>
        <v>0</v>
      </c>
      <c r="Y2">
        <f>'Set Asides'!$A32</f>
        <v>0</v>
      </c>
      <c r="Z2">
        <f>'Set Asides'!$A32</f>
        <v>0</v>
      </c>
      <c r="AA2">
        <f>'Set Asides'!$A32</f>
        <v>0</v>
      </c>
      <c r="AB2">
        <f>'Set Asides'!$A32</f>
        <v>0</v>
      </c>
      <c r="AC2">
        <f>'Set Asides'!$A32</f>
        <v>0</v>
      </c>
      <c r="AD2">
        <f>'Set Asides'!$A32</f>
        <v>0</v>
      </c>
      <c r="AE2">
        <f>'Set Asides'!$A32</f>
        <v>0</v>
      </c>
      <c r="AF2">
        <f>'Set Asides'!$A32</f>
        <v>0</v>
      </c>
      <c r="AG2">
        <f>'Set Asides'!$A32</f>
        <v>0</v>
      </c>
      <c r="AH2">
        <f>'Set Asides'!$A32</f>
        <v>0</v>
      </c>
      <c r="AI2">
        <f>'Set Asides'!$A32</f>
        <v>0</v>
      </c>
      <c r="AJ2">
        <f>'Set Asides'!$A32</f>
        <v>0</v>
      </c>
    </row>
    <row r="3" spans="1:36" x14ac:dyDescent="0.3">
      <c r="A3" t="s">
        <v>3</v>
      </c>
      <c r="B3" s="3">
        <f>'Aff Ref'!$A19</f>
        <v>57956.594726800016</v>
      </c>
      <c r="C3" s="3">
        <f>'Aff Ref'!$A19</f>
        <v>57956.594726800016</v>
      </c>
      <c r="D3" s="3">
        <f>'Aff Ref'!$A19</f>
        <v>57956.594726800016</v>
      </c>
      <c r="E3" s="3">
        <f>'Aff Ref'!$A19</f>
        <v>57956.594726800016</v>
      </c>
      <c r="F3" s="3">
        <f>'Aff Ref'!$A19</f>
        <v>57956.594726800016</v>
      </c>
      <c r="G3" s="3">
        <f>'Aff Ref'!$A19</f>
        <v>57956.594726800016</v>
      </c>
      <c r="H3" s="3">
        <f>'Aff Ref'!$A19</f>
        <v>57956.594726800016</v>
      </c>
      <c r="I3" s="3">
        <f>'Aff Ref'!$A19</f>
        <v>57956.594726800016</v>
      </c>
      <c r="J3" s="3">
        <f>'Aff Ref'!$A19</f>
        <v>57956.594726800016</v>
      </c>
      <c r="K3" s="3">
        <f>'Aff Ref'!$A19</f>
        <v>57956.594726800016</v>
      </c>
      <c r="L3" s="3">
        <f>'Aff Ref'!$A19</f>
        <v>57956.594726800016</v>
      </c>
      <c r="M3" s="3">
        <f>'Aff Ref'!$A19</f>
        <v>57956.594726800016</v>
      </c>
      <c r="N3" s="3">
        <f>'Aff Ref'!$A19</f>
        <v>57956.594726800016</v>
      </c>
      <c r="O3" s="3">
        <f>'Aff Ref'!$A19</f>
        <v>57956.594726800016</v>
      </c>
      <c r="P3" s="3">
        <f>'Aff Ref'!$A19</f>
        <v>57956.594726800016</v>
      </c>
      <c r="Q3" s="3">
        <f>'Aff Ref'!$A19</f>
        <v>57956.594726800016</v>
      </c>
      <c r="R3" s="3">
        <f>'Aff Ref'!$A19</f>
        <v>57956.594726800016</v>
      </c>
      <c r="S3" s="3">
        <f>'Aff Ref'!$A19</f>
        <v>57956.594726800016</v>
      </c>
      <c r="T3" s="3">
        <f>'Aff Ref'!$A19</f>
        <v>57956.594726800016</v>
      </c>
      <c r="U3" s="3">
        <f>'Aff Ref'!$A19</f>
        <v>57956.594726800016</v>
      </c>
      <c r="V3" s="3">
        <f>'Aff Ref'!$A19</f>
        <v>57956.594726800016</v>
      </c>
      <c r="W3" s="3">
        <f>'Aff Ref'!$A19</f>
        <v>57956.594726800016</v>
      </c>
      <c r="X3" s="3">
        <f>'Aff Ref'!$A19</f>
        <v>57956.594726800016</v>
      </c>
      <c r="Y3" s="3">
        <f>'Aff Ref'!$A19</f>
        <v>57956.594726800016</v>
      </c>
      <c r="Z3" s="3">
        <f>'Aff Ref'!$A19</f>
        <v>57956.594726800016</v>
      </c>
      <c r="AA3" s="3">
        <f>'Aff Ref'!$A19</f>
        <v>57956.594726800016</v>
      </c>
      <c r="AB3" s="3">
        <f>'Aff Ref'!$A19</f>
        <v>57956.594726800016</v>
      </c>
      <c r="AC3" s="3">
        <f>'Aff Ref'!$A19</f>
        <v>57956.594726800016</v>
      </c>
      <c r="AD3" s="3">
        <f>'Aff Ref'!$A19</f>
        <v>57956.594726800016</v>
      </c>
      <c r="AE3" s="3">
        <f>'Aff Ref'!$A19</f>
        <v>57956.594726800016</v>
      </c>
      <c r="AF3" s="3">
        <f>'Aff Ref'!$A19</f>
        <v>57956.594726800016</v>
      </c>
      <c r="AG3" s="3">
        <f>'Aff Ref'!$A19</f>
        <v>57956.594726800016</v>
      </c>
      <c r="AH3" s="3">
        <f>'Aff Ref'!$A19</f>
        <v>57956.594726800016</v>
      </c>
      <c r="AI3" s="3">
        <f>'Aff Ref'!$A19</f>
        <v>57956.594726800016</v>
      </c>
      <c r="AJ3" s="3">
        <f>'Aff Ref'!$A19</f>
        <v>57956.594726800016</v>
      </c>
    </row>
    <row r="4" spans="1:36" x14ac:dyDescent="0.3">
      <c r="A4" t="s">
        <v>4</v>
      </c>
      <c r="B4" s="3">
        <f>'Impr Forest Mgmt'!$A$20</f>
        <v>540608.2983256001</v>
      </c>
      <c r="C4" s="3">
        <f>'Impr Forest Mgmt'!$A$20</f>
        <v>540608.2983256001</v>
      </c>
      <c r="D4" s="3">
        <f>'Impr Forest Mgmt'!$A$20</f>
        <v>540608.2983256001</v>
      </c>
      <c r="E4" s="3">
        <f>'Impr Forest Mgmt'!$A$20</f>
        <v>540608.2983256001</v>
      </c>
      <c r="F4" s="3">
        <f>'Impr Forest Mgmt'!$A$20</f>
        <v>540608.2983256001</v>
      </c>
      <c r="G4" s="3">
        <f>'Impr Forest Mgmt'!$A$20</f>
        <v>540608.2983256001</v>
      </c>
      <c r="H4" s="3">
        <f>'Impr Forest Mgmt'!$A$20</f>
        <v>540608.2983256001</v>
      </c>
      <c r="I4" s="3">
        <f>'Impr Forest Mgmt'!$A$20</f>
        <v>540608.2983256001</v>
      </c>
      <c r="J4" s="3">
        <f>'Impr Forest Mgmt'!$A$20</f>
        <v>540608.2983256001</v>
      </c>
      <c r="K4" s="3">
        <f>'Impr Forest Mgmt'!$A$20</f>
        <v>540608.2983256001</v>
      </c>
      <c r="L4" s="3">
        <f>'Impr Forest Mgmt'!$A$20</f>
        <v>540608.2983256001</v>
      </c>
      <c r="M4" s="3">
        <f>'Impr Forest Mgmt'!$A$20</f>
        <v>540608.2983256001</v>
      </c>
      <c r="N4" s="3">
        <f>'Impr Forest Mgmt'!$A$20</f>
        <v>540608.2983256001</v>
      </c>
      <c r="O4" s="3">
        <f>'Impr Forest Mgmt'!$A$20</f>
        <v>540608.2983256001</v>
      </c>
      <c r="P4" s="3">
        <f>'Impr Forest Mgmt'!$A$20</f>
        <v>540608.2983256001</v>
      </c>
      <c r="Q4" s="3">
        <f>'Impr Forest Mgmt'!$A$20</f>
        <v>540608.2983256001</v>
      </c>
      <c r="R4" s="3">
        <f>'Impr Forest Mgmt'!$A$20</f>
        <v>540608.2983256001</v>
      </c>
      <c r="S4" s="3">
        <f>'Impr Forest Mgmt'!$A$20</f>
        <v>540608.2983256001</v>
      </c>
      <c r="T4" s="3">
        <f>'Impr Forest Mgmt'!$A$20</f>
        <v>540608.2983256001</v>
      </c>
      <c r="U4" s="3">
        <f>'Impr Forest Mgmt'!$A$20</f>
        <v>540608.2983256001</v>
      </c>
      <c r="V4" s="3">
        <f>'Impr Forest Mgmt'!$A$20</f>
        <v>540608.2983256001</v>
      </c>
      <c r="W4" s="3">
        <f>'Impr Forest Mgmt'!$A$20</f>
        <v>540608.2983256001</v>
      </c>
      <c r="X4" s="3">
        <f>'Impr Forest Mgmt'!$A$20</f>
        <v>540608.2983256001</v>
      </c>
      <c r="Y4" s="3">
        <f>'Impr Forest Mgmt'!$A$20</f>
        <v>540608.2983256001</v>
      </c>
      <c r="Z4" s="3">
        <f>'Impr Forest Mgmt'!$A$20</f>
        <v>540608.2983256001</v>
      </c>
      <c r="AA4" s="3">
        <f>'Impr Forest Mgmt'!$A$20</f>
        <v>540608.2983256001</v>
      </c>
      <c r="AB4" s="3">
        <f>'Impr Forest Mgmt'!$A$20</f>
        <v>540608.2983256001</v>
      </c>
      <c r="AC4" s="3">
        <f>'Impr Forest Mgmt'!$A$20</f>
        <v>540608.2983256001</v>
      </c>
      <c r="AD4" s="3">
        <f>'Impr Forest Mgmt'!$A$20</f>
        <v>540608.2983256001</v>
      </c>
      <c r="AE4" s="3">
        <f>'Impr Forest Mgmt'!$A$20</f>
        <v>540608.2983256001</v>
      </c>
      <c r="AF4" s="3">
        <f>'Impr Forest Mgmt'!$A$20</f>
        <v>540608.2983256001</v>
      </c>
      <c r="AG4" s="3">
        <f>'Impr Forest Mgmt'!$A$20</f>
        <v>540608.2983256001</v>
      </c>
      <c r="AH4" s="3">
        <f>'Impr Forest Mgmt'!$A$20</f>
        <v>540608.2983256001</v>
      </c>
      <c r="AI4" s="3">
        <f>'Impr Forest Mgmt'!$A$20</f>
        <v>540608.2983256001</v>
      </c>
      <c r="AJ4" s="3">
        <f>'Impr Forest Mgmt'!$A$20</f>
        <v>540608.2983256001</v>
      </c>
    </row>
    <row r="5" spans="1:36" x14ac:dyDescent="0.3">
      <c r="A5" t="s">
        <v>5</v>
      </c>
      <c r="B5" s="3">
        <f>'Avoided Def'!$A$7*('Aff Ref'!$B$13*1000)*('Aff Ref'!$B$23)</f>
        <v>1975.607673</v>
      </c>
      <c r="C5" s="3">
        <f>'Avoided Def'!$A$7*('Aff Ref'!$B$13*1000)*('Aff Ref'!$B$23)</f>
        <v>1975.607673</v>
      </c>
      <c r="D5" s="3">
        <f>'Avoided Def'!$A$7*('Aff Ref'!$B$13*1000)*('Aff Ref'!$B$23)</f>
        <v>1975.607673</v>
      </c>
      <c r="E5" s="3">
        <f>'Avoided Def'!$A$7*('Aff Ref'!$B$13*1000)*('Aff Ref'!$B$23)</f>
        <v>1975.607673</v>
      </c>
      <c r="F5" s="3">
        <f>'Avoided Def'!$A$7*('Aff Ref'!$B$13*1000)*('Aff Ref'!$B$23)</f>
        <v>1975.607673</v>
      </c>
      <c r="G5" s="3">
        <f>'Avoided Def'!$A$7*('Aff Ref'!$B$13*1000)*('Aff Ref'!$B$23)</f>
        <v>1975.607673</v>
      </c>
      <c r="H5" s="3">
        <f>'Avoided Def'!$A$7*('Aff Ref'!$B$13*1000)*('Aff Ref'!$B$23)</f>
        <v>1975.607673</v>
      </c>
      <c r="I5" s="3">
        <f>'Avoided Def'!$A$7*('Aff Ref'!$B$13*1000)*('Aff Ref'!$B$23)</f>
        <v>1975.607673</v>
      </c>
      <c r="J5" s="3">
        <f>'Avoided Def'!$A$7*('Aff Ref'!$B$13*1000)*('Aff Ref'!$B$23)</f>
        <v>1975.607673</v>
      </c>
      <c r="K5" s="3">
        <f>'Avoided Def'!$A$7*('Aff Ref'!$B$13*1000)*('Aff Ref'!$B$23)</f>
        <v>1975.607673</v>
      </c>
      <c r="L5" s="3">
        <f>'Avoided Def'!$A$7*('Aff Ref'!$B$13*1000)*('Aff Ref'!$B$23)</f>
        <v>1975.607673</v>
      </c>
      <c r="M5" s="3">
        <f>'Avoided Def'!$A$7*('Aff Ref'!$B$13*1000)*('Aff Ref'!$B$23)</f>
        <v>1975.607673</v>
      </c>
      <c r="N5" s="3">
        <f>'Avoided Def'!$A$7*('Aff Ref'!$B$13*1000)*('Aff Ref'!$B$23)</f>
        <v>1975.607673</v>
      </c>
      <c r="O5" s="3">
        <f>'Avoided Def'!$A$7*('Aff Ref'!$B$13*1000)*('Aff Ref'!$B$23)</f>
        <v>1975.607673</v>
      </c>
      <c r="P5" s="3">
        <f>'Avoided Def'!$A$7*('Aff Ref'!$B$13*1000)*('Aff Ref'!$B$23)</f>
        <v>1975.607673</v>
      </c>
      <c r="Q5" s="3">
        <f>'Avoided Def'!$A$7*('Aff Ref'!$B$13*1000)*('Aff Ref'!$B$23)</f>
        <v>1975.607673</v>
      </c>
      <c r="R5" s="3">
        <f>'Avoided Def'!$A$7*('Aff Ref'!$B$13*1000)*('Aff Ref'!$B$23)</f>
        <v>1975.607673</v>
      </c>
      <c r="S5" s="3">
        <f>'Avoided Def'!$A$7*('Aff Ref'!$B$13*1000)*('Aff Ref'!$B$23)</f>
        <v>1975.607673</v>
      </c>
      <c r="T5" s="3">
        <f>'Avoided Def'!$A$7*('Aff Ref'!$B$13*1000)*('Aff Ref'!$B$23)</f>
        <v>1975.607673</v>
      </c>
      <c r="U5" s="3">
        <f>'Avoided Def'!$A$7*('Aff Ref'!$B$13*1000)*('Aff Ref'!$B$23)</f>
        <v>1975.607673</v>
      </c>
      <c r="V5" s="3">
        <f>'Avoided Def'!$A$7*('Aff Ref'!$B$13*1000)*('Aff Ref'!$B$23)</f>
        <v>1975.607673</v>
      </c>
      <c r="W5" s="3">
        <f>'Avoided Def'!$A$7*('Aff Ref'!$B$13*1000)*('Aff Ref'!$B$23)</f>
        <v>1975.607673</v>
      </c>
      <c r="X5" s="3">
        <f>'Avoided Def'!$A$7*('Aff Ref'!$B$13*1000)*('Aff Ref'!$B$23)</f>
        <v>1975.607673</v>
      </c>
      <c r="Y5" s="3">
        <f>'Avoided Def'!$A$7*('Aff Ref'!$B$13*1000)*('Aff Ref'!$B$23)</f>
        <v>1975.607673</v>
      </c>
      <c r="Z5" s="3">
        <f>'Avoided Def'!$A$7*('Aff Ref'!$B$13*1000)*('Aff Ref'!$B$23)</f>
        <v>1975.607673</v>
      </c>
      <c r="AA5" s="3">
        <f>'Avoided Def'!$A$7*('Aff Ref'!$B$13*1000)*('Aff Ref'!$B$23)</f>
        <v>1975.607673</v>
      </c>
      <c r="AB5" s="3">
        <f>'Avoided Def'!$A$7*('Aff Ref'!$B$13*1000)*('Aff Ref'!$B$23)</f>
        <v>1975.607673</v>
      </c>
      <c r="AC5" s="3">
        <f>'Avoided Def'!$A$7*('Aff Ref'!$B$13*1000)*('Aff Ref'!$B$23)</f>
        <v>1975.607673</v>
      </c>
      <c r="AD5" s="3">
        <f>'Avoided Def'!$A$7*('Aff Ref'!$B$13*1000)*('Aff Ref'!$B$23)</f>
        <v>1975.607673</v>
      </c>
      <c r="AE5" s="3">
        <f>'Avoided Def'!$A$7*('Aff Ref'!$B$13*1000)*('Aff Ref'!$B$23)</f>
        <v>1975.607673</v>
      </c>
      <c r="AF5" s="3">
        <f>'Avoided Def'!$A$7*('Aff Ref'!$B$13*1000)*('Aff Ref'!$B$23)</f>
        <v>1975.607673</v>
      </c>
      <c r="AG5" s="3">
        <f>'Avoided Def'!$A$7*('Aff Ref'!$B$13*1000)*('Aff Ref'!$B$23)</f>
        <v>1975.607673</v>
      </c>
      <c r="AH5" s="3">
        <f>'Avoided Def'!$A$7*('Aff Ref'!$B$13*1000)*('Aff Ref'!$B$23)</f>
        <v>1975.607673</v>
      </c>
      <c r="AI5" s="3">
        <f>'Avoided Def'!$A$7*('Aff Ref'!$B$13*1000)*('Aff Ref'!$B$23)</f>
        <v>1975.607673</v>
      </c>
      <c r="AJ5" s="3">
        <f>'Avoided Def'!$A$7*('Aff Ref'!$B$13*1000)*('Aff Ref'!$B$23)</f>
        <v>1975.607673</v>
      </c>
    </row>
    <row r="6" spans="1:36" x14ac:dyDescent="0.3">
      <c r="A6" t="s">
        <v>6</v>
      </c>
      <c r="B6">
        <v>0</v>
      </c>
      <c r="C6">
        <f>B6</f>
        <v>0</v>
      </c>
      <c r="D6">
        <f t="shared" ref="D6:AJ6" si="0">C6</f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>'Peatland Restoration'!B11</f>
        <v>345.9475334</v>
      </c>
      <c r="J6">
        <f t="shared" si="0"/>
        <v>345.9475334</v>
      </c>
      <c r="K6">
        <f t="shared" si="0"/>
        <v>345.9475334</v>
      </c>
      <c r="L6">
        <f t="shared" si="0"/>
        <v>345.9475334</v>
      </c>
      <c r="M6">
        <f t="shared" si="0"/>
        <v>345.9475334</v>
      </c>
      <c r="N6">
        <f>'Peatland Restoration'!B12</f>
        <v>247.10538100000002</v>
      </c>
      <c r="O6">
        <f t="shared" si="0"/>
        <v>247.10538100000002</v>
      </c>
      <c r="P6">
        <f t="shared" si="0"/>
        <v>247.10538100000002</v>
      </c>
      <c r="Q6">
        <f t="shared" si="0"/>
        <v>247.10538100000002</v>
      </c>
      <c r="R6">
        <f t="shared" si="0"/>
        <v>247.10538100000002</v>
      </c>
      <c r="S6">
        <f t="shared" si="0"/>
        <v>247.10538100000002</v>
      </c>
      <c r="T6">
        <f t="shared" si="0"/>
        <v>247.10538100000002</v>
      </c>
      <c r="U6">
        <f t="shared" si="0"/>
        <v>247.10538100000002</v>
      </c>
      <c r="V6">
        <f t="shared" si="0"/>
        <v>247.10538100000002</v>
      </c>
      <c r="W6">
        <f t="shared" si="0"/>
        <v>247.10538100000002</v>
      </c>
      <c r="X6">
        <f t="shared" si="0"/>
        <v>247.10538100000002</v>
      </c>
      <c r="Y6">
        <f t="shared" si="0"/>
        <v>247.10538100000002</v>
      </c>
      <c r="Z6">
        <f t="shared" si="0"/>
        <v>247.10538100000002</v>
      </c>
      <c r="AA6">
        <f t="shared" si="0"/>
        <v>247.10538100000002</v>
      </c>
      <c r="AB6">
        <f t="shared" si="0"/>
        <v>247.10538100000002</v>
      </c>
      <c r="AC6">
        <f t="shared" si="0"/>
        <v>247.10538100000002</v>
      </c>
      <c r="AD6">
        <f t="shared" si="0"/>
        <v>247.10538100000002</v>
      </c>
      <c r="AE6">
        <f t="shared" si="0"/>
        <v>247.10538100000002</v>
      </c>
      <c r="AF6">
        <f t="shared" si="0"/>
        <v>247.10538100000002</v>
      </c>
      <c r="AG6">
        <f t="shared" si="0"/>
        <v>247.10538100000002</v>
      </c>
      <c r="AH6">
        <f t="shared" si="0"/>
        <v>247.10538100000002</v>
      </c>
      <c r="AI6">
        <f t="shared" si="0"/>
        <v>247.10538100000002</v>
      </c>
      <c r="AJ6">
        <f t="shared" si="0"/>
        <v>247.10538100000002</v>
      </c>
    </row>
    <row r="7" spans="1:36" x14ac:dyDescent="0.3">
      <c r="A7" t="s">
        <v>7</v>
      </c>
      <c r="B7" s="38">
        <f>'Forest Restoration'!$A$15</f>
        <v>112.58122023999999</v>
      </c>
      <c r="C7" s="38">
        <f>'Forest Restoration'!$A$15</f>
        <v>112.58122023999999</v>
      </c>
      <c r="D7" s="38">
        <f>'Forest Restoration'!$A$15</f>
        <v>112.58122023999999</v>
      </c>
      <c r="E7" s="38">
        <f>'Forest Restoration'!$A$15</f>
        <v>112.58122023999999</v>
      </c>
      <c r="F7" s="38">
        <f>'Forest Restoration'!$A$15</f>
        <v>112.58122023999999</v>
      </c>
      <c r="G7" s="38">
        <f>'Forest Restoration'!$A$15</f>
        <v>112.58122023999999</v>
      </c>
      <c r="H7" s="38">
        <f>'Forest Restoration'!$A$15</f>
        <v>112.58122023999999</v>
      </c>
      <c r="I7" s="38">
        <f>'Forest Restoration'!$A$15</f>
        <v>112.58122023999999</v>
      </c>
      <c r="J7" s="38">
        <f>'Forest Restoration'!$A$15</f>
        <v>112.58122023999999</v>
      </c>
      <c r="K7" s="38">
        <f>'Forest Restoration'!$A$15</f>
        <v>112.58122023999999</v>
      </c>
      <c r="L7" s="38">
        <f>'Forest Restoration'!$A$15</f>
        <v>112.58122023999999</v>
      </c>
      <c r="M7" s="38">
        <f>'Forest Restoration'!$A$15</f>
        <v>112.58122023999999</v>
      </c>
      <c r="N7" s="38">
        <f>'Forest Restoration'!$A$15</f>
        <v>112.58122023999999</v>
      </c>
      <c r="O7" s="38">
        <f>'Forest Restoration'!$A$15</f>
        <v>112.58122023999999</v>
      </c>
      <c r="P7" s="38">
        <f>'Forest Restoration'!$A$15</f>
        <v>112.58122023999999</v>
      </c>
      <c r="Q7" s="38">
        <f>'Forest Restoration'!$A$15</f>
        <v>112.58122023999999</v>
      </c>
      <c r="R7" s="38">
        <f>'Forest Restoration'!$A$15</f>
        <v>112.58122023999999</v>
      </c>
      <c r="S7" s="38">
        <f>'Forest Restoration'!$A$15</f>
        <v>112.58122023999999</v>
      </c>
      <c r="T7" s="38">
        <f>'Forest Restoration'!$A$15</f>
        <v>112.58122023999999</v>
      </c>
      <c r="U7" s="38">
        <f>'Forest Restoration'!$A$15</f>
        <v>112.58122023999999</v>
      </c>
      <c r="V7" s="38">
        <f>'Forest Restoration'!$A$15</f>
        <v>112.58122023999999</v>
      </c>
      <c r="W7" s="38">
        <f>'Forest Restoration'!$A$15</f>
        <v>112.58122023999999</v>
      </c>
      <c r="X7" s="38">
        <f>'Forest Restoration'!$A$15</f>
        <v>112.58122023999999</v>
      </c>
      <c r="Y7" s="38">
        <f>'Forest Restoration'!$A$15</f>
        <v>112.58122023999999</v>
      </c>
      <c r="Z7" s="38">
        <f>'Forest Restoration'!$A$15</f>
        <v>112.58122023999999</v>
      </c>
      <c r="AA7" s="38">
        <f>'Forest Restoration'!$A$15</f>
        <v>112.58122023999999</v>
      </c>
      <c r="AB7" s="38">
        <f>'Forest Restoration'!$A$15</f>
        <v>112.58122023999999</v>
      </c>
      <c r="AC7" s="38">
        <f>'Forest Restoration'!$A$15</f>
        <v>112.58122023999999</v>
      </c>
      <c r="AD7" s="38">
        <f>'Forest Restoration'!$A$15</f>
        <v>112.58122023999999</v>
      </c>
      <c r="AE7" s="38">
        <f>'Forest Restoration'!$A$15</f>
        <v>112.58122023999999</v>
      </c>
      <c r="AF7" s="38">
        <f>'Forest Restoration'!$A$15</f>
        <v>112.58122023999999</v>
      </c>
      <c r="AG7" s="38">
        <f>'Forest Restoration'!$A$15</f>
        <v>112.58122023999999</v>
      </c>
      <c r="AH7" s="38">
        <f>'Forest Restoration'!$A$15</f>
        <v>112.58122023999999</v>
      </c>
      <c r="AI7" s="38">
        <f>'Forest Restoration'!$A$15</f>
        <v>112.58122023999999</v>
      </c>
      <c r="AJ7" s="38">
        <f>'Forest Restoration'!$A$15</f>
        <v>112.58122023999999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A85B9-6D15-46DA-8645-319EAC5A02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51C5AF-E5C5-495B-9C6C-B733EF4C3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2455F5-A366-48C6-823F-E2E85D891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About</vt:lpstr>
      <vt:lpstr>Aff Ref</vt:lpstr>
      <vt:lpstr>Set Asides</vt:lpstr>
      <vt:lpstr>Avoided Def</vt:lpstr>
      <vt:lpstr>Impr Forest Mgmt</vt:lpstr>
      <vt:lpstr>Forest Restoration</vt:lpstr>
      <vt:lpstr>Peatland Restoration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2017-01-27T05:17:42Z</dcterms:created>
  <dcterms:modified xsi:type="dcterms:W3CDTF">2025-11-19T08:44:39Z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