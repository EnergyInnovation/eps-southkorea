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y Francis Swint\Vensim\eps-southkorea\InputData\trans\AVLo\"/>
    </mc:Choice>
  </mc:AlternateContent>
  <xr:revisionPtr revIDLastSave="0" documentId="13_ncr:1_{42A4C623-08CD-46A8-883B-486664EAAE22}" xr6:coauthVersionLast="47" xr6:coauthVersionMax="47" xr10:uidLastSave="{00000000-0000-0000-0000-000000000000}"/>
  <bookViews>
    <workbookView xWindow="-38505" yWindow="-2205" windowWidth="19410" windowHeight="20985" firstSheet="12" activeTab="13" xr2:uid="{93120D57-562B-4CC7-BC2A-853A917AD7F3}"/>
  </bookViews>
  <sheets>
    <sheet name="About" sheetId="1" r:id="rId1"/>
    <sheet name="DV-psgr" sheetId="8" r:id="rId2"/>
    <sheet name="DV-freight" sheetId="9" r:id="rId3"/>
    <sheet name="BAADTbVT_air" sheetId="5" r:id="rId4"/>
    <sheet name="ships-psgr" sheetId="11" r:id="rId5"/>
    <sheet name="ships-frgt" sheetId="16" r:id="rId6"/>
    <sheet name="subway" sheetId="12" r:id="rId7"/>
    <sheet name="고속철도 여객수송동향" sheetId="14" r:id="rId8"/>
    <sheet name="열차 여객수송인원" sheetId="15" r:id="rId9"/>
    <sheet name="Air-Calcs" sheetId="20" r:id="rId10"/>
    <sheet name="rail" sheetId="13" r:id="rId11"/>
    <sheet name="US AVLo" sheetId="17" r:id="rId12"/>
    <sheet name="SYAVLo-passengers" sheetId="18" r:id="rId13"/>
    <sheet name="SYAVLo-freight" sheetId="19" r:id="rId14"/>
    <sheet name="AVLo-passengers" sheetId="2" r:id="rId15"/>
    <sheet name="AVLo-freight" sheetId="4" r:id="rId16"/>
  </sheets>
  <externalReferences>
    <externalReference r:id="rId17"/>
    <externalReference r:id="rId18"/>
    <externalReference r:id="rId19"/>
  </externalReferences>
  <definedNames>
    <definedName name="Eno_TM" localSheetId="9">'[1]1997  Table 1a Modified'!#REF!</definedName>
    <definedName name="Eno_TM">'[2]1997  Table 1a Modified'!#REF!</definedName>
    <definedName name="Eno_Tons" localSheetId="9">'[1]1997  Table 1a Modified'!#REF!</definedName>
    <definedName name="Eno_Tons">'[2]1997  Table 1a Modified'!#REF!</definedName>
    <definedName name="Sum_T2" localSheetId="9">'[1]1997  Table 1a Modified'!#REF!</definedName>
    <definedName name="Sum_T2">'[2]1997  Table 1a Modified'!#REF!</definedName>
    <definedName name="Sum_TTM" localSheetId="9">'[1]1997  Table 1a Modified'!#REF!</definedName>
    <definedName name="Sum_TTM">'[2]1997  Table 1a Modified'!#REF!</definedName>
    <definedName name="ti_tbl_50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19" l="1"/>
  <c r="B4" i="19"/>
  <c r="B5" i="19"/>
  <c r="B6" i="19"/>
  <c r="B7" i="19"/>
  <c r="B2" i="19"/>
  <c r="B3" i="18"/>
  <c r="B4" i="18"/>
  <c r="B5" i="18"/>
  <c r="B6" i="18"/>
  <c r="B7" i="18"/>
  <c r="B2" i="18"/>
  <c r="O33" i="9"/>
  <c r="O32" i="9"/>
  <c r="O31" i="9"/>
  <c r="P31" i="9" s="1"/>
  <c r="O28" i="9"/>
  <c r="L28" i="9"/>
  <c r="P28" i="9" s="1"/>
  <c r="B2" i="4" s="1"/>
  <c r="L31" i="9"/>
  <c r="L30" i="9"/>
  <c r="L29" i="9"/>
  <c r="D30" i="13"/>
  <c r="B3" i="4" l="1"/>
  <c r="F2" i="2"/>
  <c r="E2" i="2" s="1"/>
  <c r="D2" i="2" s="1"/>
  <c r="C2" i="2" s="1"/>
  <c r="B2" i="2" s="1"/>
  <c r="B3" i="2"/>
  <c r="C3" i="2"/>
  <c r="D3" i="2"/>
  <c r="E3" i="2"/>
  <c r="F3" i="2"/>
  <c r="B4" i="2"/>
  <c r="C4" i="2"/>
  <c r="D4" i="2"/>
  <c r="E4" i="2"/>
  <c r="F4" i="2"/>
  <c r="B5" i="2"/>
  <c r="C5" i="2"/>
  <c r="D5" i="2"/>
  <c r="E5" i="2"/>
  <c r="F5" i="2"/>
  <c r="B6" i="2"/>
  <c r="C6" i="2"/>
  <c r="D6" i="2" s="1"/>
  <c r="E6" i="2" s="1"/>
  <c r="F6" i="2" s="1"/>
  <c r="C7" i="2"/>
  <c r="D7" i="2"/>
  <c r="E7" i="2"/>
  <c r="F7" i="2"/>
  <c r="N45" i="8"/>
  <c r="O45" i="8" s="1"/>
  <c r="P45" i="8" s="1"/>
  <c r="Q45" i="8" s="1"/>
  <c r="R45" i="8" s="1"/>
  <c r="S45" i="8" s="1"/>
  <c r="T45" i="8" s="1"/>
  <c r="M45" i="8"/>
  <c r="K45" i="8"/>
  <c r="H2" i="2"/>
  <c r="G2" i="2"/>
  <c r="J2" i="2" l="1"/>
  <c r="I2" i="2"/>
  <c r="H41" i="8"/>
  <c r="K2" i="2" l="1"/>
  <c r="L2" i="2" l="1"/>
  <c r="M4" i="2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AJ4" i="2" s="1"/>
  <c r="AK4" i="2" s="1"/>
  <c r="L4" i="2"/>
  <c r="H4" i="2" a="1"/>
  <c r="M51" i="20"/>
  <c r="M50" i="20"/>
  <c r="M49" i="20"/>
  <c r="M48" i="20"/>
  <c r="M47" i="20"/>
  <c r="M46" i="20"/>
  <c r="I39" i="20"/>
  <c r="I40" i="20"/>
  <c r="I41" i="20"/>
  <c r="I42" i="20"/>
  <c r="I43" i="20"/>
  <c r="I44" i="20"/>
  <c r="I45" i="20"/>
  <c r="I46" i="20"/>
  <c r="J46" i="20"/>
  <c r="K46" i="20" s="1"/>
  <c r="I47" i="20"/>
  <c r="J47" i="20"/>
  <c r="K47" i="20" s="1"/>
  <c r="I48" i="20"/>
  <c r="J48" i="20"/>
  <c r="K48" i="20" s="1"/>
  <c r="I49" i="20"/>
  <c r="J49" i="20"/>
  <c r="K49" i="20" s="1"/>
  <c r="I50" i="20"/>
  <c r="J50" i="20"/>
  <c r="K50" i="20"/>
  <c r="I51" i="20"/>
  <c r="J51" i="20" s="1"/>
  <c r="K51" i="20" s="1"/>
  <c r="F55" i="20"/>
  <c r="F56" i="20"/>
  <c r="F57" i="20"/>
  <c r="F58" i="20"/>
  <c r="F59" i="20"/>
  <c r="F60" i="20"/>
  <c r="G6" i="2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AG6" i="2" s="1"/>
  <c r="AH6" i="2" s="1"/>
  <c r="AI6" i="2" s="1"/>
  <c r="AJ6" i="2" s="1"/>
  <c r="AK6" i="2" s="1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B6" i="4"/>
  <c r="G2" i="5"/>
  <c r="D2" i="5"/>
  <c r="B2" i="5"/>
  <c r="F2" i="5"/>
  <c r="E2" i="5"/>
  <c r="C2" i="5"/>
  <c r="A2" i="5"/>
  <c r="A1" i="5"/>
  <c r="O40" i="5"/>
  <c r="H39" i="5"/>
  <c r="G40" i="5"/>
  <c r="C40" i="5"/>
  <c r="M39" i="5"/>
  <c r="J39" i="5"/>
  <c r="N40" i="5"/>
  <c r="G39" i="5"/>
  <c r="A40" i="5"/>
  <c r="N39" i="5"/>
  <c r="M40" i="5"/>
  <c r="F40" i="5"/>
  <c r="D40" i="5"/>
  <c r="K39" i="5"/>
  <c r="L40" i="5"/>
  <c r="K40" i="5"/>
  <c r="H40" i="5"/>
  <c r="E40" i="5"/>
  <c r="B40" i="5"/>
  <c r="J40" i="5"/>
  <c r="L39" i="5"/>
  <c r="I40" i="5"/>
  <c r="I39" i="5"/>
  <c r="A39" i="5"/>
  <c r="M2" i="2" l="1"/>
  <c r="F2" i="16"/>
  <c r="N2" i="2" l="1"/>
  <c r="G3" i="16"/>
  <c r="F18" i="16"/>
  <c r="F17" i="16"/>
  <c r="F16" i="16"/>
  <c r="F15" i="16"/>
  <c r="F14" i="16"/>
  <c r="F13" i="16"/>
  <c r="F12" i="16"/>
  <c r="F10" i="16"/>
  <c r="F9" i="16"/>
  <c r="F8" i="16"/>
  <c r="F6" i="16"/>
  <c r="F4" i="16"/>
  <c r="F3" i="16"/>
  <c r="F11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3" i="16"/>
  <c r="G22" i="16"/>
  <c r="H22" i="16" s="1"/>
  <c r="B22" i="16"/>
  <c r="C22" i="16"/>
  <c r="D22" i="16"/>
  <c r="O2" i="2" l="1"/>
  <c r="C9" i="13"/>
  <c r="Q2" i="2" l="1"/>
  <c r="P2" i="2"/>
  <c r="B22" i="15"/>
  <c r="C22" i="15" s="1"/>
  <c r="B23" i="15"/>
  <c r="C23" i="15" s="1"/>
  <c r="B21" i="15"/>
  <c r="D9" i="13"/>
  <c r="C8" i="13"/>
  <c r="D8" i="13" s="1"/>
  <c r="F8" i="13" s="1"/>
  <c r="B5" i="4"/>
  <c r="C13" i="13" l="1"/>
  <c r="D6" i="13" s="1"/>
  <c r="C12" i="13"/>
  <c r="D5" i="13" s="1"/>
  <c r="D4" i="13" l="1"/>
  <c r="F4" i="13" s="1"/>
  <c r="C30" i="13" l="1"/>
  <c r="E46" i="12"/>
  <c r="H45" i="12"/>
  <c r="I45" i="12" s="1"/>
  <c r="D45" i="12"/>
  <c r="H44" i="12"/>
  <c r="I44" i="12" s="1"/>
  <c r="D44" i="12"/>
  <c r="H43" i="12"/>
  <c r="I43" i="12" s="1"/>
  <c r="D43" i="12"/>
  <c r="H42" i="12"/>
  <c r="I42" i="12" s="1"/>
  <c r="D42" i="12"/>
  <c r="F41" i="12"/>
  <c r="H41" i="12" s="1"/>
  <c r="I41" i="12" s="1"/>
  <c r="D41" i="12"/>
  <c r="F40" i="12"/>
  <c r="H40" i="12" s="1"/>
  <c r="I40" i="12" s="1"/>
  <c r="D40" i="12"/>
  <c r="F39" i="12"/>
  <c r="H39" i="12" s="1"/>
  <c r="I39" i="12" s="1"/>
  <c r="D39" i="12"/>
  <c r="F38" i="12"/>
  <c r="H38" i="12" s="1"/>
  <c r="I38" i="12" s="1"/>
  <c r="D38" i="12"/>
  <c r="I37" i="12"/>
  <c r="H37" i="12"/>
  <c r="D37" i="12"/>
  <c r="H36" i="12"/>
  <c r="I36" i="12" s="1"/>
  <c r="D36" i="12"/>
  <c r="H35" i="12"/>
  <c r="I35" i="12" s="1"/>
  <c r="D35" i="12"/>
  <c r="H34" i="12"/>
  <c r="I34" i="12" s="1"/>
  <c r="D34" i="12"/>
  <c r="H33" i="12"/>
  <c r="I33" i="12" s="1"/>
  <c r="D33" i="12"/>
  <c r="H32" i="12"/>
  <c r="I32" i="12" s="1"/>
  <c r="D32" i="12"/>
  <c r="H31" i="12"/>
  <c r="I31" i="12" s="1"/>
  <c r="D31" i="12"/>
  <c r="H30" i="12"/>
  <c r="I30" i="12" s="1"/>
  <c r="D30" i="12"/>
  <c r="H29" i="12"/>
  <c r="I29" i="12" s="1"/>
  <c r="D29" i="12"/>
  <c r="I28" i="12"/>
  <c r="H28" i="12"/>
  <c r="D28" i="12"/>
  <c r="H27" i="12"/>
  <c r="I27" i="12" s="1"/>
  <c r="D27" i="12"/>
  <c r="I26" i="12"/>
  <c r="H26" i="12"/>
  <c r="C26" i="12"/>
  <c r="D26" i="12" s="1"/>
  <c r="H25" i="12"/>
  <c r="I25" i="12" s="1"/>
  <c r="D25" i="12"/>
  <c r="H24" i="12"/>
  <c r="I24" i="12" s="1"/>
  <c r="D24" i="12"/>
  <c r="H23" i="12"/>
  <c r="I23" i="12" s="1"/>
  <c r="H22" i="12"/>
  <c r="I22" i="12" s="1"/>
  <c r="D22" i="12"/>
  <c r="D46" i="12" l="1"/>
  <c r="C47" i="12"/>
  <c r="C31" i="13" s="1"/>
  <c r="H15" i="11"/>
  <c r="H16" i="11"/>
  <c r="H17" i="11"/>
  <c r="H18" i="11"/>
  <c r="H19" i="11"/>
  <c r="H14" i="11"/>
  <c r="G15" i="11"/>
  <c r="I15" i="11" s="1"/>
  <c r="F4" i="11" s="1"/>
  <c r="G16" i="11"/>
  <c r="G17" i="11"/>
  <c r="I17" i="11" s="1"/>
  <c r="F6" i="11" s="1"/>
  <c r="G18" i="11"/>
  <c r="G19" i="11"/>
  <c r="I19" i="11" s="1"/>
  <c r="F8" i="11" s="1"/>
  <c r="G14" i="11"/>
  <c r="C10" i="11"/>
  <c r="I14" i="11" l="1"/>
  <c r="F3" i="11" s="1"/>
  <c r="I16" i="11"/>
  <c r="F5" i="11" s="1"/>
  <c r="I18" i="11"/>
  <c r="F7" i="11" s="1"/>
  <c r="G3" i="11"/>
  <c r="J6" i="5"/>
  <c r="H42" i="8" l="1"/>
  <c r="E56" i="8"/>
  <c r="E55" i="8"/>
  <c r="N47" i="5" l="1"/>
  <c r="N44" i="5"/>
  <c r="O2" i="4" l="1"/>
  <c r="O14" i="5"/>
  <c r="L9" i="5" s="1"/>
  <c r="N54" i="5"/>
  <c r="I19" i="5" s="1"/>
  <c r="K19" i="5" s="1"/>
  <c r="M13" i="5"/>
  <c r="O48" i="5"/>
  <c r="O54" i="5"/>
  <c r="N50" i="5"/>
  <c r="O47" i="5"/>
  <c r="O53" i="5"/>
  <c r="O49" i="5"/>
  <c r="N13" i="5"/>
  <c r="N51" i="5"/>
  <c r="N46" i="5"/>
  <c r="O43" i="5"/>
  <c r="N49" i="5"/>
  <c r="N52" i="5"/>
  <c r="O46" i="5"/>
  <c r="N53" i="5"/>
  <c r="I18" i="5" s="1"/>
  <c r="K18" i="5" s="1"/>
  <c r="M14" i="5"/>
  <c r="N48" i="5"/>
  <c r="N45" i="5"/>
  <c r="O52" i="5"/>
  <c r="O44" i="5"/>
  <c r="O45" i="5"/>
  <c r="N43" i="5"/>
  <c r="O50" i="5"/>
  <c r="O51" i="5"/>
  <c r="O13" i="5"/>
  <c r="N14" i="5"/>
  <c r="AH2" i="4" l="1"/>
  <c r="E2" i="4"/>
  <c r="H2" i="4"/>
  <c r="S2" i="4"/>
  <c r="I2" i="4"/>
  <c r="AD2" i="4"/>
  <c r="T2" i="4"/>
  <c r="Y2" i="4"/>
  <c r="P2" i="4"/>
  <c r="AJ2" i="4"/>
  <c r="R2" i="4"/>
  <c r="AG2" i="4"/>
  <c r="Q2" i="4"/>
  <c r="M2" i="4"/>
  <c r="D2" i="4"/>
  <c r="AE2" i="4"/>
  <c r="J2" i="4"/>
  <c r="Z2" i="4"/>
  <c r="AA2" i="4"/>
  <c r="X2" i="4"/>
  <c r="U2" i="4"/>
  <c r="L2" i="4"/>
  <c r="AF2" i="4"/>
  <c r="K2" i="4"/>
  <c r="F2" i="4"/>
  <c r="C2" i="4"/>
  <c r="AB2" i="4"/>
  <c r="AI2" i="4"/>
  <c r="N2" i="4"/>
  <c r="V2" i="4"/>
  <c r="G2" i="4"/>
  <c r="AC2" i="4"/>
  <c r="W2" i="4"/>
  <c r="B4" i="4"/>
  <c r="J9" i="5"/>
  <c r="K9" i="5"/>
  <c r="O9" i="5" s="1"/>
  <c r="K6" i="5"/>
  <c r="L6" i="5"/>
  <c r="P42" i="5"/>
  <c r="O6" i="5" l="1"/>
  <c r="R2" i="2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C3" i="4"/>
  <c r="C7" i="4"/>
  <c r="S4" i="4" l="1"/>
  <c r="G5" i="4"/>
  <c r="T4" i="4" l="1"/>
  <c r="S5" i="4"/>
  <c r="G4" i="4"/>
  <c r="F5" i="4"/>
  <c r="AC5" i="4"/>
  <c r="AG5" i="4"/>
  <c r="C5" i="4"/>
  <c r="X5" i="4"/>
  <c r="H5" i="4"/>
  <c r="X4" i="4"/>
  <c r="AD4" i="4"/>
  <c r="AH4" i="4"/>
  <c r="AG4" i="4"/>
  <c r="Q4" i="4"/>
  <c r="R5" i="4"/>
  <c r="AI4" i="4"/>
  <c r="AB4" i="4"/>
  <c r="AA5" i="4"/>
  <c r="O4" i="4"/>
  <c r="N5" i="4"/>
  <c r="U5" i="4"/>
  <c r="Y5" i="4"/>
  <c r="AJ5" i="4"/>
  <c r="T5" i="4"/>
  <c r="D5" i="4"/>
  <c r="AF4" i="4"/>
  <c r="Z4" i="4"/>
  <c r="V4" i="4"/>
  <c r="AC4" i="4"/>
  <c r="M4" i="4"/>
  <c r="AA4" i="4"/>
  <c r="AH5" i="4"/>
  <c r="D4" i="4"/>
  <c r="AJ4" i="4"/>
  <c r="AI5" i="4"/>
  <c r="W4" i="4"/>
  <c r="V5" i="4"/>
  <c r="M5" i="4"/>
  <c r="Q5" i="4"/>
  <c r="AF5" i="4"/>
  <c r="P5" i="4"/>
  <c r="H4" i="4"/>
  <c r="O5" i="4"/>
  <c r="R4" i="4"/>
  <c r="N4" i="4"/>
  <c r="Y4" i="4"/>
  <c r="I4" i="4"/>
  <c r="Z5" i="4"/>
  <c r="K4" i="4"/>
  <c r="L4" i="4"/>
  <c r="K5" i="4"/>
  <c r="AE5" i="4"/>
  <c r="AE4" i="4"/>
  <c r="AD5" i="4"/>
  <c r="E5" i="4"/>
  <c r="I5" i="4"/>
  <c r="AB5" i="4"/>
  <c r="L5" i="4"/>
  <c r="P4" i="4"/>
  <c r="W5" i="4"/>
  <c r="J4" i="4"/>
  <c r="F4" i="4"/>
  <c r="U4" i="4"/>
  <c r="E4" i="4"/>
  <c r="C4" i="4"/>
  <c r="J5" i="4"/>
  <c r="J3" i="2"/>
  <c r="N3" i="2"/>
  <c r="R3" i="2"/>
  <c r="V3" i="2"/>
  <c r="Z3" i="2"/>
  <c r="AD3" i="2"/>
  <c r="AH3" i="2"/>
  <c r="K3" i="2"/>
  <c r="O3" i="2"/>
  <c r="S3" i="2"/>
  <c r="W3" i="2"/>
  <c r="AA3" i="2"/>
  <c r="AE3" i="2"/>
  <c r="AI3" i="2"/>
  <c r="G3" i="2"/>
  <c r="I3" i="2"/>
  <c r="M3" i="2"/>
  <c r="Q3" i="2"/>
  <c r="U3" i="2"/>
  <c r="Y3" i="2"/>
  <c r="AC3" i="2"/>
  <c r="AG3" i="2"/>
  <c r="AK3" i="2"/>
  <c r="P3" i="2"/>
  <c r="AF3" i="2"/>
  <c r="L3" i="2"/>
  <c r="AB3" i="2"/>
  <c r="T3" i="2"/>
  <c r="AJ3" i="2"/>
  <c r="H3" i="2"/>
  <c r="X3" i="2"/>
  <c r="J7" i="2"/>
  <c r="N7" i="2"/>
  <c r="R7" i="2"/>
  <c r="V7" i="2"/>
  <c r="Z7" i="2"/>
  <c r="AD7" i="2"/>
  <c r="AH7" i="2"/>
  <c r="G7" i="2"/>
  <c r="O7" i="2"/>
  <c r="W7" i="2"/>
  <c r="AE7" i="2"/>
  <c r="K7" i="2"/>
  <c r="S7" i="2"/>
  <c r="AA7" i="2"/>
  <c r="AI7" i="2"/>
  <c r="H7" i="2"/>
  <c r="P7" i="2"/>
  <c r="X7" i="2"/>
  <c r="AF7" i="2"/>
  <c r="M7" i="2"/>
  <c r="I7" i="2"/>
  <c r="Q7" i="2"/>
  <c r="Y7" i="2"/>
  <c r="AG7" i="2"/>
  <c r="U7" i="2"/>
  <c r="AK7" i="2"/>
  <c r="L7" i="2"/>
  <c r="T7" i="2"/>
  <c r="AB7" i="2"/>
  <c r="AJ7" i="2"/>
  <c r="AC7" i="2"/>
  <c r="G4" i="2" l="1"/>
  <c r="AK5" i="2" l="1"/>
  <c r="AH5" i="2"/>
  <c r="O5" i="2"/>
  <c r="I5" i="2"/>
  <c r="AI5" i="2"/>
  <c r="M5" i="2"/>
  <c r="G5" i="2"/>
  <c r="AJ5" i="2"/>
  <c r="W5" i="2"/>
  <c r="P5" i="2"/>
  <c r="AF5" i="2"/>
  <c r="J5" i="2"/>
  <c r="U5" i="2"/>
  <c r="AG5" i="2"/>
  <c r="AE5" i="2"/>
  <c r="S5" i="2"/>
  <c r="AC5" i="2"/>
  <c r="AB5" i="2"/>
  <c r="T5" i="2"/>
  <c r="Y5" i="2"/>
  <c r="X5" i="2"/>
  <c r="V5" i="2"/>
  <c r="N5" i="2"/>
  <c r="L5" i="2"/>
  <c r="AA5" i="2"/>
  <c r="AD5" i="2"/>
  <c r="R5" i="2"/>
  <c r="Z5" i="2"/>
  <c r="Q5" i="2"/>
  <c r="K5" i="2"/>
  <c r="H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<sst xmlns="http://schemas.openxmlformats.org/spreadsheetml/2006/main" count="755" uniqueCount="391">
  <si>
    <t>AVLo Average Vehicle Loading</t>
  </si>
  <si>
    <t>Sources:</t>
  </si>
  <si>
    <t>LDVs</t>
  </si>
  <si>
    <t>HDVs</t>
  </si>
  <si>
    <t>aircraft</t>
  </si>
  <si>
    <t>rail</t>
  </si>
  <si>
    <t>ships</t>
  </si>
  <si>
    <t>motorbikes</t>
  </si>
  <si>
    <t>Notes:</t>
  </si>
  <si>
    <t>Vehicle Loading (passengers)</t>
  </si>
  <si>
    <t>Vehicle Loading (tons)</t>
  </si>
  <si>
    <t>국토교통부_연도별 국내국제항공수송실적</t>
    <phoneticPr fontId="42" type="noConversion"/>
  </si>
  <si>
    <t>구분</t>
  </si>
  <si>
    <t>여객(명)</t>
  </si>
  <si>
    <t>여객킬로(Km)</t>
  </si>
  <si>
    <t>화물(톤)</t>
  </si>
  <si>
    <t>화물톤킬로(Km)</t>
  </si>
  <si>
    <t>운항(회)</t>
  </si>
  <si>
    <t>운항킬로(Km)</t>
  </si>
  <si>
    <t>result</t>
    <phoneticPr fontId="42" type="noConversion"/>
  </si>
  <si>
    <t>passenger 
aircraft</t>
    <phoneticPr fontId="42" type="noConversion"/>
  </si>
  <si>
    <t>person</t>
    <phoneticPr fontId="42" type="noConversion"/>
  </si>
  <si>
    <t>person-km</t>
    <phoneticPr fontId="42" type="noConversion"/>
  </si>
  <si>
    <t>좌석수</t>
    <phoneticPr fontId="42" type="noConversion"/>
  </si>
  <si>
    <t>pkm/vehicle</t>
    <phoneticPr fontId="42" type="noConversion"/>
  </si>
  <si>
    <t>pmiles/vehicle</t>
    <phoneticPr fontId="42" type="noConversion"/>
  </si>
  <si>
    <t>miles/vehicle</t>
    <phoneticPr fontId="42" type="noConversion"/>
  </si>
  <si>
    <t>freight
aircraft</t>
    <phoneticPr fontId="42" type="noConversion"/>
  </si>
  <si>
    <t>ton</t>
    <phoneticPr fontId="42" type="noConversion"/>
  </si>
  <si>
    <t>ton-km</t>
    <phoneticPr fontId="42" type="noConversion"/>
  </si>
  <si>
    <t>톤수</t>
    <phoneticPr fontId="42" type="noConversion"/>
  </si>
  <si>
    <t>ton km/vehicle</t>
    <phoneticPr fontId="42" type="noConversion"/>
  </si>
  <si>
    <t>ton miles/vehicle</t>
    <phoneticPr fontId="42" type="noConversion"/>
  </si>
  <si>
    <t>국적사 한정</t>
    <phoneticPr fontId="42" type="noConversion"/>
  </si>
  <si>
    <t>비행기당 화물 톤수 추정</t>
    <phoneticPr fontId="42" type="noConversion"/>
  </si>
  <si>
    <t>운항(편)</t>
    <phoneticPr fontId="42" type="noConversion"/>
  </si>
  <si>
    <t>화물(톤)</t>
    <phoneticPr fontId="42" type="noConversion"/>
  </si>
  <si>
    <t>운항 비율</t>
    <phoneticPr fontId="42" type="noConversion"/>
  </si>
  <si>
    <t>화물 비율</t>
    <phoneticPr fontId="42" type="noConversion"/>
  </si>
  <si>
    <t>운항당 톤 수</t>
    <phoneticPr fontId="42" type="noConversion"/>
  </si>
  <si>
    <t>psgn</t>
    <phoneticPr fontId="42" type="noConversion"/>
  </si>
  <si>
    <t>수하물 포함 수치로 제외</t>
    <phoneticPr fontId="42" type="noConversion"/>
  </si>
  <si>
    <t>freight</t>
    <phoneticPr fontId="42" type="noConversion"/>
  </si>
  <si>
    <t>비행기당 좌석 수 추정</t>
    <phoneticPr fontId="42" type="noConversion"/>
  </si>
  <si>
    <t>국적사 + 외항사 수치</t>
    <phoneticPr fontId="42" type="noConversion"/>
  </si>
  <si>
    <t>항공통계 항공사별 여객, 공급, 운항, 화물 데이터 정리</t>
    <phoneticPr fontId="42" type="noConversion"/>
  </si>
  <si>
    <t>total 대비 국적사 비율</t>
    <phoneticPr fontId="42" type="noConversion"/>
  </si>
  <si>
    <t>국적사</t>
    <phoneticPr fontId="42" type="noConversion"/>
  </si>
  <si>
    <t>공급(석)</t>
    <phoneticPr fontId="42" type="noConversion"/>
  </si>
  <si>
    <t>여객(명)</t>
    <phoneticPr fontId="42" type="noConversion"/>
  </si>
  <si>
    <t>외항사</t>
    <phoneticPr fontId="42" type="noConversion"/>
  </si>
  <si>
    <t/>
  </si>
  <si>
    <t>-</t>
  </si>
  <si>
    <t>합계</t>
    <phoneticPr fontId="42" type="noConversion"/>
  </si>
  <si>
    <t>tons</t>
    <phoneticPr fontId="42" type="noConversion"/>
  </si>
  <si>
    <t>편성수</t>
    <phoneticPr fontId="42" type="noConversion"/>
  </si>
  <si>
    <t>편성당 승객수</t>
    <phoneticPr fontId="42" type="noConversion"/>
  </si>
  <si>
    <t>가중평균</t>
    <phoneticPr fontId="42" type="noConversion"/>
  </si>
  <si>
    <t>rail</t>
    <phoneticPr fontId="42" type="noConversion"/>
  </si>
  <si>
    <t>subway</t>
    <phoneticPr fontId="42" type="noConversion"/>
  </si>
  <si>
    <t>https://scienceon.kisti.re.kr/srch/selectPORSrchReport.do?cn=TRKO201600014179</t>
  </si>
  <si>
    <t>p122</t>
    <phoneticPr fontId="42" type="noConversion"/>
  </si>
  <si>
    <t>승용차</t>
    <phoneticPr fontId="42" type="noConversion"/>
  </si>
  <si>
    <t>택시</t>
    <phoneticPr fontId="42" type="noConversion"/>
  </si>
  <si>
    <t>시내버스</t>
    <phoneticPr fontId="42" type="noConversion"/>
  </si>
  <si>
    <t>시외버스</t>
    <phoneticPr fontId="42" type="noConversion"/>
  </si>
  <si>
    <t>국내여객수송량</t>
    <phoneticPr fontId="42" type="noConversion"/>
  </si>
  <si>
    <t>버스</t>
    <phoneticPr fontId="42" type="noConversion"/>
  </si>
  <si>
    <t>버스구분</t>
    <phoneticPr fontId="42" type="noConversion"/>
  </si>
  <si>
    <t>시내/농어촌버스</t>
    <phoneticPr fontId="42" type="noConversion"/>
  </si>
  <si>
    <t>고속버스</t>
    <phoneticPr fontId="42" type="noConversion"/>
  </si>
  <si>
    <t>전세버스</t>
    <phoneticPr fontId="42" type="noConversion"/>
  </si>
  <si>
    <t>전체</t>
    <phoneticPr fontId="42" type="noConversion"/>
  </si>
  <si>
    <t>차량별 재차인원 관련 데이터</t>
    <phoneticPr fontId="42" type="noConversion"/>
  </si>
  <si>
    <t>결과</t>
    <phoneticPr fontId="42" type="noConversion"/>
  </si>
  <si>
    <t>2016 데이터 기반</t>
    <phoneticPr fontId="42" type="noConversion"/>
  </si>
  <si>
    <t>2010 데이터 기반</t>
    <phoneticPr fontId="42" type="noConversion"/>
  </si>
  <si>
    <t>1톤 이하</t>
    <phoneticPr fontId="42" type="noConversion"/>
  </si>
  <si>
    <t>1톤 초과 3톤 이하</t>
    <phoneticPr fontId="42" type="noConversion"/>
  </si>
  <si>
    <t>3톤 초과 8톤 미만</t>
    <phoneticPr fontId="42" type="noConversion"/>
  </si>
  <si>
    <t>8톤 이상</t>
    <phoneticPr fontId="42" type="noConversion"/>
  </si>
  <si>
    <t>총계</t>
  </si>
  <si>
    <t>적재톤수</t>
    <phoneticPr fontId="42" type="noConversion"/>
  </si>
  <si>
    <t>특수차 제외</t>
    <phoneticPr fontId="42" type="noConversion"/>
  </si>
  <si>
    <t>LDV 적재톤수 추정</t>
    <phoneticPr fontId="42" type="noConversion"/>
  </si>
  <si>
    <t>1톤이하</t>
    <phoneticPr fontId="42" type="noConversion"/>
  </si>
  <si>
    <t>http://stat.molit.go.kr/portal/cate/statFileView.do?hRsId=58&amp;hFormId=5</t>
    <phoneticPr fontId="42" type="noConversion"/>
  </si>
  <si>
    <t>https://www.ktdb.go.kr/www/selectPblcteWebList.do?key=39&amp;pageUnit=10&amp;pageIndex=1&amp;searchCnd=all</t>
    <phoneticPr fontId="42" type="noConversion"/>
  </si>
  <si>
    <t>Page 80, 81, 83, 107, 110</t>
    <phoneticPr fontId="42" type="noConversion"/>
  </si>
  <si>
    <t>Notes</t>
    <phoneticPr fontId="42" type="noConversion"/>
  </si>
  <si>
    <t>LDV-psgr의 경우 2016년도 데이터를 이용했으며, HDV-psgr은 2010년도 데이터를 이용했다.</t>
    <phoneticPr fontId="42" type="noConversion"/>
  </si>
  <si>
    <t>LDV-psgr</t>
    <phoneticPr fontId="42" type="noConversion"/>
  </si>
  <si>
    <t>HDV-psgr</t>
    <phoneticPr fontId="42" type="noConversion"/>
  </si>
  <si>
    <t>일반선</t>
    <phoneticPr fontId="42" type="noConversion"/>
  </si>
  <si>
    <t>고속선</t>
    <phoneticPr fontId="42" type="noConversion"/>
  </si>
  <si>
    <t>쾌속선</t>
    <phoneticPr fontId="42" type="noConversion"/>
  </si>
  <si>
    <t>초쾌속선</t>
    <phoneticPr fontId="42" type="noConversion"/>
  </si>
  <si>
    <t>차도선</t>
    <phoneticPr fontId="42" type="noConversion"/>
  </si>
  <si>
    <t>쾌속카페리</t>
    <phoneticPr fontId="42" type="noConversion"/>
  </si>
  <si>
    <t>일반카페리</t>
    <phoneticPr fontId="42" type="noConversion"/>
  </si>
  <si>
    <t>척</t>
    <phoneticPr fontId="42" type="noConversion"/>
  </si>
  <si>
    <t>여객선 명세</t>
    <phoneticPr fontId="42" type="noConversion"/>
  </si>
  <si>
    <t>카페리</t>
    <phoneticPr fontId="42" type="noConversion"/>
  </si>
  <si>
    <t>선종별 수송실적</t>
    <phoneticPr fontId="42" type="noConversion"/>
  </si>
  <si>
    <t>선종</t>
    <phoneticPr fontId="42" type="noConversion"/>
  </si>
  <si>
    <t>여객정원</t>
    <phoneticPr fontId="42" type="noConversion"/>
  </si>
  <si>
    <t>선종별 평균 여객정원</t>
    <phoneticPr fontId="42" type="noConversion"/>
  </si>
  <si>
    <t>선종별 수</t>
    <phoneticPr fontId="42" type="noConversion"/>
  </si>
  <si>
    <t>선종별 여객정원 합계</t>
    <phoneticPr fontId="42" type="noConversion"/>
  </si>
  <si>
    <t>http://www.theksa.or.kr/site/main/board/sub05_08_01_04/81407?cp=1&amp;sortOrder=BA_REGDATE&amp;sortDirection=DESC&amp;listType=list&amp;bcId=sub05_08_01_04&amp;baNotice=false&amp;baCommSelec=false&amp;baOpenDay=false&amp;baUse=true</t>
    <phoneticPr fontId="42" type="noConversion"/>
  </si>
  <si>
    <t>Page 13-22</t>
    <phoneticPr fontId="42" type="noConversion"/>
  </si>
  <si>
    <t>2019년도 데이터 기반으로 result 도출</t>
    <phoneticPr fontId="42" type="noConversion"/>
  </si>
  <si>
    <t>https://www.srail.or.kr/cms/archive.do?pageId=KR0401000000</t>
    <phoneticPr fontId="42" type="noConversion"/>
  </si>
  <si>
    <t>선박당 인원수 가중평균</t>
    <phoneticPr fontId="42" type="noConversion"/>
  </si>
  <si>
    <t>고속열차 및 ITX(우등열차)는 고정편성수를 사용하지만 나머지 무궁화, 새누리호 등은 편성이 유동적이다.</t>
    <phoneticPr fontId="42" type="noConversion"/>
  </si>
  <si>
    <t>열차 편성당 승객수 계산</t>
    <phoneticPr fontId="42" type="noConversion"/>
  </si>
  <si>
    <t>해운 여객의 seat를 구하기 위해 국내 연안여객선의 선종별 여객정원 자료를 활용했다.</t>
    <phoneticPr fontId="42" type="noConversion"/>
  </si>
  <si>
    <t>Ministry of Land, Infrastructure and Transport</t>
    <phoneticPr fontId="42" type="noConversion"/>
  </si>
  <si>
    <t>Vehicle registration statistics on December 2017</t>
    <phoneticPr fontId="42" type="noConversion"/>
  </si>
  <si>
    <t>Sheet 5. Vehicle registration by type</t>
    <phoneticPr fontId="42" type="noConversion"/>
  </si>
  <si>
    <t>Vehicle registration statistics</t>
    <phoneticPr fontId="42" type="noConversion"/>
  </si>
  <si>
    <t>Vehicle loading capacity</t>
    <phoneticPr fontId="42" type="noConversion"/>
  </si>
  <si>
    <t>Korea Transport Database</t>
    <phoneticPr fontId="42" type="noConversion"/>
  </si>
  <si>
    <t>2019 Domestic Transport Statistics</t>
    <phoneticPr fontId="42" type="noConversion"/>
  </si>
  <si>
    <t>Estimating the number seats for sea travels</t>
    <phoneticPr fontId="42" type="noConversion"/>
  </si>
  <si>
    <t>Korea Shipping Association</t>
    <phoneticPr fontId="42" type="noConversion"/>
  </si>
  <si>
    <t>Current status of coastal passenger ship companies in 2020</t>
    <phoneticPr fontId="42" type="noConversion"/>
  </si>
  <si>
    <t>This variable was produced based on the data obtained from the number of passengers and tonnage related to aircraft and rail of BAADTbVT.</t>
    <phoneticPr fontId="42" type="noConversion"/>
  </si>
  <si>
    <t>We assumed the motobikes-psgr to be 1.1, and motobikes-freight to be 0.003 tons</t>
    <phoneticPr fontId="42" type="noConversion"/>
  </si>
  <si>
    <t>unit:</t>
    <phoneticPr fontId="45" type="noConversion"/>
  </si>
  <si>
    <t>1000persons</t>
  </si>
  <si>
    <t>million persons km</t>
    <phoneticPr fontId="42" type="noConversion"/>
  </si>
  <si>
    <t>rail</t>
    <phoneticPr fontId="45" type="noConversion"/>
  </si>
  <si>
    <t>subway</t>
    <phoneticPr fontId="45" type="noConversion"/>
  </si>
  <si>
    <t>SYVbT_Rail-subway</t>
    <phoneticPr fontId="42" type="noConversion"/>
  </si>
  <si>
    <t>편성당</t>
    <phoneticPr fontId="45" type="noConversion"/>
  </si>
  <si>
    <t>보유량</t>
    <phoneticPr fontId="45" type="noConversion"/>
  </si>
  <si>
    <t>편성수</t>
    <phoneticPr fontId="45" type="noConversion"/>
  </si>
  <si>
    <t>수송인원(일평균)</t>
    <phoneticPr fontId="45" type="noConversion"/>
  </si>
  <si>
    <t>운행횟수</t>
    <phoneticPr fontId="45" type="noConversion"/>
  </si>
  <si>
    <t>평균운행횟수(일)</t>
    <phoneticPr fontId="45" type="noConversion"/>
  </si>
  <si>
    <t>하루 1편성당 이용객</t>
    <phoneticPr fontId="45" type="noConversion"/>
  </si>
  <si>
    <t>평일</t>
    <phoneticPr fontId="45" type="noConversion"/>
  </si>
  <si>
    <t>주말</t>
    <phoneticPr fontId="45" type="noConversion"/>
  </si>
  <si>
    <t>서울 1호선</t>
    <phoneticPr fontId="45" type="noConversion"/>
  </si>
  <si>
    <t>서울 2호선</t>
    <phoneticPr fontId="45" type="noConversion"/>
  </si>
  <si>
    <t>10or6or4</t>
    <phoneticPr fontId="45" type="noConversion"/>
  </si>
  <si>
    <t>서울 3호선</t>
    <phoneticPr fontId="45" type="noConversion"/>
  </si>
  <si>
    <t>서울 4호선</t>
    <phoneticPr fontId="45" type="noConversion"/>
  </si>
  <si>
    <t>서울 5호선</t>
    <phoneticPr fontId="45" type="noConversion"/>
  </si>
  <si>
    <t>서울 6호선</t>
    <phoneticPr fontId="45" type="noConversion"/>
  </si>
  <si>
    <t>서울 7호선</t>
    <phoneticPr fontId="45" type="noConversion"/>
  </si>
  <si>
    <t>서울 8호선</t>
    <phoneticPr fontId="45" type="noConversion"/>
  </si>
  <si>
    <t>서울 9호선</t>
    <phoneticPr fontId="45" type="noConversion"/>
  </si>
  <si>
    <t>대전 1호선</t>
    <phoneticPr fontId="45" type="noConversion"/>
  </si>
  <si>
    <t>부산 1호선</t>
    <phoneticPr fontId="45" type="noConversion"/>
  </si>
  <si>
    <t>부산 2호선</t>
    <phoneticPr fontId="45" type="noConversion"/>
  </si>
  <si>
    <t>부산 3호선</t>
    <phoneticPr fontId="45" type="noConversion"/>
  </si>
  <si>
    <t>부산 4호선</t>
    <phoneticPr fontId="45" type="noConversion"/>
  </si>
  <si>
    <t>인천 1호선</t>
    <phoneticPr fontId="45" type="noConversion"/>
  </si>
  <si>
    <t>인천 2호선</t>
    <phoneticPr fontId="45" type="noConversion"/>
  </si>
  <si>
    <t>대구 1호선</t>
    <phoneticPr fontId="45" type="noConversion"/>
  </si>
  <si>
    <t>대구 2호선</t>
    <phoneticPr fontId="45" type="noConversion"/>
  </si>
  <si>
    <t>대구 3호선</t>
    <phoneticPr fontId="45" type="noConversion"/>
  </si>
  <si>
    <t>광주 1호선</t>
    <phoneticPr fontId="45" type="noConversion"/>
  </si>
  <si>
    <t>부산-김해 경전철</t>
    <phoneticPr fontId="45" type="noConversion"/>
  </si>
  <si>
    <t>의정부 경전철</t>
    <phoneticPr fontId="45" type="noConversion"/>
  </si>
  <si>
    <t>용인경량전철</t>
    <phoneticPr fontId="45" type="noConversion"/>
  </si>
  <si>
    <t>우이 신설경전철</t>
    <phoneticPr fontId="45" type="noConversion"/>
  </si>
  <si>
    <t>총계</t>
    <phoneticPr fontId="45" type="noConversion"/>
  </si>
  <si>
    <t>편성당 승객수</t>
    <phoneticPr fontId="45" type="noConversion"/>
  </si>
  <si>
    <t>rail-passenger</t>
    <phoneticPr fontId="42" type="noConversion"/>
  </si>
  <si>
    <t>rail-freight</t>
    <phoneticPr fontId="42" type="noConversion"/>
  </si>
  <si>
    <t>화물열차 1편성이 견인시키는 중량은 1514.4를 사용했다.</t>
    <phoneticPr fontId="42" type="noConversion"/>
  </si>
  <si>
    <t>KTX</t>
    <phoneticPr fontId="42" type="noConversion"/>
  </si>
  <si>
    <t>KTX-산천</t>
    <phoneticPr fontId="42" type="noConversion"/>
  </si>
  <si>
    <t>SRT</t>
    <phoneticPr fontId="42" type="noConversion"/>
  </si>
  <si>
    <t>1편성당 좌석수</t>
  </si>
  <si>
    <t>통계표명:</t>
  </si>
  <si>
    <t>고속철도 여객 수송동향</t>
  </si>
  <si>
    <t>단위:</t>
  </si>
  <si>
    <t>천명, %</t>
  </si>
  <si>
    <t>고속철도 여객수 계</t>
  </si>
  <si>
    <t>KTX이용률</t>
  </si>
  <si>
    <t>SRT이용률</t>
  </si>
  <si>
    <t>경부선 KTX여객수</t>
  </si>
  <si>
    <t>경부선 KTX이용률</t>
  </si>
  <si>
    <t>경부선 SRT여객수</t>
  </si>
  <si>
    <t>경부선 SRT이용률</t>
  </si>
  <si>
    <t>호남선 KTX여객수</t>
  </si>
  <si>
    <t>호남선 KTX이용률</t>
  </si>
  <si>
    <t>호남선 SRT여객수</t>
  </si>
  <si>
    <t>호남선 SRT이용률</t>
  </si>
  <si>
    <t>경전선 KTX여객수</t>
  </si>
  <si>
    <t>경전선  KTX이용률</t>
  </si>
  <si>
    <t>전라선 KTX여객수</t>
  </si>
  <si>
    <t>전라선 KTX이용률</t>
  </si>
  <si>
    <t>동해선 KTX여객수</t>
  </si>
  <si>
    <t>동해선 KTX이용률</t>
  </si>
  <si>
    <t>출처:</t>
  </si>
  <si>
    <t>한국철도공사 및 (주)SR에서 제공하는「KTX, SRT 여객 수송 통계」</t>
  </si>
  <si>
    <t>https://www.index.go.kr/potal/stts/idxMain/selectPoSttsIdxSearch.do?idx_cd=1252</t>
    <phoneticPr fontId="42" type="noConversion"/>
  </si>
  <si>
    <t>http://info.korail.com/mbs/www/subview.jsp?id=www_020108010000</t>
    <phoneticPr fontId="42" type="noConversion"/>
  </si>
  <si>
    <t>차량수</t>
    <phoneticPr fontId="42" type="noConversion"/>
  </si>
  <si>
    <t>이용률 반영 후</t>
    <phoneticPr fontId="42" type="noConversion"/>
  </si>
  <si>
    <t>이용률 반영 전</t>
    <phoneticPr fontId="42" type="noConversion"/>
  </si>
  <si>
    <t>rail + subway passenger</t>
    <phoneticPr fontId="42" type="noConversion"/>
  </si>
  <si>
    <r>
      <rPr>
        <sz val="12"/>
        <color rgb="FF333333"/>
        <rFont val="맑은 고딕"/>
        <family val="3"/>
        <charset val="129"/>
      </rPr>
      <t>2019 이용률</t>
    </r>
    <r>
      <rPr>
        <sz val="12"/>
        <color rgb="FF333333"/>
        <rFont val="Arial"/>
        <family val="2"/>
      </rPr>
      <t xml:space="preserve"> = </t>
    </r>
    <r>
      <rPr>
        <sz val="12"/>
        <color rgb="FF333333"/>
        <rFont val="맑은 고딕"/>
        <family val="3"/>
        <charset val="129"/>
      </rPr>
      <t>이용객수</t>
    </r>
    <r>
      <rPr>
        <sz val="12"/>
        <color rgb="FF333333"/>
        <rFont val="Arial"/>
        <family val="2"/>
      </rPr>
      <t>/</t>
    </r>
    <r>
      <rPr>
        <sz val="12"/>
        <color rgb="FF333333"/>
        <rFont val="맑은 고딕"/>
        <family val="3"/>
        <charset val="129"/>
      </rPr>
      <t>공급좌석수</t>
    </r>
    <r>
      <rPr>
        <sz val="12"/>
        <color rgb="FF333333"/>
        <rFont val="Arial"/>
        <family val="2"/>
      </rPr>
      <t xml:space="preserve"> * 100</t>
    </r>
    <phoneticPr fontId="42" type="noConversion"/>
  </si>
  <si>
    <t>SYVbT 데이터 이용</t>
    <phoneticPr fontId="42" type="noConversion"/>
  </si>
  <si>
    <t>일반열차</t>
    <phoneticPr fontId="42" type="noConversion"/>
  </si>
  <si>
    <t>고속열차</t>
    <phoneticPr fontId="42" type="noConversion"/>
  </si>
  <si>
    <t>무궁화호</t>
    <phoneticPr fontId="42" type="noConversion"/>
  </si>
  <si>
    <t>ITX 새마을</t>
    <phoneticPr fontId="42" type="noConversion"/>
  </si>
  <si>
    <t>일반열차 좌석 수 평균</t>
    <phoneticPr fontId="42" type="noConversion"/>
  </si>
  <si>
    <t>고속열차 좌석 수 가중평균</t>
    <phoneticPr fontId="42" type="noConversion"/>
  </si>
  <si>
    <t>차종별 여객수송실적(월)</t>
  </si>
  <si>
    <t>연월/열차종별</t>
  </si>
  <si>
    <t>합계_수송인원(명)</t>
  </si>
  <si>
    <t>합계_인키로(km)</t>
  </si>
  <si>
    <t>KTX_수송인원(명)</t>
  </si>
  <si>
    <t>새마을_수송인원(명)</t>
  </si>
  <si>
    <t>무궁화_수송인원(명)</t>
  </si>
  <si>
    <t>통근열차_수송인원(명)</t>
  </si>
  <si>
    <t>누리로_수송인원(명)</t>
  </si>
  <si>
    <t>KTX산천_수송인원(명)</t>
  </si>
  <si>
    <t>ITX새마을_수송인원(명)</t>
  </si>
  <si>
    <t>ITX청춘열차_수송인원(명)</t>
  </si>
  <si>
    <t>KTX호남_수송인원(명)</t>
  </si>
  <si>
    <t>KTX_인키로(km)</t>
  </si>
  <si>
    <t>새마을_인키로(km)</t>
  </si>
  <si>
    <t>무궁화_인키로(km)</t>
  </si>
  <si>
    <t>통근열차_인키로(km)</t>
  </si>
  <si>
    <t>누리로_인키로(km)</t>
  </si>
  <si>
    <t>KTX산천_인키로(km)</t>
  </si>
  <si>
    <t>ITX새마을_인키로(km)</t>
  </si>
  <si>
    <t>ITX청춘열차_인키로(km)</t>
  </si>
  <si>
    <t>KTX호남_인키로(km)</t>
  </si>
  <si>
    <t>합 계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</si>
  <si>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</si>
  <si>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</si>
  <si>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</si>
  <si>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</si>
  <si>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</si>
  <si>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</si>
  <si>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</si>
  <si>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</si>
  <si>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</si>
  <si>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</si>
  <si>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</si>
  <si>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</si>
  <si>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Copyright ⓒ KRIC All Right Reserved.</t>
  </si>
  <si>
    <t>http://www.kric.go.kr/jsp/industry/rss/railcarkindpassList.jsp?q_fdate=2019</t>
  </si>
  <si>
    <t>2019 전체 여객수</t>
    <phoneticPr fontId="42" type="noConversion"/>
  </si>
  <si>
    <t>고속열차 여객수</t>
    <phoneticPr fontId="42" type="noConversion"/>
  </si>
  <si>
    <t>일반열차 여객수</t>
    <phoneticPr fontId="42" type="noConversion"/>
  </si>
  <si>
    <t>여객수(명)</t>
    <phoneticPr fontId="42" type="noConversion"/>
  </si>
  <si>
    <t>비율</t>
    <phoneticPr fontId="42" type="noConversion"/>
  </si>
  <si>
    <t>일반열차는 별도의 이용률 자료가 없으며, 이용이 감소하는 추세라서 이용률을 50%로 가정하였다.</t>
    <phoneticPr fontId="42" type="noConversion"/>
  </si>
  <si>
    <t>새마을호와 무궁화호의 별도 차량 수 구분이 어려워 1편성당 좌석수를 평균으로 산정하였다</t>
    <phoneticPr fontId="42" type="noConversion"/>
  </si>
  <si>
    <t>1편성이 옮길 수 있는 화물의 중량은 아래 자료를 참고하였다.</t>
    <phoneticPr fontId="42" type="noConversion"/>
  </si>
  <si>
    <t>source:</t>
    <phoneticPr fontId="42" type="noConversion"/>
  </si>
  <si>
    <t>SYVbT</t>
    <phoneticPr fontId="42" type="noConversion"/>
  </si>
  <si>
    <t>https://korailtalk.co.kr/293</t>
    <phoneticPr fontId="42" type="noConversion"/>
  </si>
  <si>
    <t>https://korailtalk.co.kr/75</t>
    <phoneticPr fontId="42" type="noConversion"/>
  </si>
  <si>
    <t>total</t>
    <phoneticPr fontId="42" type="noConversion"/>
  </si>
  <si>
    <t>Estimating tons per ships</t>
    <phoneticPr fontId="42" type="noConversion"/>
  </si>
  <si>
    <t>https://scienceon.kisti.re.kr/srch/selectPORSrchArticle.do?cn=JAKO201610254116356&amp;dbt=NART</t>
    <phoneticPr fontId="42" type="noConversion"/>
  </si>
  <si>
    <t>Woo-Jin Chang, Korea Marine Environment Management Corporation</t>
    <phoneticPr fontId="42" type="noConversion"/>
  </si>
  <si>
    <t>A Study on the Development of Risk Assessment for Sunken Vessels Using Remaining-Fuel Estimations Model</t>
    <phoneticPr fontId="42" type="noConversion"/>
  </si>
  <si>
    <t>Page 4</t>
    <phoneticPr fontId="42" type="noConversion"/>
  </si>
  <si>
    <t>Korea Shipowner's Association</t>
    <phoneticPr fontId="42" type="noConversion"/>
  </si>
  <si>
    <t>Maritime statistics</t>
    <phoneticPr fontId="42" type="noConversion"/>
  </si>
  <si>
    <t>https://www.shipowners.or.kr:4432/statistics/ect.php?ptype=view&amp;idx=16683&amp;page=1&amp;code=ect</t>
    <phoneticPr fontId="42" type="noConversion"/>
  </si>
  <si>
    <t>Page 14</t>
    <phoneticPr fontId="42" type="noConversion"/>
  </si>
  <si>
    <t>선종별 국적외항상선대 현황(2019.12)</t>
    <phoneticPr fontId="42" type="noConversion"/>
  </si>
  <si>
    <t>선박종류</t>
    <phoneticPr fontId="42" type="noConversion"/>
  </si>
  <si>
    <t>척수</t>
    <phoneticPr fontId="42" type="noConversion"/>
  </si>
  <si>
    <t>G/T</t>
    <phoneticPr fontId="42" type="noConversion"/>
  </si>
  <si>
    <t>DWT</t>
    <phoneticPr fontId="42" type="noConversion"/>
  </si>
  <si>
    <t>벌크선</t>
    <phoneticPr fontId="42" type="noConversion"/>
  </si>
  <si>
    <t>광탄선</t>
    <phoneticPr fontId="42" type="noConversion"/>
  </si>
  <si>
    <t>핫코일운반선</t>
    <phoneticPr fontId="42" type="noConversion"/>
  </si>
  <si>
    <t>철강재운반선</t>
    <phoneticPr fontId="42" type="noConversion"/>
  </si>
  <si>
    <t>원목운반선</t>
    <phoneticPr fontId="42" type="noConversion"/>
  </si>
  <si>
    <t>자동차운반선</t>
    <phoneticPr fontId="42" type="noConversion"/>
  </si>
  <si>
    <t>풀컨선</t>
    <phoneticPr fontId="42" type="noConversion"/>
  </si>
  <si>
    <t>세미컨선</t>
    <phoneticPr fontId="42" type="noConversion"/>
  </si>
  <si>
    <t>원유운반선</t>
    <phoneticPr fontId="42" type="noConversion"/>
  </si>
  <si>
    <t>일반화물선</t>
    <phoneticPr fontId="42" type="noConversion"/>
  </si>
  <si>
    <t>냉동 냉장선</t>
    <phoneticPr fontId="42" type="noConversion"/>
  </si>
  <si>
    <t>케미칼 운반선</t>
    <phoneticPr fontId="42" type="noConversion"/>
  </si>
  <si>
    <t>LPG선</t>
    <phoneticPr fontId="42" type="noConversion"/>
  </si>
  <si>
    <t>LNG선</t>
    <phoneticPr fontId="42" type="noConversion"/>
  </si>
  <si>
    <t>석유제품운반선</t>
    <phoneticPr fontId="42" type="noConversion"/>
  </si>
  <si>
    <t>석유제품 케미칼 겸용</t>
    <phoneticPr fontId="42" type="noConversion"/>
  </si>
  <si>
    <t>시멘트운반선</t>
    <phoneticPr fontId="42" type="noConversion"/>
  </si>
  <si>
    <t>예선</t>
    <phoneticPr fontId="42" type="noConversion"/>
  </si>
  <si>
    <t>기타선</t>
    <phoneticPr fontId="42" type="noConversion"/>
  </si>
  <si>
    <t>avg DWT/vehicle</t>
    <phoneticPr fontId="42" type="noConversion"/>
  </si>
  <si>
    <t>Oil Capacity of Bulk Carrier</t>
    <phoneticPr fontId="42" type="noConversion"/>
  </si>
  <si>
    <t>Class</t>
    <phoneticPr fontId="42" type="noConversion"/>
  </si>
  <si>
    <t>ship size</t>
    <phoneticPr fontId="42" type="noConversion"/>
  </si>
  <si>
    <t>5-8k</t>
    <phoneticPr fontId="42" type="noConversion"/>
  </si>
  <si>
    <t>Small</t>
    <phoneticPr fontId="42" type="noConversion"/>
  </si>
  <si>
    <t>Hadysize</t>
    <phoneticPr fontId="42" type="noConversion"/>
  </si>
  <si>
    <t>Handymax</t>
    <phoneticPr fontId="42" type="noConversion"/>
  </si>
  <si>
    <t>Panamax</t>
    <phoneticPr fontId="42" type="noConversion"/>
  </si>
  <si>
    <t>Capesize</t>
    <phoneticPr fontId="42" type="noConversion"/>
  </si>
  <si>
    <t>Large Capesize</t>
    <phoneticPr fontId="42" type="noConversion"/>
  </si>
  <si>
    <t>10-30k</t>
    <phoneticPr fontId="42" type="noConversion"/>
  </si>
  <si>
    <t>35-55k</t>
    <phoneticPr fontId="42" type="noConversion"/>
  </si>
  <si>
    <t>63-82k</t>
    <phoneticPr fontId="42" type="noConversion"/>
  </si>
  <si>
    <t>85-175k</t>
    <phoneticPr fontId="42" type="noConversion"/>
  </si>
  <si>
    <t>over 205k</t>
    <phoneticPr fontId="42" type="noConversion"/>
  </si>
  <si>
    <t>fuel oil capacity</t>
    <phoneticPr fontId="42" type="noConversion"/>
  </si>
  <si>
    <t>M/T</t>
    <phoneticPr fontId="42" type="noConversion"/>
  </si>
  <si>
    <t>286-530</t>
    <phoneticPr fontId="42" type="noConversion"/>
  </si>
  <si>
    <t>566-1367</t>
    <phoneticPr fontId="42" type="noConversion"/>
  </si>
  <si>
    <t>1291-1775</t>
    <phoneticPr fontId="42" type="noConversion"/>
  </si>
  <si>
    <t>1719-1934</t>
    <phoneticPr fontId="42" type="noConversion"/>
  </si>
  <si>
    <t>1916-3123</t>
    <phoneticPr fontId="42" type="noConversion"/>
  </si>
  <si>
    <t>3266-4064</t>
    <phoneticPr fontId="42" type="noConversion"/>
  </si>
  <si>
    <t>ratio with DWT</t>
    <phoneticPr fontId="42" type="noConversion"/>
  </si>
  <si>
    <t>%</t>
    <phoneticPr fontId="42" type="noConversion"/>
  </si>
  <si>
    <t>and there is no data related to cargo transport using barges, so it was calculated excluding tugboats and barges.</t>
    <phoneticPr fontId="42" type="noConversion"/>
  </si>
  <si>
    <t>In the case of Korean freight ships, most of them are international cargo transport,</t>
    <phoneticPr fontId="42" type="noConversion"/>
  </si>
  <si>
    <t>Total</t>
  </si>
  <si>
    <t>International passengers</t>
  </si>
  <si>
    <t>Domestic passengers</t>
  </si>
  <si>
    <t>Year</t>
  </si>
  <si>
    <t>pgs. 22-23, 16-17, 18-19</t>
  </si>
  <si>
    <t>psgr-mi</t>
  </si>
  <si>
    <t>pkt</t>
  </si>
  <si>
    <t>km/flight</t>
  </si>
  <si>
    <t>Non-scheduled</t>
  </si>
  <si>
    <t>Scheduled</t>
  </si>
  <si>
    <t>Flight Kilometers (Total)</t>
  </si>
  <si>
    <t>Flights (Total)</t>
  </si>
  <si>
    <t>1-6. Domestic Flight Operation Performance</t>
  </si>
  <si>
    <t>pg. 56</t>
  </si>
  <si>
    <t>pg. 16</t>
  </si>
  <si>
    <t>passengers</t>
  </si>
  <si>
    <t>32.98 (2019) → 25.16 (2020) → 33.15 (2021) → 36.33 (2022) → 32.19 (2023) → 31.13 (2024)</t>
  </si>
  <si>
    <t>Domestic passengers (10,000 persons):</t>
  </si>
  <si>
    <r>
      <t xml:space="preserve">In 2024, domestic air passengers decreased due to a continued rise in overseas travel demand, which led to reduced domestic flight operations. Both Jeju and inland routes saw declines, resulting in a 3.3% drop year-over-year to </t>
    </r>
    <r>
      <rPr>
        <b/>
        <sz val="11"/>
        <color theme="1"/>
        <rFont val="Calibri"/>
        <family val="2"/>
        <scheme val="minor"/>
      </rPr>
      <t>31.13 million passengers</t>
    </r>
    <r>
      <rPr>
        <sz val="11"/>
        <color theme="1"/>
        <rFont val="Calibri"/>
        <family val="2"/>
        <scheme val="minor"/>
      </rPr>
      <t>.</t>
    </r>
  </si>
  <si>
    <t>A. Overview</t>
  </si>
  <si>
    <t>p. 32</t>
  </si>
  <si>
    <t>https://www.airportal.go.kr/file/htmlOpen/upload/ebook/Stats2025/</t>
  </si>
  <si>
    <t>loaded ratio</t>
  </si>
  <si>
    <t>HDV</t>
  </si>
  <si>
    <t>Start Year Calibration</t>
  </si>
  <si>
    <t>Model Run Calibration</t>
  </si>
  <si>
    <t xml:space="preserve">These values are adjusted to make EPS new vehicle sales reflect historical data &amp; future assumptions. See calibration file. </t>
  </si>
  <si>
    <t>2020년 등록자료상 차량 등록 대수</t>
    <phoneticPr fontId="42" type="noConversion"/>
  </si>
  <si>
    <t>&lt;</t>
  </si>
  <si>
    <t>최대적재량별</t>
  </si>
  <si>
    <t>화물자동차</t>
  </si>
  <si>
    <t>등록현황</t>
  </si>
  <si>
    <t>&gt;</t>
  </si>
  <si>
    <t>조회년월:</t>
  </si>
  <si>
    <t>2020.12</t>
  </si>
  <si>
    <t>규</t>
  </si>
  <si>
    <t>모</t>
  </si>
  <si>
    <t>1톤 이하</t>
  </si>
  <si>
    <t>1톤 초과</t>
  </si>
  <si>
    <t>3톤 이상</t>
  </si>
  <si>
    <t>5톤 이상</t>
  </si>
  <si>
    <t>8톤 이상</t>
  </si>
  <si>
    <t>10톤 이상</t>
  </si>
  <si>
    <t>12톤 이상</t>
  </si>
  <si>
    <t>15톤 이상</t>
  </si>
  <si>
    <t>20톤 이상</t>
  </si>
  <si>
    <t>계</t>
  </si>
  <si>
    <t>시도</t>
  </si>
  <si>
    <t>유  형</t>
  </si>
  <si>
    <t>용  도</t>
  </si>
  <si>
    <t>3톤 미만</t>
  </si>
  <si>
    <t>5톤 미만</t>
  </si>
  <si>
    <t>8톤 미만</t>
  </si>
  <si>
    <t>10톤 미만</t>
  </si>
  <si>
    <t>12톤 미만</t>
  </si>
  <si>
    <t>15톤 미만</t>
  </si>
  <si>
    <t>20톤 미만</t>
  </si>
  <si>
    <t>일반형</t>
  </si>
  <si>
    <t>비사업용</t>
  </si>
  <si>
    <t>사업용</t>
  </si>
  <si>
    <t>덤프형</t>
  </si>
  <si>
    <t>밴형</t>
  </si>
  <si>
    <t>특수용도형-특수용도형형</t>
  </si>
  <si>
    <t>적제 톤수 평균</t>
    <phoneticPr fontId="42" type="noConversion"/>
  </si>
  <si>
    <t>등록차량 수 기준은 모델의 시작 년도인 2020년도 기준값을 사용하지만, 적재율 통계(좌측표)는 6년마다 갱신되는 통계값이어서 2020년도 값이 없으므로 2022년도 통계값을 활용함.</t>
    <phoneticPr fontId="4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</si>
</sst>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0.0"/>
    <numFmt numFmtId="166" formatCode="###0.00_)"/>
    <numFmt numFmtId="167" formatCode="#,##0_)"/>
    <numFmt numFmtId="168" formatCode="#,##0_ "/>
    <numFmt numFmtId="169" formatCode="0.00_ "/>
    <numFmt numFmtId="170" formatCode="0.0_ "/>
    <numFmt numFmtId="171" formatCode="0_ "/>
  </numFmts>
  <fonts count="6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theme="1"/>
      <name val="Calibri"/>
      <family val="3"/>
      <charset val="129"/>
      <scheme val="minor"/>
    </font>
    <font>
      <sz val="8"/>
      <name val="Calibri"/>
      <family val="3"/>
      <charset val="129"/>
      <scheme val="minor"/>
    </font>
    <font>
      <sz val="1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8"/>
      <name val="돋움"/>
      <family val="3"/>
      <charset val="129"/>
    </font>
    <font>
      <sz val="10"/>
      <color indexed="8"/>
      <name val="굴림"/>
      <family val="3"/>
      <charset val="129"/>
    </font>
    <font>
      <b/>
      <sz val="11"/>
      <name val="돋움"/>
      <family val="3"/>
      <charset val="129"/>
    </font>
    <font>
      <b/>
      <sz val="10"/>
      <name val="Arial"/>
      <family val="2"/>
    </font>
    <font>
      <sz val="12"/>
      <color rgb="FF333333"/>
      <name val="Arial"/>
      <family val="2"/>
    </font>
    <font>
      <sz val="12"/>
      <color rgb="FF333333"/>
      <name val="맑은 고딕"/>
      <family val="3"/>
      <charset val="129"/>
    </font>
    <font>
      <sz val="12"/>
      <color rgb="FF333333"/>
      <name val="Arial"/>
      <family val="3"/>
      <charset val="129"/>
    </font>
    <font>
      <b/>
      <sz val="10"/>
      <color indexed="9"/>
      <name val="굴림체"/>
      <family val="3"/>
      <charset val="129"/>
    </font>
    <font>
      <sz val="11"/>
      <name val="굴림체"/>
      <family val="3"/>
      <charset val="129"/>
    </font>
    <font>
      <b/>
      <sz val="9"/>
      <color indexed="9"/>
      <name val="굴림체"/>
      <family val="3"/>
      <charset val="129"/>
    </font>
    <font>
      <sz val="11"/>
      <color rgb="FFFF0000"/>
      <name val="Calibri"/>
      <family val="2"/>
      <scheme val="minor"/>
    </font>
    <font>
      <sz val="11"/>
      <color rgb="FFFF0000"/>
      <name val="Calibri"/>
      <family val="3"/>
      <charset val="129"/>
      <scheme val="minor"/>
    </font>
    <font>
      <i/>
      <sz val="11"/>
      <color theme="1"/>
      <name val="Calibri"/>
      <family val="2"/>
      <scheme val="minor"/>
    </font>
    <font>
      <sz val="9"/>
      <color indexed="8"/>
      <name val="굴림"/>
      <family val="3"/>
      <charset val="129"/>
    </font>
    <font>
      <sz val="11"/>
      <color theme="1"/>
      <name val="굴림체"/>
      <family val="2"/>
      <charset val="129"/>
    </font>
    <font>
      <sz val="9"/>
      <color theme="1"/>
      <name val="굴림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22"/>
        <bgColor indexed="64"/>
      </patternFill>
    </fill>
  </fills>
  <borders count="4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55">
    <xf numFmtId="0" fontId="0" fillId="0" borderId="0"/>
    <xf numFmtId="0" fontId="2" fillId="0" borderId="0" applyNumberFormat="0" applyFill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2" borderId="0" applyNumberFormat="0" applyBorder="0" applyAlignment="0" applyProtection="0"/>
    <xf numFmtId="0" fontId="6" fillId="6" borderId="0" applyNumberFormat="0" applyBorder="0" applyAlignment="0" applyProtection="0"/>
    <xf numFmtId="0" fontId="7" fillId="0" borderId="2" applyNumberFormat="0" applyFont="0" applyProtection="0">
      <alignment wrapText="1"/>
    </xf>
    <xf numFmtId="0" fontId="7" fillId="0" borderId="2" applyNumberFormat="0" applyFont="0" applyProtection="0">
      <alignment wrapText="1"/>
    </xf>
    <xf numFmtId="0" fontId="8" fillId="23" borderId="3" applyNumberFormat="0" applyAlignment="0" applyProtection="0"/>
    <xf numFmtId="0" fontId="9" fillId="24" borderId="4" applyNumberFormat="0" applyAlignment="0" applyProtection="0"/>
    <xf numFmtId="0" fontId="10" fillId="0" borderId="0">
      <alignment horizontal="center" vertical="center" wrapText="1"/>
    </xf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2" fillId="0" borderId="0">
      <alignment horizontal="left" vertical="center" wrapText="1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1" fillId="0" borderId="0" applyFont="0" applyFill="0" applyBorder="0" applyAlignment="0" applyProtection="0"/>
    <xf numFmtId="166" fontId="13" fillId="0" borderId="5" applyNumberFormat="0" applyFill="0">
      <alignment horizontal="right"/>
    </xf>
    <xf numFmtId="166" fontId="14" fillId="0" borderId="5" applyNumberFormat="0" applyFill="0">
      <alignment horizontal="right"/>
    </xf>
    <xf numFmtId="167" fontId="15" fillId="0" borderId="5">
      <alignment horizontal="right" vertical="center"/>
    </xf>
    <xf numFmtId="49" fontId="16" fillId="0" borderId="5">
      <alignment horizontal="left" vertical="center"/>
    </xf>
    <xf numFmtId="166" fontId="13" fillId="0" borderId="5" applyNumberFormat="0" applyFill="0">
      <alignment horizontal="right"/>
    </xf>
    <xf numFmtId="0" fontId="1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6" applyNumberFormat="0" applyProtection="0">
      <alignment wrapText="1"/>
    </xf>
    <xf numFmtId="0" fontId="7" fillId="0" borderId="6" applyNumberFormat="0" applyProtection="0">
      <alignment wrapText="1"/>
    </xf>
    <xf numFmtId="0" fontId="18" fillId="7" borderId="0" applyNumberFormat="0" applyBorder="0" applyAlignment="0" applyProtection="0"/>
    <xf numFmtId="0" fontId="19" fillId="0" borderId="7" applyNumberFormat="0" applyProtection="0">
      <alignment wrapText="1"/>
    </xf>
    <xf numFmtId="0" fontId="19" fillId="0" borderId="7" applyNumberFormat="0" applyProtection="0">
      <alignment wrapText="1"/>
    </xf>
    <xf numFmtId="0" fontId="20" fillId="0" borderId="8" applyNumberFormat="0" applyFill="0" applyAlignment="0" applyProtection="0"/>
    <xf numFmtId="0" fontId="21" fillId="0" borderId="9" applyNumberFormat="0" applyFill="0" applyAlignment="0" applyProtection="0"/>
    <xf numFmtId="0" fontId="22" fillId="0" borderId="10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5">
      <alignment horizontal="left"/>
    </xf>
    <xf numFmtId="0" fontId="24" fillId="0" borderId="5">
      <alignment horizontal="left"/>
    </xf>
    <xf numFmtId="0" fontId="25" fillId="0" borderId="11">
      <alignment horizontal="right" vertical="center"/>
    </xf>
    <xf numFmtId="0" fontId="26" fillId="0" borderId="5">
      <alignment horizontal="left" vertical="center"/>
    </xf>
    <xf numFmtId="0" fontId="13" fillId="0" borderId="5">
      <alignment horizontal="left" vertical="center"/>
    </xf>
    <xf numFmtId="0" fontId="23" fillId="0" borderId="5">
      <alignment horizontal="left"/>
    </xf>
    <xf numFmtId="0" fontId="23" fillId="25" borderId="0">
      <alignment horizontal="centerContinuous" wrapText="1"/>
    </xf>
    <xf numFmtId="49" fontId="23" fillId="25" borderId="12">
      <alignment horizontal="left" vertical="center"/>
    </xf>
    <xf numFmtId="0" fontId="23" fillId="25" borderId="0">
      <alignment horizontal="centerContinuous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0" fontId="28" fillId="10" borderId="3" applyNumberFormat="0" applyAlignment="0" applyProtection="0"/>
    <xf numFmtId="0" fontId="29" fillId="0" borderId="13" applyNumberFormat="0" applyFill="0" applyAlignment="0" applyProtection="0"/>
    <xf numFmtId="0" fontId="30" fillId="26" borderId="0" applyNumberFormat="0" applyBorder="0" applyAlignment="0" applyProtection="0"/>
    <xf numFmtId="0" fontId="3" fillId="0" borderId="0"/>
    <xf numFmtId="0" fontId="3" fillId="0" borderId="0"/>
    <xf numFmtId="0" fontId="7" fillId="0" borderId="0"/>
    <xf numFmtId="0" fontId="11" fillId="0" borderId="0"/>
    <xf numFmtId="0" fontId="3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4" borderId="1" applyNumberFormat="0" applyFont="0" applyAlignment="0" applyProtection="0"/>
    <xf numFmtId="0" fontId="11" fillId="27" borderId="14" applyNumberFormat="0" applyFont="0" applyAlignment="0" applyProtection="0"/>
    <xf numFmtId="0" fontId="32" fillId="23" borderId="15" applyNumberFormat="0" applyAlignment="0" applyProtection="0"/>
    <xf numFmtId="0" fontId="19" fillId="0" borderId="16" applyNumberFormat="0" applyProtection="0">
      <alignment wrapText="1"/>
    </xf>
    <xf numFmtId="0" fontId="19" fillId="0" borderId="16" applyNumberFormat="0" applyProtection="0">
      <alignment wrapTex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" fillId="0" borderId="0" applyFont="0" applyFill="0" applyBorder="0" applyAlignment="0" applyProtection="0"/>
    <xf numFmtId="3" fontId="15" fillId="0" borderId="0">
      <alignment horizontal="left" vertical="center"/>
    </xf>
    <xf numFmtId="0" fontId="10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6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5" fillId="0" borderId="0">
      <alignment horizontal="left" vertical="center"/>
    </xf>
    <xf numFmtId="49" fontId="16" fillId="0" borderId="5">
      <alignment horizontal="left"/>
    </xf>
    <xf numFmtId="166" fontId="15" fillId="0" borderId="0" applyNumberFormat="0">
      <alignment horizontal="right"/>
    </xf>
    <xf numFmtId="0" fontId="25" fillId="28" borderId="0">
      <alignment horizontal="centerContinuous" vertical="center" wrapText="1"/>
    </xf>
    <xf numFmtId="0" fontId="25" fillId="0" borderId="17">
      <alignment horizontal="left" vertical="center"/>
    </xf>
    <xf numFmtId="0" fontId="36" fillId="0" borderId="0" applyNumberFormat="0" applyProtection="0">
      <alignment horizontal="left"/>
    </xf>
    <xf numFmtId="0" fontId="36" fillId="0" borderId="0" applyNumberFormat="0" applyProtection="0">
      <alignment horizontal="left"/>
    </xf>
    <xf numFmtId="0" fontId="37" fillId="0" borderId="0" applyNumberFormat="0" applyFill="0" applyBorder="0" applyAlignment="0" applyProtection="0"/>
    <xf numFmtId="0" fontId="23" fillId="0" borderId="0">
      <alignment horizontal="left"/>
    </xf>
    <xf numFmtId="0" fontId="12" fillId="0" borderId="0">
      <alignment horizontal="left"/>
    </xf>
    <xf numFmtId="0" fontId="13" fillId="0" borderId="0">
      <alignment horizontal="left"/>
    </xf>
    <xf numFmtId="0" fontId="38" fillId="0" borderId="0">
      <alignment horizontal="left" vertical="top"/>
    </xf>
    <xf numFmtId="0" fontId="12" fillId="0" borderId="0">
      <alignment horizontal="left"/>
    </xf>
    <xf numFmtId="0" fontId="13" fillId="0" borderId="0">
      <alignment horizontal="left"/>
    </xf>
    <xf numFmtId="0" fontId="39" fillId="0" borderId="18" applyNumberFormat="0" applyFill="0" applyAlignment="0" applyProtection="0"/>
    <xf numFmtId="0" fontId="40" fillId="0" borderId="0" applyNumberFormat="0" applyFill="0" applyBorder="0" applyAlignment="0" applyProtection="0"/>
    <xf numFmtId="49" fontId="15" fillId="0" borderId="5">
      <alignment horizontal="left"/>
    </xf>
    <xf numFmtId="0" fontId="25" fillId="0" borderId="11">
      <alignment horizontal="left"/>
    </xf>
    <xf numFmtId="0" fontId="23" fillId="0" borderId="0">
      <alignment horizontal="left" vertical="center"/>
    </xf>
    <xf numFmtId="49" fontId="33" fillId="0" borderId="5">
      <alignment horizontal="left"/>
    </xf>
    <xf numFmtId="0" fontId="59" fillId="0" borderId="0">
      <alignment vertical="center"/>
    </xf>
  </cellStyleXfs>
  <cellXfs count="1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0" borderId="0" xfId="0" applyFont="1" applyAlignment="1">
      <alignment wrapText="1"/>
    </xf>
    <xf numFmtId="0" fontId="41" fillId="0" borderId="0" xfId="0" applyFont="1" applyAlignment="1">
      <alignment vertical="center"/>
    </xf>
    <xf numFmtId="0" fontId="0" fillId="0" borderId="0" xfId="0" applyAlignment="1">
      <alignment vertical="center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4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vertical="center"/>
    </xf>
    <xf numFmtId="0" fontId="0" fillId="0" borderId="19" xfId="0" applyBorder="1" applyAlignment="1">
      <alignment horizontal="center" vertical="center"/>
    </xf>
    <xf numFmtId="38" fontId="0" fillId="0" borderId="19" xfId="0" applyNumberFormat="1" applyBorder="1" applyAlignment="1">
      <alignment vertical="center"/>
    </xf>
    <xf numFmtId="3" fontId="0" fillId="0" borderId="0" xfId="0" applyNumberFormat="1" applyAlignment="1">
      <alignment vertical="center"/>
    </xf>
    <xf numFmtId="0" fontId="0" fillId="30" borderId="0" xfId="0" applyFill="1" applyAlignment="1">
      <alignment horizontal="center" vertical="center"/>
    </xf>
    <xf numFmtId="168" fontId="0" fillId="30" borderId="0" xfId="0" applyNumberFormat="1" applyFill="1" applyAlignment="1">
      <alignment vertical="center"/>
    </xf>
    <xf numFmtId="0" fontId="0" fillId="29" borderId="0" xfId="0" applyFill="1" applyAlignment="1">
      <alignment vertical="center"/>
    </xf>
    <xf numFmtId="0" fontId="2" fillId="0" borderId="0" xfId="1" applyAlignment="1">
      <alignment vertical="center"/>
    </xf>
    <xf numFmtId="0" fontId="0" fillId="0" borderId="0" xfId="0" applyAlignment="1">
      <alignment horizontal="left" vertical="center"/>
    </xf>
    <xf numFmtId="0" fontId="0" fillId="0" borderId="19" xfId="0" applyBorder="1" applyAlignment="1">
      <alignment vertical="center"/>
    </xf>
    <xf numFmtId="168" fontId="0" fillId="0" borderId="19" xfId="0" applyNumberFormat="1" applyBorder="1" applyAlignment="1">
      <alignment vertical="center"/>
    </xf>
    <xf numFmtId="2" fontId="0" fillId="3" borderId="0" xfId="0" applyNumberFormat="1" applyFill="1"/>
    <xf numFmtId="0" fontId="0" fillId="3" borderId="0" xfId="0" applyFill="1"/>
    <xf numFmtId="3" fontId="0" fillId="0" borderId="0" xfId="0" applyNumberFormat="1"/>
    <xf numFmtId="0" fontId="41" fillId="0" borderId="0" xfId="0" applyFont="1"/>
    <xf numFmtId="169" fontId="0" fillId="0" borderId="0" xfId="0" applyNumberFormat="1"/>
    <xf numFmtId="170" fontId="0" fillId="0" borderId="0" xfId="0" applyNumberFormat="1"/>
    <xf numFmtId="0" fontId="41" fillId="2" borderId="0" xfId="0" applyFont="1" applyFill="1" applyAlignment="1">
      <alignment horizontal="left" vertical="center"/>
    </xf>
    <xf numFmtId="0" fontId="43" fillId="0" borderId="0" xfId="1" applyFont="1" applyAlignment="1">
      <alignment horizontal="left" vertical="center"/>
    </xf>
    <xf numFmtId="0" fontId="2" fillId="0" borderId="0" xfId="1" applyAlignment="1">
      <alignment horizontal="left" vertical="center"/>
    </xf>
    <xf numFmtId="1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0" fillId="3" borderId="0" xfId="0" applyFill="1" applyAlignment="1">
      <alignment vertical="center"/>
    </xf>
    <xf numFmtId="0" fontId="44" fillId="0" borderId="0" xfId="0" applyFont="1" applyAlignment="1">
      <alignment horizontal="left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41" fillId="0" borderId="0" xfId="0" applyFont="1" applyAlignment="1">
      <alignment horizontal="center"/>
    </xf>
    <xf numFmtId="0" fontId="2" fillId="0" borderId="0" xfId="1"/>
    <xf numFmtId="0" fontId="41" fillId="0" borderId="19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4" xfId="0" applyBorder="1" applyAlignment="1">
      <alignment vertical="center"/>
    </xf>
    <xf numFmtId="0" fontId="41" fillId="0" borderId="25" xfId="0" applyFont="1" applyBorder="1" applyAlignment="1">
      <alignment horizontal="center" vertical="center"/>
    </xf>
    <xf numFmtId="0" fontId="41" fillId="0" borderId="26" xfId="0" applyFont="1" applyBorder="1" applyAlignment="1">
      <alignment horizontal="center" vertical="center"/>
    </xf>
    <xf numFmtId="0" fontId="0" fillId="0" borderId="27" xfId="0" applyBorder="1" applyAlignment="1">
      <alignment vertical="center"/>
    </xf>
    <xf numFmtId="168" fontId="0" fillId="0" borderId="28" xfId="0" applyNumberFormat="1" applyBorder="1" applyAlignment="1">
      <alignment vertical="center"/>
    </xf>
    <xf numFmtId="0" fontId="0" fillId="0" borderId="29" xfId="0" applyBorder="1" applyAlignment="1">
      <alignment vertical="center"/>
    </xf>
    <xf numFmtId="168" fontId="0" fillId="0" borderId="30" xfId="0" applyNumberFormat="1" applyBorder="1" applyAlignment="1">
      <alignment vertical="center"/>
    </xf>
    <xf numFmtId="168" fontId="0" fillId="0" borderId="31" xfId="0" applyNumberFormat="1" applyBorder="1" applyAlignment="1">
      <alignment vertical="center"/>
    </xf>
    <xf numFmtId="168" fontId="43" fillId="0" borderId="0" xfId="0" applyNumberFormat="1" applyFont="1" applyAlignment="1">
      <alignment vertical="center"/>
    </xf>
    <xf numFmtId="171" fontId="0" fillId="0" borderId="19" xfId="0" applyNumberFormat="1" applyBorder="1" applyAlignment="1">
      <alignment vertical="center"/>
    </xf>
    <xf numFmtId="171" fontId="0" fillId="0" borderId="19" xfId="0" applyNumberFormat="1" applyBorder="1"/>
    <xf numFmtId="168" fontId="0" fillId="0" borderId="19" xfId="0" applyNumberFormat="1" applyBorder="1"/>
    <xf numFmtId="171" fontId="0" fillId="0" borderId="0" xfId="0" applyNumberFormat="1" applyAlignment="1">
      <alignment vertical="center"/>
    </xf>
    <xf numFmtId="171" fontId="0" fillId="29" borderId="0" xfId="0" applyNumberFormat="1" applyFill="1" applyAlignment="1">
      <alignment vertical="center"/>
    </xf>
    <xf numFmtId="0" fontId="47" fillId="0" borderId="0" xfId="0" applyFont="1" applyAlignment="1">
      <alignment vertical="center"/>
    </xf>
    <xf numFmtId="0" fontId="0" fillId="0" borderId="0" xfId="0" applyAlignment="1">
      <alignment horizontal="right"/>
    </xf>
    <xf numFmtId="0" fontId="48" fillId="32" borderId="32" xfId="0" applyFont="1" applyFill="1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3" fontId="0" fillId="0" borderId="32" xfId="0" applyNumberFormat="1" applyBorder="1" applyAlignment="1">
      <alignment horizontal="right" vertical="center"/>
    </xf>
    <xf numFmtId="0" fontId="51" fillId="0" borderId="0" xfId="0" applyFont="1"/>
    <xf numFmtId="0" fontId="0" fillId="0" borderId="24" xfId="0" applyBorder="1"/>
    <xf numFmtId="0" fontId="41" fillId="0" borderId="25" xfId="0" applyFont="1" applyBorder="1"/>
    <xf numFmtId="0" fontId="0" fillId="0" borderId="25" xfId="0" applyBorder="1"/>
    <xf numFmtId="0" fontId="0" fillId="0" borderId="26" xfId="0" applyBorder="1"/>
    <xf numFmtId="0" fontId="0" fillId="0" borderId="28" xfId="0" applyBorder="1"/>
    <xf numFmtId="0" fontId="41" fillId="0" borderId="29" xfId="0" applyFont="1" applyBorder="1"/>
    <xf numFmtId="0" fontId="0" fillId="0" borderId="30" xfId="0" applyBorder="1"/>
    <xf numFmtId="0" fontId="0" fillId="0" borderId="31" xfId="0" applyBorder="1"/>
    <xf numFmtId="0" fontId="41" fillId="0" borderId="34" xfId="0" applyFont="1" applyBorder="1"/>
    <xf numFmtId="0" fontId="41" fillId="0" borderId="35" xfId="0" applyFont="1" applyBorder="1"/>
    <xf numFmtId="0" fontId="0" fillId="0" borderId="36" xfId="0" applyBorder="1" applyAlignment="1">
      <alignment horizontal="center" vertical="center"/>
    </xf>
    <xf numFmtId="38" fontId="0" fillId="0" borderId="37" xfId="0" applyNumberFormat="1" applyBorder="1" applyAlignment="1">
      <alignment vertical="center"/>
    </xf>
    <xf numFmtId="38" fontId="0" fillId="0" borderId="38" xfId="0" applyNumberFormat="1" applyBorder="1" applyAlignment="1">
      <alignment vertical="center"/>
    </xf>
    <xf numFmtId="0" fontId="0" fillId="0" borderId="39" xfId="0" applyBorder="1" applyAlignment="1">
      <alignment horizontal="center" vertical="center"/>
    </xf>
    <xf numFmtId="38" fontId="0" fillId="0" borderId="20" xfId="0" applyNumberFormat="1" applyBorder="1" applyAlignment="1">
      <alignment vertical="center"/>
    </xf>
    <xf numFmtId="38" fontId="0" fillId="3" borderId="40" xfId="0" applyNumberFormat="1" applyFill="1" applyBorder="1" applyAlignment="1">
      <alignment vertical="center"/>
    </xf>
    <xf numFmtId="0" fontId="41" fillId="0" borderId="41" xfId="0" applyFont="1" applyBorder="1" applyAlignment="1">
      <alignment horizontal="center" vertical="center"/>
    </xf>
    <xf numFmtId="0" fontId="41" fillId="0" borderId="42" xfId="0" applyFont="1" applyBorder="1" applyAlignment="1">
      <alignment horizontal="center" vertical="center"/>
    </xf>
    <xf numFmtId="0" fontId="41" fillId="0" borderId="43" xfId="0" applyFont="1" applyBorder="1" applyAlignment="1">
      <alignment horizontal="center" vertical="center"/>
    </xf>
    <xf numFmtId="0" fontId="53" fillId="10" borderId="32" xfId="0" applyFont="1" applyFill="1" applyBorder="1" applyAlignment="1">
      <alignment horizontal="center" vertical="center"/>
    </xf>
    <xf numFmtId="49" fontId="53" fillId="0" borderId="32" xfId="0" applyNumberFormat="1" applyFont="1" applyBorder="1" applyAlignment="1">
      <alignment horizontal="center"/>
    </xf>
    <xf numFmtId="22" fontId="54" fillId="24" borderId="0" xfId="0" applyNumberFormat="1" applyFont="1" applyFill="1" applyAlignment="1">
      <alignment horizontal="right"/>
    </xf>
    <xf numFmtId="0" fontId="53" fillId="0" borderId="32" xfId="0" applyFont="1" applyBorder="1" applyAlignment="1">
      <alignment horizontal="right"/>
    </xf>
    <xf numFmtId="0" fontId="0" fillId="0" borderId="27" xfId="0" applyBorder="1"/>
    <xf numFmtId="0" fontId="2" fillId="0" borderId="28" xfId="1" applyBorder="1" applyAlignment="1">
      <alignment horizontal="left" vertical="center"/>
    </xf>
    <xf numFmtId="0" fontId="41" fillId="0" borderId="30" xfId="0" applyFont="1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41" fillId="0" borderId="44" xfId="0" applyFont="1" applyBorder="1" applyAlignment="1">
      <alignment horizontal="center"/>
    </xf>
    <xf numFmtId="0" fontId="41" fillId="0" borderId="45" xfId="0" applyFont="1" applyBorder="1" applyAlignment="1">
      <alignment horizontal="center"/>
    </xf>
    <xf numFmtId="0" fontId="41" fillId="0" borderId="46" xfId="0" applyFont="1" applyBorder="1" applyAlignment="1">
      <alignment horizontal="center"/>
    </xf>
    <xf numFmtId="0" fontId="41" fillId="0" borderId="27" xfId="0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0" borderId="0" xfId="0" applyFill="1"/>
    <xf numFmtId="168" fontId="0" fillId="0" borderId="0" xfId="0" applyNumberFormat="1"/>
    <xf numFmtId="168" fontId="0" fillId="0" borderId="34" xfId="0" applyNumberFormat="1" applyBorder="1"/>
    <xf numFmtId="0" fontId="0" fillId="0" borderId="12" xfId="0" applyBorder="1"/>
    <xf numFmtId="0" fontId="0" fillId="0" borderId="47" xfId="0" applyBorder="1" applyAlignment="1">
      <alignment horizontal="center"/>
    </xf>
    <xf numFmtId="0" fontId="0" fillId="0" borderId="47" xfId="0" applyBorder="1"/>
    <xf numFmtId="0" fontId="55" fillId="0" borderId="0" xfId="0" applyFont="1" applyAlignment="1">
      <alignment horizontal="center"/>
    </xf>
    <xf numFmtId="171" fontId="0" fillId="0" borderId="0" xfId="0" applyNumberFormat="1"/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vertical="center" wrapText="1"/>
    </xf>
    <xf numFmtId="0" fontId="57" fillId="0" borderId="0" xfId="0" applyFont="1"/>
    <xf numFmtId="0" fontId="0" fillId="0" borderId="0" xfId="0" applyAlignment="1">
      <alignment horizontal="left" vertical="center" indent="1"/>
    </xf>
    <xf numFmtId="2" fontId="0" fillId="31" borderId="0" xfId="0" applyNumberFormat="1" applyFill="1"/>
    <xf numFmtId="0" fontId="1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49" fontId="46" fillId="0" borderId="0" xfId="0" quotePrefix="1" applyNumberFormat="1" applyFont="1" applyAlignment="1">
      <alignment vertical="center"/>
    </xf>
    <xf numFmtId="0" fontId="58" fillId="31" borderId="19" xfId="0" applyFont="1" applyFill="1" applyBorder="1" applyAlignment="1">
      <alignment vertical="center"/>
    </xf>
    <xf numFmtId="0" fontId="58" fillId="31" borderId="19" xfId="0" applyFont="1" applyFill="1" applyBorder="1" applyAlignment="1">
      <alignment horizontal="center" vertical="center"/>
    </xf>
    <xf numFmtId="0" fontId="58" fillId="0" borderId="19" xfId="0" applyFont="1" applyBorder="1" applyAlignment="1">
      <alignment vertical="center"/>
    </xf>
    <xf numFmtId="38" fontId="60" fillId="0" borderId="19" xfId="154" applyNumberFormat="1" applyFont="1" applyBorder="1">
      <alignment vertical="center"/>
    </xf>
    <xf numFmtId="38" fontId="0" fillId="3" borderId="0" xfId="0" applyNumberFormat="1" applyFill="1" applyAlignment="1">
      <alignment vertical="center"/>
    </xf>
    <xf numFmtId="38" fontId="0" fillId="0" borderId="0" xfId="0" applyNumberFormat="1" applyAlignment="1">
      <alignment vertical="center"/>
    </xf>
    <xf numFmtId="169" fontId="55" fillId="0" borderId="0" xfId="0" applyNumberFormat="1" applyFont="1"/>
    <xf numFmtId="170" fontId="55" fillId="0" borderId="0" xfId="0" applyNumberFormat="1" applyFont="1"/>
    <xf numFmtId="0" fontId="41" fillId="0" borderId="19" xfId="0" applyFont="1" applyBorder="1" applyAlignment="1">
      <alignment horizontal="center" vertical="center" wrapText="1"/>
    </xf>
    <xf numFmtId="0" fontId="41" fillId="0" borderId="1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7" xfId="0" applyBorder="1" applyAlignment="1">
      <alignment horizontal="center"/>
    </xf>
    <xf numFmtId="0" fontId="55" fillId="0" borderId="0" xfId="0" applyFont="1" applyAlignment="1">
      <alignment horizontal="center" vertical="center"/>
    </xf>
    <xf numFmtId="0" fontId="56" fillId="0" borderId="12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2" fillId="24" borderId="0" xfId="0" applyFont="1" applyFill="1" applyAlignment="1">
      <alignment horizontal="center"/>
    </xf>
    <xf numFmtId="0" fontId="0" fillId="0" borderId="0" xfId="0"/>
    <xf numFmtId="0" fontId="54" fillId="24" borderId="0" xfId="0" applyFont="1" applyFill="1" applyAlignment="1">
      <alignment horizontal="left"/>
    </xf>
    <xf numFmtId="0" fontId="41" fillId="0" borderId="34" xfId="0" applyFont="1" applyBorder="1" applyAlignment="1">
      <alignment horizontal="center"/>
    </xf>
  </cellXfs>
  <cellStyles count="155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Body: normal cell" xfId="27" xr:uid="{00000000-0005-0000-0000-000019000000}"/>
    <cellStyle name="Body: normal cell 2" xfId="28" xr:uid="{00000000-0005-0000-0000-00001A000000}"/>
    <cellStyle name="Calculation 2" xfId="29" xr:uid="{00000000-0005-0000-0000-00001B000000}"/>
    <cellStyle name="Check Cell 2" xfId="30" xr:uid="{00000000-0005-0000-0000-00001C000000}"/>
    <cellStyle name="Column heading" xfId="31" xr:uid="{00000000-0005-0000-0000-00001D000000}"/>
    <cellStyle name="Comma 2" xfId="32" xr:uid="{00000000-0005-0000-0000-00001E000000}"/>
    <cellStyle name="Comma 2 2" xfId="33" xr:uid="{00000000-0005-0000-0000-00001F000000}"/>
    <cellStyle name="Comma 3" xfId="34" xr:uid="{00000000-0005-0000-0000-000020000000}"/>
    <cellStyle name="Comma 4" xfId="35" xr:uid="{00000000-0005-0000-0000-000021000000}"/>
    <cellStyle name="Comma 5" xfId="36" xr:uid="{00000000-0005-0000-0000-000022000000}"/>
    <cellStyle name="Comma 6" xfId="37" xr:uid="{00000000-0005-0000-0000-000023000000}"/>
    <cellStyle name="Comma 7" xfId="38" xr:uid="{00000000-0005-0000-0000-000024000000}"/>
    <cellStyle name="Comma 8" xfId="39" xr:uid="{00000000-0005-0000-0000-000025000000}"/>
    <cellStyle name="Corner heading" xfId="40" xr:uid="{00000000-0005-0000-0000-000026000000}"/>
    <cellStyle name="Currency 2" xfId="41" xr:uid="{00000000-0005-0000-0000-000027000000}"/>
    <cellStyle name="Currency 3" xfId="42" xr:uid="{00000000-0005-0000-0000-000028000000}"/>
    <cellStyle name="Currency 3 2" xfId="43" xr:uid="{00000000-0005-0000-0000-000029000000}"/>
    <cellStyle name="Data" xfId="44" xr:uid="{00000000-0005-0000-0000-00002A000000}"/>
    <cellStyle name="Data 2" xfId="45" xr:uid="{00000000-0005-0000-0000-00002B000000}"/>
    <cellStyle name="Data no deci" xfId="46" xr:uid="{00000000-0005-0000-0000-00002C000000}"/>
    <cellStyle name="Data Superscript" xfId="47" xr:uid="{00000000-0005-0000-0000-00002D000000}"/>
    <cellStyle name="Data_1-1A-Regular" xfId="48" xr:uid="{00000000-0005-0000-0000-00002E000000}"/>
    <cellStyle name="Explanatory Text 2" xfId="49" xr:uid="{00000000-0005-0000-0000-00002F000000}"/>
    <cellStyle name="Font: Calibri, 9pt regular" xfId="50" xr:uid="{00000000-0005-0000-0000-000030000000}"/>
    <cellStyle name="Font: Calibri, 9pt regular 2" xfId="51" xr:uid="{00000000-0005-0000-0000-000031000000}"/>
    <cellStyle name="Footnotes: top row" xfId="52" xr:uid="{00000000-0005-0000-0000-000032000000}"/>
    <cellStyle name="Footnotes: top row 2" xfId="53" xr:uid="{00000000-0005-0000-0000-000033000000}"/>
    <cellStyle name="Good 2" xfId="54" xr:uid="{00000000-0005-0000-0000-000034000000}"/>
    <cellStyle name="Header: bottom row" xfId="55" xr:uid="{00000000-0005-0000-0000-000035000000}"/>
    <cellStyle name="Header: bottom row 2" xfId="56" xr:uid="{00000000-0005-0000-0000-000036000000}"/>
    <cellStyle name="Heading 1 2" xfId="57" xr:uid="{00000000-0005-0000-0000-000037000000}"/>
    <cellStyle name="Heading 2 2" xfId="58" xr:uid="{00000000-0005-0000-0000-000038000000}"/>
    <cellStyle name="Heading 3 2" xfId="59" xr:uid="{00000000-0005-0000-0000-000039000000}"/>
    <cellStyle name="Heading 4 2" xfId="60" xr:uid="{00000000-0005-0000-0000-00003A000000}"/>
    <cellStyle name="Hed Side" xfId="61" xr:uid="{00000000-0005-0000-0000-00003B000000}"/>
    <cellStyle name="Hed Side 2" xfId="62" xr:uid="{00000000-0005-0000-0000-00003C000000}"/>
    <cellStyle name="Hed Side bold" xfId="63" xr:uid="{00000000-0005-0000-0000-00003D000000}"/>
    <cellStyle name="Hed Side Indent" xfId="64" xr:uid="{00000000-0005-0000-0000-00003E000000}"/>
    <cellStyle name="Hed Side Regular" xfId="65" xr:uid="{00000000-0005-0000-0000-00003F000000}"/>
    <cellStyle name="Hed Side_1-1A-Regular" xfId="66" xr:uid="{00000000-0005-0000-0000-000040000000}"/>
    <cellStyle name="Hed Top" xfId="67" xr:uid="{00000000-0005-0000-0000-000041000000}"/>
    <cellStyle name="Hed Top - SECTION" xfId="68" xr:uid="{00000000-0005-0000-0000-000042000000}"/>
    <cellStyle name="Hed Top_3-new4" xfId="69" xr:uid="{00000000-0005-0000-0000-000043000000}"/>
    <cellStyle name="Hyperlink" xfId="1" builtinId="8"/>
    <cellStyle name="Hyperlink 2" xfId="70" xr:uid="{00000000-0005-0000-0000-000045000000}"/>
    <cellStyle name="Input 2" xfId="71" xr:uid="{00000000-0005-0000-0000-000046000000}"/>
    <cellStyle name="Linked Cell 2" xfId="72" xr:uid="{00000000-0005-0000-0000-000047000000}"/>
    <cellStyle name="Neutral 2" xfId="73" xr:uid="{00000000-0005-0000-0000-000048000000}"/>
    <cellStyle name="Normal" xfId="0" builtinId="0"/>
    <cellStyle name="Normal 10" xfId="74" xr:uid="{00000000-0005-0000-0000-00004A000000}"/>
    <cellStyle name="Normal 11" xfId="75" xr:uid="{00000000-0005-0000-0000-00004B000000}"/>
    <cellStyle name="Normal 2" xfId="76" xr:uid="{00000000-0005-0000-0000-00004C000000}"/>
    <cellStyle name="Normal 2 2" xfId="77" xr:uid="{00000000-0005-0000-0000-00004D000000}"/>
    <cellStyle name="Normal 2 3" xfId="78" xr:uid="{00000000-0005-0000-0000-00004E000000}"/>
    <cellStyle name="Normal 3" xfId="79" xr:uid="{00000000-0005-0000-0000-00004F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  <cellStyle name="표준 18" xfId="154" xr:uid="{FF7F7F15-C0AE-4B89-ADE8-A1DD003228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172226</xdr:colOff>
      <xdr:row>38</xdr:row>
      <xdr:rowOff>29661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DD3F85E-CE4F-4ADB-B92E-1EA2E859D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"/>
          <a:ext cx="5563376" cy="778301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16</xdr:col>
      <xdr:colOff>766</xdr:colOff>
      <xdr:row>38</xdr:row>
      <xdr:rowOff>10608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5CCEB9E-FEBA-4801-BDC5-1E4901955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76950" y="209550"/>
          <a:ext cx="5487166" cy="7763958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25</xdr:col>
      <xdr:colOff>38871</xdr:colOff>
      <xdr:row>38</xdr:row>
      <xdr:rowOff>20135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44A1FBF-C502-47EA-9652-00DE1FF79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49150" y="209550"/>
          <a:ext cx="5525271" cy="777348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</xdr:row>
      <xdr:rowOff>0</xdr:rowOff>
    </xdr:from>
    <xdr:to>
      <xdr:col>34</xdr:col>
      <xdr:colOff>19818</xdr:colOff>
      <xdr:row>38</xdr:row>
      <xdr:rowOff>1082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2F0E7CE-42EF-452B-85CF-7AFCDEE35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421350" y="209550"/>
          <a:ext cx="5506218" cy="77544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8</xdr:col>
      <xdr:colOff>336177</xdr:colOff>
      <xdr:row>58</xdr:row>
      <xdr:rowOff>58120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FAD0FEC-C752-4420-8D47-EB0A05070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177118" cy="69161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8</xdr:col>
      <xdr:colOff>268941</xdr:colOff>
      <xdr:row>95</xdr:row>
      <xdr:rowOff>120848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D359B52-5DEB-4113-8F7B-84886DDCD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48500"/>
          <a:ext cx="5109882" cy="71693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599061" cy="3448050"/>
    <xdr:pic>
      <xdr:nvPicPr>
        <xdr:cNvPr id="2" name="Picture 1">
          <a:extLst>
            <a:ext uri="{FF2B5EF4-FFF2-40B4-BE49-F238E27FC236}">
              <a16:creationId xmlns:a16="http://schemas.microsoft.com/office/drawing/2014/main" id="{8202BD6F-F88D-4DE6-8526-28F8B49F6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4599061" cy="34480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15</xdr:row>
      <xdr:rowOff>95250</xdr:rowOff>
    </xdr:from>
    <xdr:to>
      <xdr:col>7</xdr:col>
      <xdr:colOff>200839</xdr:colOff>
      <xdr:row>24</xdr:row>
      <xdr:rowOff>152671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DD506D-3277-4AA1-8F72-CEA0BBAB3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3705225"/>
          <a:ext cx="5830114" cy="19433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WINDOWS/TEMP/USFreight97-93.xls" TargetMode="External"/><Relationship Id="rId1" Type="http://schemas.openxmlformats.org/officeDocument/2006/relationships/externalLinkPath" Target="/WINDOWS/TEMP/USFreight97-9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DanOBrien/Models/EPS/SK/eps-southkorea/InputData/trans/BAADTbVT/BAU%20Avg%20Annual%20Dist%20Traveled%20by%20Veh%20Type.xlsx" TargetMode="External"/><Relationship Id="rId2" Type="http://schemas.openxmlformats.org/officeDocument/2006/relationships/externalLinkPath" Target="file:///C:\Users\DanOBrien\Models\EPS\SK\eps-southkorea\InputData\trans\BAADTbVT\BAU%20Avg%20Annual%20Dist%20Traveled%20by%20Veh%20Type.xlsx" TargetMode="External"/><Relationship Id="rId1" Type="http://schemas.openxmlformats.org/officeDocument/2006/relationships/externalLinkPath" Target="/Users/DanOBrien/Models/EPS/SK/eps-southkorea/InputData/trans/BAADTbVT/BAU%20Avg%20Annual%20Dist%20Traveled%20by%20Veh%20Typ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bout"/>
      <sheetName val="SYVbT_passenger"/>
      <sheetName val="SYVbT_freight"/>
      <sheetName val="SYVbT_DV-Regis"/>
      <sheetName val="DV-km"/>
      <sheetName val="SYVbT_Rail"/>
      <sheetName val="Rail-domestic psgr traffic"/>
      <sheetName val="Rail-CAGR"/>
      <sheetName val="Rail-subway"/>
      <sheetName val="Rail-Cal"/>
      <sheetName val="SYVbT_Aircraft"/>
      <sheetName val="Air09"/>
      <sheetName val="Air10"/>
      <sheetName val="Air11"/>
      <sheetName val="Air12"/>
      <sheetName val="Air13"/>
      <sheetName val="Air14"/>
      <sheetName val="Air15"/>
      <sheetName val="Air16"/>
      <sheetName val="Air17"/>
      <sheetName val="Air18"/>
      <sheetName val="Air19"/>
      <sheetName val="Air20"/>
      <sheetName val="Air21"/>
      <sheetName val="Air-psgr19"/>
      <sheetName val="Air-freight19"/>
      <sheetName val="Air-Cal"/>
      <sheetName val="Air-Calcs"/>
      <sheetName val="Motorbikes"/>
      <sheetName val="Ships-Cal"/>
      <sheetName val="SYAADTbVT-passengers"/>
      <sheetName val="SYAADTbVT-freight"/>
      <sheetName val="BAADTbVT-passengers"/>
      <sheetName val="BAADTbVT-freight"/>
      <sheetName val="AVLo-passenger"/>
      <sheetName val="AVLo-freight"/>
    </sheetNames>
    <sheetDataSet>
      <sheetData sheetId="0">
        <row r="64">
          <cell r="B64">
            <v>0.62137100000000001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97A2CC-A3B7-4442-973C-5AD563F0CA4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5141e47-7ec8-423e-90d9-571e7acd7f4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tdb.go.kr/www/selectPblcteWebList.do?key=39&amp;pageUnit=10&amp;pageIndex=1&amp;searchCnd=al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stat.molit.go.kr/portal/cate/statFileView.do?hRsId=58&amp;hFormId=5" TargetMode="External"/><Relationship Id="rId1" Type="http://schemas.openxmlformats.org/officeDocument/2006/relationships/hyperlink" Target="http://stat.molit.go.kr/portal/common/downLoadFile.do" TargetMode="External"/><Relationship Id="rId6" Type="http://schemas.openxmlformats.org/officeDocument/2006/relationships/hyperlink" Target="https://www.shipowners.or.kr:4432/statistics/ect.php?ptype=view&amp;idx=16683&amp;page=1&amp;code=ect" TargetMode="External"/><Relationship Id="rId5" Type="http://schemas.openxmlformats.org/officeDocument/2006/relationships/hyperlink" Target="https://scienceon.kisti.re.kr/srch/selectPORSrchArticle.do?cn=JAKO201610254116356&amp;dbt=NART" TargetMode="External"/><Relationship Id="rId4" Type="http://schemas.openxmlformats.org/officeDocument/2006/relationships/hyperlink" Target="http://www.theksa.or.kr/site/main/board/sub05_08_01_04/81407?cp=1&amp;sortOrder=BA_REGDATE&amp;sortDirection=DESC&amp;listType=list&amp;bcId=sub05_08_01_04&amp;baNotice=false&amp;baCommSelec=false&amp;baOpenDay=false&amp;baUse=tru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dex.go.kr/potal/stts/idxMain/selectPoSttsIdxSearch.do?idx_cd=1252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korailtalk.co.kr/293" TargetMode="External"/><Relationship Id="rId2" Type="http://schemas.openxmlformats.org/officeDocument/2006/relationships/hyperlink" Target="http://info.korail.com/mbs/www/subview.jsp?id=www_020108010000" TargetMode="External"/><Relationship Id="rId1" Type="http://schemas.openxmlformats.org/officeDocument/2006/relationships/hyperlink" Target="https://www.srail.or.kr/cms/archive.do?pageId=KR0401000000" TargetMode="External"/><Relationship Id="rId5" Type="http://schemas.openxmlformats.org/officeDocument/2006/relationships/drawing" Target="../drawings/drawing4.xml"/><Relationship Id="rId4" Type="http://schemas.openxmlformats.org/officeDocument/2006/relationships/hyperlink" Target="https://korailtalk.co.kr/75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workbookViewId="0"/>
  </sheetViews>
  <sheetFormatPr defaultRowHeight="14.5"/>
  <cols>
    <col min="1" max="1" width="11.453125" customWidth="1"/>
    <col min="2" max="2" width="85.1796875" customWidth="1"/>
  </cols>
  <sheetData>
    <row r="1" spans="1:6">
      <c r="A1" s="1" t="s">
        <v>0</v>
      </c>
    </row>
    <row r="3" spans="1:6">
      <c r="A3" s="1" t="s">
        <v>1</v>
      </c>
      <c r="B3" s="30" t="s">
        <v>120</v>
      </c>
      <c r="C3" s="8"/>
      <c r="D3" s="8"/>
      <c r="E3" s="8"/>
      <c r="F3" s="8"/>
    </row>
    <row r="4" spans="1:6">
      <c r="B4" s="21" t="s">
        <v>117</v>
      </c>
      <c r="C4" s="8"/>
      <c r="D4" s="8"/>
      <c r="E4" s="8"/>
      <c r="F4" s="8"/>
    </row>
    <row r="5" spans="1:6">
      <c r="B5" s="21">
        <v>2020</v>
      </c>
      <c r="C5" s="8"/>
      <c r="D5" s="8"/>
      <c r="E5" s="8"/>
      <c r="F5" s="8"/>
    </row>
    <row r="6" spans="1:6">
      <c r="B6" s="31" t="s">
        <v>118</v>
      </c>
      <c r="C6" s="8"/>
      <c r="D6" s="8"/>
      <c r="E6" s="8"/>
      <c r="F6" s="8"/>
    </row>
    <row r="7" spans="1:6">
      <c r="B7" s="32" t="s">
        <v>86</v>
      </c>
      <c r="C7" s="8"/>
      <c r="D7" s="8"/>
      <c r="E7" s="8"/>
      <c r="F7" s="8"/>
    </row>
    <row r="8" spans="1:6">
      <c r="B8" s="21" t="s">
        <v>119</v>
      </c>
      <c r="C8" s="8"/>
      <c r="D8" s="8"/>
      <c r="E8" s="8"/>
      <c r="F8" s="8"/>
    </row>
    <row r="10" spans="1:6">
      <c r="B10" s="30" t="s">
        <v>121</v>
      </c>
      <c r="C10" s="8"/>
      <c r="D10" s="8"/>
      <c r="E10" s="8"/>
    </row>
    <row r="11" spans="1:6">
      <c r="B11" s="21" t="s">
        <v>122</v>
      </c>
      <c r="C11" s="8"/>
      <c r="D11" s="8"/>
      <c r="E11" s="8"/>
    </row>
    <row r="12" spans="1:6">
      <c r="B12" s="21">
        <v>2020</v>
      </c>
      <c r="C12" s="8"/>
      <c r="D12" s="8"/>
      <c r="E12" s="8"/>
    </row>
    <row r="13" spans="1:6">
      <c r="B13" s="21" t="s">
        <v>123</v>
      </c>
      <c r="C13" s="8"/>
      <c r="D13" s="8"/>
      <c r="E13" s="8"/>
    </row>
    <row r="14" spans="1:6">
      <c r="B14" s="32" t="s">
        <v>87</v>
      </c>
      <c r="C14" s="8"/>
      <c r="D14" s="8"/>
      <c r="E14" s="8"/>
    </row>
    <row r="15" spans="1:6">
      <c r="B15" s="21" t="s">
        <v>88</v>
      </c>
      <c r="C15" s="8"/>
      <c r="D15" s="8"/>
      <c r="E15" s="8"/>
    </row>
    <row r="17" spans="2:2">
      <c r="B17" s="30" t="s">
        <v>124</v>
      </c>
    </row>
    <row r="18" spans="2:2">
      <c r="B18" s="36" t="s">
        <v>125</v>
      </c>
    </row>
    <row r="19" spans="2:2">
      <c r="B19" s="21">
        <v>2020</v>
      </c>
    </row>
    <row r="20" spans="2:2">
      <c r="B20" s="21" t="s">
        <v>126</v>
      </c>
    </row>
    <row r="21" spans="2:2">
      <c r="B21" s="41" t="s">
        <v>109</v>
      </c>
    </row>
    <row r="22" spans="2:2">
      <c r="B22" s="21" t="s">
        <v>110</v>
      </c>
    </row>
    <row r="24" spans="2:2">
      <c r="B24" s="30" t="s">
        <v>265</v>
      </c>
    </row>
    <row r="25" spans="2:2">
      <c r="B25" t="s">
        <v>270</v>
      </c>
    </row>
    <row r="26" spans="2:2">
      <c r="B26" s="97">
        <v>2020</v>
      </c>
    </row>
    <row r="27" spans="2:2">
      <c r="B27" s="97" t="s">
        <v>271</v>
      </c>
    </row>
    <row r="28" spans="2:2">
      <c r="B28" s="41" t="s">
        <v>272</v>
      </c>
    </row>
    <row r="29" spans="2:2">
      <c r="B29" t="s">
        <v>273</v>
      </c>
    </row>
    <row r="30" spans="2:2">
      <c r="B30" s="21"/>
    </row>
    <row r="31" spans="2:2">
      <c r="B31" t="s">
        <v>267</v>
      </c>
    </row>
    <row r="32" spans="2:2">
      <c r="B32" s="21">
        <v>2016</v>
      </c>
    </row>
    <row r="33" spans="1:2">
      <c r="B33" s="21" t="s">
        <v>268</v>
      </c>
    </row>
    <row r="34" spans="1:2">
      <c r="B34" s="41" t="s">
        <v>266</v>
      </c>
    </row>
    <row r="35" spans="1:2">
      <c r="B35" s="21" t="s">
        <v>269</v>
      </c>
    </row>
    <row r="36" spans="1:2">
      <c r="B36" s="21"/>
    </row>
    <row r="37" spans="1:2">
      <c r="A37" s="1" t="s">
        <v>8</v>
      </c>
    </row>
    <row r="38" spans="1:2">
      <c r="A38" t="s">
        <v>127</v>
      </c>
    </row>
    <row r="39" spans="1:2">
      <c r="A39" t="s">
        <v>128</v>
      </c>
    </row>
    <row r="41" spans="1:2">
      <c r="A41" t="s">
        <v>325</v>
      </c>
    </row>
    <row r="42" spans="1:2">
      <c r="A42" t="s">
        <v>324</v>
      </c>
    </row>
  </sheetData>
  <phoneticPr fontId="42" type="noConversion"/>
  <hyperlinks>
    <hyperlink ref="B6" r:id="rId1" display="http://stat.molit.go.kr/portal/common/downLoadFile.do" xr:uid="{D493B564-A272-4B5B-B21F-61A5D1B224B7}"/>
    <hyperlink ref="B7" r:id="rId2" xr:uid="{85ED817B-7CDF-45E1-BB09-28B59054194A}"/>
    <hyperlink ref="B14" r:id="rId3" xr:uid="{B9083622-2436-4BF5-B9EC-6200FCFCDC1B}"/>
    <hyperlink ref="B21" r:id="rId4" xr:uid="{037DC3DE-2C40-4BFC-A88C-671C6368B33A}"/>
    <hyperlink ref="B34" r:id="rId5" xr:uid="{FF8B7895-7110-4102-830D-AAA4EECEB941}"/>
    <hyperlink ref="B28" r:id="rId6" xr:uid="{2EC06947-06B1-45D7-A4D3-66B45D302331}"/>
  </hyperlinks>
  <pageMargins left="0.7" right="0.7" top="0.75" bottom="0.75" header="0.3" footer="0.3"/>
  <pageSetup orientation="portrait" horizontalDpi="1200" verticalDpi="120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22F11-BE45-4915-A8C3-90BE8CB5DD1C}">
  <dimension ref="A39:T61"/>
  <sheetViews>
    <sheetView workbookViewId="0">
      <selection activeCell="H41" sqref="H41"/>
    </sheetView>
  </sheetViews>
  <sheetFormatPr defaultRowHeight="14.5"/>
  <cols>
    <col min="3" max="3" width="12.81640625" bestFit="1" customWidth="1"/>
    <col min="5" max="5" width="12.81640625" bestFit="1" customWidth="1"/>
  </cols>
  <sheetData>
    <row r="39" spans="2:20">
      <c r="B39" t="s">
        <v>73</v>
      </c>
      <c r="G39" t="s">
        <v>74</v>
      </c>
    </row>
    <row r="40" spans="2:20">
      <c r="C40">
        <v>2016</v>
      </c>
      <c r="K40" s="1" t="s">
        <v>350</v>
      </c>
      <c r="N40" s="1"/>
    </row>
    <row r="41" spans="2:20">
      <c r="B41" t="s">
        <v>62</v>
      </c>
      <c r="C41">
        <v>1.24</v>
      </c>
      <c r="G41" t="s">
        <v>91</v>
      </c>
      <c r="H41" s="25">
        <f>SUMPRODUCT(C45:C46,C41:C42)/SUM(C45:C46)</f>
        <v>1.404094416519162</v>
      </c>
      <c r="I41" t="s">
        <v>75</v>
      </c>
      <c r="K41">
        <v>0.8</v>
      </c>
    </row>
    <row r="42" spans="2:20">
      <c r="B42" t="s">
        <v>63</v>
      </c>
      <c r="C42">
        <v>2.2400000000000002</v>
      </c>
      <c r="G42" t="s">
        <v>92</v>
      </c>
      <c r="H42" s="25">
        <f>SUMPRODUCT(C50:C51,E55:E56)/SUM(E55:E56)</f>
        <v>14.731070293267342</v>
      </c>
      <c r="I42" t="s">
        <v>76</v>
      </c>
    </row>
    <row r="43" spans="2:20">
      <c r="K43" s="1" t="s">
        <v>351</v>
      </c>
    </row>
    <row r="44" spans="2:20">
      <c r="B44" t="s">
        <v>66</v>
      </c>
      <c r="C44">
        <v>2016</v>
      </c>
      <c r="K44">
        <v>2021</v>
      </c>
      <c r="L44">
        <v>2022</v>
      </c>
      <c r="M44">
        <v>2023</v>
      </c>
      <c r="N44">
        <v>2024</v>
      </c>
      <c r="O44">
        <v>2025</v>
      </c>
      <c r="P44">
        <v>2026</v>
      </c>
      <c r="Q44">
        <v>2027</v>
      </c>
      <c r="R44">
        <v>2028</v>
      </c>
      <c r="S44">
        <v>2029</v>
      </c>
      <c r="T44">
        <v>2030</v>
      </c>
    </row>
    <row r="45" spans="2:20">
      <c r="B45" t="s">
        <v>62</v>
      </c>
      <c r="C45" s="26">
        <v>18426156</v>
      </c>
      <c r="K45">
        <f>0.75</f>
        <v>0.75</v>
      </c>
      <c r="L45">
        <v>0.85</v>
      </c>
      <c r="M45">
        <f>L45+0.01</f>
        <v>0.86</v>
      </c>
      <c r="N45">
        <f t="shared" ref="N45:T45" si="0">M45+0.01</f>
        <v>0.87</v>
      </c>
      <c r="O45">
        <f t="shared" si="0"/>
        <v>0.88</v>
      </c>
      <c r="P45">
        <f t="shared" si="0"/>
        <v>0.89</v>
      </c>
      <c r="Q45">
        <f t="shared" si="0"/>
        <v>0.9</v>
      </c>
      <c r="R45">
        <f t="shared" si="0"/>
        <v>0.91</v>
      </c>
      <c r="S45">
        <f t="shared" si="0"/>
        <v>0.92</v>
      </c>
      <c r="T45">
        <f t="shared" si="0"/>
        <v>0.93</v>
      </c>
    </row>
    <row r="46" spans="2:20">
      <c r="B46" t="s">
        <v>63</v>
      </c>
      <c r="C46" s="26">
        <v>3617190</v>
      </c>
      <c r="K46" s="112" t="s">
        <v>352</v>
      </c>
    </row>
    <row r="47" spans="2:20">
      <c r="B47" t="s">
        <v>67</v>
      </c>
      <c r="C47" s="26">
        <v>6047368</v>
      </c>
    </row>
    <row r="49" spans="1:5">
      <c r="C49">
        <v>2010</v>
      </c>
    </row>
    <row r="50" spans="1:5">
      <c r="B50" t="s">
        <v>64</v>
      </c>
      <c r="C50">
        <v>15.03</v>
      </c>
    </row>
    <row r="51" spans="1:5">
      <c r="B51" t="s">
        <v>65</v>
      </c>
      <c r="C51">
        <v>11.4</v>
      </c>
    </row>
    <row r="53" spans="1:5">
      <c r="B53" t="s">
        <v>68</v>
      </c>
      <c r="C53" s="26">
        <v>2010</v>
      </c>
    </row>
    <row r="54" spans="1:5">
      <c r="B54" t="s">
        <v>72</v>
      </c>
      <c r="C54" s="26">
        <v>5717826503</v>
      </c>
    </row>
    <row r="55" spans="1:5">
      <c r="B55" t="s">
        <v>69</v>
      </c>
      <c r="C55" s="26">
        <v>5246964740</v>
      </c>
      <c r="D55" t="s">
        <v>64</v>
      </c>
      <c r="E55" s="26">
        <f>C55</f>
        <v>5246964740</v>
      </c>
    </row>
    <row r="56" spans="1:5">
      <c r="B56" t="s">
        <v>65</v>
      </c>
      <c r="C56" s="26">
        <v>226110534</v>
      </c>
      <c r="D56" t="s">
        <v>65</v>
      </c>
      <c r="E56" s="26">
        <f>SUM(C56:C58)</f>
        <v>470861763</v>
      </c>
    </row>
    <row r="57" spans="1:5">
      <c r="B57" t="s">
        <v>70</v>
      </c>
      <c r="C57" s="26">
        <v>38204140</v>
      </c>
    </row>
    <row r="58" spans="1:5">
      <c r="B58" t="s">
        <v>71</v>
      </c>
      <c r="C58" s="26">
        <v>206547089</v>
      </c>
    </row>
    <row r="60" spans="1:5">
      <c r="A60" s="27" t="s">
        <v>89</v>
      </c>
    </row>
    <row r="61" spans="1:5">
      <c r="A61" t="s">
        <v>90</v>
      </c>
    </row>
  </sheetData>
  <phoneticPr fontId="4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3B914-B72F-432B-8D51-3CBE259118E1}">
  <dimension ref="A1:P47"/>
  <sheetViews>
    <sheetView topLeftCell="A16" workbookViewId="0">
      <selection activeCell="J39" sqref="J39"/>
    </sheetView>
  </sheetViews>
  <sheetFormatPr defaultColWidth="9" defaultRowHeight="14.5"/>
  <cols>
    <col min="1" max="11" width="9" style="8"/>
    <col min="12" max="12" width="10.81640625" style="8" bestFit="1" customWidth="1"/>
    <col min="13" max="13" width="9" style="8" customWidth="1"/>
    <col min="14" max="14" width="16.26953125" style="8" customWidth="1"/>
    <col min="15" max="15" width="18.453125" style="8" bestFit="1" customWidth="1"/>
    <col min="16" max="16" width="9" style="8"/>
    <col min="17" max="17" width="13.453125" style="8" customWidth="1"/>
    <col min="18" max="16384" width="9" style="8"/>
  </cols>
  <sheetData>
    <row r="1" spans="1:13">
      <c r="A1" s="117"/>
      <c r="B1" s="117"/>
      <c r="C1" s="117"/>
      <c r="D1" s="117" t="s">
        <v>354</v>
      </c>
      <c r="E1" s="117" t="s">
        <v>355</v>
      </c>
      <c r="F1" s="117" t="s">
        <v>356</v>
      </c>
      <c r="G1" s="117" t="s">
        <v>357</v>
      </c>
      <c r="H1" s="117"/>
      <c r="I1" s="117" t="s">
        <v>358</v>
      </c>
      <c r="J1" s="117"/>
      <c r="K1" s="117"/>
      <c r="L1" s="117"/>
      <c r="M1" s="117"/>
    </row>
    <row r="2" spans="1:13">
      <c r="A2" s="117" t="s">
        <v>359</v>
      </c>
      <c r="B2" s="118" t="s">
        <v>360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</row>
    <row r="3" spans="1:13">
      <c r="A3" s="119" t="s">
        <v>361</v>
      </c>
      <c r="B3" s="119"/>
      <c r="C3" s="119" t="s">
        <v>362</v>
      </c>
      <c r="D3" s="120" t="s">
        <v>363</v>
      </c>
      <c r="E3" s="120" t="s">
        <v>364</v>
      </c>
      <c r="F3" s="120" t="s">
        <v>365</v>
      </c>
      <c r="G3" s="120" t="s">
        <v>366</v>
      </c>
      <c r="H3" s="120" t="s">
        <v>367</v>
      </c>
      <c r="I3" s="120" t="s">
        <v>368</v>
      </c>
      <c r="J3" s="120" t="s">
        <v>369</v>
      </c>
      <c r="K3" s="120" t="s">
        <v>370</v>
      </c>
      <c r="L3" s="120" t="s">
        <v>371</v>
      </c>
      <c r="M3" s="120" t="s">
        <v>372</v>
      </c>
    </row>
    <row r="4" spans="1:13">
      <c r="A4" s="119" t="s">
        <v>373</v>
      </c>
      <c r="B4" s="119" t="s">
        <v>374</v>
      </c>
      <c r="C4" s="119" t="s">
        <v>375</v>
      </c>
      <c r="D4" s="120"/>
      <c r="E4" s="120" t="s">
        <v>376</v>
      </c>
      <c r="F4" s="120" t="s">
        <v>377</v>
      </c>
      <c r="G4" s="120" t="s">
        <v>378</v>
      </c>
      <c r="H4" s="120" t="s">
        <v>379</v>
      </c>
      <c r="I4" s="120" t="s">
        <v>380</v>
      </c>
      <c r="J4" s="120" t="s">
        <v>381</v>
      </c>
      <c r="K4" s="120" t="s">
        <v>382</v>
      </c>
      <c r="L4" s="120"/>
      <c r="M4" s="120"/>
    </row>
    <row r="5" spans="1:13">
      <c r="A5" s="121" t="s">
        <v>81</v>
      </c>
      <c r="B5" s="121" t="s">
        <v>383</v>
      </c>
      <c r="C5" s="121" t="s">
        <v>384</v>
      </c>
      <c r="D5" s="122">
        <v>2045795</v>
      </c>
      <c r="E5" s="122">
        <v>125936</v>
      </c>
      <c r="F5" s="122">
        <v>86676</v>
      </c>
      <c r="G5" s="122">
        <v>46883</v>
      </c>
      <c r="H5" s="122">
        <v>5005</v>
      </c>
      <c r="I5" s="122">
        <v>2704</v>
      </c>
      <c r="J5" s="122">
        <v>3691</v>
      </c>
      <c r="K5" s="122">
        <v>3033</v>
      </c>
      <c r="L5" s="122">
        <v>4464</v>
      </c>
      <c r="M5" s="122">
        <v>2324187</v>
      </c>
    </row>
    <row r="6" spans="1:13">
      <c r="A6" s="121"/>
      <c r="B6" s="121"/>
      <c r="C6" s="121" t="s">
        <v>385</v>
      </c>
      <c r="D6" s="122">
        <v>74429</v>
      </c>
      <c r="E6" s="122">
        <v>24958</v>
      </c>
      <c r="F6" s="122">
        <v>63723</v>
      </c>
      <c r="G6" s="122">
        <v>27581</v>
      </c>
      <c r="H6" s="122">
        <v>9936</v>
      </c>
      <c r="I6" s="122">
        <v>4650</v>
      </c>
      <c r="J6" s="122">
        <v>13734</v>
      </c>
      <c r="K6" s="122">
        <v>5041</v>
      </c>
      <c r="L6" s="122">
        <v>26618</v>
      </c>
      <c r="M6" s="122">
        <v>250670</v>
      </c>
    </row>
    <row r="7" spans="1:13">
      <c r="A7" s="121"/>
      <c r="B7" s="121"/>
      <c r="C7" s="121" t="s">
        <v>372</v>
      </c>
      <c r="D7" s="122">
        <v>2120224</v>
      </c>
      <c r="E7" s="122">
        <v>150894</v>
      </c>
      <c r="F7" s="122">
        <v>150399</v>
      </c>
      <c r="G7" s="122">
        <v>74464</v>
      </c>
      <c r="H7" s="122">
        <v>14941</v>
      </c>
      <c r="I7" s="122">
        <v>7354</v>
      </c>
      <c r="J7" s="122">
        <v>17425</v>
      </c>
      <c r="K7" s="122">
        <v>8074</v>
      </c>
      <c r="L7" s="122">
        <v>31082</v>
      </c>
      <c r="M7" s="122">
        <v>2574857</v>
      </c>
    </row>
    <row r="8" spans="1:13">
      <c r="A8" s="121"/>
      <c r="B8" s="121" t="s">
        <v>386</v>
      </c>
      <c r="C8" s="121" t="s">
        <v>384</v>
      </c>
      <c r="D8" s="122">
        <v>32582</v>
      </c>
      <c r="E8" s="122">
        <v>8506</v>
      </c>
      <c r="F8" s="122">
        <v>5328</v>
      </c>
      <c r="G8" s="122">
        <v>5265</v>
      </c>
      <c r="H8" s="122">
        <v>391</v>
      </c>
      <c r="I8" s="122">
        <v>745</v>
      </c>
      <c r="J8" s="122">
        <v>78</v>
      </c>
      <c r="K8" s="122">
        <v>135</v>
      </c>
      <c r="L8" s="122">
        <v>3</v>
      </c>
      <c r="M8" s="122">
        <v>53033</v>
      </c>
    </row>
    <row r="9" spans="1:13">
      <c r="A9" s="121"/>
      <c r="B9" s="121"/>
      <c r="C9" s="121" t="s">
        <v>385</v>
      </c>
      <c r="D9" s="122">
        <v>213</v>
      </c>
      <c r="E9" s="122">
        <v>429</v>
      </c>
      <c r="F9" s="122">
        <v>608</v>
      </c>
      <c r="G9" s="122">
        <v>279</v>
      </c>
      <c r="H9" s="122">
        <v>19</v>
      </c>
      <c r="I9" s="122">
        <v>362</v>
      </c>
      <c r="J9" s="122">
        <v>40</v>
      </c>
      <c r="K9" s="122">
        <v>90</v>
      </c>
      <c r="L9" s="122">
        <v>16</v>
      </c>
      <c r="M9" s="122">
        <v>2056</v>
      </c>
    </row>
    <row r="10" spans="1:13">
      <c r="A10" s="121"/>
      <c r="B10" s="121"/>
      <c r="C10" s="121" t="s">
        <v>372</v>
      </c>
      <c r="D10" s="122">
        <v>32795</v>
      </c>
      <c r="E10" s="122">
        <v>8935</v>
      </c>
      <c r="F10" s="122">
        <v>5936</v>
      </c>
      <c r="G10" s="122">
        <v>5544</v>
      </c>
      <c r="H10" s="122">
        <v>410</v>
      </c>
      <c r="I10" s="122">
        <v>1107</v>
      </c>
      <c r="J10" s="122">
        <v>118</v>
      </c>
      <c r="K10" s="122">
        <v>225</v>
      </c>
      <c r="L10" s="122">
        <v>19</v>
      </c>
      <c r="M10" s="122">
        <v>55089</v>
      </c>
    </row>
    <row r="11" spans="1:13">
      <c r="A11" s="121"/>
      <c r="B11" s="121" t="s">
        <v>387</v>
      </c>
      <c r="C11" s="121" t="s">
        <v>384</v>
      </c>
      <c r="D11" s="122">
        <v>376533</v>
      </c>
      <c r="E11" s="122">
        <v>2919</v>
      </c>
      <c r="F11" s="122">
        <v>1073</v>
      </c>
      <c r="G11" s="122">
        <v>68</v>
      </c>
      <c r="H11" s="122">
        <v>7</v>
      </c>
      <c r="I11" s="122">
        <v>1</v>
      </c>
      <c r="J11" s="122">
        <v>1</v>
      </c>
      <c r="K11" s="122">
        <v>1</v>
      </c>
      <c r="L11" s="122">
        <v>1</v>
      </c>
      <c r="M11" s="122">
        <v>380604</v>
      </c>
    </row>
    <row r="12" spans="1:13">
      <c r="A12" s="121"/>
      <c r="B12" s="121"/>
      <c r="C12" s="121" t="s">
        <v>385</v>
      </c>
      <c r="D12" s="122">
        <v>8427</v>
      </c>
      <c r="E12" s="122">
        <v>270</v>
      </c>
      <c r="F12" s="122">
        <v>75</v>
      </c>
      <c r="G12" s="122">
        <v>38</v>
      </c>
      <c r="H12" s="122">
        <v>29</v>
      </c>
      <c r="I12" s="122">
        <v>14</v>
      </c>
      <c r="J12" s="122">
        <v>25</v>
      </c>
      <c r="K12" s="122">
        <v>1</v>
      </c>
      <c r="L12" s="122">
        <v>8</v>
      </c>
      <c r="M12" s="122">
        <v>8887</v>
      </c>
    </row>
    <row r="13" spans="1:13">
      <c r="A13" s="121"/>
      <c r="B13" s="121"/>
      <c r="C13" s="121" t="s">
        <v>372</v>
      </c>
      <c r="D13" s="122">
        <v>384960</v>
      </c>
      <c r="E13" s="122">
        <v>3189</v>
      </c>
      <c r="F13" s="122">
        <v>1148</v>
      </c>
      <c r="G13" s="122">
        <v>106</v>
      </c>
      <c r="H13" s="122">
        <v>36</v>
      </c>
      <c r="I13" s="122">
        <v>15</v>
      </c>
      <c r="J13" s="122">
        <v>26</v>
      </c>
      <c r="K13" s="122">
        <v>2</v>
      </c>
      <c r="L13" s="122">
        <v>9</v>
      </c>
      <c r="M13" s="122">
        <v>389491</v>
      </c>
    </row>
    <row r="14" spans="1:13">
      <c r="A14" s="121"/>
      <c r="B14" s="121" t="s">
        <v>388</v>
      </c>
      <c r="C14" s="121" t="s">
        <v>384</v>
      </c>
      <c r="D14" s="122">
        <v>315364</v>
      </c>
      <c r="E14" s="122">
        <v>61999</v>
      </c>
      <c r="F14" s="122">
        <v>21220</v>
      </c>
      <c r="G14" s="122">
        <v>15632</v>
      </c>
      <c r="H14" s="122">
        <v>2229</v>
      </c>
      <c r="I14" s="122">
        <v>2221</v>
      </c>
      <c r="J14" s="122">
        <v>1724</v>
      </c>
      <c r="K14" s="122">
        <v>1392</v>
      </c>
      <c r="L14" s="122">
        <v>10388</v>
      </c>
      <c r="M14" s="122">
        <v>432169</v>
      </c>
    </row>
    <row r="15" spans="1:13">
      <c r="A15" s="121"/>
      <c r="B15" s="121"/>
      <c r="C15" s="121" t="s">
        <v>385</v>
      </c>
      <c r="D15" s="122">
        <v>62633</v>
      </c>
      <c r="E15" s="122">
        <v>13459</v>
      </c>
      <c r="F15" s="122">
        <v>8011</v>
      </c>
      <c r="G15" s="122">
        <v>5681</v>
      </c>
      <c r="H15" s="122">
        <v>2613</v>
      </c>
      <c r="I15" s="122">
        <v>1802</v>
      </c>
      <c r="J15" s="122">
        <v>3667</v>
      </c>
      <c r="K15" s="122">
        <v>4458</v>
      </c>
      <c r="L15" s="122">
        <v>61315</v>
      </c>
      <c r="M15" s="122">
        <v>163639</v>
      </c>
    </row>
    <row r="16" spans="1:13">
      <c r="A16" s="121"/>
      <c r="B16" s="121"/>
      <c r="C16" s="121" t="s">
        <v>372</v>
      </c>
      <c r="D16" s="122">
        <v>377997</v>
      </c>
      <c r="E16" s="122">
        <v>75458</v>
      </c>
      <c r="F16" s="122">
        <v>29231</v>
      </c>
      <c r="G16" s="122">
        <v>21313</v>
      </c>
      <c r="H16" s="122">
        <v>4842</v>
      </c>
      <c r="I16" s="122">
        <v>4023</v>
      </c>
      <c r="J16" s="122">
        <v>5391</v>
      </c>
      <c r="K16" s="122">
        <v>5850</v>
      </c>
      <c r="L16" s="122">
        <v>71703</v>
      </c>
      <c r="M16" s="122">
        <v>595808</v>
      </c>
    </row>
    <row r="17" spans="1:16">
      <c r="A17" s="121"/>
      <c r="B17" s="121" t="s">
        <v>372</v>
      </c>
      <c r="C17" s="121" t="s">
        <v>384</v>
      </c>
      <c r="D17" s="122">
        <v>2770274</v>
      </c>
      <c r="E17" s="122">
        <v>199360</v>
      </c>
      <c r="F17" s="122">
        <v>114297</v>
      </c>
      <c r="G17" s="122">
        <v>67848</v>
      </c>
      <c r="H17" s="122">
        <v>7632</v>
      </c>
      <c r="I17" s="122">
        <v>5671</v>
      </c>
      <c r="J17" s="122">
        <v>5494</v>
      </c>
      <c r="K17" s="122">
        <v>4561</v>
      </c>
      <c r="L17" s="122">
        <v>14856</v>
      </c>
      <c r="M17" s="122">
        <v>3189993</v>
      </c>
    </row>
    <row r="18" spans="1:16">
      <c r="A18" s="121"/>
      <c r="B18" s="121"/>
      <c r="C18" s="121" t="s">
        <v>385</v>
      </c>
      <c r="D18" s="122">
        <v>145702</v>
      </c>
      <c r="E18" s="122">
        <v>39116</v>
      </c>
      <c r="F18" s="122">
        <v>72417</v>
      </c>
      <c r="G18" s="122">
        <v>33579</v>
      </c>
      <c r="H18" s="122">
        <v>12597</v>
      </c>
      <c r="I18" s="122">
        <v>6828</v>
      </c>
      <c r="J18" s="122">
        <v>17466</v>
      </c>
      <c r="K18" s="122">
        <v>9590</v>
      </c>
      <c r="L18" s="122">
        <v>87957</v>
      </c>
      <c r="M18" s="122">
        <v>425252</v>
      </c>
    </row>
    <row r="19" spans="1:16">
      <c r="A19" s="121"/>
      <c r="B19" s="121"/>
      <c r="C19" s="121" t="s">
        <v>372</v>
      </c>
      <c r="D19" s="122">
        <v>2915976</v>
      </c>
      <c r="E19" s="122">
        <v>238476</v>
      </c>
      <c r="F19" s="122">
        <v>186714</v>
      </c>
      <c r="G19" s="122">
        <v>101427</v>
      </c>
      <c r="H19" s="122">
        <v>20229</v>
      </c>
      <c r="I19" s="122">
        <v>12499</v>
      </c>
      <c r="J19" s="122">
        <v>22960</v>
      </c>
      <c r="K19" s="122">
        <v>14151</v>
      </c>
      <c r="L19" s="122">
        <v>102813</v>
      </c>
      <c r="M19" s="122">
        <v>3615245</v>
      </c>
    </row>
    <row r="24" spans="1:16">
      <c r="K24" s="33"/>
    </row>
    <row r="25" spans="1:16">
      <c r="K25" s="33"/>
    </row>
    <row r="27" spans="1:16">
      <c r="K27" s="8" t="s">
        <v>82</v>
      </c>
      <c r="L27" s="8" t="s">
        <v>348</v>
      </c>
      <c r="N27" s="8" t="s">
        <v>84</v>
      </c>
      <c r="O27" s="8" t="s">
        <v>353</v>
      </c>
      <c r="P27" s="8" t="s">
        <v>389</v>
      </c>
    </row>
    <row r="28" spans="1:16">
      <c r="J28" s="8" t="s">
        <v>77</v>
      </c>
      <c r="K28" s="8">
        <v>0.95</v>
      </c>
      <c r="L28" s="8">
        <f>61.69/104.4</f>
        <v>0.59090038314176241</v>
      </c>
      <c r="N28" s="12" t="s">
        <v>85</v>
      </c>
      <c r="O28" s="34">
        <f>D19</f>
        <v>2915976</v>
      </c>
      <c r="P28" s="8">
        <f>K28*L28</f>
        <v>0.56135536398467423</v>
      </c>
    </row>
    <row r="29" spans="1:16">
      <c r="J29" s="8" t="s">
        <v>78</v>
      </c>
      <c r="K29" s="8">
        <v>2.13</v>
      </c>
      <c r="L29" s="8">
        <f>84.99/140.32</f>
        <v>0.60568700114025087</v>
      </c>
      <c r="O29" s="34"/>
    </row>
    <row r="30" spans="1:16">
      <c r="J30" s="8" t="s">
        <v>79</v>
      </c>
      <c r="K30" s="8">
        <v>5.57</v>
      </c>
      <c r="L30" s="8">
        <f>145.22/220.81</f>
        <v>0.657669489606449</v>
      </c>
      <c r="N30" s="8" t="s">
        <v>349</v>
      </c>
      <c r="O30" s="12"/>
    </row>
    <row r="31" spans="1:16">
      <c r="J31" s="8" t="s">
        <v>80</v>
      </c>
      <c r="K31" s="8">
        <v>26.71</v>
      </c>
      <c r="L31" s="8">
        <f>238.47/331.61</f>
        <v>0.71912789119749099</v>
      </c>
      <c r="N31" s="8" t="s">
        <v>78</v>
      </c>
      <c r="O31" s="123">
        <f>E19</f>
        <v>238476</v>
      </c>
      <c r="P31" s="8">
        <f>SUMPRODUCT(O31:O33,K29:K31,L29:L31)/SUM(O31:O33)</f>
        <v>6.6919426527303214</v>
      </c>
    </row>
    <row r="32" spans="1:16">
      <c r="N32" s="8" t="s">
        <v>79</v>
      </c>
      <c r="O32" s="124">
        <f>SUM(F19:G19)</f>
        <v>288141</v>
      </c>
    </row>
    <row r="33" spans="10:15">
      <c r="J33" s="8" t="s">
        <v>83</v>
      </c>
      <c r="N33" s="8" t="s">
        <v>80</v>
      </c>
      <c r="O33" s="123">
        <f>SUM(H19:L19)</f>
        <v>172652</v>
      </c>
    </row>
    <row r="37" spans="10:15">
      <c r="J37" s="7" t="s">
        <v>89</v>
      </c>
    </row>
    <row r="38" spans="10:15">
      <c r="J38" s="8" t="s">
        <v>390</v>
      </c>
    </row>
    <row r="43" spans="10:15">
      <c r="J43" s="115"/>
    </row>
    <row r="44" spans="10:15">
      <c r="J44"/>
    </row>
    <row r="45" spans="10:15">
      <c r="J45"/>
    </row>
    <row r="46" spans="10:15">
      <c r="J46" s="116"/>
    </row>
    <row r="47" spans="10:15">
      <c r="J47" s="116"/>
    </row>
  </sheetData>
  <phoneticPr fontId="4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55CB-ED11-48EF-AA99-B206FDDEB829}">
  <dimension ref="A1:P55"/>
  <sheetViews>
    <sheetView workbookViewId="0"/>
  </sheetViews>
  <sheetFormatPr defaultColWidth="9" defaultRowHeight="14.5"/>
  <cols>
    <col min="1" max="1" width="10" style="8" customWidth="1"/>
    <col min="2" max="2" width="13.1796875" style="8" bestFit="1" customWidth="1"/>
    <col min="3" max="3" width="23.26953125" style="8" customWidth="1"/>
    <col min="4" max="4" width="13.1796875" style="8" customWidth="1"/>
    <col min="5" max="5" width="23.1796875" style="8" customWidth="1"/>
    <col min="6" max="6" width="9.54296875" style="8" customWidth="1"/>
    <col min="7" max="7" width="14.26953125" style="8" customWidth="1"/>
    <col min="8" max="8" width="14.7265625" style="8" customWidth="1"/>
    <col min="9" max="9" width="15.1796875" style="8" customWidth="1"/>
    <col min="10" max="10" width="12.26953125" style="8" bestFit="1" customWidth="1"/>
    <col min="11" max="11" width="15.81640625" style="8" bestFit="1" customWidth="1"/>
    <col min="12" max="12" width="9.1796875" style="8" bestFit="1" customWidth="1"/>
    <col min="13" max="13" width="15.81640625" style="8" bestFit="1" customWidth="1"/>
    <col min="14" max="14" width="17.7265625" style="8" bestFit="1" customWidth="1"/>
    <col min="15" max="15" width="12.7265625" style="8" bestFit="1" customWidth="1"/>
    <col min="16" max="16384" width="9" style="8"/>
  </cols>
  <sheetData>
    <row r="1" spans="1:16">
      <c r="A1" s="8" t="str">
        <f>_xlfn.TRANSLATE(A3)</f>
        <v>Ministry of Land, Infrastructure, Transport and Tourism_Domestic International Air Transportation Performance by Year</v>
      </c>
    </row>
    <row r="2" spans="1:16">
      <c r="A2" s="8" t="str">
        <f t="shared" ref="A2:G2" si="0">_xlfn.TRANSLATE(A4)</f>
        <v>Classification</v>
      </c>
      <c r="B2" s="8" t="str">
        <f t="shared" si="0"/>
        <v>Passengers</v>
      </c>
      <c r="C2" s="8" t="str">
        <f t="shared" si="0"/>
        <v>Passenger kilo (km)</v>
      </c>
      <c r="D2" s="8" t="str">
        <f t="shared" si="0"/>
        <v>Cargo (tons)</v>
      </c>
      <c r="E2" s="8" t="str">
        <f t="shared" si="0"/>
        <v>Cargo tonkilometer (km)</v>
      </c>
      <c r="F2" s="8" t="str">
        <f t="shared" si="0"/>
        <v>Flights</v>
      </c>
      <c r="G2" s="8" t="str">
        <f t="shared" si="0"/>
        <v>Kilometers (km)</v>
      </c>
    </row>
    <row r="3" spans="1:16">
      <c r="A3" s="7" t="s">
        <v>11</v>
      </c>
    </row>
    <row r="4" spans="1:16">
      <c r="A4" s="9" t="s">
        <v>12</v>
      </c>
      <c r="B4" s="9" t="s">
        <v>13</v>
      </c>
      <c r="C4" s="9" t="s">
        <v>14</v>
      </c>
      <c r="D4" s="9" t="s">
        <v>15</v>
      </c>
      <c r="E4" s="9" t="s">
        <v>16</v>
      </c>
      <c r="F4" s="9" t="s">
        <v>17</v>
      </c>
      <c r="G4" s="9" t="s">
        <v>18</v>
      </c>
      <c r="I4" s="10" t="s">
        <v>19</v>
      </c>
      <c r="J4" s="11"/>
    </row>
    <row r="5" spans="1:16">
      <c r="A5" s="12">
        <v>1989</v>
      </c>
      <c r="B5" s="13">
        <v>17234880</v>
      </c>
      <c r="C5" s="13">
        <v>32973999372</v>
      </c>
      <c r="D5" s="13">
        <v>865713</v>
      </c>
      <c r="E5" s="13">
        <v>4331431570</v>
      </c>
      <c r="F5" s="13">
        <v>122857</v>
      </c>
      <c r="G5" s="13">
        <v>240728926</v>
      </c>
      <c r="I5" s="127" t="s">
        <v>20</v>
      </c>
      <c r="J5" s="14" t="s">
        <v>21</v>
      </c>
      <c r="K5" s="14" t="s">
        <v>22</v>
      </c>
      <c r="L5" s="14" t="s">
        <v>23</v>
      </c>
      <c r="M5" s="14" t="s">
        <v>24</v>
      </c>
      <c r="N5" s="14" t="s">
        <v>25</v>
      </c>
      <c r="O5" s="14" t="s">
        <v>26</v>
      </c>
    </row>
    <row r="6" spans="1:16">
      <c r="A6" s="12">
        <v>1990</v>
      </c>
      <c r="B6" s="13">
        <v>20690235</v>
      </c>
      <c r="C6" s="13">
        <v>40415780780</v>
      </c>
      <c r="D6" s="13">
        <v>959590</v>
      </c>
      <c r="E6" s="13">
        <v>4626454321</v>
      </c>
      <c r="F6" s="13">
        <v>139529</v>
      </c>
      <c r="G6" s="13">
        <v>280656064</v>
      </c>
      <c r="I6" s="128"/>
      <c r="J6" s="15" t="e">
        <f>INDEX(B:B,MATCH(About!$B$42,$A:$A,0))</f>
        <v>#N/A</v>
      </c>
      <c r="K6" s="15" t="e">
        <f>INDEX(C:C,MATCH(About!$B$42,$A:$A,0))*N53</f>
        <v>#N/A</v>
      </c>
      <c r="L6" s="15">
        <f>K18</f>
        <v>155.72981935122084</v>
      </c>
      <c r="M6" s="15">
        <v>259915924</v>
      </c>
      <c r="N6" s="15">
        <v>161504217</v>
      </c>
      <c r="O6" s="15">
        <f>N6/L6</f>
        <v>1037079.5886930045</v>
      </c>
    </row>
    <row r="7" spans="1:16">
      <c r="A7" s="12">
        <v>1991</v>
      </c>
      <c r="B7" s="13">
        <v>22523737</v>
      </c>
      <c r="C7" s="13">
        <v>42968310434</v>
      </c>
      <c r="D7" s="13">
        <v>986884</v>
      </c>
      <c r="E7" s="13">
        <v>4548580506</v>
      </c>
      <c r="F7" s="13">
        <v>150595</v>
      </c>
      <c r="G7" s="13">
        <v>300479394</v>
      </c>
    </row>
    <row r="8" spans="1:16">
      <c r="A8" s="12">
        <v>1992</v>
      </c>
      <c r="B8" s="13">
        <v>25811748</v>
      </c>
      <c r="C8" s="13">
        <v>50453658708</v>
      </c>
      <c r="D8" s="13">
        <v>1078832</v>
      </c>
      <c r="E8" s="13">
        <v>5062484859</v>
      </c>
      <c r="F8" s="13">
        <v>177627</v>
      </c>
      <c r="G8" s="13">
        <v>347095622</v>
      </c>
      <c r="I8" s="127" t="s">
        <v>27</v>
      </c>
      <c r="J8" s="14" t="s">
        <v>28</v>
      </c>
      <c r="K8" s="14" t="s">
        <v>29</v>
      </c>
      <c r="L8" s="14" t="s">
        <v>30</v>
      </c>
      <c r="M8" s="14" t="s">
        <v>31</v>
      </c>
      <c r="N8" s="14" t="s">
        <v>32</v>
      </c>
      <c r="O8" s="14" t="s">
        <v>26</v>
      </c>
    </row>
    <row r="9" spans="1:16">
      <c r="A9" s="12">
        <v>1993</v>
      </c>
      <c r="B9" s="13">
        <v>27201333</v>
      </c>
      <c r="C9" s="13">
        <v>53138303731</v>
      </c>
      <c r="D9" s="13">
        <v>1223888</v>
      </c>
      <c r="E9" s="13">
        <v>6287703403</v>
      </c>
      <c r="F9" s="13">
        <v>201182</v>
      </c>
      <c r="G9" s="13">
        <v>371002537</v>
      </c>
      <c r="I9" s="128"/>
      <c r="J9" s="15" t="e">
        <f>INDEX(D:D,MATCH(About!$B$42,$A:$A,0))*O53</f>
        <v>#N/A</v>
      </c>
      <c r="K9" s="15" t="e">
        <f>INDEX(E:E,MATCH(About!$B$42,$A:$A,0))*O53</f>
        <v>#N/A</v>
      </c>
      <c r="L9" s="15">
        <f>O14</f>
        <v>63.556825639903742</v>
      </c>
      <c r="M9" s="15">
        <v>343226964</v>
      </c>
      <c r="N9" s="15">
        <v>213271282</v>
      </c>
      <c r="O9" s="15">
        <f>N9/L9</f>
        <v>3355599.9666871186</v>
      </c>
    </row>
    <row r="10" spans="1:16">
      <c r="A10" s="12">
        <v>1994</v>
      </c>
      <c r="B10" s="13">
        <v>31481845</v>
      </c>
      <c r="C10" s="13">
        <v>60636514958</v>
      </c>
      <c r="D10" s="13">
        <v>1418923</v>
      </c>
      <c r="E10" s="13">
        <v>7107986755</v>
      </c>
      <c r="F10" s="13">
        <v>214424</v>
      </c>
      <c r="G10" s="13">
        <v>416475276</v>
      </c>
      <c r="I10" s="8" t="s">
        <v>33</v>
      </c>
    </row>
    <row r="11" spans="1:16">
      <c r="A11" s="12">
        <v>1995</v>
      </c>
      <c r="B11" s="13">
        <v>35611282</v>
      </c>
      <c r="C11" s="13">
        <v>69018847961</v>
      </c>
      <c r="D11" s="13">
        <v>1613469</v>
      </c>
      <c r="E11" s="13">
        <v>8218439669</v>
      </c>
      <c r="F11" s="13">
        <v>234027</v>
      </c>
      <c r="G11" s="13">
        <v>468101617</v>
      </c>
    </row>
    <row r="12" spans="1:16">
      <c r="A12" s="12">
        <v>1996</v>
      </c>
      <c r="B12" s="13">
        <v>39559043</v>
      </c>
      <c r="C12" s="13">
        <v>78775501273</v>
      </c>
      <c r="D12" s="13">
        <v>1782337</v>
      </c>
      <c r="E12" s="13">
        <v>9176947009</v>
      </c>
      <c r="F12" s="13">
        <v>254565</v>
      </c>
      <c r="G12" s="13">
        <v>528539658</v>
      </c>
      <c r="I12" s="7" t="s">
        <v>34</v>
      </c>
      <c r="K12" s="7" t="s">
        <v>35</v>
      </c>
      <c r="L12" s="7" t="s">
        <v>36</v>
      </c>
      <c r="M12" s="8" t="s">
        <v>37</v>
      </c>
      <c r="N12" s="7" t="s">
        <v>38</v>
      </c>
      <c r="O12" s="7" t="s">
        <v>39</v>
      </c>
    </row>
    <row r="13" spans="1:16">
      <c r="A13" s="12">
        <v>1997</v>
      </c>
      <c r="B13" s="13">
        <v>42176926</v>
      </c>
      <c r="C13" s="13">
        <v>83426879836</v>
      </c>
      <c r="D13" s="13">
        <v>2018393</v>
      </c>
      <c r="E13" s="13">
        <v>10700851468</v>
      </c>
      <c r="F13" s="13">
        <v>277048</v>
      </c>
      <c r="G13" s="13">
        <v>591150615</v>
      </c>
      <c r="I13" s="129">
        <v>2019</v>
      </c>
      <c r="J13" s="9" t="s">
        <v>40</v>
      </c>
      <c r="K13" s="16">
        <v>523827</v>
      </c>
      <c r="L13" s="16">
        <v>1723221</v>
      </c>
      <c r="M13" s="8">
        <f>K13/SUM($K$13:$K$14)</f>
        <v>0.96627258993084442</v>
      </c>
      <c r="N13" s="8">
        <f>L13/SUM($L$13:$L$14)</f>
        <v>0.5972427766459848</v>
      </c>
      <c r="O13" s="8">
        <f>L13/K13</f>
        <v>3.2896757899077369</v>
      </c>
      <c r="P13" s="8" t="s">
        <v>41</v>
      </c>
    </row>
    <row r="14" spans="1:16">
      <c r="A14" s="12">
        <v>1998</v>
      </c>
      <c r="B14" s="13">
        <v>33608780</v>
      </c>
      <c r="C14" s="13">
        <v>62612530888</v>
      </c>
      <c r="D14" s="13">
        <v>1834298</v>
      </c>
      <c r="E14" s="13">
        <v>9400102457</v>
      </c>
      <c r="F14" s="13">
        <v>248188</v>
      </c>
      <c r="G14" s="13">
        <v>489105234</v>
      </c>
      <c r="I14" s="129"/>
      <c r="J14" s="9" t="s">
        <v>42</v>
      </c>
      <c r="K14" s="16">
        <v>18284</v>
      </c>
      <c r="L14" s="16">
        <v>1162073</v>
      </c>
      <c r="M14" s="8">
        <f>K14/SUM($K$13:$K$14)</f>
        <v>3.3727410069155576E-2</v>
      </c>
      <c r="N14" s="8">
        <f>L14/SUM($L$13:$L$14)</f>
        <v>0.4027572233540152</v>
      </c>
      <c r="O14" s="35">
        <f>L14/K14</f>
        <v>63.556825639903742</v>
      </c>
    </row>
    <row r="15" spans="1:16">
      <c r="A15" s="12">
        <v>1999</v>
      </c>
      <c r="B15" s="13">
        <v>37894642</v>
      </c>
      <c r="C15" s="13">
        <v>72436042000</v>
      </c>
      <c r="D15" s="13">
        <v>2112703</v>
      </c>
      <c r="E15" s="13">
        <v>10898300517</v>
      </c>
      <c r="F15" s="13">
        <v>246910</v>
      </c>
      <c r="G15" s="13">
        <v>498569299</v>
      </c>
    </row>
    <row r="16" spans="1:16">
      <c r="A16" s="12">
        <v>2000</v>
      </c>
      <c r="B16" s="13">
        <v>41967169</v>
      </c>
      <c r="C16" s="13">
        <v>83955503185</v>
      </c>
      <c r="D16" s="13">
        <v>2383581</v>
      </c>
      <c r="E16" s="13">
        <v>12429945390</v>
      </c>
      <c r="F16" s="13">
        <v>273691</v>
      </c>
      <c r="G16" s="13">
        <v>561891020</v>
      </c>
      <c r="I16" s="7" t="s">
        <v>43</v>
      </c>
      <c r="K16" s="13"/>
    </row>
    <row r="17" spans="1:11">
      <c r="A17" s="12">
        <v>2001</v>
      </c>
      <c r="B17" s="13">
        <v>42161838</v>
      </c>
      <c r="C17" s="13">
        <v>84544146258</v>
      </c>
      <c r="D17" s="13">
        <v>2294864</v>
      </c>
      <c r="E17" s="13">
        <v>11326745204</v>
      </c>
      <c r="F17" s="13">
        <v>283914</v>
      </c>
      <c r="G17" s="13">
        <v>567756515</v>
      </c>
      <c r="I17" s="8" t="s">
        <v>264</v>
      </c>
    </row>
    <row r="18" spans="1:11">
      <c r="A18" s="12">
        <v>2002</v>
      </c>
      <c r="B18" s="13">
        <v>43965144</v>
      </c>
      <c r="C18" s="13">
        <v>92174967638</v>
      </c>
      <c r="D18" s="13">
        <v>2509507</v>
      </c>
      <c r="E18" s="13">
        <v>12606344764</v>
      </c>
      <c r="F18" s="13">
        <v>303032</v>
      </c>
      <c r="G18" s="13">
        <v>641000008</v>
      </c>
      <c r="I18" s="8">
        <f>SUM(B53,I53)/SUM(C53,J53)*N53</f>
        <v>155.72981935122084</v>
      </c>
      <c r="K18" s="35">
        <f>I18</f>
        <v>155.72981935122084</v>
      </c>
    </row>
    <row r="19" spans="1:11">
      <c r="A19" s="12">
        <v>2003</v>
      </c>
      <c r="B19" s="13">
        <v>42838812</v>
      </c>
      <c r="C19" s="13">
        <v>82231019775</v>
      </c>
      <c r="D19" s="13">
        <v>2631359</v>
      </c>
      <c r="E19" s="13">
        <v>11695819583</v>
      </c>
      <c r="F19" s="13">
        <v>310124</v>
      </c>
      <c r="G19" s="13">
        <v>615049182</v>
      </c>
      <c r="I19" s="8">
        <f>SUM(B54,I54)/SUM(C54,J54)*N54</f>
        <v>147.99206308168749</v>
      </c>
      <c r="K19" s="35">
        <f>I19</f>
        <v>147.99206308168749</v>
      </c>
    </row>
    <row r="20" spans="1:11">
      <c r="A20" s="12">
        <v>2004</v>
      </c>
      <c r="B20" s="13">
        <v>45823588</v>
      </c>
      <c r="C20" s="13">
        <v>96583257785</v>
      </c>
      <c r="D20" s="13">
        <v>2978118</v>
      </c>
      <c r="E20" s="13">
        <v>13809815644</v>
      </c>
      <c r="F20" s="13">
        <v>313708</v>
      </c>
      <c r="G20" s="13">
        <v>688719258</v>
      </c>
    </row>
    <row r="21" spans="1:11">
      <c r="A21" s="12">
        <v>2005</v>
      </c>
      <c r="B21" s="13">
        <v>46841441</v>
      </c>
      <c r="C21" s="13">
        <v>101664000000</v>
      </c>
      <c r="D21" s="13">
        <v>2989203</v>
      </c>
      <c r="E21" s="13">
        <v>13597859781</v>
      </c>
      <c r="F21" s="13">
        <v>314128</v>
      </c>
      <c r="G21" s="13">
        <v>697677439</v>
      </c>
    </row>
    <row r="22" spans="1:11">
      <c r="A22" s="12">
        <v>2006</v>
      </c>
      <c r="B22" s="13">
        <v>49888580</v>
      </c>
      <c r="C22" s="13">
        <v>110791000000</v>
      </c>
      <c r="D22" s="13">
        <v>3208783</v>
      </c>
      <c r="E22" s="13">
        <v>14730313293</v>
      </c>
      <c r="F22" s="13">
        <v>340637</v>
      </c>
      <c r="G22" s="13">
        <v>765599846</v>
      </c>
    </row>
    <row r="23" spans="1:11">
      <c r="A23" s="12">
        <v>2007</v>
      </c>
      <c r="B23" s="13">
        <v>53715079</v>
      </c>
      <c r="C23" s="13">
        <v>121308000000</v>
      </c>
      <c r="D23" s="13">
        <v>3454508</v>
      </c>
      <c r="E23" s="13">
        <v>15880213082</v>
      </c>
      <c r="F23" s="13">
        <v>386314</v>
      </c>
      <c r="G23" s="13">
        <v>860482950</v>
      </c>
    </row>
    <row r="24" spans="1:11">
      <c r="A24" s="12">
        <v>2008</v>
      </c>
      <c r="B24" s="13">
        <v>52331770</v>
      </c>
      <c r="C24" s="13">
        <v>121563000000</v>
      </c>
      <c r="D24" s="13">
        <v>3251606</v>
      </c>
      <c r="E24" s="13">
        <v>14948577845</v>
      </c>
      <c r="F24" s="13">
        <v>389484</v>
      </c>
      <c r="G24" s="13">
        <v>868323394</v>
      </c>
    </row>
    <row r="25" spans="1:11">
      <c r="A25" s="12">
        <v>2009</v>
      </c>
      <c r="B25" s="13">
        <v>51574629</v>
      </c>
      <c r="C25" s="13">
        <v>116308000000</v>
      </c>
      <c r="D25" s="13">
        <v>3141146</v>
      </c>
      <c r="E25" s="13">
        <v>14085183952</v>
      </c>
      <c r="F25" s="13">
        <v>379865</v>
      </c>
      <c r="G25" s="13">
        <v>790370533</v>
      </c>
    </row>
    <row r="26" spans="1:11">
      <c r="A26" s="12">
        <v>2010</v>
      </c>
      <c r="B26" s="13">
        <v>60277303</v>
      </c>
      <c r="C26" s="13">
        <v>135771000000</v>
      </c>
      <c r="D26" s="13">
        <v>3588741</v>
      </c>
      <c r="E26" s="13">
        <v>16376088401</v>
      </c>
      <c r="F26" s="13">
        <v>403296</v>
      </c>
      <c r="G26" s="13">
        <v>894995910</v>
      </c>
    </row>
    <row r="27" spans="1:11">
      <c r="A27" s="12">
        <v>2011</v>
      </c>
      <c r="B27" s="13">
        <v>63629352</v>
      </c>
      <c r="C27" s="13">
        <v>148394000000</v>
      </c>
      <c r="D27" s="13">
        <v>3519237</v>
      </c>
      <c r="E27" s="13">
        <v>16021369980</v>
      </c>
      <c r="F27" s="13">
        <v>432080</v>
      </c>
      <c r="G27" s="13">
        <v>984715383</v>
      </c>
    </row>
    <row r="28" spans="1:11">
      <c r="A28" s="12">
        <v>2012</v>
      </c>
      <c r="B28" s="13">
        <v>69304162</v>
      </c>
      <c r="C28" s="13">
        <v>162735000000</v>
      </c>
      <c r="D28" s="13">
        <v>3474057</v>
      </c>
      <c r="E28" s="13">
        <v>15678617167</v>
      </c>
      <c r="F28" s="13">
        <v>469335</v>
      </c>
      <c r="G28" s="13">
        <v>1055832994</v>
      </c>
    </row>
    <row r="29" spans="1:11">
      <c r="A29" s="12">
        <v>2013</v>
      </c>
      <c r="B29" s="13">
        <v>73340261</v>
      </c>
      <c r="C29" s="13">
        <v>172963000000</v>
      </c>
      <c r="D29" s="13">
        <v>3498939</v>
      </c>
      <c r="E29" s="13">
        <v>15657045872</v>
      </c>
      <c r="F29" s="13">
        <v>500738</v>
      </c>
      <c r="G29" s="13">
        <v>1116671455</v>
      </c>
    </row>
    <row r="30" spans="1:11">
      <c r="A30" s="12">
        <v>2014</v>
      </c>
      <c r="B30" s="13">
        <v>81426297</v>
      </c>
      <c r="C30" s="13">
        <v>183113000000</v>
      </c>
      <c r="D30" s="13">
        <v>3693861</v>
      </c>
      <c r="E30" s="13">
        <v>16472894383</v>
      </c>
      <c r="F30" s="13">
        <v>536586</v>
      </c>
      <c r="G30" s="13">
        <v>1151922788</v>
      </c>
    </row>
    <row r="31" spans="1:11">
      <c r="A31" s="12">
        <v>2015</v>
      </c>
      <c r="B31" s="13">
        <v>89414538</v>
      </c>
      <c r="C31" s="13">
        <v>198443000000</v>
      </c>
      <c r="D31" s="13">
        <v>3806553</v>
      </c>
      <c r="E31" s="13">
        <v>16780475856</v>
      </c>
      <c r="F31" s="13">
        <v>570591</v>
      </c>
      <c r="G31" s="13">
        <v>1197486056</v>
      </c>
    </row>
    <row r="32" spans="1:11">
      <c r="A32" s="12">
        <v>2016</v>
      </c>
      <c r="B32" s="13">
        <v>103913732</v>
      </c>
      <c r="C32" s="13">
        <v>224081000000</v>
      </c>
      <c r="D32" s="13">
        <v>4073795</v>
      </c>
      <c r="E32" s="13">
        <v>17477169423</v>
      </c>
      <c r="F32" s="13">
        <v>629853</v>
      </c>
      <c r="G32" s="13">
        <v>1291889819</v>
      </c>
    </row>
    <row r="33" spans="1:16">
      <c r="A33" s="12">
        <v>2017</v>
      </c>
      <c r="B33" s="13">
        <v>109361974</v>
      </c>
      <c r="C33" s="13">
        <v>243641000000</v>
      </c>
      <c r="D33" s="13">
        <v>4321641</v>
      </c>
      <c r="E33" s="13">
        <v>18875336169</v>
      </c>
      <c r="F33" s="13">
        <v>653654</v>
      </c>
      <c r="G33" s="13">
        <v>1365679888</v>
      </c>
    </row>
    <row r="34" spans="1:16">
      <c r="A34" s="12">
        <v>2018</v>
      </c>
      <c r="B34" s="13">
        <v>117525898</v>
      </c>
      <c r="C34" s="13">
        <v>263629000000</v>
      </c>
      <c r="D34" s="13">
        <v>4441975</v>
      </c>
      <c r="E34" s="13">
        <v>19447758637</v>
      </c>
      <c r="F34" s="13">
        <v>691521</v>
      </c>
      <c r="G34" s="13">
        <v>1455708646</v>
      </c>
    </row>
    <row r="35" spans="1:16">
      <c r="A35" s="17">
        <v>2019</v>
      </c>
      <c r="B35" s="18">
        <v>123366608</v>
      </c>
      <c r="C35" s="18">
        <v>281755000000</v>
      </c>
      <c r="D35" s="18">
        <v>4274717</v>
      </c>
      <c r="E35" s="18">
        <v>18306326147</v>
      </c>
      <c r="F35" s="18">
        <v>723592</v>
      </c>
      <c r="G35" s="18">
        <v>1543833004</v>
      </c>
    </row>
    <row r="36" spans="1:16">
      <c r="A36" s="12">
        <v>2020</v>
      </c>
      <c r="B36" s="13">
        <v>39403960</v>
      </c>
      <c r="C36" s="13">
        <v>62314352681</v>
      </c>
      <c r="D36" s="13">
        <v>3252778</v>
      </c>
      <c r="E36" s="13">
        <v>15811549626</v>
      </c>
      <c r="F36" s="13">
        <v>339594</v>
      </c>
      <c r="G36" s="13">
        <v>770665128</v>
      </c>
    </row>
    <row r="37" spans="1:16">
      <c r="A37" s="7" t="s">
        <v>44</v>
      </c>
    </row>
    <row r="39" spans="1:16">
      <c r="A39" s="7" t="str">
        <f>_xlfn.TRANSLATE(A41)</f>
        <v>Aviation statistics Summary of passenger, supply, operation, and cargo data by airline</v>
      </c>
      <c r="B39" s="7"/>
      <c r="C39" s="7"/>
      <c r="D39" s="7"/>
      <c r="E39" s="7"/>
      <c r="F39" s="7"/>
      <c r="G39" s="7" t="str">
        <f t="shared" ref="G39:N39" si="1">_xlfn.TRANSLATE(G41)</f>
        <v/>
      </c>
      <c r="H39" s="7" t="str">
        <f t="shared" si="1"/>
        <v/>
      </c>
      <c r="I39" s="7" t="str">
        <f t="shared" si="1"/>
        <v/>
      </c>
      <c r="J39" s="7" t="str">
        <f t="shared" si="1"/>
        <v/>
      </c>
      <c r="K39" s="7" t="str">
        <f t="shared" si="1"/>
        <v/>
      </c>
      <c r="L39" s="7" t="str">
        <f t="shared" si="1"/>
        <v/>
      </c>
      <c r="M39" s="7" t="str">
        <f t="shared" si="1"/>
        <v/>
      </c>
      <c r="N39" s="7" t="str">
        <f t="shared" si="1"/>
        <v>Ratio of national deaths to total</v>
      </c>
      <c r="O39" s="7"/>
    </row>
    <row r="40" spans="1:16">
      <c r="A40" s="7" t="str">
        <f t="shared" ref="A40:O40" si="2">_xlfn.TRANSLATE(A42)</f>
        <v>Nationality History</v>
      </c>
      <c r="B40" s="7" t="str">
        <f t="shared" si="2"/>
        <v>Supply (stone)</v>
      </c>
      <c r="C40" s="7" t="str">
        <f t="shared" si="2"/>
        <v>Flights</v>
      </c>
      <c r="D40" s="7" t="str">
        <f t="shared" si="2"/>
        <v>Passengers</v>
      </c>
      <c r="E40" s="7" t="str">
        <f t="shared" si="2"/>
        <v>Cargo (tons)</v>
      </c>
      <c r="F40" s="7" t="str">
        <f t="shared" si="2"/>
        <v/>
      </c>
      <c r="G40" s="7" t="str">
        <f t="shared" si="2"/>
        <v/>
      </c>
      <c r="H40" s="7" t="str">
        <f t="shared" si="2"/>
        <v>Foreign Carriers</v>
      </c>
      <c r="I40" s="7" t="str">
        <f t="shared" si="2"/>
        <v>Supply (stone)</v>
      </c>
      <c r="J40" s="7" t="str">
        <f t="shared" si="2"/>
        <v>Flights</v>
      </c>
      <c r="K40" s="7" t="str">
        <f t="shared" si="2"/>
        <v>Passengers</v>
      </c>
      <c r="L40" s="7" t="str">
        <f t="shared" si="2"/>
        <v>Cargo (tons)</v>
      </c>
      <c r="M40" s="7" t="str">
        <f t="shared" si="2"/>
        <v/>
      </c>
      <c r="N40" s="7" t="str">
        <f t="shared" si="2"/>
        <v>Passengers</v>
      </c>
      <c r="O40" s="7" t="str">
        <f t="shared" si="2"/>
        <v>Cargo (tons)</v>
      </c>
    </row>
    <row r="41" spans="1:16">
      <c r="A41" s="7" t="s">
        <v>45</v>
      </c>
      <c r="N41" s="7" t="s">
        <v>46</v>
      </c>
    </row>
    <row r="42" spans="1:16">
      <c r="A42" s="9" t="s">
        <v>47</v>
      </c>
      <c r="B42" s="7" t="s">
        <v>48</v>
      </c>
      <c r="C42" s="7" t="s">
        <v>35</v>
      </c>
      <c r="D42" s="7" t="s">
        <v>49</v>
      </c>
      <c r="E42" s="7" t="s">
        <v>36</v>
      </c>
      <c r="H42" s="9" t="s">
        <v>50</v>
      </c>
      <c r="I42" s="7" t="s">
        <v>48</v>
      </c>
      <c r="J42" s="7" t="s">
        <v>35</v>
      </c>
      <c r="K42" s="7" t="s">
        <v>49</v>
      </c>
      <c r="L42" s="7" t="s">
        <v>36</v>
      </c>
      <c r="N42" s="7" t="s">
        <v>49</v>
      </c>
      <c r="O42" s="7" t="s">
        <v>36</v>
      </c>
      <c r="P42" s="8">
        <f>AVERAGE(O43:O53)</f>
        <v>0.72088835996183043</v>
      </c>
    </row>
    <row r="43" spans="1:16">
      <c r="A43" s="12">
        <v>2009</v>
      </c>
      <c r="B43" s="16">
        <v>58017647</v>
      </c>
      <c r="C43" s="16">
        <v>292381</v>
      </c>
      <c r="D43" s="16">
        <v>40387789</v>
      </c>
      <c r="E43" s="16">
        <v>2378141</v>
      </c>
      <c r="H43" s="12">
        <v>2009</v>
      </c>
      <c r="I43" s="16">
        <v>16331104</v>
      </c>
      <c r="J43" s="16">
        <v>87476</v>
      </c>
      <c r="K43" s="16">
        <v>11579779</v>
      </c>
      <c r="L43" s="16">
        <v>762743</v>
      </c>
      <c r="N43" s="8">
        <f>D43/SUM(D43,K43)</f>
        <v>0.77717296680114023</v>
      </c>
      <c r="O43" s="8">
        <f>E43/SUM(E43,L43)</f>
        <v>0.75715658394260976</v>
      </c>
    </row>
    <row r="44" spans="1:16">
      <c r="A44" s="12">
        <v>2010</v>
      </c>
      <c r="B44" s="16">
        <v>61312548</v>
      </c>
      <c r="C44" s="16">
        <v>307880</v>
      </c>
      <c r="D44" s="16">
        <v>47237514</v>
      </c>
      <c r="E44" s="16">
        <v>2666460</v>
      </c>
      <c r="H44" s="12">
        <v>2010</v>
      </c>
      <c r="I44" s="16">
        <v>17358540</v>
      </c>
      <c r="J44" s="16">
        <v>95417</v>
      </c>
      <c r="K44" s="16">
        <v>13495430</v>
      </c>
      <c r="L44" s="16">
        <v>922120</v>
      </c>
      <c r="N44" s="8">
        <f t="shared" ref="N44:O54" si="3">D44/SUM(D44,K44)</f>
        <v>0.7777906172307405</v>
      </c>
      <c r="O44" s="8">
        <f t="shared" si="3"/>
        <v>0.74304042267414971</v>
      </c>
    </row>
    <row r="45" spans="1:16">
      <c r="A45" s="12">
        <v>2011</v>
      </c>
      <c r="B45" s="16">
        <v>65976928</v>
      </c>
      <c r="C45" s="16">
        <v>328216</v>
      </c>
      <c r="D45" s="16">
        <v>49538896</v>
      </c>
      <c r="E45" s="16">
        <v>2623974</v>
      </c>
      <c r="H45" s="12">
        <v>2011</v>
      </c>
      <c r="I45" s="16">
        <v>19538208</v>
      </c>
      <c r="J45" s="16">
        <v>103853</v>
      </c>
      <c r="K45" s="16">
        <v>14588820</v>
      </c>
      <c r="L45" s="16">
        <v>895258</v>
      </c>
      <c r="N45" s="8">
        <f t="shared" si="3"/>
        <v>0.77250367064375103</v>
      </c>
      <c r="O45" s="8">
        <f t="shared" si="3"/>
        <v>0.74560983760093114</v>
      </c>
    </row>
    <row r="46" spans="1:16">
      <c r="A46" s="12">
        <v>2012</v>
      </c>
      <c r="B46" s="16">
        <v>70457208</v>
      </c>
      <c r="C46" s="16">
        <v>355775</v>
      </c>
      <c r="D46" s="16">
        <v>53874897</v>
      </c>
      <c r="E46" s="16">
        <v>2556561</v>
      </c>
      <c r="H46" s="12">
        <v>2012</v>
      </c>
      <c r="I46" s="16">
        <v>21378152</v>
      </c>
      <c r="J46" s="16">
        <v>113579</v>
      </c>
      <c r="K46" s="16">
        <v>15982369</v>
      </c>
      <c r="L46" s="16">
        <v>917497</v>
      </c>
      <c r="N46" s="8">
        <f t="shared" si="3"/>
        <v>0.77121393499711255</v>
      </c>
      <c r="O46" s="8">
        <f t="shared" si="3"/>
        <v>0.73590049446497441</v>
      </c>
    </row>
    <row r="47" spans="1:16">
      <c r="A47" s="12">
        <v>2013</v>
      </c>
      <c r="B47" s="16">
        <v>73317719</v>
      </c>
      <c r="C47" s="16">
        <v>375144</v>
      </c>
      <c r="D47" s="16">
        <v>56145585</v>
      </c>
      <c r="E47" s="16">
        <v>2569156</v>
      </c>
      <c r="H47" s="12">
        <v>2013</v>
      </c>
      <c r="I47" s="16">
        <v>23697631</v>
      </c>
      <c r="J47" s="16">
        <v>125595</v>
      </c>
      <c r="K47" s="16">
        <v>17819459</v>
      </c>
      <c r="L47" s="16">
        <v>929791</v>
      </c>
      <c r="N47" s="8">
        <f t="shared" si="3"/>
        <v>0.7590826958745539</v>
      </c>
      <c r="O47" s="8">
        <f t="shared" si="3"/>
        <v>0.73426548044311613</v>
      </c>
    </row>
    <row r="48" spans="1:16">
      <c r="A48" s="12">
        <v>2014</v>
      </c>
      <c r="B48" s="16">
        <v>77209328</v>
      </c>
      <c r="C48" s="16">
        <v>391048</v>
      </c>
      <c r="D48" s="16">
        <v>60788552</v>
      </c>
      <c r="E48" s="16">
        <v>2658483</v>
      </c>
      <c r="H48" s="12">
        <v>2014</v>
      </c>
      <c r="I48" s="16">
        <v>27619692</v>
      </c>
      <c r="J48" s="16">
        <v>145538</v>
      </c>
      <c r="K48" s="16">
        <v>21344930</v>
      </c>
      <c r="L48" s="16">
        <v>1035379</v>
      </c>
      <c r="N48" s="8">
        <f t="shared" si="3"/>
        <v>0.74011901747937581</v>
      </c>
      <c r="O48" s="8">
        <f t="shared" si="3"/>
        <v>0.71970284758878378</v>
      </c>
    </row>
    <row r="49" spans="1:16">
      <c r="A49" s="12">
        <v>2015</v>
      </c>
      <c r="B49" s="16">
        <v>84329502</v>
      </c>
      <c r="C49" s="16">
        <v>420486</v>
      </c>
      <c r="D49" s="16">
        <v>68106765</v>
      </c>
      <c r="E49" s="16">
        <v>2733091</v>
      </c>
      <c r="H49" s="12">
        <v>2015</v>
      </c>
      <c r="I49" s="16">
        <v>28582396</v>
      </c>
      <c r="J49" s="16">
        <v>150111</v>
      </c>
      <c r="K49" s="16">
        <v>22132049</v>
      </c>
      <c r="L49" s="16">
        <v>1073461</v>
      </c>
      <c r="N49" s="8">
        <f t="shared" si="3"/>
        <v>0.75473914140759868</v>
      </c>
      <c r="O49" s="8">
        <f t="shared" si="3"/>
        <v>0.71799649656697184</v>
      </c>
    </row>
    <row r="50" spans="1:16">
      <c r="A50" s="12">
        <v>2016</v>
      </c>
      <c r="B50" s="16">
        <v>94085064</v>
      </c>
      <c r="C50" s="16">
        <v>464495</v>
      </c>
      <c r="D50" s="16">
        <v>78956163</v>
      </c>
      <c r="E50" s="16">
        <v>2886178</v>
      </c>
      <c r="H50" s="12">
        <v>2016</v>
      </c>
      <c r="I50" s="16">
        <v>31928821</v>
      </c>
      <c r="J50" s="16">
        <v>165364</v>
      </c>
      <c r="K50" s="16">
        <v>25933915</v>
      </c>
      <c r="L50" s="16">
        <v>1187678</v>
      </c>
      <c r="N50" s="8">
        <f t="shared" si="3"/>
        <v>0.75275149476006686</v>
      </c>
      <c r="O50" s="8">
        <f t="shared" si="3"/>
        <v>0.70846343120620858</v>
      </c>
    </row>
    <row r="51" spans="1:16">
      <c r="A51" s="12">
        <v>2017</v>
      </c>
      <c r="B51" s="16">
        <v>101616268</v>
      </c>
      <c r="C51" s="16">
        <v>497211</v>
      </c>
      <c r="D51" s="16">
        <v>85904545</v>
      </c>
      <c r="E51" s="16">
        <v>3031848</v>
      </c>
      <c r="H51" s="12">
        <v>2017</v>
      </c>
      <c r="I51" s="16">
        <v>30565057</v>
      </c>
      <c r="J51" s="16">
        <v>156448</v>
      </c>
      <c r="K51" s="16">
        <v>24513986</v>
      </c>
      <c r="L51" s="16">
        <v>1289793</v>
      </c>
      <c r="N51" s="8">
        <f t="shared" si="3"/>
        <v>0.77799029041601719</v>
      </c>
      <c r="O51" s="8">
        <f t="shared" si="3"/>
        <v>0.70155017503767669</v>
      </c>
    </row>
    <row r="52" spans="1:16">
      <c r="A52" s="12">
        <v>2018</v>
      </c>
      <c r="B52" s="16">
        <v>107630602</v>
      </c>
      <c r="C52" s="16">
        <v>524690</v>
      </c>
      <c r="D52" s="16">
        <v>91273049</v>
      </c>
      <c r="E52" s="16">
        <v>3069951</v>
      </c>
      <c r="H52" s="12">
        <v>2018</v>
      </c>
      <c r="I52" s="16">
        <v>33353714</v>
      </c>
      <c r="J52" s="16">
        <v>166833</v>
      </c>
      <c r="K52" s="16">
        <v>27217444</v>
      </c>
      <c r="L52" s="16">
        <v>1372050</v>
      </c>
      <c r="N52" s="8">
        <f t="shared" si="3"/>
        <v>0.7702984998129766</v>
      </c>
      <c r="O52" s="8">
        <f t="shared" si="3"/>
        <v>0.69111893491244147</v>
      </c>
    </row>
    <row r="53" spans="1:16">
      <c r="A53" s="12">
        <v>2019</v>
      </c>
      <c r="B53" s="16">
        <v>111528123</v>
      </c>
      <c r="C53" s="16">
        <v>542111</v>
      </c>
      <c r="D53" s="16">
        <v>94245011</v>
      </c>
      <c r="E53" s="16">
        <v>2885294</v>
      </c>
      <c r="H53" s="12">
        <v>2019</v>
      </c>
      <c r="I53" s="16">
        <v>37076549</v>
      </c>
      <c r="J53" s="16">
        <v>181481</v>
      </c>
      <c r="K53" s="16">
        <v>30041872</v>
      </c>
      <c r="L53" s="16">
        <v>1389423</v>
      </c>
      <c r="N53" s="19">
        <f t="shared" si="3"/>
        <v>0.75828606145026578</v>
      </c>
      <c r="O53" s="19">
        <f t="shared" si="3"/>
        <v>0.67496725514227018</v>
      </c>
      <c r="P53" s="8" t="s">
        <v>111</v>
      </c>
    </row>
    <row r="54" spans="1:16">
      <c r="A54" s="12">
        <v>2020</v>
      </c>
      <c r="B54" s="16">
        <v>48876694</v>
      </c>
      <c r="C54" s="16">
        <v>275368</v>
      </c>
      <c r="D54" s="16">
        <v>34952212</v>
      </c>
      <c r="E54" s="16">
        <v>2346383</v>
      </c>
      <c r="H54" s="12">
        <v>2020</v>
      </c>
      <c r="I54" s="16">
        <v>8166640</v>
      </c>
      <c r="J54" s="16">
        <v>64229</v>
      </c>
      <c r="K54" s="16">
        <v>4719167</v>
      </c>
      <c r="L54" s="16">
        <v>906395</v>
      </c>
      <c r="N54" s="8">
        <f t="shared" si="3"/>
        <v>0.88104353518943723</v>
      </c>
      <c r="O54" s="8">
        <f t="shared" si="3"/>
        <v>0.72134741442545414</v>
      </c>
    </row>
    <row r="55" spans="1:16">
      <c r="B55" s="16"/>
      <c r="C55" s="16"/>
      <c r="D55" s="16"/>
      <c r="E55" s="16"/>
    </row>
  </sheetData>
  <mergeCells count="3">
    <mergeCell ref="I5:I6"/>
    <mergeCell ref="I8:I9"/>
    <mergeCell ref="I13:I14"/>
  </mergeCells>
  <phoneticPr fontId="4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0CBB-759C-4C56-A4C4-D4E65F9775FA}">
  <dimension ref="B2:I175"/>
  <sheetViews>
    <sheetView workbookViewId="0"/>
  </sheetViews>
  <sheetFormatPr defaultRowHeight="14.5"/>
  <cols>
    <col min="2" max="2" width="10.7265625" customWidth="1"/>
    <col min="5" max="5" width="15.81640625" bestFit="1" customWidth="1"/>
    <col min="6" max="6" width="19" customWidth="1"/>
    <col min="7" max="7" width="20.453125" bestFit="1" customWidth="1"/>
    <col min="9" max="9" width="18.453125" customWidth="1"/>
  </cols>
  <sheetData>
    <row r="2" spans="2:9" ht="15" thickBot="1">
      <c r="B2" s="40" t="s">
        <v>104</v>
      </c>
      <c r="C2" s="40" t="s">
        <v>100</v>
      </c>
      <c r="D2" s="40" t="s">
        <v>104</v>
      </c>
      <c r="E2" s="27" t="s">
        <v>103</v>
      </c>
      <c r="F2" s="27" t="s">
        <v>106</v>
      </c>
      <c r="G2" s="40" t="s">
        <v>113</v>
      </c>
    </row>
    <row r="3" spans="2:9">
      <c r="B3" s="27" t="s">
        <v>93</v>
      </c>
      <c r="C3">
        <v>17</v>
      </c>
      <c r="D3" s="27" t="s">
        <v>93</v>
      </c>
      <c r="E3">
        <v>2150450</v>
      </c>
      <c r="F3" s="37">
        <f>I14</f>
        <v>212.64705882352942</v>
      </c>
      <c r="G3" s="25">
        <f>SUMPRODUCT(E3:E8,F3:F8)/SUM(E3:E8)</f>
        <v>337.61417769892506</v>
      </c>
    </row>
    <row r="4" spans="2:9">
      <c r="B4" s="27" t="s">
        <v>94</v>
      </c>
      <c r="C4">
        <v>1</v>
      </c>
      <c r="D4" s="27" t="s">
        <v>94</v>
      </c>
      <c r="E4">
        <v>18923</v>
      </c>
      <c r="F4" s="38">
        <f t="shared" ref="F4:F8" si="0">I15</f>
        <v>140</v>
      </c>
    </row>
    <row r="5" spans="2:9">
      <c r="B5" s="27" t="s">
        <v>95</v>
      </c>
      <c r="C5">
        <v>11</v>
      </c>
      <c r="D5" s="27" t="s">
        <v>95</v>
      </c>
      <c r="E5">
        <v>648319</v>
      </c>
      <c r="F5" s="38">
        <f t="shared" si="0"/>
        <v>342.90909090909093</v>
      </c>
    </row>
    <row r="6" spans="2:9">
      <c r="B6" s="27" t="s">
        <v>96</v>
      </c>
      <c r="C6">
        <v>17</v>
      </c>
      <c r="D6" s="27" t="s">
        <v>96</v>
      </c>
      <c r="E6">
        <v>1419693</v>
      </c>
      <c r="F6" s="38">
        <f t="shared" si="0"/>
        <v>404.11764705882354</v>
      </c>
    </row>
    <row r="7" spans="2:9">
      <c r="B7" s="27" t="s">
        <v>97</v>
      </c>
      <c r="C7">
        <v>105</v>
      </c>
      <c r="D7" s="27" t="s">
        <v>97</v>
      </c>
      <c r="E7">
        <v>8583459</v>
      </c>
      <c r="F7" s="38">
        <f t="shared" si="0"/>
        <v>254.87619047619049</v>
      </c>
    </row>
    <row r="8" spans="2:9" ht="15" thickBot="1">
      <c r="B8" s="27" t="s">
        <v>98</v>
      </c>
      <c r="C8">
        <v>3</v>
      </c>
      <c r="D8" s="27" t="s">
        <v>102</v>
      </c>
      <c r="E8">
        <v>1804640</v>
      </c>
      <c r="F8" s="39">
        <f t="shared" si="0"/>
        <v>827.90909090909088</v>
      </c>
    </row>
    <row r="9" spans="2:9">
      <c r="B9" s="27" t="s">
        <v>99</v>
      </c>
      <c r="C9">
        <v>8</v>
      </c>
    </row>
    <row r="10" spans="2:9">
      <c r="C10">
        <f>SUM(C3:C9)</f>
        <v>162</v>
      </c>
    </row>
    <row r="12" spans="2:9">
      <c r="B12" t="s">
        <v>101</v>
      </c>
    </row>
    <row r="13" spans="2:9" ht="15" thickBot="1">
      <c r="B13" s="40" t="s">
        <v>104</v>
      </c>
      <c r="C13" s="40" t="s">
        <v>105</v>
      </c>
      <c r="F13" s="40" t="s">
        <v>104</v>
      </c>
      <c r="G13" s="40" t="s">
        <v>108</v>
      </c>
      <c r="H13" s="40" t="s">
        <v>107</v>
      </c>
      <c r="I13" s="40" t="s">
        <v>106</v>
      </c>
    </row>
    <row r="14" spans="2:9">
      <c r="B14" t="s">
        <v>102</v>
      </c>
      <c r="C14">
        <v>710</v>
      </c>
      <c r="D14">
        <v>1</v>
      </c>
      <c r="F14" s="27" t="s">
        <v>93</v>
      </c>
      <c r="G14">
        <f>SUMIF($B$14:$B$175,F14,$C$14:$C$175)</f>
        <v>3615</v>
      </c>
      <c r="H14">
        <f>SUMIF($B$14:$B$175,F14,$D$14:$D$175)</f>
        <v>17</v>
      </c>
      <c r="I14" s="37">
        <f>G14/H14</f>
        <v>212.64705882352942</v>
      </c>
    </row>
    <row r="15" spans="2:9">
      <c r="B15" t="s">
        <v>95</v>
      </c>
      <c r="C15">
        <v>304</v>
      </c>
      <c r="D15">
        <v>1</v>
      </c>
      <c r="F15" s="27" t="s">
        <v>94</v>
      </c>
      <c r="G15">
        <f t="shared" ref="G15:G19" si="1">SUMIF($B$14:$B$175,F15,$C$14:$C$175)</f>
        <v>140</v>
      </c>
      <c r="H15">
        <f t="shared" ref="H15:H19" si="2">SUMIF($B$14:$B$175,F15,$D$14:$D$175)</f>
        <v>1</v>
      </c>
      <c r="I15" s="38">
        <f t="shared" ref="I15:I19" si="3">G15/H15</f>
        <v>140</v>
      </c>
    </row>
    <row r="16" spans="2:9">
      <c r="B16" t="s">
        <v>95</v>
      </c>
      <c r="C16">
        <v>354</v>
      </c>
      <c r="D16">
        <v>1</v>
      </c>
      <c r="F16" s="27" t="s">
        <v>95</v>
      </c>
      <c r="G16">
        <f t="shared" si="1"/>
        <v>3772</v>
      </c>
      <c r="H16">
        <f t="shared" si="2"/>
        <v>11</v>
      </c>
      <c r="I16" s="38">
        <f t="shared" si="3"/>
        <v>342.90909090909093</v>
      </c>
    </row>
    <row r="17" spans="2:9">
      <c r="B17" t="s">
        <v>95</v>
      </c>
      <c r="C17">
        <v>288</v>
      </c>
      <c r="D17">
        <v>1</v>
      </c>
      <c r="F17" s="27" t="s">
        <v>96</v>
      </c>
      <c r="G17">
        <f t="shared" si="1"/>
        <v>6870</v>
      </c>
      <c r="H17">
        <f t="shared" si="2"/>
        <v>17</v>
      </c>
      <c r="I17" s="38">
        <f t="shared" si="3"/>
        <v>404.11764705882354</v>
      </c>
    </row>
    <row r="18" spans="2:9">
      <c r="B18" t="s">
        <v>95</v>
      </c>
      <c r="C18">
        <v>557</v>
      </c>
      <c r="D18">
        <v>1</v>
      </c>
      <c r="F18" s="27" t="s">
        <v>97</v>
      </c>
      <c r="G18">
        <f t="shared" si="1"/>
        <v>26762</v>
      </c>
      <c r="H18">
        <f t="shared" si="2"/>
        <v>105</v>
      </c>
      <c r="I18" s="38">
        <f t="shared" si="3"/>
        <v>254.87619047619049</v>
      </c>
    </row>
    <row r="19" spans="2:9" ht="15" thickBot="1">
      <c r="B19" t="s">
        <v>96</v>
      </c>
      <c r="C19">
        <v>449</v>
      </c>
      <c r="D19">
        <v>1</v>
      </c>
      <c r="F19" s="27" t="s">
        <v>102</v>
      </c>
      <c r="G19">
        <f t="shared" si="1"/>
        <v>9107</v>
      </c>
      <c r="H19">
        <f t="shared" si="2"/>
        <v>11</v>
      </c>
      <c r="I19" s="39">
        <f t="shared" si="3"/>
        <v>827.90909090909088</v>
      </c>
    </row>
    <row r="20" spans="2:9">
      <c r="B20" t="s">
        <v>96</v>
      </c>
      <c r="C20">
        <v>330</v>
      </c>
      <c r="D20">
        <v>1</v>
      </c>
    </row>
    <row r="21" spans="2:9">
      <c r="B21" t="s">
        <v>97</v>
      </c>
      <c r="C21">
        <v>54</v>
      </c>
      <c r="D21">
        <v>1</v>
      </c>
      <c r="F21" s="27" t="s">
        <v>89</v>
      </c>
    </row>
    <row r="22" spans="2:9">
      <c r="B22" t="s">
        <v>97</v>
      </c>
      <c r="C22">
        <v>161</v>
      </c>
      <c r="D22">
        <v>1</v>
      </c>
      <c r="F22" t="s">
        <v>116</v>
      </c>
    </row>
    <row r="23" spans="2:9">
      <c r="B23" t="s">
        <v>97</v>
      </c>
      <c r="C23">
        <v>600</v>
      </c>
      <c r="D23">
        <v>1</v>
      </c>
    </row>
    <row r="24" spans="2:9">
      <c r="B24" t="s">
        <v>97</v>
      </c>
      <c r="C24">
        <v>565</v>
      </c>
      <c r="D24">
        <v>1</v>
      </c>
    </row>
    <row r="25" spans="2:9">
      <c r="B25" t="s">
        <v>97</v>
      </c>
      <c r="C25">
        <v>410</v>
      </c>
      <c r="D25">
        <v>1</v>
      </c>
    </row>
    <row r="26" spans="2:9">
      <c r="B26" t="s">
        <v>97</v>
      </c>
      <c r="C26">
        <v>498</v>
      </c>
      <c r="D26">
        <v>1</v>
      </c>
    </row>
    <row r="27" spans="2:9">
      <c r="B27" t="s">
        <v>97</v>
      </c>
      <c r="C27">
        <v>385</v>
      </c>
      <c r="D27">
        <v>1</v>
      </c>
    </row>
    <row r="28" spans="2:9">
      <c r="B28" t="s">
        <v>97</v>
      </c>
      <c r="C28">
        <v>375</v>
      </c>
      <c r="D28">
        <v>1</v>
      </c>
    </row>
    <row r="29" spans="2:9">
      <c r="B29" t="s">
        <v>97</v>
      </c>
      <c r="C29">
        <v>93</v>
      </c>
      <c r="D29">
        <v>1</v>
      </c>
    </row>
    <row r="30" spans="2:9">
      <c r="B30" t="s">
        <v>97</v>
      </c>
      <c r="C30">
        <v>694</v>
      </c>
      <c r="D30">
        <v>1</v>
      </c>
    </row>
    <row r="31" spans="2:9">
      <c r="B31" t="s">
        <v>102</v>
      </c>
      <c r="C31">
        <v>411</v>
      </c>
      <c r="D31">
        <v>1</v>
      </c>
    </row>
    <row r="32" spans="2:9">
      <c r="B32" t="s">
        <v>102</v>
      </c>
      <c r="C32">
        <v>544</v>
      </c>
      <c r="D32">
        <v>1</v>
      </c>
    </row>
    <row r="33" spans="2:4">
      <c r="B33" t="s">
        <v>93</v>
      </c>
      <c r="C33">
        <v>46</v>
      </c>
      <c r="D33">
        <v>1</v>
      </c>
    </row>
    <row r="34" spans="2:4">
      <c r="B34" t="s">
        <v>93</v>
      </c>
      <c r="C34">
        <v>300</v>
      </c>
      <c r="D34">
        <v>1</v>
      </c>
    </row>
    <row r="35" spans="2:4">
      <c r="B35" t="s">
        <v>93</v>
      </c>
      <c r="C35">
        <v>82</v>
      </c>
      <c r="D35">
        <v>1</v>
      </c>
    </row>
    <row r="36" spans="2:4">
      <c r="B36" t="s">
        <v>93</v>
      </c>
      <c r="C36">
        <v>77</v>
      </c>
      <c r="D36">
        <v>1</v>
      </c>
    </row>
    <row r="37" spans="2:4">
      <c r="B37" t="s">
        <v>96</v>
      </c>
      <c r="C37">
        <v>296</v>
      </c>
      <c r="D37">
        <v>1</v>
      </c>
    </row>
    <row r="38" spans="2:4">
      <c r="B38" t="s">
        <v>97</v>
      </c>
      <c r="C38">
        <v>236</v>
      </c>
      <c r="D38">
        <v>1</v>
      </c>
    </row>
    <row r="39" spans="2:4">
      <c r="B39" t="s">
        <v>97</v>
      </c>
      <c r="C39">
        <v>242</v>
      </c>
      <c r="D39">
        <v>1</v>
      </c>
    </row>
    <row r="40" spans="2:4">
      <c r="B40" t="s">
        <v>97</v>
      </c>
      <c r="C40">
        <v>128</v>
      </c>
      <c r="D40">
        <v>1</v>
      </c>
    </row>
    <row r="41" spans="2:4">
      <c r="B41" t="s">
        <v>97</v>
      </c>
      <c r="C41">
        <v>146</v>
      </c>
      <c r="D41">
        <v>1</v>
      </c>
    </row>
    <row r="42" spans="2:4">
      <c r="B42" t="s">
        <v>97</v>
      </c>
      <c r="C42">
        <v>249</v>
      </c>
      <c r="D42">
        <v>1</v>
      </c>
    </row>
    <row r="43" spans="2:4">
      <c r="B43" t="s">
        <v>97</v>
      </c>
      <c r="C43">
        <v>188</v>
      </c>
      <c r="D43">
        <v>1</v>
      </c>
    </row>
    <row r="44" spans="2:4">
      <c r="B44" t="s">
        <v>97</v>
      </c>
      <c r="C44">
        <v>164</v>
      </c>
      <c r="D44">
        <v>1</v>
      </c>
    </row>
    <row r="45" spans="2:4">
      <c r="B45" t="s">
        <v>97</v>
      </c>
      <c r="C45">
        <v>500</v>
      </c>
      <c r="D45">
        <v>1</v>
      </c>
    </row>
    <row r="46" spans="2:4">
      <c r="B46" t="s">
        <v>97</v>
      </c>
      <c r="C46">
        <v>230</v>
      </c>
      <c r="D46">
        <v>1</v>
      </c>
    </row>
    <row r="47" spans="2:4">
      <c r="B47" t="s">
        <v>97</v>
      </c>
      <c r="C47">
        <v>246</v>
      </c>
      <c r="D47">
        <v>1</v>
      </c>
    </row>
    <row r="48" spans="2:4">
      <c r="B48" t="s">
        <v>97</v>
      </c>
      <c r="C48">
        <v>650</v>
      </c>
      <c r="D48">
        <v>1</v>
      </c>
    </row>
    <row r="49" spans="2:4">
      <c r="B49" t="s">
        <v>102</v>
      </c>
      <c r="C49">
        <v>818</v>
      </c>
      <c r="D49">
        <v>1</v>
      </c>
    </row>
    <row r="50" spans="2:4">
      <c r="B50" t="s">
        <v>102</v>
      </c>
      <c r="C50">
        <v>1220</v>
      </c>
      <c r="D50">
        <v>1</v>
      </c>
    </row>
    <row r="51" spans="2:4">
      <c r="B51" t="s">
        <v>93</v>
      </c>
      <c r="C51">
        <v>275</v>
      </c>
      <c r="D51">
        <v>1</v>
      </c>
    </row>
    <row r="52" spans="2:4">
      <c r="B52" t="s">
        <v>93</v>
      </c>
      <c r="C52">
        <v>275</v>
      </c>
      <c r="D52">
        <v>1</v>
      </c>
    </row>
    <row r="53" spans="2:4">
      <c r="B53" t="s">
        <v>93</v>
      </c>
      <c r="C53">
        <v>192</v>
      </c>
      <c r="D53">
        <v>1</v>
      </c>
    </row>
    <row r="54" spans="2:4">
      <c r="B54" t="s">
        <v>93</v>
      </c>
      <c r="C54">
        <v>147</v>
      </c>
      <c r="D54">
        <v>1</v>
      </c>
    </row>
    <row r="55" spans="2:4">
      <c r="B55" t="s">
        <v>93</v>
      </c>
      <c r="C55">
        <v>268</v>
      </c>
      <c r="D55">
        <v>1</v>
      </c>
    </row>
    <row r="56" spans="2:4">
      <c r="B56" t="s">
        <v>93</v>
      </c>
      <c r="C56">
        <v>230</v>
      </c>
      <c r="D56">
        <v>1</v>
      </c>
    </row>
    <row r="57" spans="2:4">
      <c r="B57" t="s">
        <v>97</v>
      </c>
      <c r="C57">
        <v>450</v>
      </c>
      <c r="D57">
        <v>1</v>
      </c>
    </row>
    <row r="58" spans="2:4">
      <c r="B58" t="s">
        <v>97</v>
      </c>
      <c r="C58">
        <v>520</v>
      </c>
      <c r="D58">
        <v>1</v>
      </c>
    </row>
    <row r="59" spans="2:4">
      <c r="B59" t="s">
        <v>97</v>
      </c>
      <c r="C59">
        <v>350</v>
      </c>
      <c r="D59">
        <v>1</v>
      </c>
    </row>
    <row r="60" spans="2:4">
      <c r="B60" t="s">
        <v>97</v>
      </c>
      <c r="C60">
        <v>124</v>
      </c>
      <c r="D60">
        <v>1</v>
      </c>
    </row>
    <row r="61" spans="2:4">
      <c r="B61" t="s">
        <v>97</v>
      </c>
      <c r="C61">
        <v>420</v>
      </c>
      <c r="D61">
        <v>1</v>
      </c>
    </row>
    <row r="62" spans="2:4">
      <c r="B62" t="s">
        <v>97</v>
      </c>
      <c r="C62">
        <v>209</v>
      </c>
      <c r="D62">
        <v>1</v>
      </c>
    </row>
    <row r="63" spans="2:4">
      <c r="B63" t="s">
        <v>97</v>
      </c>
      <c r="C63">
        <v>190</v>
      </c>
      <c r="D63">
        <v>1</v>
      </c>
    </row>
    <row r="64" spans="2:4">
      <c r="B64" t="s">
        <v>97</v>
      </c>
      <c r="C64">
        <v>220</v>
      </c>
      <c r="D64">
        <v>1</v>
      </c>
    </row>
    <row r="65" spans="2:4">
      <c r="B65" t="s">
        <v>97</v>
      </c>
      <c r="C65">
        <v>338</v>
      </c>
      <c r="D65">
        <v>1</v>
      </c>
    </row>
    <row r="66" spans="2:4">
      <c r="B66" t="s">
        <v>97</v>
      </c>
      <c r="C66">
        <v>466</v>
      </c>
      <c r="D66">
        <v>1</v>
      </c>
    </row>
    <row r="67" spans="2:4">
      <c r="B67" t="s">
        <v>97</v>
      </c>
      <c r="C67">
        <v>559</v>
      </c>
      <c r="D67">
        <v>1</v>
      </c>
    </row>
    <row r="68" spans="2:4">
      <c r="B68" t="s">
        <v>97</v>
      </c>
      <c r="C68">
        <v>698</v>
      </c>
      <c r="D68">
        <v>1</v>
      </c>
    </row>
    <row r="69" spans="2:4">
      <c r="B69" t="s">
        <v>97</v>
      </c>
      <c r="C69">
        <v>184</v>
      </c>
      <c r="D69">
        <v>1</v>
      </c>
    </row>
    <row r="70" spans="2:4">
      <c r="B70" t="s">
        <v>97</v>
      </c>
      <c r="C70">
        <v>168</v>
      </c>
      <c r="D70">
        <v>1</v>
      </c>
    </row>
    <row r="71" spans="2:4">
      <c r="B71" t="s">
        <v>97</v>
      </c>
      <c r="C71">
        <v>274</v>
      </c>
      <c r="D71">
        <v>1</v>
      </c>
    </row>
    <row r="72" spans="2:4">
      <c r="B72" t="s">
        <v>97</v>
      </c>
      <c r="C72">
        <v>63</v>
      </c>
      <c r="D72">
        <v>1</v>
      </c>
    </row>
    <row r="73" spans="2:4">
      <c r="B73" t="s">
        <v>97</v>
      </c>
      <c r="C73">
        <v>250</v>
      </c>
      <c r="D73">
        <v>1</v>
      </c>
    </row>
    <row r="74" spans="2:4">
      <c r="B74" t="s">
        <v>97</v>
      </c>
      <c r="C74">
        <v>284</v>
      </c>
      <c r="D74">
        <v>1</v>
      </c>
    </row>
    <row r="75" spans="2:4">
      <c r="B75" t="s">
        <v>96</v>
      </c>
      <c r="C75">
        <v>442</v>
      </c>
      <c r="D75">
        <v>1</v>
      </c>
    </row>
    <row r="76" spans="2:4">
      <c r="B76" t="s">
        <v>96</v>
      </c>
      <c r="C76">
        <v>587</v>
      </c>
      <c r="D76">
        <v>1</v>
      </c>
    </row>
    <row r="77" spans="2:4">
      <c r="B77" t="s">
        <v>96</v>
      </c>
      <c r="C77">
        <v>438</v>
      </c>
      <c r="D77">
        <v>1</v>
      </c>
    </row>
    <row r="78" spans="2:4">
      <c r="B78" t="s">
        <v>96</v>
      </c>
      <c r="C78">
        <v>449</v>
      </c>
      <c r="D78">
        <v>1</v>
      </c>
    </row>
    <row r="79" spans="2:4">
      <c r="B79" t="s">
        <v>94</v>
      </c>
      <c r="C79">
        <v>140</v>
      </c>
      <c r="D79">
        <v>1</v>
      </c>
    </row>
    <row r="80" spans="2:4">
      <c r="B80" t="s">
        <v>97</v>
      </c>
      <c r="C80">
        <v>65</v>
      </c>
      <c r="D80">
        <v>1</v>
      </c>
    </row>
    <row r="81" spans="2:4">
      <c r="B81" t="s">
        <v>97</v>
      </c>
      <c r="C81">
        <v>118</v>
      </c>
      <c r="D81">
        <v>1</v>
      </c>
    </row>
    <row r="82" spans="2:4">
      <c r="B82" t="s">
        <v>97</v>
      </c>
      <c r="C82">
        <v>350</v>
      </c>
      <c r="D82">
        <v>1</v>
      </c>
    </row>
    <row r="83" spans="2:4">
      <c r="B83" t="s">
        <v>97</v>
      </c>
      <c r="C83">
        <v>346</v>
      </c>
      <c r="D83">
        <v>1</v>
      </c>
    </row>
    <row r="84" spans="2:4">
      <c r="B84" t="s">
        <v>95</v>
      </c>
      <c r="C84">
        <v>337</v>
      </c>
      <c r="D84">
        <v>1</v>
      </c>
    </row>
    <row r="85" spans="2:4">
      <c r="B85" t="s">
        <v>95</v>
      </c>
      <c r="C85">
        <v>152</v>
      </c>
      <c r="D85">
        <v>1</v>
      </c>
    </row>
    <row r="86" spans="2:4">
      <c r="B86" t="s">
        <v>95</v>
      </c>
      <c r="C86">
        <v>250</v>
      </c>
      <c r="D86">
        <v>1</v>
      </c>
    </row>
    <row r="87" spans="2:4">
      <c r="B87" t="s">
        <v>97</v>
      </c>
      <c r="C87">
        <v>150</v>
      </c>
      <c r="D87">
        <v>1</v>
      </c>
    </row>
    <row r="88" spans="2:4">
      <c r="B88" t="s">
        <v>97</v>
      </c>
      <c r="C88">
        <v>360</v>
      </c>
      <c r="D88">
        <v>1</v>
      </c>
    </row>
    <row r="89" spans="2:4">
      <c r="B89" t="s">
        <v>97</v>
      </c>
      <c r="C89">
        <v>234</v>
      </c>
      <c r="D89">
        <v>1</v>
      </c>
    </row>
    <row r="90" spans="2:4">
      <c r="B90" t="s">
        <v>97</v>
      </c>
      <c r="C90">
        <v>423</v>
      </c>
      <c r="D90">
        <v>1</v>
      </c>
    </row>
    <row r="91" spans="2:4">
      <c r="B91" t="s">
        <v>97</v>
      </c>
      <c r="C91">
        <v>300</v>
      </c>
      <c r="D91">
        <v>1</v>
      </c>
    </row>
    <row r="92" spans="2:4">
      <c r="B92" t="s">
        <v>97</v>
      </c>
      <c r="C92">
        <v>249</v>
      </c>
      <c r="D92">
        <v>1</v>
      </c>
    </row>
    <row r="93" spans="2:4">
      <c r="B93" t="s">
        <v>97</v>
      </c>
      <c r="C93">
        <v>350</v>
      </c>
      <c r="D93">
        <v>1</v>
      </c>
    </row>
    <row r="94" spans="2:4">
      <c r="B94" t="s">
        <v>97</v>
      </c>
      <c r="C94">
        <v>80</v>
      </c>
      <c r="D94">
        <v>1</v>
      </c>
    </row>
    <row r="95" spans="2:4">
      <c r="B95" t="s">
        <v>97</v>
      </c>
      <c r="C95">
        <v>100</v>
      </c>
      <c r="D95">
        <v>1</v>
      </c>
    </row>
    <row r="96" spans="2:4">
      <c r="B96" t="s">
        <v>97</v>
      </c>
      <c r="C96">
        <v>250</v>
      </c>
      <c r="D96">
        <v>1</v>
      </c>
    </row>
    <row r="97" spans="2:4">
      <c r="B97" t="s">
        <v>97</v>
      </c>
      <c r="C97">
        <v>314</v>
      </c>
      <c r="D97">
        <v>1</v>
      </c>
    </row>
    <row r="98" spans="2:4">
      <c r="B98" t="s">
        <v>97</v>
      </c>
      <c r="C98">
        <v>162</v>
      </c>
      <c r="D98">
        <v>1</v>
      </c>
    </row>
    <row r="99" spans="2:4">
      <c r="B99" t="s">
        <v>97</v>
      </c>
      <c r="C99">
        <v>236</v>
      </c>
      <c r="D99">
        <v>1</v>
      </c>
    </row>
    <row r="100" spans="2:4">
      <c r="B100" t="s">
        <v>97</v>
      </c>
      <c r="C100">
        <v>300</v>
      </c>
      <c r="D100">
        <v>1</v>
      </c>
    </row>
    <row r="101" spans="2:4">
      <c r="B101" t="s">
        <v>97</v>
      </c>
      <c r="C101">
        <v>120</v>
      </c>
      <c r="D101">
        <v>1</v>
      </c>
    </row>
    <row r="102" spans="2:4">
      <c r="B102" t="s">
        <v>97</v>
      </c>
      <c r="C102">
        <v>75</v>
      </c>
      <c r="D102">
        <v>1</v>
      </c>
    </row>
    <row r="103" spans="2:4">
      <c r="B103" t="s">
        <v>97</v>
      </c>
      <c r="C103">
        <v>100</v>
      </c>
      <c r="D103">
        <v>1</v>
      </c>
    </row>
    <row r="104" spans="2:4">
      <c r="B104" t="s">
        <v>97</v>
      </c>
      <c r="C104">
        <v>60</v>
      </c>
      <c r="D104">
        <v>1</v>
      </c>
    </row>
    <row r="105" spans="2:4">
      <c r="B105" t="s">
        <v>97</v>
      </c>
      <c r="C105">
        <v>100</v>
      </c>
      <c r="D105">
        <v>1</v>
      </c>
    </row>
    <row r="106" spans="2:4">
      <c r="B106" t="s">
        <v>97</v>
      </c>
      <c r="C106">
        <v>86</v>
      </c>
      <c r="D106">
        <v>1</v>
      </c>
    </row>
    <row r="107" spans="2:4">
      <c r="B107" t="s">
        <v>97</v>
      </c>
      <c r="C107">
        <v>60</v>
      </c>
      <c r="D107">
        <v>1</v>
      </c>
    </row>
    <row r="108" spans="2:4">
      <c r="B108" t="s">
        <v>97</v>
      </c>
      <c r="C108">
        <v>120</v>
      </c>
      <c r="D108">
        <v>1</v>
      </c>
    </row>
    <row r="109" spans="2:4">
      <c r="B109" t="s">
        <v>97</v>
      </c>
      <c r="C109">
        <v>50</v>
      </c>
      <c r="D109">
        <v>1</v>
      </c>
    </row>
    <row r="110" spans="2:4">
      <c r="B110" t="s">
        <v>97</v>
      </c>
      <c r="C110">
        <v>150</v>
      </c>
      <c r="D110">
        <v>1</v>
      </c>
    </row>
    <row r="111" spans="2:4">
      <c r="B111" t="s">
        <v>97</v>
      </c>
      <c r="C111">
        <v>160</v>
      </c>
      <c r="D111">
        <v>1</v>
      </c>
    </row>
    <row r="112" spans="2:4">
      <c r="B112" t="s">
        <v>97</v>
      </c>
      <c r="C112">
        <v>97</v>
      </c>
      <c r="D112">
        <v>1</v>
      </c>
    </row>
    <row r="113" spans="2:4">
      <c r="B113" t="s">
        <v>97</v>
      </c>
      <c r="C113">
        <v>344</v>
      </c>
      <c r="D113">
        <v>1</v>
      </c>
    </row>
    <row r="114" spans="2:4">
      <c r="B114" t="s">
        <v>97</v>
      </c>
      <c r="C114">
        <v>200</v>
      </c>
      <c r="D114">
        <v>1</v>
      </c>
    </row>
    <row r="115" spans="2:4">
      <c r="B115" t="s">
        <v>97</v>
      </c>
      <c r="C115">
        <v>150</v>
      </c>
      <c r="D115">
        <v>1</v>
      </c>
    </row>
    <row r="116" spans="2:4">
      <c r="B116" t="s">
        <v>97</v>
      </c>
      <c r="C116">
        <v>97</v>
      </c>
      <c r="D116">
        <v>1</v>
      </c>
    </row>
    <row r="117" spans="2:4">
      <c r="B117" t="s">
        <v>97</v>
      </c>
      <c r="C117">
        <v>275</v>
      </c>
      <c r="D117">
        <v>1</v>
      </c>
    </row>
    <row r="118" spans="2:4">
      <c r="B118" t="s">
        <v>97</v>
      </c>
      <c r="C118">
        <v>50</v>
      </c>
      <c r="D118">
        <v>1</v>
      </c>
    </row>
    <row r="119" spans="2:4">
      <c r="B119" t="s">
        <v>97</v>
      </c>
      <c r="C119">
        <v>73</v>
      </c>
      <c r="D119">
        <v>1</v>
      </c>
    </row>
    <row r="120" spans="2:4">
      <c r="B120" t="s">
        <v>97</v>
      </c>
      <c r="C120">
        <v>280</v>
      </c>
      <c r="D120">
        <v>1</v>
      </c>
    </row>
    <row r="121" spans="2:4">
      <c r="B121" t="s">
        <v>97</v>
      </c>
      <c r="C121">
        <v>280</v>
      </c>
      <c r="D121">
        <v>1</v>
      </c>
    </row>
    <row r="122" spans="2:4">
      <c r="B122" t="s">
        <v>97</v>
      </c>
      <c r="C122">
        <v>130</v>
      </c>
      <c r="D122">
        <v>1</v>
      </c>
    </row>
    <row r="123" spans="2:4">
      <c r="B123" t="s">
        <v>97</v>
      </c>
      <c r="C123">
        <v>440</v>
      </c>
      <c r="D123">
        <v>1</v>
      </c>
    </row>
    <row r="124" spans="2:4">
      <c r="B124" t="s">
        <v>97</v>
      </c>
      <c r="C124">
        <v>600</v>
      </c>
      <c r="D124">
        <v>1</v>
      </c>
    </row>
    <row r="125" spans="2:4">
      <c r="B125" t="s">
        <v>97</v>
      </c>
      <c r="C125">
        <v>250</v>
      </c>
      <c r="D125">
        <v>1</v>
      </c>
    </row>
    <row r="126" spans="2:4">
      <c r="B126" t="s">
        <v>97</v>
      </c>
      <c r="C126">
        <v>300</v>
      </c>
      <c r="D126">
        <v>1</v>
      </c>
    </row>
    <row r="127" spans="2:4">
      <c r="B127" t="s">
        <v>97</v>
      </c>
      <c r="C127">
        <v>300</v>
      </c>
      <c r="D127">
        <v>1</v>
      </c>
    </row>
    <row r="128" spans="2:4">
      <c r="B128" t="s">
        <v>97</v>
      </c>
      <c r="C128">
        <v>295</v>
      </c>
      <c r="D128">
        <v>1</v>
      </c>
    </row>
    <row r="129" spans="2:4">
      <c r="B129" t="s">
        <v>97</v>
      </c>
      <c r="C129">
        <v>50</v>
      </c>
      <c r="D129">
        <v>1</v>
      </c>
    </row>
    <row r="130" spans="2:4">
      <c r="B130" t="s">
        <v>97</v>
      </c>
      <c r="C130">
        <v>60</v>
      </c>
      <c r="D130">
        <v>1</v>
      </c>
    </row>
    <row r="131" spans="2:4">
      <c r="B131" t="s">
        <v>97</v>
      </c>
      <c r="C131">
        <v>118</v>
      </c>
      <c r="D131">
        <v>1</v>
      </c>
    </row>
    <row r="132" spans="2:4">
      <c r="B132" t="s">
        <v>97</v>
      </c>
      <c r="C132">
        <v>80</v>
      </c>
      <c r="D132">
        <v>1</v>
      </c>
    </row>
    <row r="133" spans="2:4">
      <c r="B133" t="s">
        <v>97</v>
      </c>
      <c r="C133">
        <v>80</v>
      </c>
      <c r="D133">
        <v>1</v>
      </c>
    </row>
    <row r="134" spans="2:4">
      <c r="B134" t="s">
        <v>97</v>
      </c>
      <c r="C134">
        <v>700</v>
      </c>
      <c r="D134">
        <v>1</v>
      </c>
    </row>
    <row r="135" spans="2:4">
      <c r="B135" t="s">
        <v>97</v>
      </c>
      <c r="C135">
        <v>173</v>
      </c>
      <c r="D135">
        <v>1</v>
      </c>
    </row>
    <row r="136" spans="2:4">
      <c r="B136" t="s">
        <v>97</v>
      </c>
      <c r="C136">
        <v>66</v>
      </c>
      <c r="D136">
        <v>1</v>
      </c>
    </row>
    <row r="137" spans="2:4">
      <c r="B137" t="s">
        <v>97</v>
      </c>
      <c r="C137">
        <v>80</v>
      </c>
      <c r="D137">
        <v>1</v>
      </c>
    </row>
    <row r="138" spans="2:4">
      <c r="B138" t="s">
        <v>97</v>
      </c>
      <c r="C138">
        <v>150</v>
      </c>
      <c r="D138">
        <v>1</v>
      </c>
    </row>
    <row r="139" spans="2:4">
      <c r="B139" t="s">
        <v>97</v>
      </c>
      <c r="C139">
        <v>315</v>
      </c>
      <c r="D139">
        <v>1</v>
      </c>
    </row>
    <row r="140" spans="2:4">
      <c r="B140" t="s">
        <v>97</v>
      </c>
      <c r="C140">
        <v>517</v>
      </c>
      <c r="D140">
        <v>1</v>
      </c>
    </row>
    <row r="141" spans="2:4">
      <c r="B141" t="s">
        <v>97</v>
      </c>
      <c r="C141">
        <v>767</v>
      </c>
      <c r="D141">
        <v>1</v>
      </c>
    </row>
    <row r="142" spans="2:4">
      <c r="B142" t="s">
        <v>96</v>
      </c>
      <c r="C142">
        <v>351</v>
      </c>
      <c r="D142">
        <v>1</v>
      </c>
    </row>
    <row r="143" spans="2:4">
      <c r="B143" t="s">
        <v>96</v>
      </c>
      <c r="C143">
        <v>349</v>
      </c>
      <c r="D143">
        <v>1</v>
      </c>
    </row>
    <row r="144" spans="2:4">
      <c r="B144" t="s">
        <v>96</v>
      </c>
      <c r="C144">
        <v>359</v>
      </c>
      <c r="D144">
        <v>1</v>
      </c>
    </row>
    <row r="145" spans="2:4">
      <c r="B145" t="s">
        <v>96</v>
      </c>
      <c r="C145">
        <v>377</v>
      </c>
      <c r="D145">
        <v>1</v>
      </c>
    </row>
    <row r="146" spans="2:4">
      <c r="B146" t="s">
        <v>96</v>
      </c>
      <c r="C146">
        <v>375</v>
      </c>
      <c r="D146">
        <v>1</v>
      </c>
    </row>
    <row r="147" spans="2:4">
      <c r="B147" t="s">
        <v>96</v>
      </c>
      <c r="C147">
        <v>360</v>
      </c>
      <c r="D147">
        <v>1</v>
      </c>
    </row>
    <row r="148" spans="2:4">
      <c r="B148" t="s">
        <v>96</v>
      </c>
      <c r="C148">
        <v>375</v>
      </c>
      <c r="D148">
        <v>1</v>
      </c>
    </row>
    <row r="149" spans="2:4">
      <c r="B149" t="s">
        <v>102</v>
      </c>
      <c r="C149">
        <v>250</v>
      </c>
      <c r="D149">
        <v>1</v>
      </c>
    </row>
    <row r="150" spans="2:4">
      <c r="B150" t="s">
        <v>102</v>
      </c>
      <c r="C150">
        <v>1425</v>
      </c>
      <c r="D150">
        <v>1</v>
      </c>
    </row>
    <row r="151" spans="2:4">
      <c r="B151" t="s">
        <v>102</v>
      </c>
      <c r="C151">
        <v>1264</v>
      </c>
      <c r="D151">
        <v>1</v>
      </c>
    </row>
    <row r="152" spans="2:4">
      <c r="B152" t="s">
        <v>95</v>
      </c>
      <c r="C152">
        <v>390</v>
      </c>
      <c r="D152">
        <v>1</v>
      </c>
    </row>
    <row r="153" spans="2:4">
      <c r="B153" t="s">
        <v>95</v>
      </c>
      <c r="C153">
        <v>414</v>
      </c>
      <c r="D153">
        <v>1</v>
      </c>
    </row>
    <row r="154" spans="2:4">
      <c r="B154" t="s">
        <v>96</v>
      </c>
      <c r="C154">
        <v>442</v>
      </c>
      <c r="D154">
        <v>1</v>
      </c>
    </row>
    <row r="155" spans="2:4">
      <c r="B155" t="s">
        <v>96</v>
      </c>
      <c r="C155">
        <v>443</v>
      </c>
      <c r="D155">
        <v>1</v>
      </c>
    </row>
    <row r="156" spans="2:4">
      <c r="B156" t="s">
        <v>96</v>
      </c>
      <c r="C156">
        <v>448</v>
      </c>
      <c r="D156">
        <v>1</v>
      </c>
    </row>
    <row r="157" spans="2:4">
      <c r="B157" t="s">
        <v>102</v>
      </c>
      <c r="C157">
        <v>920</v>
      </c>
      <c r="D157">
        <v>1</v>
      </c>
    </row>
    <row r="158" spans="2:4">
      <c r="B158" t="s">
        <v>93</v>
      </c>
      <c r="C158">
        <v>180</v>
      </c>
      <c r="D158">
        <v>1</v>
      </c>
    </row>
    <row r="159" spans="2:4">
      <c r="B159" t="s">
        <v>93</v>
      </c>
      <c r="C159">
        <v>151</v>
      </c>
      <c r="D159">
        <v>1</v>
      </c>
    </row>
    <row r="160" spans="2:4">
      <c r="B160" t="s">
        <v>97</v>
      </c>
      <c r="C160">
        <v>95</v>
      </c>
      <c r="D160">
        <v>1</v>
      </c>
    </row>
    <row r="161" spans="2:4">
      <c r="B161" t="s">
        <v>97</v>
      </c>
      <c r="C161">
        <v>400</v>
      </c>
      <c r="D161">
        <v>1</v>
      </c>
    </row>
    <row r="162" spans="2:4">
      <c r="B162" t="s">
        <v>97</v>
      </c>
      <c r="C162">
        <v>141</v>
      </c>
      <c r="D162">
        <v>1</v>
      </c>
    </row>
    <row r="163" spans="2:4">
      <c r="B163" t="s">
        <v>97</v>
      </c>
      <c r="C163">
        <v>350</v>
      </c>
      <c r="D163">
        <v>1</v>
      </c>
    </row>
    <row r="164" spans="2:4">
      <c r="B164" t="s">
        <v>97</v>
      </c>
      <c r="C164">
        <v>90</v>
      </c>
      <c r="D164">
        <v>1</v>
      </c>
    </row>
    <row r="165" spans="2:4">
      <c r="B165" t="s">
        <v>97</v>
      </c>
      <c r="C165">
        <v>249</v>
      </c>
      <c r="D165">
        <v>1</v>
      </c>
    </row>
    <row r="166" spans="2:4">
      <c r="B166" t="s">
        <v>97</v>
      </c>
      <c r="C166">
        <v>71</v>
      </c>
      <c r="D166">
        <v>1</v>
      </c>
    </row>
    <row r="167" spans="2:4">
      <c r="B167" t="s">
        <v>93</v>
      </c>
      <c r="C167">
        <v>280</v>
      </c>
      <c r="D167">
        <v>1</v>
      </c>
    </row>
    <row r="168" spans="2:4">
      <c r="B168" t="s">
        <v>93</v>
      </c>
      <c r="C168">
        <v>280</v>
      </c>
      <c r="D168">
        <v>1</v>
      </c>
    </row>
    <row r="169" spans="2:4">
      <c r="B169" t="s">
        <v>93</v>
      </c>
      <c r="C169">
        <v>294</v>
      </c>
      <c r="D169">
        <v>1</v>
      </c>
    </row>
    <row r="170" spans="2:4">
      <c r="B170" t="s">
        <v>93</v>
      </c>
      <c r="C170">
        <v>244</v>
      </c>
      <c r="D170">
        <v>1</v>
      </c>
    </row>
    <row r="171" spans="2:4">
      <c r="B171" t="s">
        <v>93</v>
      </c>
      <c r="C171">
        <v>294</v>
      </c>
      <c r="D171">
        <v>1</v>
      </c>
    </row>
    <row r="172" spans="2:4">
      <c r="B172" t="s">
        <v>95</v>
      </c>
      <c r="C172">
        <v>444</v>
      </c>
      <c r="D172">
        <v>1</v>
      </c>
    </row>
    <row r="173" spans="2:4">
      <c r="B173" t="s">
        <v>95</v>
      </c>
      <c r="C173">
        <v>282</v>
      </c>
      <c r="D173">
        <v>1</v>
      </c>
    </row>
    <row r="174" spans="2:4">
      <c r="B174" t="s">
        <v>102</v>
      </c>
      <c r="C174">
        <v>1180</v>
      </c>
      <c r="D174">
        <v>1</v>
      </c>
    </row>
    <row r="175" spans="2:4">
      <c r="B175" t="s">
        <v>102</v>
      </c>
      <c r="C175">
        <v>365</v>
      </c>
      <c r="D175">
        <v>1</v>
      </c>
    </row>
  </sheetData>
  <phoneticPr fontId="4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9CD64-51B3-4C21-ABDF-5DD1D16C3DC4}">
  <dimension ref="A1:H29"/>
  <sheetViews>
    <sheetView workbookViewId="0"/>
  </sheetViews>
  <sheetFormatPr defaultRowHeight="14.5"/>
  <cols>
    <col min="1" max="1" width="16.453125" customWidth="1"/>
    <col min="3" max="4" width="9.453125" bestFit="1" customWidth="1"/>
    <col min="6" max="6" width="15.453125" customWidth="1"/>
    <col min="8" max="8" width="9" customWidth="1"/>
  </cols>
  <sheetData>
    <row r="1" spans="1:7">
      <c r="A1" s="27" t="s">
        <v>274</v>
      </c>
    </row>
    <row r="2" spans="1:7" ht="15" thickBot="1">
      <c r="A2" s="103" t="s">
        <v>275</v>
      </c>
      <c r="B2" s="103" t="s">
        <v>276</v>
      </c>
      <c r="C2" s="103" t="s">
        <v>277</v>
      </c>
      <c r="D2" s="103" t="s">
        <v>278</v>
      </c>
      <c r="E2" s="103"/>
      <c r="F2" s="105" t="str">
        <f>A28</f>
        <v>ratio with DWT</v>
      </c>
      <c r="G2" s="98"/>
    </row>
    <row r="3" spans="1:7">
      <c r="A3" t="s">
        <v>279</v>
      </c>
      <c r="B3">
        <v>234</v>
      </c>
      <c r="C3">
        <v>14677029</v>
      </c>
      <c r="D3">
        <v>27232482</v>
      </c>
      <c r="E3" s="100">
        <f>D3/B3</f>
        <v>116378.1282051282</v>
      </c>
      <c r="F3">
        <f>G28</f>
        <v>1.78</v>
      </c>
      <c r="G3" s="25">
        <f>SUMPRODUCT(F3:F18,B3:B18)/SUM(B3:B18)</f>
        <v>3.5963987792472021</v>
      </c>
    </row>
    <row r="4" spans="1:7">
      <c r="A4" t="s">
        <v>280</v>
      </c>
      <c r="B4">
        <v>37</v>
      </c>
      <c r="C4">
        <v>5366906</v>
      </c>
      <c r="D4">
        <v>10354545</v>
      </c>
      <c r="E4" s="100">
        <f t="shared" ref="E4:E21" si="0">D4/B4</f>
        <v>279852.56756756757</v>
      </c>
      <c r="F4">
        <f>H28</f>
        <v>1.59</v>
      </c>
    </row>
    <row r="5" spans="1:7">
      <c r="A5" t="s">
        <v>281</v>
      </c>
      <c r="B5">
        <v>0</v>
      </c>
      <c r="C5">
        <v>0</v>
      </c>
      <c r="D5">
        <v>0</v>
      </c>
      <c r="E5" s="100" t="e">
        <f t="shared" si="0"/>
        <v>#DIV/0!</v>
      </c>
    </row>
    <row r="6" spans="1:7">
      <c r="A6" t="s">
        <v>282</v>
      </c>
      <c r="B6">
        <v>6</v>
      </c>
      <c r="C6">
        <v>80120</v>
      </c>
      <c r="D6">
        <v>84018</v>
      </c>
      <c r="E6" s="100">
        <f t="shared" si="0"/>
        <v>14003</v>
      </c>
      <c r="F6">
        <f>D28</f>
        <v>4.5599999999999996</v>
      </c>
    </row>
    <row r="7" spans="1:7">
      <c r="A7" t="s">
        <v>283</v>
      </c>
      <c r="B7">
        <v>0</v>
      </c>
      <c r="C7">
        <v>0</v>
      </c>
      <c r="D7">
        <v>0</v>
      </c>
      <c r="E7" s="100" t="e">
        <f t="shared" si="0"/>
        <v>#DIV/0!</v>
      </c>
    </row>
    <row r="8" spans="1:7">
      <c r="A8" t="s">
        <v>284</v>
      </c>
      <c r="B8">
        <v>61</v>
      </c>
      <c r="C8">
        <v>3698377</v>
      </c>
      <c r="D8">
        <v>1343989</v>
      </c>
      <c r="E8" s="100">
        <f t="shared" si="0"/>
        <v>22032.60655737705</v>
      </c>
      <c r="F8">
        <f>D28</f>
        <v>4.5599999999999996</v>
      </c>
    </row>
    <row r="9" spans="1:7">
      <c r="A9" t="s">
        <v>285</v>
      </c>
      <c r="B9">
        <v>122</v>
      </c>
      <c r="C9">
        <v>3411301</v>
      </c>
      <c r="D9">
        <v>3688852</v>
      </c>
      <c r="E9" s="100">
        <f t="shared" si="0"/>
        <v>30236.491803278688</v>
      </c>
      <c r="F9">
        <f>D28</f>
        <v>4.5599999999999996</v>
      </c>
    </row>
    <row r="10" spans="1:7">
      <c r="A10" t="s">
        <v>286</v>
      </c>
      <c r="B10">
        <v>3</v>
      </c>
      <c r="C10">
        <v>19965</v>
      </c>
      <c r="D10">
        <v>13690</v>
      </c>
      <c r="E10" s="100">
        <f t="shared" si="0"/>
        <v>4563.333333333333</v>
      </c>
      <c r="F10">
        <f>C28</f>
        <v>5.7</v>
      </c>
    </row>
    <row r="11" spans="1:7">
      <c r="A11" t="s">
        <v>287</v>
      </c>
      <c r="B11">
        <v>47</v>
      </c>
      <c r="C11">
        <v>6750281</v>
      </c>
      <c r="D11">
        <v>13044798</v>
      </c>
      <c r="E11" s="100">
        <f t="shared" si="0"/>
        <v>277548.89361702127</v>
      </c>
      <c r="F11">
        <f>H28</f>
        <v>1.59</v>
      </c>
    </row>
    <row r="12" spans="1:7">
      <c r="A12" t="s">
        <v>288</v>
      </c>
      <c r="B12">
        <v>119</v>
      </c>
      <c r="C12">
        <v>1921750</v>
      </c>
      <c r="D12">
        <v>3289004</v>
      </c>
      <c r="E12" s="100">
        <f t="shared" si="0"/>
        <v>27638.689075630253</v>
      </c>
      <c r="F12">
        <f>D28</f>
        <v>4.5599999999999996</v>
      </c>
    </row>
    <row r="13" spans="1:7">
      <c r="A13" t="s">
        <v>289</v>
      </c>
      <c r="B13">
        <v>33</v>
      </c>
      <c r="C13">
        <v>146295</v>
      </c>
      <c r="D13">
        <v>188600</v>
      </c>
      <c r="E13" s="100">
        <f t="shared" si="0"/>
        <v>5715.151515151515</v>
      </c>
      <c r="F13">
        <f>C28</f>
        <v>5.7</v>
      </c>
    </row>
    <row r="14" spans="1:7">
      <c r="A14" t="s">
        <v>290</v>
      </c>
      <c r="B14">
        <v>17</v>
      </c>
      <c r="C14">
        <v>62328</v>
      </c>
      <c r="D14">
        <v>92490</v>
      </c>
      <c r="E14" s="100">
        <f t="shared" si="0"/>
        <v>5440.588235294118</v>
      </c>
      <c r="F14">
        <f>C28</f>
        <v>5.7</v>
      </c>
    </row>
    <row r="15" spans="1:7">
      <c r="A15" t="s">
        <v>291</v>
      </c>
      <c r="B15">
        <v>49</v>
      </c>
      <c r="C15">
        <v>843961</v>
      </c>
      <c r="D15">
        <v>961771</v>
      </c>
      <c r="E15" s="100">
        <f t="shared" si="0"/>
        <v>19627.979591836734</v>
      </c>
      <c r="F15">
        <f>D28</f>
        <v>4.5599999999999996</v>
      </c>
    </row>
    <row r="16" spans="1:7">
      <c r="A16" t="s">
        <v>292</v>
      </c>
      <c r="B16">
        <v>32</v>
      </c>
      <c r="C16">
        <v>3330836</v>
      </c>
      <c r="D16">
        <v>2592689</v>
      </c>
      <c r="E16" s="100">
        <f t="shared" si="0"/>
        <v>81021.53125</v>
      </c>
      <c r="F16">
        <f>F28</f>
        <v>2.36</v>
      </c>
    </row>
    <row r="17" spans="1:8">
      <c r="A17" t="s">
        <v>293</v>
      </c>
      <c r="B17">
        <v>28</v>
      </c>
      <c r="C17">
        <v>589673</v>
      </c>
      <c r="D17">
        <v>1005438</v>
      </c>
      <c r="E17" s="100">
        <f t="shared" si="0"/>
        <v>35908.5</v>
      </c>
      <c r="F17">
        <f>E28</f>
        <v>3.23</v>
      </c>
    </row>
    <row r="18" spans="1:8">
      <c r="A18" t="s">
        <v>294</v>
      </c>
      <c r="B18">
        <v>195</v>
      </c>
      <c r="C18">
        <v>2069158</v>
      </c>
      <c r="D18">
        <v>3383130</v>
      </c>
      <c r="E18" s="100">
        <f t="shared" si="0"/>
        <v>17349.384615384617</v>
      </c>
      <c r="F18">
        <f>D28</f>
        <v>4.5599999999999996</v>
      </c>
    </row>
    <row r="19" spans="1:8">
      <c r="A19" t="s">
        <v>295</v>
      </c>
      <c r="B19">
        <v>0</v>
      </c>
      <c r="C19">
        <v>0</v>
      </c>
      <c r="D19">
        <v>0</v>
      </c>
      <c r="E19" s="100" t="e">
        <f t="shared" si="0"/>
        <v>#DIV/0!</v>
      </c>
    </row>
    <row r="20" spans="1:8">
      <c r="A20" t="s">
        <v>296</v>
      </c>
      <c r="B20">
        <v>5</v>
      </c>
      <c r="C20">
        <v>1504</v>
      </c>
      <c r="D20">
        <v>229</v>
      </c>
      <c r="E20" s="100">
        <f t="shared" si="0"/>
        <v>45.8</v>
      </c>
    </row>
    <row r="21" spans="1:8" ht="15" thickBot="1">
      <c r="A21" s="91" t="s">
        <v>297</v>
      </c>
      <c r="B21" s="91">
        <v>11</v>
      </c>
      <c r="C21" s="91">
        <v>186303</v>
      </c>
      <c r="D21" s="91">
        <v>279467</v>
      </c>
      <c r="E21" s="101">
        <f t="shared" si="0"/>
        <v>25406.090909090908</v>
      </c>
    </row>
    <row r="22" spans="1:8" ht="15" thickTop="1">
      <c r="A22" s="102" t="s">
        <v>53</v>
      </c>
      <c r="B22" s="102">
        <f t="shared" ref="B22:C22" si="1">SUM(B3:B21)</f>
        <v>999</v>
      </c>
      <c r="C22" s="102">
        <f t="shared" si="1"/>
        <v>43155787</v>
      </c>
      <c r="D22" s="102">
        <f>SUM(D3:D21)</f>
        <v>67555192</v>
      </c>
      <c r="E22" s="102"/>
      <c r="F22" t="s">
        <v>298</v>
      </c>
      <c r="G22" s="25">
        <f>SUM(D3:D19)/SUM(B3:B19)</f>
        <v>68438.958290946088</v>
      </c>
      <c r="H22" s="99">
        <f>G22*(1-G3/100)</f>
        <v>65977.620430441006</v>
      </c>
    </row>
    <row r="24" spans="1:8">
      <c r="A24" s="27" t="s">
        <v>299</v>
      </c>
    </row>
    <row r="25" spans="1:8" ht="15" thickBot="1">
      <c r="A25" s="130" t="s">
        <v>300</v>
      </c>
      <c r="B25" s="130"/>
      <c r="C25" s="104" t="s">
        <v>303</v>
      </c>
      <c r="D25" s="104" t="s">
        <v>304</v>
      </c>
      <c r="E25" s="104" t="s">
        <v>305</v>
      </c>
      <c r="F25" s="104" t="s">
        <v>306</v>
      </c>
      <c r="G25" s="104" t="s">
        <v>307</v>
      </c>
      <c r="H25" s="104" t="s">
        <v>308</v>
      </c>
    </row>
    <row r="26" spans="1:8">
      <c r="A26" s="98" t="s">
        <v>301</v>
      </c>
      <c r="B26" t="s">
        <v>278</v>
      </c>
      <c r="C26" t="s">
        <v>302</v>
      </c>
      <c r="D26" t="s">
        <v>309</v>
      </c>
      <c r="E26" t="s">
        <v>310</v>
      </c>
      <c r="F26" t="s">
        <v>311</v>
      </c>
      <c r="G26" t="s">
        <v>312</v>
      </c>
      <c r="H26" t="s">
        <v>313</v>
      </c>
    </row>
    <row r="27" spans="1:8">
      <c r="A27" s="98" t="s">
        <v>314</v>
      </c>
      <c r="B27" t="s">
        <v>315</v>
      </c>
      <c r="C27" t="s">
        <v>316</v>
      </c>
      <c r="D27" t="s">
        <v>317</v>
      </c>
      <c r="E27" t="s">
        <v>318</v>
      </c>
      <c r="F27" t="s">
        <v>319</v>
      </c>
      <c r="G27" t="s">
        <v>320</v>
      </c>
      <c r="H27" t="s">
        <v>321</v>
      </c>
    </row>
    <row r="28" spans="1:8">
      <c r="A28" s="131" t="s">
        <v>322</v>
      </c>
      <c r="B28" t="s">
        <v>323</v>
      </c>
      <c r="C28">
        <v>5.7</v>
      </c>
      <c r="D28">
        <v>4.5599999999999996</v>
      </c>
      <c r="E28">
        <v>3.23</v>
      </c>
      <c r="F28">
        <v>2.36</v>
      </c>
      <c r="G28">
        <v>1.78</v>
      </c>
      <c r="H28">
        <v>1.59</v>
      </c>
    </row>
    <row r="29" spans="1:8">
      <c r="A29" s="132"/>
      <c r="B29" s="102" t="s">
        <v>323</v>
      </c>
      <c r="C29" s="102">
        <v>6.6</v>
      </c>
      <c r="D29" s="102">
        <v>5.66</v>
      </c>
      <c r="E29" s="102">
        <v>3.69</v>
      </c>
      <c r="F29" s="102">
        <v>2.73</v>
      </c>
      <c r="G29" s="102">
        <v>2.25</v>
      </c>
      <c r="H29" s="102"/>
    </row>
  </sheetData>
  <mergeCells count="2">
    <mergeCell ref="A25:B25"/>
    <mergeCell ref="A28:A29"/>
  </mergeCells>
  <phoneticPr fontId="4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C8993-7EE0-4137-9B77-501005A3F9D6}">
  <dimension ref="A2:N49"/>
  <sheetViews>
    <sheetView workbookViewId="0"/>
  </sheetViews>
  <sheetFormatPr defaultColWidth="9" defaultRowHeight="14.5"/>
  <cols>
    <col min="1" max="1" width="11.7265625" style="8" customWidth="1"/>
    <col min="2" max="2" width="9" style="8"/>
    <col min="3" max="4" width="11.453125" style="8" bestFit="1" customWidth="1"/>
    <col min="5" max="5" width="9.81640625" style="8" bestFit="1" customWidth="1"/>
    <col min="6" max="7" width="9" style="8"/>
    <col min="8" max="8" width="8.81640625" style="8" customWidth="1"/>
    <col min="9" max="9" width="12.453125" style="8" customWidth="1"/>
    <col min="10" max="10" width="3.7265625" style="8" customWidth="1"/>
    <col min="11" max="11" width="4.453125" style="8" customWidth="1"/>
    <col min="12" max="12" width="20.26953125" style="8" customWidth="1"/>
    <col min="13" max="13" width="17" style="8" customWidth="1"/>
    <col min="14" max="14" width="18" style="8" customWidth="1"/>
    <col min="15" max="16" width="9" style="8"/>
    <col min="17" max="17" width="11.1796875" style="8" bestFit="1" customWidth="1"/>
    <col min="18" max="18" width="18.26953125" style="8" bestFit="1" customWidth="1"/>
    <col min="19" max="16384" width="9" style="8"/>
  </cols>
  <sheetData>
    <row r="2" spans="2:12" ht="15" thickBot="1">
      <c r="D2" s="43" t="s">
        <v>129</v>
      </c>
      <c r="E2" s="8" t="s">
        <v>130</v>
      </c>
      <c r="I2" s="43" t="s">
        <v>129</v>
      </c>
      <c r="J2" s="8" t="s">
        <v>131</v>
      </c>
    </row>
    <row r="3" spans="2:12">
      <c r="B3" s="44"/>
      <c r="C3" s="45" t="s">
        <v>132</v>
      </c>
      <c r="D3" s="46" t="s">
        <v>133</v>
      </c>
      <c r="G3" s="44"/>
      <c r="H3" s="45" t="s">
        <v>132</v>
      </c>
      <c r="I3" s="46" t="s">
        <v>133</v>
      </c>
    </row>
    <row r="4" spans="2:12">
      <c r="B4" s="47">
        <v>2006</v>
      </c>
      <c r="C4" s="13">
        <v>969145</v>
      </c>
      <c r="D4" s="48">
        <v>2079961</v>
      </c>
      <c r="G4" s="47">
        <v>2006</v>
      </c>
      <c r="H4" s="13">
        <v>31416</v>
      </c>
      <c r="I4" s="48">
        <v>24110</v>
      </c>
    </row>
    <row r="5" spans="2:12">
      <c r="B5" s="47">
        <v>2007</v>
      </c>
      <c r="C5" s="13">
        <v>989294</v>
      </c>
      <c r="D5" s="48">
        <v>2090290</v>
      </c>
      <c r="G5" s="47">
        <v>2007</v>
      </c>
      <c r="H5" s="13">
        <v>31596</v>
      </c>
      <c r="I5" s="48">
        <v>24134</v>
      </c>
    </row>
    <row r="6" spans="2:12">
      <c r="B6" s="47">
        <v>2008</v>
      </c>
      <c r="C6" s="13">
        <v>1018977</v>
      </c>
      <c r="D6" s="48">
        <v>2141872</v>
      </c>
      <c r="G6" s="47">
        <v>2008</v>
      </c>
      <c r="H6" s="13">
        <v>32027</v>
      </c>
      <c r="I6" s="48">
        <v>24740</v>
      </c>
    </row>
    <row r="7" spans="2:12">
      <c r="B7" s="47">
        <v>2009</v>
      </c>
      <c r="C7" s="13">
        <v>1020319</v>
      </c>
      <c r="D7" s="48">
        <v>2181346</v>
      </c>
      <c r="G7" s="47">
        <v>2009</v>
      </c>
      <c r="H7" s="13">
        <v>31299</v>
      </c>
      <c r="I7" s="48">
        <v>24190</v>
      </c>
    </row>
    <row r="8" spans="2:12">
      <c r="B8" s="47">
        <v>2010</v>
      </c>
      <c r="C8" s="13">
        <v>1060941</v>
      </c>
      <c r="D8" s="48">
        <v>2273087</v>
      </c>
      <c r="G8" s="47">
        <v>2010</v>
      </c>
      <c r="H8" s="13">
        <v>33012</v>
      </c>
      <c r="I8" s="48">
        <v>25369</v>
      </c>
    </row>
    <row r="9" spans="2:12">
      <c r="B9" s="47">
        <v>2011</v>
      </c>
      <c r="C9" s="13">
        <v>1118621</v>
      </c>
      <c r="D9" s="48">
        <v>2358758</v>
      </c>
      <c r="G9" s="47">
        <v>2011</v>
      </c>
      <c r="H9" s="13">
        <v>36784</v>
      </c>
      <c r="I9" s="48">
        <v>26260</v>
      </c>
    </row>
    <row r="10" spans="2:12">
      <c r="B10" s="47">
        <v>2012</v>
      </c>
      <c r="C10" s="13">
        <v>1149340</v>
      </c>
      <c r="D10" s="48">
        <v>2410931</v>
      </c>
      <c r="G10" s="47">
        <v>2012</v>
      </c>
      <c r="H10" s="13">
        <v>42493</v>
      </c>
      <c r="I10" s="48">
        <v>27586</v>
      </c>
    </row>
    <row r="11" spans="2:12">
      <c r="B11" s="47">
        <v>2013</v>
      </c>
      <c r="C11" s="13">
        <v>1224820</v>
      </c>
      <c r="D11" s="48">
        <v>2476394</v>
      </c>
      <c r="G11" s="47">
        <v>2013</v>
      </c>
      <c r="H11" s="13">
        <v>38531</v>
      </c>
      <c r="I11" s="48">
        <v>27822</v>
      </c>
    </row>
    <row r="12" spans="2:12">
      <c r="B12" s="47">
        <v>2014</v>
      </c>
      <c r="C12" s="13">
        <v>1263472</v>
      </c>
      <c r="D12" s="48">
        <v>2526167</v>
      </c>
      <c r="G12" s="47">
        <v>2014</v>
      </c>
      <c r="H12" s="13">
        <v>39500</v>
      </c>
      <c r="I12" s="48">
        <v>28360</v>
      </c>
      <c r="L12" s="13"/>
    </row>
    <row r="13" spans="2:12">
      <c r="B13" s="47">
        <v>2015</v>
      </c>
      <c r="C13" s="13">
        <v>1269417</v>
      </c>
      <c r="D13" s="48">
        <v>2522900</v>
      </c>
      <c r="G13" s="47">
        <v>2015</v>
      </c>
      <c r="H13" s="13">
        <v>40343</v>
      </c>
      <c r="I13" s="48">
        <v>28028</v>
      </c>
    </row>
    <row r="14" spans="2:12">
      <c r="B14" s="47">
        <v>2016</v>
      </c>
      <c r="C14" s="13">
        <v>1449535</v>
      </c>
      <c r="D14" s="48">
        <v>3572127</v>
      </c>
      <c r="G14" s="47">
        <v>2016</v>
      </c>
      <c r="H14" s="13">
        <v>43384</v>
      </c>
      <c r="I14" s="48">
        <v>43487</v>
      </c>
    </row>
    <row r="15" spans="2:12">
      <c r="B15" s="47">
        <v>2017</v>
      </c>
      <c r="C15" s="13">
        <v>1490319</v>
      </c>
      <c r="D15" s="48">
        <v>3604712</v>
      </c>
      <c r="G15" s="47">
        <v>2017</v>
      </c>
      <c r="H15" s="13">
        <v>46295</v>
      </c>
      <c r="I15" s="48">
        <v>43669</v>
      </c>
    </row>
    <row r="16" spans="2:12" ht="15" thickBot="1">
      <c r="B16" s="49">
        <v>2018</v>
      </c>
      <c r="C16" s="50">
        <v>1521590</v>
      </c>
      <c r="D16" s="51">
        <v>3618352</v>
      </c>
      <c r="G16" s="49">
        <v>2018</v>
      </c>
      <c r="H16" s="50">
        <v>48027</v>
      </c>
      <c r="I16" s="51">
        <v>44166</v>
      </c>
    </row>
    <row r="17" spans="1:14">
      <c r="C17" s="13"/>
      <c r="D17" s="13"/>
      <c r="H17" s="13"/>
      <c r="I17" s="13"/>
    </row>
    <row r="18" spans="1:14">
      <c r="D18" s="13"/>
      <c r="H18" s="13"/>
      <c r="I18" s="13"/>
      <c r="L18" s="43"/>
      <c r="M18" s="52"/>
      <c r="N18" s="13"/>
    </row>
    <row r="19" spans="1:14">
      <c r="A19" s="7" t="s">
        <v>134</v>
      </c>
      <c r="C19" s="13"/>
      <c r="D19" s="13"/>
      <c r="H19" s="13"/>
      <c r="I19" s="13"/>
      <c r="L19" s="43"/>
      <c r="M19" s="52"/>
      <c r="N19" s="13"/>
    </row>
    <row r="20" spans="1:14">
      <c r="A20" s="133"/>
      <c r="B20" s="128" t="s">
        <v>135</v>
      </c>
      <c r="C20" s="128" t="s">
        <v>136</v>
      </c>
      <c r="D20" s="128" t="s">
        <v>137</v>
      </c>
      <c r="E20" s="127" t="s">
        <v>138</v>
      </c>
      <c r="F20" s="128" t="s">
        <v>139</v>
      </c>
      <c r="G20" s="128"/>
      <c r="H20" s="127" t="s">
        <v>140</v>
      </c>
      <c r="I20" s="127" t="s">
        <v>141</v>
      </c>
    </row>
    <row r="21" spans="1:14">
      <c r="A21" s="133"/>
      <c r="B21" s="128"/>
      <c r="C21" s="128"/>
      <c r="D21" s="128"/>
      <c r="E21" s="127"/>
      <c r="F21" s="42" t="s">
        <v>142</v>
      </c>
      <c r="G21" s="42" t="s">
        <v>143</v>
      </c>
      <c r="H21" s="127"/>
      <c r="I21" s="127"/>
      <c r="M21" s="20"/>
    </row>
    <row r="22" spans="1:14">
      <c r="A22" s="22" t="s">
        <v>144</v>
      </c>
      <c r="B22" s="53">
        <v>10</v>
      </c>
      <c r="C22" s="54">
        <v>160</v>
      </c>
      <c r="D22" s="53">
        <f>C22/B22</f>
        <v>16</v>
      </c>
      <c r="E22" s="55">
        <v>101188</v>
      </c>
      <c r="F22" s="53">
        <v>514</v>
      </c>
      <c r="G22" s="53">
        <v>464</v>
      </c>
      <c r="H22" s="53">
        <f>SUM(F22*5,G22*2)/7</f>
        <v>499.71428571428572</v>
      </c>
      <c r="I22" s="53">
        <f>E22/H22</f>
        <v>202.49170954831331</v>
      </c>
      <c r="J22" s="56"/>
      <c r="K22" s="56"/>
      <c r="L22" s="56"/>
    </row>
    <row r="23" spans="1:14">
      <c r="A23" s="22" t="s">
        <v>145</v>
      </c>
      <c r="B23" s="53" t="s">
        <v>146</v>
      </c>
      <c r="C23" s="54">
        <v>794</v>
      </c>
      <c r="D23" s="53">
        <v>84</v>
      </c>
      <c r="E23" s="55">
        <v>562103</v>
      </c>
      <c r="F23" s="22">
        <v>947</v>
      </c>
      <c r="G23" s="53">
        <v>853</v>
      </c>
      <c r="H23" s="53">
        <f t="shared" ref="H23:H45" si="0">SUM(F23*5,G23*2)/7</f>
        <v>920.14285714285711</v>
      </c>
      <c r="I23" s="53">
        <f t="shared" ref="I23:I45" si="1">E23/H23</f>
        <v>610.88666356155875</v>
      </c>
      <c r="J23" s="56"/>
      <c r="K23" s="56"/>
      <c r="L23" s="56"/>
      <c r="M23" s="20"/>
    </row>
    <row r="24" spans="1:14">
      <c r="A24" s="22" t="s">
        <v>147</v>
      </c>
      <c r="B24" s="53">
        <v>10</v>
      </c>
      <c r="C24" s="54">
        <v>490</v>
      </c>
      <c r="D24" s="53">
        <f t="shared" ref="D24:D25" si="2">C24/B24</f>
        <v>49</v>
      </c>
      <c r="E24" s="55">
        <v>208987</v>
      </c>
      <c r="F24" s="22">
        <v>362</v>
      </c>
      <c r="G24" s="53">
        <v>350</v>
      </c>
      <c r="H24" s="53">
        <f t="shared" si="0"/>
        <v>358.57142857142856</v>
      </c>
      <c r="I24" s="53">
        <f t="shared" si="1"/>
        <v>582.83227091633466</v>
      </c>
      <c r="J24" s="56"/>
      <c r="K24" s="56"/>
      <c r="L24" s="56"/>
      <c r="M24" s="20"/>
    </row>
    <row r="25" spans="1:14">
      <c r="A25" s="22" t="s">
        <v>148</v>
      </c>
      <c r="B25" s="53">
        <v>10</v>
      </c>
      <c r="C25" s="54">
        <v>470</v>
      </c>
      <c r="D25" s="53">
        <f t="shared" si="2"/>
        <v>47</v>
      </c>
      <c r="E25" s="55">
        <v>210968</v>
      </c>
      <c r="F25" s="53">
        <v>453</v>
      </c>
      <c r="G25" s="53">
        <v>394</v>
      </c>
      <c r="H25" s="53">
        <f t="shared" si="0"/>
        <v>436.14285714285717</v>
      </c>
      <c r="I25" s="53">
        <f t="shared" si="1"/>
        <v>483.71306911234848</v>
      </c>
      <c r="J25" s="56"/>
      <c r="K25" s="56"/>
      <c r="L25" s="56"/>
    </row>
    <row r="26" spans="1:14">
      <c r="A26" s="22" t="s">
        <v>149</v>
      </c>
      <c r="B26" s="53">
        <v>8</v>
      </c>
      <c r="C26" s="54">
        <f>640-12</f>
        <v>628</v>
      </c>
      <c r="D26" s="53">
        <f>C26/B26</f>
        <v>78.5</v>
      </c>
      <c r="E26" s="55">
        <v>223186</v>
      </c>
      <c r="F26" s="53">
        <v>431</v>
      </c>
      <c r="G26" s="53">
        <v>372</v>
      </c>
      <c r="H26" s="53">
        <f t="shared" si="0"/>
        <v>414.14285714285717</v>
      </c>
      <c r="I26" s="53">
        <f t="shared" si="1"/>
        <v>538.91065884787849</v>
      </c>
      <c r="J26" s="56"/>
      <c r="K26" s="56"/>
      <c r="L26" s="56"/>
      <c r="M26" s="20"/>
    </row>
    <row r="27" spans="1:14">
      <c r="A27" s="22" t="s">
        <v>150</v>
      </c>
      <c r="B27" s="53">
        <v>8</v>
      </c>
      <c r="C27" s="54">
        <v>312</v>
      </c>
      <c r="D27" s="53">
        <f t="shared" ref="D27:D45" si="3">C27/B27</f>
        <v>39</v>
      </c>
      <c r="E27" s="55">
        <v>130600</v>
      </c>
      <c r="F27" s="53">
        <v>330</v>
      </c>
      <c r="G27" s="53">
        <v>277</v>
      </c>
      <c r="H27" s="53">
        <f t="shared" si="0"/>
        <v>314.85714285714283</v>
      </c>
      <c r="I27" s="53">
        <f t="shared" si="1"/>
        <v>414.79128856624322</v>
      </c>
      <c r="J27" s="56"/>
      <c r="K27" s="56"/>
      <c r="L27" s="56"/>
    </row>
    <row r="28" spans="1:14">
      <c r="A28" s="22" t="s">
        <v>151</v>
      </c>
      <c r="B28" s="53">
        <v>8</v>
      </c>
      <c r="C28" s="54">
        <v>577</v>
      </c>
      <c r="D28" s="53">
        <f t="shared" si="3"/>
        <v>72.125</v>
      </c>
      <c r="E28" s="55">
        <v>261991</v>
      </c>
      <c r="F28" s="53">
        <v>415</v>
      </c>
      <c r="G28" s="53">
        <v>353</v>
      </c>
      <c r="H28" s="53">
        <f t="shared" si="0"/>
        <v>397.28571428571428</v>
      </c>
      <c r="I28" s="53">
        <f t="shared" si="1"/>
        <v>659.45235526788929</v>
      </c>
      <c r="J28" s="56"/>
      <c r="K28" s="56"/>
    </row>
    <row r="29" spans="1:14">
      <c r="A29" s="22" t="s">
        <v>152</v>
      </c>
      <c r="B29" s="53">
        <v>6</v>
      </c>
      <c r="C29" s="54">
        <v>120</v>
      </c>
      <c r="D29" s="53">
        <f t="shared" si="3"/>
        <v>20</v>
      </c>
      <c r="E29" s="55">
        <v>70133</v>
      </c>
      <c r="F29" s="53">
        <v>282</v>
      </c>
      <c r="G29" s="53">
        <v>270</v>
      </c>
      <c r="H29" s="53">
        <f t="shared" si="0"/>
        <v>278.57142857142856</v>
      </c>
      <c r="I29" s="53">
        <f t="shared" si="1"/>
        <v>251.75948717948719</v>
      </c>
      <c r="J29" s="56"/>
      <c r="K29" s="56"/>
      <c r="L29" s="56"/>
    </row>
    <row r="30" spans="1:14">
      <c r="A30" s="22" t="s">
        <v>153</v>
      </c>
      <c r="B30" s="53">
        <v>6</v>
      </c>
      <c r="C30" s="54">
        <v>270</v>
      </c>
      <c r="D30" s="53">
        <f t="shared" si="3"/>
        <v>45</v>
      </c>
      <c r="E30" s="55">
        <v>130859</v>
      </c>
      <c r="F30" s="53">
        <v>502</v>
      </c>
      <c r="G30" s="22"/>
      <c r="H30" s="53">
        <f>F30</f>
        <v>502</v>
      </c>
      <c r="I30" s="53">
        <f t="shared" si="1"/>
        <v>260.67529880478088</v>
      </c>
      <c r="J30" s="56"/>
      <c r="K30" s="56"/>
      <c r="L30" s="56"/>
      <c r="M30" s="20"/>
    </row>
    <row r="31" spans="1:14">
      <c r="A31" s="22" t="s">
        <v>154</v>
      </c>
      <c r="B31" s="53">
        <v>4</v>
      </c>
      <c r="C31" s="54">
        <v>84</v>
      </c>
      <c r="D31" s="53">
        <f t="shared" si="3"/>
        <v>21</v>
      </c>
      <c r="E31" s="55">
        <v>40262</v>
      </c>
      <c r="F31" s="53">
        <v>242</v>
      </c>
      <c r="G31" s="53">
        <v>218</v>
      </c>
      <c r="H31" s="53">
        <f t="shared" si="0"/>
        <v>235.14285714285714</v>
      </c>
      <c r="I31" s="53">
        <f t="shared" si="1"/>
        <v>171.22357229647631</v>
      </c>
      <c r="J31" s="56"/>
      <c r="K31" s="56"/>
      <c r="L31" s="56"/>
      <c r="M31" s="20"/>
    </row>
    <row r="32" spans="1:14">
      <c r="A32" s="22" t="s">
        <v>155</v>
      </c>
      <c r="B32" s="53">
        <v>8</v>
      </c>
      <c r="C32" s="54">
        <v>408</v>
      </c>
      <c r="D32" s="53">
        <f t="shared" si="3"/>
        <v>51</v>
      </c>
      <c r="E32" s="55">
        <v>173271</v>
      </c>
      <c r="F32" s="22">
        <v>364</v>
      </c>
      <c r="G32" s="53">
        <v>328</v>
      </c>
      <c r="H32" s="53">
        <f t="shared" si="0"/>
        <v>353.71428571428572</v>
      </c>
      <c r="I32" s="53">
        <f t="shared" si="1"/>
        <v>489.8614701130856</v>
      </c>
      <c r="J32" s="56"/>
      <c r="K32" s="56"/>
      <c r="L32" s="56"/>
      <c r="M32" s="20"/>
    </row>
    <row r="33" spans="1:13">
      <c r="A33" s="22" t="s">
        <v>156</v>
      </c>
      <c r="B33" s="53">
        <v>6</v>
      </c>
      <c r="C33" s="54">
        <v>336</v>
      </c>
      <c r="D33" s="53">
        <f t="shared" si="3"/>
        <v>56</v>
      </c>
      <c r="E33" s="55">
        <v>123856</v>
      </c>
      <c r="F33" s="22">
        <v>349</v>
      </c>
      <c r="G33" s="53">
        <v>305</v>
      </c>
      <c r="H33" s="53">
        <f t="shared" si="0"/>
        <v>336.42857142857144</v>
      </c>
      <c r="I33" s="53">
        <f t="shared" si="1"/>
        <v>368.14946921443737</v>
      </c>
      <c r="J33" s="56"/>
      <c r="K33" s="56"/>
      <c r="L33" s="56"/>
    </row>
    <row r="34" spans="1:13">
      <c r="A34" s="22" t="s">
        <v>157</v>
      </c>
      <c r="B34" s="53">
        <v>4</v>
      </c>
      <c r="C34" s="54">
        <v>80</v>
      </c>
      <c r="D34" s="53">
        <f t="shared" si="3"/>
        <v>20</v>
      </c>
      <c r="E34" s="55">
        <v>34438</v>
      </c>
      <c r="F34" s="22">
        <v>320</v>
      </c>
      <c r="G34" s="53">
        <v>284</v>
      </c>
      <c r="H34" s="53">
        <f t="shared" si="0"/>
        <v>309.71428571428572</v>
      </c>
      <c r="I34" s="53">
        <f t="shared" si="1"/>
        <v>111.19280442804428</v>
      </c>
      <c r="J34" s="56"/>
      <c r="K34" s="56"/>
      <c r="L34" s="56"/>
    </row>
    <row r="35" spans="1:13">
      <c r="A35" s="22" t="s">
        <v>158</v>
      </c>
      <c r="B35" s="53">
        <v>6</v>
      </c>
      <c r="C35" s="54">
        <v>102</v>
      </c>
      <c r="D35" s="53">
        <f t="shared" si="3"/>
        <v>17</v>
      </c>
      <c r="E35" s="55">
        <v>10984</v>
      </c>
      <c r="F35" s="22">
        <v>310</v>
      </c>
      <c r="G35" s="53">
        <v>278</v>
      </c>
      <c r="H35" s="53">
        <f t="shared" si="0"/>
        <v>300.85714285714283</v>
      </c>
      <c r="I35" s="53">
        <f t="shared" si="1"/>
        <v>36.509021842355182</v>
      </c>
      <c r="J35" s="56"/>
      <c r="K35" s="56"/>
      <c r="L35" s="56"/>
    </row>
    <row r="36" spans="1:13">
      <c r="A36" s="22" t="s">
        <v>159</v>
      </c>
      <c r="B36" s="53">
        <v>8</v>
      </c>
      <c r="C36" s="54">
        <v>272</v>
      </c>
      <c r="D36" s="53">
        <f t="shared" si="3"/>
        <v>34</v>
      </c>
      <c r="E36" s="55">
        <v>74427</v>
      </c>
      <c r="F36" s="22">
        <v>312</v>
      </c>
      <c r="G36" s="53">
        <v>272</v>
      </c>
      <c r="H36" s="53">
        <f t="shared" si="0"/>
        <v>300.57142857142856</v>
      </c>
      <c r="I36" s="53">
        <f t="shared" si="1"/>
        <v>247.61834600760457</v>
      </c>
      <c r="J36" s="56"/>
      <c r="K36" s="56"/>
      <c r="L36" s="56"/>
      <c r="M36" s="20"/>
    </row>
    <row r="37" spans="1:13">
      <c r="A37" s="22" t="s">
        <v>160</v>
      </c>
      <c r="B37" s="53">
        <v>2</v>
      </c>
      <c r="C37" s="54">
        <v>74</v>
      </c>
      <c r="D37" s="53">
        <f t="shared" si="3"/>
        <v>37</v>
      </c>
      <c r="E37" s="55">
        <v>41388</v>
      </c>
      <c r="F37" s="22">
        <v>460</v>
      </c>
      <c r="G37" s="53">
        <v>376</v>
      </c>
      <c r="H37" s="53">
        <f t="shared" si="0"/>
        <v>436</v>
      </c>
      <c r="I37" s="53">
        <f t="shared" si="1"/>
        <v>94.926605504587158</v>
      </c>
      <c r="J37" s="56"/>
      <c r="K37" s="56"/>
      <c r="L37" s="56"/>
      <c r="M37" s="20"/>
    </row>
    <row r="38" spans="1:13">
      <c r="A38" s="22" t="s">
        <v>161</v>
      </c>
      <c r="B38" s="53">
        <v>6</v>
      </c>
      <c r="C38" s="54">
        <v>204</v>
      </c>
      <c r="D38" s="53">
        <f t="shared" si="3"/>
        <v>34</v>
      </c>
      <c r="E38" s="55">
        <v>74572</v>
      </c>
      <c r="F38" s="53">
        <f>105112/365</f>
        <v>287.9780821917808</v>
      </c>
      <c r="G38" s="22"/>
      <c r="H38" s="53">
        <f>F38</f>
        <v>287.9780821917808</v>
      </c>
      <c r="I38" s="53">
        <f t="shared" si="1"/>
        <v>258.9502625770607</v>
      </c>
      <c r="J38" s="56"/>
      <c r="K38" s="56"/>
      <c r="L38" s="56"/>
      <c r="M38" s="20"/>
    </row>
    <row r="39" spans="1:13">
      <c r="A39" s="22" t="s">
        <v>162</v>
      </c>
      <c r="B39" s="53">
        <v>6</v>
      </c>
      <c r="C39" s="54">
        <v>180</v>
      </c>
      <c r="D39" s="53">
        <f t="shared" si="3"/>
        <v>30</v>
      </c>
      <c r="E39" s="55">
        <v>64876</v>
      </c>
      <c r="F39" s="53">
        <f>96192/365</f>
        <v>263.53972602739725</v>
      </c>
      <c r="G39" s="22"/>
      <c r="H39" s="53">
        <f t="shared" ref="H39:H40" si="4">F39</f>
        <v>263.53972602739725</v>
      </c>
      <c r="I39" s="53">
        <f t="shared" si="1"/>
        <v>246.1716151031271</v>
      </c>
      <c r="J39" s="56"/>
      <c r="K39" s="56"/>
      <c r="L39" s="56"/>
      <c r="M39" s="20"/>
    </row>
    <row r="40" spans="1:13">
      <c r="A40" s="22" t="s">
        <v>163</v>
      </c>
      <c r="B40" s="53">
        <v>3</v>
      </c>
      <c r="C40" s="54">
        <v>84</v>
      </c>
      <c r="D40" s="53">
        <f t="shared" si="3"/>
        <v>28</v>
      </c>
      <c r="E40" s="55">
        <v>28180</v>
      </c>
      <c r="F40" s="53">
        <f>111480/365</f>
        <v>305.42465753424659</v>
      </c>
      <c r="G40" s="22"/>
      <c r="H40" s="53">
        <f t="shared" si="4"/>
        <v>305.42465753424659</v>
      </c>
      <c r="I40" s="53">
        <f t="shared" si="1"/>
        <v>92.264980265518474</v>
      </c>
      <c r="J40" s="56"/>
      <c r="K40" s="56"/>
      <c r="L40" s="56"/>
    </row>
    <row r="41" spans="1:13">
      <c r="A41" s="22" t="s">
        <v>164</v>
      </c>
      <c r="B41" s="53">
        <v>4</v>
      </c>
      <c r="C41" s="54">
        <v>92</v>
      </c>
      <c r="D41" s="53">
        <f t="shared" si="3"/>
        <v>23</v>
      </c>
      <c r="E41" s="55">
        <v>19319</v>
      </c>
      <c r="F41" s="53">
        <f>G41*(F31/G31)</f>
        <v>224.23853211009174</v>
      </c>
      <c r="G41" s="22">
        <v>202</v>
      </c>
      <c r="H41" s="53">
        <f t="shared" si="0"/>
        <v>217.88466579292268</v>
      </c>
      <c r="I41" s="53">
        <f t="shared" si="1"/>
        <v>88.666175426777187</v>
      </c>
      <c r="J41" s="56"/>
      <c r="K41" s="56"/>
      <c r="L41" s="56"/>
      <c r="M41" s="20"/>
    </row>
    <row r="42" spans="1:13">
      <c r="A42" s="22" t="s">
        <v>165</v>
      </c>
      <c r="B42" s="53">
        <v>2</v>
      </c>
      <c r="C42" s="54">
        <v>50</v>
      </c>
      <c r="D42" s="53">
        <f t="shared" si="3"/>
        <v>25</v>
      </c>
      <c r="E42" s="55">
        <v>18480</v>
      </c>
      <c r="F42" s="22">
        <v>424</v>
      </c>
      <c r="G42" s="22"/>
      <c r="H42" s="53">
        <f t="shared" si="0"/>
        <v>302.85714285714283</v>
      </c>
      <c r="I42" s="53">
        <f t="shared" si="1"/>
        <v>61.018867924528308</v>
      </c>
      <c r="J42" s="56"/>
      <c r="K42" s="56"/>
      <c r="L42" s="56"/>
      <c r="M42" s="20"/>
    </row>
    <row r="43" spans="1:13">
      <c r="A43" s="22" t="s">
        <v>166</v>
      </c>
      <c r="B43" s="53">
        <v>2</v>
      </c>
      <c r="C43" s="54">
        <v>30</v>
      </c>
      <c r="D43" s="53">
        <f t="shared" si="3"/>
        <v>15</v>
      </c>
      <c r="E43" s="55">
        <v>12953</v>
      </c>
      <c r="F43" s="22">
        <v>362</v>
      </c>
      <c r="G43" s="22"/>
      <c r="H43" s="53">
        <f t="shared" si="0"/>
        <v>258.57142857142856</v>
      </c>
      <c r="I43" s="53">
        <f t="shared" si="1"/>
        <v>50.094475138121553</v>
      </c>
      <c r="J43" s="56"/>
      <c r="K43" s="56"/>
      <c r="L43" s="56"/>
      <c r="M43" s="20"/>
    </row>
    <row r="44" spans="1:13">
      <c r="A44" s="22" t="s">
        <v>167</v>
      </c>
      <c r="B44" s="53">
        <v>1</v>
      </c>
      <c r="C44" s="54">
        <v>30</v>
      </c>
      <c r="D44" s="53">
        <f t="shared" si="3"/>
        <v>30</v>
      </c>
      <c r="E44" s="55">
        <v>8848</v>
      </c>
      <c r="F44" s="22">
        <v>398</v>
      </c>
      <c r="G44" s="22"/>
      <c r="H44" s="53">
        <f t="shared" si="0"/>
        <v>284.28571428571428</v>
      </c>
      <c r="I44" s="53">
        <f t="shared" si="1"/>
        <v>31.123618090452261</v>
      </c>
      <c r="J44" s="56"/>
      <c r="K44" s="56"/>
      <c r="L44" s="56"/>
      <c r="M44" s="20"/>
    </row>
    <row r="45" spans="1:13">
      <c r="A45" s="22" t="s">
        <v>168</v>
      </c>
      <c r="B45" s="53">
        <v>2</v>
      </c>
      <c r="C45" s="54">
        <v>36</v>
      </c>
      <c r="D45" s="53">
        <f t="shared" si="3"/>
        <v>18</v>
      </c>
      <c r="E45" s="55">
        <v>16157</v>
      </c>
      <c r="F45" s="22">
        <v>516</v>
      </c>
      <c r="G45" s="22"/>
      <c r="H45" s="53">
        <f t="shared" si="0"/>
        <v>368.57142857142856</v>
      </c>
      <c r="I45" s="53">
        <f t="shared" si="1"/>
        <v>43.83682170542636</v>
      </c>
      <c r="J45" s="56"/>
      <c r="K45" s="56"/>
      <c r="L45" s="56"/>
      <c r="M45" s="20"/>
    </row>
    <row r="46" spans="1:13">
      <c r="A46" s="22" t="s">
        <v>169</v>
      </c>
      <c r="B46" s="53"/>
      <c r="C46" s="22">
        <v>5883</v>
      </c>
      <c r="D46" s="53">
        <f>SUM(D22:D45)</f>
        <v>889.625</v>
      </c>
      <c r="E46" s="23">
        <f>SUM(E22:E45)</f>
        <v>2642026</v>
      </c>
      <c r="F46" s="22"/>
      <c r="G46" s="22"/>
      <c r="H46" s="22"/>
      <c r="I46" s="22"/>
      <c r="L46" s="56"/>
    </row>
    <row r="47" spans="1:13">
      <c r="B47" s="43" t="s">
        <v>170</v>
      </c>
      <c r="C47" s="57">
        <f>SUMPRODUCT(D22:D45,I22:I45)/D46</f>
        <v>356.82478102755613</v>
      </c>
      <c r="H47" s="43" t="s">
        <v>260</v>
      </c>
      <c r="I47" s="8" t="s">
        <v>261</v>
      </c>
      <c r="L47" s="56"/>
    </row>
    <row r="48" spans="1:13">
      <c r="L48" s="56"/>
      <c r="M48" s="20"/>
    </row>
    <row r="49" spans="1:13">
      <c r="A49" s="58"/>
      <c r="M49" s="20"/>
    </row>
  </sheetData>
  <mergeCells count="8">
    <mergeCell ref="H20:H21"/>
    <mergeCell ref="I20:I21"/>
    <mergeCell ref="A20:A21"/>
    <mergeCell ref="B20:B21"/>
    <mergeCell ref="C20:C21"/>
    <mergeCell ref="D20:D21"/>
    <mergeCell ref="E20:E21"/>
    <mergeCell ref="F20:G20"/>
  </mergeCells>
  <phoneticPr fontId="4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5C122-988D-446F-A1DB-C3D7ACE874B7}">
  <dimension ref="A1:R23"/>
  <sheetViews>
    <sheetView workbookViewId="0"/>
  </sheetViews>
  <sheetFormatPr defaultRowHeight="14.5"/>
  <cols>
    <col min="1" max="1" width="21.1796875" customWidth="1"/>
    <col min="2" max="2" width="12.453125" customWidth="1"/>
    <col min="3" max="7" width="12.7265625" customWidth="1"/>
    <col min="8" max="8" width="12.81640625" customWidth="1"/>
    <col min="9" max="10" width="12.7265625" customWidth="1"/>
    <col min="11" max="14" width="12.81640625" customWidth="1"/>
    <col min="15" max="18" width="12.7265625" customWidth="1"/>
    <col min="257" max="257" width="21.1796875" customWidth="1"/>
    <col min="258" max="258" width="12.453125" customWidth="1"/>
    <col min="259" max="263" width="12.7265625" customWidth="1"/>
    <col min="264" max="264" width="12.81640625" customWidth="1"/>
    <col min="265" max="266" width="12.7265625" customWidth="1"/>
    <col min="267" max="270" width="12.81640625" customWidth="1"/>
    <col min="271" max="274" width="12.7265625" customWidth="1"/>
    <col min="513" max="513" width="21.1796875" customWidth="1"/>
    <col min="514" max="514" width="12.453125" customWidth="1"/>
    <col min="515" max="519" width="12.7265625" customWidth="1"/>
    <col min="520" max="520" width="12.81640625" customWidth="1"/>
    <col min="521" max="522" width="12.7265625" customWidth="1"/>
    <col min="523" max="526" width="12.81640625" customWidth="1"/>
    <col min="527" max="530" width="12.7265625" customWidth="1"/>
    <col min="769" max="769" width="21.1796875" customWidth="1"/>
    <col min="770" max="770" width="12.453125" customWidth="1"/>
    <col min="771" max="775" width="12.7265625" customWidth="1"/>
    <col min="776" max="776" width="12.81640625" customWidth="1"/>
    <col min="777" max="778" width="12.7265625" customWidth="1"/>
    <col min="779" max="782" width="12.81640625" customWidth="1"/>
    <col min="783" max="786" width="12.7265625" customWidth="1"/>
    <col min="1025" max="1025" width="21.1796875" customWidth="1"/>
    <col min="1026" max="1026" width="12.453125" customWidth="1"/>
    <col min="1027" max="1031" width="12.7265625" customWidth="1"/>
    <col min="1032" max="1032" width="12.81640625" customWidth="1"/>
    <col min="1033" max="1034" width="12.7265625" customWidth="1"/>
    <col min="1035" max="1038" width="12.81640625" customWidth="1"/>
    <col min="1039" max="1042" width="12.7265625" customWidth="1"/>
    <col min="1281" max="1281" width="21.1796875" customWidth="1"/>
    <col min="1282" max="1282" width="12.453125" customWidth="1"/>
    <col min="1283" max="1287" width="12.7265625" customWidth="1"/>
    <col min="1288" max="1288" width="12.81640625" customWidth="1"/>
    <col min="1289" max="1290" width="12.7265625" customWidth="1"/>
    <col min="1291" max="1294" width="12.81640625" customWidth="1"/>
    <col min="1295" max="1298" width="12.7265625" customWidth="1"/>
    <col min="1537" max="1537" width="21.1796875" customWidth="1"/>
    <col min="1538" max="1538" width="12.453125" customWidth="1"/>
    <col min="1539" max="1543" width="12.7265625" customWidth="1"/>
    <col min="1544" max="1544" width="12.81640625" customWidth="1"/>
    <col min="1545" max="1546" width="12.7265625" customWidth="1"/>
    <col min="1547" max="1550" width="12.81640625" customWidth="1"/>
    <col min="1551" max="1554" width="12.7265625" customWidth="1"/>
    <col min="1793" max="1793" width="21.1796875" customWidth="1"/>
    <col min="1794" max="1794" width="12.453125" customWidth="1"/>
    <col min="1795" max="1799" width="12.7265625" customWidth="1"/>
    <col min="1800" max="1800" width="12.81640625" customWidth="1"/>
    <col min="1801" max="1802" width="12.7265625" customWidth="1"/>
    <col min="1803" max="1806" width="12.81640625" customWidth="1"/>
    <col min="1807" max="1810" width="12.7265625" customWidth="1"/>
    <col min="2049" max="2049" width="21.1796875" customWidth="1"/>
    <col min="2050" max="2050" width="12.453125" customWidth="1"/>
    <col min="2051" max="2055" width="12.7265625" customWidth="1"/>
    <col min="2056" max="2056" width="12.81640625" customWidth="1"/>
    <col min="2057" max="2058" width="12.7265625" customWidth="1"/>
    <col min="2059" max="2062" width="12.81640625" customWidth="1"/>
    <col min="2063" max="2066" width="12.7265625" customWidth="1"/>
    <col min="2305" max="2305" width="21.1796875" customWidth="1"/>
    <col min="2306" max="2306" width="12.453125" customWidth="1"/>
    <col min="2307" max="2311" width="12.7265625" customWidth="1"/>
    <col min="2312" max="2312" width="12.81640625" customWidth="1"/>
    <col min="2313" max="2314" width="12.7265625" customWidth="1"/>
    <col min="2315" max="2318" width="12.81640625" customWidth="1"/>
    <col min="2319" max="2322" width="12.7265625" customWidth="1"/>
    <col min="2561" max="2561" width="21.1796875" customWidth="1"/>
    <col min="2562" max="2562" width="12.453125" customWidth="1"/>
    <col min="2563" max="2567" width="12.7265625" customWidth="1"/>
    <col min="2568" max="2568" width="12.81640625" customWidth="1"/>
    <col min="2569" max="2570" width="12.7265625" customWidth="1"/>
    <col min="2571" max="2574" width="12.81640625" customWidth="1"/>
    <col min="2575" max="2578" width="12.7265625" customWidth="1"/>
    <col min="2817" max="2817" width="21.1796875" customWidth="1"/>
    <col min="2818" max="2818" width="12.453125" customWidth="1"/>
    <col min="2819" max="2823" width="12.7265625" customWidth="1"/>
    <col min="2824" max="2824" width="12.81640625" customWidth="1"/>
    <col min="2825" max="2826" width="12.7265625" customWidth="1"/>
    <col min="2827" max="2830" width="12.81640625" customWidth="1"/>
    <col min="2831" max="2834" width="12.7265625" customWidth="1"/>
    <col min="3073" max="3073" width="21.1796875" customWidth="1"/>
    <col min="3074" max="3074" width="12.453125" customWidth="1"/>
    <col min="3075" max="3079" width="12.7265625" customWidth="1"/>
    <col min="3080" max="3080" width="12.81640625" customWidth="1"/>
    <col min="3081" max="3082" width="12.7265625" customWidth="1"/>
    <col min="3083" max="3086" width="12.81640625" customWidth="1"/>
    <col min="3087" max="3090" width="12.7265625" customWidth="1"/>
    <col min="3329" max="3329" width="21.1796875" customWidth="1"/>
    <col min="3330" max="3330" width="12.453125" customWidth="1"/>
    <col min="3331" max="3335" width="12.7265625" customWidth="1"/>
    <col min="3336" max="3336" width="12.81640625" customWidth="1"/>
    <col min="3337" max="3338" width="12.7265625" customWidth="1"/>
    <col min="3339" max="3342" width="12.81640625" customWidth="1"/>
    <col min="3343" max="3346" width="12.7265625" customWidth="1"/>
    <col min="3585" max="3585" width="21.1796875" customWidth="1"/>
    <col min="3586" max="3586" width="12.453125" customWidth="1"/>
    <col min="3587" max="3591" width="12.7265625" customWidth="1"/>
    <col min="3592" max="3592" width="12.81640625" customWidth="1"/>
    <col min="3593" max="3594" width="12.7265625" customWidth="1"/>
    <col min="3595" max="3598" width="12.81640625" customWidth="1"/>
    <col min="3599" max="3602" width="12.7265625" customWidth="1"/>
    <col min="3841" max="3841" width="21.1796875" customWidth="1"/>
    <col min="3842" max="3842" width="12.453125" customWidth="1"/>
    <col min="3843" max="3847" width="12.7265625" customWidth="1"/>
    <col min="3848" max="3848" width="12.81640625" customWidth="1"/>
    <col min="3849" max="3850" width="12.7265625" customWidth="1"/>
    <col min="3851" max="3854" width="12.81640625" customWidth="1"/>
    <col min="3855" max="3858" width="12.7265625" customWidth="1"/>
    <col min="4097" max="4097" width="21.1796875" customWidth="1"/>
    <col min="4098" max="4098" width="12.453125" customWidth="1"/>
    <col min="4099" max="4103" width="12.7265625" customWidth="1"/>
    <col min="4104" max="4104" width="12.81640625" customWidth="1"/>
    <col min="4105" max="4106" width="12.7265625" customWidth="1"/>
    <col min="4107" max="4110" width="12.81640625" customWidth="1"/>
    <col min="4111" max="4114" width="12.7265625" customWidth="1"/>
    <col min="4353" max="4353" width="21.1796875" customWidth="1"/>
    <col min="4354" max="4354" width="12.453125" customWidth="1"/>
    <col min="4355" max="4359" width="12.7265625" customWidth="1"/>
    <col min="4360" max="4360" width="12.81640625" customWidth="1"/>
    <col min="4361" max="4362" width="12.7265625" customWidth="1"/>
    <col min="4363" max="4366" width="12.81640625" customWidth="1"/>
    <col min="4367" max="4370" width="12.7265625" customWidth="1"/>
    <col min="4609" max="4609" width="21.1796875" customWidth="1"/>
    <col min="4610" max="4610" width="12.453125" customWidth="1"/>
    <col min="4611" max="4615" width="12.7265625" customWidth="1"/>
    <col min="4616" max="4616" width="12.81640625" customWidth="1"/>
    <col min="4617" max="4618" width="12.7265625" customWidth="1"/>
    <col min="4619" max="4622" width="12.81640625" customWidth="1"/>
    <col min="4623" max="4626" width="12.7265625" customWidth="1"/>
    <col min="4865" max="4865" width="21.1796875" customWidth="1"/>
    <col min="4866" max="4866" width="12.453125" customWidth="1"/>
    <col min="4867" max="4871" width="12.7265625" customWidth="1"/>
    <col min="4872" max="4872" width="12.81640625" customWidth="1"/>
    <col min="4873" max="4874" width="12.7265625" customWidth="1"/>
    <col min="4875" max="4878" width="12.81640625" customWidth="1"/>
    <col min="4879" max="4882" width="12.7265625" customWidth="1"/>
    <col min="5121" max="5121" width="21.1796875" customWidth="1"/>
    <col min="5122" max="5122" width="12.453125" customWidth="1"/>
    <col min="5123" max="5127" width="12.7265625" customWidth="1"/>
    <col min="5128" max="5128" width="12.81640625" customWidth="1"/>
    <col min="5129" max="5130" width="12.7265625" customWidth="1"/>
    <col min="5131" max="5134" width="12.81640625" customWidth="1"/>
    <col min="5135" max="5138" width="12.7265625" customWidth="1"/>
    <col min="5377" max="5377" width="21.1796875" customWidth="1"/>
    <col min="5378" max="5378" width="12.453125" customWidth="1"/>
    <col min="5379" max="5383" width="12.7265625" customWidth="1"/>
    <col min="5384" max="5384" width="12.81640625" customWidth="1"/>
    <col min="5385" max="5386" width="12.7265625" customWidth="1"/>
    <col min="5387" max="5390" width="12.81640625" customWidth="1"/>
    <col min="5391" max="5394" width="12.7265625" customWidth="1"/>
    <col min="5633" max="5633" width="21.1796875" customWidth="1"/>
    <col min="5634" max="5634" width="12.453125" customWidth="1"/>
    <col min="5635" max="5639" width="12.7265625" customWidth="1"/>
    <col min="5640" max="5640" width="12.81640625" customWidth="1"/>
    <col min="5641" max="5642" width="12.7265625" customWidth="1"/>
    <col min="5643" max="5646" width="12.81640625" customWidth="1"/>
    <col min="5647" max="5650" width="12.7265625" customWidth="1"/>
    <col min="5889" max="5889" width="21.1796875" customWidth="1"/>
    <col min="5890" max="5890" width="12.453125" customWidth="1"/>
    <col min="5891" max="5895" width="12.7265625" customWidth="1"/>
    <col min="5896" max="5896" width="12.81640625" customWidth="1"/>
    <col min="5897" max="5898" width="12.7265625" customWidth="1"/>
    <col min="5899" max="5902" width="12.81640625" customWidth="1"/>
    <col min="5903" max="5906" width="12.7265625" customWidth="1"/>
    <col min="6145" max="6145" width="21.1796875" customWidth="1"/>
    <col min="6146" max="6146" width="12.453125" customWidth="1"/>
    <col min="6147" max="6151" width="12.7265625" customWidth="1"/>
    <col min="6152" max="6152" width="12.81640625" customWidth="1"/>
    <col min="6153" max="6154" width="12.7265625" customWidth="1"/>
    <col min="6155" max="6158" width="12.81640625" customWidth="1"/>
    <col min="6159" max="6162" width="12.7265625" customWidth="1"/>
    <col min="6401" max="6401" width="21.1796875" customWidth="1"/>
    <col min="6402" max="6402" width="12.453125" customWidth="1"/>
    <col min="6403" max="6407" width="12.7265625" customWidth="1"/>
    <col min="6408" max="6408" width="12.81640625" customWidth="1"/>
    <col min="6409" max="6410" width="12.7265625" customWidth="1"/>
    <col min="6411" max="6414" width="12.81640625" customWidth="1"/>
    <col min="6415" max="6418" width="12.7265625" customWidth="1"/>
    <col min="6657" max="6657" width="21.1796875" customWidth="1"/>
    <col min="6658" max="6658" width="12.453125" customWidth="1"/>
    <col min="6659" max="6663" width="12.7265625" customWidth="1"/>
    <col min="6664" max="6664" width="12.81640625" customWidth="1"/>
    <col min="6665" max="6666" width="12.7265625" customWidth="1"/>
    <col min="6667" max="6670" width="12.81640625" customWidth="1"/>
    <col min="6671" max="6674" width="12.7265625" customWidth="1"/>
    <col min="6913" max="6913" width="21.1796875" customWidth="1"/>
    <col min="6914" max="6914" width="12.453125" customWidth="1"/>
    <col min="6915" max="6919" width="12.7265625" customWidth="1"/>
    <col min="6920" max="6920" width="12.81640625" customWidth="1"/>
    <col min="6921" max="6922" width="12.7265625" customWidth="1"/>
    <col min="6923" max="6926" width="12.81640625" customWidth="1"/>
    <col min="6927" max="6930" width="12.7265625" customWidth="1"/>
    <col min="7169" max="7169" width="21.1796875" customWidth="1"/>
    <col min="7170" max="7170" width="12.453125" customWidth="1"/>
    <col min="7171" max="7175" width="12.7265625" customWidth="1"/>
    <col min="7176" max="7176" width="12.81640625" customWidth="1"/>
    <col min="7177" max="7178" width="12.7265625" customWidth="1"/>
    <col min="7179" max="7182" width="12.81640625" customWidth="1"/>
    <col min="7183" max="7186" width="12.7265625" customWidth="1"/>
    <col min="7425" max="7425" width="21.1796875" customWidth="1"/>
    <col min="7426" max="7426" width="12.453125" customWidth="1"/>
    <col min="7427" max="7431" width="12.7265625" customWidth="1"/>
    <col min="7432" max="7432" width="12.81640625" customWidth="1"/>
    <col min="7433" max="7434" width="12.7265625" customWidth="1"/>
    <col min="7435" max="7438" width="12.81640625" customWidth="1"/>
    <col min="7439" max="7442" width="12.7265625" customWidth="1"/>
    <col min="7681" max="7681" width="21.1796875" customWidth="1"/>
    <col min="7682" max="7682" width="12.453125" customWidth="1"/>
    <col min="7683" max="7687" width="12.7265625" customWidth="1"/>
    <col min="7688" max="7688" width="12.81640625" customWidth="1"/>
    <col min="7689" max="7690" width="12.7265625" customWidth="1"/>
    <col min="7691" max="7694" width="12.81640625" customWidth="1"/>
    <col min="7695" max="7698" width="12.7265625" customWidth="1"/>
    <col min="7937" max="7937" width="21.1796875" customWidth="1"/>
    <col min="7938" max="7938" width="12.453125" customWidth="1"/>
    <col min="7939" max="7943" width="12.7265625" customWidth="1"/>
    <col min="7944" max="7944" width="12.81640625" customWidth="1"/>
    <col min="7945" max="7946" width="12.7265625" customWidth="1"/>
    <col min="7947" max="7950" width="12.81640625" customWidth="1"/>
    <col min="7951" max="7954" width="12.7265625" customWidth="1"/>
    <col min="8193" max="8193" width="21.1796875" customWidth="1"/>
    <col min="8194" max="8194" width="12.453125" customWidth="1"/>
    <col min="8195" max="8199" width="12.7265625" customWidth="1"/>
    <col min="8200" max="8200" width="12.81640625" customWidth="1"/>
    <col min="8201" max="8202" width="12.7265625" customWidth="1"/>
    <col min="8203" max="8206" width="12.81640625" customWidth="1"/>
    <col min="8207" max="8210" width="12.7265625" customWidth="1"/>
    <col min="8449" max="8449" width="21.1796875" customWidth="1"/>
    <col min="8450" max="8450" width="12.453125" customWidth="1"/>
    <col min="8451" max="8455" width="12.7265625" customWidth="1"/>
    <col min="8456" max="8456" width="12.81640625" customWidth="1"/>
    <col min="8457" max="8458" width="12.7265625" customWidth="1"/>
    <col min="8459" max="8462" width="12.81640625" customWidth="1"/>
    <col min="8463" max="8466" width="12.7265625" customWidth="1"/>
    <col min="8705" max="8705" width="21.1796875" customWidth="1"/>
    <col min="8706" max="8706" width="12.453125" customWidth="1"/>
    <col min="8707" max="8711" width="12.7265625" customWidth="1"/>
    <col min="8712" max="8712" width="12.81640625" customWidth="1"/>
    <col min="8713" max="8714" width="12.7265625" customWidth="1"/>
    <col min="8715" max="8718" width="12.81640625" customWidth="1"/>
    <col min="8719" max="8722" width="12.7265625" customWidth="1"/>
    <col min="8961" max="8961" width="21.1796875" customWidth="1"/>
    <col min="8962" max="8962" width="12.453125" customWidth="1"/>
    <col min="8963" max="8967" width="12.7265625" customWidth="1"/>
    <col min="8968" max="8968" width="12.81640625" customWidth="1"/>
    <col min="8969" max="8970" width="12.7265625" customWidth="1"/>
    <col min="8971" max="8974" width="12.81640625" customWidth="1"/>
    <col min="8975" max="8978" width="12.7265625" customWidth="1"/>
    <col min="9217" max="9217" width="21.1796875" customWidth="1"/>
    <col min="9218" max="9218" width="12.453125" customWidth="1"/>
    <col min="9219" max="9223" width="12.7265625" customWidth="1"/>
    <col min="9224" max="9224" width="12.81640625" customWidth="1"/>
    <col min="9225" max="9226" width="12.7265625" customWidth="1"/>
    <col min="9227" max="9230" width="12.81640625" customWidth="1"/>
    <col min="9231" max="9234" width="12.7265625" customWidth="1"/>
    <col min="9473" max="9473" width="21.1796875" customWidth="1"/>
    <col min="9474" max="9474" width="12.453125" customWidth="1"/>
    <col min="9475" max="9479" width="12.7265625" customWidth="1"/>
    <col min="9480" max="9480" width="12.81640625" customWidth="1"/>
    <col min="9481" max="9482" width="12.7265625" customWidth="1"/>
    <col min="9483" max="9486" width="12.81640625" customWidth="1"/>
    <col min="9487" max="9490" width="12.7265625" customWidth="1"/>
    <col min="9729" max="9729" width="21.1796875" customWidth="1"/>
    <col min="9730" max="9730" width="12.453125" customWidth="1"/>
    <col min="9731" max="9735" width="12.7265625" customWidth="1"/>
    <col min="9736" max="9736" width="12.81640625" customWidth="1"/>
    <col min="9737" max="9738" width="12.7265625" customWidth="1"/>
    <col min="9739" max="9742" width="12.81640625" customWidth="1"/>
    <col min="9743" max="9746" width="12.7265625" customWidth="1"/>
    <col min="9985" max="9985" width="21.1796875" customWidth="1"/>
    <col min="9986" max="9986" width="12.453125" customWidth="1"/>
    <col min="9987" max="9991" width="12.7265625" customWidth="1"/>
    <col min="9992" max="9992" width="12.81640625" customWidth="1"/>
    <col min="9993" max="9994" width="12.7265625" customWidth="1"/>
    <col min="9995" max="9998" width="12.81640625" customWidth="1"/>
    <col min="9999" max="10002" width="12.7265625" customWidth="1"/>
    <col min="10241" max="10241" width="21.1796875" customWidth="1"/>
    <col min="10242" max="10242" width="12.453125" customWidth="1"/>
    <col min="10243" max="10247" width="12.7265625" customWidth="1"/>
    <col min="10248" max="10248" width="12.81640625" customWidth="1"/>
    <col min="10249" max="10250" width="12.7265625" customWidth="1"/>
    <col min="10251" max="10254" width="12.81640625" customWidth="1"/>
    <col min="10255" max="10258" width="12.7265625" customWidth="1"/>
    <col min="10497" max="10497" width="21.1796875" customWidth="1"/>
    <col min="10498" max="10498" width="12.453125" customWidth="1"/>
    <col min="10499" max="10503" width="12.7265625" customWidth="1"/>
    <col min="10504" max="10504" width="12.81640625" customWidth="1"/>
    <col min="10505" max="10506" width="12.7265625" customWidth="1"/>
    <col min="10507" max="10510" width="12.81640625" customWidth="1"/>
    <col min="10511" max="10514" width="12.7265625" customWidth="1"/>
    <col min="10753" max="10753" width="21.1796875" customWidth="1"/>
    <col min="10754" max="10754" width="12.453125" customWidth="1"/>
    <col min="10755" max="10759" width="12.7265625" customWidth="1"/>
    <col min="10760" max="10760" width="12.81640625" customWidth="1"/>
    <col min="10761" max="10762" width="12.7265625" customWidth="1"/>
    <col min="10763" max="10766" width="12.81640625" customWidth="1"/>
    <col min="10767" max="10770" width="12.7265625" customWidth="1"/>
    <col min="11009" max="11009" width="21.1796875" customWidth="1"/>
    <col min="11010" max="11010" width="12.453125" customWidth="1"/>
    <col min="11011" max="11015" width="12.7265625" customWidth="1"/>
    <col min="11016" max="11016" width="12.81640625" customWidth="1"/>
    <col min="11017" max="11018" width="12.7265625" customWidth="1"/>
    <col min="11019" max="11022" width="12.81640625" customWidth="1"/>
    <col min="11023" max="11026" width="12.7265625" customWidth="1"/>
    <col min="11265" max="11265" width="21.1796875" customWidth="1"/>
    <col min="11266" max="11266" width="12.453125" customWidth="1"/>
    <col min="11267" max="11271" width="12.7265625" customWidth="1"/>
    <col min="11272" max="11272" width="12.81640625" customWidth="1"/>
    <col min="11273" max="11274" width="12.7265625" customWidth="1"/>
    <col min="11275" max="11278" width="12.81640625" customWidth="1"/>
    <col min="11279" max="11282" width="12.7265625" customWidth="1"/>
    <col min="11521" max="11521" width="21.1796875" customWidth="1"/>
    <col min="11522" max="11522" width="12.453125" customWidth="1"/>
    <col min="11523" max="11527" width="12.7265625" customWidth="1"/>
    <col min="11528" max="11528" width="12.81640625" customWidth="1"/>
    <col min="11529" max="11530" width="12.7265625" customWidth="1"/>
    <col min="11531" max="11534" width="12.81640625" customWidth="1"/>
    <col min="11535" max="11538" width="12.7265625" customWidth="1"/>
    <col min="11777" max="11777" width="21.1796875" customWidth="1"/>
    <col min="11778" max="11778" width="12.453125" customWidth="1"/>
    <col min="11779" max="11783" width="12.7265625" customWidth="1"/>
    <col min="11784" max="11784" width="12.81640625" customWidth="1"/>
    <col min="11785" max="11786" width="12.7265625" customWidth="1"/>
    <col min="11787" max="11790" width="12.81640625" customWidth="1"/>
    <col min="11791" max="11794" width="12.7265625" customWidth="1"/>
    <col min="12033" max="12033" width="21.1796875" customWidth="1"/>
    <col min="12034" max="12034" width="12.453125" customWidth="1"/>
    <col min="12035" max="12039" width="12.7265625" customWidth="1"/>
    <col min="12040" max="12040" width="12.81640625" customWidth="1"/>
    <col min="12041" max="12042" width="12.7265625" customWidth="1"/>
    <col min="12043" max="12046" width="12.81640625" customWidth="1"/>
    <col min="12047" max="12050" width="12.7265625" customWidth="1"/>
    <col min="12289" max="12289" width="21.1796875" customWidth="1"/>
    <col min="12290" max="12290" width="12.453125" customWidth="1"/>
    <col min="12291" max="12295" width="12.7265625" customWidth="1"/>
    <col min="12296" max="12296" width="12.81640625" customWidth="1"/>
    <col min="12297" max="12298" width="12.7265625" customWidth="1"/>
    <col min="12299" max="12302" width="12.81640625" customWidth="1"/>
    <col min="12303" max="12306" width="12.7265625" customWidth="1"/>
    <col min="12545" max="12545" width="21.1796875" customWidth="1"/>
    <col min="12546" max="12546" width="12.453125" customWidth="1"/>
    <col min="12547" max="12551" width="12.7265625" customWidth="1"/>
    <col min="12552" max="12552" width="12.81640625" customWidth="1"/>
    <col min="12553" max="12554" width="12.7265625" customWidth="1"/>
    <col min="12555" max="12558" width="12.81640625" customWidth="1"/>
    <col min="12559" max="12562" width="12.7265625" customWidth="1"/>
    <col min="12801" max="12801" width="21.1796875" customWidth="1"/>
    <col min="12802" max="12802" width="12.453125" customWidth="1"/>
    <col min="12803" max="12807" width="12.7265625" customWidth="1"/>
    <col min="12808" max="12808" width="12.81640625" customWidth="1"/>
    <col min="12809" max="12810" width="12.7265625" customWidth="1"/>
    <col min="12811" max="12814" width="12.81640625" customWidth="1"/>
    <col min="12815" max="12818" width="12.7265625" customWidth="1"/>
    <col min="13057" max="13057" width="21.1796875" customWidth="1"/>
    <col min="13058" max="13058" width="12.453125" customWidth="1"/>
    <col min="13059" max="13063" width="12.7265625" customWidth="1"/>
    <col min="13064" max="13064" width="12.81640625" customWidth="1"/>
    <col min="13065" max="13066" width="12.7265625" customWidth="1"/>
    <col min="13067" max="13070" width="12.81640625" customWidth="1"/>
    <col min="13071" max="13074" width="12.7265625" customWidth="1"/>
    <col min="13313" max="13313" width="21.1796875" customWidth="1"/>
    <col min="13314" max="13314" width="12.453125" customWidth="1"/>
    <col min="13315" max="13319" width="12.7265625" customWidth="1"/>
    <col min="13320" max="13320" width="12.81640625" customWidth="1"/>
    <col min="13321" max="13322" width="12.7265625" customWidth="1"/>
    <col min="13323" max="13326" width="12.81640625" customWidth="1"/>
    <col min="13327" max="13330" width="12.7265625" customWidth="1"/>
    <col min="13569" max="13569" width="21.1796875" customWidth="1"/>
    <col min="13570" max="13570" width="12.453125" customWidth="1"/>
    <col min="13571" max="13575" width="12.7265625" customWidth="1"/>
    <col min="13576" max="13576" width="12.81640625" customWidth="1"/>
    <col min="13577" max="13578" width="12.7265625" customWidth="1"/>
    <col min="13579" max="13582" width="12.81640625" customWidth="1"/>
    <col min="13583" max="13586" width="12.7265625" customWidth="1"/>
    <col min="13825" max="13825" width="21.1796875" customWidth="1"/>
    <col min="13826" max="13826" width="12.453125" customWidth="1"/>
    <col min="13827" max="13831" width="12.7265625" customWidth="1"/>
    <col min="13832" max="13832" width="12.81640625" customWidth="1"/>
    <col min="13833" max="13834" width="12.7265625" customWidth="1"/>
    <col min="13835" max="13838" width="12.81640625" customWidth="1"/>
    <col min="13839" max="13842" width="12.7265625" customWidth="1"/>
    <col min="14081" max="14081" width="21.1796875" customWidth="1"/>
    <col min="14082" max="14082" width="12.453125" customWidth="1"/>
    <col min="14083" max="14087" width="12.7265625" customWidth="1"/>
    <col min="14088" max="14088" width="12.81640625" customWidth="1"/>
    <col min="14089" max="14090" width="12.7265625" customWidth="1"/>
    <col min="14091" max="14094" width="12.81640625" customWidth="1"/>
    <col min="14095" max="14098" width="12.7265625" customWidth="1"/>
    <col min="14337" max="14337" width="21.1796875" customWidth="1"/>
    <col min="14338" max="14338" width="12.453125" customWidth="1"/>
    <col min="14339" max="14343" width="12.7265625" customWidth="1"/>
    <col min="14344" max="14344" width="12.81640625" customWidth="1"/>
    <col min="14345" max="14346" width="12.7265625" customWidth="1"/>
    <col min="14347" max="14350" width="12.81640625" customWidth="1"/>
    <col min="14351" max="14354" width="12.7265625" customWidth="1"/>
    <col min="14593" max="14593" width="21.1796875" customWidth="1"/>
    <col min="14594" max="14594" width="12.453125" customWidth="1"/>
    <col min="14595" max="14599" width="12.7265625" customWidth="1"/>
    <col min="14600" max="14600" width="12.81640625" customWidth="1"/>
    <col min="14601" max="14602" width="12.7265625" customWidth="1"/>
    <col min="14603" max="14606" width="12.81640625" customWidth="1"/>
    <col min="14607" max="14610" width="12.7265625" customWidth="1"/>
    <col min="14849" max="14849" width="21.1796875" customWidth="1"/>
    <col min="14850" max="14850" width="12.453125" customWidth="1"/>
    <col min="14851" max="14855" width="12.7265625" customWidth="1"/>
    <col min="14856" max="14856" width="12.81640625" customWidth="1"/>
    <col min="14857" max="14858" width="12.7265625" customWidth="1"/>
    <col min="14859" max="14862" width="12.81640625" customWidth="1"/>
    <col min="14863" max="14866" width="12.7265625" customWidth="1"/>
    <col min="15105" max="15105" width="21.1796875" customWidth="1"/>
    <col min="15106" max="15106" width="12.453125" customWidth="1"/>
    <col min="15107" max="15111" width="12.7265625" customWidth="1"/>
    <col min="15112" max="15112" width="12.81640625" customWidth="1"/>
    <col min="15113" max="15114" width="12.7265625" customWidth="1"/>
    <col min="15115" max="15118" width="12.81640625" customWidth="1"/>
    <col min="15119" max="15122" width="12.7265625" customWidth="1"/>
    <col min="15361" max="15361" width="21.1796875" customWidth="1"/>
    <col min="15362" max="15362" width="12.453125" customWidth="1"/>
    <col min="15363" max="15367" width="12.7265625" customWidth="1"/>
    <col min="15368" max="15368" width="12.81640625" customWidth="1"/>
    <col min="15369" max="15370" width="12.7265625" customWidth="1"/>
    <col min="15371" max="15374" width="12.81640625" customWidth="1"/>
    <col min="15375" max="15378" width="12.7265625" customWidth="1"/>
    <col min="15617" max="15617" width="21.1796875" customWidth="1"/>
    <col min="15618" max="15618" width="12.453125" customWidth="1"/>
    <col min="15619" max="15623" width="12.7265625" customWidth="1"/>
    <col min="15624" max="15624" width="12.81640625" customWidth="1"/>
    <col min="15625" max="15626" width="12.7265625" customWidth="1"/>
    <col min="15627" max="15630" width="12.81640625" customWidth="1"/>
    <col min="15631" max="15634" width="12.7265625" customWidth="1"/>
    <col min="15873" max="15873" width="21.1796875" customWidth="1"/>
    <col min="15874" max="15874" width="12.453125" customWidth="1"/>
    <col min="15875" max="15879" width="12.7265625" customWidth="1"/>
    <col min="15880" max="15880" width="12.81640625" customWidth="1"/>
    <col min="15881" max="15882" width="12.7265625" customWidth="1"/>
    <col min="15883" max="15886" width="12.81640625" customWidth="1"/>
    <col min="15887" max="15890" width="12.7265625" customWidth="1"/>
    <col min="16129" max="16129" width="21.1796875" customWidth="1"/>
    <col min="16130" max="16130" width="12.453125" customWidth="1"/>
    <col min="16131" max="16135" width="12.7265625" customWidth="1"/>
    <col min="16136" max="16136" width="12.81640625" customWidth="1"/>
    <col min="16137" max="16138" width="12.7265625" customWidth="1"/>
    <col min="16139" max="16142" width="12.81640625" customWidth="1"/>
    <col min="16143" max="16146" width="12.7265625" customWidth="1"/>
  </cols>
  <sheetData>
    <row r="1" spans="1:18">
      <c r="A1" s="59" t="s">
        <v>178</v>
      </c>
      <c r="B1" t="s">
        <v>179</v>
      </c>
    </row>
    <row r="2" spans="1:18">
      <c r="A2" s="59" t="s">
        <v>180</v>
      </c>
      <c r="B2" t="s">
        <v>181</v>
      </c>
    </row>
    <row r="3" spans="1:18">
      <c r="A3" s="60" t="s">
        <v>51</v>
      </c>
      <c r="B3" s="60">
        <v>2004</v>
      </c>
      <c r="C3" s="60">
        <v>2005</v>
      </c>
      <c r="D3" s="60">
        <v>2006</v>
      </c>
      <c r="E3" s="60">
        <v>2007</v>
      </c>
      <c r="F3" s="60">
        <v>2008</v>
      </c>
      <c r="G3" s="60">
        <v>2009</v>
      </c>
      <c r="H3" s="60">
        <v>2010</v>
      </c>
      <c r="I3" s="60">
        <v>2011</v>
      </c>
      <c r="J3" s="60">
        <v>2012</v>
      </c>
      <c r="K3" s="60">
        <v>2013</v>
      </c>
      <c r="L3" s="60">
        <v>2014</v>
      </c>
      <c r="M3" s="60">
        <v>2015</v>
      </c>
      <c r="N3" s="60">
        <v>2016</v>
      </c>
      <c r="O3" s="60">
        <v>2017</v>
      </c>
      <c r="P3" s="60">
        <v>2018</v>
      </c>
      <c r="Q3" s="60">
        <v>2019</v>
      </c>
      <c r="R3" s="60">
        <v>2020</v>
      </c>
    </row>
    <row r="4" spans="1:18">
      <c r="A4" s="60" t="s">
        <v>182</v>
      </c>
      <c r="B4" s="62">
        <v>19882</v>
      </c>
      <c r="C4" s="62">
        <v>32368</v>
      </c>
      <c r="D4" s="62">
        <v>36490</v>
      </c>
      <c r="E4" s="62">
        <v>37284</v>
      </c>
      <c r="F4" s="62">
        <v>38015</v>
      </c>
      <c r="G4" s="62">
        <v>37394</v>
      </c>
      <c r="H4" s="62">
        <v>41303</v>
      </c>
      <c r="I4" s="62">
        <v>50309</v>
      </c>
      <c r="J4" s="62">
        <v>52802</v>
      </c>
      <c r="K4" s="62">
        <v>54829</v>
      </c>
      <c r="L4" s="62">
        <v>56916</v>
      </c>
      <c r="M4" s="62">
        <v>60535</v>
      </c>
      <c r="N4" s="62">
        <v>65610</v>
      </c>
      <c r="O4" s="62">
        <v>79115</v>
      </c>
      <c r="P4" s="62">
        <v>84379</v>
      </c>
      <c r="Q4" s="62">
        <v>89420</v>
      </c>
      <c r="R4" s="62">
        <v>56792</v>
      </c>
    </row>
    <row r="5" spans="1:18">
      <c r="A5" s="60" t="s">
        <v>183</v>
      </c>
      <c r="B5" s="61">
        <v>63</v>
      </c>
      <c r="C5" s="61">
        <v>70</v>
      </c>
      <c r="D5" s="61">
        <v>75</v>
      </c>
      <c r="E5" s="61">
        <v>75</v>
      </c>
      <c r="F5" s="61">
        <v>73</v>
      </c>
      <c r="G5" s="61">
        <v>72</v>
      </c>
      <c r="H5" s="61">
        <v>81</v>
      </c>
      <c r="I5" s="61">
        <v>95</v>
      </c>
      <c r="J5" s="61">
        <v>95</v>
      </c>
      <c r="K5" s="61">
        <v>91</v>
      </c>
      <c r="L5" s="61">
        <v>98</v>
      </c>
      <c r="M5" s="61">
        <v>97</v>
      </c>
      <c r="N5" s="61">
        <v>99</v>
      </c>
      <c r="O5" s="61">
        <v>89</v>
      </c>
      <c r="P5" s="61">
        <v>90</v>
      </c>
      <c r="Q5" s="61">
        <v>96</v>
      </c>
      <c r="R5" s="61">
        <v>58</v>
      </c>
    </row>
    <row r="6" spans="1:18">
      <c r="A6" s="60" t="s">
        <v>184</v>
      </c>
      <c r="B6" s="61" t="s">
        <v>52</v>
      </c>
      <c r="C6" s="61" t="s">
        <v>52</v>
      </c>
      <c r="D6" s="61" t="s">
        <v>52</v>
      </c>
      <c r="E6" s="61" t="s">
        <v>52</v>
      </c>
      <c r="F6" s="61" t="s">
        <v>52</v>
      </c>
      <c r="G6" s="61" t="s">
        <v>52</v>
      </c>
      <c r="H6" s="61" t="s">
        <v>52</v>
      </c>
      <c r="I6" s="61" t="s">
        <v>52</v>
      </c>
      <c r="J6" s="61" t="s">
        <v>52</v>
      </c>
      <c r="K6" s="61" t="s">
        <v>52</v>
      </c>
      <c r="L6" s="61" t="s">
        <v>52</v>
      </c>
      <c r="M6" s="61" t="s">
        <v>52</v>
      </c>
      <c r="N6" s="61">
        <v>77</v>
      </c>
      <c r="O6" s="61">
        <v>95</v>
      </c>
      <c r="P6" s="61">
        <v>110</v>
      </c>
      <c r="Q6" s="61">
        <v>119</v>
      </c>
      <c r="R6" s="61">
        <v>86</v>
      </c>
    </row>
    <row r="7" spans="1:18">
      <c r="A7" s="60" t="s">
        <v>185</v>
      </c>
      <c r="B7" s="62">
        <v>16699</v>
      </c>
      <c r="C7" s="62">
        <v>26852</v>
      </c>
      <c r="D7" s="62">
        <v>30191</v>
      </c>
      <c r="E7" s="62">
        <v>30979</v>
      </c>
      <c r="F7" s="62">
        <v>31533</v>
      </c>
      <c r="G7" s="62">
        <v>31010</v>
      </c>
      <c r="H7" s="62">
        <v>34342</v>
      </c>
      <c r="I7" s="62">
        <v>39060</v>
      </c>
      <c r="J7" s="62">
        <v>39896</v>
      </c>
      <c r="K7" s="62">
        <v>42005</v>
      </c>
      <c r="L7" s="62">
        <v>43621</v>
      </c>
      <c r="M7" s="62">
        <v>41702</v>
      </c>
      <c r="N7" s="62">
        <v>41266</v>
      </c>
      <c r="O7" s="62">
        <v>32427</v>
      </c>
      <c r="P7" s="62">
        <v>33015</v>
      </c>
      <c r="Q7" s="62">
        <v>36004</v>
      </c>
      <c r="R7" s="62">
        <v>20909</v>
      </c>
    </row>
    <row r="8" spans="1:18">
      <c r="A8" s="60" t="s">
        <v>186</v>
      </c>
      <c r="B8" s="61">
        <v>73</v>
      </c>
      <c r="C8" s="61">
        <v>79</v>
      </c>
      <c r="D8" s="61">
        <v>83</v>
      </c>
      <c r="E8" s="61">
        <v>82</v>
      </c>
      <c r="F8" s="61">
        <v>79</v>
      </c>
      <c r="G8" s="61">
        <v>78</v>
      </c>
      <c r="H8" s="61">
        <v>87</v>
      </c>
      <c r="I8" s="61">
        <v>103</v>
      </c>
      <c r="J8" s="61">
        <v>101</v>
      </c>
      <c r="K8" s="61">
        <v>96</v>
      </c>
      <c r="L8" s="61">
        <v>103</v>
      </c>
      <c r="M8" s="61">
        <v>102</v>
      </c>
      <c r="N8" s="61">
        <v>104</v>
      </c>
      <c r="O8" s="61">
        <v>90</v>
      </c>
      <c r="P8" s="61">
        <v>90</v>
      </c>
      <c r="Q8" s="61">
        <v>97</v>
      </c>
      <c r="R8" s="61">
        <v>56</v>
      </c>
    </row>
    <row r="9" spans="1:18">
      <c r="A9" s="60" t="s">
        <v>187</v>
      </c>
      <c r="B9" s="61" t="s">
        <v>52</v>
      </c>
      <c r="C9" s="61" t="s">
        <v>52</v>
      </c>
      <c r="D9" s="61" t="s">
        <v>52</v>
      </c>
      <c r="E9" s="61" t="s">
        <v>52</v>
      </c>
      <c r="F9" s="61" t="s">
        <v>52</v>
      </c>
      <c r="G9" s="61" t="s">
        <v>52</v>
      </c>
      <c r="H9" s="61" t="s">
        <v>52</v>
      </c>
      <c r="I9" s="61" t="s">
        <v>52</v>
      </c>
      <c r="J9" s="61" t="s">
        <v>52</v>
      </c>
      <c r="K9" s="61" t="s">
        <v>52</v>
      </c>
      <c r="L9" s="61" t="s">
        <v>52</v>
      </c>
      <c r="M9" s="61" t="s">
        <v>52</v>
      </c>
      <c r="N9" s="61">
        <v>781</v>
      </c>
      <c r="O9" s="62">
        <v>14797</v>
      </c>
      <c r="P9" s="62">
        <v>16342</v>
      </c>
      <c r="Q9" s="62">
        <v>17096</v>
      </c>
      <c r="R9" s="62">
        <v>11912</v>
      </c>
    </row>
    <row r="10" spans="1:18">
      <c r="A10" s="60" t="s">
        <v>188</v>
      </c>
      <c r="B10" s="61" t="s">
        <v>52</v>
      </c>
      <c r="C10" s="61" t="s">
        <v>52</v>
      </c>
      <c r="D10" s="61" t="s">
        <v>52</v>
      </c>
      <c r="E10" s="61" t="s">
        <v>52</v>
      </c>
      <c r="F10" s="61" t="s">
        <v>52</v>
      </c>
      <c r="G10" s="61" t="s">
        <v>52</v>
      </c>
      <c r="H10" s="61" t="s">
        <v>52</v>
      </c>
      <c r="I10" s="61" t="s">
        <v>52</v>
      </c>
      <c r="J10" s="61" t="s">
        <v>52</v>
      </c>
      <c r="K10" s="61" t="s">
        <v>52</v>
      </c>
      <c r="L10" s="61" t="s">
        <v>52</v>
      </c>
      <c r="M10" s="61" t="s">
        <v>52</v>
      </c>
      <c r="N10" s="61">
        <v>85</v>
      </c>
      <c r="O10" s="61">
        <v>103</v>
      </c>
      <c r="P10" s="61">
        <v>117</v>
      </c>
      <c r="Q10" s="61">
        <v>127</v>
      </c>
      <c r="R10" s="61">
        <v>92</v>
      </c>
    </row>
    <row r="11" spans="1:18">
      <c r="A11" s="60" t="s">
        <v>189</v>
      </c>
      <c r="B11" s="62">
        <v>3183</v>
      </c>
      <c r="C11" s="62">
        <v>5516</v>
      </c>
      <c r="D11" s="62">
        <v>6299</v>
      </c>
      <c r="E11" s="62">
        <v>6305</v>
      </c>
      <c r="F11" s="62">
        <v>6482</v>
      </c>
      <c r="G11" s="62">
        <v>6384</v>
      </c>
      <c r="H11" s="62">
        <v>6842</v>
      </c>
      <c r="I11" s="62">
        <v>7313</v>
      </c>
      <c r="J11" s="62">
        <v>6967</v>
      </c>
      <c r="K11" s="62">
        <v>6873</v>
      </c>
      <c r="L11" s="62">
        <v>6626</v>
      </c>
      <c r="M11" s="62">
        <v>8675</v>
      </c>
      <c r="N11" s="62">
        <v>10622</v>
      </c>
      <c r="O11" s="62">
        <v>9228</v>
      </c>
      <c r="P11" s="62">
        <v>10128</v>
      </c>
      <c r="Q11" s="62">
        <v>10883</v>
      </c>
      <c r="R11" s="62">
        <v>6889</v>
      </c>
    </row>
    <row r="12" spans="1:18">
      <c r="A12" s="60" t="s">
        <v>190</v>
      </c>
      <c r="B12" s="61">
        <v>37</v>
      </c>
      <c r="C12" s="61">
        <v>45</v>
      </c>
      <c r="D12" s="61">
        <v>52</v>
      </c>
      <c r="E12" s="61">
        <v>52</v>
      </c>
      <c r="F12" s="61">
        <v>53</v>
      </c>
      <c r="G12" s="61">
        <v>52</v>
      </c>
      <c r="H12" s="61">
        <v>60</v>
      </c>
      <c r="I12" s="61">
        <v>67</v>
      </c>
      <c r="J12" s="61">
        <v>68</v>
      </c>
      <c r="K12" s="61">
        <v>70</v>
      </c>
      <c r="L12" s="61">
        <v>72</v>
      </c>
      <c r="M12" s="61">
        <v>78</v>
      </c>
      <c r="N12" s="61">
        <v>83</v>
      </c>
      <c r="O12" s="61">
        <v>71</v>
      </c>
      <c r="P12" s="61">
        <v>71</v>
      </c>
      <c r="Q12" s="61">
        <v>79</v>
      </c>
      <c r="R12" s="61">
        <v>52</v>
      </c>
    </row>
    <row r="13" spans="1:18">
      <c r="A13" s="60" t="s">
        <v>191</v>
      </c>
      <c r="B13" s="61" t="s">
        <v>52</v>
      </c>
      <c r="C13" s="61" t="s">
        <v>52</v>
      </c>
      <c r="D13" s="61" t="s">
        <v>52</v>
      </c>
      <c r="E13" s="61" t="s">
        <v>52</v>
      </c>
      <c r="F13" s="61" t="s">
        <v>52</v>
      </c>
      <c r="G13" s="61" t="s">
        <v>52</v>
      </c>
      <c r="H13" s="61" t="s">
        <v>52</v>
      </c>
      <c r="I13" s="61" t="s">
        <v>52</v>
      </c>
      <c r="J13" s="61" t="s">
        <v>52</v>
      </c>
      <c r="K13" s="61" t="s">
        <v>52</v>
      </c>
      <c r="L13" s="61" t="s">
        <v>52</v>
      </c>
      <c r="M13" s="61" t="s">
        <v>52</v>
      </c>
      <c r="N13" s="61">
        <v>226</v>
      </c>
      <c r="O13" s="62">
        <v>4660</v>
      </c>
      <c r="P13" s="62">
        <v>5625</v>
      </c>
      <c r="Q13" s="62">
        <v>6233</v>
      </c>
      <c r="R13" s="62">
        <v>4626</v>
      </c>
    </row>
    <row r="14" spans="1:18">
      <c r="A14" s="60" t="s">
        <v>192</v>
      </c>
      <c r="B14" s="61" t="s">
        <v>52</v>
      </c>
      <c r="C14" s="61" t="s">
        <v>52</v>
      </c>
      <c r="D14" s="61" t="s">
        <v>52</v>
      </c>
      <c r="E14" s="61" t="s">
        <v>52</v>
      </c>
      <c r="F14" s="61" t="s">
        <v>52</v>
      </c>
      <c r="G14" s="61" t="s">
        <v>52</v>
      </c>
      <c r="H14" s="61" t="s">
        <v>52</v>
      </c>
      <c r="I14" s="61" t="s">
        <v>52</v>
      </c>
      <c r="J14" s="61" t="s">
        <v>52</v>
      </c>
      <c r="K14" s="61" t="s">
        <v>52</v>
      </c>
      <c r="L14" s="61" t="s">
        <v>52</v>
      </c>
      <c r="M14" s="61" t="s">
        <v>52</v>
      </c>
      <c r="N14" s="61">
        <v>59</v>
      </c>
      <c r="O14" s="61">
        <v>77</v>
      </c>
      <c r="P14" s="61">
        <v>92</v>
      </c>
      <c r="Q14" s="61">
        <v>103</v>
      </c>
      <c r="R14" s="61">
        <v>76</v>
      </c>
    </row>
    <row r="15" spans="1:18">
      <c r="A15" s="60" t="s">
        <v>193</v>
      </c>
      <c r="B15" s="61" t="s">
        <v>52</v>
      </c>
      <c r="C15" s="61" t="s">
        <v>52</v>
      </c>
      <c r="D15" s="61" t="s">
        <v>52</v>
      </c>
      <c r="E15" s="61" t="s">
        <v>52</v>
      </c>
      <c r="F15" s="61" t="s">
        <v>52</v>
      </c>
      <c r="G15" s="61">
        <v>0</v>
      </c>
      <c r="H15" s="61">
        <v>118</v>
      </c>
      <c r="I15" s="62">
        <v>3627</v>
      </c>
      <c r="J15" s="62">
        <v>4168</v>
      </c>
      <c r="K15" s="62">
        <v>4088</v>
      </c>
      <c r="L15" s="62">
        <v>4424</v>
      </c>
      <c r="M15" s="62">
        <v>4616</v>
      </c>
      <c r="N15" s="62">
        <v>4984</v>
      </c>
      <c r="O15" s="62">
        <v>5570</v>
      </c>
      <c r="P15" s="62">
        <v>5963</v>
      </c>
      <c r="Q15" s="62">
        <v>6616</v>
      </c>
      <c r="R15" s="62">
        <v>4273</v>
      </c>
    </row>
    <row r="16" spans="1:18">
      <c r="A16" s="60" t="s">
        <v>194</v>
      </c>
      <c r="B16" s="61" t="s">
        <v>52</v>
      </c>
      <c r="C16" s="61" t="s">
        <v>52</v>
      </c>
      <c r="D16" s="61" t="s">
        <v>52</v>
      </c>
      <c r="E16" s="61" t="s">
        <v>52</v>
      </c>
      <c r="F16" s="61" t="s">
        <v>52</v>
      </c>
      <c r="G16" s="61">
        <v>0</v>
      </c>
      <c r="H16" s="61">
        <v>107</v>
      </c>
      <c r="I16" s="61">
        <v>104</v>
      </c>
      <c r="J16" s="61">
        <v>102</v>
      </c>
      <c r="K16" s="61">
        <v>97</v>
      </c>
      <c r="L16" s="61">
        <v>101</v>
      </c>
      <c r="M16" s="61">
        <v>106</v>
      </c>
      <c r="N16" s="61">
        <v>110</v>
      </c>
      <c r="O16" s="61">
        <v>94</v>
      </c>
      <c r="P16" s="61">
        <v>99</v>
      </c>
      <c r="Q16" s="61">
        <v>108</v>
      </c>
      <c r="R16" s="61">
        <v>67</v>
      </c>
    </row>
    <row r="17" spans="1:18">
      <c r="A17" s="60" t="s">
        <v>195</v>
      </c>
      <c r="B17" s="61" t="s">
        <v>52</v>
      </c>
      <c r="C17" s="61" t="s">
        <v>52</v>
      </c>
      <c r="D17" s="61" t="s">
        <v>52</v>
      </c>
      <c r="E17" s="61" t="s">
        <v>52</v>
      </c>
      <c r="F17" s="61" t="s">
        <v>52</v>
      </c>
      <c r="G17" s="61" t="s">
        <v>52</v>
      </c>
      <c r="H17" s="61" t="s">
        <v>52</v>
      </c>
      <c r="I17" s="61">
        <v>309</v>
      </c>
      <c r="J17" s="62">
        <v>1771</v>
      </c>
      <c r="K17" s="62">
        <v>1954</v>
      </c>
      <c r="L17" s="62">
        <v>2244</v>
      </c>
      <c r="M17" s="62">
        <v>3146</v>
      </c>
      <c r="N17" s="62">
        <v>3945</v>
      </c>
      <c r="O17" s="62">
        <v>5766</v>
      </c>
      <c r="P17" s="62">
        <v>6363</v>
      </c>
      <c r="Q17" s="62">
        <v>7028</v>
      </c>
      <c r="R17" s="62">
        <v>4674</v>
      </c>
    </row>
    <row r="18" spans="1:18">
      <c r="A18" s="60" t="s">
        <v>196</v>
      </c>
      <c r="B18" s="61" t="s">
        <v>52</v>
      </c>
      <c r="C18" s="61" t="s">
        <v>52</v>
      </c>
      <c r="D18" s="61" t="s">
        <v>52</v>
      </c>
      <c r="E18" s="61" t="s">
        <v>52</v>
      </c>
      <c r="F18" s="61" t="s">
        <v>52</v>
      </c>
      <c r="G18" s="61" t="s">
        <v>52</v>
      </c>
      <c r="H18" s="61" t="s">
        <v>52</v>
      </c>
      <c r="I18" s="61">
        <v>101</v>
      </c>
      <c r="J18" s="61">
        <v>99</v>
      </c>
      <c r="K18" s="61">
        <v>91</v>
      </c>
      <c r="L18" s="61">
        <v>95</v>
      </c>
      <c r="M18" s="61">
        <v>88</v>
      </c>
      <c r="N18" s="61">
        <v>95</v>
      </c>
      <c r="O18" s="61">
        <v>88</v>
      </c>
      <c r="P18" s="61">
        <v>95</v>
      </c>
      <c r="Q18" s="61">
        <v>103</v>
      </c>
      <c r="R18" s="61">
        <v>68</v>
      </c>
    </row>
    <row r="19" spans="1:18">
      <c r="A19" s="60" t="s">
        <v>197</v>
      </c>
      <c r="B19" s="61" t="s">
        <v>52</v>
      </c>
      <c r="C19" s="61" t="s">
        <v>52</v>
      </c>
      <c r="D19" s="61" t="s">
        <v>52</v>
      </c>
      <c r="E19" s="61" t="s">
        <v>52</v>
      </c>
      <c r="F19" s="61" t="s">
        <v>52</v>
      </c>
      <c r="G19" s="61" t="s">
        <v>52</v>
      </c>
      <c r="H19" s="61" t="s">
        <v>52</v>
      </c>
      <c r="I19" s="61" t="s">
        <v>52</v>
      </c>
      <c r="J19" s="61" t="s">
        <v>52</v>
      </c>
      <c r="K19" s="61" t="s">
        <v>52</v>
      </c>
      <c r="L19" s="61" t="s">
        <v>52</v>
      </c>
      <c r="M19" s="62">
        <v>2395</v>
      </c>
      <c r="N19" s="62">
        <v>3786</v>
      </c>
      <c r="O19" s="62">
        <v>6667</v>
      </c>
      <c r="P19" s="62">
        <v>6943</v>
      </c>
      <c r="Q19" s="62">
        <v>5566</v>
      </c>
      <c r="R19" s="62">
        <v>3509</v>
      </c>
    </row>
    <row r="20" spans="1:18">
      <c r="A20" s="60" t="s">
        <v>198</v>
      </c>
      <c r="B20" s="61" t="s">
        <v>52</v>
      </c>
      <c r="C20" s="61" t="s">
        <v>52</v>
      </c>
      <c r="D20" s="61" t="s">
        <v>52</v>
      </c>
      <c r="E20" s="61" t="s">
        <v>52</v>
      </c>
      <c r="F20" s="61" t="s">
        <v>52</v>
      </c>
      <c r="G20" s="61" t="s">
        <v>52</v>
      </c>
      <c r="H20" s="61" t="s">
        <v>52</v>
      </c>
      <c r="I20" s="61" t="s">
        <v>52</v>
      </c>
      <c r="J20" s="61" t="s">
        <v>52</v>
      </c>
      <c r="K20" s="61" t="s">
        <v>52</v>
      </c>
      <c r="L20" s="61" t="s">
        <v>52</v>
      </c>
      <c r="M20" s="61">
        <v>94</v>
      </c>
      <c r="N20" s="61">
        <v>94</v>
      </c>
      <c r="O20" s="61">
        <v>124</v>
      </c>
      <c r="P20" s="61">
        <v>143</v>
      </c>
      <c r="Q20" s="61">
        <v>110</v>
      </c>
      <c r="R20" s="61">
        <v>68</v>
      </c>
    </row>
    <row r="21" spans="1:18">
      <c r="A21" s="59" t="s">
        <v>199</v>
      </c>
      <c r="B21" t="s">
        <v>200</v>
      </c>
    </row>
    <row r="23" spans="1:18">
      <c r="B23" s="41" t="s">
        <v>201</v>
      </c>
    </row>
  </sheetData>
  <phoneticPr fontId="42" type="noConversion"/>
  <hyperlinks>
    <hyperlink ref="B23" r:id="rId1" xr:uid="{2CABA516-B0DD-43C0-A0C9-35DE1281DB9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8B5F8-CAC2-4F37-8597-58946AEA5DB1}">
  <dimension ref="A1:U25"/>
  <sheetViews>
    <sheetView workbookViewId="0">
      <selection sqref="A1:U1"/>
    </sheetView>
  </sheetViews>
  <sheetFormatPr defaultColWidth="19" defaultRowHeight="14.5"/>
  <cols>
    <col min="1" max="1" width="19" customWidth="1"/>
  </cols>
  <sheetData>
    <row r="1" spans="1:21">
      <c r="A1" s="134" t="s">
        <v>215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</row>
    <row r="3" spans="1:21">
      <c r="A3" s="83" t="s">
        <v>216</v>
      </c>
      <c r="B3" s="83" t="s">
        <v>217</v>
      </c>
      <c r="C3" s="83" t="s">
        <v>218</v>
      </c>
      <c r="D3" s="83" t="s">
        <v>219</v>
      </c>
      <c r="E3" s="83" t="s">
        <v>220</v>
      </c>
      <c r="F3" s="83" t="s">
        <v>221</v>
      </c>
      <c r="G3" s="83" t="s">
        <v>222</v>
      </c>
      <c r="H3" s="83" t="s">
        <v>223</v>
      </c>
      <c r="I3" s="83" t="s">
        <v>224</v>
      </c>
      <c r="J3" s="83" t="s">
        <v>225</v>
      </c>
      <c r="K3" s="83" t="s">
        <v>226</v>
      </c>
      <c r="L3" s="83" t="s">
        <v>227</v>
      </c>
      <c r="M3" s="83" t="s">
        <v>228</v>
      </c>
      <c r="N3" s="83" t="s">
        <v>229</v>
      </c>
      <c r="O3" s="83" t="s">
        <v>230</v>
      </c>
      <c r="P3" s="83" t="s">
        <v>231</v>
      </c>
      <c r="Q3" s="83" t="s">
        <v>232</v>
      </c>
      <c r="R3" s="83" t="s">
        <v>233</v>
      </c>
      <c r="S3" s="83" t="s">
        <v>234</v>
      </c>
      <c r="T3" s="83" t="s">
        <v>235</v>
      </c>
      <c r="U3" s="83" t="s">
        <v>236</v>
      </c>
    </row>
    <row r="4" spans="1:21">
      <c r="A4" s="84" t="s">
        <v>237</v>
      </c>
      <c r="B4" s="86">
        <v>145966962</v>
      </c>
      <c r="C4" s="86">
        <v>24032703349.799999</v>
      </c>
      <c r="D4" s="86">
        <v>50676590</v>
      </c>
      <c r="E4" s="86">
        <v>2574826</v>
      </c>
      <c r="F4" s="86">
        <v>54953394</v>
      </c>
      <c r="G4" s="86">
        <v>98356</v>
      </c>
      <c r="H4" s="86">
        <v>2170961</v>
      </c>
      <c r="I4" s="86">
        <v>14397753</v>
      </c>
      <c r="J4" s="86">
        <v>8822135</v>
      </c>
      <c r="K4" s="86">
        <v>6055793</v>
      </c>
      <c r="L4" s="86">
        <v>5837108</v>
      </c>
      <c r="M4" s="86">
        <v>12516805081.700001</v>
      </c>
      <c r="N4" s="86">
        <v>277945321.5</v>
      </c>
      <c r="O4" s="86">
        <v>5142229708.6000004</v>
      </c>
      <c r="P4" s="86">
        <v>3599159.8</v>
      </c>
      <c r="Q4" s="86">
        <v>184719636.19999999</v>
      </c>
      <c r="R4" s="86">
        <v>3269489589.5</v>
      </c>
      <c r="S4" s="86">
        <v>1120628230</v>
      </c>
      <c r="T4" s="86">
        <v>437791017.39999998</v>
      </c>
      <c r="U4" s="86">
        <v>1074619275.0999999</v>
      </c>
    </row>
    <row r="5" spans="1:21">
      <c r="A5" s="84" t="s">
        <v>238</v>
      </c>
      <c r="B5" s="86">
        <v>12712280</v>
      </c>
      <c r="C5" s="86">
        <v>2103078249.2</v>
      </c>
      <c r="D5" s="86">
        <v>4559033</v>
      </c>
      <c r="E5" s="86">
        <v>203288</v>
      </c>
      <c r="F5" s="86">
        <v>4606108</v>
      </c>
      <c r="G5" s="86">
        <v>0</v>
      </c>
      <c r="H5" s="86">
        <v>190912</v>
      </c>
      <c r="I5" s="86">
        <v>1310086</v>
      </c>
      <c r="J5" s="86">
        <v>787485</v>
      </c>
      <c r="K5" s="86">
        <v>491991</v>
      </c>
      <c r="L5" s="86">
        <v>531912</v>
      </c>
      <c r="M5" s="86">
        <v>1122829600.4000001</v>
      </c>
      <c r="N5" s="86">
        <v>20689576.100000001</v>
      </c>
      <c r="O5" s="86">
        <v>423928885.69999999</v>
      </c>
      <c r="P5" s="86">
        <v>0</v>
      </c>
      <c r="Q5" s="86">
        <v>15778589.1</v>
      </c>
      <c r="R5" s="86">
        <v>288475791</v>
      </c>
      <c r="S5" s="86">
        <v>98438779.599999994</v>
      </c>
      <c r="T5" s="86">
        <v>35676501.899999999</v>
      </c>
      <c r="U5" s="86">
        <v>96853276.400000006</v>
      </c>
    </row>
    <row r="6" spans="1:21">
      <c r="A6" s="84" t="s">
        <v>239</v>
      </c>
      <c r="B6" s="86">
        <v>12283577</v>
      </c>
      <c r="C6" s="86">
        <v>2012396494.8</v>
      </c>
      <c r="D6" s="86">
        <v>4491635</v>
      </c>
      <c r="E6" s="86">
        <v>201229</v>
      </c>
      <c r="F6" s="86">
        <v>4412512</v>
      </c>
      <c r="G6" s="86">
        <v>0</v>
      </c>
      <c r="H6" s="86">
        <v>190421</v>
      </c>
      <c r="I6" s="86">
        <v>1218948</v>
      </c>
      <c r="J6" s="86">
        <v>791845</v>
      </c>
      <c r="K6" s="86">
        <v>501614</v>
      </c>
      <c r="L6" s="86">
        <v>452535</v>
      </c>
      <c r="M6" s="86">
        <v>1093657270.5</v>
      </c>
      <c r="N6" s="86">
        <v>21762718</v>
      </c>
      <c r="O6" s="86">
        <v>400700363.30000001</v>
      </c>
      <c r="P6" s="86">
        <v>0</v>
      </c>
      <c r="Q6" s="86">
        <v>15525968.4</v>
      </c>
      <c r="R6" s="86">
        <v>266113052.09999999</v>
      </c>
      <c r="S6" s="86">
        <v>97498622.400000006</v>
      </c>
      <c r="T6" s="86">
        <v>36376036.899999999</v>
      </c>
      <c r="U6" s="86">
        <v>80480124.200000003</v>
      </c>
    </row>
    <row r="7" spans="1:21">
      <c r="A7" s="84" t="s">
        <v>240</v>
      </c>
      <c r="B7" s="86">
        <v>12563757</v>
      </c>
      <c r="C7" s="86">
        <v>2051290651.8</v>
      </c>
      <c r="D7" s="86">
        <v>4412644</v>
      </c>
      <c r="E7" s="86">
        <v>222149</v>
      </c>
      <c r="F7" s="86">
        <v>4619113</v>
      </c>
      <c r="G7" s="86">
        <v>0</v>
      </c>
      <c r="H7" s="86">
        <v>199016</v>
      </c>
      <c r="I7" s="86">
        <v>1248712</v>
      </c>
      <c r="J7" s="86">
        <v>786100</v>
      </c>
      <c r="K7" s="86">
        <v>545794</v>
      </c>
      <c r="L7" s="86">
        <v>497597</v>
      </c>
      <c r="M7" s="86">
        <v>1084457401.7</v>
      </c>
      <c r="N7" s="86">
        <v>24737098.100000001</v>
      </c>
      <c r="O7" s="86">
        <v>423702445.39999998</v>
      </c>
      <c r="P7" s="86">
        <v>0</v>
      </c>
      <c r="Q7" s="86">
        <v>16248521</v>
      </c>
      <c r="R7" s="86">
        <v>276114924.30000001</v>
      </c>
      <c r="S7" s="86">
        <v>96222718.599999994</v>
      </c>
      <c r="T7" s="86">
        <v>39758413.399999999</v>
      </c>
      <c r="U7" s="86">
        <v>89639839.299999997</v>
      </c>
    </row>
    <row r="8" spans="1:21">
      <c r="A8" s="84" t="s">
        <v>241</v>
      </c>
      <c r="B8" s="86">
        <v>12133823</v>
      </c>
      <c r="C8" s="86">
        <v>1996316889.7</v>
      </c>
      <c r="D8" s="86">
        <v>4151026</v>
      </c>
      <c r="E8" s="86">
        <v>211730</v>
      </c>
      <c r="F8" s="86">
        <v>4612431</v>
      </c>
      <c r="G8" s="86">
        <v>0</v>
      </c>
      <c r="H8" s="86">
        <v>195275</v>
      </c>
      <c r="I8" s="86">
        <v>1237012</v>
      </c>
      <c r="J8" s="86">
        <v>736330</v>
      </c>
      <c r="K8" s="86">
        <v>499492</v>
      </c>
      <c r="L8" s="86">
        <v>461094</v>
      </c>
      <c r="M8" s="86">
        <v>1027408546.6</v>
      </c>
      <c r="N8" s="86">
        <v>24259617.600000001</v>
      </c>
      <c r="O8" s="86">
        <v>436476777.19999999</v>
      </c>
      <c r="P8" s="86">
        <v>0</v>
      </c>
      <c r="Q8" s="86">
        <v>16622442.1</v>
      </c>
      <c r="R8" s="86">
        <v>276899640.89999998</v>
      </c>
      <c r="S8" s="86">
        <v>95175596.200000003</v>
      </c>
      <c r="T8" s="86">
        <v>36389279.600000001</v>
      </c>
      <c r="U8" s="86">
        <v>82715844.5</v>
      </c>
    </row>
    <row r="9" spans="1:21">
      <c r="A9" s="84" t="s">
        <v>242</v>
      </c>
      <c r="B9" s="86">
        <v>12658841</v>
      </c>
      <c r="C9" s="86">
        <v>2141027875.2</v>
      </c>
      <c r="D9" s="86">
        <v>4317003</v>
      </c>
      <c r="E9" s="86">
        <v>224074</v>
      </c>
      <c r="F9" s="86">
        <v>4721313</v>
      </c>
      <c r="G9" s="86">
        <v>0</v>
      </c>
      <c r="H9" s="86">
        <v>190597</v>
      </c>
      <c r="I9" s="86">
        <v>1280732</v>
      </c>
      <c r="J9" s="86">
        <v>758602</v>
      </c>
      <c r="K9" s="86">
        <v>548014</v>
      </c>
      <c r="L9" s="86">
        <v>578787</v>
      </c>
      <c r="M9" s="86">
        <v>1102517515.7</v>
      </c>
      <c r="N9" s="86">
        <v>23964619.300000001</v>
      </c>
      <c r="O9" s="86">
        <v>458993003.39999998</v>
      </c>
      <c r="P9" s="86">
        <v>0</v>
      </c>
      <c r="Q9" s="86">
        <v>16373678</v>
      </c>
      <c r="R9" s="86">
        <v>290060068.80000001</v>
      </c>
      <c r="S9" s="86">
        <v>101028610.2</v>
      </c>
      <c r="T9" s="86">
        <v>39332539.899999999</v>
      </c>
      <c r="U9" s="86">
        <v>108227845.90000001</v>
      </c>
    </row>
    <row r="10" spans="1:21">
      <c r="A10" s="84" t="s">
        <v>243</v>
      </c>
      <c r="B10" s="86">
        <v>11807648</v>
      </c>
      <c r="C10" s="86">
        <v>1953652296.4000001</v>
      </c>
      <c r="D10" s="86">
        <v>3996755</v>
      </c>
      <c r="E10" s="86">
        <v>196214</v>
      </c>
      <c r="F10" s="86">
        <v>4444527</v>
      </c>
      <c r="G10" s="86">
        <v>0</v>
      </c>
      <c r="H10" s="86">
        <v>183810</v>
      </c>
      <c r="I10" s="86">
        <v>1229829</v>
      </c>
      <c r="J10" s="86">
        <v>684205</v>
      </c>
      <c r="K10" s="86">
        <v>497497</v>
      </c>
      <c r="L10" s="86">
        <v>538177</v>
      </c>
      <c r="M10" s="86">
        <v>1003178344.7</v>
      </c>
      <c r="N10" s="86">
        <v>20143596.5</v>
      </c>
      <c r="O10" s="86">
        <v>415624170.89999998</v>
      </c>
      <c r="P10" s="86">
        <v>0</v>
      </c>
      <c r="Q10" s="86">
        <v>15331081.800000001</v>
      </c>
      <c r="R10" s="86">
        <v>275887832.30000001</v>
      </c>
      <c r="S10" s="86">
        <v>87288306.400000006</v>
      </c>
      <c r="T10" s="86">
        <v>35180276.700000003</v>
      </c>
      <c r="U10" s="86">
        <v>100543934.09999999</v>
      </c>
    </row>
    <row r="11" spans="1:21">
      <c r="A11" s="84" t="s">
        <v>244</v>
      </c>
      <c r="B11" s="86">
        <v>12025237</v>
      </c>
      <c r="C11" s="86">
        <v>1973597164.9000001</v>
      </c>
      <c r="D11" s="86">
        <v>4118766</v>
      </c>
      <c r="E11" s="86">
        <v>217291</v>
      </c>
      <c r="F11" s="86">
        <v>4553979</v>
      </c>
      <c r="G11" s="86">
        <v>0</v>
      </c>
      <c r="H11" s="86">
        <v>181923</v>
      </c>
      <c r="I11" s="86">
        <v>1194953</v>
      </c>
      <c r="J11" s="86">
        <v>718449</v>
      </c>
      <c r="K11" s="86">
        <v>514638</v>
      </c>
      <c r="L11" s="86">
        <v>490892</v>
      </c>
      <c r="M11" s="86">
        <v>1022071663.3</v>
      </c>
      <c r="N11" s="86">
        <v>23184653.5</v>
      </c>
      <c r="O11" s="86">
        <v>422312939.80000001</v>
      </c>
      <c r="P11" s="86">
        <v>0</v>
      </c>
      <c r="Q11" s="86">
        <v>15367975.1</v>
      </c>
      <c r="R11" s="86">
        <v>271339900.60000002</v>
      </c>
      <c r="S11" s="86">
        <v>90876466.299999997</v>
      </c>
      <c r="T11" s="86">
        <v>37471521.700000003</v>
      </c>
      <c r="U11" s="86">
        <v>90537472.599999994</v>
      </c>
    </row>
    <row r="12" spans="1:21">
      <c r="A12" s="84" t="s">
        <v>245</v>
      </c>
      <c r="B12" s="86">
        <v>13025005</v>
      </c>
      <c r="C12" s="86">
        <v>2103477401.7</v>
      </c>
      <c r="D12" s="86">
        <v>4466485</v>
      </c>
      <c r="E12" s="86">
        <v>252620</v>
      </c>
      <c r="F12" s="86">
        <v>5024623</v>
      </c>
      <c r="G12" s="86">
        <v>0</v>
      </c>
      <c r="H12" s="86">
        <v>183485</v>
      </c>
      <c r="I12" s="86">
        <v>1211950</v>
      </c>
      <c r="J12" s="86">
        <v>773546</v>
      </c>
      <c r="K12" s="86">
        <v>551961</v>
      </c>
      <c r="L12" s="86">
        <v>529681</v>
      </c>
      <c r="M12" s="86">
        <v>1083778350.9000001</v>
      </c>
      <c r="N12" s="86">
        <v>27617235.300000001</v>
      </c>
      <c r="O12" s="86">
        <v>462210316.60000002</v>
      </c>
      <c r="P12" s="86">
        <v>0</v>
      </c>
      <c r="Q12" s="86">
        <v>15894235.800000001</v>
      </c>
      <c r="R12" s="86">
        <v>278921832.5</v>
      </c>
      <c r="S12" s="86">
        <v>97094973.799999997</v>
      </c>
      <c r="T12" s="86">
        <v>40110989.700000003</v>
      </c>
      <c r="U12" s="86">
        <v>97466959.099999994</v>
      </c>
    </row>
    <row r="13" spans="1:21">
      <c r="A13" s="84" t="s">
        <v>246</v>
      </c>
      <c r="B13" s="86">
        <v>11928672</v>
      </c>
      <c r="C13" s="86">
        <v>1930172000</v>
      </c>
      <c r="D13" s="86">
        <v>4164729</v>
      </c>
      <c r="E13" s="86">
        <v>227782</v>
      </c>
      <c r="F13" s="86">
        <v>4579232</v>
      </c>
      <c r="G13" s="86">
        <v>0</v>
      </c>
      <c r="H13" s="86">
        <v>167921</v>
      </c>
      <c r="I13" s="86">
        <v>1134905</v>
      </c>
      <c r="J13" s="86">
        <v>692920</v>
      </c>
      <c r="K13" s="86">
        <v>498286</v>
      </c>
      <c r="L13" s="86">
        <v>436268</v>
      </c>
      <c r="M13" s="86">
        <v>1008206360.9</v>
      </c>
      <c r="N13" s="86">
        <v>25044924.5</v>
      </c>
      <c r="O13" s="86">
        <v>415896355.30000001</v>
      </c>
      <c r="P13" s="86">
        <v>0</v>
      </c>
      <c r="Q13" s="86">
        <v>14478655</v>
      </c>
      <c r="R13" s="86">
        <v>264043264.30000001</v>
      </c>
      <c r="S13" s="86">
        <v>86021483.599999994</v>
      </c>
      <c r="T13" s="86">
        <v>35732022.299999997</v>
      </c>
      <c r="U13" s="86">
        <v>80413229.099999994</v>
      </c>
    </row>
    <row r="14" spans="1:21">
      <c r="A14" s="84" t="s">
        <v>247</v>
      </c>
      <c r="B14" s="86">
        <v>12140375</v>
      </c>
      <c r="C14" s="86">
        <v>1925427886.8</v>
      </c>
      <c r="D14" s="86">
        <v>4077024</v>
      </c>
      <c r="E14" s="86">
        <v>218062</v>
      </c>
      <c r="F14" s="86">
        <v>4799277</v>
      </c>
      <c r="G14" s="86">
        <v>40556</v>
      </c>
      <c r="H14" s="86">
        <v>174228</v>
      </c>
      <c r="I14" s="86">
        <v>1144556</v>
      </c>
      <c r="J14" s="86">
        <v>745936</v>
      </c>
      <c r="K14" s="86">
        <v>500043</v>
      </c>
      <c r="L14" s="86">
        <v>413936</v>
      </c>
      <c r="M14" s="86">
        <v>983008431.10000002</v>
      </c>
      <c r="N14" s="86">
        <v>22563556.800000001</v>
      </c>
      <c r="O14" s="86">
        <v>433150532.80000001</v>
      </c>
      <c r="P14" s="86">
        <v>1490969.6000000001</v>
      </c>
      <c r="Q14" s="86">
        <v>15000778.800000001</v>
      </c>
      <c r="R14" s="86">
        <v>265539544.90000001</v>
      </c>
      <c r="S14" s="86">
        <v>91735079.299999997</v>
      </c>
      <c r="T14" s="86">
        <v>36313439.100000001</v>
      </c>
      <c r="U14" s="86">
        <v>76286868.400000006</v>
      </c>
    </row>
    <row r="15" spans="1:21">
      <c r="A15" s="84" t="s">
        <v>248</v>
      </c>
      <c r="B15" s="86">
        <v>11440634</v>
      </c>
      <c r="C15" s="86">
        <v>1964384785.7</v>
      </c>
      <c r="D15" s="86">
        <v>4018154</v>
      </c>
      <c r="E15" s="86">
        <v>202175</v>
      </c>
      <c r="F15" s="86">
        <v>4313750</v>
      </c>
      <c r="G15" s="86">
        <v>28438</v>
      </c>
      <c r="H15" s="86">
        <v>156814</v>
      </c>
      <c r="I15" s="86">
        <v>1096801</v>
      </c>
      <c r="J15" s="86">
        <v>692534</v>
      </c>
      <c r="K15" s="86">
        <v>450117</v>
      </c>
      <c r="L15" s="86">
        <v>451959</v>
      </c>
      <c r="M15" s="86">
        <v>1017886439.1</v>
      </c>
      <c r="N15" s="86">
        <v>22317791.399999999</v>
      </c>
      <c r="O15" s="86">
        <v>436160959.80000001</v>
      </c>
      <c r="P15" s="86">
        <v>1036149.2</v>
      </c>
      <c r="Q15" s="86">
        <v>14341231.1</v>
      </c>
      <c r="R15" s="86">
        <v>258677873.59999999</v>
      </c>
      <c r="S15" s="86">
        <v>95577133.200000003</v>
      </c>
      <c r="T15" s="86">
        <v>32868552.800000001</v>
      </c>
      <c r="U15" s="86">
        <v>85133462.5</v>
      </c>
    </row>
    <row r="16" spans="1:21">
      <c r="A16" s="84" t="s">
        <v>249</v>
      </c>
      <c r="B16" s="86">
        <v>11247113</v>
      </c>
      <c r="C16" s="86">
        <v>1877881653.5999999</v>
      </c>
      <c r="D16" s="86">
        <v>3903336</v>
      </c>
      <c r="E16" s="86">
        <v>198212</v>
      </c>
      <c r="F16" s="86">
        <v>4266529</v>
      </c>
      <c r="G16" s="86">
        <v>29362</v>
      </c>
      <c r="H16" s="86">
        <v>156559</v>
      </c>
      <c r="I16" s="86">
        <v>1089269</v>
      </c>
      <c r="J16" s="86">
        <v>654183</v>
      </c>
      <c r="K16" s="86">
        <v>456346</v>
      </c>
      <c r="L16" s="86">
        <v>454270</v>
      </c>
      <c r="M16" s="86">
        <v>967805156.79999995</v>
      </c>
      <c r="N16" s="86">
        <v>21659934.399999999</v>
      </c>
      <c r="O16" s="86">
        <v>413072958.39999998</v>
      </c>
      <c r="P16" s="86">
        <v>1072041</v>
      </c>
      <c r="Q16" s="86">
        <v>13756480</v>
      </c>
      <c r="R16" s="86">
        <v>257415864.19999999</v>
      </c>
      <c r="S16" s="86">
        <v>83670460.400000006</v>
      </c>
      <c r="T16" s="86">
        <v>32581443.399999999</v>
      </c>
      <c r="U16" s="86">
        <v>86320419</v>
      </c>
    </row>
    <row r="18" spans="1:21">
      <c r="A18" s="136" t="s">
        <v>250</v>
      </c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85">
        <v>44536.615934699075</v>
      </c>
    </row>
    <row r="19" spans="1:21" ht="15" thickBot="1"/>
    <row r="20" spans="1:21" ht="15" thickBot="1">
      <c r="A20" s="93"/>
      <c r="B20" s="94" t="s">
        <v>255</v>
      </c>
      <c r="C20" s="95" t="s">
        <v>256</v>
      </c>
    </row>
    <row r="21" spans="1:21" ht="15" thickTop="1">
      <c r="A21" s="96" t="s">
        <v>252</v>
      </c>
      <c r="B21">
        <f>B4</f>
        <v>145966962</v>
      </c>
      <c r="C21" s="68"/>
    </row>
    <row r="22" spans="1:21">
      <c r="A22" s="96" t="s">
        <v>253</v>
      </c>
      <c r="B22">
        <f>SUM(D4,I4,L4)</f>
        <v>70911451</v>
      </c>
      <c r="C22" s="68">
        <f>B22/B21</f>
        <v>0.48580480150021893</v>
      </c>
    </row>
    <row r="23" spans="1:21" ht="15" thickBot="1">
      <c r="A23" s="69" t="s">
        <v>254</v>
      </c>
      <c r="B23" s="70">
        <f>SUM(E4,F4,G4,H4,J4,K4)</f>
        <v>74675465</v>
      </c>
      <c r="C23" s="71">
        <f>B23/B21</f>
        <v>0.51159155453273053</v>
      </c>
    </row>
    <row r="25" spans="1:21">
      <c r="B25" t="s">
        <v>251</v>
      </c>
    </row>
  </sheetData>
  <mergeCells count="2">
    <mergeCell ref="A1:U1"/>
    <mergeCell ref="A18:T18"/>
  </mergeCells>
  <phoneticPr fontId="4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61612-B7A0-4B40-8A97-686A4FA3FEBF}">
  <dimension ref="A1:M60"/>
  <sheetViews>
    <sheetView workbookViewId="0"/>
  </sheetViews>
  <sheetFormatPr defaultRowHeight="14.5"/>
  <cols>
    <col min="1" max="2" width="10.81640625" customWidth="1"/>
    <col min="3" max="3" width="13.453125" customWidth="1"/>
    <col min="4" max="7" width="10.81640625" customWidth="1"/>
    <col min="10" max="10" width="15.453125" customWidth="1"/>
    <col min="11" max="11" width="14.453125" customWidth="1"/>
  </cols>
  <sheetData>
    <row r="1" spans="1:1">
      <c r="A1" t="s">
        <v>347</v>
      </c>
    </row>
    <row r="2" spans="1:1">
      <c r="A2" t="s">
        <v>346</v>
      </c>
    </row>
    <row r="22" spans="1:3">
      <c r="A22" s="1" t="s">
        <v>345</v>
      </c>
    </row>
    <row r="23" spans="1:3">
      <c r="A23" t="s">
        <v>344</v>
      </c>
    </row>
    <row r="24" spans="1:3">
      <c r="A24" s="113"/>
    </row>
    <row r="25" spans="1:3">
      <c r="A25" s="113" t="s">
        <v>343</v>
      </c>
    </row>
    <row r="26" spans="1:3">
      <c r="A26" s="113" t="s">
        <v>342</v>
      </c>
    </row>
    <row r="28" spans="1:3">
      <c r="B28" t="s">
        <v>341</v>
      </c>
    </row>
    <row r="29" spans="1:3">
      <c r="A29">
        <v>2019</v>
      </c>
      <c r="B29">
        <v>32980000</v>
      </c>
    </row>
    <row r="30" spans="1:3">
      <c r="A30">
        <v>2020</v>
      </c>
      <c r="B30">
        <v>25160000</v>
      </c>
    </row>
    <row r="31" spans="1:3">
      <c r="A31">
        <v>2021</v>
      </c>
      <c r="B31" s="112">
        <v>33146646</v>
      </c>
      <c r="C31" s="112" t="s">
        <v>340</v>
      </c>
    </row>
    <row r="32" spans="1:3">
      <c r="A32">
        <v>2022</v>
      </c>
      <c r="B32" s="112">
        <v>36328296</v>
      </c>
      <c r="C32" s="112" t="s">
        <v>340</v>
      </c>
    </row>
    <row r="33" spans="1:13">
      <c r="A33">
        <v>2023</v>
      </c>
      <c r="B33" s="112">
        <v>32189676</v>
      </c>
      <c r="C33" s="112" t="s">
        <v>340</v>
      </c>
    </row>
    <row r="34" spans="1:13">
      <c r="A34">
        <v>2024</v>
      </c>
      <c r="B34" s="112">
        <v>31131750</v>
      </c>
      <c r="C34" s="112" t="s">
        <v>340</v>
      </c>
    </row>
    <row r="36" spans="1:13">
      <c r="A36" t="s">
        <v>339</v>
      </c>
    </row>
    <row r="37" spans="1:13">
      <c r="A37" s="1" t="s">
        <v>338</v>
      </c>
    </row>
    <row r="38" spans="1:13" ht="43.5">
      <c r="A38" s="110" t="s">
        <v>329</v>
      </c>
      <c r="B38" s="110" t="s">
        <v>337</v>
      </c>
      <c r="C38" s="110" t="s">
        <v>335</v>
      </c>
      <c r="D38" s="110" t="s">
        <v>334</v>
      </c>
      <c r="E38" s="110" t="s">
        <v>336</v>
      </c>
      <c r="F38" s="110" t="s">
        <v>335</v>
      </c>
      <c r="G38" s="110" t="s">
        <v>334</v>
      </c>
      <c r="I38" s="1" t="s">
        <v>333</v>
      </c>
      <c r="J38" s="110" t="s">
        <v>332</v>
      </c>
      <c r="K38" s="110" t="s">
        <v>331</v>
      </c>
    </row>
    <row r="39" spans="1:13">
      <c r="A39" s="108">
        <v>2012</v>
      </c>
      <c r="B39" s="111">
        <v>155609</v>
      </c>
      <c r="C39" s="111">
        <v>148765</v>
      </c>
      <c r="D39" s="111">
        <v>6844</v>
      </c>
      <c r="E39" s="111">
        <v>61719336</v>
      </c>
      <c r="F39" s="111">
        <v>58589680</v>
      </c>
      <c r="G39" s="111">
        <v>3129656</v>
      </c>
      <c r="I39" s="3">
        <f t="shared" ref="I39:I51" si="0">E39/B39</f>
        <v>396.63088895886483</v>
      </c>
    </row>
    <row r="40" spans="1:13">
      <c r="A40" s="108">
        <v>2013</v>
      </c>
      <c r="B40" s="111">
        <v>161750</v>
      </c>
      <c r="C40" s="111">
        <v>155952</v>
      </c>
      <c r="D40" s="111">
        <v>5798</v>
      </c>
      <c r="E40" s="111">
        <v>64559278</v>
      </c>
      <c r="F40" s="111">
        <v>61929709</v>
      </c>
      <c r="G40" s="111">
        <v>2629569</v>
      </c>
      <c r="I40" s="3">
        <f t="shared" si="0"/>
        <v>399.13000309119013</v>
      </c>
    </row>
    <row r="41" spans="1:13">
      <c r="A41" s="108">
        <v>2014</v>
      </c>
      <c r="B41" s="111">
        <v>170101</v>
      </c>
      <c r="C41" s="111">
        <v>165102</v>
      </c>
      <c r="D41" s="111">
        <v>4999</v>
      </c>
      <c r="E41" s="111">
        <v>63709330</v>
      </c>
      <c r="F41" s="111">
        <v>61583360</v>
      </c>
      <c r="G41" s="111">
        <v>2125970</v>
      </c>
      <c r="I41" s="3">
        <f t="shared" si="0"/>
        <v>374.53824492507391</v>
      </c>
    </row>
    <row r="42" spans="1:13">
      <c r="A42" s="108">
        <v>2015</v>
      </c>
      <c r="B42" s="111">
        <v>182583</v>
      </c>
      <c r="C42" s="111">
        <v>179336</v>
      </c>
      <c r="D42" s="111">
        <v>3247</v>
      </c>
      <c r="E42" s="111">
        <v>68317092</v>
      </c>
      <c r="F42" s="111">
        <v>67006009</v>
      </c>
      <c r="G42" s="111">
        <v>1311083</v>
      </c>
      <c r="I42" s="3">
        <f t="shared" si="0"/>
        <v>374.17005964410708</v>
      </c>
    </row>
    <row r="43" spans="1:13">
      <c r="A43" s="108">
        <v>2016</v>
      </c>
      <c r="B43" s="111">
        <v>190997</v>
      </c>
      <c r="C43" s="111">
        <v>188293</v>
      </c>
      <c r="D43" s="111">
        <v>2704</v>
      </c>
      <c r="E43" s="111">
        <v>71694540</v>
      </c>
      <c r="F43" s="111">
        <v>70606148</v>
      </c>
      <c r="G43" s="111">
        <v>1088392</v>
      </c>
      <c r="I43" s="3">
        <f t="shared" si="0"/>
        <v>375.36997963318794</v>
      </c>
    </row>
    <row r="44" spans="1:13">
      <c r="A44" s="108">
        <v>2017</v>
      </c>
      <c r="B44" s="111">
        <v>196555</v>
      </c>
      <c r="C44" s="111">
        <v>193186</v>
      </c>
      <c r="D44" s="111">
        <v>3369</v>
      </c>
      <c r="E44" s="111">
        <v>72770168</v>
      </c>
      <c r="F44" s="111">
        <v>71446069</v>
      </c>
      <c r="G44" s="111">
        <v>1324099</v>
      </c>
      <c r="I44" s="3">
        <f t="shared" si="0"/>
        <v>370.22801760321539</v>
      </c>
    </row>
    <row r="45" spans="1:13">
      <c r="A45" s="108">
        <v>2018</v>
      </c>
      <c r="B45" s="111">
        <v>194432</v>
      </c>
      <c r="C45" s="111">
        <v>191135</v>
      </c>
      <c r="D45" s="111">
        <v>3297</v>
      </c>
      <c r="E45" s="111">
        <v>71323490</v>
      </c>
      <c r="F45" s="111">
        <v>70040450</v>
      </c>
      <c r="G45" s="111">
        <v>1283040</v>
      </c>
      <c r="I45" s="3">
        <f t="shared" si="0"/>
        <v>366.82999711981569</v>
      </c>
    </row>
    <row r="46" spans="1:13">
      <c r="A46" s="108">
        <v>2019</v>
      </c>
      <c r="B46" s="111">
        <v>195349</v>
      </c>
      <c r="C46" s="111">
        <v>190859</v>
      </c>
      <c r="D46" s="111">
        <v>4490</v>
      </c>
      <c r="E46" s="111">
        <v>71936173</v>
      </c>
      <c r="F46" s="111">
        <v>70243770</v>
      </c>
      <c r="G46" s="111">
        <v>1692403</v>
      </c>
      <c r="I46" s="3">
        <f t="shared" si="0"/>
        <v>368.24438824872408</v>
      </c>
      <c r="J46" s="26">
        <f t="shared" ref="J46:J51" si="1">I46*B29</f>
        <v>12144699924.442921</v>
      </c>
      <c r="K46" s="26">
        <f>J46*[3]About!$B$64</f>
        <v>7546364336.7510223</v>
      </c>
      <c r="M46" s="3">
        <f>J46/E46</f>
        <v>168.82604978781566</v>
      </c>
    </row>
    <row r="47" spans="1:13">
      <c r="A47" s="108">
        <v>2020</v>
      </c>
      <c r="B47" s="111">
        <v>172383</v>
      </c>
      <c r="C47" s="111">
        <v>149060</v>
      </c>
      <c r="D47" s="111">
        <v>23323</v>
      </c>
      <c r="E47" s="111">
        <v>63640729</v>
      </c>
      <c r="F47" s="111">
        <v>55353366</v>
      </c>
      <c r="G47" s="111">
        <v>8287363</v>
      </c>
      <c r="I47" s="3">
        <f t="shared" si="0"/>
        <v>369.18216413451444</v>
      </c>
      <c r="J47" s="26">
        <f t="shared" si="1"/>
        <v>9288623249.6243839</v>
      </c>
      <c r="K47" s="26">
        <f>J47*[3]About!$B$64</f>
        <v>5771681117.2423534</v>
      </c>
      <c r="M47" s="3">
        <f t="shared" ref="M47:M51" si="2">J47/E47</f>
        <v>145.95406739643701</v>
      </c>
    </row>
    <row r="48" spans="1:13">
      <c r="A48" s="108">
        <v>2021</v>
      </c>
      <c r="B48" s="111">
        <v>212690</v>
      </c>
      <c r="C48" s="111">
        <v>195596</v>
      </c>
      <c r="D48" s="111">
        <v>17094</v>
      </c>
      <c r="E48" s="111">
        <v>78207246</v>
      </c>
      <c r="F48" s="111">
        <v>72155503</v>
      </c>
      <c r="G48" s="111">
        <v>6051743</v>
      </c>
      <c r="I48" s="3">
        <f t="shared" si="0"/>
        <v>367.70532700173965</v>
      </c>
      <c r="J48" s="26">
        <f t="shared" si="1"/>
        <v>12188198306.440905</v>
      </c>
      <c r="K48" s="26">
        <f>J48*[3]About!$B$64</f>
        <v>7573392969.8714914</v>
      </c>
      <c r="M48" s="3">
        <f t="shared" si="2"/>
        <v>155.84487281959659</v>
      </c>
    </row>
    <row r="49" spans="1:13">
      <c r="A49" s="108">
        <v>2022</v>
      </c>
      <c r="B49" s="111">
        <v>216445</v>
      </c>
      <c r="C49" s="111">
        <v>204195</v>
      </c>
      <c r="D49" s="111">
        <v>12250</v>
      </c>
      <c r="E49" s="111">
        <v>80598677</v>
      </c>
      <c r="F49" s="111">
        <v>75693271</v>
      </c>
      <c r="G49" s="111">
        <v>4905406</v>
      </c>
      <c r="I49" s="3">
        <f t="shared" si="0"/>
        <v>372.3748619741736</v>
      </c>
      <c r="J49" s="26">
        <f t="shared" si="1"/>
        <v>13527744208.756924</v>
      </c>
      <c r="K49" s="26">
        <f>J49*[3]About!$B$64</f>
        <v>8405747946.7394981</v>
      </c>
      <c r="M49" s="3">
        <f t="shared" si="2"/>
        <v>167.84077248261684</v>
      </c>
    </row>
    <row r="50" spans="1:13">
      <c r="A50" s="108">
        <v>2023</v>
      </c>
      <c r="B50" s="111">
        <v>191064</v>
      </c>
      <c r="C50" s="111">
        <v>187105</v>
      </c>
      <c r="D50" s="111">
        <v>3959</v>
      </c>
      <c r="E50" s="111">
        <v>71263714</v>
      </c>
      <c r="F50" s="111">
        <v>69773086</v>
      </c>
      <c r="G50" s="111">
        <v>1490628</v>
      </c>
      <c r="I50" s="3">
        <f t="shared" si="0"/>
        <v>372.98347150692962</v>
      </c>
      <c r="J50" s="26">
        <f t="shared" si="1"/>
        <v>12006217101.163296</v>
      </c>
      <c r="K50" s="26">
        <f>J50*[3]About!$B$64</f>
        <v>7460315126.3669386</v>
      </c>
      <c r="M50" s="3">
        <f t="shared" si="2"/>
        <v>168.47588242683079</v>
      </c>
    </row>
    <row r="51" spans="1:13">
      <c r="A51" s="108">
        <v>2024</v>
      </c>
      <c r="B51" s="111">
        <v>186784</v>
      </c>
      <c r="C51" s="111">
        <v>185153</v>
      </c>
      <c r="D51" s="111">
        <v>1631</v>
      </c>
      <c r="E51" s="111">
        <v>68848005</v>
      </c>
      <c r="F51" s="111">
        <v>68225653</v>
      </c>
      <c r="G51" s="111">
        <v>622352</v>
      </c>
      <c r="I51" s="3">
        <f t="shared" si="0"/>
        <v>368.59690872879906</v>
      </c>
      <c r="J51" s="26">
        <f t="shared" si="1"/>
        <v>11475066813.317791</v>
      </c>
      <c r="K51" s="26">
        <f>J51*[3]About!$B$64</f>
        <v>7130273740.8580894</v>
      </c>
      <c r="M51" s="3">
        <f t="shared" si="2"/>
        <v>166.67246659242764</v>
      </c>
    </row>
    <row r="53" spans="1:13">
      <c r="A53" t="s">
        <v>330</v>
      </c>
    </row>
    <row r="54" spans="1:13" ht="29">
      <c r="A54" s="110" t="s">
        <v>329</v>
      </c>
      <c r="B54" s="109" t="s">
        <v>328</v>
      </c>
      <c r="C54" s="109" t="s">
        <v>327</v>
      </c>
      <c r="D54" s="109" t="s">
        <v>326</v>
      </c>
    </row>
    <row r="55" spans="1:13">
      <c r="A55" s="108">
        <v>2019</v>
      </c>
      <c r="B55" s="107">
        <v>32980968</v>
      </c>
      <c r="C55" s="107">
        <v>90385640</v>
      </c>
      <c r="D55" s="107">
        <v>123366608</v>
      </c>
      <c r="F55">
        <f t="shared" ref="F55:F60" si="3">B55/D55</f>
        <v>0.26734112686311357</v>
      </c>
    </row>
    <row r="56" spans="1:13">
      <c r="A56" s="108">
        <v>2020</v>
      </c>
      <c r="B56" s="107">
        <v>25164038</v>
      </c>
      <c r="C56" s="107">
        <v>42911044</v>
      </c>
      <c r="D56" s="107">
        <v>68075082</v>
      </c>
      <c r="F56">
        <f t="shared" si="3"/>
        <v>0.36965123303119929</v>
      </c>
    </row>
    <row r="57" spans="1:13">
      <c r="A57" s="108">
        <v>2021</v>
      </c>
      <c r="B57" s="107">
        <v>33146646</v>
      </c>
      <c r="C57" s="107">
        <v>32043421</v>
      </c>
      <c r="D57" s="107">
        <v>65190067</v>
      </c>
      <c r="F57">
        <f t="shared" si="3"/>
        <v>0.50846160351392189</v>
      </c>
    </row>
    <row r="58" spans="1:13">
      <c r="A58" s="108">
        <v>2022</v>
      </c>
      <c r="B58" s="107">
        <v>36328296</v>
      </c>
      <c r="C58" s="107">
        <v>39609650</v>
      </c>
      <c r="D58" s="107">
        <v>75937946</v>
      </c>
      <c r="F58">
        <f t="shared" si="3"/>
        <v>0.47839450384923499</v>
      </c>
    </row>
    <row r="59" spans="1:13">
      <c r="A59" s="108">
        <v>2023</v>
      </c>
      <c r="B59" s="107">
        <v>32189676</v>
      </c>
      <c r="C59" s="107">
        <v>68319015</v>
      </c>
      <c r="D59" s="107">
        <v>100508691</v>
      </c>
      <c r="F59">
        <f t="shared" si="3"/>
        <v>0.32026758760593149</v>
      </c>
    </row>
    <row r="60" spans="1:13">
      <c r="A60" s="108">
        <v>2024</v>
      </c>
      <c r="B60" s="107">
        <v>31131750</v>
      </c>
      <c r="C60" s="107">
        <v>88926621</v>
      </c>
      <c r="D60" s="107">
        <v>120058371</v>
      </c>
      <c r="F60">
        <f t="shared" si="3"/>
        <v>0.25930511750821605</v>
      </c>
    </row>
  </sheetData>
  <phoneticPr fontId="4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58E-C803-4774-ADE5-31C8503BC4B7}">
  <dimension ref="A1:Q31"/>
  <sheetViews>
    <sheetView workbookViewId="0"/>
  </sheetViews>
  <sheetFormatPr defaultRowHeight="14.5"/>
  <cols>
    <col min="2" max="3" width="14.81640625" bestFit="1" customWidth="1"/>
    <col min="6" max="6" width="8.81640625" customWidth="1"/>
  </cols>
  <sheetData>
    <row r="1" spans="1:9" ht="15" thickBot="1">
      <c r="A1" s="27" t="s">
        <v>171</v>
      </c>
      <c r="C1" s="27"/>
      <c r="D1" s="27"/>
    </row>
    <row r="2" spans="1:9">
      <c r="A2" s="64"/>
      <c r="B2" s="66"/>
      <c r="C2" s="65" t="s">
        <v>205</v>
      </c>
      <c r="D2" s="65" t="s">
        <v>204</v>
      </c>
      <c r="E2" s="66"/>
      <c r="F2" s="66"/>
      <c r="G2" s="66"/>
      <c r="H2" s="67"/>
      <c r="I2" s="27" t="s">
        <v>89</v>
      </c>
    </row>
    <row r="3" spans="1:9" ht="15" thickBot="1">
      <c r="A3" s="90"/>
      <c r="B3" s="72"/>
      <c r="C3" s="137" t="s">
        <v>177</v>
      </c>
      <c r="D3" s="137"/>
      <c r="E3" s="72" t="s">
        <v>203</v>
      </c>
      <c r="F3" s="72" t="s">
        <v>214</v>
      </c>
      <c r="G3" s="72"/>
      <c r="H3" s="73"/>
    </row>
    <row r="4" spans="1:9" ht="15" thickTop="1">
      <c r="A4" s="87" t="s">
        <v>210</v>
      </c>
      <c r="B4" s="27" t="s">
        <v>174</v>
      </c>
      <c r="C4">
        <v>935</v>
      </c>
      <c r="D4">
        <f>C4*C12%</f>
        <v>897.6</v>
      </c>
      <c r="E4">
        <v>46</v>
      </c>
      <c r="F4" s="25">
        <f>SUMPRODUCT(D4:D6,E4:E6)/SUM(E4:E6)</f>
        <v>602.50529914529909</v>
      </c>
      <c r="H4" s="68"/>
      <c r="I4" s="41" t="s">
        <v>202</v>
      </c>
    </row>
    <row r="5" spans="1:9">
      <c r="A5" s="87"/>
      <c r="B5" s="27" t="s">
        <v>175</v>
      </c>
      <c r="C5">
        <v>363</v>
      </c>
      <c r="D5">
        <f>363*C12%</f>
        <v>348.47999999999996</v>
      </c>
      <c r="E5">
        <v>39</v>
      </c>
      <c r="H5" s="68"/>
    </row>
    <row r="6" spans="1:9">
      <c r="A6" s="87"/>
      <c r="B6" s="27" t="s">
        <v>176</v>
      </c>
      <c r="C6">
        <v>410</v>
      </c>
      <c r="D6">
        <f>410*C13%</f>
        <v>487.9</v>
      </c>
      <c r="E6">
        <v>32</v>
      </c>
      <c r="H6" s="68"/>
      <c r="I6" s="32" t="s">
        <v>112</v>
      </c>
    </row>
    <row r="7" spans="1:9" ht="15" thickBot="1">
      <c r="A7" s="90"/>
      <c r="B7" s="91"/>
      <c r="C7" s="91"/>
      <c r="D7" s="91"/>
      <c r="E7" s="91"/>
      <c r="F7" s="72" t="s">
        <v>213</v>
      </c>
      <c r="G7" s="91"/>
      <c r="H7" s="92"/>
      <c r="I7" s="32"/>
    </row>
    <row r="8" spans="1:9" ht="15" thickTop="1">
      <c r="A8" s="87" t="s">
        <v>209</v>
      </c>
      <c r="B8" s="27" t="s">
        <v>211</v>
      </c>
      <c r="C8">
        <f>72*8</f>
        <v>576</v>
      </c>
      <c r="D8">
        <f>C8*50%</f>
        <v>288</v>
      </c>
      <c r="F8" s="25">
        <f>AVERAGE(D8:D9)</f>
        <v>231</v>
      </c>
      <c r="H8" s="88"/>
      <c r="I8" s="41" t="s">
        <v>263</v>
      </c>
    </row>
    <row r="9" spans="1:9" ht="15" thickBot="1">
      <c r="A9" s="69"/>
      <c r="B9" s="89" t="s">
        <v>212</v>
      </c>
      <c r="C9" s="70">
        <f>58*6</f>
        <v>348</v>
      </c>
      <c r="D9" s="70">
        <f>C9*50%</f>
        <v>174</v>
      </c>
      <c r="E9" s="70"/>
      <c r="F9" s="70"/>
      <c r="G9" s="70"/>
      <c r="H9" s="71"/>
      <c r="I9" s="41" t="s">
        <v>262</v>
      </c>
    </row>
    <row r="10" spans="1:9">
      <c r="I10" s="8" t="s">
        <v>114</v>
      </c>
    </row>
    <row r="11" spans="1:9" ht="17.5">
      <c r="B11" s="63" t="s">
        <v>207</v>
      </c>
      <c r="I11" s="8"/>
    </row>
    <row r="12" spans="1:9">
      <c r="B12" t="s">
        <v>174</v>
      </c>
      <c r="C12">
        <f>'고속철도 여객수송동향'!Q5</f>
        <v>96</v>
      </c>
      <c r="I12" t="s">
        <v>257</v>
      </c>
    </row>
    <row r="13" spans="1:9">
      <c r="B13" t="s">
        <v>176</v>
      </c>
      <c r="C13">
        <f>'고속철도 여객수송동향'!Q6</f>
        <v>119</v>
      </c>
      <c r="I13" t="s">
        <v>258</v>
      </c>
    </row>
    <row r="15" spans="1:9">
      <c r="A15" s="27" t="s">
        <v>172</v>
      </c>
      <c r="C15" s="25">
        <v>1514.4</v>
      </c>
      <c r="D15" t="s">
        <v>54</v>
      </c>
    </row>
    <row r="16" spans="1:9">
      <c r="I16" s="27"/>
    </row>
    <row r="17" spans="1:17">
      <c r="I17" t="s">
        <v>173</v>
      </c>
    </row>
    <row r="19" spans="1:17">
      <c r="I19" s="8" t="s">
        <v>259</v>
      </c>
      <c r="J19" s="8"/>
      <c r="K19" s="8"/>
      <c r="L19" s="8"/>
      <c r="M19" s="8"/>
      <c r="N19" s="8"/>
    </row>
    <row r="20" spans="1:17">
      <c r="I20" s="8" t="s">
        <v>60</v>
      </c>
      <c r="J20" s="8"/>
      <c r="K20" s="8"/>
      <c r="L20" s="8"/>
      <c r="M20" s="8"/>
      <c r="Q20" s="8" t="s">
        <v>61</v>
      </c>
    </row>
    <row r="27" spans="1:17">
      <c r="A27" s="27" t="s">
        <v>206</v>
      </c>
    </row>
    <row r="28" spans="1:17" ht="15" thickBot="1">
      <c r="A28" s="7" t="s">
        <v>115</v>
      </c>
      <c r="B28" s="8"/>
      <c r="C28" s="8"/>
      <c r="D28" s="8"/>
      <c r="H28" s="1"/>
    </row>
    <row r="29" spans="1:17" ht="15" thickBot="1">
      <c r="A29" s="80"/>
      <c r="B29" s="81" t="s">
        <v>55</v>
      </c>
      <c r="C29" s="81" t="s">
        <v>56</v>
      </c>
      <c r="D29" s="82" t="s">
        <v>57</v>
      </c>
      <c r="E29" s="11" t="s">
        <v>89</v>
      </c>
    </row>
    <row r="30" spans="1:17" ht="15" thickTop="1">
      <c r="A30" s="77" t="s">
        <v>58</v>
      </c>
      <c r="B30" s="78">
        <v>827</v>
      </c>
      <c r="C30" s="78">
        <f>F4*'열차 여객수송인원'!$C$22+rail!F8*'열차 여객수송인원'!$C$23</f>
        <v>410.87761635117278</v>
      </c>
      <c r="D30" s="79">
        <f>SUMPRODUCT($B$30:$B$31,$C$30:$C$31)/SUM($B$30:$B$31)</f>
        <v>382.85954795395736</v>
      </c>
      <c r="E30" t="s">
        <v>208</v>
      </c>
    </row>
    <row r="31" spans="1:17" ht="15" thickBot="1">
      <c r="A31" s="74" t="s">
        <v>59</v>
      </c>
      <c r="B31" s="75">
        <v>890</v>
      </c>
      <c r="C31" s="75">
        <f>subway!C47</f>
        <v>356.82478102755613</v>
      </c>
      <c r="D31" s="76"/>
    </row>
  </sheetData>
  <mergeCells count="1">
    <mergeCell ref="C3:D3"/>
  </mergeCells>
  <phoneticPr fontId="42" type="noConversion"/>
  <hyperlinks>
    <hyperlink ref="I6" r:id="rId1" xr:uid="{F1185314-4EC6-4BBF-B90A-F789F9B58CB7}"/>
    <hyperlink ref="I4" r:id="rId2" xr:uid="{3CE545D7-F389-4D19-A0C5-F5519A993D01}"/>
    <hyperlink ref="I9" r:id="rId3" xr:uid="{E84626EA-DDAE-4374-AB22-9A7FF22873BF}"/>
    <hyperlink ref="I8" r:id="rId4" xr:uid="{4FF697F1-DE6A-4E2B-9CEC-851DF5D9787C}"/>
  </hyperlinks>
  <pageMargins left="0.7" right="0.7" top="0.75" bottom="0.75" header="0.3" footer="0.3"/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ABE4-9A7A-4FF9-8C38-25844DE09CA8}">
  <dimension ref="A1:AK15"/>
  <sheetViews>
    <sheetView workbookViewId="0"/>
  </sheetViews>
  <sheetFormatPr defaultRowHeight="14.5"/>
  <sheetData>
    <row r="1" spans="1:37">
      <c r="A1" t="s">
        <v>9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>
      <c r="A2" t="s">
        <v>2</v>
      </c>
      <c r="B2">
        <v>1.67</v>
      </c>
      <c r="C2">
        <v>1.67</v>
      </c>
      <c r="D2">
        <v>1.67</v>
      </c>
      <c r="E2">
        <v>1.67</v>
      </c>
      <c r="F2">
        <v>1.67</v>
      </c>
      <c r="G2">
        <v>1.67</v>
      </c>
      <c r="H2">
        <v>1.67</v>
      </c>
      <c r="I2">
        <v>1.67</v>
      </c>
      <c r="J2">
        <v>1.67</v>
      </c>
      <c r="K2">
        <v>1.67</v>
      </c>
      <c r="L2">
        <v>1.67</v>
      </c>
      <c r="M2">
        <v>1.67</v>
      </c>
      <c r="N2">
        <v>1.67</v>
      </c>
      <c r="O2">
        <v>1.67</v>
      </c>
      <c r="P2">
        <v>1.67</v>
      </c>
      <c r="Q2">
        <v>1.67</v>
      </c>
      <c r="R2">
        <v>1.67</v>
      </c>
      <c r="S2">
        <v>1.67</v>
      </c>
      <c r="T2">
        <v>1.67</v>
      </c>
      <c r="U2">
        <v>1.67</v>
      </c>
      <c r="V2">
        <v>1.67</v>
      </c>
      <c r="W2">
        <v>1.67</v>
      </c>
      <c r="X2">
        <v>1.67</v>
      </c>
      <c r="Y2">
        <v>1.67</v>
      </c>
      <c r="Z2">
        <v>1.67</v>
      </c>
      <c r="AA2">
        <v>1.67</v>
      </c>
      <c r="AB2">
        <v>1.67</v>
      </c>
      <c r="AC2">
        <v>1.67</v>
      </c>
      <c r="AD2">
        <v>1.67</v>
      </c>
      <c r="AE2">
        <v>1.67</v>
      </c>
      <c r="AF2">
        <v>1.67</v>
      </c>
      <c r="AG2">
        <v>1.67</v>
      </c>
      <c r="AH2">
        <v>1.67</v>
      </c>
      <c r="AI2">
        <v>1.67</v>
      </c>
      <c r="AJ2">
        <v>1.67</v>
      </c>
      <c r="AK2">
        <v>1.67</v>
      </c>
    </row>
    <row r="3" spans="1:37">
      <c r="A3" t="s">
        <v>3</v>
      </c>
      <c r="B3">
        <v>21.196137258578663</v>
      </c>
      <c r="C3">
        <v>21.196137258578663</v>
      </c>
      <c r="D3">
        <v>21.196137258578663</v>
      </c>
      <c r="E3">
        <v>21.196137258578663</v>
      </c>
      <c r="F3">
        <v>21.196137258578663</v>
      </c>
      <c r="G3">
        <v>21.196137258578663</v>
      </c>
      <c r="H3">
        <v>21.196137258578663</v>
      </c>
      <c r="I3">
        <v>21.196137258578663</v>
      </c>
      <c r="J3">
        <v>21.196137258578663</v>
      </c>
      <c r="K3">
        <v>21.196137258578663</v>
      </c>
      <c r="L3">
        <v>21.196137258578663</v>
      </c>
      <c r="M3">
        <v>21.196137258578663</v>
      </c>
      <c r="N3">
        <v>21.196137258578663</v>
      </c>
      <c r="O3">
        <v>21.196137258578663</v>
      </c>
      <c r="P3">
        <v>21.196137258578663</v>
      </c>
      <c r="Q3">
        <v>21.196137258578663</v>
      </c>
      <c r="R3">
        <v>21.196137258578663</v>
      </c>
      <c r="S3">
        <v>21.196137258578663</v>
      </c>
      <c r="T3">
        <v>21.196137258578663</v>
      </c>
      <c r="U3">
        <v>21.196137258578663</v>
      </c>
      <c r="V3">
        <v>21.196137258578663</v>
      </c>
      <c r="W3">
        <v>21.196137258578663</v>
      </c>
      <c r="X3">
        <v>21.196137258578663</v>
      </c>
      <c r="Y3">
        <v>21.196137258578663</v>
      </c>
      <c r="Z3">
        <v>21.196137258578663</v>
      </c>
      <c r="AA3">
        <v>21.196137258578663</v>
      </c>
      <c r="AB3">
        <v>21.196137258578663</v>
      </c>
      <c r="AC3">
        <v>21.196137258578663</v>
      </c>
      <c r="AD3">
        <v>21.196137258578663</v>
      </c>
      <c r="AE3">
        <v>21.196137258578663</v>
      </c>
      <c r="AF3">
        <v>21.196137258578663</v>
      </c>
      <c r="AG3">
        <v>21.196137258578663</v>
      </c>
      <c r="AH3">
        <v>21.196137258578663</v>
      </c>
      <c r="AI3">
        <v>21.196137258578663</v>
      </c>
      <c r="AJ3">
        <v>21.196137258578663</v>
      </c>
      <c r="AK3">
        <v>21.196137258578663</v>
      </c>
    </row>
    <row r="4" spans="1:37">
      <c r="A4" t="s">
        <v>4</v>
      </c>
      <c r="B4">
        <v>111.39416306433705</v>
      </c>
      <c r="C4">
        <v>111.39416306433705</v>
      </c>
      <c r="D4">
        <v>111.39416306433705</v>
      </c>
      <c r="E4">
        <v>111.39416306433705</v>
      </c>
      <c r="F4">
        <v>111.39416306433705</v>
      </c>
      <c r="G4">
        <v>111.39416306433705</v>
      </c>
      <c r="H4">
        <v>111.39416306433705</v>
      </c>
      <c r="I4">
        <v>111.39416306433705</v>
      </c>
      <c r="J4">
        <v>111.39416306433705</v>
      </c>
      <c r="K4">
        <v>111.39416306433705</v>
      </c>
      <c r="L4">
        <v>111.39416306433705</v>
      </c>
      <c r="M4">
        <v>111.39416306433705</v>
      </c>
      <c r="N4">
        <v>111.39416306433705</v>
      </c>
      <c r="O4">
        <v>111.39416306433705</v>
      </c>
      <c r="P4">
        <v>111.39416306433705</v>
      </c>
      <c r="Q4">
        <v>111.39416306433705</v>
      </c>
      <c r="R4">
        <v>111.39416306433705</v>
      </c>
      <c r="S4">
        <v>111.39416306433705</v>
      </c>
      <c r="T4">
        <v>111.39416306433705</v>
      </c>
      <c r="U4">
        <v>111.39416306433705</v>
      </c>
      <c r="V4">
        <v>111.39416306433705</v>
      </c>
      <c r="W4">
        <v>111.39416306433705</v>
      </c>
      <c r="X4">
        <v>111.39416306433705</v>
      </c>
      <c r="Y4">
        <v>111.39416306433705</v>
      </c>
      <c r="Z4">
        <v>111.39416306433705</v>
      </c>
      <c r="AA4">
        <v>111.39416306433705</v>
      </c>
      <c r="AB4">
        <v>111.39416306433705</v>
      </c>
      <c r="AC4">
        <v>111.39416306433705</v>
      </c>
      <c r="AD4">
        <v>111.39416306433705</v>
      </c>
      <c r="AE4">
        <v>111.39416306433705</v>
      </c>
      <c r="AF4">
        <v>111.39416306433705</v>
      </c>
      <c r="AG4">
        <v>111.39416306433705</v>
      </c>
      <c r="AH4">
        <v>111.39416306433705</v>
      </c>
      <c r="AI4">
        <v>111.39416306433705</v>
      </c>
      <c r="AJ4">
        <v>111.39416306433705</v>
      </c>
      <c r="AK4">
        <v>111.39416306433705</v>
      </c>
    </row>
    <row r="5" spans="1:37">
      <c r="A5" t="s">
        <v>5</v>
      </c>
      <c r="B5">
        <v>486.56731685074101</v>
      </c>
      <c r="C5">
        <v>486.56731685074101</v>
      </c>
      <c r="D5">
        <v>486.56731685074101</v>
      </c>
      <c r="E5">
        <v>486.56731685074101</v>
      </c>
      <c r="F5">
        <v>486.56731685074101</v>
      </c>
      <c r="G5">
        <v>486.56731685074101</v>
      </c>
      <c r="H5">
        <v>486.56731685074101</v>
      </c>
      <c r="I5">
        <v>486.56731685074101</v>
      </c>
      <c r="J5">
        <v>486.56731685074101</v>
      </c>
      <c r="K5">
        <v>486.56731685074101</v>
      </c>
      <c r="L5">
        <v>486.56731685074101</v>
      </c>
      <c r="M5">
        <v>486.56731685074101</v>
      </c>
      <c r="N5">
        <v>486.56731685074101</v>
      </c>
      <c r="O5">
        <v>486.56731685074101</v>
      </c>
      <c r="P5">
        <v>486.56731685074101</v>
      </c>
      <c r="Q5">
        <v>486.56731685074101</v>
      </c>
      <c r="R5">
        <v>486.56731685074101</v>
      </c>
      <c r="S5">
        <v>486.56731685074101</v>
      </c>
      <c r="T5">
        <v>486.56731685074101</v>
      </c>
      <c r="U5">
        <v>486.56731685074101</v>
      </c>
      <c r="V5">
        <v>486.56731685074101</v>
      </c>
      <c r="W5">
        <v>486.56731685074101</v>
      </c>
      <c r="X5">
        <v>486.56731685074101</v>
      </c>
      <c r="Y5">
        <v>486.56731685074101</v>
      </c>
      <c r="Z5">
        <v>486.56731685074101</v>
      </c>
      <c r="AA5">
        <v>486.56731685074101</v>
      </c>
      <c r="AB5">
        <v>486.56731685074101</v>
      </c>
      <c r="AC5">
        <v>486.56731685074101</v>
      </c>
      <c r="AD5">
        <v>486.56731685074101</v>
      </c>
      <c r="AE5">
        <v>486.56731685074101</v>
      </c>
      <c r="AF5">
        <v>486.56731685074101</v>
      </c>
      <c r="AG5">
        <v>486.56731685074101</v>
      </c>
      <c r="AH5">
        <v>486.56731685074101</v>
      </c>
      <c r="AI5">
        <v>486.56731685074101</v>
      </c>
      <c r="AJ5">
        <v>486.56731685074101</v>
      </c>
      <c r="AK5">
        <v>486.56731685074101</v>
      </c>
    </row>
    <row r="6" spans="1:37">
      <c r="A6" t="s">
        <v>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</row>
    <row r="7" spans="1:37">
      <c r="A7" t="s">
        <v>7</v>
      </c>
      <c r="B7">
        <v>1.2700756740871355</v>
      </c>
      <c r="C7">
        <v>1.2700756740871355</v>
      </c>
      <c r="D7">
        <v>1.2700756740871355</v>
      </c>
      <c r="E7">
        <v>1.2700756740871355</v>
      </c>
      <c r="F7">
        <v>1.2700756740871355</v>
      </c>
      <c r="G7">
        <v>1.2700756740871355</v>
      </c>
      <c r="H7">
        <v>1.2700756740871355</v>
      </c>
      <c r="I7">
        <v>1.2700756740871355</v>
      </c>
      <c r="J7">
        <v>1.2700756740871355</v>
      </c>
      <c r="K7">
        <v>1.2700756740871355</v>
      </c>
      <c r="L7">
        <v>1.2700756740871355</v>
      </c>
      <c r="M7">
        <v>1.2700756740871355</v>
      </c>
      <c r="N7">
        <v>1.2700756740871355</v>
      </c>
      <c r="O7">
        <v>1.2700756740871355</v>
      </c>
      <c r="P7">
        <v>1.2700756740871355</v>
      </c>
      <c r="Q7">
        <v>1.2700756740871355</v>
      </c>
      <c r="R7">
        <v>1.2700756740871355</v>
      </c>
      <c r="S7">
        <v>1.2700756740871355</v>
      </c>
      <c r="T7">
        <v>1.2700756740871355</v>
      </c>
      <c r="U7">
        <v>1.2700756740871355</v>
      </c>
      <c r="V7">
        <v>1.2700756740871355</v>
      </c>
      <c r="W7">
        <v>1.2700756740871355</v>
      </c>
      <c r="X7">
        <v>1.2700756740871355</v>
      </c>
      <c r="Y7">
        <v>1.2700756740871355</v>
      </c>
      <c r="Z7">
        <v>1.2700756740871355</v>
      </c>
      <c r="AA7">
        <v>1.2700756740871355</v>
      </c>
      <c r="AB7">
        <v>1.2700756740871355</v>
      </c>
      <c r="AC7">
        <v>1.2700756740871355</v>
      </c>
      <c r="AD7">
        <v>1.2700756740871355</v>
      </c>
      <c r="AE7">
        <v>1.2700756740871355</v>
      </c>
      <c r="AF7">
        <v>1.2700756740871355</v>
      </c>
      <c r="AG7">
        <v>1.2700756740871355</v>
      </c>
      <c r="AH7">
        <v>1.2700756740871355</v>
      </c>
      <c r="AI7">
        <v>1.2700756740871355</v>
      </c>
      <c r="AJ7">
        <v>1.2700756740871355</v>
      </c>
      <c r="AK7">
        <v>1.2700756740871355</v>
      </c>
    </row>
    <row r="9" spans="1:37">
      <c r="A9" t="s">
        <v>10</v>
      </c>
      <c r="B9">
        <v>2016</v>
      </c>
      <c r="C9">
        <v>2017</v>
      </c>
      <c r="D9">
        <v>2018</v>
      </c>
      <c r="E9">
        <v>2019</v>
      </c>
      <c r="F9">
        <v>2020</v>
      </c>
      <c r="G9">
        <v>2021</v>
      </c>
      <c r="H9">
        <v>2022</v>
      </c>
      <c r="I9">
        <v>2023</v>
      </c>
      <c r="J9">
        <v>2024</v>
      </c>
      <c r="K9">
        <v>2025</v>
      </c>
      <c r="L9">
        <v>2026</v>
      </c>
      <c r="M9">
        <v>2027</v>
      </c>
      <c r="N9">
        <v>2028</v>
      </c>
      <c r="O9">
        <v>2029</v>
      </c>
      <c r="P9">
        <v>2030</v>
      </c>
      <c r="Q9">
        <v>2031</v>
      </c>
      <c r="R9">
        <v>2032</v>
      </c>
      <c r="S9">
        <v>2033</v>
      </c>
      <c r="T9">
        <v>2034</v>
      </c>
      <c r="U9">
        <v>2035</v>
      </c>
      <c r="V9">
        <v>2036</v>
      </c>
      <c r="W9">
        <v>2037</v>
      </c>
      <c r="X9">
        <v>2038</v>
      </c>
      <c r="Y9">
        <v>2039</v>
      </c>
      <c r="Z9">
        <v>2040</v>
      </c>
      <c r="AA9">
        <v>2041</v>
      </c>
      <c r="AB9">
        <v>2042</v>
      </c>
      <c r="AC9">
        <v>2043</v>
      </c>
      <c r="AD9">
        <v>2044</v>
      </c>
      <c r="AE9">
        <v>2045</v>
      </c>
      <c r="AF9">
        <v>2046</v>
      </c>
      <c r="AG9">
        <v>2047</v>
      </c>
      <c r="AH9">
        <v>2048</v>
      </c>
      <c r="AI9">
        <v>2049</v>
      </c>
      <c r="AJ9">
        <v>2050</v>
      </c>
    </row>
    <row r="10" spans="1:37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7">
      <c r="A11" t="s">
        <v>3</v>
      </c>
      <c r="B11">
        <v>16</v>
      </c>
      <c r="C11">
        <v>16</v>
      </c>
      <c r="D11">
        <v>16</v>
      </c>
      <c r="E11">
        <v>16</v>
      </c>
      <c r="F11">
        <v>16</v>
      </c>
      <c r="G11">
        <v>16</v>
      </c>
      <c r="H11">
        <v>16</v>
      </c>
      <c r="I11">
        <v>16</v>
      </c>
      <c r="J11">
        <v>16</v>
      </c>
      <c r="K11">
        <v>16</v>
      </c>
      <c r="L11">
        <v>16</v>
      </c>
      <c r="M11">
        <v>16</v>
      </c>
      <c r="N11">
        <v>16</v>
      </c>
      <c r="O11">
        <v>16</v>
      </c>
      <c r="P11">
        <v>16</v>
      </c>
      <c r="Q11">
        <v>16</v>
      </c>
      <c r="R11">
        <v>16</v>
      </c>
      <c r="S11">
        <v>16</v>
      </c>
      <c r="T11">
        <v>16</v>
      </c>
      <c r="U11">
        <v>16</v>
      </c>
      <c r="V11">
        <v>16</v>
      </c>
      <c r="W11">
        <v>16</v>
      </c>
      <c r="X11">
        <v>16</v>
      </c>
      <c r="Y11">
        <v>16</v>
      </c>
      <c r="Z11">
        <v>16</v>
      </c>
      <c r="AA11">
        <v>16</v>
      </c>
      <c r="AB11">
        <v>16</v>
      </c>
      <c r="AC11">
        <v>16</v>
      </c>
      <c r="AD11">
        <v>16</v>
      </c>
      <c r="AE11">
        <v>16</v>
      </c>
      <c r="AF11">
        <v>16</v>
      </c>
      <c r="AG11">
        <v>16</v>
      </c>
      <c r="AH11">
        <v>16</v>
      </c>
      <c r="AI11">
        <v>16</v>
      </c>
      <c r="AJ11">
        <v>16</v>
      </c>
    </row>
    <row r="12" spans="1:37">
      <c r="A12" t="s">
        <v>4</v>
      </c>
      <c r="B12">
        <v>41.989116133258747</v>
      </c>
      <c r="C12">
        <v>41.989116133258747</v>
      </c>
      <c r="D12">
        <v>41.989116133258747</v>
      </c>
      <c r="E12">
        <v>41.989116133258747</v>
      </c>
      <c r="F12">
        <v>41.989116133258747</v>
      </c>
      <c r="G12">
        <v>41.989116133258747</v>
      </c>
      <c r="H12">
        <v>41.989116133258747</v>
      </c>
      <c r="I12">
        <v>41.989116133258747</v>
      </c>
      <c r="J12">
        <v>41.989116133258747</v>
      </c>
      <c r="K12">
        <v>41.989116133258747</v>
      </c>
      <c r="L12">
        <v>41.989116133258747</v>
      </c>
      <c r="M12">
        <v>41.989116133258747</v>
      </c>
      <c r="N12">
        <v>41.989116133258747</v>
      </c>
      <c r="O12">
        <v>41.989116133258747</v>
      </c>
      <c r="P12">
        <v>41.989116133258747</v>
      </c>
      <c r="Q12">
        <v>41.989116133258747</v>
      </c>
      <c r="R12">
        <v>41.989116133258747</v>
      </c>
      <c r="S12">
        <v>41.989116133258747</v>
      </c>
      <c r="T12">
        <v>41.989116133258747</v>
      </c>
      <c r="U12">
        <v>41.989116133258747</v>
      </c>
      <c r="V12">
        <v>41.989116133258747</v>
      </c>
      <c r="W12">
        <v>41.989116133258747</v>
      </c>
      <c r="X12">
        <v>41.989116133258747</v>
      </c>
      <c r="Y12">
        <v>41.989116133258747</v>
      </c>
      <c r="Z12">
        <v>41.989116133258747</v>
      </c>
      <c r="AA12">
        <v>41.989116133258747</v>
      </c>
      <c r="AB12">
        <v>41.989116133258747</v>
      </c>
      <c r="AC12">
        <v>41.989116133258747</v>
      </c>
      <c r="AD12">
        <v>41.989116133258747</v>
      </c>
      <c r="AE12">
        <v>41.989116133258747</v>
      </c>
      <c r="AF12">
        <v>41.989116133258747</v>
      </c>
      <c r="AG12">
        <v>41.989116133258747</v>
      </c>
      <c r="AH12">
        <v>41.989116133258747</v>
      </c>
      <c r="AI12">
        <v>41.989116133258747</v>
      </c>
      <c r="AJ12">
        <v>41.989116133258747</v>
      </c>
    </row>
    <row r="13" spans="1:37">
      <c r="A13" t="s">
        <v>5</v>
      </c>
      <c r="B13">
        <v>3512.35916421195</v>
      </c>
      <c r="C13">
        <v>3512.35916421195</v>
      </c>
      <c r="D13">
        <v>3512.35916421195</v>
      </c>
      <c r="E13">
        <v>3512.35916421195</v>
      </c>
      <c r="F13">
        <v>3512.35916421195</v>
      </c>
      <c r="G13">
        <v>3512.35916421195</v>
      </c>
      <c r="H13">
        <v>3512.35916421195</v>
      </c>
      <c r="I13">
        <v>3512.35916421195</v>
      </c>
      <c r="J13">
        <v>3512.35916421195</v>
      </c>
      <c r="K13">
        <v>3512.35916421195</v>
      </c>
      <c r="L13">
        <v>3512.35916421195</v>
      </c>
      <c r="M13">
        <v>3512.35916421195</v>
      </c>
      <c r="N13">
        <v>3512.35916421195</v>
      </c>
      <c r="O13">
        <v>3512.35916421195</v>
      </c>
      <c r="P13">
        <v>3512.35916421195</v>
      </c>
      <c r="Q13">
        <v>3512.35916421195</v>
      </c>
      <c r="R13">
        <v>3512.35916421195</v>
      </c>
      <c r="S13">
        <v>3512.35916421195</v>
      </c>
      <c r="T13">
        <v>3512.35916421195</v>
      </c>
      <c r="U13">
        <v>3512.35916421195</v>
      </c>
      <c r="V13">
        <v>3512.35916421195</v>
      </c>
      <c r="W13">
        <v>3512.35916421195</v>
      </c>
      <c r="X13">
        <v>3512.35916421195</v>
      </c>
      <c r="Y13">
        <v>3512.35916421195</v>
      </c>
      <c r="Z13">
        <v>3512.35916421195</v>
      </c>
      <c r="AA13">
        <v>3512.35916421195</v>
      </c>
      <c r="AB13">
        <v>3512.35916421195</v>
      </c>
      <c r="AC13">
        <v>3512.35916421195</v>
      </c>
      <c r="AD13">
        <v>3512.35916421195</v>
      </c>
      <c r="AE13">
        <v>3512.35916421195</v>
      </c>
      <c r="AF13">
        <v>3512.35916421195</v>
      </c>
      <c r="AG13">
        <v>3512.35916421195</v>
      </c>
      <c r="AH13">
        <v>3512.35916421195</v>
      </c>
      <c r="AI13">
        <v>3512.35916421195</v>
      </c>
      <c r="AJ13">
        <v>3512.35916421195</v>
      </c>
    </row>
    <row r="14" spans="1:37">
      <c r="A14" t="s">
        <v>6</v>
      </c>
      <c r="B14">
        <v>1974.4736422180429</v>
      </c>
      <c r="C14">
        <v>1974.4736422180429</v>
      </c>
      <c r="D14">
        <v>1974.4736422180429</v>
      </c>
      <c r="E14">
        <v>1974.4736422180429</v>
      </c>
      <c r="F14">
        <v>1974.4736422180429</v>
      </c>
      <c r="G14">
        <v>1974.4736422180429</v>
      </c>
      <c r="H14">
        <v>1974.4736422180429</v>
      </c>
      <c r="I14">
        <v>1974.4736422180429</v>
      </c>
      <c r="J14">
        <v>1974.4736422180429</v>
      </c>
      <c r="K14">
        <v>1974.4736422180429</v>
      </c>
      <c r="L14">
        <v>1974.4736422180429</v>
      </c>
      <c r="M14">
        <v>1974.4736422180429</v>
      </c>
      <c r="N14">
        <v>1974.4736422180429</v>
      </c>
      <c r="O14">
        <v>1974.4736422180429</v>
      </c>
      <c r="P14">
        <v>1974.4736422180429</v>
      </c>
      <c r="Q14">
        <v>1974.4736422180429</v>
      </c>
      <c r="R14">
        <v>1974.4736422180429</v>
      </c>
      <c r="S14">
        <v>1974.4736422180429</v>
      </c>
      <c r="T14">
        <v>1974.4736422180429</v>
      </c>
      <c r="U14">
        <v>1974.4736422180429</v>
      </c>
      <c r="V14">
        <v>1974.4736422180429</v>
      </c>
      <c r="W14">
        <v>1974.4736422180429</v>
      </c>
      <c r="X14">
        <v>1974.4736422180429</v>
      </c>
      <c r="Y14">
        <v>1974.4736422180429</v>
      </c>
      <c r="Z14">
        <v>1974.4736422180429</v>
      </c>
      <c r="AA14">
        <v>1974.4736422180429</v>
      </c>
      <c r="AB14">
        <v>1974.4736422180429</v>
      </c>
      <c r="AC14">
        <v>1974.4736422180429</v>
      </c>
      <c r="AD14">
        <v>1974.4736422180429</v>
      </c>
      <c r="AE14">
        <v>1974.4736422180429</v>
      </c>
      <c r="AF14">
        <v>1974.4736422180429</v>
      </c>
      <c r="AG14">
        <v>1974.4736422180429</v>
      </c>
      <c r="AH14">
        <v>1974.4736422180429</v>
      </c>
      <c r="AI14">
        <v>1974.4736422180429</v>
      </c>
      <c r="AJ14">
        <v>1974.4736422180429</v>
      </c>
    </row>
    <row r="15" spans="1:37">
      <c r="A15" t="s">
        <v>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</sheetData>
  <phoneticPr fontId="4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2F069-6EF7-4399-A268-65FC5EA4C37A}">
  <sheetPr>
    <tabColor theme="3"/>
  </sheetPr>
  <dimension ref="A1:AK7"/>
  <sheetViews>
    <sheetView workbookViewId="0">
      <selection activeCell="D6" sqref="D6"/>
    </sheetView>
  </sheetViews>
  <sheetFormatPr defaultRowHeight="14.5"/>
  <cols>
    <col min="1" max="1" width="13.1796875" customWidth="1"/>
    <col min="2" max="2" width="8.7265625" customWidth="1"/>
  </cols>
  <sheetData>
    <row r="1" spans="1:37" ht="43.5">
      <c r="A1" s="6" t="s">
        <v>9</v>
      </c>
      <c r="B1" s="2">
        <v>2020</v>
      </c>
      <c r="C1" s="1"/>
      <c r="D1" s="2"/>
      <c r="E1" s="1"/>
      <c r="F1" s="2"/>
      <c r="G1" s="1"/>
      <c r="H1" s="2"/>
      <c r="I1" s="1"/>
      <c r="J1" s="2"/>
      <c r="K1" s="1"/>
      <c r="L1" s="2"/>
      <c r="M1" s="1"/>
      <c r="N1" s="2"/>
      <c r="O1" s="1"/>
      <c r="P1" s="2"/>
      <c r="Q1" s="1"/>
      <c r="R1" s="2"/>
      <c r="S1" s="1"/>
      <c r="T1" s="2"/>
      <c r="U1" s="1"/>
      <c r="V1" s="2"/>
      <c r="W1" s="1"/>
      <c r="X1" s="2"/>
      <c r="Y1" s="1"/>
      <c r="Z1" s="2"/>
      <c r="AA1" s="1"/>
      <c r="AB1" s="2"/>
      <c r="AC1" s="1"/>
      <c r="AD1" s="2"/>
      <c r="AE1" s="1"/>
      <c r="AF1" s="2"/>
      <c r="AG1" s="1"/>
      <c r="AH1" s="2"/>
      <c r="AI1" s="1"/>
      <c r="AJ1" s="2"/>
      <c r="AK1" s="1"/>
    </row>
    <row r="2" spans="1:37">
      <c r="A2" s="1" t="s">
        <v>2</v>
      </c>
      <c r="B2" s="4">
        <f>'AVLo-passengers'!G2</f>
        <v>1.0530708123893715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spans="1:37">
      <c r="A3" s="1" t="s">
        <v>3</v>
      </c>
      <c r="B3" s="4">
        <f>'AVLo-passengers'!G3</f>
        <v>14.731070293267342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>
      <c r="A4" s="1" t="s">
        <v>4</v>
      </c>
      <c r="B4" s="4">
        <f>'AVLo-passengers'!G4</f>
        <v>155.72981935122084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1" t="s">
        <v>5</v>
      </c>
      <c r="B5" s="4">
        <f>'AVLo-passengers'!G5</f>
        <v>382.85954795395736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>
      <c r="A6" s="1" t="s">
        <v>6</v>
      </c>
      <c r="B6" s="4">
        <f>'AVLo-passengers'!G6</f>
        <v>337.61417769892506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>
      <c r="A7" s="1" t="s">
        <v>7</v>
      </c>
      <c r="B7" s="4">
        <f>'AVLo-passengers'!G7</f>
        <v>1.1000000000000001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</sheetData>
  <phoneticPr fontId="4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0EE5E-AFD1-49CB-B732-B47A0DBCC6BF}">
  <sheetPr>
    <tabColor theme="3"/>
  </sheetPr>
  <dimension ref="A1:AJ7"/>
  <sheetViews>
    <sheetView tabSelected="1" workbookViewId="0">
      <selection activeCell="H20" sqref="H20"/>
    </sheetView>
  </sheetViews>
  <sheetFormatPr defaultRowHeight="14.5"/>
  <cols>
    <col min="1" max="1" width="11.81640625" customWidth="1"/>
  </cols>
  <sheetData>
    <row r="1" spans="1:36" s="1" customFormat="1" ht="43.5">
      <c r="A1" s="6" t="s">
        <v>10</v>
      </c>
      <c r="B1" s="1">
        <v>2020</v>
      </c>
    </row>
    <row r="2" spans="1:36">
      <c r="A2" s="1" t="s">
        <v>2</v>
      </c>
      <c r="B2" s="125">
        <f>'AVLo-freight'!F2</f>
        <v>0.56135536398467423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</row>
    <row r="3" spans="1:36">
      <c r="A3" s="1" t="s">
        <v>3</v>
      </c>
      <c r="B3" s="126">
        <f>'AVLo-freight'!F3</f>
        <v>6.6919426527303214</v>
      </c>
    </row>
    <row r="4" spans="1:36">
      <c r="A4" s="1" t="s">
        <v>4</v>
      </c>
      <c r="B4" s="29">
        <f>'AVLo-freight'!F4</f>
        <v>63.556825639903742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>
      <c r="A5" s="1" t="s">
        <v>5</v>
      </c>
      <c r="B5" s="29">
        <f>'AVLo-freight'!F5</f>
        <v>1514.4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>
      <c r="A6" s="1" t="s">
        <v>6</v>
      </c>
      <c r="B6" s="106">
        <f>'AVLo-freight'!F6</f>
        <v>1974.4736422180429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</row>
    <row r="7" spans="1:36">
      <c r="A7" s="1" t="s">
        <v>7</v>
      </c>
      <c r="B7" s="25">
        <f>'AVLo-freight'!F7</f>
        <v>3.0000000000000001E-3</v>
      </c>
    </row>
  </sheetData>
  <phoneticPr fontId="42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K7"/>
  <sheetViews>
    <sheetView workbookViewId="0">
      <selection activeCell="B4" sqref="B4"/>
    </sheetView>
  </sheetViews>
  <sheetFormatPr defaultRowHeight="14.5"/>
  <cols>
    <col min="1" max="1" width="13.1796875" customWidth="1"/>
    <col min="2" max="2" width="8.7265625" customWidth="1"/>
  </cols>
  <sheetData>
    <row r="1" spans="1:37" ht="43.5">
      <c r="A1" s="6" t="s">
        <v>9</v>
      </c>
      <c r="B1" s="2">
        <v>2015</v>
      </c>
      <c r="C1" s="1">
        <v>2016</v>
      </c>
      <c r="D1" s="2">
        <v>2017</v>
      </c>
      <c r="E1" s="1">
        <v>2018</v>
      </c>
      <c r="F1" s="2">
        <v>2019</v>
      </c>
      <c r="G1" s="1">
        <v>2020</v>
      </c>
      <c r="H1" s="2">
        <v>2021</v>
      </c>
      <c r="I1" s="1">
        <v>2022</v>
      </c>
      <c r="J1" s="2">
        <v>2023</v>
      </c>
      <c r="K1" s="1">
        <v>2024</v>
      </c>
      <c r="L1" s="2">
        <v>2025</v>
      </c>
      <c r="M1" s="1">
        <v>2026</v>
      </c>
      <c r="N1" s="2">
        <v>2027</v>
      </c>
      <c r="O1" s="1">
        <v>2028</v>
      </c>
      <c r="P1" s="2">
        <v>2029</v>
      </c>
      <c r="Q1" s="1">
        <v>2030</v>
      </c>
      <c r="R1" s="2">
        <v>2031</v>
      </c>
      <c r="S1" s="1">
        <v>2032</v>
      </c>
      <c r="T1" s="2">
        <v>2033</v>
      </c>
      <c r="U1" s="1">
        <v>2034</v>
      </c>
      <c r="V1" s="2">
        <v>2035</v>
      </c>
      <c r="W1" s="1">
        <v>2036</v>
      </c>
      <c r="X1" s="2">
        <v>2037</v>
      </c>
      <c r="Y1" s="1">
        <v>2038</v>
      </c>
      <c r="Z1" s="2">
        <v>2039</v>
      </c>
      <c r="AA1" s="1">
        <v>2040</v>
      </c>
      <c r="AB1" s="2">
        <v>2041</v>
      </c>
      <c r="AC1" s="1">
        <v>2042</v>
      </c>
      <c r="AD1" s="2">
        <v>2043</v>
      </c>
      <c r="AE1" s="1">
        <v>2044</v>
      </c>
      <c r="AF1" s="2">
        <v>2045</v>
      </c>
      <c r="AG1" s="1">
        <v>2046</v>
      </c>
      <c r="AH1" s="2">
        <v>2047</v>
      </c>
      <c r="AI1" s="1">
        <v>2048</v>
      </c>
      <c r="AJ1" s="2">
        <v>2049</v>
      </c>
      <c r="AK1" s="1">
        <v>2050</v>
      </c>
    </row>
    <row r="2" spans="1:37">
      <c r="A2" s="1" t="s">
        <v>2</v>
      </c>
      <c r="B2" s="4">
        <f t="shared" ref="B2:F2" si="0">C2</f>
        <v>1.0530708123893715</v>
      </c>
      <c r="C2" s="4">
        <f t="shared" si="0"/>
        <v>1.0530708123893715</v>
      </c>
      <c r="D2" s="4">
        <f t="shared" si="0"/>
        <v>1.0530708123893715</v>
      </c>
      <c r="E2" s="4">
        <f t="shared" si="0"/>
        <v>1.0530708123893715</v>
      </c>
      <c r="F2" s="4">
        <f t="shared" si="0"/>
        <v>1.0530708123893715</v>
      </c>
      <c r="G2" s="4">
        <f>H2</f>
        <v>1.0530708123893715</v>
      </c>
      <c r="H2" s="4">
        <f>'DV-psgr'!$H$41*'DV-psgr'!K45</f>
        <v>1.0530708123893715</v>
      </c>
      <c r="I2" s="4">
        <f>'DV-psgr'!$H$41*'DV-psgr'!L45</f>
        <v>1.1934802540412877</v>
      </c>
      <c r="J2" s="4">
        <f>'DV-psgr'!$H$41*'DV-psgr'!M45</f>
        <v>1.2075211982064793</v>
      </c>
      <c r="K2" s="4">
        <f>'DV-psgr'!$H$41*'DV-psgr'!N45</f>
        <v>1.2215621423716709</v>
      </c>
      <c r="L2" s="4">
        <f>'DV-psgr'!$H$41*'DV-psgr'!O45</f>
        <v>1.2356030865368626</v>
      </c>
      <c r="M2" s="4">
        <f>'DV-psgr'!$H$41*'DV-psgr'!P45</f>
        <v>1.2496440307020542</v>
      </c>
      <c r="N2" s="4">
        <f>'DV-psgr'!$H$41*'DV-psgr'!Q45</f>
        <v>1.2636849748672458</v>
      </c>
      <c r="O2" s="4">
        <f>'DV-psgr'!$H$41*'DV-psgr'!R45</f>
        <v>1.2777259190324375</v>
      </c>
      <c r="P2" s="4">
        <f>'DV-psgr'!$H$41*'DV-psgr'!S45</f>
        <v>1.2917668631976291</v>
      </c>
      <c r="Q2" s="4">
        <f>'DV-psgr'!$H$41*'DV-psgr'!T45</f>
        <v>1.3058078073628208</v>
      </c>
      <c r="R2" s="4">
        <f>Q2</f>
        <v>1.3058078073628208</v>
      </c>
      <c r="S2" s="4">
        <f t="shared" ref="S2:AK2" si="1">R2</f>
        <v>1.3058078073628208</v>
      </c>
      <c r="T2" s="4">
        <f t="shared" si="1"/>
        <v>1.3058078073628208</v>
      </c>
      <c r="U2" s="4">
        <f t="shared" si="1"/>
        <v>1.3058078073628208</v>
      </c>
      <c r="V2" s="4">
        <f t="shared" si="1"/>
        <v>1.3058078073628208</v>
      </c>
      <c r="W2" s="4">
        <f t="shared" si="1"/>
        <v>1.3058078073628208</v>
      </c>
      <c r="X2" s="4">
        <f t="shared" si="1"/>
        <v>1.3058078073628208</v>
      </c>
      <c r="Y2" s="4">
        <f t="shared" si="1"/>
        <v>1.3058078073628208</v>
      </c>
      <c r="Z2" s="4">
        <f t="shared" si="1"/>
        <v>1.3058078073628208</v>
      </c>
      <c r="AA2" s="4">
        <f t="shared" si="1"/>
        <v>1.3058078073628208</v>
      </c>
      <c r="AB2" s="4">
        <f t="shared" si="1"/>
        <v>1.3058078073628208</v>
      </c>
      <c r="AC2" s="4">
        <f t="shared" si="1"/>
        <v>1.3058078073628208</v>
      </c>
      <c r="AD2" s="4">
        <f t="shared" si="1"/>
        <v>1.3058078073628208</v>
      </c>
      <c r="AE2" s="4">
        <f t="shared" si="1"/>
        <v>1.3058078073628208</v>
      </c>
      <c r="AF2" s="4">
        <f t="shared" si="1"/>
        <v>1.3058078073628208</v>
      </c>
      <c r="AG2" s="4">
        <f t="shared" si="1"/>
        <v>1.3058078073628208</v>
      </c>
      <c r="AH2" s="4">
        <f t="shared" si="1"/>
        <v>1.3058078073628208</v>
      </c>
      <c r="AI2" s="4">
        <f t="shared" si="1"/>
        <v>1.3058078073628208</v>
      </c>
      <c r="AJ2" s="4">
        <f t="shared" si="1"/>
        <v>1.3058078073628208</v>
      </c>
      <c r="AK2" s="4">
        <f t="shared" si="1"/>
        <v>1.3058078073628208</v>
      </c>
    </row>
    <row r="3" spans="1:37">
      <c r="A3" s="1" t="s">
        <v>3</v>
      </c>
      <c r="B3" s="5">
        <f>'DV-psgr'!H42</f>
        <v>14.731070293267342</v>
      </c>
      <c r="C3" s="4">
        <f t="shared" ref="C3:R7" si="2">$B3</f>
        <v>14.731070293267342</v>
      </c>
      <c r="D3" s="4">
        <f t="shared" si="2"/>
        <v>14.731070293267342</v>
      </c>
      <c r="E3" s="4">
        <f t="shared" si="2"/>
        <v>14.731070293267342</v>
      </c>
      <c r="F3" s="4">
        <f t="shared" si="2"/>
        <v>14.731070293267342</v>
      </c>
      <c r="G3" s="4">
        <f t="shared" si="2"/>
        <v>14.731070293267342</v>
      </c>
      <c r="H3" s="4">
        <f t="shared" si="2"/>
        <v>14.731070293267342</v>
      </c>
      <c r="I3" s="4">
        <f t="shared" si="2"/>
        <v>14.731070293267342</v>
      </c>
      <c r="J3" s="4">
        <f t="shared" si="2"/>
        <v>14.731070293267342</v>
      </c>
      <c r="K3" s="4">
        <f t="shared" si="2"/>
        <v>14.731070293267342</v>
      </c>
      <c r="L3" s="4">
        <f t="shared" si="2"/>
        <v>14.731070293267342</v>
      </c>
      <c r="M3" s="4">
        <f t="shared" si="2"/>
        <v>14.731070293267342</v>
      </c>
      <c r="N3" s="4">
        <f t="shared" si="2"/>
        <v>14.731070293267342</v>
      </c>
      <c r="O3" s="4">
        <f t="shared" si="2"/>
        <v>14.731070293267342</v>
      </c>
      <c r="P3" s="4">
        <f t="shared" si="2"/>
        <v>14.731070293267342</v>
      </c>
      <c r="Q3" s="4">
        <f t="shared" si="2"/>
        <v>14.731070293267342</v>
      </c>
      <c r="R3" s="4">
        <f t="shared" si="2"/>
        <v>14.731070293267342</v>
      </c>
      <c r="S3" s="4">
        <f t="shared" ref="D3:AK7" si="3">$B3</f>
        <v>14.731070293267342</v>
      </c>
      <c r="T3" s="4">
        <f t="shared" si="3"/>
        <v>14.731070293267342</v>
      </c>
      <c r="U3" s="4">
        <f t="shared" si="3"/>
        <v>14.731070293267342</v>
      </c>
      <c r="V3" s="4">
        <f t="shared" si="3"/>
        <v>14.731070293267342</v>
      </c>
      <c r="W3" s="4">
        <f t="shared" si="3"/>
        <v>14.731070293267342</v>
      </c>
      <c r="X3" s="4">
        <f t="shared" si="3"/>
        <v>14.731070293267342</v>
      </c>
      <c r="Y3" s="4">
        <f t="shared" si="3"/>
        <v>14.731070293267342</v>
      </c>
      <c r="Z3" s="4">
        <f t="shared" si="3"/>
        <v>14.731070293267342</v>
      </c>
      <c r="AA3" s="4">
        <f t="shared" si="3"/>
        <v>14.731070293267342</v>
      </c>
      <c r="AB3" s="4">
        <f t="shared" si="3"/>
        <v>14.731070293267342</v>
      </c>
      <c r="AC3" s="4">
        <f t="shared" si="3"/>
        <v>14.731070293267342</v>
      </c>
      <c r="AD3" s="4">
        <f t="shared" si="3"/>
        <v>14.731070293267342</v>
      </c>
      <c r="AE3" s="4">
        <f t="shared" si="3"/>
        <v>14.731070293267342</v>
      </c>
      <c r="AF3" s="4">
        <f t="shared" si="3"/>
        <v>14.731070293267342</v>
      </c>
      <c r="AG3" s="4">
        <f t="shared" si="3"/>
        <v>14.731070293267342</v>
      </c>
      <c r="AH3" s="4">
        <f t="shared" si="3"/>
        <v>14.731070293267342</v>
      </c>
      <c r="AI3" s="4">
        <f t="shared" si="3"/>
        <v>14.731070293267342</v>
      </c>
      <c r="AJ3" s="4">
        <f t="shared" si="3"/>
        <v>14.731070293267342</v>
      </c>
      <c r="AK3" s="4">
        <f t="shared" si="3"/>
        <v>14.731070293267342</v>
      </c>
    </row>
    <row r="4" spans="1:37">
      <c r="A4" s="1" t="s">
        <v>4</v>
      </c>
      <c r="B4" s="5">
        <f>BAADTbVT_air!K18</f>
        <v>155.72981935122084</v>
      </c>
      <c r="C4" s="4">
        <f t="shared" si="2"/>
        <v>155.72981935122084</v>
      </c>
      <c r="D4" s="4">
        <f t="shared" si="3"/>
        <v>155.72981935122084</v>
      </c>
      <c r="E4" s="4">
        <f t="shared" si="3"/>
        <v>155.72981935122084</v>
      </c>
      <c r="F4" s="4">
        <f t="shared" si="3"/>
        <v>155.72981935122084</v>
      </c>
      <c r="G4" s="4">
        <f t="shared" si="3"/>
        <v>155.72981935122084</v>
      </c>
      <c r="H4" s="114" cm="1">
        <f t="array" ref="H4:K4">TRANSPOSE('Air-Calcs'!M48:M51)</f>
        <v>155.84487281959659</v>
      </c>
      <c r="I4" s="114">
        <v>167.84077248261684</v>
      </c>
      <c r="J4" s="114">
        <v>168.47588242683079</v>
      </c>
      <c r="K4" s="114">
        <v>166.67246659242764</v>
      </c>
      <c r="L4" s="4">
        <f>K4</f>
        <v>166.67246659242764</v>
      </c>
      <c r="M4" s="4">
        <f t="shared" ref="M4:AK4" si="4">L4</f>
        <v>166.67246659242764</v>
      </c>
      <c r="N4" s="4">
        <f t="shared" si="4"/>
        <v>166.67246659242764</v>
      </c>
      <c r="O4" s="4">
        <f t="shared" si="4"/>
        <v>166.67246659242764</v>
      </c>
      <c r="P4" s="4">
        <f t="shared" si="4"/>
        <v>166.67246659242764</v>
      </c>
      <c r="Q4" s="4">
        <f t="shared" si="4"/>
        <v>166.67246659242764</v>
      </c>
      <c r="R4" s="4">
        <f t="shared" si="4"/>
        <v>166.67246659242764</v>
      </c>
      <c r="S4" s="4">
        <f t="shared" si="4"/>
        <v>166.67246659242764</v>
      </c>
      <c r="T4" s="4">
        <f t="shared" si="4"/>
        <v>166.67246659242764</v>
      </c>
      <c r="U4" s="4">
        <f t="shared" si="4"/>
        <v>166.67246659242764</v>
      </c>
      <c r="V4" s="4">
        <f t="shared" si="4"/>
        <v>166.67246659242764</v>
      </c>
      <c r="W4" s="4">
        <f t="shared" si="4"/>
        <v>166.67246659242764</v>
      </c>
      <c r="X4" s="4">
        <f t="shared" si="4"/>
        <v>166.67246659242764</v>
      </c>
      <c r="Y4" s="4">
        <f t="shared" si="4"/>
        <v>166.67246659242764</v>
      </c>
      <c r="Z4" s="4">
        <f t="shared" si="4"/>
        <v>166.67246659242764</v>
      </c>
      <c r="AA4" s="4">
        <f t="shared" si="4"/>
        <v>166.67246659242764</v>
      </c>
      <c r="AB4" s="4">
        <f t="shared" si="4"/>
        <v>166.67246659242764</v>
      </c>
      <c r="AC4" s="4">
        <f t="shared" si="4"/>
        <v>166.67246659242764</v>
      </c>
      <c r="AD4" s="4">
        <f t="shared" si="4"/>
        <v>166.67246659242764</v>
      </c>
      <c r="AE4" s="4">
        <f t="shared" si="4"/>
        <v>166.67246659242764</v>
      </c>
      <c r="AF4" s="4">
        <f t="shared" si="4"/>
        <v>166.67246659242764</v>
      </c>
      <c r="AG4" s="4">
        <f t="shared" si="4"/>
        <v>166.67246659242764</v>
      </c>
      <c r="AH4" s="4">
        <f t="shared" si="4"/>
        <v>166.67246659242764</v>
      </c>
      <c r="AI4" s="4">
        <f t="shared" si="4"/>
        <v>166.67246659242764</v>
      </c>
      <c r="AJ4" s="4">
        <f t="shared" si="4"/>
        <v>166.67246659242764</v>
      </c>
      <c r="AK4" s="4">
        <f t="shared" si="4"/>
        <v>166.67246659242764</v>
      </c>
    </row>
    <row r="5" spans="1:37">
      <c r="A5" s="1" t="s">
        <v>5</v>
      </c>
      <c r="B5" s="5">
        <f>rail!D30</f>
        <v>382.85954795395736</v>
      </c>
      <c r="C5" s="4">
        <f t="shared" si="2"/>
        <v>382.85954795395736</v>
      </c>
      <c r="D5" s="4">
        <f t="shared" si="3"/>
        <v>382.85954795395736</v>
      </c>
      <c r="E5" s="4">
        <f t="shared" si="3"/>
        <v>382.85954795395736</v>
      </c>
      <c r="F5" s="4">
        <f t="shared" si="3"/>
        <v>382.85954795395736</v>
      </c>
      <c r="G5" s="4">
        <f t="shared" si="3"/>
        <v>382.85954795395736</v>
      </c>
      <c r="H5" s="4">
        <f t="shared" si="3"/>
        <v>382.85954795395736</v>
      </c>
      <c r="I5" s="4">
        <f t="shared" si="3"/>
        <v>382.85954795395736</v>
      </c>
      <c r="J5" s="4">
        <f t="shared" si="3"/>
        <v>382.85954795395736</v>
      </c>
      <c r="K5" s="4">
        <f t="shared" si="3"/>
        <v>382.85954795395736</v>
      </c>
      <c r="L5" s="4">
        <f t="shared" si="3"/>
        <v>382.85954795395736</v>
      </c>
      <c r="M5" s="4">
        <f t="shared" si="3"/>
        <v>382.85954795395736</v>
      </c>
      <c r="N5" s="4">
        <f t="shared" si="3"/>
        <v>382.85954795395736</v>
      </c>
      <c r="O5" s="4">
        <f t="shared" si="3"/>
        <v>382.85954795395736</v>
      </c>
      <c r="P5" s="4">
        <f t="shared" si="3"/>
        <v>382.85954795395736</v>
      </c>
      <c r="Q5" s="4">
        <f t="shared" si="3"/>
        <v>382.85954795395736</v>
      </c>
      <c r="R5" s="4">
        <f t="shared" si="3"/>
        <v>382.85954795395736</v>
      </c>
      <c r="S5" s="4">
        <f t="shared" si="3"/>
        <v>382.85954795395736</v>
      </c>
      <c r="T5" s="4">
        <f t="shared" si="3"/>
        <v>382.85954795395736</v>
      </c>
      <c r="U5" s="4">
        <f t="shared" si="3"/>
        <v>382.85954795395736</v>
      </c>
      <c r="V5" s="4">
        <f t="shared" si="3"/>
        <v>382.85954795395736</v>
      </c>
      <c r="W5" s="4">
        <f t="shared" si="3"/>
        <v>382.85954795395736</v>
      </c>
      <c r="X5" s="4">
        <f t="shared" si="3"/>
        <v>382.85954795395736</v>
      </c>
      <c r="Y5" s="4">
        <f t="shared" si="3"/>
        <v>382.85954795395736</v>
      </c>
      <c r="Z5" s="4">
        <f t="shared" si="3"/>
        <v>382.85954795395736</v>
      </c>
      <c r="AA5" s="4">
        <f t="shared" si="3"/>
        <v>382.85954795395736</v>
      </c>
      <c r="AB5" s="4">
        <f t="shared" si="3"/>
        <v>382.85954795395736</v>
      </c>
      <c r="AC5" s="4">
        <f t="shared" si="3"/>
        <v>382.85954795395736</v>
      </c>
      <c r="AD5" s="4">
        <f t="shared" si="3"/>
        <v>382.85954795395736</v>
      </c>
      <c r="AE5" s="4">
        <f t="shared" si="3"/>
        <v>382.85954795395736</v>
      </c>
      <c r="AF5" s="4">
        <f t="shared" si="3"/>
        <v>382.85954795395736</v>
      </c>
      <c r="AG5" s="4">
        <f t="shared" si="3"/>
        <v>382.85954795395736</v>
      </c>
      <c r="AH5" s="4">
        <f t="shared" si="3"/>
        <v>382.85954795395736</v>
      </c>
      <c r="AI5" s="4">
        <f t="shared" si="3"/>
        <v>382.85954795395736</v>
      </c>
      <c r="AJ5" s="4">
        <f t="shared" si="3"/>
        <v>382.85954795395736</v>
      </c>
      <c r="AK5" s="4">
        <f t="shared" si="3"/>
        <v>382.85954795395736</v>
      </c>
    </row>
    <row r="6" spans="1:37">
      <c r="A6" s="1" t="s">
        <v>6</v>
      </c>
      <c r="B6" s="4">
        <f>'ships-psgr'!G3</f>
        <v>337.61417769892506</v>
      </c>
      <c r="C6" s="4">
        <f>B6</f>
        <v>337.61417769892506</v>
      </c>
      <c r="D6" s="4">
        <f t="shared" ref="D6:AK6" si="5">C6</f>
        <v>337.61417769892506</v>
      </c>
      <c r="E6" s="4">
        <f t="shared" si="5"/>
        <v>337.61417769892506</v>
      </c>
      <c r="F6" s="4">
        <f t="shared" si="5"/>
        <v>337.61417769892506</v>
      </c>
      <c r="G6" s="4">
        <f t="shared" si="5"/>
        <v>337.61417769892506</v>
      </c>
      <c r="H6" s="4">
        <f t="shared" si="5"/>
        <v>337.61417769892506</v>
      </c>
      <c r="I6" s="4">
        <f t="shared" si="5"/>
        <v>337.61417769892506</v>
      </c>
      <c r="J6" s="4">
        <f t="shared" si="5"/>
        <v>337.61417769892506</v>
      </c>
      <c r="K6" s="4">
        <f t="shared" si="5"/>
        <v>337.61417769892506</v>
      </c>
      <c r="L6" s="4">
        <f t="shared" si="5"/>
        <v>337.61417769892506</v>
      </c>
      <c r="M6" s="4">
        <f t="shared" si="5"/>
        <v>337.61417769892506</v>
      </c>
      <c r="N6" s="4">
        <f t="shared" si="5"/>
        <v>337.61417769892506</v>
      </c>
      <c r="O6" s="4">
        <f t="shared" si="5"/>
        <v>337.61417769892506</v>
      </c>
      <c r="P6" s="4">
        <f t="shared" si="5"/>
        <v>337.61417769892506</v>
      </c>
      <c r="Q6" s="4">
        <f t="shared" si="5"/>
        <v>337.61417769892506</v>
      </c>
      <c r="R6" s="4">
        <f t="shared" si="5"/>
        <v>337.61417769892506</v>
      </c>
      <c r="S6" s="4">
        <f t="shared" si="5"/>
        <v>337.61417769892506</v>
      </c>
      <c r="T6" s="4">
        <f t="shared" si="5"/>
        <v>337.61417769892506</v>
      </c>
      <c r="U6" s="4">
        <f t="shared" si="5"/>
        <v>337.61417769892506</v>
      </c>
      <c r="V6" s="4">
        <f t="shared" si="5"/>
        <v>337.61417769892506</v>
      </c>
      <c r="W6" s="4">
        <f t="shared" si="5"/>
        <v>337.61417769892506</v>
      </c>
      <c r="X6" s="4">
        <f t="shared" si="5"/>
        <v>337.61417769892506</v>
      </c>
      <c r="Y6" s="4">
        <f t="shared" si="5"/>
        <v>337.61417769892506</v>
      </c>
      <c r="Z6" s="4">
        <f t="shared" si="5"/>
        <v>337.61417769892506</v>
      </c>
      <c r="AA6" s="4">
        <f t="shared" si="5"/>
        <v>337.61417769892506</v>
      </c>
      <c r="AB6" s="4">
        <f t="shared" si="5"/>
        <v>337.61417769892506</v>
      </c>
      <c r="AC6" s="4">
        <f t="shared" si="5"/>
        <v>337.61417769892506</v>
      </c>
      <c r="AD6" s="4">
        <f t="shared" si="5"/>
        <v>337.61417769892506</v>
      </c>
      <c r="AE6" s="4">
        <f t="shared" si="5"/>
        <v>337.61417769892506</v>
      </c>
      <c r="AF6" s="4">
        <f t="shared" si="5"/>
        <v>337.61417769892506</v>
      </c>
      <c r="AG6" s="4">
        <f t="shared" si="5"/>
        <v>337.61417769892506</v>
      </c>
      <c r="AH6" s="4">
        <f t="shared" si="5"/>
        <v>337.61417769892506</v>
      </c>
      <c r="AI6" s="4">
        <f t="shared" si="5"/>
        <v>337.61417769892506</v>
      </c>
      <c r="AJ6" s="4">
        <f t="shared" si="5"/>
        <v>337.61417769892506</v>
      </c>
      <c r="AK6" s="4">
        <f t="shared" si="5"/>
        <v>337.61417769892506</v>
      </c>
    </row>
    <row r="7" spans="1:37">
      <c r="A7" s="1" t="s">
        <v>7</v>
      </c>
      <c r="B7" s="24">
        <v>1.1000000000000001</v>
      </c>
      <c r="C7" s="4">
        <f t="shared" si="2"/>
        <v>1.1000000000000001</v>
      </c>
      <c r="D7" s="4">
        <f t="shared" si="3"/>
        <v>1.1000000000000001</v>
      </c>
      <c r="E7" s="4">
        <f t="shared" si="3"/>
        <v>1.1000000000000001</v>
      </c>
      <c r="F7" s="4">
        <f t="shared" si="3"/>
        <v>1.1000000000000001</v>
      </c>
      <c r="G7" s="4">
        <f t="shared" si="3"/>
        <v>1.1000000000000001</v>
      </c>
      <c r="H7" s="4">
        <f t="shared" si="3"/>
        <v>1.1000000000000001</v>
      </c>
      <c r="I7" s="4">
        <f t="shared" si="3"/>
        <v>1.1000000000000001</v>
      </c>
      <c r="J7" s="4">
        <f t="shared" si="3"/>
        <v>1.1000000000000001</v>
      </c>
      <c r="K7" s="4">
        <f t="shared" si="3"/>
        <v>1.1000000000000001</v>
      </c>
      <c r="L7" s="4">
        <f t="shared" si="3"/>
        <v>1.1000000000000001</v>
      </c>
      <c r="M7" s="4">
        <f t="shared" si="3"/>
        <v>1.1000000000000001</v>
      </c>
      <c r="N7" s="4">
        <f t="shared" si="3"/>
        <v>1.1000000000000001</v>
      </c>
      <c r="O7" s="4">
        <f t="shared" si="3"/>
        <v>1.1000000000000001</v>
      </c>
      <c r="P7" s="4">
        <f t="shared" si="3"/>
        <v>1.1000000000000001</v>
      </c>
      <c r="Q7" s="4">
        <f t="shared" si="3"/>
        <v>1.1000000000000001</v>
      </c>
      <c r="R7" s="4">
        <f t="shared" si="3"/>
        <v>1.1000000000000001</v>
      </c>
      <c r="S7" s="4">
        <f t="shared" si="3"/>
        <v>1.1000000000000001</v>
      </c>
      <c r="T7" s="4">
        <f t="shared" si="3"/>
        <v>1.1000000000000001</v>
      </c>
      <c r="U7" s="4">
        <f t="shared" si="3"/>
        <v>1.1000000000000001</v>
      </c>
      <c r="V7" s="4">
        <f t="shared" si="3"/>
        <v>1.1000000000000001</v>
      </c>
      <c r="W7" s="4">
        <f t="shared" si="3"/>
        <v>1.1000000000000001</v>
      </c>
      <c r="X7" s="4">
        <f t="shared" si="3"/>
        <v>1.1000000000000001</v>
      </c>
      <c r="Y7" s="4">
        <f t="shared" si="3"/>
        <v>1.1000000000000001</v>
      </c>
      <c r="Z7" s="4">
        <f t="shared" si="3"/>
        <v>1.1000000000000001</v>
      </c>
      <c r="AA7" s="4">
        <f t="shared" si="3"/>
        <v>1.1000000000000001</v>
      </c>
      <c r="AB7" s="4">
        <f t="shared" si="3"/>
        <v>1.1000000000000001</v>
      </c>
      <c r="AC7" s="4">
        <f t="shared" si="3"/>
        <v>1.1000000000000001</v>
      </c>
      <c r="AD7" s="4">
        <f t="shared" si="3"/>
        <v>1.1000000000000001</v>
      </c>
      <c r="AE7" s="4">
        <f t="shared" si="3"/>
        <v>1.1000000000000001</v>
      </c>
      <c r="AF7" s="4">
        <f t="shared" si="3"/>
        <v>1.1000000000000001</v>
      </c>
      <c r="AG7" s="4">
        <f t="shared" si="3"/>
        <v>1.1000000000000001</v>
      </c>
      <c r="AH7" s="4">
        <f t="shared" si="3"/>
        <v>1.1000000000000001</v>
      </c>
      <c r="AI7" s="4">
        <f t="shared" si="3"/>
        <v>1.1000000000000001</v>
      </c>
      <c r="AJ7" s="4">
        <f t="shared" si="3"/>
        <v>1.1000000000000001</v>
      </c>
      <c r="AK7" s="4">
        <f t="shared" si="3"/>
        <v>1.1000000000000001</v>
      </c>
    </row>
  </sheetData>
  <phoneticPr fontId="4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workbookViewId="0">
      <selection activeCell="D30" sqref="D30"/>
    </sheetView>
  </sheetViews>
  <sheetFormatPr defaultRowHeight="14.5"/>
  <cols>
    <col min="1" max="1" width="11.81640625" customWidth="1"/>
  </cols>
  <sheetData>
    <row r="1" spans="1:36" s="1" customFormat="1" ht="43.5">
      <c r="A1" s="6" t="s">
        <v>10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>
      <c r="A2" s="1" t="s">
        <v>2</v>
      </c>
      <c r="B2" s="28">
        <f>'DV-freight'!P28</f>
        <v>0.56135536398467423</v>
      </c>
      <c r="C2" s="28">
        <f>$B$2</f>
        <v>0.56135536398467423</v>
      </c>
      <c r="D2" s="28">
        <f t="shared" ref="D2:AJ2" si="0">$B$2</f>
        <v>0.56135536398467423</v>
      </c>
      <c r="E2" s="28">
        <f t="shared" si="0"/>
        <v>0.56135536398467423</v>
      </c>
      <c r="F2" s="28">
        <f t="shared" si="0"/>
        <v>0.56135536398467423</v>
      </c>
      <c r="G2" s="28">
        <f t="shared" si="0"/>
        <v>0.56135536398467423</v>
      </c>
      <c r="H2" s="28">
        <f t="shared" si="0"/>
        <v>0.56135536398467423</v>
      </c>
      <c r="I2" s="28">
        <f t="shared" si="0"/>
        <v>0.56135536398467423</v>
      </c>
      <c r="J2" s="28">
        <f t="shared" si="0"/>
        <v>0.56135536398467423</v>
      </c>
      <c r="K2" s="28">
        <f t="shared" si="0"/>
        <v>0.56135536398467423</v>
      </c>
      <c r="L2" s="28">
        <f t="shared" si="0"/>
        <v>0.56135536398467423</v>
      </c>
      <c r="M2" s="28">
        <f t="shared" si="0"/>
        <v>0.56135536398467423</v>
      </c>
      <c r="N2" s="28">
        <f t="shared" si="0"/>
        <v>0.56135536398467423</v>
      </c>
      <c r="O2" s="28">
        <f t="shared" si="0"/>
        <v>0.56135536398467423</v>
      </c>
      <c r="P2" s="28">
        <f t="shared" si="0"/>
        <v>0.56135536398467423</v>
      </c>
      <c r="Q2" s="28">
        <f t="shared" si="0"/>
        <v>0.56135536398467423</v>
      </c>
      <c r="R2" s="28">
        <f t="shared" si="0"/>
        <v>0.56135536398467423</v>
      </c>
      <c r="S2" s="28">
        <f t="shared" si="0"/>
        <v>0.56135536398467423</v>
      </c>
      <c r="T2" s="28">
        <f t="shared" si="0"/>
        <v>0.56135536398467423</v>
      </c>
      <c r="U2" s="28">
        <f t="shared" si="0"/>
        <v>0.56135536398467423</v>
      </c>
      <c r="V2" s="28">
        <f t="shared" si="0"/>
        <v>0.56135536398467423</v>
      </c>
      <c r="W2" s="28">
        <f t="shared" si="0"/>
        <v>0.56135536398467423</v>
      </c>
      <c r="X2" s="28">
        <f t="shared" si="0"/>
        <v>0.56135536398467423</v>
      </c>
      <c r="Y2" s="28">
        <f t="shared" si="0"/>
        <v>0.56135536398467423</v>
      </c>
      <c r="Z2" s="28">
        <f t="shared" si="0"/>
        <v>0.56135536398467423</v>
      </c>
      <c r="AA2" s="28">
        <f t="shared" si="0"/>
        <v>0.56135536398467423</v>
      </c>
      <c r="AB2" s="28">
        <f t="shared" si="0"/>
        <v>0.56135536398467423</v>
      </c>
      <c r="AC2" s="28">
        <f t="shared" si="0"/>
        <v>0.56135536398467423</v>
      </c>
      <c r="AD2" s="28">
        <f t="shared" si="0"/>
        <v>0.56135536398467423</v>
      </c>
      <c r="AE2" s="28">
        <f t="shared" si="0"/>
        <v>0.56135536398467423</v>
      </c>
      <c r="AF2" s="28">
        <f t="shared" si="0"/>
        <v>0.56135536398467423</v>
      </c>
      <c r="AG2" s="28">
        <f t="shared" si="0"/>
        <v>0.56135536398467423</v>
      </c>
      <c r="AH2" s="28">
        <f t="shared" si="0"/>
        <v>0.56135536398467423</v>
      </c>
      <c r="AI2" s="28">
        <f t="shared" si="0"/>
        <v>0.56135536398467423</v>
      </c>
      <c r="AJ2" s="28">
        <f t="shared" si="0"/>
        <v>0.56135536398467423</v>
      </c>
    </row>
    <row r="3" spans="1:36">
      <c r="A3" s="1" t="s">
        <v>3</v>
      </c>
      <c r="B3" s="29">
        <f>'DV-freight'!P31</f>
        <v>6.6919426527303214</v>
      </c>
      <c r="C3">
        <f t="shared" ref="C3:R7" si="1">$B3</f>
        <v>6.6919426527303214</v>
      </c>
      <c r="D3">
        <f t="shared" si="1"/>
        <v>6.6919426527303214</v>
      </c>
      <c r="E3">
        <f t="shared" si="1"/>
        <v>6.6919426527303214</v>
      </c>
      <c r="F3">
        <f t="shared" si="1"/>
        <v>6.6919426527303214</v>
      </c>
      <c r="G3">
        <f t="shared" si="1"/>
        <v>6.6919426527303214</v>
      </c>
      <c r="H3">
        <f t="shared" si="1"/>
        <v>6.6919426527303214</v>
      </c>
      <c r="I3">
        <f t="shared" si="1"/>
        <v>6.6919426527303214</v>
      </c>
      <c r="J3">
        <f t="shared" si="1"/>
        <v>6.6919426527303214</v>
      </c>
      <c r="K3">
        <f t="shared" si="1"/>
        <v>6.6919426527303214</v>
      </c>
      <c r="L3">
        <f t="shared" si="1"/>
        <v>6.6919426527303214</v>
      </c>
      <c r="M3">
        <f t="shared" si="1"/>
        <v>6.6919426527303214</v>
      </c>
      <c r="N3">
        <f t="shared" si="1"/>
        <v>6.6919426527303214</v>
      </c>
      <c r="O3">
        <f t="shared" si="1"/>
        <v>6.6919426527303214</v>
      </c>
      <c r="P3">
        <f t="shared" si="1"/>
        <v>6.6919426527303214</v>
      </c>
      <c r="Q3">
        <f t="shared" si="1"/>
        <v>6.6919426527303214</v>
      </c>
      <c r="R3">
        <f t="shared" si="1"/>
        <v>6.6919426527303214</v>
      </c>
      <c r="S3">
        <f t="shared" ref="D3:AJ7" si="2">$B3</f>
        <v>6.6919426527303214</v>
      </c>
      <c r="T3">
        <f t="shared" si="2"/>
        <v>6.6919426527303214</v>
      </c>
      <c r="U3">
        <f t="shared" si="2"/>
        <v>6.6919426527303214</v>
      </c>
      <c r="V3">
        <f t="shared" si="2"/>
        <v>6.6919426527303214</v>
      </c>
      <c r="W3">
        <f t="shared" si="2"/>
        <v>6.6919426527303214</v>
      </c>
      <c r="X3">
        <f t="shared" si="2"/>
        <v>6.6919426527303214</v>
      </c>
      <c r="Y3">
        <f t="shared" si="2"/>
        <v>6.6919426527303214</v>
      </c>
      <c r="Z3">
        <f t="shared" si="2"/>
        <v>6.6919426527303214</v>
      </c>
      <c r="AA3">
        <f t="shared" si="2"/>
        <v>6.6919426527303214</v>
      </c>
      <c r="AB3">
        <f t="shared" si="2"/>
        <v>6.6919426527303214</v>
      </c>
      <c r="AC3">
        <f t="shared" si="2"/>
        <v>6.6919426527303214</v>
      </c>
      <c r="AD3">
        <f t="shared" si="2"/>
        <v>6.6919426527303214</v>
      </c>
      <c r="AE3">
        <f t="shared" si="2"/>
        <v>6.6919426527303214</v>
      </c>
      <c r="AF3">
        <f t="shared" si="2"/>
        <v>6.6919426527303214</v>
      </c>
      <c r="AG3">
        <f t="shared" si="2"/>
        <v>6.6919426527303214</v>
      </c>
      <c r="AH3">
        <f t="shared" si="2"/>
        <v>6.6919426527303214</v>
      </c>
      <c r="AI3">
        <f t="shared" si="2"/>
        <v>6.6919426527303214</v>
      </c>
      <c r="AJ3">
        <f t="shared" si="2"/>
        <v>6.6919426527303214</v>
      </c>
    </row>
    <row r="4" spans="1:36">
      <c r="A4" s="1" t="s">
        <v>4</v>
      </c>
      <c r="B4" s="29">
        <f>BAADTbVT_air!L9</f>
        <v>63.556825639903742</v>
      </c>
      <c r="C4" s="3">
        <f t="shared" si="1"/>
        <v>63.556825639903742</v>
      </c>
      <c r="D4" s="3">
        <f t="shared" si="2"/>
        <v>63.556825639903742</v>
      </c>
      <c r="E4" s="3">
        <f t="shared" si="2"/>
        <v>63.556825639903742</v>
      </c>
      <c r="F4" s="3">
        <f t="shared" si="2"/>
        <v>63.556825639903742</v>
      </c>
      <c r="G4" s="3">
        <f t="shared" si="2"/>
        <v>63.556825639903742</v>
      </c>
      <c r="H4" s="3">
        <f t="shared" si="2"/>
        <v>63.556825639903742</v>
      </c>
      <c r="I4" s="3">
        <f t="shared" si="2"/>
        <v>63.556825639903742</v>
      </c>
      <c r="J4" s="3">
        <f t="shared" si="2"/>
        <v>63.556825639903742</v>
      </c>
      <c r="K4" s="3">
        <f t="shared" si="2"/>
        <v>63.556825639903742</v>
      </c>
      <c r="L4" s="3">
        <f t="shared" si="2"/>
        <v>63.556825639903742</v>
      </c>
      <c r="M4" s="3">
        <f t="shared" si="2"/>
        <v>63.556825639903742</v>
      </c>
      <c r="N4" s="3">
        <f t="shared" si="2"/>
        <v>63.556825639903742</v>
      </c>
      <c r="O4" s="3">
        <f t="shared" si="2"/>
        <v>63.556825639903742</v>
      </c>
      <c r="P4" s="3">
        <f t="shared" si="2"/>
        <v>63.556825639903742</v>
      </c>
      <c r="Q4" s="3">
        <f t="shared" si="2"/>
        <v>63.556825639903742</v>
      </c>
      <c r="R4" s="3">
        <f t="shared" si="2"/>
        <v>63.556825639903742</v>
      </c>
      <c r="S4" s="3">
        <f t="shared" si="2"/>
        <v>63.556825639903742</v>
      </c>
      <c r="T4" s="3">
        <f t="shared" si="2"/>
        <v>63.556825639903742</v>
      </c>
      <c r="U4" s="3">
        <f t="shared" si="2"/>
        <v>63.556825639903742</v>
      </c>
      <c r="V4" s="3">
        <f t="shared" si="2"/>
        <v>63.556825639903742</v>
      </c>
      <c r="W4" s="3">
        <f t="shared" si="2"/>
        <v>63.556825639903742</v>
      </c>
      <c r="X4" s="3">
        <f t="shared" si="2"/>
        <v>63.556825639903742</v>
      </c>
      <c r="Y4" s="3">
        <f t="shared" si="2"/>
        <v>63.556825639903742</v>
      </c>
      <c r="Z4" s="3">
        <f t="shared" si="2"/>
        <v>63.556825639903742</v>
      </c>
      <c r="AA4" s="3">
        <f t="shared" si="2"/>
        <v>63.556825639903742</v>
      </c>
      <c r="AB4" s="3">
        <f t="shared" si="2"/>
        <v>63.556825639903742</v>
      </c>
      <c r="AC4" s="3">
        <f t="shared" si="2"/>
        <v>63.556825639903742</v>
      </c>
      <c r="AD4" s="3">
        <f t="shared" si="2"/>
        <v>63.556825639903742</v>
      </c>
      <c r="AE4" s="3">
        <f t="shared" si="2"/>
        <v>63.556825639903742</v>
      </c>
      <c r="AF4" s="3">
        <f t="shared" si="2"/>
        <v>63.556825639903742</v>
      </c>
      <c r="AG4" s="3">
        <f t="shared" si="2"/>
        <v>63.556825639903742</v>
      </c>
      <c r="AH4" s="3">
        <f t="shared" si="2"/>
        <v>63.556825639903742</v>
      </c>
      <c r="AI4" s="3">
        <f t="shared" si="2"/>
        <v>63.556825639903742</v>
      </c>
      <c r="AJ4" s="3">
        <f t="shared" si="2"/>
        <v>63.556825639903742</v>
      </c>
    </row>
    <row r="5" spans="1:36">
      <c r="A5" s="1" t="s">
        <v>5</v>
      </c>
      <c r="B5" s="29">
        <f>rail!C15</f>
        <v>1514.4</v>
      </c>
      <c r="C5" s="3">
        <f t="shared" si="1"/>
        <v>1514.4</v>
      </c>
      <c r="D5" s="3">
        <f t="shared" si="2"/>
        <v>1514.4</v>
      </c>
      <c r="E5" s="3">
        <f t="shared" si="2"/>
        <v>1514.4</v>
      </c>
      <c r="F5" s="3">
        <f t="shared" si="2"/>
        <v>1514.4</v>
      </c>
      <c r="G5" s="3">
        <f t="shared" si="2"/>
        <v>1514.4</v>
      </c>
      <c r="H5" s="3">
        <f t="shared" si="2"/>
        <v>1514.4</v>
      </c>
      <c r="I5" s="3">
        <f t="shared" si="2"/>
        <v>1514.4</v>
      </c>
      <c r="J5" s="3">
        <f t="shared" si="2"/>
        <v>1514.4</v>
      </c>
      <c r="K5" s="3">
        <f t="shared" si="2"/>
        <v>1514.4</v>
      </c>
      <c r="L5" s="3">
        <f t="shared" si="2"/>
        <v>1514.4</v>
      </c>
      <c r="M5" s="3">
        <f t="shared" si="2"/>
        <v>1514.4</v>
      </c>
      <c r="N5" s="3">
        <f t="shared" si="2"/>
        <v>1514.4</v>
      </c>
      <c r="O5" s="3">
        <f t="shared" si="2"/>
        <v>1514.4</v>
      </c>
      <c r="P5" s="3">
        <f t="shared" si="2"/>
        <v>1514.4</v>
      </c>
      <c r="Q5" s="3">
        <f t="shared" si="2"/>
        <v>1514.4</v>
      </c>
      <c r="R5" s="3">
        <f t="shared" si="2"/>
        <v>1514.4</v>
      </c>
      <c r="S5" s="3">
        <f t="shared" si="2"/>
        <v>1514.4</v>
      </c>
      <c r="T5" s="3">
        <f t="shared" si="2"/>
        <v>1514.4</v>
      </c>
      <c r="U5" s="3">
        <f t="shared" si="2"/>
        <v>1514.4</v>
      </c>
      <c r="V5" s="3">
        <f t="shared" si="2"/>
        <v>1514.4</v>
      </c>
      <c r="W5" s="3">
        <f t="shared" si="2"/>
        <v>1514.4</v>
      </c>
      <c r="X5" s="3">
        <f t="shared" si="2"/>
        <v>1514.4</v>
      </c>
      <c r="Y5" s="3">
        <f t="shared" si="2"/>
        <v>1514.4</v>
      </c>
      <c r="Z5" s="3">
        <f t="shared" si="2"/>
        <v>1514.4</v>
      </c>
      <c r="AA5" s="3">
        <f t="shared" si="2"/>
        <v>1514.4</v>
      </c>
      <c r="AB5" s="3">
        <f t="shared" si="2"/>
        <v>1514.4</v>
      </c>
      <c r="AC5" s="3">
        <f t="shared" si="2"/>
        <v>1514.4</v>
      </c>
      <c r="AD5" s="3">
        <f t="shared" si="2"/>
        <v>1514.4</v>
      </c>
      <c r="AE5" s="3">
        <f t="shared" si="2"/>
        <v>1514.4</v>
      </c>
      <c r="AF5" s="3">
        <f t="shared" si="2"/>
        <v>1514.4</v>
      </c>
      <c r="AG5" s="3">
        <f t="shared" si="2"/>
        <v>1514.4</v>
      </c>
      <c r="AH5" s="3">
        <f t="shared" si="2"/>
        <v>1514.4</v>
      </c>
      <c r="AI5" s="3">
        <f t="shared" si="2"/>
        <v>1514.4</v>
      </c>
      <c r="AJ5" s="3">
        <f t="shared" si="2"/>
        <v>1514.4</v>
      </c>
    </row>
    <row r="6" spans="1:36">
      <c r="A6" s="1" t="s">
        <v>6</v>
      </c>
      <c r="B6" s="106">
        <f>'US AVLo'!$B$14</f>
        <v>1974.4736422180429</v>
      </c>
      <c r="C6" s="106">
        <f>'US AVLo'!$B$14</f>
        <v>1974.4736422180429</v>
      </c>
      <c r="D6" s="106">
        <f>'US AVLo'!$B$14</f>
        <v>1974.4736422180429</v>
      </c>
      <c r="E6" s="106">
        <f>'US AVLo'!$B$14</f>
        <v>1974.4736422180429</v>
      </c>
      <c r="F6" s="106">
        <f>'US AVLo'!$B$14</f>
        <v>1974.4736422180429</v>
      </c>
      <c r="G6" s="106">
        <f>'US AVLo'!$B$14</f>
        <v>1974.4736422180429</v>
      </c>
      <c r="H6" s="106">
        <f>'US AVLo'!$B$14</f>
        <v>1974.4736422180429</v>
      </c>
      <c r="I6" s="106">
        <f>'US AVLo'!$B$14</f>
        <v>1974.4736422180429</v>
      </c>
      <c r="J6" s="106">
        <f>'US AVLo'!$B$14</f>
        <v>1974.4736422180429</v>
      </c>
      <c r="K6" s="106">
        <f>'US AVLo'!$B$14</f>
        <v>1974.4736422180429</v>
      </c>
      <c r="L6" s="106">
        <f>'US AVLo'!$B$14</f>
        <v>1974.4736422180429</v>
      </c>
      <c r="M6" s="106">
        <f>'US AVLo'!$B$14</f>
        <v>1974.4736422180429</v>
      </c>
      <c r="N6" s="106">
        <f>'US AVLo'!$B$14</f>
        <v>1974.4736422180429</v>
      </c>
      <c r="O6" s="106">
        <f>'US AVLo'!$B$14</f>
        <v>1974.4736422180429</v>
      </c>
      <c r="P6" s="106">
        <f>'US AVLo'!$B$14</f>
        <v>1974.4736422180429</v>
      </c>
      <c r="Q6" s="106">
        <f>'US AVLo'!$B$14</f>
        <v>1974.4736422180429</v>
      </c>
      <c r="R6" s="106">
        <f>'US AVLo'!$B$14</f>
        <v>1974.4736422180429</v>
      </c>
      <c r="S6" s="106">
        <f>'US AVLo'!$B$14</f>
        <v>1974.4736422180429</v>
      </c>
      <c r="T6" s="106">
        <f>'US AVLo'!$B$14</f>
        <v>1974.4736422180429</v>
      </c>
      <c r="U6" s="106">
        <f>'US AVLo'!$B$14</f>
        <v>1974.4736422180429</v>
      </c>
      <c r="V6" s="106">
        <f>'US AVLo'!$B$14</f>
        <v>1974.4736422180429</v>
      </c>
      <c r="W6" s="106">
        <f>'US AVLo'!$B$14</f>
        <v>1974.4736422180429</v>
      </c>
      <c r="X6" s="106">
        <f>'US AVLo'!$B$14</f>
        <v>1974.4736422180429</v>
      </c>
      <c r="Y6" s="106">
        <f>'US AVLo'!$B$14</f>
        <v>1974.4736422180429</v>
      </c>
      <c r="Z6" s="106">
        <f>'US AVLo'!$B$14</f>
        <v>1974.4736422180429</v>
      </c>
      <c r="AA6" s="106">
        <f>'US AVLo'!$B$14</f>
        <v>1974.4736422180429</v>
      </c>
      <c r="AB6" s="106">
        <f>'US AVLo'!$B$14</f>
        <v>1974.4736422180429</v>
      </c>
      <c r="AC6" s="106">
        <f>'US AVLo'!$B$14</f>
        <v>1974.4736422180429</v>
      </c>
      <c r="AD6" s="106">
        <f>'US AVLo'!$B$14</f>
        <v>1974.4736422180429</v>
      </c>
      <c r="AE6" s="106">
        <f>'US AVLo'!$B$14</f>
        <v>1974.4736422180429</v>
      </c>
      <c r="AF6" s="106">
        <f>'US AVLo'!$B$14</f>
        <v>1974.4736422180429</v>
      </c>
      <c r="AG6" s="106">
        <f>'US AVLo'!$B$14</f>
        <v>1974.4736422180429</v>
      </c>
      <c r="AH6" s="106">
        <f>'US AVLo'!$B$14</f>
        <v>1974.4736422180429</v>
      </c>
      <c r="AI6" s="106">
        <f>'US AVLo'!$B$14</f>
        <v>1974.4736422180429</v>
      </c>
      <c r="AJ6" s="106">
        <f>'US AVLo'!$B$14</f>
        <v>1974.4736422180429</v>
      </c>
    </row>
    <row r="7" spans="1:36">
      <c r="A7" s="1" t="s">
        <v>7</v>
      </c>
      <c r="B7" s="25">
        <v>3.0000000000000001E-3</v>
      </c>
      <c r="C7">
        <f t="shared" si="1"/>
        <v>3.0000000000000001E-3</v>
      </c>
      <c r="D7">
        <f t="shared" si="2"/>
        <v>3.0000000000000001E-3</v>
      </c>
      <c r="E7">
        <f t="shared" si="2"/>
        <v>3.0000000000000001E-3</v>
      </c>
      <c r="F7">
        <f t="shared" si="2"/>
        <v>3.0000000000000001E-3</v>
      </c>
      <c r="G7">
        <f t="shared" si="2"/>
        <v>3.0000000000000001E-3</v>
      </c>
      <c r="H7">
        <f t="shared" si="2"/>
        <v>3.0000000000000001E-3</v>
      </c>
      <c r="I7">
        <f t="shared" si="2"/>
        <v>3.0000000000000001E-3</v>
      </c>
      <c r="J7">
        <f t="shared" si="2"/>
        <v>3.0000000000000001E-3</v>
      </c>
      <c r="K7">
        <f t="shared" si="2"/>
        <v>3.0000000000000001E-3</v>
      </c>
      <c r="L7">
        <f t="shared" si="2"/>
        <v>3.0000000000000001E-3</v>
      </c>
      <c r="M7">
        <f t="shared" si="2"/>
        <v>3.0000000000000001E-3</v>
      </c>
      <c r="N7">
        <f t="shared" si="2"/>
        <v>3.0000000000000001E-3</v>
      </c>
      <c r="O7">
        <f t="shared" si="2"/>
        <v>3.0000000000000001E-3</v>
      </c>
      <c r="P7">
        <f t="shared" si="2"/>
        <v>3.0000000000000001E-3</v>
      </c>
      <c r="Q7">
        <f t="shared" si="2"/>
        <v>3.0000000000000001E-3</v>
      </c>
      <c r="R7">
        <f t="shared" si="2"/>
        <v>3.0000000000000001E-3</v>
      </c>
      <c r="S7">
        <f t="shared" si="2"/>
        <v>3.0000000000000001E-3</v>
      </c>
      <c r="T7">
        <f t="shared" si="2"/>
        <v>3.0000000000000001E-3</v>
      </c>
      <c r="U7">
        <f t="shared" si="2"/>
        <v>3.0000000000000001E-3</v>
      </c>
      <c r="V7">
        <f t="shared" si="2"/>
        <v>3.0000000000000001E-3</v>
      </c>
      <c r="W7">
        <f t="shared" si="2"/>
        <v>3.0000000000000001E-3</v>
      </c>
      <c r="X7">
        <f t="shared" si="2"/>
        <v>3.0000000000000001E-3</v>
      </c>
      <c r="Y7">
        <f t="shared" si="2"/>
        <v>3.0000000000000001E-3</v>
      </c>
      <c r="Z7">
        <f t="shared" si="2"/>
        <v>3.0000000000000001E-3</v>
      </c>
      <c r="AA7">
        <f t="shared" si="2"/>
        <v>3.0000000000000001E-3</v>
      </c>
      <c r="AB7">
        <f t="shared" si="2"/>
        <v>3.0000000000000001E-3</v>
      </c>
      <c r="AC7">
        <f t="shared" si="2"/>
        <v>3.0000000000000001E-3</v>
      </c>
      <c r="AD7">
        <f t="shared" si="2"/>
        <v>3.0000000000000001E-3</v>
      </c>
      <c r="AE7">
        <f t="shared" si="2"/>
        <v>3.0000000000000001E-3</v>
      </c>
      <c r="AF7">
        <f t="shared" si="2"/>
        <v>3.0000000000000001E-3</v>
      </c>
      <c r="AG7">
        <f t="shared" si="2"/>
        <v>3.0000000000000001E-3</v>
      </c>
      <c r="AH7">
        <f t="shared" si="2"/>
        <v>3.0000000000000001E-3</v>
      </c>
      <c r="AI7">
        <f t="shared" si="2"/>
        <v>3.0000000000000001E-3</v>
      </c>
      <c r="AJ7">
        <f t="shared" si="2"/>
        <v>3.0000000000000001E-3</v>
      </c>
    </row>
  </sheetData>
  <phoneticPr fontId="4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39C0F6-B00C-4379-81CA-44285F52FF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D16A6B-8B1B-4121-BE38-0F3E968A7BF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0D49544-8BCC-440A-9096-15397E5D55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DV-psgr</vt:lpstr>
      <vt:lpstr>DV-freight</vt:lpstr>
      <vt:lpstr>BAADTbVT_air</vt:lpstr>
      <vt:lpstr>ships-psgr</vt:lpstr>
      <vt:lpstr>ships-frgt</vt:lpstr>
      <vt:lpstr>subway</vt:lpstr>
      <vt:lpstr>고속철도 여객수송동향</vt:lpstr>
      <vt:lpstr>열차 여객수송인원</vt:lpstr>
      <vt:lpstr>Air-Calcs</vt:lpstr>
      <vt:lpstr>rail</vt:lpstr>
      <vt:lpstr>US AVLo</vt:lpstr>
      <vt:lpstr>SYAVLo-passengers</vt:lpstr>
      <vt:lpstr>SYAVLo-freight</vt:lpstr>
      <vt:lpstr>AVLo-passengers</vt:lpstr>
      <vt:lpstr>AVLo-freight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2015-06-16T22:55:39Z</dcterms:created>
  <dcterms:modified xsi:type="dcterms:W3CDTF">2026-09-17T13:40:41Z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