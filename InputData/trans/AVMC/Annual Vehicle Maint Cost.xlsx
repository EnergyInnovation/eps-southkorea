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rvis\Dropbox (Energy InNovation)\My Documents\Energy Policy Solutions\US\Models\eps-us-analysis\InputData\trans\AVMC\"/>
    </mc:Choice>
  </mc:AlternateContent>
  <xr:revisionPtr revIDLastSave="0" documentId="13_ncr:1_{04B3C505-ECAA-49CA-9672-DF5CF56F78F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About" sheetId="1" r:id="rId1"/>
    <sheet name="Cost Data" sheetId="16" r:id="rId2"/>
    <sheet name="AVMC-passenger" sheetId="2" r:id="rId3"/>
    <sheet name="AVMC-freight" sheetId="4" r:id="rId4"/>
  </sheets>
  <externalReferences>
    <externalReference r:id="rId5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  <c r="B25" i="16"/>
  <c r="C90" i="16"/>
  <c r="B79" i="16"/>
  <c r="B90" i="16" s="1"/>
  <c r="G6" i="2" l="1"/>
  <c r="F6" i="2"/>
  <c r="C6" i="2"/>
  <c r="D6" i="2"/>
  <c r="E6" i="2"/>
  <c r="B99" i="16"/>
  <c r="C99" i="16"/>
  <c r="B49" i="16"/>
  <c r="B50" i="16"/>
  <c r="C6" i="4" l="1"/>
  <c r="D6" i="4"/>
  <c r="E6" i="4"/>
  <c r="F6" i="4"/>
  <c r="G6" i="4"/>
  <c r="B51" i="16"/>
  <c r="B54" i="16" l="1"/>
  <c r="B56" i="16" s="1"/>
  <c r="B53" i="16"/>
  <c r="B55" i="16" s="1"/>
  <c r="C98" i="16" l="1"/>
  <c r="C89" i="16"/>
  <c r="B98" i="16"/>
  <c r="B89" i="16"/>
  <c r="B61" i="16"/>
  <c r="B91" i="16" s="1"/>
  <c r="B38" i="16"/>
  <c r="B41" i="16" s="1"/>
  <c r="F5" i="2" l="1"/>
  <c r="D5" i="2"/>
  <c r="G5" i="2"/>
  <c r="E5" i="2"/>
  <c r="C5" i="2"/>
  <c r="H5" i="2"/>
  <c r="B5" i="2"/>
  <c r="E5" i="4"/>
  <c r="F5" i="4"/>
  <c r="C5" i="4"/>
  <c r="D5" i="4"/>
  <c r="G5" i="4"/>
  <c r="H5" i="4"/>
  <c r="B5" i="4"/>
  <c r="G7" i="2"/>
  <c r="C7" i="2"/>
  <c r="E7" i="2"/>
  <c r="F7" i="2"/>
  <c r="D7" i="2"/>
  <c r="B88" i="16"/>
  <c r="B97" i="16" l="1"/>
  <c r="F4" i="2"/>
  <c r="D4" i="2"/>
  <c r="E4" i="2"/>
  <c r="G4" i="2"/>
  <c r="C4" i="2"/>
  <c r="C97" i="16"/>
  <c r="C100" i="16"/>
  <c r="B100" i="16"/>
  <c r="B32" i="16"/>
  <c r="B34" i="16" s="1"/>
  <c r="C87" i="16" s="1"/>
  <c r="B31" i="16"/>
  <c r="B33" i="16" s="1"/>
  <c r="B87" i="16" s="1"/>
  <c r="B3" i="2" l="1"/>
  <c r="H3" i="2"/>
  <c r="G3" i="2"/>
  <c r="C3" i="2"/>
  <c r="E3" i="2"/>
  <c r="F3" i="2"/>
  <c r="D3" i="2"/>
  <c r="E4" i="4"/>
  <c r="C4" i="4"/>
  <c r="F4" i="4"/>
  <c r="G4" i="4"/>
  <c r="D4" i="4"/>
  <c r="B96" i="16"/>
  <c r="B21" i="16"/>
  <c r="C86" i="16" s="1"/>
  <c r="B20" i="16"/>
  <c r="B86" i="16" s="1"/>
  <c r="F3" i="4" l="1"/>
  <c r="D3" i="4"/>
  <c r="C3" i="4"/>
  <c r="E3" i="4"/>
  <c r="G3" i="4"/>
  <c r="C96" i="16"/>
  <c r="H3" i="4" s="1"/>
  <c r="B95" i="16"/>
  <c r="G2" i="2"/>
  <c r="C2" i="2"/>
  <c r="E2" i="2"/>
  <c r="F2" i="2"/>
  <c r="D2" i="2"/>
  <c r="H2" i="2"/>
  <c r="B2" i="2"/>
  <c r="C95" i="16"/>
  <c r="C91" i="16"/>
  <c r="C88" i="16"/>
  <c r="H7" i="2" l="1"/>
  <c r="B7" i="2"/>
  <c r="H2" i="4"/>
  <c r="B2" i="4"/>
  <c r="E2" i="4"/>
  <c r="F2" i="4"/>
  <c r="G2" i="4"/>
  <c r="D2" i="4"/>
  <c r="C2" i="4"/>
</calcChain>
</file>

<file path=xl/sharedStrings.xml><?xml version="1.0" encoding="utf-8"?>
<sst xmlns="http://schemas.openxmlformats.org/spreadsheetml/2006/main" count="213" uniqueCount="140">
  <si>
    <t>Sources:</t>
  </si>
  <si>
    <t>Notes</t>
  </si>
  <si>
    <t>LDVs</t>
  </si>
  <si>
    <t>HDVs</t>
  </si>
  <si>
    <t>aircraft</t>
  </si>
  <si>
    <t>rail</t>
  </si>
  <si>
    <t>ships</t>
  </si>
  <si>
    <t>motorbikes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</si>
  <si>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</si>
  <si>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</si>
  <si>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</si>
  <si>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</si>
  <si>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</si>
  <si>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</si>
  <si>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</si>
  <si>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$/year</t>
  </si>
  <si>
    <t>Page 12, Figure 7</t>
  </si>
  <si>
    <t>https://www.2degreesinstitute.org/reports/comparing_fuel_and_maintenance_costs_of_electric_and_gas_powered_vehicles_in_canada.pdf</t>
  </si>
  <si>
    <t>Comparing Fuel and Maintenance Costs of Electric and Gas Powered Vehiclesin Canada</t>
  </si>
  <si>
    <t>2 Degrees Institute</t>
  </si>
  <si>
    <t>ICE</t>
  </si>
  <si>
    <t>2018 CAD/yr</t>
  </si>
  <si>
    <t>BEV</t>
  </si>
  <si>
    <t>https://www.energy.gov/sites/prod/files/2014/03/f10/fuel_cell_mhe_cost.pdf</t>
  </si>
  <si>
    <t>https://www.energy.gov/eere/electricvehicles/electric-car-safety-maintenance-and-battery-life</t>
  </si>
  <si>
    <t>LDVs (ICE and BEV)</t>
  </si>
  <si>
    <t>Overall Assumptions</t>
  </si>
  <si>
    <t>We assume that internal combustion engine (ICE) costs apply to all of the following vehicle technologies:</t>
  </si>
  <si>
    <t>gasoline vehicle, diesel vehicle, natural gas vehicle, LPG vehicle, plug-in hybrid vehicle</t>
  </si>
  <si>
    <t>The assumption that plug-in hybrids (which contain an ICE engine) have similar annual maintenance costs</t>
  </si>
  <si>
    <t>to other ICE vehicles (e.g. the battery adds negligible cost) is in line with U.S. DOE guidelines at:</t>
  </si>
  <si>
    <t>We assume that battery electric vehicle (BEV) costs apply to all of the following vehicle technologies:</t>
  </si>
  <si>
    <t>battery electric vehicle, hydrogen vehicle</t>
  </si>
  <si>
    <t>Today, hydrogen vehicles are typically fuel cell vehicles (not internal combustion vehicles), and we assume they have</t>
  </si>
  <si>
    <t>similar maintenance costs to pure BEVs.  This is in line with the findings of an NREL study of BEV vs. fuel cell lift trucks:</t>
  </si>
  <si>
    <t>Currency Conversion</t>
  </si>
  <si>
    <t>2018 CAD per 2018 USD</t>
  </si>
  <si>
    <t>2012 USD per 2018 USD</t>
  </si>
  <si>
    <t>2012 USD/yr</t>
  </si>
  <si>
    <t>HDVs (Trucks)</t>
  </si>
  <si>
    <t>Truck Driver Institute</t>
  </si>
  <si>
    <t>Freight HDVs</t>
  </si>
  <si>
    <t>https://www.drivebigtrucks.com/trucking-news/the-real-operating-cost-of-a-commercial-truck/</t>
  </si>
  <si>
    <t>What is the real cost of truck driving?</t>
  </si>
  <si>
    <t>Infographic</t>
  </si>
  <si>
    <t>HDVs (Buses)</t>
  </si>
  <si>
    <t>CNG</t>
  </si>
  <si>
    <t>2016 USD/mile</t>
  </si>
  <si>
    <t>CA Air Resources Board</t>
  </si>
  <si>
    <t>dist traveled</t>
  </si>
  <si>
    <t>miles/year</t>
  </si>
  <si>
    <t>see BAADTbVT</t>
  </si>
  <si>
    <t>2016 USD/yr</t>
  </si>
  <si>
    <t>2012 USD per 2016 USD</t>
  </si>
  <si>
    <t>Passenger</t>
  </si>
  <si>
    <t>Freight</t>
  </si>
  <si>
    <t>maintenance</t>
  </si>
  <si>
    <t>block hrs/day</t>
  </si>
  <si>
    <t>days/yr</t>
  </si>
  <si>
    <t>ICAO</t>
  </si>
  <si>
    <t>Passenger HDVs</t>
  </si>
  <si>
    <t>California Air Resources Board</t>
  </si>
  <si>
    <t>Aircraft</t>
  </si>
  <si>
    <t>Airline Operating Costs and Productivity</t>
  </si>
  <si>
    <t>https://www.icao.int/MID/Documents/2017/Aviation%20Data%20and%20Analysis%20Seminar/PPT3%20-%20Airlines%20Operating%20costs%20and%20productivity.pdf</t>
  </si>
  <si>
    <t>Page 10 (B757-200 example)</t>
  </si>
  <si>
    <t>Literature Review on Transit Bus Maintenance Cost</t>
  </si>
  <si>
    <t>https://ww3.arb.ca.gov/msprog/bus/maintenance_cost.pdf</t>
  </si>
  <si>
    <t>Page 8, Table 2 (2016 Foothill Transit study)</t>
  </si>
  <si>
    <t>Motorbikes</t>
  </si>
  <si>
    <t>Motorbike (Motorcycle)</t>
  </si>
  <si>
    <t>2017 USD / block-hr</t>
  </si>
  <si>
    <t>2012 USD / block-hr</t>
  </si>
  <si>
    <t>2012 USD per 2017 USD</t>
  </si>
  <si>
    <t>2018 USD/yr</t>
  </si>
  <si>
    <t>Note that a survey by the Motorcycle Industry Council finds that the average motorcycle owner</t>
  </si>
  <si>
    <t>spends far less than this on maintenance each year ($138/yr on most items, plus $105/yr on tires,</t>
  </si>
  <si>
    <t>for a total of $243/yr), because many owners do maintenance themselves or get a friend or family</t>
  </si>
  <si>
    <t>member to do it, rather than buying it commercially.  See:</t>
  </si>
  <si>
    <t>https://www.insurance.com/motorcycle/is-riding-a-motorcycle-cheaper.html</t>
  </si>
  <si>
    <t>We use the cost of purchasing maintenance, rather than the average cost (that includes do-it-yourself owners).</t>
  </si>
  <si>
    <t>Jordan Stokes</t>
  </si>
  <si>
    <t>https://gorollick.com/articles/consumer/the-true-cost-of-motorcycle-ownership-its-more-than-just-the-bike/</t>
  </si>
  <si>
    <t>The True Cost of Motorcycle Ownership: It's More than Just the Bike</t>
  </si>
  <si>
    <t>conventional diesel locomotive (79 mph)</t>
  </si>
  <si>
    <t>electric locomotive (150 mph)</t>
  </si>
  <si>
    <t>2008 USD/mile</t>
  </si>
  <si>
    <t>miles/hour</t>
  </si>
  <si>
    <t>conversion factor</t>
  </si>
  <si>
    <t>avg dist traveled per locomotive per year</t>
  </si>
  <si>
    <t>Upper Great Plains Transportation Institute</t>
  </si>
  <si>
    <t>diesel maintenance</t>
  </si>
  <si>
    <t>2008 USD/yr</t>
  </si>
  <si>
    <t>hours/yr</t>
  </si>
  <si>
    <t>miles/yr</t>
  </si>
  <si>
    <t>electric maintenance</t>
  </si>
  <si>
    <t>maintenance costs</t>
  </si>
  <si>
    <t>Rocky Mountain Rail Authority</t>
  </si>
  <si>
    <t>rail (maintenance cost per mile)</t>
  </si>
  <si>
    <t>High-Speed Rail Feasibility Study</t>
  </si>
  <si>
    <t>http://rockymountainrail.org/documents/RMRABP_CH7_OperatingCosts_03.2010.pdf</t>
  </si>
  <si>
    <t>Pages 7-4 and 7-5, Exhibit 7-2</t>
  </si>
  <si>
    <t>rail (annual average travel distance)</t>
  </si>
  <si>
    <t>Analysis of Railroad Energy Efficiency in the United States</t>
  </si>
  <si>
    <t>https://www.ugpti.org/resources/reports/downloads/mpc13-250.pdf</t>
  </si>
  <si>
    <t xml:space="preserve">Page 10, Figure 3.3.1 (also page 13, table 3.8, observed values) </t>
  </si>
  <si>
    <t>2012 USD per 2008 USD</t>
  </si>
  <si>
    <t>These maintenance costs are for the entire train, not just the locomotive.</t>
  </si>
  <si>
    <t>avg speed (24-hours)</t>
  </si>
  <si>
    <t>EV</t>
  </si>
  <si>
    <t>Freight ship represented by example container ship</t>
  </si>
  <si>
    <t>maintenance and repairs</t>
  </si>
  <si>
    <t>ships (freight)</t>
  </si>
  <si>
    <t>SPAR Associates</t>
  </si>
  <si>
    <t>http://www.sparusa.com/Presentations/Presentation-Commercial%20Ship%20Life%20Cycle%20&amp;%20Required%20Freight%20Rate%20(RFR)%20Cost%20Model.pdf</t>
  </si>
  <si>
    <t>Slide 24</t>
  </si>
  <si>
    <t>Estimating Commercial Ship Life Cycle Cost &amp; Required Freight Rate (3-Port Model)</t>
  </si>
  <si>
    <t>Passenger ship is a recreational boat in the U.S.</t>
  </si>
  <si>
    <t>Note that in many other regional adaptations, it is a commercial</t>
  </si>
  <si>
    <t>passenger ferry, so the maintenance values here should be</t>
  </si>
  <si>
    <t>updated if this is the case.</t>
  </si>
  <si>
    <t>percent of purchase price/yr</t>
  </si>
  <si>
    <t>typical purchase price</t>
  </si>
  <si>
    <t>2012 USD</t>
  </si>
  <si>
    <t>See trans/BNVP</t>
  </si>
  <si>
    <t>ships (passenger) - this is recreational boats for the U.S. model</t>
  </si>
  <si>
    <t>The Cost of Owning a Boat: Budgeting and Financial Planning</t>
  </si>
  <si>
    <t>Boats.com</t>
  </si>
  <si>
    <t>https://www.boats.com/boat-buyers-guide/cost-of-owning-a-boat-budgeting-financial-planning/</t>
  </si>
  <si>
    <t>"Maintenance and Repairs" section</t>
  </si>
  <si>
    <t>We also use this category for electric rail, even though the locomotives are powered by third rail or catenary wire,</t>
  </si>
  <si>
    <t>rather than batteries.</t>
  </si>
  <si>
    <t>AVMC Annual Vehicle Maintenance Cost</t>
  </si>
  <si>
    <t>2020 USD/yr</t>
  </si>
  <si>
    <t>Freight BEV HDVs</t>
  </si>
  <si>
    <t>LBNL</t>
  </si>
  <si>
    <t>Why Regional and Long-Haul Trucks are Primed for Electrification Now</t>
  </si>
  <si>
    <t>https://eta-publications.lbl.gov/sites/default/files/updated_5_final_ehdv_report_033121.pdf</t>
  </si>
  <si>
    <t>Table 3</t>
  </si>
  <si>
    <t>LBNL: Includes annual ongoing mainteance and annualized battery replacement every 7 years over a 28 year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</si>
</sst>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&quot;$&quot;#,##0.00"/>
    <numFmt numFmtId="167" formatCode="&quot;$&quot;#,##0"/>
    <numFmt numFmtId="168" formatCode="0.0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Helv"/>
    </font>
    <font>
      <b/>
      <sz val="10"/>
      <name val="Helv"/>
    </font>
    <font>
      <b/>
      <sz val="14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theme="1"/>
      <name val="Calibri"/>
      <family val="2"/>
      <charset val="129"/>
      <scheme val="minor"/>
    </font>
    <font>
      <sz val="10"/>
      <name val="HELV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9"/>
      <name val="Helv"/>
    </font>
    <font>
      <sz val="8.5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P-AVGARD"/>
    </font>
    <font>
      <sz val="6"/>
      <name val="P-AVGARD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41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/>
    <xf numFmtId="0" fontId="8" fillId="0" borderId="0">
      <alignment horizontal="left"/>
    </xf>
    <xf numFmtId="0" fontId="6" fillId="0" borderId="0"/>
    <xf numFmtId="43" fontId="7" fillId="0" borderId="0" applyFont="0" applyFill="0" applyBorder="0" applyAlignment="0" applyProtection="0"/>
    <xf numFmtId="0" fontId="6" fillId="0" borderId="0"/>
    <xf numFmtId="0" fontId="9" fillId="0" borderId="6">
      <alignment horizontal="left"/>
    </xf>
    <xf numFmtId="0" fontId="10" fillId="0" borderId="0">
      <alignment horizontal="left"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7" applyNumberFormat="0" applyAlignment="0" applyProtection="0"/>
    <xf numFmtId="0" fontId="15" fillId="23" borderId="8" applyNumberFormat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17" fillId="0" borderId="6" applyNumberFormat="0" applyFill="0">
      <alignment horizontal="right"/>
    </xf>
    <xf numFmtId="165" fontId="18" fillId="0" borderId="6">
      <alignment horizontal="right" vertical="center"/>
    </xf>
    <xf numFmtId="49" fontId="19" fillId="0" borderId="6">
      <alignment horizontal="left" vertical="center"/>
    </xf>
    <xf numFmtId="164" fontId="17" fillId="0" borderId="6" applyNumberFormat="0" applyFill="0">
      <alignment horizontal="right"/>
    </xf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2">
      <alignment horizontal="right" vertical="center"/>
    </xf>
    <xf numFmtId="0" fontId="26" fillId="0" borderId="6">
      <alignment horizontal="left" vertical="center"/>
    </xf>
    <xf numFmtId="0" fontId="17" fillId="0" borderId="6">
      <alignment horizontal="left" vertical="center"/>
    </xf>
    <xf numFmtId="0" fontId="9" fillId="0" borderId="6">
      <alignment horizontal="left"/>
    </xf>
    <xf numFmtId="0" fontId="9" fillId="24" borderId="0">
      <alignment horizontal="centerContinuous" wrapText="1"/>
    </xf>
    <xf numFmtId="0" fontId="27" fillId="9" borderId="7" applyNumberFormat="0" applyAlignment="0" applyProtection="0"/>
    <xf numFmtId="0" fontId="28" fillId="0" borderId="13" applyNumberFormat="0" applyFill="0" applyAlignment="0" applyProtection="0"/>
    <xf numFmtId="0" fontId="29" fillId="25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37" fontId="30" fillId="0" borderId="0"/>
    <xf numFmtId="0" fontId="6" fillId="0" borderId="0"/>
    <xf numFmtId="37" fontId="3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3" borderId="5" applyNumberFormat="0" applyFont="0" applyAlignment="0" applyProtection="0"/>
    <xf numFmtId="0" fontId="7" fillId="26" borderId="14" applyNumberFormat="0" applyFont="0" applyAlignment="0" applyProtection="0"/>
    <xf numFmtId="0" fontId="32" fillId="22" borderId="15" applyNumberFormat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>
      <alignment horizontal="right"/>
    </xf>
    <xf numFmtId="0" fontId="19" fillId="0" borderId="0">
      <alignment horizontal="right"/>
    </xf>
    <xf numFmtId="49" fontId="18" fillId="0" borderId="0">
      <alignment horizontal="left" vertical="center"/>
    </xf>
    <xf numFmtId="49" fontId="19" fillId="0" borderId="6">
      <alignment horizontal="left"/>
    </xf>
    <xf numFmtId="164" fontId="18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6">
      <alignment horizontal="left" vertical="center"/>
    </xf>
    <xf numFmtId="0" fontId="33" fillId="0" borderId="0" applyNumberFormat="0" applyFill="0" applyBorder="0" applyAlignment="0" applyProtection="0"/>
    <xf numFmtId="0" fontId="9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49" fontId="18" fillId="0" borderId="6">
      <alignment horizontal="left"/>
    </xf>
    <xf numFmtId="0" fontId="25" fillId="0" borderId="12">
      <alignment horizontal="left"/>
    </xf>
    <xf numFmtId="0" fontId="9" fillId="0" borderId="0">
      <alignment horizontal="left" vertical="center"/>
    </xf>
    <xf numFmtId="0" fontId="3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1" fontId="0" fillId="0" borderId="0" xfId="0" applyNumberFormat="1" applyFill="1"/>
    <xf numFmtId="0" fontId="1" fillId="0" borderId="0" xfId="0" applyFont="1" applyAlignment="1">
      <alignment wrapText="1"/>
    </xf>
    <xf numFmtId="0" fontId="0" fillId="0" borderId="0" xfId="0" applyFill="1"/>
    <xf numFmtId="0" fontId="37" fillId="0" borderId="0" xfId="140"/>
    <xf numFmtId="6" fontId="0" fillId="0" borderId="0" xfId="0" applyNumberFormat="1"/>
    <xf numFmtId="0" fontId="0" fillId="2" borderId="0" xfId="0" applyFill="1"/>
    <xf numFmtId="8" fontId="0" fillId="0" borderId="0" xfId="0" applyNumberFormat="1"/>
    <xf numFmtId="166" fontId="0" fillId="0" borderId="0" xfId="0" applyNumberFormat="1"/>
    <xf numFmtId="0" fontId="38" fillId="0" borderId="0" xfId="0" applyFont="1"/>
    <xf numFmtId="0" fontId="1" fillId="28" borderId="0" xfId="0" applyFont="1" applyFill="1"/>
    <xf numFmtId="0" fontId="0" fillId="28" borderId="0" xfId="0" applyFill="1"/>
    <xf numFmtId="167" fontId="0" fillId="0" borderId="0" xfId="0" applyNumberFormat="1"/>
    <xf numFmtId="166" fontId="0" fillId="2" borderId="0" xfId="0" applyNumberFormat="1" applyFill="1"/>
    <xf numFmtId="0" fontId="0" fillId="0" borderId="0" xfId="0" applyNumberFormat="1"/>
    <xf numFmtId="167" fontId="0" fillId="30" borderId="0" xfId="0" applyNumberFormat="1" applyFill="1"/>
    <xf numFmtId="167" fontId="0" fillId="29" borderId="0" xfId="0" applyNumberFormat="1" applyFill="1"/>
    <xf numFmtId="167" fontId="0" fillId="2" borderId="0" xfId="0" applyNumberFormat="1" applyFill="1"/>
    <xf numFmtId="0" fontId="39" fillId="0" borderId="0" xfId="0" applyFont="1"/>
    <xf numFmtId="168" fontId="0" fillId="0" borderId="0" xfId="0" applyNumberFormat="1"/>
    <xf numFmtId="9" fontId="0" fillId="0" borderId="0" xfId="0" applyNumberFormat="1"/>
    <xf numFmtId="1" fontId="0" fillId="2" borderId="0" xfId="0" applyNumberFormat="1" applyFill="1"/>
    <xf numFmtId="0" fontId="40" fillId="0" borderId="0" xfId="140" applyFont="1"/>
  </cellXfs>
  <cellStyles count="141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Body: normal cell" xfId="4" xr:uid="{00000000-0005-0000-0000-000019000000}"/>
    <cellStyle name="Calculation 2" xfId="40" xr:uid="{00000000-0005-0000-0000-00001A000000}"/>
    <cellStyle name="Check Cell 2" xfId="41" xr:uid="{00000000-0005-0000-0000-00001B000000}"/>
    <cellStyle name="Comma 2" xfId="42" xr:uid="{00000000-0005-0000-0000-00001D000000}"/>
    <cellStyle name="Comma 2 2" xfId="11" xr:uid="{00000000-0005-0000-0000-00001E000000}"/>
    <cellStyle name="Comma 2 2 2" xfId="43" xr:uid="{00000000-0005-0000-0000-00001F000000}"/>
    <cellStyle name="Comma 2 2 3" xfId="44" xr:uid="{00000000-0005-0000-0000-000020000000}"/>
    <cellStyle name="Comma 2 3" xfId="45" xr:uid="{00000000-0005-0000-0000-000021000000}"/>
    <cellStyle name="Comma 3" xfId="46" xr:uid="{00000000-0005-0000-0000-000022000000}"/>
    <cellStyle name="Comma 4" xfId="47" xr:uid="{00000000-0005-0000-0000-000023000000}"/>
    <cellStyle name="Comma 5" xfId="48" xr:uid="{00000000-0005-0000-0000-000024000000}"/>
    <cellStyle name="Comma 6" xfId="49" xr:uid="{00000000-0005-0000-0000-000025000000}"/>
    <cellStyle name="Comma 7" xfId="50" xr:uid="{00000000-0005-0000-0000-000026000000}"/>
    <cellStyle name="Currency 2" xfId="51" xr:uid="{00000000-0005-0000-0000-000027000000}"/>
    <cellStyle name="Currency 3" xfId="52" xr:uid="{00000000-0005-0000-0000-000028000000}"/>
    <cellStyle name="Currency 3 2" xfId="53" xr:uid="{00000000-0005-0000-0000-000029000000}"/>
    <cellStyle name="Data" xfId="54" xr:uid="{00000000-0005-0000-0000-00002A000000}"/>
    <cellStyle name="Data no deci" xfId="55" xr:uid="{00000000-0005-0000-0000-00002B000000}"/>
    <cellStyle name="Data Superscript" xfId="56" xr:uid="{00000000-0005-0000-0000-00002C000000}"/>
    <cellStyle name="Data_1-1A-Regular" xfId="57" xr:uid="{00000000-0005-0000-0000-00002D000000}"/>
    <cellStyle name="Explanatory Text 2" xfId="58" xr:uid="{00000000-0005-0000-0000-00002F000000}"/>
    <cellStyle name="Font: Calibri, 9pt regular" xfId="6" xr:uid="{00000000-0005-0000-0000-000030000000}"/>
    <cellStyle name="Footnotes: top row" xfId="2" xr:uid="{00000000-0005-0000-0000-000031000000}"/>
    <cellStyle name="Good 2" xfId="59" xr:uid="{00000000-0005-0000-0000-000032000000}"/>
    <cellStyle name="Header: bottom row" xfId="5" xr:uid="{00000000-0005-0000-0000-000033000000}"/>
    <cellStyle name="Heading 1 2" xfId="60" xr:uid="{00000000-0005-0000-0000-000034000000}"/>
    <cellStyle name="Heading 2 2" xfId="61" xr:uid="{00000000-0005-0000-0000-000035000000}"/>
    <cellStyle name="Heading 3 2" xfId="62" xr:uid="{00000000-0005-0000-0000-000036000000}"/>
    <cellStyle name="Heading 4 2" xfId="63" xr:uid="{00000000-0005-0000-0000-000037000000}"/>
    <cellStyle name="Hed Side" xfId="13" xr:uid="{00000000-0005-0000-0000-000038000000}"/>
    <cellStyle name="Hed Side bold" xfId="64" xr:uid="{00000000-0005-0000-0000-000039000000}"/>
    <cellStyle name="Hed Side Indent" xfId="65" xr:uid="{00000000-0005-0000-0000-00003A000000}"/>
    <cellStyle name="Hed Side Regular" xfId="66" xr:uid="{00000000-0005-0000-0000-00003B000000}"/>
    <cellStyle name="Hed Side_1-1A-Regular" xfId="67" xr:uid="{00000000-0005-0000-0000-00003C000000}"/>
    <cellStyle name="Hed Top" xfId="68" xr:uid="{00000000-0005-0000-0000-00003E000000}"/>
    <cellStyle name="Hyperlink" xfId="140" builtinId="8"/>
    <cellStyle name="Input 2" xfId="69" xr:uid="{00000000-0005-0000-0000-00003F000000}"/>
    <cellStyle name="Linked Cell 2" xfId="70" xr:uid="{00000000-0005-0000-0000-000040000000}"/>
    <cellStyle name="Neutral 2" xfId="71" xr:uid="{00000000-0005-0000-0000-000041000000}"/>
    <cellStyle name="Normal" xfId="0" builtinId="0"/>
    <cellStyle name="Normal 10" xfId="72" xr:uid="{00000000-0005-0000-0000-000043000000}"/>
    <cellStyle name="Normal 11" xfId="10" xr:uid="{00000000-0005-0000-0000-000044000000}"/>
    <cellStyle name="Normal 2" xfId="1" xr:uid="{00000000-0005-0000-0000-000045000000}"/>
    <cellStyle name="Normal 2 2" xfId="73" xr:uid="{00000000-0005-0000-0000-000046000000}"/>
    <cellStyle name="Normal 2 2 2" xfId="74" xr:uid="{00000000-0005-0000-0000-000047000000}"/>
    <cellStyle name="Normal 2 2 3" xfId="75" xr:uid="{00000000-0005-0000-0000-000048000000}"/>
    <cellStyle name="Normal 2 3" xfId="76" xr:uid="{00000000-0005-0000-0000-000049000000}"/>
    <cellStyle name="Normal 2 4" xfId="77" xr:uid="{00000000-0005-0000-0000-00004A000000}"/>
    <cellStyle name="Normal 3" xfId="8" xr:uid="{00000000-0005-0000-0000-00004B000000}"/>
    <cellStyle name="Normal 3 2" xfId="78" xr:uid="{00000000-0005-0000-0000-00004C000000}"/>
    <cellStyle name="Normal 3 2 2" xfId="79" xr:uid="{00000000-0005-0000-0000-00004D000000}"/>
    <cellStyle name="Normal 3 2 2 2" xfId="80" xr:uid="{00000000-0005-0000-0000-00004E000000}"/>
    <cellStyle name="Normal 3 2 3" xfId="81" xr:uid="{00000000-0005-0000-0000-00004F000000}"/>
    <cellStyle name="Normal 3 3" xfId="82" xr:uid="{00000000-0005-0000-0000-000050000000}"/>
    <cellStyle name="Normal 3 3 2" xfId="83" xr:uid="{00000000-0005-0000-0000-000051000000}"/>
    <cellStyle name="Normal 3 3 2 2" xfId="84" xr:uid="{00000000-0005-0000-0000-000052000000}"/>
    <cellStyle name="Normal 3 3 3" xfId="85" xr:uid="{00000000-0005-0000-0000-000053000000}"/>
    <cellStyle name="Normal 3 4" xfId="86" xr:uid="{00000000-0005-0000-0000-000054000000}"/>
    <cellStyle name="Normal 3 4 2" xfId="87" xr:uid="{00000000-0005-0000-0000-000055000000}"/>
    <cellStyle name="Normal 3 5" xfId="88" xr:uid="{00000000-0005-0000-0000-000056000000}"/>
    <cellStyle name="Normal 3 6" xfId="89" xr:uid="{00000000-0005-0000-0000-000057000000}"/>
    <cellStyle name="Normal 3 7" xfId="90" xr:uid="{00000000-0005-0000-0000-000058000000}"/>
    <cellStyle name="Normal 3 8" xfId="91" xr:uid="{00000000-0005-0000-0000-000059000000}"/>
    <cellStyle name="Normal 3 9" xfId="12" xr:uid="{00000000-0005-0000-0000-00005A000000}"/>
    <cellStyle name="Normal 4" xfId="92" xr:uid="{00000000-0005-0000-0000-00005B000000}"/>
    <cellStyle name="Normal 4 2" xfId="93" xr:uid="{00000000-0005-0000-0000-00005C000000}"/>
    <cellStyle name="Normal 4 2 2" xfId="94" xr:uid="{00000000-0005-0000-0000-00005D000000}"/>
    <cellStyle name="Normal 4 2 2 2" xfId="95" xr:uid="{00000000-0005-0000-0000-00005E000000}"/>
    <cellStyle name="Normal 4 2 3" xfId="96" xr:uid="{00000000-0005-0000-0000-00005F000000}"/>
    <cellStyle name="Normal 4 3" xfId="97" xr:uid="{00000000-0005-0000-0000-000060000000}"/>
    <cellStyle name="Normal 4 3 2" xfId="98" xr:uid="{00000000-0005-0000-0000-000061000000}"/>
    <cellStyle name="Normal 4 3 2 2" xfId="99" xr:uid="{00000000-0005-0000-0000-000062000000}"/>
    <cellStyle name="Normal 4 3 3" xfId="100" xr:uid="{00000000-0005-0000-0000-000063000000}"/>
    <cellStyle name="Normal 4 4" xfId="101" xr:uid="{00000000-0005-0000-0000-000064000000}"/>
    <cellStyle name="Normal 4 4 2" xfId="102" xr:uid="{00000000-0005-0000-0000-000065000000}"/>
    <cellStyle name="Normal 4 5" xfId="103" xr:uid="{00000000-0005-0000-0000-000066000000}"/>
    <cellStyle name="Normal 4 6" xfId="104" xr:uid="{00000000-0005-0000-0000-000067000000}"/>
    <cellStyle name="Normal 4 7" xfId="105" xr:uid="{00000000-0005-0000-0000-000068000000}"/>
    <cellStyle name="Normal 4 8" xfId="106" xr:uid="{00000000-0005-0000-0000-000069000000}"/>
    <cellStyle name="Normal 5" xfId="107" xr:uid="{00000000-0005-0000-0000-00006A000000}"/>
    <cellStyle name="Normal 5 2" xfId="108" xr:uid="{00000000-0005-0000-0000-00006B000000}"/>
    <cellStyle name="Normal 5 3" xfId="109" xr:uid="{00000000-0005-0000-0000-00006C000000}"/>
    <cellStyle name="Normal 6" xfId="110" xr:uid="{00000000-0005-0000-0000-00006D000000}"/>
    <cellStyle name="Normal 6 2" xfId="111" xr:uid="{00000000-0005-0000-0000-00006E000000}"/>
    <cellStyle name="Normal 7" xfId="112" xr:uid="{00000000-0005-0000-0000-00006F000000}"/>
    <cellStyle name="Normal 8" xfId="113" xr:uid="{00000000-0005-0000-0000-000070000000}"/>
    <cellStyle name="Normal 9" xfId="114" xr:uid="{00000000-0005-0000-0000-000071000000}"/>
    <cellStyle name="Note 2" xfId="115" xr:uid="{00000000-0005-0000-0000-000072000000}"/>
    <cellStyle name="Note 2 2" xfId="116" xr:uid="{00000000-0005-0000-0000-000073000000}"/>
    <cellStyle name="Output 2" xfId="117" xr:uid="{00000000-0005-0000-0000-000074000000}"/>
    <cellStyle name="Parent row" xfId="3" xr:uid="{00000000-0005-0000-0000-000075000000}"/>
    <cellStyle name="Percent 2" xfId="118" xr:uid="{00000000-0005-0000-0000-000076000000}"/>
    <cellStyle name="Percent 2 2" xfId="119" xr:uid="{00000000-0005-0000-0000-000077000000}"/>
    <cellStyle name="Percent 3" xfId="120" xr:uid="{00000000-0005-0000-0000-000078000000}"/>
    <cellStyle name="Percent 3 2" xfId="121" xr:uid="{00000000-0005-0000-0000-000079000000}"/>
    <cellStyle name="Source Hed" xfId="122" xr:uid="{00000000-0005-0000-0000-00007A000000}"/>
    <cellStyle name="Source Superscript" xfId="123" xr:uid="{00000000-0005-0000-0000-00007B000000}"/>
    <cellStyle name="Source Text" xfId="9" xr:uid="{00000000-0005-0000-0000-00007C000000}"/>
    <cellStyle name="State" xfId="124" xr:uid="{00000000-0005-0000-0000-00007D000000}"/>
    <cellStyle name="Superscript" xfId="125" xr:uid="{00000000-0005-0000-0000-00007E000000}"/>
    <cellStyle name="Table Data" xfId="126" xr:uid="{00000000-0005-0000-0000-00007F000000}"/>
    <cellStyle name="Table Head Top" xfId="127" xr:uid="{00000000-0005-0000-0000-000080000000}"/>
    <cellStyle name="Table Hed Side" xfId="128" xr:uid="{00000000-0005-0000-0000-000081000000}"/>
    <cellStyle name="Table title" xfId="7" xr:uid="{00000000-0005-0000-0000-000082000000}"/>
    <cellStyle name="Title 2" xfId="129" xr:uid="{00000000-0005-0000-0000-000083000000}"/>
    <cellStyle name="Title Text" xfId="130" xr:uid="{00000000-0005-0000-0000-000084000000}"/>
    <cellStyle name="Title Text 1" xfId="131" xr:uid="{00000000-0005-0000-0000-000085000000}"/>
    <cellStyle name="Title Text 2" xfId="132" xr:uid="{00000000-0005-0000-0000-000086000000}"/>
    <cellStyle name="Title-1" xfId="14" xr:uid="{00000000-0005-0000-0000-000087000000}"/>
    <cellStyle name="Title-2" xfId="133" xr:uid="{00000000-0005-0000-0000-000088000000}"/>
    <cellStyle name="Title-3" xfId="134" xr:uid="{00000000-0005-0000-0000-000089000000}"/>
    <cellStyle name="Total 2" xfId="135" xr:uid="{00000000-0005-0000-0000-00008A000000}"/>
    <cellStyle name="Warning Text 2" xfId="136" xr:uid="{00000000-0005-0000-0000-00008B000000}"/>
    <cellStyle name="Wrap" xfId="137" xr:uid="{00000000-0005-0000-0000-00008C000000}"/>
    <cellStyle name="Wrap Bold" xfId="138" xr:uid="{00000000-0005-0000-0000-00008D000000}"/>
    <cellStyle name="Wrap Title" xfId="139" xr:uid="{00000000-0005-0000-0000-00008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parusa.com/Presentations/Presentation-Commercial%20Ship%20Life%20Cycle%20&amp;%20Required%20Freight%20Rate%20(RFR)%20Cost%20Model.pdf" TargetMode="External"/><Relationship Id="rId3" Type="http://schemas.openxmlformats.org/officeDocument/2006/relationships/hyperlink" Target="https://www.icao.int/MID/Documents/2017/Aviation%20Data%20and%20Analysis%20Seminar/PPT3%20-%20Airlines%20Operating%20costs%20and%20productivity.pdf" TargetMode="External"/><Relationship Id="rId7" Type="http://schemas.openxmlformats.org/officeDocument/2006/relationships/hyperlink" Target="https://www.ugpti.org/resources/reports/downloads/mpc13-250.pdf" TargetMode="External"/><Relationship Id="rId2" Type="http://schemas.openxmlformats.org/officeDocument/2006/relationships/hyperlink" Target="https://www.drivebigtrucks.com/trucking-news/the-real-operating-cost-of-a-commercial-truck/" TargetMode="External"/><Relationship Id="rId1" Type="http://schemas.openxmlformats.org/officeDocument/2006/relationships/hyperlink" Target="https://www.2degreesinstitute.org/reports/comparing_fuel_and_maintenance_costs_of_electric_and_gas_powered_vehicles_in_canada.pdf" TargetMode="External"/><Relationship Id="rId6" Type="http://schemas.openxmlformats.org/officeDocument/2006/relationships/hyperlink" Target="http://rockymountainrail.org/documents/RMRABP_CH7_OperatingCosts_03.2010.pdf" TargetMode="External"/><Relationship Id="rId5" Type="http://schemas.openxmlformats.org/officeDocument/2006/relationships/hyperlink" Target="https://gorollick.com/articles/consumer/the-true-cost-of-motorcycle-ownership-its-more-than-just-the-bike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3.arb.ca.gov/msprog/bus/maintenance_cost.pdf" TargetMode="External"/><Relationship Id="rId9" Type="http://schemas.openxmlformats.org/officeDocument/2006/relationships/hyperlink" Target="https://www.boats.com/boat-buyers-guide/cost-of-owning-a-boat-budgeting-financial-plannin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urance.com/motorcycle/is-riding-a-motorcycle-cheaper.html" TargetMode="External"/><Relationship Id="rId2" Type="http://schemas.openxmlformats.org/officeDocument/2006/relationships/hyperlink" Target="https://www.energy.gov/sites/prod/files/2014/03/f10/fuel_cell_mhe_cost.pdf" TargetMode="External"/><Relationship Id="rId1" Type="http://schemas.openxmlformats.org/officeDocument/2006/relationships/hyperlink" Target="https://www.energy.gov/eere/electricvehicles/electric-car-safety-maintenance-and-battery-lif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B23" sqref="B23"/>
    </sheetView>
  </sheetViews>
  <sheetFormatPr defaultRowHeight="15"/>
  <cols>
    <col min="2" max="2" width="73.140625" customWidth="1"/>
  </cols>
  <sheetData>
    <row r="1" spans="1:2">
      <c r="A1" s="1" t="s">
        <v>132</v>
      </c>
    </row>
    <row r="3" spans="1:2">
      <c r="A3" s="1" t="s">
        <v>0</v>
      </c>
      <c r="B3" s="2" t="s">
        <v>25</v>
      </c>
    </row>
    <row r="4" spans="1:2">
      <c r="B4" t="s">
        <v>19</v>
      </c>
    </row>
    <row r="5" spans="1:2">
      <c r="B5" s="3">
        <v>2018</v>
      </c>
    </row>
    <row r="6" spans="1:2">
      <c r="B6" t="s">
        <v>18</v>
      </c>
    </row>
    <row r="7" spans="1:2">
      <c r="B7" s="9" t="s">
        <v>17</v>
      </c>
    </row>
    <row r="8" spans="1:2">
      <c r="B8" t="s">
        <v>16</v>
      </c>
    </row>
    <row r="10" spans="1:2">
      <c r="B10" s="2" t="s">
        <v>41</v>
      </c>
    </row>
    <row r="11" spans="1:2">
      <c r="B11" t="s">
        <v>40</v>
      </c>
    </row>
    <row r="12" spans="1:2">
      <c r="B12" s="3">
        <v>2013</v>
      </c>
    </row>
    <row r="13" spans="1:2">
      <c r="B13" t="s">
        <v>43</v>
      </c>
    </row>
    <row r="14" spans="1:2">
      <c r="B14" s="9" t="s">
        <v>42</v>
      </c>
    </row>
    <row r="15" spans="1:2">
      <c r="B15" t="s">
        <v>44</v>
      </c>
    </row>
    <row r="17" spans="2:2">
      <c r="B17" s="2" t="s">
        <v>134</v>
      </c>
    </row>
    <row r="18" spans="2:2">
      <c r="B18" t="s">
        <v>135</v>
      </c>
    </row>
    <row r="19" spans="2:2">
      <c r="B19" s="3">
        <v>2021</v>
      </c>
    </row>
    <row r="20" spans="2:2">
      <c r="B20" t="s">
        <v>136</v>
      </c>
    </row>
    <row r="21" spans="2:2">
      <c r="B21" s="9" t="s">
        <v>137</v>
      </c>
    </row>
    <row r="22" spans="2:2">
      <c r="B22" t="s">
        <v>138</v>
      </c>
    </row>
    <row r="24" spans="2:2">
      <c r="B24" s="2" t="s">
        <v>60</v>
      </c>
    </row>
    <row r="25" spans="2:2">
      <c r="B25" t="s">
        <v>61</v>
      </c>
    </row>
    <row r="26" spans="2:2">
      <c r="B26" s="3">
        <v>2016</v>
      </c>
    </row>
    <row r="27" spans="2:2">
      <c r="B27" t="s">
        <v>66</v>
      </c>
    </row>
    <row r="28" spans="2:2">
      <c r="B28" s="9" t="s">
        <v>67</v>
      </c>
    </row>
    <row r="29" spans="2:2">
      <c r="B29" t="s">
        <v>68</v>
      </c>
    </row>
    <row r="31" spans="2:2">
      <c r="B31" s="2" t="s">
        <v>62</v>
      </c>
    </row>
    <row r="32" spans="2:2">
      <c r="B32" t="s">
        <v>59</v>
      </c>
    </row>
    <row r="33" spans="2:2">
      <c r="B33" s="3">
        <v>2017</v>
      </c>
    </row>
    <row r="34" spans="2:2">
      <c r="B34" t="s">
        <v>63</v>
      </c>
    </row>
    <row r="35" spans="2:2">
      <c r="B35" s="9" t="s">
        <v>64</v>
      </c>
    </row>
    <row r="36" spans="2:2">
      <c r="B36" t="s">
        <v>65</v>
      </c>
    </row>
    <row r="38" spans="2:2">
      <c r="B38" s="2" t="s">
        <v>69</v>
      </c>
    </row>
    <row r="39" spans="2:2">
      <c r="B39" t="s">
        <v>81</v>
      </c>
    </row>
    <row r="40" spans="2:2">
      <c r="B40" s="3">
        <v>2018</v>
      </c>
    </row>
    <row r="41" spans="2:2">
      <c r="B41" t="s">
        <v>83</v>
      </c>
    </row>
    <row r="42" spans="2:2">
      <c r="B42" s="9" t="s">
        <v>82</v>
      </c>
    </row>
    <row r="44" spans="2:2">
      <c r="B44" s="2" t="s">
        <v>98</v>
      </c>
    </row>
    <row r="45" spans="2:2">
      <c r="B45" t="s">
        <v>97</v>
      </c>
    </row>
    <row r="46" spans="2:2">
      <c r="B46" s="3">
        <v>2010</v>
      </c>
    </row>
    <row r="47" spans="2:2">
      <c r="B47" t="s">
        <v>99</v>
      </c>
    </row>
    <row r="48" spans="2:2">
      <c r="B48" s="9" t="s">
        <v>100</v>
      </c>
    </row>
    <row r="49" spans="2:2">
      <c r="B49" t="s">
        <v>101</v>
      </c>
    </row>
    <row r="51" spans="2:2">
      <c r="B51" s="2" t="s">
        <v>102</v>
      </c>
    </row>
    <row r="52" spans="2:2">
      <c r="B52" t="s">
        <v>90</v>
      </c>
    </row>
    <row r="53" spans="2:2">
      <c r="B53" s="3">
        <v>2013</v>
      </c>
    </row>
    <row r="54" spans="2:2">
      <c r="B54" t="s">
        <v>103</v>
      </c>
    </row>
    <row r="55" spans="2:2">
      <c r="B55" s="9" t="s">
        <v>104</v>
      </c>
    </row>
    <row r="56" spans="2:2">
      <c r="B56" t="s">
        <v>105</v>
      </c>
    </row>
    <row r="58" spans="2:2">
      <c r="B58" s="2" t="s">
        <v>112</v>
      </c>
    </row>
    <row r="59" spans="2:2">
      <c r="B59" t="s">
        <v>113</v>
      </c>
    </row>
    <row r="60" spans="2:2">
      <c r="B60" s="3">
        <v>2012</v>
      </c>
    </row>
    <row r="61" spans="2:2">
      <c r="B61" t="s">
        <v>116</v>
      </c>
    </row>
    <row r="62" spans="2:2">
      <c r="B62" s="9" t="s">
        <v>114</v>
      </c>
    </row>
    <row r="63" spans="2:2">
      <c r="B63" t="s">
        <v>115</v>
      </c>
    </row>
    <row r="65" spans="1:2">
      <c r="B65" s="2" t="s">
        <v>125</v>
      </c>
    </row>
    <row r="66" spans="1:2">
      <c r="B66" t="s">
        <v>127</v>
      </c>
    </row>
    <row r="67" spans="1:2">
      <c r="B67" s="3">
        <v>2018</v>
      </c>
    </row>
    <row r="68" spans="1:2">
      <c r="B68" t="s">
        <v>126</v>
      </c>
    </row>
    <row r="69" spans="1:2">
      <c r="B69" s="9" t="s">
        <v>128</v>
      </c>
    </row>
    <row r="70" spans="1:2">
      <c r="B70" t="s">
        <v>129</v>
      </c>
    </row>
    <row r="72" spans="1:2">
      <c r="A72" s="1" t="s">
        <v>1</v>
      </c>
    </row>
    <row r="74" spans="1:2">
      <c r="A74" s="1" t="s">
        <v>35</v>
      </c>
    </row>
    <row r="75" spans="1:2">
      <c r="A75">
        <v>1.2969999999999999</v>
      </c>
      <c r="B75" t="s">
        <v>36</v>
      </c>
    </row>
    <row r="76" spans="1:2">
      <c r="A76">
        <v>0.9143273584567535</v>
      </c>
      <c r="B76" t="s">
        <v>37</v>
      </c>
    </row>
    <row r="77" spans="1:2">
      <c r="A77">
        <v>0.95661376543184151</v>
      </c>
      <c r="B77" t="s">
        <v>53</v>
      </c>
    </row>
    <row r="78" spans="1:2">
      <c r="A78">
        <v>0.93665959530026111</v>
      </c>
      <c r="B78" t="s">
        <v>73</v>
      </c>
    </row>
    <row r="79" spans="1:2">
      <c r="A79">
        <v>1.0663762232760343</v>
      </c>
      <c r="B79" t="s">
        <v>106</v>
      </c>
    </row>
  </sheetData>
  <hyperlinks>
    <hyperlink ref="B7" r:id="rId1" xr:uid="{F7E7A3DE-93B2-4E97-8034-BE9FA2CBB032}"/>
    <hyperlink ref="B14" r:id="rId2" xr:uid="{0A5F8456-85E2-4B46-98CB-42301965587F}"/>
    <hyperlink ref="B35" r:id="rId3" display="https://www.icao.int/MID/Documents/2017/Aviation Data and Analysis Seminar/PPT3 - Airlines Operating costs and productivity.pdf" xr:uid="{32C07062-31D6-4D64-9941-54355C398A54}"/>
    <hyperlink ref="B28" r:id="rId4" xr:uid="{A1682FDD-C2BD-495E-8A6B-5F03193720A5}"/>
    <hyperlink ref="B42" r:id="rId5" xr:uid="{86CB5594-D53D-4996-A0D1-BB39C7D7D625}"/>
    <hyperlink ref="B48" r:id="rId6" xr:uid="{B0ED8C7C-30CE-4966-BD3F-14CBF2AB2A2B}"/>
    <hyperlink ref="B55" r:id="rId7" xr:uid="{B27ABC8E-899E-48AC-8608-F37B2EDFED93}"/>
    <hyperlink ref="B62" r:id="rId8" display="http://www.sparusa.com/Presentations/Presentation-Commercial Ship Life Cycle &amp; Required Freight Rate (RFR) Cost Model.pdf" xr:uid="{4BC70352-C238-4681-9474-B434C82A9EE6}"/>
    <hyperlink ref="B69" r:id="rId9" xr:uid="{5439DEF3-45BA-42A3-B033-B27D7C2B3817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6E7A-E0B4-48E9-AA66-C39B91D43ABA}">
  <dimension ref="A1:D100"/>
  <sheetViews>
    <sheetView topLeftCell="A7" workbookViewId="0">
      <selection activeCell="D26" sqref="D26"/>
    </sheetView>
  </sheetViews>
  <sheetFormatPr defaultRowHeight="15"/>
  <cols>
    <col min="1" max="1" width="27.5703125" customWidth="1"/>
    <col min="2" max="2" width="12.7109375" bestFit="1" customWidth="1"/>
    <col min="3" max="3" width="19.28515625" customWidth="1"/>
  </cols>
  <sheetData>
    <row r="1" spans="1:3">
      <c r="A1" s="2" t="s">
        <v>26</v>
      </c>
      <c r="B1" s="11"/>
      <c r="C1" s="11"/>
    </row>
    <row r="3" spans="1:3">
      <c r="A3" s="1" t="s">
        <v>20</v>
      </c>
      <c r="B3" t="s">
        <v>27</v>
      </c>
    </row>
    <row r="4" spans="1:3">
      <c r="B4" s="1" t="s">
        <v>28</v>
      </c>
    </row>
    <row r="5" spans="1:3">
      <c r="B5" t="s">
        <v>29</v>
      </c>
    </row>
    <row r="6" spans="1:3">
      <c r="B6" t="s">
        <v>30</v>
      </c>
    </row>
    <row r="7" spans="1:3">
      <c r="B7" s="9" t="s">
        <v>24</v>
      </c>
    </row>
    <row r="9" spans="1:3">
      <c r="A9" s="1" t="s">
        <v>22</v>
      </c>
      <c r="B9" t="s">
        <v>31</v>
      </c>
    </row>
    <row r="10" spans="1:3">
      <c r="B10" s="1" t="s">
        <v>32</v>
      </c>
    </row>
    <row r="11" spans="1:3">
      <c r="B11" t="s">
        <v>33</v>
      </c>
    </row>
    <row r="12" spans="1:3">
      <c r="B12" t="s">
        <v>34</v>
      </c>
    </row>
    <row r="13" spans="1:3">
      <c r="B13" s="9" t="s">
        <v>23</v>
      </c>
    </row>
    <row r="14" spans="1:3">
      <c r="B14" s="27" t="s">
        <v>130</v>
      </c>
    </row>
    <row r="15" spans="1:3">
      <c r="B15" s="27" t="s">
        <v>131</v>
      </c>
    </row>
    <row r="17" spans="1:4">
      <c r="A17" s="2" t="s">
        <v>2</v>
      </c>
      <c r="B17" s="11"/>
      <c r="C17" s="11"/>
    </row>
    <row r="18" spans="1:4">
      <c r="A18" t="s">
        <v>20</v>
      </c>
      <c r="B18" s="10">
        <v>931</v>
      </c>
      <c r="C18" t="s">
        <v>21</v>
      </c>
      <c r="D18" t="s">
        <v>19</v>
      </c>
    </row>
    <row r="19" spans="1:4">
      <c r="A19" t="s">
        <v>22</v>
      </c>
      <c r="B19" s="10">
        <v>489</v>
      </c>
      <c r="C19" t="s">
        <v>21</v>
      </c>
      <c r="D19" t="s">
        <v>19</v>
      </c>
    </row>
    <row r="20" spans="1:4">
      <c r="A20" t="s">
        <v>20</v>
      </c>
      <c r="B20" s="12">
        <f>B18/About!$A$75*About!$A$76</f>
        <v>656.31362430473212</v>
      </c>
      <c r="C20" t="s">
        <v>38</v>
      </c>
    </row>
    <row r="21" spans="1:4">
      <c r="A21" t="s">
        <v>22</v>
      </c>
      <c r="B21" s="12">
        <f>B19/About!$A$75*About!$A$76</f>
        <v>344.72326776048766</v>
      </c>
      <c r="C21" t="s">
        <v>38</v>
      </c>
    </row>
    <row r="23" spans="1:4">
      <c r="A23" s="2" t="s">
        <v>39</v>
      </c>
      <c r="B23" s="11"/>
      <c r="C23" s="11"/>
    </row>
    <row r="24" spans="1:4">
      <c r="A24" t="s">
        <v>20</v>
      </c>
      <c r="B24" s="10">
        <v>15000</v>
      </c>
      <c r="C24" t="s">
        <v>38</v>
      </c>
      <c r="D24" t="s">
        <v>40</v>
      </c>
    </row>
    <row r="25" spans="1:4">
      <c r="A25" t="s">
        <v>22</v>
      </c>
      <c r="B25" s="10">
        <f>6500+100*1062*3/28</f>
        <v>17878.571428571428</v>
      </c>
      <c r="C25" t="s">
        <v>133</v>
      </c>
      <c r="D25" t="s">
        <v>139</v>
      </c>
    </row>
    <row r="27" spans="1:4">
      <c r="A27" s="2" t="s">
        <v>45</v>
      </c>
      <c r="B27" s="11"/>
      <c r="C27" s="11"/>
    </row>
    <row r="28" spans="1:4">
      <c r="A28" t="s">
        <v>46</v>
      </c>
      <c r="B28" s="13">
        <v>0.28000000000000003</v>
      </c>
      <c r="C28" t="s">
        <v>47</v>
      </c>
      <c r="D28" t="s">
        <v>48</v>
      </c>
    </row>
    <row r="29" spans="1:4">
      <c r="A29" t="s">
        <v>22</v>
      </c>
      <c r="B29" s="13">
        <v>0.22</v>
      </c>
      <c r="C29" t="s">
        <v>47</v>
      </c>
      <c r="D29" t="s">
        <v>48</v>
      </c>
    </row>
    <row r="30" spans="1:4">
      <c r="A30" t="s">
        <v>49</v>
      </c>
      <c r="B30">
        <v>9270</v>
      </c>
      <c r="C30" t="s">
        <v>50</v>
      </c>
      <c r="D30" s="14" t="s">
        <v>51</v>
      </c>
    </row>
    <row r="31" spans="1:4">
      <c r="A31" t="s">
        <v>46</v>
      </c>
      <c r="B31" s="13">
        <f>$B$30*B28</f>
        <v>2595.6000000000004</v>
      </c>
      <c r="C31" t="s">
        <v>52</v>
      </c>
    </row>
    <row r="32" spans="1:4">
      <c r="A32" t="s">
        <v>22</v>
      </c>
      <c r="B32" s="13">
        <f>$B$30*B29</f>
        <v>2039.4</v>
      </c>
      <c r="C32" t="s">
        <v>52</v>
      </c>
    </row>
    <row r="33" spans="1:4">
      <c r="A33" t="s">
        <v>46</v>
      </c>
      <c r="B33" s="13">
        <f>B31*About!$A$77</f>
        <v>2482.986689554888</v>
      </c>
      <c r="C33" t="s">
        <v>38</v>
      </c>
    </row>
    <row r="34" spans="1:4">
      <c r="A34" t="s">
        <v>22</v>
      </c>
      <c r="B34" s="13">
        <f>B32*About!$A$77</f>
        <v>1950.9181132216977</v>
      </c>
      <c r="C34" t="s">
        <v>38</v>
      </c>
    </row>
    <row r="35" spans="1:4">
      <c r="B35" s="13"/>
    </row>
    <row r="36" spans="1:4">
      <c r="A36" s="2" t="s">
        <v>4</v>
      </c>
      <c r="B36" s="18"/>
      <c r="C36" s="11"/>
    </row>
    <row r="37" spans="1:4">
      <c r="A37" t="s">
        <v>56</v>
      </c>
      <c r="B37" s="17">
        <v>590</v>
      </c>
      <c r="C37" t="s">
        <v>71</v>
      </c>
      <c r="D37" t="s">
        <v>59</v>
      </c>
    </row>
    <row r="38" spans="1:4">
      <c r="B38" s="17">
        <f>B37*About!$A$78</f>
        <v>552.6291612271541</v>
      </c>
      <c r="C38" t="s">
        <v>72</v>
      </c>
    </row>
    <row r="39" spans="1:4">
      <c r="B39" s="19">
        <v>11.3</v>
      </c>
      <c r="C39" t="s">
        <v>57</v>
      </c>
      <c r="D39" t="s">
        <v>59</v>
      </c>
    </row>
    <row r="40" spans="1:4">
      <c r="B40" s="19">
        <v>365</v>
      </c>
      <c r="C40" t="s">
        <v>58</v>
      </c>
    </row>
    <row r="41" spans="1:4">
      <c r="B41" s="17">
        <f>B38*B39*B40</f>
        <v>2279318.9754813975</v>
      </c>
      <c r="C41" t="s">
        <v>38</v>
      </c>
    </row>
    <row r="42" spans="1:4">
      <c r="B42" s="17"/>
    </row>
    <row r="43" spans="1:4">
      <c r="A43" s="2" t="s">
        <v>5</v>
      </c>
      <c r="B43" s="22"/>
      <c r="C43" s="11"/>
    </row>
    <row r="44" spans="1:4">
      <c r="A44" t="s">
        <v>96</v>
      </c>
      <c r="B44" s="17"/>
    </row>
    <row r="45" spans="1:4">
      <c r="A45" s="23" t="s">
        <v>107</v>
      </c>
      <c r="B45" s="17"/>
    </row>
    <row r="46" spans="1:4">
      <c r="A46" t="s">
        <v>84</v>
      </c>
      <c r="B46" s="13">
        <v>14.36</v>
      </c>
      <c r="C46" t="s">
        <v>86</v>
      </c>
      <c r="D46" t="s">
        <v>97</v>
      </c>
    </row>
    <row r="47" spans="1:4">
      <c r="A47" t="s">
        <v>85</v>
      </c>
      <c r="B47" s="13">
        <v>10.49</v>
      </c>
      <c r="C47" t="s">
        <v>86</v>
      </c>
      <c r="D47" t="s">
        <v>97</v>
      </c>
    </row>
    <row r="48" spans="1:4">
      <c r="B48" s="17"/>
    </row>
    <row r="49" spans="1:4">
      <c r="A49" t="s">
        <v>108</v>
      </c>
      <c r="B49" s="24">
        <f>AVERAGE(21.4,22.7,23.1,25.8,31.2)</f>
        <v>24.839999999999996</v>
      </c>
      <c r="C49" t="s">
        <v>87</v>
      </c>
      <c r="D49" t="s">
        <v>90</v>
      </c>
    </row>
    <row r="50" spans="1:4">
      <c r="A50" t="s">
        <v>88</v>
      </c>
      <c r="B50" s="19">
        <f>24*365</f>
        <v>8760</v>
      </c>
      <c r="C50" t="s">
        <v>93</v>
      </c>
    </row>
    <row r="51" spans="1:4">
      <c r="A51" t="s">
        <v>89</v>
      </c>
      <c r="B51" s="5">
        <f>B49*B50</f>
        <v>217598.39999999997</v>
      </c>
      <c r="C51" t="s">
        <v>94</v>
      </c>
    </row>
    <row r="52" spans="1:4">
      <c r="B52" s="17"/>
    </row>
    <row r="53" spans="1:4">
      <c r="A53" t="s">
        <v>91</v>
      </c>
      <c r="B53" s="17">
        <f>B46*B51</f>
        <v>3124713.0239999993</v>
      </c>
      <c r="C53" t="s">
        <v>92</v>
      </c>
    </row>
    <row r="54" spans="1:4">
      <c r="A54" t="s">
        <v>95</v>
      </c>
      <c r="B54" s="17">
        <f>B47*B51</f>
        <v>2282607.2159999995</v>
      </c>
      <c r="C54" t="s">
        <v>92</v>
      </c>
    </row>
    <row r="55" spans="1:4">
      <c r="A55" t="s">
        <v>91</v>
      </c>
      <c r="B55" s="17">
        <f>B53*About!$A$79</f>
        <v>3332119.6733545554</v>
      </c>
      <c r="C55" t="s">
        <v>38</v>
      </c>
    </row>
    <row r="56" spans="1:4">
      <c r="A56" t="s">
        <v>95</v>
      </c>
      <c r="B56" s="17">
        <f>B54*About!$A$79</f>
        <v>2434118.0622207024</v>
      </c>
      <c r="C56" t="s">
        <v>38</v>
      </c>
    </row>
    <row r="57" spans="1:4">
      <c r="B57" s="17"/>
    </row>
    <row r="58" spans="1:4">
      <c r="B58" s="13"/>
    </row>
    <row r="59" spans="1:4">
      <c r="A59" s="2" t="s">
        <v>70</v>
      </c>
      <c r="B59" s="18"/>
      <c r="C59" s="11"/>
    </row>
    <row r="60" spans="1:4">
      <c r="A60" t="s">
        <v>56</v>
      </c>
      <c r="B60" s="17">
        <v>1000</v>
      </c>
      <c r="C60" t="s">
        <v>74</v>
      </c>
    </row>
    <row r="61" spans="1:4">
      <c r="B61" s="17">
        <f>B60*About!A76</f>
        <v>914.32735845675347</v>
      </c>
      <c r="C61" t="s">
        <v>38</v>
      </c>
    </row>
    <row r="62" spans="1:4">
      <c r="A62" t="s">
        <v>75</v>
      </c>
      <c r="B62" s="13"/>
    </row>
    <row r="63" spans="1:4">
      <c r="A63" t="s">
        <v>76</v>
      </c>
      <c r="B63" s="13"/>
    </row>
    <row r="64" spans="1:4">
      <c r="A64" t="s">
        <v>77</v>
      </c>
      <c r="B64" s="13"/>
    </row>
    <row r="65" spans="1:4">
      <c r="A65" t="s">
        <v>78</v>
      </c>
      <c r="B65" s="13"/>
    </row>
    <row r="66" spans="1:4">
      <c r="A66" s="9" t="s">
        <v>79</v>
      </c>
      <c r="B66" s="13"/>
    </row>
    <row r="67" spans="1:4">
      <c r="A67" t="s">
        <v>80</v>
      </c>
      <c r="B67" s="13"/>
    </row>
    <row r="69" spans="1:4">
      <c r="A69" s="2" t="s">
        <v>6</v>
      </c>
      <c r="B69" s="11"/>
      <c r="C69" s="11"/>
    </row>
    <row r="70" spans="1:4">
      <c r="A70" s="1" t="s">
        <v>110</v>
      </c>
    </row>
    <row r="71" spans="1:4">
      <c r="A71" t="s">
        <v>111</v>
      </c>
      <c r="B71" s="17">
        <v>1695890</v>
      </c>
      <c r="C71" t="s">
        <v>38</v>
      </c>
    </row>
    <row r="73" spans="1:4">
      <c r="A73" s="1" t="s">
        <v>117</v>
      </c>
    </row>
    <row r="74" spans="1:4">
      <c r="A74" s="14" t="s">
        <v>118</v>
      </c>
    </row>
    <row r="75" spans="1:4">
      <c r="A75" s="14" t="s">
        <v>119</v>
      </c>
    </row>
    <row r="76" spans="1:4">
      <c r="A76" s="14" t="s">
        <v>120</v>
      </c>
    </row>
    <row r="77" spans="1:4">
      <c r="A77" t="s">
        <v>111</v>
      </c>
      <c r="B77" s="25">
        <v>0.1</v>
      </c>
      <c r="C77" t="s">
        <v>121</v>
      </c>
    </row>
    <row r="78" spans="1:4">
      <c r="A78" s="14" t="s">
        <v>122</v>
      </c>
      <c r="B78" s="10">
        <v>30000</v>
      </c>
      <c r="C78" t="s">
        <v>123</v>
      </c>
      <c r="D78" s="14" t="s">
        <v>124</v>
      </c>
    </row>
    <row r="79" spans="1:4">
      <c r="A79" t="s">
        <v>111</v>
      </c>
      <c r="B79" s="10">
        <f>B77*B78</f>
        <v>3000</v>
      </c>
      <c r="C79" t="s">
        <v>38</v>
      </c>
    </row>
    <row r="84" spans="1:3">
      <c r="A84" s="15" t="s">
        <v>54</v>
      </c>
      <c r="B84" s="16"/>
      <c r="C84" s="16"/>
    </row>
    <row r="85" spans="1:3">
      <c r="B85" s="1" t="s">
        <v>20</v>
      </c>
      <c r="C85" s="1" t="s">
        <v>109</v>
      </c>
    </row>
    <row r="86" spans="1:3">
      <c r="A86" s="1" t="s">
        <v>2</v>
      </c>
      <c r="B86" s="20">
        <f>B20</f>
        <v>656.31362430473212</v>
      </c>
      <c r="C86" s="20">
        <f>B21</f>
        <v>344.72326776048766</v>
      </c>
    </row>
    <row r="87" spans="1:3">
      <c r="A87" s="1" t="s">
        <v>3</v>
      </c>
      <c r="B87" s="20">
        <f>B33</f>
        <v>2482.986689554888</v>
      </c>
      <c r="C87" s="20">
        <f>B34</f>
        <v>1950.9181132216977</v>
      </c>
    </row>
    <row r="88" spans="1:3">
      <c r="A88" s="1" t="s">
        <v>4</v>
      </c>
      <c r="B88" s="20">
        <f>B41</f>
        <v>2279318.9754813975</v>
      </c>
      <c r="C88" t="e">
        <f>NA()</f>
        <v>#N/A</v>
      </c>
    </row>
    <row r="89" spans="1:3">
      <c r="A89" s="1" t="s">
        <v>5</v>
      </c>
      <c r="B89" s="20">
        <f>B55</f>
        <v>3332119.6733545554</v>
      </c>
      <c r="C89" s="20">
        <f>B56</f>
        <v>2434118.0622207024</v>
      </c>
    </row>
    <row r="90" spans="1:3">
      <c r="A90" s="1" t="s">
        <v>6</v>
      </c>
      <c r="B90" s="20">
        <f>B79</f>
        <v>3000</v>
      </c>
      <c r="C90" t="e">
        <f>NA()</f>
        <v>#N/A</v>
      </c>
    </row>
    <row r="91" spans="1:3">
      <c r="A91" s="1" t="s">
        <v>7</v>
      </c>
      <c r="B91" s="20">
        <f>B61</f>
        <v>914.32735845675347</v>
      </c>
      <c r="C91" s="21">
        <f>B91*(C86/B86)</f>
        <v>480.24283381885334</v>
      </c>
    </row>
    <row r="93" spans="1:3">
      <c r="A93" s="15" t="s">
        <v>55</v>
      </c>
      <c r="B93" s="16"/>
      <c r="C93" s="16"/>
    </row>
    <row r="94" spans="1:3">
      <c r="B94" s="1" t="s">
        <v>20</v>
      </c>
      <c r="C94" s="1" t="s">
        <v>109</v>
      </c>
    </row>
    <row r="95" spans="1:3">
      <c r="A95" s="1" t="s">
        <v>2</v>
      </c>
      <c r="B95" s="20">
        <f>B86</f>
        <v>656.31362430473212</v>
      </c>
      <c r="C95" s="20">
        <f>C86</f>
        <v>344.72326776048766</v>
      </c>
    </row>
    <row r="96" spans="1:3">
      <c r="A96" s="1" t="s">
        <v>3</v>
      </c>
      <c r="B96" s="20">
        <f>B24</f>
        <v>15000</v>
      </c>
      <c r="C96" s="21">
        <f>B96*(C87/B87)</f>
        <v>11785.714285714286</v>
      </c>
    </row>
    <row r="97" spans="1:3">
      <c r="A97" s="1" t="s">
        <v>4</v>
      </c>
      <c r="B97" s="20">
        <f>B88</f>
        <v>2279318.9754813975</v>
      </c>
      <c r="C97" t="e">
        <f>NA()</f>
        <v>#N/A</v>
      </c>
    </row>
    <row r="98" spans="1:3">
      <c r="A98" s="1" t="s">
        <v>5</v>
      </c>
      <c r="B98" s="20">
        <f>B55</f>
        <v>3332119.6733545554</v>
      </c>
      <c r="C98" s="20">
        <f>B56</f>
        <v>2434118.0622207024</v>
      </c>
    </row>
    <row r="99" spans="1:3">
      <c r="A99" s="1" t="s">
        <v>6</v>
      </c>
      <c r="B99" s="20">
        <f>B71</f>
        <v>1695890</v>
      </c>
      <c r="C99" t="e">
        <f>NA()</f>
        <v>#N/A</v>
      </c>
    </row>
    <row r="100" spans="1:3">
      <c r="A100" s="1" t="s">
        <v>7</v>
      </c>
      <c r="B100" t="e">
        <f>NA()</f>
        <v>#N/A</v>
      </c>
      <c r="C100" t="e">
        <f>NA()</f>
        <v>#N/A</v>
      </c>
    </row>
  </sheetData>
  <hyperlinks>
    <hyperlink ref="B7" r:id="rId1" xr:uid="{DEA7D659-12AB-4A56-889B-D770D6477AD9}"/>
    <hyperlink ref="B13" r:id="rId2" xr:uid="{83856772-5164-484D-9C39-5E905DAB68CE}"/>
    <hyperlink ref="A66" r:id="rId3" xr:uid="{CF3217FC-13DF-41C0-A64F-4474765B54A2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H9"/>
  <sheetViews>
    <sheetView workbookViewId="0"/>
  </sheetViews>
  <sheetFormatPr defaultRowHeight="15"/>
  <cols>
    <col min="1" max="1" width="16.85546875" customWidth="1"/>
    <col min="2" max="2" width="24.5703125" customWidth="1"/>
    <col min="3" max="3" width="20.85546875" customWidth="1"/>
    <col min="4" max="4" width="18.28515625" customWidth="1"/>
    <col min="5" max="5" width="17.140625" customWidth="1"/>
    <col min="6" max="8" width="23.28515625" customWidth="1"/>
  </cols>
  <sheetData>
    <row r="1" spans="1:8">
      <c r="A1" s="7" t="s">
        <v>15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8">
      <c r="A2" s="1" t="s">
        <v>2</v>
      </c>
      <c r="B2" s="5">
        <f>'Cost Data'!$C86</f>
        <v>344.72326776048766</v>
      </c>
      <c r="C2" s="5">
        <f>'Cost Data'!$B86</f>
        <v>656.31362430473212</v>
      </c>
      <c r="D2" s="5">
        <f>'Cost Data'!$B86</f>
        <v>656.31362430473212</v>
      </c>
      <c r="E2" s="5">
        <f>'Cost Data'!$B86</f>
        <v>656.31362430473212</v>
      </c>
      <c r="F2" s="5">
        <f>'Cost Data'!$B86</f>
        <v>656.31362430473212</v>
      </c>
      <c r="G2" s="5">
        <f>'Cost Data'!$B86</f>
        <v>656.31362430473212</v>
      </c>
      <c r="H2" s="5">
        <f>'Cost Data'!$C86</f>
        <v>344.72326776048766</v>
      </c>
    </row>
    <row r="3" spans="1:8">
      <c r="A3" s="1" t="s">
        <v>3</v>
      </c>
      <c r="B3" s="5">
        <f>'Cost Data'!$C87</f>
        <v>1950.9181132216977</v>
      </c>
      <c r="C3" s="5">
        <f>'Cost Data'!$B87</f>
        <v>2482.986689554888</v>
      </c>
      <c r="D3" s="5">
        <f>'Cost Data'!$B87</f>
        <v>2482.986689554888</v>
      </c>
      <c r="E3" s="5">
        <f>'Cost Data'!$B87</f>
        <v>2482.986689554888</v>
      </c>
      <c r="F3" s="5">
        <f>'Cost Data'!$B87</f>
        <v>2482.986689554888</v>
      </c>
      <c r="G3" s="5">
        <f>'Cost Data'!$B87</f>
        <v>2482.986689554888</v>
      </c>
      <c r="H3" s="5">
        <f>'Cost Data'!$C87</f>
        <v>1950.9181132216977</v>
      </c>
    </row>
    <row r="4" spans="1:8">
      <c r="A4" s="1" t="s">
        <v>4</v>
      </c>
      <c r="B4" s="26">
        <v>0</v>
      </c>
      <c r="C4" s="5">
        <f>'Cost Data'!$B88</f>
        <v>2279318.9754813975</v>
      </c>
      <c r="D4" s="5">
        <f>'Cost Data'!$B88</f>
        <v>2279318.9754813975</v>
      </c>
      <c r="E4" s="5">
        <f>'Cost Data'!$B88</f>
        <v>2279318.9754813975</v>
      </c>
      <c r="F4" s="5">
        <f>'Cost Data'!$B88</f>
        <v>2279318.9754813975</v>
      </c>
      <c r="G4" s="5">
        <f>'Cost Data'!$B88</f>
        <v>2279318.9754813975</v>
      </c>
      <c r="H4" s="26">
        <v>0</v>
      </c>
    </row>
    <row r="5" spans="1:8">
      <c r="A5" s="1" t="s">
        <v>5</v>
      </c>
      <c r="B5" s="5">
        <f>'Cost Data'!$C89</f>
        <v>2434118.0622207024</v>
      </c>
      <c r="C5" s="5">
        <f>'Cost Data'!$B89</f>
        <v>3332119.6733545554</v>
      </c>
      <c r="D5" s="5">
        <f>'Cost Data'!$B89</f>
        <v>3332119.6733545554</v>
      </c>
      <c r="E5" s="5">
        <f>'Cost Data'!$B89</f>
        <v>3332119.6733545554</v>
      </c>
      <c r="F5" s="5">
        <f>'Cost Data'!$B89</f>
        <v>3332119.6733545554</v>
      </c>
      <c r="G5" s="5">
        <f>'Cost Data'!$B89</f>
        <v>3332119.6733545554</v>
      </c>
      <c r="H5" s="5">
        <f>'Cost Data'!$C89</f>
        <v>2434118.0622207024</v>
      </c>
    </row>
    <row r="6" spans="1:8">
      <c r="A6" s="1" t="s">
        <v>6</v>
      </c>
      <c r="B6" s="26">
        <v>0</v>
      </c>
      <c r="C6" s="5">
        <f>'Cost Data'!$B90</f>
        <v>3000</v>
      </c>
      <c r="D6" s="5">
        <f>'Cost Data'!$B90</f>
        <v>3000</v>
      </c>
      <c r="E6" s="5">
        <f>'Cost Data'!$B90</f>
        <v>3000</v>
      </c>
      <c r="F6" s="5">
        <f>'Cost Data'!$B90</f>
        <v>3000</v>
      </c>
      <c r="G6" s="5">
        <f>'Cost Data'!$B90</f>
        <v>3000</v>
      </c>
      <c r="H6" s="26">
        <v>0</v>
      </c>
    </row>
    <row r="7" spans="1:8">
      <c r="A7" s="1" t="s">
        <v>7</v>
      </c>
      <c r="B7" s="5">
        <f>'Cost Data'!$C91</f>
        <v>480.24283381885334</v>
      </c>
      <c r="C7" s="5">
        <f>'Cost Data'!$B91</f>
        <v>914.32735845675347</v>
      </c>
      <c r="D7" s="5">
        <f>'Cost Data'!$B91</f>
        <v>914.32735845675347</v>
      </c>
      <c r="E7" s="5">
        <f>'Cost Data'!$B91</f>
        <v>914.32735845675347</v>
      </c>
      <c r="F7" s="5">
        <f>'Cost Data'!$B91</f>
        <v>914.32735845675347</v>
      </c>
      <c r="G7" s="5">
        <f>'Cost Data'!$B91</f>
        <v>914.32735845675347</v>
      </c>
      <c r="H7" s="5">
        <f>'Cost Data'!$C91</f>
        <v>480.24283381885334</v>
      </c>
    </row>
    <row r="8" spans="1:8">
      <c r="B8" s="8"/>
      <c r="C8" s="8"/>
    </row>
    <row r="9" spans="1:8"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H8"/>
  <sheetViews>
    <sheetView workbookViewId="0">
      <selection activeCell="B4" sqref="A1:H7"/>
    </sheetView>
  </sheetViews>
  <sheetFormatPr defaultRowHeight="15"/>
  <cols>
    <col min="1" max="1" width="16.85546875" customWidth="1"/>
    <col min="2" max="2" width="24.5703125" customWidth="1"/>
    <col min="3" max="3" width="20.85546875" customWidth="1"/>
    <col min="4" max="4" width="18.28515625" customWidth="1"/>
    <col min="5" max="5" width="17.140625" customWidth="1"/>
    <col min="6" max="8" width="23.28515625" customWidth="1"/>
  </cols>
  <sheetData>
    <row r="1" spans="1:8">
      <c r="A1" s="7" t="s">
        <v>15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8">
      <c r="A2" s="1" t="s">
        <v>2</v>
      </c>
      <c r="B2" s="6">
        <f>'Cost Data'!$C95</f>
        <v>344.72326776048766</v>
      </c>
      <c r="C2" s="6">
        <f>'Cost Data'!$B95</f>
        <v>656.31362430473212</v>
      </c>
      <c r="D2" s="6">
        <f>'Cost Data'!$B95</f>
        <v>656.31362430473212</v>
      </c>
      <c r="E2" s="6">
        <f>'Cost Data'!$B95</f>
        <v>656.31362430473212</v>
      </c>
      <c r="F2" s="6">
        <f>'Cost Data'!$B95</f>
        <v>656.31362430473212</v>
      </c>
      <c r="G2" s="6">
        <f>'Cost Data'!$B95</f>
        <v>656.31362430473212</v>
      </c>
      <c r="H2" s="6">
        <f>'Cost Data'!$C95</f>
        <v>344.72326776048766</v>
      </c>
    </row>
    <row r="3" spans="1:8">
      <c r="A3" s="1" t="s">
        <v>3</v>
      </c>
      <c r="B3" s="6">
        <f>'Cost Data'!B25</f>
        <v>17878.571428571428</v>
      </c>
      <c r="C3" s="6">
        <f>'Cost Data'!$B96</f>
        <v>15000</v>
      </c>
      <c r="D3" s="6">
        <f>'Cost Data'!$B96</f>
        <v>15000</v>
      </c>
      <c r="E3" s="6">
        <f>'Cost Data'!$B96</f>
        <v>15000</v>
      </c>
      <c r="F3" s="6">
        <f>'Cost Data'!$B96</f>
        <v>15000</v>
      </c>
      <c r="G3" s="6">
        <f>'Cost Data'!$B96</f>
        <v>15000</v>
      </c>
      <c r="H3" s="6">
        <f>'Cost Data'!$C96</f>
        <v>11785.714285714286</v>
      </c>
    </row>
    <row r="4" spans="1:8">
      <c r="A4" s="1" t="s">
        <v>4</v>
      </c>
      <c r="B4" s="26">
        <v>0</v>
      </c>
      <c r="C4" s="6">
        <f>'Cost Data'!$B97</f>
        <v>2279318.9754813975</v>
      </c>
      <c r="D4" s="6">
        <f>'Cost Data'!$B97</f>
        <v>2279318.9754813975</v>
      </c>
      <c r="E4" s="6">
        <f>'Cost Data'!$B97</f>
        <v>2279318.9754813975</v>
      </c>
      <c r="F4" s="6">
        <f>'Cost Data'!$B97</f>
        <v>2279318.9754813975</v>
      </c>
      <c r="G4" s="6">
        <f>'Cost Data'!$B97</f>
        <v>2279318.9754813975</v>
      </c>
      <c r="H4" s="26">
        <v>0</v>
      </c>
    </row>
    <row r="5" spans="1:8">
      <c r="A5" s="1" t="s">
        <v>5</v>
      </c>
      <c r="B5" s="6">
        <f>'Cost Data'!$C98</f>
        <v>2434118.0622207024</v>
      </c>
      <c r="C5" s="6">
        <f>'Cost Data'!$B98</f>
        <v>3332119.6733545554</v>
      </c>
      <c r="D5" s="6">
        <f>'Cost Data'!$B98</f>
        <v>3332119.6733545554</v>
      </c>
      <c r="E5" s="6">
        <f>'Cost Data'!$B98</f>
        <v>3332119.6733545554</v>
      </c>
      <c r="F5" s="6">
        <f>'Cost Data'!$B98</f>
        <v>3332119.6733545554</v>
      </c>
      <c r="G5" s="6">
        <f>'Cost Data'!$B98</f>
        <v>3332119.6733545554</v>
      </c>
      <c r="H5" s="6">
        <f>'Cost Data'!$C98</f>
        <v>2434118.0622207024</v>
      </c>
    </row>
    <row r="6" spans="1:8">
      <c r="A6" s="1" t="s">
        <v>6</v>
      </c>
      <c r="B6" s="26">
        <v>0</v>
      </c>
      <c r="C6" s="6">
        <f>'Cost Data'!$B99</f>
        <v>1695890</v>
      </c>
      <c r="D6" s="6">
        <f>'Cost Data'!$B99</f>
        <v>1695890</v>
      </c>
      <c r="E6" s="6">
        <f>'Cost Data'!$B99</f>
        <v>1695890</v>
      </c>
      <c r="F6" s="6">
        <f>'Cost Data'!$B99</f>
        <v>1695890</v>
      </c>
      <c r="G6" s="6">
        <f>'Cost Data'!$B99</f>
        <v>1695890</v>
      </c>
      <c r="H6" s="26">
        <v>0</v>
      </c>
    </row>
    <row r="7" spans="1:8">
      <c r="A7" s="1" t="s">
        <v>7</v>
      </c>
      <c r="B7" s="26">
        <v>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</row>
    <row r="8" spans="1:8">
      <c r="B8" s="8"/>
      <c r="C8" s="8"/>
      <c r="D8" s="8"/>
      <c r="E8" s="8"/>
      <c r="F8" s="8"/>
      <c r="G8" s="8"/>
      <c r="H8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09AE11-36A3-4E77-98CB-2E8082B2BEBC}"/>
</file>

<file path=customXml/itemProps2.xml><?xml version="1.0" encoding="utf-8"?>
<ds:datastoreItem xmlns:ds="http://schemas.openxmlformats.org/officeDocument/2006/customXml" ds:itemID="{13CDCFA5-D018-4AA0-B551-CADE34C94AD1}"/>
</file>

<file path=customXml/itemProps3.xml><?xml version="1.0" encoding="utf-8"?>
<ds:datastoreItem xmlns:ds="http://schemas.openxmlformats.org/officeDocument/2006/customXml" ds:itemID="{382C50D9-7A9E-40B1-8E76-31CBDAD3E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Cost Data</vt:lpstr>
      <vt:lpstr>AVMC-passenger</vt:lpstr>
      <vt:lpstr>AVMC-freight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2017-06-22T21:46:10Z</dcterms:created>
  <dcterms:modified xsi:type="dcterms:W3CDTF">2021-08-27T15:23:50Z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