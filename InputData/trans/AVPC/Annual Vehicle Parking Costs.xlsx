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trans\AVPC\"/>
    </mc:Choice>
  </mc:AlternateContent>
  <xr:revisionPtr revIDLastSave="0" documentId="13_ncr:1_{DEE5C0E1-FFC8-4760-BC76-F4AD6505844A}" xr6:coauthVersionLast="47" xr6:coauthVersionMax="47" xr10:uidLastSave="{00000000-0000-0000-0000-000000000000}"/>
  <bookViews>
    <workbookView xWindow="12870" yWindow="1470" windowWidth="18165" windowHeight="21135" xr2:uid="{7A96142A-95FE-491D-9737-978D460925CE}"/>
  </bookViews>
  <sheets>
    <sheet name="About" sheetId="1" r:id="rId1"/>
    <sheet name="Data" sheetId="2" r:id="rId2"/>
    <sheet name="AVP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12" i="2" l="1"/>
  <c r="D3" i="2"/>
  <c r="D4" i="2"/>
  <c r="D5" i="2"/>
  <c r="D6" i="2"/>
  <c r="D7" i="2"/>
  <c r="D8" i="2"/>
  <c r="D9" i="2"/>
  <c r="D10" i="2"/>
  <c r="D11" i="2"/>
  <c r="D2" i="2"/>
</calcChain>
</file>

<file path=xl/sharedStrings.xml><?xml version="1.0" encoding="utf-8"?>
<sst xmlns="http://schemas.openxmlformats.org/spreadsheetml/2006/main" count="49" uniqueCount="48">
  <si>
    <t>AVPC Annual Vehicle Parking Costs</t>
  </si>
  <si>
    <t>Source:</t>
  </si>
  <si>
    <t>INRIX</t>
  </si>
  <si>
    <t>Parking Costs in Major Cities</t>
  </si>
  <si>
    <t>https://inrix.com/press-releases/cod-us/</t>
  </si>
  <si>
    <t>New INRIX Study Finds Parking is the Largest Cost of Driving</t>
  </si>
  <si>
    <t>Time Spent Looking for Parking</t>
  </si>
  <si>
    <t>New York City</t>
  </si>
  <si>
    <t>Los Angeles</t>
  </si>
  <si>
    <t>San Francisco</t>
  </si>
  <si>
    <t>Washington DC</t>
  </si>
  <si>
    <t>Seattle</t>
  </si>
  <si>
    <t>Chicago</t>
  </si>
  <si>
    <t>Boston</t>
  </si>
  <si>
    <t>Atlanta</t>
  </si>
  <si>
    <t>Dallas</t>
  </si>
  <si>
    <t>U.S. Average</t>
  </si>
  <si>
    <t>Detroit</t>
  </si>
  <si>
    <t>Cost (2017 USD/yr)</t>
  </si>
  <si>
    <t>Cost to Time Ratio</t>
  </si>
  <si>
    <t>Time Spent (hr/yr)</t>
  </si>
  <si>
    <t>https://www.usatoday.com/story/money/2017/07/12/parking-pain-causes-financial-and-personal-strain/467637001/</t>
  </si>
  <si>
    <t>Drivers spend an average of 17 hours a year searching for parking spots</t>
  </si>
  <si>
    <t>Notes</t>
  </si>
  <si>
    <t>INRIX has annual parking costs (per driver) for 10 major U.S. cities.</t>
  </si>
  <si>
    <t>However, this does not reflect a nation-wide average, which includes</t>
  </si>
  <si>
    <t>many smaller cities, towns and rural areas.</t>
  </si>
  <si>
    <t>INRIX also has the annual amount of time spent looking for parking</t>
  </si>
  <si>
    <t>in the same 10 major U.S. cities, and a national average for the whole U.S.</t>
  </si>
  <si>
    <t>In order to estimate parking costs for the whole U.S., we assume that the</t>
  </si>
  <si>
    <t>amount of money paid for parking and the amount of time spent looking</t>
  </si>
  <si>
    <t>for parking in a given place are directly proportionate to each other</t>
  </si>
  <si>
    <t>outstrips supply, causing longer time spent looking for parking).</t>
  </si>
  <si>
    <t>We establish an average ratio of cost-to-time for the ten major cities</t>
  </si>
  <si>
    <t>and apply this ratio to the national average time spent looking for parking</t>
  </si>
  <si>
    <t>to obtain a national average parking cost.</t>
  </si>
  <si>
    <t>Conversion Factor</t>
  </si>
  <si>
    <t>2017 to 2012 USD</t>
  </si>
  <si>
    <t>2012 USD/year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</si>
  <si>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</si>
  <si>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</si>
  <si>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</si>
  <si>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</si>
  <si>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</si>
  <si>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</si>
  <si>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</si>
  <si>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</si>
  <si>
    <t>(as non-free parking, and parking rates, would rise in situations where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</si>
</sst>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1"/>
    <xf numFmtId="0" fontId="0" fillId="0" borderId="0" xfId="0" applyAlignment="1">
      <alignment horizontal="right" wrapText="1"/>
    </xf>
    <xf numFmtId="174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</xdr:row>
      <xdr:rowOff>9526</xdr:rowOff>
    </xdr:from>
    <xdr:to>
      <xdr:col>12</xdr:col>
      <xdr:colOff>323850</xdr:colOff>
      <xdr:row>23</xdr:row>
      <xdr:rowOff>17146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CEBA2D-5F2E-4120-A31C-AED7F058C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390526"/>
          <a:ext cx="4572000" cy="419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satoday.com/story/money/2017/07/12/parking-pain-causes-financial-and-personal-strain/467637001/" TargetMode="External"/><Relationship Id="rId1" Type="http://schemas.openxmlformats.org/officeDocument/2006/relationships/hyperlink" Target="https://inrix.com/press-releases/cod-u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C504-1517-4439-8CB6-64CD86FC1AAC}">
  <dimension ref="A1:B34"/>
  <sheetViews>
    <sheetView tabSelected="1" workbookViewId="0"/>
  </sheetViews>
  <sheetFormatPr defaultRowHeight="15" x14ac:dyDescent="0.25"/>
  <cols>
    <col min="2" max="2" width="29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3" t="s">
        <v>3</v>
      </c>
    </row>
    <row r="4" spans="1:2" x14ac:dyDescent="0.25">
      <c r="B4" t="s">
        <v>2</v>
      </c>
    </row>
    <row r="5" spans="1:2" x14ac:dyDescent="0.25">
      <c r="B5" s="2">
        <v>2018</v>
      </c>
    </row>
    <row r="6" spans="1:2" x14ac:dyDescent="0.25">
      <c r="B6" t="s">
        <v>5</v>
      </c>
    </row>
    <row r="7" spans="1:2" x14ac:dyDescent="0.25">
      <c r="B7" s="4" t="s">
        <v>4</v>
      </c>
    </row>
    <row r="9" spans="1:2" x14ac:dyDescent="0.25">
      <c r="B9" s="3" t="s">
        <v>6</v>
      </c>
    </row>
    <row r="10" spans="1:2" x14ac:dyDescent="0.25">
      <c r="B10" t="s">
        <v>2</v>
      </c>
    </row>
    <row r="11" spans="1:2" x14ac:dyDescent="0.25">
      <c r="B11" s="2">
        <v>2017</v>
      </c>
    </row>
    <row r="12" spans="1:2" x14ac:dyDescent="0.25">
      <c r="B12" t="s">
        <v>22</v>
      </c>
    </row>
    <row r="13" spans="1:2" x14ac:dyDescent="0.25">
      <c r="B13" s="4" t="s">
        <v>21</v>
      </c>
    </row>
    <row r="15" spans="1:2" x14ac:dyDescent="0.25">
      <c r="A15" s="1" t="s">
        <v>23</v>
      </c>
    </row>
    <row r="16" spans="1:2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47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2" spans="1:1" x14ac:dyDescent="0.25">
      <c r="A32" s="1" t="s">
        <v>36</v>
      </c>
    </row>
    <row r="34" spans="1:2" x14ac:dyDescent="0.25">
      <c r="A34">
        <v>0.93700000000000006</v>
      </c>
      <c r="B34" t="s">
        <v>37</v>
      </c>
    </row>
  </sheetData>
  <hyperlinks>
    <hyperlink ref="B7" r:id="rId1" xr:uid="{95049637-93AE-4459-97A9-ED566F862A07}"/>
    <hyperlink ref="B13" r:id="rId2" xr:uid="{0B4DBBE0-E563-4FF9-9E60-2E166BC78EA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AD45-8CD8-474E-BA40-724705BC176E}">
  <dimension ref="A1:D12"/>
  <sheetViews>
    <sheetView workbookViewId="0"/>
  </sheetViews>
  <sheetFormatPr defaultRowHeight="15" x14ac:dyDescent="0.25"/>
  <cols>
    <col min="1" max="1" width="21.7109375" customWidth="1"/>
    <col min="2" max="2" width="15.85546875" customWidth="1"/>
    <col min="3" max="3" width="13.85546875" customWidth="1"/>
    <col min="4" max="4" width="12.140625" customWidth="1"/>
  </cols>
  <sheetData>
    <row r="1" spans="1:4" ht="30" x14ac:dyDescent="0.25">
      <c r="B1" s="5" t="s">
        <v>18</v>
      </c>
      <c r="C1" s="5" t="s">
        <v>20</v>
      </c>
      <c r="D1" t="s">
        <v>19</v>
      </c>
    </row>
    <row r="2" spans="1:4" x14ac:dyDescent="0.25">
      <c r="A2" t="s">
        <v>7</v>
      </c>
      <c r="B2">
        <v>5395</v>
      </c>
      <c r="C2">
        <v>107</v>
      </c>
      <c r="D2" s="6">
        <f>B2/C2</f>
        <v>50.420560747663551</v>
      </c>
    </row>
    <row r="3" spans="1:4" x14ac:dyDescent="0.25">
      <c r="A3" t="s">
        <v>8</v>
      </c>
      <c r="B3">
        <v>2405</v>
      </c>
      <c r="C3">
        <v>85</v>
      </c>
      <c r="D3" s="6">
        <f t="shared" ref="D3:D11" si="0">B3/C3</f>
        <v>28.294117647058822</v>
      </c>
    </row>
    <row r="4" spans="1:4" x14ac:dyDescent="0.25">
      <c r="A4" t="s">
        <v>9</v>
      </c>
      <c r="B4">
        <v>2801</v>
      </c>
      <c r="C4">
        <v>83</v>
      </c>
      <c r="D4" s="6">
        <f t="shared" si="0"/>
        <v>33.746987951807228</v>
      </c>
    </row>
    <row r="5" spans="1:4" x14ac:dyDescent="0.25">
      <c r="A5" t="s">
        <v>10</v>
      </c>
      <c r="B5">
        <v>2170</v>
      </c>
      <c r="C5">
        <v>65</v>
      </c>
      <c r="D5" s="6">
        <f t="shared" si="0"/>
        <v>33.384615384615387</v>
      </c>
    </row>
    <row r="6" spans="1:4" x14ac:dyDescent="0.25">
      <c r="A6" t="s">
        <v>11</v>
      </c>
      <c r="B6">
        <v>1274</v>
      </c>
      <c r="C6">
        <v>58</v>
      </c>
      <c r="D6" s="6">
        <f t="shared" si="0"/>
        <v>21.96551724137931</v>
      </c>
    </row>
    <row r="7" spans="1:4" x14ac:dyDescent="0.25">
      <c r="A7" t="s">
        <v>12</v>
      </c>
      <c r="B7">
        <v>2096</v>
      </c>
      <c r="C7">
        <v>56</v>
      </c>
      <c r="D7" s="6">
        <f t="shared" si="0"/>
        <v>37.428571428571431</v>
      </c>
    </row>
    <row r="8" spans="1:4" x14ac:dyDescent="0.25">
      <c r="A8" t="s">
        <v>13</v>
      </c>
      <c r="B8">
        <v>2045</v>
      </c>
      <c r="C8">
        <v>53</v>
      </c>
      <c r="D8" s="6">
        <f t="shared" si="0"/>
        <v>38.584905660377359</v>
      </c>
    </row>
    <row r="9" spans="1:4" x14ac:dyDescent="0.25">
      <c r="A9" t="s">
        <v>14</v>
      </c>
      <c r="B9">
        <v>872</v>
      </c>
      <c r="C9">
        <v>50</v>
      </c>
      <c r="D9" s="6">
        <f t="shared" si="0"/>
        <v>17.440000000000001</v>
      </c>
    </row>
    <row r="10" spans="1:4" x14ac:dyDescent="0.25">
      <c r="A10" t="s">
        <v>15</v>
      </c>
      <c r="B10">
        <v>723</v>
      </c>
      <c r="C10">
        <v>48</v>
      </c>
      <c r="D10" s="6">
        <f t="shared" si="0"/>
        <v>15.0625</v>
      </c>
    </row>
    <row r="11" spans="1:4" x14ac:dyDescent="0.25">
      <c r="A11" t="s">
        <v>17</v>
      </c>
      <c r="B11">
        <v>815</v>
      </c>
      <c r="C11">
        <v>35</v>
      </c>
      <c r="D11" s="6">
        <f t="shared" si="0"/>
        <v>23.285714285714285</v>
      </c>
    </row>
    <row r="12" spans="1:4" x14ac:dyDescent="0.25">
      <c r="A12" t="s">
        <v>16</v>
      </c>
      <c r="B12" s="8">
        <f>C12*AVERAGE(D2:D11)</f>
        <v>509.34293359021859</v>
      </c>
      <c r="C12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9708-A25B-41AB-AA9C-1989F8E7A4A1}">
  <sheetPr>
    <tabColor theme="4" tint="-0.249977111117893"/>
  </sheetPr>
  <dimension ref="A1:C7"/>
  <sheetViews>
    <sheetView workbookViewId="0"/>
  </sheetViews>
  <sheetFormatPr defaultRowHeight="15" x14ac:dyDescent="0.25"/>
  <cols>
    <col min="1" max="1" width="18" customWidth="1"/>
    <col min="2" max="3" width="13.42578125" customWidth="1"/>
  </cols>
  <sheetData>
    <row r="1" spans="1:3" x14ac:dyDescent="0.25">
      <c r="A1" s="9" t="s">
        <v>38</v>
      </c>
      <c r="B1" s="10" t="s">
        <v>39</v>
      </c>
      <c r="C1" s="10" t="s">
        <v>40</v>
      </c>
    </row>
    <row r="2" spans="1:3" x14ac:dyDescent="0.25">
      <c r="A2" s="1" t="s">
        <v>41</v>
      </c>
      <c r="B2" s="7">
        <f>Data!B12*About!A34</f>
        <v>477.25432877403483</v>
      </c>
      <c r="C2" s="7">
        <v>0</v>
      </c>
    </row>
    <row r="3" spans="1:3" x14ac:dyDescent="0.25">
      <c r="A3" s="1" t="s">
        <v>42</v>
      </c>
      <c r="B3" s="7">
        <v>0</v>
      </c>
      <c r="C3" s="7">
        <v>0</v>
      </c>
    </row>
    <row r="4" spans="1:3" x14ac:dyDescent="0.25">
      <c r="A4" s="1" t="s">
        <v>43</v>
      </c>
      <c r="B4">
        <v>0</v>
      </c>
      <c r="C4">
        <v>0</v>
      </c>
    </row>
    <row r="5" spans="1:3" x14ac:dyDescent="0.25">
      <c r="A5" s="1" t="s">
        <v>44</v>
      </c>
      <c r="B5">
        <v>0</v>
      </c>
      <c r="C5">
        <v>0</v>
      </c>
    </row>
    <row r="6" spans="1:3" x14ac:dyDescent="0.25">
      <c r="A6" s="1" t="s">
        <v>45</v>
      </c>
      <c r="B6">
        <v>0</v>
      </c>
      <c r="C6">
        <v>0</v>
      </c>
    </row>
    <row r="7" spans="1:3" x14ac:dyDescent="0.25">
      <c r="A7" s="1" t="s">
        <v>46</v>
      </c>
      <c r="B7" s="7">
        <v>0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35389D-CEED-4B39-A505-137F01AB9C45}"/>
</file>

<file path=customXml/itemProps2.xml><?xml version="1.0" encoding="utf-8"?>
<ds:datastoreItem xmlns:ds="http://schemas.openxmlformats.org/officeDocument/2006/customXml" ds:itemID="{BFD607EF-52C1-43BF-9C4A-4D350C779D19}"/>
</file>

<file path=customXml/itemProps3.xml><?xml version="1.0" encoding="utf-8"?>
<ds:datastoreItem xmlns:ds="http://schemas.openxmlformats.org/officeDocument/2006/customXml" ds:itemID="{DAA125EC-9829-4639-9344-A747DD58F3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AVPC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2021-12-15T01:50:54Z</dcterms:created>
  <dcterms:modified xsi:type="dcterms:W3CDTF">2021-12-15T02:36:51Z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