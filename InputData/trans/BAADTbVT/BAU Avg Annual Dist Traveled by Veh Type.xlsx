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er\Dropbox\kjh\2026\01.EPS\01.EI\01.메일\260106_메일회신\회신파일\"/>
    </mc:Choice>
  </mc:AlternateContent>
  <xr:revisionPtr revIDLastSave="0" documentId="13_ncr:1_{6148A4AC-E4B7-4A9E-AA85-7B64B9BD57C1}" xr6:coauthVersionLast="47" xr6:coauthVersionMax="47" xr10:uidLastSave="{00000000-0000-0000-0000-000000000000}"/>
  <bookViews>
    <workbookView xWindow="4845" yWindow="2205" windowWidth="21600" windowHeight="11175" tabRatio="845" firstSheet="27" activeTab="33" xr2:uid="{00000000-000D-0000-FFFF-FFFF00000000}"/>
  </bookViews>
  <sheets>
    <sheet name="About" sheetId="1" r:id="rId1"/>
    <sheet name="SYVbT_passenger" sheetId="41" r:id="rId2"/>
    <sheet name="SYVbT_freight" sheetId="42" r:id="rId3"/>
    <sheet name="SYVbT_DV-Regis" sheetId="35" r:id="rId4"/>
    <sheet name="DV-km" sheetId="37" r:id="rId5"/>
    <sheet name="DV-Cal" sheetId="39" r:id="rId6"/>
    <sheet name="SYVbT_Rail" sheetId="45" r:id="rId7"/>
    <sheet name="Rail-domestic psgr traffic" sheetId="71" r:id="rId8"/>
    <sheet name="Rail-CAGR" sheetId="69" r:id="rId9"/>
    <sheet name="Rail-subway" sheetId="70" r:id="rId10"/>
    <sheet name="Rail-Cal" sheetId="44" r:id="rId11"/>
    <sheet name="SYVbT_Aircraft" sheetId="52" r:id="rId12"/>
    <sheet name="Air09" sheetId="54" r:id="rId13"/>
    <sheet name="Air10" sheetId="55" r:id="rId14"/>
    <sheet name="Air11" sheetId="56" r:id="rId15"/>
    <sheet name="Air12" sheetId="57" r:id="rId16"/>
    <sheet name="Air13" sheetId="58" r:id="rId17"/>
    <sheet name="Air14" sheetId="59" r:id="rId18"/>
    <sheet name="Air15" sheetId="60" r:id="rId19"/>
    <sheet name="Air16" sheetId="61" r:id="rId20"/>
    <sheet name="Air17" sheetId="62" r:id="rId21"/>
    <sheet name="Air18" sheetId="63" r:id="rId22"/>
    <sheet name="Air19" sheetId="64" r:id="rId23"/>
    <sheet name="Air20" sheetId="65" r:id="rId24"/>
    <sheet name="Air21" sheetId="66" r:id="rId25"/>
    <sheet name="Air-psgr19" sheetId="67" r:id="rId26"/>
    <sheet name="Air-freight19" sheetId="68" r:id="rId27"/>
    <sheet name="Air-Cal" sheetId="50" r:id="rId28"/>
    <sheet name="Motorbikes" sheetId="53" r:id="rId29"/>
    <sheet name="Ships-Cal" sheetId="49" r:id="rId30"/>
    <sheet name="SYAADTbVT-passengers" sheetId="73" r:id="rId31"/>
    <sheet name="SYAADTbVT-freight" sheetId="74" r:id="rId32"/>
    <sheet name="BAADTbVT-passengers" sheetId="6" r:id="rId33"/>
    <sheet name="BAADTbVT-freight" sheetId="12" r:id="rId34"/>
    <sheet name="AVLo-passenger" sheetId="46" r:id="rId35"/>
    <sheet name="AVLo-freight" sheetId="72" r:id="rId36"/>
  </sheets>
  <externalReferences>
    <externalReference r:id="rId37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39" l="1"/>
  <c r="Q7" i="39"/>
  <c r="R5" i="39"/>
  <c r="Q5" i="39"/>
  <c r="E72" i="49" l="1"/>
  <c r="F23" i="37" l="1"/>
  <c r="L7" i="50" l="1"/>
  <c r="L4" i="50"/>
  <c r="J4" i="50" l="1"/>
  <c r="D14" i="44" l="1"/>
  <c r="E69" i="49" l="1"/>
  <c r="E46" i="70" l="1"/>
  <c r="C26" i="70"/>
  <c r="E7" i="53" l="1"/>
  <c r="E2" i="53"/>
  <c r="B7" i="12" l="1"/>
  <c r="B7" i="74"/>
  <c r="C7" i="6"/>
  <c r="B7" i="6" s="1"/>
  <c r="B7" i="73"/>
  <c r="B6" i="44"/>
  <c r="A6" i="44"/>
  <c r="D6" i="69"/>
  <c r="K5" i="69"/>
  <c r="D4" i="69"/>
  <c r="E4" i="69"/>
  <c r="F4" i="69"/>
  <c r="G4" i="69"/>
  <c r="H4" i="69"/>
  <c r="I4" i="69"/>
  <c r="J4" i="69"/>
  <c r="D3" i="69"/>
  <c r="E3" i="69"/>
  <c r="F3" i="69"/>
  <c r="G3" i="69"/>
  <c r="H3" i="69"/>
  <c r="I3" i="69"/>
  <c r="J3" i="69"/>
  <c r="C3" i="69"/>
  <c r="C4" i="69"/>
  <c r="K6" i="69"/>
  <c r="K4" i="69" l="1"/>
  <c r="K3" i="69"/>
  <c r="C14" i="44" l="1"/>
  <c r="B3" i="44"/>
  <c r="A3" i="44"/>
  <c r="H5" i="70"/>
  <c r="I5" i="70"/>
  <c r="H6" i="70"/>
  <c r="I6" i="70"/>
  <c r="H7" i="70"/>
  <c r="I7" i="70"/>
  <c r="H8" i="70"/>
  <c r="I8" i="70"/>
  <c r="H9" i="70"/>
  <c r="I9" i="70"/>
  <c r="H10" i="70"/>
  <c r="I10" i="70"/>
  <c r="H11" i="70"/>
  <c r="I11" i="70"/>
  <c r="H12" i="70"/>
  <c r="I12" i="70"/>
  <c r="H13" i="70"/>
  <c r="I13" i="70"/>
  <c r="H14" i="70"/>
  <c r="I14" i="70"/>
  <c r="H15" i="70"/>
  <c r="I15" i="70"/>
  <c r="H16" i="70"/>
  <c r="I16" i="70"/>
  <c r="B10" i="44" s="1"/>
  <c r="I4" i="70"/>
  <c r="H4" i="70"/>
  <c r="C5" i="70"/>
  <c r="D5" i="70"/>
  <c r="C6" i="70"/>
  <c r="D6" i="70"/>
  <c r="C7" i="70"/>
  <c r="D7" i="70"/>
  <c r="C8" i="70"/>
  <c r="D8" i="70"/>
  <c r="C9" i="70"/>
  <c r="D9" i="70"/>
  <c r="C10" i="70"/>
  <c r="D10" i="70"/>
  <c r="C11" i="70"/>
  <c r="D11" i="70"/>
  <c r="C12" i="70"/>
  <c r="D12" i="70"/>
  <c r="C13" i="70"/>
  <c r="D13" i="70"/>
  <c r="C14" i="70"/>
  <c r="D14" i="70"/>
  <c r="C15" i="70"/>
  <c r="D15" i="70"/>
  <c r="C16" i="70"/>
  <c r="D16" i="70"/>
  <c r="A10" i="44" s="1"/>
  <c r="D4" i="70"/>
  <c r="C4" i="70"/>
  <c r="H45" i="70"/>
  <c r="D45" i="70"/>
  <c r="H44" i="70"/>
  <c r="I44" i="70" s="1"/>
  <c r="D44" i="70"/>
  <c r="H43" i="70"/>
  <c r="I43" i="70" s="1"/>
  <c r="D43" i="70"/>
  <c r="H42" i="70"/>
  <c r="I42" i="70" s="1"/>
  <c r="D42" i="70"/>
  <c r="F41" i="70"/>
  <c r="H41" i="70" s="1"/>
  <c r="D41" i="70"/>
  <c r="F40" i="70"/>
  <c r="H40" i="70" s="1"/>
  <c r="I40" i="70" s="1"/>
  <c r="D40" i="70"/>
  <c r="F39" i="70"/>
  <c r="H39" i="70" s="1"/>
  <c r="I39" i="70" s="1"/>
  <c r="D39" i="70"/>
  <c r="F38" i="70"/>
  <c r="H38" i="70" s="1"/>
  <c r="D38" i="70"/>
  <c r="H37" i="70"/>
  <c r="D37" i="70"/>
  <c r="H36" i="70"/>
  <c r="I36" i="70"/>
  <c r="D36" i="70"/>
  <c r="H35" i="70"/>
  <c r="I35" i="70" s="1"/>
  <c r="D35" i="70"/>
  <c r="H34" i="70"/>
  <c r="I34" i="70" s="1"/>
  <c r="D34" i="70"/>
  <c r="H33" i="70"/>
  <c r="I33" i="70" s="1"/>
  <c r="D33" i="70"/>
  <c r="H32" i="70"/>
  <c r="I32" i="70"/>
  <c r="D32" i="70"/>
  <c r="H31" i="70"/>
  <c r="D31" i="70"/>
  <c r="H30" i="70"/>
  <c r="I30" i="70"/>
  <c r="D30" i="70"/>
  <c r="H29" i="70"/>
  <c r="I29" i="70" s="1"/>
  <c r="D29" i="70"/>
  <c r="H28" i="70"/>
  <c r="I28" i="70" s="1"/>
  <c r="D28" i="70"/>
  <c r="H27" i="70"/>
  <c r="I27" i="70" s="1"/>
  <c r="D27" i="70"/>
  <c r="H26" i="70"/>
  <c r="I26" i="70" s="1"/>
  <c r="D26" i="70"/>
  <c r="H25" i="70"/>
  <c r="I25" i="70" s="1"/>
  <c r="D25" i="70"/>
  <c r="H24" i="70"/>
  <c r="I24" i="70" s="1"/>
  <c r="D24" i="70"/>
  <c r="H23" i="70"/>
  <c r="I23" i="70" s="1"/>
  <c r="H22" i="70"/>
  <c r="I22" i="70" s="1"/>
  <c r="D22" i="70"/>
  <c r="A14" i="44" l="1"/>
  <c r="I41" i="70"/>
  <c r="I38" i="70"/>
  <c r="I31" i="70"/>
  <c r="I45" i="70"/>
  <c r="D46" i="70"/>
  <c r="I37" i="70"/>
  <c r="B14" i="44"/>
  <c r="E14" i="44" s="1"/>
  <c r="F14" i="44" s="1"/>
  <c r="C47" i="70" l="1"/>
  <c r="D10" i="44" s="1"/>
  <c r="C10" i="44"/>
  <c r="E3" i="44" l="1"/>
  <c r="F3" i="44" s="1"/>
  <c r="G3" i="44" s="1"/>
  <c r="E10" i="44"/>
  <c r="F10" i="44" s="1"/>
  <c r="G10" i="44" s="1"/>
  <c r="D6" i="44" l="1"/>
  <c r="J50" i="50" l="1"/>
  <c r="K50" i="50"/>
  <c r="L50" i="50"/>
  <c r="I50" i="50"/>
  <c r="J49" i="50"/>
  <c r="K49" i="50"/>
  <c r="L49" i="50"/>
  <c r="I49" i="50"/>
  <c r="J48" i="50"/>
  <c r="K48" i="50"/>
  <c r="L48" i="50"/>
  <c r="I48" i="50"/>
  <c r="J47" i="50"/>
  <c r="K47" i="50"/>
  <c r="L47" i="50"/>
  <c r="I47" i="50"/>
  <c r="J46" i="50"/>
  <c r="K46" i="50"/>
  <c r="L46" i="50"/>
  <c r="I46" i="50"/>
  <c r="J45" i="50"/>
  <c r="K45" i="50"/>
  <c r="L45" i="50"/>
  <c r="I45" i="50"/>
  <c r="J44" i="50"/>
  <c r="K44" i="50"/>
  <c r="L44" i="50"/>
  <c r="I44" i="50"/>
  <c r="J43" i="50"/>
  <c r="K43" i="50"/>
  <c r="L43" i="50"/>
  <c r="I43" i="50"/>
  <c r="J42" i="50"/>
  <c r="K42" i="50"/>
  <c r="L42" i="50"/>
  <c r="I42" i="50"/>
  <c r="J41" i="50"/>
  <c r="K41" i="50"/>
  <c r="L41" i="50"/>
  <c r="I41" i="50"/>
  <c r="J40" i="50"/>
  <c r="K40" i="50"/>
  <c r="L40" i="50"/>
  <c r="I40" i="50"/>
  <c r="J39" i="50"/>
  <c r="K39" i="50"/>
  <c r="L39" i="50"/>
  <c r="I39" i="50"/>
  <c r="C50" i="50"/>
  <c r="D50" i="50"/>
  <c r="N50" i="50" s="1"/>
  <c r="E50" i="50"/>
  <c r="O50" i="50" s="1"/>
  <c r="B50" i="50"/>
  <c r="C49" i="50"/>
  <c r="D49" i="50"/>
  <c r="E49" i="50"/>
  <c r="O49" i="50" s="1"/>
  <c r="B49" i="50"/>
  <c r="C48" i="50"/>
  <c r="D48" i="50"/>
  <c r="E48" i="50"/>
  <c r="B48" i="50"/>
  <c r="C47" i="50"/>
  <c r="D47" i="50"/>
  <c r="E47" i="50"/>
  <c r="O47" i="50" s="1"/>
  <c r="B47" i="50"/>
  <c r="C46" i="50"/>
  <c r="D46" i="50"/>
  <c r="N46" i="50" s="1"/>
  <c r="E46" i="50"/>
  <c r="O46" i="50" s="1"/>
  <c r="B46" i="50"/>
  <c r="C45" i="50"/>
  <c r="D45" i="50"/>
  <c r="N45" i="50" s="1"/>
  <c r="E45" i="50"/>
  <c r="O45" i="50" s="1"/>
  <c r="B45" i="50"/>
  <c r="C44" i="50"/>
  <c r="D44" i="50"/>
  <c r="E44" i="50"/>
  <c r="B44" i="50"/>
  <c r="C43" i="50"/>
  <c r="D43" i="50"/>
  <c r="E43" i="50"/>
  <c r="B43" i="50"/>
  <c r="C42" i="50"/>
  <c r="D42" i="50"/>
  <c r="E42" i="50"/>
  <c r="B42" i="50"/>
  <c r="C41" i="50"/>
  <c r="D41" i="50"/>
  <c r="N41" i="50" s="1"/>
  <c r="E41" i="50"/>
  <c r="O41" i="50" s="1"/>
  <c r="B41" i="50"/>
  <c r="C40" i="50"/>
  <c r="D40" i="50"/>
  <c r="N40" i="50" s="1"/>
  <c r="E40" i="50"/>
  <c r="O40" i="50" s="1"/>
  <c r="B40" i="50"/>
  <c r="C39" i="50"/>
  <c r="D39" i="50"/>
  <c r="E39" i="50"/>
  <c r="B39" i="50"/>
  <c r="N47" i="50" l="1"/>
  <c r="O43" i="50"/>
  <c r="O42" i="50"/>
  <c r="N43" i="50"/>
  <c r="O48" i="50"/>
  <c r="O39" i="50"/>
  <c r="P38" i="50" s="1"/>
  <c r="N48" i="50"/>
  <c r="O44" i="50"/>
  <c r="P60" i="49" s="1"/>
  <c r="N42" i="50"/>
  <c r="N44" i="50"/>
  <c r="N39" i="50"/>
  <c r="N49" i="50"/>
  <c r="Q58" i="49"/>
  <c r="P58" i="49"/>
  <c r="J7" i="50"/>
  <c r="P65" i="49"/>
  <c r="Q65" i="49"/>
  <c r="K7" i="50"/>
  <c r="Q59" i="49"/>
  <c r="P59" i="49"/>
  <c r="P64" i="49"/>
  <c r="Q64" i="49"/>
  <c r="Q56" i="49"/>
  <c r="P56" i="49"/>
  <c r="P62" i="49"/>
  <c r="Q62" i="49"/>
  <c r="Q57" i="49"/>
  <c r="P57" i="49"/>
  <c r="P63" i="49"/>
  <c r="Q63" i="49"/>
  <c r="Q61" i="49"/>
  <c r="P61" i="49"/>
  <c r="Q60" i="49"/>
  <c r="K65" i="49"/>
  <c r="J64" i="49"/>
  <c r="J65" i="49" s="1"/>
  <c r="E60" i="49"/>
  <c r="E62" i="49" s="1"/>
  <c r="G62" i="49" s="1"/>
  <c r="E59" i="49"/>
  <c r="L48" i="49"/>
  <c r="L49" i="49"/>
  <c r="L50" i="49"/>
  <c r="L51" i="49"/>
  <c r="L47" i="49"/>
  <c r="D31" i="49"/>
  <c r="E31" i="49"/>
  <c r="F31" i="49"/>
  <c r="G31" i="49"/>
  <c r="H31" i="49"/>
  <c r="I31" i="49"/>
  <c r="J31" i="49"/>
  <c r="K31" i="49"/>
  <c r="L31" i="49"/>
  <c r="M31" i="49"/>
  <c r="D32" i="49"/>
  <c r="E32" i="49"/>
  <c r="F32" i="49"/>
  <c r="G32" i="49"/>
  <c r="H32" i="49"/>
  <c r="I32" i="49"/>
  <c r="J32" i="49"/>
  <c r="K32" i="49"/>
  <c r="L32" i="49"/>
  <c r="M32" i="49"/>
  <c r="C32" i="49"/>
  <c r="C31" i="49"/>
  <c r="P24" i="49"/>
  <c r="Q24" i="49"/>
  <c r="R24" i="49"/>
  <c r="S24" i="49"/>
  <c r="T24" i="49"/>
  <c r="U24" i="49"/>
  <c r="V24" i="49"/>
  <c r="W24" i="49"/>
  <c r="X24" i="49"/>
  <c r="Y24" i="49"/>
  <c r="P25" i="49"/>
  <c r="Q25" i="49"/>
  <c r="R25" i="49"/>
  <c r="S25" i="49"/>
  <c r="T25" i="49"/>
  <c r="U25" i="49"/>
  <c r="V25" i="49"/>
  <c r="W25" i="49"/>
  <c r="X25" i="49"/>
  <c r="Y25" i="49"/>
  <c r="P26" i="49"/>
  <c r="Q26" i="49"/>
  <c r="R26" i="49"/>
  <c r="S26" i="49"/>
  <c r="T26" i="49"/>
  <c r="U26" i="49"/>
  <c r="V26" i="49"/>
  <c r="W26" i="49"/>
  <c r="X26" i="49"/>
  <c r="Y26" i="49"/>
  <c r="P27" i="49"/>
  <c r="Q27" i="49"/>
  <c r="R27" i="49"/>
  <c r="S27" i="49"/>
  <c r="T27" i="49"/>
  <c r="U27" i="49"/>
  <c r="V27" i="49"/>
  <c r="W27" i="49"/>
  <c r="X27" i="49"/>
  <c r="Y27" i="49"/>
  <c r="P28" i="49"/>
  <c r="Q28" i="49"/>
  <c r="R28" i="49"/>
  <c r="S28" i="49"/>
  <c r="T28" i="49"/>
  <c r="U28" i="49"/>
  <c r="V28" i="49"/>
  <c r="W28" i="49"/>
  <c r="X28" i="49"/>
  <c r="Y28" i="49"/>
  <c r="P29" i="49"/>
  <c r="L54" i="49" s="1"/>
  <c r="Q29" i="49"/>
  <c r="L55" i="49" s="1"/>
  <c r="R29" i="49"/>
  <c r="L56" i="49" s="1"/>
  <c r="S29" i="49"/>
  <c r="T29" i="49"/>
  <c r="U29" i="49"/>
  <c r="L59" i="49" s="1"/>
  <c r="V29" i="49"/>
  <c r="L60" i="49" s="1"/>
  <c r="W29" i="49"/>
  <c r="L61" i="49" s="1"/>
  <c r="X29" i="49"/>
  <c r="L62" i="49" s="1"/>
  <c r="Y29" i="49"/>
  <c r="L63" i="49" s="1"/>
  <c r="P30" i="49"/>
  <c r="Q30" i="49"/>
  <c r="R30" i="49"/>
  <c r="S30" i="49"/>
  <c r="T30" i="49"/>
  <c r="U30" i="49"/>
  <c r="V30" i="49"/>
  <c r="W30" i="49"/>
  <c r="X30" i="49"/>
  <c r="Y30" i="49"/>
  <c r="Y23" i="49"/>
  <c r="X23" i="49"/>
  <c r="W23" i="49"/>
  <c r="V23" i="49"/>
  <c r="U23" i="49"/>
  <c r="T23" i="49"/>
  <c r="S23" i="49"/>
  <c r="R23" i="49"/>
  <c r="Q23" i="49"/>
  <c r="P23" i="49"/>
  <c r="O24" i="49"/>
  <c r="O25" i="49"/>
  <c r="O26" i="49"/>
  <c r="O27" i="49"/>
  <c r="O28" i="49"/>
  <c r="O29" i="49"/>
  <c r="L53" i="49" s="1"/>
  <c r="O30" i="49"/>
  <c r="O23" i="49"/>
  <c r="N23" i="49"/>
  <c r="N24" i="49"/>
  <c r="N25" i="49"/>
  <c r="N26" i="49"/>
  <c r="N27" i="49"/>
  <c r="N28" i="49"/>
  <c r="N29" i="49"/>
  <c r="L52" i="49" s="1"/>
  <c r="N30" i="49"/>
  <c r="F37" i="49"/>
  <c r="G37" i="49"/>
  <c r="F38" i="49"/>
  <c r="G38" i="49"/>
  <c r="F39" i="49"/>
  <c r="G39" i="49"/>
  <c r="F40" i="49"/>
  <c r="G40" i="49"/>
  <c r="F41" i="49"/>
  <c r="G41" i="49"/>
  <c r="F42" i="49"/>
  <c r="G42" i="49"/>
  <c r="F43" i="49"/>
  <c r="G43" i="49"/>
  <c r="F44" i="49"/>
  <c r="G44" i="49"/>
  <c r="F45" i="49"/>
  <c r="G45" i="49"/>
  <c r="F46" i="49"/>
  <c r="G46" i="49"/>
  <c r="F47" i="49"/>
  <c r="G47" i="49"/>
  <c r="F48" i="49"/>
  <c r="G48" i="49"/>
  <c r="F49" i="49"/>
  <c r="G49" i="49"/>
  <c r="F50" i="49"/>
  <c r="G50" i="49"/>
  <c r="F51" i="49"/>
  <c r="G51" i="49"/>
  <c r="F52" i="49"/>
  <c r="G52" i="49"/>
  <c r="F53" i="49"/>
  <c r="G53" i="49"/>
  <c r="F54" i="49"/>
  <c r="G54" i="49"/>
  <c r="F55" i="49"/>
  <c r="G55" i="49"/>
  <c r="F56" i="49"/>
  <c r="G56" i="49"/>
  <c r="F57" i="49"/>
  <c r="G57" i="49"/>
  <c r="F58" i="49"/>
  <c r="G58" i="49"/>
  <c r="F59" i="49"/>
  <c r="F60" i="49"/>
  <c r="F61" i="49"/>
  <c r="F62" i="49"/>
  <c r="G36" i="49"/>
  <c r="F36" i="49"/>
  <c r="G59" i="49"/>
  <c r="D63" i="49"/>
  <c r="D65" i="49" s="1"/>
  <c r="C64" i="49"/>
  <c r="C63" i="49"/>
  <c r="B64" i="49"/>
  <c r="B63" i="49"/>
  <c r="N37" i="49"/>
  <c r="O37" i="49"/>
  <c r="N38" i="49"/>
  <c r="O38" i="49"/>
  <c r="N39" i="49"/>
  <c r="O39" i="49"/>
  <c r="N40" i="49"/>
  <c r="O40" i="49"/>
  <c r="N41" i="49"/>
  <c r="O41" i="49"/>
  <c r="N42" i="49"/>
  <c r="O42" i="49"/>
  <c r="N43" i="49"/>
  <c r="O43" i="49"/>
  <c r="N44" i="49"/>
  <c r="O44" i="49"/>
  <c r="N45" i="49"/>
  <c r="O45" i="49"/>
  <c r="N46" i="49"/>
  <c r="O46" i="49"/>
  <c r="O36" i="49"/>
  <c r="N36" i="49"/>
  <c r="Q55" i="49" l="1"/>
  <c r="P55" i="49"/>
  <c r="O31" i="49"/>
  <c r="K4" i="50"/>
  <c r="G60" i="49"/>
  <c r="Q38" i="49"/>
  <c r="Q50" i="49"/>
  <c r="P44" i="49"/>
  <c r="Q39" i="49"/>
  <c r="R39" i="49" s="1"/>
  <c r="Q51" i="49"/>
  <c r="P45" i="49"/>
  <c r="Q40" i="49"/>
  <c r="R40" i="49" s="1"/>
  <c r="Q52" i="49"/>
  <c r="P46" i="49"/>
  <c r="Q41" i="49"/>
  <c r="R41" i="49" s="1"/>
  <c r="Q53" i="49"/>
  <c r="P47" i="49"/>
  <c r="Q42" i="49"/>
  <c r="R42" i="49" s="1"/>
  <c r="Q54" i="49"/>
  <c r="P48" i="49"/>
  <c r="Q43" i="49"/>
  <c r="R43" i="49" s="1"/>
  <c r="Q36" i="49"/>
  <c r="R36" i="49" s="1"/>
  <c r="P37" i="49"/>
  <c r="P49" i="49"/>
  <c r="Q44" i="49"/>
  <c r="R44" i="49" s="1"/>
  <c r="P38" i="49"/>
  <c r="P50" i="49"/>
  <c r="P54" i="49"/>
  <c r="Q45" i="49"/>
  <c r="R45" i="49" s="1"/>
  <c r="P39" i="49"/>
  <c r="P51" i="49"/>
  <c r="P52" i="49"/>
  <c r="P53" i="49"/>
  <c r="P42" i="49"/>
  <c r="Q46" i="49"/>
  <c r="R46" i="49" s="1"/>
  <c r="P40" i="49"/>
  <c r="Q48" i="49"/>
  <c r="Q47" i="49"/>
  <c r="P41" i="49"/>
  <c r="Q37" i="49"/>
  <c r="R37" i="49" s="1"/>
  <c r="Q49" i="49"/>
  <c r="P43" i="49"/>
  <c r="P36" i="49"/>
  <c r="L65" i="49"/>
  <c r="E61" i="49"/>
  <c r="G61" i="49" s="1"/>
  <c r="E65" i="49"/>
  <c r="E64" i="49"/>
  <c r="G64" i="49" s="1"/>
  <c r="E63" i="49"/>
  <c r="G63" i="49" s="1"/>
  <c r="N32" i="49"/>
  <c r="Q31" i="49"/>
  <c r="O32" i="49"/>
  <c r="X32" i="49"/>
  <c r="R32" i="49"/>
  <c r="P31" i="49"/>
  <c r="S32" i="49"/>
  <c r="Y32" i="49"/>
  <c r="V32" i="49"/>
  <c r="T31" i="49"/>
  <c r="N31" i="49"/>
  <c r="Q32" i="49"/>
  <c r="P32" i="49"/>
  <c r="U32" i="49"/>
  <c r="S31" i="49"/>
  <c r="Y31" i="49"/>
  <c r="T32" i="49"/>
  <c r="R31" i="49"/>
  <c r="X31" i="49"/>
  <c r="W32" i="49"/>
  <c r="U31" i="49"/>
  <c r="R38" i="49"/>
  <c r="V31" i="49"/>
  <c r="L58" i="49"/>
  <c r="W31" i="49"/>
  <c r="L57" i="49"/>
  <c r="B65" i="49"/>
  <c r="F65" i="49" s="1"/>
  <c r="C69" i="49" s="1"/>
  <c r="F63" i="49"/>
  <c r="D64" i="49"/>
  <c r="F64" i="49" s="1"/>
  <c r="C65" i="49" l="1"/>
  <c r="G65" i="49" s="1"/>
  <c r="D69" i="49" s="1"/>
  <c r="S36" i="49" l="1"/>
  <c r="S37" i="49"/>
  <c r="S38" i="49"/>
  <c r="S39" i="49"/>
  <c r="S40" i="49"/>
  <c r="S41" i="49"/>
  <c r="S42" i="49"/>
  <c r="S43" i="49"/>
  <c r="S44" i="49"/>
  <c r="S45" i="49"/>
  <c r="S46" i="49"/>
  <c r="S54" i="49" l="1"/>
  <c r="S64" i="49"/>
  <c r="S55" i="49"/>
  <c r="S51" i="49"/>
  <c r="S56" i="49"/>
  <c r="S63" i="49"/>
  <c r="S57" i="49"/>
  <c r="S58" i="49"/>
  <c r="S47" i="49"/>
  <c r="S59" i="49"/>
  <c r="S48" i="49"/>
  <c r="S60" i="49"/>
  <c r="S49" i="49"/>
  <c r="S61" i="49"/>
  <c r="S52" i="49"/>
  <c r="S50" i="49"/>
  <c r="S62" i="49"/>
  <c r="S53" i="49"/>
  <c r="S65" i="49"/>
  <c r="H14" i="52" l="1"/>
  <c r="H12" i="52"/>
  <c r="I12" i="52" s="1"/>
  <c r="G66" i="52"/>
  <c r="F66" i="52"/>
  <c r="G58" i="52"/>
  <c r="G59" i="52" s="1"/>
  <c r="F58" i="52"/>
  <c r="F40" i="52"/>
  <c r="F36" i="52"/>
  <c r="F33" i="52"/>
  <c r="F28" i="52"/>
  <c r="F24" i="52"/>
  <c r="F15" i="52"/>
  <c r="F11" i="52"/>
  <c r="M4" i="50"/>
  <c r="N4" i="50" s="1"/>
  <c r="O4" i="50" s="1"/>
  <c r="B4" i="73" s="1"/>
  <c r="N63" i="49" l="1"/>
  <c r="M7" i="50"/>
  <c r="N7" i="50" s="1"/>
  <c r="O7" i="50" s="1"/>
  <c r="F69" i="49"/>
  <c r="G69" i="49" s="1"/>
  <c r="H69" i="49" s="1"/>
  <c r="G67" i="52"/>
  <c r="F49" i="52"/>
  <c r="F59" i="52" s="1"/>
  <c r="F67" i="52" s="1"/>
  <c r="C4" i="6"/>
  <c r="B4" i="12" l="1"/>
  <c r="B4" i="74"/>
  <c r="N47" i="49"/>
  <c r="N4" i="12"/>
  <c r="Z4" i="12"/>
  <c r="W4" i="12"/>
  <c r="O4" i="12"/>
  <c r="AA4" i="12"/>
  <c r="C4" i="12"/>
  <c r="X4" i="12"/>
  <c r="D4" i="12"/>
  <c r="P4" i="12"/>
  <c r="AB4" i="12"/>
  <c r="E4" i="12"/>
  <c r="Q4" i="12"/>
  <c r="AC4" i="12"/>
  <c r="J4" i="12"/>
  <c r="F4" i="12"/>
  <c r="R4" i="12"/>
  <c r="AD4" i="12"/>
  <c r="V4" i="12"/>
  <c r="L4" i="12"/>
  <c r="G4" i="12"/>
  <c r="S4" i="12"/>
  <c r="AE4" i="12"/>
  <c r="H4" i="12"/>
  <c r="T4" i="12"/>
  <c r="I4" i="12"/>
  <c r="U4" i="12"/>
  <c r="K4" i="12"/>
  <c r="M4" i="12"/>
  <c r="Y4" i="12"/>
  <c r="AE4" i="6"/>
  <c r="H4" i="6"/>
  <c r="I4" i="6"/>
  <c r="U4" i="6"/>
  <c r="W4" i="6"/>
  <c r="B4" i="6"/>
  <c r="J4" i="6"/>
  <c r="V4" i="6"/>
  <c r="K4" i="6"/>
  <c r="D4" i="6"/>
  <c r="X4" i="6"/>
  <c r="Y4" i="6"/>
  <c r="L4" i="6"/>
  <c r="M4" i="6"/>
  <c r="N4" i="6"/>
  <c r="Z4" i="6"/>
  <c r="O4" i="6"/>
  <c r="AA4" i="6"/>
  <c r="S4" i="6"/>
  <c r="T4" i="6"/>
  <c r="P4" i="6"/>
  <c r="AB4" i="6"/>
  <c r="E4" i="6"/>
  <c r="Q4" i="6"/>
  <c r="AC4" i="6"/>
  <c r="F4" i="6"/>
  <c r="R4" i="6"/>
  <c r="AD4" i="6"/>
  <c r="G4" i="6"/>
  <c r="N64" i="49" l="1"/>
  <c r="N48" i="49"/>
  <c r="E6" i="44"/>
  <c r="F6" i="44" s="1"/>
  <c r="G6" i="44" s="1"/>
  <c r="D42" i="45"/>
  <c r="D41" i="45"/>
  <c r="D40" i="45"/>
  <c r="D39" i="45"/>
  <c r="D37" i="45"/>
  <c r="D36" i="45"/>
  <c r="D35" i="45"/>
  <c r="D34" i="45"/>
  <c r="D33" i="45"/>
  <c r="D32" i="45"/>
  <c r="D31" i="45"/>
  <c r="D30" i="45"/>
  <c r="D29" i="45"/>
  <c r="B5" i="12" l="1"/>
  <c r="B5" i="74"/>
  <c r="N49" i="49"/>
  <c r="N65" i="49"/>
  <c r="D5" i="12"/>
  <c r="P5" i="12"/>
  <c r="AB5" i="12"/>
  <c r="R5" i="12"/>
  <c r="AD5" i="12"/>
  <c r="W5" i="12"/>
  <c r="E5" i="12"/>
  <c r="Q5" i="12"/>
  <c r="AC5" i="12"/>
  <c r="F5" i="12"/>
  <c r="L5" i="12"/>
  <c r="M5" i="12"/>
  <c r="N5" i="12"/>
  <c r="O5" i="12"/>
  <c r="G5" i="12"/>
  <c r="S5" i="12"/>
  <c r="AE5" i="12"/>
  <c r="V5" i="12"/>
  <c r="X5" i="12"/>
  <c r="H5" i="12"/>
  <c r="T5" i="12"/>
  <c r="U5" i="12"/>
  <c r="C5" i="12"/>
  <c r="I5" i="12"/>
  <c r="J5" i="12"/>
  <c r="K5" i="12"/>
  <c r="Y5" i="12"/>
  <c r="Z5" i="12"/>
  <c r="AA5" i="12"/>
  <c r="G14" i="44" l="1"/>
  <c r="C72" i="49"/>
  <c r="N50" i="49"/>
  <c r="C5" i="6" l="1"/>
  <c r="B5" i="73"/>
  <c r="N5" i="6"/>
  <c r="D5" i="6"/>
  <c r="H5" i="6"/>
  <c r="I5" i="6"/>
  <c r="S5" i="6"/>
  <c r="AC5" i="6"/>
  <c r="X5" i="6"/>
  <c r="V5" i="6"/>
  <c r="J5" i="6"/>
  <c r="AB5" i="6"/>
  <c r="AA5" i="6"/>
  <c r="Q5" i="6"/>
  <c r="R5" i="6"/>
  <c r="F5" i="6"/>
  <c r="AE5" i="6"/>
  <c r="K5" i="6"/>
  <c r="L5" i="6"/>
  <c r="W5" i="6"/>
  <c r="T5" i="6"/>
  <c r="Z5" i="6"/>
  <c r="N51" i="49"/>
  <c r="L7" i="6"/>
  <c r="B5" i="6" l="1"/>
  <c r="U5" i="6"/>
  <c r="AD5" i="6"/>
  <c r="E5" i="6"/>
  <c r="Y5" i="6"/>
  <c r="P5" i="6"/>
  <c r="G5" i="6"/>
  <c r="M5" i="6"/>
  <c r="O5" i="6"/>
  <c r="N52" i="49"/>
  <c r="F7" i="6"/>
  <c r="P7" i="6"/>
  <c r="O7" i="6"/>
  <c r="G7" i="6"/>
  <c r="W7" i="6"/>
  <c r="V7" i="6"/>
  <c r="AB7" i="6"/>
  <c r="AA7" i="6"/>
  <c r="Z7" i="6"/>
  <c r="K7" i="6"/>
  <c r="Y7" i="6"/>
  <c r="J7" i="6"/>
  <c r="I7" i="6"/>
  <c r="H7" i="6"/>
  <c r="X7" i="6"/>
  <c r="T7" i="6"/>
  <c r="E7" i="6"/>
  <c r="D7" i="6"/>
  <c r="U7" i="6"/>
  <c r="AE7" i="6"/>
  <c r="S7" i="6"/>
  <c r="AD7" i="6"/>
  <c r="R7" i="6"/>
  <c r="AC7" i="6"/>
  <c r="Q7" i="6"/>
  <c r="N7" i="6"/>
  <c r="M7" i="6"/>
  <c r="K6" i="39"/>
  <c r="J9" i="39"/>
  <c r="J6" i="39"/>
  <c r="J14" i="39"/>
  <c r="J12" i="39" s="1"/>
  <c r="G24" i="39"/>
  <c r="J20" i="39" s="1"/>
  <c r="G21" i="39"/>
  <c r="J19" i="39" s="1"/>
  <c r="G17" i="39"/>
  <c r="J18" i="39" s="1"/>
  <c r="G13" i="39"/>
  <c r="J13" i="39" s="1"/>
  <c r="G9" i="39"/>
  <c r="J8" i="39" s="1"/>
  <c r="G8" i="39"/>
  <c r="J5" i="39" s="1"/>
  <c r="G7" i="39"/>
  <c r="J7" i="39" s="1"/>
  <c r="G27" i="39"/>
  <c r="J27" i="39" s="1"/>
  <c r="G26" i="39"/>
  <c r="J25" i="39" s="1"/>
  <c r="L25" i="39" s="1"/>
  <c r="Q11" i="39" s="1"/>
  <c r="G25" i="39"/>
  <c r="J26" i="39" s="1"/>
  <c r="C27" i="39"/>
  <c r="C26" i="39"/>
  <c r="C25" i="39"/>
  <c r="C24" i="39"/>
  <c r="C23" i="39"/>
  <c r="C22" i="39"/>
  <c r="C21" i="39"/>
  <c r="C20" i="39"/>
  <c r="C19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F37" i="37"/>
  <c r="H27" i="39" s="1"/>
  <c r="F35" i="37"/>
  <c r="H25" i="39" s="1"/>
  <c r="F36" i="37"/>
  <c r="H26" i="39" s="1"/>
  <c r="F33" i="37"/>
  <c r="H24" i="39" s="1"/>
  <c r="F29" i="37"/>
  <c r="H21" i="39" s="1"/>
  <c r="F25" i="37"/>
  <c r="H17" i="39" s="1"/>
  <c r="F24" i="37"/>
  <c r="F32" i="37"/>
  <c r="F28" i="37"/>
  <c r="F31" i="37"/>
  <c r="F27" i="37"/>
  <c r="G19" i="39" s="1"/>
  <c r="F17" i="37"/>
  <c r="F19" i="37"/>
  <c r="H13" i="39" s="1"/>
  <c r="K13" i="39" s="1"/>
  <c r="F20" i="37"/>
  <c r="K14" i="39" s="1"/>
  <c r="F18" i="37"/>
  <c r="F12" i="37"/>
  <c r="F10" i="37"/>
  <c r="H7" i="39" s="1"/>
  <c r="F7" i="37"/>
  <c r="F13" i="37"/>
  <c r="H9" i="39" s="1"/>
  <c r="F9" i="37"/>
  <c r="F14" i="37"/>
  <c r="F8" i="37"/>
  <c r="N53" i="49" l="1"/>
  <c r="D4" i="39"/>
  <c r="E4" i="39" s="1"/>
  <c r="G11" i="39"/>
  <c r="J11" i="39" s="1"/>
  <c r="G15" i="39"/>
  <c r="J15" i="39" s="1"/>
  <c r="K9" i="39"/>
  <c r="D22" i="39"/>
  <c r="E22" i="39" s="1"/>
  <c r="D8" i="39"/>
  <c r="E8" i="39" s="1"/>
  <c r="H19" i="39"/>
  <c r="K16" i="39" s="1"/>
  <c r="K26" i="39"/>
  <c r="H15" i="39"/>
  <c r="K15" i="39" s="1"/>
  <c r="K25" i="39"/>
  <c r="M25" i="39" s="1"/>
  <c r="R11" i="39" s="1"/>
  <c r="K27" i="39"/>
  <c r="H11" i="39"/>
  <c r="K11" i="39" s="1"/>
  <c r="G4" i="39"/>
  <c r="J4" i="39" s="1"/>
  <c r="H4" i="39"/>
  <c r="K4" i="39" s="1"/>
  <c r="H8" i="39"/>
  <c r="K5" i="39" s="1"/>
  <c r="H22" i="39"/>
  <c r="K17" i="39" s="1"/>
  <c r="K18" i="39"/>
  <c r="K19" i="39"/>
  <c r="K20" i="39"/>
  <c r="K8" i="39"/>
  <c r="D11" i="39"/>
  <c r="E11" i="39" s="1"/>
  <c r="D15" i="39"/>
  <c r="E15" i="39" s="1"/>
  <c r="D19" i="39"/>
  <c r="E19" i="39" s="1"/>
  <c r="M13" i="39"/>
  <c r="R8" i="39" s="1"/>
  <c r="L13" i="39"/>
  <c r="Q8" i="39" s="1"/>
  <c r="K7" i="39"/>
  <c r="J16" i="39"/>
  <c r="G23" i="37"/>
  <c r="G17" i="37"/>
  <c r="G27" i="37"/>
  <c r="G31" i="37"/>
  <c r="G22" i="39" s="1"/>
  <c r="J17" i="39" s="1"/>
  <c r="G7" i="37"/>
  <c r="G12" i="37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N54" i="49" l="1"/>
  <c r="L26" i="39"/>
  <c r="Q14" i="39" s="1"/>
  <c r="M26" i="39"/>
  <c r="R14" i="39" s="1"/>
  <c r="L7" i="39"/>
  <c r="L11" i="39"/>
  <c r="M11" i="39"/>
  <c r="L4" i="39"/>
  <c r="Q4" i="39" s="1"/>
  <c r="M18" i="39"/>
  <c r="R13" i="39" s="1"/>
  <c r="M4" i="39"/>
  <c r="R4" i="39" s="1"/>
  <c r="L18" i="39"/>
  <c r="Q13" i="39" s="1"/>
  <c r="L15" i="39"/>
  <c r="Q10" i="39" s="1"/>
  <c r="M15" i="39"/>
  <c r="R10" i="39" s="1"/>
  <c r="M7" i="39"/>
  <c r="N55" i="49" l="1"/>
  <c r="S10" i="39"/>
  <c r="S7" i="39"/>
  <c r="S4" i="39"/>
  <c r="S13" i="39"/>
  <c r="C2" i="6" l="1"/>
  <c r="H2" i="6" s="1"/>
  <c r="B2" i="73"/>
  <c r="C3" i="6"/>
  <c r="V3" i="6" s="1"/>
  <c r="B3" i="73"/>
  <c r="C3" i="12"/>
  <c r="Q3" i="12" s="1"/>
  <c r="B3" i="74"/>
  <c r="C2" i="12"/>
  <c r="S2" i="12" s="1"/>
  <c r="B2" i="74"/>
  <c r="N56" i="49"/>
  <c r="AC2" i="12"/>
  <c r="R2" i="12"/>
  <c r="AD2" i="12"/>
  <c r="B2" i="12"/>
  <c r="G2" i="12"/>
  <c r="D3" i="12"/>
  <c r="J3" i="6"/>
  <c r="L3" i="6"/>
  <c r="G3" i="6"/>
  <c r="W3" i="6"/>
  <c r="Y3" i="6"/>
  <c r="B3" i="6"/>
  <c r="O3" i="6"/>
  <c r="P3" i="6"/>
  <c r="E3" i="6"/>
  <c r="AD3" i="6"/>
  <c r="S3" i="6"/>
  <c r="T3" i="6"/>
  <c r="N3" i="6"/>
  <c r="AA3" i="6"/>
  <c r="H3" i="6"/>
  <c r="AB3" i="6"/>
  <c r="AC3" i="6"/>
  <c r="U3" i="6"/>
  <c r="P2" i="6"/>
  <c r="AB2" i="6"/>
  <c r="AD2" i="6"/>
  <c r="D2" i="6"/>
  <c r="X2" i="6"/>
  <c r="E2" i="6"/>
  <c r="Q2" i="6"/>
  <c r="AC2" i="6"/>
  <c r="R2" i="6"/>
  <c r="Y2" i="6"/>
  <c r="Z2" i="6"/>
  <c r="F2" i="6"/>
  <c r="G2" i="6"/>
  <c r="S2" i="6"/>
  <c r="AE2" i="6"/>
  <c r="T2" i="6"/>
  <c r="B2" i="6"/>
  <c r="U2" i="6"/>
  <c r="W2" i="6"/>
  <c r="M2" i="6"/>
  <c r="I2" i="6"/>
  <c r="J2" i="6"/>
  <c r="V2" i="6"/>
  <c r="N2" i="6"/>
  <c r="K2" i="6"/>
  <c r="L2" i="6"/>
  <c r="O2" i="6"/>
  <c r="AA2" i="6"/>
  <c r="M3" i="6" l="1"/>
  <c r="I3" i="6"/>
  <c r="Q3" i="6"/>
  <c r="F3" i="6"/>
  <c r="X3" i="6"/>
  <c r="AE3" i="6"/>
  <c r="R3" i="6"/>
  <c r="K3" i="6"/>
  <c r="D3" i="6"/>
  <c r="E2" i="12"/>
  <c r="Q2" i="12"/>
  <c r="Z3" i="6"/>
  <c r="J3" i="12"/>
  <c r="I3" i="12"/>
  <c r="T3" i="12"/>
  <c r="S3" i="12"/>
  <c r="AD3" i="12"/>
  <c r="N3" i="12"/>
  <c r="AA3" i="12"/>
  <c r="O3" i="12"/>
  <c r="Z3" i="12"/>
  <c r="M3" i="12"/>
  <c r="B3" i="12"/>
  <c r="G3" i="12"/>
  <c r="X3" i="12"/>
  <c r="F3" i="12"/>
  <c r="L3" i="12"/>
  <c r="V3" i="12"/>
  <c r="K2" i="12"/>
  <c r="U3" i="12"/>
  <c r="X2" i="12"/>
  <c r="L2" i="12"/>
  <c r="M2" i="12"/>
  <c r="E3" i="12"/>
  <c r="W2" i="12"/>
  <c r="D2" i="12"/>
  <c r="W3" i="12"/>
  <c r="AB3" i="12"/>
  <c r="H2" i="12"/>
  <c r="U2" i="12"/>
  <c r="Y3" i="12"/>
  <c r="P3" i="12"/>
  <c r="F2" i="12"/>
  <c r="P2" i="12"/>
  <c r="V2" i="12"/>
  <c r="AA2" i="12"/>
  <c r="J2" i="12"/>
  <c r="Z2" i="12"/>
  <c r="I2" i="12"/>
  <c r="O2" i="12"/>
  <c r="K3" i="12"/>
  <c r="R3" i="12"/>
  <c r="Y2" i="12"/>
  <c r="T2" i="12"/>
  <c r="H3" i="12"/>
  <c r="AC3" i="12"/>
  <c r="AB2" i="12"/>
  <c r="AE2" i="12"/>
  <c r="AE3" i="12"/>
  <c r="N2" i="12"/>
  <c r="N57" i="49"/>
  <c r="N58" i="49" l="1"/>
  <c r="N59" i="49" l="1"/>
  <c r="N60" i="49" l="1"/>
  <c r="N61" i="49" l="1"/>
  <c r="N62" i="49" l="1"/>
  <c r="M52" i="49"/>
  <c r="O52" i="49"/>
  <c r="R52" i="49" s="1"/>
  <c r="M60" i="49"/>
  <c r="O60" i="49"/>
  <c r="R60" i="49" s="1"/>
  <c r="M53" i="49"/>
  <c r="O53" i="49"/>
  <c r="R53" i="49" s="1"/>
  <c r="M59" i="49"/>
  <c r="O59" i="49" s="1"/>
  <c r="R59" i="49" s="1"/>
  <c r="M47" i="49"/>
  <c r="M51" i="49"/>
  <c r="M50" i="49"/>
  <c r="O50" i="49" s="1"/>
  <c r="R50" i="49" s="1"/>
  <c r="M56" i="49"/>
  <c r="O56" i="49" s="1"/>
  <c r="R56" i="49" s="1"/>
  <c r="M65" i="49"/>
  <c r="O65" i="49" s="1"/>
  <c r="M54" i="49"/>
  <c r="O54" i="49"/>
  <c r="R54" i="49" s="1"/>
  <c r="M58" i="49"/>
  <c r="O58" i="49" s="1"/>
  <c r="R58" i="49" s="1"/>
  <c r="M64" i="49"/>
  <c r="O64" i="49" s="1"/>
  <c r="R64" i="49" s="1"/>
  <c r="M48" i="49"/>
  <c r="M57" i="49"/>
  <c r="O57" i="49" s="1"/>
  <c r="R57" i="49" s="1"/>
  <c r="M62" i="49"/>
  <c r="O62" i="49" s="1"/>
  <c r="R62" i="49" s="1"/>
  <c r="M63" i="49"/>
  <c r="O63" i="49" s="1"/>
  <c r="R63" i="49" s="1"/>
  <c r="M55" i="49"/>
  <c r="O55" i="49" s="1"/>
  <c r="R55" i="49" s="1"/>
  <c r="M49" i="49"/>
  <c r="O49" i="49" s="1"/>
  <c r="R49" i="49" s="1"/>
  <c r="M61" i="49"/>
  <c r="O61" i="49" s="1"/>
  <c r="R61" i="49" s="1"/>
  <c r="D72" i="49" l="1"/>
  <c r="F72" i="49" s="1"/>
  <c r="G72" i="49" s="1"/>
  <c r="H72" i="49" s="1"/>
  <c r="R65" i="49"/>
  <c r="O51" i="49"/>
  <c r="R51" i="49" s="1"/>
  <c r="O48" i="49"/>
  <c r="R48" i="49" s="1"/>
  <c r="O47" i="49"/>
  <c r="R47" i="49" s="1"/>
  <c r="B6" i="74" l="1"/>
  <c r="B6" i="12"/>
  <c r="C6" i="12" s="1"/>
  <c r="D6" i="12" s="1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2" authorId="0" shapeId="0" xr:uid="{E02849D4-EAC3-4A38-AA37-3932A187A9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<sst xmlns="http://schemas.openxmlformats.org/spreadsheetml/2006/main" count="3083" uniqueCount="1002">
  <si>
    <t>BAADTbVT BAU Average Annual Dist Traveled by Vehicle Type</t>
  </si>
  <si>
    <t>Source:</t>
  </si>
  <si>
    <t>Daily vehicle mileage</t>
    <phoneticPr fontId="43" type="noConversion"/>
  </si>
  <si>
    <t>Domestic passenger data</t>
  </si>
  <si>
    <t>KOSIS</t>
    <phoneticPr fontId="43" type="noConversion"/>
  </si>
  <si>
    <t>Ministry of Land, Infrastructure and Transport</t>
    <phoneticPr fontId="43" type="noConversion"/>
  </si>
  <si>
    <t>Vehicle mileage by type</t>
    <phoneticPr fontId="43" type="noConversion"/>
  </si>
  <si>
    <t>Logistics - Transport Performance Report - Domestic Passengers</t>
    <phoneticPr fontId="43" type="noConversion"/>
  </si>
  <si>
    <t>https://kosis.kr/statHtml/statHtml.do?orgId=426&amp;tblId=DT_42601_N002</t>
    <phoneticPr fontId="43" type="noConversion"/>
  </si>
  <si>
    <t>https://stat.molit.go.kr/portal/stat/yearReport.do</t>
    <phoneticPr fontId="43" type="noConversion"/>
  </si>
  <si>
    <t>Annual domestic and international air transport</t>
    <phoneticPr fontId="43" type="noConversion"/>
  </si>
  <si>
    <t>Railroad passenger and cargo transportation performance by year</t>
    <phoneticPr fontId="43" type="noConversion"/>
  </si>
  <si>
    <t>OpenData</t>
    <phoneticPr fontId="43" type="noConversion"/>
  </si>
  <si>
    <t>https://www.data.go.kr/data/15061960/fileData.do#layer_data_information</t>
    <phoneticPr fontId="43" type="noConversion"/>
  </si>
  <si>
    <t>Railway Statistical Yearbook (Interregional Railway)</t>
  </si>
  <si>
    <t>2012 - 2019 자료 기반 CAGR</t>
    <phoneticPr fontId="43" type="noConversion"/>
  </si>
  <si>
    <t>Annual domestic and International Freight by transport</t>
    <phoneticPr fontId="43" type="noConversion"/>
  </si>
  <si>
    <t>https://www.kric.go.kr/jsp/handbook/sta/statisticsTechList.jsp</t>
    <phoneticPr fontId="43" type="noConversion"/>
  </si>
  <si>
    <t>Annual passenger transport (passenger and passenger-km)</t>
    <phoneticPr fontId="43" type="noConversion"/>
  </si>
  <si>
    <t>https://kosis.kr/statHtml/statHtml.do?orgId=116&amp;tblId=DT_MLTM_5376&amp;conn_path=I3</t>
    <phoneticPr fontId="43" type="noConversion"/>
  </si>
  <si>
    <t>Page 32-47</t>
    <phoneticPr fontId="43" type="noConversion"/>
  </si>
  <si>
    <t>Annual Domestic and International Freight by Transport</t>
    <phoneticPr fontId="43" type="noConversion"/>
  </si>
  <si>
    <t>Annual cargo transport by year (ton and t-km)</t>
    <phoneticPr fontId="43" type="noConversion"/>
  </si>
  <si>
    <t>Page 224-271</t>
    <phoneticPr fontId="43" type="noConversion"/>
  </si>
  <si>
    <t>https://kosis.kr/statHtml/statHtml.do?orgId=116&amp;tblId=DT_MLTM_1062&amp;conn_path=I3</t>
    <phoneticPr fontId="43" type="noConversion"/>
  </si>
  <si>
    <t>Domestic International, Shipping Air, Passenger Cargo Data</t>
    <phoneticPr fontId="43" type="noConversion"/>
  </si>
  <si>
    <t>KEEI</t>
    <phoneticPr fontId="43" type="noConversion"/>
  </si>
  <si>
    <t>Energy statistics (Frequently requested)</t>
    <phoneticPr fontId="43" type="noConversion"/>
  </si>
  <si>
    <t>http://www.keei.re.kr/keei/download/FFS2018.pdf</t>
    <phoneticPr fontId="43" type="noConversion"/>
  </si>
  <si>
    <t>Page 133-137</t>
    <phoneticPr fontId="43" type="noConversion"/>
  </si>
  <si>
    <t>KOTI</t>
    <phoneticPr fontId="43" type="noConversion"/>
  </si>
  <si>
    <t>2019 National Traffic Statistics</t>
    <phoneticPr fontId="43" type="noConversion"/>
  </si>
  <si>
    <t>https://www.ktdb.go.kr/www/selectPblcteWebList.do?key=39&amp;pageUnit=10&amp;pageIndex=1&amp;searchCnd=all</t>
    <phoneticPr fontId="43" type="noConversion"/>
  </si>
  <si>
    <t>Page 118, 119</t>
    <phoneticPr fontId="43" type="noConversion"/>
  </si>
  <si>
    <t>Average daily mileage of a motorcycle</t>
  </si>
  <si>
    <t>Journal of the Korean Society for Atmospheric Environment</t>
  </si>
  <si>
    <t>Survey of daily mileage estimation of air pollution emissions of two-wheeled vehicles</t>
    <phoneticPr fontId="43" type="noConversion"/>
  </si>
  <si>
    <t>https://www.koreascience.or.kr/article/JAKO201022442401158.pdf</t>
    <phoneticPr fontId="43" type="noConversion"/>
  </si>
  <si>
    <t>Page4 Table 4</t>
    <phoneticPr fontId="43" type="noConversion"/>
  </si>
  <si>
    <t>Notes</t>
  </si>
  <si>
    <t>:assumption value</t>
    <phoneticPr fontId="43" type="noConversion"/>
  </si>
  <si>
    <t>In DV data, 'SYVbT_DV-Registration Status' and 'DV-km' have different vehicle model classification</t>
    <phoneticPr fontId="43" type="noConversion"/>
  </si>
  <si>
    <t>We reclassified the given data into LDVs and HDVs</t>
    <phoneticPr fontId="43" type="noConversion"/>
  </si>
  <si>
    <t>Among trains, high-speed trains and itx are mostly used for passengers, but other trains such as Mugunghwa and Saenuri can be used for both cargo and passengers.</t>
    <phoneticPr fontId="43" type="noConversion"/>
  </si>
  <si>
    <t>As for the above, the number of cars per train may vary depending on the requirements, so we assumed the number of cars per train.</t>
    <phoneticPr fontId="43" type="noConversion"/>
  </si>
  <si>
    <t xml:space="preserve">The total number of freighters is limited in Korea, annual travel mileage of each freighter is relatively long due to a large volume of freight requirement. </t>
    <phoneticPr fontId="43" type="noConversion"/>
  </si>
  <si>
    <t>Both domestic and international transports are included for air travel.</t>
    <phoneticPr fontId="43" type="noConversion"/>
  </si>
  <si>
    <t>Data from &lt;Korea Institute of Energy Economy_Frequent Statistics&gt;, &lt;Ministry of Land, Infrastructure and Transport_Reports of Domestic International Air Transport by Year&gt;, &lt;Korea Transport Research Institute_2019 National Transportation Statistics for Domestic Flights&gt;</t>
    <phoneticPr fontId="43" type="noConversion"/>
  </si>
  <si>
    <t>Both domestic and international transports are included for shipping.</t>
    <phoneticPr fontId="43" type="noConversion"/>
  </si>
  <si>
    <t>Data from &lt;Energy Economic Research Institute_Frequent Statistics&gt; and &lt;Korea Transportation Research Institute_2019 National Transportation Statistics&gt;</t>
    <phoneticPr fontId="43" type="noConversion"/>
  </si>
  <si>
    <t>For data on motorcycle mileage, refer to a master's thesis which gathered the 2009 data through surveys.</t>
    <phoneticPr fontId="43" type="noConversion"/>
  </si>
  <si>
    <t>Start Year</t>
  </si>
  <si>
    <t>1km</t>
    <phoneticPr fontId="43" type="noConversion"/>
  </si>
  <si>
    <t>miles</t>
    <phoneticPr fontId="43" type="noConversion"/>
  </si>
  <si>
    <t>1year</t>
    <phoneticPr fontId="43" type="noConversion"/>
  </si>
  <si>
    <t>days</t>
    <phoneticPr fontId="43" type="noConversion"/>
  </si>
  <si>
    <t>Number of Vehicles</t>
  </si>
  <si>
    <t>battery electric vehicle</t>
    <phoneticPr fontId="43" type="noConversion"/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</si>
  <si>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</si>
  <si>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</si>
  <si>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</si>
  <si>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</si>
  <si>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</si>
  <si>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</si>
  <si>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</si>
  <si>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</si>
  <si>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</si>
  <si>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</si>
  <si>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</si>
  <si>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</si>
  <si>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battery electric vehicle</t>
  </si>
  <si>
    <t>&lt; 자동차 등록현황(총 계) &gt;</t>
    <phoneticPr fontId="47" type="noConversion"/>
  </si>
  <si>
    <t>차 종 별</t>
  </si>
  <si>
    <t>합계</t>
  </si>
  <si>
    <t>총계</t>
  </si>
  <si>
    <t>승용차합계</t>
  </si>
  <si>
    <t>승용일반형 계</t>
  </si>
  <si>
    <t>승용일반형 국산 소계</t>
  </si>
  <si>
    <t>승용일반형 국산 800CC미만</t>
  </si>
  <si>
    <t>승용일반형 국산 1000CC미만</t>
  </si>
  <si>
    <t>승용일반형 국산 1500CC미만</t>
  </si>
  <si>
    <t>승용일반형 국산 2000CC미만</t>
  </si>
  <si>
    <t>승용일반형 국산 2500CC미만</t>
  </si>
  <si>
    <t>승용일반형 국산 3000CC미만</t>
  </si>
  <si>
    <t>승용일반형 국산 3500CC미만</t>
  </si>
  <si>
    <t>승용일반형 국산 4000CC미만</t>
  </si>
  <si>
    <t>승용일반형 국산 4500CC미만</t>
  </si>
  <si>
    <t>승용일반형 국산 5000CC미만</t>
  </si>
  <si>
    <t>승용일반형 국산 5000CC이상</t>
  </si>
  <si>
    <t>승용일반형 국산 저속전기</t>
  </si>
  <si>
    <t>승용일반형 국산 전기</t>
  </si>
  <si>
    <t>승용일반형 외산 소계</t>
  </si>
  <si>
    <t>승용일반형 외산 800CC미만</t>
  </si>
  <si>
    <t>승용일반형 외산 1000CC미만</t>
  </si>
  <si>
    <t>승용일반형 외산 1500CC미만</t>
  </si>
  <si>
    <t>승용일반형 외산 2000CC미만</t>
  </si>
  <si>
    <t>승용일반형 외산 2500CC미만</t>
  </si>
  <si>
    <t>승용일반형 외산 3000CC미만</t>
  </si>
  <si>
    <t>승용일반형 외산 3500CC미만</t>
  </si>
  <si>
    <t>승용일반형 외산 4000CC미만</t>
  </si>
  <si>
    <t>승용일반형 외산 4500CC미만</t>
  </si>
  <si>
    <t>승용일반형 외산 5000CC미만</t>
  </si>
  <si>
    <t>승용일반형 외산 5000CC이상</t>
  </si>
  <si>
    <t>승용일반형 외산 저속전기</t>
  </si>
  <si>
    <t>승용일반형 외산 전기</t>
  </si>
  <si>
    <t>승용겸 화물 계</t>
  </si>
  <si>
    <t>승용겸 화물 1500CC미만</t>
  </si>
  <si>
    <t>승용겸 화물 2000CC미만</t>
  </si>
  <si>
    <t>승용겸 화물 2500CC미만</t>
  </si>
  <si>
    <t>승용겸 화물 3000CC미만</t>
  </si>
  <si>
    <t>승용겸 화물 3500CC미만</t>
  </si>
  <si>
    <t>승용겸 화물 3500CC이상</t>
  </si>
  <si>
    <t>승용겸 화물 저속전기</t>
  </si>
  <si>
    <t>승용겸 화물 전기</t>
  </si>
  <si>
    <t>승용다목적형 계</t>
  </si>
  <si>
    <t>승용다목적형 1500CC미만</t>
  </si>
  <si>
    <t>승용다목적형 2000CC미만</t>
  </si>
  <si>
    <t>승용다목적형 2500CC미만</t>
  </si>
  <si>
    <t>승용다목적형 3000CC미만</t>
  </si>
  <si>
    <t>승용다목적형 3500CC미만</t>
  </si>
  <si>
    <t>승용다목적형 3500CC이상</t>
  </si>
  <si>
    <t>승용다목적형 저속전기</t>
  </si>
  <si>
    <t>승용다목적형 전기</t>
  </si>
  <si>
    <t>승용기타형 계</t>
  </si>
  <si>
    <t>승용기타형 1500CC미만</t>
  </si>
  <si>
    <t>승용기타형 2000CC미만</t>
  </si>
  <si>
    <t>승용기타형 2500CC미만</t>
  </si>
  <si>
    <t>승용기타형 3000CC미만</t>
  </si>
  <si>
    <t>승용기타형 3500CC미만</t>
  </si>
  <si>
    <t>승용기타형 3500CC이상</t>
  </si>
  <si>
    <t>승용기타형 저속전기</t>
  </si>
  <si>
    <t>승용기타형 전기</t>
  </si>
  <si>
    <t>승합차 합계</t>
  </si>
  <si>
    <t>승합일반형 계</t>
  </si>
  <si>
    <t>시내버스</t>
  </si>
  <si>
    <t>시외버스</t>
  </si>
  <si>
    <t>전세버스</t>
  </si>
  <si>
    <t>고속버스</t>
  </si>
  <si>
    <t>농어촌버스</t>
  </si>
  <si>
    <t>마을버스</t>
  </si>
  <si>
    <t>승합일반기타형 계</t>
  </si>
  <si>
    <t>승합일반 15인 이하</t>
  </si>
  <si>
    <t>승합일반 25인 이하</t>
  </si>
  <si>
    <t>승합일반 35인 이하</t>
  </si>
  <si>
    <t>승합일반 50인 이하</t>
  </si>
  <si>
    <t>승합일반 51인 이상</t>
  </si>
  <si>
    <t>승합특수형 계</t>
  </si>
  <si>
    <t>구급차</t>
  </si>
  <si>
    <t>장의차</t>
  </si>
  <si>
    <t>헌혈, 채혈차</t>
  </si>
  <si>
    <t>방송, 보도용차</t>
  </si>
  <si>
    <t>승합피견인형</t>
  </si>
  <si>
    <t>승합특수형 기타</t>
  </si>
  <si>
    <t>화물자동차 합계</t>
  </si>
  <si>
    <t>화물일반형 계</t>
  </si>
  <si>
    <t>화물 픽업형</t>
  </si>
  <si>
    <t>화물카고형 계</t>
  </si>
  <si>
    <t>화물카고형 1톤 이하</t>
  </si>
  <si>
    <t>화물카고형 3톤 이하</t>
  </si>
  <si>
    <t>화물카고형 5톤 미만</t>
  </si>
  <si>
    <t>화물카고형 8톤 미만</t>
  </si>
  <si>
    <t>화물카고형 10톤 미만</t>
  </si>
  <si>
    <t>화물카고형 12톤 미만</t>
  </si>
  <si>
    <t>화물카고형 12톤 이상</t>
  </si>
  <si>
    <t>화물덤프형 계</t>
  </si>
  <si>
    <t>화물덤프형 1톤 이하</t>
  </si>
  <si>
    <t>화물덤프형 5톤 미만</t>
  </si>
  <si>
    <t>화물덤프형 12톤 미만</t>
  </si>
  <si>
    <t>화물덤프형 12톤 이상</t>
  </si>
  <si>
    <t>화물 밴형 계</t>
  </si>
  <si>
    <t>화물밴형 1톤 이하</t>
  </si>
  <si>
    <t>화물밴형 5톤 미만</t>
  </si>
  <si>
    <t>화물밴형 5톤 이상</t>
  </si>
  <si>
    <t>화물특수용도형 계</t>
  </si>
  <si>
    <t>화물특수용도형(청소자)</t>
  </si>
  <si>
    <t>화물특수용도형(노면청소차)</t>
  </si>
  <si>
    <t>화물특수용도형(살수차)</t>
  </si>
  <si>
    <t>화물특수용도형(소방차)</t>
  </si>
  <si>
    <t>화물특수용도형(냉장,냉동차)</t>
  </si>
  <si>
    <t>화물특수용도형(곡물,사료운반)</t>
  </si>
  <si>
    <t>유조차 소계</t>
  </si>
  <si>
    <t>유조차(항공유)</t>
  </si>
  <si>
    <t>유조차(휘발유)</t>
  </si>
  <si>
    <t>유조차(등유, 경유)</t>
  </si>
  <si>
    <t>유조차(방카C유)</t>
  </si>
  <si>
    <t>유조차(기타)</t>
  </si>
  <si>
    <t>탱크로리 소계</t>
  </si>
  <si>
    <t>탱크로리(식수, 음료)</t>
  </si>
  <si>
    <t>탱크로리(압축가스)</t>
  </si>
  <si>
    <t>탱크로리(화공약품)</t>
  </si>
  <si>
    <t>탱크로리(기타)</t>
  </si>
  <si>
    <t>피견인차 소계</t>
  </si>
  <si>
    <t>피견인차(적재함형)</t>
  </si>
  <si>
    <t>피견인차(저상형)</t>
  </si>
  <si>
    <t>피견인차(평판형)</t>
  </si>
  <si>
    <t>피견인차(콘테이너샤시)</t>
  </si>
  <si>
    <t>피견인차(기타)</t>
  </si>
  <si>
    <t>화물특수용도형(기타)</t>
  </si>
  <si>
    <t>특수자동차 합계</t>
  </si>
  <si>
    <t>구난차 계</t>
  </si>
  <si>
    <t>구난차 5톤 이하</t>
  </si>
  <si>
    <t>구난차 10톤 미만</t>
  </si>
  <si>
    <t>구난차 10톤 이상</t>
  </si>
  <si>
    <t>견인차 계</t>
  </si>
  <si>
    <t>견인차 5톤 이하</t>
  </si>
  <si>
    <t>견인차 10톤 미만</t>
  </si>
  <si>
    <t>견인차 10톤 이상</t>
  </si>
  <si>
    <t>특수작업형 계</t>
  </si>
  <si>
    <t>특수작업형(고소작업차)</t>
  </si>
  <si>
    <t>특수작업형(고가사다리소방차)</t>
  </si>
  <si>
    <t>특수작업형(오가크레인)</t>
  </si>
  <si>
    <t>특수작업형(피견인형)</t>
  </si>
  <si>
    <t>특수작업형(기타)</t>
  </si>
  <si>
    <t>해당 자료에서 노란색 배경은 가정치가 아님</t>
    <phoneticPr fontId="43" type="noConversion"/>
  </si>
  <si>
    <t>규모별주행거리_1일주행거리현황(km/대)</t>
  </si>
  <si>
    <t>용도별</t>
  </si>
  <si>
    <t>차종별</t>
  </si>
  <si>
    <t>유형별</t>
  </si>
  <si>
    <t>규모별</t>
  </si>
  <si>
    <t>주행거리(km)</t>
    <phoneticPr fontId="43" type="noConversion"/>
  </si>
  <si>
    <t>Cal</t>
    <phoneticPr fontId="43" type="noConversion"/>
  </si>
  <si>
    <t>전국</t>
  </si>
  <si>
    <t>규모별 대수</t>
    <phoneticPr fontId="43" type="noConversion"/>
  </si>
  <si>
    <t>주행거리
(가중평균)</t>
    <phoneticPr fontId="43" type="noConversion"/>
  </si>
  <si>
    <t>비고</t>
    <phoneticPr fontId="43" type="noConversion"/>
  </si>
  <si>
    <t>전체</t>
  </si>
  <si>
    <t>계</t>
  </si>
  <si>
    <t>승용차</t>
  </si>
  <si>
    <t>일반형</t>
  </si>
  <si>
    <t>경형</t>
  </si>
  <si>
    <t>소형</t>
  </si>
  <si>
    <t>중형</t>
  </si>
  <si>
    <t>대형</t>
  </si>
  <si>
    <t>다목적형</t>
  </si>
  <si>
    <t>기타형</t>
  </si>
  <si>
    <t>LDV,HDV 합쳐져있음</t>
    <phoneticPr fontId="43" type="noConversion"/>
  </si>
  <si>
    <t>승합차</t>
  </si>
  <si>
    <t>특수용도형</t>
  </si>
  <si>
    <t>화물차</t>
  </si>
  <si>
    <t>덤프형</t>
  </si>
  <si>
    <t>밴형</t>
  </si>
  <si>
    <t>모두 LDVs(오차 210대)</t>
  </si>
  <si>
    <t>모두 HDV</t>
    <phoneticPr fontId="43" type="noConversion"/>
  </si>
  <si>
    <t>특수차</t>
  </si>
  <si>
    <t>견인형</t>
  </si>
  <si>
    <t>모두 HDVs</t>
    <phoneticPr fontId="43" type="noConversion"/>
  </si>
  <si>
    <t>구난형</t>
  </si>
  <si>
    <t>모두 LDVs(오차 200대)</t>
    <phoneticPr fontId="43" type="noConversion"/>
  </si>
  <si>
    <t>특수작업형</t>
  </si>
  <si>
    <t>1(오차율 확인)</t>
    <phoneticPr fontId="43" type="noConversion"/>
  </si>
  <si>
    <t>주행거리</t>
    <phoneticPr fontId="43" type="noConversion"/>
  </si>
  <si>
    <t>오차율</t>
    <phoneticPr fontId="43" type="noConversion"/>
  </si>
  <si>
    <t>구분</t>
    <phoneticPr fontId="43" type="noConversion"/>
  </si>
  <si>
    <t>대수</t>
    <phoneticPr fontId="43" type="noConversion"/>
  </si>
  <si>
    <t>승용차</t>
    <phoneticPr fontId="43" type="noConversion"/>
  </si>
  <si>
    <t>일반형</t>
    <phoneticPr fontId="43" type="noConversion"/>
  </si>
  <si>
    <t>LDVs</t>
    <phoneticPr fontId="43" type="noConversion"/>
  </si>
  <si>
    <t>passengers</t>
    <phoneticPr fontId="43" type="noConversion"/>
  </si>
  <si>
    <t>승용 LDVs</t>
    <phoneticPr fontId="43" type="noConversion"/>
  </si>
  <si>
    <t>승합 LDVs</t>
    <phoneticPr fontId="43" type="noConversion"/>
  </si>
  <si>
    <t>승용차-기타형</t>
    <phoneticPr fontId="43" type="noConversion"/>
  </si>
  <si>
    <t>HDVs</t>
    <phoneticPr fontId="43" type="noConversion"/>
  </si>
  <si>
    <t>승용 HDVs</t>
    <phoneticPr fontId="43" type="noConversion"/>
  </si>
  <si>
    <t>승합 HDVs</t>
    <phoneticPr fontId="43" type="noConversion"/>
  </si>
  <si>
    <t>기타형</t>
    <phoneticPr fontId="43" type="noConversion"/>
  </si>
  <si>
    <t>freight</t>
    <phoneticPr fontId="43" type="noConversion"/>
  </si>
  <si>
    <t>화물 LDVs</t>
    <phoneticPr fontId="43" type="noConversion"/>
  </si>
  <si>
    <t>승합차</t>
    <phoneticPr fontId="43" type="noConversion"/>
  </si>
  <si>
    <t>특수 LDVs</t>
    <phoneticPr fontId="43" type="noConversion"/>
  </si>
  <si>
    <t>화물 HDVs</t>
    <phoneticPr fontId="43" type="noConversion"/>
  </si>
  <si>
    <t>특수용도용</t>
    <phoneticPr fontId="43" type="noConversion"/>
  </si>
  <si>
    <t>특수 HDVs</t>
    <phoneticPr fontId="43" type="noConversion"/>
  </si>
  <si>
    <t>화물차</t>
    <phoneticPr fontId="43" type="noConversion"/>
  </si>
  <si>
    <t>덤프형</t>
    <phoneticPr fontId="43" type="noConversion"/>
  </si>
  <si>
    <t>밴형</t>
    <phoneticPr fontId="43" type="noConversion"/>
  </si>
  <si>
    <t>특수차</t>
    <phoneticPr fontId="43" type="noConversion"/>
  </si>
  <si>
    <t>견인형</t>
    <phoneticPr fontId="43" type="noConversion"/>
  </si>
  <si>
    <t>구난형</t>
    <phoneticPr fontId="43" type="noConversion"/>
  </si>
  <si>
    <t>특수작업형</t>
    <phoneticPr fontId="43" type="noConversion"/>
  </si>
  <si>
    <t>Notes</t>
    <phoneticPr fontId="43" type="noConversion"/>
  </si>
  <si>
    <t>이 시트의 목적은 LDVs, HDVs 구분</t>
    <phoneticPr fontId="43" type="noConversion"/>
  </si>
  <si>
    <t>DV-km의 데이터는 LDVs, HDVs 구분이 되어 있지 않음</t>
    <phoneticPr fontId="43" type="noConversion"/>
  </si>
  <si>
    <t>LDVs, HDVs를 나누기 위해선 별도의 규모별 대수별 데이터가 필요</t>
    <phoneticPr fontId="43" type="noConversion"/>
  </si>
  <si>
    <t>이 때, 오차율은 DV-km의 실제 평균 데이터(ex, E6)와 규모별 대수를 적용시킨 가중평균 데이터간 오차를 보여줌</t>
    <phoneticPr fontId="43" type="noConversion"/>
  </si>
  <si>
    <t>용도별, 차종별 구분은 최대한 SYVbT의 구분과 동일하게 사용하고자 함</t>
    <phoneticPr fontId="43" type="noConversion"/>
  </si>
  <si>
    <t>승용차-기타 &amp; 승합차-특수용도용처럼 구분이 불확실한 곳은 SYVbT-차종별_등록현황의 수치를 통해 임의 구분</t>
    <phoneticPr fontId="43" type="noConversion"/>
  </si>
  <si>
    <t>DV-km의 화물차-밴형, 특수차-구난형은 오차가 적어 LDVs로 가정</t>
    <phoneticPr fontId="43" type="noConversion"/>
  </si>
  <si>
    <t>다중 가중평균을 통해 result를 도출</t>
    <phoneticPr fontId="43" type="noConversion"/>
  </si>
  <si>
    <t>열차보유 현황</t>
    <phoneticPr fontId="43" type="noConversion"/>
  </si>
  <si>
    <t>차종별(1)</t>
  </si>
  <si>
    <t>차종별(2)</t>
  </si>
  <si>
    <t>KTX</t>
  </si>
  <si>
    <t>소계</t>
  </si>
  <si>
    <t>-</t>
  </si>
  <si>
    <t>SRT</t>
  </si>
  <si>
    <t>기관차</t>
  </si>
  <si>
    <t>디젤 기관차</t>
  </si>
  <si>
    <t/>
  </si>
  <si>
    <t>전기기관차</t>
  </si>
  <si>
    <t>증기기관차</t>
  </si>
  <si>
    <t>동차</t>
  </si>
  <si>
    <t>디젤동차</t>
  </si>
  <si>
    <t>전기동차</t>
  </si>
  <si>
    <t>통일호 전기동차</t>
  </si>
  <si>
    <t>간선형 전기동차</t>
  </si>
  <si>
    <t>ITX- 청춘</t>
  </si>
  <si>
    <t>객차</t>
  </si>
  <si>
    <t>발전차</t>
  </si>
  <si>
    <t>화차</t>
  </si>
  <si>
    <t>난방차</t>
  </si>
  <si>
    <t>기중기</t>
  </si>
  <si>
    <t>편성당 량수 구분</t>
    <phoneticPr fontId="43" type="noConversion"/>
  </si>
  <si>
    <t>KTX</t>
    <phoneticPr fontId="43" type="noConversion"/>
  </si>
  <si>
    <t>량</t>
    <phoneticPr fontId="43" type="noConversion"/>
  </si>
  <si>
    <t>KTX 고정수량</t>
    <phoneticPr fontId="43" type="noConversion"/>
  </si>
  <si>
    <t>KTX-산천</t>
    <phoneticPr fontId="43" type="noConversion"/>
  </si>
  <si>
    <t>SRT</t>
    <phoneticPr fontId="43" type="noConversion"/>
  </si>
  <si>
    <t>동차</t>
    <phoneticPr fontId="43" type="noConversion"/>
  </si>
  <si>
    <t>3,4</t>
    <phoneticPr fontId="43" type="noConversion"/>
  </si>
  <si>
    <t>가정치(fixed value)</t>
    <phoneticPr fontId="43" type="noConversion"/>
  </si>
  <si>
    <t>전기동차</t>
    <phoneticPr fontId="43" type="noConversion"/>
  </si>
  <si>
    <t>4,6,8</t>
    <phoneticPr fontId="43" type="noConversion"/>
  </si>
  <si>
    <t>2019 구분별 편성수</t>
    <phoneticPr fontId="43" type="noConversion"/>
  </si>
  <si>
    <t>고속철도</t>
    <phoneticPr fontId="43" type="noConversion"/>
  </si>
  <si>
    <t>passenger</t>
    <phoneticPr fontId="43" type="noConversion"/>
  </si>
  <si>
    <t>고정편성</t>
    <phoneticPr fontId="43" type="noConversion"/>
  </si>
  <si>
    <t>디젤기관차</t>
    <phoneticPr fontId="43" type="noConversion"/>
  </si>
  <si>
    <t>freight&amp;
passenger</t>
    <phoneticPr fontId="43" type="noConversion"/>
  </si>
  <si>
    <t>유동편성</t>
    <phoneticPr fontId="43" type="noConversion"/>
  </si>
  <si>
    <t>50% passenger 가정</t>
    <phoneticPr fontId="43" type="noConversion"/>
  </si>
  <si>
    <t>전기기관차</t>
    <phoneticPr fontId="43" type="noConversion"/>
  </si>
  <si>
    <t>기관차에 객차나 화차를 연결하여 무궁화호, 새누리호나 화물주의 발주량에 따라 유동적으로 화물열차로 이용</t>
    <phoneticPr fontId="43" type="noConversion"/>
  </si>
  <si>
    <t>디젤동차</t>
    <phoneticPr fontId="43" type="noConversion"/>
  </si>
  <si>
    <t>passenger</t>
  </si>
  <si>
    <t>간선형전기동차(ITX-새마을)</t>
    <phoneticPr fontId="43" type="noConversion"/>
  </si>
  <si>
    <t>ITX-청춘(동차)</t>
    <phoneticPr fontId="43" type="noConversion"/>
  </si>
  <si>
    <t>기타</t>
    <phoneticPr fontId="43" type="noConversion"/>
  </si>
  <si>
    <t>객차</t>
    <phoneticPr fontId="43" type="noConversion"/>
  </si>
  <si>
    <t>발전차</t>
    <phoneticPr fontId="43" type="noConversion"/>
  </si>
  <si>
    <t>화차</t>
    <phoneticPr fontId="43" type="noConversion"/>
  </si>
  <si>
    <t>기중기</t>
    <phoneticPr fontId="43" type="noConversion"/>
  </si>
  <si>
    <t>1-1-1. 국내여객총괄 
Domestic Passenger Traffic</t>
    <phoneticPr fontId="47" type="noConversion"/>
  </si>
  <si>
    <t>1-1-1. 국내여객총괄(계속)
Domestic Passenger Traffic(Continue)</t>
    <phoneticPr fontId="47" type="noConversion"/>
  </si>
  <si>
    <t>단위 : 천인(Unit:1,000 persons)</t>
    <phoneticPr fontId="47" type="noConversion"/>
  </si>
  <si>
    <t>단위 : 백만인-킬로미터(Unit:1 mil persons-km)</t>
    <phoneticPr fontId="47" type="noConversion"/>
  </si>
  <si>
    <t xml:space="preserve">               연 도 별 Year
 수단별 Mode</t>
    <phoneticPr fontId="47" type="noConversion"/>
  </si>
  <si>
    <t>합      계
Total</t>
    <phoneticPr fontId="47" type="noConversion"/>
  </si>
  <si>
    <t>철      도
Railway</t>
    <phoneticPr fontId="47" type="noConversion"/>
  </si>
  <si>
    <t>지  하  철
Subway</t>
    <phoneticPr fontId="47" type="noConversion"/>
  </si>
  <si>
    <t>공      로
Road</t>
    <phoneticPr fontId="47" type="noConversion"/>
  </si>
  <si>
    <t>해      운
Shipping</t>
    <phoneticPr fontId="47" type="noConversion"/>
  </si>
  <si>
    <t>항      공
Aviation</t>
    <phoneticPr fontId="47" type="noConversion"/>
  </si>
  <si>
    <t xml:space="preserve">                  연 도 별 Year
 수단별 Mode</t>
    <phoneticPr fontId="47" type="noConversion"/>
  </si>
  <si>
    <t>수송인원 Passenger</t>
    <phoneticPr fontId="47" type="noConversion"/>
  </si>
  <si>
    <t>인-키로 Passenger-km</t>
    <phoneticPr fontId="47" type="noConversion"/>
  </si>
  <si>
    <t>분담률 Share</t>
    <phoneticPr fontId="47" type="noConversion"/>
  </si>
  <si>
    <t>증가율 Growth rate</t>
    <phoneticPr fontId="47" type="noConversion"/>
  </si>
  <si>
    <t>인-키로 Passenger-km</t>
  </si>
  <si>
    <t>수송인원 Passenger</t>
  </si>
  <si>
    <t>분담률 Share</t>
  </si>
  <si>
    <t>증가율 Growth rate</t>
  </si>
  <si>
    <t>자료: 국토교통부 교통물류실 종합교통정책관 교통정책총괄과, 한국교통연구원 국가교통DB센터
주 1) 공로: 2011년부터 승용차통계 포함
주 2) 철도: 2016년 한국철도통계 개편 결과 반영</t>
    <phoneticPr fontId="47" type="noConversion"/>
  </si>
  <si>
    <t>철도총괄지표</t>
    <phoneticPr fontId="43" type="noConversion"/>
  </si>
  <si>
    <t>지표별(1)</t>
  </si>
  <si>
    <t>지표별(2)</t>
  </si>
  <si>
    <t>CAGR</t>
    <phoneticPr fontId="43" type="noConversion"/>
  </si>
  <si>
    <t>여객수송실적</t>
  </si>
  <si>
    <t>인원 (명)</t>
  </si>
  <si>
    <t>인키로 (인/킬로미터)</t>
  </si>
  <si>
    <t>화물수송실적</t>
  </si>
  <si>
    <t>톤수 (톤)</t>
  </si>
  <si>
    <t>톤키로 (톤/킬로미터)</t>
  </si>
  <si>
    <t>unit:</t>
    <phoneticPr fontId="47" type="noConversion"/>
  </si>
  <si>
    <t>1000persons</t>
  </si>
  <si>
    <t>million persons km</t>
    <phoneticPr fontId="43" type="noConversion"/>
  </si>
  <si>
    <t>rail</t>
    <phoneticPr fontId="47" type="noConversion"/>
  </si>
  <si>
    <t>subway</t>
    <phoneticPr fontId="47" type="noConversion"/>
  </si>
  <si>
    <t>SYVbT_Rail-subway</t>
    <phoneticPr fontId="43" type="noConversion"/>
  </si>
  <si>
    <t>편성당</t>
    <phoneticPr fontId="47" type="noConversion"/>
  </si>
  <si>
    <t>보유량</t>
    <phoneticPr fontId="47" type="noConversion"/>
  </si>
  <si>
    <t>편성수</t>
    <phoneticPr fontId="47" type="noConversion"/>
  </si>
  <si>
    <t>수송인원(일평균)</t>
    <phoneticPr fontId="47" type="noConversion"/>
  </si>
  <si>
    <t>운행횟수</t>
    <phoneticPr fontId="47" type="noConversion"/>
  </si>
  <si>
    <t>평균운행횟수(일)</t>
    <phoneticPr fontId="47" type="noConversion"/>
  </si>
  <si>
    <t>하루 1편성당 이용객</t>
    <phoneticPr fontId="47" type="noConversion"/>
  </si>
  <si>
    <t>평일</t>
    <phoneticPr fontId="47" type="noConversion"/>
  </si>
  <si>
    <t>주말</t>
    <phoneticPr fontId="47" type="noConversion"/>
  </si>
  <si>
    <t>서울 1호선</t>
    <phoneticPr fontId="47" type="noConversion"/>
  </si>
  <si>
    <t>서울 2호선</t>
    <phoneticPr fontId="47" type="noConversion"/>
  </si>
  <si>
    <t>10or6or4</t>
    <phoneticPr fontId="47" type="noConversion"/>
  </si>
  <si>
    <t>서울 3호선</t>
    <phoneticPr fontId="47" type="noConversion"/>
  </si>
  <si>
    <t>서울 4호선</t>
    <phoneticPr fontId="47" type="noConversion"/>
  </si>
  <si>
    <t>서울 5호선</t>
    <phoneticPr fontId="47" type="noConversion"/>
  </si>
  <si>
    <t>서울 6호선</t>
    <phoneticPr fontId="47" type="noConversion"/>
  </si>
  <si>
    <t>서울 7호선</t>
    <phoneticPr fontId="47" type="noConversion"/>
  </si>
  <si>
    <t>서울 8호선</t>
    <phoneticPr fontId="47" type="noConversion"/>
  </si>
  <si>
    <t>서울 9호선</t>
    <phoneticPr fontId="47" type="noConversion"/>
  </si>
  <si>
    <t>대전 1호선</t>
    <phoneticPr fontId="47" type="noConversion"/>
  </si>
  <si>
    <t>부산 1호선</t>
    <phoneticPr fontId="47" type="noConversion"/>
  </si>
  <si>
    <t>부산 2호선</t>
    <phoneticPr fontId="47" type="noConversion"/>
  </si>
  <si>
    <t>부산 3호선</t>
    <phoneticPr fontId="47" type="noConversion"/>
  </si>
  <si>
    <t>부산 4호선</t>
    <phoneticPr fontId="47" type="noConversion"/>
  </si>
  <si>
    <t>인천 1호선</t>
    <phoneticPr fontId="47" type="noConversion"/>
  </si>
  <si>
    <t>인천 2호선</t>
    <phoneticPr fontId="47" type="noConversion"/>
  </si>
  <si>
    <t>대구 1호선</t>
    <phoneticPr fontId="47" type="noConversion"/>
  </si>
  <si>
    <t>대구 2호선</t>
    <phoneticPr fontId="47" type="noConversion"/>
  </si>
  <si>
    <t>대구 3호선</t>
    <phoneticPr fontId="47" type="noConversion"/>
  </si>
  <si>
    <t>광주 1호선</t>
    <phoneticPr fontId="47" type="noConversion"/>
  </si>
  <si>
    <t>부산-김해 경전철</t>
    <phoneticPr fontId="47" type="noConversion"/>
  </si>
  <si>
    <t>의정부 경전철</t>
    <phoneticPr fontId="47" type="noConversion"/>
  </si>
  <si>
    <t>용인경량전철</t>
    <phoneticPr fontId="47" type="noConversion"/>
  </si>
  <si>
    <t>우이 신설경전철</t>
    <phoneticPr fontId="47" type="noConversion"/>
  </si>
  <si>
    <t>총계</t>
    <phoneticPr fontId="47" type="noConversion"/>
  </si>
  <si>
    <t>편성당 승객수</t>
    <phoneticPr fontId="47" type="noConversion"/>
  </si>
  <si>
    <t>source:</t>
    <phoneticPr fontId="43" type="noConversion"/>
  </si>
  <si>
    <t>SYVbT</t>
    <phoneticPr fontId="43" type="noConversion"/>
  </si>
  <si>
    <t>result-rail</t>
    <phoneticPr fontId="43" type="noConversion"/>
  </si>
  <si>
    <t>persons</t>
    <phoneticPr fontId="43" type="noConversion"/>
  </si>
  <si>
    <t>persons km</t>
    <phoneticPr fontId="43" type="noConversion"/>
  </si>
  <si>
    <t>편성당 승객수</t>
    <phoneticPr fontId="43" type="noConversion"/>
  </si>
  <si>
    <t>pkm/vehicle</t>
    <phoneticPr fontId="43" type="noConversion"/>
  </si>
  <si>
    <t>pmiles/vehicle</t>
    <phoneticPr fontId="43" type="noConversion"/>
  </si>
  <si>
    <t>miles/vehicle</t>
    <phoneticPr fontId="43" type="noConversion"/>
  </si>
  <si>
    <t>tons</t>
    <phoneticPr fontId="43" type="noConversion"/>
  </si>
  <si>
    <t>tons km</t>
    <phoneticPr fontId="43" type="noConversion"/>
  </si>
  <si>
    <t>1 편성당 량수</t>
    <phoneticPr fontId="43" type="noConversion"/>
  </si>
  <si>
    <t>1 편성당 견인중량</t>
    <phoneticPr fontId="43" type="noConversion"/>
  </si>
  <si>
    <t>ton km/vehicle</t>
    <phoneticPr fontId="43" type="noConversion"/>
  </si>
  <si>
    <t>ton miles/vehicle</t>
    <phoneticPr fontId="43" type="noConversion"/>
  </si>
  <si>
    <t>result-subway</t>
    <phoneticPr fontId="43" type="noConversion"/>
  </si>
  <si>
    <t>subway is 2018 data</t>
    <phoneticPr fontId="43" type="noConversion"/>
  </si>
  <si>
    <t>편성수</t>
    <phoneticPr fontId="43" type="noConversion"/>
  </si>
  <si>
    <t>result-sum(rail,subway)</t>
    <phoneticPr fontId="43" type="noConversion"/>
  </si>
  <si>
    <t>rail 데이터의 경우, Start year(2019) 데이터가 제공되지 않아 2018데이터를 이용하였다.</t>
    <phoneticPr fontId="43" type="noConversion"/>
  </si>
  <si>
    <t>subway 데이터도 2018 데이터를 이용하였다.</t>
    <phoneticPr fontId="43" type="noConversion"/>
  </si>
  <si>
    <t>rail의 편성당 승객수, 편성당 견인중량은 AVLo 데이터를 참고했다.</t>
    <phoneticPr fontId="43" type="noConversion"/>
  </si>
  <si>
    <t>항공사</t>
    <phoneticPr fontId="43" type="noConversion"/>
  </si>
  <si>
    <t>용도</t>
    <phoneticPr fontId="43" type="noConversion"/>
  </si>
  <si>
    <t>기종</t>
    <phoneticPr fontId="43" type="noConversion"/>
  </si>
  <si>
    <t>비행기(수)</t>
    <phoneticPr fontId="43" type="noConversion"/>
  </si>
  <si>
    <t>회전익(수)</t>
    <phoneticPr fontId="43" type="noConversion"/>
  </si>
  <si>
    <t>국내, 국제</t>
    <phoneticPr fontId="43" type="noConversion"/>
  </si>
  <si>
    <t>대한항공</t>
    <phoneticPr fontId="43" type="noConversion"/>
  </si>
  <si>
    <t>여객기</t>
    <phoneticPr fontId="43" type="noConversion"/>
  </si>
  <si>
    <t>B747-400</t>
    <phoneticPr fontId="43" type="noConversion"/>
  </si>
  <si>
    <t>B747-8</t>
    <phoneticPr fontId="43" type="noConversion"/>
  </si>
  <si>
    <t>B777-200/300/300ER</t>
    <phoneticPr fontId="43" type="noConversion"/>
  </si>
  <si>
    <t>B787-9</t>
    <phoneticPr fontId="43" type="noConversion"/>
  </si>
  <si>
    <t>B737-800/900/900ER</t>
    <phoneticPr fontId="43" type="noConversion"/>
  </si>
  <si>
    <t>A330-200/300</t>
    <phoneticPr fontId="43" type="noConversion"/>
  </si>
  <si>
    <t>A380-800</t>
    <phoneticPr fontId="43" type="noConversion"/>
  </si>
  <si>
    <t>BD-500-1A11</t>
    <phoneticPr fontId="43" type="noConversion"/>
  </si>
  <si>
    <t>소계</t>
    <phoneticPr fontId="43" type="noConversion"/>
  </si>
  <si>
    <t>화물기 기종당 적재용량(ton)</t>
    <phoneticPr fontId="43" type="noConversion"/>
  </si>
  <si>
    <t>화물기</t>
    <phoneticPr fontId="43" type="noConversion"/>
  </si>
  <si>
    <t>B747-400F</t>
    <phoneticPr fontId="43" type="noConversion"/>
  </si>
  <si>
    <t>추정치</t>
    <phoneticPr fontId="43" type="noConversion"/>
  </si>
  <si>
    <t>B747-8F</t>
    <phoneticPr fontId="43" type="noConversion"/>
  </si>
  <si>
    <t>B777F</t>
    <phoneticPr fontId="43" type="noConversion"/>
  </si>
  <si>
    <t>아시아나항공</t>
    <phoneticPr fontId="43" type="noConversion"/>
  </si>
  <si>
    <t>B777-200</t>
    <phoneticPr fontId="43" type="noConversion"/>
  </si>
  <si>
    <t>B767-300</t>
    <phoneticPr fontId="43" type="noConversion"/>
  </si>
  <si>
    <t>A321-100/200</t>
    <phoneticPr fontId="43" type="noConversion"/>
  </si>
  <si>
    <t>A330-300</t>
    <phoneticPr fontId="43" type="noConversion"/>
  </si>
  <si>
    <t>A320-200</t>
    <phoneticPr fontId="43" type="noConversion"/>
  </si>
  <si>
    <t>A350-900</t>
    <phoneticPr fontId="43" type="noConversion"/>
  </si>
  <si>
    <t>B767-300F</t>
    <phoneticPr fontId="43" type="noConversion"/>
  </si>
  <si>
    <t>제주항공</t>
    <phoneticPr fontId="43" type="noConversion"/>
  </si>
  <si>
    <t>B737-800</t>
    <phoneticPr fontId="43" type="noConversion"/>
  </si>
  <si>
    <t>진에어</t>
    <phoneticPr fontId="43" type="noConversion"/>
  </si>
  <si>
    <t>에어부산</t>
    <phoneticPr fontId="43" type="noConversion"/>
  </si>
  <si>
    <t>A321-200</t>
    <phoneticPr fontId="43" type="noConversion"/>
  </si>
  <si>
    <t>이스타항공</t>
    <phoneticPr fontId="43" type="noConversion"/>
  </si>
  <si>
    <t>B737-8</t>
    <phoneticPr fontId="43" type="noConversion"/>
  </si>
  <si>
    <t>B737-900ER</t>
    <phoneticPr fontId="43" type="noConversion"/>
  </si>
  <si>
    <t>티웨이항공</t>
    <phoneticPr fontId="43" type="noConversion"/>
  </si>
  <si>
    <t>에어서울</t>
    <phoneticPr fontId="43" type="noConversion"/>
  </si>
  <si>
    <t>에어인천</t>
    <phoneticPr fontId="43" type="noConversion"/>
  </si>
  <si>
    <t>B737-400F</t>
    <phoneticPr fontId="43" type="noConversion"/>
  </si>
  <si>
    <t>플라이강원</t>
    <phoneticPr fontId="43" type="noConversion"/>
  </si>
  <si>
    <t>소형</t>
    <phoneticPr fontId="43" type="noConversion"/>
  </si>
  <si>
    <t>코리아익스프레스</t>
    <phoneticPr fontId="43" type="noConversion"/>
  </si>
  <si>
    <t>써니항공</t>
    <phoneticPr fontId="43" type="noConversion"/>
  </si>
  <si>
    <t>에어포항</t>
    <phoneticPr fontId="43" type="noConversion"/>
  </si>
  <si>
    <t>스타항공우주</t>
    <phoneticPr fontId="43" type="noConversion"/>
  </si>
  <si>
    <t>헬리코리아</t>
    <phoneticPr fontId="43" type="noConversion"/>
  </si>
  <si>
    <t>에어필립</t>
    <phoneticPr fontId="43" type="noConversion"/>
  </si>
  <si>
    <t>하이에어</t>
    <phoneticPr fontId="43" type="noConversion"/>
  </si>
  <si>
    <t>운송용소계</t>
    <phoneticPr fontId="43" type="noConversion"/>
  </si>
  <si>
    <t>사용사업</t>
    <phoneticPr fontId="43" type="noConversion"/>
  </si>
  <si>
    <t>홍익항공 등 59개사</t>
    <phoneticPr fontId="43" type="noConversion"/>
  </si>
  <si>
    <t>비사업</t>
    <phoneticPr fontId="43" type="noConversion"/>
  </si>
  <si>
    <t>교육기관</t>
    <phoneticPr fontId="43" type="noConversion"/>
  </si>
  <si>
    <t>보도기관</t>
    <phoneticPr fontId="43" type="noConversion"/>
  </si>
  <si>
    <t>정부기관(국토교통부)</t>
    <phoneticPr fontId="43" type="noConversion"/>
  </si>
  <si>
    <t>국가기관(소방/산림)</t>
    <phoneticPr fontId="43" type="noConversion"/>
  </si>
  <si>
    <t>기타(LG전자 등 18개사)</t>
    <phoneticPr fontId="43" type="noConversion"/>
  </si>
  <si>
    <t>총계</t>
    <phoneticPr fontId="43" type="noConversion"/>
  </si>
  <si>
    <t>소형항공</t>
    <phoneticPr fontId="43" type="noConversion"/>
  </si>
  <si>
    <t>자가용</t>
    <phoneticPr fontId="43" type="noConversion"/>
  </si>
  <si>
    <t>합계</t>
    <phoneticPr fontId="43" type="noConversion"/>
  </si>
  <si>
    <t>비즈니스(비행기)</t>
    <phoneticPr fontId="43" type="noConversion"/>
  </si>
  <si>
    <t>https://www.yna.co.kr/view/AKR20120214060851003</t>
    <phoneticPr fontId="43" type="noConversion"/>
  </si>
  <si>
    <t>위 뉴스 기반하여 화물기 기종별 적재용량의 산정</t>
    <phoneticPr fontId="43" type="noConversion"/>
  </si>
  <si>
    <t>조회기간 : 2009.01 ~ 2009.12, 여객 : 전체, 화물 : 전체, 항공사 : 전체, 운항 : 전체, 노선 : 전체, 여객화물 : 전체</t>
  </si>
  <si>
    <t>항공사명</t>
  </si>
  <si>
    <t>공급(석)</t>
  </si>
  <si>
    <t>운항(편)</t>
  </si>
  <si>
    <t>여객(명)</t>
  </si>
  <si>
    <t>화물(톤)</t>
  </si>
  <si>
    <t>전체 합계</t>
  </si>
  <si>
    <t>국적사 계</t>
  </si>
  <si>
    <t>대한항공(KAL)</t>
  </si>
  <si>
    <t>아시아나항공(AAR)</t>
  </si>
  <si>
    <t>제주항공(JJA)</t>
  </si>
  <si>
    <t>진에어(JNA)</t>
  </si>
  <si>
    <t>에어부산(ABL)</t>
  </si>
  <si>
    <t>이스타항공(ESR)</t>
  </si>
  <si>
    <t>외항사 계</t>
  </si>
  <si>
    <t>JP EXPRESS(AJV)</t>
  </si>
  <si>
    <t>ULS화물항공(KZU)</t>
  </si>
  <si>
    <t>가루다인도네시아(GIA)</t>
  </si>
  <si>
    <t>고려항공(KOR)</t>
  </si>
  <si>
    <t>그레이트월항공(장성항공)(GWL)</t>
  </si>
  <si>
    <t>네덜란드항공(KLM)</t>
  </si>
  <si>
    <t>노스웨스트항공(NWA)</t>
  </si>
  <si>
    <t>델타항공(DAL)</t>
  </si>
  <si>
    <t>독일화물항공(ACX)</t>
  </si>
  <si>
    <t>러시아항공(AFL)</t>
  </si>
  <si>
    <t>루프트한자항공(독일항공)(DLH)</t>
  </si>
  <si>
    <t>루프트한자화물항공(독일화물항공)(GEC)</t>
  </si>
  <si>
    <t>만다린항공(MDA)</t>
  </si>
  <si>
    <t>말레이시아항공(MAS)</t>
  </si>
  <si>
    <t>몽골항공(MGL)</t>
  </si>
  <si>
    <t>미국남부항공(SOO)</t>
  </si>
  <si>
    <t>베트남항공(HVN)</t>
  </si>
  <si>
    <t>볼가화물항공(VDA)</t>
  </si>
  <si>
    <t>부흥항공(TNA)</t>
  </si>
  <si>
    <t>블라디보스톡항공(VLK)</t>
  </si>
  <si>
    <t>비즈니스에어(BCC)</t>
  </si>
  <si>
    <t>사우디항공(SVA)</t>
  </si>
  <si>
    <t>산동항공(CDG)</t>
  </si>
  <si>
    <t>상해항공(CSH)</t>
  </si>
  <si>
    <t>세부퍼시픽항공(CEB)</t>
  </si>
  <si>
    <t>센튜리온항공화물(CWC)</t>
  </si>
  <si>
    <t>스타플라이어항공(SFJ)</t>
  </si>
  <si>
    <t>시베리아항공(SBI)</t>
  </si>
  <si>
    <t>싱가포르항공화물(SQC)</t>
  </si>
  <si>
    <t>싱가폴항공(SIA)</t>
  </si>
  <si>
    <t>아비아콘 지토트랜스(AZS)</t>
  </si>
  <si>
    <t>아에로플로트 카고(RCF)</t>
  </si>
  <si>
    <t>아틀라스화물항공(GTI)</t>
  </si>
  <si>
    <t>안토노프항공(ADB)</t>
  </si>
  <si>
    <t>애비언트항공(SMJ)</t>
  </si>
  <si>
    <t>야쿠티아항공(SYL)</t>
  </si>
  <si>
    <t>양쯔강항공(수파르나항공)(YZR)</t>
  </si>
  <si>
    <t>에미레이트항공(UAE)</t>
  </si>
  <si>
    <t>에바항공(장영항공)(EVA)</t>
  </si>
  <si>
    <t>에버그린화물항공(EIA)</t>
  </si>
  <si>
    <t>에어마카오(AMU)</t>
  </si>
  <si>
    <t>에어브리지화물항공(ABW)</t>
  </si>
  <si>
    <t>에어스타즈에어라인항공(ASE)</t>
  </si>
  <si>
    <t>에어아스타나항공(KZR)</t>
  </si>
  <si>
    <t>에어칼린(ACI)</t>
  </si>
  <si>
    <t>에어캐나다(ACA)</t>
  </si>
  <si>
    <t>에어홍콩화물항공(AHK)</t>
  </si>
  <si>
    <t>엠치에스항공(SUM)</t>
  </si>
  <si>
    <t>오로라항공(SHU)</t>
  </si>
  <si>
    <t>우즈베키스탄항공(UZB)</t>
  </si>
  <si>
    <t>월드항공(WOA)</t>
  </si>
  <si>
    <t>유나이티드항공(UAL)</t>
  </si>
  <si>
    <t>유니항공(UIA)</t>
  </si>
  <si>
    <t>유피에스화물항공(UPS)</t>
  </si>
  <si>
    <t>이란항공(IRA)</t>
  </si>
  <si>
    <t>일본트랜스오션항공(JTA)</t>
  </si>
  <si>
    <t>일본항공(JAL)</t>
  </si>
  <si>
    <t>일본화물항공(NCA)</t>
  </si>
  <si>
    <t>전일본항공(ANA)</t>
  </si>
  <si>
    <t>제이드화물항공(JAE)</t>
  </si>
  <si>
    <t>중국국제항공(CCA)</t>
  </si>
  <si>
    <t>중국남방항공(CSN)</t>
  </si>
  <si>
    <t>중국동방항공(CES)</t>
  </si>
  <si>
    <t>중국심천항공(CSZ)</t>
  </si>
  <si>
    <t>중국우정항공(CYZ)</t>
  </si>
  <si>
    <t>중국하문항공(CXA)</t>
  </si>
  <si>
    <t>중국화물항공(CKK)</t>
  </si>
  <si>
    <t>중화항공(CAL)</t>
  </si>
  <si>
    <t>카고룩스화물항공(CLX)</t>
  </si>
  <si>
    <t>카타르항공(QTR)</t>
  </si>
  <si>
    <t>칼리타화물항공(CKS)</t>
  </si>
  <si>
    <t>캐세이퍼시픽항공(CPA)</t>
  </si>
  <si>
    <t>케세이드래곤항공(HDA)</t>
  </si>
  <si>
    <t>타이항공(THA)</t>
  </si>
  <si>
    <t>터키항공(THY)</t>
  </si>
  <si>
    <t>트랜스아비아엑스포트화물항공(TXC)</t>
  </si>
  <si>
    <t>페덱스화물항공(FDX)</t>
  </si>
  <si>
    <t>폴라에어카고(PAC)</t>
  </si>
  <si>
    <t>폴렛화물항공(POT)</t>
  </si>
  <si>
    <t>프랑스항공(AFR)</t>
  </si>
  <si>
    <t>핀란드항공(FIN)</t>
  </si>
  <si>
    <t>필리핀에어아시아(EZD)</t>
  </si>
  <si>
    <t>필리핀항공(PAL)</t>
  </si>
  <si>
    <t>하이난항공(CHH)</t>
  </si>
  <si>
    <t>홍콩익스프레스(HKE)</t>
  </si>
  <si>
    <t>조회기간 : 2010.01 ~ 2010.12, 여객 : 전체, 화물 : 전체, 항공사 : 전체, 운항 : 전체, 노선 : 전체, 여객화물 : 전체</t>
  </si>
  <si>
    <t>티웨이항공(TWB)</t>
  </si>
  <si>
    <t>224th Flight Unit(TTF)</t>
  </si>
  <si>
    <t>사천항공(CSC)</t>
  </si>
  <si>
    <t>시엘로스항공(CIU)</t>
  </si>
  <si>
    <t>에어로로직(BOX)</t>
  </si>
  <si>
    <t>에어아시아엑스(XAX)</t>
  </si>
  <si>
    <t>에어재팬화물항공(AJX)</t>
  </si>
  <si>
    <t>에티하드항공(ETD)</t>
  </si>
  <si>
    <t>오리엔트타이항공(OEA)</t>
  </si>
  <si>
    <t>인도항공(AIC)</t>
  </si>
  <si>
    <t>코리아익스프레스에어(KEA)</t>
  </si>
  <si>
    <t>호주항공(콴타스항공)(QFA)</t>
  </si>
  <si>
    <t>조회기간 : 2011.01 ~ 2011.12, 여객 : 전체, 화물 : 전체, 항공사 : 전체, 운항 : 전체, 노선 : 전체, 여객화물 : 전체</t>
  </si>
  <si>
    <t>그랜드스타카고(은하)(GSC)</t>
  </si>
  <si>
    <t>노르딕글로벌항공(NGB)</t>
  </si>
  <si>
    <t>메가몰디브항공(MEG)</t>
  </si>
  <si>
    <t>메나에어로스페이스(MEN)</t>
  </si>
  <si>
    <t>스카이앙코르항공(SWM)</t>
  </si>
  <si>
    <t>아스트라이오스항공(AEU)</t>
  </si>
  <si>
    <t>와모스 항공(PLM)</t>
  </si>
  <si>
    <t>컨티넨탈항공(COA)</t>
  </si>
  <si>
    <t>타롬항공(ROT)</t>
  </si>
  <si>
    <t>톤레삽항공(TSP)</t>
  </si>
  <si>
    <t>하와이안항공(HAL)</t>
  </si>
  <si>
    <t>조회기간 : 2012.01 ~ 2012.12, 여객 : 전체, 화물 : 전체, 항공사 : 전체, 운항 : 전체, 노선 : 전체, 여객화물 : 전체</t>
  </si>
  <si>
    <t>U에어라인(ULG)</t>
  </si>
  <si>
    <t>몽골리안항공(MML)</t>
  </si>
  <si>
    <t>바닐라항공(VNL)</t>
  </si>
  <si>
    <t>브루나이항공(RBA)</t>
  </si>
  <si>
    <t>실크웨이(AZQ)</t>
  </si>
  <si>
    <t>암스트롱항공(ARQ)</t>
  </si>
  <si>
    <t>에어비쉬켁(EAA)</t>
  </si>
  <si>
    <t>에어아시아 재팬(WAJ)</t>
  </si>
  <si>
    <t>영국항공(BAW)</t>
  </si>
  <si>
    <t>원동항공(FEA)</t>
  </si>
  <si>
    <t>천진항공(GCR)</t>
  </si>
  <si>
    <t>피씨에어(PCA)</t>
  </si>
  <si>
    <t>피치항공(APJ)</t>
  </si>
  <si>
    <t>하이플라이(HFY)</t>
  </si>
  <si>
    <t>조회기간 : 2013.01 ~ 2013.12, 여객 : 전체, 화물 : 전체, 항공사 : 전체, 운항 : 전체, 노선 : 전체, 여객화물 : 전체</t>
  </si>
  <si>
    <t>에어인천(AIH)</t>
  </si>
  <si>
    <t>C.A.L 화물항공(ICL)</t>
  </si>
  <si>
    <t>다이나믹항공(DYA)</t>
  </si>
  <si>
    <t>라오항공(LAO)</t>
  </si>
  <si>
    <t>로얄항공(ABG)</t>
  </si>
  <si>
    <t>모터-시크항공(MSI)</t>
  </si>
  <si>
    <t>북경수도항공(CBJ)</t>
  </si>
  <si>
    <t>비엣젯항공(VJC)</t>
  </si>
  <si>
    <t>스쿠트항공(SCO)</t>
  </si>
  <si>
    <t>아메리칸항공(AAL)</t>
  </si>
  <si>
    <t>에티오피안항공(ETH)</t>
  </si>
  <si>
    <t>우크라이나에어라인(UKL)</t>
  </si>
  <si>
    <t>이란아세만항공(IRC)</t>
  </si>
  <si>
    <t>제트아시아항공(JAA)</t>
  </si>
  <si>
    <t>중국길상항공(준야오항공)(DKH)</t>
  </si>
  <si>
    <t>중국순풍항공(CSS)</t>
  </si>
  <si>
    <t>체코항공(CSA)</t>
  </si>
  <si>
    <t>춘추항공(CQH)</t>
  </si>
  <si>
    <t>조회기간 : 2014.01 ~ 2014.12, 여객 : 전체, 화물 : 전체, 항공사 : 전체, 운항 : 전체, 노선 : 전체, 여객화물 : 전체</t>
  </si>
  <si>
    <t>마한 항공(IRM)</t>
  </si>
  <si>
    <t>미얀마국제항공(MMA)</t>
  </si>
  <si>
    <t>실크에어(SLK)</t>
  </si>
  <si>
    <t>실크웨이웨스트(AZG)</t>
  </si>
  <si>
    <t>아시아아틀란틱항공(AAQ)</t>
  </si>
  <si>
    <t>알이탈리아항공(AZA)</t>
  </si>
  <si>
    <t>오케이항공(OKA)</t>
  </si>
  <si>
    <t>타이에어아시아엑스(TAX)</t>
  </si>
  <si>
    <t>홍콩항공(CRK)</t>
  </si>
  <si>
    <t>조회기간 : 2015.01 ~ 2015.12, 여객 : 전체, 화물 : 전체, 항공사 : 전체, 운항 : 전체, 노선 : 전체, 여객화물 : 전체</t>
  </si>
  <si>
    <t>V 에어(VAX)</t>
  </si>
  <si>
    <t>녹스쿠트항공(NCT)</t>
  </si>
  <si>
    <t>럭키항공(LKE)</t>
  </si>
  <si>
    <t>로얄크메르항공(RKH)</t>
  </si>
  <si>
    <t>실크웨이 이탈리아(CSW)</t>
  </si>
  <si>
    <t>아이슬란드항공(ICE)</t>
  </si>
  <si>
    <t>웨스턴글로벌항공(WGN)</t>
  </si>
  <si>
    <t>캄보디아앙코르항공(KHV)</t>
  </si>
  <si>
    <t>조회기간 : 2016.01 ~ 2016.12, 여객 : 전체, 화물 : 전체, 항공사 : 전체, 운항 : 전체, 노선 : 전체, 여객화물 : 전체</t>
  </si>
  <si>
    <t>에어서울(ASV)</t>
  </si>
  <si>
    <t>내셔널항공(NCR)</t>
  </si>
  <si>
    <t>스카이리스항공(KYE)</t>
  </si>
  <si>
    <t>씨에어(SGD)</t>
  </si>
  <si>
    <t>아비아스타-투 화물항공(TUP)</t>
  </si>
  <si>
    <t>젯스타퍼시픽항공(PIC)</t>
  </si>
  <si>
    <t>중국국제항공화물(CAO)</t>
  </si>
  <si>
    <t>타이거에어 대만(TTW)</t>
  </si>
  <si>
    <t>팬퍼시픽항공(AAV)</t>
  </si>
  <si>
    <t>폴란드항공(LOT)</t>
  </si>
  <si>
    <t>조회기간 : 2017.01 ~ 2017.12, 여객 : 전체, 화물 : 전체, 항공사 : 전체, 운항 : 전체, 노선 : 전체, 여객화물 : 전체</t>
  </si>
  <si>
    <t>라다항공(RDA)</t>
  </si>
  <si>
    <t>라이온항공(LNI)</t>
  </si>
  <si>
    <t>바스피브라질항공(VSP)</t>
  </si>
  <si>
    <t>부탄항공(BTN)</t>
  </si>
  <si>
    <t>솔라시드항공(SNJ)</t>
  </si>
  <si>
    <t>스쿠트타이거항공(TGW)</t>
  </si>
  <si>
    <t>아에로멕시코(AMX)</t>
  </si>
  <si>
    <t>아트란화물항공(VAS)</t>
  </si>
  <si>
    <t>에어카고글로벌(CCC)</t>
  </si>
  <si>
    <t>제이씨인항공(JCC)</t>
  </si>
  <si>
    <t>팔 익스프레스(GAP)</t>
  </si>
  <si>
    <t>필리핀에어아시아(APG)</t>
  </si>
  <si>
    <t>조회기간 : 2018.01 ~ 2018.12, 여객 : 전체, 화물 : 전체, 항공사 : 전체, 운항 : 전체, 노선 : 전체, 여객화물 : 전체</t>
  </si>
  <si>
    <t>룽에어(CDC)</t>
  </si>
  <si>
    <t>말린도항공(MXD)</t>
  </si>
  <si>
    <t>스카이마크항공(SKY)</t>
  </si>
  <si>
    <t>칭다오항공(QDA)</t>
  </si>
  <si>
    <t>조회기간 : 2019.01 ~ 2019.12, 여객 : 전체, 화물 : 전체, 항공사 : 전체, 운항 : 전체, 노선 : 전체, 여객화물 : 전체</t>
  </si>
  <si>
    <t>플라이강원(FGW)</t>
  </si>
  <si>
    <t>YTO 화물 항공사(HYT)</t>
  </si>
  <si>
    <t>뉴질랜드항공(ANZ)</t>
  </si>
  <si>
    <t>러시아피닉스항공(PHG)</t>
  </si>
  <si>
    <t>배이에비에이션(BAV)</t>
  </si>
  <si>
    <t>알틴항공(LYN)</t>
  </si>
  <si>
    <t>이지니스항공(EZA)</t>
  </si>
  <si>
    <t>제트스타(JST)</t>
  </si>
  <si>
    <t>중국동하이항공(EPA)</t>
  </si>
  <si>
    <t>차이나 웨스트 에어(CHB)</t>
  </si>
  <si>
    <t>카고룩스 이탈리아(ICV)</t>
  </si>
  <si>
    <t>조회기간 : 2020.01 ~ 2020.12, 여객 : 전체, 화물 : 전체, 항공사 : 전체, 운항 : 전체, 노선 : 전체, 여객화물 : 전체</t>
  </si>
  <si>
    <t>E-Cargo(ERF)</t>
  </si>
  <si>
    <t>TUI 에어웨이스(TOM)</t>
  </si>
  <si>
    <t>TUI 플라이 벨기에(JAF)</t>
  </si>
  <si>
    <t>로열 에어 모로코(RAM)</t>
  </si>
  <si>
    <t>루비스타(RSB)</t>
  </si>
  <si>
    <t>미얀마 항공(UBA)</t>
  </si>
  <si>
    <t>비바 마카오(VVM)</t>
  </si>
  <si>
    <t>스리랑카항공(ALK)</t>
  </si>
  <si>
    <t>스카이업항공(SQP)</t>
  </si>
  <si>
    <t>스파이스제트(SEJ)</t>
  </si>
  <si>
    <t>시티링크(CTV)</t>
  </si>
  <si>
    <t>아이택항공(IKA)</t>
  </si>
  <si>
    <t>에어링구스(EIN)</t>
  </si>
  <si>
    <t>엘알이스라엘화물항공(ELY)</t>
  </si>
  <si>
    <t>유고슬라비아항공(JAT)</t>
  </si>
  <si>
    <t>이집트항공(MSR)</t>
  </si>
  <si>
    <t>차이나익스프레스항공(HXA)</t>
  </si>
  <si>
    <t>충칭항공(CQN)</t>
  </si>
  <si>
    <t>쿠웨이트항공(KAC)</t>
  </si>
  <si>
    <t>타지크 에어(TJK)</t>
  </si>
  <si>
    <t>톈진화물항공(CTJ)</t>
  </si>
  <si>
    <t>파키스탄항공(PIA)</t>
  </si>
  <si>
    <t>페루비안항공(PVN)</t>
  </si>
  <si>
    <t>허베이항공(HBH)</t>
  </si>
  <si>
    <t>홍콩화물항공(HKC)</t>
  </si>
  <si>
    <t>조회기간 : 2021.01 ~ 2021.08, 여객 : 전체, 화물 : 전체, 항공사 : 전체, 운항 : 전체, 노선 : 전체, 여객화물 : 전체</t>
  </si>
  <si>
    <t>에어로케이(EOK)</t>
  </si>
  <si>
    <t>에어프레미아(APZ)</t>
  </si>
  <si>
    <t>JetAvia(ZAV)</t>
  </si>
  <si>
    <t>Royal Air Philippines(RYL)</t>
  </si>
  <si>
    <t>TUI 플라이 네덜란드(TFL)</t>
  </si>
  <si>
    <t>러시아 우랄항공(SVR)</t>
  </si>
  <si>
    <t>말레스 항공(MLT)</t>
  </si>
  <si>
    <t>버진 애틀란틱항공(VS)</t>
  </si>
  <si>
    <t>스위스항공(SWR)</t>
  </si>
  <si>
    <t>우크라이나국제항공(AUI)</t>
  </si>
  <si>
    <t>윈드로즈 항공(WRC)</t>
  </si>
  <si>
    <t>집에어 도쿄(TZP)</t>
  </si>
  <si>
    <t>조회기간 : 2019.01 ~ 2019.12, 여객 : 전체, 화물 : 전체, 항공사 : 전체, 운항 : 전체, 노선 : 전체, 여객화물 : 여객기</t>
  </si>
  <si>
    <t>조회기간 : 2019.01 ~ 2019.12, 여객 : 전체, 화물 : 전체, 항공사 : 전체, 운항 : 전체, 노선 : 전체, 여객화물 : 화물기</t>
  </si>
  <si>
    <t>국토교통부_연도별 국내국제항공수송실적</t>
    <phoneticPr fontId="43" type="noConversion"/>
  </si>
  <si>
    <t>구분</t>
  </si>
  <si>
    <t>여객킬로(Km)</t>
  </si>
  <si>
    <t>화물톤킬로(Km)</t>
  </si>
  <si>
    <t>운항(회)</t>
  </si>
  <si>
    <t>운항킬로(Km)</t>
  </si>
  <si>
    <t>result</t>
    <phoneticPr fontId="43" type="noConversion"/>
  </si>
  <si>
    <t>passenger 
aircraft</t>
    <phoneticPr fontId="43" type="noConversion"/>
  </si>
  <si>
    <t>person</t>
    <phoneticPr fontId="43" type="noConversion"/>
  </si>
  <si>
    <t>person-km</t>
    <phoneticPr fontId="43" type="noConversion"/>
  </si>
  <si>
    <t>좌석수</t>
    <phoneticPr fontId="43" type="noConversion"/>
  </si>
  <si>
    <t>freight
aircraft</t>
    <phoneticPr fontId="43" type="noConversion"/>
  </si>
  <si>
    <t>ton</t>
    <phoneticPr fontId="43" type="noConversion"/>
  </si>
  <si>
    <t>ton-km</t>
    <phoneticPr fontId="43" type="noConversion"/>
  </si>
  <si>
    <t>톤수</t>
    <phoneticPr fontId="43" type="noConversion"/>
  </si>
  <si>
    <t>국적사 한정</t>
    <phoneticPr fontId="43" type="noConversion"/>
  </si>
  <si>
    <t>국적사 + 외항사 수치</t>
    <phoneticPr fontId="43" type="noConversion"/>
  </si>
  <si>
    <t>항공통계 항공사별 여객, 공급, 운항, 화물 데이터 정리</t>
    <phoneticPr fontId="43" type="noConversion"/>
  </si>
  <si>
    <t>total 대비 국적사 비율</t>
    <phoneticPr fontId="43" type="noConversion"/>
  </si>
  <si>
    <t>국적사</t>
    <phoneticPr fontId="43" type="noConversion"/>
  </si>
  <si>
    <t>공급(석)</t>
    <phoneticPr fontId="43" type="noConversion"/>
  </si>
  <si>
    <t>운항(편)</t>
    <phoneticPr fontId="43" type="noConversion"/>
  </si>
  <si>
    <t>여객(명)</t>
    <phoneticPr fontId="43" type="noConversion"/>
  </si>
  <si>
    <t>화물(톤)</t>
    <phoneticPr fontId="43" type="noConversion"/>
  </si>
  <si>
    <t>외항사</t>
    <phoneticPr fontId="43" type="noConversion"/>
  </si>
  <si>
    <t>2019년도 데이터 기반으로 result 도출</t>
    <phoneticPr fontId="43" type="noConversion"/>
  </si>
  <si>
    <t>일평균 주행거리</t>
    <phoneticPr fontId="43" type="noConversion"/>
  </si>
  <si>
    <t>이륜차 수</t>
    <phoneticPr fontId="43" type="noConversion"/>
  </si>
  <si>
    <t>Quick delivery service</t>
  </si>
  <si>
    <t>General delivery service</t>
  </si>
  <si>
    <t>General commutation</t>
  </si>
  <si>
    <t>Sport &amp; leisure</t>
  </si>
  <si>
    <r>
      <t>국내</t>
    </r>
    <r>
      <rPr>
        <b/>
        <sz val="11"/>
        <color theme="1"/>
        <rFont val="MS Gothic"/>
        <family val="3"/>
        <charset val="128"/>
      </rPr>
      <t>・</t>
    </r>
    <r>
      <rPr>
        <b/>
        <sz val="11"/>
        <color theme="1"/>
        <rFont val="맑은 고딕"/>
        <family val="3"/>
        <charset val="129"/>
        <scheme val="minor"/>
      </rPr>
      <t>국제</t>
    </r>
    <r>
      <rPr>
        <b/>
        <sz val="11"/>
        <color rgb="FFFF0000"/>
        <rFont val="맑은 고딕"/>
        <family val="3"/>
        <charset val="129"/>
        <scheme val="minor"/>
      </rPr>
      <t>여객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연도별</t>
    </r>
    <r>
      <rPr>
        <b/>
        <sz val="11"/>
        <color theme="1"/>
        <rFont val="맑은 고딕"/>
        <family val="3"/>
        <charset val="129"/>
        <scheme val="minor"/>
      </rPr>
      <t xml:space="preserve"> 수송수단별</t>
    </r>
    <phoneticPr fontId="43" type="noConversion"/>
  </si>
  <si>
    <t>구분(1)(1)</t>
  </si>
  <si>
    <t>구분(2)(1)</t>
  </si>
  <si>
    <t>2016</t>
  </si>
  <si>
    <t>2017</t>
  </si>
  <si>
    <t>2018</t>
  </si>
  <si>
    <t>국내</t>
  </si>
  <si>
    <t>해운 (인)</t>
  </si>
  <si>
    <t>항공 (인)</t>
  </si>
  <si>
    <t>해운 (인-키로)</t>
  </si>
  <si>
    <t>항공 (인-키로)</t>
  </si>
  <si>
    <t>국제</t>
  </si>
  <si>
    <r>
      <t xml:space="preserve">2017 </t>
    </r>
    <r>
      <rPr>
        <b/>
        <sz val="11"/>
        <color rgb="FFFF0000"/>
        <rFont val="맑은 고딕"/>
        <family val="3"/>
        <charset val="129"/>
        <scheme val="minor"/>
      </rPr>
      <t>화물수(ton)</t>
    </r>
    <r>
      <rPr>
        <b/>
        <sz val="11"/>
        <color theme="1"/>
        <rFont val="맑은 고딕"/>
        <family val="3"/>
        <charset val="129"/>
        <scheme val="minor"/>
      </rPr>
      <t xml:space="preserve"> 국내</t>
    </r>
    <r>
      <rPr>
        <b/>
        <sz val="11"/>
        <color theme="1"/>
        <rFont val="MS Gothic"/>
        <family val="3"/>
        <charset val="128"/>
      </rPr>
      <t>・</t>
    </r>
    <r>
      <rPr>
        <b/>
        <sz val="11"/>
        <color theme="1"/>
        <rFont val="맑은 고딕"/>
        <family val="3"/>
        <charset val="129"/>
        <scheme val="minor"/>
      </rPr>
      <t xml:space="preserve">국제화물 </t>
    </r>
    <r>
      <rPr>
        <b/>
        <sz val="11"/>
        <color rgb="FFFF0000"/>
        <rFont val="맑은 고딕"/>
        <family val="3"/>
        <charset val="129"/>
        <scheme val="minor"/>
      </rPr>
      <t>월별</t>
    </r>
    <r>
      <rPr>
        <b/>
        <sz val="11"/>
        <color theme="1"/>
        <rFont val="맑은 고딕"/>
        <family val="3"/>
        <charset val="129"/>
        <scheme val="minor"/>
      </rPr>
      <t xml:space="preserve"> 수송수단별</t>
    </r>
    <phoneticPr fontId="43" type="noConversion"/>
  </si>
  <si>
    <t>국내/국제(1)</t>
  </si>
  <si>
    <t>수단별(1)</t>
  </si>
  <si>
    <t>1995. 12</t>
  </si>
  <si>
    <t>1996. 12</t>
  </si>
  <si>
    <t>1997. 12</t>
  </si>
  <si>
    <t>1998. 12</t>
  </si>
  <si>
    <t>1999. 12</t>
  </si>
  <si>
    <t>2000. 12</t>
  </si>
  <si>
    <t>2001. 12</t>
  </si>
  <si>
    <t>2002. 12</t>
  </si>
  <si>
    <t>2003. 12</t>
  </si>
  <si>
    <t>2004. 12</t>
  </si>
  <si>
    <t>2005. 12</t>
  </si>
  <si>
    <t>2006. 01</t>
  </si>
  <si>
    <t>2006. 02</t>
  </si>
  <si>
    <t>2006. 03</t>
  </si>
  <si>
    <t>2006. 04</t>
  </si>
  <si>
    <t>2006. 05</t>
  </si>
  <si>
    <t>2006. 06</t>
  </si>
  <si>
    <t>2006. 07</t>
  </si>
  <si>
    <t>2006. 08</t>
  </si>
  <si>
    <t>2006. 09</t>
  </si>
  <si>
    <t>2006. 10</t>
  </si>
  <si>
    <t>2006. 11</t>
  </si>
  <si>
    <t>2006. 12</t>
  </si>
  <si>
    <t>2007. 01</t>
  </si>
  <si>
    <t>2007. 02</t>
  </si>
  <si>
    <t>2007. 03</t>
  </si>
  <si>
    <t>2007. 04</t>
  </si>
  <si>
    <t>2007. 05</t>
  </si>
  <si>
    <t>2007. 06</t>
  </si>
  <si>
    <t>2007. 07</t>
  </si>
  <si>
    <t>2007. 08</t>
  </si>
  <si>
    <t>2007. 09</t>
  </si>
  <si>
    <t>2007. 10</t>
  </si>
  <si>
    <t>2007. 11</t>
  </si>
  <si>
    <t>2007. 12</t>
  </si>
  <si>
    <t>2008. 01</t>
  </si>
  <si>
    <t>2008. 02</t>
  </si>
  <si>
    <t>2008. 03</t>
  </si>
  <si>
    <t>2008. 04</t>
  </si>
  <si>
    <t>2008. 05</t>
  </si>
  <si>
    <t>2008. 06</t>
  </si>
  <si>
    <t>2008. 07</t>
  </si>
  <si>
    <t>2008. 08</t>
  </si>
  <si>
    <t>2008. 09</t>
  </si>
  <si>
    <t>2008. 10</t>
  </si>
  <si>
    <t>2008. 11</t>
  </si>
  <si>
    <t>2008. 12</t>
  </si>
  <si>
    <t>2009. 01</t>
  </si>
  <si>
    <t>2009. 02</t>
  </si>
  <si>
    <t>2009. 03</t>
  </si>
  <si>
    <t>2009. 04</t>
  </si>
  <si>
    <t>2009. 05</t>
  </si>
  <si>
    <t>2009. 06</t>
  </si>
  <si>
    <t>2009. 07</t>
  </si>
  <si>
    <t>2009. 08</t>
  </si>
  <si>
    <t>2009. 09</t>
  </si>
  <si>
    <t>2009. 10</t>
  </si>
  <si>
    <t>2009. 11</t>
  </si>
  <si>
    <t>2009. 12</t>
  </si>
  <si>
    <t>2010. 01</t>
  </si>
  <si>
    <t>2010. 02</t>
  </si>
  <si>
    <t>2010. 03</t>
  </si>
  <si>
    <t>2010. 04</t>
  </si>
  <si>
    <t>2010. 05</t>
  </si>
  <si>
    <t>2010. 06</t>
  </si>
  <si>
    <t>2010. 07</t>
  </si>
  <si>
    <t>2010. 08</t>
  </si>
  <si>
    <t>2010. 09</t>
  </si>
  <si>
    <t>2010. 10</t>
  </si>
  <si>
    <t>2010. 11</t>
  </si>
  <si>
    <t>2010. 12</t>
  </si>
  <si>
    <t>2011. 01</t>
  </si>
  <si>
    <t>2011. 02</t>
  </si>
  <si>
    <t>2011. 03</t>
  </si>
  <si>
    <t>2011. 04</t>
  </si>
  <si>
    <t>2011. 05</t>
  </si>
  <si>
    <t>2011. 06</t>
  </si>
  <si>
    <t>2011. 07</t>
  </si>
  <si>
    <t>2011. 08</t>
  </si>
  <si>
    <t>2011. 09</t>
  </si>
  <si>
    <t>2011. 10</t>
  </si>
  <si>
    <t>2011. 11</t>
  </si>
  <si>
    <t>2011. 12</t>
  </si>
  <si>
    <t>2012. 01</t>
  </si>
  <si>
    <t>2012. 02</t>
  </si>
  <si>
    <t>2012. 03</t>
  </si>
  <si>
    <t>2012. 04</t>
  </si>
  <si>
    <t>2012. 05</t>
  </si>
  <si>
    <t>2012. 06</t>
  </si>
  <si>
    <t>2012. 07</t>
  </si>
  <si>
    <t>2012. 08</t>
  </si>
  <si>
    <t>2012. 09</t>
  </si>
  <si>
    <t>2012. 10</t>
  </si>
  <si>
    <t>2012. 11</t>
  </si>
  <si>
    <t>2012. 12</t>
  </si>
  <si>
    <t>2013. 01</t>
  </si>
  <si>
    <t>2013. 02</t>
  </si>
  <si>
    <t>2013. 03</t>
  </si>
  <si>
    <t>2013. 04</t>
  </si>
  <si>
    <t>2013. 05</t>
  </si>
  <si>
    <t>2013. 06</t>
  </si>
  <si>
    <t>2013. 07</t>
  </si>
  <si>
    <t>2013. 08</t>
  </si>
  <si>
    <t>2013. 09</t>
  </si>
  <si>
    <t>2013. 10</t>
  </si>
  <si>
    <t>2013. 11</t>
  </si>
  <si>
    <t>2013. 12</t>
  </si>
  <si>
    <t>2014. 01</t>
  </si>
  <si>
    <t>2014. 02</t>
  </si>
  <si>
    <t>2014. 03</t>
  </si>
  <si>
    <t>2014. 04</t>
  </si>
  <si>
    <t>2014. 05</t>
  </si>
  <si>
    <t>2014. 06</t>
  </si>
  <si>
    <t>2014. 07</t>
  </si>
  <si>
    <t>2014. 08</t>
  </si>
  <si>
    <t>2014. 09</t>
  </si>
  <si>
    <t>2014. 10</t>
  </si>
  <si>
    <t>2014. 11</t>
  </si>
  <si>
    <t>2014. 12</t>
  </si>
  <si>
    <t>2015. 01</t>
  </si>
  <si>
    <t>2015. 02</t>
  </si>
  <si>
    <t>2015. 03</t>
  </si>
  <si>
    <t>2015. 04</t>
  </si>
  <si>
    <t>2015. 05</t>
  </si>
  <si>
    <t>2015. 06</t>
  </si>
  <si>
    <t>2015. 07</t>
  </si>
  <si>
    <t>2015. 08</t>
  </si>
  <si>
    <t>2015. 09</t>
  </si>
  <si>
    <t>2015. 10</t>
  </si>
  <si>
    <t>2015. 11</t>
  </si>
  <si>
    <t>2015. 12</t>
  </si>
  <si>
    <t>2016. 01</t>
  </si>
  <si>
    <t>2016. 02</t>
  </si>
  <si>
    <t>2016. 03</t>
  </si>
  <si>
    <t>2016. 04</t>
  </si>
  <si>
    <t>2016. 05</t>
  </si>
  <si>
    <t>2016. 06</t>
  </si>
  <si>
    <t>2016. 07</t>
  </si>
  <si>
    <t>2016. 08</t>
  </si>
  <si>
    <t>2016. 09</t>
  </si>
  <si>
    <t>2016. 10</t>
  </si>
  <si>
    <t>2016. 11</t>
  </si>
  <si>
    <t>2016. 12</t>
  </si>
  <si>
    <t>2017. 01</t>
  </si>
  <si>
    <t>2017. 02</t>
  </si>
  <si>
    <t>2017. 03</t>
  </si>
  <si>
    <t>2017. 04</t>
  </si>
  <si>
    <t>2017. 05</t>
  </si>
  <si>
    <t>2017. 06</t>
  </si>
  <si>
    <t>2017. 07</t>
  </si>
  <si>
    <t>2017. 08</t>
  </si>
  <si>
    <t>2017. 09</t>
  </si>
  <si>
    <t>2017. 10</t>
  </si>
  <si>
    <t>2017. 11</t>
  </si>
  <si>
    <t>2017. 12</t>
  </si>
  <si>
    <t>철도</t>
  </si>
  <si>
    <t>공로</t>
  </si>
  <si>
    <t>해운</t>
  </si>
  <si>
    <t>항공</t>
  </si>
  <si>
    <r>
      <t xml:space="preserve">2017 </t>
    </r>
    <r>
      <rPr>
        <b/>
        <sz val="11"/>
        <color rgb="FFFF0000"/>
        <rFont val="맑은 고딕"/>
        <family val="3"/>
        <charset val="129"/>
        <scheme val="minor"/>
      </rPr>
      <t>화물수(ton)</t>
    </r>
    <r>
      <rPr>
        <b/>
        <sz val="11"/>
        <color theme="1"/>
        <rFont val="맑은 고딕"/>
        <family val="3"/>
        <charset val="129"/>
        <scheme val="minor"/>
      </rPr>
      <t xml:space="preserve"> 국내</t>
    </r>
    <r>
      <rPr>
        <b/>
        <sz val="11"/>
        <color theme="1"/>
        <rFont val="MS Gothic"/>
        <family val="3"/>
        <charset val="128"/>
      </rPr>
      <t>・</t>
    </r>
    <r>
      <rPr>
        <b/>
        <sz val="11"/>
        <color theme="1"/>
        <rFont val="맑은 고딕"/>
        <family val="3"/>
        <charset val="129"/>
        <scheme val="minor"/>
      </rPr>
      <t xml:space="preserve">국제화물 </t>
    </r>
    <r>
      <rPr>
        <b/>
        <sz val="11"/>
        <color rgb="FFFF0000"/>
        <rFont val="맑은 고딕"/>
        <family val="3"/>
        <charset val="129"/>
        <scheme val="minor"/>
      </rPr>
      <t>연간</t>
    </r>
    <r>
      <rPr>
        <b/>
        <sz val="11"/>
        <color theme="1"/>
        <rFont val="맑은 고딕"/>
        <family val="3"/>
        <charset val="129"/>
        <scheme val="minor"/>
      </rPr>
      <t xml:space="preserve"> 수송수단별</t>
    </r>
    <phoneticPr fontId="43" type="noConversion"/>
  </si>
  <si>
    <t>해운</t>
    <phoneticPr fontId="43" type="noConversion"/>
  </si>
  <si>
    <t>항공</t>
    <phoneticPr fontId="43" type="noConversion"/>
  </si>
  <si>
    <t>1000 ton</t>
    <phoneticPr fontId="43" type="noConversion"/>
  </si>
  <si>
    <t>million ton killo</t>
    <phoneticPr fontId="43" type="noConversion"/>
  </si>
  <si>
    <t>여객</t>
    <phoneticPr fontId="43" type="noConversion"/>
  </si>
  <si>
    <t>국내</t>
    <phoneticPr fontId="43" type="noConversion"/>
  </si>
  <si>
    <t>국제</t>
    <phoneticPr fontId="43" type="noConversion"/>
  </si>
  <si>
    <t>화물</t>
    <phoneticPr fontId="43" type="noConversion"/>
  </si>
  <si>
    <t>국적사 한정 추정</t>
    <phoneticPr fontId="43" type="noConversion"/>
  </si>
  <si>
    <t>여객(1000인)</t>
    <phoneticPr fontId="43" type="noConversion"/>
  </si>
  <si>
    <t>백만인킬로</t>
    <phoneticPr fontId="43" type="noConversion"/>
  </si>
  <si>
    <t>해운톤</t>
    <phoneticPr fontId="43" type="noConversion"/>
  </si>
  <si>
    <t>해운톤킬로</t>
    <phoneticPr fontId="43" type="noConversion"/>
  </si>
  <si>
    <t>항공톤</t>
    <phoneticPr fontId="43" type="noConversion"/>
  </si>
  <si>
    <t>항공톤킬로</t>
  </si>
  <si>
    <t>해운, 항공 톤킬로합계</t>
    <phoneticPr fontId="43" type="noConversion"/>
  </si>
  <si>
    <t>해운톤킬로/해운톤</t>
    <phoneticPr fontId="43" type="noConversion"/>
  </si>
  <si>
    <t>passenger
ships</t>
    <phoneticPr fontId="43" type="noConversion"/>
  </si>
  <si>
    <t>seat</t>
    <phoneticPr fontId="43" type="noConversion"/>
  </si>
  <si>
    <t>freight
ships</t>
    <phoneticPr fontId="43" type="noConversion"/>
  </si>
  <si>
    <t>ton per ship</t>
    <phoneticPr fontId="43" type="noConversion"/>
  </si>
  <si>
    <t>파란글씨는 추정치</t>
    <phoneticPr fontId="43" type="noConversion"/>
  </si>
  <si>
    <t>해운 여객의 좌석수는 국내 연안여객선의 좌석수를 기반으로 계산했으며, 이를 국내 국제 여객에 동일하게 적용</t>
    <phoneticPr fontId="43" type="noConversion"/>
  </si>
  <si>
    <t>Annual Distance (miles/vehicle)</t>
  </si>
  <si>
    <t>aircraft</t>
    <phoneticPr fontId="43" type="noConversion"/>
  </si>
  <si>
    <t>rail</t>
    <phoneticPr fontId="43" type="noConversion"/>
  </si>
  <si>
    <t>ships</t>
    <phoneticPr fontId="43" type="noConversion"/>
  </si>
  <si>
    <t>motor</t>
    <phoneticPr fontId="43" type="noConversion"/>
  </si>
  <si>
    <t>조회년월: 2020.12</t>
    <phoneticPr fontId="43" type="noConversion"/>
  </si>
  <si>
    <t>LDV</t>
    <phoneticPr fontId="43" type="noConversion"/>
  </si>
  <si>
    <t>HDV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</si>
</sst>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###0.00_)"/>
    <numFmt numFmtId="179" formatCode="#,##0_)"/>
    <numFmt numFmtId="180" formatCode="#,##0_ "/>
    <numFmt numFmtId="181" formatCode="#,##0.000_);[Red]\(#,##0.000\)"/>
    <numFmt numFmtId="182" formatCode="#,##0.000_ "/>
    <numFmt numFmtId="183" formatCode="0_ "/>
    <numFmt numFmtId="184" formatCode="0.0_ "/>
    <numFmt numFmtId="185" formatCode="#,##0.0_ "/>
    <numFmt numFmtId="186" formatCode="_-* #,##0.0_-;\-* #,##0.0_-;_-* &quot;-&quot;??_-;_-@_-"/>
    <numFmt numFmtId="187" formatCode="0.0_);[Red]\(0.0\)"/>
    <numFmt numFmtId="188" formatCode="0.00_);[Red]\(0.00\)"/>
    <numFmt numFmtId="189" formatCode="0_);[Red]\(0\)"/>
  </numFmts>
  <fonts count="13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맑은 고딕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333333"/>
      <name val="맑은 고딕"/>
      <family val="3"/>
      <charset val="129"/>
      <scheme val="minor"/>
    </font>
    <font>
      <sz val="10"/>
      <color rgb="FF31393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rgb="FF0070C0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MS Gothic"/>
      <family val="3"/>
      <charset val="128"/>
    </font>
    <font>
      <sz val="10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sz val="12"/>
      <name val="HY견명조"/>
      <family val="1"/>
      <charset val="129"/>
    </font>
    <font>
      <sz val="8"/>
      <name val="바탕"/>
      <family val="1"/>
      <charset val="129"/>
    </font>
    <font>
      <sz val="10"/>
      <name val="돋움"/>
      <family val="3"/>
      <charset val="129"/>
    </font>
    <font>
      <sz val="8"/>
      <name val="HY태고딕"/>
      <family val="1"/>
      <charset val="129"/>
    </font>
    <font>
      <sz val="11"/>
      <name val="바탕"/>
      <family val="1"/>
      <charset val="129"/>
    </font>
    <font>
      <sz val="11"/>
      <name val="돋움"/>
      <family val="3"/>
      <charset val="129"/>
    </font>
    <font>
      <sz val="8"/>
      <color rgb="FFFF0000"/>
      <name val="바탕"/>
      <family val="1"/>
      <charset val="129"/>
    </font>
    <font>
      <sz val="11"/>
      <color rgb="FFFF0000"/>
      <name val="돋움"/>
      <family val="3"/>
      <charset val="129"/>
    </font>
    <font>
      <sz val="8"/>
      <color theme="1"/>
      <name val="바탕"/>
      <family val="1"/>
      <charset val="129"/>
    </font>
    <font>
      <sz val="11"/>
      <name val="HY태고딕"/>
      <family val="1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돋움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0"/>
      <color indexed="8"/>
      <name val="굴림"/>
      <family val="3"/>
      <charset val="129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indexed="8"/>
      <name val="Arial"/>
      <family val="2"/>
    </font>
    <font>
      <sz val="12"/>
      <color theme="1"/>
      <name val="맑은 고딕"/>
      <family val="2"/>
      <charset val="129"/>
      <scheme val="minor"/>
    </font>
    <font>
      <sz val="10"/>
      <name val="P-AVGARD"/>
    </font>
    <font>
      <sz val="6"/>
      <name val="P-AVGARD"/>
    </font>
    <font>
      <sz val="10"/>
      <color rgb="FFFF0000"/>
      <name val="맑은 고딕"/>
      <family val="3"/>
      <charset val="129"/>
      <scheme val="minor"/>
    </font>
    <font>
      <sz val="12"/>
      <color rgb="FF000000"/>
      <name val="굴림"/>
      <family val="3"/>
      <charset val="129"/>
    </font>
    <font>
      <sz val="11"/>
      <color rgb="FFFF0000"/>
      <name val="맑은 고딕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0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20" borderId="0" applyNumberFormat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ont="0" applyProtection="0">
      <alignment wrapText="1"/>
    </xf>
    <xf numFmtId="0" fontId="10" fillId="0" borderId="3" applyNumberFormat="0" applyFont="0" applyProtection="0">
      <alignment wrapText="1"/>
    </xf>
    <xf numFmtId="0" fontId="11" fillId="21" borderId="4" applyNumberFormat="0" applyAlignment="0" applyProtection="0"/>
    <xf numFmtId="0" fontId="12" fillId="22" borderId="5" applyNumberFormat="0" applyAlignment="0" applyProtection="0"/>
    <xf numFmtId="0" fontId="13" fillId="0" borderId="0">
      <alignment horizontal="center" vertical="center" wrapText="1"/>
    </xf>
    <xf numFmtId="177" fontId="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14" fillId="0" borderId="0">
      <alignment horizontal="left" vertical="center" wrapText="1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8" fontId="15" fillId="0" borderId="6" applyNumberFormat="0" applyFill="0">
      <alignment horizontal="right"/>
    </xf>
    <xf numFmtId="178" fontId="16" fillId="0" borderId="6" applyNumberFormat="0" applyFill="0">
      <alignment horizontal="right"/>
    </xf>
    <xf numFmtId="179" fontId="17" fillId="0" borderId="6">
      <alignment horizontal="right" vertical="center"/>
    </xf>
    <xf numFmtId="49" fontId="18" fillId="0" borderId="6">
      <alignment horizontal="left" vertical="center"/>
    </xf>
    <xf numFmtId="178" fontId="15" fillId="0" borderId="6" applyNumberFormat="0" applyFill="0">
      <alignment horizontal="right"/>
    </xf>
    <xf numFmtId="0" fontId="1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7" applyNumberFormat="0" applyProtection="0">
      <alignment wrapText="1"/>
    </xf>
    <xf numFmtId="0" fontId="10" fillId="0" borderId="7" applyNumberFormat="0" applyProtection="0">
      <alignment wrapText="1"/>
    </xf>
    <xf numFmtId="0" fontId="20" fillId="5" borderId="0" applyNumberFormat="0" applyBorder="0" applyAlignment="0" applyProtection="0"/>
    <xf numFmtId="0" fontId="21" fillId="0" borderId="8" applyNumberFormat="0" applyProtection="0">
      <alignment wrapText="1"/>
    </xf>
    <xf numFmtId="0" fontId="21" fillId="0" borderId="8" applyNumberFormat="0" applyProtection="0">
      <alignment wrapText="1"/>
    </xf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6">
      <alignment horizontal="left"/>
    </xf>
    <xf numFmtId="0" fontId="26" fillId="0" borderId="6">
      <alignment horizontal="left"/>
    </xf>
    <xf numFmtId="0" fontId="27" fillId="0" borderId="12">
      <alignment horizontal="right" vertical="center"/>
    </xf>
    <xf numFmtId="0" fontId="28" fillId="0" borderId="6">
      <alignment horizontal="left" vertical="center"/>
    </xf>
    <xf numFmtId="0" fontId="15" fillId="0" borderId="6">
      <alignment horizontal="left" vertical="center"/>
    </xf>
    <xf numFmtId="0" fontId="25" fillId="0" borderId="6">
      <alignment horizontal="left"/>
    </xf>
    <xf numFmtId="0" fontId="25" fillId="23" borderId="0">
      <alignment horizontal="centerContinuous" wrapText="1"/>
    </xf>
    <xf numFmtId="49" fontId="25" fillId="23" borderId="1">
      <alignment horizontal="left" vertical="center"/>
    </xf>
    <xf numFmtId="0" fontId="25" fillId="23" borderId="0">
      <alignment horizontal="centerContinuous" vertical="center" wrapText="1"/>
    </xf>
    <xf numFmtId="0" fontId="29" fillId="0" borderId="0" applyNumberFormat="0" applyFill="0" applyBorder="0" applyAlignment="0" applyProtection="0">
      <alignment vertical="top"/>
      <protection locked="0"/>
    </xf>
    <xf numFmtId="0" fontId="30" fillId="8" borderId="4" applyNumberFormat="0" applyAlignment="0" applyProtection="0"/>
    <xf numFmtId="0" fontId="31" fillId="0" borderId="13" applyNumberFormat="0" applyFill="0" applyAlignment="0" applyProtection="0"/>
    <xf numFmtId="0" fontId="32" fillId="24" borderId="0" applyNumberFormat="0" applyBorder="0" applyAlignment="0" applyProtection="0"/>
    <xf numFmtId="0" fontId="6" fillId="0" borderId="0"/>
    <xf numFmtId="0" fontId="6" fillId="0" borderId="0"/>
    <xf numFmtId="0" fontId="4" fillId="0" borderId="0"/>
    <xf numFmtId="0" fontId="33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2" borderId="2" applyNumberFormat="0" applyFont="0" applyAlignment="0" applyProtection="0"/>
    <xf numFmtId="0" fontId="4" fillId="25" borderId="14" applyNumberFormat="0" applyFont="0" applyAlignment="0" applyProtection="0"/>
    <xf numFmtId="0" fontId="34" fillId="21" borderId="15" applyNumberFormat="0" applyAlignment="0" applyProtection="0"/>
    <xf numFmtId="0" fontId="21" fillId="0" borderId="16" applyNumberFormat="0" applyProtection="0">
      <alignment wrapText="1"/>
    </xf>
    <xf numFmtId="0" fontId="21" fillId="0" borderId="16" applyNumberFormat="0" applyProtection="0">
      <alignment wrapText="1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" fontId="17" fillId="0" borderId="0">
      <alignment horizontal="left" vertical="center"/>
    </xf>
    <xf numFmtId="0" fontId="13" fillId="0" borderId="0">
      <alignment horizontal="left" vertical="center"/>
    </xf>
    <xf numFmtId="0" fontId="35" fillId="0" borderId="0">
      <alignment horizontal="right"/>
    </xf>
    <xf numFmtId="49" fontId="35" fillId="0" borderId="0">
      <alignment horizontal="center"/>
    </xf>
    <xf numFmtId="0" fontId="18" fillId="0" borderId="0">
      <alignment horizontal="right"/>
    </xf>
    <xf numFmtId="0" fontId="36" fillId="0" borderId="0">
      <alignment horizontal="right"/>
    </xf>
    <xf numFmtId="0" fontId="35" fillId="0" borderId="0">
      <alignment horizontal="left"/>
    </xf>
    <xf numFmtId="0" fontId="37" fillId="0" borderId="0">
      <alignment horizontal="left"/>
    </xf>
    <xf numFmtId="49" fontId="17" fillId="0" borderId="0">
      <alignment horizontal="left" vertical="center"/>
    </xf>
    <xf numFmtId="49" fontId="18" fillId="0" borderId="6">
      <alignment horizontal="left"/>
    </xf>
    <xf numFmtId="178" fontId="17" fillId="0" borderId="0" applyNumberFormat="0">
      <alignment horizontal="right"/>
    </xf>
    <xf numFmtId="0" fontId="27" fillId="26" borderId="0">
      <alignment horizontal="centerContinuous" vertical="center" wrapText="1"/>
    </xf>
    <xf numFmtId="0" fontId="27" fillId="0" borderId="17">
      <alignment horizontal="left" vertical="center"/>
    </xf>
    <xf numFmtId="0" fontId="38" fillId="0" borderId="0" applyNumberFormat="0" applyProtection="0">
      <alignment horizontal="left"/>
    </xf>
    <xf numFmtId="0" fontId="38" fillId="0" borderId="0" applyNumberFormat="0" applyProtection="0">
      <alignment horizontal="left"/>
    </xf>
    <xf numFmtId="0" fontId="39" fillId="0" borderId="0" applyNumberFormat="0" applyFill="0" applyBorder="0" applyAlignment="0" applyProtection="0"/>
    <xf numFmtId="0" fontId="25" fillId="0" borderId="0">
      <alignment horizontal="left"/>
    </xf>
    <xf numFmtId="0" fontId="14" fillId="0" borderId="0">
      <alignment horizontal="left"/>
    </xf>
    <xf numFmtId="0" fontId="15" fillId="0" borderId="0">
      <alignment horizontal="left"/>
    </xf>
    <xf numFmtId="0" fontId="40" fillId="0" borderId="0">
      <alignment horizontal="left" vertical="top"/>
    </xf>
    <xf numFmtId="0" fontId="14" fillId="0" borderId="0">
      <alignment horizontal="left"/>
    </xf>
    <xf numFmtId="0" fontId="15" fillId="0" borderId="0">
      <alignment horizontal="left"/>
    </xf>
    <xf numFmtId="0" fontId="41" fillId="0" borderId="18" applyNumberFormat="0" applyFill="0" applyAlignment="0" applyProtection="0"/>
    <xf numFmtId="0" fontId="42" fillId="0" borderId="0" applyNumberFormat="0" applyFill="0" applyBorder="0" applyAlignment="0" applyProtection="0"/>
    <xf numFmtId="49" fontId="17" fillId="0" borderId="6">
      <alignment horizontal="left"/>
    </xf>
    <xf numFmtId="0" fontId="27" fillId="0" borderId="12">
      <alignment horizontal="left"/>
    </xf>
    <xf numFmtId="0" fontId="25" fillId="0" borderId="0">
      <alignment horizontal="left" vertical="center"/>
    </xf>
    <xf numFmtId="49" fontId="35" fillId="0" borderId="6">
      <alignment horizontal="left"/>
    </xf>
    <xf numFmtId="41" fontId="4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180" fontId="69" fillId="0" borderId="0" applyNumberFormat="0">
      <alignment vertical="center"/>
    </xf>
    <xf numFmtId="0" fontId="68" fillId="0" borderId="0">
      <alignment vertical="center"/>
    </xf>
    <xf numFmtId="0" fontId="44" fillId="0" borderId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0" fontId="101" fillId="45" borderId="90" applyNumberFormat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44" fillId="0" borderId="0">
      <alignment vertical="center"/>
    </xf>
    <xf numFmtId="0" fontId="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10" fillId="0" borderId="0" applyNumberFormat="0" applyFill="0" applyBorder="0" applyAlignment="0" applyProtection="0">
      <alignment vertical="center"/>
    </xf>
    <xf numFmtId="0" fontId="80" fillId="0" borderId="84" applyNumberFormat="0" applyFill="0" applyAlignment="0" applyProtection="0">
      <alignment vertical="center"/>
    </xf>
    <xf numFmtId="0" fontId="81" fillId="0" borderId="85" applyNumberFormat="0" applyFill="0" applyAlignment="0" applyProtection="0">
      <alignment vertical="center"/>
    </xf>
    <xf numFmtId="0" fontId="82" fillId="0" borderId="86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4" fillId="41" borderId="0" applyNumberFormat="0" applyBorder="0" applyAlignment="0" applyProtection="0">
      <alignment vertical="center"/>
    </xf>
    <xf numFmtId="0" fontId="111" fillId="42" borderId="0" applyNumberFormat="0" applyBorder="0" applyAlignment="0" applyProtection="0">
      <alignment vertical="center"/>
    </xf>
    <xf numFmtId="0" fontId="85" fillId="43" borderId="87" applyNumberFormat="0" applyAlignment="0" applyProtection="0">
      <alignment vertical="center"/>
    </xf>
    <xf numFmtId="0" fontId="86" fillId="44" borderId="88" applyNumberFormat="0" applyAlignment="0" applyProtection="0">
      <alignment vertical="center"/>
    </xf>
    <xf numFmtId="0" fontId="87" fillId="44" borderId="87" applyNumberFormat="0" applyAlignment="0" applyProtection="0">
      <alignment vertical="center"/>
    </xf>
    <xf numFmtId="0" fontId="88" fillId="0" borderId="89" applyNumberFormat="0" applyFill="0" applyAlignment="0" applyProtection="0">
      <alignment vertical="center"/>
    </xf>
    <xf numFmtId="0" fontId="89" fillId="45" borderId="90" applyNumberForma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91" applyNumberFormat="0" applyFill="0" applyAlignment="0" applyProtection="0">
      <alignment vertical="center"/>
    </xf>
    <xf numFmtId="0" fontId="93" fillId="46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93" fillId="49" borderId="0" applyNumberFormat="0" applyBorder="0" applyAlignment="0" applyProtection="0">
      <alignment vertical="center"/>
    </xf>
    <xf numFmtId="0" fontId="93" fillId="50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93" fillId="53" borderId="0" applyNumberFormat="0" applyBorder="0" applyAlignment="0" applyProtection="0">
      <alignment vertical="center"/>
    </xf>
    <xf numFmtId="0" fontId="93" fillId="54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93" fillId="57" borderId="0" applyNumberFormat="0" applyBorder="0" applyAlignment="0" applyProtection="0">
      <alignment vertical="center"/>
    </xf>
    <xf numFmtId="0" fontId="93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93" fillId="61" borderId="0" applyNumberFormat="0" applyBorder="0" applyAlignment="0" applyProtection="0">
      <alignment vertical="center"/>
    </xf>
    <xf numFmtId="0" fontId="93" fillId="62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93" fillId="65" borderId="0" applyNumberFormat="0" applyBorder="0" applyAlignment="0" applyProtection="0">
      <alignment vertical="center"/>
    </xf>
    <xf numFmtId="0" fontId="93" fillId="66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93" fillId="69" borderId="0" applyNumberFormat="0" applyBorder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13" fillId="0" borderId="84" applyNumberFormat="0" applyFill="0" applyAlignment="0" applyProtection="0">
      <alignment vertical="center"/>
    </xf>
    <xf numFmtId="0" fontId="114" fillId="0" borderId="85" applyNumberFormat="0" applyFill="0" applyAlignment="0" applyProtection="0">
      <alignment vertical="center"/>
    </xf>
    <xf numFmtId="0" fontId="115" fillId="0" borderId="86" applyNumberFormat="0" applyFill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3" borderId="87" applyNumberFormat="0" applyAlignment="0" applyProtection="0">
      <alignment vertical="center"/>
    </xf>
    <xf numFmtId="0" fontId="120" fillId="44" borderId="88" applyNumberFormat="0" applyAlignment="0" applyProtection="0">
      <alignment vertical="center"/>
    </xf>
    <xf numFmtId="0" fontId="121" fillId="44" borderId="87" applyNumberFormat="0" applyAlignment="0" applyProtection="0">
      <alignment vertical="center"/>
    </xf>
    <xf numFmtId="0" fontId="122" fillId="0" borderId="89" applyNumberFormat="0" applyFill="0" applyAlignment="0" applyProtection="0">
      <alignment vertical="center"/>
    </xf>
    <xf numFmtId="0" fontId="123" fillId="45" borderId="90" applyNumberFormat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94" fillId="2" borderId="2" applyNumberFormat="0" applyFont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0" borderId="91" applyNumberFormat="0" applyFill="0" applyAlignment="0" applyProtection="0">
      <alignment vertical="center"/>
    </xf>
    <xf numFmtId="0" fontId="127" fillId="46" borderId="0" applyNumberFormat="0" applyBorder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127" fillId="49" borderId="0" applyNumberFormat="0" applyBorder="0" applyAlignment="0" applyProtection="0">
      <alignment vertical="center"/>
    </xf>
    <xf numFmtId="0" fontId="127" fillId="50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4" fillId="52" borderId="0" applyNumberFormat="0" applyBorder="0" applyAlignment="0" applyProtection="0">
      <alignment vertical="center"/>
    </xf>
    <xf numFmtId="0" fontId="127" fillId="53" borderId="0" applyNumberFormat="0" applyBorder="0" applyAlignment="0" applyProtection="0">
      <alignment vertical="center"/>
    </xf>
    <xf numFmtId="0" fontId="127" fillId="54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6" borderId="0" applyNumberFormat="0" applyBorder="0" applyAlignment="0" applyProtection="0">
      <alignment vertical="center"/>
    </xf>
    <xf numFmtId="0" fontId="127" fillId="57" borderId="0" applyNumberFormat="0" applyBorder="0" applyAlignment="0" applyProtection="0">
      <alignment vertical="center"/>
    </xf>
    <xf numFmtId="0" fontId="127" fillId="58" borderId="0" applyNumberFormat="0" applyBorder="0" applyAlignment="0" applyProtection="0">
      <alignment vertical="center"/>
    </xf>
    <xf numFmtId="0" fontId="94" fillId="59" borderId="0" applyNumberFormat="0" applyBorder="0" applyAlignment="0" applyProtection="0">
      <alignment vertical="center"/>
    </xf>
    <xf numFmtId="0" fontId="94" fillId="60" borderId="0" applyNumberFormat="0" applyBorder="0" applyAlignment="0" applyProtection="0">
      <alignment vertical="center"/>
    </xf>
    <xf numFmtId="0" fontId="127" fillId="61" borderId="0" applyNumberFormat="0" applyBorder="0" applyAlignment="0" applyProtection="0">
      <alignment vertical="center"/>
    </xf>
    <xf numFmtId="0" fontId="127" fillId="62" borderId="0" applyNumberFormat="0" applyBorder="0" applyAlignment="0" applyProtection="0">
      <alignment vertical="center"/>
    </xf>
    <xf numFmtId="0" fontId="94" fillId="63" borderId="0" applyNumberFormat="0" applyBorder="0" applyAlignment="0" applyProtection="0">
      <alignment vertical="center"/>
    </xf>
    <xf numFmtId="0" fontId="94" fillId="64" borderId="0" applyNumberFormat="0" applyBorder="0" applyAlignment="0" applyProtection="0">
      <alignment vertical="center"/>
    </xf>
    <xf numFmtId="0" fontId="127" fillId="65" borderId="0" applyNumberFormat="0" applyBorder="0" applyAlignment="0" applyProtection="0">
      <alignment vertical="center"/>
    </xf>
    <xf numFmtId="0" fontId="127" fillId="66" borderId="0" applyNumberFormat="0" applyBorder="0" applyAlignment="0" applyProtection="0">
      <alignment vertical="center"/>
    </xf>
    <xf numFmtId="0" fontId="94" fillId="67" borderId="0" applyNumberFormat="0" applyBorder="0" applyAlignment="0" applyProtection="0">
      <alignment vertical="center"/>
    </xf>
    <xf numFmtId="0" fontId="94" fillId="68" borderId="0" applyNumberFormat="0" applyBorder="0" applyAlignment="0" applyProtection="0">
      <alignment vertical="center"/>
    </xf>
    <xf numFmtId="0" fontId="127" fillId="69" borderId="0" applyNumberFormat="0" applyBorder="0" applyAlignment="0" applyProtection="0">
      <alignment vertical="center"/>
    </xf>
    <xf numFmtId="0" fontId="112" fillId="0" borderId="0"/>
    <xf numFmtId="0" fontId="94" fillId="0" borderId="0">
      <alignment vertical="center"/>
    </xf>
    <xf numFmtId="0" fontId="94" fillId="2" borderId="2" applyNumberFormat="0" applyFont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4" fillId="52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6" borderId="0" applyNumberFormat="0" applyBorder="0" applyAlignment="0" applyProtection="0">
      <alignment vertical="center"/>
    </xf>
    <xf numFmtId="0" fontId="94" fillId="59" borderId="0" applyNumberFormat="0" applyBorder="0" applyAlignment="0" applyProtection="0">
      <alignment vertical="center"/>
    </xf>
    <xf numFmtId="0" fontId="94" fillId="60" borderId="0" applyNumberFormat="0" applyBorder="0" applyAlignment="0" applyProtection="0">
      <alignment vertical="center"/>
    </xf>
    <xf numFmtId="0" fontId="94" fillId="63" borderId="0" applyNumberFormat="0" applyBorder="0" applyAlignment="0" applyProtection="0">
      <alignment vertical="center"/>
    </xf>
    <xf numFmtId="0" fontId="94" fillId="64" borderId="0" applyNumberFormat="0" applyBorder="0" applyAlignment="0" applyProtection="0">
      <alignment vertical="center"/>
    </xf>
    <xf numFmtId="0" fontId="94" fillId="67" borderId="0" applyNumberFormat="0" applyBorder="0" applyAlignment="0" applyProtection="0">
      <alignment vertical="center"/>
    </xf>
    <xf numFmtId="0" fontId="94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4" fillId="0" borderId="0"/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44" fillId="0" borderId="0">
      <alignment vertical="center"/>
    </xf>
    <xf numFmtId="0" fontId="44" fillId="47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45" borderId="90" applyNumberFormat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2" borderId="2" applyNumberFormat="0" applyFont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4" fillId="52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6" borderId="0" applyNumberFormat="0" applyBorder="0" applyAlignment="0" applyProtection="0">
      <alignment vertical="center"/>
    </xf>
    <xf numFmtId="0" fontId="94" fillId="59" borderId="0" applyNumberFormat="0" applyBorder="0" applyAlignment="0" applyProtection="0">
      <alignment vertical="center"/>
    </xf>
    <xf numFmtId="0" fontId="94" fillId="60" borderId="0" applyNumberFormat="0" applyBorder="0" applyAlignment="0" applyProtection="0">
      <alignment vertical="center"/>
    </xf>
    <xf numFmtId="0" fontId="94" fillId="63" borderId="0" applyNumberFormat="0" applyBorder="0" applyAlignment="0" applyProtection="0">
      <alignment vertical="center"/>
    </xf>
    <xf numFmtId="0" fontId="94" fillId="64" borderId="0" applyNumberFormat="0" applyBorder="0" applyAlignment="0" applyProtection="0">
      <alignment vertical="center"/>
    </xf>
    <xf numFmtId="0" fontId="94" fillId="67" borderId="0" applyNumberFormat="0" applyBorder="0" applyAlignment="0" applyProtection="0">
      <alignment vertical="center"/>
    </xf>
    <xf numFmtId="0" fontId="94" fillId="68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2" borderId="2" applyNumberFormat="0" applyFont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4" fillId="52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6" borderId="0" applyNumberFormat="0" applyBorder="0" applyAlignment="0" applyProtection="0">
      <alignment vertical="center"/>
    </xf>
    <xf numFmtId="0" fontId="94" fillId="59" borderId="0" applyNumberFormat="0" applyBorder="0" applyAlignment="0" applyProtection="0">
      <alignment vertical="center"/>
    </xf>
    <xf numFmtId="0" fontId="94" fillId="60" borderId="0" applyNumberFormat="0" applyBorder="0" applyAlignment="0" applyProtection="0">
      <alignment vertical="center"/>
    </xf>
    <xf numFmtId="0" fontId="94" fillId="63" borderId="0" applyNumberFormat="0" applyBorder="0" applyAlignment="0" applyProtection="0">
      <alignment vertical="center"/>
    </xf>
    <xf numFmtId="0" fontId="94" fillId="64" borderId="0" applyNumberFormat="0" applyBorder="0" applyAlignment="0" applyProtection="0">
      <alignment vertical="center"/>
    </xf>
    <xf numFmtId="0" fontId="94" fillId="67" borderId="0" applyNumberFormat="0" applyBorder="0" applyAlignment="0" applyProtection="0">
      <alignment vertical="center"/>
    </xf>
    <xf numFmtId="0" fontId="94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4" fillId="0" borderId="0">
      <alignment vertical="center"/>
    </xf>
    <xf numFmtId="0" fontId="44" fillId="47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63" borderId="0" applyNumberFormat="0" applyBorder="0" applyAlignment="0" applyProtection="0">
      <alignment vertical="center"/>
    </xf>
    <xf numFmtId="0" fontId="44" fillId="6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4" fillId="64" borderId="0" applyNumberFormat="0" applyBorder="0" applyAlignment="0" applyProtection="0">
      <alignment vertical="center"/>
    </xf>
    <xf numFmtId="0" fontId="44" fillId="68" borderId="0" applyNumberFormat="0" applyBorder="0" applyAlignment="0" applyProtection="0">
      <alignment vertical="center"/>
    </xf>
    <xf numFmtId="0" fontId="95" fillId="49" borderId="0" applyNumberFormat="0" applyBorder="0" applyAlignment="0" applyProtection="0">
      <alignment vertical="center"/>
    </xf>
    <xf numFmtId="0" fontId="95" fillId="53" borderId="0" applyNumberFormat="0" applyBorder="0" applyAlignment="0" applyProtection="0">
      <alignment vertical="center"/>
    </xf>
    <xf numFmtId="0" fontId="95" fillId="57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5" borderId="0" applyNumberFormat="0" applyBorder="0" applyAlignment="0" applyProtection="0">
      <alignment vertical="center"/>
    </xf>
    <xf numFmtId="0" fontId="95" fillId="69" borderId="0" applyNumberFormat="0" applyBorder="0" applyAlignment="0" applyProtection="0">
      <alignment vertical="center"/>
    </xf>
    <xf numFmtId="0" fontId="95" fillId="46" borderId="0" applyNumberFormat="0" applyBorder="0" applyAlignment="0" applyProtection="0">
      <alignment vertical="center"/>
    </xf>
    <xf numFmtId="0" fontId="95" fillId="50" borderId="0" applyNumberFormat="0" applyBorder="0" applyAlignment="0" applyProtection="0">
      <alignment vertical="center"/>
    </xf>
    <xf numFmtId="0" fontId="95" fillId="54" borderId="0" applyNumberFormat="0" applyBorder="0" applyAlignment="0" applyProtection="0">
      <alignment vertical="center"/>
    </xf>
    <xf numFmtId="0" fontId="95" fillId="58" borderId="0" applyNumberFormat="0" applyBorder="0" applyAlignment="0" applyProtection="0">
      <alignment vertical="center"/>
    </xf>
    <xf numFmtId="0" fontId="95" fillId="62" borderId="0" applyNumberFormat="0" applyBorder="0" applyAlignment="0" applyProtection="0">
      <alignment vertical="center"/>
    </xf>
    <xf numFmtId="0" fontId="95" fillId="66" borderId="0" applyNumberFormat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44" borderId="87" applyNumberFormat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45" fillId="2" borderId="2" applyNumberFormat="0" applyFont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45" borderId="90" applyNumberFormat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0" fontId="102" fillId="0" borderId="89" applyNumberFormat="0" applyFill="0" applyAlignment="0" applyProtection="0">
      <alignment vertical="center"/>
    </xf>
    <xf numFmtId="0" fontId="46" fillId="0" borderId="91" applyNumberFormat="0" applyFill="0" applyAlignment="0" applyProtection="0">
      <alignment vertical="center"/>
    </xf>
    <xf numFmtId="0" fontId="103" fillId="43" borderId="87" applyNumberFormat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84" applyNumberFormat="0" applyFill="0" applyAlignment="0" applyProtection="0">
      <alignment vertical="center"/>
    </xf>
    <xf numFmtId="0" fontId="106" fillId="0" borderId="85" applyNumberFormat="0" applyFill="0" applyAlignment="0" applyProtection="0">
      <alignment vertical="center"/>
    </xf>
    <xf numFmtId="0" fontId="107" fillId="0" borderId="86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40" borderId="0" applyNumberFormat="0" applyBorder="0" applyAlignment="0" applyProtection="0">
      <alignment vertical="center"/>
    </xf>
    <xf numFmtId="0" fontId="109" fillId="44" borderId="88" applyNumberFormat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2" borderId="2" applyNumberFormat="0" applyFont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4" fillId="52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6" borderId="0" applyNumberFormat="0" applyBorder="0" applyAlignment="0" applyProtection="0">
      <alignment vertical="center"/>
    </xf>
    <xf numFmtId="0" fontId="94" fillId="59" borderId="0" applyNumberFormat="0" applyBorder="0" applyAlignment="0" applyProtection="0">
      <alignment vertical="center"/>
    </xf>
    <xf numFmtId="0" fontId="94" fillId="60" borderId="0" applyNumberFormat="0" applyBorder="0" applyAlignment="0" applyProtection="0">
      <alignment vertical="center"/>
    </xf>
    <xf numFmtId="0" fontId="94" fillId="63" borderId="0" applyNumberFormat="0" applyBorder="0" applyAlignment="0" applyProtection="0">
      <alignment vertical="center"/>
    </xf>
    <xf numFmtId="0" fontId="94" fillId="64" borderId="0" applyNumberFormat="0" applyBorder="0" applyAlignment="0" applyProtection="0">
      <alignment vertical="center"/>
    </xf>
    <xf numFmtId="0" fontId="94" fillId="67" borderId="0" applyNumberFormat="0" applyBorder="0" applyAlignment="0" applyProtection="0">
      <alignment vertical="center"/>
    </xf>
    <xf numFmtId="0" fontId="94" fillId="68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2" borderId="2" applyNumberFormat="0" applyFont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4" fillId="52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6" borderId="0" applyNumberFormat="0" applyBorder="0" applyAlignment="0" applyProtection="0">
      <alignment vertical="center"/>
    </xf>
    <xf numFmtId="0" fontId="94" fillId="59" borderId="0" applyNumberFormat="0" applyBorder="0" applyAlignment="0" applyProtection="0">
      <alignment vertical="center"/>
    </xf>
    <xf numFmtId="0" fontId="94" fillId="60" borderId="0" applyNumberFormat="0" applyBorder="0" applyAlignment="0" applyProtection="0">
      <alignment vertical="center"/>
    </xf>
    <xf numFmtId="0" fontId="94" fillId="63" borderId="0" applyNumberFormat="0" applyBorder="0" applyAlignment="0" applyProtection="0">
      <alignment vertical="center"/>
    </xf>
    <xf numFmtId="0" fontId="94" fillId="64" borderId="0" applyNumberFormat="0" applyBorder="0" applyAlignment="0" applyProtection="0">
      <alignment vertical="center"/>
    </xf>
    <xf numFmtId="0" fontId="94" fillId="67" borderId="0" applyNumberFormat="0" applyBorder="0" applyAlignment="0" applyProtection="0">
      <alignment vertical="center"/>
    </xf>
    <xf numFmtId="0" fontId="94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2" borderId="2" applyNumberFormat="0" applyFont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4" fillId="52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6" borderId="0" applyNumberFormat="0" applyBorder="0" applyAlignment="0" applyProtection="0">
      <alignment vertical="center"/>
    </xf>
    <xf numFmtId="0" fontId="94" fillId="59" borderId="0" applyNumberFormat="0" applyBorder="0" applyAlignment="0" applyProtection="0">
      <alignment vertical="center"/>
    </xf>
    <xf numFmtId="0" fontId="94" fillId="60" borderId="0" applyNumberFormat="0" applyBorder="0" applyAlignment="0" applyProtection="0">
      <alignment vertical="center"/>
    </xf>
    <xf numFmtId="0" fontId="94" fillId="63" borderId="0" applyNumberFormat="0" applyBorder="0" applyAlignment="0" applyProtection="0">
      <alignment vertical="center"/>
    </xf>
    <xf numFmtId="0" fontId="94" fillId="64" borderId="0" applyNumberFormat="0" applyBorder="0" applyAlignment="0" applyProtection="0">
      <alignment vertical="center"/>
    </xf>
    <xf numFmtId="0" fontId="94" fillId="67" borderId="0" applyNumberFormat="0" applyBorder="0" applyAlignment="0" applyProtection="0">
      <alignment vertical="center"/>
    </xf>
    <xf numFmtId="0" fontId="94" fillId="68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2" borderId="2" applyNumberFormat="0" applyFont="0" applyAlignment="0" applyProtection="0">
      <alignment vertical="center"/>
    </xf>
    <xf numFmtId="0" fontId="94" fillId="47" borderId="0" applyNumberFormat="0" applyBorder="0" applyAlignment="0" applyProtection="0">
      <alignment vertical="center"/>
    </xf>
    <xf numFmtId="0" fontId="94" fillId="48" borderId="0" applyNumberFormat="0" applyBorder="0" applyAlignment="0" applyProtection="0">
      <alignment vertical="center"/>
    </xf>
    <xf numFmtId="0" fontId="94" fillId="51" borderId="0" applyNumberFormat="0" applyBorder="0" applyAlignment="0" applyProtection="0">
      <alignment vertical="center"/>
    </xf>
    <xf numFmtId="0" fontId="94" fillId="52" borderId="0" applyNumberFormat="0" applyBorder="0" applyAlignment="0" applyProtection="0">
      <alignment vertical="center"/>
    </xf>
    <xf numFmtId="0" fontId="94" fillId="55" borderId="0" applyNumberFormat="0" applyBorder="0" applyAlignment="0" applyProtection="0">
      <alignment vertical="center"/>
    </xf>
    <xf numFmtId="0" fontId="94" fillId="56" borderId="0" applyNumberFormat="0" applyBorder="0" applyAlignment="0" applyProtection="0">
      <alignment vertical="center"/>
    </xf>
    <xf numFmtId="0" fontId="94" fillId="59" borderId="0" applyNumberFormat="0" applyBorder="0" applyAlignment="0" applyProtection="0">
      <alignment vertical="center"/>
    </xf>
    <xf numFmtId="0" fontId="94" fillId="60" borderId="0" applyNumberFormat="0" applyBorder="0" applyAlignment="0" applyProtection="0">
      <alignment vertical="center"/>
    </xf>
    <xf numFmtId="0" fontId="94" fillId="63" borderId="0" applyNumberFormat="0" applyBorder="0" applyAlignment="0" applyProtection="0">
      <alignment vertical="center"/>
    </xf>
    <xf numFmtId="0" fontId="94" fillId="64" borderId="0" applyNumberFormat="0" applyBorder="0" applyAlignment="0" applyProtection="0">
      <alignment vertical="center"/>
    </xf>
    <xf numFmtId="0" fontId="94" fillId="67" borderId="0" applyNumberFormat="0" applyBorder="0" applyAlignment="0" applyProtection="0">
      <alignment vertical="center"/>
    </xf>
    <xf numFmtId="0" fontId="94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" borderId="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43" fontId="4" fillId="0" borderId="0" applyFont="0" applyFill="0" applyBorder="0" applyAlignment="0" applyProtection="0"/>
    <xf numFmtId="0" fontId="6" fillId="0" borderId="0"/>
    <xf numFmtId="0" fontId="11" fillId="21" borderId="93" applyNumberFormat="0" applyAlignment="0" applyProtection="0"/>
    <xf numFmtId="43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30" fillId="8" borderId="93" applyNumberFormat="0" applyAlignment="0" applyProtection="0"/>
    <xf numFmtId="0" fontId="4" fillId="0" borderId="0"/>
    <xf numFmtId="0" fontId="4" fillId="0" borderId="0"/>
    <xf numFmtId="0" fontId="4" fillId="0" borderId="0"/>
    <xf numFmtId="0" fontId="6" fillId="0" borderId="0"/>
    <xf numFmtId="0" fontId="129" fillId="0" borderId="0"/>
    <xf numFmtId="0" fontId="4" fillId="0" borderId="0"/>
    <xf numFmtId="0" fontId="128" fillId="0" borderId="0"/>
    <xf numFmtId="0" fontId="4" fillId="0" borderId="0"/>
    <xf numFmtId="37" fontId="130" fillId="0" borderId="0"/>
    <xf numFmtId="37" fontId="131" fillId="0" borderId="0"/>
    <xf numFmtId="0" fontId="6" fillId="0" borderId="0"/>
    <xf numFmtId="0" fontId="4" fillId="25" borderId="94" applyNumberFormat="0" applyFont="0" applyAlignment="0" applyProtection="0"/>
    <xf numFmtId="0" fontId="34" fillId="21" borderId="95" applyNumberFormat="0" applyAlignment="0" applyProtection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41" fillId="0" borderId="96" applyNumberFormat="0" applyFill="0" applyAlignment="0" applyProtection="0"/>
    <xf numFmtId="9" fontId="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133" fillId="0" borderId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0" fontId="44" fillId="2" borderId="2" applyNumberFormat="0" applyFont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</cellStyleXfs>
  <cellXfs count="357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1"/>
    <xf numFmtId="0" fontId="2" fillId="0" borderId="0" xfId="0" applyFont="1" applyAlignment="1">
      <alignment horizontal="right"/>
    </xf>
    <xf numFmtId="1" fontId="0" fillId="0" borderId="0" xfId="0" applyNumberFormat="1"/>
    <xf numFmtId="3" fontId="0" fillId="0" borderId="0" xfId="0" applyNumberForma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3" fillId="0" borderId="0" xfId="1" applyAlignment="1">
      <alignment horizontal="left"/>
    </xf>
    <xf numFmtId="0" fontId="46" fillId="0" borderId="0" xfId="0" applyFont="1" applyAlignment="1">
      <alignment horizontal="left" vertical="center"/>
    </xf>
    <xf numFmtId="0" fontId="49" fillId="0" borderId="0" xfId="0" applyFont="1" applyAlignment="1">
      <alignment vertical="center"/>
    </xf>
    <xf numFmtId="49" fontId="48" fillId="0" borderId="0" xfId="0" applyNumberFormat="1" applyFont="1" applyAlignment="1">
      <alignment horizontal="left"/>
    </xf>
    <xf numFmtId="0" fontId="49" fillId="0" borderId="0" xfId="0" quotePrefix="1" applyFont="1" applyAlignment="1">
      <alignment vertical="center"/>
    </xf>
    <xf numFmtId="0" fontId="46" fillId="0" borderId="0" xfId="0" applyFont="1" applyAlignment="1">
      <alignment vertical="center"/>
    </xf>
    <xf numFmtId="0" fontId="46" fillId="0" borderId="26" xfId="0" applyFont="1" applyBorder="1" applyAlignment="1">
      <alignment vertical="center"/>
    </xf>
    <xf numFmtId="0" fontId="46" fillId="0" borderId="1" xfId="0" applyFont="1" applyBorder="1" applyAlignment="1">
      <alignment vertical="center"/>
    </xf>
    <xf numFmtId="0" fontId="44" fillId="0" borderId="0" xfId="0" applyFont="1" applyAlignment="1">
      <alignment vertical="center"/>
    </xf>
    <xf numFmtId="38" fontId="44" fillId="0" borderId="0" xfId="0" applyNumberFormat="1" applyFont="1" applyAlignment="1">
      <alignment vertical="center"/>
    </xf>
    <xf numFmtId="0" fontId="44" fillId="0" borderId="0" xfId="0" applyFont="1" applyAlignment="1">
      <alignment horizontal="center" vertical="center"/>
    </xf>
    <xf numFmtId="181" fontId="44" fillId="0" borderId="29" xfId="0" applyNumberFormat="1" applyFont="1" applyBorder="1" applyAlignment="1">
      <alignment vertical="center"/>
    </xf>
    <xf numFmtId="38" fontId="44" fillId="0" borderId="30" xfId="0" applyNumberFormat="1" applyFont="1" applyBorder="1" applyAlignment="1">
      <alignment vertical="center"/>
    </xf>
    <xf numFmtId="0" fontId="44" fillId="0" borderId="23" xfId="0" applyFont="1" applyBorder="1" applyAlignment="1">
      <alignment vertical="center"/>
    </xf>
    <xf numFmtId="180" fontId="44" fillId="0" borderId="26" xfId="0" applyNumberFormat="1" applyFont="1" applyBorder="1" applyAlignment="1">
      <alignment vertical="center"/>
    </xf>
    <xf numFmtId="38" fontId="44" fillId="0" borderId="31" xfId="0" applyNumberFormat="1" applyFont="1" applyBorder="1" applyAlignment="1">
      <alignment vertical="center"/>
    </xf>
    <xf numFmtId="0" fontId="44" fillId="0" borderId="25" xfId="0" applyFont="1" applyBorder="1" applyAlignment="1">
      <alignment vertical="center"/>
    </xf>
    <xf numFmtId="180" fontId="44" fillId="0" borderId="1" xfId="0" applyNumberFormat="1" applyFont="1" applyBorder="1" applyAlignment="1">
      <alignment vertical="center"/>
    </xf>
    <xf numFmtId="180" fontId="44" fillId="0" borderId="0" xfId="0" applyNumberFormat="1" applyFont="1" applyAlignment="1">
      <alignment vertical="center"/>
    </xf>
    <xf numFmtId="0" fontId="44" fillId="0" borderId="34" xfId="0" applyFont="1" applyBorder="1" applyAlignment="1">
      <alignment horizontal="left" vertical="center"/>
    </xf>
    <xf numFmtId="38" fontId="44" fillId="0" borderId="34" xfId="0" applyNumberFormat="1" applyFont="1" applyBorder="1" applyAlignment="1">
      <alignment vertical="center"/>
    </xf>
    <xf numFmtId="181" fontId="44" fillId="0" borderId="34" xfId="0" applyNumberFormat="1" applyFont="1" applyBorder="1" applyAlignment="1">
      <alignment vertical="center"/>
    </xf>
    <xf numFmtId="38" fontId="44" fillId="0" borderId="36" xfId="0" applyNumberFormat="1" applyFont="1" applyBorder="1" applyAlignment="1">
      <alignment vertical="center"/>
    </xf>
    <xf numFmtId="181" fontId="44" fillId="30" borderId="34" xfId="0" applyNumberFormat="1" applyFont="1" applyFill="1" applyBorder="1" applyAlignment="1">
      <alignment vertical="center"/>
    </xf>
    <xf numFmtId="182" fontId="44" fillId="0" borderId="0" xfId="0" applyNumberFormat="1" applyFont="1" applyAlignment="1">
      <alignment horizontal="right" vertical="center"/>
    </xf>
    <xf numFmtId="38" fontId="46" fillId="0" borderId="0" xfId="0" applyNumberFormat="1" applyFont="1" applyAlignment="1">
      <alignment vertical="center"/>
    </xf>
    <xf numFmtId="180" fontId="46" fillId="0" borderId="34" xfId="0" applyNumberFormat="1" applyFont="1" applyBorder="1" applyAlignment="1">
      <alignment horizontal="center" vertical="center"/>
    </xf>
    <xf numFmtId="0" fontId="46" fillId="0" borderId="21" xfId="0" applyFont="1" applyBorder="1" applyAlignment="1">
      <alignment horizontal="center" vertical="center"/>
    </xf>
    <xf numFmtId="38" fontId="44" fillId="0" borderId="35" xfId="0" applyNumberFormat="1" applyFont="1" applyBorder="1" applyAlignment="1">
      <alignment vertical="center"/>
    </xf>
    <xf numFmtId="38" fontId="44" fillId="0" borderId="37" xfId="0" applyNumberFormat="1" applyFont="1" applyBorder="1" applyAlignment="1">
      <alignment vertical="center"/>
    </xf>
    <xf numFmtId="10" fontId="44" fillId="0" borderId="30" xfId="0" applyNumberFormat="1" applyFont="1" applyBorder="1" applyAlignment="1">
      <alignment vertical="center"/>
    </xf>
    <xf numFmtId="38" fontId="44" fillId="0" borderId="38" xfId="0" applyNumberFormat="1" applyFont="1" applyBorder="1" applyAlignment="1">
      <alignment vertical="center"/>
    </xf>
    <xf numFmtId="10" fontId="44" fillId="0" borderId="31" xfId="0" applyNumberFormat="1" applyFont="1" applyBorder="1" applyAlignment="1">
      <alignment vertical="center"/>
    </xf>
    <xf numFmtId="38" fontId="44" fillId="0" borderId="39" xfId="0" applyNumberFormat="1" applyFont="1" applyBorder="1" applyAlignment="1">
      <alignment vertical="center"/>
    </xf>
    <xf numFmtId="10" fontId="44" fillId="0" borderId="36" xfId="0" applyNumberFormat="1" applyFont="1" applyBorder="1" applyAlignment="1">
      <alignment vertical="center"/>
    </xf>
    <xf numFmtId="38" fontId="44" fillId="0" borderId="32" xfId="0" applyNumberFormat="1" applyFont="1" applyBorder="1" applyAlignment="1">
      <alignment vertical="center"/>
    </xf>
    <xf numFmtId="181" fontId="44" fillId="0" borderId="32" xfId="0" applyNumberFormat="1" applyFont="1" applyBorder="1" applyAlignment="1">
      <alignment vertical="center"/>
    </xf>
    <xf numFmtId="0" fontId="44" fillId="0" borderId="41" xfId="0" applyFont="1" applyBorder="1" applyAlignment="1">
      <alignment horizontal="left" vertical="center"/>
    </xf>
    <xf numFmtId="0" fontId="44" fillId="0" borderId="19" xfId="0" applyFont="1" applyBorder="1" applyAlignment="1">
      <alignment horizontal="left" vertical="center"/>
    </xf>
    <xf numFmtId="0" fontId="44" fillId="0" borderId="27" xfId="0" applyFont="1" applyBorder="1" applyAlignment="1">
      <alignment horizontal="left" vertical="center"/>
    </xf>
    <xf numFmtId="0" fontId="46" fillId="0" borderId="37" xfId="0" applyFont="1" applyBorder="1" applyAlignment="1">
      <alignment horizontal="center" vertical="center"/>
    </xf>
    <xf numFmtId="0" fontId="46" fillId="0" borderId="38" xfId="0" applyFont="1" applyBorder="1" applyAlignment="1">
      <alignment horizontal="center" vertical="center"/>
    </xf>
    <xf numFmtId="0" fontId="46" fillId="0" borderId="39" xfId="0" applyFont="1" applyBorder="1" applyAlignment="1">
      <alignment horizontal="center" vertical="center"/>
    </xf>
    <xf numFmtId="180" fontId="46" fillId="0" borderId="21" xfId="0" applyNumberFormat="1" applyFont="1" applyBorder="1" applyAlignment="1">
      <alignment horizontal="center" vertical="center"/>
    </xf>
    <xf numFmtId="181" fontId="44" fillId="30" borderId="35" xfId="0" applyNumberFormat="1" applyFont="1" applyFill="1" applyBorder="1" applyAlignment="1">
      <alignment vertical="center"/>
    </xf>
    <xf numFmtId="181" fontId="44" fillId="0" borderId="21" xfId="0" applyNumberFormat="1" applyFont="1" applyBorder="1" applyAlignment="1">
      <alignment vertical="center"/>
    </xf>
    <xf numFmtId="0" fontId="46" fillId="0" borderId="35" xfId="0" applyFont="1" applyBorder="1" applyAlignment="1">
      <alignment horizontal="center" vertical="center"/>
    </xf>
    <xf numFmtId="181" fontId="44" fillId="0" borderId="35" xfId="0" applyNumberFormat="1" applyFont="1" applyBorder="1" applyAlignment="1">
      <alignment vertical="center"/>
    </xf>
    <xf numFmtId="181" fontId="44" fillId="30" borderId="29" xfId="0" applyNumberFormat="1" applyFont="1" applyFill="1" applyBorder="1" applyAlignment="1">
      <alignment vertical="center"/>
    </xf>
    <xf numFmtId="38" fontId="44" fillId="0" borderId="27" xfId="0" applyNumberFormat="1" applyFont="1" applyBorder="1" applyAlignment="1">
      <alignment vertical="center"/>
    </xf>
    <xf numFmtId="180" fontId="46" fillId="0" borderId="45" xfId="0" applyNumberFormat="1" applyFont="1" applyBorder="1" applyAlignment="1">
      <alignment horizontal="center" vertical="center"/>
    </xf>
    <xf numFmtId="0" fontId="46" fillId="0" borderId="46" xfId="0" applyFont="1" applyBorder="1" applyAlignment="1">
      <alignment horizontal="center" vertical="center"/>
    </xf>
    <xf numFmtId="181" fontId="44" fillId="0" borderId="47" xfId="0" applyNumberFormat="1" applyFont="1" applyBorder="1" applyAlignment="1">
      <alignment vertical="center"/>
    </xf>
    <xf numFmtId="38" fontId="44" fillId="0" borderId="48" xfId="0" applyNumberFormat="1" applyFont="1" applyBorder="1" applyAlignment="1">
      <alignment vertical="center"/>
    </xf>
    <xf numFmtId="181" fontId="44" fillId="0" borderId="45" xfId="0" applyNumberFormat="1" applyFont="1" applyBorder="1" applyAlignment="1">
      <alignment vertical="center"/>
    </xf>
    <xf numFmtId="38" fontId="44" fillId="0" borderId="49" xfId="0" applyNumberFormat="1" applyFont="1" applyBorder="1" applyAlignment="1">
      <alignment vertical="center"/>
    </xf>
    <xf numFmtId="181" fontId="46" fillId="0" borderId="46" xfId="0" applyNumberFormat="1" applyFont="1" applyBorder="1" applyAlignment="1">
      <alignment vertical="center"/>
    </xf>
    <xf numFmtId="181" fontId="44" fillId="0" borderId="24" xfId="0" applyNumberFormat="1" applyFont="1" applyBorder="1" applyAlignment="1">
      <alignment vertical="center"/>
    </xf>
    <xf numFmtId="38" fontId="44" fillId="0" borderId="51" xfId="0" applyNumberFormat="1" applyFont="1" applyBorder="1" applyAlignment="1">
      <alignment vertical="center"/>
    </xf>
    <xf numFmtId="181" fontId="44" fillId="0" borderId="44" xfId="0" applyNumberFormat="1" applyFont="1" applyBorder="1" applyAlignment="1">
      <alignment vertical="center"/>
    </xf>
    <xf numFmtId="38" fontId="44" fillId="0" borderId="52" xfId="0" applyNumberFormat="1" applyFont="1" applyBorder="1" applyAlignment="1">
      <alignment vertical="center"/>
    </xf>
    <xf numFmtId="181" fontId="44" fillId="0" borderId="53" xfId="0" applyNumberFormat="1" applyFont="1" applyBorder="1" applyAlignment="1">
      <alignment vertical="center"/>
    </xf>
    <xf numFmtId="38" fontId="44" fillId="0" borderId="54" xfId="0" applyNumberFormat="1" applyFont="1" applyBorder="1" applyAlignment="1">
      <alignment vertical="center"/>
    </xf>
    <xf numFmtId="0" fontId="51" fillId="0" borderId="0" xfId="0" applyFont="1" applyAlignment="1">
      <alignment vertical="center"/>
    </xf>
    <xf numFmtId="0" fontId="54" fillId="0" borderId="0" xfId="0" applyFont="1" applyAlignment="1">
      <alignment horizontal="left" vertical="center"/>
    </xf>
    <xf numFmtId="0" fontId="51" fillId="0" borderId="0" xfId="0" applyFont="1" applyAlignment="1">
      <alignment horizontal="right" vertical="center"/>
    </xf>
    <xf numFmtId="0" fontId="53" fillId="0" borderId="29" xfId="0" applyFont="1" applyBorder="1" applyAlignment="1">
      <alignment horizontal="center" vertical="center"/>
    </xf>
    <xf numFmtId="0" fontId="51" fillId="0" borderId="29" xfId="0" applyFont="1" applyBorder="1" applyAlignment="1">
      <alignment vertical="center"/>
    </xf>
    <xf numFmtId="0" fontId="51" fillId="0" borderId="30" xfId="0" applyFont="1" applyBorder="1" applyAlignment="1">
      <alignment vertical="center"/>
    </xf>
    <xf numFmtId="0" fontId="51" fillId="0" borderId="31" xfId="0" applyFont="1" applyBorder="1" applyAlignment="1">
      <alignment vertical="center"/>
    </xf>
    <xf numFmtId="0" fontId="53" fillId="0" borderId="34" xfId="0" applyFont="1" applyBorder="1" applyAlignment="1">
      <alignment horizontal="center" vertical="center"/>
    </xf>
    <xf numFmtId="180" fontId="51" fillId="0" borderId="34" xfId="0" applyNumberFormat="1" applyFont="1" applyBorder="1" applyAlignment="1">
      <alignment vertical="center"/>
    </xf>
    <xf numFmtId="0" fontId="51" fillId="0" borderId="36" xfId="0" applyFont="1" applyBorder="1" applyAlignment="1">
      <alignment vertical="center"/>
    </xf>
    <xf numFmtId="180" fontId="51" fillId="0" borderId="29" xfId="0" applyNumberFormat="1" applyFont="1" applyBorder="1" applyAlignment="1">
      <alignment vertical="center"/>
    </xf>
    <xf numFmtId="0" fontId="53" fillId="0" borderId="37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0" fillId="35" borderId="56" xfId="0" applyFill="1" applyBorder="1"/>
    <xf numFmtId="0" fontId="0" fillId="35" borderId="57" xfId="0" applyFill="1" applyBorder="1"/>
    <xf numFmtId="0" fontId="0" fillId="35" borderId="32" xfId="0" applyFill="1" applyBorder="1"/>
    <xf numFmtId="0" fontId="46" fillId="0" borderId="0" xfId="0" applyFont="1"/>
    <xf numFmtId="1" fontId="46" fillId="0" borderId="0" xfId="0" applyNumberFormat="1" applyFont="1"/>
    <xf numFmtId="9" fontId="0" fillId="0" borderId="0" xfId="155" applyFont="1" applyAlignment="1"/>
    <xf numFmtId="180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0" fillId="35" borderId="56" xfId="0" applyFill="1" applyBorder="1" applyAlignment="1">
      <alignment vertical="center"/>
    </xf>
    <xf numFmtId="0" fontId="0" fillId="35" borderId="57" xfId="0" applyFill="1" applyBorder="1" applyAlignment="1">
      <alignment vertical="center"/>
    </xf>
    <xf numFmtId="0" fontId="51" fillId="0" borderId="0" xfId="0" applyFont="1" applyAlignment="1">
      <alignment horizontal="left" vertical="center"/>
    </xf>
    <xf numFmtId="0" fontId="51" fillId="29" borderId="0" xfId="0" applyFont="1" applyFill="1" applyAlignment="1">
      <alignment vertical="center"/>
    </xf>
    <xf numFmtId="3" fontId="51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84" fontId="0" fillId="29" borderId="0" xfId="0" applyNumberFormat="1" applyFill="1"/>
    <xf numFmtId="0" fontId="0" fillId="0" borderId="0" xfId="0" applyAlignment="1">
      <alignment horizontal="left" vertical="center"/>
    </xf>
    <xf numFmtId="0" fontId="56" fillId="0" borderId="0" xfId="0" applyFont="1" applyAlignment="1">
      <alignment vertical="center"/>
    </xf>
    <xf numFmtId="0" fontId="56" fillId="0" borderId="0" xfId="0" applyFont="1" applyAlignment="1">
      <alignment horizontal="center" vertical="center"/>
    </xf>
    <xf numFmtId="0" fontId="56" fillId="0" borderId="21" xfId="0" applyFont="1" applyBorder="1" applyAlignment="1">
      <alignment vertical="center"/>
    </xf>
    <xf numFmtId="0" fontId="3" fillId="0" borderId="0" xfId="1" applyAlignment="1">
      <alignment vertical="center"/>
    </xf>
    <xf numFmtId="0" fontId="58" fillId="0" borderId="0" xfId="0" applyFont="1" applyAlignment="1">
      <alignment vertical="center"/>
    </xf>
    <xf numFmtId="0" fontId="46" fillId="0" borderId="0" xfId="0" applyFont="1" applyAlignment="1">
      <alignment horizontal="right" vertical="center"/>
    </xf>
    <xf numFmtId="0" fontId="44" fillId="0" borderId="0" xfId="0" applyFont="1" applyAlignment="1">
      <alignment horizontal="left" vertical="center"/>
    </xf>
    <xf numFmtId="0" fontId="51" fillId="0" borderId="56" xfId="0" applyFont="1" applyBorder="1" applyAlignment="1">
      <alignment horizontal="center" vertical="center"/>
    </xf>
    <xf numFmtId="0" fontId="59" fillId="0" borderId="0" xfId="0" applyFont="1" applyAlignment="1">
      <alignment vertical="center"/>
    </xf>
    <xf numFmtId="38" fontId="44" fillId="0" borderId="0" xfId="0" applyNumberFormat="1" applyFont="1" applyAlignment="1">
      <alignment horizontal="left" vertical="center"/>
    </xf>
    <xf numFmtId="0" fontId="55" fillId="0" borderId="0" xfId="1" applyFont="1"/>
    <xf numFmtId="0" fontId="0" fillId="29" borderId="0" xfId="0" applyFill="1"/>
    <xf numFmtId="0" fontId="3" fillId="0" borderId="0" xfId="1" applyAlignment="1">
      <alignment horizontal="left" vertical="center"/>
    </xf>
    <xf numFmtId="0" fontId="2" fillId="29" borderId="0" xfId="0" applyFont="1" applyFill="1"/>
    <xf numFmtId="181" fontId="44" fillId="31" borderId="29" xfId="0" applyNumberFormat="1" applyFont="1" applyFill="1" applyBorder="1" applyAlignment="1">
      <alignment vertical="center"/>
    </xf>
    <xf numFmtId="181" fontId="44" fillId="31" borderId="34" xfId="0" applyNumberFormat="1" applyFont="1" applyFill="1" applyBorder="1" applyAlignment="1">
      <alignment vertical="center"/>
    </xf>
    <xf numFmtId="38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60" fillId="0" borderId="0" xfId="0" applyFont="1" applyAlignment="1">
      <alignment horizontal="center" vertical="center"/>
    </xf>
    <xf numFmtId="38" fontId="62" fillId="0" borderId="0" xfId="0" applyNumberFormat="1" applyFont="1" applyAlignment="1">
      <alignment vertical="center"/>
    </xf>
    <xf numFmtId="10" fontId="62" fillId="0" borderId="0" xfId="0" applyNumberFormat="1" applyFont="1" applyAlignment="1">
      <alignment vertical="center"/>
    </xf>
    <xf numFmtId="38" fontId="61" fillId="0" borderId="0" xfId="0" applyNumberFormat="1" applyFont="1" applyAlignment="1">
      <alignment vertical="center"/>
    </xf>
    <xf numFmtId="180" fontId="0" fillId="30" borderId="0" xfId="0" applyNumberFormat="1" applyFill="1" applyAlignment="1">
      <alignment vertical="center"/>
    </xf>
    <xf numFmtId="0" fontId="62" fillId="0" borderId="0" xfId="0" applyFont="1" applyAlignment="1">
      <alignment vertical="center"/>
    </xf>
    <xf numFmtId="0" fontId="0" fillId="35" borderId="32" xfId="0" applyFill="1" applyBorder="1" applyAlignment="1">
      <alignment vertical="center"/>
    </xf>
    <xf numFmtId="0" fontId="46" fillId="0" borderId="0" xfId="0" applyFont="1" applyAlignment="1">
      <alignment horizontal="center" vertical="center"/>
    </xf>
    <xf numFmtId="0" fontId="0" fillId="30" borderId="0" xfId="0" applyFill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180" fontId="0" fillId="0" borderId="0" xfId="0" applyNumberFormat="1" applyAlignment="1">
      <alignment horizontal="right" vertical="center"/>
    </xf>
    <xf numFmtId="3" fontId="46" fillId="0" borderId="0" xfId="0" applyNumberFormat="1" applyFont="1" applyAlignment="1">
      <alignment horizontal="right" vertical="center"/>
    </xf>
    <xf numFmtId="0" fontId="2" fillId="36" borderId="0" xfId="0" applyFont="1" applyFill="1" applyAlignment="1">
      <alignment horizontal="left"/>
    </xf>
    <xf numFmtId="0" fontId="0" fillId="36" borderId="0" xfId="0" applyFill="1"/>
    <xf numFmtId="0" fontId="46" fillId="36" borderId="0" xfId="0" applyFont="1" applyFill="1" applyAlignment="1">
      <alignment horizontal="left"/>
    </xf>
    <xf numFmtId="0" fontId="2" fillId="36" borderId="0" xfId="0" applyFont="1" applyFill="1"/>
    <xf numFmtId="0" fontId="0" fillId="31" borderId="0" xfId="0" applyFill="1" applyAlignment="1">
      <alignment vertical="center"/>
    </xf>
    <xf numFmtId="0" fontId="46" fillId="0" borderId="58" xfId="0" applyFont="1" applyBorder="1" applyAlignment="1">
      <alignment vertical="center"/>
    </xf>
    <xf numFmtId="0" fontId="0" fillId="0" borderId="59" xfId="0" applyBorder="1" applyAlignment="1">
      <alignment vertical="center"/>
    </xf>
    <xf numFmtId="0" fontId="0" fillId="30" borderId="59" xfId="0" applyFill="1" applyBorder="1" applyAlignment="1">
      <alignment vertical="center"/>
    </xf>
    <xf numFmtId="0" fontId="0" fillId="30" borderId="60" xfId="0" applyFill="1" applyBorder="1" applyAlignment="1">
      <alignment vertical="center"/>
    </xf>
    <xf numFmtId="0" fontId="68" fillId="0" borderId="0" xfId="158" applyFont="1" applyFill="1" applyAlignment="1">
      <alignment horizontal="center" vertical="center" wrapText="1"/>
    </xf>
    <xf numFmtId="180" fontId="68" fillId="0" borderId="1" xfId="159" applyNumberFormat="1" applyFont="1" applyBorder="1">
      <alignment vertical="center"/>
    </xf>
    <xf numFmtId="180" fontId="70" fillId="0" borderId="1" xfId="159" applyNumberFormat="1" applyFont="1" applyBorder="1">
      <alignment vertical="center"/>
    </xf>
    <xf numFmtId="180" fontId="68" fillId="0" borderId="1" xfId="159" applyNumberFormat="1" applyFont="1" applyBorder="1" applyAlignment="1">
      <alignment horizontal="right" vertical="center"/>
    </xf>
    <xf numFmtId="180" fontId="70" fillId="0" borderId="0" xfId="159" applyNumberFormat="1" applyFont="1">
      <alignment vertical="center"/>
    </xf>
    <xf numFmtId="180" fontId="68" fillId="0" borderId="0" xfId="159" applyNumberFormat="1" applyFont="1">
      <alignment vertical="center"/>
    </xf>
    <xf numFmtId="0" fontId="68" fillId="0" borderId="63" xfId="0" applyFont="1" applyBorder="1" applyAlignment="1">
      <alignment horizontal="center" vertical="center" wrapText="1"/>
    </xf>
    <xf numFmtId="0" fontId="68" fillId="0" borderId="64" xfId="0" applyFont="1" applyBorder="1" applyAlignment="1">
      <alignment horizontal="center" vertical="center" wrapText="1"/>
    </xf>
    <xf numFmtId="0" fontId="71" fillId="0" borderId="0" xfId="0" applyFont="1"/>
    <xf numFmtId="0" fontId="68" fillId="0" borderId="66" xfId="0" applyFont="1" applyBorder="1" applyAlignment="1">
      <alignment horizontal="left" vertical="center"/>
    </xf>
    <xf numFmtId="180" fontId="68" fillId="0" borderId="67" xfId="0" applyNumberFormat="1" applyFont="1" applyBorder="1" applyAlignment="1">
      <alignment vertical="center" shrinkToFit="1"/>
    </xf>
    <xf numFmtId="180" fontId="68" fillId="0" borderId="68" xfId="0" applyNumberFormat="1" applyFont="1" applyBorder="1" applyAlignment="1">
      <alignment vertical="center" shrinkToFit="1"/>
    </xf>
    <xf numFmtId="0" fontId="68" fillId="0" borderId="66" xfId="0" applyFont="1" applyBorder="1" applyAlignment="1">
      <alignment horizontal="left" vertical="center" shrinkToFit="1"/>
    </xf>
    <xf numFmtId="180" fontId="68" fillId="0" borderId="0" xfId="0" applyNumberFormat="1" applyFont="1" applyAlignment="1">
      <alignment vertical="center"/>
    </xf>
    <xf numFmtId="0" fontId="68" fillId="0" borderId="70" xfId="0" applyFont="1" applyBorder="1" applyAlignment="1">
      <alignment horizontal="left" vertical="center"/>
    </xf>
    <xf numFmtId="180" fontId="68" fillId="0" borderId="71" xfId="0" applyNumberFormat="1" applyFont="1" applyBorder="1" applyAlignment="1">
      <alignment vertical="center" shrinkToFit="1"/>
    </xf>
    <xf numFmtId="185" fontId="68" fillId="0" borderId="0" xfId="0" applyNumberFormat="1" applyFont="1" applyAlignment="1">
      <alignment vertical="center" shrinkToFit="1"/>
    </xf>
    <xf numFmtId="0" fontId="68" fillId="0" borderId="73" xfId="0" applyFont="1" applyBorder="1" applyAlignment="1">
      <alignment horizontal="left" vertical="center"/>
    </xf>
    <xf numFmtId="185" fontId="68" fillId="0" borderId="71" xfId="0" applyNumberFormat="1" applyFont="1" applyBorder="1" applyAlignment="1">
      <alignment vertical="center" shrinkToFit="1"/>
    </xf>
    <xf numFmtId="184" fontId="68" fillId="0" borderId="0" xfId="157" applyNumberFormat="1" applyFont="1" applyFill="1" applyBorder="1" applyAlignment="1">
      <alignment vertical="center" shrinkToFit="1"/>
    </xf>
    <xf numFmtId="180" fontId="68" fillId="0" borderId="71" xfId="0" applyNumberFormat="1" applyFont="1" applyBorder="1" applyAlignment="1">
      <alignment horizontal="right" vertical="center" shrinkToFit="1"/>
    </xf>
    <xf numFmtId="180" fontId="68" fillId="0" borderId="0" xfId="0" applyNumberFormat="1" applyFont="1" applyAlignment="1">
      <alignment horizontal="right" vertical="center" shrinkToFit="1"/>
    </xf>
    <xf numFmtId="180" fontId="68" fillId="0" borderId="0" xfId="0" applyNumberFormat="1" applyFont="1" applyAlignment="1">
      <alignment vertical="center" shrinkToFit="1"/>
    </xf>
    <xf numFmtId="185" fontId="68" fillId="0" borderId="0" xfId="0" applyNumberFormat="1" applyFont="1" applyAlignment="1">
      <alignment horizontal="right" vertical="center" shrinkToFit="1"/>
    </xf>
    <xf numFmtId="184" fontId="68" fillId="0" borderId="71" xfId="157" applyNumberFormat="1" applyFont="1" applyFill="1" applyBorder="1" applyAlignment="1">
      <alignment horizontal="right" vertical="center" shrinkToFit="1"/>
    </xf>
    <xf numFmtId="184" fontId="68" fillId="0" borderId="0" xfId="157" applyNumberFormat="1" applyFont="1" applyFill="1" applyBorder="1" applyAlignment="1">
      <alignment horizontal="right" vertical="center" shrinkToFit="1"/>
    </xf>
    <xf numFmtId="184" fontId="68" fillId="0" borderId="71" xfId="157" applyNumberFormat="1" applyFont="1" applyFill="1" applyBorder="1" applyAlignment="1">
      <alignment vertical="center" shrinkToFit="1"/>
    </xf>
    <xf numFmtId="185" fontId="68" fillId="0" borderId="71" xfId="0" applyNumberFormat="1" applyFont="1" applyBorder="1" applyAlignment="1">
      <alignment horizontal="right" vertical="center" shrinkToFit="1"/>
    </xf>
    <xf numFmtId="0" fontId="68" fillId="0" borderId="0" xfId="0" applyFont="1"/>
    <xf numFmtId="0" fontId="68" fillId="0" borderId="0" xfId="0" applyFont="1" applyAlignment="1">
      <alignment horizontal="left" vertical="center" shrinkToFit="1"/>
    </xf>
    <xf numFmtId="180" fontId="70" fillId="0" borderId="0" xfId="0" applyNumberFormat="1" applyFont="1" applyAlignment="1">
      <alignment vertical="center"/>
    </xf>
    <xf numFmtId="0" fontId="68" fillId="0" borderId="0" xfId="0" applyFont="1" applyAlignment="1">
      <alignment horizontal="left" vertical="center"/>
    </xf>
    <xf numFmtId="185" fontId="68" fillId="0" borderId="0" xfId="0" applyNumberFormat="1" applyFont="1" applyAlignment="1">
      <alignment vertical="center"/>
    </xf>
    <xf numFmtId="185" fontId="70" fillId="0" borderId="0" xfId="0" applyNumberFormat="1" applyFont="1" applyAlignment="1">
      <alignment vertical="center"/>
    </xf>
    <xf numFmtId="41" fontId="68" fillId="0" borderId="71" xfId="156" applyFont="1" applyFill="1" applyBorder="1" applyAlignment="1">
      <alignment horizontal="right" vertical="center" shrinkToFit="1"/>
    </xf>
    <xf numFmtId="41" fontId="68" fillId="0" borderId="0" xfId="156" applyFont="1" applyFill="1" applyBorder="1" applyAlignment="1">
      <alignment horizontal="right" vertical="center" shrinkToFit="1"/>
    </xf>
    <xf numFmtId="41" fontId="68" fillId="0" borderId="71" xfId="156" applyFont="1" applyFill="1" applyBorder="1" applyAlignment="1">
      <alignment vertical="center" shrinkToFit="1"/>
    </xf>
    <xf numFmtId="41" fontId="68" fillId="0" borderId="0" xfId="156" applyFont="1" applyFill="1" applyBorder="1" applyAlignment="1">
      <alignment vertical="center" shrinkToFit="1"/>
    </xf>
    <xf numFmtId="0" fontId="72" fillId="0" borderId="0" xfId="0" applyFont="1"/>
    <xf numFmtId="38" fontId="68" fillId="0" borderId="0" xfId="160" applyNumberFormat="1" applyAlignment="1">
      <alignment horizontal="right" vertical="center" shrinkToFit="1"/>
    </xf>
    <xf numFmtId="38" fontId="68" fillId="0" borderId="0" xfId="160" applyNumberFormat="1" applyAlignment="1">
      <alignment vertical="center" shrinkToFit="1"/>
    </xf>
    <xf numFmtId="0" fontId="73" fillId="0" borderId="0" xfId="0" applyFont="1"/>
    <xf numFmtId="0" fontId="74" fillId="0" borderId="0" xfId="0" applyFont="1"/>
    <xf numFmtId="0" fontId="68" fillId="0" borderId="70" xfId="0" applyFont="1" applyBorder="1" applyAlignment="1">
      <alignment horizontal="left" vertical="center" shrinkToFit="1"/>
    </xf>
    <xf numFmtId="180" fontId="75" fillId="0" borderId="71" xfId="0" applyNumberFormat="1" applyFont="1" applyBorder="1" applyAlignment="1">
      <alignment vertical="center" shrinkToFit="1"/>
    </xf>
    <xf numFmtId="180" fontId="75" fillId="0" borderId="0" xfId="0" applyNumberFormat="1" applyFont="1" applyAlignment="1">
      <alignment vertical="center" shrinkToFit="1"/>
    </xf>
    <xf numFmtId="180" fontId="74" fillId="0" borderId="0" xfId="0" applyNumberFormat="1" applyFont="1"/>
    <xf numFmtId="185" fontId="75" fillId="0" borderId="71" xfId="0" applyNumberFormat="1" applyFont="1" applyBorder="1" applyAlignment="1">
      <alignment vertical="center" shrinkToFit="1"/>
    </xf>
    <xf numFmtId="185" fontId="75" fillId="0" borderId="0" xfId="0" applyNumberFormat="1" applyFont="1" applyAlignment="1">
      <alignment vertical="center" shrinkToFit="1"/>
    </xf>
    <xf numFmtId="185" fontId="74" fillId="0" borderId="0" xfId="0" applyNumberFormat="1" applyFont="1"/>
    <xf numFmtId="186" fontId="74" fillId="0" borderId="0" xfId="0" applyNumberFormat="1" applyFont="1"/>
    <xf numFmtId="184" fontId="68" fillId="0" borderId="0" xfId="0" applyNumberFormat="1" applyFont="1" applyAlignment="1">
      <alignment horizontal="right" vertical="center"/>
    </xf>
    <xf numFmtId="184" fontId="68" fillId="0" borderId="0" xfId="0" applyNumberFormat="1" applyFont="1" applyAlignment="1">
      <alignment vertical="center"/>
    </xf>
    <xf numFmtId="0" fontId="70" fillId="0" borderId="70" xfId="0" applyFont="1" applyBorder="1" applyAlignment="1">
      <alignment horizontal="left" vertical="center"/>
    </xf>
    <xf numFmtId="41" fontId="70" fillId="0" borderId="0" xfId="156" applyFont="1" applyFill="1" applyBorder="1" applyAlignment="1">
      <alignment horizontal="right" vertical="center" shrinkToFit="1"/>
    </xf>
    <xf numFmtId="38" fontId="70" fillId="0" borderId="0" xfId="160" applyNumberFormat="1" applyFont="1" applyAlignment="1">
      <alignment horizontal="right" vertical="center" shrinkToFit="1"/>
    </xf>
    <xf numFmtId="41" fontId="70" fillId="0" borderId="0" xfId="156" applyFont="1" applyFill="1" applyBorder="1" applyAlignment="1">
      <alignment vertical="center" shrinkToFit="1"/>
    </xf>
    <xf numFmtId="187" fontId="70" fillId="0" borderId="0" xfId="0" applyNumberFormat="1" applyFont="1" applyAlignment="1">
      <alignment horizontal="right" vertical="center" shrinkToFit="1"/>
    </xf>
    <xf numFmtId="184" fontId="70" fillId="0" borderId="0" xfId="0" applyNumberFormat="1" applyFont="1" applyAlignment="1">
      <alignment vertical="center" shrinkToFit="1"/>
    </xf>
    <xf numFmtId="0" fontId="70" fillId="0" borderId="75" xfId="0" applyFont="1" applyBorder="1" applyAlignment="1">
      <alignment horizontal="left" vertical="center"/>
    </xf>
    <xf numFmtId="187" fontId="70" fillId="0" borderId="1" xfId="0" applyNumberFormat="1" applyFont="1" applyBorder="1" applyAlignment="1">
      <alignment horizontal="right" vertical="center" shrinkToFit="1"/>
    </xf>
    <xf numFmtId="184" fontId="70" fillId="0" borderId="1" xfId="0" applyNumberFormat="1" applyFont="1" applyBorder="1" applyAlignment="1">
      <alignment horizontal="right" vertical="center" shrinkToFit="1"/>
    </xf>
    <xf numFmtId="184" fontId="70" fillId="0" borderId="1" xfId="0" applyNumberFormat="1" applyFont="1" applyBorder="1" applyAlignment="1">
      <alignment vertical="center" shrinkToFit="1"/>
    </xf>
    <xf numFmtId="184" fontId="70" fillId="0" borderId="1" xfId="0" applyNumberFormat="1" applyFont="1" applyBorder="1" applyAlignment="1">
      <alignment horizontal="right" vertical="center"/>
    </xf>
    <xf numFmtId="0" fontId="70" fillId="0" borderId="0" xfId="0" applyFont="1"/>
    <xf numFmtId="0" fontId="76" fillId="0" borderId="0" xfId="0" applyFont="1"/>
    <xf numFmtId="0" fontId="0" fillId="0" borderId="0" xfId="0" applyAlignment="1">
      <alignment horizontal="right" vertical="center"/>
    </xf>
    <xf numFmtId="0" fontId="0" fillId="0" borderId="76" xfId="0" applyBorder="1" applyAlignment="1">
      <alignment vertical="center"/>
    </xf>
    <xf numFmtId="0" fontId="46" fillId="0" borderId="77" xfId="0" applyFont="1" applyBorder="1" applyAlignment="1">
      <alignment horizontal="center" vertical="center"/>
    </xf>
    <xf numFmtId="0" fontId="46" fillId="0" borderId="78" xfId="0" applyFont="1" applyBorder="1" applyAlignment="1">
      <alignment horizontal="center" vertical="center"/>
    </xf>
    <xf numFmtId="0" fontId="0" fillId="0" borderId="79" xfId="0" applyBorder="1" applyAlignment="1">
      <alignment vertical="center"/>
    </xf>
    <xf numFmtId="180" fontId="0" fillId="0" borderId="80" xfId="0" applyNumberFormat="1" applyBorder="1" applyAlignment="1">
      <alignment vertical="center"/>
    </xf>
    <xf numFmtId="0" fontId="0" fillId="0" borderId="81" xfId="0" applyBorder="1" applyAlignment="1">
      <alignment vertical="center"/>
    </xf>
    <xf numFmtId="180" fontId="0" fillId="0" borderId="43" xfId="0" applyNumberFormat="1" applyBorder="1" applyAlignment="1">
      <alignment vertical="center"/>
    </xf>
    <xf numFmtId="180" fontId="0" fillId="0" borderId="82" xfId="0" applyNumberFormat="1" applyBorder="1" applyAlignment="1">
      <alignment vertical="center"/>
    </xf>
    <xf numFmtId="183" fontId="0" fillId="0" borderId="83" xfId="0" applyNumberFormat="1" applyBorder="1" applyAlignment="1">
      <alignment vertical="center"/>
    </xf>
    <xf numFmtId="180" fontId="0" fillId="0" borderId="83" xfId="0" applyNumberFormat="1" applyBorder="1" applyAlignment="1">
      <alignment vertical="center"/>
    </xf>
    <xf numFmtId="183" fontId="0" fillId="0" borderId="0" xfId="0" applyNumberFormat="1" applyAlignment="1">
      <alignment vertical="center"/>
    </xf>
    <xf numFmtId="0" fontId="0" fillId="0" borderId="83" xfId="0" applyBorder="1" applyAlignment="1">
      <alignment vertical="center"/>
    </xf>
    <xf numFmtId="183" fontId="0" fillId="31" borderId="0" xfId="0" applyNumberFormat="1" applyFill="1" applyAlignment="1">
      <alignment vertical="center"/>
    </xf>
    <xf numFmtId="0" fontId="79" fillId="0" borderId="0" xfId="0" applyFont="1" applyAlignment="1">
      <alignment vertical="center"/>
    </xf>
    <xf numFmtId="0" fontId="0" fillId="0" borderId="83" xfId="0" applyBorder="1" applyAlignment="1">
      <alignment horizontal="center" vertical="center"/>
    </xf>
    <xf numFmtId="38" fontId="0" fillId="0" borderId="83" xfId="0" applyNumberFormat="1" applyBorder="1" applyAlignment="1">
      <alignment vertical="center"/>
    </xf>
    <xf numFmtId="38" fontId="61" fillId="30" borderId="83" xfId="0" applyNumberFormat="1" applyFont="1" applyFill="1" applyBorder="1" applyAlignment="1">
      <alignment vertical="center"/>
    </xf>
    <xf numFmtId="0" fontId="46" fillId="36" borderId="0" xfId="0" applyFont="1" applyFill="1"/>
    <xf numFmtId="38" fontId="0" fillId="31" borderId="83" xfId="0" applyNumberFormat="1" applyFill="1" applyBorder="1" applyAlignment="1">
      <alignment vertical="center"/>
    </xf>
    <xf numFmtId="180" fontId="61" fillId="0" borderId="0" xfId="0" applyNumberFormat="1" applyFont="1" applyAlignment="1">
      <alignment vertical="center"/>
    </xf>
    <xf numFmtId="0" fontId="46" fillId="0" borderId="83" xfId="0" applyFont="1" applyBorder="1" applyAlignment="1">
      <alignment horizontal="center" vertical="center"/>
    </xf>
    <xf numFmtId="0" fontId="0" fillId="38" borderId="83" xfId="0" applyFill="1" applyBorder="1" applyAlignment="1">
      <alignment horizontal="center"/>
    </xf>
    <xf numFmtId="38" fontId="0" fillId="0" borderId="83" xfId="0" applyNumberFormat="1" applyBorder="1" applyAlignment="1">
      <alignment horizontal="right"/>
    </xf>
    <xf numFmtId="0" fontId="3" fillId="0" borderId="0" xfId="1" applyFill="1"/>
    <xf numFmtId="0" fontId="0" fillId="39" borderId="0" xfId="0" applyFill="1"/>
    <xf numFmtId="184" fontId="0" fillId="0" borderId="0" xfId="0" applyNumberFormat="1"/>
    <xf numFmtId="183" fontId="0" fillId="0" borderId="83" xfId="0" applyNumberFormat="1" applyBorder="1"/>
    <xf numFmtId="180" fontId="0" fillId="0" borderId="83" xfId="0" applyNumberFormat="1" applyBorder="1"/>
    <xf numFmtId="0" fontId="54" fillId="29" borderId="19" xfId="0" applyFont="1" applyFill="1" applyBorder="1" applyAlignment="1">
      <alignment horizontal="center" vertical="center"/>
    </xf>
    <xf numFmtId="188" fontId="0" fillId="0" borderId="0" xfId="0" applyNumberFormat="1"/>
    <xf numFmtId="0" fontId="61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49" fillId="27" borderId="83" xfId="0" applyFont="1" applyFill="1" applyBorder="1" applyAlignment="1">
      <alignment vertical="center"/>
    </xf>
    <xf numFmtId="0" fontId="49" fillId="28" borderId="83" xfId="0" applyFont="1" applyFill="1" applyBorder="1" applyAlignment="1">
      <alignment horizontal="center" vertical="center"/>
    </xf>
    <xf numFmtId="0" fontId="49" fillId="0" borderId="83" xfId="0" applyFont="1" applyBorder="1" applyAlignment="1">
      <alignment vertical="center"/>
    </xf>
    <xf numFmtId="0" fontId="52" fillId="32" borderId="83" xfId="0" applyFont="1" applyFill="1" applyBorder="1" applyAlignment="1">
      <alignment horizontal="center" vertical="center" wrapText="1"/>
    </xf>
    <xf numFmtId="0" fontId="52" fillId="0" borderId="56" xfId="0" applyFont="1" applyBorder="1" applyAlignment="1">
      <alignment horizontal="center" vertical="center" wrapText="1"/>
    </xf>
    <xf numFmtId="0" fontId="51" fillId="0" borderId="56" xfId="0" applyFont="1" applyBorder="1" applyAlignment="1">
      <alignment horizontal="center" vertical="center" wrapText="1"/>
    </xf>
    <xf numFmtId="0" fontId="53" fillId="0" borderId="83" xfId="0" applyFont="1" applyBorder="1" applyAlignment="1">
      <alignment horizontal="center" vertical="center"/>
    </xf>
    <xf numFmtId="0" fontId="51" fillId="0" borderId="83" xfId="0" applyFont="1" applyBorder="1" applyAlignment="1">
      <alignment vertical="center"/>
    </xf>
    <xf numFmtId="180" fontId="51" fillId="0" borderId="83" xfId="0" applyNumberFormat="1" applyFont="1" applyBorder="1" applyAlignment="1">
      <alignment vertical="center"/>
    </xf>
    <xf numFmtId="38" fontId="44" fillId="0" borderId="83" xfId="0" applyNumberFormat="1" applyFont="1" applyBorder="1" applyAlignment="1">
      <alignment vertical="center"/>
    </xf>
    <xf numFmtId="0" fontId="44" fillId="0" borderId="83" xfId="0" applyFont="1" applyBorder="1" applyAlignment="1">
      <alignment vertical="center"/>
    </xf>
    <xf numFmtId="38" fontId="46" fillId="0" borderId="56" xfId="0" applyNumberFormat="1" applyFont="1" applyBorder="1" applyAlignment="1">
      <alignment horizontal="center" vertical="center"/>
    </xf>
    <xf numFmtId="0" fontId="46" fillId="0" borderId="56" xfId="0" applyFont="1" applyBorder="1" applyAlignment="1">
      <alignment horizontal="center" vertical="center"/>
    </xf>
    <xf numFmtId="0" fontId="44" fillId="31" borderId="53" xfId="0" applyFont="1" applyFill="1" applyBorder="1" applyAlignment="1">
      <alignment vertical="center"/>
    </xf>
    <xf numFmtId="181" fontId="44" fillId="0" borderId="83" xfId="0" applyNumberFormat="1" applyFont="1" applyBorder="1" applyAlignment="1">
      <alignment vertical="center"/>
    </xf>
    <xf numFmtId="181" fontId="44" fillId="31" borderId="83" xfId="0" applyNumberFormat="1" applyFont="1" applyFill="1" applyBorder="1" applyAlignment="1">
      <alignment vertical="center"/>
    </xf>
    <xf numFmtId="0" fontId="44" fillId="0" borderId="45" xfId="0" applyFont="1" applyBorder="1" applyAlignment="1">
      <alignment vertical="center"/>
    </xf>
    <xf numFmtId="181" fontId="44" fillId="30" borderId="83" xfId="0" applyNumberFormat="1" applyFont="1" applyFill="1" applyBorder="1" applyAlignment="1">
      <alignment vertical="center"/>
    </xf>
    <xf numFmtId="0" fontId="0" fillId="33" borderId="83" xfId="0" applyFill="1" applyBorder="1" applyAlignment="1">
      <alignment vertical="center"/>
    </xf>
    <xf numFmtId="0" fontId="0" fillId="34" borderId="83" xfId="0" applyFill="1" applyBorder="1" applyAlignment="1">
      <alignment vertical="center"/>
    </xf>
    <xf numFmtId="3" fontId="0" fillId="0" borderId="83" xfId="0" applyNumberFormat="1" applyBorder="1" applyAlignment="1">
      <alignment horizontal="right" vertical="center"/>
    </xf>
    <xf numFmtId="0" fontId="0" fillId="35" borderId="83" xfId="0" applyFill="1" applyBorder="1" applyAlignment="1">
      <alignment vertical="center"/>
    </xf>
    <xf numFmtId="0" fontId="51" fillId="0" borderId="83" xfId="0" applyFont="1" applyBorder="1" applyAlignment="1">
      <alignment horizontal="center" vertical="center"/>
    </xf>
    <xf numFmtId="0" fontId="51" fillId="0" borderId="83" xfId="0" applyFont="1" applyBorder="1" applyAlignment="1">
      <alignment horizontal="right" vertical="center"/>
    </xf>
    <xf numFmtId="0" fontId="51" fillId="29" borderId="83" xfId="0" applyFont="1" applyFill="1" applyBorder="1" applyAlignment="1">
      <alignment horizontal="center" vertical="center"/>
    </xf>
    <xf numFmtId="0" fontId="51" fillId="29" borderId="83" xfId="0" applyFont="1" applyFill="1" applyBorder="1" applyAlignment="1">
      <alignment horizontal="right" vertical="center"/>
    </xf>
    <xf numFmtId="0" fontId="51" fillId="29" borderId="83" xfId="0" applyFont="1" applyFill="1" applyBorder="1" applyAlignment="1">
      <alignment vertical="center"/>
    </xf>
    <xf numFmtId="3" fontId="51" fillId="0" borderId="83" xfId="0" applyNumberFormat="1" applyFont="1" applyBorder="1" applyAlignment="1">
      <alignment vertical="center"/>
    </xf>
    <xf numFmtId="0" fontId="0" fillId="35" borderId="83" xfId="0" applyFill="1" applyBorder="1"/>
    <xf numFmtId="3" fontId="0" fillId="0" borderId="83" xfId="0" applyNumberFormat="1" applyBorder="1" applyAlignment="1">
      <alignment vertical="center"/>
    </xf>
    <xf numFmtId="3" fontId="0" fillId="0" borderId="83" xfId="0" applyNumberFormat="1" applyBorder="1" applyAlignment="1">
      <alignment horizontal="center" vertical="center"/>
    </xf>
    <xf numFmtId="180" fontId="0" fillId="0" borderId="83" xfId="0" applyNumberFormat="1" applyBorder="1" applyAlignment="1">
      <alignment horizontal="center" vertical="center"/>
    </xf>
    <xf numFmtId="180" fontId="0" fillId="30" borderId="83" xfId="0" applyNumberFormat="1" applyFill="1" applyBorder="1" applyAlignment="1">
      <alignment vertical="center"/>
    </xf>
    <xf numFmtId="0" fontId="56" fillId="0" borderId="83" xfId="0" applyFont="1" applyBorder="1" applyAlignment="1">
      <alignment horizontal="center" vertical="center"/>
    </xf>
    <xf numFmtId="0" fontId="56" fillId="0" borderId="83" xfId="0" applyFont="1" applyBorder="1" applyAlignment="1">
      <alignment vertical="center"/>
    </xf>
    <xf numFmtId="49" fontId="65" fillId="37" borderId="92" xfId="0" applyNumberFormat="1" applyFont="1" applyFill="1" applyBorder="1" applyAlignment="1">
      <alignment horizontal="center" vertical="center" wrapText="1"/>
    </xf>
    <xf numFmtId="0" fontId="65" fillId="0" borderId="92" xfId="0" applyFont="1" applyBorder="1" applyAlignment="1">
      <alignment horizontal="left" vertical="center" wrapText="1"/>
    </xf>
    <xf numFmtId="3" fontId="65" fillId="0" borderId="92" xfId="0" applyNumberFormat="1" applyFont="1" applyBorder="1" applyAlignment="1">
      <alignment horizontal="right" vertical="center" wrapText="1"/>
    </xf>
    <xf numFmtId="38" fontId="0" fillId="30" borderId="83" xfId="0" applyNumberFormat="1" applyFill="1" applyBorder="1" applyAlignment="1">
      <alignment vertical="center"/>
    </xf>
    <xf numFmtId="0" fontId="46" fillId="33" borderId="83" xfId="0" applyFont="1" applyFill="1" applyBorder="1" applyAlignment="1">
      <alignment vertical="center"/>
    </xf>
    <xf numFmtId="0" fontId="46" fillId="34" borderId="83" xfId="0" applyFont="1" applyFill="1" applyBorder="1" applyAlignment="1">
      <alignment vertical="center"/>
    </xf>
    <xf numFmtId="180" fontId="61" fillId="0" borderId="83" xfId="0" applyNumberFormat="1" applyFont="1" applyBorder="1" applyAlignment="1">
      <alignment vertical="center"/>
    </xf>
    <xf numFmtId="41" fontId="51" fillId="0" borderId="0" xfId="156" applyFont="1" applyAlignment="1">
      <alignment vertical="center"/>
    </xf>
    <xf numFmtId="0" fontId="132" fillId="0" borderId="34" xfId="0" applyFont="1" applyBorder="1" applyAlignment="1">
      <alignment horizontal="center" vertical="center"/>
    </xf>
    <xf numFmtId="0" fontId="132" fillId="0" borderId="83" xfId="0" applyFont="1" applyBorder="1" applyAlignment="1">
      <alignment horizontal="center" vertical="center"/>
    </xf>
    <xf numFmtId="0" fontId="132" fillId="0" borderId="29" xfId="0" applyFont="1" applyBorder="1" applyAlignment="1">
      <alignment horizontal="center" vertical="center"/>
    </xf>
    <xf numFmtId="41" fontId="112" fillId="0" borderId="97" xfId="4839" applyFont="1" applyBorder="1">
      <alignment vertical="center"/>
    </xf>
    <xf numFmtId="1" fontId="134" fillId="0" borderId="0" xfId="0" applyNumberFormat="1" applyFont="1"/>
    <xf numFmtId="189" fontId="134" fillId="0" borderId="0" xfId="0" applyNumberFormat="1" applyFont="1"/>
    <xf numFmtId="181" fontId="46" fillId="0" borderId="1" xfId="0" applyNumberFormat="1" applyFont="1" applyBorder="1" applyAlignment="1">
      <alignment vertical="center"/>
    </xf>
    <xf numFmtId="181" fontId="46" fillId="0" borderId="26" xfId="0" applyNumberFormat="1" applyFont="1" applyBorder="1" applyAlignment="1">
      <alignment vertical="center"/>
    </xf>
    <xf numFmtId="0" fontId="57" fillId="32" borderId="0" xfId="0" applyFont="1" applyFill="1" applyAlignment="1">
      <alignment horizontal="left" vertical="center" wrapText="1"/>
    </xf>
    <xf numFmtId="0" fontId="53" fillId="0" borderId="25" xfId="0" applyFont="1" applyBorder="1" applyAlignment="1">
      <alignment horizontal="center" vertical="center"/>
    </xf>
    <xf numFmtId="0" fontId="53" fillId="0" borderId="19" xfId="0" applyFont="1" applyBorder="1" applyAlignment="1">
      <alignment horizontal="center" vertical="center"/>
    </xf>
    <xf numFmtId="0" fontId="53" fillId="0" borderId="38" xfId="0" applyFont="1" applyBorder="1" applyAlignment="1">
      <alignment horizontal="center" vertical="center"/>
    </xf>
    <xf numFmtId="0" fontId="53" fillId="0" borderId="83" xfId="0" applyFont="1" applyBorder="1" applyAlignment="1">
      <alignment horizontal="center" vertical="center"/>
    </xf>
    <xf numFmtId="0" fontId="53" fillId="0" borderId="39" xfId="0" applyFont="1" applyBorder="1" applyAlignment="1">
      <alignment horizontal="center" vertical="center"/>
    </xf>
    <xf numFmtId="0" fontId="53" fillId="0" borderId="37" xfId="0" applyFont="1" applyBorder="1" applyAlignment="1">
      <alignment horizontal="center" vertical="center"/>
    </xf>
    <xf numFmtId="0" fontId="52" fillId="32" borderId="83" xfId="0" applyFont="1" applyFill="1" applyBorder="1" applyAlignment="1">
      <alignment horizontal="center" vertical="center" wrapText="1"/>
    </xf>
    <xf numFmtId="0" fontId="52" fillId="32" borderId="55" xfId="0" applyFont="1" applyFill="1" applyBorder="1" applyAlignment="1">
      <alignment horizontal="center" vertical="center" wrapText="1"/>
    </xf>
    <xf numFmtId="0" fontId="52" fillId="32" borderId="56" xfId="0" applyFont="1" applyFill="1" applyBorder="1" applyAlignment="1">
      <alignment horizontal="center" vertical="center" wrapText="1"/>
    </xf>
    <xf numFmtId="0" fontId="51" fillId="0" borderId="19" xfId="0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46" fillId="0" borderId="24" xfId="0" applyFont="1" applyBorder="1" applyAlignment="1">
      <alignment horizontal="left" vertical="center"/>
    </xf>
    <xf numFmtId="0" fontId="46" fillId="0" borderId="37" xfId="0" applyFont="1" applyBorder="1" applyAlignment="1">
      <alignment horizontal="center" vertical="center"/>
    </xf>
    <xf numFmtId="0" fontId="46" fillId="0" borderId="39" xfId="0" applyFont="1" applyBorder="1" applyAlignment="1">
      <alignment horizontal="center" vertical="center"/>
    </xf>
    <xf numFmtId="0" fontId="46" fillId="0" borderId="38" xfId="0" applyFont="1" applyBorder="1" applyAlignment="1">
      <alignment horizontal="center" vertical="center"/>
    </xf>
    <xf numFmtId="181" fontId="50" fillId="0" borderId="26" xfId="0" applyNumberFormat="1" applyFont="1" applyBorder="1" applyAlignment="1">
      <alignment horizontal="left" vertical="center"/>
    </xf>
    <xf numFmtId="181" fontId="50" fillId="0" borderId="50" xfId="0" applyNumberFormat="1" applyFont="1" applyBorder="1" applyAlignment="1">
      <alignment horizontal="left" vertical="center"/>
    </xf>
    <xf numFmtId="181" fontId="50" fillId="0" borderId="20" xfId="0" applyNumberFormat="1" applyFont="1" applyBorder="1" applyAlignment="1">
      <alignment horizontal="left" vertical="center"/>
    </xf>
    <xf numFmtId="181" fontId="50" fillId="0" borderId="40" xfId="0" applyNumberFormat="1" applyFont="1" applyBorder="1" applyAlignment="1">
      <alignment horizontal="left" vertical="center"/>
    </xf>
    <xf numFmtId="0" fontId="46" fillId="0" borderId="28" xfId="0" applyFont="1" applyBorder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44" fillId="0" borderId="37" xfId="0" applyFont="1" applyBorder="1" applyAlignment="1">
      <alignment horizontal="center" vertical="center"/>
    </xf>
    <xf numFmtId="0" fontId="44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/>
    </xf>
    <xf numFmtId="0" fontId="44" fillId="0" borderId="19" xfId="0" applyFont="1" applyBorder="1" applyAlignment="1">
      <alignment horizontal="left" vertical="center"/>
    </xf>
    <xf numFmtId="0" fontId="44" fillId="0" borderId="41" xfId="0" applyFont="1" applyBorder="1" applyAlignment="1">
      <alignment horizontal="left" vertical="center"/>
    </xf>
    <xf numFmtId="0" fontId="44" fillId="0" borderId="23" xfId="0" applyFont="1" applyBorder="1" applyAlignment="1">
      <alignment horizontal="center" vertical="center"/>
    </xf>
    <xf numFmtId="0" fontId="44" fillId="0" borderId="53" xfId="0" applyFont="1" applyBorder="1" applyAlignment="1">
      <alignment horizontal="center" vertical="center"/>
    </xf>
    <xf numFmtId="0" fontId="44" fillId="0" borderId="22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181" fontId="50" fillId="0" borderId="42" xfId="0" applyNumberFormat="1" applyFont="1" applyBorder="1" applyAlignment="1">
      <alignment horizontal="left" vertical="center"/>
    </xf>
    <xf numFmtId="181" fontId="50" fillId="0" borderId="43" xfId="0" applyNumberFormat="1" applyFont="1" applyBorder="1" applyAlignment="1">
      <alignment horizontal="left" vertical="center"/>
    </xf>
    <xf numFmtId="181" fontId="50" fillId="0" borderId="44" xfId="0" applyNumberFormat="1" applyFont="1" applyBorder="1" applyAlignment="1">
      <alignment horizontal="left" vertical="center"/>
    </xf>
    <xf numFmtId="0" fontId="46" fillId="0" borderId="83" xfId="0" applyFont="1" applyBorder="1" applyAlignment="1">
      <alignment horizontal="center" vertical="center"/>
    </xf>
    <xf numFmtId="0" fontId="51" fillId="0" borderId="24" xfId="0" applyFont="1" applyBorder="1" applyAlignment="1">
      <alignment horizontal="left" vertical="center"/>
    </xf>
    <xf numFmtId="0" fontId="51" fillId="0" borderId="83" xfId="0" applyFont="1" applyBorder="1" applyAlignment="1">
      <alignment horizontal="center" vertical="center"/>
    </xf>
    <xf numFmtId="0" fontId="51" fillId="29" borderId="19" xfId="0" applyFont="1" applyFill="1" applyBorder="1" applyAlignment="1">
      <alignment horizontal="center" vertical="center"/>
    </xf>
    <xf numFmtId="0" fontId="51" fillId="0" borderId="83" xfId="0" applyFont="1" applyBorder="1" applyAlignment="1">
      <alignment horizontal="center" vertical="center" wrapText="1"/>
    </xf>
    <xf numFmtId="0" fontId="67" fillId="0" borderId="0" xfId="158" applyFont="1" applyFill="1" applyAlignment="1">
      <alignment horizontal="center" vertical="top" wrapText="1"/>
    </xf>
    <xf numFmtId="0" fontId="68" fillId="0" borderId="61" xfId="0" applyFont="1" applyBorder="1" applyAlignment="1">
      <alignment horizontal="left" vertical="center" wrapText="1"/>
    </xf>
    <xf numFmtId="0" fontId="68" fillId="0" borderId="62" xfId="0" applyFont="1" applyBorder="1" applyAlignment="1">
      <alignment horizontal="left" vertical="center"/>
    </xf>
    <xf numFmtId="0" fontId="68" fillId="0" borderId="65" xfId="0" applyFont="1" applyBorder="1" applyAlignment="1" applyProtection="1">
      <alignment horizontal="center" vertical="center"/>
      <protection locked="0"/>
    </xf>
    <xf numFmtId="0" fontId="68" fillId="0" borderId="69" xfId="0" applyFont="1" applyBorder="1" applyAlignment="1" applyProtection="1">
      <alignment horizontal="center" vertical="center"/>
      <protection locked="0"/>
    </xf>
    <xf numFmtId="0" fontId="68" fillId="0" borderId="72" xfId="0" applyFont="1" applyBorder="1" applyAlignment="1" applyProtection="1">
      <alignment horizontal="center" vertical="center"/>
      <protection locked="0"/>
    </xf>
    <xf numFmtId="0" fontId="68" fillId="0" borderId="69" xfId="0" applyFont="1" applyBorder="1" applyProtection="1">
      <protection locked="0"/>
    </xf>
    <xf numFmtId="0" fontId="68" fillId="0" borderId="72" xfId="0" applyFont="1" applyBorder="1" applyProtection="1"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5" fillId="0" borderId="0" xfId="0" applyFont="1" applyAlignment="1">
      <alignment horizontal="left" vertical="center" wrapText="1"/>
    </xf>
    <xf numFmtId="0" fontId="70" fillId="0" borderId="69" xfId="0" applyFont="1" applyBorder="1" applyAlignment="1" applyProtection="1">
      <alignment horizontal="center" vertical="center"/>
      <protection locked="0"/>
    </xf>
    <xf numFmtId="0" fontId="70" fillId="0" borderId="74" xfId="0" applyFont="1" applyBorder="1" applyAlignment="1" applyProtection="1">
      <alignment horizontal="center" vertical="center"/>
      <protection locked="0"/>
    </xf>
    <xf numFmtId="0" fontId="46" fillId="0" borderId="83" xfId="0" applyFont="1" applyBorder="1" applyAlignment="1">
      <alignment horizontal="center" vertical="center" wrapText="1"/>
    </xf>
    <xf numFmtId="0" fontId="0" fillId="0" borderId="8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56" fillId="0" borderId="83" xfId="0" applyFont="1" applyBorder="1" applyAlignment="1">
      <alignment horizontal="center" vertical="center"/>
    </xf>
    <xf numFmtId="0" fontId="65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46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0" fillId="35" borderId="83" xfId="0" applyFill="1" applyBorder="1" applyAlignment="1">
      <alignment horizontal="center" vertical="center"/>
    </xf>
    <xf numFmtId="0" fontId="0" fillId="35" borderId="56" xfId="0" applyFill="1" applyBorder="1" applyAlignment="1">
      <alignment horizontal="center" vertical="center"/>
    </xf>
    <xf numFmtId="0" fontId="0" fillId="35" borderId="57" xfId="0" applyFill="1" applyBorder="1" applyAlignment="1">
      <alignment horizontal="center" vertical="center"/>
    </xf>
    <xf numFmtId="0" fontId="0" fillId="35" borderId="32" xfId="0" applyFill="1" applyBorder="1" applyAlignment="1">
      <alignment horizontal="center" vertical="center"/>
    </xf>
    <xf numFmtId="0" fontId="0" fillId="0" borderId="83" xfId="0" applyBorder="1" applyAlignment="1">
      <alignment horizontal="center" vertical="center" wrapText="1"/>
    </xf>
  </cellXfs>
  <cellStyles count="4840">
    <cellStyle name="1-1" xfId="159" xr:uid="{A20FED22-1485-4DDA-A58D-05A21F387A0A}"/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20% - 강조색1 10" xfId="163" xr:uid="{C3B6E229-E85B-4D20-AA40-8BDE201B8014}"/>
    <cellStyle name="20% - 강조색1 10 2" xfId="164" xr:uid="{BEFAC2D9-E276-42D8-8CD2-B4BD875BBB8C}"/>
    <cellStyle name="20% - 강조색1 11" xfId="165" xr:uid="{3EDB36CB-10DA-42D4-BB85-3BB4C5FDDEF5}"/>
    <cellStyle name="20% - 강조색1 11 2" xfId="166" xr:uid="{17922B9A-809B-41D4-B3A4-C6DC9A6A3812}"/>
    <cellStyle name="20% - 강조색1 12" xfId="167" xr:uid="{06714188-3372-458A-B38D-C12E1560E05E}"/>
    <cellStyle name="20% - 강조색1 12 2" xfId="168" xr:uid="{48E2C72D-DFFF-4370-84DB-3958A612C67C}"/>
    <cellStyle name="20% - 강조색1 13" xfId="169" xr:uid="{E1E94FF0-E0E9-43CE-8FC7-9074D0ECCA4C}"/>
    <cellStyle name="20% - 강조색1 13 2" xfId="170" xr:uid="{D068EDE2-7147-4D21-8E69-A72DDC016F2D}"/>
    <cellStyle name="20% - 강조색1 14" xfId="171" xr:uid="{EE655E2B-8AB0-414D-8B33-EFA7D6D0EF13}"/>
    <cellStyle name="20% - 강조색1 14 2" xfId="172" xr:uid="{9F12423C-7B30-462F-9656-2DD755C20429}"/>
    <cellStyle name="20% - 강조색1 15" xfId="173" xr:uid="{76182B88-7F1D-404C-A919-555CFB861055}"/>
    <cellStyle name="20% - 강조색1 15 2" xfId="174" xr:uid="{B6D106C3-E622-4CF5-8BFF-092E1A7B3F5E}"/>
    <cellStyle name="20% - 강조색1 16" xfId="175" xr:uid="{62654F82-8196-4434-ADC6-EC4C77BD6DBF}"/>
    <cellStyle name="20% - 강조색1 16 2" xfId="176" xr:uid="{280E5FC2-5ECD-491A-B030-C82FDF08C184}"/>
    <cellStyle name="20% - 강조색1 17" xfId="177" xr:uid="{27544570-E184-4D03-96CE-CB02EB31E865}"/>
    <cellStyle name="20% - 강조색1 17 2" xfId="178" xr:uid="{B0372046-B802-4918-B695-CCCD2BBD79D5}"/>
    <cellStyle name="20% - 강조색1 18" xfId="179" xr:uid="{1A77432A-CDE0-40EB-8E22-3DC3A24B5B27}"/>
    <cellStyle name="20% - 강조색1 18 2" xfId="180" xr:uid="{E00FC345-03F7-4C9C-A044-31F8DCAF6139}"/>
    <cellStyle name="20% - 강조색1 19" xfId="181" xr:uid="{377D11FD-EB93-4D76-BD76-4E4CF8DFA28A}"/>
    <cellStyle name="20% - 강조색1 19 2" xfId="182" xr:uid="{A54DC36F-6FDA-4E75-BD4C-9E89266B2271}"/>
    <cellStyle name="20% - 강조색1 2" xfId="183" xr:uid="{01D67FF2-DC9F-4AC5-9698-63B128DD24CE}"/>
    <cellStyle name="20% - 강조색1 2 2" xfId="184" xr:uid="{A653E722-E373-435F-A48D-F9BA8E0AF88C}"/>
    <cellStyle name="20% - 강조색1 20" xfId="185" xr:uid="{45B411BA-E1E9-4451-9FB7-7D22B0CEED0C}"/>
    <cellStyle name="20% - 강조색1 20 2" xfId="186" xr:uid="{468172F2-31D7-4E6B-8DB0-3B9C0B94E7F9}"/>
    <cellStyle name="20% - 강조색1 21" xfId="187" xr:uid="{132ACC20-99B1-474C-892F-F80D276EE218}"/>
    <cellStyle name="20% - 강조색1 21 2" xfId="188" xr:uid="{EDE0B56E-90EC-45BE-802D-29F24C755669}"/>
    <cellStyle name="20% - 강조색1 22" xfId="189" xr:uid="{BD90F1DC-EFE6-4DE7-A180-DC12C97F9928}"/>
    <cellStyle name="20% - 강조색1 22 2" xfId="190" xr:uid="{D656C667-52BE-4264-85D8-FAFE2EE19E30}"/>
    <cellStyle name="20% - 강조색1 23" xfId="191" xr:uid="{E8B9C361-3D33-4017-9A93-4FE8418BF3A7}"/>
    <cellStyle name="20% - 강조색1 23 2" xfId="192" xr:uid="{B40ADD6C-E62A-48D9-88CA-F5E99E6E0FF8}"/>
    <cellStyle name="20% - 강조색1 24" xfId="193" xr:uid="{6268E457-BC3D-41DA-A6EB-2293C8BFA824}"/>
    <cellStyle name="20% - 강조색1 24 2" xfId="194" xr:uid="{EBAC46B1-12FB-485B-B5F4-CD85AE62C2D9}"/>
    <cellStyle name="20% - 강조색1 25" xfId="195" xr:uid="{EADA1935-E9C7-476E-ADBE-AF37690A1F37}"/>
    <cellStyle name="20% - 강조색1 25 2" xfId="196" xr:uid="{20657B66-E783-4494-8FFC-DEED7130F7CD}"/>
    <cellStyle name="20% - 강조색1 26" xfId="197" xr:uid="{A27AB03E-8F72-4F86-9BC0-C84477D179D0}"/>
    <cellStyle name="20% - 강조색1 26 2" xfId="198" xr:uid="{32345E23-2D76-4942-A747-ADB258E3601A}"/>
    <cellStyle name="20% - 강조색1 27" xfId="199" xr:uid="{B1EE577C-8C34-40EC-8A2F-1026FF6F2A7F}"/>
    <cellStyle name="20% - 강조색1 27 2" xfId="200" xr:uid="{22D2BD8F-78FF-407A-8146-419FB326FDCA}"/>
    <cellStyle name="20% - 강조색1 28" xfId="201" xr:uid="{A5707FD9-BC2E-42D1-87F5-B2B290B14839}"/>
    <cellStyle name="20% - 강조색1 28 2" xfId="202" xr:uid="{6BB50273-6164-42AB-BFA6-FF3DBEFE21A8}"/>
    <cellStyle name="20% - 강조색1 29" xfId="203" xr:uid="{32558459-12F0-4920-95C1-9A71F5C9712A}"/>
    <cellStyle name="20% - 강조색1 29 2" xfId="204" xr:uid="{60AEB2C0-1EFB-4F76-8BE5-F58DA4057B3C}"/>
    <cellStyle name="20% - 강조색1 3" xfId="205" xr:uid="{96A3AB72-4569-4068-90A8-E68836D89F68}"/>
    <cellStyle name="20% - 강조색1 3 2" xfId="206" xr:uid="{E3F87189-82C4-404E-93A5-92A85FADF4F7}"/>
    <cellStyle name="20% - 강조색1 30" xfId="207" xr:uid="{884BCF1C-688B-4232-BF24-29D1B0E55876}"/>
    <cellStyle name="20% - 강조색1 30 2" xfId="208" xr:uid="{9C594FE9-2F2F-4D64-BCF0-46780A5CC82E}"/>
    <cellStyle name="20% - 강조색1 31" xfId="209" xr:uid="{AF0D8297-A02D-423B-B267-9E2384929FF2}"/>
    <cellStyle name="20% - 강조색1 31 2" xfId="210" xr:uid="{4F0306B2-BD54-42C3-9CB8-11C61B723629}"/>
    <cellStyle name="20% - 강조색1 32" xfId="211" xr:uid="{41D1EE8B-A3D4-4EBB-B6B3-FFEF160A4E9B}"/>
    <cellStyle name="20% - 강조색1 32 2" xfId="212" xr:uid="{36CCDFD8-0632-40A9-B42D-0751ECD62079}"/>
    <cellStyle name="20% - 강조색1 33" xfId="213" xr:uid="{2B836CE0-7410-4A64-9E3D-52FA24385D87}"/>
    <cellStyle name="20% - 강조색1 33 2" xfId="214" xr:uid="{A279F314-E59F-42BC-A8FF-1A8BDE61B2A2}"/>
    <cellStyle name="20% - 강조색1 34" xfId="215" xr:uid="{45FD3B21-6762-424D-AEEA-B7078570D09C}"/>
    <cellStyle name="20% - 강조색1 34 2" xfId="216" xr:uid="{9D13F837-42E2-4FA1-ABB8-E24188CCD728}"/>
    <cellStyle name="20% - 강조색1 35" xfId="217" xr:uid="{649CBA64-000E-43DB-840F-FF771C93EF48}"/>
    <cellStyle name="20% - 강조색1 35 2" xfId="218" xr:uid="{CF169661-1708-4184-B659-DD2FBAC89182}"/>
    <cellStyle name="20% - 강조색1 36" xfId="219" xr:uid="{01F38908-77DB-4DF4-965C-267CC1618D54}"/>
    <cellStyle name="20% - 강조색1 36 2" xfId="220" xr:uid="{C9FD5857-24F8-4EE2-92FC-33EC7060F595}"/>
    <cellStyle name="20% - 강조색1 37" xfId="221" xr:uid="{C818153C-C87D-498F-82AF-89E70C00F451}"/>
    <cellStyle name="20% - 강조색1 37 2" xfId="222" xr:uid="{6DEB23D6-1A7C-4E06-9B1F-60503FC2222F}"/>
    <cellStyle name="20% - 강조색1 38" xfId="223" xr:uid="{F1E64B1E-FBF0-42D6-B5E7-2CD4C6B9946A}"/>
    <cellStyle name="20% - 강조색1 38 2" xfId="224" xr:uid="{D5B1131B-2C19-4AE4-94AB-74567F3072AE}"/>
    <cellStyle name="20% - 강조색1 39" xfId="225" xr:uid="{E92F9ABF-8DB2-4783-9616-EC86C8A29703}"/>
    <cellStyle name="20% - 강조색1 39 2" xfId="226" xr:uid="{4F6A697F-BF5A-427D-A680-AEFEB1FB13FA}"/>
    <cellStyle name="20% - 강조색1 4" xfId="227" xr:uid="{A7EB3930-3C4A-4060-B6FA-77A7699F6F0D}"/>
    <cellStyle name="20% - 강조색1 4 2" xfId="228" xr:uid="{C8BBC760-67EC-409D-B1C9-C4E9A4CB6AEC}"/>
    <cellStyle name="20% - 강조색1 40" xfId="229" xr:uid="{F92F1949-92D7-4702-8526-2499B19A5517}"/>
    <cellStyle name="20% - 강조색1 40 2" xfId="230" xr:uid="{9CE06000-5B95-4426-A92C-7E0A521E3802}"/>
    <cellStyle name="20% - 강조색1 41" xfId="231" xr:uid="{DF93FED0-F5AC-4AAE-9653-6A3CFEDD3929}"/>
    <cellStyle name="20% - 강조색1 41 2" xfId="232" xr:uid="{53A7D4BC-921C-4255-93FF-3159132D58BB}"/>
    <cellStyle name="20% - 강조색1 42" xfId="233" xr:uid="{D696D455-33BE-4C90-B196-00B0EF02FEFE}"/>
    <cellStyle name="20% - 강조색1 42 2" xfId="234" xr:uid="{89E6F747-B73E-460B-A93E-A069C3056BAE}"/>
    <cellStyle name="20% - 강조색1 43" xfId="235" xr:uid="{E298434A-1F6A-4445-B101-0190AE933A25}"/>
    <cellStyle name="20% - 강조색1 43 2" xfId="236" xr:uid="{385FA29F-20A7-4BCC-8841-C5AE2AB9D029}"/>
    <cellStyle name="20% - 강조색1 44" xfId="237" xr:uid="{CCD4A763-3CCB-41CB-94E2-22F365F922CD}"/>
    <cellStyle name="20% - 강조색1 45" xfId="238" xr:uid="{6A926FC6-60E2-4563-BB84-91C2FBAB2A51}"/>
    <cellStyle name="20% - 강조색1 46" xfId="239" xr:uid="{3324509D-7B9E-40F1-BCFB-F807206D38D1}"/>
    <cellStyle name="20% - 강조색1 47" xfId="240" xr:uid="{95800805-9959-4E19-9F7E-2D422C97771D}"/>
    <cellStyle name="20% - 강조색1 48" xfId="241" xr:uid="{F43C1E56-E7A7-4975-8019-D261EDB543D0}"/>
    <cellStyle name="20% - 강조색1 49" xfId="242" xr:uid="{1656D915-EE78-43A2-ABA6-52BB6AF3FB40}"/>
    <cellStyle name="20% - 강조색1 5" xfId="243" xr:uid="{0429BB17-EE3D-4101-8ED7-E5D1896C8E4D}"/>
    <cellStyle name="20% - 강조색1 5 2" xfId="244" xr:uid="{74ABF8C1-8E53-4D1E-B5FB-8BC780D8DF74}"/>
    <cellStyle name="20% - 강조색1 50" xfId="245" xr:uid="{24E70F16-A320-4544-A2E5-7F0C041B651C}"/>
    <cellStyle name="20% - 강조색1 51" xfId="3965" xr:uid="{B0CE0DBD-9542-4433-9297-677F1665AA48}"/>
    <cellStyle name="20% - 강조색1 51 2" xfId="4080" xr:uid="{467222D0-15D4-41C8-B84D-6C0A6E80A534}"/>
    <cellStyle name="20% - 강조색1 51 2 2" xfId="4284" xr:uid="{CF8C77EF-ED05-4FE1-B301-EB31AB20E4E5}"/>
    <cellStyle name="20% - 강조색1 51 2 2 2" xfId="4588" xr:uid="{32A5C004-3A1D-4960-AFA3-7E8EDECC8C8D}"/>
    <cellStyle name="20% - 강조색1 51 2 3" xfId="4456" xr:uid="{A309D619-77B4-48B0-874B-613FB85CA92A}"/>
    <cellStyle name="20% - 강조색1 51 3" xfId="4271" xr:uid="{1ECB541C-AE59-4C49-BA3C-2DFC2C0DC50C}"/>
    <cellStyle name="20% - 강조색1 51 3 2" xfId="4575" xr:uid="{F466265E-1C41-45A7-A6A1-E01BE242CBC5}"/>
    <cellStyle name="20% - 강조색1 51 4" xfId="4443" xr:uid="{792FE65D-9154-4958-BD75-5905E7942AC0}"/>
    <cellStyle name="20% - 강조색1 52" xfId="4097" xr:uid="{857FAD50-254B-40AE-841C-AC2E123B0259}"/>
    <cellStyle name="20% - 강조색1 52 2" xfId="4301" xr:uid="{E254E8F1-D03C-4780-AE43-F8366B65EAE6}"/>
    <cellStyle name="20% - 강조색1 52 2 2" xfId="4605" xr:uid="{C61867E6-0F40-4927-BE97-BDCE9AC304BA}"/>
    <cellStyle name="20% - 강조색1 52 3" xfId="4473" xr:uid="{A07570DA-9797-405D-8532-610F97354923}"/>
    <cellStyle name="20% - 강조색1 53" xfId="4129" xr:uid="{48666B30-BEEB-4612-BEA5-ABE033143221}"/>
    <cellStyle name="20% - 강조색1 53 2" xfId="4317" xr:uid="{078410ED-4152-45A1-913F-2E81AB729D83}"/>
    <cellStyle name="20% - 강조색1 53 2 2" xfId="4621" xr:uid="{B00293A3-2EC8-4CBA-BDF6-5B3AA98CEF53}"/>
    <cellStyle name="20% - 강조색1 53 3" xfId="4489" xr:uid="{374CD671-DF25-4DE0-A84F-A46E64C20F9B}"/>
    <cellStyle name="20% - 강조색1 54" xfId="4155" xr:uid="{61547826-1C49-44D5-B506-6807373B0A8D}"/>
    <cellStyle name="20% - 강조색1 54 2" xfId="4331" xr:uid="{4AF7BBBB-7CBF-41F9-A9C0-11D361B33D82}"/>
    <cellStyle name="20% - 강조색1 54 2 2" xfId="4635" xr:uid="{6997F18A-4815-4873-9971-5D6F14E2D4BF}"/>
    <cellStyle name="20% - 강조색1 54 3" xfId="4503" xr:uid="{A05B4CF2-5D45-4565-B98B-B320ECA3AF2B}"/>
    <cellStyle name="20% - 강조색1 55" xfId="4169" xr:uid="{E93421ED-35D0-479E-B2A8-044E80109BC3}"/>
    <cellStyle name="20% - 강조색1 55 2" xfId="4345" xr:uid="{5801591A-BE4E-4E7E-AB76-DF7913FD1C14}"/>
    <cellStyle name="20% - 강조색1 55 2 2" xfId="4649" xr:uid="{E597E498-A5B8-45C5-A53D-655FD89459DF}"/>
    <cellStyle name="20% - 강조색1 55 3" xfId="4517" xr:uid="{A7D187C9-A4FF-4B0D-827A-AD18A9756008}"/>
    <cellStyle name="20% - 강조색1 56" xfId="4183" xr:uid="{A5A8BCD3-D236-4D29-B1A0-B4384540137E}"/>
    <cellStyle name="20% - 강조색1 56 2" xfId="4359" xr:uid="{1398269A-72EC-4834-B248-431503635509}"/>
    <cellStyle name="20% - 강조색1 56 2 2" xfId="4663" xr:uid="{BD61D11C-5DE6-4D96-B43F-1D0EA508641E}"/>
    <cellStyle name="20% - 강조색1 56 3" xfId="4531" xr:uid="{090C45A3-76F0-408D-8955-C4A526A712A3}"/>
    <cellStyle name="20% - 강조색1 57" xfId="4198" xr:uid="{096368E1-E955-49A5-B0C0-A2143685CC94}"/>
    <cellStyle name="20% - 강조색1 57 2" xfId="4373" xr:uid="{8BC4F59C-7797-47DF-8977-87EF7C0C3434}"/>
    <cellStyle name="20% - 강조색1 57 2 2" xfId="4677" xr:uid="{0C067E32-591E-4ED4-B429-52D36293C1BE}"/>
    <cellStyle name="20% - 강조색1 57 3" xfId="4545" xr:uid="{25FBD4ED-7FC2-451D-904D-C79F16640B98}"/>
    <cellStyle name="20% - 강조색1 58" xfId="4212" xr:uid="{4CAA6BEF-8887-4614-87BC-60802916D9C8}"/>
    <cellStyle name="20% - 강조색1 58 2" xfId="4559" xr:uid="{42DDEEC8-07F3-4E52-9D02-47BD516218F9}"/>
    <cellStyle name="20% - 강조색1 59" xfId="4228" xr:uid="{8BF75A23-9EF5-481F-90E1-3086E2A5ABD3}"/>
    <cellStyle name="20% - 강조색1 6" xfId="246" xr:uid="{85607329-7476-4E47-8F2E-0A026492C042}"/>
    <cellStyle name="20% - 강조색1 6 2" xfId="247" xr:uid="{4FC8543D-F9B8-4A98-A0B8-04015515B5F1}"/>
    <cellStyle name="20% - 강조색1 60" xfId="4400" xr:uid="{73160FE0-C0F4-418A-AC36-C33F88172216}"/>
    <cellStyle name="20% - 강조색1 61" xfId="162" xr:uid="{E9F70609-4F51-4D8F-B5AA-924AB38B3240}"/>
    <cellStyle name="20% - 강조색1 7" xfId="248" xr:uid="{927FC89F-03D1-48A3-9CEB-99EE5437227E}"/>
    <cellStyle name="20% - 강조색1 7 2" xfId="249" xr:uid="{5E32496C-483E-45F8-BC43-ADB4DDEDBD18}"/>
    <cellStyle name="20% - 강조색1 8" xfId="250" xr:uid="{BEEB9154-EF3D-4124-B5C8-056449CB3183}"/>
    <cellStyle name="20% - 강조색1 8 2" xfId="251" xr:uid="{A5E0956A-9318-4040-A8D3-725C4BAAA675}"/>
    <cellStyle name="20% - 강조색1 9" xfId="252" xr:uid="{ECCAB0C1-3E45-4E1A-9E67-58F2BD96CEC6}"/>
    <cellStyle name="20% - 강조색1 9 2" xfId="253" xr:uid="{CD74DFA9-DD67-497C-8F45-C1963C9E6CCD}"/>
    <cellStyle name="20% - 강조색2 10" xfId="255" xr:uid="{954897A3-64EE-418D-9DA2-A661C36B50BE}"/>
    <cellStyle name="20% - 강조색2 10 2" xfId="256" xr:uid="{54E6816C-8037-49A3-960E-036ED40717B5}"/>
    <cellStyle name="20% - 강조색2 11" xfId="257" xr:uid="{B01AF78F-D5AA-4433-B508-625AE245A75A}"/>
    <cellStyle name="20% - 강조색2 11 2" xfId="258" xr:uid="{8CDF051C-608A-431C-A9C9-D0280669365B}"/>
    <cellStyle name="20% - 강조색2 12" xfId="259" xr:uid="{D6B42E15-9EA0-4413-B61B-FA2D18EDE6D2}"/>
    <cellStyle name="20% - 강조색2 12 2" xfId="260" xr:uid="{07B5D47F-1E67-40FC-A2B5-CA7F502F705F}"/>
    <cellStyle name="20% - 강조색2 13" xfId="261" xr:uid="{B51C6659-E8D3-45C0-AF7B-8472FA3D13D6}"/>
    <cellStyle name="20% - 강조색2 13 2" xfId="262" xr:uid="{B3B5B65C-5157-4984-8E68-22F0AA7C3F51}"/>
    <cellStyle name="20% - 강조색2 14" xfId="263" xr:uid="{BE746328-526A-4C2C-9068-8305DED33CD9}"/>
    <cellStyle name="20% - 강조색2 14 2" xfId="264" xr:uid="{8DFC21DF-9E09-4667-B722-F9243AA7E4C2}"/>
    <cellStyle name="20% - 강조색2 15" xfId="265" xr:uid="{546AFE09-AE1E-480C-A95F-5B419ECE9FB1}"/>
    <cellStyle name="20% - 강조색2 15 2" xfId="266" xr:uid="{6D7C91BE-E0D8-4836-B44E-D2E9D0B269AE}"/>
    <cellStyle name="20% - 강조색2 16" xfId="267" xr:uid="{C0612A6D-9759-42DC-867F-6A3D496DA7DE}"/>
    <cellStyle name="20% - 강조색2 16 2" xfId="268" xr:uid="{89568C44-5B87-4D98-A895-175725FD1A7E}"/>
    <cellStyle name="20% - 강조색2 17" xfId="269" xr:uid="{02D3D948-5E04-4411-9323-A6CAE49BC8C4}"/>
    <cellStyle name="20% - 강조색2 17 2" xfId="270" xr:uid="{ADEF5739-7F57-4B1D-AA89-CCA95285EE7C}"/>
    <cellStyle name="20% - 강조색2 18" xfId="271" xr:uid="{C99BBDEA-5D7C-4466-A981-6B24854670BE}"/>
    <cellStyle name="20% - 강조색2 18 2" xfId="272" xr:uid="{CC81E47D-3215-4814-AFE1-34B798F16781}"/>
    <cellStyle name="20% - 강조색2 19" xfId="273" xr:uid="{63AB5FF2-711F-4F6E-BBCD-1EDE6680AB68}"/>
    <cellStyle name="20% - 강조색2 19 2" xfId="274" xr:uid="{AAD19A5E-FCFA-4065-952C-7B907A7A88D1}"/>
    <cellStyle name="20% - 강조색2 2" xfId="275" xr:uid="{41790394-6D6F-4830-9568-051C2653FFE0}"/>
    <cellStyle name="20% - 강조색2 2 2" xfId="276" xr:uid="{FDE1AD40-3C86-413B-93E1-C19F221CC072}"/>
    <cellStyle name="20% - 강조색2 20" xfId="277" xr:uid="{86BB561E-8601-4183-A414-B285D5A0EB4D}"/>
    <cellStyle name="20% - 강조색2 20 2" xfId="278" xr:uid="{FEE270A6-3670-4A6D-8F92-479A992DD9E2}"/>
    <cellStyle name="20% - 강조색2 21" xfId="279" xr:uid="{F49CC1CE-3977-48F7-81AB-F9752C70EC65}"/>
    <cellStyle name="20% - 강조색2 21 2" xfId="280" xr:uid="{85FA56F5-D67A-4D05-8927-4F88A4F37C2D}"/>
    <cellStyle name="20% - 강조색2 22" xfId="281" xr:uid="{5DF99B94-6EFE-43C1-A95A-D7592EB7E388}"/>
    <cellStyle name="20% - 강조색2 22 2" xfId="282" xr:uid="{EDB243B5-5CFE-4E4D-AD2E-EEF3E5933F56}"/>
    <cellStyle name="20% - 강조색2 23" xfId="283" xr:uid="{6F7B7D30-CBD1-445E-BF67-C676EAFD4E6F}"/>
    <cellStyle name="20% - 강조색2 23 2" xfId="284" xr:uid="{664C3A26-DB40-45EF-9065-FDB0D05848EF}"/>
    <cellStyle name="20% - 강조색2 24" xfId="285" xr:uid="{A4C3A995-0777-46CC-8895-F410D7923FE3}"/>
    <cellStyle name="20% - 강조색2 24 2" xfId="286" xr:uid="{D0C7FFE4-C316-4231-AE63-1E914AD5E555}"/>
    <cellStyle name="20% - 강조색2 25" xfId="287" xr:uid="{629BE302-1116-43C5-8F9C-CE6833046E55}"/>
    <cellStyle name="20% - 강조색2 25 2" xfId="288" xr:uid="{AA012410-2BB4-4FC3-91AA-9439C0284807}"/>
    <cellStyle name="20% - 강조색2 26" xfId="289" xr:uid="{B7BDCAA4-3632-4275-8E32-2BFD55B72E72}"/>
    <cellStyle name="20% - 강조색2 26 2" xfId="290" xr:uid="{251A5E6F-583F-4BFB-9945-8E9F87C16AE3}"/>
    <cellStyle name="20% - 강조색2 27" xfId="291" xr:uid="{3D7EAC63-0A4F-48E5-9D1E-6F27F6DDE2BE}"/>
    <cellStyle name="20% - 강조색2 27 2" xfId="292" xr:uid="{083F8223-D810-40B6-BD0A-FD0B42FD04BA}"/>
    <cellStyle name="20% - 강조색2 28" xfId="293" xr:uid="{9AD7F6D1-142D-4E61-A385-5892A70E0A15}"/>
    <cellStyle name="20% - 강조색2 28 2" xfId="294" xr:uid="{36125E73-DBA6-4B29-83D9-37E1CF69253B}"/>
    <cellStyle name="20% - 강조색2 29" xfId="295" xr:uid="{F9A619F5-6962-45E6-8D94-C146F0471FB5}"/>
    <cellStyle name="20% - 강조색2 29 2" xfId="296" xr:uid="{F8EC733F-8229-4F89-91D5-0C2A1169C597}"/>
    <cellStyle name="20% - 강조색2 3" xfId="297" xr:uid="{4D3760AC-0E09-47ED-94D3-E187A7F7A9E1}"/>
    <cellStyle name="20% - 강조색2 3 2" xfId="298" xr:uid="{2F88892B-BB45-44BE-9455-2D22A25678AE}"/>
    <cellStyle name="20% - 강조색2 30" xfId="299" xr:uid="{43811812-BBD5-467C-8E60-1C29946C8243}"/>
    <cellStyle name="20% - 강조색2 30 2" xfId="300" xr:uid="{22F5CB5E-4DAC-4A25-92FD-7B99F552DB47}"/>
    <cellStyle name="20% - 강조색2 31" xfId="301" xr:uid="{14B8E9BC-E38E-43F2-8F34-31BA5D838C1B}"/>
    <cellStyle name="20% - 강조색2 31 2" xfId="302" xr:uid="{257FF77D-A5CF-4782-B6BB-E9D52B2C8906}"/>
    <cellStyle name="20% - 강조색2 32" xfId="303" xr:uid="{AD96759F-1115-402E-AD90-C67042D11EEC}"/>
    <cellStyle name="20% - 강조색2 32 2" xfId="304" xr:uid="{8C0DC4F8-EA6B-4F62-B96A-CADCD372509F}"/>
    <cellStyle name="20% - 강조색2 33" xfId="305" xr:uid="{0ACD2701-C3A4-40E1-976A-BEF3E44836D3}"/>
    <cellStyle name="20% - 강조색2 33 2" xfId="306" xr:uid="{F1C867A0-6D59-42A0-87D2-9B0D8921FBD0}"/>
    <cellStyle name="20% - 강조색2 34" xfId="307" xr:uid="{E3027159-9AEA-4ED1-BE6F-F4D2DCCDFB86}"/>
    <cellStyle name="20% - 강조색2 34 2" xfId="308" xr:uid="{B32D6E46-0334-4D04-A860-DB6FD67C4E59}"/>
    <cellStyle name="20% - 강조색2 35" xfId="309" xr:uid="{EAD08FCC-C91A-4BF5-9C3C-F7C8E954AA4F}"/>
    <cellStyle name="20% - 강조색2 35 2" xfId="310" xr:uid="{790C151B-2DB4-4F7F-8096-DFA99DBA70A5}"/>
    <cellStyle name="20% - 강조색2 36" xfId="311" xr:uid="{94A319A5-EB57-4E0F-B732-19E10EDA11E2}"/>
    <cellStyle name="20% - 강조색2 36 2" xfId="312" xr:uid="{FBFA08B2-9053-46C3-86FB-09623C0C5C3C}"/>
    <cellStyle name="20% - 강조색2 37" xfId="313" xr:uid="{2EFB9F7C-1D6C-4B06-BBA7-6D95F588B105}"/>
    <cellStyle name="20% - 강조색2 37 2" xfId="314" xr:uid="{621E63F7-5377-4C4F-9BE7-3E5A4AE3DDD3}"/>
    <cellStyle name="20% - 강조색2 38" xfId="315" xr:uid="{21BAB67A-420F-41C1-8E26-48090C346555}"/>
    <cellStyle name="20% - 강조색2 38 2" xfId="316" xr:uid="{6A759C8B-4757-490E-910C-6178B8676F8D}"/>
    <cellStyle name="20% - 강조색2 39" xfId="317" xr:uid="{95E7E124-A26A-41C1-886F-EA51E2E01D45}"/>
    <cellStyle name="20% - 강조색2 39 2" xfId="318" xr:uid="{531A8C5C-A075-4A73-85B7-4D9C442B6728}"/>
    <cellStyle name="20% - 강조색2 4" xfId="319" xr:uid="{C737BA88-3B25-47B0-ADEF-D31E11BADEC7}"/>
    <cellStyle name="20% - 강조색2 4 2" xfId="320" xr:uid="{C1482476-EE17-4CCC-9FE3-8462F6E71B7F}"/>
    <cellStyle name="20% - 강조색2 40" xfId="321" xr:uid="{7F20FDEF-4222-4DD4-B2F3-B495A808B908}"/>
    <cellStyle name="20% - 강조색2 40 2" xfId="322" xr:uid="{07C604C6-68D7-470B-AD36-6BEE61A83629}"/>
    <cellStyle name="20% - 강조색2 41" xfId="323" xr:uid="{493CC375-564A-41B3-BEB2-BE37F3C5BB33}"/>
    <cellStyle name="20% - 강조색2 41 2" xfId="324" xr:uid="{D05C4B34-7A9F-4DEF-8B0C-60107C206380}"/>
    <cellStyle name="20% - 강조색2 42" xfId="325" xr:uid="{E915C2B3-24DD-4009-BF51-4F75883C3CBC}"/>
    <cellStyle name="20% - 강조색2 42 2" xfId="326" xr:uid="{1B789869-D42D-4F6F-BDEB-D2EE633A6D1F}"/>
    <cellStyle name="20% - 강조색2 43" xfId="327" xr:uid="{5FD63FDD-CBA8-4718-A489-C00A8DEE7856}"/>
    <cellStyle name="20% - 강조색2 43 2" xfId="328" xr:uid="{4C6BF102-4027-4A59-8B6F-4D30305B9C00}"/>
    <cellStyle name="20% - 강조색2 44" xfId="329" xr:uid="{3C298AE2-F370-4D42-9576-58856F2A99EE}"/>
    <cellStyle name="20% - 강조색2 45" xfId="330" xr:uid="{8E96463A-EF35-443C-A1E1-7FFE2A5014C2}"/>
    <cellStyle name="20% - 강조색2 46" xfId="331" xr:uid="{D392B005-4D27-45BD-A581-0935E6CC63BE}"/>
    <cellStyle name="20% - 강조색2 47" xfId="332" xr:uid="{70875737-CD70-47E9-A4D9-5CD8F999067C}"/>
    <cellStyle name="20% - 강조색2 48" xfId="333" xr:uid="{7C1B0195-2053-47E1-A84F-9D83C3107D6F}"/>
    <cellStyle name="20% - 강조색2 49" xfId="334" xr:uid="{407B8159-A725-4144-8EE7-A6AF59CB05EB}"/>
    <cellStyle name="20% - 강조색2 5" xfId="335" xr:uid="{73D77727-213F-4F29-A0B4-FD363958FF0B}"/>
    <cellStyle name="20% - 강조색2 5 2" xfId="336" xr:uid="{CE347334-4C8F-4DDB-B097-2F8A0FF62D29}"/>
    <cellStyle name="20% - 강조색2 50" xfId="337" xr:uid="{649B184D-768F-4745-925A-784388CF2FB7}"/>
    <cellStyle name="20% - 강조색2 51" xfId="3969" xr:uid="{6E18A505-704D-4C0D-9761-DE17BA47B6B7}"/>
    <cellStyle name="20% - 강조색2 51 2" xfId="4082" xr:uid="{3279D769-9EF4-4F59-8060-C67F1BD6916B}"/>
    <cellStyle name="20% - 강조색2 51 2 2" xfId="4286" xr:uid="{6C813A42-021B-4C06-A136-74CE584F66C7}"/>
    <cellStyle name="20% - 강조색2 51 2 2 2" xfId="4590" xr:uid="{5BFA76F3-30EC-4923-B023-0960E1DBA7D1}"/>
    <cellStyle name="20% - 강조색2 51 2 3" xfId="4458" xr:uid="{1E623299-F62A-4392-A88B-AFE8CF0DB013}"/>
    <cellStyle name="20% - 강조색2 51 3" xfId="4273" xr:uid="{8AA9AC43-D500-487A-B6C9-B4E8173EA6C2}"/>
    <cellStyle name="20% - 강조색2 51 3 2" xfId="4577" xr:uid="{AE450FAD-CF85-4C5B-9A21-39A08AACF986}"/>
    <cellStyle name="20% - 강조색2 51 4" xfId="4445" xr:uid="{6CC20ACC-FC59-4B7E-B44B-50E8B7D8AE83}"/>
    <cellStyle name="20% - 강조색2 52" xfId="4099" xr:uid="{3F39CB08-4244-4BA6-96A1-5D94A25769F5}"/>
    <cellStyle name="20% - 강조색2 52 2" xfId="4303" xr:uid="{85C69172-4D1A-4462-820E-2A0DAA47D288}"/>
    <cellStyle name="20% - 강조색2 52 2 2" xfId="4607" xr:uid="{89CBC643-037E-4F98-B505-039025E716F0}"/>
    <cellStyle name="20% - 강조색2 52 3" xfId="4475" xr:uid="{B30ED11E-EB7F-4F03-A015-9EE85FA812E8}"/>
    <cellStyle name="20% - 강조색2 53" xfId="4133" xr:uid="{C9A145C5-44B2-4BAD-A3D2-32B61072F43C}"/>
    <cellStyle name="20% - 강조색2 53 2" xfId="4319" xr:uid="{61318933-D30E-4E67-92F3-5AB4C211FEE3}"/>
    <cellStyle name="20% - 강조색2 53 2 2" xfId="4623" xr:uid="{C98BF113-A0B7-4DCD-862F-27ACFF91EEF4}"/>
    <cellStyle name="20% - 강조색2 53 3" xfId="4491" xr:uid="{C09C58F5-1D86-4F85-8252-0F5DE2B2333C}"/>
    <cellStyle name="20% - 강조색2 54" xfId="4157" xr:uid="{9E52B499-F03F-4FE8-97A8-AE46B78A89BF}"/>
    <cellStyle name="20% - 강조색2 54 2" xfId="4333" xr:uid="{9A6ABDEA-30F8-494D-8ECD-BF760F99EAAA}"/>
    <cellStyle name="20% - 강조색2 54 2 2" xfId="4637" xr:uid="{9F6CA938-BAE6-4EC2-997E-A815C1C36F14}"/>
    <cellStyle name="20% - 강조색2 54 3" xfId="4505" xr:uid="{CD8633D7-2172-45C9-982C-B99CDF339C0D}"/>
    <cellStyle name="20% - 강조색2 55" xfId="4171" xr:uid="{CA1A3512-3522-4579-8384-6CF9EDB21080}"/>
    <cellStyle name="20% - 강조색2 55 2" xfId="4347" xr:uid="{48F8715F-1DF9-4BDC-962E-0191428D6A28}"/>
    <cellStyle name="20% - 강조색2 55 2 2" xfId="4651" xr:uid="{B3789779-5FD2-48E7-94B5-F6556F86654E}"/>
    <cellStyle name="20% - 강조색2 55 3" xfId="4519" xr:uid="{B9E8696D-1B9C-44D1-800D-CD7D624DA653}"/>
    <cellStyle name="20% - 강조색2 56" xfId="4185" xr:uid="{467CCB28-969C-40A9-873E-3D25C8A7D056}"/>
    <cellStyle name="20% - 강조색2 56 2" xfId="4361" xr:uid="{B4156B00-332A-45F3-AB70-10C94F9CEBEA}"/>
    <cellStyle name="20% - 강조색2 56 2 2" xfId="4665" xr:uid="{65BE4531-DBEA-4324-B057-E903D6855C7B}"/>
    <cellStyle name="20% - 강조색2 56 3" xfId="4533" xr:uid="{5AADFB06-EAB6-4132-A8FF-35212E8FAD5B}"/>
    <cellStyle name="20% - 강조색2 57" xfId="4200" xr:uid="{6DDDD6B7-8C03-4097-9EA6-FBB95A006E48}"/>
    <cellStyle name="20% - 강조색2 57 2" xfId="4375" xr:uid="{B30FED1C-BC9E-4976-B0C6-84480644CA84}"/>
    <cellStyle name="20% - 강조색2 57 2 2" xfId="4679" xr:uid="{E0A766AA-1EF0-4F0C-9644-8A328765464E}"/>
    <cellStyle name="20% - 강조색2 57 3" xfId="4547" xr:uid="{0F158AA8-49B8-4079-810A-420D15C964EC}"/>
    <cellStyle name="20% - 강조색2 58" xfId="4214" xr:uid="{638067E6-9225-4BE7-A592-7762CC707132}"/>
    <cellStyle name="20% - 강조색2 58 2" xfId="4561" xr:uid="{20E5922D-8E04-4CEE-8AC3-C00DC634302F}"/>
    <cellStyle name="20% - 강조색2 59" xfId="4229" xr:uid="{52177B6A-CE50-4C8C-B9AC-12AF3F882D05}"/>
    <cellStyle name="20% - 강조색2 6" xfId="338" xr:uid="{48F266FE-A231-40A7-8C53-7A7FD4B8218B}"/>
    <cellStyle name="20% - 강조색2 6 2" xfId="339" xr:uid="{13CF6FCC-2588-4398-88A5-672552B5B8EF}"/>
    <cellStyle name="20% - 강조색2 60" xfId="4401" xr:uid="{172F53D9-8687-4B78-8644-5D6E700383C7}"/>
    <cellStyle name="20% - 강조색2 61" xfId="254" xr:uid="{080947DB-5EE9-45FB-8B30-009CA237C8D8}"/>
    <cellStyle name="20% - 강조색2 7" xfId="340" xr:uid="{E8FC7C46-8D24-4F7F-81B0-6B6D4C9B5F8F}"/>
    <cellStyle name="20% - 강조색2 7 2" xfId="341" xr:uid="{98CD2918-EF34-4D2E-AD05-84BD7576962F}"/>
    <cellStyle name="20% - 강조색2 8" xfId="342" xr:uid="{7B950CDE-4D23-43F0-A820-1A108E990F23}"/>
    <cellStyle name="20% - 강조색2 8 2" xfId="343" xr:uid="{2BD83A41-AE3F-435F-BB36-25A6F355DB45}"/>
    <cellStyle name="20% - 강조색2 9" xfId="344" xr:uid="{CD9967ED-12C9-4BBF-8D82-1E4AC5A885F2}"/>
    <cellStyle name="20% - 강조색2 9 2" xfId="345" xr:uid="{D7EE465C-5500-4B25-91FD-2D4235AEFADF}"/>
    <cellStyle name="20% - 강조색3 10" xfId="347" xr:uid="{03B4F0D1-0A90-4FB7-B140-5135E9D812CA}"/>
    <cellStyle name="20% - 강조색3 10 2" xfId="348" xr:uid="{3A35D7EA-A61B-489E-8A42-3630B9CFDF94}"/>
    <cellStyle name="20% - 강조색3 11" xfId="349" xr:uid="{997F85FE-9FAE-4330-866F-A08E6F9C8BDB}"/>
    <cellStyle name="20% - 강조색3 11 2" xfId="350" xr:uid="{0D3FAFEB-1DD5-4879-8E15-29CE0961ECC8}"/>
    <cellStyle name="20% - 강조색3 12" xfId="351" xr:uid="{E172C061-9C35-48CE-8899-6C5DD1AC14A0}"/>
    <cellStyle name="20% - 강조색3 12 2" xfId="352" xr:uid="{688B58B9-242A-4029-9862-9A9A5A32B06E}"/>
    <cellStyle name="20% - 강조색3 13" xfId="353" xr:uid="{3C0AAE7A-549C-4751-B72C-BC587BCE0F97}"/>
    <cellStyle name="20% - 강조색3 13 2" xfId="354" xr:uid="{0669B3FA-6451-4ECE-A7BC-DFA00089633D}"/>
    <cellStyle name="20% - 강조색3 14" xfId="355" xr:uid="{76FB9B70-14D9-4815-BD1E-BA7171D5DD6C}"/>
    <cellStyle name="20% - 강조색3 14 2" xfId="356" xr:uid="{6DFB6AE0-12C3-4CAF-AA92-F7D5DEE0F526}"/>
    <cellStyle name="20% - 강조색3 15" xfId="357" xr:uid="{0A4E81FE-679E-4F71-87D0-761BE002F6DD}"/>
    <cellStyle name="20% - 강조색3 15 2" xfId="358" xr:uid="{EBEDA903-84F2-48D1-BE85-FD6AA9BD679F}"/>
    <cellStyle name="20% - 강조색3 16" xfId="359" xr:uid="{815948F2-A1D1-44DA-863C-EE3C7C689148}"/>
    <cellStyle name="20% - 강조색3 16 2" xfId="360" xr:uid="{7D808CE0-E7E6-4AE9-93F4-570D601944DE}"/>
    <cellStyle name="20% - 강조색3 17" xfId="361" xr:uid="{E03BD9DF-5403-4F58-B497-7237E551675E}"/>
    <cellStyle name="20% - 강조색3 17 2" xfId="362" xr:uid="{95EEAFC1-AD13-4166-AD56-DFFBE033E6EE}"/>
    <cellStyle name="20% - 강조색3 18" xfId="363" xr:uid="{1597EB52-2694-41CF-9F9D-517ADDCB6F06}"/>
    <cellStyle name="20% - 강조색3 18 2" xfId="364" xr:uid="{C963B80F-B00C-4763-94E5-3D01726DBD71}"/>
    <cellStyle name="20% - 강조색3 19" xfId="365" xr:uid="{874BA291-DA66-4502-8FD7-935090F95D6E}"/>
    <cellStyle name="20% - 강조색3 19 2" xfId="366" xr:uid="{6E7543AD-5BAF-4463-8A55-83C3C4C41FDD}"/>
    <cellStyle name="20% - 강조색3 2" xfId="367" xr:uid="{66044C57-B8A8-406D-B9F9-5F9F7F2DC69D}"/>
    <cellStyle name="20% - 강조색3 2 2" xfId="368" xr:uid="{904D43DB-CC21-4D70-9618-1344240C731C}"/>
    <cellStyle name="20% - 강조색3 20" xfId="369" xr:uid="{83EB345E-5EF5-4B05-94C8-526F2C27C87E}"/>
    <cellStyle name="20% - 강조색3 20 2" xfId="370" xr:uid="{E0C092B1-AB40-42C1-A9C7-B3D3028A3BAB}"/>
    <cellStyle name="20% - 강조색3 21" xfId="371" xr:uid="{1C0D3F39-2331-4D8C-ABBA-149B258629DB}"/>
    <cellStyle name="20% - 강조색3 21 2" xfId="372" xr:uid="{93475C2C-970F-4F9A-94C6-307AE0A4BA6E}"/>
    <cellStyle name="20% - 강조색3 22" xfId="373" xr:uid="{675ABD20-DA03-4572-A222-365DC05A6596}"/>
    <cellStyle name="20% - 강조색3 22 2" xfId="374" xr:uid="{F1652F18-C0CA-40F2-862B-6E60F2AFDDDF}"/>
    <cellStyle name="20% - 강조색3 23" xfId="375" xr:uid="{03573F92-0060-401E-A8E5-04B841A8377E}"/>
    <cellStyle name="20% - 강조색3 23 2" xfId="376" xr:uid="{6F90E1FA-4F56-4240-B061-A6787F52251B}"/>
    <cellStyle name="20% - 강조색3 24" xfId="377" xr:uid="{22F8CB0D-51AD-46A2-8A0E-83E955E0D185}"/>
    <cellStyle name="20% - 강조색3 24 2" xfId="378" xr:uid="{4A04E58A-AA81-4B7A-8EDF-F66F0691C366}"/>
    <cellStyle name="20% - 강조색3 25" xfId="379" xr:uid="{2B348C01-976A-4DD3-B6D4-53004DC255D0}"/>
    <cellStyle name="20% - 강조색3 25 2" xfId="380" xr:uid="{0CE363E5-A60F-4031-AF06-1EC1BB0625DC}"/>
    <cellStyle name="20% - 강조색3 26" xfId="381" xr:uid="{63E06146-8E67-47BB-90D3-501CB616F944}"/>
    <cellStyle name="20% - 강조색3 26 2" xfId="382" xr:uid="{DE86BE02-F5DF-47DA-9149-69C2A2963ECB}"/>
    <cellStyle name="20% - 강조색3 27" xfId="383" xr:uid="{9BA66719-878D-4CC4-8539-990F1E948DA7}"/>
    <cellStyle name="20% - 강조색3 27 2" xfId="384" xr:uid="{A6E5018C-D638-4EEC-BFCB-C74047240284}"/>
    <cellStyle name="20% - 강조색3 28" xfId="385" xr:uid="{6F2BE24C-5BEE-4269-8E90-40B3516C19FA}"/>
    <cellStyle name="20% - 강조색3 28 2" xfId="386" xr:uid="{568282CD-023A-44D8-A4D1-AF6580BF7D76}"/>
    <cellStyle name="20% - 강조색3 29" xfId="387" xr:uid="{B4663642-D6AC-449D-A299-CBF6532E3639}"/>
    <cellStyle name="20% - 강조색3 29 2" xfId="388" xr:uid="{9ABC078A-A367-4266-B2B8-260B500A3123}"/>
    <cellStyle name="20% - 강조색3 3" xfId="389" xr:uid="{B1B6CD98-7BA4-45E1-A974-CA5B889B7D09}"/>
    <cellStyle name="20% - 강조색3 3 2" xfId="390" xr:uid="{EF9C4E1C-E7D6-4843-8CC1-071FC2243E46}"/>
    <cellStyle name="20% - 강조색3 30" xfId="391" xr:uid="{44182CCC-B7E5-4407-8EC6-CC1B43CF9BF3}"/>
    <cellStyle name="20% - 강조색3 30 2" xfId="392" xr:uid="{B8F5557C-9CEC-45EC-8EBD-8E371E0E1A57}"/>
    <cellStyle name="20% - 강조색3 31" xfId="393" xr:uid="{CA95A4C6-E5E3-4096-8725-7D7A7790F57A}"/>
    <cellStyle name="20% - 강조색3 31 2" xfId="394" xr:uid="{3D1DAD81-80F4-401E-AEA5-15EC4176F21A}"/>
    <cellStyle name="20% - 강조색3 32" xfId="395" xr:uid="{09F86216-2EF8-448F-B898-80A2F08C1164}"/>
    <cellStyle name="20% - 강조색3 32 2" xfId="396" xr:uid="{99C7EBAE-2D84-40CF-85EE-F4895DCC0FE7}"/>
    <cellStyle name="20% - 강조색3 33" xfId="397" xr:uid="{7D34C40E-C509-4AAE-A198-075183352FA1}"/>
    <cellStyle name="20% - 강조색3 33 2" xfId="398" xr:uid="{CABFCB87-4397-447F-8956-7EF6B619BCFC}"/>
    <cellStyle name="20% - 강조색3 34" xfId="399" xr:uid="{CC75501D-1939-4A67-B3D7-A92C0EF9FCDC}"/>
    <cellStyle name="20% - 강조색3 34 2" xfId="400" xr:uid="{DAACA47B-1AA2-48F7-9F83-8D554869FBEE}"/>
    <cellStyle name="20% - 강조색3 35" xfId="401" xr:uid="{16BC8EC1-FB6E-40C2-86F2-7742D736DE24}"/>
    <cellStyle name="20% - 강조색3 35 2" xfId="402" xr:uid="{5407E8A2-B704-464F-8BC3-7F449C7737A6}"/>
    <cellStyle name="20% - 강조색3 36" xfId="403" xr:uid="{D0ADAA99-8482-45E6-A4E9-709E8DB78E9D}"/>
    <cellStyle name="20% - 강조색3 36 2" xfId="404" xr:uid="{B8AD753D-2662-4BCD-8386-D6E10B51AD40}"/>
    <cellStyle name="20% - 강조색3 37" xfId="405" xr:uid="{2DC81178-3804-495E-9224-8AD8925B255F}"/>
    <cellStyle name="20% - 강조색3 37 2" xfId="406" xr:uid="{44E95391-1FB3-4188-880A-7E2DE43B8C32}"/>
    <cellStyle name="20% - 강조색3 38" xfId="407" xr:uid="{9F7465AA-0B6F-422C-BED5-925CB3C7FBF5}"/>
    <cellStyle name="20% - 강조색3 38 2" xfId="408" xr:uid="{7507BA5E-281B-421A-9F47-429782A37C84}"/>
    <cellStyle name="20% - 강조색3 39" xfId="409" xr:uid="{994F15C9-1233-4DBC-B874-7B995F964962}"/>
    <cellStyle name="20% - 강조색3 39 2" xfId="410" xr:uid="{74415CA2-45A6-4B7F-B470-C96D6E9CE8A1}"/>
    <cellStyle name="20% - 강조색3 4" xfId="411" xr:uid="{F0767169-3C6A-4312-9407-62FC38F66326}"/>
    <cellStyle name="20% - 강조색3 4 2" xfId="412" xr:uid="{8EC1F5E8-9495-4CE1-A6FF-EA87ADF6FE47}"/>
    <cellStyle name="20% - 강조색3 40" xfId="413" xr:uid="{AB0B4731-83FC-4456-A48B-FF862E2BFF53}"/>
    <cellStyle name="20% - 강조색3 40 2" xfId="414" xr:uid="{55498C08-E95C-468E-92B0-B43BDCD7E441}"/>
    <cellStyle name="20% - 강조색3 41" xfId="415" xr:uid="{D852A214-04F1-42F7-9F2B-163B1F736B3C}"/>
    <cellStyle name="20% - 강조색3 41 2" xfId="416" xr:uid="{4062261A-4A43-475C-95C3-563CFFC169AD}"/>
    <cellStyle name="20% - 강조색3 42" xfId="417" xr:uid="{4F2F2AE7-B49A-415E-B06F-336D21C8C033}"/>
    <cellStyle name="20% - 강조색3 42 2" xfId="418" xr:uid="{BB37766A-8CDC-44FD-9CD8-E069FCE858CD}"/>
    <cellStyle name="20% - 강조색3 43" xfId="419" xr:uid="{A573FFC3-ADD7-4D14-AEB7-854A1A3F0258}"/>
    <cellStyle name="20% - 강조색3 43 2" xfId="420" xr:uid="{2F75B821-C90A-45C1-87D7-C6FED9E1FAAC}"/>
    <cellStyle name="20% - 강조색3 44" xfId="421" xr:uid="{5DB74654-EE01-42FF-B7F3-1756A0EF3F92}"/>
    <cellStyle name="20% - 강조색3 45" xfId="422" xr:uid="{4574BDC5-E712-4F96-8F9D-8D8975EEC5F1}"/>
    <cellStyle name="20% - 강조색3 46" xfId="423" xr:uid="{BD3FA8C3-5B5A-47FB-ABB7-0C9810738576}"/>
    <cellStyle name="20% - 강조색3 47" xfId="424" xr:uid="{2AB440D1-5774-4A0C-A3A0-C4E689568204}"/>
    <cellStyle name="20% - 강조색3 48" xfId="425" xr:uid="{48EC595C-5612-4ED3-9E20-539D6DB8B77D}"/>
    <cellStyle name="20% - 강조색3 49" xfId="426" xr:uid="{616DAA39-3F73-4B98-AAEF-762BCC7E2606}"/>
    <cellStyle name="20% - 강조색3 5" xfId="427" xr:uid="{6D0BC3D3-DA6E-4D36-8184-3183A1ACBFF7}"/>
    <cellStyle name="20% - 강조색3 5 2" xfId="428" xr:uid="{540ED57B-41DA-4F2D-9319-463861A2336A}"/>
    <cellStyle name="20% - 강조색3 50" xfId="429" xr:uid="{4F77123F-C99D-40E3-8685-6BA92540B702}"/>
    <cellStyle name="20% - 강조색3 51" xfId="3973" xr:uid="{07825637-6A55-4495-9446-BE801B7ED59C}"/>
    <cellStyle name="20% - 강조색3 51 2" xfId="4084" xr:uid="{CE5687A9-F04B-4539-90A8-86537E40F917}"/>
    <cellStyle name="20% - 강조색3 51 2 2" xfId="4288" xr:uid="{8B66E575-5BEA-4ED3-AEDC-108218BCD858}"/>
    <cellStyle name="20% - 강조색3 51 2 2 2" xfId="4592" xr:uid="{F3692B93-9416-474F-B24C-35514EF34A0D}"/>
    <cellStyle name="20% - 강조색3 51 2 3" xfId="4460" xr:uid="{33628B7C-9749-4907-A8E9-D24CCC7AC0C1}"/>
    <cellStyle name="20% - 강조색3 51 3" xfId="4275" xr:uid="{968FC41B-FA75-4B80-A2F8-2AAD7D3C15A2}"/>
    <cellStyle name="20% - 강조색3 51 3 2" xfId="4579" xr:uid="{BEE1DDDD-7379-4230-9071-7AFFCDEC2853}"/>
    <cellStyle name="20% - 강조색3 51 4" xfId="4447" xr:uid="{2B328843-553C-4F8F-9605-47E0FDA7D3C9}"/>
    <cellStyle name="20% - 강조색3 52" xfId="4101" xr:uid="{BDCE1E09-8E4B-4802-9128-2270FBBA5BBF}"/>
    <cellStyle name="20% - 강조색3 52 2" xfId="4305" xr:uid="{03E918F6-C1C1-421A-B25A-30F950F5BEC3}"/>
    <cellStyle name="20% - 강조색3 52 2 2" xfId="4609" xr:uid="{E0701596-52AB-452B-9D67-4582479240C6}"/>
    <cellStyle name="20% - 강조색3 52 3" xfId="4477" xr:uid="{9CC05E38-B691-4C9C-B590-35D80EC8BABB}"/>
    <cellStyle name="20% - 강조색3 53" xfId="4137" xr:uid="{F3FEAA5C-B0CD-4D78-9659-9EE0F5A20262}"/>
    <cellStyle name="20% - 강조색3 53 2" xfId="4321" xr:uid="{C85BBC9A-6425-49F5-B77E-75203E29FD5C}"/>
    <cellStyle name="20% - 강조색3 53 2 2" xfId="4625" xr:uid="{2BDB4475-26F2-49C0-BD9A-5A846BF39DF9}"/>
    <cellStyle name="20% - 강조색3 53 3" xfId="4493" xr:uid="{91932231-4B10-48B2-BF89-05824B618EBC}"/>
    <cellStyle name="20% - 강조색3 54" xfId="4159" xr:uid="{1618E6C4-3B9F-4B5D-A085-159096BB9089}"/>
    <cellStyle name="20% - 강조색3 54 2" xfId="4335" xr:uid="{FCF4F4B3-47C5-4FB0-AD51-DBE345DA924F}"/>
    <cellStyle name="20% - 강조색3 54 2 2" xfId="4639" xr:uid="{022FECD3-3F23-4802-A6A7-104886B8561F}"/>
    <cellStyle name="20% - 강조색3 54 3" xfId="4507" xr:uid="{FD417480-120E-4096-93CF-8EA386B35C86}"/>
    <cellStyle name="20% - 강조색3 55" xfId="4173" xr:uid="{5DE52BA0-4709-4A87-BB88-8E2457EE7C8D}"/>
    <cellStyle name="20% - 강조색3 55 2" xfId="4349" xr:uid="{818AD89D-51D8-4528-94AD-6CF70B9A5362}"/>
    <cellStyle name="20% - 강조색3 55 2 2" xfId="4653" xr:uid="{D0AD87B9-AEEF-4D9B-A553-E46EAA4859F3}"/>
    <cellStyle name="20% - 강조색3 55 3" xfId="4521" xr:uid="{5ED4ECEA-D8BD-455B-8694-0AD830E10F19}"/>
    <cellStyle name="20% - 강조색3 56" xfId="4187" xr:uid="{928865E8-52B8-4E80-9C83-C7B0D70266C9}"/>
    <cellStyle name="20% - 강조색3 56 2" xfId="4363" xr:uid="{BB18C41A-775F-4294-A6CA-9DED4AF8A085}"/>
    <cellStyle name="20% - 강조색3 56 2 2" xfId="4667" xr:uid="{C52D758D-834F-42AD-81B4-761333BCF1B9}"/>
    <cellStyle name="20% - 강조색3 56 3" xfId="4535" xr:uid="{A8E1A614-5564-405A-B62C-FD1EFF11B770}"/>
    <cellStyle name="20% - 강조색3 57" xfId="4202" xr:uid="{8055BBE6-9500-4B8F-B044-0319DBC48329}"/>
    <cellStyle name="20% - 강조색3 57 2" xfId="4377" xr:uid="{B10AC81A-CA2F-434A-ABE9-B70220443970}"/>
    <cellStyle name="20% - 강조색3 57 2 2" xfId="4681" xr:uid="{91A1FC3F-B56F-4466-B8FD-A55189CA63D5}"/>
    <cellStyle name="20% - 강조색3 57 3" xfId="4549" xr:uid="{864C370C-CADE-4550-982D-25BC61878E16}"/>
    <cellStyle name="20% - 강조색3 58" xfId="4216" xr:uid="{B061C9E1-71A5-45F5-B875-32D67BD9D0F7}"/>
    <cellStyle name="20% - 강조색3 58 2" xfId="4563" xr:uid="{5CAAC33E-D95D-44FC-8C69-7661C3F8A943}"/>
    <cellStyle name="20% - 강조색3 59" xfId="4230" xr:uid="{21B9FAD4-CC80-401E-8771-42C04A50CAD8}"/>
    <cellStyle name="20% - 강조색3 6" xfId="430" xr:uid="{8F34B5C5-52A2-43D3-86E3-85834C7761F7}"/>
    <cellStyle name="20% - 강조색3 6 2" xfId="431" xr:uid="{ABFC5FED-DFF9-4AEB-9E3A-DC653258D881}"/>
    <cellStyle name="20% - 강조색3 60" xfId="4402" xr:uid="{02B7E651-3E73-4607-BEDD-E99CCF8D8943}"/>
    <cellStyle name="20% - 강조색3 61" xfId="346" xr:uid="{47506B22-41F4-4088-BFAD-7C061F0C34AB}"/>
    <cellStyle name="20% - 강조색3 7" xfId="432" xr:uid="{D18899AB-2219-4553-885B-9242A1CDDC08}"/>
    <cellStyle name="20% - 강조색3 7 2" xfId="433" xr:uid="{07758BFC-493C-4AD9-AF83-0F57815C66EB}"/>
    <cellStyle name="20% - 강조색3 8" xfId="434" xr:uid="{D3CBBE2D-FE9A-41FB-A9E2-BBE721F7F996}"/>
    <cellStyle name="20% - 강조색3 8 2" xfId="435" xr:uid="{2810039F-DAD6-4BFF-923F-899CBA0CFBE9}"/>
    <cellStyle name="20% - 강조색3 9" xfId="436" xr:uid="{E6A57E88-00DA-4D07-A3F6-FB7F47A1E246}"/>
    <cellStyle name="20% - 강조색3 9 2" xfId="437" xr:uid="{C9E21223-E986-45E9-888A-39F0EF31E2A1}"/>
    <cellStyle name="20% - 강조색4 10" xfId="439" xr:uid="{F1FC55AF-93A8-43A2-9762-573E6F22624A}"/>
    <cellStyle name="20% - 강조색4 10 2" xfId="440" xr:uid="{738CAA93-1AFF-4711-8D3E-4881F6A89D03}"/>
    <cellStyle name="20% - 강조색4 11" xfId="441" xr:uid="{940380B4-3FB8-4E0D-BDCB-0E5350D210C5}"/>
    <cellStyle name="20% - 강조색4 11 2" xfId="442" xr:uid="{BF48F9E5-D72A-47AA-9D16-A9E2CD9803BB}"/>
    <cellStyle name="20% - 강조색4 12" xfId="443" xr:uid="{049214CA-509A-4151-A000-5C7DD4535895}"/>
    <cellStyle name="20% - 강조색4 12 2" xfId="444" xr:uid="{B8C9FBF2-6F6F-4290-9898-A691DB811F5E}"/>
    <cellStyle name="20% - 강조색4 13" xfId="445" xr:uid="{2418872E-3E00-4CF2-AFF3-921CD232424C}"/>
    <cellStyle name="20% - 강조색4 13 2" xfId="446" xr:uid="{D3FFB18E-7104-4536-8881-A2D4E1798859}"/>
    <cellStyle name="20% - 강조색4 14" xfId="447" xr:uid="{9F4B6759-42F8-41BC-A7FF-A9E7430E7261}"/>
    <cellStyle name="20% - 강조색4 14 2" xfId="448" xr:uid="{D1F5D0A1-158F-4AA0-8ABE-F6DC6CF5C2E2}"/>
    <cellStyle name="20% - 강조색4 15" xfId="449" xr:uid="{F71F52D5-D45C-4159-9401-89EF3717D8C7}"/>
    <cellStyle name="20% - 강조색4 15 2" xfId="450" xr:uid="{88F153BC-D71C-44E0-A6B7-FBEE8073CEB2}"/>
    <cellStyle name="20% - 강조색4 16" xfId="451" xr:uid="{A05FAB11-E7B4-4B02-8430-BDF92A22CE7F}"/>
    <cellStyle name="20% - 강조색4 16 2" xfId="452" xr:uid="{91F2EED3-4EF6-46B4-9430-582AEE824751}"/>
    <cellStyle name="20% - 강조색4 17" xfId="453" xr:uid="{7BD6098C-CB7C-4CB9-B621-FB102E811DD6}"/>
    <cellStyle name="20% - 강조색4 17 2" xfId="454" xr:uid="{3CDDCEFC-CB44-4686-9EAF-E72FB57CF72F}"/>
    <cellStyle name="20% - 강조색4 18" xfId="455" xr:uid="{D0262829-F48A-4968-9517-E5CC709EE786}"/>
    <cellStyle name="20% - 강조색4 18 2" xfId="456" xr:uid="{9A7C8B5F-4321-4C73-9D23-CE1F174F711F}"/>
    <cellStyle name="20% - 강조색4 19" xfId="457" xr:uid="{0D4D0CED-D9C8-459A-8A14-0162914AFA78}"/>
    <cellStyle name="20% - 강조색4 19 2" xfId="458" xr:uid="{69DDB374-AA45-4AB5-B563-57121775DB82}"/>
    <cellStyle name="20% - 강조색4 2" xfId="459" xr:uid="{3EF87D60-1D6D-42A9-953A-C2E25F063EB1}"/>
    <cellStyle name="20% - 강조색4 2 2" xfId="460" xr:uid="{4403850E-11FB-485D-AAB0-D1C3D0733D35}"/>
    <cellStyle name="20% - 강조색4 20" xfId="461" xr:uid="{A805F738-542A-4403-901C-AE3E47A2299D}"/>
    <cellStyle name="20% - 강조색4 20 2" xfId="462" xr:uid="{201FAC0F-B3F0-45E5-AD1F-3E82D149F8A7}"/>
    <cellStyle name="20% - 강조색4 21" xfId="463" xr:uid="{C30D4D80-29AD-401C-928A-5A6E2D4F2E74}"/>
    <cellStyle name="20% - 강조색4 21 2" xfId="464" xr:uid="{6B8D6598-E65B-4F5B-8A60-4863ED7DC885}"/>
    <cellStyle name="20% - 강조색4 22" xfId="465" xr:uid="{143E87C9-DA07-4B18-B714-23622283E1E7}"/>
    <cellStyle name="20% - 강조색4 22 2" xfId="466" xr:uid="{AA0CA747-BEBE-450E-9B11-F089E0A3FD39}"/>
    <cellStyle name="20% - 강조색4 23" xfId="467" xr:uid="{75EAA2B3-BA16-4A2A-8D4E-563203FE3DF7}"/>
    <cellStyle name="20% - 강조색4 23 2" xfId="468" xr:uid="{42204B1D-CD91-4DFA-8C94-8B45E4C7D54B}"/>
    <cellStyle name="20% - 강조색4 24" xfId="469" xr:uid="{051701E4-5F1E-417B-89AC-F747777B7FE4}"/>
    <cellStyle name="20% - 강조색4 24 2" xfId="470" xr:uid="{58EAAE64-7CD5-4DB0-9A02-0A738F9AB234}"/>
    <cellStyle name="20% - 강조색4 25" xfId="471" xr:uid="{352152C1-1D04-4310-A3DA-94D6D5864DCA}"/>
    <cellStyle name="20% - 강조색4 25 2" xfId="472" xr:uid="{3A16CA1D-123E-4817-8C28-46D66EA76E5C}"/>
    <cellStyle name="20% - 강조색4 26" xfId="473" xr:uid="{376DBE95-DFE1-4AA4-8CDB-839EA706CA07}"/>
    <cellStyle name="20% - 강조색4 26 2" xfId="474" xr:uid="{6DB54E68-9E09-4FCD-A9E6-43B73CE1B5BD}"/>
    <cellStyle name="20% - 강조색4 27" xfId="475" xr:uid="{B2F05A7F-9AF4-4774-9FC3-8EAA148EDDD7}"/>
    <cellStyle name="20% - 강조색4 27 2" xfId="476" xr:uid="{B8958CE6-FF7B-460D-BDA7-122AF4302EAA}"/>
    <cellStyle name="20% - 강조색4 28" xfId="477" xr:uid="{7A44CE64-5F28-4410-B61C-C2D2845EA4D1}"/>
    <cellStyle name="20% - 강조색4 28 2" xfId="478" xr:uid="{5A5BE41B-128E-44C8-A792-A5107C62CAF5}"/>
    <cellStyle name="20% - 강조색4 29" xfId="479" xr:uid="{E8C9926F-3A99-494F-9C08-0D2438180074}"/>
    <cellStyle name="20% - 강조색4 29 2" xfId="480" xr:uid="{A00934E3-F331-46C6-9370-1164771B9E24}"/>
    <cellStyle name="20% - 강조색4 3" xfId="481" xr:uid="{7BBE9BD9-AD77-46A5-B838-E4AEC51925E2}"/>
    <cellStyle name="20% - 강조색4 3 2" xfId="482" xr:uid="{F6BCB2A9-4DDF-43D2-921A-9CF466C3217C}"/>
    <cellStyle name="20% - 강조색4 30" xfId="483" xr:uid="{1D2A5663-6CE9-4BA2-BD55-F1A146960DF6}"/>
    <cellStyle name="20% - 강조색4 30 2" xfId="484" xr:uid="{0D78EF76-4747-42D5-BDB7-B52ECEE80A25}"/>
    <cellStyle name="20% - 강조색4 31" xfId="485" xr:uid="{2EE72A98-FA7A-4BB4-AE97-0BAE0837F73F}"/>
    <cellStyle name="20% - 강조색4 31 2" xfId="486" xr:uid="{D99F9F8E-3191-437C-8480-CDB9A40A77A6}"/>
    <cellStyle name="20% - 강조색4 32" xfId="487" xr:uid="{1114261A-04AB-4004-9589-0A20762BF9A5}"/>
    <cellStyle name="20% - 강조색4 32 2" xfId="488" xr:uid="{6B5F72F5-88A5-46EB-9813-C3CE45596669}"/>
    <cellStyle name="20% - 강조색4 33" xfId="489" xr:uid="{169930CB-C76B-41A9-8E3B-E112D53BB5D3}"/>
    <cellStyle name="20% - 강조색4 33 2" xfId="490" xr:uid="{DF302CCB-9905-47A2-AA88-A0417E8A1B29}"/>
    <cellStyle name="20% - 강조색4 34" xfId="491" xr:uid="{EE08DB8A-CA57-4BDA-A417-28AABD2B0470}"/>
    <cellStyle name="20% - 강조색4 34 2" xfId="492" xr:uid="{918F0D79-A5FC-4F40-BFAA-9F118AAD5B49}"/>
    <cellStyle name="20% - 강조색4 35" xfId="493" xr:uid="{9E34518E-0D3E-4E95-A8B3-CAA565EFCC1C}"/>
    <cellStyle name="20% - 강조색4 35 2" xfId="494" xr:uid="{EF705BFB-0B77-4CBB-94D0-84CAA63D8076}"/>
    <cellStyle name="20% - 강조색4 36" xfId="495" xr:uid="{0B110014-D4D4-44FB-8633-72C0B71FAC7E}"/>
    <cellStyle name="20% - 강조색4 36 2" xfId="496" xr:uid="{DEE1458C-FDE5-4B30-A3E1-354DE3BEBACD}"/>
    <cellStyle name="20% - 강조색4 37" xfId="497" xr:uid="{0D163129-1464-4BF9-8C3A-5EA3AE36D4F8}"/>
    <cellStyle name="20% - 강조색4 37 2" xfId="498" xr:uid="{CC8DF751-E1B0-4F91-AC40-0D4861D07A29}"/>
    <cellStyle name="20% - 강조색4 38" xfId="499" xr:uid="{E0B717FA-6122-4A15-99F3-BBCDB38E9FAF}"/>
    <cellStyle name="20% - 강조색4 38 2" xfId="500" xr:uid="{04681855-E099-4EA3-83CC-66B49DE3D010}"/>
    <cellStyle name="20% - 강조색4 39" xfId="501" xr:uid="{3060A8B5-5A76-4C01-A15F-A574C966FB48}"/>
    <cellStyle name="20% - 강조색4 39 2" xfId="502" xr:uid="{080B55E3-59BD-49E0-94B0-ED93D745E984}"/>
    <cellStyle name="20% - 강조색4 4" xfId="503" xr:uid="{08E47004-E4B7-4EF0-9217-4108FA41947F}"/>
    <cellStyle name="20% - 강조색4 4 2" xfId="504" xr:uid="{B42D915C-2140-45DB-8539-E8DD0F281A5C}"/>
    <cellStyle name="20% - 강조색4 40" xfId="505" xr:uid="{8D421456-8EFB-44ED-B1B9-2B9AD8746CC8}"/>
    <cellStyle name="20% - 강조색4 40 2" xfId="506" xr:uid="{C567B825-7474-4505-A367-1E0CBC5B056E}"/>
    <cellStyle name="20% - 강조색4 41" xfId="507" xr:uid="{6D0F2D71-A151-4AA2-BFA6-CB803F72EA6B}"/>
    <cellStyle name="20% - 강조색4 41 2" xfId="508" xr:uid="{E40912E3-1BEE-4323-9E20-9A8433025316}"/>
    <cellStyle name="20% - 강조색4 42" xfId="509" xr:uid="{61A75EDD-C295-428D-97B7-3AAA5CEB207A}"/>
    <cellStyle name="20% - 강조색4 42 2" xfId="510" xr:uid="{B3CF08C2-2E2B-4932-8F86-8BE9E63EB753}"/>
    <cellStyle name="20% - 강조색4 43" xfId="511" xr:uid="{7A128F92-6C13-4E7D-B6CA-9FF9BFFCAA9E}"/>
    <cellStyle name="20% - 강조색4 43 2" xfId="512" xr:uid="{9EA3CC63-1185-4DF0-8405-DC43C71B6FA8}"/>
    <cellStyle name="20% - 강조색4 44" xfId="513" xr:uid="{D8FCD864-7B8B-43C2-83F2-BD8911D6950D}"/>
    <cellStyle name="20% - 강조색4 45" xfId="514" xr:uid="{A965213C-61C3-4824-A3FE-DCD9F7F0B622}"/>
    <cellStyle name="20% - 강조색4 46" xfId="515" xr:uid="{FAA2FF14-B9BF-4665-AF81-A9E5FBCD0A39}"/>
    <cellStyle name="20% - 강조색4 47" xfId="516" xr:uid="{4917AA0E-3B8E-4DDE-AF62-540CD1A972FA}"/>
    <cellStyle name="20% - 강조색4 48" xfId="517" xr:uid="{67890385-2264-4DDC-916F-0B7E1D308058}"/>
    <cellStyle name="20% - 강조색4 49" xfId="518" xr:uid="{0D78CC36-6BE6-4F0D-9B1C-84DDCB6BC08D}"/>
    <cellStyle name="20% - 강조색4 5" xfId="519" xr:uid="{CEA7EB5A-CE14-4ADA-84AB-3BB493852E0F}"/>
    <cellStyle name="20% - 강조색4 5 2" xfId="520" xr:uid="{C41DDD06-90E6-4243-8434-BC0554D15F25}"/>
    <cellStyle name="20% - 강조색4 50" xfId="521" xr:uid="{0B2BB82A-98C1-4179-BCA0-B58019D4D11A}"/>
    <cellStyle name="20% - 강조색4 51" xfId="3977" xr:uid="{7A1E9145-AA9C-4318-A9F6-80CD69B074AE}"/>
    <cellStyle name="20% - 강조색4 51 2" xfId="4086" xr:uid="{FD3E6E01-EEB3-4D0C-A17B-92D377CA4EE3}"/>
    <cellStyle name="20% - 강조색4 51 2 2" xfId="4290" xr:uid="{278AF79C-9FC3-46BF-BD3F-57D7EFC07FB9}"/>
    <cellStyle name="20% - 강조색4 51 2 2 2" xfId="4594" xr:uid="{78538695-509E-498C-9482-837E2F134A62}"/>
    <cellStyle name="20% - 강조색4 51 2 3" xfId="4462" xr:uid="{79A29FD2-003F-4A65-8E0D-0211A89BE11A}"/>
    <cellStyle name="20% - 강조색4 51 3" xfId="4277" xr:uid="{CDE89651-5584-4BE9-98DD-B64850B27DEA}"/>
    <cellStyle name="20% - 강조색4 51 3 2" xfId="4581" xr:uid="{9B912B6F-B142-433B-ABB7-208AB0BF740B}"/>
    <cellStyle name="20% - 강조색4 51 4" xfId="4449" xr:uid="{DF2F6CE2-4C40-4B54-96CB-8D5EEA00E9E6}"/>
    <cellStyle name="20% - 강조색4 52" xfId="4103" xr:uid="{9325CE67-434B-496D-B77B-EDC327A1D738}"/>
    <cellStyle name="20% - 강조색4 52 2" xfId="4307" xr:uid="{137F594D-A555-471F-A09F-7589FBA3F4CF}"/>
    <cellStyle name="20% - 강조색4 52 2 2" xfId="4611" xr:uid="{43C629F0-132C-4ECD-A28F-49281A21D8E1}"/>
    <cellStyle name="20% - 강조색4 52 3" xfId="4479" xr:uid="{271BE0A3-2B8C-4702-88F3-74FAA016820C}"/>
    <cellStyle name="20% - 강조색4 53" xfId="4141" xr:uid="{825DA0A7-2BB0-450F-AC0E-39D7F0F47639}"/>
    <cellStyle name="20% - 강조색4 53 2" xfId="4323" xr:uid="{08660106-47EE-44EB-948B-70B0B7C92870}"/>
    <cellStyle name="20% - 강조색4 53 2 2" xfId="4627" xr:uid="{F8BA0404-9E72-4372-ACE0-D8ED27F8DF6E}"/>
    <cellStyle name="20% - 강조색4 53 3" xfId="4495" xr:uid="{4ACDBD06-668F-4908-9A31-0D1135961F74}"/>
    <cellStyle name="20% - 강조색4 54" xfId="4161" xr:uid="{2C5AB32F-6A0F-4D1E-A9DB-8E47EB28B5C3}"/>
    <cellStyle name="20% - 강조색4 54 2" xfId="4337" xr:uid="{149BAF8D-AD2F-4CB7-9C3B-C46E8DEBE873}"/>
    <cellStyle name="20% - 강조색4 54 2 2" xfId="4641" xr:uid="{2E72B2CE-8C93-45C2-A931-C0767AB585B4}"/>
    <cellStyle name="20% - 강조색4 54 3" xfId="4509" xr:uid="{5A22DD6C-2876-4606-96AA-6F10DB5DA527}"/>
    <cellStyle name="20% - 강조색4 55" xfId="4175" xr:uid="{99EB383E-90D5-4F38-94CE-EF4649FCA55B}"/>
    <cellStyle name="20% - 강조색4 55 2" xfId="4351" xr:uid="{038927EB-A617-4560-B2C9-DB115D72086C}"/>
    <cellStyle name="20% - 강조색4 55 2 2" xfId="4655" xr:uid="{837307BC-6C6A-4508-A6D8-417B49A29C43}"/>
    <cellStyle name="20% - 강조색4 55 3" xfId="4523" xr:uid="{638A2CD4-0FAE-4F68-816C-3BD7F40E96C9}"/>
    <cellStyle name="20% - 강조색4 56" xfId="4189" xr:uid="{97792A7D-EA5A-4497-A804-482F8CF2F520}"/>
    <cellStyle name="20% - 강조색4 56 2" xfId="4365" xr:uid="{8A624965-95D9-4DBF-B263-EAEF57BAFDD9}"/>
    <cellStyle name="20% - 강조색4 56 2 2" xfId="4669" xr:uid="{86292703-8CFD-46FD-9489-FAF5B9E8983F}"/>
    <cellStyle name="20% - 강조색4 56 3" xfId="4537" xr:uid="{02F1B4F1-DB7C-40F7-AE7B-8EEF951C4D0A}"/>
    <cellStyle name="20% - 강조색4 57" xfId="4204" xr:uid="{7BCDBA11-7D71-4F76-9420-A9EAD7710BD5}"/>
    <cellStyle name="20% - 강조색4 57 2" xfId="4379" xr:uid="{FB564CB7-B9E8-491D-9C7F-70165BAFE89E}"/>
    <cellStyle name="20% - 강조색4 57 2 2" xfId="4683" xr:uid="{065B07B6-AFDB-490E-9D31-55BA649F7152}"/>
    <cellStyle name="20% - 강조색4 57 3" xfId="4551" xr:uid="{022E1690-4415-48AA-A23D-6E9A1D8DDA6D}"/>
    <cellStyle name="20% - 강조색4 58" xfId="4218" xr:uid="{D8F94C62-0D24-488F-9E03-9D59C6D6549F}"/>
    <cellStyle name="20% - 강조색4 58 2" xfId="4565" xr:uid="{AE7D0BE5-B903-48F6-A612-864B12FBD427}"/>
    <cellStyle name="20% - 강조색4 59" xfId="4231" xr:uid="{EA4748E4-E285-402D-9241-3E7DEF4AABDF}"/>
    <cellStyle name="20% - 강조색4 6" xfId="522" xr:uid="{077DEAE7-25AE-4DC2-ABC7-3E8B3B6ED773}"/>
    <cellStyle name="20% - 강조색4 6 2" xfId="523" xr:uid="{F562D715-5006-4CCB-91F4-06C811F59C31}"/>
    <cellStyle name="20% - 강조색4 60" xfId="4403" xr:uid="{1158F529-34E3-4452-9A9C-729663DE87CE}"/>
    <cellStyle name="20% - 강조색4 61" xfId="438" xr:uid="{5A822473-0D24-4A7F-B169-0E815BA0EF9C}"/>
    <cellStyle name="20% - 강조색4 7" xfId="524" xr:uid="{E7A84124-1BCE-4A58-8FDA-E79ECFD5322F}"/>
    <cellStyle name="20% - 강조색4 7 2" xfId="525" xr:uid="{38D3923D-A3CD-45DB-A4F0-5949EEBDECF4}"/>
    <cellStyle name="20% - 강조색4 8" xfId="526" xr:uid="{75C0B48B-4CE6-4A83-A12B-EEB5360DD449}"/>
    <cellStyle name="20% - 강조색4 8 2" xfId="527" xr:uid="{B858EA14-A09F-40BD-B25F-F691415811EF}"/>
    <cellStyle name="20% - 강조색4 9" xfId="528" xr:uid="{2BE33806-6BF2-43D8-9E4B-55C5A1574878}"/>
    <cellStyle name="20% - 강조색4 9 2" xfId="529" xr:uid="{AFA816A7-57C6-48D3-9BAC-68FA5E1A749B}"/>
    <cellStyle name="20% - 강조색5 10" xfId="531" xr:uid="{821481B3-B3B8-4B87-967E-83C9E4B24B0B}"/>
    <cellStyle name="20% - 강조색5 10 2" xfId="532" xr:uid="{4537729B-F26C-4123-9A3C-894D84CEF908}"/>
    <cellStyle name="20% - 강조색5 11" xfId="533" xr:uid="{E0D99FC9-2F1E-4FCB-8B82-914AFB31A3F8}"/>
    <cellStyle name="20% - 강조색5 11 2" xfId="534" xr:uid="{17A7B633-19B1-44D8-B663-0A9456088D68}"/>
    <cellStyle name="20% - 강조색5 12" xfId="535" xr:uid="{FCEC6B66-649D-4D5A-ACD3-5CD912C39F75}"/>
    <cellStyle name="20% - 강조색5 12 2" xfId="536" xr:uid="{F9D0E487-7113-44A6-B00B-DD91F741634E}"/>
    <cellStyle name="20% - 강조색5 13" xfId="537" xr:uid="{D5B2E4AD-7693-435B-9D6D-EDB24B643B19}"/>
    <cellStyle name="20% - 강조색5 13 2" xfId="538" xr:uid="{E445695D-A620-4375-9EC3-875B03316312}"/>
    <cellStyle name="20% - 강조색5 14" xfId="539" xr:uid="{E7046032-796B-43B8-8E28-14BC2AD384BB}"/>
    <cellStyle name="20% - 강조색5 14 2" xfId="540" xr:uid="{8BA9C553-9A55-400C-A46F-7F8443BFFFF5}"/>
    <cellStyle name="20% - 강조색5 15" xfId="541" xr:uid="{29C7F90C-BFF8-4A06-BA62-4E3CACEFAA6F}"/>
    <cellStyle name="20% - 강조색5 15 2" xfId="542" xr:uid="{60BA952F-B596-45CF-9CEB-D007F6731335}"/>
    <cellStyle name="20% - 강조색5 16" xfId="543" xr:uid="{E87E06B8-C9D9-412B-A807-DC0C0164554D}"/>
    <cellStyle name="20% - 강조색5 16 2" xfId="544" xr:uid="{1E01BBD3-9FCC-4EE7-AE44-519A05D4DCFC}"/>
    <cellStyle name="20% - 강조색5 17" xfId="545" xr:uid="{ED7D4C58-86A4-4A17-A43D-15B1FED7CD53}"/>
    <cellStyle name="20% - 강조색5 17 2" xfId="546" xr:uid="{6675E8D4-6459-4AA4-8B19-08F8220BB3CB}"/>
    <cellStyle name="20% - 강조색5 18" xfId="547" xr:uid="{ECD54090-D2E6-425C-A0D0-7A8DC654AF35}"/>
    <cellStyle name="20% - 강조색5 18 2" xfId="548" xr:uid="{75B09E64-341F-4F09-9D62-EAF1C2E0266A}"/>
    <cellStyle name="20% - 강조색5 19" xfId="549" xr:uid="{C667D657-52FB-4B60-AA64-C011765CB178}"/>
    <cellStyle name="20% - 강조색5 19 2" xfId="550" xr:uid="{FE1BC842-ACD1-4DAA-A423-2E8DD9F6646E}"/>
    <cellStyle name="20% - 강조색5 2" xfId="551" xr:uid="{20060BB8-A223-4DA3-A26A-369520DC1038}"/>
    <cellStyle name="20% - 강조색5 2 2" xfId="552" xr:uid="{CF255480-1A34-41BE-BB23-7AD9BA239A65}"/>
    <cellStyle name="20% - 강조색5 20" xfId="553" xr:uid="{9E36317A-92DB-43AA-B2EE-781E43EB584A}"/>
    <cellStyle name="20% - 강조색5 20 2" xfId="554" xr:uid="{2D5F37A7-3E02-4E64-8916-56A369DEA81F}"/>
    <cellStyle name="20% - 강조색5 21" xfId="555" xr:uid="{5B3885D2-AEB6-4B9B-B374-30D6B09DD1C0}"/>
    <cellStyle name="20% - 강조색5 21 2" xfId="556" xr:uid="{2B42FBD5-A678-4283-BA9E-4658D857D3C1}"/>
    <cellStyle name="20% - 강조색5 22" xfId="557" xr:uid="{CDD10CC7-FE04-40C8-8177-8FD2BA769203}"/>
    <cellStyle name="20% - 강조색5 22 2" xfId="558" xr:uid="{3BC06CC3-94CA-4099-9116-366B544B4DC8}"/>
    <cellStyle name="20% - 강조색5 23" xfId="559" xr:uid="{81B4F726-F1D5-485F-8228-62EFFC23794F}"/>
    <cellStyle name="20% - 강조색5 23 2" xfId="560" xr:uid="{1BF13961-3805-40F3-943B-4DDC10BC919A}"/>
    <cellStyle name="20% - 강조색5 24" xfId="561" xr:uid="{ABD0DB27-0501-48BA-9D29-1745976438EA}"/>
    <cellStyle name="20% - 강조색5 24 2" xfId="562" xr:uid="{E5A2B8CF-0BA6-4F77-A49A-6D83800708A4}"/>
    <cellStyle name="20% - 강조색5 25" xfId="563" xr:uid="{A31F9A51-2B14-4B48-BAA4-7B1214955C43}"/>
    <cellStyle name="20% - 강조색5 25 2" xfId="564" xr:uid="{342958EF-10DF-4965-9BBC-1B4AA0996DA9}"/>
    <cellStyle name="20% - 강조색5 26" xfId="565" xr:uid="{CADB6AF8-339C-4896-B91B-19329CC45552}"/>
    <cellStyle name="20% - 강조색5 26 2" xfId="566" xr:uid="{FF9DFBCB-57B6-467B-8B9F-49EABE22DB33}"/>
    <cellStyle name="20% - 강조색5 27" xfId="567" xr:uid="{C18B1F12-3DE7-49AC-B5E8-D120D8BC4602}"/>
    <cellStyle name="20% - 강조색5 27 2" xfId="568" xr:uid="{A26AF339-5631-4361-B59A-F3B144F4CBE6}"/>
    <cellStyle name="20% - 강조색5 28" xfId="569" xr:uid="{A5ABA440-F680-43E9-B000-14FB3BA57BCA}"/>
    <cellStyle name="20% - 강조색5 28 2" xfId="570" xr:uid="{306694B5-4ACC-43AF-BA1D-EBE3FF73ED81}"/>
    <cellStyle name="20% - 강조색5 29" xfId="571" xr:uid="{03F44783-B446-4DC3-BC0C-B42BAEE792C0}"/>
    <cellStyle name="20% - 강조색5 29 2" xfId="572" xr:uid="{02B80F6D-984A-40C7-8FAB-C21A048D823D}"/>
    <cellStyle name="20% - 강조색5 3" xfId="573" xr:uid="{46AA9D79-CEA5-40AB-91E8-418EDD682DD5}"/>
    <cellStyle name="20% - 강조색5 3 2" xfId="574" xr:uid="{F38C42B7-D656-427D-ACCC-68A8176D1ED5}"/>
    <cellStyle name="20% - 강조색5 30" xfId="575" xr:uid="{BAEDE8FD-606F-46A0-BEA1-650C4F9A7BCC}"/>
    <cellStyle name="20% - 강조색5 30 2" xfId="576" xr:uid="{AAF0BD1F-4A46-4119-910E-B668C1A51C16}"/>
    <cellStyle name="20% - 강조색5 31" xfId="577" xr:uid="{764C6D5C-112A-49D1-B3D4-3A85F5D1008E}"/>
    <cellStyle name="20% - 강조색5 31 2" xfId="578" xr:uid="{421C887D-1AF5-4ED1-BF6F-B81DB47D39AC}"/>
    <cellStyle name="20% - 강조색5 32" xfId="579" xr:uid="{35D2CE13-1847-483A-8F07-33497B44C8FA}"/>
    <cellStyle name="20% - 강조색5 32 2" xfId="580" xr:uid="{FA824B58-D8D9-41EE-8D3F-13A5135B4E52}"/>
    <cellStyle name="20% - 강조색5 33" xfId="581" xr:uid="{087FF103-CDC0-4C08-BF45-3F7D61DD74BE}"/>
    <cellStyle name="20% - 강조색5 33 2" xfId="582" xr:uid="{5E9B90D4-1EF2-4873-9CD4-B9673D1571A4}"/>
    <cellStyle name="20% - 강조색5 34" xfId="583" xr:uid="{E7B7C31F-6AD5-49A7-8B04-3E6EA7D64C35}"/>
    <cellStyle name="20% - 강조색5 34 2" xfId="584" xr:uid="{982B9C65-2816-4579-A2EB-0AEB6A429E58}"/>
    <cellStyle name="20% - 강조색5 35" xfId="585" xr:uid="{4606A335-99DB-4A0F-ACDC-7739E0D104AB}"/>
    <cellStyle name="20% - 강조색5 35 2" xfId="586" xr:uid="{A68B3155-8840-4CEC-97C0-6EC3FBFA5CA0}"/>
    <cellStyle name="20% - 강조색5 36" xfId="587" xr:uid="{CA4425C1-BB88-4296-B644-D636975EC4E7}"/>
    <cellStyle name="20% - 강조색5 36 2" xfId="588" xr:uid="{62552C9D-BCB6-4C8B-9E78-FF181568E403}"/>
    <cellStyle name="20% - 강조색5 37" xfId="589" xr:uid="{CBC41B0A-DD78-4EF2-925D-76571CA807BB}"/>
    <cellStyle name="20% - 강조색5 37 2" xfId="590" xr:uid="{03FB6A9F-C23D-438D-A8AD-BFCEA7FF074B}"/>
    <cellStyle name="20% - 강조색5 38" xfId="591" xr:uid="{C371268E-9489-4D84-A1E0-CA4661DEDF1B}"/>
    <cellStyle name="20% - 강조색5 38 2" xfId="592" xr:uid="{0EA7F39E-8A81-452E-88C5-2F06E9FEF5BA}"/>
    <cellStyle name="20% - 강조색5 39" xfId="593" xr:uid="{E9FE0C0C-FE83-4679-9C6F-F20D6951785E}"/>
    <cellStyle name="20% - 강조색5 39 2" xfId="594" xr:uid="{F52D6CBD-16FD-4C66-BF6A-20C0E4D35C4E}"/>
    <cellStyle name="20% - 강조색5 4" xfId="595" xr:uid="{10CEA60B-B9D1-4A1D-9BC0-5BA2DA3A7AA8}"/>
    <cellStyle name="20% - 강조색5 4 2" xfId="596" xr:uid="{77AC707E-A0C0-4DAD-8115-CF24E31B8B83}"/>
    <cellStyle name="20% - 강조색5 40" xfId="597" xr:uid="{DBFCD23F-1614-4C8F-A709-6634AADA1A93}"/>
    <cellStyle name="20% - 강조색5 40 2" xfId="598" xr:uid="{04A9DA29-FC84-42DB-AD4F-2D91CD9A6233}"/>
    <cellStyle name="20% - 강조색5 41" xfId="599" xr:uid="{7965BAC6-DCDD-40BD-A403-04A9166E09A7}"/>
    <cellStyle name="20% - 강조색5 41 2" xfId="600" xr:uid="{E8237ABF-B202-4959-A4DD-78F3B38BCAF2}"/>
    <cellStyle name="20% - 강조색5 42" xfId="601" xr:uid="{0B5CE6D4-EF56-4AFF-9961-E7CF7C98AB3B}"/>
    <cellStyle name="20% - 강조색5 42 2" xfId="602" xr:uid="{095F1B4D-8744-4B38-A6A8-97CEA7B45B05}"/>
    <cellStyle name="20% - 강조색5 43" xfId="603" xr:uid="{6EF76CBC-76E9-470C-AC81-275A2E9EDA21}"/>
    <cellStyle name="20% - 강조색5 43 2" xfId="604" xr:uid="{56454E4C-30A0-4CFA-A3C1-D954AE53F6CB}"/>
    <cellStyle name="20% - 강조색5 44" xfId="605" xr:uid="{76DF140B-0974-4D24-84F4-A1B3D79C0B97}"/>
    <cellStyle name="20% - 강조색5 45" xfId="606" xr:uid="{157B6693-9527-4293-B255-F0AE2DB1874A}"/>
    <cellStyle name="20% - 강조색5 46" xfId="607" xr:uid="{FC4B7F88-9DE7-45E0-98F8-7DA99E8ADB54}"/>
    <cellStyle name="20% - 강조색5 47" xfId="608" xr:uid="{BC2B2AD6-2CDB-4F41-B80E-B1235542E32E}"/>
    <cellStyle name="20% - 강조색5 48" xfId="609" xr:uid="{D61B4DBB-C399-414D-8623-38E666379741}"/>
    <cellStyle name="20% - 강조색5 49" xfId="610" xr:uid="{980C71E6-AF6A-408F-9E4A-8EE3D19FAE8B}"/>
    <cellStyle name="20% - 강조색5 5" xfId="611" xr:uid="{92AEB771-FAE4-4F41-B265-C94A11A99668}"/>
    <cellStyle name="20% - 강조색5 5 2" xfId="612" xr:uid="{97D9A82F-6FF6-4AA7-960F-A1FE372E621F}"/>
    <cellStyle name="20% - 강조색5 50" xfId="613" xr:uid="{741BFD5C-D4FF-486A-B2AB-947932063200}"/>
    <cellStyle name="20% - 강조색5 51" xfId="3981" xr:uid="{11860B53-08AF-4BE1-ACB7-38F27361393A}"/>
    <cellStyle name="20% - 강조색5 51 2" xfId="4088" xr:uid="{29E44178-8EDE-475A-A180-263FF0DBD5B8}"/>
    <cellStyle name="20% - 강조색5 51 2 2" xfId="4292" xr:uid="{6F319A09-CC6B-48D9-BB56-6CE460EC5FB7}"/>
    <cellStyle name="20% - 강조색5 51 2 2 2" xfId="4596" xr:uid="{634CA5CC-51F2-43B4-9739-F09DE5AA656C}"/>
    <cellStyle name="20% - 강조색5 51 2 3" xfId="4464" xr:uid="{86A67577-381D-46F8-BA92-6BB9CF33D02B}"/>
    <cellStyle name="20% - 강조색5 51 3" xfId="4279" xr:uid="{2CD2877B-A907-4740-8A9A-BDD64E8B969D}"/>
    <cellStyle name="20% - 강조색5 51 3 2" xfId="4583" xr:uid="{54045B0C-8F0F-4588-BBF9-406DEAF5CB90}"/>
    <cellStyle name="20% - 강조색5 51 4" xfId="4451" xr:uid="{1624517E-8B01-4030-8E6F-EF9066D7DF1D}"/>
    <cellStyle name="20% - 강조색5 52" xfId="4105" xr:uid="{C33D67CC-0B85-46B4-A4F3-B60A30448797}"/>
    <cellStyle name="20% - 강조색5 52 2" xfId="4309" xr:uid="{2F0E6757-0660-4D32-AAD7-CB0031733BDC}"/>
    <cellStyle name="20% - 강조색5 52 2 2" xfId="4613" xr:uid="{56A88AE6-F3C7-488E-82B5-A1BE5FE57B7B}"/>
    <cellStyle name="20% - 강조색5 52 3" xfId="4481" xr:uid="{4D2768D8-03E5-4007-BAD7-A9D7F45CDBFC}"/>
    <cellStyle name="20% - 강조색5 53" xfId="4145" xr:uid="{85CC0961-D13B-4268-BCA9-CBC0D1F1FC9C}"/>
    <cellStyle name="20% - 강조색5 53 2" xfId="4325" xr:uid="{BE58D2D7-3547-438A-A9C0-6FFA12203800}"/>
    <cellStyle name="20% - 강조색5 53 2 2" xfId="4629" xr:uid="{43F35CA3-9860-4176-B928-236CA6CBE2FE}"/>
    <cellStyle name="20% - 강조색5 53 3" xfId="4497" xr:uid="{C6F339FA-99AC-4767-B1D7-B60DE26092A6}"/>
    <cellStyle name="20% - 강조색5 54" xfId="4163" xr:uid="{1A31CA4D-DBD3-4E0E-B4F4-94FDA7F25E27}"/>
    <cellStyle name="20% - 강조색5 54 2" xfId="4339" xr:uid="{AE519905-5AC8-4D6B-8E40-B9344D4D8479}"/>
    <cellStyle name="20% - 강조색5 54 2 2" xfId="4643" xr:uid="{3EF75A21-F2C5-4573-91B7-135FB3F2B2EC}"/>
    <cellStyle name="20% - 강조색5 54 3" xfId="4511" xr:uid="{B2769B79-35BD-446E-98CD-EEFFBA185470}"/>
    <cellStyle name="20% - 강조색5 55" xfId="4177" xr:uid="{D0426155-71BA-4810-B88B-C00E4D2AE123}"/>
    <cellStyle name="20% - 강조색5 55 2" xfId="4353" xr:uid="{099C68EF-1464-41E1-A169-B1442C2484CA}"/>
    <cellStyle name="20% - 강조색5 55 2 2" xfId="4657" xr:uid="{DA93ADEE-514A-4155-9321-496C5167A1D8}"/>
    <cellStyle name="20% - 강조색5 55 3" xfId="4525" xr:uid="{FA31E9A3-65BC-463A-A58D-2D9F502BB7B5}"/>
    <cellStyle name="20% - 강조색5 56" xfId="4191" xr:uid="{05788F5C-75F7-4437-B662-7374D5FFB0FB}"/>
    <cellStyle name="20% - 강조색5 56 2" xfId="4367" xr:uid="{4B701492-1E4D-4221-8F28-EA647126F2A6}"/>
    <cellStyle name="20% - 강조색5 56 2 2" xfId="4671" xr:uid="{1F06CE08-EA7D-483D-9E95-C0CD0D5FAE9C}"/>
    <cellStyle name="20% - 강조색5 56 3" xfId="4539" xr:uid="{3B4237AB-AC97-4582-985D-98E9F200724B}"/>
    <cellStyle name="20% - 강조색5 57" xfId="4206" xr:uid="{718FF95A-FD75-4AFB-9734-B22DEE5456DF}"/>
    <cellStyle name="20% - 강조색5 57 2" xfId="4381" xr:uid="{53EB598F-6948-4E90-B9B6-8126B0B4E9A8}"/>
    <cellStyle name="20% - 강조색5 57 2 2" xfId="4685" xr:uid="{F93601B9-114E-4E7D-9820-495B384E5BA2}"/>
    <cellStyle name="20% - 강조색5 57 3" xfId="4553" xr:uid="{A349FF7D-A6B6-4960-ADB8-0A7370D942D9}"/>
    <cellStyle name="20% - 강조색5 58" xfId="4220" xr:uid="{EC96472E-0F82-44EE-B285-18B734002B3E}"/>
    <cellStyle name="20% - 강조색5 58 2" xfId="4567" xr:uid="{D747D1F7-2E58-4881-A538-4B0D515DA42A}"/>
    <cellStyle name="20% - 강조색5 59" xfId="4232" xr:uid="{428D96F6-8F55-4E57-BC82-D2381EAD9E63}"/>
    <cellStyle name="20% - 강조색5 6" xfId="614" xr:uid="{0FA5A3E3-1D5C-4EE5-8EAD-9292AA7B741D}"/>
    <cellStyle name="20% - 강조색5 6 2" xfId="615" xr:uid="{0EBD3B84-A58A-455C-A9F3-CC1FC8F75CB1}"/>
    <cellStyle name="20% - 강조색5 60" xfId="4404" xr:uid="{D72CE10E-5D3B-4D75-9AEA-B43803C6169E}"/>
    <cellStyle name="20% - 강조색5 61" xfId="530" xr:uid="{2E000953-C28E-474F-AF2C-2AC26E87A30F}"/>
    <cellStyle name="20% - 강조색5 7" xfId="616" xr:uid="{E63EA671-14FA-4474-929A-887991DCBA4F}"/>
    <cellStyle name="20% - 강조색5 7 2" xfId="617" xr:uid="{EBBA410E-0F29-4437-886F-2A3E467AA4AB}"/>
    <cellStyle name="20% - 강조색5 8" xfId="618" xr:uid="{5862CFB5-1927-4124-9C8B-DB588D73F625}"/>
    <cellStyle name="20% - 강조색5 8 2" xfId="619" xr:uid="{BE1B7556-995B-4B41-8065-D471FC89026C}"/>
    <cellStyle name="20% - 강조색5 9" xfId="620" xr:uid="{8BD1E357-3135-4533-9285-EA93F51DE021}"/>
    <cellStyle name="20% - 강조색5 9 2" xfId="621" xr:uid="{EA0C0401-D5D9-4FDE-BAD4-5476C5034C0D}"/>
    <cellStyle name="20% - 강조색6 10" xfId="623" xr:uid="{06A262AD-05D0-4CF3-B112-9CADF600C796}"/>
    <cellStyle name="20% - 강조색6 10 2" xfId="624" xr:uid="{C606C831-318F-40A4-BB82-251CF459B348}"/>
    <cellStyle name="20% - 강조색6 11" xfId="625" xr:uid="{AB3430C0-F861-4A6B-A0E2-FA6E056E9F8D}"/>
    <cellStyle name="20% - 강조색6 11 2" xfId="626" xr:uid="{C5A23A26-1339-41D0-8741-57115CB3AA84}"/>
    <cellStyle name="20% - 강조색6 12" xfId="627" xr:uid="{466F8846-4317-45DC-880D-B2B61E4F2A26}"/>
    <cellStyle name="20% - 강조색6 12 2" xfId="628" xr:uid="{529AD82C-FF42-4119-B656-833685060AB7}"/>
    <cellStyle name="20% - 강조색6 13" xfId="629" xr:uid="{9A70345D-F1B4-45B7-AACA-5AD8B4C1DA40}"/>
    <cellStyle name="20% - 강조색6 13 2" xfId="630" xr:uid="{7FFC5F88-CE2F-4944-A637-6A587A107894}"/>
    <cellStyle name="20% - 강조색6 14" xfId="631" xr:uid="{625B0D94-4186-4C9D-9FD8-D48D162B8EC7}"/>
    <cellStyle name="20% - 강조색6 14 2" xfId="632" xr:uid="{97405197-6BA4-4DEB-8BDF-AC74250A1C3F}"/>
    <cellStyle name="20% - 강조색6 15" xfId="633" xr:uid="{EAB21274-CD6C-4F7A-BDE5-BD48033EC457}"/>
    <cellStyle name="20% - 강조색6 15 2" xfId="634" xr:uid="{993CF0F0-96AE-4436-A7E9-4E201FF6E300}"/>
    <cellStyle name="20% - 강조색6 16" xfId="635" xr:uid="{191C2807-68FA-47D8-8773-05481CB45165}"/>
    <cellStyle name="20% - 강조색6 16 2" xfId="636" xr:uid="{15E1652B-1A4F-4F98-9871-7F9D3AA7B31A}"/>
    <cellStyle name="20% - 강조색6 17" xfId="637" xr:uid="{A60119A4-9119-41D6-BC02-3F2A957ED376}"/>
    <cellStyle name="20% - 강조색6 17 2" xfId="638" xr:uid="{192D61C2-16DF-4D69-B659-9DFF5E6FD65A}"/>
    <cellStyle name="20% - 강조색6 18" xfId="639" xr:uid="{A84D140B-F2AD-449F-865F-774D6FD63AB5}"/>
    <cellStyle name="20% - 강조색6 18 2" xfId="640" xr:uid="{3AB1A7D5-7BC3-4027-BD55-D8596FE40E08}"/>
    <cellStyle name="20% - 강조색6 19" xfId="641" xr:uid="{8C20C74E-24EA-4828-9EE3-DFBBDF0D7577}"/>
    <cellStyle name="20% - 강조색6 19 2" xfId="642" xr:uid="{FE4C980D-C011-4187-ABD7-6F7280275C0A}"/>
    <cellStyle name="20% - 강조색6 2" xfId="643" xr:uid="{A63597D1-1EB7-4EEE-BA86-67F5C085FF47}"/>
    <cellStyle name="20% - 강조색6 2 2" xfId="644" xr:uid="{DAD4D9C2-6858-4636-B3A1-EF475B1E4B31}"/>
    <cellStyle name="20% - 강조색6 20" xfId="645" xr:uid="{572105A7-A094-463E-B16E-03A175AC6352}"/>
    <cellStyle name="20% - 강조색6 20 2" xfId="646" xr:uid="{BBEF1734-0B94-4CB7-9F52-56ED67A89C07}"/>
    <cellStyle name="20% - 강조색6 21" xfId="647" xr:uid="{36E89840-BE67-4FCC-BE41-530D6A853E38}"/>
    <cellStyle name="20% - 강조색6 21 2" xfId="648" xr:uid="{229128E3-420E-4E83-884A-F3B0134CC869}"/>
    <cellStyle name="20% - 강조색6 22" xfId="649" xr:uid="{E3C66467-E9E5-41F6-8134-3DDF84EDBB9F}"/>
    <cellStyle name="20% - 강조색6 22 2" xfId="650" xr:uid="{86CF59CC-6C99-40AF-A980-708C41AAD971}"/>
    <cellStyle name="20% - 강조색6 23" xfId="651" xr:uid="{891C0CA9-E90B-4BB4-9AB8-6605BCE75DAB}"/>
    <cellStyle name="20% - 강조색6 23 2" xfId="652" xr:uid="{9CC7102B-381B-496D-8A85-3A93B56528DA}"/>
    <cellStyle name="20% - 강조색6 24" xfId="653" xr:uid="{37283258-F72A-44C8-A266-2EA9165E5302}"/>
    <cellStyle name="20% - 강조색6 24 2" xfId="654" xr:uid="{78EE686A-9961-4219-8E09-4351ED9E8A66}"/>
    <cellStyle name="20% - 강조색6 25" xfId="655" xr:uid="{1EDF9701-815D-4FA4-ABEB-D2C870B10D2E}"/>
    <cellStyle name="20% - 강조색6 25 2" xfId="656" xr:uid="{4F5B6C40-92D2-4B2A-8BA9-DB87B1E1A94F}"/>
    <cellStyle name="20% - 강조색6 26" xfId="657" xr:uid="{33F61C02-3276-466F-91B2-9CE1ED1AC80A}"/>
    <cellStyle name="20% - 강조색6 26 2" xfId="658" xr:uid="{FB87BB24-FCDB-496A-A342-B8A9E0AA9F61}"/>
    <cellStyle name="20% - 강조색6 27" xfId="659" xr:uid="{E574A166-64CD-4981-BF18-52F4B58766A2}"/>
    <cellStyle name="20% - 강조색6 27 2" xfId="660" xr:uid="{60B8F3A8-DB7C-4D0F-90EF-9FE182BCF8F3}"/>
    <cellStyle name="20% - 강조색6 28" xfId="661" xr:uid="{B0819BE7-4E04-44A6-AB61-4645C414A560}"/>
    <cellStyle name="20% - 강조색6 28 2" xfId="662" xr:uid="{DE9F74A2-A3F7-4C1E-BF77-D42782CD595B}"/>
    <cellStyle name="20% - 강조색6 29" xfId="663" xr:uid="{2BC718C6-1590-4288-8B7F-C5A42A2F33A0}"/>
    <cellStyle name="20% - 강조색6 29 2" xfId="664" xr:uid="{A1ED2ECC-8163-49D6-93E2-112FC2CA0E22}"/>
    <cellStyle name="20% - 강조색6 3" xfId="665" xr:uid="{0D04C626-0B0C-4712-89CA-ACB0E262E7CE}"/>
    <cellStyle name="20% - 강조색6 3 2" xfId="666" xr:uid="{D9488F62-5530-4875-BF2F-912CCDD51925}"/>
    <cellStyle name="20% - 강조색6 30" xfId="667" xr:uid="{CF65BA40-1CFA-40A5-BF6C-027CB115AF6A}"/>
    <cellStyle name="20% - 강조색6 30 2" xfId="668" xr:uid="{5F6C5EFD-1B32-4857-AA3C-D6C0536A6A6B}"/>
    <cellStyle name="20% - 강조색6 31" xfId="669" xr:uid="{D5987BD3-A5DB-4275-A9CB-D8A5E8E2925A}"/>
    <cellStyle name="20% - 강조색6 31 2" xfId="670" xr:uid="{6000016F-BC01-4B5E-AEB5-1D651171F22E}"/>
    <cellStyle name="20% - 강조색6 32" xfId="671" xr:uid="{DDD65612-EAE5-44CF-964D-05E3E7CA2799}"/>
    <cellStyle name="20% - 강조색6 32 2" xfId="672" xr:uid="{E3322C43-0E15-4DD8-9642-0B7BD2428D0E}"/>
    <cellStyle name="20% - 강조색6 33" xfId="673" xr:uid="{2AA1B6C6-791A-45E0-9BE7-35C7B937D1FC}"/>
    <cellStyle name="20% - 강조색6 33 2" xfId="674" xr:uid="{F7039E55-EB39-47E1-95C8-3290B4B8D5DE}"/>
    <cellStyle name="20% - 강조색6 34" xfId="675" xr:uid="{B5E14E5D-2F66-4211-A48A-B0943A5C877D}"/>
    <cellStyle name="20% - 강조색6 34 2" xfId="676" xr:uid="{E2763DD0-6852-48B4-AE50-C3BD1254EE84}"/>
    <cellStyle name="20% - 강조색6 35" xfId="677" xr:uid="{3A58F759-6C00-4F6D-968D-BB882DA25BE7}"/>
    <cellStyle name="20% - 강조색6 35 2" xfId="678" xr:uid="{2F13E1C4-4C66-448A-8C95-2FB4CC775F1D}"/>
    <cellStyle name="20% - 강조색6 36" xfId="679" xr:uid="{A7ACBD80-5F23-4627-AE9C-EFE1B337F2AE}"/>
    <cellStyle name="20% - 강조색6 36 2" xfId="680" xr:uid="{46D61B97-5038-4562-A990-FD4B52B51F81}"/>
    <cellStyle name="20% - 강조색6 37" xfId="681" xr:uid="{242850F7-612F-44E2-BEA3-2C09908F3474}"/>
    <cellStyle name="20% - 강조색6 37 2" xfId="682" xr:uid="{2C7BDDA5-24C8-4894-8CAC-FE3C6E6C205B}"/>
    <cellStyle name="20% - 강조색6 38" xfId="683" xr:uid="{F6ADDDE6-0F94-4002-A2A2-614E895698C2}"/>
    <cellStyle name="20% - 강조색6 38 2" xfId="684" xr:uid="{08BB88B5-0763-4E00-A2FF-89647F46BDD2}"/>
    <cellStyle name="20% - 강조색6 39" xfId="685" xr:uid="{C877202F-94CF-4CBC-B827-380569E26B48}"/>
    <cellStyle name="20% - 강조색6 39 2" xfId="686" xr:uid="{A7C2273B-D1CD-455D-AB89-A5C70E5C4A95}"/>
    <cellStyle name="20% - 강조색6 4" xfId="687" xr:uid="{1532489A-EC66-4558-BFB6-1304DC4DE90B}"/>
    <cellStyle name="20% - 강조색6 4 2" xfId="688" xr:uid="{2CF10DEE-FD6E-4041-8679-968DE3B46BD6}"/>
    <cellStyle name="20% - 강조색6 40" xfId="689" xr:uid="{C73AF796-71E5-4F96-94A1-E3C11FD094CC}"/>
    <cellStyle name="20% - 강조색6 40 2" xfId="690" xr:uid="{EB422A5A-C644-44BE-9F7D-3EA3E810B56E}"/>
    <cellStyle name="20% - 강조색6 41" xfId="691" xr:uid="{8B603466-40BC-45DB-AD77-FE5EE3E0F85E}"/>
    <cellStyle name="20% - 강조색6 41 2" xfId="692" xr:uid="{4FFA9E68-B6E8-4FD6-81EF-89B29081AB98}"/>
    <cellStyle name="20% - 강조색6 42" xfId="693" xr:uid="{CE170A0A-03DE-4121-BAAF-199C2E44BB67}"/>
    <cellStyle name="20% - 강조색6 42 2" xfId="694" xr:uid="{DAFD48F0-037B-4365-BD40-93A4FE9CD972}"/>
    <cellStyle name="20% - 강조색6 43" xfId="695" xr:uid="{F944C3C5-2DB0-4434-93C3-0FE24DDB7BC4}"/>
    <cellStyle name="20% - 강조색6 43 2" xfId="696" xr:uid="{0A6A4FEC-4198-4AE0-B1B0-DC2BA45709B5}"/>
    <cellStyle name="20% - 강조색6 44" xfId="697" xr:uid="{BE13E192-EE31-4FE4-95AC-62561AB78860}"/>
    <cellStyle name="20% - 강조색6 45" xfId="698" xr:uid="{63210E13-F619-42F1-806B-0A412D9B4232}"/>
    <cellStyle name="20% - 강조색6 46" xfId="699" xr:uid="{8264034C-B00D-436C-9DCF-22EE15DD8878}"/>
    <cellStyle name="20% - 강조색6 47" xfId="700" xr:uid="{480F1157-62B8-4EDC-8604-5643BE8C213A}"/>
    <cellStyle name="20% - 강조색6 48" xfId="701" xr:uid="{2967D059-9CD8-4D77-A74E-213DFADE216D}"/>
    <cellStyle name="20% - 강조색6 49" xfId="702" xr:uid="{5DEAACEF-069D-49AE-88CC-B18E33DE4A95}"/>
    <cellStyle name="20% - 강조색6 5" xfId="703" xr:uid="{E6E725AD-38D3-4F8A-8155-0DE43FA456AC}"/>
    <cellStyle name="20% - 강조색6 5 2" xfId="704" xr:uid="{BA9B146A-3FC1-464F-B91E-59574552BB83}"/>
    <cellStyle name="20% - 강조색6 50" xfId="705" xr:uid="{78CF1ED4-A791-4494-A61D-A743F839EA2D}"/>
    <cellStyle name="20% - 강조색6 51" xfId="3985" xr:uid="{8394FD9C-6E7D-4BFD-B633-0AD60B5C545F}"/>
    <cellStyle name="20% - 강조색6 51 2" xfId="4090" xr:uid="{50928907-138D-4670-A82C-AFEAE9E4F874}"/>
    <cellStyle name="20% - 강조색6 51 2 2" xfId="4294" xr:uid="{45AAC6F7-13AE-4732-B1CC-212C8E82ACD1}"/>
    <cellStyle name="20% - 강조색6 51 2 2 2" xfId="4598" xr:uid="{BC3D0914-4E01-428C-BC2B-D42AD4C7BB3A}"/>
    <cellStyle name="20% - 강조색6 51 2 3" xfId="4466" xr:uid="{83C133B4-18FE-4E56-AEE4-37CDA6FF18A6}"/>
    <cellStyle name="20% - 강조색6 51 3" xfId="4281" xr:uid="{BCF41ACB-157D-4684-A658-BF7DB416BB96}"/>
    <cellStyle name="20% - 강조색6 51 3 2" xfId="4585" xr:uid="{6C8B1E0A-4CA1-43EA-9DB1-C24F36E28466}"/>
    <cellStyle name="20% - 강조색6 51 4" xfId="4453" xr:uid="{223B9FF3-2683-47D6-A904-22257B404D1B}"/>
    <cellStyle name="20% - 강조색6 52" xfId="4107" xr:uid="{762B9E8E-9A0B-4665-93D9-040A1DB079BA}"/>
    <cellStyle name="20% - 강조색6 52 2" xfId="4311" xr:uid="{01E19D4D-D9CC-499A-8E40-9C91B11D480B}"/>
    <cellStyle name="20% - 강조색6 52 2 2" xfId="4615" xr:uid="{A19F9CBA-55A3-403E-ADBD-2AFD711B0037}"/>
    <cellStyle name="20% - 강조색6 52 3" xfId="4483" xr:uid="{E466ECEF-F61B-4B30-952E-F15BA6F5F41D}"/>
    <cellStyle name="20% - 강조색6 53" xfId="4149" xr:uid="{C3149CE0-C91B-4831-9D63-8834A7B48490}"/>
    <cellStyle name="20% - 강조색6 53 2" xfId="4327" xr:uid="{DC79584E-C50A-4788-B9E8-E8474EAF10A5}"/>
    <cellStyle name="20% - 강조색6 53 2 2" xfId="4631" xr:uid="{92071A4D-2C39-448E-81D8-150F12CB0EA0}"/>
    <cellStyle name="20% - 강조색6 53 3" xfId="4499" xr:uid="{F1A7FAD5-8ACA-4156-BECB-2A688871724B}"/>
    <cellStyle name="20% - 강조색6 54" xfId="4165" xr:uid="{A8CBBDA2-7D7F-44A1-9A3C-8616E644303D}"/>
    <cellStyle name="20% - 강조색6 54 2" xfId="4341" xr:uid="{831582A7-8323-41A0-B510-3AA472770678}"/>
    <cellStyle name="20% - 강조색6 54 2 2" xfId="4645" xr:uid="{09E39574-DD42-485D-94AE-84BDA014D92A}"/>
    <cellStyle name="20% - 강조색6 54 3" xfId="4513" xr:uid="{A63AEB0C-06D6-4CF1-83FA-4057476DE720}"/>
    <cellStyle name="20% - 강조색6 55" xfId="4179" xr:uid="{32EF7038-832E-4DA6-ABDF-7FD65DD52446}"/>
    <cellStyle name="20% - 강조색6 55 2" xfId="4355" xr:uid="{C599527B-0956-492D-ABF1-BBF48003C62C}"/>
    <cellStyle name="20% - 강조색6 55 2 2" xfId="4659" xr:uid="{D64FE8FF-1BB5-4290-B398-A69DF065D5FB}"/>
    <cellStyle name="20% - 강조색6 55 3" xfId="4527" xr:uid="{314B7BE0-A6EE-44BA-B831-B0470DC33562}"/>
    <cellStyle name="20% - 강조색6 56" xfId="4193" xr:uid="{A96F6BF9-B27E-4925-B104-74CE555AECD8}"/>
    <cellStyle name="20% - 강조색6 56 2" xfId="4369" xr:uid="{8AEABDA9-0928-4D23-B5BF-0806A087224A}"/>
    <cellStyle name="20% - 강조색6 56 2 2" xfId="4673" xr:uid="{BEA33774-804C-443C-84E7-6D949A7C77EC}"/>
    <cellStyle name="20% - 강조색6 56 3" xfId="4541" xr:uid="{E12C4DFB-89DE-4A69-A975-90F34D60DC63}"/>
    <cellStyle name="20% - 강조색6 57" xfId="4208" xr:uid="{590DA881-981A-4D2D-9645-072C6ADAF475}"/>
    <cellStyle name="20% - 강조색6 57 2" xfId="4383" xr:uid="{36E8BB55-2B62-465D-A0B6-69DA4622B562}"/>
    <cellStyle name="20% - 강조색6 57 2 2" xfId="4687" xr:uid="{AEB0CFC9-5CDE-4AC1-819C-397E940F606A}"/>
    <cellStyle name="20% - 강조색6 57 3" xfId="4555" xr:uid="{EBE5266C-1411-44D3-B7B8-9510211EC8F6}"/>
    <cellStyle name="20% - 강조색6 58" xfId="4222" xr:uid="{0263CA5F-6D43-460A-A58F-8E6750F3D807}"/>
    <cellStyle name="20% - 강조색6 58 2" xfId="4569" xr:uid="{D657143A-11AA-4897-8F98-0516D4207CC5}"/>
    <cellStyle name="20% - 강조색6 59" xfId="4233" xr:uid="{1525AEA5-BE7C-4AC7-8A9B-AE4A956C8975}"/>
    <cellStyle name="20% - 강조색6 6" xfId="706" xr:uid="{66E5E208-3D93-4471-B038-3828CD9F63EE}"/>
    <cellStyle name="20% - 강조색6 6 2" xfId="707" xr:uid="{B5BD3450-5B32-453C-A775-E258D31367A9}"/>
    <cellStyle name="20% - 강조색6 60" xfId="4405" xr:uid="{C2824DDB-17BF-4457-8B2F-64C81C9B108C}"/>
    <cellStyle name="20% - 강조색6 61" xfId="622" xr:uid="{45646628-7F81-4F03-9FD8-00B5AA3EB58C}"/>
    <cellStyle name="20% - 강조색6 7" xfId="708" xr:uid="{40CC0C8C-5457-45AE-8A7E-E7A795138E72}"/>
    <cellStyle name="20% - 강조색6 7 2" xfId="709" xr:uid="{11118648-BD1D-4444-AF72-C51A3E49EA72}"/>
    <cellStyle name="20% - 강조색6 8" xfId="710" xr:uid="{32934CF1-2BEA-4085-A87C-13284DEA136B}"/>
    <cellStyle name="20% - 강조색6 8 2" xfId="711" xr:uid="{98C50512-EC2F-432B-A880-DA6AA3F654BA}"/>
    <cellStyle name="20% - 강조색6 9" xfId="712" xr:uid="{7D330CB6-E40C-4848-B476-71EBD1107AB7}"/>
    <cellStyle name="20% - 강조색6 9 2" xfId="713" xr:uid="{86ED90DB-383B-4B3F-83AB-0627D9BE579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40% - 강조색1 10" xfId="715" xr:uid="{230BF547-D475-428E-9178-AA291BBFED2C}"/>
    <cellStyle name="40% - 강조색1 10 2" xfId="716" xr:uid="{22CBD926-0B8F-4EBD-A0E2-4C3938D2D120}"/>
    <cellStyle name="40% - 강조색1 11" xfId="717" xr:uid="{B38DB036-962B-4EF3-963B-0217E9DCF11C}"/>
    <cellStyle name="40% - 강조색1 11 2" xfId="718" xr:uid="{F6FDF007-BBF5-45ED-B6D4-BDC9CAF51C87}"/>
    <cellStyle name="40% - 강조색1 12" xfId="719" xr:uid="{52794C6F-FC89-4F75-8985-C5505321929D}"/>
    <cellStyle name="40% - 강조색1 12 2" xfId="720" xr:uid="{ECD31095-823F-4DA3-BAE3-E6F51F897831}"/>
    <cellStyle name="40% - 강조색1 13" xfId="721" xr:uid="{03256D1D-5E60-481D-98FC-2B9DA22ECF92}"/>
    <cellStyle name="40% - 강조색1 13 2" xfId="722" xr:uid="{2C064237-4753-4250-A7E3-92ED0E25AF33}"/>
    <cellStyle name="40% - 강조색1 14" xfId="723" xr:uid="{BFDEA48C-7940-484A-A1AC-6AED955A00D5}"/>
    <cellStyle name="40% - 강조색1 14 2" xfId="724" xr:uid="{4E4D5BD5-D4E5-40AA-BEC7-2637FD6FFA7B}"/>
    <cellStyle name="40% - 강조색1 15" xfId="725" xr:uid="{7CFC8454-3EC4-4DE2-A704-7113A875248F}"/>
    <cellStyle name="40% - 강조색1 15 2" xfId="726" xr:uid="{64817A02-AA89-4542-8E9A-475C373A0AEA}"/>
    <cellStyle name="40% - 강조색1 16" xfId="727" xr:uid="{FF24E362-8D6F-4EF8-983C-D396EABCF457}"/>
    <cellStyle name="40% - 강조색1 16 2" xfId="728" xr:uid="{35E19DC0-A3EE-4AB6-A8AF-91E697CFA977}"/>
    <cellStyle name="40% - 강조색1 17" xfId="729" xr:uid="{3AE0D966-EDDF-47FE-8651-D8443DED31FE}"/>
    <cellStyle name="40% - 강조색1 17 2" xfId="730" xr:uid="{594D26F3-475B-4CF4-B4D1-14F4CB244C5B}"/>
    <cellStyle name="40% - 강조색1 18" xfId="731" xr:uid="{A88662A5-B5D6-4551-AE75-83EF66A1D0FA}"/>
    <cellStyle name="40% - 강조색1 18 2" xfId="732" xr:uid="{0F24A09E-A55B-4012-B7DD-F7AFDCE1731C}"/>
    <cellStyle name="40% - 강조색1 19" xfId="733" xr:uid="{B829B545-71E7-43F8-BA55-EF00E9307CAE}"/>
    <cellStyle name="40% - 강조색1 19 2" xfId="734" xr:uid="{9FE78BDB-9FDD-4D35-98B8-CE1DFE4A6EF3}"/>
    <cellStyle name="40% - 강조색1 2" xfId="735" xr:uid="{9CB04C36-CDDE-46E3-B817-D6861249F740}"/>
    <cellStyle name="40% - 강조색1 2 2" xfId="736" xr:uid="{A2930AD3-E3D1-4C11-B2C1-1077D68521A9}"/>
    <cellStyle name="40% - 강조색1 20" xfId="737" xr:uid="{E038D911-9B2C-4F79-B7F1-0D694E6CA58C}"/>
    <cellStyle name="40% - 강조색1 20 2" xfId="738" xr:uid="{2574FB83-59C4-4D6F-8BAC-BD88458C314C}"/>
    <cellStyle name="40% - 강조색1 21" xfId="739" xr:uid="{ADC5FEC8-F44A-4172-827B-00BEBC4C3024}"/>
    <cellStyle name="40% - 강조색1 21 2" xfId="740" xr:uid="{FEF870D4-C249-4654-945B-CE533F1D5D10}"/>
    <cellStyle name="40% - 강조색1 22" xfId="741" xr:uid="{67CAAB26-13D1-4E79-8111-4A207BFA9607}"/>
    <cellStyle name="40% - 강조색1 22 2" xfId="742" xr:uid="{B75B5E2C-5562-4BCF-839A-092D0327EE48}"/>
    <cellStyle name="40% - 강조색1 23" xfId="743" xr:uid="{D8059C3F-B4D6-47AA-B529-27D757D785A4}"/>
    <cellStyle name="40% - 강조색1 23 2" xfId="744" xr:uid="{C37F38DC-C7BE-43B8-9425-94FEF69BABA2}"/>
    <cellStyle name="40% - 강조색1 24" xfId="745" xr:uid="{8D23CE46-D4B4-4897-B44A-5AA18ADDA2F9}"/>
    <cellStyle name="40% - 강조색1 24 2" xfId="746" xr:uid="{579DAAFB-349B-4F11-A5A3-4188789475DB}"/>
    <cellStyle name="40% - 강조색1 25" xfId="747" xr:uid="{CDA0FD10-6541-441E-9B9F-F32FFA4C0CCD}"/>
    <cellStyle name="40% - 강조색1 25 2" xfId="748" xr:uid="{170FF0D4-76D1-4C79-88CD-ED84623BE23B}"/>
    <cellStyle name="40% - 강조색1 26" xfId="749" xr:uid="{B93D2243-E11C-4E27-AFA2-00983A97FE20}"/>
    <cellStyle name="40% - 강조색1 26 2" xfId="750" xr:uid="{A9C76B46-1D02-4CEA-AE9A-A0A9325EC2D4}"/>
    <cellStyle name="40% - 강조색1 27" xfId="751" xr:uid="{2B76C97E-C75F-4BA7-B47E-3B04E70F2215}"/>
    <cellStyle name="40% - 강조색1 27 2" xfId="752" xr:uid="{718E74C9-9A79-4DE7-A324-B5145EDBB378}"/>
    <cellStyle name="40% - 강조색1 28" xfId="753" xr:uid="{500DE305-640A-4BE5-AFB6-90153679200D}"/>
    <cellStyle name="40% - 강조색1 28 2" xfId="754" xr:uid="{754089C1-2559-489F-9926-7CA96E09FA32}"/>
    <cellStyle name="40% - 강조색1 29" xfId="755" xr:uid="{6822C582-EF53-4366-940B-09CF76EB2BE8}"/>
    <cellStyle name="40% - 강조색1 29 2" xfId="756" xr:uid="{DF197549-AA50-495B-98E2-DBCBB2DE6430}"/>
    <cellStyle name="40% - 강조색1 3" xfId="757" xr:uid="{298D6189-001D-4426-A8AF-AF94A1BF4E79}"/>
    <cellStyle name="40% - 강조색1 3 2" xfId="758" xr:uid="{6B4E4D28-A7C7-47DA-BA80-38B9CF439053}"/>
    <cellStyle name="40% - 강조색1 30" xfId="759" xr:uid="{F11B65C4-AE98-42EB-9930-D7E2CF5FE0A1}"/>
    <cellStyle name="40% - 강조색1 30 2" xfId="760" xr:uid="{CDB14DEC-3E3C-4AF3-8EDC-B7A85F303A90}"/>
    <cellStyle name="40% - 강조색1 31" xfId="761" xr:uid="{F18BE830-70E1-4C3F-96CD-A7F6B523E923}"/>
    <cellStyle name="40% - 강조색1 31 2" xfId="762" xr:uid="{D8DEF67A-F237-4056-A804-4A37B849944E}"/>
    <cellStyle name="40% - 강조색1 32" xfId="763" xr:uid="{500ABF3A-92C4-48DD-B2B4-C48A18EF73DD}"/>
    <cellStyle name="40% - 강조색1 32 2" xfId="764" xr:uid="{A5F84768-6D31-4447-AC98-E641C772EE7B}"/>
    <cellStyle name="40% - 강조색1 33" xfId="765" xr:uid="{40BBC372-F75B-4E19-A461-11599BE9D7CF}"/>
    <cellStyle name="40% - 강조색1 33 2" xfId="766" xr:uid="{B62DE6E9-FCF4-4826-9186-3FDB21402C12}"/>
    <cellStyle name="40% - 강조색1 34" xfId="767" xr:uid="{02D87E83-49F1-4073-863E-AB30D9B0E3A9}"/>
    <cellStyle name="40% - 강조색1 34 2" xfId="768" xr:uid="{E1AE9237-DEEB-4C17-9CDF-D98002382A15}"/>
    <cellStyle name="40% - 강조색1 35" xfId="769" xr:uid="{C2D724FE-C3BE-42CC-9853-319264B60304}"/>
    <cellStyle name="40% - 강조색1 35 2" xfId="770" xr:uid="{2E920C0F-FFEF-4C83-A645-F12E5F6B3C93}"/>
    <cellStyle name="40% - 강조색1 36" xfId="771" xr:uid="{5432B835-B97A-43F4-994C-9AC0BAE04639}"/>
    <cellStyle name="40% - 강조색1 36 2" xfId="772" xr:uid="{4664BC0F-0032-4A00-931F-4D4D0CE44C5D}"/>
    <cellStyle name="40% - 강조색1 37" xfId="773" xr:uid="{76D7C3EF-A50E-4C1B-80D1-62E0AF7BE153}"/>
    <cellStyle name="40% - 강조색1 37 2" xfId="774" xr:uid="{27E399A7-8B76-4A7F-9AB7-316AD14CC8ED}"/>
    <cellStyle name="40% - 강조색1 38" xfId="775" xr:uid="{2CCD8CA4-659E-4130-BE48-2982310267E2}"/>
    <cellStyle name="40% - 강조색1 38 2" xfId="776" xr:uid="{014788EB-E2F1-4112-A80D-0D546DA15D4A}"/>
    <cellStyle name="40% - 강조색1 39" xfId="777" xr:uid="{60046F4D-F124-4BF3-8673-3E3F284D33BC}"/>
    <cellStyle name="40% - 강조색1 39 2" xfId="778" xr:uid="{21D77643-5D8A-4DAA-91E2-52B879A7DD1D}"/>
    <cellStyle name="40% - 강조색1 4" xfId="779" xr:uid="{4D979075-7B94-49AF-BBCD-038E34F3E188}"/>
    <cellStyle name="40% - 강조색1 4 2" xfId="780" xr:uid="{C1867657-1B18-44DA-B4F8-908AD91B4F94}"/>
    <cellStyle name="40% - 강조색1 40" xfId="781" xr:uid="{B8C8D0AC-52A2-4F9C-8A46-8123FCD0F111}"/>
    <cellStyle name="40% - 강조색1 40 2" xfId="782" xr:uid="{56C35C28-32DD-49B1-88E2-494A069D73EE}"/>
    <cellStyle name="40% - 강조색1 41" xfId="783" xr:uid="{F31900BE-F562-4202-8CF2-2B2CA1EDD44E}"/>
    <cellStyle name="40% - 강조색1 41 2" xfId="784" xr:uid="{F9EDA009-9129-44AC-A955-0FA3D5298F4A}"/>
    <cellStyle name="40% - 강조색1 42" xfId="785" xr:uid="{DE177AD5-0CA5-41F6-857A-523A265C6E9E}"/>
    <cellStyle name="40% - 강조색1 42 2" xfId="786" xr:uid="{DA32D841-1D48-40F1-B1CD-73D782B743AC}"/>
    <cellStyle name="40% - 강조색1 43" xfId="787" xr:uid="{F21E8F0D-96B2-4465-BC8B-8AA6D35C2BF9}"/>
    <cellStyle name="40% - 강조색1 43 2" xfId="788" xr:uid="{9CA17F75-9780-4F6E-8AF9-079BD09B370C}"/>
    <cellStyle name="40% - 강조색1 44" xfId="789" xr:uid="{2328557D-A1C7-427F-AB41-D845FEDF5337}"/>
    <cellStyle name="40% - 강조색1 45" xfId="790" xr:uid="{36CEE73D-D1CC-4577-AF5C-8A4AE0025468}"/>
    <cellStyle name="40% - 강조색1 46" xfId="791" xr:uid="{98F383EC-F50D-4C5B-AABC-69AD4ADD41AA}"/>
    <cellStyle name="40% - 강조색1 47" xfId="792" xr:uid="{CBC45A6D-F1B2-46EE-8D02-AC148D42AF78}"/>
    <cellStyle name="40% - 강조색1 48" xfId="793" xr:uid="{6A9C11E4-AC11-419C-9A24-358012FB7D04}"/>
    <cellStyle name="40% - 강조색1 49" xfId="794" xr:uid="{2FB751B7-653E-431D-8736-E2C5D549F69D}"/>
    <cellStyle name="40% - 강조색1 5" xfId="795" xr:uid="{246818ED-C255-4F80-BF7F-6F774BD57669}"/>
    <cellStyle name="40% - 강조색1 5 2" xfId="796" xr:uid="{EBEC3A6B-3455-45B1-8DF8-981EC92B6B49}"/>
    <cellStyle name="40% - 강조색1 50" xfId="797" xr:uid="{07D614E9-583C-445D-82A0-371025737C09}"/>
    <cellStyle name="40% - 강조색1 51" xfId="3966" xr:uid="{23247410-A859-45B4-AC18-8EC578402E7A}"/>
    <cellStyle name="40% - 강조색1 51 2" xfId="4081" xr:uid="{526C667B-3A2E-499C-BC88-E43B78D3C323}"/>
    <cellStyle name="40% - 강조색1 51 2 2" xfId="4285" xr:uid="{2DEC9059-F446-4608-A3C6-D39D51467E17}"/>
    <cellStyle name="40% - 강조색1 51 2 2 2" xfId="4589" xr:uid="{552D39A9-D26E-415F-BDC3-03BE1F896C37}"/>
    <cellStyle name="40% - 강조색1 51 2 3" xfId="4457" xr:uid="{A4284EDB-1510-416C-9CE9-AB3128F5B83C}"/>
    <cellStyle name="40% - 강조색1 51 3" xfId="4272" xr:uid="{1E3C92DE-C2E0-4347-802C-CD9882959319}"/>
    <cellStyle name="40% - 강조색1 51 3 2" xfId="4576" xr:uid="{D9B47710-39E7-40D8-AAE3-C2C2FFE54073}"/>
    <cellStyle name="40% - 강조색1 51 4" xfId="4444" xr:uid="{1235EF75-9BA9-4E81-BCEE-D7BCB6B30D9D}"/>
    <cellStyle name="40% - 강조색1 52" xfId="4098" xr:uid="{274F6E0A-67B9-448C-8901-CBDEB320A6B4}"/>
    <cellStyle name="40% - 강조색1 52 2" xfId="4302" xr:uid="{DD4D239E-E776-4FF0-A3A9-1CA371AD0DA9}"/>
    <cellStyle name="40% - 강조색1 52 2 2" xfId="4606" xr:uid="{F71BC057-C917-4088-BB78-00C7CC0301F5}"/>
    <cellStyle name="40% - 강조색1 52 3" xfId="4474" xr:uid="{D24CD040-B52A-4D38-B99F-B87E34F5ECFC}"/>
    <cellStyle name="40% - 강조색1 53" xfId="4130" xr:uid="{3C9C8A66-7025-4218-BCD3-72C38C0D24D9}"/>
    <cellStyle name="40% - 강조색1 53 2" xfId="4318" xr:uid="{D302F9C3-5F6A-48FD-8C39-2467D8B06A61}"/>
    <cellStyle name="40% - 강조색1 53 2 2" xfId="4622" xr:uid="{F924F8A3-7F2E-49EC-9C68-C8043C510725}"/>
    <cellStyle name="40% - 강조색1 53 3" xfId="4490" xr:uid="{AA0FF9B6-6C4A-45A8-9775-1C47F9ACA9DD}"/>
    <cellStyle name="40% - 강조색1 54" xfId="4156" xr:uid="{05692E95-C522-4BD8-9278-E2ADF82306C9}"/>
    <cellStyle name="40% - 강조색1 54 2" xfId="4332" xr:uid="{E3DE3F7C-BE15-41EC-892B-194AF3E285CB}"/>
    <cellStyle name="40% - 강조색1 54 2 2" xfId="4636" xr:uid="{D6A0C196-14F7-4AA0-A36C-027BDC43D64A}"/>
    <cellStyle name="40% - 강조색1 54 3" xfId="4504" xr:uid="{27DD53A5-4994-4FF6-A929-BBD68152A073}"/>
    <cellStyle name="40% - 강조색1 55" xfId="4170" xr:uid="{AC4D2629-3D72-42D3-8F24-7E0B462F1DB7}"/>
    <cellStyle name="40% - 강조색1 55 2" xfId="4346" xr:uid="{2E9F2BF3-F437-457A-A9D2-5B23BDCCBDA9}"/>
    <cellStyle name="40% - 강조색1 55 2 2" xfId="4650" xr:uid="{E7CAF08A-1996-4C81-8BC2-A8F8287EC94B}"/>
    <cellStyle name="40% - 강조색1 55 3" xfId="4518" xr:uid="{5A4577B6-1B46-40A3-A8BC-6FF6A22F08ED}"/>
    <cellStyle name="40% - 강조색1 56" xfId="4184" xr:uid="{CE0FDE94-66A3-480B-AC9E-42B8C5B3E3FA}"/>
    <cellStyle name="40% - 강조색1 56 2" xfId="4360" xr:uid="{D7B96AAE-4D20-474E-AF5E-A7DCCCA5CD2F}"/>
    <cellStyle name="40% - 강조색1 56 2 2" xfId="4664" xr:uid="{2CCBF7AD-D798-4DBC-9108-992B87A448B7}"/>
    <cellStyle name="40% - 강조색1 56 3" xfId="4532" xr:uid="{F7D7855B-EC55-4E81-B65B-3C884E432351}"/>
    <cellStyle name="40% - 강조색1 57" xfId="4199" xr:uid="{6528AA74-72A4-4F4E-9F38-B62672AE0E09}"/>
    <cellStyle name="40% - 강조색1 57 2" xfId="4374" xr:uid="{B6FF416C-A7AC-4C76-BFE3-25435D0C894C}"/>
    <cellStyle name="40% - 강조색1 57 2 2" xfId="4678" xr:uid="{D6C5CC68-5BF4-4476-8BA6-8BD2C47F5E96}"/>
    <cellStyle name="40% - 강조색1 57 3" xfId="4546" xr:uid="{3B19E9CF-BB18-4CD6-B475-67C4FA73E45E}"/>
    <cellStyle name="40% - 강조색1 58" xfId="4213" xr:uid="{E0305717-1FD8-4690-AD45-64272B617C9F}"/>
    <cellStyle name="40% - 강조색1 58 2" xfId="4560" xr:uid="{DE6DFDE2-8509-4DB8-BCDB-347A02E0318B}"/>
    <cellStyle name="40% - 강조색1 59" xfId="4234" xr:uid="{750C6A1E-B6E5-4AEF-B458-393950F71569}"/>
    <cellStyle name="40% - 강조색1 6" xfId="798" xr:uid="{E52BE6D8-7804-490E-8E1E-ABC03810965E}"/>
    <cellStyle name="40% - 강조색1 6 2" xfId="799" xr:uid="{7EFE1929-2079-4BD9-982D-0EC293576B3B}"/>
    <cellStyle name="40% - 강조색1 60" xfId="4406" xr:uid="{2219907A-71FA-4506-B85C-96CA2E6D8B9C}"/>
    <cellStyle name="40% - 강조색1 61" xfId="714" xr:uid="{6B634569-08CD-464C-ABDD-52CB3C8132D1}"/>
    <cellStyle name="40% - 강조색1 7" xfId="800" xr:uid="{22B8593E-87FF-49EA-9CA1-4C35F5FBA863}"/>
    <cellStyle name="40% - 강조색1 7 2" xfId="801" xr:uid="{803E295E-1704-4002-9187-06AD73182BAB}"/>
    <cellStyle name="40% - 강조색1 8" xfId="802" xr:uid="{F8580670-401A-4BCA-AA92-5CB5D372D72F}"/>
    <cellStyle name="40% - 강조색1 8 2" xfId="803" xr:uid="{8C2F0789-570A-4A15-89C9-06E8B7A50EF5}"/>
    <cellStyle name="40% - 강조색1 9" xfId="804" xr:uid="{4F5FD0CD-0561-463F-A0E0-EE755CA5A297}"/>
    <cellStyle name="40% - 강조색1 9 2" xfId="805" xr:uid="{FF87A010-11B5-45A3-8EB9-6F6D82AEBEF3}"/>
    <cellStyle name="40% - 강조색2 10" xfId="807" xr:uid="{E92E5B7E-7CD3-43DC-802B-58AFBF8DCCFB}"/>
    <cellStyle name="40% - 강조색2 10 2" xfId="808" xr:uid="{8BF77331-96C0-4783-AA4E-A2625397CC43}"/>
    <cellStyle name="40% - 강조색2 11" xfId="809" xr:uid="{266B55BA-BE1D-41DC-BB54-0D8758469C3A}"/>
    <cellStyle name="40% - 강조색2 11 2" xfId="810" xr:uid="{07B41920-4F0F-4C6C-B3AB-34EF3C203C35}"/>
    <cellStyle name="40% - 강조색2 12" xfId="811" xr:uid="{305C8184-35FA-404C-A368-F7BEADCE798B}"/>
    <cellStyle name="40% - 강조색2 12 2" xfId="812" xr:uid="{051DC9E0-2B5B-460A-93BF-5E6132C5FF69}"/>
    <cellStyle name="40% - 강조색2 13" xfId="813" xr:uid="{8931270D-3E89-4B27-9D5C-99D788B21DF5}"/>
    <cellStyle name="40% - 강조색2 13 2" xfId="814" xr:uid="{BCD9F2AC-3C48-44EF-B309-8DF7583F5660}"/>
    <cellStyle name="40% - 강조색2 14" xfId="815" xr:uid="{EF3D7B7D-C79A-4D87-BFB8-AA0BBEC8610B}"/>
    <cellStyle name="40% - 강조색2 14 2" xfId="816" xr:uid="{3898B329-9E1A-4078-B7CC-8B0599A6F75A}"/>
    <cellStyle name="40% - 강조색2 15" xfId="817" xr:uid="{8CA5BEB7-5C63-4141-9969-2EC52CBC990A}"/>
    <cellStyle name="40% - 강조색2 15 2" xfId="818" xr:uid="{23F2A97F-1591-4191-9B0D-7F661E858C46}"/>
    <cellStyle name="40% - 강조색2 16" xfId="819" xr:uid="{B3FBCBEA-5F1B-42FA-B7E2-6F8A3DFD4B04}"/>
    <cellStyle name="40% - 강조색2 16 2" xfId="820" xr:uid="{4A4D7F5B-4BAE-417E-82E0-0BA038282489}"/>
    <cellStyle name="40% - 강조색2 17" xfId="821" xr:uid="{DE1E7861-E0A7-4A04-9E9D-7044281B2C8C}"/>
    <cellStyle name="40% - 강조색2 17 2" xfId="822" xr:uid="{DF612632-D41C-4F05-82DD-D98616744593}"/>
    <cellStyle name="40% - 강조색2 18" xfId="823" xr:uid="{28EF99F8-371B-4D9E-87A1-851B9E67A831}"/>
    <cellStyle name="40% - 강조색2 18 2" xfId="824" xr:uid="{F9539CBE-FCD3-476C-9DFA-920BC34E1F8B}"/>
    <cellStyle name="40% - 강조색2 19" xfId="825" xr:uid="{549C4E1A-69B8-4BEF-929C-05A360CFCDE5}"/>
    <cellStyle name="40% - 강조색2 19 2" xfId="826" xr:uid="{66E2992C-9DAA-4010-B240-709030C19DB5}"/>
    <cellStyle name="40% - 강조색2 2" xfId="827" xr:uid="{BD932688-F407-4064-831E-B91AC1056417}"/>
    <cellStyle name="40% - 강조색2 2 2" xfId="828" xr:uid="{0B5607E8-CB97-4F8D-A6AB-FE21DFC96354}"/>
    <cellStyle name="40% - 강조색2 20" xfId="829" xr:uid="{E2F179D2-30FE-4F72-8487-A591D93CDA39}"/>
    <cellStyle name="40% - 강조색2 20 2" xfId="830" xr:uid="{24B15C95-E21B-4614-922C-DB32A8014F7A}"/>
    <cellStyle name="40% - 강조색2 21" xfId="831" xr:uid="{0BB5C562-3AF9-4BA7-B2AF-958864FBAF4C}"/>
    <cellStyle name="40% - 강조색2 21 2" xfId="832" xr:uid="{E6FFC04A-DB27-45DC-93AF-AE5E952D05EC}"/>
    <cellStyle name="40% - 강조색2 22" xfId="833" xr:uid="{8034AB05-3242-447C-AE75-51FEF6D0AE5B}"/>
    <cellStyle name="40% - 강조색2 22 2" xfId="834" xr:uid="{723F10D8-836F-4F9D-B38F-188117BC1F5E}"/>
    <cellStyle name="40% - 강조색2 23" xfId="835" xr:uid="{4F491639-CF92-4167-897E-6A10C9B413F8}"/>
    <cellStyle name="40% - 강조색2 23 2" xfId="836" xr:uid="{04AB67A2-91FE-4FAF-B310-99C91F421911}"/>
    <cellStyle name="40% - 강조색2 24" xfId="837" xr:uid="{B0F0B93B-314B-4C53-8245-38DDF80C178D}"/>
    <cellStyle name="40% - 강조색2 24 2" xfId="838" xr:uid="{770C895A-18C3-4973-88AA-3AE681BFD29D}"/>
    <cellStyle name="40% - 강조색2 25" xfId="839" xr:uid="{11D9C198-949D-4EA2-B6F3-87DBA52FBD5C}"/>
    <cellStyle name="40% - 강조색2 25 2" xfId="840" xr:uid="{86AEEE71-0EBA-4E40-A1C8-8F2B03760446}"/>
    <cellStyle name="40% - 강조색2 26" xfId="841" xr:uid="{45F7EC25-7BE6-4D9D-8071-79D83D474AE4}"/>
    <cellStyle name="40% - 강조색2 26 2" xfId="842" xr:uid="{F64A89C1-438F-4BFB-9D00-A30810150B3D}"/>
    <cellStyle name="40% - 강조색2 27" xfId="843" xr:uid="{9EC6ACBB-0D13-4535-8883-C71403E60933}"/>
    <cellStyle name="40% - 강조색2 27 2" xfId="844" xr:uid="{C3ECE70F-B6A6-4CB4-9408-633068B9AC77}"/>
    <cellStyle name="40% - 강조색2 28" xfId="845" xr:uid="{0188BA35-1C49-43E2-AF83-E0AE3A4232A2}"/>
    <cellStyle name="40% - 강조색2 28 2" xfId="846" xr:uid="{142E6A4E-2DB0-4F7E-82BD-BC91DFD6E3CE}"/>
    <cellStyle name="40% - 강조색2 29" xfId="847" xr:uid="{40E9A600-0E7A-49D9-810B-46FF11A35D01}"/>
    <cellStyle name="40% - 강조색2 29 2" xfId="848" xr:uid="{AE77C8F9-B5EC-4B65-89BA-41AAE189992E}"/>
    <cellStyle name="40% - 강조색2 3" xfId="849" xr:uid="{FC0BD2A4-246C-4A4F-8B7E-7E6317CCD49B}"/>
    <cellStyle name="40% - 강조색2 3 2" xfId="850" xr:uid="{F8BDC905-AE8E-4985-A30A-F192616E6805}"/>
    <cellStyle name="40% - 강조색2 30" xfId="851" xr:uid="{8350D9C5-2117-4A21-BE09-28073E03512E}"/>
    <cellStyle name="40% - 강조색2 30 2" xfId="852" xr:uid="{F6093133-2DAB-4F76-A64A-AC4EB2F2B088}"/>
    <cellStyle name="40% - 강조색2 31" xfId="853" xr:uid="{7AEFBE23-A9A2-41D9-9FBC-40671C7D35F9}"/>
    <cellStyle name="40% - 강조색2 31 2" xfId="854" xr:uid="{D9A190E3-FBB3-4779-A6DD-46D0BF95DFE0}"/>
    <cellStyle name="40% - 강조색2 32" xfId="855" xr:uid="{EB28A888-5006-4A44-A41A-54CF988EF84C}"/>
    <cellStyle name="40% - 강조색2 32 2" xfId="856" xr:uid="{AFC57CAE-4BC9-471F-985A-E917BFDCB5E5}"/>
    <cellStyle name="40% - 강조색2 33" xfId="857" xr:uid="{A61E3C80-64C7-4067-85D3-99D00935AC8C}"/>
    <cellStyle name="40% - 강조색2 33 2" xfId="858" xr:uid="{5C657331-9CA1-4494-A36C-C75E5E940306}"/>
    <cellStyle name="40% - 강조색2 34" xfId="859" xr:uid="{36941694-5CBF-45A4-96D4-CF6BD81221A0}"/>
    <cellStyle name="40% - 강조색2 34 2" xfId="860" xr:uid="{31CC1716-9598-4DF9-B731-1D4A43B4C4B9}"/>
    <cellStyle name="40% - 강조색2 35" xfId="861" xr:uid="{1EC2AB4C-C9DF-4F6F-8DC6-6B2F925B1039}"/>
    <cellStyle name="40% - 강조색2 35 2" xfId="862" xr:uid="{12C73AB3-AD44-46A9-ACA8-70B156129D4F}"/>
    <cellStyle name="40% - 강조색2 36" xfId="863" xr:uid="{A1A9BA9E-F37E-46BF-9437-9F41B9C2D18D}"/>
    <cellStyle name="40% - 강조색2 36 2" xfId="864" xr:uid="{54A8BA43-C72A-4AB7-945C-9D05DCDD9DA6}"/>
    <cellStyle name="40% - 강조색2 37" xfId="865" xr:uid="{27D73730-0E1E-4CF4-8B32-4441F9761572}"/>
    <cellStyle name="40% - 강조색2 37 2" xfId="866" xr:uid="{2637B191-CEC7-42EA-8C8D-73696EC52137}"/>
    <cellStyle name="40% - 강조색2 38" xfId="867" xr:uid="{D79FBBBA-1EBD-43C6-B355-2E8295A0BF1B}"/>
    <cellStyle name="40% - 강조색2 38 2" xfId="868" xr:uid="{B2DB99FC-13C7-4A77-8778-D94579B68B3D}"/>
    <cellStyle name="40% - 강조색2 39" xfId="869" xr:uid="{E079846D-CEBB-4638-9ABC-2779E4187EC8}"/>
    <cellStyle name="40% - 강조색2 39 2" xfId="870" xr:uid="{324D68E1-21D4-4F09-8787-096ACE1EC770}"/>
    <cellStyle name="40% - 강조색2 4" xfId="871" xr:uid="{8D70663F-3219-4769-BDC1-3337159AA242}"/>
    <cellStyle name="40% - 강조색2 4 2" xfId="872" xr:uid="{B35CF430-B737-4565-8E5A-86A7A9F3670D}"/>
    <cellStyle name="40% - 강조색2 40" xfId="873" xr:uid="{5CB4CFF7-3D1A-4643-91FC-AAB766034C27}"/>
    <cellStyle name="40% - 강조색2 40 2" xfId="874" xr:uid="{A62F194D-C3F4-43F9-893F-5EBA3F243282}"/>
    <cellStyle name="40% - 강조색2 41" xfId="875" xr:uid="{7539C07C-E1E6-416B-BC60-0EB7099D13F1}"/>
    <cellStyle name="40% - 강조색2 41 2" xfId="876" xr:uid="{C465BB6D-E216-49A6-B591-AEE169042CB9}"/>
    <cellStyle name="40% - 강조색2 42" xfId="877" xr:uid="{CE13DD6D-7101-42C8-9EDF-4C36A1F4FBFB}"/>
    <cellStyle name="40% - 강조색2 42 2" xfId="878" xr:uid="{3959D9FB-5569-4A2D-A23C-7079E22F25B0}"/>
    <cellStyle name="40% - 강조색2 43" xfId="879" xr:uid="{96160EB2-F0B6-46DE-A0C2-82144ACCEC77}"/>
    <cellStyle name="40% - 강조색2 43 2" xfId="880" xr:uid="{1D042BFA-A8DF-48F3-A3A9-548751AC37EE}"/>
    <cellStyle name="40% - 강조색2 44" xfId="881" xr:uid="{A7493D40-AB3C-4E7C-9A8D-52656C583833}"/>
    <cellStyle name="40% - 강조색2 45" xfId="882" xr:uid="{A8797B56-32DB-4821-8D05-F56923C87936}"/>
    <cellStyle name="40% - 강조색2 46" xfId="883" xr:uid="{2B93CFE9-8189-4575-BAB8-C96E82F73BDA}"/>
    <cellStyle name="40% - 강조색2 47" xfId="884" xr:uid="{02A19D6F-733D-4024-89EE-200FF526FACF}"/>
    <cellStyle name="40% - 강조색2 48" xfId="885" xr:uid="{0BC39645-51B5-444E-AEDB-2E947A6CD205}"/>
    <cellStyle name="40% - 강조색2 49" xfId="886" xr:uid="{CA35D751-6C96-4CBF-A3D3-37CA99D0980A}"/>
    <cellStyle name="40% - 강조색2 5" xfId="887" xr:uid="{D8871501-C2DC-4931-A18E-F5CD511C34AE}"/>
    <cellStyle name="40% - 강조색2 5 2" xfId="888" xr:uid="{6F5227BE-94C0-4AF3-B71E-E82FF5962C82}"/>
    <cellStyle name="40% - 강조색2 50" xfId="889" xr:uid="{65C73107-AF34-47FD-AFFB-C6412564710A}"/>
    <cellStyle name="40% - 강조색2 51" xfId="3970" xr:uid="{BCEE9938-D8F1-4997-A16A-E7BD71B586F5}"/>
    <cellStyle name="40% - 강조색2 51 2" xfId="4083" xr:uid="{DA2E6CD2-08BD-41C6-BAAB-B9CC1B5F2B57}"/>
    <cellStyle name="40% - 강조색2 51 2 2" xfId="4287" xr:uid="{E33D47B5-8988-4FF3-AE95-1E2573E8F1F9}"/>
    <cellStyle name="40% - 강조색2 51 2 2 2" xfId="4591" xr:uid="{24DC3067-8E83-427A-B82F-5263590402F2}"/>
    <cellStyle name="40% - 강조색2 51 2 3" xfId="4459" xr:uid="{6013B4AE-9C18-44D4-B3E2-764E3386E513}"/>
    <cellStyle name="40% - 강조색2 51 3" xfId="4274" xr:uid="{07912120-FD4D-48D1-8534-24303518FBE0}"/>
    <cellStyle name="40% - 강조색2 51 3 2" xfId="4578" xr:uid="{94DEB020-4735-4817-9EB2-8C9478589DBE}"/>
    <cellStyle name="40% - 강조색2 51 4" xfId="4446" xr:uid="{E367A4E9-1D2B-4375-849E-ECA6EE577966}"/>
    <cellStyle name="40% - 강조색2 52" xfId="4100" xr:uid="{C2DCC2EC-5F1E-4AA5-AE12-C635A9718AB0}"/>
    <cellStyle name="40% - 강조색2 52 2" xfId="4304" xr:uid="{0A789523-5F72-4FAD-9B1D-39569E3B846E}"/>
    <cellStyle name="40% - 강조색2 52 2 2" xfId="4608" xr:uid="{8C8F0866-A4AF-47A3-8091-C2F90F6A23BA}"/>
    <cellStyle name="40% - 강조색2 52 3" xfId="4476" xr:uid="{F216A062-D745-4CEF-84B2-AE60A6E8AC07}"/>
    <cellStyle name="40% - 강조색2 53" xfId="4134" xr:uid="{A9F2FDF9-6EBA-4881-BFC4-64081EA31054}"/>
    <cellStyle name="40% - 강조색2 53 2" xfId="4320" xr:uid="{7837F5AE-E4B2-4D38-A91D-13B86EA28A0F}"/>
    <cellStyle name="40% - 강조색2 53 2 2" xfId="4624" xr:uid="{A7B6C296-B9C1-44B9-818F-13437C70BCFB}"/>
    <cellStyle name="40% - 강조색2 53 3" xfId="4492" xr:uid="{5786CC77-337E-45F2-8F75-F4BBC705A6F4}"/>
    <cellStyle name="40% - 강조색2 54" xfId="4158" xr:uid="{F5035AD7-FCBF-4268-80F2-76D2DB723B94}"/>
    <cellStyle name="40% - 강조색2 54 2" xfId="4334" xr:uid="{EBC323D7-D0E0-4974-97F9-8181E550DD2C}"/>
    <cellStyle name="40% - 강조색2 54 2 2" xfId="4638" xr:uid="{10E3A0C2-9121-4F53-9D0F-864C12519155}"/>
    <cellStyle name="40% - 강조색2 54 3" xfId="4506" xr:uid="{B6F9F9DD-62D2-44AB-B824-3C1076338AA4}"/>
    <cellStyle name="40% - 강조색2 55" xfId="4172" xr:uid="{67530B3A-FE26-4D7A-8EFF-9E44BEF4C984}"/>
    <cellStyle name="40% - 강조색2 55 2" xfId="4348" xr:uid="{E2DC999D-8932-4FE0-AAA0-38746BC138B3}"/>
    <cellStyle name="40% - 강조색2 55 2 2" xfId="4652" xr:uid="{89F2386F-584B-474E-9611-C49F59A44D34}"/>
    <cellStyle name="40% - 강조색2 55 3" xfId="4520" xr:uid="{DE8882F0-1EE3-4689-8660-D75E33D92C24}"/>
    <cellStyle name="40% - 강조색2 56" xfId="4186" xr:uid="{EF03AE3E-7A62-4210-BFB0-3888F7356C6F}"/>
    <cellStyle name="40% - 강조색2 56 2" xfId="4362" xr:uid="{F29361A4-5B34-493C-8F10-C79530A328F0}"/>
    <cellStyle name="40% - 강조색2 56 2 2" xfId="4666" xr:uid="{F9BD7EE5-7F2C-4474-8891-F533CED396C2}"/>
    <cellStyle name="40% - 강조색2 56 3" xfId="4534" xr:uid="{0F7AFD67-A3EF-426A-97D9-03A4992A29A0}"/>
    <cellStyle name="40% - 강조색2 57" xfId="4201" xr:uid="{38F069AF-1757-4444-9BF1-09205E00576B}"/>
    <cellStyle name="40% - 강조색2 57 2" xfId="4376" xr:uid="{F6529B1D-0371-4CA3-A52D-349DFB94B746}"/>
    <cellStyle name="40% - 강조색2 57 2 2" xfId="4680" xr:uid="{CD746A03-C2CD-4E72-A203-677520E76A28}"/>
    <cellStyle name="40% - 강조색2 57 3" xfId="4548" xr:uid="{4B2B469F-BB67-47EA-8A9A-6D1760BA168B}"/>
    <cellStyle name="40% - 강조색2 58" xfId="4215" xr:uid="{381B70D7-EEA7-4CB2-B13C-D345BCB09B49}"/>
    <cellStyle name="40% - 강조색2 58 2" xfId="4562" xr:uid="{7D5FA419-5815-4A87-9883-234B6489EFC9}"/>
    <cellStyle name="40% - 강조색2 59" xfId="4235" xr:uid="{2A3BDF49-8329-47EC-90EB-D75DF3D048E2}"/>
    <cellStyle name="40% - 강조색2 6" xfId="890" xr:uid="{EBD9C15E-E5E6-4937-916C-11F7CD8536BC}"/>
    <cellStyle name="40% - 강조색2 6 2" xfId="891" xr:uid="{E887179C-2467-41C1-A6E9-FBD713AED025}"/>
    <cellStyle name="40% - 강조색2 60" xfId="4407" xr:uid="{7A5A5108-F3EA-4A55-A7E8-D4B9CAB00D42}"/>
    <cellStyle name="40% - 강조색2 61" xfId="806" xr:uid="{2D89FBDF-8F37-4C9B-A93C-837C19181809}"/>
    <cellStyle name="40% - 강조색2 7" xfId="892" xr:uid="{A46979F2-BE96-4F09-AAB0-0AF063C2BBBB}"/>
    <cellStyle name="40% - 강조색2 7 2" xfId="893" xr:uid="{05C4C532-5536-4A6B-B5D2-999154740DA1}"/>
    <cellStyle name="40% - 강조색2 8" xfId="894" xr:uid="{7FEB8269-EA52-4A3D-9AC8-758EF8388845}"/>
    <cellStyle name="40% - 강조색2 8 2" xfId="895" xr:uid="{3C385FCD-7022-411A-A44A-1FD0594E6398}"/>
    <cellStyle name="40% - 강조색2 9" xfId="896" xr:uid="{14EB6F3A-AAE9-43C3-8A7F-54AA89044637}"/>
    <cellStyle name="40% - 강조색2 9 2" xfId="897" xr:uid="{E6DBDAED-7739-4D3F-94EA-D7317F611CB2}"/>
    <cellStyle name="40% - 강조색3 10" xfId="899" xr:uid="{E8EFB6D4-3BFA-478C-968B-451F3A73D1D1}"/>
    <cellStyle name="40% - 강조색3 10 2" xfId="900" xr:uid="{067FC0D6-D424-49B5-8145-825AE0EE9C44}"/>
    <cellStyle name="40% - 강조색3 11" xfId="901" xr:uid="{FC7390CB-783C-4D17-8661-797A001AF792}"/>
    <cellStyle name="40% - 강조색3 11 2" xfId="902" xr:uid="{5CE839BA-9F51-4BE6-8E1D-9ECE386D3D27}"/>
    <cellStyle name="40% - 강조색3 12" xfId="903" xr:uid="{DC2368CD-5192-4095-812E-C61D328E02AD}"/>
    <cellStyle name="40% - 강조색3 12 2" xfId="904" xr:uid="{4D08CF7E-E908-439D-BFE7-34963F504C8A}"/>
    <cellStyle name="40% - 강조색3 13" xfId="905" xr:uid="{37A78175-C559-4D15-9057-464656C314BD}"/>
    <cellStyle name="40% - 강조색3 13 2" xfId="906" xr:uid="{D0402D4D-C0FE-48FC-AD77-D2F9BBF55476}"/>
    <cellStyle name="40% - 강조색3 14" xfId="907" xr:uid="{983C9E2D-22FF-4C28-BA5B-A7D4A0CD37CC}"/>
    <cellStyle name="40% - 강조색3 14 2" xfId="908" xr:uid="{79455FD6-0A4F-4C30-AC80-216A6AC19E56}"/>
    <cellStyle name="40% - 강조색3 15" xfId="909" xr:uid="{391A4E12-6C05-4086-A8E2-02D73ACFF048}"/>
    <cellStyle name="40% - 강조색3 15 2" xfId="910" xr:uid="{D9D9AF7A-ABA6-4788-9073-B99266C30B08}"/>
    <cellStyle name="40% - 강조색3 16" xfId="911" xr:uid="{8E265AB0-277E-41FB-91D6-4162B2F033FF}"/>
    <cellStyle name="40% - 강조색3 16 2" xfId="912" xr:uid="{9BE33DD3-1109-4B66-BE13-C74155F6C5FD}"/>
    <cellStyle name="40% - 강조색3 17" xfId="913" xr:uid="{F12B5496-892E-42B2-B13C-2E74459965FC}"/>
    <cellStyle name="40% - 강조색3 17 2" xfId="914" xr:uid="{859A3D17-2CA0-4340-93A1-3293D2B734F9}"/>
    <cellStyle name="40% - 강조색3 18" xfId="915" xr:uid="{7C57EBA3-2EE8-4B4D-BA5C-EF901C6543CA}"/>
    <cellStyle name="40% - 강조색3 18 2" xfId="916" xr:uid="{35201A7D-E68C-4A00-89D2-223F6A4C0B9E}"/>
    <cellStyle name="40% - 강조색3 19" xfId="917" xr:uid="{D256BFA1-9392-434B-B0F3-4D87383CA3CD}"/>
    <cellStyle name="40% - 강조색3 19 2" xfId="918" xr:uid="{0F97DD78-7E03-40FC-BD28-18204B2D1B1C}"/>
    <cellStyle name="40% - 강조색3 2" xfId="919" xr:uid="{12D6C76A-FE5B-49F3-ADE7-36A7866896A3}"/>
    <cellStyle name="40% - 강조색3 2 2" xfId="920" xr:uid="{444AB64F-6D84-4898-A0AC-FC48A34E8AED}"/>
    <cellStyle name="40% - 강조색3 20" xfId="921" xr:uid="{5E6EA428-AD3C-4D5D-B4C1-E7C0972B2B7D}"/>
    <cellStyle name="40% - 강조색3 20 2" xfId="922" xr:uid="{2142EA3F-B1F0-455F-AD5C-3A636DD63973}"/>
    <cellStyle name="40% - 강조색3 21" xfId="923" xr:uid="{189C0E04-5FB7-4682-A43B-58BE91286391}"/>
    <cellStyle name="40% - 강조색3 21 2" xfId="924" xr:uid="{3E060BD7-92CA-4D9B-B820-A47FE61872B1}"/>
    <cellStyle name="40% - 강조색3 22" xfId="925" xr:uid="{93648B14-2141-4F79-9078-74292566BE1C}"/>
    <cellStyle name="40% - 강조색3 22 2" xfId="926" xr:uid="{AD3DEFA5-70EA-4573-A7BB-53EC19494D9A}"/>
    <cellStyle name="40% - 강조색3 23" xfId="927" xr:uid="{8139D7F3-9AD1-45D2-8AAD-8BC4EBD4CB15}"/>
    <cellStyle name="40% - 강조색3 23 2" xfId="928" xr:uid="{0A6B907D-436D-495B-973E-0E1335E0510F}"/>
    <cellStyle name="40% - 강조색3 24" xfId="929" xr:uid="{BEE746B4-27D0-4991-B5D8-1F52B1EBEA5F}"/>
    <cellStyle name="40% - 강조색3 24 2" xfId="930" xr:uid="{BFA54AE3-D4A9-4C67-86C2-F438AD8A9F3D}"/>
    <cellStyle name="40% - 강조색3 25" xfId="931" xr:uid="{12CE40BB-6C7F-48E8-ADEE-99A29C99E171}"/>
    <cellStyle name="40% - 강조색3 25 2" xfId="932" xr:uid="{A194608D-51DD-485E-ADA0-6A6182B3CFDA}"/>
    <cellStyle name="40% - 강조색3 26" xfId="933" xr:uid="{D5F6A607-7794-4D47-9DC8-C26BF7D144C0}"/>
    <cellStyle name="40% - 강조색3 26 2" xfId="934" xr:uid="{CD3BE84E-4842-4E71-A27E-5667BB5C18DD}"/>
    <cellStyle name="40% - 강조색3 27" xfId="935" xr:uid="{4BE09C0D-0906-4C71-8D1E-6973465ADA7F}"/>
    <cellStyle name="40% - 강조색3 27 2" xfId="936" xr:uid="{5BF85F57-CCB4-4790-BD5A-8396CB9C6E3D}"/>
    <cellStyle name="40% - 강조색3 28" xfId="937" xr:uid="{6C85C26F-C9EB-4D57-AC0E-F9DF1689AEA3}"/>
    <cellStyle name="40% - 강조색3 28 2" xfId="938" xr:uid="{D8651335-B5F7-4991-BE01-2F0676D2E90D}"/>
    <cellStyle name="40% - 강조색3 29" xfId="939" xr:uid="{58735427-E475-4679-BFFB-BE9EC2FC193C}"/>
    <cellStyle name="40% - 강조색3 29 2" xfId="940" xr:uid="{09AD186D-042A-4187-85D9-98EE64270174}"/>
    <cellStyle name="40% - 강조색3 3" xfId="941" xr:uid="{AD487095-FCB1-4362-97DC-A39F23917241}"/>
    <cellStyle name="40% - 강조색3 3 2" xfId="942" xr:uid="{FE6076E0-7CCB-41BE-8703-D44943E5EEB1}"/>
    <cellStyle name="40% - 강조색3 30" xfId="943" xr:uid="{A7F0EDBD-E8D4-4EB7-B4BE-16E651175AC7}"/>
    <cellStyle name="40% - 강조색3 30 2" xfId="944" xr:uid="{93B2B8DD-3088-47A6-BC93-EF2A3B52EF48}"/>
    <cellStyle name="40% - 강조색3 31" xfId="945" xr:uid="{0B7C515A-942D-407B-82D6-747208136976}"/>
    <cellStyle name="40% - 강조색3 31 2" xfId="946" xr:uid="{CED01237-E1C3-4673-A1BC-90A4A7042831}"/>
    <cellStyle name="40% - 강조색3 32" xfId="947" xr:uid="{8A1DA3A0-4969-415D-9FB0-AC9A497414D8}"/>
    <cellStyle name="40% - 강조색3 32 2" xfId="948" xr:uid="{DF745B0E-0C8D-4805-B74A-E7E96B5B6D37}"/>
    <cellStyle name="40% - 강조색3 33" xfId="949" xr:uid="{36442094-08FD-4086-9BAC-D7EFC1329596}"/>
    <cellStyle name="40% - 강조색3 33 2" xfId="950" xr:uid="{E0AB5A31-3258-4E8A-BBE8-3EC53653E2EC}"/>
    <cellStyle name="40% - 강조색3 34" xfId="951" xr:uid="{1AF9D892-F0DF-45D8-860D-ED2AB1E23E90}"/>
    <cellStyle name="40% - 강조색3 34 2" xfId="952" xr:uid="{DF6C40F5-243F-48EA-A54F-36830543F025}"/>
    <cellStyle name="40% - 강조색3 35" xfId="953" xr:uid="{29FB9FD0-90E0-4424-8A8C-B6C339827888}"/>
    <cellStyle name="40% - 강조색3 35 2" xfId="954" xr:uid="{05C5DF23-F059-4D5E-B423-04BB603ED0B6}"/>
    <cellStyle name="40% - 강조색3 36" xfId="955" xr:uid="{FCC42B45-8446-4FEE-B418-5263988EB3BC}"/>
    <cellStyle name="40% - 강조색3 36 2" xfId="956" xr:uid="{AF02575C-9FD7-4B79-833B-2CE56DCC44A9}"/>
    <cellStyle name="40% - 강조색3 37" xfId="957" xr:uid="{FE6784FE-080B-4276-9A17-CC6B7E1E8D26}"/>
    <cellStyle name="40% - 강조색3 37 2" xfId="958" xr:uid="{CE6C65C6-7191-45F7-8CAC-780E20113FA6}"/>
    <cellStyle name="40% - 강조색3 38" xfId="959" xr:uid="{8EE77108-3EE8-4B40-B174-C2FB51F46A01}"/>
    <cellStyle name="40% - 강조색3 38 2" xfId="960" xr:uid="{85838981-B625-4F8E-ABAE-5A70A3886F84}"/>
    <cellStyle name="40% - 강조색3 39" xfId="961" xr:uid="{117E8384-FC30-45D1-BEE3-309255A4BA0A}"/>
    <cellStyle name="40% - 강조색3 39 2" xfId="962" xr:uid="{AFEC6EB4-708E-457C-AAF7-6B116F1F5AC0}"/>
    <cellStyle name="40% - 강조색3 4" xfId="963" xr:uid="{687FFB81-E512-4D6D-8ACC-CCF9ACD03675}"/>
    <cellStyle name="40% - 강조색3 4 2" xfId="964" xr:uid="{7D229559-6E92-47A8-832C-5CE92C318AD1}"/>
    <cellStyle name="40% - 강조색3 40" xfId="965" xr:uid="{E3130D2A-54A8-4FCF-96D8-0A7F947CC064}"/>
    <cellStyle name="40% - 강조색3 40 2" xfId="966" xr:uid="{A49D2627-B66C-4F1C-972D-530CE8EC0185}"/>
    <cellStyle name="40% - 강조색3 41" xfId="967" xr:uid="{3285AFC5-92C5-447F-8C2E-9D47D0EA2D49}"/>
    <cellStyle name="40% - 강조색3 41 2" xfId="968" xr:uid="{735B9AC8-6089-41E0-BA9B-530ACFA8B70B}"/>
    <cellStyle name="40% - 강조색3 42" xfId="969" xr:uid="{513CB9E7-AD28-4AE8-A556-87D4A762191E}"/>
    <cellStyle name="40% - 강조색3 42 2" xfId="970" xr:uid="{C7B31ADE-87A2-4B03-95E2-9FC5FE9DE945}"/>
    <cellStyle name="40% - 강조색3 43" xfId="971" xr:uid="{13E8ED6A-4679-4303-A437-E26E43B27FD0}"/>
    <cellStyle name="40% - 강조색3 43 2" xfId="972" xr:uid="{4BF03F34-0CE6-4247-9F87-F618F6BDE342}"/>
    <cellStyle name="40% - 강조색3 44" xfId="973" xr:uid="{9C1E028C-8341-4981-A5DE-E1286B0DC409}"/>
    <cellStyle name="40% - 강조색3 45" xfId="974" xr:uid="{5AFEB334-09F5-4703-A883-74F3B545E9FD}"/>
    <cellStyle name="40% - 강조색3 46" xfId="975" xr:uid="{B2608017-1C90-4FFB-ADB3-C8F75E38EF2C}"/>
    <cellStyle name="40% - 강조색3 47" xfId="976" xr:uid="{37FBAEC4-2F89-4E84-BFAD-8B37333B71F2}"/>
    <cellStyle name="40% - 강조색3 48" xfId="977" xr:uid="{F4F65DB4-A505-49A9-A5AD-A2855AD2A63F}"/>
    <cellStyle name="40% - 강조색3 49" xfId="978" xr:uid="{111ECCA2-A760-4712-BA3A-FA91B7612259}"/>
    <cellStyle name="40% - 강조색3 5" xfId="979" xr:uid="{885BBA8B-3F5E-4F42-BF32-CB9C3E16FD5C}"/>
    <cellStyle name="40% - 강조색3 5 2" xfId="980" xr:uid="{3EF44EDC-0C16-4D36-A9BA-88F099BF00EB}"/>
    <cellStyle name="40% - 강조색3 50" xfId="981" xr:uid="{A5C205E8-47CA-4DCF-A4CB-E0CE9E11D136}"/>
    <cellStyle name="40% - 강조색3 51" xfId="3974" xr:uid="{E7BB0C9B-47E9-4DF8-B69D-224D0D1AF730}"/>
    <cellStyle name="40% - 강조색3 51 2" xfId="4085" xr:uid="{DA21EAB7-85C6-4E50-B126-57AC63BC08DD}"/>
    <cellStyle name="40% - 강조색3 51 2 2" xfId="4289" xr:uid="{3CBC83B7-7B02-48AE-A40A-1C31746B3AB6}"/>
    <cellStyle name="40% - 강조색3 51 2 2 2" xfId="4593" xr:uid="{AE0E95D9-73D7-4F6D-A3D6-7067FC231770}"/>
    <cellStyle name="40% - 강조색3 51 2 3" xfId="4461" xr:uid="{A53CDF66-4B83-41FB-B546-7E7FB43F9C8C}"/>
    <cellStyle name="40% - 강조색3 51 3" xfId="4276" xr:uid="{5FCACF44-4BEF-4E46-975E-639141B87A2D}"/>
    <cellStyle name="40% - 강조색3 51 3 2" xfId="4580" xr:uid="{055DB52A-C5F7-4E59-A995-4E551569FEC1}"/>
    <cellStyle name="40% - 강조색3 51 4" xfId="4448" xr:uid="{0F43E4E4-A7A8-4B08-A5DF-602B41E14E16}"/>
    <cellStyle name="40% - 강조색3 52" xfId="4102" xr:uid="{4AC03855-95A8-4783-B741-5A870AA6F7F7}"/>
    <cellStyle name="40% - 강조색3 52 2" xfId="4306" xr:uid="{2CE6ED38-72B2-4024-8A02-F76142F66321}"/>
    <cellStyle name="40% - 강조색3 52 2 2" xfId="4610" xr:uid="{F397D200-F750-46F3-BA51-E9E5EE5657E3}"/>
    <cellStyle name="40% - 강조색3 52 3" xfId="4478" xr:uid="{738D1C61-7364-4448-827A-89D6A32B2D4F}"/>
    <cellStyle name="40% - 강조색3 53" xfId="4138" xr:uid="{E5503521-A096-43DA-8CDB-F3FFFC0D3585}"/>
    <cellStyle name="40% - 강조색3 53 2" xfId="4322" xr:uid="{E04AD1DE-AB19-43C7-85D9-DCA9C8207EB6}"/>
    <cellStyle name="40% - 강조색3 53 2 2" xfId="4626" xr:uid="{98659CF8-58FC-4CA7-B04E-2E931A170AB0}"/>
    <cellStyle name="40% - 강조색3 53 3" xfId="4494" xr:uid="{F5A10A0A-E5EB-4BC5-AB4B-2F6A5DFC64F8}"/>
    <cellStyle name="40% - 강조색3 54" xfId="4160" xr:uid="{650F6494-27B7-4A24-9191-2A87E6071889}"/>
    <cellStyle name="40% - 강조색3 54 2" xfId="4336" xr:uid="{9803F806-44D1-4CF3-82D1-8D54878B3501}"/>
    <cellStyle name="40% - 강조색3 54 2 2" xfId="4640" xr:uid="{6D79A1E2-7BD6-4826-B080-3D78DA18FA46}"/>
    <cellStyle name="40% - 강조색3 54 3" xfId="4508" xr:uid="{DB48A0A1-E146-4639-9EB0-10ABCEDE75FF}"/>
    <cellStyle name="40% - 강조색3 55" xfId="4174" xr:uid="{0E6CF9CD-787C-4613-867D-227BF8359317}"/>
    <cellStyle name="40% - 강조색3 55 2" xfId="4350" xr:uid="{950D2E88-5369-4F7A-8EC2-B26F671A7D19}"/>
    <cellStyle name="40% - 강조색3 55 2 2" xfId="4654" xr:uid="{52F0AE70-85EF-43B9-B885-4B0F3B9A1449}"/>
    <cellStyle name="40% - 강조색3 55 3" xfId="4522" xr:uid="{FD17AE66-A13D-423D-86ED-08D518263C8A}"/>
    <cellStyle name="40% - 강조색3 56" xfId="4188" xr:uid="{77D3BE76-6730-4A91-9983-9D61324A6742}"/>
    <cellStyle name="40% - 강조색3 56 2" xfId="4364" xr:uid="{E2A3D8C4-FA83-4032-82CF-138AF0B31690}"/>
    <cellStyle name="40% - 강조색3 56 2 2" xfId="4668" xr:uid="{E9BD5DDA-42E3-4044-BE6C-B3DD34E5E2DC}"/>
    <cellStyle name="40% - 강조색3 56 3" xfId="4536" xr:uid="{DD809561-E8DA-488E-93CD-75C8BB0ADA2E}"/>
    <cellStyle name="40% - 강조색3 57" xfId="4203" xr:uid="{3F5EA666-7384-4843-89C1-CA2D61F95D25}"/>
    <cellStyle name="40% - 강조색3 57 2" xfId="4378" xr:uid="{A178E10F-9B61-490A-B2F5-2333B6564169}"/>
    <cellStyle name="40% - 강조색3 57 2 2" xfId="4682" xr:uid="{1C86E9F5-5AD2-456E-9011-386BB52EE7C5}"/>
    <cellStyle name="40% - 강조색3 57 3" xfId="4550" xr:uid="{3258C140-A074-4E11-993B-EDEC8288C03D}"/>
    <cellStyle name="40% - 강조색3 58" xfId="4217" xr:uid="{9A3C84F9-4E7C-48DE-A27E-63900D75695B}"/>
    <cellStyle name="40% - 강조색3 58 2" xfId="4564" xr:uid="{1CF8EDDF-AD2A-42CD-9784-F17AFD1CE775}"/>
    <cellStyle name="40% - 강조색3 59" xfId="4236" xr:uid="{EC9C1E09-4879-4106-97BA-3CF55295C8A5}"/>
    <cellStyle name="40% - 강조색3 6" xfId="982" xr:uid="{E98417FA-5BD8-4957-8013-2A9567685FEC}"/>
    <cellStyle name="40% - 강조색3 6 2" xfId="983" xr:uid="{3BB1AFE7-66BF-45EA-8FB2-C4E92B7EF921}"/>
    <cellStyle name="40% - 강조색3 60" xfId="4408" xr:uid="{037F82E5-E02C-4F4F-B7AE-67BA3424FD66}"/>
    <cellStyle name="40% - 강조색3 61" xfId="898" xr:uid="{C677CD16-65A5-4B08-BA1D-2C06A034CCBE}"/>
    <cellStyle name="40% - 강조색3 7" xfId="984" xr:uid="{4BE8F9DD-EDD3-43BE-BC56-F8525C6942E5}"/>
    <cellStyle name="40% - 강조색3 7 2" xfId="985" xr:uid="{9066C635-B1C0-4B2E-B384-B0036A13BE52}"/>
    <cellStyle name="40% - 강조색3 8" xfId="986" xr:uid="{93ADC613-24A8-4355-B1CA-9EE8CCDC2D1C}"/>
    <cellStyle name="40% - 강조색3 8 2" xfId="987" xr:uid="{C34C6328-AB30-48D5-BC79-194BA1041B43}"/>
    <cellStyle name="40% - 강조색3 9" xfId="988" xr:uid="{BB92B5AC-D8E0-4EEF-A723-548DED933CA1}"/>
    <cellStyle name="40% - 강조색3 9 2" xfId="989" xr:uid="{6CA820A4-186D-45A1-AF3D-A6FB8FB3AB5F}"/>
    <cellStyle name="40% - 강조색4 10" xfId="991" xr:uid="{5310CC69-7298-45D6-A463-6ACBEDC159F4}"/>
    <cellStyle name="40% - 강조색4 10 2" xfId="992" xr:uid="{64A9BF04-E14A-4D38-BBCC-A23B123BB9F2}"/>
    <cellStyle name="40% - 강조색4 11" xfId="993" xr:uid="{08787CAE-95EB-4819-821E-033AE3F96B84}"/>
    <cellStyle name="40% - 강조색4 11 2" xfId="994" xr:uid="{38CB4DD9-D6CC-422F-99AA-14D16AB88152}"/>
    <cellStyle name="40% - 강조색4 12" xfId="995" xr:uid="{2A28B48D-78CE-4B05-94D9-F862C220D2B1}"/>
    <cellStyle name="40% - 강조색4 12 2" xfId="996" xr:uid="{4BE8C1C7-F4EC-4EA6-9F03-DB5EAA2711FA}"/>
    <cellStyle name="40% - 강조색4 13" xfId="997" xr:uid="{B97FC667-2547-44DF-AA85-8721A581D33E}"/>
    <cellStyle name="40% - 강조색4 13 2" xfId="998" xr:uid="{671E3A5B-E305-4D9A-BFBE-226216E99555}"/>
    <cellStyle name="40% - 강조색4 14" xfId="999" xr:uid="{A56F326E-1F50-46EA-ACCF-9DA92A3DAB10}"/>
    <cellStyle name="40% - 강조색4 14 2" xfId="1000" xr:uid="{AADF209F-FE93-4892-83A6-348BD06D19D3}"/>
    <cellStyle name="40% - 강조색4 15" xfId="1001" xr:uid="{FC29A3D5-7112-4A22-A734-0EA8A866EAAC}"/>
    <cellStyle name="40% - 강조색4 15 2" xfId="1002" xr:uid="{F75612B5-9890-4EB1-9FDB-614EA1C892F0}"/>
    <cellStyle name="40% - 강조색4 16" xfId="1003" xr:uid="{B24AEEAE-BB7B-4DA3-838B-794546C11AB5}"/>
    <cellStyle name="40% - 강조색4 16 2" xfId="1004" xr:uid="{4DCAC3CE-8C25-4690-9114-6FB3875FCBC5}"/>
    <cellStyle name="40% - 강조색4 17" xfId="1005" xr:uid="{974F7FC3-51DC-447E-AC72-36AFCA626405}"/>
    <cellStyle name="40% - 강조색4 17 2" xfId="1006" xr:uid="{F26F49FF-A4F0-435A-8E72-BCD448B0FB9E}"/>
    <cellStyle name="40% - 강조색4 18" xfId="1007" xr:uid="{02F50CA1-AECA-4717-80AA-64CC30C0076D}"/>
    <cellStyle name="40% - 강조색4 18 2" xfId="1008" xr:uid="{3E338256-6E71-4D47-84AE-3798639C8EA2}"/>
    <cellStyle name="40% - 강조색4 19" xfId="1009" xr:uid="{11449E35-0FB6-416F-B336-3DCD81CC1AAA}"/>
    <cellStyle name="40% - 강조색4 19 2" xfId="1010" xr:uid="{87EB3BB2-FD98-42C2-BED8-CE96A1F476CB}"/>
    <cellStyle name="40% - 강조색4 2" xfId="1011" xr:uid="{80D45B33-5978-432D-BBD3-53D277502EA0}"/>
    <cellStyle name="40% - 강조색4 2 2" xfId="1012" xr:uid="{34F0CDB5-D9E7-4ADA-BC53-EDE079F4DAC3}"/>
    <cellStyle name="40% - 강조색4 20" xfId="1013" xr:uid="{9AF6EE83-6912-499C-A205-95D0B871B1CD}"/>
    <cellStyle name="40% - 강조색4 20 2" xfId="1014" xr:uid="{35C2E290-7C3F-4703-86D3-5212DE1995FB}"/>
    <cellStyle name="40% - 강조색4 21" xfId="1015" xr:uid="{172BC831-98C6-41B2-885A-2D226224D4F9}"/>
    <cellStyle name="40% - 강조색4 21 2" xfId="1016" xr:uid="{E556F36F-208B-4679-A040-E833EA6BEEAA}"/>
    <cellStyle name="40% - 강조색4 22" xfId="1017" xr:uid="{9D3CF50B-D6E1-4306-A18F-7FEB6DC9349F}"/>
    <cellStyle name="40% - 강조색4 22 2" xfId="1018" xr:uid="{5420587C-238C-485B-BCE2-66A6C45C228B}"/>
    <cellStyle name="40% - 강조색4 23" xfId="1019" xr:uid="{BE252AFE-B478-4225-A355-225938E3A217}"/>
    <cellStyle name="40% - 강조색4 23 2" xfId="1020" xr:uid="{B806D5AB-32E6-4306-A572-DB3FBE23E6E5}"/>
    <cellStyle name="40% - 강조색4 24" xfId="1021" xr:uid="{A71624C9-03A2-4423-9E0C-F9F321E19030}"/>
    <cellStyle name="40% - 강조색4 24 2" xfId="1022" xr:uid="{2C7F3EE0-2620-44F7-94CF-52307D8B6907}"/>
    <cellStyle name="40% - 강조색4 25" xfId="1023" xr:uid="{B2633D4A-7343-4127-9CE1-7F7C97738AA6}"/>
    <cellStyle name="40% - 강조색4 25 2" xfId="1024" xr:uid="{0435F07F-54EB-40A2-8E64-EFBAED892638}"/>
    <cellStyle name="40% - 강조색4 26" xfId="1025" xr:uid="{65691D55-7703-4969-AE8F-C72EBA3E83F8}"/>
    <cellStyle name="40% - 강조색4 26 2" xfId="1026" xr:uid="{16061635-2B2B-4C70-9F1D-23BD17D278F4}"/>
    <cellStyle name="40% - 강조색4 27" xfId="1027" xr:uid="{16871146-398A-4237-8600-B082B82BF04F}"/>
    <cellStyle name="40% - 강조색4 27 2" xfId="1028" xr:uid="{0E577429-8ABF-4BE8-800D-427001F2C347}"/>
    <cellStyle name="40% - 강조색4 28" xfId="1029" xr:uid="{AC35B8D3-9926-4819-9FBB-4C033F8249F3}"/>
    <cellStyle name="40% - 강조색4 28 2" xfId="1030" xr:uid="{F39E472A-9291-404A-97DD-03C013EE8B3B}"/>
    <cellStyle name="40% - 강조색4 29" xfId="1031" xr:uid="{A943A91B-0BAB-4E01-AFDC-37835F47F44A}"/>
    <cellStyle name="40% - 강조색4 29 2" xfId="1032" xr:uid="{FC79AC1F-FA4B-4B9E-B9A6-A496194121AB}"/>
    <cellStyle name="40% - 강조색4 3" xfId="1033" xr:uid="{C9C7243D-B7EB-4984-AE76-87BCF5B893DE}"/>
    <cellStyle name="40% - 강조색4 3 2" xfId="1034" xr:uid="{59F639C3-412C-4F00-9A4E-843892475CA4}"/>
    <cellStyle name="40% - 강조색4 30" xfId="1035" xr:uid="{906EF89A-AD35-4724-BE30-B0EE6D433091}"/>
    <cellStyle name="40% - 강조색4 30 2" xfId="1036" xr:uid="{8AB652CD-4602-490F-A462-66DFEA748EEA}"/>
    <cellStyle name="40% - 강조색4 31" xfId="1037" xr:uid="{0A3F1993-A0CF-42B9-BB8A-EDE69DDC1FDE}"/>
    <cellStyle name="40% - 강조색4 31 2" xfId="1038" xr:uid="{CFD75E86-7281-4F4E-833F-0C74213FDFBB}"/>
    <cellStyle name="40% - 강조색4 32" xfId="1039" xr:uid="{6EB537CB-E0CE-4BD9-A0A5-9843CFACDC5A}"/>
    <cellStyle name="40% - 강조색4 32 2" xfId="1040" xr:uid="{A3FD8B00-A483-439A-84B9-AA7DCD201F45}"/>
    <cellStyle name="40% - 강조색4 33" xfId="1041" xr:uid="{0002A7A9-B54D-4A45-BDFE-2350F50FE2E9}"/>
    <cellStyle name="40% - 강조색4 33 2" xfId="1042" xr:uid="{6EABF6AE-420C-4933-836A-E0512DF48698}"/>
    <cellStyle name="40% - 강조색4 34" xfId="1043" xr:uid="{EC669E40-F16D-432A-83A5-8BF25FEDEC38}"/>
    <cellStyle name="40% - 강조색4 34 2" xfId="1044" xr:uid="{B89E2062-3B37-4568-B365-F99787621EC2}"/>
    <cellStyle name="40% - 강조색4 35" xfId="1045" xr:uid="{A67CB557-BA2C-4A60-A34F-82613EC88CD2}"/>
    <cellStyle name="40% - 강조색4 35 2" xfId="1046" xr:uid="{9779473C-AC2A-422D-9828-7A386F917299}"/>
    <cellStyle name="40% - 강조색4 36" xfId="1047" xr:uid="{DBA16F42-849B-47FD-9D46-9CFD17C595B9}"/>
    <cellStyle name="40% - 강조색4 36 2" xfId="1048" xr:uid="{224A526C-56E3-4112-8D0D-E0CA59A7EE87}"/>
    <cellStyle name="40% - 강조색4 37" xfId="1049" xr:uid="{A357268E-6E65-43C8-90DE-E80E0AD5DA72}"/>
    <cellStyle name="40% - 강조색4 37 2" xfId="1050" xr:uid="{624FFE1C-CCA1-4BF3-9EF7-25ED23202C55}"/>
    <cellStyle name="40% - 강조색4 38" xfId="1051" xr:uid="{E78C2195-4887-47C2-8F9E-FE94E9EC4833}"/>
    <cellStyle name="40% - 강조색4 38 2" xfId="1052" xr:uid="{AC6F4A51-AE14-4B8B-89E6-6E23DF4DB024}"/>
    <cellStyle name="40% - 강조색4 39" xfId="1053" xr:uid="{4F4588FD-B681-4E1A-B3F5-5B1AB242FA84}"/>
    <cellStyle name="40% - 강조색4 39 2" xfId="1054" xr:uid="{C0BABF84-DA1E-4049-AC9B-51A953031BB7}"/>
    <cellStyle name="40% - 강조색4 4" xfId="1055" xr:uid="{348F9712-9E45-42FF-B2BD-A35334BF90AB}"/>
    <cellStyle name="40% - 강조색4 4 2" xfId="1056" xr:uid="{9C24FB49-8081-426C-8EE8-B9466C49B09F}"/>
    <cellStyle name="40% - 강조색4 40" xfId="1057" xr:uid="{387A35D3-B1FA-4806-9EC1-AE362076852A}"/>
    <cellStyle name="40% - 강조색4 40 2" xfId="1058" xr:uid="{CF05AE4C-CFB1-4CAC-A659-A1A41F4DD123}"/>
    <cellStyle name="40% - 강조색4 41" xfId="1059" xr:uid="{DB73B57F-150C-40AF-8316-2AC784D9D6EB}"/>
    <cellStyle name="40% - 강조색4 41 2" xfId="1060" xr:uid="{2060E55D-706F-43CD-8D54-2DD5D8198755}"/>
    <cellStyle name="40% - 강조색4 42" xfId="1061" xr:uid="{50F7EFEF-C9C7-48D4-BC88-634C897AB810}"/>
    <cellStyle name="40% - 강조색4 42 2" xfId="1062" xr:uid="{617D5CAC-4B9F-4F00-86EC-0698182BD1FD}"/>
    <cellStyle name="40% - 강조색4 43" xfId="1063" xr:uid="{0ECF9955-F131-4CBB-8B0C-7DC6D05C5A7B}"/>
    <cellStyle name="40% - 강조색4 43 2" xfId="1064" xr:uid="{C7A92851-7BAB-4C76-9573-5BFE52E73514}"/>
    <cellStyle name="40% - 강조색4 44" xfId="1065" xr:uid="{C43D69D5-C8BF-46C5-ADE5-D71CFF980EBE}"/>
    <cellStyle name="40% - 강조색4 45" xfId="1066" xr:uid="{20319A25-B091-4918-B7F7-1E164C5B95CF}"/>
    <cellStyle name="40% - 강조색4 46" xfId="1067" xr:uid="{36118620-2C20-417B-9D0A-6939551E685E}"/>
    <cellStyle name="40% - 강조색4 47" xfId="1068" xr:uid="{89C32AB1-8BCC-40CC-9B55-290E604E8060}"/>
    <cellStyle name="40% - 강조색4 48" xfId="1069" xr:uid="{D8ECDC10-61DF-40F0-85C1-5A0F8BAAEEE8}"/>
    <cellStyle name="40% - 강조색4 49" xfId="1070" xr:uid="{267EC869-BFFE-46CB-8FC1-833E0AA27E55}"/>
    <cellStyle name="40% - 강조색4 5" xfId="1071" xr:uid="{B6AA3752-F5C2-4DE5-B866-763F1F78780E}"/>
    <cellStyle name="40% - 강조색4 5 2" xfId="1072" xr:uid="{4600C280-295F-4E52-A9FD-1E76135A8EB9}"/>
    <cellStyle name="40% - 강조색4 50" xfId="1073" xr:uid="{5D45D0D6-53BB-40E7-AF98-47CBAB02E24C}"/>
    <cellStyle name="40% - 강조색4 51" xfId="3978" xr:uid="{9ECE9D14-1E25-434D-B8B5-ED089DD42793}"/>
    <cellStyle name="40% - 강조색4 51 2" xfId="4087" xr:uid="{A57B3EF2-A2D5-4785-83BA-0D0222CE1C3B}"/>
    <cellStyle name="40% - 강조색4 51 2 2" xfId="4291" xr:uid="{03923E7F-3D2E-4479-AD08-1D84B152B54E}"/>
    <cellStyle name="40% - 강조색4 51 2 2 2" xfId="4595" xr:uid="{352E6CED-937A-4213-9D34-161022C8CEF1}"/>
    <cellStyle name="40% - 강조색4 51 2 3" xfId="4463" xr:uid="{BE3490ED-5F2A-4E95-B27E-523D03FC0657}"/>
    <cellStyle name="40% - 강조색4 51 3" xfId="4278" xr:uid="{F0609317-0074-439F-95D3-B84C2FC2040D}"/>
    <cellStyle name="40% - 강조색4 51 3 2" xfId="4582" xr:uid="{8C70C67A-CB75-4587-A117-08015DDB13EB}"/>
    <cellStyle name="40% - 강조색4 51 4" xfId="4450" xr:uid="{F1946966-1DCB-46E4-A765-8997B865FBD8}"/>
    <cellStyle name="40% - 강조색4 52" xfId="4104" xr:uid="{4FADA77A-4276-47A9-B6EE-01F849E54449}"/>
    <cellStyle name="40% - 강조색4 52 2" xfId="4308" xr:uid="{BB2DC08B-7400-49FA-BED9-726669B22038}"/>
    <cellStyle name="40% - 강조색4 52 2 2" xfId="4612" xr:uid="{6AE5E435-2FC3-4462-B181-A3806E78CC0E}"/>
    <cellStyle name="40% - 강조색4 52 3" xfId="4480" xr:uid="{7FF469F6-F159-4986-9F40-53AA8547D78C}"/>
    <cellStyle name="40% - 강조색4 53" xfId="4142" xr:uid="{9A99271E-0FD8-480D-9361-7EB3BB123BF4}"/>
    <cellStyle name="40% - 강조색4 53 2" xfId="4324" xr:uid="{98451E74-DE4E-4CFD-B367-DA7599BE9730}"/>
    <cellStyle name="40% - 강조색4 53 2 2" xfId="4628" xr:uid="{E1574E90-0DA7-43C5-99BC-C7010531EDDF}"/>
    <cellStyle name="40% - 강조색4 53 3" xfId="4496" xr:uid="{DB1A3B67-5ADD-4A7B-9003-85DE098AF967}"/>
    <cellStyle name="40% - 강조색4 54" xfId="4162" xr:uid="{C964890E-3FD4-43C7-949D-DA85D3C5BAF7}"/>
    <cellStyle name="40% - 강조색4 54 2" xfId="4338" xr:uid="{D6FCB3BD-8DF0-465C-AF69-EEBA03254987}"/>
    <cellStyle name="40% - 강조색4 54 2 2" xfId="4642" xr:uid="{82F2FD82-3A33-4243-880A-5BBFCE6A4A64}"/>
    <cellStyle name="40% - 강조색4 54 3" xfId="4510" xr:uid="{1964C8F2-FBB6-4BE8-BA9B-0F7F0B4C4DE1}"/>
    <cellStyle name="40% - 강조색4 55" xfId="4176" xr:uid="{A02FA28F-A871-4B7A-9652-7EB49C613EA2}"/>
    <cellStyle name="40% - 강조색4 55 2" xfId="4352" xr:uid="{8FA385E3-42F5-44F1-900A-BEE49F58DCA0}"/>
    <cellStyle name="40% - 강조색4 55 2 2" xfId="4656" xr:uid="{71A22308-1D2C-481B-AE74-FF1E243394C3}"/>
    <cellStyle name="40% - 강조색4 55 3" xfId="4524" xr:uid="{2B028B5E-4C19-4CDF-A3C7-04F2145D7C36}"/>
    <cellStyle name="40% - 강조색4 56" xfId="4190" xr:uid="{231B41CF-A523-491E-B48B-F1C0F97C8876}"/>
    <cellStyle name="40% - 강조색4 56 2" xfId="4366" xr:uid="{7A327C1C-5DCF-4706-9092-8F48E2218C40}"/>
    <cellStyle name="40% - 강조색4 56 2 2" xfId="4670" xr:uid="{D1EA9152-7149-46D4-BC48-FA6412679DF3}"/>
    <cellStyle name="40% - 강조색4 56 3" xfId="4538" xr:uid="{808E31A9-4DD7-400B-B4E7-E178CA99C745}"/>
    <cellStyle name="40% - 강조색4 57" xfId="4205" xr:uid="{73518108-A517-45AC-801A-FD1EFBACFF91}"/>
    <cellStyle name="40% - 강조색4 57 2" xfId="4380" xr:uid="{6A27554E-EEA2-4156-A689-19620A3F9432}"/>
    <cellStyle name="40% - 강조색4 57 2 2" xfId="4684" xr:uid="{8C25FD69-A69B-4BA3-A035-37245BA173C4}"/>
    <cellStyle name="40% - 강조색4 57 3" xfId="4552" xr:uid="{B2F7ECF6-5FEB-4708-ACDE-3F39CCCE5D27}"/>
    <cellStyle name="40% - 강조색4 58" xfId="4219" xr:uid="{5BCDD757-8118-40FD-A8B9-EF91F2DE0AFF}"/>
    <cellStyle name="40% - 강조색4 58 2" xfId="4566" xr:uid="{C6C6B620-6BAA-44C4-9D27-DBA87E9B47A9}"/>
    <cellStyle name="40% - 강조색4 59" xfId="4237" xr:uid="{09F8988D-CEC9-4D53-87FA-38DA59893C9A}"/>
    <cellStyle name="40% - 강조색4 6" xfId="1074" xr:uid="{FE1DE81A-7D21-43D0-8F8E-22650111FD60}"/>
    <cellStyle name="40% - 강조색4 6 2" xfId="1075" xr:uid="{BEEECCCA-4B21-41FC-BE65-B4898A542CF3}"/>
    <cellStyle name="40% - 강조색4 60" xfId="4409" xr:uid="{1030883C-3373-4FF6-B4D0-F9EEC2EB13A4}"/>
    <cellStyle name="40% - 강조색4 61" xfId="990" xr:uid="{DE566268-A8DC-4F31-A01C-3BC4E5EBEEE8}"/>
    <cellStyle name="40% - 강조색4 7" xfId="1076" xr:uid="{D5C26639-9F37-47AE-B076-6F07704E01D9}"/>
    <cellStyle name="40% - 강조색4 7 2" xfId="1077" xr:uid="{91D88ACE-62CD-449D-B2BA-7C2DE6622C91}"/>
    <cellStyle name="40% - 강조색4 8" xfId="1078" xr:uid="{BF44B1B0-DE37-473D-8EF3-1499AA38BFC0}"/>
    <cellStyle name="40% - 강조색4 8 2" xfId="1079" xr:uid="{4831C245-C680-49F3-917A-4555FD0E3438}"/>
    <cellStyle name="40% - 강조색4 9" xfId="1080" xr:uid="{FD56478C-693F-4147-A448-C4D99B097BF4}"/>
    <cellStyle name="40% - 강조색4 9 2" xfId="1081" xr:uid="{EDF871D9-3019-4443-88A5-07D03D1E6157}"/>
    <cellStyle name="40% - 강조색5 10" xfId="1083" xr:uid="{3FAA6973-DEFB-4A25-A8E5-F25D1151BB41}"/>
    <cellStyle name="40% - 강조색5 10 2" xfId="1084" xr:uid="{A216AF27-F2D2-4F97-B9F4-0F4CCCD89125}"/>
    <cellStyle name="40% - 강조색5 11" xfId="1085" xr:uid="{E697296F-5FF9-4BC7-A718-80C5CEA04ED7}"/>
    <cellStyle name="40% - 강조색5 11 2" xfId="1086" xr:uid="{EB6FA06D-4EC7-470D-A6EB-98730114FA51}"/>
    <cellStyle name="40% - 강조색5 12" xfId="1087" xr:uid="{4CE59EFC-51B7-4AF9-9DBC-A4C2B5803625}"/>
    <cellStyle name="40% - 강조색5 12 2" xfId="1088" xr:uid="{87A36E65-EEE3-47AE-9372-262770497D9B}"/>
    <cellStyle name="40% - 강조색5 13" xfId="1089" xr:uid="{AE3CA01E-63C0-4383-8A2A-612CAC06B42F}"/>
    <cellStyle name="40% - 강조색5 13 2" xfId="1090" xr:uid="{770E4E84-7101-4105-A14E-A1345973E95D}"/>
    <cellStyle name="40% - 강조색5 14" xfId="1091" xr:uid="{33C7A865-20C7-4059-A924-48FDEE44452F}"/>
    <cellStyle name="40% - 강조색5 14 2" xfId="1092" xr:uid="{BEAE7818-6625-4543-ABB0-C82BE6B739D3}"/>
    <cellStyle name="40% - 강조색5 15" xfId="1093" xr:uid="{223AC3E1-4279-451E-833F-57BF3A53A515}"/>
    <cellStyle name="40% - 강조색5 15 2" xfId="1094" xr:uid="{BB6D9074-7924-40A0-B766-3F5FBC729899}"/>
    <cellStyle name="40% - 강조색5 16" xfId="1095" xr:uid="{5BD806EA-2501-4969-BC3A-422614C39B44}"/>
    <cellStyle name="40% - 강조색5 16 2" xfId="1096" xr:uid="{342B7F1B-7639-4520-B053-D0494A7DF7B5}"/>
    <cellStyle name="40% - 강조색5 17" xfId="1097" xr:uid="{B0D0B976-EEE7-453C-93D3-5A3951277342}"/>
    <cellStyle name="40% - 강조색5 17 2" xfId="1098" xr:uid="{83C233D2-8477-494D-9ECE-2A37DB50E76F}"/>
    <cellStyle name="40% - 강조색5 18" xfId="1099" xr:uid="{AF959D53-ADAF-466A-BE95-E77C11A9EE13}"/>
    <cellStyle name="40% - 강조색5 18 2" xfId="1100" xr:uid="{196B6D14-0576-4E83-8055-FA092EFD4281}"/>
    <cellStyle name="40% - 강조색5 19" xfId="1101" xr:uid="{2F21EF00-8C8E-4FD1-9A0F-68D685CF02F1}"/>
    <cellStyle name="40% - 강조색5 19 2" xfId="1102" xr:uid="{0E301915-0CE3-4E06-B27C-A5A79552F5D3}"/>
    <cellStyle name="40% - 강조색5 2" xfId="1103" xr:uid="{B382FC87-BFAD-4C97-9E5A-942C4EBEEDD1}"/>
    <cellStyle name="40% - 강조색5 2 2" xfId="1104" xr:uid="{CF65F152-E67C-42ED-B58E-14340E42293C}"/>
    <cellStyle name="40% - 강조색5 20" xfId="1105" xr:uid="{DD01B0AE-077B-4D7E-90D9-3C234F2D16CD}"/>
    <cellStyle name="40% - 강조색5 20 2" xfId="1106" xr:uid="{E20DB0D9-11C7-461C-94B1-6C5977214F7B}"/>
    <cellStyle name="40% - 강조색5 21" xfId="1107" xr:uid="{DD61E2A1-60F5-49E8-8B2B-45CE1C467A45}"/>
    <cellStyle name="40% - 강조색5 21 2" xfId="1108" xr:uid="{0DEF38D2-DCE8-4F53-ABD5-D83BCF9C522E}"/>
    <cellStyle name="40% - 강조색5 22" xfId="1109" xr:uid="{C1658355-572E-4954-B628-A67CD512329B}"/>
    <cellStyle name="40% - 강조색5 22 2" xfId="1110" xr:uid="{A918DBDA-9A24-430A-A643-46277BC18201}"/>
    <cellStyle name="40% - 강조색5 23" xfId="1111" xr:uid="{C97BC6ED-D06F-4A32-8546-D1A1A899D5FB}"/>
    <cellStyle name="40% - 강조색5 23 2" xfId="1112" xr:uid="{0B5FF8C5-1279-4A0B-9A70-0B40530437AF}"/>
    <cellStyle name="40% - 강조색5 24" xfId="1113" xr:uid="{AEF27CB3-34F4-45D0-9726-DDD055929D95}"/>
    <cellStyle name="40% - 강조색5 24 2" xfId="1114" xr:uid="{A821A57A-C26E-41E8-93B2-CF95165C2A53}"/>
    <cellStyle name="40% - 강조색5 25" xfId="1115" xr:uid="{4CFF33CF-10B1-43EE-8821-EB227AA12DD4}"/>
    <cellStyle name="40% - 강조색5 25 2" xfId="1116" xr:uid="{E262C82A-5730-400F-83D5-7A8B502DDECC}"/>
    <cellStyle name="40% - 강조색5 26" xfId="1117" xr:uid="{273AC16C-D726-46A8-B83B-DBA93FB1A7F4}"/>
    <cellStyle name="40% - 강조색5 26 2" xfId="1118" xr:uid="{95301646-DED0-4FEF-9B54-84E5D89668A5}"/>
    <cellStyle name="40% - 강조색5 27" xfId="1119" xr:uid="{336817CE-A73B-4F22-AB54-A5A473867C8B}"/>
    <cellStyle name="40% - 강조색5 27 2" xfId="1120" xr:uid="{3BC3E748-833E-41D1-AE56-3A52B3DACAF5}"/>
    <cellStyle name="40% - 강조색5 28" xfId="1121" xr:uid="{54DECC45-36FC-4C2C-9FFB-D82F8A9CC5A8}"/>
    <cellStyle name="40% - 강조색5 28 2" xfId="1122" xr:uid="{818A0D1C-7A95-4624-875A-4D2C1EAAC64F}"/>
    <cellStyle name="40% - 강조색5 29" xfId="1123" xr:uid="{83345940-BC26-4072-B9C1-B66D97F6D293}"/>
    <cellStyle name="40% - 강조색5 29 2" xfId="1124" xr:uid="{153FC2D7-FC6D-4AD9-A1FB-DB53B5189146}"/>
    <cellStyle name="40% - 강조색5 3" xfId="1125" xr:uid="{13B09318-BD03-4518-8023-E16BA24FA66B}"/>
    <cellStyle name="40% - 강조색5 3 2" xfId="1126" xr:uid="{C2D9102B-50CD-4BBF-9758-006AC64D26ED}"/>
    <cellStyle name="40% - 강조색5 30" xfId="1127" xr:uid="{554E603B-4023-467C-BB6B-D612C9621853}"/>
    <cellStyle name="40% - 강조색5 30 2" xfId="1128" xr:uid="{4833E1AF-9A65-4BEF-AFF1-A897CDB1C206}"/>
    <cellStyle name="40% - 강조색5 31" xfId="1129" xr:uid="{1D15388C-348A-47BF-B5B0-107B970DE8CC}"/>
    <cellStyle name="40% - 강조색5 31 2" xfId="1130" xr:uid="{63854342-1137-461E-A54F-7E68EED57DD6}"/>
    <cellStyle name="40% - 강조색5 32" xfId="1131" xr:uid="{CAB8A69E-2D3C-4E8E-BCE6-D5E4E94B95A6}"/>
    <cellStyle name="40% - 강조색5 32 2" xfId="1132" xr:uid="{84C5EBFA-E3EB-4008-9944-FC4B58E8D12D}"/>
    <cellStyle name="40% - 강조색5 33" xfId="1133" xr:uid="{FA3C997A-82F2-43CA-9B6F-A2661689D134}"/>
    <cellStyle name="40% - 강조색5 33 2" xfId="1134" xr:uid="{CD0846E8-D954-4F04-A35F-4F43D888C062}"/>
    <cellStyle name="40% - 강조색5 34" xfId="1135" xr:uid="{9F7931E7-CAF4-47DE-AEFF-1C36A3AFB14A}"/>
    <cellStyle name="40% - 강조색5 34 2" xfId="1136" xr:uid="{F0F3F34C-0AE1-47FC-881E-F9B172F63787}"/>
    <cellStyle name="40% - 강조색5 35" xfId="1137" xr:uid="{DFA1E642-13CC-43C7-97DE-BD06736C30FA}"/>
    <cellStyle name="40% - 강조색5 35 2" xfId="1138" xr:uid="{8E888447-63F6-4078-965D-FE41EE1BC623}"/>
    <cellStyle name="40% - 강조색5 36" xfId="1139" xr:uid="{3A496AE6-C1C1-4FC4-9E56-1E4B4A5FD99C}"/>
    <cellStyle name="40% - 강조색5 36 2" xfId="1140" xr:uid="{759EDA15-9D4C-40E6-A4DA-1C51FBCCD4D5}"/>
    <cellStyle name="40% - 강조색5 37" xfId="1141" xr:uid="{676BC689-CFB9-41C1-AE09-D2CE394EE18F}"/>
    <cellStyle name="40% - 강조색5 37 2" xfId="1142" xr:uid="{537CCA53-A94A-411C-8FF7-C2BFF7BCAB69}"/>
    <cellStyle name="40% - 강조색5 38" xfId="1143" xr:uid="{2CCD157C-8C88-421A-A2BB-B52BDA3F4F35}"/>
    <cellStyle name="40% - 강조색5 38 2" xfId="1144" xr:uid="{AE92BD7B-9D35-4EC3-9F8A-B0DC79D660A5}"/>
    <cellStyle name="40% - 강조색5 39" xfId="1145" xr:uid="{861D9695-92BF-4279-9426-F720C52852A4}"/>
    <cellStyle name="40% - 강조색5 39 2" xfId="1146" xr:uid="{5C60AC70-EEEE-49FD-A117-FB31E75C65B8}"/>
    <cellStyle name="40% - 강조색5 4" xfId="1147" xr:uid="{DD58E88F-E26F-4046-ACF4-7AFFA4E2E53A}"/>
    <cellStyle name="40% - 강조색5 4 2" xfId="1148" xr:uid="{2E61CBA5-C58D-4866-9F6B-B707128D4DDB}"/>
    <cellStyle name="40% - 강조색5 40" xfId="1149" xr:uid="{EC37F700-D54D-4D7B-ACA2-F18C2790C9C0}"/>
    <cellStyle name="40% - 강조색5 40 2" xfId="1150" xr:uid="{520F890D-BB1C-4E06-A78E-FB8E23B50801}"/>
    <cellStyle name="40% - 강조색5 41" xfId="1151" xr:uid="{9C4BB683-3D09-4812-8C5F-27E47EE29C65}"/>
    <cellStyle name="40% - 강조색5 41 2" xfId="1152" xr:uid="{BB6B398A-8BAD-49F2-871C-1958477CDDA5}"/>
    <cellStyle name="40% - 강조색5 42" xfId="1153" xr:uid="{5263EEE8-3357-42E1-B001-F4B0A0A5C709}"/>
    <cellStyle name="40% - 강조색5 42 2" xfId="1154" xr:uid="{348FBDB2-3C14-4534-86BA-CAE0C1F1158C}"/>
    <cellStyle name="40% - 강조색5 43" xfId="1155" xr:uid="{099924D2-F03F-4F89-8C01-728289B7619D}"/>
    <cellStyle name="40% - 강조색5 43 2" xfId="1156" xr:uid="{16324A84-2D4C-4D91-B831-06A28ED692DF}"/>
    <cellStyle name="40% - 강조색5 44" xfId="1157" xr:uid="{69FEF5F3-661D-4805-93B4-079C0A959467}"/>
    <cellStyle name="40% - 강조색5 45" xfId="1158" xr:uid="{BB228494-BD35-46AD-B462-31D41CC58C5C}"/>
    <cellStyle name="40% - 강조색5 46" xfId="1159" xr:uid="{57922E09-823F-4639-99A3-BAC47BBF5A49}"/>
    <cellStyle name="40% - 강조색5 47" xfId="1160" xr:uid="{751E7AF1-B915-4A94-B4F6-6BC9C48A747E}"/>
    <cellStyle name="40% - 강조색5 48" xfId="1161" xr:uid="{BA4573ED-B816-40B8-94AF-28FF1AEF8423}"/>
    <cellStyle name="40% - 강조색5 49" xfId="1162" xr:uid="{77B54E26-9C99-414E-AD7A-D57535291ADF}"/>
    <cellStyle name="40% - 강조색5 5" xfId="1163" xr:uid="{DCE6F600-6449-4847-8C2B-64701712C701}"/>
    <cellStyle name="40% - 강조색5 5 2" xfId="1164" xr:uid="{88217F5A-E480-44AA-AE44-89EB420172A0}"/>
    <cellStyle name="40% - 강조색5 50" xfId="1165" xr:uid="{58A4BA9C-B8CB-49FD-BDE0-D3FE48883D96}"/>
    <cellStyle name="40% - 강조색5 51" xfId="3982" xr:uid="{0DA0602A-5D11-49AC-8E48-08C6F4E70737}"/>
    <cellStyle name="40% - 강조색5 51 2" xfId="4089" xr:uid="{C1690449-9A9E-49B8-AD67-D8FAF0863379}"/>
    <cellStyle name="40% - 강조색5 51 2 2" xfId="4293" xr:uid="{1E8441C2-F97D-4D0B-A9F0-03DFDB64151E}"/>
    <cellStyle name="40% - 강조색5 51 2 2 2" xfId="4597" xr:uid="{B9D820DE-EDD4-4FD8-80A5-51DA0AEC868B}"/>
    <cellStyle name="40% - 강조색5 51 2 3" xfId="4465" xr:uid="{9D9C3AD9-BE71-461A-A16C-030B977BD98C}"/>
    <cellStyle name="40% - 강조색5 51 3" xfId="4280" xr:uid="{ABAF7DB0-6198-43B5-9B0D-FE66ED044B4A}"/>
    <cellStyle name="40% - 강조색5 51 3 2" xfId="4584" xr:uid="{1EDDB876-78D3-4F24-8681-3F5E26961552}"/>
    <cellStyle name="40% - 강조색5 51 4" xfId="4452" xr:uid="{D2A00B4C-2C67-4959-8982-BE2EDB52A497}"/>
    <cellStyle name="40% - 강조색5 52" xfId="4106" xr:uid="{1A3C79D9-DBB9-4FE6-8FFE-8EB1541B4E78}"/>
    <cellStyle name="40% - 강조색5 52 2" xfId="4310" xr:uid="{C1AAE905-8443-428E-BEB9-E1808B375226}"/>
    <cellStyle name="40% - 강조색5 52 2 2" xfId="4614" xr:uid="{6E339B16-833C-468C-8DC4-B6D17BC9A2B2}"/>
    <cellStyle name="40% - 강조색5 52 3" xfId="4482" xr:uid="{E2116E12-7061-49CE-8EF3-6A70FF14528E}"/>
    <cellStyle name="40% - 강조색5 53" xfId="4146" xr:uid="{922A91EE-F8EA-4E2C-AA82-9EB59796E3FF}"/>
    <cellStyle name="40% - 강조색5 53 2" xfId="4326" xr:uid="{F0218A50-F7BA-4DD0-8BF5-3204E4471157}"/>
    <cellStyle name="40% - 강조색5 53 2 2" xfId="4630" xr:uid="{F7C67B1A-107E-40AE-9766-FAD33EED94E6}"/>
    <cellStyle name="40% - 강조색5 53 3" xfId="4498" xr:uid="{154E7E5E-1640-49BD-A764-975D75290C13}"/>
    <cellStyle name="40% - 강조색5 54" xfId="4164" xr:uid="{47DB8244-E2C4-446C-BAAA-DF12633FC875}"/>
    <cellStyle name="40% - 강조색5 54 2" xfId="4340" xr:uid="{D021C03C-8987-459F-9C8D-4D54FBAD40BB}"/>
    <cellStyle name="40% - 강조색5 54 2 2" xfId="4644" xr:uid="{6656DED0-58F7-4D7A-93BC-4A0F0EE5DB60}"/>
    <cellStyle name="40% - 강조색5 54 3" xfId="4512" xr:uid="{184BCFEE-4391-4B3A-BF07-C05D37C6D632}"/>
    <cellStyle name="40% - 강조색5 55" xfId="4178" xr:uid="{45B9C382-FAEF-4D72-97B7-99CB39E00DEC}"/>
    <cellStyle name="40% - 강조색5 55 2" xfId="4354" xr:uid="{C87C0467-CE8F-4C98-90D0-67BAF9DED04B}"/>
    <cellStyle name="40% - 강조색5 55 2 2" xfId="4658" xr:uid="{F736A554-4E1D-48DC-A862-7F086CFA9D88}"/>
    <cellStyle name="40% - 강조색5 55 3" xfId="4526" xr:uid="{49AD558B-BE08-4454-81FD-F9FF7B20FBFD}"/>
    <cellStyle name="40% - 강조색5 56" xfId="4192" xr:uid="{8917E031-7357-4DB2-80FB-12174EACEED2}"/>
    <cellStyle name="40% - 강조색5 56 2" xfId="4368" xr:uid="{B4EB3DEE-4F07-473C-851F-CCF3901B60E6}"/>
    <cellStyle name="40% - 강조색5 56 2 2" xfId="4672" xr:uid="{290FF058-1A36-4185-A8AF-B3EAF0CF8234}"/>
    <cellStyle name="40% - 강조색5 56 3" xfId="4540" xr:uid="{942491D3-E2F8-4705-A3CB-FCD9E80EB8FF}"/>
    <cellStyle name="40% - 강조색5 57" xfId="4207" xr:uid="{166C7042-79F6-4B1D-AA7F-07BCEE2C29CB}"/>
    <cellStyle name="40% - 강조색5 57 2" xfId="4382" xr:uid="{7D07AD10-5672-48DF-A2EE-E49212755308}"/>
    <cellStyle name="40% - 강조색5 57 2 2" xfId="4686" xr:uid="{2138CD85-CB1F-4447-9958-91C7FFE0379C}"/>
    <cellStyle name="40% - 강조색5 57 3" xfId="4554" xr:uid="{C0758BC8-0580-474A-83FF-F3D04A838639}"/>
    <cellStyle name="40% - 강조색5 58" xfId="4221" xr:uid="{77D8E062-5913-467E-8365-D9DD8D79B070}"/>
    <cellStyle name="40% - 강조색5 58 2" xfId="4568" xr:uid="{271557C9-9583-4693-AAB4-CD2569FE5C86}"/>
    <cellStyle name="40% - 강조색5 59" xfId="4238" xr:uid="{CA9D84AB-3B8A-4149-B125-6E9CD57CF1DF}"/>
    <cellStyle name="40% - 강조색5 6" xfId="1166" xr:uid="{6A68673E-9650-43D6-A1C2-836E8999160D}"/>
    <cellStyle name="40% - 강조색5 6 2" xfId="1167" xr:uid="{4F03428D-E84F-4226-8CE0-4ACE2DA6739D}"/>
    <cellStyle name="40% - 강조색5 60" xfId="4410" xr:uid="{8CBBBFB9-2082-481D-BBFA-3EE9B22AA989}"/>
    <cellStyle name="40% - 강조색5 61" xfId="1082" xr:uid="{E8C64782-DEFB-4F4F-897E-64781DCF4F5D}"/>
    <cellStyle name="40% - 강조색5 7" xfId="1168" xr:uid="{C70EF190-3676-4AE5-A2EE-193722A5C4EC}"/>
    <cellStyle name="40% - 강조색5 7 2" xfId="1169" xr:uid="{684F40E2-4E1D-4A40-A163-EF3F294C14CF}"/>
    <cellStyle name="40% - 강조색5 8" xfId="1170" xr:uid="{BB0FE59C-993C-4B7E-9D36-581508EF6E65}"/>
    <cellStyle name="40% - 강조색5 8 2" xfId="1171" xr:uid="{7C4A47A2-BFA5-4A1D-B7D8-AFA9669A0268}"/>
    <cellStyle name="40% - 강조색5 9" xfId="1172" xr:uid="{889BA6D8-DB75-4EFA-B81C-AE6EBF9F5ED2}"/>
    <cellStyle name="40% - 강조색5 9 2" xfId="1173" xr:uid="{6EB6A417-09EE-4E28-9D22-179D8A07E7F5}"/>
    <cellStyle name="40% - 강조색6 10" xfId="1175" xr:uid="{0634CFD8-27F0-42CF-A9E3-7809417BE764}"/>
    <cellStyle name="40% - 강조색6 10 2" xfId="1176" xr:uid="{FE491D2C-D221-4920-917B-3A70459609FA}"/>
    <cellStyle name="40% - 강조색6 11" xfId="1177" xr:uid="{BF9E6296-FBBF-48D2-ACE5-3F62944969B4}"/>
    <cellStyle name="40% - 강조색6 11 2" xfId="1178" xr:uid="{E55D701C-B0B9-45B7-A429-FD9E448281AD}"/>
    <cellStyle name="40% - 강조색6 12" xfId="1179" xr:uid="{E0C7F69E-955A-47F1-B8B7-9C430CB096C7}"/>
    <cellStyle name="40% - 강조색6 12 2" xfId="1180" xr:uid="{A394F7C9-6C76-46FB-AF76-D4BBA56925A2}"/>
    <cellStyle name="40% - 강조색6 13" xfId="1181" xr:uid="{29345C42-1E8D-4E22-8684-C6A004BD7328}"/>
    <cellStyle name="40% - 강조색6 13 2" xfId="1182" xr:uid="{ED6012BB-B76E-44F2-87C7-919CC6A9EA61}"/>
    <cellStyle name="40% - 강조색6 14" xfId="1183" xr:uid="{E6B88222-F2C3-4DF7-AB47-CC6CD8C2985F}"/>
    <cellStyle name="40% - 강조색6 14 2" xfId="1184" xr:uid="{07DAFB1D-1054-4FA5-BD2B-3E2B56AA5355}"/>
    <cellStyle name="40% - 강조색6 15" xfId="1185" xr:uid="{3594B371-8ED3-4BB1-A9FB-A871E3F806DE}"/>
    <cellStyle name="40% - 강조색6 15 2" xfId="1186" xr:uid="{636E2087-235C-49B7-9FE5-4B7C5152F5F3}"/>
    <cellStyle name="40% - 강조색6 16" xfId="1187" xr:uid="{FCB5160E-474D-4035-A2E8-C57869B0B43B}"/>
    <cellStyle name="40% - 강조색6 16 2" xfId="1188" xr:uid="{8E79DED6-7A3C-4819-95FF-55A800CE1B7B}"/>
    <cellStyle name="40% - 강조색6 17" xfId="1189" xr:uid="{BEC91288-B868-4C45-9BAD-3ED12DD6017B}"/>
    <cellStyle name="40% - 강조색6 17 2" xfId="1190" xr:uid="{56666300-91A5-4CC6-A96C-3E8C37225FCD}"/>
    <cellStyle name="40% - 강조색6 18" xfId="1191" xr:uid="{60A999DE-112F-4A85-B0FF-C7B351B1AA7D}"/>
    <cellStyle name="40% - 강조색6 18 2" xfId="1192" xr:uid="{14B46BA2-0527-4998-930A-8A76F41F291E}"/>
    <cellStyle name="40% - 강조색6 19" xfId="1193" xr:uid="{B17472BD-ACC8-4A88-83B8-EC65641FFB03}"/>
    <cellStyle name="40% - 강조색6 19 2" xfId="1194" xr:uid="{44F9DFBB-ADA5-49F2-B891-29888079EE28}"/>
    <cellStyle name="40% - 강조색6 2" xfId="1195" xr:uid="{76D4CD85-A1A1-4520-B025-CD2528A04E89}"/>
    <cellStyle name="40% - 강조색6 2 2" xfId="1196" xr:uid="{FA5CF3CA-9B08-4D73-B88B-4F97124ADDF4}"/>
    <cellStyle name="40% - 강조색6 20" xfId="1197" xr:uid="{011C533B-4F51-4C1C-997A-96737ED1BED6}"/>
    <cellStyle name="40% - 강조색6 20 2" xfId="1198" xr:uid="{8EE1C9C6-3139-4798-AD2C-2CAA718A5FCC}"/>
    <cellStyle name="40% - 강조색6 21" xfId="1199" xr:uid="{2794A359-B9CF-4A61-B8F3-5667BE6CC16E}"/>
    <cellStyle name="40% - 강조색6 21 2" xfId="1200" xr:uid="{E78FEAA9-1441-4785-AB68-4EEE654C03C7}"/>
    <cellStyle name="40% - 강조색6 22" xfId="1201" xr:uid="{4CF4F7C4-3425-4334-8A01-3A1B4F02C270}"/>
    <cellStyle name="40% - 강조색6 22 2" xfId="1202" xr:uid="{9210BE9C-854D-42BC-A5C9-C2FAC0B0F043}"/>
    <cellStyle name="40% - 강조색6 23" xfId="1203" xr:uid="{7FABDC08-EB57-45A4-A120-02B233EC9AE6}"/>
    <cellStyle name="40% - 강조색6 23 2" xfId="1204" xr:uid="{2915E33A-DC83-4EBB-8468-B379F6EDD62A}"/>
    <cellStyle name="40% - 강조색6 24" xfId="1205" xr:uid="{BACE353F-130D-41B3-96D9-89E17DA97A9C}"/>
    <cellStyle name="40% - 강조색6 24 2" xfId="1206" xr:uid="{EDFCE01B-AA77-4E19-8273-85F4AE6F578C}"/>
    <cellStyle name="40% - 강조색6 25" xfId="1207" xr:uid="{3611F1BF-84EC-4CC0-861C-160506C123EE}"/>
    <cellStyle name="40% - 강조색6 25 2" xfId="1208" xr:uid="{473988D9-C3D0-46F3-B978-C1964B4356B4}"/>
    <cellStyle name="40% - 강조색6 26" xfId="1209" xr:uid="{EEA21543-5631-4414-9EE7-9A1E3BCEB0BB}"/>
    <cellStyle name="40% - 강조색6 26 2" xfId="1210" xr:uid="{9F19BAFC-9736-41DD-B6A7-0828FB767C8B}"/>
    <cellStyle name="40% - 강조색6 27" xfId="1211" xr:uid="{93187BC2-FF24-4419-B90B-B8C1C264660C}"/>
    <cellStyle name="40% - 강조색6 27 2" xfId="1212" xr:uid="{CD94DC24-8F35-4C3C-9F23-6E84A1086F5F}"/>
    <cellStyle name="40% - 강조색6 28" xfId="1213" xr:uid="{C05E392D-0194-4A10-A59A-3C24DC035F81}"/>
    <cellStyle name="40% - 강조색6 28 2" xfId="1214" xr:uid="{6DB9C96C-2661-48D9-9135-57941796F736}"/>
    <cellStyle name="40% - 강조색6 29" xfId="1215" xr:uid="{BC8E1AB9-D438-4E41-BD3E-B7ED31F665DC}"/>
    <cellStyle name="40% - 강조색6 29 2" xfId="1216" xr:uid="{EE2305FB-B17B-4926-9A56-2F192A1F94DF}"/>
    <cellStyle name="40% - 강조색6 3" xfId="1217" xr:uid="{E38F9295-E18E-4B97-AA2B-C297189E3DEB}"/>
    <cellStyle name="40% - 강조색6 3 2" xfId="1218" xr:uid="{3C169F55-D4C1-44D8-9C93-0C483C74CA98}"/>
    <cellStyle name="40% - 강조색6 30" xfId="1219" xr:uid="{79FD24FA-E1B6-4AEC-BD9B-6584C9AD9BF4}"/>
    <cellStyle name="40% - 강조색6 30 2" xfId="1220" xr:uid="{4AF84F05-B071-4AEB-AB0B-4F31552C9E47}"/>
    <cellStyle name="40% - 강조색6 31" xfId="1221" xr:uid="{AA382CB7-6003-41F5-8A4F-6210EAB649EF}"/>
    <cellStyle name="40% - 강조색6 31 2" xfId="1222" xr:uid="{098F788F-E90B-4E33-A153-0AF2233EE228}"/>
    <cellStyle name="40% - 강조색6 32" xfId="1223" xr:uid="{770D50E2-78DC-434C-975A-3AFECEE4A25B}"/>
    <cellStyle name="40% - 강조색6 32 2" xfId="1224" xr:uid="{44C94D69-4C9E-4ED3-B4CD-685523F409D5}"/>
    <cellStyle name="40% - 강조색6 33" xfId="1225" xr:uid="{0D205CFB-24E4-4161-A256-8EE2A13C7652}"/>
    <cellStyle name="40% - 강조색6 33 2" xfId="1226" xr:uid="{8CBD8603-13DC-440F-85D5-A9D56064F31F}"/>
    <cellStyle name="40% - 강조색6 34" xfId="1227" xr:uid="{1A6694E7-5C9E-47D6-9F58-0A3EB84E78EC}"/>
    <cellStyle name="40% - 강조색6 34 2" xfId="1228" xr:uid="{2D0F125E-B101-48BB-8566-1AD126316F54}"/>
    <cellStyle name="40% - 강조색6 35" xfId="1229" xr:uid="{8BC84062-81B7-468A-AA3F-09A68A834B8E}"/>
    <cellStyle name="40% - 강조색6 35 2" xfId="1230" xr:uid="{34E1AB84-D655-4F4A-9BE5-B713DA3F4C10}"/>
    <cellStyle name="40% - 강조색6 36" xfId="1231" xr:uid="{6202577A-8CB6-476B-B3D1-32DEF613C498}"/>
    <cellStyle name="40% - 강조색6 36 2" xfId="1232" xr:uid="{89A927CE-E49D-4B28-B807-0B1E25A0A3F9}"/>
    <cellStyle name="40% - 강조색6 37" xfId="1233" xr:uid="{37E6D024-592B-4372-A591-3DAEA2998AA1}"/>
    <cellStyle name="40% - 강조색6 37 2" xfId="1234" xr:uid="{9F139603-0326-4D65-BEE7-9EB10A3833EE}"/>
    <cellStyle name="40% - 강조색6 38" xfId="1235" xr:uid="{7FAC026F-3F21-4F92-A9FA-ECFE4CD7D1D6}"/>
    <cellStyle name="40% - 강조색6 38 2" xfId="1236" xr:uid="{ECB095E5-4986-4907-A7B8-D590D096023B}"/>
    <cellStyle name="40% - 강조색6 39" xfId="1237" xr:uid="{FE9EB201-C0CC-4D13-871A-A161915D902F}"/>
    <cellStyle name="40% - 강조색6 39 2" xfId="1238" xr:uid="{DAD500AE-AAF8-4FA4-B743-58C1F4BCF5C7}"/>
    <cellStyle name="40% - 강조색6 4" xfId="1239" xr:uid="{4219193D-14AC-4326-B490-C657B0A69A9A}"/>
    <cellStyle name="40% - 강조색6 4 2" xfId="1240" xr:uid="{542980DA-5AFF-4E93-96C2-C916E6248002}"/>
    <cellStyle name="40% - 강조색6 40" xfId="1241" xr:uid="{C0A9AF05-AD06-4449-9BE2-9C3EC3E39C6E}"/>
    <cellStyle name="40% - 강조색6 40 2" xfId="1242" xr:uid="{214EB4E2-60B4-4A1D-8FC7-969C5D77C842}"/>
    <cellStyle name="40% - 강조색6 41" xfId="1243" xr:uid="{D56CC43F-B018-47BF-B031-DF51D59F13B9}"/>
    <cellStyle name="40% - 강조색6 41 2" xfId="1244" xr:uid="{1D3D99B6-9809-4BCB-B7F1-4CED6B8A9FD5}"/>
    <cellStyle name="40% - 강조색6 42" xfId="1245" xr:uid="{43FD3C0C-C00C-4F41-91FD-462C541B60B3}"/>
    <cellStyle name="40% - 강조색6 42 2" xfId="1246" xr:uid="{26952709-D30C-480E-BE1E-FEF7713DF0B4}"/>
    <cellStyle name="40% - 강조색6 43" xfId="1247" xr:uid="{306F367C-0EC6-4A74-AFBC-6664E98D382A}"/>
    <cellStyle name="40% - 강조색6 43 2" xfId="1248" xr:uid="{11F8B343-E74F-4ECB-A3A9-FC42189FD745}"/>
    <cellStyle name="40% - 강조색6 44" xfId="1249" xr:uid="{55893BCD-70E6-485B-9924-CDF5115B4282}"/>
    <cellStyle name="40% - 강조색6 45" xfId="1250" xr:uid="{7F0DE758-1896-43D3-8006-8AA919106C74}"/>
    <cellStyle name="40% - 강조색6 46" xfId="1251" xr:uid="{4EA12CD8-8943-4C87-96E5-EDB253034E97}"/>
    <cellStyle name="40% - 강조색6 47" xfId="1252" xr:uid="{99DBDA5F-E659-44A2-820F-60F437308DA4}"/>
    <cellStyle name="40% - 강조색6 48" xfId="1253" xr:uid="{4AF4774A-44B8-457E-A0EC-57ABF5EDC6B3}"/>
    <cellStyle name="40% - 강조색6 49" xfId="1254" xr:uid="{7043BE33-E378-46D8-9008-DAFB14408BE0}"/>
    <cellStyle name="40% - 강조색6 5" xfId="1255" xr:uid="{DCF4A9B1-4195-4CF0-B52B-3D2C749940AA}"/>
    <cellStyle name="40% - 강조색6 5 2" xfId="1256" xr:uid="{36D74AB5-52CE-4944-82CB-5560B5069CB4}"/>
    <cellStyle name="40% - 강조색6 50" xfId="1257" xr:uid="{ADD6C020-6311-442B-BDB6-C7C4F100F557}"/>
    <cellStyle name="40% - 강조색6 51" xfId="3986" xr:uid="{D2611CD9-30E2-4F37-82B4-9145D118FCF3}"/>
    <cellStyle name="40% - 강조색6 51 2" xfId="4091" xr:uid="{198EF9FF-2969-47CA-BAE5-E11FF6164020}"/>
    <cellStyle name="40% - 강조색6 51 2 2" xfId="4295" xr:uid="{87827664-15C9-4AB9-8ACE-713B81CE967F}"/>
    <cellStyle name="40% - 강조색6 51 2 2 2" xfId="4599" xr:uid="{A6A569F0-E6AD-49FC-96AE-167ECBD893D6}"/>
    <cellStyle name="40% - 강조색6 51 2 3" xfId="4467" xr:uid="{7DC7E891-586E-421C-A6EF-837A2433D8AC}"/>
    <cellStyle name="40% - 강조색6 51 3" xfId="4282" xr:uid="{778EA503-C9B4-4B47-BAC4-02C19E9335A7}"/>
    <cellStyle name="40% - 강조색6 51 3 2" xfId="4586" xr:uid="{87BD4D01-4A8C-4523-B5FE-256E5C4F086C}"/>
    <cellStyle name="40% - 강조색6 51 4" xfId="4454" xr:uid="{4FAF9696-D97A-4446-B50C-251EEFDEC0B3}"/>
    <cellStyle name="40% - 강조색6 52" xfId="4108" xr:uid="{EABCA682-9AA6-4038-8FBD-3826762F022E}"/>
    <cellStyle name="40% - 강조색6 52 2" xfId="4312" xr:uid="{F3937588-EFAB-4193-B977-32562DB536B9}"/>
    <cellStyle name="40% - 강조색6 52 2 2" xfId="4616" xr:uid="{EAC0CD5C-25E0-4B4E-843F-524D6380A382}"/>
    <cellStyle name="40% - 강조색6 52 3" xfId="4484" xr:uid="{789A7E44-93A0-45D7-8D1A-BCFF2783E2BF}"/>
    <cellStyle name="40% - 강조색6 53" xfId="4150" xr:uid="{5411A9CB-8F98-42BA-9B55-AE761D043A43}"/>
    <cellStyle name="40% - 강조색6 53 2" xfId="4328" xr:uid="{3F7A8607-C762-407B-9850-25CB9DC91D7F}"/>
    <cellStyle name="40% - 강조색6 53 2 2" xfId="4632" xr:uid="{ADB84FB5-CCDB-4E0F-98EA-401181C18583}"/>
    <cellStyle name="40% - 강조색6 53 3" xfId="4500" xr:uid="{A77E586B-9B8E-48EA-BD2A-71306B627325}"/>
    <cellStyle name="40% - 강조색6 54" xfId="4166" xr:uid="{EF514269-7756-4B7D-953A-8AF48E35EAEC}"/>
    <cellStyle name="40% - 강조색6 54 2" xfId="4342" xr:uid="{64FD0026-6CDB-4E2A-A7EF-9CB9015C6947}"/>
    <cellStyle name="40% - 강조색6 54 2 2" xfId="4646" xr:uid="{66CDD2CB-2633-4086-A6FE-4F936D395A47}"/>
    <cellStyle name="40% - 강조색6 54 3" xfId="4514" xr:uid="{9634D29A-621B-4358-B6E6-8D3B44EDBC01}"/>
    <cellStyle name="40% - 강조색6 55" xfId="4180" xr:uid="{EBC3BB3F-11B0-4010-91D3-5CE10D28D160}"/>
    <cellStyle name="40% - 강조색6 55 2" xfId="4356" xr:uid="{402D282D-18B9-4BAC-93AF-B8020F306624}"/>
    <cellStyle name="40% - 강조색6 55 2 2" xfId="4660" xr:uid="{F0E6DAAF-BABD-447A-BF09-72A4A0C67E36}"/>
    <cellStyle name="40% - 강조색6 55 3" xfId="4528" xr:uid="{651FFAF5-2286-45C1-9B00-0A2565C302F8}"/>
    <cellStyle name="40% - 강조색6 56" xfId="4194" xr:uid="{C44991BA-B405-4AFD-BA05-A01F8F49BB4D}"/>
    <cellStyle name="40% - 강조색6 56 2" xfId="4370" xr:uid="{69F1541A-57B3-4589-8E60-70F46DEDDBAC}"/>
    <cellStyle name="40% - 강조색6 56 2 2" xfId="4674" xr:uid="{30EE2F9A-5096-4EDD-AB33-32F6F0301A97}"/>
    <cellStyle name="40% - 강조색6 56 3" xfId="4542" xr:uid="{0A756569-39C1-4129-A9BC-5EF009D7CFDF}"/>
    <cellStyle name="40% - 강조색6 57" xfId="4209" xr:uid="{D1E6EF9F-B74D-49C7-94AA-E7C48E0C1D45}"/>
    <cellStyle name="40% - 강조색6 57 2" xfId="4384" xr:uid="{333BC789-C3D0-4156-9DB6-C623482CB90A}"/>
    <cellStyle name="40% - 강조색6 57 2 2" xfId="4688" xr:uid="{75067155-31E5-4871-81A1-BC5BCCE519BF}"/>
    <cellStyle name="40% - 강조색6 57 3" xfId="4556" xr:uid="{FD8CF58F-C1C7-4DDB-A1CF-7C784F5D0385}"/>
    <cellStyle name="40% - 강조색6 58" xfId="4223" xr:uid="{2436CF9E-84DC-49E1-8485-C95CE58B2477}"/>
    <cellStyle name="40% - 강조색6 58 2" xfId="4570" xr:uid="{67261FF3-9341-4F57-9A7A-381C8AC1C69C}"/>
    <cellStyle name="40% - 강조색6 59" xfId="4239" xr:uid="{22B3F5BB-138C-4BCF-A731-14C0CE13664F}"/>
    <cellStyle name="40% - 강조색6 6" xfId="1258" xr:uid="{B022083A-6507-4DB9-8E59-F3C1E41C933E}"/>
    <cellStyle name="40% - 강조색6 6 2" xfId="1259" xr:uid="{A917B3F5-2B57-4EBF-B957-F74ACE34920D}"/>
    <cellStyle name="40% - 강조색6 60" xfId="4411" xr:uid="{E7C8FFA7-02AF-44F6-8703-ADF543CEBD4E}"/>
    <cellStyle name="40% - 강조색6 61" xfId="1174" xr:uid="{38949962-2EFC-4268-B3FA-E9895EF6A8EC}"/>
    <cellStyle name="40% - 강조색6 7" xfId="1260" xr:uid="{CBD6541F-DD89-477A-93E5-DE31FDE37207}"/>
    <cellStyle name="40% - 강조색6 7 2" xfId="1261" xr:uid="{24C4C677-EBC7-4A7F-9BF5-EA37FAACEF13}"/>
    <cellStyle name="40% - 강조색6 8" xfId="1262" xr:uid="{969F0759-8709-4412-945B-97279070BEEF}"/>
    <cellStyle name="40% - 강조색6 8 2" xfId="1263" xr:uid="{63EDC6A5-0F95-4316-BAF6-FCB00140FD12}"/>
    <cellStyle name="40% - 강조색6 9" xfId="1264" xr:uid="{C2C26FD3-FD49-47C5-9105-F9D1C82DA931}"/>
    <cellStyle name="40% - 강조색6 9 2" xfId="1265" xr:uid="{2F6C3366-53EE-4813-A1A5-173035E5FCEA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60% - 강조색1 10" xfId="1267" xr:uid="{41231041-6C41-42BF-A00C-A07911F70ECF}"/>
    <cellStyle name="60% - 강조색1 10 2" xfId="1268" xr:uid="{B89A57A4-22ED-486F-AEA8-2C28288162BF}"/>
    <cellStyle name="60% - 강조색1 11" xfId="1269" xr:uid="{CF296C36-CF34-4975-B559-65CB21A211C1}"/>
    <cellStyle name="60% - 강조색1 11 2" xfId="1270" xr:uid="{8AFC7144-3408-4FA9-B4BC-7E84D24A950B}"/>
    <cellStyle name="60% - 강조색1 12" xfId="1271" xr:uid="{4CF467F2-4867-42ED-B24B-794CF062C021}"/>
    <cellStyle name="60% - 강조색1 12 2" xfId="1272" xr:uid="{27BCFEBC-7012-4EAC-8E93-4486B0749E2B}"/>
    <cellStyle name="60% - 강조색1 13" xfId="1273" xr:uid="{128CBE03-C547-4AD6-A7B4-56E8E9BEBCF8}"/>
    <cellStyle name="60% - 강조색1 13 2" xfId="1274" xr:uid="{951C7FBE-D60F-44C2-BDBD-01D8A7ECD449}"/>
    <cellStyle name="60% - 강조색1 14" xfId="1275" xr:uid="{4F658F94-9B00-4AB2-96AC-AE6196D0F8A1}"/>
    <cellStyle name="60% - 강조색1 14 2" xfId="1276" xr:uid="{84C08ED2-44FC-447B-936A-57F01BDD1C22}"/>
    <cellStyle name="60% - 강조색1 15" xfId="1277" xr:uid="{1E6D8EEA-506C-4B3C-BAAF-BC1471515C25}"/>
    <cellStyle name="60% - 강조색1 15 2" xfId="1278" xr:uid="{B86E7F0E-C068-4595-893C-3DB2A9B4275F}"/>
    <cellStyle name="60% - 강조색1 16" xfId="1279" xr:uid="{06163D07-AABF-41E0-AE2C-F97E61396182}"/>
    <cellStyle name="60% - 강조색1 16 2" xfId="1280" xr:uid="{DD3B0639-EE1F-49EE-BC34-723E1175DBE1}"/>
    <cellStyle name="60% - 강조색1 17" xfId="1281" xr:uid="{0F56A04B-7EBA-47B4-9EEE-3A4F4C00EF74}"/>
    <cellStyle name="60% - 강조색1 17 2" xfId="1282" xr:uid="{8EEA59F6-C49C-4452-888C-008CB35EB7D7}"/>
    <cellStyle name="60% - 강조색1 18" xfId="1283" xr:uid="{CA9B1A6E-00BE-4B4F-A012-9677DEA8A812}"/>
    <cellStyle name="60% - 강조색1 18 2" xfId="1284" xr:uid="{862B6E70-D68E-4B6E-BC5B-A14D4A7C8CC2}"/>
    <cellStyle name="60% - 강조색1 19" xfId="1285" xr:uid="{1969DC08-72D7-4C77-B7EC-AE5A0CFE0ADE}"/>
    <cellStyle name="60% - 강조색1 19 2" xfId="1286" xr:uid="{28EEADE9-E844-4AE9-B940-81366B8B434C}"/>
    <cellStyle name="60% - 강조색1 2" xfId="1287" xr:uid="{4DFE036F-7913-4761-8929-459FCBD4CBA5}"/>
    <cellStyle name="60% - 강조색1 2 2" xfId="1288" xr:uid="{636E95C0-CDB0-4E88-9C25-151379287B44}"/>
    <cellStyle name="60% - 강조색1 20" xfId="1289" xr:uid="{E70AEBD2-D0AD-4321-A762-8150C4072FC4}"/>
    <cellStyle name="60% - 강조색1 20 2" xfId="1290" xr:uid="{A61C967D-BD0D-4C36-95BD-6F038E1BE74B}"/>
    <cellStyle name="60% - 강조색1 21" xfId="1291" xr:uid="{8F325EC3-4149-4EBE-AB54-356698F2E5F8}"/>
    <cellStyle name="60% - 강조색1 21 2" xfId="1292" xr:uid="{2810ED7A-28F6-4BC2-A96F-9A971F778613}"/>
    <cellStyle name="60% - 강조색1 22" xfId="1293" xr:uid="{FCCF6166-D0BE-42B1-A19B-E1C32BB68B0F}"/>
    <cellStyle name="60% - 강조색1 22 2" xfId="1294" xr:uid="{38FF4869-538E-4F4C-86CC-0A21C05F067E}"/>
    <cellStyle name="60% - 강조색1 23" xfId="1295" xr:uid="{5CC50377-F1AD-429B-8EBA-5C20A7C8F8A4}"/>
    <cellStyle name="60% - 강조색1 23 2" xfId="1296" xr:uid="{06952AEA-BB47-402B-91F1-D870F1919C91}"/>
    <cellStyle name="60% - 강조색1 24" xfId="1297" xr:uid="{385A8A24-6BAD-4897-8D9D-A594DDC0FB8C}"/>
    <cellStyle name="60% - 강조색1 24 2" xfId="1298" xr:uid="{93E96F0F-FAB0-4513-BD64-F240F96D2B5D}"/>
    <cellStyle name="60% - 강조색1 25" xfId="1299" xr:uid="{C47F8242-68B9-41C0-9AC8-53B56C5BA816}"/>
    <cellStyle name="60% - 강조색1 25 2" xfId="1300" xr:uid="{97ECB8BD-37CC-4EF5-AAEC-B090E0876779}"/>
    <cellStyle name="60% - 강조색1 26" xfId="1301" xr:uid="{176283F2-3E51-4A3B-A4CF-6756613E58D4}"/>
    <cellStyle name="60% - 강조색1 26 2" xfId="1302" xr:uid="{35F30F23-7B28-4580-86CA-D10F0FA96049}"/>
    <cellStyle name="60% - 강조색1 27" xfId="1303" xr:uid="{65B3B58D-1AEE-4EE1-B8C9-A3C57D9AFDA5}"/>
    <cellStyle name="60% - 강조색1 27 2" xfId="1304" xr:uid="{4C78A86C-FF11-41AE-A49C-1D82BBAE7940}"/>
    <cellStyle name="60% - 강조색1 28" xfId="1305" xr:uid="{D880EF84-744E-44DC-BCF4-32B0B7F3CD6A}"/>
    <cellStyle name="60% - 강조색1 28 2" xfId="1306" xr:uid="{4B46F520-5F00-4AE3-8481-208F441510CC}"/>
    <cellStyle name="60% - 강조색1 29" xfId="1307" xr:uid="{69F4AACC-3E15-446A-874B-8A1DBF5BC770}"/>
    <cellStyle name="60% - 강조색1 29 2" xfId="1308" xr:uid="{689867CE-7D99-43E9-93A9-AFE6349F50CE}"/>
    <cellStyle name="60% - 강조색1 3" xfId="1309" xr:uid="{DBFC82EF-A5E4-42A8-952E-840FBF6A81BD}"/>
    <cellStyle name="60% - 강조색1 3 2" xfId="1310" xr:uid="{510238D1-9AEB-4052-B458-B441723D5C32}"/>
    <cellStyle name="60% - 강조색1 30" xfId="1311" xr:uid="{0AADBE8B-F426-461A-A757-48F28DB39552}"/>
    <cellStyle name="60% - 강조색1 30 2" xfId="1312" xr:uid="{B02F1235-D941-4528-A5C8-7B4C0DFCD92D}"/>
    <cellStyle name="60% - 강조색1 31" xfId="1313" xr:uid="{FC940404-A574-426D-83E3-AF8DABA05556}"/>
    <cellStyle name="60% - 강조색1 31 2" xfId="1314" xr:uid="{CEBA1400-794F-43C6-B60C-BF8565B5DC1A}"/>
    <cellStyle name="60% - 강조색1 32" xfId="1315" xr:uid="{D6FA6FDD-C4F4-4798-B649-88D5E55542EB}"/>
    <cellStyle name="60% - 강조색1 32 2" xfId="1316" xr:uid="{80927ECB-82D1-401D-8566-073F98A4067C}"/>
    <cellStyle name="60% - 강조색1 33" xfId="1317" xr:uid="{16EEB570-AF4A-4BCF-8258-44031F80ABF0}"/>
    <cellStyle name="60% - 강조색1 33 2" xfId="1318" xr:uid="{3ECE58E9-CE3E-4278-B67E-2235FC616E9D}"/>
    <cellStyle name="60% - 강조색1 34" xfId="1319" xr:uid="{0DCD4C42-9ADB-4028-89BC-C651385D2B18}"/>
    <cellStyle name="60% - 강조색1 34 2" xfId="1320" xr:uid="{7B4D2650-446E-4EF3-A7F9-6E3A5D55A2A0}"/>
    <cellStyle name="60% - 강조색1 35" xfId="1321" xr:uid="{0FB2AF19-34BB-47BF-9D83-4FB7F5FDBCAD}"/>
    <cellStyle name="60% - 강조색1 35 2" xfId="1322" xr:uid="{FB8CD6F2-06F3-473A-A87D-5824C8E1B9A0}"/>
    <cellStyle name="60% - 강조색1 36" xfId="1323" xr:uid="{2C5D2FD6-A798-4BB2-AABD-FA27D3AC518B}"/>
    <cellStyle name="60% - 강조색1 36 2" xfId="1324" xr:uid="{EC6E57CB-E005-4B52-96FA-FD1A72C1EE1D}"/>
    <cellStyle name="60% - 강조색1 37" xfId="1325" xr:uid="{AA702AA2-EC0C-4EA2-B67D-B6B263F9D74E}"/>
    <cellStyle name="60% - 강조색1 37 2" xfId="1326" xr:uid="{BC37172F-A982-410C-B311-7E4F1F3AE427}"/>
    <cellStyle name="60% - 강조색1 38" xfId="1327" xr:uid="{509785A0-1C77-40A6-8AF0-98B9BA067097}"/>
    <cellStyle name="60% - 강조색1 38 2" xfId="1328" xr:uid="{65EEDED4-FCA8-4A06-9151-089F3BC50B87}"/>
    <cellStyle name="60% - 강조색1 39" xfId="1329" xr:uid="{7C8EC2FE-DF9C-4C4E-A4C2-25D7465E2DC9}"/>
    <cellStyle name="60% - 강조색1 39 2" xfId="1330" xr:uid="{A9B11BCC-A797-409A-A4AF-5EFC6D320FF1}"/>
    <cellStyle name="60% - 강조색1 4" xfId="1331" xr:uid="{1C93B56C-44B0-4029-B393-D481AC456C88}"/>
    <cellStyle name="60% - 강조색1 4 2" xfId="1332" xr:uid="{20CF58D8-0356-4BB6-9FE3-40DFF9C2A253}"/>
    <cellStyle name="60% - 강조색1 40" xfId="1333" xr:uid="{E39A33C4-BABA-4DED-BC38-64C8A0BE531F}"/>
    <cellStyle name="60% - 강조색1 40 2" xfId="1334" xr:uid="{E945AC1B-E69D-4517-9878-EBE7D9D5CCB7}"/>
    <cellStyle name="60% - 강조색1 41" xfId="1335" xr:uid="{138B30FA-8B54-44E6-AB8A-36437F187F1A}"/>
    <cellStyle name="60% - 강조색1 41 2" xfId="1336" xr:uid="{A89B2829-AC3F-4A50-98F9-B3F62BDCDF79}"/>
    <cellStyle name="60% - 강조색1 42" xfId="1337" xr:uid="{03879933-5076-4A6C-8A96-9ACF73F50A64}"/>
    <cellStyle name="60% - 강조색1 42 2" xfId="1338" xr:uid="{725EEA97-AA65-4CBE-A5EB-4E9AE3B4A917}"/>
    <cellStyle name="60% - 강조색1 43" xfId="1339" xr:uid="{360F1AD4-1337-4A3B-A5BE-28D79687DA25}"/>
    <cellStyle name="60% - 강조색1 43 2" xfId="1340" xr:uid="{3140E8C2-A53B-40A1-B66C-B40E5010E879}"/>
    <cellStyle name="60% - 강조색1 44" xfId="1341" xr:uid="{A842A031-CB54-43D1-B21F-79421655A33D}"/>
    <cellStyle name="60% - 강조색1 45" xfId="1342" xr:uid="{00C1B4EB-7962-44A1-8D80-EEBF81495860}"/>
    <cellStyle name="60% - 강조색1 46" xfId="1343" xr:uid="{83CFE5A9-C20D-41FB-9C76-9A3E53A8EF44}"/>
    <cellStyle name="60% - 강조색1 47" xfId="1344" xr:uid="{829560AE-6ED9-4F96-AED1-272F7BF45D34}"/>
    <cellStyle name="60% - 강조색1 48" xfId="1345" xr:uid="{F350D641-75F8-436B-9B5D-F3210342CB2F}"/>
    <cellStyle name="60% - 강조색1 49" xfId="1346" xr:uid="{35BDDA93-0291-454E-8852-0CAB3ED49122}"/>
    <cellStyle name="60% - 강조색1 5" xfId="1347" xr:uid="{17AA221E-F5D6-47A6-BADE-EEB2D0AD69F8}"/>
    <cellStyle name="60% - 강조색1 5 2" xfId="1348" xr:uid="{CA53EA54-9096-4DFD-8C23-0D119B22C13D}"/>
    <cellStyle name="60% - 강조색1 50" xfId="1349" xr:uid="{CE5584B4-796E-44D3-8B3B-C092616E8C70}"/>
    <cellStyle name="60% - 강조색1 51" xfId="3967" xr:uid="{B89FE630-559C-4CF4-BBC1-C279DD860A4F}"/>
    <cellStyle name="60% - 강조색1 52" xfId="4131" xr:uid="{500A864E-67B4-4A1C-AB78-7D5AAF5F7F8C}"/>
    <cellStyle name="60% - 강조색1 53" xfId="4240" xr:uid="{6905A1D3-9163-4583-8859-BBBCAF00608A}"/>
    <cellStyle name="60% - 강조색1 54" xfId="4412" xr:uid="{954B28EC-40EE-488C-B062-AEC727187744}"/>
    <cellStyle name="60% - 강조색1 55" xfId="1266" xr:uid="{757539F4-1120-4560-B4FD-E4F6446240C7}"/>
    <cellStyle name="60% - 강조색1 6" xfId="1350" xr:uid="{D4D9C1E0-905D-4B16-BE66-3C9CAD348C7B}"/>
    <cellStyle name="60% - 강조색1 6 2" xfId="1351" xr:uid="{C365BB3B-3217-452D-9EB3-8DD79B6E6AD4}"/>
    <cellStyle name="60% - 강조색1 7" xfId="1352" xr:uid="{4E202E95-CA90-40EF-AD65-0341A023CF16}"/>
    <cellStyle name="60% - 강조색1 7 2" xfId="1353" xr:uid="{7096B8CD-A2B0-4B17-BCCF-1A7912A6DEAF}"/>
    <cellStyle name="60% - 강조색1 8" xfId="1354" xr:uid="{F640CB66-AE27-430C-ACDD-F1F71B3FFB66}"/>
    <cellStyle name="60% - 강조색1 8 2" xfId="1355" xr:uid="{5E495689-6C96-4FA2-A1E7-1A0E7A071BB8}"/>
    <cellStyle name="60% - 강조색1 9" xfId="1356" xr:uid="{225FF2EA-1B09-4372-8205-FF76F24A9FCD}"/>
    <cellStyle name="60% - 강조색1 9 2" xfId="1357" xr:uid="{C5DD6529-9751-415F-8ABD-11ECA925C78C}"/>
    <cellStyle name="60% - 강조색2 10" xfId="1359" xr:uid="{D3433B98-82A4-4E2E-AF47-07A247FDB238}"/>
    <cellStyle name="60% - 강조색2 10 2" xfId="1360" xr:uid="{98F35731-F471-40F9-B7A4-42D76912D2C4}"/>
    <cellStyle name="60% - 강조색2 11" xfId="1361" xr:uid="{7EFD1E93-A274-46EE-98EE-1A0A0A7ED80E}"/>
    <cellStyle name="60% - 강조색2 11 2" xfId="1362" xr:uid="{FFAC5279-4885-4FC9-A0B7-52813D8317FD}"/>
    <cellStyle name="60% - 강조색2 12" xfId="1363" xr:uid="{DD0FC669-9DA8-49DD-BB16-DE59999BF23C}"/>
    <cellStyle name="60% - 강조색2 12 2" xfId="1364" xr:uid="{B770987D-44BE-4CA5-8347-AFBA99FC67D7}"/>
    <cellStyle name="60% - 강조색2 13" xfId="1365" xr:uid="{013BB6DA-0F7A-4C9B-A53D-B8364B884C91}"/>
    <cellStyle name="60% - 강조색2 13 2" xfId="1366" xr:uid="{6BB7149B-1E6A-49C2-9C53-A7B689AEBA84}"/>
    <cellStyle name="60% - 강조색2 14" xfId="1367" xr:uid="{B3739CEF-926D-4BFA-998F-FB4610AFF563}"/>
    <cellStyle name="60% - 강조색2 14 2" xfId="1368" xr:uid="{1F420E70-BDB3-4E74-8587-76AD79ED3F01}"/>
    <cellStyle name="60% - 강조색2 15" xfId="1369" xr:uid="{18571490-399C-43CE-9444-B8BBF1864006}"/>
    <cellStyle name="60% - 강조색2 15 2" xfId="1370" xr:uid="{251242C4-60FE-4CF8-8C56-4C4FC82066BF}"/>
    <cellStyle name="60% - 강조색2 16" xfId="1371" xr:uid="{8482B3F0-545F-4FF2-87B9-FE0B27BDDA63}"/>
    <cellStyle name="60% - 강조색2 16 2" xfId="1372" xr:uid="{572E2858-6D02-4DB2-8B7C-26CFD75D2D2D}"/>
    <cellStyle name="60% - 강조색2 17" xfId="1373" xr:uid="{7C184532-3505-48CC-96FC-C8012E140D55}"/>
    <cellStyle name="60% - 강조색2 17 2" xfId="1374" xr:uid="{D45371D8-3AC5-4336-A067-D9E2F8D467C6}"/>
    <cellStyle name="60% - 강조색2 18" xfId="1375" xr:uid="{9E0A50CA-4505-4D6C-B3CB-A33F6AE97700}"/>
    <cellStyle name="60% - 강조색2 18 2" xfId="1376" xr:uid="{22D54587-9225-43A2-B796-DB360EE57666}"/>
    <cellStyle name="60% - 강조색2 19" xfId="1377" xr:uid="{4AE6A6B7-4242-4B38-9BF3-09F1DC33E73F}"/>
    <cellStyle name="60% - 강조색2 19 2" xfId="1378" xr:uid="{A11CBA74-8735-4532-AFCE-9E40D0354D2F}"/>
    <cellStyle name="60% - 강조색2 2" xfId="1379" xr:uid="{4DBAC0C9-0D31-4952-B662-5BB543AD9B79}"/>
    <cellStyle name="60% - 강조색2 2 2" xfId="1380" xr:uid="{8F739042-93AC-4D71-A097-007B736DB6B4}"/>
    <cellStyle name="60% - 강조색2 20" xfId="1381" xr:uid="{10AF9E33-EFB8-4E77-A632-216DCC099DAB}"/>
    <cellStyle name="60% - 강조색2 20 2" xfId="1382" xr:uid="{6C31E113-93DD-46EC-BEFD-E52731AABA68}"/>
    <cellStyle name="60% - 강조색2 21" xfId="1383" xr:uid="{01CAAAE1-4927-458F-8AD6-FE349970EC32}"/>
    <cellStyle name="60% - 강조색2 21 2" xfId="1384" xr:uid="{39A5578C-1116-4B73-90AA-F46EC6B25BC7}"/>
    <cellStyle name="60% - 강조색2 22" xfId="1385" xr:uid="{BE9ECA0B-CBFC-4FB5-A3EE-DC6F4CDC38B9}"/>
    <cellStyle name="60% - 강조색2 22 2" xfId="1386" xr:uid="{18EAA608-28AF-4FA9-9397-F6CA081D709F}"/>
    <cellStyle name="60% - 강조색2 23" xfId="1387" xr:uid="{CD8D2431-989F-46B4-99CC-5F0BB18EE7F1}"/>
    <cellStyle name="60% - 강조색2 23 2" xfId="1388" xr:uid="{3C1C35F3-BF1D-4234-865B-DA3F533CCD63}"/>
    <cellStyle name="60% - 강조색2 24" xfId="1389" xr:uid="{7DAFCB9D-2255-40B6-B2F0-D97641AD7892}"/>
    <cellStyle name="60% - 강조색2 24 2" xfId="1390" xr:uid="{4752420E-B19B-4B6C-9E4E-DF917DC9E44E}"/>
    <cellStyle name="60% - 강조색2 25" xfId="1391" xr:uid="{54DE7954-F137-4B00-9C0D-6548CEDA4A3D}"/>
    <cellStyle name="60% - 강조색2 25 2" xfId="1392" xr:uid="{3D98E7D6-C335-498D-A4CC-941A4B59D550}"/>
    <cellStyle name="60% - 강조색2 26" xfId="1393" xr:uid="{19E27097-24B9-4FF7-BD18-661C3202DFF8}"/>
    <cellStyle name="60% - 강조색2 26 2" xfId="1394" xr:uid="{F383BAD8-29DF-43BB-8B38-96AE5F5544DD}"/>
    <cellStyle name="60% - 강조색2 27" xfId="1395" xr:uid="{CBBB12D2-DCED-4706-8ABC-0867D7EA6585}"/>
    <cellStyle name="60% - 강조색2 27 2" xfId="1396" xr:uid="{2B4186CF-1771-4344-80A3-6B2DC6385C45}"/>
    <cellStyle name="60% - 강조색2 28" xfId="1397" xr:uid="{8D1C99BA-5419-4714-A77F-9DDD2B0C59C1}"/>
    <cellStyle name="60% - 강조색2 28 2" xfId="1398" xr:uid="{71956263-106B-48B9-8A00-E8D68C4CE60C}"/>
    <cellStyle name="60% - 강조색2 29" xfId="1399" xr:uid="{39F81F11-8021-4BB6-AB21-EF34D68A0E90}"/>
    <cellStyle name="60% - 강조색2 29 2" xfId="1400" xr:uid="{8D4FC897-6E24-4B6D-8383-B91401AAE915}"/>
    <cellStyle name="60% - 강조색2 3" xfId="1401" xr:uid="{06465B1D-F114-411F-A229-FB39E7F8690E}"/>
    <cellStyle name="60% - 강조색2 3 2" xfId="1402" xr:uid="{D7AAF951-D5FF-47A0-818A-C9EAEA4DA54A}"/>
    <cellStyle name="60% - 강조색2 30" xfId="1403" xr:uid="{E947A95D-0E27-4DAB-B464-DCEF87F4D309}"/>
    <cellStyle name="60% - 강조색2 30 2" xfId="1404" xr:uid="{B36BA9C0-C11A-4FB5-B384-CDEA3151A9F8}"/>
    <cellStyle name="60% - 강조색2 31" xfId="1405" xr:uid="{9743703F-D29F-4CDD-9C4B-C98AC94AC066}"/>
    <cellStyle name="60% - 강조색2 31 2" xfId="1406" xr:uid="{EDD40B94-18B1-4ED0-BF8D-07BC3BAC01A0}"/>
    <cellStyle name="60% - 강조색2 32" xfId="1407" xr:uid="{FBD01C00-0473-4D79-AB44-245E4B025C80}"/>
    <cellStyle name="60% - 강조색2 32 2" xfId="1408" xr:uid="{31499076-AB0C-422F-A1B4-59850337B96A}"/>
    <cellStyle name="60% - 강조색2 33" xfId="1409" xr:uid="{366531B3-DD5D-4F71-8B82-9BCC834323C6}"/>
    <cellStyle name="60% - 강조색2 33 2" xfId="1410" xr:uid="{38534B0B-DAFF-4408-B427-57E4D5A6B751}"/>
    <cellStyle name="60% - 강조색2 34" xfId="1411" xr:uid="{5BF7CA70-B4BD-4646-86A1-E4099B9FAD6B}"/>
    <cellStyle name="60% - 강조색2 34 2" xfId="1412" xr:uid="{4B128B10-C3FA-4C41-AE61-50E397F3F998}"/>
    <cellStyle name="60% - 강조색2 35" xfId="1413" xr:uid="{A12BCAAC-A8FD-4D11-87D5-E86745A6B206}"/>
    <cellStyle name="60% - 강조색2 35 2" xfId="1414" xr:uid="{2325AA02-81D1-459E-B69C-50519F1A5B27}"/>
    <cellStyle name="60% - 강조색2 36" xfId="1415" xr:uid="{18142E82-DFE0-4459-8E2C-D51F61A23732}"/>
    <cellStyle name="60% - 강조색2 36 2" xfId="1416" xr:uid="{CED81633-342E-4310-8252-0DCE14356D0C}"/>
    <cellStyle name="60% - 강조색2 37" xfId="1417" xr:uid="{0F24772F-7A13-45A1-A98E-832059E36227}"/>
    <cellStyle name="60% - 강조색2 37 2" xfId="1418" xr:uid="{046BA700-B7D1-4A28-B3A5-9AAA7BF90217}"/>
    <cellStyle name="60% - 강조색2 38" xfId="1419" xr:uid="{1BB6EA80-A276-483A-99A9-3514B7413F2D}"/>
    <cellStyle name="60% - 강조색2 38 2" xfId="1420" xr:uid="{7F5A541C-1A1D-4046-96DC-F496A52EB830}"/>
    <cellStyle name="60% - 강조색2 39" xfId="1421" xr:uid="{C641F17D-4E50-4A61-86F2-82D687C606B6}"/>
    <cellStyle name="60% - 강조색2 39 2" xfId="1422" xr:uid="{6EF728C5-CA4E-4805-87CA-CBF516A42C02}"/>
    <cellStyle name="60% - 강조색2 4" xfId="1423" xr:uid="{3F03712F-D26D-461D-AB60-8B6E4D09DC17}"/>
    <cellStyle name="60% - 강조색2 4 2" xfId="1424" xr:uid="{50E4AD49-1B18-4779-B0D5-7924EA8E1C3B}"/>
    <cellStyle name="60% - 강조색2 40" xfId="1425" xr:uid="{0A960F3B-ECE8-4461-975B-2C72A9F3F123}"/>
    <cellStyle name="60% - 강조색2 40 2" xfId="1426" xr:uid="{38C4EC09-8F25-40BD-A463-3F6185B2315B}"/>
    <cellStyle name="60% - 강조색2 41" xfId="1427" xr:uid="{0073A37B-618D-426E-AD53-D55BEBF514A0}"/>
    <cellStyle name="60% - 강조색2 41 2" xfId="1428" xr:uid="{50EA9AE5-463D-4B3D-8E9B-B468175B275B}"/>
    <cellStyle name="60% - 강조색2 42" xfId="1429" xr:uid="{B8218F0B-7883-4AE0-89FB-97C72239C9F5}"/>
    <cellStyle name="60% - 강조색2 42 2" xfId="1430" xr:uid="{7FC62950-A297-4D2C-9BD6-18F2C24FF80E}"/>
    <cellStyle name="60% - 강조색2 43" xfId="1431" xr:uid="{1A144A6D-721D-4568-BBA4-67BB7952B7A7}"/>
    <cellStyle name="60% - 강조색2 43 2" xfId="1432" xr:uid="{3C689A34-B27D-4BB0-B06B-0075FE67E102}"/>
    <cellStyle name="60% - 강조색2 44" xfId="1433" xr:uid="{527CE92E-B3BF-40D1-A90D-1A0E7DF67BEC}"/>
    <cellStyle name="60% - 강조색2 45" xfId="1434" xr:uid="{07CE07FA-86B5-48E6-B351-1D0CA633AFC0}"/>
    <cellStyle name="60% - 강조색2 46" xfId="1435" xr:uid="{09B7CDCA-F39C-4851-80BB-12E50BD719A0}"/>
    <cellStyle name="60% - 강조색2 47" xfId="1436" xr:uid="{0555F021-A5BB-4D14-9305-92B28E5002CF}"/>
    <cellStyle name="60% - 강조색2 48" xfId="1437" xr:uid="{6A1B2BB8-3121-4159-A7C1-0C5E8B1398E9}"/>
    <cellStyle name="60% - 강조색2 49" xfId="1438" xr:uid="{D34A8D30-DFA5-47BB-980C-EE22501527EA}"/>
    <cellStyle name="60% - 강조색2 5" xfId="1439" xr:uid="{3BA383F2-2542-49DD-B3FD-A1888C65C184}"/>
    <cellStyle name="60% - 강조색2 5 2" xfId="1440" xr:uid="{AE919E19-AEC1-4ED4-B6C0-E4569C307834}"/>
    <cellStyle name="60% - 강조색2 50" xfId="1441" xr:uid="{32F545F6-304F-4C1D-9EF2-9AB5930A0D88}"/>
    <cellStyle name="60% - 강조색2 51" xfId="3971" xr:uid="{41B08478-01DD-4518-A6A2-4F86C39A0CD7}"/>
    <cellStyle name="60% - 강조색2 52" xfId="4135" xr:uid="{4042B919-AFA0-4817-BBB8-2F1B99B7B854}"/>
    <cellStyle name="60% - 강조색2 53" xfId="4241" xr:uid="{02F38B5E-618F-45B2-960C-2138814FC752}"/>
    <cellStyle name="60% - 강조색2 54" xfId="4413" xr:uid="{A14E97BF-0766-413F-9673-4D6B262F2C1B}"/>
    <cellStyle name="60% - 강조색2 55" xfId="1358" xr:uid="{7D05B0EC-4A80-4CDF-ADDA-AD2C69F5F30B}"/>
    <cellStyle name="60% - 강조색2 6" xfId="1442" xr:uid="{D999F92E-BEF0-47DF-94E9-82CB18874560}"/>
    <cellStyle name="60% - 강조색2 6 2" xfId="1443" xr:uid="{FE1575B7-9769-408B-BA03-6FBE87A6CEEA}"/>
    <cellStyle name="60% - 강조색2 7" xfId="1444" xr:uid="{D94D0D5F-83B6-491C-A33B-F03A711DBB60}"/>
    <cellStyle name="60% - 강조색2 7 2" xfId="1445" xr:uid="{8EEFBC14-50F1-445E-BA0A-2DCE943A76FE}"/>
    <cellStyle name="60% - 강조색2 8" xfId="1446" xr:uid="{979F3D64-F10D-4F5C-AF9A-DBDF360D26F5}"/>
    <cellStyle name="60% - 강조색2 8 2" xfId="1447" xr:uid="{9977F4E7-A048-413E-B3A0-3FCC971F63A6}"/>
    <cellStyle name="60% - 강조색2 9" xfId="1448" xr:uid="{E539D327-751F-4CF4-8E3D-6012B36CCF0E}"/>
    <cellStyle name="60% - 강조색2 9 2" xfId="1449" xr:uid="{8C926BAB-B3BD-436D-B0F6-2600FAE8B570}"/>
    <cellStyle name="60% - 강조색3 10" xfId="1451" xr:uid="{BD744E02-07F1-4145-BCD2-4E7423B8F567}"/>
    <cellStyle name="60% - 강조색3 10 2" xfId="1452" xr:uid="{8AD87A0B-9D10-4E25-A54E-D76725199FFC}"/>
    <cellStyle name="60% - 강조색3 11" xfId="1453" xr:uid="{4B143633-3EB3-4A3E-A1FD-5346146DE3E6}"/>
    <cellStyle name="60% - 강조색3 11 2" xfId="1454" xr:uid="{6F8C9E30-41C3-46D9-AE27-D2DBB03EEC78}"/>
    <cellStyle name="60% - 강조색3 12" xfId="1455" xr:uid="{53CDAF99-CC5D-4D01-8AE9-65FBCB9CFF17}"/>
    <cellStyle name="60% - 강조색3 12 2" xfId="1456" xr:uid="{24CEA512-E3FD-4161-9298-4655D1687D3F}"/>
    <cellStyle name="60% - 강조색3 13" xfId="1457" xr:uid="{CE2A422D-720A-462A-8BA1-B74119BECA57}"/>
    <cellStyle name="60% - 강조색3 13 2" xfId="1458" xr:uid="{9C436672-5AB5-4633-8603-A2894D5DC3A2}"/>
    <cellStyle name="60% - 강조색3 14" xfId="1459" xr:uid="{E26B0699-803D-4624-B043-E3E621A6E5EE}"/>
    <cellStyle name="60% - 강조색3 14 2" xfId="1460" xr:uid="{9E5DB928-EBA4-441B-A124-0376253B088D}"/>
    <cellStyle name="60% - 강조색3 15" xfId="1461" xr:uid="{FD2B2FD2-F0B7-49B2-8F8F-069D6C32C4C9}"/>
    <cellStyle name="60% - 강조색3 15 2" xfId="1462" xr:uid="{67F93C82-2241-4802-9DB2-C15B1BBD7028}"/>
    <cellStyle name="60% - 강조색3 16" xfId="1463" xr:uid="{E68446E5-00C4-4AB5-A94F-30AFCCE45E27}"/>
    <cellStyle name="60% - 강조색3 16 2" xfId="1464" xr:uid="{79626935-AD7A-406B-B4B5-F7F2CC4BEAF2}"/>
    <cellStyle name="60% - 강조색3 17" xfId="1465" xr:uid="{E5F0E2B7-E92D-46D1-BF9A-EBA210C5CC32}"/>
    <cellStyle name="60% - 강조색3 17 2" xfId="1466" xr:uid="{87019ACA-F403-43AD-BFD4-CF91C00BD775}"/>
    <cellStyle name="60% - 강조색3 18" xfId="1467" xr:uid="{3FCE2D56-77CD-4BF9-BD94-2D25F9C44C6A}"/>
    <cellStyle name="60% - 강조색3 18 2" xfId="1468" xr:uid="{FAC1429E-990A-4683-B2F9-C606194C13D4}"/>
    <cellStyle name="60% - 강조색3 19" xfId="1469" xr:uid="{83717AEF-560F-4D9E-AF82-A5939EFB4394}"/>
    <cellStyle name="60% - 강조색3 19 2" xfId="1470" xr:uid="{3A0034C8-9F5C-49F7-B0DE-2BACDF0E23DA}"/>
    <cellStyle name="60% - 강조색3 2" xfId="1471" xr:uid="{D0F94DB8-BB28-4582-BBE0-F66FB247FF01}"/>
    <cellStyle name="60% - 강조색3 2 2" xfId="1472" xr:uid="{A4DC2E6C-6F1A-429C-872C-58552A8A5269}"/>
    <cellStyle name="60% - 강조색3 20" xfId="1473" xr:uid="{9A445861-1CC2-4AF2-9F75-6CA8D0E75520}"/>
    <cellStyle name="60% - 강조색3 20 2" xfId="1474" xr:uid="{649AAAF3-7D56-4BC0-8180-E6D26C092A87}"/>
    <cellStyle name="60% - 강조색3 21" xfId="1475" xr:uid="{F54D5E4F-20F7-4699-A97A-D264BCBEB4F1}"/>
    <cellStyle name="60% - 강조색3 21 2" xfId="1476" xr:uid="{BACB777A-DF23-45E0-92AA-D73BD3C91178}"/>
    <cellStyle name="60% - 강조색3 22" xfId="1477" xr:uid="{836E8F89-63C1-40C5-BCE6-D392FEF0DEA7}"/>
    <cellStyle name="60% - 강조색3 22 2" xfId="1478" xr:uid="{0F41EDFA-CFB3-455B-898E-0FAFEEED9F65}"/>
    <cellStyle name="60% - 강조색3 23" xfId="1479" xr:uid="{A76B9E78-0CF8-4299-A237-5C937CB07FE0}"/>
    <cellStyle name="60% - 강조색3 23 2" xfId="1480" xr:uid="{E2ABE9C2-3C20-4E31-857B-A2E6DB32E84A}"/>
    <cellStyle name="60% - 강조색3 24" xfId="1481" xr:uid="{8E8C05A9-0B4F-4059-BEEB-7A95AAF40278}"/>
    <cellStyle name="60% - 강조색3 24 2" xfId="1482" xr:uid="{066D5C5A-3E6E-43D1-9C42-437FBF45485E}"/>
    <cellStyle name="60% - 강조색3 25" xfId="1483" xr:uid="{5F147226-70EB-44A8-8113-CFCA585E7801}"/>
    <cellStyle name="60% - 강조색3 25 2" xfId="1484" xr:uid="{A4D6AE37-4524-4C8C-8BCB-32B0AE2EA453}"/>
    <cellStyle name="60% - 강조색3 26" xfId="1485" xr:uid="{B087D66F-8649-4A66-AA8C-058FFAF052AC}"/>
    <cellStyle name="60% - 강조색3 26 2" xfId="1486" xr:uid="{1C3AB0CE-2748-4694-9C07-99E6C8F743CA}"/>
    <cellStyle name="60% - 강조색3 27" xfId="1487" xr:uid="{6C003837-4D51-4058-9CBD-1DD6B4A8C505}"/>
    <cellStyle name="60% - 강조색3 27 2" xfId="1488" xr:uid="{0F6BF547-9BA1-4516-BCD8-A28F3B281F0F}"/>
    <cellStyle name="60% - 강조색3 28" xfId="1489" xr:uid="{0BE75D55-93F5-4EBA-B3B1-395C63611069}"/>
    <cellStyle name="60% - 강조색3 28 2" xfId="1490" xr:uid="{D155B958-221A-404C-8368-12F0BD614A29}"/>
    <cellStyle name="60% - 강조색3 29" xfId="1491" xr:uid="{44FCA299-ADD4-4D78-B228-8E6119502A8C}"/>
    <cellStyle name="60% - 강조색3 29 2" xfId="1492" xr:uid="{B2D3AB72-FECF-4D86-A9AB-66336CE8387C}"/>
    <cellStyle name="60% - 강조색3 3" xfId="1493" xr:uid="{9C126659-92C2-4392-B7D3-FB23B962FB53}"/>
    <cellStyle name="60% - 강조색3 3 2" xfId="1494" xr:uid="{093F2B37-7418-4CC5-AF8B-6541951F55B4}"/>
    <cellStyle name="60% - 강조색3 30" xfId="1495" xr:uid="{2CC4CEBD-E365-4856-B65E-D37E2C3BB30F}"/>
    <cellStyle name="60% - 강조색3 30 2" xfId="1496" xr:uid="{05103A5E-78F3-400C-9A89-74D479665981}"/>
    <cellStyle name="60% - 강조색3 31" xfId="1497" xr:uid="{547B6060-1A19-488F-B82F-AF902AF8CCC7}"/>
    <cellStyle name="60% - 강조색3 31 2" xfId="1498" xr:uid="{B52360AA-DAB9-4652-AA81-75D92451C579}"/>
    <cellStyle name="60% - 강조색3 32" xfId="1499" xr:uid="{2AEE2C3A-F31E-43FF-B489-2037E4D25CA7}"/>
    <cellStyle name="60% - 강조색3 32 2" xfId="1500" xr:uid="{0C111EBA-7B9B-463D-9A21-73524FBF3D16}"/>
    <cellStyle name="60% - 강조색3 33" xfId="1501" xr:uid="{F0DC342D-0851-4958-9492-5BBED886502A}"/>
    <cellStyle name="60% - 강조색3 33 2" xfId="1502" xr:uid="{5E25C671-4CDF-4A43-A258-B9FCB5EB1181}"/>
    <cellStyle name="60% - 강조색3 34" xfId="1503" xr:uid="{BC39473B-5B03-46BB-B980-9D98EFFEA906}"/>
    <cellStyle name="60% - 강조색3 34 2" xfId="1504" xr:uid="{A5C65416-0253-4E3D-BF27-E65881DD5255}"/>
    <cellStyle name="60% - 강조색3 35" xfId="1505" xr:uid="{7D78DA42-2A73-45C7-AA9D-8EAB8233F6CC}"/>
    <cellStyle name="60% - 강조색3 35 2" xfId="1506" xr:uid="{73C4F074-D523-4313-A3C3-6CFF08823C6F}"/>
    <cellStyle name="60% - 강조색3 36" xfId="1507" xr:uid="{714F0D6B-40BB-4548-981C-06B155FA0FED}"/>
    <cellStyle name="60% - 강조색3 36 2" xfId="1508" xr:uid="{80DAFBEE-21F5-46FC-B4EF-E48E54882429}"/>
    <cellStyle name="60% - 강조색3 37" xfId="1509" xr:uid="{D18FFFFD-15FA-4840-9B18-C9C6EE200609}"/>
    <cellStyle name="60% - 강조색3 37 2" xfId="1510" xr:uid="{FD1903B4-3622-481A-93A5-5DC713A524B9}"/>
    <cellStyle name="60% - 강조색3 38" xfId="1511" xr:uid="{18E4D598-F125-4E55-954E-B97BFAE15B72}"/>
    <cellStyle name="60% - 강조색3 38 2" xfId="1512" xr:uid="{07675FB4-AA69-4C59-8CEB-CBC17BA67FB9}"/>
    <cellStyle name="60% - 강조색3 39" xfId="1513" xr:uid="{E7B8838F-EFA0-4DEE-8589-E071AF525304}"/>
    <cellStyle name="60% - 강조색3 39 2" xfId="1514" xr:uid="{0C2603F0-1399-4874-9BBC-CD06CBB39B7F}"/>
    <cellStyle name="60% - 강조색3 4" xfId="1515" xr:uid="{7D511E4D-B0D3-448E-8681-E7F94144D999}"/>
    <cellStyle name="60% - 강조색3 4 2" xfId="1516" xr:uid="{DA03AC87-77D2-4FD0-89AD-75E94936FD7F}"/>
    <cellStyle name="60% - 강조색3 40" xfId="1517" xr:uid="{8B2F9056-7157-45AB-A31A-92492E761F15}"/>
    <cellStyle name="60% - 강조색3 40 2" xfId="1518" xr:uid="{C96F1DD9-D686-4858-ABFA-2F22B044C413}"/>
    <cellStyle name="60% - 강조색3 41" xfId="1519" xr:uid="{26279F01-F793-41A0-BCDD-6CEDDA617A14}"/>
    <cellStyle name="60% - 강조색3 41 2" xfId="1520" xr:uid="{00BCC12E-18EC-4AA7-96B0-2E2812DA64FB}"/>
    <cellStyle name="60% - 강조색3 42" xfId="1521" xr:uid="{7F72E3D1-EBC1-497D-9ECA-884C123E4B39}"/>
    <cellStyle name="60% - 강조색3 42 2" xfId="1522" xr:uid="{6A7F1203-00C7-4EA0-9485-EFC6B1626B26}"/>
    <cellStyle name="60% - 강조색3 43" xfId="1523" xr:uid="{3097AA24-1ABF-4947-91FA-8910DBF022E9}"/>
    <cellStyle name="60% - 강조색3 43 2" xfId="1524" xr:uid="{557AEDA8-5377-4069-8319-FAB586102E4C}"/>
    <cellStyle name="60% - 강조색3 44" xfId="1525" xr:uid="{75338E22-5611-4C50-8009-BEBE07B5685C}"/>
    <cellStyle name="60% - 강조색3 45" xfId="1526" xr:uid="{416730AB-8C59-494A-80E1-56FFB47B5E41}"/>
    <cellStyle name="60% - 강조색3 46" xfId="1527" xr:uid="{847BBF00-4ECE-4C3F-8105-E7D31DA2EF93}"/>
    <cellStyle name="60% - 강조색3 47" xfId="1528" xr:uid="{199DBDCB-2FA7-4AD5-8E9A-B83C1C44D860}"/>
    <cellStyle name="60% - 강조색3 48" xfId="1529" xr:uid="{BDE55C23-B68A-4A10-9A4C-7A3DD155524C}"/>
    <cellStyle name="60% - 강조색3 49" xfId="1530" xr:uid="{08AD6EDB-5E20-4977-9015-F2EAF9ACCDA8}"/>
    <cellStyle name="60% - 강조색3 5" xfId="1531" xr:uid="{9AA77CCA-091A-4250-9CA8-7D3799325CA9}"/>
    <cellStyle name="60% - 강조색3 5 2" xfId="1532" xr:uid="{71D9085F-E5AA-4E25-9936-3CF9F8D47188}"/>
    <cellStyle name="60% - 강조색3 50" xfId="1533" xr:uid="{2016AC00-489F-4221-B5EA-84DFA04EF841}"/>
    <cellStyle name="60% - 강조색3 51" xfId="3975" xr:uid="{DEDFE359-64D8-4B5F-9EFB-5F0FF5DAE272}"/>
    <cellStyle name="60% - 강조색3 52" xfId="4139" xr:uid="{37A92A6A-7F99-4366-97FA-79DC432C0719}"/>
    <cellStyle name="60% - 강조색3 53" xfId="4242" xr:uid="{D2972990-C7F0-4A74-B609-5F2769BF744B}"/>
    <cellStyle name="60% - 강조색3 54" xfId="4414" xr:uid="{5EDEE823-C1C0-4271-9437-AEC10731C9FC}"/>
    <cellStyle name="60% - 강조색3 55" xfId="1450" xr:uid="{C4EBC4A8-AA0A-4BA1-B338-55BCF49FA874}"/>
    <cellStyle name="60% - 강조색3 6" xfId="1534" xr:uid="{938FE3BD-7DAA-4BD1-AA50-945E01938581}"/>
    <cellStyle name="60% - 강조색3 6 2" xfId="1535" xr:uid="{2E5DDDA5-E902-44B8-9A0A-8108A7ED57B0}"/>
    <cellStyle name="60% - 강조색3 7" xfId="1536" xr:uid="{52317FDA-9544-4A6B-B722-B8A8D6A015CC}"/>
    <cellStyle name="60% - 강조색3 7 2" xfId="1537" xr:uid="{3E469CA5-7A64-499E-A503-CC6BE1787745}"/>
    <cellStyle name="60% - 강조색3 8" xfId="1538" xr:uid="{9B17EE4E-25CD-4D6F-A634-59E892842869}"/>
    <cellStyle name="60% - 강조색3 8 2" xfId="1539" xr:uid="{01BE4805-8969-4C1B-9F50-ADEE656A51F4}"/>
    <cellStyle name="60% - 강조색3 9" xfId="1540" xr:uid="{805EB4B3-14FF-4D92-97A2-CB09F928E30C}"/>
    <cellStyle name="60% - 강조색3 9 2" xfId="1541" xr:uid="{79DB0D97-DB76-438D-A124-AE5BED8945EE}"/>
    <cellStyle name="60% - 강조색4 10" xfId="1543" xr:uid="{92151C54-777E-4AE4-801C-1CE70B37E1C7}"/>
    <cellStyle name="60% - 강조색4 10 2" xfId="1544" xr:uid="{9E2946E3-A4BA-435C-85D8-3053E15FF846}"/>
    <cellStyle name="60% - 강조색4 11" xfId="1545" xr:uid="{7FDCB3A2-B174-44FC-865C-C0AFB4E73338}"/>
    <cellStyle name="60% - 강조색4 11 2" xfId="1546" xr:uid="{047D63AA-A10A-4DB4-862A-A424ED013A97}"/>
    <cellStyle name="60% - 강조색4 12" xfId="1547" xr:uid="{B1D05D5E-874C-4206-9D3A-1A9F251B4859}"/>
    <cellStyle name="60% - 강조색4 12 2" xfId="1548" xr:uid="{485D7E8B-E46C-49F6-91A2-452ACBFB6AC4}"/>
    <cellStyle name="60% - 강조색4 13" xfId="1549" xr:uid="{76401D4E-24B6-4B07-9257-B5338B7F0E70}"/>
    <cellStyle name="60% - 강조색4 13 2" xfId="1550" xr:uid="{B2BBE103-55B4-4371-AD8B-F385ABFFEED8}"/>
    <cellStyle name="60% - 강조색4 14" xfId="1551" xr:uid="{AE0D3541-DD6C-47AE-8944-94E5193D1E9B}"/>
    <cellStyle name="60% - 강조색4 14 2" xfId="1552" xr:uid="{D0081820-378C-4915-813F-40CFFB4EB4A8}"/>
    <cellStyle name="60% - 강조색4 15" xfId="1553" xr:uid="{267EFBD4-1A3A-4BFA-BF5A-AC6E26DEAED3}"/>
    <cellStyle name="60% - 강조색4 15 2" xfId="1554" xr:uid="{0DE2A771-8630-4F9B-9903-AB9E7CCCF535}"/>
    <cellStyle name="60% - 강조색4 16" xfId="1555" xr:uid="{D9E93564-BCB2-49D5-9D35-4E12BD2C44E2}"/>
    <cellStyle name="60% - 강조색4 16 2" xfId="1556" xr:uid="{6068B5B4-F8DB-4A96-B413-53E49C339DED}"/>
    <cellStyle name="60% - 강조색4 17" xfId="1557" xr:uid="{DA18D1E3-E265-4054-976D-F2E7F272E3C9}"/>
    <cellStyle name="60% - 강조색4 17 2" xfId="1558" xr:uid="{EC360D84-3430-480F-94A9-5E11019F676A}"/>
    <cellStyle name="60% - 강조색4 18" xfId="1559" xr:uid="{BC54BA41-615F-4A35-BD04-2A59FFC6FED0}"/>
    <cellStyle name="60% - 강조색4 18 2" xfId="1560" xr:uid="{C168B18D-0F86-4850-B18E-5FB836425715}"/>
    <cellStyle name="60% - 강조색4 19" xfId="1561" xr:uid="{7F1AD7F9-8FAE-4201-812B-0BBAE76E385A}"/>
    <cellStyle name="60% - 강조색4 19 2" xfId="1562" xr:uid="{BFAF0E1A-07BD-4AD3-8103-4D08A80B22AF}"/>
    <cellStyle name="60% - 강조색4 2" xfId="1563" xr:uid="{2707F8E0-4CD5-4875-91E1-EF265E0B1B5A}"/>
    <cellStyle name="60% - 강조색4 2 2" xfId="1564" xr:uid="{3B2B6F0B-891F-4BDE-8FF5-D5313FDBF867}"/>
    <cellStyle name="60% - 강조색4 20" xfId="1565" xr:uid="{C860EF74-A56E-457C-97B5-BB1D03920026}"/>
    <cellStyle name="60% - 강조색4 20 2" xfId="1566" xr:uid="{7C27AF96-0DE7-4DBD-A951-3D2FABBFA8FC}"/>
    <cellStyle name="60% - 강조색4 21" xfId="1567" xr:uid="{C8554480-B892-4DD6-B1A3-55A9AB20817B}"/>
    <cellStyle name="60% - 강조색4 21 2" xfId="1568" xr:uid="{720136A2-E53C-4CB3-A1D1-10B487DDD273}"/>
    <cellStyle name="60% - 강조색4 22" xfId="1569" xr:uid="{CF2AE5B0-FF31-46D4-AA62-586C49D8F62B}"/>
    <cellStyle name="60% - 강조색4 22 2" xfId="1570" xr:uid="{0FA86A6A-AFB3-4A60-9E9B-5AFD3281745D}"/>
    <cellStyle name="60% - 강조색4 23" xfId="1571" xr:uid="{A74B6C87-6327-4E5A-85FA-CEEEF5595C4E}"/>
    <cellStyle name="60% - 강조색4 23 2" xfId="1572" xr:uid="{7EE96A5C-3611-4A2E-AF89-090E34CAC748}"/>
    <cellStyle name="60% - 강조색4 24" xfId="1573" xr:uid="{D0898B82-006E-46DE-B4E2-1AE9DE874A46}"/>
    <cellStyle name="60% - 강조색4 24 2" xfId="1574" xr:uid="{3E9285F7-3675-4E70-9EFE-7C4A6E7F55CF}"/>
    <cellStyle name="60% - 강조색4 25" xfId="1575" xr:uid="{3A36E565-0733-4171-8868-464D8FAA85B2}"/>
    <cellStyle name="60% - 강조색4 25 2" xfId="1576" xr:uid="{79CAB5AD-C48D-45DE-A691-3B905C7473DB}"/>
    <cellStyle name="60% - 강조색4 26" xfId="1577" xr:uid="{E41F2512-E9FD-4D7D-A588-B3E52DA0E2B2}"/>
    <cellStyle name="60% - 강조색4 26 2" xfId="1578" xr:uid="{2885C997-2095-44C5-8AD9-02A3E23CC700}"/>
    <cellStyle name="60% - 강조색4 27" xfId="1579" xr:uid="{B95B4376-87AB-4D28-AA94-1AB04FBD415C}"/>
    <cellStyle name="60% - 강조색4 27 2" xfId="1580" xr:uid="{DD153B81-0221-4D7A-947F-972C21BB438E}"/>
    <cellStyle name="60% - 강조색4 28" xfId="1581" xr:uid="{130B18F6-1B3F-45C6-BDFA-016E64D7C531}"/>
    <cellStyle name="60% - 강조색4 28 2" xfId="1582" xr:uid="{072C4983-5CA7-44ED-8277-BC239B296E33}"/>
    <cellStyle name="60% - 강조색4 29" xfId="1583" xr:uid="{E6440DB1-E740-479A-AE49-A857D9D6AC15}"/>
    <cellStyle name="60% - 강조색4 29 2" xfId="1584" xr:uid="{807A0ECB-D222-4AFA-B997-296B000C8A6E}"/>
    <cellStyle name="60% - 강조색4 3" xfId="1585" xr:uid="{14324384-5A43-4BF7-BEA5-FBDFEBB5BB67}"/>
    <cellStyle name="60% - 강조색4 3 2" xfId="1586" xr:uid="{B1E3E684-26C8-4EB4-8AD1-D0133E965281}"/>
    <cellStyle name="60% - 강조색4 30" xfId="1587" xr:uid="{833F088F-FDC0-47BA-A768-02DD212F2F8D}"/>
    <cellStyle name="60% - 강조색4 30 2" xfId="1588" xr:uid="{E7D06194-B9AC-4CFE-B0CB-1969E6AE71A3}"/>
    <cellStyle name="60% - 강조색4 31" xfId="1589" xr:uid="{0EDB0899-4241-4BB6-9176-7B593391453C}"/>
    <cellStyle name="60% - 강조색4 31 2" xfId="1590" xr:uid="{0600EEA1-1240-41F7-A217-2C646C43332C}"/>
    <cellStyle name="60% - 강조색4 32" xfId="1591" xr:uid="{AE4AF164-11EC-4EBF-B444-AD9E576FB9CD}"/>
    <cellStyle name="60% - 강조색4 32 2" xfId="1592" xr:uid="{C58031A9-E60B-4999-AF54-33A0D67EECDC}"/>
    <cellStyle name="60% - 강조색4 33" xfId="1593" xr:uid="{1F92B32F-C84A-44D0-9133-99842B7DB474}"/>
    <cellStyle name="60% - 강조색4 33 2" xfId="1594" xr:uid="{63EBF093-CB92-463D-9B7C-1A860521143B}"/>
    <cellStyle name="60% - 강조색4 34" xfId="1595" xr:uid="{7D538AE2-26A6-4985-AF3E-9F1BAC0FE487}"/>
    <cellStyle name="60% - 강조색4 34 2" xfId="1596" xr:uid="{22B0AD36-1800-4D71-9968-3BB96876A29D}"/>
    <cellStyle name="60% - 강조색4 35" xfId="1597" xr:uid="{DE3630B4-871C-4834-90E4-7B58770BA66F}"/>
    <cellStyle name="60% - 강조색4 35 2" xfId="1598" xr:uid="{0C255B3F-EABF-4A5F-8A78-DB4E86EAA6FF}"/>
    <cellStyle name="60% - 강조색4 36" xfId="1599" xr:uid="{E630CAB5-EA64-42B9-AA05-B8263568B393}"/>
    <cellStyle name="60% - 강조색4 36 2" xfId="1600" xr:uid="{9F728C2D-EB24-426D-8ED0-949B1B0CADB3}"/>
    <cellStyle name="60% - 강조색4 37" xfId="1601" xr:uid="{8CB092E0-3DE5-4B16-B99E-94783B3EE085}"/>
    <cellStyle name="60% - 강조색4 37 2" xfId="1602" xr:uid="{A1948486-C88A-44ED-96C2-AFA5C3B9205E}"/>
    <cellStyle name="60% - 강조색4 38" xfId="1603" xr:uid="{50ED939E-D1DC-4925-8128-E6558CEA76C9}"/>
    <cellStyle name="60% - 강조색4 38 2" xfId="1604" xr:uid="{7E27DB7A-3858-494B-80FC-DCF1AA3209C5}"/>
    <cellStyle name="60% - 강조색4 39" xfId="1605" xr:uid="{DF35E7BF-9729-4044-B378-8709036EB87F}"/>
    <cellStyle name="60% - 강조색4 39 2" xfId="1606" xr:uid="{7C3F8F71-1E08-4DAE-AEDF-A81A512FB91B}"/>
    <cellStyle name="60% - 강조색4 4" xfId="1607" xr:uid="{3FDEFEB3-F07B-474E-8F42-76BB891CB72E}"/>
    <cellStyle name="60% - 강조색4 4 2" xfId="1608" xr:uid="{C66E4B1D-44BF-431D-8BDC-95AA5D461BC7}"/>
    <cellStyle name="60% - 강조색4 40" xfId="1609" xr:uid="{8589F946-141F-4523-ACB8-8C1959511CB8}"/>
    <cellStyle name="60% - 강조색4 40 2" xfId="1610" xr:uid="{6BB342E7-9F36-42F5-AE10-688F0BE8E5D6}"/>
    <cellStyle name="60% - 강조색4 41" xfId="1611" xr:uid="{6AE3D199-C89E-4B50-BCAC-091D37B84B9B}"/>
    <cellStyle name="60% - 강조색4 41 2" xfId="1612" xr:uid="{EFF5C37F-69AD-440A-B47E-81E420B51B80}"/>
    <cellStyle name="60% - 강조색4 42" xfId="1613" xr:uid="{CFAA863A-1EF1-4385-AFF4-BBFB4D4D0D9B}"/>
    <cellStyle name="60% - 강조색4 42 2" xfId="1614" xr:uid="{604DDB05-5102-4BB7-A9A5-D8BAFF9E8C7C}"/>
    <cellStyle name="60% - 강조색4 43" xfId="1615" xr:uid="{39639AED-BCC6-4EFD-95E9-A061A0A877A0}"/>
    <cellStyle name="60% - 강조색4 43 2" xfId="1616" xr:uid="{48125568-B31E-4CBB-AF31-551A9A5071D7}"/>
    <cellStyle name="60% - 강조색4 44" xfId="1617" xr:uid="{E122879B-B860-497B-8117-7BF8CA3CED75}"/>
    <cellStyle name="60% - 강조색4 45" xfId="1618" xr:uid="{996F8E7E-9897-4BBE-94EB-9577E12961E5}"/>
    <cellStyle name="60% - 강조색4 46" xfId="1619" xr:uid="{E0F0336D-27C1-4596-A1A4-74D3418AA0AF}"/>
    <cellStyle name="60% - 강조색4 47" xfId="1620" xr:uid="{10BEA298-BBC4-4932-AEC6-6EB0CFBC1E56}"/>
    <cellStyle name="60% - 강조색4 48" xfId="1621" xr:uid="{3B876DD1-D9B8-459E-B470-0ED7FD9BA9BC}"/>
    <cellStyle name="60% - 강조색4 49" xfId="1622" xr:uid="{2D559473-D1B9-4C15-A052-3BE627969627}"/>
    <cellStyle name="60% - 강조색4 5" xfId="1623" xr:uid="{231B2703-F2C4-40EE-B835-4B7E77B56827}"/>
    <cellStyle name="60% - 강조색4 5 2" xfId="1624" xr:uid="{664C08E0-1359-450E-ABCB-B8A6F0BBF382}"/>
    <cellStyle name="60% - 강조색4 50" xfId="1625" xr:uid="{D43143D6-94E4-4940-A9A1-F5C4E09D96FF}"/>
    <cellStyle name="60% - 강조색4 51" xfId="3979" xr:uid="{60731A30-AAC5-4932-8938-38B002D0A157}"/>
    <cellStyle name="60% - 강조색4 52" xfId="4143" xr:uid="{904F1FDF-434E-40AE-83EF-04D8B8F71AD6}"/>
    <cellStyle name="60% - 강조색4 53" xfId="4243" xr:uid="{C6772807-59FA-4813-8945-67F6DB9DBCF3}"/>
    <cellStyle name="60% - 강조색4 54" xfId="4415" xr:uid="{609FB182-8F8C-4B3E-9E53-89E10738FC7D}"/>
    <cellStyle name="60% - 강조색4 55" xfId="1542" xr:uid="{FAA3892E-C300-40AE-84AC-9912896C7A5E}"/>
    <cellStyle name="60% - 강조색4 6" xfId="1626" xr:uid="{D4A35D03-E0CC-4DBA-9460-6EBA4141BFFF}"/>
    <cellStyle name="60% - 강조색4 6 2" xfId="1627" xr:uid="{7AD16B6A-C549-4B7F-A5E9-86F23B693C34}"/>
    <cellStyle name="60% - 강조색4 7" xfId="1628" xr:uid="{4A5DC938-EF9F-4395-9C9A-F93B5FCE2F15}"/>
    <cellStyle name="60% - 강조색4 7 2" xfId="1629" xr:uid="{839B6CB1-3BFE-4E52-B6F4-C89CF3DC332A}"/>
    <cellStyle name="60% - 강조색4 8" xfId="1630" xr:uid="{5A2BAC59-C588-4BA7-9C68-D4E88E07E797}"/>
    <cellStyle name="60% - 강조색4 8 2" xfId="1631" xr:uid="{29F53874-7268-4B5E-BF73-1D978B843789}"/>
    <cellStyle name="60% - 강조색4 9" xfId="1632" xr:uid="{F8C9EDA7-1045-4062-B49A-070ED597B972}"/>
    <cellStyle name="60% - 강조색4 9 2" xfId="1633" xr:uid="{6B8D6672-0124-4DB7-9BAF-41BF6321F78E}"/>
    <cellStyle name="60% - 강조색5 10" xfId="1635" xr:uid="{79440E06-7C23-47B2-ABBD-3DEEC7343254}"/>
    <cellStyle name="60% - 강조색5 10 2" xfId="1636" xr:uid="{062C71D1-171C-4084-93ED-7C0519AB1BAA}"/>
    <cellStyle name="60% - 강조색5 11" xfId="1637" xr:uid="{66D3D8CF-CAD2-4501-A1AB-7ACAF73A6C4E}"/>
    <cellStyle name="60% - 강조색5 11 2" xfId="1638" xr:uid="{6386CEFE-2029-423C-AA06-F1B83C3E0D5C}"/>
    <cellStyle name="60% - 강조색5 12" xfId="1639" xr:uid="{72378EDC-EFF4-43D1-A06A-4C12367CB88E}"/>
    <cellStyle name="60% - 강조색5 12 2" xfId="1640" xr:uid="{CA1B5D7C-B325-415D-966A-243211713BCC}"/>
    <cellStyle name="60% - 강조색5 13" xfId="1641" xr:uid="{BC39875C-F189-41B4-96E7-C736D97C1F9F}"/>
    <cellStyle name="60% - 강조색5 13 2" xfId="1642" xr:uid="{3A768D50-8FCA-4FF8-876C-4AC6506F6371}"/>
    <cellStyle name="60% - 강조색5 14" xfId="1643" xr:uid="{C4F43262-28E3-4B5D-AD01-2AC21DB1E118}"/>
    <cellStyle name="60% - 강조색5 14 2" xfId="1644" xr:uid="{576D83FD-0302-4ED5-AB90-4812A2D78847}"/>
    <cellStyle name="60% - 강조색5 15" xfId="1645" xr:uid="{FEDC1132-BC2B-48F7-AA11-03CFACA176EF}"/>
    <cellStyle name="60% - 강조색5 15 2" xfId="1646" xr:uid="{56334347-214D-4157-9531-A7FFFC716C8E}"/>
    <cellStyle name="60% - 강조색5 16" xfId="1647" xr:uid="{5A992833-0B4D-42B4-BE9E-6DE0EACBBF35}"/>
    <cellStyle name="60% - 강조색5 16 2" xfId="1648" xr:uid="{8FA8E177-87DB-48C8-9C7D-DCCAFB0D0826}"/>
    <cellStyle name="60% - 강조색5 17" xfId="1649" xr:uid="{3AB167E8-C116-4670-832E-95FC2D9C0A48}"/>
    <cellStyle name="60% - 강조색5 17 2" xfId="1650" xr:uid="{05ABAF90-AEEE-4C2A-92BE-A93F9C94C19D}"/>
    <cellStyle name="60% - 강조색5 18" xfId="1651" xr:uid="{6B21B0A1-19CE-4D6D-98E1-4E38B8D5BF00}"/>
    <cellStyle name="60% - 강조색5 18 2" xfId="1652" xr:uid="{DF4A26C7-5404-4BDA-8466-E0B41036FCF9}"/>
    <cellStyle name="60% - 강조색5 19" xfId="1653" xr:uid="{4CEAA286-D30E-4172-847E-D8571D4071CE}"/>
    <cellStyle name="60% - 강조색5 19 2" xfId="1654" xr:uid="{86FCE0F4-17E1-461E-A5A4-7147B717AB9C}"/>
    <cellStyle name="60% - 강조색5 2" xfId="1655" xr:uid="{4170B6B0-95D1-4C48-8538-031E8436DFED}"/>
    <cellStyle name="60% - 강조색5 2 2" xfId="1656" xr:uid="{F2239FE8-7349-4F9B-B658-BF090FCF2CDB}"/>
    <cellStyle name="60% - 강조색5 20" xfId="1657" xr:uid="{CA94902B-AFCD-474D-BF0F-3283EF4110C3}"/>
    <cellStyle name="60% - 강조색5 20 2" xfId="1658" xr:uid="{66633133-2C79-4955-85EE-39D3D754E19A}"/>
    <cellStyle name="60% - 강조색5 21" xfId="1659" xr:uid="{DB7048B5-DA16-44D6-963F-04599CE61A56}"/>
    <cellStyle name="60% - 강조색5 21 2" xfId="1660" xr:uid="{85A99BA3-90A2-400A-84D5-EA5A59F26315}"/>
    <cellStyle name="60% - 강조색5 22" xfId="1661" xr:uid="{4849864A-36DA-4CD9-8A51-09AB1B880EF2}"/>
    <cellStyle name="60% - 강조색5 22 2" xfId="1662" xr:uid="{EB015E94-52F8-4355-A1A6-1A3BAB95970E}"/>
    <cellStyle name="60% - 강조색5 23" xfId="1663" xr:uid="{61EF8F42-8C84-44BE-A69E-818C652D0C8F}"/>
    <cellStyle name="60% - 강조색5 23 2" xfId="1664" xr:uid="{A7B60752-BFFF-422F-945D-090E5D7EF2B4}"/>
    <cellStyle name="60% - 강조색5 24" xfId="1665" xr:uid="{D58BADBF-9F2D-4C7A-9649-73F5C8A88611}"/>
    <cellStyle name="60% - 강조색5 24 2" xfId="1666" xr:uid="{23A7F768-AD56-40F7-8AD9-B9776699AF5A}"/>
    <cellStyle name="60% - 강조색5 25" xfId="1667" xr:uid="{B9D698EF-A1D5-4C89-8D07-EAB5CCE52E47}"/>
    <cellStyle name="60% - 강조색5 25 2" xfId="1668" xr:uid="{1B66DA6D-1498-4E9A-A7C9-8EC3B8748521}"/>
    <cellStyle name="60% - 강조색5 26" xfId="1669" xr:uid="{0ABEB9A2-4085-466A-95BD-D68FFF0549D3}"/>
    <cellStyle name="60% - 강조색5 26 2" xfId="1670" xr:uid="{B98C7F9D-4876-4FEC-8DE7-E12A838EDB6F}"/>
    <cellStyle name="60% - 강조색5 27" xfId="1671" xr:uid="{37864D9F-D837-4156-B5C9-AD3B1BC8B6CF}"/>
    <cellStyle name="60% - 강조색5 27 2" xfId="1672" xr:uid="{87F5539F-DCE7-417A-8E02-5E1728DC79D5}"/>
    <cellStyle name="60% - 강조색5 28" xfId="1673" xr:uid="{C07C4108-9D72-4DE8-9C56-FB07B47D26FB}"/>
    <cellStyle name="60% - 강조색5 28 2" xfId="1674" xr:uid="{A9D39947-2EEE-4C19-9323-72590D45BAA6}"/>
    <cellStyle name="60% - 강조색5 29" xfId="1675" xr:uid="{868F17D7-A27D-4709-9913-2E8AFC9DFA11}"/>
    <cellStyle name="60% - 강조색5 29 2" xfId="1676" xr:uid="{E74FA490-AF61-460D-9952-BA9A381118D5}"/>
    <cellStyle name="60% - 강조색5 3" xfId="1677" xr:uid="{D40F036E-EFA5-487E-83C9-EE1BC539AFE5}"/>
    <cellStyle name="60% - 강조색5 3 2" xfId="1678" xr:uid="{AAB8F501-CD59-4B45-BC3C-FFD8E24EDD45}"/>
    <cellStyle name="60% - 강조색5 30" xfId="1679" xr:uid="{0B010028-26C4-4F24-8E66-F4D8EAE264F1}"/>
    <cellStyle name="60% - 강조색5 30 2" xfId="1680" xr:uid="{57F2225E-820A-4EDC-91DB-2171EF867448}"/>
    <cellStyle name="60% - 강조색5 31" xfId="1681" xr:uid="{BFF8BB46-E59F-4155-825F-B74CDABA2F42}"/>
    <cellStyle name="60% - 강조색5 31 2" xfId="1682" xr:uid="{52FC537B-A7E4-46E7-B3F4-78FDC13FC47C}"/>
    <cellStyle name="60% - 강조색5 32" xfId="1683" xr:uid="{76C3A412-3197-4914-9794-FB7D6EB4C731}"/>
    <cellStyle name="60% - 강조색5 32 2" xfId="1684" xr:uid="{AB46985C-944E-467B-9E97-95B45C1AAE4C}"/>
    <cellStyle name="60% - 강조색5 33" xfId="1685" xr:uid="{1081F07E-6882-494C-9BEE-FC56CE876AA9}"/>
    <cellStyle name="60% - 강조색5 33 2" xfId="1686" xr:uid="{3809946C-CCEC-48AB-8472-2515B9996F7E}"/>
    <cellStyle name="60% - 강조색5 34" xfId="1687" xr:uid="{A9764F0A-5859-4C3C-9C5C-6270B7C821FA}"/>
    <cellStyle name="60% - 강조색5 34 2" xfId="1688" xr:uid="{48B4B072-9FE3-4120-B2AD-CD6BF7FCB74D}"/>
    <cellStyle name="60% - 강조색5 35" xfId="1689" xr:uid="{F4E78DB3-9D86-47DF-BACD-D45D34E3BAEE}"/>
    <cellStyle name="60% - 강조색5 35 2" xfId="1690" xr:uid="{E0FC8F65-CC55-4D02-9C4C-E9D2F5A7A937}"/>
    <cellStyle name="60% - 강조색5 36" xfId="1691" xr:uid="{DEC926EB-5A73-4C18-BCFB-57BA624C6B8D}"/>
    <cellStyle name="60% - 강조색5 36 2" xfId="1692" xr:uid="{72B9C01F-2DD2-4150-91FF-F77D6244902D}"/>
    <cellStyle name="60% - 강조색5 37" xfId="1693" xr:uid="{53E7218F-32EA-474C-9AF0-65DF9187CBEE}"/>
    <cellStyle name="60% - 강조색5 37 2" xfId="1694" xr:uid="{8D9BC809-4A1B-4456-804A-ED61D9D4A2EF}"/>
    <cellStyle name="60% - 강조색5 38" xfId="1695" xr:uid="{630FBF63-5083-4786-8351-4A2FB1309F3E}"/>
    <cellStyle name="60% - 강조색5 38 2" xfId="1696" xr:uid="{AA67662B-DE8F-429E-8600-DF39A6934156}"/>
    <cellStyle name="60% - 강조색5 39" xfId="1697" xr:uid="{9545D7E5-C96B-4219-AEDD-B1C424416DC7}"/>
    <cellStyle name="60% - 강조색5 39 2" xfId="1698" xr:uid="{C98E3CB8-8DFD-4F90-A168-D51804E8DFE9}"/>
    <cellStyle name="60% - 강조색5 4" xfId="1699" xr:uid="{5C37A78F-1D69-40FB-9E3D-97BCF8D8455E}"/>
    <cellStyle name="60% - 강조색5 4 2" xfId="1700" xr:uid="{703790A2-AFFC-4274-850E-E655A60F616E}"/>
    <cellStyle name="60% - 강조색5 40" xfId="1701" xr:uid="{8DDD2D93-ED61-4E9B-8D97-D22B6D5349D1}"/>
    <cellStyle name="60% - 강조색5 40 2" xfId="1702" xr:uid="{C68D4738-94CE-4FF3-A467-086491D469B9}"/>
    <cellStyle name="60% - 강조색5 41" xfId="1703" xr:uid="{4FF1B53B-2DB5-43FE-8339-4F7BB125418B}"/>
    <cellStyle name="60% - 강조색5 41 2" xfId="1704" xr:uid="{C0DCED70-3BF0-4D18-9AE6-3A0D226E8DA5}"/>
    <cellStyle name="60% - 강조색5 42" xfId="1705" xr:uid="{49D91750-AFCA-4559-8622-F0496E595E99}"/>
    <cellStyle name="60% - 강조색5 42 2" xfId="1706" xr:uid="{2AE46057-F466-4AE9-99C3-EAF30B7E127B}"/>
    <cellStyle name="60% - 강조색5 43" xfId="1707" xr:uid="{C84A78D2-9FD6-47B2-9CDE-D1577CB8BDCD}"/>
    <cellStyle name="60% - 강조색5 43 2" xfId="1708" xr:uid="{09078C43-A50F-49F6-AB34-15FA0BC99CA7}"/>
    <cellStyle name="60% - 강조색5 44" xfId="1709" xr:uid="{E5ED19E7-ABE8-4784-BC0D-0A3986847C7D}"/>
    <cellStyle name="60% - 강조색5 45" xfId="1710" xr:uid="{643BFC20-5313-44EB-A7CA-DA550D6CFC32}"/>
    <cellStyle name="60% - 강조색5 46" xfId="1711" xr:uid="{CB886F73-B221-42EA-A359-2D082B8AA20B}"/>
    <cellStyle name="60% - 강조색5 47" xfId="1712" xr:uid="{34240CA2-DC85-4907-ACF4-FB52ED87C00E}"/>
    <cellStyle name="60% - 강조색5 48" xfId="1713" xr:uid="{0C369593-8D14-4EA8-ABCE-CF3A18D1F897}"/>
    <cellStyle name="60% - 강조색5 49" xfId="1714" xr:uid="{4C65B0F8-154F-4492-BF3C-8B387B65C954}"/>
    <cellStyle name="60% - 강조색5 5" xfId="1715" xr:uid="{AF1FBE71-0E71-4D74-91B7-4EE4CD59D687}"/>
    <cellStyle name="60% - 강조색5 5 2" xfId="1716" xr:uid="{BF53C07E-C0EB-4EBF-97F7-134BCDC4342E}"/>
    <cellStyle name="60% - 강조색5 50" xfId="1717" xr:uid="{D565731A-B452-45AF-A53D-219362965049}"/>
    <cellStyle name="60% - 강조색5 51" xfId="3983" xr:uid="{12A0E237-58A9-4571-B625-A6836EE0A601}"/>
    <cellStyle name="60% - 강조색5 52" xfId="4147" xr:uid="{2B1C8A91-BBC5-4586-85A3-D351ED88A449}"/>
    <cellStyle name="60% - 강조색5 53" xfId="4244" xr:uid="{1BD20CE3-BB59-4118-AB82-D2B34A62853C}"/>
    <cellStyle name="60% - 강조색5 54" xfId="4416" xr:uid="{71C99175-28E6-4874-AB52-2747610A27C6}"/>
    <cellStyle name="60% - 강조색5 55" xfId="1634" xr:uid="{BA1A64AA-BC48-426B-8924-AA1A212E9CFB}"/>
    <cellStyle name="60% - 강조색5 6" xfId="1718" xr:uid="{99478268-C095-4F0E-B3C7-85E8235A31DF}"/>
    <cellStyle name="60% - 강조색5 6 2" xfId="1719" xr:uid="{69E5B43C-8F7A-434C-AB29-C6D2F2F9D844}"/>
    <cellStyle name="60% - 강조색5 7" xfId="1720" xr:uid="{E8133F75-35D6-4EBF-91E1-6D31D2B53DA3}"/>
    <cellStyle name="60% - 강조색5 7 2" xfId="1721" xr:uid="{F8E9C5E5-DEB3-4177-836D-5AE89BF1B0BA}"/>
    <cellStyle name="60% - 강조색5 8" xfId="1722" xr:uid="{BB0CACE9-2D2B-44C8-90F0-8A9954CA303C}"/>
    <cellStyle name="60% - 강조색5 8 2" xfId="1723" xr:uid="{F6DB44B5-69A8-49AF-A3C0-06B44385BEB3}"/>
    <cellStyle name="60% - 강조색5 9" xfId="1724" xr:uid="{4CADEF44-16CE-4720-BD61-832889F2152A}"/>
    <cellStyle name="60% - 강조색5 9 2" xfId="1725" xr:uid="{51AB8B84-8505-435F-AD69-33D1B17C692F}"/>
    <cellStyle name="60% - 강조색6 10" xfId="1727" xr:uid="{9486C6AB-36C7-479F-ADD3-94717D53ED8C}"/>
    <cellStyle name="60% - 강조색6 10 2" xfId="1728" xr:uid="{63C1B5A2-85B9-4A9F-8984-032AB8BD58DE}"/>
    <cellStyle name="60% - 강조색6 11" xfId="1729" xr:uid="{7A823CF4-55E2-4C5B-8D1F-5D5C30AC7215}"/>
    <cellStyle name="60% - 강조색6 11 2" xfId="1730" xr:uid="{BE0A199A-E190-4006-9432-08CB7F530AEF}"/>
    <cellStyle name="60% - 강조색6 12" xfId="1731" xr:uid="{25A08739-A963-48DE-B20C-AC8A21374515}"/>
    <cellStyle name="60% - 강조색6 12 2" xfId="1732" xr:uid="{8867D56E-0551-4403-B02B-0E4D11D32E9F}"/>
    <cellStyle name="60% - 강조색6 13" xfId="1733" xr:uid="{8A538C2A-0E0D-44B1-AFF7-72BA4CEBEA0B}"/>
    <cellStyle name="60% - 강조색6 13 2" xfId="1734" xr:uid="{0E4D1368-33D2-4316-BF2F-FA55EC269B84}"/>
    <cellStyle name="60% - 강조색6 14" xfId="1735" xr:uid="{05A92015-DB42-4EFD-AFE7-CC2FC54BE41B}"/>
    <cellStyle name="60% - 강조색6 14 2" xfId="1736" xr:uid="{190246A7-A9C8-4640-A374-5CBFC8ADEDDD}"/>
    <cellStyle name="60% - 강조색6 15" xfId="1737" xr:uid="{3E200DAE-0477-49B8-BD36-BD27E9C3B162}"/>
    <cellStyle name="60% - 강조색6 15 2" xfId="1738" xr:uid="{39B36680-8330-4398-BF3D-301789EFF46C}"/>
    <cellStyle name="60% - 강조색6 16" xfId="1739" xr:uid="{8E386BA5-14EC-4735-A2CC-6C9BE96702A6}"/>
    <cellStyle name="60% - 강조색6 16 2" xfId="1740" xr:uid="{6459F2B0-3DDA-487A-978D-0EE9619573A6}"/>
    <cellStyle name="60% - 강조색6 17" xfId="1741" xr:uid="{8C949EA3-A700-4E3C-9E07-651AD1F5181A}"/>
    <cellStyle name="60% - 강조색6 17 2" xfId="1742" xr:uid="{CB7E28D0-86B3-4F92-AF75-A3D8AF3728C9}"/>
    <cellStyle name="60% - 강조색6 18" xfId="1743" xr:uid="{097CD5D4-FC59-4CB0-9BCF-8F996407F8F6}"/>
    <cellStyle name="60% - 강조색6 18 2" xfId="1744" xr:uid="{494844B1-EFD0-45DA-85A3-C9D82D91FDCF}"/>
    <cellStyle name="60% - 강조색6 19" xfId="1745" xr:uid="{672FB964-BC97-4735-A66C-F98CCDDEB72F}"/>
    <cellStyle name="60% - 강조색6 19 2" xfId="1746" xr:uid="{DE4B9B9E-3DC6-41C0-A9AA-293F28A98DD2}"/>
    <cellStyle name="60% - 강조색6 2" xfId="1747" xr:uid="{CAAB0FD8-DC48-4161-9EDF-6EA1C6F31EE3}"/>
    <cellStyle name="60% - 강조색6 2 2" xfId="1748" xr:uid="{4FE50365-E0F9-47F8-B7DD-35BB91F0BA09}"/>
    <cellStyle name="60% - 강조색6 20" xfId="1749" xr:uid="{7F853018-7DF9-4BBC-9A4A-6CA751D60A6D}"/>
    <cellStyle name="60% - 강조색6 20 2" xfId="1750" xr:uid="{AEF47E59-9037-43CB-BDA5-D3A7DD35CF2C}"/>
    <cellStyle name="60% - 강조색6 21" xfId="1751" xr:uid="{FC42EAA3-BDF8-4854-AA23-0C05A201ACF0}"/>
    <cellStyle name="60% - 강조색6 21 2" xfId="1752" xr:uid="{95A2FB52-8346-4D04-A894-BE85C342C4CF}"/>
    <cellStyle name="60% - 강조색6 22" xfId="1753" xr:uid="{7A8428D3-2C06-4672-9684-BABDC0244812}"/>
    <cellStyle name="60% - 강조색6 22 2" xfId="1754" xr:uid="{2A4C52F1-85E9-411E-BF37-F2E764BF9C9D}"/>
    <cellStyle name="60% - 강조색6 23" xfId="1755" xr:uid="{A899AFEA-494D-4A31-9856-640D00874523}"/>
    <cellStyle name="60% - 강조색6 23 2" xfId="1756" xr:uid="{640F64C8-8001-4E30-B1B7-195E6718F81C}"/>
    <cellStyle name="60% - 강조색6 24" xfId="1757" xr:uid="{950E062B-7933-4F18-A0D2-A017BFD04ABB}"/>
    <cellStyle name="60% - 강조색6 24 2" xfId="1758" xr:uid="{6341A5F7-694F-4C6E-AF52-9FBE52753DD7}"/>
    <cellStyle name="60% - 강조색6 25" xfId="1759" xr:uid="{803B4CE3-B408-4C20-8B1F-7196C8E5D286}"/>
    <cellStyle name="60% - 강조색6 25 2" xfId="1760" xr:uid="{D8A1B57F-2521-481F-AB55-7B086B0ECCCA}"/>
    <cellStyle name="60% - 강조색6 26" xfId="1761" xr:uid="{1887340D-5501-4918-8D14-7EA232F7CD9C}"/>
    <cellStyle name="60% - 강조색6 26 2" xfId="1762" xr:uid="{045474B4-67D9-4748-A59D-A9EB5BCBDD02}"/>
    <cellStyle name="60% - 강조색6 27" xfId="1763" xr:uid="{9EE39249-0981-4BCE-B931-D168C4674884}"/>
    <cellStyle name="60% - 강조색6 27 2" xfId="1764" xr:uid="{6420CC46-F752-4251-892F-89911D70B769}"/>
    <cellStyle name="60% - 강조색6 28" xfId="1765" xr:uid="{BDB7D9F2-8594-4BF1-824C-B02ED95D4DDF}"/>
    <cellStyle name="60% - 강조색6 28 2" xfId="1766" xr:uid="{9CF2D5B2-F715-4966-B7F2-9EBC0ECD62F1}"/>
    <cellStyle name="60% - 강조색6 29" xfId="1767" xr:uid="{9388DA05-C80B-4EF8-A741-4A1953848A71}"/>
    <cellStyle name="60% - 강조색6 29 2" xfId="1768" xr:uid="{D38C84DB-A714-460D-A070-2AEBD07F1FE4}"/>
    <cellStyle name="60% - 강조색6 3" xfId="1769" xr:uid="{97CF9778-BAEF-42D6-B035-0058BF9504A2}"/>
    <cellStyle name="60% - 강조색6 3 2" xfId="1770" xr:uid="{BCE57250-E179-46B1-A135-5075F2E56CE0}"/>
    <cellStyle name="60% - 강조색6 30" xfId="1771" xr:uid="{4AC3835D-6361-4C1B-B275-5E3875E8131D}"/>
    <cellStyle name="60% - 강조색6 30 2" xfId="1772" xr:uid="{04D4526B-63B4-4DBF-A64A-89978411C6D2}"/>
    <cellStyle name="60% - 강조색6 31" xfId="1773" xr:uid="{3C3B32A2-B02D-4C7C-B443-DEFE9B80A574}"/>
    <cellStyle name="60% - 강조색6 31 2" xfId="1774" xr:uid="{B4892950-E9FD-4B52-B31F-C30EC608FEB5}"/>
    <cellStyle name="60% - 강조색6 32" xfId="1775" xr:uid="{4F09059D-335E-466A-BD02-DEAC92E794A1}"/>
    <cellStyle name="60% - 강조색6 32 2" xfId="1776" xr:uid="{1620472C-C78F-407C-B2E5-A313CD9FE419}"/>
    <cellStyle name="60% - 강조색6 33" xfId="1777" xr:uid="{DA738C9F-07F0-451C-9FEC-79B19C16937E}"/>
    <cellStyle name="60% - 강조색6 33 2" xfId="1778" xr:uid="{F42CB86B-0768-454A-B3E4-0DBF47AE7118}"/>
    <cellStyle name="60% - 강조색6 34" xfId="1779" xr:uid="{BA327673-0D8E-4603-9CBF-F7D054E70A6F}"/>
    <cellStyle name="60% - 강조색6 34 2" xfId="1780" xr:uid="{2CA898CC-81FF-46B7-A582-753C6B5E179D}"/>
    <cellStyle name="60% - 강조색6 35" xfId="1781" xr:uid="{31C97B97-91F3-483A-9AB0-CCFAD07C7F7E}"/>
    <cellStyle name="60% - 강조색6 35 2" xfId="1782" xr:uid="{A1061BF4-6BEF-4957-BEB5-98EC963C2AA1}"/>
    <cellStyle name="60% - 강조색6 36" xfId="1783" xr:uid="{26B4E496-AF0C-4716-9134-FC43937A36AB}"/>
    <cellStyle name="60% - 강조색6 36 2" xfId="1784" xr:uid="{5704376E-CCA0-4286-BE83-E47EF3C4722F}"/>
    <cellStyle name="60% - 강조색6 37" xfId="1785" xr:uid="{1CECB111-7CA6-4428-A4E4-CFA4B4DAB75E}"/>
    <cellStyle name="60% - 강조색6 37 2" xfId="1786" xr:uid="{7490B193-69D6-47F3-ACA5-F550B5601E38}"/>
    <cellStyle name="60% - 강조색6 38" xfId="1787" xr:uid="{60B3BCBC-2E8E-47A0-AD7F-8F3B50B26BE4}"/>
    <cellStyle name="60% - 강조색6 38 2" xfId="1788" xr:uid="{E5615674-218D-4878-8E30-484361EFC9BD}"/>
    <cellStyle name="60% - 강조색6 39" xfId="1789" xr:uid="{F84A94E8-8346-4B95-AF9C-CE9AE96F2844}"/>
    <cellStyle name="60% - 강조색6 39 2" xfId="1790" xr:uid="{E65A4D93-8D24-4A9C-8E8F-A6C743104B7D}"/>
    <cellStyle name="60% - 강조색6 4" xfId="1791" xr:uid="{117216E4-1C28-4341-91AB-206AC89B1B99}"/>
    <cellStyle name="60% - 강조색6 4 2" xfId="1792" xr:uid="{23CA0529-8A97-4806-8737-5F8541A02218}"/>
    <cellStyle name="60% - 강조색6 40" xfId="1793" xr:uid="{E8576A6F-31F4-40DF-99C6-6085CFEB5F55}"/>
    <cellStyle name="60% - 강조색6 40 2" xfId="1794" xr:uid="{C003C650-5E3B-41BD-BD31-E98370268322}"/>
    <cellStyle name="60% - 강조색6 41" xfId="1795" xr:uid="{8A0AA7B6-CF6B-48C3-BAF9-1246E1AFAD3F}"/>
    <cellStyle name="60% - 강조색6 41 2" xfId="1796" xr:uid="{3EF652A8-79E4-4425-9419-DC9A7272600E}"/>
    <cellStyle name="60% - 강조색6 42" xfId="1797" xr:uid="{51607D14-18DA-4530-A615-EC183E4E1458}"/>
    <cellStyle name="60% - 강조색6 42 2" xfId="1798" xr:uid="{E6366592-3C6A-4976-BF86-812E24F03ED1}"/>
    <cellStyle name="60% - 강조색6 43" xfId="1799" xr:uid="{A456F50D-598C-4751-AF6B-171BEA4F854B}"/>
    <cellStyle name="60% - 강조색6 43 2" xfId="1800" xr:uid="{7289B698-E50B-42D9-8B1B-9684BA4B9384}"/>
    <cellStyle name="60% - 강조색6 44" xfId="1801" xr:uid="{74238FEB-2617-4B12-9F90-AB3F4CE88AEA}"/>
    <cellStyle name="60% - 강조색6 45" xfId="1802" xr:uid="{11B4EC94-CA4F-4E6F-8A58-822085A465AE}"/>
    <cellStyle name="60% - 강조색6 46" xfId="1803" xr:uid="{E033AA96-29D2-49EC-8716-B64122D60B90}"/>
    <cellStyle name="60% - 강조색6 47" xfId="1804" xr:uid="{7B3CADAC-B05A-4908-981F-CC4C5378C102}"/>
    <cellStyle name="60% - 강조색6 48" xfId="1805" xr:uid="{55234606-37CF-4573-B7C9-369EAC4F8D41}"/>
    <cellStyle name="60% - 강조색6 49" xfId="1806" xr:uid="{4AA81B2B-9363-4C26-A851-091DEAB36BD3}"/>
    <cellStyle name="60% - 강조색6 5" xfId="1807" xr:uid="{C40B7969-9A32-4FDB-9257-2305C05E2625}"/>
    <cellStyle name="60% - 강조색6 5 2" xfId="1808" xr:uid="{09DBB134-9F73-4668-B9D0-463657F02DDD}"/>
    <cellStyle name="60% - 강조색6 50" xfId="1809" xr:uid="{1F64C48C-3394-41EF-BE94-8D919A897F35}"/>
    <cellStyle name="60% - 강조색6 51" xfId="3987" xr:uid="{49DF1201-F2BD-4EAD-A844-2EB561026B35}"/>
    <cellStyle name="60% - 강조색6 52" xfId="4151" xr:uid="{515BDF9E-3D71-4E1F-81B7-4F5077A965CF}"/>
    <cellStyle name="60% - 강조색6 53" xfId="4245" xr:uid="{DC657739-867B-420D-B2E2-1CA29B671445}"/>
    <cellStyle name="60% - 강조색6 54" xfId="4417" xr:uid="{8D12D2FB-DB95-4088-871F-7385B9DBF048}"/>
    <cellStyle name="60% - 강조색6 55" xfId="1726" xr:uid="{D245D51F-7FA1-4924-B01B-FA2BD262AB93}"/>
    <cellStyle name="60% - 강조색6 6" xfId="1810" xr:uid="{7A574CC3-1D7A-466D-8AB7-DCEB40745EF6}"/>
    <cellStyle name="60% - 강조색6 6 2" xfId="1811" xr:uid="{2A0DFEDA-0AAD-4719-9898-D985FFE7CCE4}"/>
    <cellStyle name="60% - 강조색6 7" xfId="1812" xr:uid="{7016981E-1585-4E40-AB44-7C6603EDE0F3}"/>
    <cellStyle name="60% - 강조색6 7 2" xfId="1813" xr:uid="{90E1DDA2-8C79-4F73-BCD3-DAD1CF4B5BB5}"/>
    <cellStyle name="60% - 강조색6 8" xfId="1814" xr:uid="{8A4421A1-F297-4FEE-BFF7-786DED2708CA}"/>
    <cellStyle name="60% - 강조색6 8 2" xfId="1815" xr:uid="{9A551DAA-64FF-4DF4-8B6F-F5E7809315B0}"/>
    <cellStyle name="60% - 강조색6 9" xfId="1816" xr:uid="{3E308BCC-3720-4912-9505-0AD5E5267E02}"/>
    <cellStyle name="60% - 강조색6 9 2" xfId="1817" xr:uid="{CD050C9A-6F59-4C65-90DF-C87A1CCF80E7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Body: normal cell" xfId="29" xr:uid="{00000000-0005-0000-0000-000019000000}"/>
    <cellStyle name="Body: normal cell 2" xfId="30" xr:uid="{00000000-0005-0000-0000-00001A000000}"/>
    <cellStyle name="Calculation 2" xfId="31" xr:uid="{00000000-0005-0000-0000-00001B000000}"/>
    <cellStyle name="Calculation 2 2" xfId="4716" xr:uid="{00000000-0005-0000-0000-00001A000000}"/>
    <cellStyle name="Check Cell 2" xfId="32" xr:uid="{00000000-0005-0000-0000-00001C000000}"/>
    <cellStyle name="Column heading" xfId="33" xr:uid="{00000000-0005-0000-0000-00001D000000}"/>
    <cellStyle name="Comma 2" xfId="34" xr:uid="{00000000-0005-0000-0000-00001E000000}"/>
    <cellStyle name="Comma 2 2" xfId="35" xr:uid="{00000000-0005-0000-0000-00001F000000}"/>
    <cellStyle name="Comma 2 2 2" xfId="4718" xr:uid="{00000000-0005-0000-0000-00001F000000}"/>
    <cellStyle name="Comma 2 2 3" xfId="4719" xr:uid="{00000000-0005-0000-0000-000020000000}"/>
    <cellStyle name="Comma 2 2 4" xfId="4714" xr:uid="{00000000-0005-0000-0000-00001E000000}"/>
    <cellStyle name="Comma 2 3" xfId="4720" xr:uid="{00000000-0005-0000-0000-000021000000}"/>
    <cellStyle name="Comma 2 4" xfId="4717" xr:uid="{00000000-0005-0000-0000-00001D000000}"/>
    <cellStyle name="Comma 3" xfId="36" xr:uid="{00000000-0005-0000-0000-000020000000}"/>
    <cellStyle name="Comma 3 2" xfId="4721" xr:uid="{00000000-0005-0000-0000-000022000000}"/>
    <cellStyle name="Comma 4" xfId="37" xr:uid="{00000000-0005-0000-0000-000021000000}"/>
    <cellStyle name="Comma 4 2" xfId="4722" xr:uid="{00000000-0005-0000-0000-000023000000}"/>
    <cellStyle name="Comma 5" xfId="38" xr:uid="{00000000-0005-0000-0000-000022000000}"/>
    <cellStyle name="Comma 5 2" xfId="4723" xr:uid="{00000000-0005-0000-0000-000024000000}"/>
    <cellStyle name="Comma 6" xfId="39" xr:uid="{00000000-0005-0000-0000-000023000000}"/>
    <cellStyle name="Comma 6 2" xfId="4724" xr:uid="{00000000-0005-0000-0000-000025000000}"/>
    <cellStyle name="Comma 7" xfId="40" xr:uid="{00000000-0005-0000-0000-000024000000}"/>
    <cellStyle name="Comma 7 2" xfId="4725" xr:uid="{00000000-0005-0000-0000-000026000000}"/>
    <cellStyle name="Comma 8" xfId="41" xr:uid="{00000000-0005-0000-0000-000025000000}"/>
    <cellStyle name="Corner heading" xfId="42" xr:uid="{00000000-0005-0000-0000-000026000000}"/>
    <cellStyle name="Currency 2" xfId="43" xr:uid="{00000000-0005-0000-0000-000027000000}"/>
    <cellStyle name="Currency 2 2" xfId="4726" xr:uid="{00000000-0005-0000-0000-000027000000}"/>
    <cellStyle name="Currency 3" xfId="44" xr:uid="{00000000-0005-0000-0000-000028000000}"/>
    <cellStyle name="Currency 3 2" xfId="45" xr:uid="{00000000-0005-0000-0000-000029000000}"/>
    <cellStyle name="Data" xfId="46" xr:uid="{00000000-0005-0000-0000-00002A000000}"/>
    <cellStyle name="Data 2" xfId="47" xr:uid="{00000000-0005-0000-0000-00002B000000}"/>
    <cellStyle name="Data no deci" xfId="48" xr:uid="{00000000-0005-0000-0000-00002C000000}"/>
    <cellStyle name="Data Superscript" xfId="49" xr:uid="{00000000-0005-0000-0000-00002D000000}"/>
    <cellStyle name="Data_1-1A-Regular" xfId="50" xr:uid="{00000000-0005-0000-0000-00002E000000}"/>
    <cellStyle name="Explanatory Text 2" xfId="51" xr:uid="{00000000-0005-0000-0000-00002F000000}"/>
    <cellStyle name="Font: Calibri, 9pt regular" xfId="52" xr:uid="{00000000-0005-0000-0000-000030000000}"/>
    <cellStyle name="Font: Calibri, 9pt regular 2" xfId="53" xr:uid="{00000000-0005-0000-0000-000031000000}"/>
    <cellStyle name="Footnotes: top row" xfId="54" xr:uid="{00000000-0005-0000-0000-000032000000}"/>
    <cellStyle name="Footnotes: top row 2" xfId="55" xr:uid="{00000000-0005-0000-0000-000033000000}"/>
    <cellStyle name="Good 2" xfId="56" xr:uid="{00000000-0005-0000-0000-000034000000}"/>
    <cellStyle name="Header: bottom row" xfId="57" xr:uid="{00000000-0005-0000-0000-000035000000}"/>
    <cellStyle name="Header: bottom row 2" xfId="58" xr:uid="{00000000-0005-0000-0000-000036000000}"/>
    <cellStyle name="Heading 1 2" xfId="59" xr:uid="{00000000-0005-0000-0000-000037000000}"/>
    <cellStyle name="Heading 2 2" xfId="60" xr:uid="{00000000-0005-0000-0000-000038000000}"/>
    <cellStyle name="Heading 3 2" xfId="61" xr:uid="{00000000-0005-0000-0000-000039000000}"/>
    <cellStyle name="Heading 4 2" xfId="62" xr:uid="{00000000-0005-0000-0000-00003A000000}"/>
    <cellStyle name="Hed Side" xfId="63" xr:uid="{00000000-0005-0000-0000-00003B000000}"/>
    <cellStyle name="Hed Side 2" xfId="64" xr:uid="{00000000-0005-0000-0000-00003C000000}"/>
    <cellStyle name="Hed Side bold" xfId="65" xr:uid="{00000000-0005-0000-0000-00003D000000}"/>
    <cellStyle name="Hed Side Indent" xfId="66" xr:uid="{00000000-0005-0000-0000-00003E000000}"/>
    <cellStyle name="Hed Side Regular" xfId="67" xr:uid="{00000000-0005-0000-0000-00003F000000}"/>
    <cellStyle name="Hed Side_1-1A-Regular" xfId="68" xr:uid="{00000000-0005-0000-0000-000040000000}"/>
    <cellStyle name="Hed Top" xfId="69" xr:uid="{00000000-0005-0000-0000-000041000000}"/>
    <cellStyle name="Hed Top - SECTION" xfId="70" xr:uid="{00000000-0005-0000-0000-000042000000}"/>
    <cellStyle name="Hed Top_3-new4" xfId="71" xr:uid="{00000000-0005-0000-0000-000043000000}"/>
    <cellStyle name="Hyperlink 2" xfId="72" xr:uid="{00000000-0005-0000-0000-000045000000}"/>
    <cellStyle name="Input 2" xfId="73" xr:uid="{00000000-0005-0000-0000-000046000000}"/>
    <cellStyle name="Input 2 2" xfId="4727" xr:uid="{00000000-0005-0000-0000-000040000000}"/>
    <cellStyle name="Linked Cell 2" xfId="74" xr:uid="{00000000-0005-0000-0000-000047000000}"/>
    <cellStyle name="Neutral 2" xfId="75" xr:uid="{00000000-0005-0000-0000-000048000000}"/>
    <cellStyle name="Normal 10" xfId="76" xr:uid="{00000000-0005-0000-0000-00004A000000}"/>
    <cellStyle name="Normal 11" xfId="77" xr:uid="{00000000-0005-0000-0000-00004B000000}"/>
    <cellStyle name="Normal 2" xfId="2" xr:uid="{00000000-0005-0000-0000-00004C000000}"/>
    <cellStyle name="Normal 2 2" xfId="78" xr:uid="{00000000-0005-0000-0000-00004D000000}"/>
    <cellStyle name="Normal 2 2 2" xfId="4728" xr:uid="{00000000-0005-0000-0000-000048000000}"/>
    <cellStyle name="Normal 2 2 3" xfId="4729" xr:uid="{00000000-0005-0000-0000-000049000000}"/>
    <cellStyle name="Normal 2 3" xfId="79" xr:uid="{00000000-0005-0000-0000-00004E000000}"/>
    <cellStyle name="Normal 2 3 2" xfId="4730" xr:uid="{00000000-0005-0000-0000-00004A000000}"/>
    <cellStyle name="Normal 2 4" xfId="4731" xr:uid="{00000000-0005-0000-0000-00004B000000}"/>
    <cellStyle name="Normal 2 5" xfId="4713" xr:uid="{00000000-0005-0000-0000-000046000000}"/>
    <cellStyle name="Normal 3" xfId="3" xr:uid="{00000000-0005-0000-0000-00004F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3 8" xfId="4732" xr:uid="{00000000-0005-0000-0000-00005A000000}"/>
    <cellStyle name="Normal 3 9" xfId="4715" xr:uid="{00000000-0005-0000-0000-00005B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4 8" xfId="4734" xr:uid="{00000000-0005-0000-0000-00006A000000}"/>
    <cellStyle name="Normal 4 9" xfId="4733" xr:uid="{00000000-0005-0000-0000-00005C000000}"/>
    <cellStyle name="Normal 5" xfId="107" xr:uid="{00000000-0005-0000-0000-00006B000000}"/>
    <cellStyle name="Normal 5 2" xfId="108" xr:uid="{00000000-0005-0000-0000-00006C000000}"/>
    <cellStyle name="Normal 5 2 2" xfId="4736" xr:uid="{00000000-0005-0000-0000-00006C000000}"/>
    <cellStyle name="Normal 5 3" xfId="109" xr:uid="{00000000-0005-0000-0000-00006D000000}"/>
    <cellStyle name="Normal 5 4" xfId="4735" xr:uid="{00000000-0005-0000-0000-00006B000000}"/>
    <cellStyle name="Normal 6" xfId="110" xr:uid="{00000000-0005-0000-0000-00006E000000}"/>
    <cellStyle name="Normal 6 2" xfId="111" xr:uid="{00000000-0005-0000-0000-00006F000000}"/>
    <cellStyle name="Normal 6 3" xfId="4737" xr:uid="{00000000-0005-0000-0000-00006E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rmal 9 2" xfId="4738" xr:uid="{00000000-0005-0000-0000-000072000000}"/>
    <cellStyle name="Note 2" xfId="116" xr:uid="{00000000-0005-0000-0000-000074000000}"/>
    <cellStyle name="Note 2 2" xfId="117" xr:uid="{00000000-0005-0000-0000-000075000000}"/>
    <cellStyle name="Note 2 2 2" xfId="4739" xr:uid="{00000000-0005-0000-0000-000074000000}"/>
    <cellStyle name="Output 2" xfId="118" xr:uid="{00000000-0005-0000-0000-000076000000}"/>
    <cellStyle name="Output 2 2" xfId="4740" xr:uid="{00000000-0005-0000-0000-000075000000}"/>
    <cellStyle name="Parent row" xfId="119" xr:uid="{00000000-0005-0000-0000-000077000000}"/>
    <cellStyle name="Parent row 2" xfId="120" xr:uid="{00000000-0005-0000-0000-000078000000}"/>
    <cellStyle name="Percent 2" xfId="121" xr:uid="{00000000-0005-0000-0000-000079000000}"/>
    <cellStyle name="Percent 2 2" xfId="122" xr:uid="{00000000-0005-0000-0000-00007A000000}"/>
    <cellStyle name="Percent 2 3" xfId="4741" xr:uid="{00000000-0005-0000-0000-000078000000}"/>
    <cellStyle name="Percent 3" xfId="123" xr:uid="{00000000-0005-0000-0000-00007B000000}"/>
    <cellStyle name="Percent 3 2" xfId="124" xr:uid="{00000000-0005-0000-0000-00007C000000}"/>
    <cellStyle name="Percent 3 3" xfId="4742" xr:uid="{00000000-0005-0000-0000-00007A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Total 2 2" xfId="4743" xr:uid="{00000000-0005-0000-0000-00008C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  <cellStyle name="강조색1 10" xfId="1819" xr:uid="{01FFEADB-5D39-4C69-9244-E5F25D87BE27}"/>
    <cellStyle name="강조색1 10 2" xfId="1820" xr:uid="{533F408A-8D0A-46A4-B773-8EFB0BF0CFD7}"/>
    <cellStyle name="강조색1 11" xfId="1821" xr:uid="{2A70390D-5A50-4817-ACB2-505D067318B5}"/>
    <cellStyle name="강조색1 11 2" xfId="1822" xr:uid="{E3055DC0-E104-45EB-8A1D-AF2C2E0458F4}"/>
    <cellStyle name="강조색1 12" xfId="1823" xr:uid="{BBBB5700-61D4-437D-8110-A252126C5435}"/>
    <cellStyle name="강조색1 12 2" xfId="1824" xr:uid="{2AFABA41-FCD1-4844-9E26-118757D00FC1}"/>
    <cellStyle name="강조색1 13" xfId="1825" xr:uid="{049A0B1D-1A08-4042-AA30-28AE6281CEB2}"/>
    <cellStyle name="강조색1 13 2" xfId="1826" xr:uid="{A24A4522-5B46-4F09-A84F-228F4D4854F7}"/>
    <cellStyle name="강조색1 14" xfId="1827" xr:uid="{2BC84731-6CE7-49F1-8B3D-48596EB7EF09}"/>
    <cellStyle name="강조색1 14 2" xfId="1828" xr:uid="{2F2447D3-A5F7-4507-9CCA-0A7A9D0346AF}"/>
    <cellStyle name="강조색1 15" xfId="1829" xr:uid="{F3E5807C-04ED-45BB-A79C-B3F71942E42E}"/>
    <cellStyle name="강조색1 15 2" xfId="1830" xr:uid="{BF5C6FDF-655D-41B9-9AB5-9AB8FCD7E3DF}"/>
    <cellStyle name="강조색1 16" xfId="1831" xr:uid="{DBA8B133-D489-4EA4-A990-7BFF6C8AB412}"/>
    <cellStyle name="강조색1 16 2" xfId="1832" xr:uid="{CE149A5C-E099-493F-9B12-3628ABD6FC0D}"/>
    <cellStyle name="강조색1 17" xfId="1833" xr:uid="{28C4AD54-FD9C-42B1-9D6E-1866FD483471}"/>
    <cellStyle name="강조색1 17 2" xfId="1834" xr:uid="{CE893D39-7C0A-4251-88CF-1B3C6E3895FA}"/>
    <cellStyle name="강조색1 18" xfId="1835" xr:uid="{7E208329-206A-42F4-8675-B8F3632328F8}"/>
    <cellStyle name="강조색1 18 2" xfId="1836" xr:uid="{5681C0AF-BE0F-4885-9FAD-9CBB714FB0AC}"/>
    <cellStyle name="강조색1 19" xfId="1837" xr:uid="{BEA6EB94-B14B-4C8F-84BC-A4609FA3EA0B}"/>
    <cellStyle name="강조색1 19 2" xfId="1838" xr:uid="{C452AE4E-FECA-4F8F-B829-B3075B8E9600}"/>
    <cellStyle name="강조색1 2" xfId="1839" xr:uid="{E7EE6BB8-BBB8-4D5B-8F22-393ABDE8BE9D}"/>
    <cellStyle name="강조색1 2 2" xfId="1840" xr:uid="{C3560CB0-0CCD-4288-8EBA-275B2DB70966}"/>
    <cellStyle name="강조색1 20" xfId="1841" xr:uid="{E68B69D2-00CB-4BA0-966C-8E792C12F996}"/>
    <cellStyle name="강조색1 20 2" xfId="1842" xr:uid="{6F12F382-E8DA-456F-9093-91CAA018545D}"/>
    <cellStyle name="강조색1 21" xfId="1843" xr:uid="{D9FE0F2C-42B7-455D-8E98-9ADC6FFC5890}"/>
    <cellStyle name="강조색1 21 2" xfId="1844" xr:uid="{5BD847CE-7FBA-416D-92A1-93E0BBED4827}"/>
    <cellStyle name="강조색1 22" xfId="1845" xr:uid="{311D9140-52E5-4FD1-B9BA-D41382835BED}"/>
    <cellStyle name="강조색1 22 2" xfId="1846" xr:uid="{997137ED-C524-4003-BE15-0C2FF1ABDDDF}"/>
    <cellStyle name="강조색1 23" xfId="1847" xr:uid="{831301CB-E4EE-48F0-ACB4-C4ED63A48DC9}"/>
    <cellStyle name="강조색1 23 2" xfId="1848" xr:uid="{F90A784C-DFA5-4D81-AEF9-9FE0DC59F42B}"/>
    <cellStyle name="강조색1 24" xfId="1849" xr:uid="{56F9A3D6-D566-4936-84CC-CB4DA5937C76}"/>
    <cellStyle name="강조색1 24 2" xfId="1850" xr:uid="{023D6DA6-1FD1-493D-880A-E22992262FAC}"/>
    <cellStyle name="강조색1 25" xfId="1851" xr:uid="{6247700C-E19A-484E-93C5-79A60EBD6BE7}"/>
    <cellStyle name="강조색1 25 2" xfId="1852" xr:uid="{F1E36CED-EA8B-4F09-A7BB-DED0E1A93CC8}"/>
    <cellStyle name="강조색1 26" xfId="1853" xr:uid="{0739A2C8-B60F-41AC-983A-6D053CDD2835}"/>
    <cellStyle name="강조색1 26 2" xfId="1854" xr:uid="{37743885-D510-44DD-8685-EFEB097847DF}"/>
    <cellStyle name="강조색1 27" xfId="1855" xr:uid="{C1DF736D-6E16-4210-AE32-33193534A11A}"/>
    <cellStyle name="강조색1 27 2" xfId="1856" xr:uid="{4208461B-9547-4F4C-95E2-E26C29F53F92}"/>
    <cellStyle name="강조색1 28" xfId="1857" xr:uid="{FF2F88C1-BEA8-442E-82E0-D7E5D85817F2}"/>
    <cellStyle name="강조색1 28 2" xfId="1858" xr:uid="{21A139EE-1FFF-4881-B2DF-FA9AA5010FBF}"/>
    <cellStyle name="강조색1 29" xfId="1859" xr:uid="{664E8E4B-2F73-43C5-90AE-2A402CCB4C1C}"/>
    <cellStyle name="강조색1 29 2" xfId="1860" xr:uid="{C7B13E31-F9DE-48BE-8B5F-6AC692C0D08E}"/>
    <cellStyle name="강조색1 3" xfId="1861" xr:uid="{BA59DFD8-B87C-4CA1-AF0A-AD56B2C1834A}"/>
    <cellStyle name="강조색1 3 2" xfId="1862" xr:uid="{56DEC7A4-BCD6-47D0-9E92-1C5641EE880B}"/>
    <cellStyle name="강조색1 30" xfId="1863" xr:uid="{538FF015-77BB-4242-8EDA-B9CF59899794}"/>
    <cellStyle name="강조색1 30 2" xfId="1864" xr:uid="{1227C89A-B42E-46BA-9D7B-D41435056CBB}"/>
    <cellStyle name="강조색1 31" xfId="1865" xr:uid="{EFAA5CC7-3B41-454B-BE88-F3A63F835429}"/>
    <cellStyle name="강조색1 31 2" xfId="1866" xr:uid="{4043AE06-3761-4330-B692-0FF5B23EE944}"/>
    <cellStyle name="강조색1 32" xfId="1867" xr:uid="{BE199CDE-4DA4-455B-B612-C2C4C2ABEBA8}"/>
    <cellStyle name="강조색1 32 2" xfId="1868" xr:uid="{12501AFA-11F2-4915-BB74-FF2FB5DC43BC}"/>
    <cellStyle name="강조색1 33" xfId="1869" xr:uid="{3B0993BB-A086-45C4-A2E8-4615A73889C0}"/>
    <cellStyle name="강조색1 33 2" xfId="1870" xr:uid="{133A56F9-2B98-4DF2-AB2E-B08971754CC4}"/>
    <cellStyle name="강조색1 34" xfId="1871" xr:uid="{6886CBC1-0CE9-4E04-A7FF-B2BE43BE69ED}"/>
    <cellStyle name="강조색1 34 2" xfId="1872" xr:uid="{CBC3E4D4-6A9A-40CF-B10B-F3B9DF4BBAA6}"/>
    <cellStyle name="강조색1 35" xfId="1873" xr:uid="{0DAF1CC8-8185-4415-8E80-382769E24C2A}"/>
    <cellStyle name="강조색1 35 2" xfId="1874" xr:uid="{7CBFF83A-C13E-4443-8F05-7A8F23A55C6A}"/>
    <cellStyle name="강조색1 36" xfId="1875" xr:uid="{60FBDD71-F06F-4F7E-84F0-3C2A2F90B642}"/>
    <cellStyle name="강조색1 36 2" xfId="1876" xr:uid="{3FE0C0E1-0851-4AD9-987E-7ECB744B14BE}"/>
    <cellStyle name="강조색1 37" xfId="1877" xr:uid="{8A20C63E-9F9A-4DD0-94BB-5E7FD98A3FFF}"/>
    <cellStyle name="강조색1 37 2" xfId="1878" xr:uid="{09EBF831-31A3-4ABB-BDED-E6315A31D438}"/>
    <cellStyle name="강조색1 38" xfId="1879" xr:uid="{7C2E718E-1760-4038-A4D8-28609F00DFD6}"/>
    <cellStyle name="강조색1 38 2" xfId="1880" xr:uid="{D8FD5758-A3FB-431A-8325-AC4CE38BD1F7}"/>
    <cellStyle name="강조색1 39" xfId="1881" xr:uid="{F1B56C22-E947-4941-B7C3-D12D043837F0}"/>
    <cellStyle name="강조색1 39 2" xfId="1882" xr:uid="{C81FC0D3-B53E-4810-B8A4-EB8CD7C69727}"/>
    <cellStyle name="강조색1 4" xfId="1883" xr:uid="{1B94CE42-4B96-4B84-8889-6B7C6E698AF2}"/>
    <cellStyle name="강조색1 4 2" xfId="1884" xr:uid="{CD1A3BE6-BF9B-4898-A491-850A3B10E1A8}"/>
    <cellStyle name="강조색1 40" xfId="1885" xr:uid="{84A7F02C-DBF2-405E-B27A-91769F2CCF5E}"/>
    <cellStyle name="강조색1 40 2" xfId="1886" xr:uid="{0DB65240-879A-49D0-8F29-A589681C9108}"/>
    <cellStyle name="강조색1 41" xfId="1887" xr:uid="{EC651089-ADCA-4CCB-9B05-8DFCF75F473C}"/>
    <cellStyle name="강조색1 41 2" xfId="1888" xr:uid="{251884A2-D3B0-4264-ADEA-AB50673C4E67}"/>
    <cellStyle name="강조색1 42" xfId="1889" xr:uid="{68975BDA-D301-4812-95CA-F095008DA016}"/>
    <cellStyle name="강조색1 42 2" xfId="1890" xr:uid="{EA123045-E3E3-45B7-892D-B2B857B1AC6F}"/>
    <cellStyle name="강조색1 43" xfId="1891" xr:uid="{E07ED9CA-7C34-4843-AA2E-E0EA2979B3F8}"/>
    <cellStyle name="강조색1 43 2" xfId="1892" xr:uid="{ECBCD734-CB60-4033-BBC1-5E42495A1139}"/>
    <cellStyle name="강조색1 44" xfId="1893" xr:uid="{996FCA12-CEE8-408E-BDCE-6CF9E82A543C}"/>
    <cellStyle name="강조색1 45" xfId="1894" xr:uid="{1140B2E2-5A5B-4388-A50C-FE8405B1EBB4}"/>
    <cellStyle name="강조색1 46" xfId="1895" xr:uid="{C4587B75-E049-4E63-B108-B2EE16F5E447}"/>
    <cellStyle name="강조색1 47" xfId="1896" xr:uid="{E555C907-8C62-4F8A-9C97-218BCB57BC21}"/>
    <cellStyle name="강조색1 48" xfId="1897" xr:uid="{AA9C228D-87A8-492F-A093-AEB5A9A60EB6}"/>
    <cellStyle name="강조색1 49" xfId="1898" xr:uid="{D67099B0-021D-4880-BFAA-13EA919BA238}"/>
    <cellStyle name="강조색1 5" xfId="1899" xr:uid="{219FB0AB-DDD5-477E-AE8E-5491BF9D2245}"/>
    <cellStyle name="강조색1 5 2" xfId="1900" xr:uid="{BDBD9AAD-8C8B-4594-B680-F364F7533F49}"/>
    <cellStyle name="강조색1 50" xfId="1901" xr:uid="{D139DE69-9930-4941-A660-C50F53861927}"/>
    <cellStyle name="강조색1 51" xfId="3964" xr:uid="{308ECDA5-38C5-4E98-A463-0817A38F91F1}"/>
    <cellStyle name="강조색1 52" xfId="4128" xr:uid="{0DED8009-4406-4B0D-9440-96E71DEE9C0E}"/>
    <cellStyle name="강조색1 53" xfId="4246" xr:uid="{192AD2D3-0503-43D9-8CF1-A4E77930AACF}"/>
    <cellStyle name="강조색1 54" xfId="4418" xr:uid="{6C1BFD52-5B90-4598-8703-B2E596C8C9EB}"/>
    <cellStyle name="강조색1 55" xfId="1818" xr:uid="{252DBA76-0192-4DA0-B3CC-7454F0D1F589}"/>
    <cellStyle name="강조색1 6" xfId="1902" xr:uid="{9F34E961-75B9-4A20-BE46-E0D271BE28F3}"/>
    <cellStyle name="강조색1 6 2" xfId="1903" xr:uid="{4E9E09EC-93A4-4E5A-B50F-D43DBF6F7D8A}"/>
    <cellStyle name="강조색1 7" xfId="1904" xr:uid="{0C6E955C-956F-4125-9824-04D9D638ECAE}"/>
    <cellStyle name="강조색1 7 2" xfId="1905" xr:uid="{303875DF-F0F4-4AC8-94DA-7243160849A5}"/>
    <cellStyle name="강조색1 8" xfId="1906" xr:uid="{7C745A80-81C9-47CD-B7B9-7549808B1E91}"/>
    <cellStyle name="강조색1 8 2" xfId="1907" xr:uid="{450F968F-E064-403E-893E-4B83A40F26E5}"/>
    <cellStyle name="강조색1 9" xfId="1908" xr:uid="{B53EB030-90E6-4154-96A3-51F9A06BFEE8}"/>
    <cellStyle name="강조색1 9 2" xfId="1909" xr:uid="{572E9084-BE5B-4344-9703-B6B403AFA7B4}"/>
    <cellStyle name="강조색2 10" xfId="1911" xr:uid="{A7F40F1E-0829-48BB-A8E6-5F04707A583F}"/>
    <cellStyle name="강조색2 10 2" xfId="1912" xr:uid="{8AD2C64B-BE74-46B5-A0A4-FE2F44BB038F}"/>
    <cellStyle name="강조색2 11" xfId="1913" xr:uid="{364179F9-466A-43A4-9CDD-E16021DF01C4}"/>
    <cellStyle name="강조색2 11 2" xfId="1914" xr:uid="{2CC70EC6-87E4-46AC-974E-1A99EBDBDBC9}"/>
    <cellStyle name="강조색2 12" xfId="1915" xr:uid="{2C0D5926-4401-47C2-B82D-7755F596158E}"/>
    <cellStyle name="강조색2 12 2" xfId="1916" xr:uid="{3DF268BA-48EE-4D70-85B3-C340F7FB45AA}"/>
    <cellStyle name="강조색2 13" xfId="1917" xr:uid="{6CA6ABBE-F815-4904-B825-D0F23FFBF607}"/>
    <cellStyle name="강조색2 13 2" xfId="1918" xr:uid="{C306B8ED-B602-48E3-BE1B-A61C849D90A1}"/>
    <cellStyle name="강조색2 14" xfId="1919" xr:uid="{D200CDB3-8096-4312-BE87-886264E8BC4C}"/>
    <cellStyle name="강조색2 14 2" xfId="1920" xr:uid="{2417C0D4-7629-4D07-8505-F26D1AC5E183}"/>
    <cellStyle name="강조색2 15" xfId="1921" xr:uid="{E223B503-1850-406F-87E8-2A4A0E0A598D}"/>
    <cellStyle name="강조색2 15 2" xfId="1922" xr:uid="{1635E979-84A2-4C15-89FC-4CF72C99EB00}"/>
    <cellStyle name="강조색2 16" xfId="1923" xr:uid="{0D82965B-82AE-4F8A-9D26-8367A1EA5672}"/>
    <cellStyle name="강조색2 16 2" xfId="1924" xr:uid="{8D5A1F12-6A9D-4032-907B-C8EC42034F2A}"/>
    <cellStyle name="강조색2 17" xfId="1925" xr:uid="{1DF079CA-BC48-40BA-990F-D35D82DA960E}"/>
    <cellStyle name="강조색2 17 2" xfId="1926" xr:uid="{E7CC3140-AD8F-4312-A973-A28CDBC7B537}"/>
    <cellStyle name="강조색2 18" xfId="1927" xr:uid="{D2127BA1-4B90-4EF5-801A-FA4B95C1E1F2}"/>
    <cellStyle name="강조색2 18 2" xfId="1928" xr:uid="{83D24E7D-25CF-4689-9761-80887D9AC105}"/>
    <cellStyle name="강조색2 19" xfId="1929" xr:uid="{90AF874E-62C3-40A3-B4BD-7506620DFF3C}"/>
    <cellStyle name="강조색2 19 2" xfId="1930" xr:uid="{582D0A6C-3609-448A-BEA0-79A8B9967E05}"/>
    <cellStyle name="강조색2 2" xfId="1931" xr:uid="{84CBA7BE-0EE8-401A-B7E7-480FF833D02F}"/>
    <cellStyle name="강조색2 2 2" xfId="1932" xr:uid="{D5581CD2-31B1-494A-AAC8-FB5204903B70}"/>
    <cellStyle name="강조색2 20" xfId="1933" xr:uid="{E050C0A5-B538-48AA-8F6D-143B95E20AF3}"/>
    <cellStyle name="강조색2 20 2" xfId="1934" xr:uid="{E80B7388-88F3-442F-A3AF-EF339A729280}"/>
    <cellStyle name="강조색2 21" xfId="1935" xr:uid="{1C7A9427-D6EF-480E-BC15-D8216D04033B}"/>
    <cellStyle name="강조색2 21 2" xfId="1936" xr:uid="{D78F044D-7935-443B-A2EB-3F6ABA56B2D6}"/>
    <cellStyle name="강조색2 22" xfId="1937" xr:uid="{4A9FDBA7-60F9-4804-95C3-70124B01D964}"/>
    <cellStyle name="강조색2 22 2" xfId="1938" xr:uid="{7B3FA281-CDCD-4FFA-B9CF-65FBE6FE9213}"/>
    <cellStyle name="강조색2 23" xfId="1939" xr:uid="{4AC592FB-D6C3-446B-811F-D1FE43257A7C}"/>
    <cellStyle name="강조색2 23 2" xfId="1940" xr:uid="{BE21EEE4-8340-42A3-B0F9-FEF213C6E52D}"/>
    <cellStyle name="강조색2 24" xfId="1941" xr:uid="{1414F8A7-15F5-4581-9B3B-BCF7B9C3BBD0}"/>
    <cellStyle name="강조색2 24 2" xfId="1942" xr:uid="{65378AE0-2E00-4A81-A65C-19A29071B416}"/>
    <cellStyle name="강조색2 25" xfId="1943" xr:uid="{55FB357F-E1FD-4E8A-9759-4D8DD4080A85}"/>
    <cellStyle name="강조색2 25 2" xfId="1944" xr:uid="{126C7150-EE69-4744-8EA4-E53B0EDDEEF3}"/>
    <cellStyle name="강조색2 26" xfId="1945" xr:uid="{74EAA520-09B2-4C2D-A9C2-AF9B9FC3EDAE}"/>
    <cellStyle name="강조색2 26 2" xfId="1946" xr:uid="{D71860D7-624F-4E3B-ADC5-061B207BD698}"/>
    <cellStyle name="강조색2 27" xfId="1947" xr:uid="{432274E2-5995-46B1-A6B1-B0FDAC46F22E}"/>
    <cellStyle name="강조색2 27 2" xfId="1948" xr:uid="{09B269BD-ABC1-4168-8F20-D48CADA6CF0F}"/>
    <cellStyle name="강조색2 28" xfId="1949" xr:uid="{A42A14A9-FDF0-494C-ADA7-2EE655F8E8BD}"/>
    <cellStyle name="강조색2 28 2" xfId="1950" xr:uid="{09ABA601-14AC-4B9E-834B-161433A0CEA4}"/>
    <cellStyle name="강조색2 29" xfId="1951" xr:uid="{17E8E2C5-971D-492B-857F-DA8BCABF5BC0}"/>
    <cellStyle name="강조색2 29 2" xfId="1952" xr:uid="{EA00A9BD-4C94-4230-B527-DAD4C0963AFD}"/>
    <cellStyle name="강조색2 3" xfId="1953" xr:uid="{76613402-817D-47B9-929C-8AB5D6D1F07F}"/>
    <cellStyle name="강조색2 3 2" xfId="1954" xr:uid="{E41490E7-3BBD-4AE9-A143-025AE1430E91}"/>
    <cellStyle name="강조색2 30" xfId="1955" xr:uid="{2AE22803-32ED-42FA-BB3C-66F79EE9E8A2}"/>
    <cellStyle name="강조색2 30 2" xfId="1956" xr:uid="{6CF4F53D-01B8-419B-8A7A-C0F41E4908D9}"/>
    <cellStyle name="강조색2 31" xfId="1957" xr:uid="{0B15C0B0-34A2-46B2-9560-210C0AB24932}"/>
    <cellStyle name="강조색2 31 2" xfId="1958" xr:uid="{DD2B3C7A-CE1F-4B9F-9219-540165120586}"/>
    <cellStyle name="강조색2 32" xfId="1959" xr:uid="{11D1DCA1-7414-49E6-92A4-4FB5B8D19701}"/>
    <cellStyle name="강조색2 32 2" xfId="1960" xr:uid="{1EA83EE7-168D-43BE-9D9A-DD3C3F97FC10}"/>
    <cellStyle name="강조색2 33" xfId="1961" xr:uid="{B35E2EA3-EAEC-47F4-BB28-EFEB420519EA}"/>
    <cellStyle name="강조색2 33 2" xfId="1962" xr:uid="{2BBBBF9B-7C52-407D-8EB8-0DD5C66B0625}"/>
    <cellStyle name="강조색2 34" xfId="1963" xr:uid="{4E16D3C5-A006-4591-AABD-CA2B9849C69E}"/>
    <cellStyle name="강조색2 34 2" xfId="1964" xr:uid="{9B719A0C-0A5D-4564-90D9-AE8B3DE02FFC}"/>
    <cellStyle name="강조색2 35" xfId="1965" xr:uid="{28B37A11-9E14-4EF9-A5B8-3271243A714D}"/>
    <cellStyle name="강조색2 35 2" xfId="1966" xr:uid="{791E8E73-7EE7-4675-8860-07CBA654C208}"/>
    <cellStyle name="강조색2 36" xfId="1967" xr:uid="{C5CAC3E0-3A5A-4727-8882-50241EA1BB0F}"/>
    <cellStyle name="강조색2 36 2" xfId="1968" xr:uid="{BFE0A73B-FDDF-4D84-9E72-4381F17CC3F1}"/>
    <cellStyle name="강조색2 37" xfId="1969" xr:uid="{BFF25AC2-781F-4EBA-85A5-635AE53E0A8E}"/>
    <cellStyle name="강조색2 37 2" xfId="1970" xr:uid="{4AC4034D-0592-4AB3-9903-1DCB078155F5}"/>
    <cellStyle name="강조색2 38" xfId="1971" xr:uid="{49ED7B48-4BF2-4814-8624-C509263F1FD8}"/>
    <cellStyle name="강조색2 38 2" xfId="1972" xr:uid="{F1E69741-5591-4732-95F4-A445AD1298C6}"/>
    <cellStyle name="강조색2 39" xfId="1973" xr:uid="{C18618A6-5685-44A5-A093-D7F88423BC24}"/>
    <cellStyle name="강조색2 39 2" xfId="1974" xr:uid="{E43ED61E-356F-4ECA-8048-88CBE746BEB4}"/>
    <cellStyle name="강조색2 4" xfId="1975" xr:uid="{49FB667E-AA21-4AF7-8A2C-3F60E23C8D84}"/>
    <cellStyle name="강조색2 4 2" xfId="1976" xr:uid="{6073E6E2-0EF7-4047-BBDA-32F5D1FE9C98}"/>
    <cellStyle name="강조색2 40" xfId="1977" xr:uid="{2E90E22E-74C2-4357-B47B-2116134B9A08}"/>
    <cellStyle name="강조색2 40 2" xfId="1978" xr:uid="{E161DF49-3B6C-4772-BB76-A36E8FD04173}"/>
    <cellStyle name="강조색2 41" xfId="1979" xr:uid="{FA66E1CD-8DA3-436D-BCDB-5685A0B33CF5}"/>
    <cellStyle name="강조색2 41 2" xfId="1980" xr:uid="{BE5EA8AD-8F45-4832-A3F2-E863EDB92EA5}"/>
    <cellStyle name="강조색2 42" xfId="1981" xr:uid="{76D7CA96-1362-4F37-AF0E-EF011673CCDD}"/>
    <cellStyle name="강조색2 42 2" xfId="1982" xr:uid="{8D7D4456-2EBB-42C0-8603-492C62835695}"/>
    <cellStyle name="강조색2 43" xfId="1983" xr:uid="{59209DF5-CFA2-44C4-8A01-CA8770D3BED9}"/>
    <cellStyle name="강조색2 43 2" xfId="1984" xr:uid="{9297D519-9A02-479C-9469-3C48DC68786E}"/>
    <cellStyle name="강조색2 44" xfId="1985" xr:uid="{FB7FD845-325D-4ECD-BBE7-D30DDEACBA12}"/>
    <cellStyle name="강조색2 45" xfId="1986" xr:uid="{F3E78184-456B-42EC-BE52-D30168A76BB6}"/>
    <cellStyle name="강조색2 46" xfId="1987" xr:uid="{8AADE727-2A5F-481B-B08C-29037CD6D218}"/>
    <cellStyle name="강조색2 47" xfId="1988" xr:uid="{7F4A90D7-B4E4-468D-8977-D19A93392D3D}"/>
    <cellStyle name="강조색2 48" xfId="1989" xr:uid="{EB4D553D-0956-450B-BE6F-CDCF661EE560}"/>
    <cellStyle name="강조색2 49" xfId="1990" xr:uid="{2B927746-039B-438B-9C29-8816C8CF751A}"/>
    <cellStyle name="강조색2 5" xfId="1991" xr:uid="{13B7184C-CFA6-418A-B4C0-457EBEE6B67F}"/>
    <cellStyle name="강조색2 5 2" xfId="1992" xr:uid="{40C01249-3DC4-4750-AC55-A99E6B73482E}"/>
    <cellStyle name="강조색2 50" xfId="1993" xr:uid="{ACFBCD62-4A27-434D-B7ED-279B4DC24408}"/>
    <cellStyle name="강조색2 51" xfId="3968" xr:uid="{E3D5F302-0C23-4679-B207-1D68A79F0B96}"/>
    <cellStyle name="강조색2 52" xfId="4132" xr:uid="{A9FF21BA-F6D5-4932-A3F6-0311A7F1EEAB}"/>
    <cellStyle name="강조색2 53" xfId="4247" xr:uid="{6C38F8A2-F14C-4FE4-84A9-830A4387D181}"/>
    <cellStyle name="강조색2 54" xfId="4419" xr:uid="{E79ACC4B-F8CB-49AB-A2E9-DBA06B1A0D29}"/>
    <cellStyle name="강조색2 55" xfId="1910" xr:uid="{326AD510-C3F2-4B69-811B-8BCFDBFEA7C5}"/>
    <cellStyle name="강조색2 6" xfId="1994" xr:uid="{4024FCD9-FADE-46C7-BC1A-4DBD8012F82E}"/>
    <cellStyle name="강조색2 6 2" xfId="1995" xr:uid="{4618F8F5-59A8-4036-B1CD-1EE7EF2C4879}"/>
    <cellStyle name="강조색2 7" xfId="1996" xr:uid="{FE313F08-43CF-403B-9C75-8B173FAEC494}"/>
    <cellStyle name="강조색2 7 2" xfId="1997" xr:uid="{826513B2-1867-49B2-BAEB-4DA30CAB5AFB}"/>
    <cellStyle name="강조색2 8" xfId="1998" xr:uid="{652BA798-F186-4D58-BF86-BB6B4FE495DE}"/>
    <cellStyle name="강조색2 8 2" xfId="1999" xr:uid="{6981F3F2-4F9E-4DFB-9A8F-6CD38EF2D5AC}"/>
    <cellStyle name="강조색2 9" xfId="2000" xr:uid="{E77EE772-CA65-4B36-BEF6-711959386338}"/>
    <cellStyle name="강조색2 9 2" xfId="2001" xr:uid="{A3F3CE5C-9022-4C38-B826-7E88518562D2}"/>
    <cellStyle name="강조색3 10" xfId="2003" xr:uid="{FBE9F4F4-32A5-42D5-9917-683C6A179ABD}"/>
    <cellStyle name="강조색3 10 2" xfId="2004" xr:uid="{A77E3765-D556-404F-9CF4-0251F17ED355}"/>
    <cellStyle name="강조색3 11" xfId="2005" xr:uid="{4C452096-1F8B-43F3-9633-FA6C0ACA98D3}"/>
    <cellStyle name="강조색3 11 2" xfId="2006" xr:uid="{14D96223-A398-42C3-942A-B465D3A16FB9}"/>
    <cellStyle name="강조색3 12" xfId="2007" xr:uid="{6DCB381E-275C-4238-9D42-C85F392C0352}"/>
    <cellStyle name="강조색3 12 2" xfId="2008" xr:uid="{E7EEEB02-FB67-4448-9EBB-37EBF7168240}"/>
    <cellStyle name="강조색3 13" xfId="2009" xr:uid="{F4C5601B-1904-4190-A6FF-B1760ACB11CB}"/>
    <cellStyle name="강조색3 13 2" xfId="2010" xr:uid="{64BA5B42-808D-4EFF-BC06-40652C15B39F}"/>
    <cellStyle name="강조색3 14" xfId="2011" xr:uid="{C300C7F6-824E-4853-A5DF-9A4A255C1F8C}"/>
    <cellStyle name="강조색3 14 2" xfId="2012" xr:uid="{B665C424-0BF2-4AD5-8286-8E6F79051310}"/>
    <cellStyle name="강조색3 15" xfId="2013" xr:uid="{80A25AC4-72CA-47BD-BF6A-6673C7853EE9}"/>
    <cellStyle name="강조색3 15 2" xfId="2014" xr:uid="{C398D96F-F437-4BEC-A1EB-AC3CD13B1A56}"/>
    <cellStyle name="강조색3 16" xfId="2015" xr:uid="{2A16C61A-BBE1-4523-AC1B-F45770AB0740}"/>
    <cellStyle name="강조색3 16 2" xfId="2016" xr:uid="{65954C1A-F26E-4483-89F6-1DA187D594B6}"/>
    <cellStyle name="강조색3 17" xfId="2017" xr:uid="{93DDB69B-F374-4223-BDCA-4C0B5E325DF6}"/>
    <cellStyle name="강조색3 17 2" xfId="2018" xr:uid="{B23D4D23-FACD-43A8-9102-7A3D4393E687}"/>
    <cellStyle name="강조색3 18" xfId="2019" xr:uid="{15AFF066-2C5D-47B3-95D2-F6FCD420B243}"/>
    <cellStyle name="강조색3 18 2" xfId="2020" xr:uid="{128C05C3-E204-4728-8D7E-276576002876}"/>
    <cellStyle name="강조색3 19" xfId="2021" xr:uid="{EBF59FF6-C200-4297-B920-8D690CBCD73E}"/>
    <cellStyle name="강조색3 19 2" xfId="2022" xr:uid="{D56BD932-7CA9-4206-9461-4E7C4F28A650}"/>
    <cellStyle name="강조색3 2" xfId="2023" xr:uid="{3A94AF99-02F4-434B-BBC2-F9D576E41E20}"/>
    <cellStyle name="강조색3 2 2" xfId="2024" xr:uid="{CD55B474-B54A-4C55-A642-92CDD2A492F9}"/>
    <cellStyle name="강조색3 20" xfId="2025" xr:uid="{13D3E5B9-0A9A-4C4B-AFBD-1E7AB1788E0A}"/>
    <cellStyle name="강조색3 20 2" xfId="2026" xr:uid="{A22F1662-54C4-4A4F-A212-922229F9D5F6}"/>
    <cellStyle name="강조색3 21" xfId="2027" xr:uid="{B1577367-CF4C-4D0C-BFD3-3F94E7B859F7}"/>
    <cellStyle name="강조색3 21 2" xfId="2028" xr:uid="{44E2E2A0-BE1B-406C-BA34-037CDB352574}"/>
    <cellStyle name="강조색3 22" xfId="2029" xr:uid="{CF732C61-5095-426A-BF7B-33A59C3B10A4}"/>
    <cellStyle name="강조색3 22 2" xfId="2030" xr:uid="{3EA90E71-AA65-4F0C-BC34-46B2A40048D7}"/>
    <cellStyle name="강조색3 23" xfId="2031" xr:uid="{AD58F5AE-2DBB-46FC-BE53-FD0F0C0A9DD5}"/>
    <cellStyle name="강조색3 23 2" xfId="2032" xr:uid="{01B69169-1CAE-4242-B327-29494B9FC7BD}"/>
    <cellStyle name="강조색3 24" xfId="2033" xr:uid="{AE5F0656-04EC-4E8A-A046-C3831D8C0DAA}"/>
    <cellStyle name="강조색3 24 2" xfId="2034" xr:uid="{E1C5D525-28FA-4BD4-87FF-81DD94E0FA31}"/>
    <cellStyle name="강조색3 25" xfId="2035" xr:uid="{36B0879A-1C63-4AE3-9805-D6AA1EF79032}"/>
    <cellStyle name="강조색3 25 2" xfId="2036" xr:uid="{FE9D3E79-C5EB-42C5-85A4-C37DBE7A9ED1}"/>
    <cellStyle name="강조색3 26" xfId="2037" xr:uid="{78FDAA72-58A8-46D0-86BF-7F34C6960ABC}"/>
    <cellStyle name="강조색3 26 2" xfId="2038" xr:uid="{FBCE7AA3-299E-47FE-8CD1-03077FD2732D}"/>
    <cellStyle name="강조색3 27" xfId="2039" xr:uid="{08A043A1-580B-46B2-A64D-32F1F845FA37}"/>
    <cellStyle name="강조색3 27 2" xfId="2040" xr:uid="{570672C8-9857-4EB6-B4BE-272760C155AA}"/>
    <cellStyle name="강조색3 28" xfId="2041" xr:uid="{771F496C-3FAA-4B08-AF30-0DCDD1E0F53E}"/>
    <cellStyle name="강조색3 28 2" xfId="2042" xr:uid="{10087B7E-4DCB-41BD-BB3D-1A77B9E81AC6}"/>
    <cellStyle name="강조색3 29" xfId="2043" xr:uid="{728A6B30-ED54-4D71-B6D9-7CE32CB3575B}"/>
    <cellStyle name="강조색3 29 2" xfId="2044" xr:uid="{35894EBD-41D9-47F4-87EE-B923CA384829}"/>
    <cellStyle name="강조색3 3" xfId="2045" xr:uid="{CEEC8E4D-9912-401D-A9F2-F6A39985586D}"/>
    <cellStyle name="강조색3 3 2" xfId="2046" xr:uid="{79DD4494-446A-489A-BF56-08523CCB9223}"/>
    <cellStyle name="강조색3 30" xfId="2047" xr:uid="{023681F9-5474-4197-B8B6-EF2218A0780B}"/>
    <cellStyle name="강조색3 30 2" xfId="2048" xr:uid="{76DE67EC-B761-40DF-9A2C-13C47E7CBB15}"/>
    <cellStyle name="강조색3 31" xfId="2049" xr:uid="{AA0474C2-6A5F-46E0-90B3-A69316420D99}"/>
    <cellStyle name="강조색3 31 2" xfId="2050" xr:uid="{6C3EBE33-5C77-45A6-BDE2-FB99867100A6}"/>
    <cellStyle name="강조색3 32" xfId="2051" xr:uid="{AB0F6FEA-EF42-46A7-BE33-8B18248853C2}"/>
    <cellStyle name="강조색3 32 2" xfId="2052" xr:uid="{D8FB6AD2-282F-433C-B7A6-F2EA96193359}"/>
    <cellStyle name="강조색3 33" xfId="2053" xr:uid="{F97EA3B1-0D64-4EBD-BAEE-807900B22D02}"/>
    <cellStyle name="강조색3 33 2" xfId="2054" xr:uid="{B3BCCF3F-CF49-466E-B380-89ABF09BF409}"/>
    <cellStyle name="강조색3 34" xfId="2055" xr:uid="{4BED87A9-D1C2-4430-BDD9-71D9AB1B06C6}"/>
    <cellStyle name="강조색3 34 2" xfId="2056" xr:uid="{00437E11-B1CC-402C-8662-FE35E2DC73E6}"/>
    <cellStyle name="강조색3 35" xfId="2057" xr:uid="{4D07AB7B-CC68-4ABA-B5C6-EC1EB7565341}"/>
    <cellStyle name="강조색3 35 2" xfId="2058" xr:uid="{04C5BD90-1569-483D-9BE0-E190D213A4AF}"/>
    <cellStyle name="강조색3 36" xfId="2059" xr:uid="{2CEF10D3-AF02-48AE-AB99-D2C77211DD2C}"/>
    <cellStyle name="강조색3 36 2" xfId="2060" xr:uid="{9FAA0973-DA88-494C-83A0-05FC77AADA50}"/>
    <cellStyle name="강조색3 37" xfId="2061" xr:uid="{D7BB1430-DC9A-4E14-BD3A-E0404B08477B}"/>
    <cellStyle name="강조색3 37 2" xfId="2062" xr:uid="{8B038048-82FA-4FF9-B489-52A219151771}"/>
    <cellStyle name="강조색3 38" xfId="2063" xr:uid="{F3995924-580A-4AC2-B084-971BDDA34A23}"/>
    <cellStyle name="강조색3 38 2" xfId="2064" xr:uid="{6DAB9D51-61FF-43B6-BCB7-0AD5AFFFEEB6}"/>
    <cellStyle name="강조색3 39" xfId="2065" xr:uid="{44E11257-F0C6-4ACD-8B09-E346F41B1E29}"/>
    <cellStyle name="강조색3 39 2" xfId="2066" xr:uid="{D94130EC-149A-4A42-95B7-5B83B053BF54}"/>
    <cellStyle name="강조색3 4" xfId="2067" xr:uid="{3DD6CA56-1DBA-46DB-882D-F7EDAC97D322}"/>
    <cellStyle name="강조색3 4 2" xfId="2068" xr:uid="{58EA816C-0968-48DA-8B30-16289617742C}"/>
    <cellStyle name="강조색3 40" xfId="2069" xr:uid="{ED779CE7-B41D-4DE9-BD88-13FDC04326B5}"/>
    <cellStyle name="강조색3 40 2" xfId="2070" xr:uid="{8961036F-B6AC-4267-B0FC-DDEEF66FA4B9}"/>
    <cellStyle name="강조색3 41" xfId="2071" xr:uid="{994D5775-60B0-4F4D-86A5-4CC08EA6CC6F}"/>
    <cellStyle name="강조색3 41 2" xfId="2072" xr:uid="{B83FF7C1-CBBA-47D0-ACF0-EB92678F05BB}"/>
    <cellStyle name="강조색3 42" xfId="2073" xr:uid="{44770397-8290-4F07-AA58-828398411C9D}"/>
    <cellStyle name="강조색3 42 2" xfId="2074" xr:uid="{0CEE6933-CF95-4552-B32A-7BC9F8414054}"/>
    <cellStyle name="강조색3 43" xfId="2075" xr:uid="{6FE9AC6A-CC2D-4518-A083-659147DBFE47}"/>
    <cellStyle name="강조색3 43 2" xfId="2076" xr:uid="{2234B8CA-ED77-4BE8-99E5-F6BEC43E0D52}"/>
    <cellStyle name="강조색3 44" xfId="2077" xr:uid="{C6C2BEF0-BB52-4E78-A230-689D445B2896}"/>
    <cellStyle name="강조색3 45" xfId="2078" xr:uid="{188FA445-B12A-48CE-BDCC-EA281EB19F8B}"/>
    <cellStyle name="강조색3 46" xfId="2079" xr:uid="{5F6084ED-BF6B-4EA1-9C50-DAD3A494ACDD}"/>
    <cellStyle name="강조색3 47" xfId="2080" xr:uid="{A22C624A-A871-4D4D-AC53-CFB6A38C8B4A}"/>
    <cellStyle name="강조색3 48" xfId="2081" xr:uid="{81F9465C-C673-4F37-8E00-267269A463E1}"/>
    <cellStyle name="강조색3 49" xfId="2082" xr:uid="{CB7823B8-6ACD-4BB8-B14E-8E27F29E6FED}"/>
    <cellStyle name="강조색3 5" xfId="2083" xr:uid="{FA06F2E3-935F-4C61-A1D3-63797AD05D9B}"/>
    <cellStyle name="강조색3 5 2" xfId="2084" xr:uid="{7EE11AC9-5033-46D0-BE4B-06BB185F9C72}"/>
    <cellStyle name="강조색3 50" xfId="2085" xr:uid="{2B9BE469-A595-476B-90E2-7F8CCDC53CD2}"/>
    <cellStyle name="강조색3 51" xfId="3972" xr:uid="{AE7737FB-3E89-4B7C-BFE5-1E82AC8DFBBB}"/>
    <cellStyle name="강조색3 52" xfId="4136" xr:uid="{291835DE-D1E6-49FF-895D-DC7C4F5BCC62}"/>
    <cellStyle name="강조색3 53" xfId="4248" xr:uid="{4BF1601F-F420-4AE8-9A9E-12D237B2809C}"/>
    <cellStyle name="강조색3 54" xfId="4420" xr:uid="{C53EB9A7-13CE-46EA-800E-CA09137F7CEB}"/>
    <cellStyle name="강조색3 55" xfId="2002" xr:uid="{49539687-D903-4D8A-AC21-944F89E198C8}"/>
    <cellStyle name="강조색3 6" xfId="2086" xr:uid="{4629E1AD-DED5-4F8E-A68B-85BF9EB0DA1D}"/>
    <cellStyle name="강조색3 6 2" xfId="2087" xr:uid="{4BD68D9C-5C58-4400-A0DA-40A47BE7AEC3}"/>
    <cellStyle name="강조색3 7" xfId="2088" xr:uid="{E5804A7F-59C3-4174-820B-423891FCC084}"/>
    <cellStyle name="강조색3 7 2" xfId="2089" xr:uid="{9A508D07-BE84-4202-B6A3-D5D7749E0F43}"/>
    <cellStyle name="강조색3 8" xfId="2090" xr:uid="{CC19F2F5-25EA-4D5B-8E2A-41B9F2DFDADE}"/>
    <cellStyle name="강조색3 8 2" xfId="2091" xr:uid="{764A4461-EDB0-4338-8409-334C719A1C22}"/>
    <cellStyle name="강조색3 9" xfId="2092" xr:uid="{75437221-CBAF-43A2-8AF7-0EDB5DE0CFB0}"/>
    <cellStyle name="강조색3 9 2" xfId="2093" xr:uid="{546C8494-F9EB-4F7E-9199-11EEE5F6DA12}"/>
    <cellStyle name="강조색4 10" xfId="2095" xr:uid="{95FBCE35-42F5-46AC-BCC5-BF454A616BD5}"/>
    <cellStyle name="강조색4 10 2" xfId="2096" xr:uid="{337BDFD7-7EB3-4808-814F-A15705719F62}"/>
    <cellStyle name="강조색4 11" xfId="2097" xr:uid="{61C26F22-85EA-4633-83E5-943A3BB309E4}"/>
    <cellStyle name="강조색4 11 2" xfId="2098" xr:uid="{9B3A1D9A-5C32-4EEF-9EF5-14448B5C867F}"/>
    <cellStyle name="강조색4 12" xfId="2099" xr:uid="{15E30A78-FEC8-4776-9B7D-EFFBC6DA9222}"/>
    <cellStyle name="강조색4 12 2" xfId="2100" xr:uid="{F9AF12DA-D6AA-4063-A00A-B5BBDF184E2C}"/>
    <cellStyle name="강조색4 13" xfId="2101" xr:uid="{7A299C5F-3858-4654-8B4B-D4A218B2335A}"/>
    <cellStyle name="강조색4 13 2" xfId="2102" xr:uid="{7D55E7B5-24F8-455A-B729-5ACD779F1F6E}"/>
    <cellStyle name="강조색4 14" xfId="2103" xr:uid="{40355C70-90C5-4B5C-87D4-53B3B4E2BEEC}"/>
    <cellStyle name="강조색4 14 2" xfId="2104" xr:uid="{2E1ABA95-A964-43DA-9B83-FCB5A9BE75D9}"/>
    <cellStyle name="강조색4 15" xfId="2105" xr:uid="{407E4C6B-0F96-4D03-90F9-F9F3FFF5C726}"/>
    <cellStyle name="강조색4 15 2" xfId="2106" xr:uid="{7A1C0F12-0F9D-4050-B2DB-2F60B9718D4C}"/>
    <cellStyle name="강조색4 16" xfId="2107" xr:uid="{D1D8059C-2CDD-4551-81BA-626635D985B0}"/>
    <cellStyle name="강조색4 16 2" xfId="2108" xr:uid="{327ABE79-0F32-41F1-B55B-6D56342229E4}"/>
    <cellStyle name="강조색4 17" xfId="2109" xr:uid="{5FF1F075-7CEB-4A83-A46D-388593EC1526}"/>
    <cellStyle name="강조색4 17 2" xfId="2110" xr:uid="{EDD48C1B-51E4-4FD9-85B8-E1AC98925395}"/>
    <cellStyle name="강조색4 18" xfId="2111" xr:uid="{17D4C1FB-B822-4061-9712-DAB59F07FA7C}"/>
    <cellStyle name="강조색4 18 2" xfId="2112" xr:uid="{92990D23-EBDB-46C3-8A34-9B867CD6791B}"/>
    <cellStyle name="강조색4 19" xfId="2113" xr:uid="{38338CBB-514C-4070-A9D3-F3AA4623721D}"/>
    <cellStyle name="강조색4 19 2" xfId="2114" xr:uid="{6E47A2D5-7ABE-49A8-9738-36AD7619A3CC}"/>
    <cellStyle name="강조색4 2" xfId="2115" xr:uid="{291B9FEC-3E62-42F4-8302-7F9CEB15F9F4}"/>
    <cellStyle name="강조색4 2 2" xfId="2116" xr:uid="{63A60AE5-578E-4120-93F1-8A13FC01BFF3}"/>
    <cellStyle name="강조색4 20" xfId="2117" xr:uid="{8D88A86D-6B4F-40BC-A715-92603D02F4A5}"/>
    <cellStyle name="강조색4 20 2" xfId="2118" xr:uid="{F5445A3C-74D9-49E2-B51E-8EFC82966C1C}"/>
    <cellStyle name="강조색4 21" xfId="2119" xr:uid="{27ADC14E-8A86-44D7-8A0D-27373D873C79}"/>
    <cellStyle name="강조색4 21 2" xfId="2120" xr:uid="{BF64CBE9-0D8E-43FD-9043-48442ACD17F4}"/>
    <cellStyle name="강조색4 22" xfId="2121" xr:uid="{6170CB20-6E9D-4CB1-90A3-9501A2EE772C}"/>
    <cellStyle name="강조색4 22 2" xfId="2122" xr:uid="{295B1E7D-64AA-440E-94B8-F71E364D1CA5}"/>
    <cellStyle name="강조색4 23" xfId="2123" xr:uid="{DA58E237-48F0-475C-994D-12EF58AB342B}"/>
    <cellStyle name="강조색4 23 2" xfId="2124" xr:uid="{FA1F88C6-3040-4B90-B664-95D153DB9EA6}"/>
    <cellStyle name="강조색4 24" xfId="2125" xr:uid="{B7851973-CE2C-4139-926B-3515C43900A0}"/>
    <cellStyle name="강조색4 24 2" xfId="2126" xr:uid="{4AE48E3F-B59B-4408-8288-599D507496B7}"/>
    <cellStyle name="강조색4 25" xfId="2127" xr:uid="{59F91488-471C-440E-8141-40B30677D08A}"/>
    <cellStyle name="강조색4 25 2" xfId="2128" xr:uid="{FB286B39-CDF6-4471-A823-78598B13A52C}"/>
    <cellStyle name="강조색4 26" xfId="2129" xr:uid="{6CEE267E-9C0F-49CB-BFE9-B99908A56659}"/>
    <cellStyle name="강조색4 26 2" xfId="2130" xr:uid="{FC632A82-D42A-4E38-ACA0-5D409612BEB5}"/>
    <cellStyle name="강조색4 27" xfId="2131" xr:uid="{F37FCA1C-4EF6-417B-B489-3CE78B828917}"/>
    <cellStyle name="강조색4 27 2" xfId="2132" xr:uid="{25E4EBBA-B4EF-4E6C-AD14-74809C31C232}"/>
    <cellStyle name="강조색4 28" xfId="2133" xr:uid="{FB124E30-C4C2-4E39-BB0D-8600450A734B}"/>
    <cellStyle name="강조색4 28 2" xfId="2134" xr:uid="{60AA8CC3-A207-465C-83FC-FE66CF62551B}"/>
    <cellStyle name="강조색4 29" xfId="2135" xr:uid="{B580E445-1702-42FA-BDBB-57FCCC6FE83F}"/>
    <cellStyle name="강조색4 29 2" xfId="2136" xr:uid="{A658673B-FFF5-4697-BD90-D24EB8E36020}"/>
    <cellStyle name="강조색4 3" xfId="2137" xr:uid="{B652BF78-E11F-4C06-A51B-04FF5A2D1891}"/>
    <cellStyle name="강조색4 3 2" xfId="2138" xr:uid="{A6153FD2-4908-4311-930B-439AEB4E8268}"/>
    <cellStyle name="강조색4 30" xfId="2139" xr:uid="{5ECFBEBA-8560-4D98-B8D9-06056911BD6F}"/>
    <cellStyle name="강조색4 30 2" xfId="2140" xr:uid="{ADB49558-3985-46A4-BA4D-E76B5A70A9FD}"/>
    <cellStyle name="강조색4 31" xfId="2141" xr:uid="{5A2F95FD-0219-4DE6-83AF-538DB01AFEED}"/>
    <cellStyle name="강조색4 31 2" xfId="2142" xr:uid="{3D932030-BCDE-401A-B07F-ED410AFDDE30}"/>
    <cellStyle name="강조색4 32" xfId="2143" xr:uid="{DD7215FB-9B92-484F-8E13-337A27638BE8}"/>
    <cellStyle name="강조색4 32 2" xfId="2144" xr:uid="{15ECA117-E34B-4F62-B55C-8BD26FFC3EC4}"/>
    <cellStyle name="강조색4 33" xfId="2145" xr:uid="{AF176965-436C-4936-977C-8E146DCD73A3}"/>
    <cellStyle name="강조색4 33 2" xfId="2146" xr:uid="{05D6EA4B-5A67-442C-B2C3-4B1AA658B949}"/>
    <cellStyle name="강조색4 34" xfId="2147" xr:uid="{179120F6-3CBC-4485-9982-BFEE6130A49F}"/>
    <cellStyle name="강조색4 34 2" xfId="2148" xr:uid="{19EA02E9-7987-48B6-86EC-00FFE7ADE218}"/>
    <cellStyle name="강조색4 35" xfId="2149" xr:uid="{E55F20EB-F109-4D08-8DC3-49FB9B9910CF}"/>
    <cellStyle name="강조색4 35 2" xfId="2150" xr:uid="{819033DD-7A0B-4CCF-9153-67DE6F458DD5}"/>
    <cellStyle name="강조색4 36" xfId="2151" xr:uid="{A27AB7D4-189E-4DE6-8CDF-CE4AA4AA4E3A}"/>
    <cellStyle name="강조색4 36 2" xfId="2152" xr:uid="{94652BA7-F112-4874-A9A1-AC4B50E4F06E}"/>
    <cellStyle name="강조색4 37" xfId="2153" xr:uid="{2F7BC98A-C93E-46E9-A8F3-51EE63EFD788}"/>
    <cellStyle name="강조색4 37 2" xfId="2154" xr:uid="{E83D961E-9092-433C-8C2A-30D8674AA9E3}"/>
    <cellStyle name="강조색4 38" xfId="2155" xr:uid="{FD047B11-2550-4C3A-A211-E1BD196EC6C6}"/>
    <cellStyle name="강조색4 38 2" xfId="2156" xr:uid="{635BE4B8-B030-4357-8D89-D9F21C026E96}"/>
    <cellStyle name="강조색4 39" xfId="2157" xr:uid="{3E6DAF59-7AB4-4FBD-8C35-4FFC0A15B12C}"/>
    <cellStyle name="강조색4 39 2" xfId="2158" xr:uid="{D4FED29E-3118-4045-BED0-D2E8F58E9CD9}"/>
    <cellStyle name="강조색4 4" xfId="2159" xr:uid="{00EC344B-D1FF-4A9C-B7F3-BFEB6F29C3F4}"/>
    <cellStyle name="강조색4 4 2" xfId="2160" xr:uid="{5EFE0262-8978-42E3-9B0B-C56CBD3C9685}"/>
    <cellStyle name="강조색4 40" xfId="2161" xr:uid="{BBE4551B-9EE3-4AA6-A394-C595A82DBB93}"/>
    <cellStyle name="강조색4 40 2" xfId="2162" xr:uid="{AB1D6969-C1BB-4332-905A-A6C0B665D434}"/>
    <cellStyle name="강조색4 41" xfId="2163" xr:uid="{850C509E-9D0E-4E8E-BFED-12BC4757276B}"/>
    <cellStyle name="강조색4 41 2" xfId="2164" xr:uid="{B0D20C46-0DB6-454E-8501-748BA16CE70E}"/>
    <cellStyle name="강조색4 42" xfId="2165" xr:uid="{1DC7EC85-E699-4298-882E-95A30CECC370}"/>
    <cellStyle name="강조색4 42 2" xfId="2166" xr:uid="{83ECF795-57BC-476A-917F-9BC50A833F77}"/>
    <cellStyle name="강조색4 43" xfId="2167" xr:uid="{282875C7-5050-42E7-86C0-D98F72330C66}"/>
    <cellStyle name="강조색4 43 2" xfId="2168" xr:uid="{B769AAB6-6A99-41FA-9C77-BB0393A9BEB3}"/>
    <cellStyle name="강조색4 44" xfId="2169" xr:uid="{134BE130-F4DA-48BF-8D53-2929E8C4D47B}"/>
    <cellStyle name="강조색4 45" xfId="2170" xr:uid="{0D3AF1FC-07CE-4147-A9E4-3C3A2275BF4F}"/>
    <cellStyle name="강조색4 46" xfId="2171" xr:uid="{20F103E6-62AD-446D-96CF-67DC65A4240F}"/>
    <cellStyle name="강조색4 47" xfId="2172" xr:uid="{D59C1E59-7289-4539-B277-E83AEEFB6B78}"/>
    <cellStyle name="강조색4 48" xfId="2173" xr:uid="{4B057CD8-24FC-4E2F-B3F2-44DF88E292BF}"/>
    <cellStyle name="강조색4 49" xfId="2174" xr:uid="{004EB073-A184-4186-A3B1-1B7C09228732}"/>
    <cellStyle name="강조색4 5" xfId="2175" xr:uid="{B5544439-1154-483F-9126-B3507F796C6F}"/>
    <cellStyle name="강조색4 5 2" xfId="2176" xr:uid="{AA3EC7E9-97DC-4653-B4B1-E8A14857A9CF}"/>
    <cellStyle name="강조색4 50" xfId="2177" xr:uid="{38D2F98E-4F50-443F-90F1-6A13E10A31FD}"/>
    <cellStyle name="강조색4 51" xfId="3976" xr:uid="{593B5CAF-1825-4C91-98AF-C770487B306F}"/>
    <cellStyle name="강조색4 52" xfId="4140" xr:uid="{3B4D0024-2790-4DB9-BEEB-700F24D1D081}"/>
    <cellStyle name="강조색4 53" xfId="4249" xr:uid="{46083737-0080-45F7-BF50-C4569F3C6305}"/>
    <cellStyle name="강조색4 54" xfId="4421" xr:uid="{29DD0987-562F-4486-9D8E-97C89AC19204}"/>
    <cellStyle name="강조색4 55" xfId="2094" xr:uid="{969F24EA-9FC9-49AF-9855-2E97F5E7ABF0}"/>
    <cellStyle name="강조색4 6" xfId="2178" xr:uid="{12A78092-88AE-4287-B77F-2D1EB8A2F515}"/>
    <cellStyle name="강조색4 6 2" xfId="2179" xr:uid="{7FA0EB5D-9DDC-4EBE-BE16-D89C75EF9946}"/>
    <cellStyle name="강조색4 7" xfId="2180" xr:uid="{41AD61F8-1A63-4DA9-8E5F-6382154820D5}"/>
    <cellStyle name="강조색4 7 2" xfId="2181" xr:uid="{60BC2A80-B5A4-4B25-804B-29451650F518}"/>
    <cellStyle name="강조색4 8" xfId="2182" xr:uid="{62B41682-B4A9-4407-AA32-0C3E58CF0548}"/>
    <cellStyle name="강조색4 8 2" xfId="2183" xr:uid="{349D87C4-C4DA-4400-8677-10EB0540977B}"/>
    <cellStyle name="강조색4 9" xfId="2184" xr:uid="{EEE53257-6951-4D5E-884A-7F7855254126}"/>
    <cellStyle name="강조색4 9 2" xfId="2185" xr:uid="{04AB00F6-C6C7-46EE-BCFA-3F3874B2B11F}"/>
    <cellStyle name="강조색5 10" xfId="2187" xr:uid="{DBA0B839-78DB-42C0-85F0-1ABFA5E66B9D}"/>
    <cellStyle name="강조색5 10 2" xfId="2188" xr:uid="{C3915FD0-8F4B-4E2F-910A-28628E810676}"/>
    <cellStyle name="강조색5 11" xfId="2189" xr:uid="{D10E81B1-08B9-489D-8DBC-B206D5A1A92D}"/>
    <cellStyle name="강조색5 11 2" xfId="2190" xr:uid="{0717AE3C-12DE-4783-B032-B924CDE47198}"/>
    <cellStyle name="강조색5 12" xfId="2191" xr:uid="{B09D4E1E-D86D-404D-8314-8FBFE1CBF0AD}"/>
    <cellStyle name="강조색5 12 2" xfId="2192" xr:uid="{C60CB7CD-61D0-4B86-BC0E-72CE4E3905B7}"/>
    <cellStyle name="강조색5 13" xfId="2193" xr:uid="{E9752A22-FC6E-47AD-8CAB-2E415ABBA6A4}"/>
    <cellStyle name="강조색5 13 2" xfId="2194" xr:uid="{14ABFFF9-E35B-415B-B4DF-CC3D4FD1BBB1}"/>
    <cellStyle name="강조색5 14" xfId="2195" xr:uid="{19F80ADC-DE32-4379-8506-9C53605AAD8A}"/>
    <cellStyle name="강조색5 14 2" xfId="2196" xr:uid="{D346D248-9D4F-415F-AB2D-311C9F8A3BEE}"/>
    <cellStyle name="강조색5 15" xfId="2197" xr:uid="{88C49A54-C26A-4DAE-A89C-6644B9A45DC1}"/>
    <cellStyle name="강조색5 15 2" xfId="2198" xr:uid="{FAE531D1-9F7C-43FD-8ABF-E300078A485B}"/>
    <cellStyle name="강조색5 16" xfId="2199" xr:uid="{6CCBEA1C-04AC-433A-BCE2-11ED4F05BCE7}"/>
    <cellStyle name="강조색5 16 2" xfId="2200" xr:uid="{B8F0864E-B61C-4404-B7BF-08CB179E4C51}"/>
    <cellStyle name="강조색5 17" xfId="2201" xr:uid="{5D1084F3-AB8D-4E29-B179-FE7C0ED60044}"/>
    <cellStyle name="강조색5 17 2" xfId="2202" xr:uid="{6AA65916-383C-4476-930E-CC7006626512}"/>
    <cellStyle name="강조색5 18" xfId="2203" xr:uid="{A20CB407-56AD-48C3-B767-BD429C97A8C5}"/>
    <cellStyle name="강조색5 18 2" xfId="2204" xr:uid="{2D42E1BC-9275-4426-8BA2-722FE32C45A2}"/>
    <cellStyle name="강조색5 19" xfId="2205" xr:uid="{C7EF26DE-6C3A-4B00-BE77-46682D8B16D5}"/>
    <cellStyle name="강조색5 19 2" xfId="2206" xr:uid="{B4980A62-5661-4C60-B196-7C86FAB0C728}"/>
    <cellStyle name="강조색5 2" xfId="2207" xr:uid="{151D87E4-0A94-4E57-873B-D90958D4CF70}"/>
    <cellStyle name="강조색5 2 2" xfId="2208" xr:uid="{1E835825-D7A4-4F10-9A23-599B6BD72307}"/>
    <cellStyle name="강조색5 20" xfId="2209" xr:uid="{158049B8-C8D0-4C3C-BEDC-48CAF7ADAB81}"/>
    <cellStyle name="강조색5 20 2" xfId="2210" xr:uid="{9F0DB074-FEAC-44F4-B06E-417D86AE3C0C}"/>
    <cellStyle name="강조색5 21" xfId="2211" xr:uid="{52B7E413-00A5-4D8C-ADE7-2D9E28D2901A}"/>
    <cellStyle name="강조색5 21 2" xfId="2212" xr:uid="{F8B43D39-1D68-45C6-9083-B9D1AF8442FF}"/>
    <cellStyle name="강조색5 22" xfId="2213" xr:uid="{CD4396DA-DFBA-4408-AE17-E196C5C7A98A}"/>
    <cellStyle name="강조색5 22 2" xfId="2214" xr:uid="{16CAB365-4A0C-4007-B5CD-8099314A9104}"/>
    <cellStyle name="강조색5 23" xfId="2215" xr:uid="{DF6895C8-1781-491F-971A-75D977B36F98}"/>
    <cellStyle name="강조색5 23 2" xfId="2216" xr:uid="{0E330EC0-038A-4994-AE8D-B26EDA2D145F}"/>
    <cellStyle name="강조색5 24" xfId="2217" xr:uid="{68BA132D-9744-4AC2-91DD-56A6562D17BC}"/>
    <cellStyle name="강조색5 24 2" xfId="2218" xr:uid="{66EFE7E8-DC16-40E9-9844-2A79449960C1}"/>
    <cellStyle name="강조색5 25" xfId="2219" xr:uid="{5A0EB3FD-5BF9-4142-8704-2699386B52D9}"/>
    <cellStyle name="강조색5 25 2" xfId="2220" xr:uid="{BFB6237C-3495-4199-A6AB-225AF8CD8EED}"/>
    <cellStyle name="강조색5 26" xfId="2221" xr:uid="{838F7DC7-158B-4BCB-9C2D-64A655F85E1A}"/>
    <cellStyle name="강조색5 26 2" xfId="2222" xr:uid="{AB5F9836-CD1E-4818-9C2B-A2EC219AAA98}"/>
    <cellStyle name="강조색5 27" xfId="2223" xr:uid="{65FF11B8-0BA5-4C4F-A75E-1BD930216387}"/>
    <cellStyle name="강조색5 27 2" xfId="2224" xr:uid="{F9A8C317-895A-49B9-ADD5-31C804563CC0}"/>
    <cellStyle name="강조색5 28" xfId="2225" xr:uid="{26A83CD3-3DCB-4A73-BBC1-209EF786C24D}"/>
    <cellStyle name="강조색5 28 2" xfId="2226" xr:uid="{3DB74ECB-53C2-40F8-9EB5-73165324FB1B}"/>
    <cellStyle name="강조색5 29" xfId="2227" xr:uid="{585AFB5F-CD3C-437F-94D5-FAF323A4C7AD}"/>
    <cellStyle name="강조색5 29 2" xfId="2228" xr:uid="{1FA0768B-4022-4627-A82C-F640A0CF7FA0}"/>
    <cellStyle name="강조색5 3" xfId="2229" xr:uid="{94652B74-25BA-4031-83EF-6B65E1D060F4}"/>
    <cellStyle name="강조색5 3 2" xfId="2230" xr:uid="{9D0F1E98-556B-4718-A472-68C9E454CD01}"/>
    <cellStyle name="강조색5 30" xfId="2231" xr:uid="{E327E193-913F-403C-AB7F-07B218075864}"/>
    <cellStyle name="강조색5 30 2" xfId="2232" xr:uid="{6937CFEC-94D2-4FB7-8C3C-2A7686B3A3EA}"/>
    <cellStyle name="강조색5 31" xfId="2233" xr:uid="{390DE41F-B2CB-4E18-B8B6-F2D541847310}"/>
    <cellStyle name="강조색5 31 2" xfId="2234" xr:uid="{80A87622-825A-433C-AC48-6A37FCB2781E}"/>
    <cellStyle name="강조색5 32" xfId="2235" xr:uid="{4084622A-DCBA-4BBD-B2D5-986F1E7C72A8}"/>
    <cellStyle name="강조색5 32 2" xfId="2236" xr:uid="{3D98859A-A3E3-4382-B56C-AF867E3907FB}"/>
    <cellStyle name="강조색5 33" xfId="2237" xr:uid="{8E5EE1EF-2F01-47B5-92E9-CFC36C11DA35}"/>
    <cellStyle name="강조색5 33 2" xfId="2238" xr:uid="{5FDFAB94-1B45-4ACF-B338-498B1D62A7A4}"/>
    <cellStyle name="강조색5 34" xfId="2239" xr:uid="{58CC56C4-E5E8-456E-989B-141532F5447B}"/>
    <cellStyle name="강조색5 34 2" xfId="2240" xr:uid="{6534B1FD-2D6A-4CD8-88FA-10B74DBBF556}"/>
    <cellStyle name="강조색5 35" xfId="2241" xr:uid="{0CDB30F9-58F5-4A89-ABD8-1D78E65EFE53}"/>
    <cellStyle name="강조색5 35 2" xfId="2242" xr:uid="{3C3CA298-4BF0-4996-9E22-882D6D2CCEDC}"/>
    <cellStyle name="강조색5 36" xfId="2243" xr:uid="{2C718B3F-183C-4519-9F19-834E85AC4AD8}"/>
    <cellStyle name="강조색5 36 2" xfId="2244" xr:uid="{1392D5A0-A54A-47B6-B1C5-E1A451C00950}"/>
    <cellStyle name="강조색5 37" xfId="2245" xr:uid="{9DC298A5-D5FF-4275-8622-DF08C1410797}"/>
    <cellStyle name="강조색5 37 2" xfId="2246" xr:uid="{2B866140-DB89-4461-9408-0A3DE71D1A01}"/>
    <cellStyle name="강조색5 38" xfId="2247" xr:uid="{A5D5D812-FF2E-4E37-AB78-63962D9367F0}"/>
    <cellStyle name="강조색5 38 2" xfId="2248" xr:uid="{000A2192-D6E0-4990-936C-CB61B736C11A}"/>
    <cellStyle name="강조색5 39" xfId="2249" xr:uid="{11AF388C-8D2B-467B-BAB7-3A332DD67173}"/>
    <cellStyle name="강조색5 39 2" xfId="2250" xr:uid="{4FB7A111-309E-4FBC-A0DE-EAC65FA2F319}"/>
    <cellStyle name="강조색5 4" xfId="2251" xr:uid="{1269EBD4-D55A-4534-A20C-A1296D1084C3}"/>
    <cellStyle name="강조색5 4 2" xfId="2252" xr:uid="{C25DC28D-736F-42DB-A26D-1CC4B9FF416B}"/>
    <cellStyle name="강조색5 40" xfId="2253" xr:uid="{98CA816B-6777-44EE-8159-2397F13A2F91}"/>
    <cellStyle name="강조색5 40 2" xfId="2254" xr:uid="{069DE273-3B97-4E41-8D51-5C0F78F6BBAF}"/>
    <cellStyle name="강조색5 41" xfId="2255" xr:uid="{A54E8C0B-52F7-4B13-8E02-2423E2720B07}"/>
    <cellStyle name="강조색5 41 2" xfId="2256" xr:uid="{B5C08F3C-82F5-4F3E-9B3D-C8B9640E3EA8}"/>
    <cellStyle name="강조색5 42" xfId="2257" xr:uid="{2B7EEEE0-20AD-4B45-A349-34E94A184529}"/>
    <cellStyle name="강조색5 42 2" xfId="2258" xr:uid="{3AB98E6D-A2AF-470F-8D16-511D05F14B0F}"/>
    <cellStyle name="강조색5 43" xfId="2259" xr:uid="{09AFC647-7476-492C-93A9-5473FDBDEF55}"/>
    <cellStyle name="강조색5 43 2" xfId="2260" xr:uid="{D7D81440-84F8-4890-BA55-B9F4F08065D4}"/>
    <cellStyle name="강조색5 44" xfId="2261" xr:uid="{EE227E75-A514-4539-BDFE-E8D55604A0B0}"/>
    <cellStyle name="강조색5 45" xfId="2262" xr:uid="{72493941-A7FB-4220-B032-C96B4C29AD8B}"/>
    <cellStyle name="강조색5 46" xfId="2263" xr:uid="{DBC91EB0-E180-41C8-A40D-316D00D57084}"/>
    <cellStyle name="강조색5 47" xfId="2264" xr:uid="{3F249D0F-696F-43F3-8412-C10087FE6B99}"/>
    <cellStyle name="강조색5 48" xfId="2265" xr:uid="{AD3E562C-27B7-4F9C-9E27-BC7EB2392705}"/>
    <cellStyle name="강조색5 49" xfId="2266" xr:uid="{768D789A-3269-4727-AF5D-457B202822CB}"/>
    <cellStyle name="강조색5 5" xfId="2267" xr:uid="{A0F9737B-34D4-4F58-979A-0AF20BEF19BB}"/>
    <cellStyle name="강조색5 5 2" xfId="2268" xr:uid="{5CF36DE2-7B73-46D4-B725-976107551BAC}"/>
    <cellStyle name="강조색5 50" xfId="2269" xr:uid="{C94EFC45-B119-4750-B6DD-52A0E14EB4D2}"/>
    <cellStyle name="강조색5 51" xfId="3980" xr:uid="{35C1B52A-8912-45A3-B611-0D1ABFE7E587}"/>
    <cellStyle name="강조색5 52" xfId="4144" xr:uid="{4EC97C30-B15E-43DA-9B98-3038B5DE7C66}"/>
    <cellStyle name="강조색5 53" xfId="4250" xr:uid="{9089BB63-312E-48AA-9733-F6B435497919}"/>
    <cellStyle name="강조색5 54" xfId="4422" xr:uid="{785FD6B5-5BB5-4C7B-B907-A3CC689DDF27}"/>
    <cellStyle name="강조색5 55" xfId="2186" xr:uid="{E3626022-9063-4494-B0C2-8EEF82C1F71A}"/>
    <cellStyle name="강조색5 6" xfId="2270" xr:uid="{9B643636-98E0-41EE-BFEC-702375A79D1C}"/>
    <cellStyle name="강조색5 6 2" xfId="2271" xr:uid="{18247C1B-9CDC-41A8-9180-BFEE0A36056A}"/>
    <cellStyle name="강조색5 7" xfId="2272" xr:uid="{64B752DB-BF5C-4039-A1C3-601CE6BFFA2D}"/>
    <cellStyle name="강조색5 7 2" xfId="2273" xr:uid="{468D76DA-9F9E-48C4-86DB-02DA7ABF8BE6}"/>
    <cellStyle name="강조색5 8" xfId="2274" xr:uid="{469AB56D-635F-413B-B135-CDC8DF734DDA}"/>
    <cellStyle name="강조색5 8 2" xfId="2275" xr:uid="{19BBFBF3-50A8-4ECE-BF9D-94C13AD9C6F0}"/>
    <cellStyle name="강조색5 9" xfId="2276" xr:uid="{51486C7F-DF02-439B-87F7-9FF9C8E72C06}"/>
    <cellStyle name="강조색5 9 2" xfId="2277" xr:uid="{D25F1002-AC10-4786-A1DB-4EE601E6204D}"/>
    <cellStyle name="강조색6 10" xfId="2279" xr:uid="{02AB45BD-CF86-4010-BACF-900B58DCE54D}"/>
    <cellStyle name="강조색6 10 2" xfId="2280" xr:uid="{CD44172F-BF65-4C32-B73B-EA97C6A1B1EE}"/>
    <cellStyle name="강조색6 11" xfId="2281" xr:uid="{B88263ED-1B02-469F-AF0C-7E2D31D2A0D0}"/>
    <cellStyle name="강조색6 11 2" xfId="2282" xr:uid="{9319E35A-FEA6-4386-A118-9D6A6BF43AE5}"/>
    <cellStyle name="강조색6 12" xfId="2283" xr:uid="{7B266C1D-9E21-43CB-B400-9F4061A04557}"/>
    <cellStyle name="강조색6 12 2" xfId="2284" xr:uid="{3D2B11AB-31A3-4684-8BD7-908F631F0763}"/>
    <cellStyle name="강조색6 13" xfId="2285" xr:uid="{E6E8C65F-229F-434B-90EF-4184FECD9987}"/>
    <cellStyle name="강조색6 13 2" xfId="2286" xr:uid="{7E15EE64-DD4A-43FC-A6F6-6AA2D463EA38}"/>
    <cellStyle name="강조색6 14" xfId="2287" xr:uid="{B47D2EB9-FAF6-493B-A00D-049F4D580C38}"/>
    <cellStyle name="강조색6 14 2" xfId="2288" xr:uid="{3206CADF-B47E-404A-9F2C-7ECD7CACAD97}"/>
    <cellStyle name="강조색6 15" xfId="2289" xr:uid="{DD4872FB-012C-48BC-951C-3E287F31B4F0}"/>
    <cellStyle name="강조색6 15 2" xfId="2290" xr:uid="{22819CD0-5FFC-4047-81C6-CADB5F6BA8CA}"/>
    <cellStyle name="강조색6 16" xfId="2291" xr:uid="{F27E7E49-5F14-448C-86D4-7DD4C2889B22}"/>
    <cellStyle name="강조색6 16 2" xfId="2292" xr:uid="{177DA764-F707-4AF7-A582-E35CBD873050}"/>
    <cellStyle name="강조색6 17" xfId="2293" xr:uid="{73A96C1D-6253-4F04-85C3-6F5B8FBD373E}"/>
    <cellStyle name="강조색6 17 2" xfId="2294" xr:uid="{6CB36C3E-4B47-4FFC-81F3-B4E25204A4CA}"/>
    <cellStyle name="강조색6 18" xfId="2295" xr:uid="{3BD4523A-54C0-4655-AE88-A06BD86F6ED6}"/>
    <cellStyle name="강조색6 18 2" xfId="2296" xr:uid="{82C99F80-CE30-47E4-9504-F89D183B2999}"/>
    <cellStyle name="강조색6 19" xfId="2297" xr:uid="{1955C391-0FC9-4426-A812-950EBC321D51}"/>
    <cellStyle name="강조색6 19 2" xfId="2298" xr:uid="{3EC616B0-DA18-46AE-89DF-CB3B2885C11F}"/>
    <cellStyle name="강조색6 2" xfId="2299" xr:uid="{8D947B7E-446D-4E91-8DBC-5B1ED997B63D}"/>
    <cellStyle name="강조색6 2 2" xfId="2300" xr:uid="{CE44D110-8630-4729-AC39-1F6ECDF32499}"/>
    <cellStyle name="강조색6 20" xfId="2301" xr:uid="{BE807593-A05C-4D33-8CB0-B1BFA0067D35}"/>
    <cellStyle name="강조색6 20 2" xfId="2302" xr:uid="{84D3787D-A4C8-4A16-9010-10C25F370246}"/>
    <cellStyle name="강조색6 21" xfId="2303" xr:uid="{261DF4D7-0508-4FD7-8DE2-17AE695AFD4D}"/>
    <cellStyle name="강조색6 21 2" xfId="2304" xr:uid="{76245F25-C869-44E1-B6F5-6F432544E311}"/>
    <cellStyle name="강조색6 22" xfId="2305" xr:uid="{A82C00EE-D2D7-40A2-8D6F-0284C78DC18C}"/>
    <cellStyle name="강조색6 22 2" xfId="2306" xr:uid="{9F8E2A8F-315C-4732-B5D0-632E078650C7}"/>
    <cellStyle name="강조색6 23" xfId="2307" xr:uid="{D8B97E0F-393E-4B13-8CBF-C1A3631EA2BF}"/>
    <cellStyle name="강조색6 23 2" xfId="2308" xr:uid="{8274AAD0-6CAF-4852-8FAB-1AA54132EF2D}"/>
    <cellStyle name="강조색6 24" xfId="2309" xr:uid="{9D3FD3A8-0DC0-4FBA-BEB9-51CD3B88EB8D}"/>
    <cellStyle name="강조색6 24 2" xfId="2310" xr:uid="{38EF85F1-DAF2-47AC-85BD-26C956DABFAB}"/>
    <cellStyle name="강조색6 25" xfId="2311" xr:uid="{13B977EC-3962-4BEC-B2DD-7054BF3AA981}"/>
    <cellStyle name="강조색6 25 2" xfId="2312" xr:uid="{800AC8F7-2E3F-4BC3-9875-C93405FED0C9}"/>
    <cellStyle name="강조색6 26" xfId="2313" xr:uid="{C9F72D02-3EDC-4C61-AF0F-845A1317740F}"/>
    <cellStyle name="강조색6 26 2" xfId="2314" xr:uid="{228C1C61-289A-40D2-9E2E-3CE602733B8F}"/>
    <cellStyle name="강조색6 27" xfId="2315" xr:uid="{9B337436-34BA-4A52-AF2C-0D48535463D2}"/>
    <cellStyle name="강조색6 27 2" xfId="2316" xr:uid="{7947E96E-5A71-4990-AE19-0C9FC98BBA85}"/>
    <cellStyle name="강조색6 28" xfId="2317" xr:uid="{652B1C5D-7328-4E41-92C1-7A8EF3BF97AC}"/>
    <cellStyle name="강조색6 28 2" xfId="2318" xr:uid="{EAC1957C-7A95-46DC-9DFB-7B79C2BF897C}"/>
    <cellStyle name="강조색6 29" xfId="2319" xr:uid="{5FC6EF1D-7D7E-4FA1-9778-E5DCF308F555}"/>
    <cellStyle name="강조색6 29 2" xfId="2320" xr:uid="{413EF145-D981-43C2-B138-3E219E63BCCB}"/>
    <cellStyle name="강조색6 3" xfId="2321" xr:uid="{20350432-BDD8-487A-A3F4-219147681B04}"/>
    <cellStyle name="강조색6 3 2" xfId="2322" xr:uid="{1CC94286-DBB2-41CC-A863-7C4A73A1E249}"/>
    <cellStyle name="강조색6 30" xfId="2323" xr:uid="{AFE0C5D2-54AE-43F4-9CE2-F3CC3911BA4C}"/>
    <cellStyle name="강조색6 30 2" xfId="2324" xr:uid="{8AF187FF-66F7-47BB-9869-1A992D774BC2}"/>
    <cellStyle name="강조색6 31" xfId="2325" xr:uid="{F5CB530B-3B07-450F-860B-6FA27C800A81}"/>
    <cellStyle name="강조색6 31 2" xfId="2326" xr:uid="{5D7993FC-C087-4996-A61F-1D1A95CFB577}"/>
    <cellStyle name="강조색6 32" xfId="2327" xr:uid="{D88A0D79-D9D3-43B9-9EC4-9DB196F67411}"/>
    <cellStyle name="강조색6 32 2" xfId="2328" xr:uid="{936CBB7E-15E5-4BCC-BE52-66D53C7CE592}"/>
    <cellStyle name="강조색6 33" xfId="2329" xr:uid="{8D499B76-2F34-4EE6-B1EE-512E464E064A}"/>
    <cellStyle name="강조색6 33 2" xfId="2330" xr:uid="{D16DF56D-A3E9-4638-B868-080A0D55B053}"/>
    <cellStyle name="강조색6 34" xfId="2331" xr:uid="{05F2D0D6-59AA-4367-B1F5-D013D4D93693}"/>
    <cellStyle name="강조색6 34 2" xfId="2332" xr:uid="{954B95C5-4812-4B9B-9F43-4DCF51BF8236}"/>
    <cellStyle name="강조색6 35" xfId="2333" xr:uid="{FE5AB27E-486D-4F9E-A1FA-BA9EBA17BDCA}"/>
    <cellStyle name="강조색6 35 2" xfId="2334" xr:uid="{B84C652F-32A2-4A6C-862E-317B77E11288}"/>
    <cellStyle name="강조색6 36" xfId="2335" xr:uid="{64DC73DE-ABB3-4247-97E9-3C2CC798AD49}"/>
    <cellStyle name="강조색6 36 2" xfId="2336" xr:uid="{7D54CF7C-EE6A-4EA8-B31D-A63ACC500BFA}"/>
    <cellStyle name="강조색6 37" xfId="2337" xr:uid="{E318B772-7B0F-4D50-890E-FF4F3D53282E}"/>
    <cellStyle name="강조색6 37 2" xfId="2338" xr:uid="{90B7C127-48E5-425A-9278-9B9A0B90899B}"/>
    <cellStyle name="강조색6 38" xfId="2339" xr:uid="{CED18F24-5B06-44BE-B115-6E1D746B57A7}"/>
    <cellStyle name="강조색6 38 2" xfId="2340" xr:uid="{98162E6F-1D6D-4D38-84C7-7902BA52D6B5}"/>
    <cellStyle name="강조색6 39" xfId="2341" xr:uid="{D523C747-6511-4C61-9435-06F9D8D5AB1A}"/>
    <cellStyle name="강조색6 39 2" xfId="2342" xr:uid="{2165EAE6-0483-40ED-B820-546FF65BDC01}"/>
    <cellStyle name="강조색6 4" xfId="2343" xr:uid="{F79A2898-8312-41DF-8185-759B44012657}"/>
    <cellStyle name="강조색6 4 2" xfId="2344" xr:uid="{BBEF2C4B-5AD8-4587-9E63-DC54715F9535}"/>
    <cellStyle name="강조색6 40" xfId="2345" xr:uid="{28607C8F-0B8D-4703-8144-4017A24A43A5}"/>
    <cellStyle name="강조색6 40 2" xfId="2346" xr:uid="{F695C784-CE80-4A13-8D2E-AFC77F173BF1}"/>
    <cellStyle name="강조색6 41" xfId="2347" xr:uid="{294BFB8F-9B54-4D98-A16D-3D04BAC41A11}"/>
    <cellStyle name="강조색6 41 2" xfId="2348" xr:uid="{A1BCBA9D-C593-47C3-8A55-D579E5C7BB99}"/>
    <cellStyle name="강조색6 42" xfId="2349" xr:uid="{0DB46FB9-4C18-408D-9954-6E5D13A18FBF}"/>
    <cellStyle name="강조색6 42 2" xfId="2350" xr:uid="{AF2C3146-82CA-46EF-B1C9-E9A87D2F1604}"/>
    <cellStyle name="강조색6 43" xfId="2351" xr:uid="{88AB92D4-3D77-4387-8BAF-14A9C2341AA0}"/>
    <cellStyle name="강조색6 43 2" xfId="2352" xr:uid="{5AB5ABEF-034B-4DBB-9750-3A4C4F6F21A2}"/>
    <cellStyle name="강조색6 44" xfId="2353" xr:uid="{F0F24F05-5B54-4688-8AC3-1A0762455A84}"/>
    <cellStyle name="강조색6 45" xfId="2354" xr:uid="{B03050A0-4BAA-4DEA-870B-8CA5ABC81967}"/>
    <cellStyle name="강조색6 46" xfId="2355" xr:uid="{D821D330-5450-4152-A914-AD5B4DB91F9F}"/>
    <cellStyle name="강조색6 47" xfId="2356" xr:uid="{30D00FB8-D1E4-490C-ABFF-9D088286A201}"/>
    <cellStyle name="강조색6 48" xfId="2357" xr:uid="{6AA23F59-C7F0-4F42-8A89-871014C8855E}"/>
    <cellStyle name="강조색6 49" xfId="2358" xr:uid="{B7B87508-BAC2-44FD-9F4E-4C4765609B02}"/>
    <cellStyle name="강조색6 5" xfId="2359" xr:uid="{3D78696C-22D5-4773-8F4D-98C8CA68716A}"/>
    <cellStyle name="강조색6 5 2" xfId="2360" xr:uid="{C3AC5718-E653-44E2-B356-D3EA337AB352}"/>
    <cellStyle name="강조색6 50" xfId="2361" xr:uid="{AA6A1A01-BCCD-45B8-9F46-EDEB7DE19EB5}"/>
    <cellStyle name="강조색6 51" xfId="3984" xr:uid="{5C79477D-568D-48C2-9881-D468426AA07F}"/>
    <cellStyle name="강조색6 52" xfId="4148" xr:uid="{61193D5D-96DD-4B76-9BED-EF18A8359111}"/>
    <cellStyle name="강조색6 53" xfId="4251" xr:uid="{12CAB0A7-D68A-4CD2-BA23-F156A0C5F976}"/>
    <cellStyle name="강조색6 54" xfId="4423" xr:uid="{EF7345BD-7AB9-4653-B98B-518ED0E5A16C}"/>
    <cellStyle name="강조색6 55" xfId="2278" xr:uid="{E160E2C7-4CA3-40DF-9EC7-812A2EAE10D9}"/>
    <cellStyle name="강조색6 6" xfId="2362" xr:uid="{FDD02E55-6E42-4480-B0B2-CF1776973E08}"/>
    <cellStyle name="강조색6 6 2" xfId="2363" xr:uid="{2CE1A976-68BD-476D-8947-C7BB6CC76F88}"/>
    <cellStyle name="강조색6 7" xfId="2364" xr:uid="{55131B91-4F74-42D0-A4CF-74ECE3C2BBCE}"/>
    <cellStyle name="강조색6 7 2" xfId="2365" xr:uid="{59CD3BEC-3595-4C7E-A54C-09D636E42B19}"/>
    <cellStyle name="강조색6 8" xfId="2366" xr:uid="{C8A1C0BA-0E4F-4592-8D8E-369C6F6B8055}"/>
    <cellStyle name="강조색6 8 2" xfId="2367" xr:uid="{64E63C13-B150-4358-8D4A-FEF5AE56681B}"/>
    <cellStyle name="강조색6 9" xfId="2368" xr:uid="{66DAD1EE-2306-49B5-A316-BF24FF0C02A2}"/>
    <cellStyle name="강조색6 9 2" xfId="2369" xr:uid="{9F03BDF2-3142-447A-808C-22668C67CCC9}"/>
    <cellStyle name="경고문 10" xfId="2371" xr:uid="{AA1D4A00-2506-422C-8ABB-C58B877A4F25}"/>
    <cellStyle name="경고문 10 2" xfId="2372" xr:uid="{F7CC46F5-3A1B-4B5D-8C05-69A439EA31CC}"/>
    <cellStyle name="경고문 11" xfId="2373" xr:uid="{C435DC70-A7D5-4A3B-A522-2F338492EE68}"/>
    <cellStyle name="경고문 11 2" xfId="2374" xr:uid="{83E7F0E0-3C94-4CB0-88C8-FD7C65D9A7C1}"/>
    <cellStyle name="경고문 12" xfId="2375" xr:uid="{FD296F07-4BE5-4C3A-9883-689B3B1498E8}"/>
    <cellStyle name="경고문 12 2" xfId="2376" xr:uid="{F8EFA65D-D08D-40A5-A451-F1B21C51E9B9}"/>
    <cellStyle name="경고문 13" xfId="2377" xr:uid="{56161B15-4544-455D-82B2-0B88FB1F2917}"/>
    <cellStyle name="경고문 13 2" xfId="2378" xr:uid="{791C3CD4-D151-4D37-AE4A-470CA38D6DA1}"/>
    <cellStyle name="경고문 14" xfId="2379" xr:uid="{5FF23920-C74A-4570-8A1B-B412334E2B43}"/>
    <cellStyle name="경고문 14 2" xfId="2380" xr:uid="{9A9CA228-1D86-47C3-95F7-7B589FCDF441}"/>
    <cellStyle name="경고문 15" xfId="2381" xr:uid="{2E450AB1-B85F-43BE-8CCA-FF99D593B373}"/>
    <cellStyle name="경고문 15 2" xfId="2382" xr:uid="{167514CB-57EB-4B66-ABE0-CA44E3167F2F}"/>
    <cellStyle name="경고문 16" xfId="2383" xr:uid="{345E2119-D1F6-442F-9C2E-21F9DA697FB7}"/>
    <cellStyle name="경고문 16 2" xfId="2384" xr:uid="{14F3743C-0E75-42F8-ACB1-0599EED98152}"/>
    <cellStyle name="경고문 17" xfId="2385" xr:uid="{1EF33E6C-261F-4C19-A4A4-E7840ACF6524}"/>
    <cellStyle name="경고문 17 2" xfId="2386" xr:uid="{F2876E4E-AF00-4D59-9F3A-7BB5111FB096}"/>
    <cellStyle name="경고문 18" xfId="2387" xr:uid="{6028D1AA-3184-408F-A4F0-938E6E8E19B5}"/>
    <cellStyle name="경고문 18 2" xfId="2388" xr:uid="{F8084454-DC1E-490D-BE37-412F31171FCB}"/>
    <cellStyle name="경고문 19" xfId="2389" xr:uid="{0A02BE11-D4DC-4814-9A16-48C8F5B2C883}"/>
    <cellStyle name="경고문 19 2" xfId="2390" xr:uid="{5A03D394-5E9E-40E1-BF08-88A72E3DEE74}"/>
    <cellStyle name="경고문 2" xfId="2391" xr:uid="{5D5FFFF7-EE9F-4385-8466-F553901A3249}"/>
    <cellStyle name="경고문 2 2" xfId="2392" xr:uid="{CE4C142F-61F8-4A25-A8B6-E3967AA815CD}"/>
    <cellStyle name="경고문 20" xfId="2393" xr:uid="{CBFFAD74-D9C9-48B4-BB60-A09659121FEC}"/>
    <cellStyle name="경고문 20 2" xfId="2394" xr:uid="{92281263-46E3-4660-BBB3-AA382767CDD5}"/>
    <cellStyle name="경고문 21" xfId="2395" xr:uid="{1BF2AF3F-3C9C-47D0-88CD-6E0D7199AD78}"/>
    <cellStyle name="경고문 21 2" xfId="2396" xr:uid="{D1EED387-C468-4317-8BB3-EDDBDC9D4B77}"/>
    <cellStyle name="경고문 22" xfId="2397" xr:uid="{C8DF63DE-C752-45CD-9196-9FC40B8C4817}"/>
    <cellStyle name="경고문 22 2" xfId="2398" xr:uid="{2D08C122-B698-4ADA-8BED-B1C52FC1B9C1}"/>
    <cellStyle name="경고문 23" xfId="2399" xr:uid="{EF564EDB-1CF3-42CE-92B0-7BA8103DE8BE}"/>
    <cellStyle name="경고문 23 2" xfId="2400" xr:uid="{E868F632-6245-4C25-8253-2D65D2F643F4}"/>
    <cellStyle name="경고문 24" xfId="2401" xr:uid="{FDD9C785-D692-4EA0-B7DA-9DD6384D27D1}"/>
    <cellStyle name="경고문 24 2" xfId="2402" xr:uid="{0D800671-2023-4A4C-87A1-3BFA306122DA}"/>
    <cellStyle name="경고문 25" xfId="2403" xr:uid="{2885D0AC-F090-4B14-9AA9-CD88D7CD1AF3}"/>
    <cellStyle name="경고문 25 2" xfId="2404" xr:uid="{BA40A3F2-72CC-4946-845F-EECD19777A99}"/>
    <cellStyle name="경고문 26" xfId="2405" xr:uid="{4D318DE4-E412-4CB3-A629-FBA0B57EFD4F}"/>
    <cellStyle name="경고문 26 2" xfId="2406" xr:uid="{85500AE1-DE24-44AF-A091-E33EB1C48A94}"/>
    <cellStyle name="경고문 27" xfId="2407" xr:uid="{E20EF53C-7F4C-4CE2-AA45-E6EC81F1C3AF}"/>
    <cellStyle name="경고문 27 2" xfId="2408" xr:uid="{22CDFE54-C6CE-475C-9C00-3E0A01085E4F}"/>
    <cellStyle name="경고문 28" xfId="2409" xr:uid="{E6489369-67B7-4B84-AF10-8E0986C1D48D}"/>
    <cellStyle name="경고문 28 2" xfId="2410" xr:uid="{E5BFA76F-221B-4AA8-84A1-8487340FB93A}"/>
    <cellStyle name="경고문 29" xfId="2411" xr:uid="{35F86CFF-3622-49BF-AED1-5D58C9750370}"/>
    <cellStyle name="경고문 29 2" xfId="2412" xr:uid="{A58D04E3-0B4D-43E6-9BF8-7E2B312CBB5E}"/>
    <cellStyle name="경고문 3" xfId="2413" xr:uid="{EC89C353-82DF-4B8B-B1B2-377CB27C1535}"/>
    <cellStyle name="경고문 3 2" xfId="2414" xr:uid="{7E938B4C-DBB0-43EC-931C-9249F7C2686C}"/>
    <cellStyle name="경고문 30" xfId="2415" xr:uid="{23F36826-25A5-4C44-BF59-0139DAA9AF40}"/>
    <cellStyle name="경고문 30 2" xfId="2416" xr:uid="{DA557168-6691-48E7-8093-EC730A3D1F00}"/>
    <cellStyle name="경고문 31" xfId="2417" xr:uid="{D973A4A5-85EC-49D3-A57F-EADC184469C6}"/>
    <cellStyle name="경고문 31 2" xfId="2418" xr:uid="{82517194-6E53-4005-9E86-FF15B4B9CC70}"/>
    <cellStyle name="경고문 32" xfId="2419" xr:uid="{BC8C5640-8C32-486C-A79D-609E61BAD234}"/>
    <cellStyle name="경고문 32 2" xfId="2420" xr:uid="{D58F369D-82F5-4ABB-B094-F472BFBFD42A}"/>
    <cellStyle name="경고문 33" xfId="2421" xr:uid="{932C7F3A-5D72-4667-B165-EF9CCB7773D4}"/>
    <cellStyle name="경고문 33 2" xfId="2422" xr:uid="{F4299537-8E93-4EE7-A980-6783D850163C}"/>
    <cellStyle name="경고문 34" xfId="2423" xr:uid="{564ED070-FAD1-4DFC-9C22-FD73524532F8}"/>
    <cellStyle name="경고문 34 2" xfId="2424" xr:uid="{136E4B9A-FA1B-44BB-BD20-7C50DA3ABA3D}"/>
    <cellStyle name="경고문 35" xfId="2425" xr:uid="{3E5BEBDA-E895-4EE9-8A78-F82BBF568DDD}"/>
    <cellStyle name="경고문 35 2" xfId="2426" xr:uid="{9AE96E07-3126-4FBC-BE19-D3BF94AD3D67}"/>
    <cellStyle name="경고문 36" xfId="2427" xr:uid="{28437B13-2867-47E8-8AC7-37C3C44E3AE8}"/>
    <cellStyle name="경고문 36 2" xfId="2428" xr:uid="{6880CDDE-3AE7-47A9-A597-58415A1D8137}"/>
    <cellStyle name="경고문 37" xfId="2429" xr:uid="{45CC5FE3-279C-4974-B184-AC155D0B7E23}"/>
    <cellStyle name="경고문 37 2" xfId="2430" xr:uid="{AB4F333A-9FB9-4A32-ABA7-72C70D1051F3}"/>
    <cellStyle name="경고문 38" xfId="2431" xr:uid="{2174BC18-FBDA-45FF-AF80-1D5925084F2D}"/>
    <cellStyle name="경고문 38 2" xfId="2432" xr:uid="{EE085CA7-5FD6-4FA5-8B11-270F7DB0FBDA}"/>
    <cellStyle name="경고문 39" xfId="2433" xr:uid="{944EC362-ADC1-4FAD-B290-484440D6D54E}"/>
    <cellStyle name="경고문 39 2" xfId="2434" xr:uid="{E71E2DDC-6903-4ABF-AF4D-845BCAC1CD16}"/>
    <cellStyle name="경고문 4" xfId="2435" xr:uid="{3EE24376-D05E-41DC-AF90-7C67EF47BAEC}"/>
    <cellStyle name="경고문 4 2" xfId="2436" xr:uid="{62E23F8B-3511-489A-AD53-20B68E927DAB}"/>
    <cellStyle name="경고문 40" xfId="2437" xr:uid="{C0454865-7478-4A1E-B47F-3CBDE5E4F05A}"/>
    <cellStyle name="경고문 40 2" xfId="2438" xr:uid="{6C6E9CD4-CA2F-423E-B74A-0BEEC2D91E38}"/>
    <cellStyle name="경고문 41" xfId="2439" xr:uid="{F6511CEA-B99B-4DDE-B432-D90753FF62C1}"/>
    <cellStyle name="경고문 41 2" xfId="2440" xr:uid="{368261D3-3501-4F95-828D-EADD28FBB266}"/>
    <cellStyle name="경고문 42" xfId="2441" xr:uid="{48766B81-D06A-4177-A39B-D8F3C20C86D9}"/>
    <cellStyle name="경고문 42 2" xfId="2442" xr:uid="{4A45E506-1E4C-42F4-A700-6C51E3EA5898}"/>
    <cellStyle name="경고문 43" xfId="2443" xr:uid="{4322C967-DB13-4C62-BB5F-A655F96EDB9A}"/>
    <cellStyle name="경고문 43 2" xfId="2444" xr:uid="{FCD431A8-F27A-473B-B35F-5F8E0C62526E}"/>
    <cellStyle name="경고문 44" xfId="2445" xr:uid="{987A3B1C-6AB0-40B5-B6CD-42C7CAE792CB}"/>
    <cellStyle name="경고문 45" xfId="2446" xr:uid="{97A623D9-D89C-4B0B-BF95-5FBE200DC0D8}"/>
    <cellStyle name="경고문 46" xfId="2447" xr:uid="{A4569B16-A084-4291-A161-2B0F83C2B26F}"/>
    <cellStyle name="경고문 47" xfId="2448" xr:uid="{DB95F4D6-705D-4624-A944-9E11C228BEAB}"/>
    <cellStyle name="경고문 48" xfId="2449" xr:uid="{4EFA99FA-5088-4BBB-A9F5-C006D0A5FBE3}"/>
    <cellStyle name="경고문 49" xfId="2450" xr:uid="{6AB84527-854E-427E-965C-12D62407D188}"/>
    <cellStyle name="경고문 5" xfId="2451" xr:uid="{ABCDEF2D-909D-467F-A014-23B1C176BB1C}"/>
    <cellStyle name="경고문 5 2" xfId="2452" xr:uid="{EAA0E815-F70C-4BD8-86AA-006DA9F6A055}"/>
    <cellStyle name="경고문 50" xfId="2453" xr:uid="{0EAEE8BE-613A-4D39-916E-D9590FA6CDEF}"/>
    <cellStyle name="경고문 51" xfId="3960" xr:uid="{0C81BD9C-EFF8-486A-8658-2D12513A00D2}"/>
    <cellStyle name="경고문 52" xfId="4124" xr:uid="{C6A5F8BB-A279-4A5E-9C3D-FB9E6C2CB884}"/>
    <cellStyle name="경고문 53" xfId="4252" xr:uid="{676B5F8B-8A8C-4EC0-933A-C19FB51D8EBE}"/>
    <cellStyle name="경고문 54" xfId="4424" xr:uid="{AEFC1534-7175-4CF0-9B81-A77E3EDDF7EC}"/>
    <cellStyle name="경고문 55" xfId="2370" xr:uid="{1AF14706-ED09-42B6-8632-B5E2A1B32955}"/>
    <cellStyle name="경고문 6" xfId="2454" xr:uid="{A6849D74-F96A-4F8F-A90D-F2E6B16D53BA}"/>
    <cellStyle name="경고문 6 2" xfId="2455" xr:uid="{71FEE155-A0DC-4B3E-919A-437AB5C5592E}"/>
    <cellStyle name="경고문 7" xfId="2456" xr:uid="{254E578A-A3F2-439C-8A7C-F82FA1CF3BF6}"/>
    <cellStyle name="경고문 7 2" xfId="2457" xr:uid="{79E24155-56B6-4E5D-9E80-6204A65E015D}"/>
    <cellStyle name="경고문 8" xfId="2458" xr:uid="{10691521-B74C-4A6B-BE73-5A4DC8D38ED9}"/>
    <cellStyle name="경고문 8 2" xfId="2459" xr:uid="{E1CF5E72-FA2F-4285-9117-6D7D482C8CB4}"/>
    <cellStyle name="경고문 9" xfId="2460" xr:uid="{ACAD3076-FE65-44E4-99E1-D6ED10C31DCA}"/>
    <cellStyle name="경고문 9 2" xfId="2461" xr:uid="{AC003D4C-BB6D-4BD8-9F84-156371396FCB}"/>
    <cellStyle name="계산 10" xfId="2463" xr:uid="{05149C51-292B-4FB4-AD1A-B104A86157B5}"/>
    <cellStyle name="계산 10 2" xfId="2464" xr:uid="{C93F118C-3614-40F2-BD06-D0BF92899853}"/>
    <cellStyle name="계산 11" xfId="2465" xr:uid="{6A73E093-7233-441B-B6C7-9043AE863AFA}"/>
    <cellStyle name="계산 11 2" xfId="2466" xr:uid="{E3A01FE6-0293-4379-9A8B-228B382CB5A9}"/>
    <cellStyle name="계산 12" xfId="2467" xr:uid="{DAAD2B66-815B-447A-B214-44F934A8719C}"/>
    <cellStyle name="계산 12 2" xfId="2468" xr:uid="{FECDF01E-ED0D-44FD-A7B3-010ECB287982}"/>
    <cellStyle name="계산 13" xfId="2469" xr:uid="{79B9B57C-1201-4DE2-A048-9142A3E77356}"/>
    <cellStyle name="계산 13 2" xfId="2470" xr:uid="{BC5FD2AF-DAA0-43A8-B282-6128D627D2F2}"/>
    <cellStyle name="계산 14" xfId="2471" xr:uid="{AB46B72D-97FA-4A3D-91ED-44D965E8EB56}"/>
    <cellStyle name="계산 14 2" xfId="2472" xr:uid="{0653A003-51CB-4CC5-AD11-4476E70C2F13}"/>
    <cellStyle name="계산 15" xfId="2473" xr:uid="{8393FFF4-16C6-4B75-9749-6892003CB8CA}"/>
    <cellStyle name="계산 15 2" xfId="2474" xr:uid="{A3EBB20A-1855-4503-AC2B-B52A2D8AA8C0}"/>
    <cellStyle name="계산 16" xfId="2475" xr:uid="{CAFE6DBB-4F9E-4811-B684-D7B1F1DF8F1E}"/>
    <cellStyle name="계산 16 2" xfId="2476" xr:uid="{8F43CB76-D6BC-4F5E-8D4E-E60442BD3A38}"/>
    <cellStyle name="계산 17" xfId="2477" xr:uid="{EE3C87CC-3B32-4BBE-8504-2690CAFEA593}"/>
    <cellStyle name="계산 17 2" xfId="2478" xr:uid="{6462ECA2-93FE-4F66-9650-28C5C640A501}"/>
    <cellStyle name="계산 18" xfId="2479" xr:uid="{2E4E61A2-B94C-42FC-8FDC-8B0AE8078545}"/>
    <cellStyle name="계산 18 2" xfId="2480" xr:uid="{6828919A-0360-4E2C-A6DC-E4AFBFFC5780}"/>
    <cellStyle name="계산 19" xfId="2481" xr:uid="{B2ACE367-37DD-4E7E-8EC3-8E65C62412F0}"/>
    <cellStyle name="계산 19 2" xfId="2482" xr:uid="{37D6439F-94F1-4E05-B543-6B5E461BB02A}"/>
    <cellStyle name="계산 2" xfId="2483" xr:uid="{FDCBCEA1-0DCD-48B4-909A-27CBB85CAC56}"/>
    <cellStyle name="계산 2 2" xfId="2484" xr:uid="{8F2A5E93-1C7B-454C-8544-0FD0F50B0B09}"/>
    <cellStyle name="계산 20" xfId="2485" xr:uid="{6986A00C-EBDA-414F-8A19-B13D3BAFB737}"/>
    <cellStyle name="계산 20 2" xfId="2486" xr:uid="{67206A3B-A4DA-4995-A04D-CC2F4C9D63C1}"/>
    <cellStyle name="계산 21" xfId="2487" xr:uid="{28EDF574-0161-4F06-9D4F-91F5213C7061}"/>
    <cellStyle name="계산 21 2" xfId="2488" xr:uid="{5AF0C0FA-5006-4509-B719-9AD451AE8232}"/>
    <cellStyle name="계산 22" xfId="2489" xr:uid="{4B4CCDE0-C876-4161-B302-D2F3FFADE7C5}"/>
    <cellStyle name="계산 22 2" xfId="2490" xr:uid="{E8D75E2C-A0E8-4E90-966B-95998DEA5E5C}"/>
    <cellStyle name="계산 23" xfId="2491" xr:uid="{21965F8F-D1DB-42B0-8EB0-372E5D78BB91}"/>
    <cellStyle name="계산 23 2" xfId="2492" xr:uid="{2E493853-E0D1-4505-ABEE-966EA47B8448}"/>
    <cellStyle name="계산 24" xfId="2493" xr:uid="{B6B8AF9A-7BAC-4D78-B484-122D12A4B512}"/>
    <cellStyle name="계산 24 2" xfId="2494" xr:uid="{B1005F3A-F57B-4C00-B9B5-6FE13D5DF9BC}"/>
    <cellStyle name="계산 25" xfId="2495" xr:uid="{57368756-D92C-4F41-B66C-023E7FB4D926}"/>
    <cellStyle name="계산 25 2" xfId="2496" xr:uid="{EFB4F068-03FC-4ABF-B8E2-2609787B5AF3}"/>
    <cellStyle name="계산 26" xfId="2497" xr:uid="{A7A21C6B-3621-4610-A0D2-CF82B12D40BF}"/>
    <cellStyle name="계산 26 2" xfId="2498" xr:uid="{F6D72FF1-A561-4505-97AE-AD338F666009}"/>
    <cellStyle name="계산 27" xfId="2499" xr:uid="{10D7240C-3140-40A9-AD47-009806586C3E}"/>
    <cellStyle name="계산 27 2" xfId="2500" xr:uid="{51272B45-5A16-4E49-B98B-815A9375E964}"/>
    <cellStyle name="계산 28" xfId="2501" xr:uid="{8ADD7FAC-03C1-4A5B-B992-AAC80718E7CD}"/>
    <cellStyle name="계산 28 2" xfId="2502" xr:uid="{4A4CF58D-4B72-4347-8E68-9A2BFA8D813F}"/>
    <cellStyle name="계산 29" xfId="2503" xr:uid="{5427A6E0-BFC7-4C33-AABA-1FA735BC7031}"/>
    <cellStyle name="계산 29 2" xfId="2504" xr:uid="{0DE4A5E5-8DBF-43B3-9AC9-CF21234526B0}"/>
    <cellStyle name="계산 3" xfId="2505" xr:uid="{7914A209-1D12-4030-BE18-34987A6740E2}"/>
    <cellStyle name="계산 3 2" xfId="2506" xr:uid="{AF2DEFBB-C16B-4530-B937-CC9786F4C14E}"/>
    <cellStyle name="계산 30" xfId="2507" xr:uid="{178A1345-BEAC-4F91-9D98-EC0357C21359}"/>
    <cellStyle name="계산 30 2" xfId="2508" xr:uid="{FB52FA7A-145E-4037-9EBE-12093989EF87}"/>
    <cellStyle name="계산 31" xfId="2509" xr:uid="{66DDFCA9-77A6-4F0D-84B9-948F35DE9415}"/>
    <cellStyle name="계산 31 2" xfId="2510" xr:uid="{C86C1ED0-C281-4C63-87FD-D957E0C7B2B2}"/>
    <cellStyle name="계산 32" xfId="2511" xr:uid="{AD01DCEC-A985-40B4-9B46-835B3BB0B794}"/>
    <cellStyle name="계산 32 2" xfId="2512" xr:uid="{FB25C580-ED79-413F-98EB-5671EEE24B35}"/>
    <cellStyle name="계산 33" xfId="2513" xr:uid="{8036580D-9B14-4E7F-B049-51974A3FC8F4}"/>
    <cellStyle name="계산 33 2" xfId="2514" xr:uid="{84A88B01-6A10-48C2-97EF-DD9236EE5785}"/>
    <cellStyle name="계산 34" xfId="2515" xr:uid="{44DF918A-5381-45DC-9AEF-FF9D01B8F95D}"/>
    <cellStyle name="계산 34 2" xfId="2516" xr:uid="{40E91CE3-4797-4839-BB2F-8126BF1AD8D7}"/>
    <cellStyle name="계산 35" xfId="2517" xr:uid="{FDDE7738-8860-4C6B-ACD0-E23587E6B6D7}"/>
    <cellStyle name="계산 35 2" xfId="2518" xr:uid="{6423E660-F625-4A4D-B7A0-A83F14CEBFDD}"/>
    <cellStyle name="계산 36" xfId="2519" xr:uid="{26B1E861-EDFF-446A-BF28-9E64AC6AE022}"/>
    <cellStyle name="계산 36 2" xfId="2520" xr:uid="{2B1697F5-980E-4649-AEBD-BEC15D9ABB40}"/>
    <cellStyle name="계산 37" xfId="2521" xr:uid="{90DD1024-EB1E-4780-B692-C0FEA4C615E0}"/>
    <cellStyle name="계산 37 2" xfId="2522" xr:uid="{7630C56A-DC96-4037-AF10-31FA16E0EE72}"/>
    <cellStyle name="계산 38" xfId="2523" xr:uid="{BE2F4A38-2DC2-4B51-815F-7AF7B43BC23F}"/>
    <cellStyle name="계산 38 2" xfId="2524" xr:uid="{5B29CEE9-131B-42DF-B32E-2515AE69A7BA}"/>
    <cellStyle name="계산 39" xfId="2525" xr:uid="{5566CF45-ED43-4CC7-80FC-E30FBAB61482}"/>
    <cellStyle name="계산 39 2" xfId="2526" xr:uid="{A9B4D4E5-5101-4813-AF9E-6CA4C046C2C6}"/>
    <cellStyle name="계산 4" xfId="2527" xr:uid="{C409D125-5FAE-451F-9D30-E5C0FB363B7D}"/>
    <cellStyle name="계산 4 2" xfId="2528" xr:uid="{BCF009D4-A564-4BB0-B728-00CD7A6E0252}"/>
    <cellStyle name="계산 40" xfId="2529" xr:uid="{E557BC8D-A190-4541-A2FB-11AE3472DE1B}"/>
    <cellStyle name="계산 40 2" xfId="2530" xr:uid="{5C90A2E3-8DEE-44D8-A463-C47B19275980}"/>
    <cellStyle name="계산 41" xfId="2531" xr:uid="{5F121707-1777-42B8-8672-2BF29FC09FCE}"/>
    <cellStyle name="계산 41 2" xfId="2532" xr:uid="{767005D8-FD86-4741-B7F4-0EE29E380E88}"/>
    <cellStyle name="계산 42" xfId="2533" xr:uid="{469304EA-FB88-4624-9F95-A4FECB50B287}"/>
    <cellStyle name="계산 42 2" xfId="2534" xr:uid="{B8D646D7-4355-4CFF-B9B1-C1F9C2E332DC}"/>
    <cellStyle name="계산 43" xfId="2535" xr:uid="{9B9AA76D-9622-4C54-A920-1D61ECA6E569}"/>
    <cellStyle name="계산 43 2" xfId="2536" xr:uid="{2D3C7D9C-B2F0-4C0C-9FC5-F09394164F2F}"/>
    <cellStyle name="계산 44" xfId="2537" xr:uid="{5EBADEE2-A26B-422F-8349-7FD07B7DEA54}"/>
    <cellStyle name="계산 45" xfId="2538" xr:uid="{B662869E-EB04-43C4-A5F6-3BC4089729C5}"/>
    <cellStyle name="계산 46" xfId="2539" xr:uid="{4ED81FD8-097E-4FCA-94C1-432755AE878D}"/>
    <cellStyle name="계산 47" xfId="2540" xr:uid="{727C772F-36E6-46EB-B77D-42F359549391}"/>
    <cellStyle name="계산 48" xfId="2541" xr:uid="{964F96F4-1227-4CD2-B27F-F7FF008021EE}"/>
    <cellStyle name="계산 49" xfId="2542" xr:uid="{8746D755-8393-4288-B8D1-83FFD2E8A342}"/>
    <cellStyle name="계산 5" xfId="2543" xr:uid="{A6F26B2D-E62D-43AA-B9CC-0F523BBB179F}"/>
    <cellStyle name="계산 5 2" xfId="2544" xr:uid="{A97584B8-A125-4073-A171-4BB9480460C4}"/>
    <cellStyle name="계산 50" xfId="2545" xr:uid="{E30C9C1F-B379-4CF4-A5EC-F96659AB6EBF}"/>
    <cellStyle name="계산 51" xfId="3957" xr:uid="{89B233FA-38F5-421C-8AA5-B1EB47F957AA}"/>
    <cellStyle name="계산 52" xfId="4121" xr:uid="{A16493AB-1ECE-4764-979D-0E75510585EF}"/>
    <cellStyle name="계산 53" xfId="4253" xr:uid="{B3DA1628-4F69-4915-B760-C52B84D1BB8B}"/>
    <cellStyle name="계산 54" xfId="4425" xr:uid="{DC74CA79-1CEA-4142-A982-A1F0B26F2141}"/>
    <cellStyle name="계산 55" xfId="2462" xr:uid="{5E952829-EFF4-43B5-B51A-250FEFE04B4F}"/>
    <cellStyle name="계산 6" xfId="2546" xr:uid="{B9A5235E-81EC-4F15-B190-847E3CC35CB0}"/>
    <cellStyle name="계산 6 2" xfId="2547" xr:uid="{55A15BC9-C889-4BDC-B3A8-712600FFC03F}"/>
    <cellStyle name="계산 7" xfId="2548" xr:uid="{79F179F6-E6AD-4826-909E-2E8CD57B75F6}"/>
    <cellStyle name="계산 7 2" xfId="2549" xr:uid="{190486C1-7815-4B00-A500-D96DF171FC9E}"/>
    <cellStyle name="계산 8" xfId="2550" xr:uid="{71262372-97A0-4B9B-BEAB-CB1594BD63BC}"/>
    <cellStyle name="계산 8 2" xfId="2551" xr:uid="{AEA08DA3-E1B0-4A4A-8BC7-95A4067AF474}"/>
    <cellStyle name="계산 9" xfId="2552" xr:uid="{E9F6781F-57C0-4378-8FDD-624A5F4D4679}"/>
    <cellStyle name="계산 9 2" xfId="2553" xr:uid="{620E0A72-D0B3-4CC8-9679-CB8E6A9FBBC3}"/>
    <cellStyle name="나쁨 10" xfId="2555" xr:uid="{7A8F2999-5E6D-40D4-80FF-EB79A1F851C1}"/>
    <cellStyle name="나쁨 10 2" xfId="2556" xr:uid="{7D7CF67E-90A1-4687-AF6F-F9C3D9866C76}"/>
    <cellStyle name="나쁨 11" xfId="2557" xr:uid="{E0288EF2-1CCB-494B-A1EF-D1B6A83FCEFC}"/>
    <cellStyle name="나쁨 11 2" xfId="2558" xr:uid="{5AA3A83C-A3AF-42ED-B7A7-B1CA4B9CE2DF}"/>
    <cellStyle name="나쁨 12" xfId="2559" xr:uid="{ABD90BC6-9CAD-4A83-973D-FFAD2C4CDE8A}"/>
    <cellStyle name="나쁨 12 2" xfId="2560" xr:uid="{AF68E120-5690-4C2F-BEF6-477485E87C3D}"/>
    <cellStyle name="나쁨 13" xfId="2561" xr:uid="{79370443-F50A-4CE0-B108-08E16406E1A8}"/>
    <cellStyle name="나쁨 13 2" xfId="2562" xr:uid="{72C22623-3221-4E85-AF94-EA7B3ED7D1E0}"/>
    <cellStyle name="나쁨 14" xfId="2563" xr:uid="{616CC821-699E-450D-885D-390A01CBB74E}"/>
    <cellStyle name="나쁨 14 2" xfId="2564" xr:uid="{0DAA98C2-73F5-4E23-AEE2-E07C55DD2C01}"/>
    <cellStyle name="나쁨 15" xfId="2565" xr:uid="{984212D9-6BEA-40EF-A32F-E2B3535C4412}"/>
    <cellStyle name="나쁨 15 2" xfId="2566" xr:uid="{B24E6F59-7EBE-46B0-8435-C5176C2C9CE7}"/>
    <cellStyle name="나쁨 16" xfId="2567" xr:uid="{437AD5D6-A602-49DB-A6AE-AD17A9617D3A}"/>
    <cellStyle name="나쁨 16 2" xfId="2568" xr:uid="{3EA309E5-1070-4D11-9843-91060265CCE5}"/>
    <cellStyle name="나쁨 17" xfId="2569" xr:uid="{D3BD02A6-5C29-47AF-98FF-982CEA1EF322}"/>
    <cellStyle name="나쁨 17 2" xfId="2570" xr:uid="{F03AAF7A-AE02-4A42-B409-0C31D5E93615}"/>
    <cellStyle name="나쁨 18" xfId="2571" xr:uid="{6EA773F3-402C-421D-B294-01B8D0D21378}"/>
    <cellStyle name="나쁨 18 2" xfId="2572" xr:uid="{51A80259-FFE8-4F37-AE57-A14BE5EDA996}"/>
    <cellStyle name="나쁨 19" xfId="2573" xr:uid="{0A168ABF-2FB5-4266-AB5F-3617ACFC5A66}"/>
    <cellStyle name="나쁨 19 2" xfId="2574" xr:uid="{01C10C7B-29AA-4678-A52C-0B8CD2A74F10}"/>
    <cellStyle name="나쁨 2" xfId="2575" xr:uid="{775BB96E-B2A7-4F7E-A9C4-DCE22096622A}"/>
    <cellStyle name="나쁨 2 2" xfId="2576" xr:uid="{F839E0E4-4305-4F39-B619-64E931B5E5C0}"/>
    <cellStyle name="나쁨 20" xfId="2577" xr:uid="{BD2A055B-4BF0-498B-A205-42FD5C4CF200}"/>
    <cellStyle name="나쁨 20 2" xfId="2578" xr:uid="{44BD1B96-C47E-47B1-A4A3-1E6F354E0FE7}"/>
    <cellStyle name="나쁨 21" xfId="2579" xr:uid="{7BA18618-990C-4CCA-9C82-472FB1BB519C}"/>
    <cellStyle name="나쁨 21 2" xfId="2580" xr:uid="{A3C4154A-E958-4A66-BE71-7C4D4691C40E}"/>
    <cellStyle name="나쁨 22" xfId="2581" xr:uid="{51155B93-C4AE-43D6-A358-296F028EC28D}"/>
    <cellStyle name="나쁨 22 2" xfId="2582" xr:uid="{99319062-A224-425C-8E11-0B7FC992E528}"/>
    <cellStyle name="나쁨 23" xfId="2583" xr:uid="{1E58BD56-A664-4DB6-A122-E52781C6B269}"/>
    <cellStyle name="나쁨 23 2" xfId="2584" xr:uid="{91334D6B-E70B-4CCE-A584-F0D72575FE3D}"/>
    <cellStyle name="나쁨 24" xfId="2585" xr:uid="{876DAC1E-82AB-41D5-B5AE-547350B02316}"/>
    <cellStyle name="나쁨 24 2" xfId="2586" xr:uid="{662749E0-C22E-423D-B5D3-ABED86B3FCE0}"/>
    <cellStyle name="나쁨 25" xfId="2587" xr:uid="{BC193FCA-538C-48CD-B05B-75BE65580CE4}"/>
    <cellStyle name="나쁨 25 2" xfId="2588" xr:uid="{0754DE20-A4DD-4A98-8B8B-399AC51CDA06}"/>
    <cellStyle name="나쁨 26" xfId="2589" xr:uid="{2389D6BC-A231-4E73-91A6-6AE2D45B1AFC}"/>
    <cellStyle name="나쁨 26 2" xfId="2590" xr:uid="{0EBE1216-C12E-4C2D-B588-C63D7EBA03A2}"/>
    <cellStyle name="나쁨 27" xfId="2591" xr:uid="{308EBA40-49DA-4F6E-AFB5-025F258AFEE8}"/>
    <cellStyle name="나쁨 27 2" xfId="2592" xr:uid="{175EF2D0-BC57-482F-AD9D-854058AB3EBB}"/>
    <cellStyle name="나쁨 28" xfId="2593" xr:uid="{FD5EBB17-2986-4102-BDB5-799CED08F6F5}"/>
    <cellStyle name="나쁨 28 2" xfId="2594" xr:uid="{A11B7211-6FB9-49BB-8548-BCF4A05773D7}"/>
    <cellStyle name="나쁨 29" xfId="2595" xr:uid="{B2D3F86F-D8D3-4C57-A560-4D437581CCD3}"/>
    <cellStyle name="나쁨 29 2" xfId="2596" xr:uid="{000C851D-B0D0-4D3A-B357-64BD7CF380C6}"/>
    <cellStyle name="나쁨 3" xfId="2597" xr:uid="{5BE41B3F-C448-48B0-AAC8-F08F3336D6B2}"/>
    <cellStyle name="나쁨 3 2" xfId="2598" xr:uid="{999A1653-1297-4AA6-9F1D-BD4AC329F308}"/>
    <cellStyle name="나쁨 30" xfId="2599" xr:uid="{A875CEE1-224F-4A1B-A82F-8B44CF42FE6D}"/>
    <cellStyle name="나쁨 30 2" xfId="2600" xr:uid="{5F4F8B6D-79B4-490C-8A7E-91303B44A72A}"/>
    <cellStyle name="나쁨 31" xfId="2601" xr:uid="{66DD21EB-F1F7-423E-939B-A3CC10081A26}"/>
    <cellStyle name="나쁨 31 2" xfId="2602" xr:uid="{A7D1944F-1363-4E54-9931-C1D9DED5E085}"/>
    <cellStyle name="나쁨 32" xfId="2603" xr:uid="{975CF9D0-D576-4652-9F33-06711B364B22}"/>
    <cellStyle name="나쁨 32 2" xfId="2604" xr:uid="{3E7B177D-0A4F-4CDE-8308-09FA31C047EF}"/>
    <cellStyle name="나쁨 33" xfId="2605" xr:uid="{59437FD2-CEB0-4D30-9E0A-30375BA93DF8}"/>
    <cellStyle name="나쁨 33 2" xfId="2606" xr:uid="{DC708A1C-DEB9-49E5-8BEA-37D254436A98}"/>
    <cellStyle name="나쁨 34" xfId="2607" xr:uid="{ACD117B6-38C4-4C5E-A4A4-4BAE56FB8D32}"/>
    <cellStyle name="나쁨 34 2" xfId="2608" xr:uid="{7CB26959-A8FF-4CE6-ACD3-5A158F04ED91}"/>
    <cellStyle name="나쁨 35" xfId="2609" xr:uid="{2F11C070-E3EA-4FC0-BB9B-BB6870417FEF}"/>
    <cellStyle name="나쁨 35 2" xfId="2610" xr:uid="{A853ADA6-2AC4-4587-AB79-8D326D453295}"/>
    <cellStyle name="나쁨 36" xfId="2611" xr:uid="{92334FFB-EDFB-4213-BE2C-C254688FD525}"/>
    <cellStyle name="나쁨 36 2" xfId="2612" xr:uid="{9FAD9C70-7684-45F5-BCAC-46DD4974B542}"/>
    <cellStyle name="나쁨 37" xfId="2613" xr:uid="{50325139-49ED-4292-822C-1DA251C083CC}"/>
    <cellStyle name="나쁨 37 2" xfId="2614" xr:uid="{8076DB65-79CF-40C4-8449-80B8C10C1C04}"/>
    <cellStyle name="나쁨 38" xfId="2615" xr:uid="{8EA2D829-2971-40B9-A4B1-097E60845167}"/>
    <cellStyle name="나쁨 38 2" xfId="2616" xr:uid="{53AA0C56-24CA-4FE1-82BA-88C17E255C97}"/>
    <cellStyle name="나쁨 39" xfId="2617" xr:uid="{22AD1F08-A94D-4C45-B65E-D403DC2617C9}"/>
    <cellStyle name="나쁨 39 2" xfId="2618" xr:uid="{7F68476F-0B26-4996-A87D-057303346BB5}"/>
    <cellStyle name="나쁨 4" xfId="2619" xr:uid="{0756E68F-134E-4A48-9E3E-F08DBDA789F3}"/>
    <cellStyle name="나쁨 4 2" xfId="2620" xr:uid="{7B3DA77D-C44C-4639-9015-DDFEAB6BEE9A}"/>
    <cellStyle name="나쁨 40" xfId="2621" xr:uid="{D1BEA1FD-70F3-4B72-9275-404656AFB6EB}"/>
    <cellStyle name="나쁨 40 2" xfId="2622" xr:uid="{CDF011C7-B364-498B-B167-D162C16D47B0}"/>
    <cellStyle name="나쁨 41" xfId="2623" xr:uid="{F6679177-1D9C-4840-8965-BCA731933BD0}"/>
    <cellStyle name="나쁨 41 2" xfId="2624" xr:uid="{FEE7003D-F717-44C6-B35A-5652129FFF8B}"/>
    <cellStyle name="나쁨 42" xfId="2625" xr:uid="{4C63F245-6AA6-4DAC-9083-CC6C1142E0BE}"/>
    <cellStyle name="나쁨 42 2" xfId="2626" xr:uid="{2BE1F9BD-6389-4083-AC99-E2606C95B17A}"/>
    <cellStyle name="나쁨 43" xfId="2627" xr:uid="{AAE29751-D3F1-4E8E-AFB7-6E5AD282B5AA}"/>
    <cellStyle name="나쁨 43 2" xfId="2628" xr:uid="{704FB1DB-A6D7-4573-960C-21F4FCB70B34}"/>
    <cellStyle name="나쁨 44" xfId="2629" xr:uid="{03FA61B0-3956-4794-97FE-03CCBECE965B}"/>
    <cellStyle name="나쁨 45" xfId="2630" xr:uid="{6474AFE7-8048-4553-86BF-E54CBC3A8F49}"/>
    <cellStyle name="나쁨 46" xfId="2631" xr:uid="{89AD29AC-E1F1-478C-81E6-FA7CC952C3C4}"/>
    <cellStyle name="나쁨 47" xfId="2632" xr:uid="{1CA53C36-0A3E-4C19-9EC0-A91F1F20BE7A}"/>
    <cellStyle name="나쁨 48" xfId="2633" xr:uid="{2839CCCB-A982-40AE-B95E-FF09A2E4CB82}"/>
    <cellStyle name="나쁨 49" xfId="2634" xr:uid="{083F2E1A-33C3-4257-A4B4-390FEA8F30F8}"/>
    <cellStyle name="나쁨 5" xfId="2635" xr:uid="{867C92CB-A826-46D8-A27E-89A49F8F1454}"/>
    <cellStyle name="나쁨 5 2" xfId="2636" xr:uid="{BEC0C3EB-1DE5-41CD-98C5-7869D66485AA}"/>
    <cellStyle name="나쁨 50" xfId="2637" xr:uid="{0129511E-EF03-4D85-98CA-B49276793FD9}"/>
    <cellStyle name="나쁨 51" xfId="3953" xr:uid="{B95AC8BB-E5C5-449D-B294-3C729D3AF96E}"/>
    <cellStyle name="나쁨 52" xfId="4117" xr:uid="{370487B2-CF86-44DA-8FAD-F8DA03DF9668}"/>
    <cellStyle name="나쁨 53" xfId="4254" xr:uid="{FDBC9C9A-8EAC-4D2E-857F-0275289A6B9F}"/>
    <cellStyle name="나쁨 54" xfId="4426" xr:uid="{E7977734-0546-40BB-9387-2EB69189F622}"/>
    <cellStyle name="나쁨 55" xfId="2554" xr:uid="{EAD57CF4-691C-4683-92F4-4FAF3326343B}"/>
    <cellStyle name="나쁨 6" xfId="2638" xr:uid="{16554617-257E-42B0-986D-35452C920CDB}"/>
    <cellStyle name="나쁨 6 2" xfId="2639" xr:uid="{2BFEE829-CAD7-4E2C-A1D3-B8D3E817647D}"/>
    <cellStyle name="나쁨 7" xfId="2640" xr:uid="{7D0A0743-1633-4DED-AF57-D268F298D591}"/>
    <cellStyle name="나쁨 7 2" xfId="2641" xr:uid="{2A04DF0D-7DCE-44B7-A4CA-56D38E566E21}"/>
    <cellStyle name="나쁨 8" xfId="2642" xr:uid="{546C48D8-3AD7-4097-9477-209BCBF3B41F}"/>
    <cellStyle name="나쁨 8 2" xfId="2643" xr:uid="{6C8F9F66-2ADD-4A2D-958C-0007BED232A2}"/>
    <cellStyle name="나쁨 9" xfId="2644" xr:uid="{591E4C6A-918B-42D6-9135-D1662951E17F}"/>
    <cellStyle name="나쁨 9 2" xfId="2645" xr:uid="{0415246D-87D3-4388-80DA-3B8CFF560EAB}"/>
    <cellStyle name="메모 10" xfId="2647" xr:uid="{A4C20D80-BCE3-4B08-9CE5-67B439D9BB1D}"/>
    <cellStyle name="메모 10 2" xfId="2648" xr:uid="{844DEE20-0B8F-44B2-AFB3-D9D46C8325D1}"/>
    <cellStyle name="메모 10 2 2" xfId="3989" xr:uid="{C108F513-D6B1-48E7-9F99-C08F0207E887}"/>
    <cellStyle name="메모 10 2 3" xfId="4750" xr:uid="{7F4DF989-0472-4976-91BC-1438359C393B}"/>
    <cellStyle name="메모 10 3" xfId="3988" xr:uid="{95D179AC-6689-4573-AD9D-90AB73CD92FD}"/>
    <cellStyle name="메모 10 4" xfId="4749" xr:uid="{58E7945A-B25D-4930-A5DE-C2B033DA892B}"/>
    <cellStyle name="메모 11" xfId="2649" xr:uid="{1EE409EF-A509-4087-9BD0-DE4A5246A1F4}"/>
    <cellStyle name="메모 11 2" xfId="2650" xr:uid="{F619F8C4-9447-4A0A-BCD9-0007B400BF40}"/>
    <cellStyle name="메모 11 2 2" xfId="3991" xr:uid="{E79A7FEE-605A-456C-B97B-1A5B07354146}"/>
    <cellStyle name="메모 11 2 3" xfId="4752" xr:uid="{0687D33D-4D21-47CD-887A-92C8830F0C55}"/>
    <cellStyle name="메모 11 3" xfId="3990" xr:uid="{5D9FB129-6A8B-4282-899F-6022EA4323E7}"/>
    <cellStyle name="메모 11 4" xfId="4751" xr:uid="{897EF0A6-FF8D-456E-BEAE-014E4B80A17C}"/>
    <cellStyle name="메모 12" xfId="2651" xr:uid="{11F1127F-1389-4A13-BEA3-8BD53CF4DAAE}"/>
    <cellStyle name="메모 12 2" xfId="2652" xr:uid="{B1F0A0E7-F16D-41FA-A6B7-49FB067AF8FE}"/>
    <cellStyle name="메모 12 2 2" xfId="3993" xr:uid="{1FE942AA-D56D-4E56-84B3-CEDD50D00539}"/>
    <cellStyle name="메모 12 2 3" xfId="4754" xr:uid="{7E57B143-36CA-48FB-B48E-A081FB45E6E5}"/>
    <cellStyle name="메모 12 3" xfId="3992" xr:uid="{16938D33-D31C-41CB-A435-6E5DBA0B8463}"/>
    <cellStyle name="메모 12 4" xfId="4753" xr:uid="{F7E75AFA-0816-4531-A880-C61711750A87}"/>
    <cellStyle name="메모 13" xfId="2653" xr:uid="{7FD85566-B3F2-4409-9B3F-119FD646BA2B}"/>
    <cellStyle name="메모 13 2" xfId="2654" xr:uid="{585EE2EF-CB80-4DA2-9149-546BCBFF3E55}"/>
    <cellStyle name="메모 13 2 2" xfId="3995" xr:uid="{2A92B450-3923-4CB9-96CB-CD669BB5FB5A}"/>
    <cellStyle name="메모 13 2 3" xfId="4756" xr:uid="{8AB4556F-1F46-4167-B8B9-9835EBB76B20}"/>
    <cellStyle name="메모 13 3" xfId="3994" xr:uid="{C09E554B-43BE-42F4-98FF-1CEE6BB62255}"/>
    <cellStyle name="메모 13 4" xfId="4755" xr:uid="{7ACB71DE-614E-431A-8405-6E81D65E769E}"/>
    <cellStyle name="메모 14" xfId="2655" xr:uid="{75CA94C4-90AC-4AAF-9B61-10C24BE7BAB4}"/>
    <cellStyle name="메모 14 2" xfId="2656" xr:uid="{0C954CBE-EB71-4040-BC2B-A0B9D88726B9}"/>
    <cellStyle name="메모 14 2 2" xfId="3997" xr:uid="{F235A9A4-1F5F-4A77-8415-245DDF8E2CFE}"/>
    <cellStyle name="메모 14 2 3" xfId="4758" xr:uid="{80C09456-823F-4E36-B6A1-AA920D178911}"/>
    <cellStyle name="메모 14 3" xfId="3996" xr:uid="{13BE8AC7-5A7C-4134-8247-18FD1B305C62}"/>
    <cellStyle name="메모 14 4" xfId="4757" xr:uid="{73EDC56F-7C13-43C2-BC8B-A294B4B11A6D}"/>
    <cellStyle name="메모 15" xfId="2657" xr:uid="{9925DEC4-273F-469B-8D97-E5645859259F}"/>
    <cellStyle name="메모 15 2" xfId="2658" xr:uid="{FDD6067F-C358-483B-B53B-4C83BB233846}"/>
    <cellStyle name="메모 15 2 2" xfId="3999" xr:uid="{F33477D4-B272-44B0-9D15-61EDC709B084}"/>
    <cellStyle name="메모 15 2 3" xfId="4760" xr:uid="{3E4EF7D3-BE50-4662-B0D3-C6B867465F6B}"/>
    <cellStyle name="메모 15 3" xfId="3998" xr:uid="{BF3110E5-6B02-43DE-BD54-348B16D90F6F}"/>
    <cellStyle name="메모 15 4" xfId="4759" xr:uid="{F26B1FA6-879E-48A5-A2A3-FD649D2581F0}"/>
    <cellStyle name="메모 16" xfId="2659" xr:uid="{26922CDD-C05C-4756-9A5F-2AFAD2A593B3}"/>
    <cellStyle name="메모 16 2" xfId="2660" xr:uid="{930FB476-8CD7-4B32-AA29-90F214D199A2}"/>
    <cellStyle name="메모 16 2 2" xfId="4001" xr:uid="{54DCAB50-2C09-41B7-9B4D-0A033CBEFCF1}"/>
    <cellStyle name="메모 16 2 3" xfId="4762" xr:uid="{68C17F1C-2737-4209-9E6E-3CDD4A93EC86}"/>
    <cellStyle name="메모 16 3" xfId="4000" xr:uid="{3078FE89-DCAD-422B-AC07-8D3E3843BA23}"/>
    <cellStyle name="메모 16 4" xfId="4761" xr:uid="{DC6CD8E5-8F8C-422F-81AA-87485C538AC5}"/>
    <cellStyle name="메모 17" xfId="2661" xr:uid="{2874BE2A-7300-477E-9F47-0F4C4B9063B0}"/>
    <cellStyle name="메모 17 2" xfId="2662" xr:uid="{F74CEEBB-0FBB-46EC-9AFE-554CC2B919A0}"/>
    <cellStyle name="메모 17 2 2" xfId="4003" xr:uid="{6511671F-E844-4298-8C45-D089D56826AC}"/>
    <cellStyle name="메모 17 2 3" xfId="4764" xr:uid="{5D8356B1-725B-45E9-8D8F-00B28CA04969}"/>
    <cellStyle name="메모 17 3" xfId="4002" xr:uid="{3BBD1C1C-1DA0-41A3-A443-810494304B44}"/>
    <cellStyle name="메모 17 4" xfId="4763" xr:uid="{2A4EE8AB-9B05-4B7D-92E9-9D2C8327AEF4}"/>
    <cellStyle name="메모 18" xfId="2663" xr:uid="{157BE01E-5928-4371-8794-FF64AE939ECF}"/>
    <cellStyle name="메모 18 2" xfId="2664" xr:uid="{16A793EF-C9E8-4FCC-A8D0-0093B95F0F9C}"/>
    <cellStyle name="메모 18 2 2" xfId="4005" xr:uid="{C1678E12-BE1B-4A29-8F81-277AAC8DB8D1}"/>
    <cellStyle name="메모 18 2 3" xfId="4766" xr:uid="{35A0F849-9900-4751-A110-942E4B47C5F2}"/>
    <cellStyle name="메모 18 3" xfId="4004" xr:uid="{329902C5-F5BC-4492-AC33-8E9505B09384}"/>
    <cellStyle name="메모 18 4" xfId="4765" xr:uid="{A5E14099-885F-4C3A-8D04-D13D428D1C03}"/>
    <cellStyle name="메모 19" xfId="2665" xr:uid="{8D6FD335-0865-4D25-8F0A-9C08FDEF352B}"/>
    <cellStyle name="메모 19 2" xfId="2666" xr:uid="{513462AA-A2EF-44E0-B7FB-56C8474CC81A}"/>
    <cellStyle name="메모 19 2 2" xfId="4007" xr:uid="{FFD8FF2C-3FCC-454A-ACBC-582C8A419301}"/>
    <cellStyle name="메모 19 2 3" xfId="4768" xr:uid="{EDD98492-CA9F-4E31-9B8B-EA1B72A6CE25}"/>
    <cellStyle name="메모 19 3" xfId="4006" xr:uid="{A8BE0D55-F947-4061-B152-9C31A44301C3}"/>
    <cellStyle name="메모 19 4" xfId="4767" xr:uid="{5F2FBF58-1BF5-4DEC-9AEE-AB935BBF9868}"/>
    <cellStyle name="메모 2" xfId="2667" xr:uid="{781CD098-F3C1-4D47-A064-4C31305210E2}"/>
    <cellStyle name="메모 2 2" xfId="2668" xr:uid="{CAE4261E-3539-4A8D-832A-9B351FD13CC4}"/>
    <cellStyle name="메모 2 2 2" xfId="4009" xr:uid="{271C3C83-58EE-40D2-AD64-FF88F4F7CC77}"/>
    <cellStyle name="메모 2 2 3" xfId="4770" xr:uid="{690A0B5B-CE92-423A-9367-7F3C46085BC8}"/>
    <cellStyle name="메모 2 3" xfId="4008" xr:uid="{E50CAEF0-557C-499C-B4F1-74948CBC75BF}"/>
    <cellStyle name="메모 2 4" xfId="4769" xr:uid="{79049602-D473-4CC3-8F6E-974437E46065}"/>
    <cellStyle name="메모 20" xfId="2669" xr:uid="{B9F06C3A-9722-4DFF-BCE7-741E9D913033}"/>
    <cellStyle name="메모 20 2" xfId="2670" xr:uid="{899E2EA3-A396-4DFD-8424-1A342641356D}"/>
    <cellStyle name="메모 20 2 2" xfId="4011" xr:uid="{026E7A4B-DDA5-41AA-A194-1EE128DC2ABF}"/>
    <cellStyle name="메모 20 2 3" xfId="4772" xr:uid="{FD61CEA6-88D6-4087-8833-187981BC154C}"/>
    <cellStyle name="메모 20 3" xfId="4010" xr:uid="{C0B6A237-5A38-423C-921D-A1801B3B6369}"/>
    <cellStyle name="메모 20 4" xfId="4771" xr:uid="{893830EB-6233-402A-A8B0-40E67348C8CE}"/>
    <cellStyle name="메모 21" xfId="2671" xr:uid="{E84BDB0C-AA03-4EAB-AB17-FA10531E8B04}"/>
    <cellStyle name="메모 21 2" xfId="2672" xr:uid="{D2AF371C-E0EB-4E8E-A027-05FC2F253D0C}"/>
    <cellStyle name="메모 21 2 2" xfId="4013" xr:uid="{5F5A5D04-782A-459F-89CF-12946FA86FBD}"/>
    <cellStyle name="메모 21 2 3" xfId="4774" xr:uid="{B8EB1F19-4700-4C22-93FD-7A4121676CE3}"/>
    <cellStyle name="메모 21 3" xfId="4012" xr:uid="{3F1D82FB-1697-4FC4-B217-6FDFD582690C}"/>
    <cellStyle name="메모 21 4" xfId="4773" xr:uid="{D3F0A965-6BDB-47F5-AAF0-3F7E54E84204}"/>
    <cellStyle name="메모 22" xfId="2673" xr:uid="{BD2ACAE3-1E31-46CA-B80D-B9226E7A027B}"/>
    <cellStyle name="메모 22 2" xfId="2674" xr:uid="{4F8E0A07-E355-4461-95D8-D2B9CE45C840}"/>
    <cellStyle name="메모 22 2 2" xfId="4015" xr:uid="{89C06604-80BC-413B-8710-E9C45806AA43}"/>
    <cellStyle name="메모 22 2 3" xfId="4776" xr:uid="{0D27DB51-6E82-46C7-B6F6-564C5B750451}"/>
    <cellStyle name="메모 22 3" xfId="4014" xr:uid="{FC0A94DD-2BD3-49BF-B1D6-DC59659C5DB4}"/>
    <cellStyle name="메모 22 4" xfId="4775" xr:uid="{A71AE1DA-ED90-439A-A4DB-CA41F6FDB01C}"/>
    <cellStyle name="메모 23" xfId="2675" xr:uid="{B5B8EBD1-431B-48DF-90D5-791C632B77F6}"/>
    <cellStyle name="메모 23 2" xfId="2676" xr:uid="{07AC42D8-60C1-47A6-9167-9F20B2359701}"/>
    <cellStyle name="메모 23 2 2" xfId="4017" xr:uid="{E711238C-E6E4-40F8-966E-DE4A0B2A73BF}"/>
    <cellStyle name="메모 23 2 3" xfId="4778" xr:uid="{79E3ACFD-2191-44EB-B8B1-8C572234E649}"/>
    <cellStyle name="메모 23 3" xfId="4016" xr:uid="{0BE9642A-97CE-4131-AB4D-6B36C86B5E16}"/>
    <cellStyle name="메모 23 4" xfId="4777" xr:uid="{AEB1E71E-CB32-4649-8F83-74FEFF297376}"/>
    <cellStyle name="메모 24" xfId="2677" xr:uid="{2AF6A46F-1020-49D3-9CBD-E4683772C54C}"/>
    <cellStyle name="메모 24 2" xfId="2678" xr:uid="{FDFDDE52-7594-4657-B41A-C7A80D165009}"/>
    <cellStyle name="메모 24 2 2" xfId="4019" xr:uid="{8C363A11-53EB-4E75-83E9-1C7F700AD0B8}"/>
    <cellStyle name="메모 24 2 3" xfId="4780" xr:uid="{E9312A1E-3EB2-4DFD-8A65-6DD4FB843E5D}"/>
    <cellStyle name="메모 24 3" xfId="4018" xr:uid="{0B59DBB0-A4FC-45CC-BAB7-22CD4D28EBB6}"/>
    <cellStyle name="메모 24 4" xfId="4779" xr:uid="{46CE5C9D-0CE2-469B-A6DC-150B2753F117}"/>
    <cellStyle name="메모 25" xfId="2679" xr:uid="{63945687-B2CE-47C2-A99A-66E665A4A6B4}"/>
    <cellStyle name="메모 25 2" xfId="2680" xr:uid="{21136E32-EDAD-4578-93AF-8911B3FE8D85}"/>
    <cellStyle name="메모 25 2 2" xfId="4021" xr:uid="{42231086-04C3-42AD-A421-E137FE148BDE}"/>
    <cellStyle name="메모 25 2 3" xfId="4782" xr:uid="{266E98C5-DC81-404C-9FA9-424C976334A1}"/>
    <cellStyle name="메모 25 3" xfId="4020" xr:uid="{DFBF7E1E-BE88-4EF6-8A98-D30E4954AAED}"/>
    <cellStyle name="메모 25 4" xfId="4781" xr:uid="{2F92A7BF-63D5-48D5-BF9A-2EE71E2AD0FB}"/>
    <cellStyle name="메모 26" xfId="2681" xr:uid="{21127EED-CFFC-4A25-B618-D56A91E7D642}"/>
    <cellStyle name="메모 26 2" xfId="2682" xr:uid="{5D7E4300-F76F-462F-964A-5D96DB4B6419}"/>
    <cellStyle name="메모 26 2 2" xfId="4023" xr:uid="{6266523B-4200-4EEF-AD93-504ECA11109E}"/>
    <cellStyle name="메모 26 2 3" xfId="4784" xr:uid="{73396D4C-91DB-44A3-ADD2-126A93ABF82A}"/>
    <cellStyle name="메모 26 3" xfId="4022" xr:uid="{7F3E9210-35D8-410E-8362-19BF78F82BA5}"/>
    <cellStyle name="메모 26 4" xfId="4783" xr:uid="{7F3D737D-891C-4813-91EA-D309C64A15EC}"/>
    <cellStyle name="메모 27" xfId="2683" xr:uid="{D62B8598-3DCC-4509-B974-E79A49E04418}"/>
    <cellStyle name="메모 27 2" xfId="2684" xr:uid="{1E192C78-C54C-4E1E-9C70-BC08A866E6E0}"/>
    <cellStyle name="메모 27 2 2" xfId="4025" xr:uid="{2EE7B684-F7A4-4907-BE74-D42B6C146DC9}"/>
    <cellStyle name="메모 27 2 3" xfId="4786" xr:uid="{C85B60A8-55AC-4416-B093-8C47EB8C0008}"/>
    <cellStyle name="메모 27 3" xfId="4024" xr:uid="{C8EFE94F-BD32-4624-9904-0D93211D7987}"/>
    <cellStyle name="메모 27 4" xfId="4785" xr:uid="{71F78797-3601-412E-AB9C-43975F3FDAD2}"/>
    <cellStyle name="메모 28" xfId="2685" xr:uid="{ECC6DC37-8DF1-40DB-8EA0-BC8C86D73602}"/>
    <cellStyle name="메모 28 2" xfId="2686" xr:uid="{EE40501E-99D5-46D0-8440-40AC1D3BB0A8}"/>
    <cellStyle name="메모 28 2 2" xfId="4027" xr:uid="{5433E05F-2C6E-4DD5-A9E1-EA5251116A4B}"/>
    <cellStyle name="메모 28 2 3" xfId="4788" xr:uid="{F260DC24-31E4-4BD0-8518-3BF01B0E9B40}"/>
    <cellStyle name="메모 28 3" xfId="4026" xr:uid="{FC1E4968-00BE-4499-A01F-034B70D1C942}"/>
    <cellStyle name="메모 28 4" xfId="4787" xr:uid="{0920B50F-CE5B-4C63-A98B-05EA972C8026}"/>
    <cellStyle name="메모 29" xfId="2687" xr:uid="{04D96CDC-27BE-4D92-81C6-4D361E4F1795}"/>
    <cellStyle name="메모 29 2" xfId="2688" xr:uid="{5F5BD401-12D5-45B1-9D28-6271B2FD9E6E}"/>
    <cellStyle name="메모 29 2 2" xfId="4029" xr:uid="{55768CFF-8E26-4F10-8C99-586922AF92A0}"/>
    <cellStyle name="메모 29 2 3" xfId="4790" xr:uid="{31C07E31-FD9D-4C62-BBCF-D718718B91D2}"/>
    <cellStyle name="메모 29 3" xfId="4028" xr:uid="{80A12224-C58D-4774-A330-19AA6639A00E}"/>
    <cellStyle name="메모 29 4" xfId="4789" xr:uid="{B1C9C9C0-D0A4-4A32-8385-2CC94976B707}"/>
    <cellStyle name="메모 3" xfId="2689" xr:uid="{5B96D28A-87CA-48F0-8078-D72C1C77291F}"/>
    <cellStyle name="메모 3 2" xfId="2690" xr:uid="{4E784873-027F-4701-B663-17345E2920F8}"/>
    <cellStyle name="메모 3 2 2" xfId="4031" xr:uid="{C792E484-FFFF-4FAE-AF5D-064FFF258474}"/>
    <cellStyle name="메모 3 2 3" xfId="4792" xr:uid="{5BC3A96C-EF2D-42DC-8BC5-4C793E4DDF39}"/>
    <cellStyle name="메모 3 3" xfId="4030" xr:uid="{AE1B36BF-3155-4218-87AD-4185ED1B82A5}"/>
    <cellStyle name="메모 3 4" xfId="4791" xr:uid="{BB865842-FB76-48DC-9AED-DE3AC6163995}"/>
    <cellStyle name="메모 30" xfId="2691" xr:uid="{99A80445-E28D-4F14-8B09-D4A267FF1290}"/>
    <cellStyle name="메모 30 2" xfId="2692" xr:uid="{D45766DE-2815-4FD6-8BE7-634408B9E207}"/>
    <cellStyle name="메모 30 2 2" xfId="4033" xr:uid="{3C490F3A-10AB-46B6-8313-D8A1CC11E760}"/>
    <cellStyle name="메모 30 2 3" xfId="4794" xr:uid="{5D6A39DB-AC04-4451-9EC2-A8570633A3DF}"/>
    <cellStyle name="메모 30 3" xfId="4032" xr:uid="{944B7B20-C162-4CAB-9BAA-538DE2238E62}"/>
    <cellStyle name="메모 30 4" xfId="4793" xr:uid="{FC29FF81-CF1F-4C97-85FC-29985AB4ED78}"/>
    <cellStyle name="메모 31" xfId="2693" xr:uid="{9C8923A1-11FB-4949-8338-4A3A0FFF6153}"/>
    <cellStyle name="메모 31 2" xfId="2694" xr:uid="{6F8F65B1-CEA9-4A65-B54C-5DE674D1BF12}"/>
    <cellStyle name="메모 31 2 2" xfId="4035" xr:uid="{2712EB70-E057-4CA1-BB0F-B7645098AB21}"/>
    <cellStyle name="메모 31 2 3" xfId="4796" xr:uid="{97EB73A2-2D14-40AC-9EA4-4A79E67451AC}"/>
    <cellStyle name="메모 31 3" xfId="4034" xr:uid="{29FDB09A-DBCC-41BE-B9A1-7F26219EF6D9}"/>
    <cellStyle name="메모 31 4" xfId="4795" xr:uid="{6FDFAF2B-D47E-4581-B575-65445663D9FB}"/>
    <cellStyle name="메모 32" xfId="2695" xr:uid="{4EC61E2E-ED3B-4D57-9BE7-1D9D125111FE}"/>
    <cellStyle name="메모 32 2" xfId="2696" xr:uid="{F3B0C971-ADD2-42DA-9994-D9348292A848}"/>
    <cellStyle name="메모 32 2 2" xfId="4037" xr:uid="{84A1936C-AF58-4C6C-B4CA-640EEE1C0ABC}"/>
    <cellStyle name="메모 32 2 3" xfId="4798" xr:uid="{BC85CA35-8509-477E-9C36-D1F2933C7724}"/>
    <cellStyle name="메모 32 3" xfId="4036" xr:uid="{4233EEEC-6091-4DC9-BB49-56D4FCEB92EB}"/>
    <cellStyle name="메모 32 4" xfId="4797" xr:uid="{6CD518FA-5C32-43BD-8253-957A5DE72172}"/>
    <cellStyle name="메모 33" xfId="2697" xr:uid="{26256560-E559-4045-92B7-4DDA75C0023C}"/>
    <cellStyle name="메모 33 2" xfId="2698" xr:uid="{0A272EC5-C433-4DE0-933B-1F16DC553683}"/>
    <cellStyle name="메모 33 2 2" xfId="4039" xr:uid="{363F781D-31BE-47D4-A86A-40D6659CCD54}"/>
    <cellStyle name="메모 33 2 3" xfId="4800" xr:uid="{DE16222A-4C64-4309-A81D-987DF1542457}"/>
    <cellStyle name="메모 33 3" xfId="4038" xr:uid="{5F060E28-E80E-4724-8E7C-70358380C6A1}"/>
    <cellStyle name="메모 33 4" xfId="4799" xr:uid="{BF263E04-BCF1-45E0-8E5A-2F52F9DD09A7}"/>
    <cellStyle name="메모 34" xfId="2699" xr:uid="{A5C49BC5-F5FD-4094-8226-E042B72524BB}"/>
    <cellStyle name="메모 34 2" xfId="2700" xr:uid="{297C1638-9FEC-4B8B-A4EA-ECD5C54CB06C}"/>
    <cellStyle name="메모 34 2 2" xfId="4041" xr:uid="{8C37104C-0D60-4261-BCB7-AA1C96989886}"/>
    <cellStyle name="메모 34 2 3" xfId="4802" xr:uid="{99A04688-D40E-4163-BD70-BE39D3DA97A5}"/>
    <cellStyle name="메모 34 3" xfId="4040" xr:uid="{5CBE28FA-0CDF-4528-8D3B-55731E998E30}"/>
    <cellStyle name="메모 34 4" xfId="4801" xr:uid="{4413B085-B41C-47F6-BA03-82B30DC09EE1}"/>
    <cellStyle name="메모 35" xfId="2701" xr:uid="{F6753BA7-74B8-445C-B41D-5D1F627FF1E0}"/>
    <cellStyle name="메모 35 2" xfId="2702" xr:uid="{EFF25AF2-2F57-4A78-8454-ECF4614ECD1D}"/>
    <cellStyle name="메모 35 2 2" xfId="4043" xr:uid="{10B2FEDF-FED6-4293-BE70-849FF59C479E}"/>
    <cellStyle name="메모 35 2 3" xfId="4804" xr:uid="{A120A06A-1E1F-4C4D-AF63-D87367535A99}"/>
    <cellStyle name="메모 35 3" xfId="4042" xr:uid="{7D9CC3CE-C530-46AB-974F-C614C929BD79}"/>
    <cellStyle name="메모 35 4" xfId="4803" xr:uid="{8D30F089-8865-49F0-89F4-751664CCD35B}"/>
    <cellStyle name="메모 36" xfId="2703" xr:uid="{15EAB01C-F18C-418A-84C5-63ACF6438217}"/>
    <cellStyle name="메모 36 2" xfId="2704" xr:uid="{377DEBA8-28AE-4C87-BFE9-F6398A6A72F0}"/>
    <cellStyle name="메모 36 2 2" xfId="4045" xr:uid="{7B561BE3-C9A2-4D73-BC42-ACF1F675040E}"/>
    <cellStyle name="메모 36 2 3" xfId="4806" xr:uid="{ECF07357-35C3-41F1-888B-DDC2757A1F38}"/>
    <cellStyle name="메모 36 3" xfId="4044" xr:uid="{9D69BC44-1E1B-4021-8F0F-B3C393ECE271}"/>
    <cellStyle name="메모 36 4" xfId="4805" xr:uid="{9AE9F245-6E2A-40F2-8F86-271FD732231D}"/>
    <cellStyle name="메모 37" xfId="2705" xr:uid="{BB25CE42-460B-49E0-8002-0EFF77F7D843}"/>
    <cellStyle name="메모 37 2" xfId="2706" xr:uid="{163C58AE-4539-4117-A1BB-B3C46BC44DB2}"/>
    <cellStyle name="메모 37 2 2" xfId="4047" xr:uid="{768AA34D-B8F9-43BC-BF80-DDA1A2C92072}"/>
    <cellStyle name="메모 37 2 3" xfId="4808" xr:uid="{C66E91B8-A8DA-4853-80C3-6929AD816905}"/>
    <cellStyle name="메모 37 3" xfId="4046" xr:uid="{EA96A86A-0E09-4627-B094-A9AEA8DF579B}"/>
    <cellStyle name="메모 37 4" xfId="4807" xr:uid="{4245519A-1E25-4BF4-9D2E-043EC99FC044}"/>
    <cellStyle name="메모 38" xfId="2707" xr:uid="{7D2B3EA5-258C-45B6-9F42-1A7ED9A96F22}"/>
    <cellStyle name="메모 38 2" xfId="2708" xr:uid="{59F10611-E64B-40AF-A1A0-C21224A1CCAB}"/>
    <cellStyle name="메모 38 2 2" xfId="4049" xr:uid="{09D3588A-2194-492D-9643-0CDAEAB2A2CB}"/>
    <cellStyle name="메모 38 2 3" xfId="4810" xr:uid="{65400711-08E6-479B-8654-141ED1BB341B}"/>
    <cellStyle name="메모 38 3" xfId="4048" xr:uid="{6A35A9AC-4AB9-43A0-9F63-87BFDD25B257}"/>
    <cellStyle name="메모 38 4" xfId="4809" xr:uid="{847CDB1C-7FAE-41FE-B180-D730990E5DDF}"/>
    <cellStyle name="메모 39" xfId="2709" xr:uid="{77587596-9AE0-4A0A-AB3B-B3EE78515101}"/>
    <cellStyle name="메모 39 2" xfId="2710" xr:uid="{B788327D-5EF9-4C7A-846E-D3822DC38FB2}"/>
    <cellStyle name="메모 39 2 2" xfId="4051" xr:uid="{2BA53110-BC8F-4672-ACD8-065BB66AF0FD}"/>
    <cellStyle name="메모 39 2 3" xfId="4812" xr:uid="{AFCFA387-7A01-49BB-B158-5A6C296B24C4}"/>
    <cellStyle name="메모 39 3" xfId="4050" xr:uid="{8E51DB38-5ADF-4A1A-9FED-08D2D4B4FBA5}"/>
    <cellStyle name="메모 39 4" xfId="4811" xr:uid="{AD1DC58D-0FE1-4DA6-BF97-47CA30ED5428}"/>
    <cellStyle name="메모 4" xfId="2711" xr:uid="{DE416BCF-FC0E-449B-BFD4-2A964DFB86B4}"/>
    <cellStyle name="메모 4 2" xfId="2712" xr:uid="{E1EDF359-C47F-4298-8B2D-E7D8A995ACA5}"/>
    <cellStyle name="메모 4 2 2" xfId="4053" xr:uid="{1F2960BD-4EE1-4C27-86BC-66BC83677443}"/>
    <cellStyle name="메모 4 2 3" xfId="4814" xr:uid="{CA207401-9AED-4123-8FF8-037298C522CE}"/>
    <cellStyle name="메모 4 3" xfId="4052" xr:uid="{A7899D4F-8B97-424C-BFB9-8AB9B7DD3A72}"/>
    <cellStyle name="메모 4 4" xfId="4813" xr:uid="{40F43C93-1534-4652-81C8-C80568556F5E}"/>
    <cellStyle name="메모 40" xfId="2713" xr:uid="{81D2EE51-FCE3-4CDF-A158-3FE2A4471090}"/>
    <cellStyle name="메모 40 2" xfId="2714" xr:uid="{EEF8ED91-6925-435F-90D2-85D993D41485}"/>
    <cellStyle name="메모 40 2 2" xfId="4055" xr:uid="{B31EC938-4F53-4496-BBEA-3E7539964841}"/>
    <cellStyle name="메모 40 2 3" xfId="4816" xr:uid="{6B7CFD54-5A94-4576-B50F-A5EA79716F09}"/>
    <cellStyle name="메모 40 3" xfId="4054" xr:uid="{A0932618-45FA-4B7E-A44B-31DFDE00E36D}"/>
    <cellStyle name="메모 40 4" xfId="4815" xr:uid="{F8BF3934-268A-4F18-8C83-6AAFA955A509}"/>
    <cellStyle name="메모 41" xfId="2715" xr:uid="{EC2A3C6E-C997-4E4C-B868-0A761C553459}"/>
    <cellStyle name="메모 41 2" xfId="2716" xr:uid="{18856424-C5D9-4F20-BC23-9866FBBA6FC4}"/>
    <cellStyle name="메모 41 2 2" xfId="4057" xr:uid="{01C94187-9DE0-4D1C-8077-87CA0BF3019E}"/>
    <cellStyle name="메모 41 2 3" xfId="4818" xr:uid="{DA9F7C6E-2BF0-4554-AB66-2B082BB5E3AA}"/>
    <cellStyle name="메모 41 3" xfId="4056" xr:uid="{BF71781C-2F7F-467E-A806-C868626399C2}"/>
    <cellStyle name="메모 41 4" xfId="4817" xr:uid="{8EE02260-1278-4385-8A7C-26500A36B602}"/>
    <cellStyle name="메모 42" xfId="2717" xr:uid="{A8E6AF32-A040-4E40-85FA-AAE22E03BAFD}"/>
    <cellStyle name="메모 42 2" xfId="2718" xr:uid="{26B78BDB-9A95-4EB0-A607-5EA68F03E0DF}"/>
    <cellStyle name="메모 42 2 2" xfId="4059" xr:uid="{228A94F6-8AD8-4C2C-BF47-E117849E40FE}"/>
    <cellStyle name="메모 42 2 3" xfId="4820" xr:uid="{2F5C31E4-D22A-4222-B2E1-FAC3CB9D03C1}"/>
    <cellStyle name="메모 42 3" xfId="4058" xr:uid="{48AB6FB9-E5AA-4F64-8833-84D5F615F0CF}"/>
    <cellStyle name="메모 42 4" xfId="4819" xr:uid="{549532DD-64DF-40F6-A9CB-DE9DBA6010D5}"/>
    <cellStyle name="메모 43" xfId="2719" xr:uid="{BFF6E346-D803-411D-A310-BC3CBD7D7BCB}"/>
    <cellStyle name="메모 43 2" xfId="2720" xr:uid="{37A2A4E1-284A-4E6E-8954-AE17F940156B}"/>
    <cellStyle name="메모 43 2 2" xfId="4061" xr:uid="{A6418FBB-C66B-458B-AFFD-9F977C06AF2B}"/>
    <cellStyle name="메모 43 2 3" xfId="4822" xr:uid="{EF2BD2A8-9186-4550-9CCB-7F5B933EDFCC}"/>
    <cellStyle name="메모 43 3" xfId="4060" xr:uid="{F11FF250-E2C9-450D-970E-DF2472899E12}"/>
    <cellStyle name="메모 43 4" xfId="4821" xr:uid="{FFC0B922-3EC0-43DB-9E35-53069B404E8F}"/>
    <cellStyle name="메모 44" xfId="2721" xr:uid="{7C187B4C-C110-460B-9683-7FC87617ACFD}"/>
    <cellStyle name="메모 44 2" xfId="4062" xr:uid="{2B9FBA1E-D7F5-492B-B8E3-0465B6309E38}"/>
    <cellStyle name="메모 44 3" xfId="4823" xr:uid="{07C54D44-3176-4C46-8685-323B592DACBF}"/>
    <cellStyle name="메모 45" xfId="2722" xr:uid="{DE87D2AD-26DB-454F-9655-BEE95186D503}"/>
    <cellStyle name="메모 45 2" xfId="4063" xr:uid="{8A21EEC2-CEC7-4FDE-88C4-B5AC7FE00EBD}"/>
    <cellStyle name="메모 45 3" xfId="4824" xr:uid="{5F52F086-07DF-4F56-BD90-BD681EE03FDE}"/>
    <cellStyle name="메모 46" xfId="2723" xr:uid="{80C637F4-1292-4E17-9E17-BE2B0248619D}"/>
    <cellStyle name="메모 47" xfId="2724" xr:uid="{C0D4431A-1C5E-4886-92C8-1176273C0AB0}"/>
    <cellStyle name="메모 47 2" xfId="4064" xr:uid="{79F9EE27-EF18-48D9-A5E3-1E70A62B0B22}"/>
    <cellStyle name="메모 47 3" xfId="4825" xr:uid="{ECB1F5C4-E822-402A-88AF-FD495607B781}"/>
    <cellStyle name="메모 48" xfId="2725" xr:uid="{6201F8D2-DB23-48A5-B404-25488C514C5A}"/>
    <cellStyle name="메모 48 2" xfId="4065" xr:uid="{4E719B31-3144-4AFE-8657-E437D7176E21}"/>
    <cellStyle name="메모 49" xfId="2726" xr:uid="{1BB01FDB-637D-475D-9662-431028BF61DE}"/>
    <cellStyle name="메모 49 2" xfId="4066" xr:uid="{919CCE6E-6A9F-4847-A50E-7B1EEA03B8EB}"/>
    <cellStyle name="메모 5" xfId="2727" xr:uid="{5BC2D91C-DE35-40C4-B3F5-C5DCD98B90A9}"/>
    <cellStyle name="메모 5 2" xfId="2728" xr:uid="{298BCCF1-F11A-4145-9596-5A4265843DFF}"/>
    <cellStyle name="메모 5 2 2" xfId="4068" xr:uid="{181C4D2F-EA04-4FF3-BF55-965A659EAFAA}"/>
    <cellStyle name="메모 5 2 3" xfId="4827" xr:uid="{E6451F28-C18F-4980-9F4C-DF97314830DF}"/>
    <cellStyle name="메모 5 3" xfId="4067" xr:uid="{765B5518-2511-4296-A482-D5D74A063FE7}"/>
    <cellStyle name="메모 5 4" xfId="4826" xr:uid="{BA2098CA-7D81-4C8F-8382-41BC7F529C7B}"/>
    <cellStyle name="메모 50" xfId="2729" xr:uid="{6B07DEFB-CE85-4E00-81A7-514CD0D823C5}"/>
    <cellStyle name="메모 50 2" xfId="4069" xr:uid="{7F55350A-14E1-4C07-A2C5-05E39C3170B4}"/>
    <cellStyle name="메모 51" xfId="2730" xr:uid="{4679D16F-663D-4BB5-A230-E3B9B2151C5E}"/>
    <cellStyle name="메모 51 2" xfId="4070" xr:uid="{3B96FB2F-6EDC-4A31-8C6E-5FFC5D9F4AD4}"/>
    <cellStyle name="메모 52" xfId="3961" xr:uid="{3885B308-72FC-4859-86B1-EA067EDBCE90}"/>
    <cellStyle name="메모 52 2" xfId="4079" xr:uid="{08A34097-E6EF-47AD-ACF9-897662290607}"/>
    <cellStyle name="메모 52 2 2" xfId="4283" xr:uid="{5C2CC4B6-6089-4874-84BE-1F0BEB3B28D7}"/>
    <cellStyle name="메모 52 2 2 2" xfId="4587" xr:uid="{C46EEA1D-0D53-426B-B1EA-8D67A224F942}"/>
    <cellStyle name="메모 52 2 3" xfId="4455" xr:uid="{DE486DB6-0CA2-4EAC-B1F0-93ABA2644CF7}"/>
    <cellStyle name="메모 52 3" xfId="4270" xr:uid="{740A1BAB-9248-4241-BD69-FE77F0F324D9}"/>
    <cellStyle name="메모 52 3 2" xfId="4574" xr:uid="{1BD2F3B2-FF99-4274-A7F8-FFF4F3A4AD3A}"/>
    <cellStyle name="메모 52 4" xfId="4442" xr:uid="{D3464253-81CD-4275-A967-361C855FE1DC}"/>
    <cellStyle name="메모 53" xfId="4096" xr:uid="{FAB8FA50-6139-4680-8223-6728450FC404}"/>
    <cellStyle name="메모 53 2" xfId="4300" xr:uid="{AD865D30-E1DC-41AD-9E10-54425C874C4E}"/>
    <cellStyle name="메모 53 2 2" xfId="4604" xr:uid="{B57DCB33-3547-424A-BF60-A180A26C19FE}"/>
    <cellStyle name="메모 53 3" xfId="4472" xr:uid="{5E346392-E514-4669-B7F0-9C9A6B8CDC9B}"/>
    <cellStyle name="메모 54" xfId="4125" xr:uid="{26D3F410-0D65-47D4-BD46-665B9F577B34}"/>
    <cellStyle name="메모 54 2" xfId="4316" xr:uid="{CD6C3725-699F-437B-86F4-8DF87637876F}"/>
    <cellStyle name="메모 54 2 2" xfId="4620" xr:uid="{8504C79A-43C3-44CC-8400-EC98BA5CA058}"/>
    <cellStyle name="메모 54 3" xfId="4488" xr:uid="{789120C2-55C7-401C-B44F-20D8563BD9BB}"/>
    <cellStyle name="메모 55" xfId="4154" xr:uid="{4A170581-8E46-40EA-9B4B-42F1CA5BA4F3}"/>
    <cellStyle name="메모 55 2" xfId="4330" xr:uid="{9DD76613-0D6D-4FB3-A23D-D0E278B4C5D5}"/>
    <cellStyle name="메모 55 2 2" xfId="4634" xr:uid="{94EF95EE-CEC1-4B35-BF9F-7B405C00E688}"/>
    <cellStyle name="메모 55 3" xfId="4502" xr:uid="{5D5906B3-DA60-44AC-B343-304A668E93AE}"/>
    <cellStyle name="메모 56" xfId="4168" xr:uid="{CBBADDC1-460C-4C48-A16C-5DCB17CCF886}"/>
    <cellStyle name="메모 56 2" xfId="4344" xr:uid="{47E59036-9609-4AA5-B5D2-9C2ADA3A8ADC}"/>
    <cellStyle name="메모 56 2 2" xfId="4648" xr:uid="{DCE5CBF7-B99F-426A-B200-B4350EA01253}"/>
    <cellStyle name="메모 56 3" xfId="4516" xr:uid="{70D44168-46D5-41A0-AC7D-5AB5CCA0AE4F}"/>
    <cellStyle name="메모 57" xfId="4182" xr:uid="{30E4C497-0128-492F-9DEE-F8CF54A2B78F}"/>
    <cellStyle name="메모 57 2" xfId="4358" xr:uid="{768E6582-8FCA-4E57-B6C7-1B8B4BC06B57}"/>
    <cellStyle name="메모 57 2 2" xfId="4662" xr:uid="{F84A6070-E89E-4B62-9A73-E83547655A7A}"/>
    <cellStyle name="메모 57 3" xfId="4530" xr:uid="{CD004219-0A89-4BF4-A20A-7785BB8194D3}"/>
    <cellStyle name="메모 58" xfId="4197" xr:uid="{BA91ED68-8047-4532-8E7B-25AA987B5B0D}"/>
    <cellStyle name="메모 58 2" xfId="4372" xr:uid="{B3D24559-EDA4-4803-B12C-37F1B743FB83}"/>
    <cellStyle name="메모 58 2 2" xfId="4676" xr:uid="{5A80CF05-56B6-4715-97ED-80FEE7E65B4C}"/>
    <cellStyle name="메모 58 3" xfId="4544" xr:uid="{075E974A-A690-4713-A781-6EC59ED9FDE7}"/>
    <cellStyle name="메모 59" xfId="4211" xr:uid="{0729CD0C-47FF-4E48-AA5B-9D121DB9166C}"/>
    <cellStyle name="메모 59 2" xfId="4558" xr:uid="{C0638A00-459A-44DD-BC15-5BB0FD22338E}"/>
    <cellStyle name="메모 6" xfId="2731" xr:uid="{9A89066A-C4F0-4BE5-817E-F3AA15B57E8B}"/>
    <cellStyle name="메모 6 2" xfId="2732" xr:uid="{EC8D7885-14A7-45E0-AF7A-CE67247F98D8}"/>
    <cellStyle name="메모 6 2 2" xfId="4072" xr:uid="{456696A4-2AC7-4E27-8EB0-BD6821357CDD}"/>
    <cellStyle name="메모 6 2 3" xfId="4829" xr:uid="{D75424E9-0114-4C13-965B-27B6CE06CDE2}"/>
    <cellStyle name="메모 6 3" xfId="4071" xr:uid="{CFE15B06-F9DD-4559-A9DE-94E44557EDF6}"/>
    <cellStyle name="메모 6 4" xfId="4828" xr:uid="{271CC1AE-B8B1-4EAB-BDB4-F5A6ED9F594E}"/>
    <cellStyle name="메모 60" xfId="4255" xr:uid="{32F8C92F-4237-41CC-B5D7-FFD48329F85B}"/>
    <cellStyle name="메모 61" xfId="4427" xr:uid="{9A942B9B-1AE7-4F27-8DD3-9BEA34B39EF6}"/>
    <cellStyle name="메모 62" xfId="2646" xr:uid="{1E3B3AE9-DC5B-4662-B6C9-1C0C143EC7CB}"/>
    <cellStyle name="메모 7" xfId="2733" xr:uid="{43337073-2D56-4A57-A66F-D154216647C7}"/>
    <cellStyle name="메모 7 2" xfId="2734" xr:uid="{76A93A15-243F-4ABC-8D3D-F050D7713B93}"/>
    <cellStyle name="메모 7 2 2" xfId="4074" xr:uid="{2667D9D8-7B79-4DDB-8DC1-E76B5416EB26}"/>
    <cellStyle name="메모 7 2 3" xfId="4831" xr:uid="{C9069720-A482-4D54-B95B-8FA05C9DFA2A}"/>
    <cellStyle name="메모 7 3" xfId="4073" xr:uid="{BD2287C3-D933-4AC2-9E6B-A8101B1D3015}"/>
    <cellStyle name="메모 7 4" xfId="4830" xr:uid="{3E0561E1-B665-42C8-BAAD-117F7FC76EE0}"/>
    <cellStyle name="메모 8" xfId="2735" xr:uid="{24B963EC-0DE9-4886-BC77-AC8C33410B44}"/>
    <cellStyle name="메모 8 2" xfId="2736" xr:uid="{820C5687-8A6B-411A-B673-35D3844A9878}"/>
    <cellStyle name="메모 8 2 2" xfId="4076" xr:uid="{E7F324A5-673F-4277-9776-AB7EB5B69914}"/>
    <cellStyle name="메모 8 2 3" xfId="4833" xr:uid="{09759B79-6BC6-4D17-9AF3-B79C55BB182B}"/>
    <cellStyle name="메모 8 3" xfId="4075" xr:uid="{7723A31F-74CA-48C9-BB93-EC51C45CA630}"/>
    <cellStyle name="메모 8 4" xfId="4832" xr:uid="{4C2B91F9-B22E-4B0E-80C6-3FCB2DCE94FA}"/>
    <cellStyle name="메모 9" xfId="2737" xr:uid="{99290474-199C-4775-9230-D34B3A308AFB}"/>
    <cellStyle name="메모 9 2" xfId="2738" xr:uid="{75A25E83-F2EE-4289-B067-8CA95B674EA8}"/>
    <cellStyle name="메모 9 2 2" xfId="4078" xr:uid="{8CEC2749-978E-4232-8554-515E055E36D1}"/>
    <cellStyle name="메모 9 2 3" xfId="4835" xr:uid="{864AD3A1-BA16-4BBC-88DD-CC4881471DB7}"/>
    <cellStyle name="메모 9 3" xfId="4077" xr:uid="{E8EA1696-B223-403F-AB78-1B486D204ADE}"/>
    <cellStyle name="메모 9 4" xfId="4834" xr:uid="{47E7CD64-9431-4BDC-A561-FB5A5E49E38C}"/>
    <cellStyle name="백분율" xfId="155" builtinId="5"/>
    <cellStyle name="백분율 2" xfId="4744" xr:uid="{00000000-0005-0000-0000-00000A130000}"/>
    <cellStyle name="보통 10" xfId="2740" xr:uid="{F7150682-C6F7-4556-8FF6-A1CD4C0A2BA7}"/>
    <cellStyle name="보통 10 2" xfId="2741" xr:uid="{3B27BBE6-9E2D-4C2D-B80A-03DD91F62293}"/>
    <cellStyle name="보통 11" xfId="2742" xr:uid="{29946313-36E2-484B-A4E9-1A4EAA185714}"/>
    <cellStyle name="보통 11 2" xfId="2743" xr:uid="{6C004F9C-A37E-4554-836C-F6530F024B1A}"/>
    <cellStyle name="보통 12" xfId="2744" xr:uid="{2FAA07C0-A4FC-4048-9F24-475B1673ECE9}"/>
    <cellStyle name="보통 12 2" xfId="2745" xr:uid="{3678F8A5-721D-4648-AB2A-1B07B1A732CB}"/>
    <cellStyle name="보통 13" xfId="2746" xr:uid="{D9483BA6-0776-47D6-A20D-A674D30AD1C9}"/>
    <cellStyle name="보통 13 2" xfId="2747" xr:uid="{881010F5-759E-4FE1-AA8F-9A7CA1055C7B}"/>
    <cellStyle name="보통 14" xfId="2748" xr:uid="{548AEBE1-AFF5-43EC-ABAD-CC09B9663AB6}"/>
    <cellStyle name="보통 14 2" xfId="2749" xr:uid="{F7CFD971-EABC-4C82-BFBE-C5D04FA6FF44}"/>
    <cellStyle name="보통 15" xfId="2750" xr:uid="{A23172E2-ABC1-4EAD-A52E-BA13A159AEE6}"/>
    <cellStyle name="보통 15 2" xfId="2751" xr:uid="{E2BD8E3A-4D61-4697-A645-EE63D73B79CE}"/>
    <cellStyle name="보통 16" xfId="2752" xr:uid="{E0C28EA2-2F7D-4E41-9517-6591DAAF8525}"/>
    <cellStyle name="보통 16 2" xfId="2753" xr:uid="{6656DD1C-E2A5-4053-9A18-94672191FE60}"/>
    <cellStyle name="보통 17" xfId="2754" xr:uid="{DEDF5A87-010F-4152-887B-8A34E05EDA2E}"/>
    <cellStyle name="보통 17 2" xfId="2755" xr:uid="{374C9FC9-98B0-4E5B-A124-C084314A94AB}"/>
    <cellStyle name="보통 18" xfId="2756" xr:uid="{08DB5FEB-AC85-4631-B4A8-48E40789E1A6}"/>
    <cellStyle name="보통 18 2" xfId="2757" xr:uid="{4DB1FE49-EF5E-48F7-9F97-35F4746B4E32}"/>
    <cellStyle name="보통 19" xfId="2758" xr:uid="{0A15F75E-4B90-4FB1-BE24-169F280E7DED}"/>
    <cellStyle name="보통 19 2" xfId="2759" xr:uid="{027E7669-D863-4532-9D73-71FE4E323EA0}"/>
    <cellStyle name="보통 2" xfId="2760" xr:uid="{C04F6076-7940-42C6-8BBE-8D0D167451AF}"/>
    <cellStyle name="보통 2 2" xfId="2761" xr:uid="{19401A35-4C6A-447F-A308-FDDFA6F5913F}"/>
    <cellStyle name="보통 20" xfId="2762" xr:uid="{EF09B989-7098-4A92-A3CF-157843CEB2A8}"/>
    <cellStyle name="보통 20 2" xfId="2763" xr:uid="{F7BE6CD5-E773-4179-AEA0-76FB8A58B4FD}"/>
    <cellStyle name="보통 21" xfId="2764" xr:uid="{FA9DCF6D-57D2-47C3-A8AF-99E293EE749A}"/>
    <cellStyle name="보통 21 2" xfId="2765" xr:uid="{637CB19F-D7F2-4213-A5DA-7C8C7AC5FA5E}"/>
    <cellStyle name="보통 22" xfId="2766" xr:uid="{78785172-8822-4E48-8DF6-BE95A66DCAB8}"/>
    <cellStyle name="보통 22 2" xfId="2767" xr:uid="{CAA00BF3-3024-4E68-9A88-F865376FDCEC}"/>
    <cellStyle name="보통 23" xfId="2768" xr:uid="{5630D5AA-0B2E-4D32-A071-30367F2997C3}"/>
    <cellStyle name="보통 23 2" xfId="2769" xr:uid="{79C9100A-FD82-4924-A11A-EAF1C0EFAB58}"/>
    <cellStyle name="보통 24" xfId="2770" xr:uid="{F5C8698D-BFA5-4293-B964-033E004E3C43}"/>
    <cellStyle name="보통 24 2" xfId="2771" xr:uid="{98B198EE-D293-4C88-B87A-7498B36C482D}"/>
    <cellStyle name="보통 25" xfId="2772" xr:uid="{80ED1124-1951-4C84-AB37-37D60829997A}"/>
    <cellStyle name="보통 25 2" xfId="2773" xr:uid="{1F238058-2122-4196-8E83-B04DE1D67DA1}"/>
    <cellStyle name="보통 26" xfId="2774" xr:uid="{51142E19-635A-4E85-BB30-61E12D794C42}"/>
    <cellStyle name="보통 26 2" xfId="2775" xr:uid="{3B559FF6-6C9E-4F96-BBE8-6F21E674FCD9}"/>
    <cellStyle name="보통 27" xfId="2776" xr:uid="{148ED505-1350-4F47-81EC-9B4BA520D054}"/>
    <cellStyle name="보통 27 2" xfId="2777" xr:uid="{A231FF19-6917-41A3-B22E-BB7EBB7A85A7}"/>
    <cellStyle name="보통 28" xfId="2778" xr:uid="{64E3C724-D550-41C5-8173-D48A3A8F8611}"/>
    <cellStyle name="보통 28 2" xfId="2779" xr:uid="{AAC88248-51C6-41CE-BBED-14B7D8D1DB98}"/>
    <cellStyle name="보통 29" xfId="2780" xr:uid="{C90BA333-7541-4038-89BB-6C6F954281D2}"/>
    <cellStyle name="보통 29 2" xfId="2781" xr:uid="{F29BBE78-7B3B-4F57-A5D4-4BF874304954}"/>
    <cellStyle name="보통 3" xfId="2782" xr:uid="{8D96EE03-82C4-4785-82A9-8E4218B7287D}"/>
    <cellStyle name="보통 3 2" xfId="2783" xr:uid="{85028C5F-B5B6-440D-9B10-B018217DBF26}"/>
    <cellStyle name="보통 30" xfId="2784" xr:uid="{5F167B15-AEAA-4547-A461-89E88ECB844A}"/>
    <cellStyle name="보통 30 2" xfId="2785" xr:uid="{BDBC408B-66E1-46D1-BA7C-0B573DDFA0A9}"/>
    <cellStyle name="보통 31" xfId="2786" xr:uid="{A61ED4A6-199B-40C1-9494-072DDADF2589}"/>
    <cellStyle name="보통 31 2" xfId="2787" xr:uid="{5784C1A2-C4AE-47C0-B98A-D309EB2C0A2D}"/>
    <cellStyle name="보통 32" xfId="2788" xr:uid="{15F1C085-C774-4B4E-BA2E-7DCE8BAB21D7}"/>
    <cellStyle name="보통 32 2" xfId="2789" xr:uid="{98D2ECD6-313E-4C81-8AF5-7270AAED7074}"/>
    <cellStyle name="보통 33" xfId="2790" xr:uid="{8F51CAFA-C6ED-43C7-8DD3-DE2716251D5E}"/>
    <cellStyle name="보통 33 2" xfId="2791" xr:uid="{FBC7F524-8F54-4670-89C6-E5A4776370EF}"/>
    <cellStyle name="보통 34" xfId="2792" xr:uid="{52BC1FEF-21C8-4934-A159-652CF55F4525}"/>
    <cellStyle name="보통 34 2" xfId="2793" xr:uid="{8C62A522-8352-4EC6-8804-02E555FC1E50}"/>
    <cellStyle name="보통 35" xfId="2794" xr:uid="{B43E70A9-7164-4125-94F6-485E5ABB7FA0}"/>
    <cellStyle name="보통 35 2" xfId="2795" xr:uid="{E1207EDE-3546-4884-95D3-2964F821113C}"/>
    <cellStyle name="보통 36" xfId="2796" xr:uid="{3E17C3FD-641C-43F9-8D07-21AE0BB5FC1E}"/>
    <cellStyle name="보통 36 2" xfId="2797" xr:uid="{4B3F2D8D-5E1B-457B-B857-4F41F3EC7A20}"/>
    <cellStyle name="보통 37" xfId="2798" xr:uid="{F3EFE1C2-2F01-4673-BFD1-D0DDF888F3B5}"/>
    <cellStyle name="보통 37 2" xfId="2799" xr:uid="{E5AA0381-3E54-4401-9B8B-23D5561B03AA}"/>
    <cellStyle name="보통 38" xfId="2800" xr:uid="{C0E30CB8-2B01-4388-8270-98838F4D8021}"/>
    <cellStyle name="보통 38 2" xfId="2801" xr:uid="{B2E1AF5C-54E3-489E-8491-5C95A8C7C669}"/>
    <cellStyle name="보통 39" xfId="2802" xr:uid="{29BB4375-03FD-4B6E-ADE6-7ECA44DAE375}"/>
    <cellStyle name="보통 39 2" xfId="2803" xr:uid="{18E79477-9AA7-44BE-9075-FBC650D165D2}"/>
    <cellStyle name="보통 4" xfId="2804" xr:uid="{B5834C29-F966-488D-A583-41325BB2BF35}"/>
    <cellStyle name="보통 4 2" xfId="2805" xr:uid="{6ACC460C-ED6D-496F-8165-619DF731988E}"/>
    <cellStyle name="보통 40" xfId="2806" xr:uid="{3036AF72-3CD8-4FA2-A151-2B7027ECF87E}"/>
    <cellStyle name="보통 40 2" xfId="2807" xr:uid="{933640D9-A8D9-46D8-A7B9-E81AA21BD012}"/>
    <cellStyle name="보통 41" xfId="2808" xr:uid="{A1119AE8-D33B-4566-97EF-F665185E965C}"/>
    <cellStyle name="보통 41 2" xfId="2809" xr:uid="{E7B9300D-10CD-458D-952D-3A53928E91F6}"/>
    <cellStyle name="보통 42" xfId="2810" xr:uid="{F0576866-DE73-4684-B65E-CC75C2747D6A}"/>
    <cellStyle name="보통 42 2" xfId="2811" xr:uid="{1EBCC1AD-17BB-4A06-A7F5-F06DF9EBDBC2}"/>
    <cellStyle name="보통 43" xfId="2812" xr:uid="{7789430F-CB88-47D7-B11A-3D7A245FA55A}"/>
    <cellStyle name="보통 43 2" xfId="2813" xr:uid="{C12D6697-7B59-4486-AC1E-FCBBA001D9B3}"/>
    <cellStyle name="보통 44" xfId="2814" xr:uid="{BFBE60F1-A13D-4AED-9F83-8C74F4DB2660}"/>
    <cellStyle name="보통 45" xfId="2815" xr:uid="{FB510542-44AA-4778-9F74-B0631286AD19}"/>
    <cellStyle name="보통 46" xfId="2816" xr:uid="{9A93979F-2C7F-46C1-99C5-424AAC34942D}"/>
    <cellStyle name="보통 47" xfId="2817" xr:uid="{D5DD3008-8C43-4002-8F96-7D91F2ABC7E8}"/>
    <cellStyle name="보통 48" xfId="2818" xr:uid="{CE80793F-4D98-41F7-9A96-FB9F34269FEC}"/>
    <cellStyle name="보통 49" xfId="2819" xr:uid="{55852141-E848-42D3-AF81-5A1EE932F8DE}"/>
    <cellStyle name="보통 5" xfId="2820" xr:uid="{4F733D5A-4C6E-4EA5-A842-4AB314F346D9}"/>
    <cellStyle name="보통 5 2" xfId="2821" xr:uid="{F33CFF32-E0F1-4403-8245-94117E95A820}"/>
    <cellStyle name="보통 50" xfId="2822" xr:uid="{861BE5F0-11D0-42AD-AD77-F2DECA277406}"/>
    <cellStyle name="보통 51" xfId="3954" xr:uid="{A0E19EFE-4F96-4738-8F95-12A1D31195F5}"/>
    <cellStyle name="보통 52" xfId="4118" xr:uid="{9DA5AD87-FE11-4FCE-AFBE-6217B25C107F}"/>
    <cellStyle name="보통 53" xfId="4256" xr:uid="{744BAA75-4366-4603-8C52-A4FC5A2DB5D5}"/>
    <cellStyle name="보통 54" xfId="4428" xr:uid="{5AC61971-51D3-4A73-A558-ACC2E2F1A94C}"/>
    <cellStyle name="보통 55" xfId="2739" xr:uid="{B9B7B75B-B33A-430C-9388-0BF32556674A}"/>
    <cellStyle name="보통 6" xfId="2823" xr:uid="{C8BFD926-9B26-4014-A270-9436718E18EA}"/>
    <cellStyle name="보통 6 2" xfId="2824" xr:uid="{6DE5B95B-AE1F-4B7F-AF2F-63C0391AAE6D}"/>
    <cellStyle name="보통 7" xfId="2825" xr:uid="{1A677B69-94E1-4DF5-80BD-A4738B84E419}"/>
    <cellStyle name="보통 7 2" xfId="2826" xr:uid="{0900C35A-93C7-4133-9122-CB282686A214}"/>
    <cellStyle name="보통 8" xfId="2827" xr:uid="{BF05A8C1-F624-48B5-8264-4E31514FCE7D}"/>
    <cellStyle name="보통 8 2" xfId="2828" xr:uid="{5D5640FC-914A-41F9-9740-0B51957EC043}"/>
    <cellStyle name="보통 9" xfId="2829" xr:uid="{9C1AE4E1-FAB9-43F2-BFA3-5D927BC1867B}"/>
    <cellStyle name="보통 9 2" xfId="2830" xr:uid="{5D001C72-49E8-46FC-A52B-97599F5BC0F7}"/>
    <cellStyle name="설명 텍스트 10" xfId="2832" xr:uid="{C55F20D0-3613-470F-BAA6-AC4B529BF955}"/>
    <cellStyle name="설명 텍스트 10 2" xfId="2833" xr:uid="{EA90265F-30F7-4A57-B8C1-782FEC53417D}"/>
    <cellStyle name="설명 텍스트 11" xfId="2834" xr:uid="{C4BDFB47-50E4-4F26-BC0C-F529E0144BA4}"/>
    <cellStyle name="설명 텍스트 11 2" xfId="2835" xr:uid="{58FB962B-D971-4031-B07E-77DB63FECE40}"/>
    <cellStyle name="설명 텍스트 12" xfId="2836" xr:uid="{97F4B1E7-1BD1-45C9-89BD-8CF2364A6BCA}"/>
    <cellStyle name="설명 텍스트 12 2" xfId="2837" xr:uid="{BC1D2DB6-EDBF-4233-8C1D-094C37988C00}"/>
    <cellStyle name="설명 텍스트 13" xfId="2838" xr:uid="{E8BE3B01-880E-4A37-8ADC-B82D0A250855}"/>
    <cellStyle name="설명 텍스트 13 2" xfId="2839" xr:uid="{9205E26D-0593-4A89-AE51-8F9C452D55DC}"/>
    <cellStyle name="설명 텍스트 14" xfId="2840" xr:uid="{69AD1614-FBCA-448C-BBC0-27E6ABBD3BBD}"/>
    <cellStyle name="설명 텍스트 14 2" xfId="2841" xr:uid="{71626C41-FDF3-4385-B5D8-36ED6018048D}"/>
    <cellStyle name="설명 텍스트 15" xfId="2842" xr:uid="{15233046-3ADC-4430-A941-CC201B9F7CF6}"/>
    <cellStyle name="설명 텍스트 15 2" xfId="2843" xr:uid="{08B21E20-A53D-4338-877D-13454D640195}"/>
    <cellStyle name="설명 텍스트 16" xfId="2844" xr:uid="{2B131FB4-9091-4971-ACFC-ABE6C44867D0}"/>
    <cellStyle name="설명 텍스트 16 2" xfId="2845" xr:uid="{4079C0B6-E42B-4777-A1FC-BE58701B3E73}"/>
    <cellStyle name="설명 텍스트 17" xfId="2846" xr:uid="{BBF1FFEF-FF07-4C78-B9D4-7873FB2039C7}"/>
    <cellStyle name="설명 텍스트 17 2" xfId="2847" xr:uid="{82978E35-4211-48CC-AA14-7C8878986D05}"/>
    <cellStyle name="설명 텍스트 18" xfId="2848" xr:uid="{F2954322-195D-4AD0-BE7B-48BC9BD75725}"/>
    <cellStyle name="설명 텍스트 18 2" xfId="2849" xr:uid="{398B0DF8-6856-4A0D-AA98-7F10A0E090FC}"/>
    <cellStyle name="설명 텍스트 19" xfId="2850" xr:uid="{00BCC993-DE26-4F61-B6A3-2FBDCF082D2A}"/>
    <cellStyle name="설명 텍스트 19 2" xfId="2851" xr:uid="{5B8D855F-3EBC-47CA-B6DC-CA695E90BBA9}"/>
    <cellStyle name="설명 텍스트 2" xfId="2852" xr:uid="{D37F82C4-5CE6-422E-A88D-780D861F717E}"/>
    <cellStyle name="설명 텍스트 2 2" xfId="2853" xr:uid="{0781FAA1-0F97-4616-862D-F6AB4F330B07}"/>
    <cellStyle name="설명 텍스트 20" xfId="2854" xr:uid="{9CFF9500-F71C-4352-BE62-8784EE9C1E1B}"/>
    <cellStyle name="설명 텍스트 20 2" xfId="2855" xr:uid="{4DFB8D12-DC9C-4A8D-A99A-C18AE1332D55}"/>
    <cellStyle name="설명 텍스트 21" xfId="2856" xr:uid="{58826E97-FD7E-4A66-87C6-69BFCEDFFBCE}"/>
    <cellStyle name="설명 텍스트 21 2" xfId="2857" xr:uid="{2654CCFD-C9E3-4881-A253-7B4AF46374B1}"/>
    <cellStyle name="설명 텍스트 22" xfId="2858" xr:uid="{F9E86FB5-5A89-4083-9AFC-D4D7E808C8D2}"/>
    <cellStyle name="설명 텍스트 22 2" xfId="2859" xr:uid="{B1E0102E-39C5-400B-9DD1-40D01B41CAF6}"/>
    <cellStyle name="설명 텍스트 23" xfId="2860" xr:uid="{9523DFB4-3E7C-4EB2-B011-D9FBD3AF2C0E}"/>
    <cellStyle name="설명 텍스트 23 2" xfId="2861" xr:uid="{A2EB3C2D-DDD0-4397-925C-89AC16C7650B}"/>
    <cellStyle name="설명 텍스트 24" xfId="2862" xr:uid="{190A507C-050B-450C-966E-D15DFEB266F3}"/>
    <cellStyle name="설명 텍스트 24 2" xfId="2863" xr:uid="{CADC09E1-CBC8-418A-BBB0-BBA70BD5FB39}"/>
    <cellStyle name="설명 텍스트 25" xfId="2864" xr:uid="{932C3E18-76E8-4155-8217-02635AF1DE4F}"/>
    <cellStyle name="설명 텍스트 25 2" xfId="2865" xr:uid="{6574A8D5-D4B5-45D5-A772-C1E41EAF5E7F}"/>
    <cellStyle name="설명 텍스트 26" xfId="2866" xr:uid="{E886B2EB-CA93-4123-B215-DEE4523BCA92}"/>
    <cellStyle name="설명 텍스트 26 2" xfId="2867" xr:uid="{FAA2C0D4-A7B9-4E7B-B77D-1E79E373B597}"/>
    <cellStyle name="설명 텍스트 27" xfId="2868" xr:uid="{122A8468-66BC-4454-82C6-0484E84D9ADF}"/>
    <cellStyle name="설명 텍스트 27 2" xfId="2869" xr:uid="{BDAD10B6-306A-43F7-9DB0-C40378559430}"/>
    <cellStyle name="설명 텍스트 28" xfId="2870" xr:uid="{F880EA8C-AF8D-4300-8C45-DAB7269D50EC}"/>
    <cellStyle name="설명 텍스트 28 2" xfId="2871" xr:uid="{6642D511-3E3F-4BC4-B0CF-DFDA10ECBF22}"/>
    <cellStyle name="설명 텍스트 29" xfId="2872" xr:uid="{8710E378-A613-4520-B03C-A68C37C21AD4}"/>
    <cellStyle name="설명 텍스트 29 2" xfId="2873" xr:uid="{7172FB23-C337-4EAE-B782-5A824590BF2E}"/>
    <cellStyle name="설명 텍스트 3" xfId="2874" xr:uid="{58CD4549-D185-4AD1-9878-A3F0440A484B}"/>
    <cellStyle name="설명 텍스트 3 2" xfId="2875" xr:uid="{53047391-10F7-447C-A7A3-65001C0F6E5E}"/>
    <cellStyle name="설명 텍스트 30" xfId="2876" xr:uid="{635485AD-4C03-49C1-8AC3-1251186D80E8}"/>
    <cellStyle name="설명 텍스트 30 2" xfId="2877" xr:uid="{7E7A2BE3-ADF9-4068-B92C-5D6669EF77AF}"/>
    <cellStyle name="설명 텍스트 31" xfId="2878" xr:uid="{925640B2-8537-4C78-BA59-2E3A1642CCF4}"/>
    <cellStyle name="설명 텍스트 31 2" xfId="2879" xr:uid="{DAFBF527-339F-495D-91B9-B7820A9E330A}"/>
    <cellStyle name="설명 텍스트 32" xfId="2880" xr:uid="{3FB44DDD-5D1A-4198-8F35-DED481D67AA6}"/>
    <cellStyle name="설명 텍스트 32 2" xfId="2881" xr:uid="{F5C0B8F6-18D4-4D83-9188-E4E283E7833A}"/>
    <cellStyle name="설명 텍스트 33" xfId="2882" xr:uid="{F3FDF65D-DF89-49DF-8BC8-8F9C0415C540}"/>
    <cellStyle name="설명 텍스트 33 2" xfId="2883" xr:uid="{1553598C-DEE3-4165-B2DA-4246266F5924}"/>
    <cellStyle name="설명 텍스트 34" xfId="2884" xr:uid="{53AC02B8-E2D0-43D8-9643-D81109E8A4FF}"/>
    <cellStyle name="설명 텍스트 34 2" xfId="2885" xr:uid="{7D62D810-B78E-4601-81DE-7B61568410E8}"/>
    <cellStyle name="설명 텍스트 35" xfId="2886" xr:uid="{1C81F967-47A0-42B3-9F73-F5C23DBEE494}"/>
    <cellStyle name="설명 텍스트 35 2" xfId="2887" xr:uid="{B9143102-08E4-430D-BCF8-350388AE0F74}"/>
    <cellStyle name="설명 텍스트 36" xfId="2888" xr:uid="{EF0F61D4-2951-48A6-A86C-2433152CB5B9}"/>
    <cellStyle name="설명 텍스트 36 2" xfId="2889" xr:uid="{8995CF57-8654-4E70-B1CD-E92E1B8D1738}"/>
    <cellStyle name="설명 텍스트 37" xfId="2890" xr:uid="{AF62C0F4-60A2-46BC-87E8-ED033F46CFFF}"/>
    <cellStyle name="설명 텍스트 37 2" xfId="2891" xr:uid="{7846C894-689D-4977-9EB0-C285C8689080}"/>
    <cellStyle name="설명 텍스트 38" xfId="2892" xr:uid="{267A9E09-C42C-41F2-B264-0C3A7155D35C}"/>
    <cellStyle name="설명 텍스트 38 2" xfId="2893" xr:uid="{936441FE-5DA2-4557-85A3-5D01BDDDD77D}"/>
    <cellStyle name="설명 텍스트 39" xfId="2894" xr:uid="{083B4A1D-38A1-44CF-84BE-8FFB184B56A0}"/>
    <cellStyle name="설명 텍스트 39 2" xfId="2895" xr:uid="{3DDFE208-955D-406E-8431-88DDD3B7042F}"/>
    <cellStyle name="설명 텍스트 4" xfId="2896" xr:uid="{7DC62A65-8E5A-4404-AE2B-A80BF73C23AA}"/>
    <cellStyle name="설명 텍스트 4 2" xfId="2897" xr:uid="{0D957655-76C7-4DA0-B5AB-A2527C505F2B}"/>
    <cellStyle name="설명 텍스트 40" xfId="2898" xr:uid="{D54770DE-37E2-4C94-A346-93B55902A86F}"/>
    <cellStyle name="설명 텍스트 40 2" xfId="2899" xr:uid="{F0EF6146-5D2F-4FEA-8B96-E0F7D3E83425}"/>
    <cellStyle name="설명 텍스트 41" xfId="2900" xr:uid="{3E2B92DA-E638-4738-A2B9-032169985605}"/>
    <cellStyle name="설명 텍스트 41 2" xfId="2901" xr:uid="{290BC03E-FCC8-4311-997E-149A9D53E490}"/>
    <cellStyle name="설명 텍스트 42" xfId="2902" xr:uid="{4672F791-7819-4D3E-BAED-C5B9A32CC0B0}"/>
    <cellStyle name="설명 텍스트 42 2" xfId="2903" xr:uid="{D0441797-A39F-4B94-AB45-F951949C41B1}"/>
    <cellStyle name="설명 텍스트 43" xfId="2904" xr:uid="{A226F6C1-7B95-4A6C-B6B8-68E27562BE00}"/>
    <cellStyle name="설명 텍스트 43 2" xfId="2905" xr:uid="{CA5A7834-2527-4969-8DE2-C469720CE675}"/>
    <cellStyle name="설명 텍스트 44" xfId="2906" xr:uid="{AF868D2D-CDF5-4DF8-95F4-90EA386A0177}"/>
    <cellStyle name="설명 텍스트 45" xfId="2907" xr:uid="{31D369AA-3A0A-444F-A422-021604AABC43}"/>
    <cellStyle name="설명 텍스트 46" xfId="2908" xr:uid="{A877A2E8-DA21-4311-A923-7D5F93C2E575}"/>
    <cellStyle name="설명 텍스트 47" xfId="2909" xr:uid="{6E268B79-6D94-44CD-B9F3-9EDC946751DB}"/>
    <cellStyle name="설명 텍스트 48" xfId="2910" xr:uid="{D8836C3F-74A8-4E89-A5BB-0F682B0C0A3D}"/>
    <cellStyle name="설명 텍스트 49" xfId="2911" xr:uid="{E3FCFB97-DD76-43A5-BF0D-9A8625AC16A2}"/>
    <cellStyle name="설명 텍스트 5" xfId="2912" xr:uid="{04A6517D-8D18-4652-BDBA-424C58B3D7F3}"/>
    <cellStyle name="설명 텍스트 5 2" xfId="2913" xr:uid="{1E0F4B3A-0CD2-48E7-9DC9-D434C9D723D6}"/>
    <cellStyle name="설명 텍스트 50" xfId="2914" xr:uid="{A6139C7C-66EC-4C1C-AE87-505F4967C884}"/>
    <cellStyle name="설명 텍스트 51" xfId="3962" xr:uid="{158B758A-5136-408E-B270-12C81B690270}"/>
    <cellStyle name="설명 텍스트 52" xfId="4126" xr:uid="{7273CE47-9731-4A40-882A-4079BC93A9CF}"/>
    <cellStyle name="설명 텍스트 53" xfId="4257" xr:uid="{B2452CC2-C579-4F58-A37E-DD5F63385033}"/>
    <cellStyle name="설명 텍스트 54" xfId="4429" xr:uid="{23AEA87A-1E2D-4767-8688-6E4A256C4A72}"/>
    <cellStyle name="설명 텍스트 55" xfId="2831" xr:uid="{A4F0F093-F7BD-427C-B667-5B23730E208B}"/>
    <cellStyle name="설명 텍스트 6" xfId="2915" xr:uid="{8ABFAA6D-3949-4512-9AC6-A6266F5F0CFB}"/>
    <cellStyle name="설명 텍스트 6 2" xfId="2916" xr:uid="{E7E6CC64-A2EC-4C40-BF48-7EDDDA37349E}"/>
    <cellStyle name="설명 텍스트 7" xfId="2917" xr:uid="{C021ED81-9422-4D0D-9637-85E64077288A}"/>
    <cellStyle name="설명 텍스트 7 2" xfId="2918" xr:uid="{28A82F58-D42C-40F2-90DD-B2E9652BA819}"/>
    <cellStyle name="설명 텍스트 8" xfId="2919" xr:uid="{B0276B01-528C-4A31-801E-8013C1A7E5B4}"/>
    <cellStyle name="설명 텍스트 8 2" xfId="2920" xr:uid="{DB6D3196-6DEF-4908-8C95-50D9247AF28E}"/>
    <cellStyle name="설명 텍스트 9" xfId="2921" xr:uid="{08D0D9AB-311C-4078-802B-877A76DCEFD5}"/>
    <cellStyle name="설명 텍스트 9 2" xfId="2922" xr:uid="{EC7A1C77-EC68-4709-AE2D-DC13E44D2628}"/>
    <cellStyle name="셀 확인 10" xfId="2924" xr:uid="{3E27BE15-6645-42E8-844F-22EF98A753D9}"/>
    <cellStyle name="셀 확인 10 2" xfId="2925" xr:uid="{F5423CAC-A670-4A93-8BAF-123A9CA8C22A}"/>
    <cellStyle name="셀 확인 11" xfId="2926" xr:uid="{FD9E7646-30BA-401A-9B74-47937F4F7956}"/>
    <cellStyle name="셀 확인 11 2" xfId="2927" xr:uid="{1BB5B93F-4980-493F-8274-49FC90C0E1FE}"/>
    <cellStyle name="셀 확인 12" xfId="2928" xr:uid="{6AA6CFD4-A41C-422F-8AE6-A5FFFE7E7AD3}"/>
    <cellStyle name="셀 확인 12 2" xfId="2929" xr:uid="{6F8CD38F-C653-490A-892A-E6A1E7A24B01}"/>
    <cellStyle name="셀 확인 13" xfId="2930" xr:uid="{DC2483D5-64EE-4A72-9DBC-C73625BC19E8}"/>
    <cellStyle name="셀 확인 13 2" xfId="2931" xr:uid="{B1BCC00A-EBDD-4372-BD8E-88B5897582E5}"/>
    <cellStyle name="셀 확인 14" xfId="2932" xr:uid="{53DC1E4D-11E7-4AB4-A35A-E8F3015317E0}"/>
    <cellStyle name="셀 확인 14 2" xfId="2933" xr:uid="{FF785297-FE2E-4420-8B54-4B00A6D07788}"/>
    <cellStyle name="셀 확인 15" xfId="2934" xr:uid="{F2118147-D0BF-4C0F-8194-39C2671B5C4B}"/>
    <cellStyle name="셀 확인 15 2" xfId="2935" xr:uid="{6906B70D-C16F-4F90-8CD9-EF0E20024653}"/>
    <cellStyle name="셀 확인 16" xfId="2936" xr:uid="{9553CB18-7A0E-4616-98E2-3D52920A53B8}"/>
    <cellStyle name="셀 확인 16 2" xfId="2937" xr:uid="{D258D20E-A44C-4313-91C3-91B05A6AAEA3}"/>
    <cellStyle name="셀 확인 17" xfId="2938" xr:uid="{FBB55395-6A97-40B4-8FD7-72002576642A}"/>
    <cellStyle name="셀 확인 17 2" xfId="2939" xr:uid="{725F1154-AD11-400B-B888-FAEFCA046C93}"/>
    <cellStyle name="셀 확인 18" xfId="2940" xr:uid="{7E76F56A-C2F5-4B86-A894-5E9444E7329B}"/>
    <cellStyle name="셀 확인 18 2" xfId="2941" xr:uid="{832BC9FE-4F2E-4697-9F4A-A1FCBC2F9193}"/>
    <cellStyle name="셀 확인 19" xfId="2942" xr:uid="{F9EC5B85-1A1E-4BBB-AB72-F1FDBDBD9A95}"/>
    <cellStyle name="셀 확인 19 2" xfId="2943" xr:uid="{749C2CCA-8B39-4523-86C3-819D29EAD5BA}"/>
    <cellStyle name="셀 확인 2" xfId="2944" xr:uid="{83E3C653-E6F9-43CE-8DD3-8621758A4547}"/>
    <cellStyle name="셀 확인 2 2" xfId="2945" xr:uid="{B47B2596-AFEC-44B2-BDFB-E1D941B8FE9C}"/>
    <cellStyle name="셀 확인 20" xfId="2946" xr:uid="{01B1A1B9-5500-4974-83C2-6C148511E8BD}"/>
    <cellStyle name="셀 확인 20 2" xfId="2947" xr:uid="{F25A3AE6-8B90-48C2-B691-7C5D7BA26846}"/>
    <cellStyle name="셀 확인 21" xfId="2948" xr:uid="{125F8483-BAC5-409F-9B35-AC371672CC55}"/>
    <cellStyle name="셀 확인 21 2" xfId="2949" xr:uid="{4EB9DA91-1207-48C3-8E29-6081726CA66D}"/>
    <cellStyle name="셀 확인 22" xfId="2950" xr:uid="{597B3895-685E-4095-8699-E7F164E6A7B9}"/>
    <cellStyle name="셀 확인 22 2" xfId="2951" xr:uid="{4885DEC5-D323-4A92-819A-95CF4E7C9D8B}"/>
    <cellStyle name="셀 확인 23" xfId="2952" xr:uid="{A05E939D-C3C1-4DD5-957B-16671EB06698}"/>
    <cellStyle name="셀 확인 23 2" xfId="2953" xr:uid="{E1DF1391-D2CC-46CC-8016-8A3F2E61BC1C}"/>
    <cellStyle name="셀 확인 24" xfId="2954" xr:uid="{F6AD7541-9997-45B3-A127-C17F7C101F37}"/>
    <cellStyle name="셀 확인 24 2" xfId="2955" xr:uid="{B88D0A31-B959-46E6-8029-18216DF61B08}"/>
    <cellStyle name="셀 확인 25" xfId="2956" xr:uid="{2E1C43F4-8103-40AD-9803-EC96D87279C9}"/>
    <cellStyle name="셀 확인 25 2" xfId="2957" xr:uid="{8D0EFF26-842E-4B4C-957D-B0A95B4ED256}"/>
    <cellStyle name="셀 확인 26" xfId="2958" xr:uid="{4A78922C-2CC9-48D6-9786-F97BFC582F31}"/>
    <cellStyle name="셀 확인 26 2" xfId="2959" xr:uid="{A7FF2C70-FF22-4575-8683-86E50437F47E}"/>
    <cellStyle name="셀 확인 27" xfId="2960" xr:uid="{BBA6B870-6BBE-4D24-83C1-B42559144148}"/>
    <cellStyle name="셀 확인 27 2" xfId="2961" xr:uid="{C145DD01-E1D4-4D38-A45D-E192005B398B}"/>
    <cellStyle name="셀 확인 28" xfId="2962" xr:uid="{86DAC4FA-A279-4312-B17C-57CB5624A099}"/>
    <cellStyle name="셀 확인 28 2" xfId="2963" xr:uid="{095F070C-02A6-456F-8C7B-DBCFAA1D4B2E}"/>
    <cellStyle name="셀 확인 29" xfId="2964" xr:uid="{FC48B0FA-93F5-4908-9F2F-2F591270A8A3}"/>
    <cellStyle name="셀 확인 29 2" xfId="2965" xr:uid="{21407001-F38C-498D-A9E2-68B7140952FD}"/>
    <cellStyle name="셀 확인 3" xfId="2966" xr:uid="{18A328B6-52AE-4130-812C-D7E86B049AB5}"/>
    <cellStyle name="셀 확인 3 2" xfId="2967" xr:uid="{1B632FF2-41DB-48B8-9A03-41832F0538C1}"/>
    <cellStyle name="셀 확인 30" xfId="2968" xr:uid="{659B2F7C-9695-4239-8352-1D8C090863AF}"/>
    <cellStyle name="셀 확인 30 2" xfId="2969" xr:uid="{2F0916E5-BC40-4A5A-8440-2CD018E8AFD8}"/>
    <cellStyle name="셀 확인 31" xfId="2970" xr:uid="{C4A3D613-6D79-4C5E-B463-62327BE472B1}"/>
    <cellStyle name="셀 확인 31 2" xfId="2971" xr:uid="{CA32DBF6-9191-4CC2-85C6-8C303FFFF0CA}"/>
    <cellStyle name="셀 확인 32" xfId="2972" xr:uid="{EE648DF6-595A-43E0-B6B4-0B6DFEC64014}"/>
    <cellStyle name="셀 확인 32 2" xfId="2973" xr:uid="{802C0F20-F2A4-4D7E-8F81-E9CD17AB3385}"/>
    <cellStyle name="셀 확인 33" xfId="2974" xr:uid="{396F513A-8C8D-4882-B99E-D67E5F574265}"/>
    <cellStyle name="셀 확인 33 2" xfId="2975" xr:uid="{8F316E48-2F55-4BEE-9AA0-381AF568B7D5}"/>
    <cellStyle name="셀 확인 34" xfId="2976" xr:uid="{3B08BD7F-F84E-4C5D-8641-03496298B76D}"/>
    <cellStyle name="셀 확인 34 2" xfId="2977" xr:uid="{1567AA15-1BCD-4C25-9201-7D3081EC3B89}"/>
    <cellStyle name="셀 확인 35" xfId="2978" xr:uid="{B5AD9825-91ED-44D0-AF85-A82AF22E2BAD}"/>
    <cellStyle name="셀 확인 35 2" xfId="2979" xr:uid="{E2AC817D-9576-4F26-8A22-E142E3A396BF}"/>
    <cellStyle name="셀 확인 36" xfId="2980" xr:uid="{AF928B10-9594-48B1-95EA-829B57B8C6A4}"/>
    <cellStyle name="셀 확인 36 2" xfId="2981" xr:uid="{EA2F08DB-D3FC-4C2E-92C2-66618715EB97}"/>
    <cellStyle name="셀 확인 37" xfId="2982" xr:uid="{4F9793AB-847B-46D0-8A23-25A9DD1CDEB1}"/>
    <cellStyle name="셀 확인 37 2" xfId="2983" xr:uid="{01281E14-ACC5-49AC-8B10-E568E6CBBE7F}"/>
    <cellStyle name="셀 확인 38" xfId="2984" xr:uid="{FEF43F56-7B01-436A-A1B8-DC54DC77CF35}"/>
    <cellStyle name="셀 확인 38 2" xfId="2985" xr:uid="{8970E151-DCF8-45C6-BB52-B16B7B109F15}"/>
    <cellStyle name="셀 확인 39" xfId="2986" xr:uid="{422186D9-222A-4F15-800C-49BBFF92363A}"/>
    <cellStyle name="셀 확인 39 2" xfId="2987" xr:uid="{C07B14FB-7497-4FB9-A3D1-BF80E0817F2B}"/>
    <cellStyle name="셀 확인 4" xfId="2988" xr:uid="{6997B3AC-BC50-41B3-99D2-8457E5738497}"/>
    <cellStyle name="셀 확인 4 2" xfId="2989" xr:uid="{06EC2B1D-33D0-4329-9F38-119C21E2AFB0}"/>
    <cellStyle name="셀 확인 40" xfId="2990" xr:uid="{6E1BFCBB-4161-4683-8394-7810DFB5DE02}"/>
    <cellStyle name="셀 확인 40 2" xfId="2991" xr:uid="{9D2B9480-64E7-4F44-8830-2FFDE1B34CB9}"/>
    <cellStyle name="셀 확인 41" xfId="2992" xr:uid="{11EEA4FA-6F38-40ED-AE84-9C8B73324C34}"/>
    <cellStyle name="셀 확인 41 2" xfId="2993" xr:uid="{AEFC6CA2-26BF-46CD-9FD0-621EEB683B20}"/>
    <cellStyle name="셀 확인 42" xfId="2994" xr:uid="{B542A156-F55C-4E88-A7C3-3AB297FD1300}"/>
    <cellStyle name="셀 확인 42 2" xfId="2995" xr:uid="{D814E273-551A-4B64-886D-5D3AAB484C57}"/>
    <cellStyle name="셀 확인 43" xfId="2996" xr:uid="{49E89F43-3621-4022-A27E-5F880FA7DC77}"/>
    <cellStyle name="셀 확인 43 2" xfId="2997" xr:uid="{79954C36-C46C-46FA-A8DE-DA35A6924C4E}"/>
    <cellStyle name="셀 확인 44" xfId="2998" xr:uid="{57B3DFDB-7E92-4924-8613-51AF8C326015}"/>
    <cellStyle name="셀 확인 45" xfId="2999" xr:uid="{6EE42049-B430-48AB-87F1-ECF5585C2476}"/>
    <cellStyle name="셀 확인 46" xfId="3000" xr:uid="{9213C518-7880-477C-8CB7-2298450DD665}"/>
    <cellStyle name="셀 확인 47" xfId="3001" xr:uid="{4F4E6E61-8DBF-42FA-AC89-DF9EAD714152}"/>
    <cellStyle name="셀 확인 48" xfId="3002" xr:uid="{64C2D498-C7C7-4AB6-8336-3D657376D6B9}"/>
    <cellStyle name="셀 확인 49" xfId="3003" xr:uid="{BB987296-899B-4918-9796-7C4B08049FB2}"/>
    <cellStyle name="셀 확인 5" xfId="3004" xr:uid="{A3777DA4-B20B-4FD0-9B07-E2321FB0626F}"/>
    <cellStyle name="셀 확인 5 2" xfId="3005" xr:uid="{1A981137-1903-449E-AAD8-B3EA7F9826F9}"/>
    <cellStyle name="셀 확인 50" xfId="3006" xr:uid="{4E5ED393-4177-47CB-8A22-EF5972B70B8F}"/>
    <cellStyle name="셀 확인 51" xfId="3959" xr:uid="{70CCF31E-D92A-4599-B93A-68E880AB03B0}"/>
    <cellStyle name="셀 확인 52" xfId="4123" xr:uid="{9EBD0F2A-ECEE-4342-85E6-C67FE47C2AE4}"/>
    <cellStyle name="셀 확인 53" xfId="4258" xr:uid="{EB708630-AC4D-49B8-8FB0-A4143E90BA3D}"/>
    <cellStyle name="셀 확인 54" xfId="4430" xr:uid="{6FF7171C-65B5-43A1-AA4A-21F51C3A29CC}"/>
    <cellStyle name="셀 확인 55" xfId="2923" xr:uid="{61D5C10C-F8C9-435E-99BC-1FA43829CAFE}"/>
    <cellStyle name="셀 확인 6" xfId="3007" xr:uid="{11941BCA-F2E2-492B-840A-B513EDB837BD}"/>
    <cellStyle name="셀 확인 6 2" xfId="3008" xr:uid="{8073FD9B-F7CB-44E6-BEA1-FE38234E3B1A}"/>
    <cellStyle name="셀 확인 7" xfId="3009" xr:uid="{09F674E8-9639-4558-94CE-17F2FC730940}"/>
    <cellStyle name="셀 확인 7 2" xfId="3010" xr:uid="{330AF80F-FB79-464F-8CC3-F552AB80195A}"/>
    <cellStyle name="셀 확인 8" xfId="3011" xr:uid="{E7310F51-904B-4ACB-B585-A170592FB517}"/>
    <cellStyle name="셀 확인 8 2" xfId="3012" xr:uid="{5F1C7A46-BFFA-49ED-81E3-B5A83DA503CC}"/>
    <cellStyle name="셀 확인 9" xfId="3013" xr:uid="{96DB5D61-4738-4F70-AE55-0616F83FBCE1}"/>
    <cellStyle name="셀 확인 9 2" xfId="3014" xr:uid="{A23786A2-22EF-4B03-B405-D9AC6BF1A272}"/>
    <cellStyle name="쉼표 [0]" xfId="156" builtinId="6"/>
    <cellStyle name="쉼표 [0] 2" xfId="3016" xr:uid="{80A48C6A-ACF5-4154-A930-F6C2B8DC7C22}"/>
    <cellStyle name="쉼표 [0] 2 2" xfId="4837" xr:uid="{E6008D45-F111-4B68-916C-DCB69257BDF1}"/>
    <cellStyle name="쉼표 [0] 3" xfId="154" xr:uid="{C0F8F9B3-6376-4075-90B5-595C1BD80115}"/>
    <cellStyle name="쉼표 [0] 3 2" xfId="3017" xr:uid="{6C919797-2A8E-4489-8BAD-C91C46C36D1F}"/>
    <cellStyle name="쉼표 [0] 3 2 2" xfId="4838" xr:uid="{8FB40499-0EA3-4955-BA35-F61F82BB6E6F}"/>
    <cellStyle name="쉼표 [0] 3 3" xfId="4745" xr:uid="{C3AB603F-4E0B-44D4-951F-2780EE25FB00}"/>
    <cellStyle name="쉼표 [0] 4" xfId="4259" xr:uid="{C36DB5C2-CCB4-4335-B871-7DD3357CB829}"/>
    <cellStyle name="쉼표 [0] 4 2" xfId="4836" xr:uid="{3BF9C446-970D-4B11-BEB8-76A2865C851A}"/>
    <cellStyle name="쉼표 [0] 5" xfId="4431" xr:uid="{CEA00544-7096-40EA-9E38-49ACD2B7515B}"/>
    <cellStyle name="쉼표 [0] 5 2" xfId="4839" xr:uid="{0C6D1A54-A82A-42D5-B88C-1D31ADBD4631}"/>
    <cellStyle name="쉼표 [0] 6" xfId="3015" xr:uid="{05010AE6-8F91-4A38-83F1-929AF66906DB}"/>
    <cellStyle name="쉼표 [0] 7" xfId="4746" xr:uid="{00000000-0005-0000-0000-00000B130000}"/>
    <cellStyle name="연결된 셀 10" xfId="3019" xr:uid="{ECB4A958-0225-49C7-AA5F-3D80502F5EFD}"/>
    <cellStyle name="연결된 셀 10 2" xfId="3020" xr:uid="{024B0AC5-53CC-442E-B42C-3D974CEF475D}"/>
    <cellStyle name="연결된 셀 11" xfId="3021" xr:uid="{B2E27DFF-CB1C-4E23-B24D-AC9A61FB55EC}"/>
    <cellStyle name="연결된 셀 11 2" xfId="3022" xr:uid="{B49364CE-7586-4F65-B38A-7B064252D09B}"/>
    <cellStyle name="연결된 셀 12" xfId="3023" xr:uid="{4133AE9B-1A4D-4D27-AA1B-555D1FF4D594}"/>
    <cellStyle name="연결된 셀 12 2" xfId="3024" xr:uid="{68E30AD9-E262-4310-8499-9D58770701D2}"/>
    <cellStyle name="연결된 셀 13" xfId="3025" xr:uid="{2B54D3BB-EB3F-49F4-A8DB-07FB982E3200}"/>
    <cellStyle name="연결된 셀 13 2" xfId="3026" xr:uid="{C9AF48C4-16AD-4049-8DB7-EB7AD23AE6CC}"/>
    <cellStyle name="연결된 셀 14" xfId="3027" xr:uid="{070FDAD1-4C32-4B1E-8100-A65C477668BB}"/>
    <cellStyle name="연결된 셀 14 2" xfId="3028" xr:uid="{A507D996-0AAB-477E-91E7-F927EDF6F00D}"/>
    <cellStyle name="연결된 셀 15" xfId="3029" xr:uid="{E378823E-4F8F-433F-B395-9A1ECF0EA598}"/>
    <cellStyle name="연결된 셀 15 2" xfId="3030" xr:uid="{BE7B92C5-12EF-4937-8A97-4EF9CC44AA75}"/>
    <cellStyle name="연결된 셀 16" xfId="3031" xr:uid="{2C763F3A-5DC4-45FE-B5BC-DEE5BB772C56}"/>
    <cellStyle name="연결된 셀 16 2" xfId="3032" xr:uid="{4A4F758E-C02A-4561-A52F-ABD42AD6FF53}"/>
    <cellStyle name="연결된 셀 17" xfId="3033" xr:uid="{5755732B-FAA5-4C81-BE35-19174F6D2154}"/>
    <cellStyle name="연결된 셀 17 2" xfId="3034" xr:uid="{C7B4F178-A44D-426A-A3FF-0B70FBC9AEC4}"/>
    <cellStyle name="연결된 셀 18" xfId="3035" xr:uid="{86977F02-EE00-454C-875C-38A8EAFCCA2E}"/>
    <cellStyle name="연결된 셀 18 2" xfId="3036" xr:uid="{998E0F9B-1A0E-4940-BEDC-086A52A667CA}"/>
    <cellStyle name="연결된 셀 19" xfId="3037" xr:uid="{997427CE-A96F-4D8B-969C-AED06ADA4E73}"/>
    <cellStyle name="연결된 셀 19 2" xfId="3038" xr:uid="{7AB8CAE1-26F6-47BF-BF3C-8F331E72357D}"/>
    <cellStyle name="연결된 셀 2" xfId="3039" xr:uid="{AAD939EA-B255-400E-A65A-0D5812E76406}"/>
    <cellStyle name="연결된 셀 2 2" xfId="3040" xr:uid="{06426402-72B0-42D1-B94C-7F896C4BED2A}"/>
    <cellStyle name="연결된 셀 20" xfId="3041" xr:uid="{A3F62321-20D2-4497-9B09-35B4B1CB4C59}"/>
    <cellStyle name="연결된 셀 20 2" xfId="3042" xr:uid="{B2133489-AB00-40F3-AD41-3F6392DFA1AD}"/>
    <cellStyle name="연결된 셀 21" xfId="3043" xr:uid="{11594624-3355-4CAE-BE46-868E6D6D50E0}"/>
    <cellStyle name="연결된 셀 21 2" xfId="3044" xr:uid="{6D253130-FFAD-421D-A2A5-038C57048CA0}"/>
    <cellStyle name="연결된 셀 22" xfId="3045" xr:uid="{07AD7F2C-F3DF-401D-B73C-1D78BAE03E9E}"/>
    <cellStyle name="연결된 셀 22 2" xfId="3046" xr:uid="{FC098AE9-D167-48A7-B8D0-3FC9067487BF}"/>
    <cellStyle name="연결된 셀 23" xfId="3047" xr:uid="{6FAEFA8B-A5DF-4AB1-B4D4-36A3BE562222}"/>
    <cellStyle name="연결된 셀 23 2" xfId="3048" xr:uid="{53274E6A-D35F-41BC-9F68-DCB0B8CC2076}"/>
    <cellStyle name="연결된 셀 24" xfId="3049" xr:uid="{C1E466BD-7DB2-4E26-AE62-2CCCA6A4DF4F}"/>
    <cellStyle name="연결된 셀 24 2" xfId="3050" xr:uid="{8E8A0B15-97C6-4E9D-8222-8D67B7A74E56}"/>
    <cellStyle name="연결된 셀 25" xfId="3051" xr:uid="{76C27299-197C-4228-B296-3832CDE300E3}"/>
    <cellStyle name="연결된 셀 25 2" xfId="3052" xr:uid="{D1DD9671-E1BF-44EB-9469-B15B7C6F9FE7}"/>
    <cellStyle name="연결된 셀 26" xfId="3053" xr:uid="{A8DD138C-47C8-4AEF-8622-92694AEC5C9A}"/>
    <cellStyle name="연결된 셀 26 2" xfId="3054" xr:uid="{E7378DB8-6940-498F-B646-B1AC5067D25C}"/>
    <cellStyle name="연결된 셀 27" xfId="3055" xr:uid="{62ADCE14-E1CF-40B6-BB22-3C2A8E4FEC34}"/>
    <cellStyle name="연결된 셀 27 2" xfId="3056" xr:uid="{7D5C6959-7879-4247-BF89-76F2B8B16210}"/>
    <cellStyle name="연결된 셀 28" xfId="3057" xr:uid="{B486B9FC-AD65-43DC-9B62-1A1907C78F83}"/>
    <cellStyle name="연결된 셀 28 2" xfId="3058" xr:uid="{9F4EB6B1-A6D9-40E7-90E8-F8BCD00500FB}"/>
    <cellStyle name="연결된 셀 29" xfId="3059" xr:uid="{820073CB-3DF4-4CF5-BE9D-8C98CB14BBE6}"/>
    <cellStyle name="연결된 셀 29 2" xfId="3060" xr:uid="{33A8DEA9-2A04-4E14-BE91-42223D4F4DA7}"/>
    <cellStyle name="연결된 셀 3" xfId="3061" xr:uid="{FA88053C-0189-460E-BC1B-29C642260D2E}"/>
    <cellStyle name="연결된 셀 3 2" xfId="3062" xr:uid="{BE2366EE-8ABD-40C6-8035-D766DDD10E7B}"/>
    <cellStyle name="연결된 셀 30" xfId="3063" xr:uid="{AC32024D-AC09-407B-8FFE-D11D4A45B373}"/>
    <cellStyle name="연결된 셀 30 2" xfId="3064" xr:uid="{82C63C56-A10C-4237-91CA-0D35BED8270C}"/>
    <cellStyle name="연결된 셀 31" xfId="3065" xr:uid="{A0C0F99D-EAD6-40AE-A48B-672BED7F3075}"/>
    <cellStyle name="연결된 셀 31 2" xfId="3066" xr:uid="{DBE8BE49-BC5F-455C-994B-A48FFF2CB0DF}"/>
    <cellStyle name="연결된 셀 32" xfId="3067" xr:uid="{448EEBA8-1D92-4A68-BE6D-A3887A545376}"/>
    <cellStyle name="연결된 셀 32 2" xfId="3068" xr:uid="{BEC1EBD6-E513-4A6C-94A3-733659F02576}"/>
    <cellStyle name="연결된 셀 33" xfId="3069" xr:uid="{372A1018-9036-4306-A5D0-6871408FC5DE}"/>
    <cellStyle name="연결된 셀 33 2" xfId="3070" xr:uid="{DC24E5A9-FE27-445C-8430-3F08373FDC66}"/>
    <cellStyle name="연결된 셀 34" xfId="3071" xr:uid="{7CEC070C-290D-4BA6-974C-069673E3C422}"/>
    <cellStyle name="연결된 셀 34 2" xfId="3072" xr:uid="{CB150D94-997E-4623-AB78-5DAD5B1F4A9D}"/>
    <cellStyle name="연결된 셀 35" xfId="3073" xr:uid="{5F654702-4558-4E17-B757-A41CCBABD597}"/>
    <cellStyle name="연결된 셀 35 2" xfId="3074" xr:uid="{14366588-3A4F-4446-9FCD-E11D3EA3895B}"/>
    <cellStyle name="연결된 셀 36" xfId="3075" xr:uid="{AC666D75-C2E8-485C-88FD-A078B0240B95}"/>
    <cellStyle name="연결된 셀 36 2" xfId="3076" xr:uid="{2A34F909-0E82-4A2C-8E95-E4DE2DB4BD08}"/>
    <cellStyle name="연결된 셀 37" xfId="3077" xr:uid="{D06788F5-CA69-4B73-9411-6D4BDA78C76B}"/>
    <cellStyle name="연결된 셀 37 2" xfId="3078" xr:uid="{15B3F817-4E96-4D34-9051-B70057F173C3}"/>
    <cellStyle name="연결된 셀 38" xfId="3079" xr:uid="{FF2408F2-5F56-42BF-803B-A5FE6D852292}"/>
    <cellStyle name="연결된 셀 38 2" xfId="3080" xr:uid="{83F7BF15-B399-4165-B8A6-A648BCCE5584}"/>
    <cellStyle name="연결된 셀 39" xfId="3081" xr:uid="{10E645B4-CC82-4A9F-9E29-EF98CBBB2C92}"/>
    <cellStyle name="연결된 셀 39 2" xfId="3082" xr:uid="{8DA11553-83EE-4B2F-AD8C-A10843951368}"/>
    <cellStyle name="연결된 셀 4" xfId="3083" xr:uid="{CE7741B9-EB56-4CE0-AF24-8747024E2300}"/>
    <cellStyle name="연결된 셀 4 2" xfId="3084" xr:uid="{01F6A263-D668-4EF6-A9BF-3EB67674CDB4}"/>
    <cellStyle name="연결된 셀 40" xfId="3085" xr:uid="{42446A2C-28EF-45E3-A7D9-B9B4C0572069}"/>
    <cellStyle name="연결된 셀 40 2" xfId="3086" xr:uid="{057E55D1-9913-4A7D-AB5F-299C8B0CC385}"/>
    <cellStyle name="연결된 셀 41" xfId="3087" xr:uid="{E7868882-BB59-4D3D-A469-640203E78C1D}"/>
    <cellStyle name="연결된 셀 41 2" xfId="3088" xr:uid="{2C141767-56AC-4C10-9AA2-31A5002CD7AD}"/>
    <cellStyle name="연결된 셀 42" xfId="3089" xr:uid="{41F5ABFE-EE87-4F9E-A78A-516FCB377DB6}"/>
    <cellStyle name="연결된 셀 42 2" xfId="3090" xr:uid="{48A9FE39-FF87-4E35-90B1-5177EAB7D5A4}"/>
    <cellStyle name="연결된 셀 43" xfId="3091" xr:uid="{F41A4330-A220-4EDE-BF7E-592E5334264E}"/>
    <cellStyle name="연결된 셀 43 2" xfId="3092" xr:uid="{D68695F7-B187-40D8-9C64-219BDE5861E7}"/>
    <cellStyle name="연결된 셀 44" xfId="3093" xr:uid="{BC34F7B5-00F7-45AA-9F76-3B624AF8A7D4}"/>
    <cellStyle name="연결된 셀 45" xfId="3094" xr:uid="{B7526462-59AF-412A-949F-55B9EF1E6E62}"/>
    <cellStyle name="연결된 셀 46" xfId="3095" xr:uid="{1962E5F5-B7C5-4A04-AD12-AEF055F99067}"/>
    <cellStyle name="연결된 셀 47" xfId="3096" xr:uid="{9AB55987-4F73-4DC7-836B-54B08A1EE6D2}"/>
    <cellStyle name="연결된 셀 48" xfId="3097" xr:uid="{49DE26D6-2E43-446D-8164-07BACA899836}"/>
    <cellStyle name="연결된 셀 49" xfId="3098" xr:uid="{2F9E07C8-9A8A-41FB-8ECC-6DCDB644202C}"/>
    <cellStyle name="연결된 셀 5" xfId="3099" xr:uid="{9CC6BF4C-37AB-4392-AD54-8CA1C2C263EA}"/>
    <cellStyle name="연결된 셀 5 2" xfId="3100" xr:uid="{30FA16E9-B135-4AA0-AF74-656F65882F51}"/>
    <cellStyle name="연결된 셀 50" xfId="3101" xr:uid="{3197C93F-C6F2-450F-853E-29B7BF78AE0E}"/>
    <cellStyle name="연결된 셀 51" xfId="3958" xr:uid="{573C6203-7083-43E0-9B80-8CA162D05B7E}"/>
    <cellStyle name="연결된 셀 52" xfId="4122" xr:uid="{A911F3F9-11E9-4D1F-8086-6B48078F35ED}"/>
    <cellStyle name="연결된 셀 53" xfId="4260" xr:uid="{B1DF696F-12FB-445D-B31F-01141723E660}"/>
    <cellStyle name="연결된 셀 54" xfId="4432" xr:uid="{FA4C4185-CB16-4A5E-8B79-17901240CFE1}"/>
    <cellStyle name="연결된 셀 55" xfId="3018" xr:uid="{A86EDCCE-BC5F-4975-A0AD-B111D3766958}"/>
    <cellStyle name="연결된 셀 6" xfId="3102" xr:uid="{023EDF1F-4F70-4B05-B463-CD3530B55E1D}"/>
    <cellStyle name="연결된 셀 6 2" xfId="3103" xr:uid="{83C1E198-B546-43AF-A678-54EFB593C5A1}"/>
    <cellStyle name="연결된 셀 7" xfId="3104" xr:uid="{B4A0E0B8-9963-4BDD-8336-757569587462}"/>
    <cellStyle name="연결된 셀 7 2" xfId="3105" xr:uid="{6F31E433-6D2A-4D0A-AEEE-38D0BA20F978}"/>
    <cellStyle name="연결된 셀 8" xfId="3106" xr:uid="{A3B023FD-FED6-4727-A088-E56F191D6645}"/>
    <cellStyle name="연결된 셀 8 2" xfId="3107" xr:uid="{AFFA3118-6F70-49FA-8CA6-B0A33E69985B}"/>
    <cellStyle name="연결된 셀 9" xfId="3108" xr:uid="{6A4F730D-477A-4FBB-AF25-8BE2DA3662B3}"/>
    <cellStyle name="연결된 셀 9 2" xfId="3109" xr:uid="{352442CF-A48E-4191-B2CB-08E173A5820C}"/>
    <cellStyle name="요약 10" xfId="3111" xr:uid="{55C814BF-BD4D-42E1-B425-5EE685F66FFA}"/>
    <cellStyle name="요약 10 2" xfId="3112" xr:uid="{A3C6E5FD-B576-47F7-B470-396973C58E46}"/>
    <cellStyle name="요약 11" xfId="3113" xr:uid="{D6DCC0F8-B367-4E62-B621-0BD45F03932D}"/>
    <cellStyle name="요약 11 2" xfId="3114" xr:uid="{BFF56901-1F80-4EE8-A8E6-7C779F9B5AF7}"/>
    <cellStyle name="요약 12" xfId="3115" xr:uid="{30312D45-122D-4C16-B89F-A2B97F7DDE81}"/>
    <cellStyle name="요약 12 2" xfId="3116" xr:uid="{AAC02C4C-C7C3-401D-86B7-EA0150608142}"/>
    <cellStyle name="요약 13" xfId="3117" xr:uid="{F786B267-CEB2-44D1-AEB1-DE1F811764D7}"/>
    <cellStyle name="요약 13 2" xfId="3118" xr:uid="{74AC26BD-678A-4D37-9BE5-C379F0C00A35}"/>
    <cellStyle name="요약 14" xfId="3119" xr:uid="{E3B0BA40-230B-4E9A-86E9-DA69AE9E910B}"/>
    <cellStyle name="요약 14 2" xfId="3120" xr:uid="{01E8E426-5083-4A72-B0DA-906BFC0A437C}"/>
    <cellStyle name="요약 15" xfId="3121" xr:uid="{B778859A-B173-4AB3-8E21-32AFB445D489}"/>
    <cellStyle name="요약 15 2" xfId="3122" xr:uid="{A0FFEFF8-187D-4069-8621-DDD486706656}"/>
    <cellStyle name="요약 16" xfId="3123" xr:uid="{8393C3BB-B3AB-4AA8-83DB-E6BD2002A620}"/>
    <cellStyle name="요약 16 2" xfId="3124" xr:uid="{4A0DB284-623F-428F-A64F-12B52721DFBC}"/>
    <cellStyle name="요약 17" xfId="3125" xr:uid="{85241A12-AA73-4082-9A3B-CDF2A9B28B8C}"/>
    <cellStyle name="요약 17 2" xfId="3126" xr:uid="{47C7794C-3DE1-40A9-990E-0C02299BF555}"/>
    <cellStyle name="요약 18" xfId="3127" xr:uid="{CC67444D-5B8C-4B02-A9FD-A87270FB977B}"/>
    <cellStyle name="요약 18 2" xfId="3128" xr:uid="{58E63AAD-10F9-410F-8BEF-8640C334CA2D}"/>
    <cellStyle name="요약 19" xfId="3129" xr:uid="{34B12319-414A-4AF6-91B7-7C6C96D9A8DB}"/>
    <cellStyle name="요약 19 2" xfId="3130" xr:uid="{D748418A-4A19-40A5-91D4-C72433D2F9BB}"/>
    <cellStyle name="요약 2" xfId="3131" xr:uid="{1FFAD97F-E328-4286-B8E1-A068A5E8EC63}"/>
    <cellStyle name="요약 2 2" xfId="3132" xr:uid="{A84B9FE9-0F43-4DDD-9226-1F9BB0667AFD}"/>
    <cellStyle name="요약 20" xfId="3133" xr:uid="{0F3300B7-48DB-466A-851E-663AA792EFBA}"/>
    <cellStyle name="요약 20 2" xfId="3134" xr:uid="{D0B46B6A-BF19-4B72-B8D5-44C475475918}"/>
    <cellStyle name="요약 21" xfId="3135" xr:uid="{A93345DF-9580-4078-A0BC-8521441D1103}"/>
    <cellStyle name="요약 21 2" xfId="3136" xr:uid="{69B0915F-2BFA-4F09-BD7A-0BD43D440089}"/>
    <cellStyle name="요약 22" xfId="3137" xr:uid="{B882AB42-EECA-425B-B7D4-1682FE770851}"/>
    <cellStyle name="요약 22 2" xfId="3138" xr:uid="{D921C612-2417-41E4-A164-865BBB8DECF4}"/>
    <cellStyle name="요약 23" xfId="3139" xr:uid="{D8569626-2314-41CD-BA3B-3968584C4931}"/>
    <cellStyle name="요약 23 2" xfId="3140" xr:uid="{79616966-47CD-45BE-A3DC-D892E6880AAF}"/>
    <cellStyle name="요약 24" xfId="3141" xr:uid="{AB12E7E4-F701-4483-A8A3-BC5DDD7B4157}"/>
    <cellStyle name="요약 24 2" xfId="3142" xr:uid="{A8399AD0-DCAF-4739-8321-4158D37283E4}"/>
    <cellStyle name="요약 25" xfId="3143" xr:uid="{B2DF4748-681D-47D8-AE78-1257796C14E0}"/>
    <cellStyle name="요약 25 2" xfId="3144" xr:uid="{3B948CC1-0CC9-4815-A698-BEF0A70F052F}"/>
    <cellStyle name="요약 26" xfId="3145" xr:uid="{2D6D8A67-FAA1-4D3E-B218-C39504CFE567}"/>
    <cellStyle name="요약 26 2" xfId="3146" xr:uid="{EAB2451A-25E4-411B-AE9A-079148FB2861}"/>
    <cellStyle name="요약 27" xfId="3147" xr:uid="{88BA894D-4AFB-4B7E-A1FD-ACC9638125F0}"/>
    <cellStyle name="요약 27 2" xfId="3148" xr:uid="{8BF3C204-08EC-4169-9AC9-0F86256E957A}"/>
    <cellStyle name="요약 28" xfId="3149" xr:uid="{5E638E69-616B-4E02-9E3A-692CBD329E02}"/>
    <cellStyle name="요약 28 2" xfId="3150" xr:uid="{6E2118FD-BB18-4924-9365-536C187E804E}"/>
    <cellStyle name="요약 29" xfId="3151" xr:uid="{2714637A-A5BF-4804-8C16-D3FC2717D390}"/>
    <cellStyle name="요약 29 2" xfId="3152" xr:uid="{CBFC64CE-26A5-4406-AF87-9BE8E81CEBC3}"/>
    <cellStyle name="요약 3" xfId="3153" xr:uid="{BFF99E0F-1313-417A-9DDE-9F2383BDFEB0}"/>
    <cellStyle name="요약 3 2" xfId="3154" xr:uid="{A5F9A99E-1FBB-4B4F-B812-0A723155FD13}"/>
    <cellStyle name="요약 30" xfId="3155" xr:uid="{FFF569AD-1D05-4F1E-8B10-43628F2E6191}"/>
    <cellStyle name="요약 30 2" xfId="3156" xr:uid="{758F7CF8-5F5D-45B1-9314-0EB0CF3B2F70}"/>
    <cellStyle name="요약 31" xfId="3157" xr:uid="{24487903-BE2C-4F17-84CA-989DA1AFB65D}"/>
    <cellStyle name="요약 31 2" xfId="3158" xr:uid="{B5BF67DC-4700-4BE9-91BC-7494F2AED3C1}"/>
    <cellStyle name="요약 32" xfId="3159" xr:uid="{01EFD146-FBA0-4587-986D-E7A2103A0801}"/>
    <cellStyle name="요약 32 2" xfId="3160" xr:uid="{97AA79FA-B4D2-4D7E-9F9D-F98B0DC9AF3F}"/>
    <cellStyle name="요약 33" xfId="3161" xr:uid="{A1D2DAD1-C477-477D-B1E1-3A86244F06CC}"/>
    <cellStyle name="요약 33 2" xfId="3162" xr:uid="{1834FAD3-2170-4B31-A611-71C208D4B89E}"/>
    <cellStyle name="요약 34" xfId="3163" xr:uid="{59FF39D0-9312-4A2F-BFF7-FF76C47F3CA4}"/>
    <cellStyle name="요약 34 2" xfId="3164" xr:uid="{1724E2DE-3913-42DC-B49A-3030017CF4D5}"/>
    <cellStyle name="요약 35" xfId="3165" xr:uid="{6F31D231-8331-46E6-8409-DAFB6DEA13A6}"/>
    <cellStyle name="요약 35 2" xfId="3166" xr:uid="{E81865E2-F654-41EA-9EE9-57A57C542A39}"/>
    <cellStyle name="요약 36" xfId="3167" xr:uid="{CA8715E8-4BF9-4882-8495-EB764A2230EC}"/>
    <cellStyle name="요약 36 2" xfId="3168" xr:uid="{44D6EB32-E06E-44B5-8EE2-46D9B191F572}"/>
    <cellStyle name="요약 37" xfId="3169" xr:uid="{87C747AF-7A99-4B6D-AD7D-49F0570485A7}"/>
    <cellStyle name="요약 37 2" xfId="3170" xr:uid="{B4FBA56E-A0B8-4C16-80AB-8398502041B6}"/>
    <cellStyle name="요약 38" xfId="3171" xr:uid="{B6829842-746B-48B6-8092-E49B76B460B0}"/>
    <cellStyle name="요약 38 2" xfId="3172" xr:uid="{4CC42C63-655B-4509-AA91-795EBBD74130}"/>
    <cellStyle name="요약 39" xfId="3173" xr:uid="{E3431602-B93B-45E8-B055-F900E8BCCE0A}"/>
    <cellStyle name="요약 39 2" xfId="3174" xr:uid="{3B7D8BB0-28CF-4DA3-8BF2-8521815C575C}"/>
    <cellStyle name="요약 4" xfId="3175" xr:uid="{6668B3E1-3F76-408A-97DE-AB946A08627B}"/>
    <cellStyle name="요약 4 2" xfId="3176" xr:uid="{BD06D660-C534-4D9B-8E8E-06AB147510C2}"/>
    <cellStyle name="요약 40" xfId="3177" xr:uid="{DB35BE48-B014-4163-8816-8A81E7F549B2}"/>
    <cellStyle name="요약 40 2" xfId="3178" xr:uid="{58049774-4BDB-4CE4-A42C-1FDC3DC126FD}"/>
    <cellStyle name="요약 41" xfId="3179" xr:uid="{C605C377-61C9-49D9-A622-CB84B66E59E9}"/>
    <cellStyle name="요약 41 2" xfId="3180" xr:uid="{205A5079-F5DC-4F99-BE5F-D718480A3202}"/>
    <cellStyle name="요약 42" xfId="3181" xr:uid="{F0B924D3-264D-431B-979F-CA7120E919F4}"/>
    <cellStyle name="요약 42 2" xfId="3182" xr:uid="{411C7F20-ED79-4B4E-965A-16035BAE926D}"/>
    <cellStyle name="요약 43" xfId="3183" xr:uid="{5080461C-BABF-4F05-857D-312A4816A337}"/>
    <cellStyle name="요약 43 2" xfId="3184" xr:uid="{73F2BE8F-E338-4221-89A3-D8271D7FC25D}"/>
    <cellStyle name="요약 44" xfId="3185" xr:uid="{86B1D62C-7DF8-4BE5-BFE7-B219EED59A5E}"/>
    <cellStyle name="요약 45" xfId="3186" xr:uid="{9610ACE9-0F2D-40DB-A7C3-0083887D77C4}"/>
    <cellStyle name="요약 46" xfId="3187" xr:uid="{E705AA66-7E47-45AE-B853-C11E09D5597E}"/>
    <cellStyle name="요약 47" xfId="3188" xr:uid="{FCF2BE53-FD80-47E5-A28A-0169C6A4F094}"/>
    <cellStyle name="요약 48" xfId="3189" xr:uid="{87BDAB49-BFF8-4859-8EDB-38C51DAB3852}"/>
    <cellStyle name="요약 49" xfId="3190" xr:uid="{BC1921F2-9D0E-4204-BF64-AA225300E243}"/>
    <cellStyle name="요약 5" xfId="3191" xr:uid="{7D476EBA-C016-44FA-87FD-DD889C1BAACF}"/>
    <cellStyle name="요약 5 2" xfId="3192" xr:uid="{BCEB5755-3A8F-4602-9586-ECE3284905F9}"/>
    <cellStyle name="요약 50" xfId="3193" xr:uid="{21410B93-FE27-43FC-B830-828B733B0DE7}"/>
    <cellStyle name="요약 51" xfId="3963" xr:uid="{2D5B40A0-02BD-4873-A4C1-74620F004487}"/>
    <cellStyle name="요약 52" xfId="4127" xr:uid="{38814E3B-2807-4F61-8009-B4656B0100E2}"/>
    <cellStyle name="요약 53" xfId="4261" xr:uid="{A35D938D-0AD0-43CE-8AEB-CF9968744327}"/>
    <cellStyle name="요약 54" xfId="4433" xr:uid="{6D8FA409-FB74-4E1D-A3C3-344C701E8075}"/>
    <cellStyle name="요약 55" xfId="3110" xr:uid="{04BD9922-4F5B-49EE-8BA5-2DCA810B7F2D}"/>
    <cellStyle name="요약 6" xfId="3194" xr:uid="{6B5899AF-3F5F-4014-9A77-E3A5C1399C7F}"/>
    <cellStyle name="요약 6 2" xfId="3195" xr:uid="{975A12C8-F3F4-40E5-AFD0-F5D85EFB5D93}"/>
    <cellStyle name="요약 7" xfId="3196" xr:uid="{57BD4B0A-0C54-4ADB-9292-BEA81B02FCC1}"/>
    <cellStyle name="요약 7 2" xfId="3197" xr:uid="{0B521B35-809E-4BF5-8301-A9AF0122E1D1}"/>
    <cellStyle name="요약 8" xfId="3198" xr:uid="{78E7E527-A4A5-45B7-A1D3-F2530B4C74B1}"/>
    <cellStyle name="요약 8 2" xfId="3199" xr:uid="{7DFEFB28-25E7-43C0-8DE8-B15BE651262C}"/>
    <cellStyle name="요약 9" xfId="3200" xr:uid="{87DA7BED-C80F-43A7-A3B8-9B95A7E0F0EF}"/>
    <cellStyle name="요약 9 2" xfId="3201" xr:uid="{9A46BB3C-E6D7-48E0-81B3-2A4301B21806}"/>
    <cellStyle name="입력 10" xfId="3203" xr:uid="{3050A830-182F-4EDB-9B67-71EFFD6B18F8}"/>
    <cellStyle name="입력 10 2" xfId="3204" xr:uid="{F20AFF20-BC04-4E0A-A40E-BF14DB8731EF}"/>
    <cellStyle name="입력 11" xfId="3205" xr:uid="{BFB3939A-5A90-4054-B672-3E10CB5F3180}"/>
    <cellStyle name="입력 11 2" xfId="3206" xr:uid="{92EF2CC1-D830-4D5C-8701-E65F8176169D}"/>
    <cellStyle name="입력 12" xfId="3207" xr:uid="{BBFDD4A7-F143-481D-AD5B-F986F36E5894}"/>
    <cellStyle name="입력 12 2" xfId="3208" xr:uid="{55A2D00F-1FA2-400D-ADB6-EBFE16F9D630}"/>
    <cellStyle name="입력 13" xfId="3209" xr:uid="{DF597CBC-CD89-4364-BA0E-89CE5888EB91}"/>
    <cellStyle name="입력 13 2" xfId="3210" xr:uid="{9CDC6075-400F-4265-A12E-1ED1286D5617}"/>
    <cellStyle name="입력 14" xfId="3211" xr:uid="{57DA7007-3039-4D03-9FDB-AA9C6BE07A01}"/>
    <cellStyle name="입력 14 2" xfId="3212" xr:uid="{E647F6BA-50BB-402C-94B8-90E6E6BE39D7}"/>
    <cellStyle name="입력 15" xfId="3213" xr:uid="{2DFD4911-F410-4308-B47A-028F41EBDF14}"/>
    <cellStyle name="입력 15 2" xfId="3214" xr:uid="{C3739ED8-FECB-4638-B2D9-66F7A7ECDECC}"/>
    <cellStyle name="입력 16" xfId="3215" xr:uid="{4548F349-6DEA-449C-A47B-D7A6788EC1BE}"/>
    <cellStyle name="입력 16 2" xfId="3216" xr:uid="{A83E59B5-31A4-4C80-8E1A-97DC15EA064E}"/>
    <cellStyle name="입력 17" xfId="3217" xr:uid="{537F6451-A476-424D-85FE-10444AC8BC33}"/>
    <cellStyle name="입력 17 2" xfId="3218" xr:uid="{449A18A6-1F74-466D-A8BF-EB5FB5EC6B8F}"/>
    <cellStyle name="입력 18" xfId="3219" xr:uid="{99983CB3-1A7C-4657-927E-CD6C176E334E}"/>
    <cellStyle name="입력 18 2" xfId="3220" xr:uid="{D5FDC1DA-F323-444F-8F28-255CA71A54AF}"/>
    <cellStyle name="입력 19" xfId="3221" xr:uid="{4CF8BDF0-5FE0-4926-B229-23CC07BD0245}"/>
    <cellStyle name="입력 19 2" xfId="3222" xr:uid="{89194F9B-4DAB-4A1D-85BF-1A8F5B6FBE9F}"/>
    <cellStyle name="입력 2" xfId="3223" xr:uid="{F0633DF5-90F8-40BB-9E92-545EF864F216}"/>
    <cellStyle name="입력 2 2" xfId="3224" xr:uid="{65DDBC5F-585C-4BE8-911E-120E881F7490}"/>
    <cellStyle name="입력 20" xfId="3225" xr:uid="{4F8E11D4-0AB0-45DA-8587-00AE0AA34975}"/>
    <cellStyle name="입력 20 2" xfId="3226" xr:uid="{55C09F9D-CF03-43E1-9187-1BCABB77E8BA}"/>
    <cellStyle name="입력 21" xfId="3227" xr:uid="{A607E0F8-F0C0-45DE-B9DF-94A7CE040F33}"/>
    <cellStyle name="입력 21 2" xfId="3228" xr:uid="{53C118E3-C504-4373-A69C-E4D405E60A1A}"/>
    <cellStyle name="입력 22" xfId="3229" xr:uid="{AEAA0478-8420-42FB-9EA8-A2BE2269757C}"/>
    <cellStyle name="입력 22 2" xfId="3230" xr:uid="{7CD348A4-054C-41E5-AB47-1717DD48745F}"/>
    <cellStyle name="입력 23" xfId="3231" xr:uid="{961C9703-7E3F-408B-8014-3D34708808EE}"/>
    <cellStyle name="입력 23 2" xfId="3232" xr:uid="{10A4EFAC-AB95-44A6-9B5E-16A186992956}"/>
    <cellStyle name="입력 24" xfId="3233" xr:uid="{2BC35AF0-700A-45D4-A286-46711EEADDA1}"/>
    <cellStyle name="입력 24 2" xfId="3234" xr:uid="{FFA1CE2C-0568-4607-83BD-C0197196E2D7}"/>
    <cellStyle name="입력 25" xfId="3235" xr:uid="{DF79D130-C347-45CA-8D1A-9624BBFBB1D7}"/>
    <cellStyle name="입력 25 2" xfId="3236" xr:uid="{C2553DCE-9417-4EDF-B67E-870FC4D5CBAF}"/>
    <cellStyle name="입력 26" xfId="3237" xr:uid="{4524541A-FA78-4B7D-8F37-000E814E45F3}"/>
    <cellStyle name="입력 26 2" xfId="3238" xr:uid="{154B9C90-5BEE-4AA4-9835-7954A26B9FFB}"/>
    <cellStyle name="입력 27" xfId="3239" xr:uid="{FFA414AE-9043-4B85-9ACA-CC5D432A4878}"/>
    <cellStyle name="입력 27 2" xfId="3240" xr:uid="{6F7F022B-6B27-449B-9E18-4761AE7A595A}"/>
    <cellStyle name="입력 28" xfId="3241" xr:uid="{D96CB262-A446-4914-A870-04976A6AF862}"/>
    <cellStyle name="입력 28 2" xfId="3242" xr:uid="{3187B010-5734-4917-9303-E1EF2F5E6DE7}"/>
    <cellStyle name="입력 29" xfId="3243" xr:uid="{C3EE273D-93D8-40A5-8058-0D84BB24AAE2}"/>
    <cellStyle name="입력 29 2" xfId="3244" xr:uid="{CBABA75F-1BED-412E-8273-279591743964}"/>
    <cellStyle name="입력 3" xfId="3245" xr:uid="{9FA50BD8-0297-438E-8B5D-01210F3F00F5}"/>
    <cellStyle name="입력 3 2" xfId="3246" xr:uid="{4CA62203-9EE5-4A65-8DF5-0BEB34358A35}"/>
    <cellStyle name="입력 30" xfId="3247" xr:uid="{4EA2DA83-37A8-4B2C-B040-6C5987E80AA9}"/>
    <cellStyle name="입력 30 2" xfId="3248" xr:uid="{D66E0A3B-A751-44B4-94EE-E32910EED638}"/>
    <cellStyle name="입력 31" xfId="3249" xr:uid="{FA5A2642-1516-4586-9DCE-3B9997C874A0}"/>
    <cellStyle name="입력 31 2" xfId="3250" xr:uid="{EA0C8BF2-1211-4D8E-8EC4-612D27C4FCFF}"/>
    <cellStyle name="입력 32" xfId="3251" xr:uid="{2E4BB7E0-4C11-42E6-8100-3380B006DEB6}"/>
    <cellStyle name="입력 32 2" xfId="3252" xr:uid="{0EDAEE50-CD75-4551-99ED-5A1F84D45D7F}"/>
    <cellStyle name="입력 33" xfId="3253" xr:uid="{C5681D81-FCF7-486E-8644-E5EDD23CC812}"/>
    <cellStyle name="입력 33 2" xfId="3254" xr:uid="{A0B2AB2C-93D3-4806-93D5-B74CD2C082E4}"/>
    <cellStyle name="입력 34" xfId="3255" xr:uid="{FBC41A06-7776-488F-83FA-EDF17C4FC2E0}"/>
    <cellStyle name="입력 34 2" xfId="3256" xr:uid="{468AAFF6-60AD-408C-8381-B88FF3562C93}"/>
    <cellStyle name="입력 35" xfId="3257" xr:uid="{6C401D92-8D52-49A1-A627-7FC37ABA881C}"/>
    <cellStyle name="입력 35 2" xfId="3258" xr:uid="{8BD44C40-807D-4916-A59B-8CC85027A835}"/>
    <cellStyle name="입력 36" xfId="3259" xr:uid="{318F58B9-37D0-4F98-9FE5-B5F98D92D6A5}"/>
    <cellStyle name="입력 36 2" xfId="3260" xr:uid="{699269B4-CEC9-4F65-82AC-8CA72B7C7C0F}"/>
    <cellStyle name="입력 37" xfId="3261" xr:uid="{B8768F5A-276A-4F76-84A1-7F6F8D1F2196}"/>
    <cellStyle name="입력 37 2" xfId="3262" xr:uid="{759A9810-48A0-4B35-AFF3-1B24DA04EB8A}"/>
    <cellStyle name="입력 38" xfId="3263" xr:uid="{FA5447C6-7A83-4F4F-AA66-5738F8D012E6}"/>
    <cellStyle name="입력 38 2" xfId="3264" xr:uid="{4B0AB259-483A-4B5F-840E-85389041145A}"/>
    <cellStyle name="입력 39" xfId="3265" xr:uid="{8A245E0A-58A6-4521-A3F5-625DCCB9F66D}"/>
    <cellStyle name="입력 39 2" xfId="3266" xr:uid="{78838DA3-EFBC-4F1F-A4B3-DB5F71C9E8E7}"/>
    <cellStyle name="입력 4" xfId="3267" xr:uid="{156932EF-A624-49B1-8615-DF6023F94495}"/>
    <cellStyle name="입력 4 2" xfId="3268" xr:uid="{873B335E-5129-4B0C-A231-D2746845514A}"/>
    <cellStyle name="입력 40" xfId="3269" xr:uid="{CFCFD445-5A3F-49A5-9612-F69CFB59F549}"/>
    <cellStyle name="입력 40 2" xfId="3270" xr:uid="{916B39C0-BBDB-4FB7-8232-0ECBCFE29146}"/>
    <cellStyle name="입력 41" xfId="3271" xr:uid="{1B5A3262-5B54-4C24-838D-E05F6D22EFB8}"/>
    <cellStyle name="입력 41 2" xfId="3272" xr:uid="{D24171BB-F85E-49B6-B1E9-A523535659CF}"/>
    <cellStyle name="입력 42" xfId="3273" xr:uid="{F94A25E4-AAB2-4BC7-AB89-E47842E73A69}"/>
    <cellStyle name="입력 42 2" xfId="3274" xr:uid="{BC9A8D35-879C-4FC9-AD97-06E4BC1F5B15}"/>
    <cellStyle name="입력 43" xfId="3275" xr:uid="{648F7679-7806-4EC9-86B4-57029AAE2FAB}"/>
    <cellStyle name="입력 43 2" xfId="3276" xr:uid="{53919662-58BE-411D-95BC-8DF40BFFF874}"/>
    <cellStyle name="입력 44" xfId="3277" xr:uid="{4A46FBDC-C5E0-4F76-8DF9-30A02285519B}"/>
    <cellStyle name="입력 45" xfId="3278" xr:uid="{30D478C1-62D5-409F-934A-7799835D53C1}"/>
    <cellStyle name="입력 46" xfId="3279" xr:uid="{46613240-CD63-4409-AA06-7393DFDA7ADF}"/>
    <cellStyle name="입력 47" xfId="3280" xr:uid="{921989A1-CE05-4990-AF00-9F502A4019D7}"/>
    <cellStyle name="입력 48" xfId="3281" xr:uid="{9050A68C-CBE5-45E8-BA5A-91957E4DBD32}"/>
    <cellStyle name="입력 49" xfId="3282" xr:uid="{72F9987C-0500-4452-8D24-639850EEBD2A}"/>
    <cellStyle name="입력 5" xfId="3283" xr:uid="{DEBEDB30-4E62-4246-81C1-520914F36C2E}"/>
    <cellStyle name="입력 5 2" xfId="3284" xr:uid="{7CF21AEF-62A9-4F73-8280-51F235AF1963}"/>
    <cellStyle name="입력 50" xfId="3285" xr:uid="{9AEDBCD4-DAB4-4F67-A441-BBA955DEFCB2}"/>
    <cellStyle name="입력 51" xfId="3955" xr:uid="{754E3920-5B9E-4A56-AFC0-EFCBF7E150F1}"/>
    <cellStyle name="입력 52" xfId="4119" xr:uid="{6DF7E2A0-CFA6-4F9D-A008-6B013B8DDC32}"/>
    <cellStyle name="입력 53" xfId="4262" xr:uid="{7923B21A-6BE6-4369-90E1-5F99D63753B2}"/>
    <cellStyle name="입력 54" xfId="4434" xr:uid="{9A248A13-216A-4373-8FAD-ECAEDDE0F523}"/>
    <cellStyle name="입력 55" xfId="3202" xr:uid="{A49BE2AF-0537-43ED-9078-CFE8B4FBA3C5}"/>
    <cellStyle name="입력 6" xfId="3286" xr:uid="{0B937E2A-F2BE-4758-8A98-B5DDE0594289}"/>
    <cellStyle name="입력 6 2" xfId="3287" xr:uid="{A768D03E-AA99-4394-9378-8F02D334BBE2}"/>
    <cellStyle name="입력 7" xfId="3288" xr:uid="{A0080B42-116B-44B3-BD29-C6A205A8E6C9}"/>
    <cellStyle name="입력 7 2" xfId="3289" xr:uid="{BED4DCAC-F90F-43DF-B570-29C76658CB18}"/>
    <cellStyle name="입력 8" xfId="3290" xr:uid="{CA456914-BA0E-46EC-A7EA-C9219C8EF913}"/>
    <cellStyle name="입력 8 2" xfId="3291" xr:uid="{C77B39CA-82CB-451D-998C-79A5DC24B848}"/>
    <cellStyle name="입력 9" xfId="3292" xr:uid="{84427CEF-11E4-42AE-8C71-75430DB9FBB7}"/>
    <cellStyle name="입력 9 2" xfId="3293" xr:uid="{F15915B7-A544-4EB0-A22E-3448DA6F0E1D}"/>
    <cellStyle name="제목" xfId="158" builtinId="15"/>
    <cellStyle name="제목 1 10" xfId="3296" xr:uid="{F8E2F824-792F-40A1-9766-BCF608AAF414}"/>
    <cellStyle name="제목 1 10 2" xfId="3297" xr:uid="{0A363FD2-0E9F-4D44-8AF2-77BC908EF25D}"/>
    <cellStyle name="제목 1 11" xfId="3298" xr:uid="{EDF05B81-E362-4C61-9B90-688F72054511}"/>
    <cellStyle name="제목 1 11 2" xfId="3299" xr:uid="{70B44CA0-9CC1-403B-AB1B-596EB8861655}"/>
    <cellStyle name="제목 1 12" xfId="3300" xr:uid="{F7CE5F21-1046-4426-974F-63E6C22384CC}"/>
    <cellStyle name="제목 1 12 2" xfId="3301" xr:uid="{CD659474-E880-4845-B115-350AE9854F81}"/>
    <cellStyle name="제목 1 13" xfId="3302" xr:uid="{87A50EF9-AA4F-4D81-B086-3ADD2D4EEE12}"/>
    <cellStyle name="제목 1 13 2" xfId="3303" xr:uid="{E4E09270-5923-4A48-B0B7-A1742CFB49BB}"/>
    <cellStyle name="제목 1 14" xfId="3304" xr:uid="{3FB4A9A1-0971-46AB-AE39-2104BB9AD1BF}"/>
    <cellStyle name="제목 1 14 2" xfId="3305" xr:uid="{A57B3916-4763-42A7-9A73-222CDFF39A29}"/>
    <cellStyle name="제목 1 15" xfId="3306" xr:uid="{8B8A8146-3BE7-4532-BC3B-41F84861FE00}"/>
    <cellStyle name="제목 1 15 2" xfId="3307" xr:uid="{E6C3D722-B472-4439-86E2-EE6145855275}"/>
    <cellStyle name="제목 1 16" xfId="3308" xr:uid="{777A20E7-9367-474E-A823-729EAB6997A1}"/>
    <cellStyle name="제목 1 16 2" xfId="3309" xr:uid="{D2954701-74B5-4FBE-87BD-6232F794EBBD}"/>
    <cellStyle name="제목 1 17" xfId="3310" xr:uid="{28698CEB-36A5-4B1A-A085-D0F41E0DA143}"/>
    <cellStyle name="제목 1 17 2" xfId="3311" xr:uid="{C20BFB08-1D95-4957-9682-CFF3A38727BF}"/>
    <cellStyle name="제목 1 18" xfId="3312" xr:uid="{FE45A75A-AFF0-4665-85CD-62FEE951B722}"/>
    <cellStyle name="제목 1 18 2" xfId="3313" xr:uid="{6EC6630F-DBEE-42B3-AEB9-4158D818E70B}"/>
    <cellStyle name="제목 1 19" xfId="3314" xr:uid="{B025F858-AF49-4AB0-A5F2-AC56E30ACC57}"/>
    <cellStyle name="제목 1 19 2" xfId="3315" xr:uid="{2CE584BE-B2FB-406F-95EB-107AF8DBC33B}"/>
    <cellStyle name="제목 1 2" xfId="3316" xr:uid="{1129078E-C98B-4B39-B8B9-AC1D9DAF134A}"/>
    <cellStyle name="제목 1 2 2" xfId="3317" xr:uid="{C503DE8B-482B-41CE-AB40-90DBE27533E8}"/>
    <cellStyle name="제목 1 20" xfId="3318" xr:uid="{A26AA104-D31C-46F3-A8EC-42F6619A812C}"/>
    <cellStyle name="제목 1 20 2" xfId="3319" xr:uid="{A324465C-5D66-4240-AD80-FF5A6E84A5F3}"/>
    <cellStyle name="제목 1 21" xfId="3320" xr:uid="{DB2CF8E5-5677-4828-A3EE-2A6EC36D3FAB}"/>
    <cellStyle name="제목 1 21 2" xfId="3321" xr:uid="{5626CB6D-DD00-417E-9CEB-CD24E28E2BFD}"/>
    <cellStyle name="제목 1 22" xfId="3322" xr:uid="{D86AE92B-D491-4B41-B833-4CE07160AFA7}"/>
    <cellStyle name="제목 1 22 2" xfId="3323" xr:uid="{11751B30-2ED3-4D6A-998F-86B5133574F3}"/>
    <cellStyle name="제목 1 23" xfId="3324" xr:uid="{44A89306-4417-4FEA-A34A-74CC84B9B4B9}"/>
    <cellStyle name="제목 1 23 2" xfId="3325" xr:uid="{9A1927CD-6F58-4BC0-B352-5328C800570D}"/>
    <cellStyle name="제목 1 24" xfId="3326" xr:uid="{A03CC388-43C6-4FA2-AE92-809354E6D7D1}"/>
    <cellStyle name="제목 1 24 2" xfId="3327" xr:uid="{348AB83F-A039-4B43-8CCB-9B77A5AF34A3}"/>
    <cellStyle name="제목 1 25" xfId="3328" xr:uid="{29FA8EB5-E109-4181-AB97-FBDE73FE6E2A}"/>
    <cellStyle name="제목 1 25 2" xfId="3329" xr:uid="{A314901A-4D73-4B18-84BF-A85C10AD568F}"/>
    <cellStyle name="제목 1 26" xfId="3330" xr:uid="{026E3C40-1AB3-4259-B23D-EEC3B6EFDF7A}"/>
    <cellStyle name="제목 1 26 2" xfId="3331" xr:uid="{63CC3CFF-15D0-4452-A7D7-4FEC032EE6E5}"/>
    <cellStyle name="제목 1 27" xfId="3332" xr:uid="{C5579EA8-3B20-4B16-AAFA-6CE5C2A5C49B}"/>
    <cellStyle name="제목 1 27 2" xfId="3333" xr:uid="{52B0AEBE-3162-4A34-8730-898200977D95}"/>
    <cellStyle name="제목 1 28" xfId="3334" xr:uid="{36347124-5EAD-4541-9E71-122E3CBF6890}"/>
    <cellStyle name="제목 1 28 2" xfId="3335" xr:uid="{D76C32B8-903E-4FBB-BFDF-F18A541A90B3}"/>
    <cellStyle name="제목 1 29" xfId="3336" xr:uid="{ED7D2001-6417-403B-8C8D-D5D19D562D03}"/>
    <cellStyle name="제목 1 29 2" xfId="3337" xr:uid="{8743F543-2BF3-4874-96DC-B9BF33832D2E}"/>
    <cellStyle name="제목 1 3" xfId="3338" xr:uid="{4C1DC841-0C37-4F87-ACC7-FEB16D0A9587}"/>
    <cellStyle name="제목 1 3 2" xfId="3339" xr:uid="{7B7BBB15-500C-4A64-BB88-25127DB18108}"/>
    <cellStyle name="제목 1 30" xfId="3340" xr:uid="{8A4083F9-ABB3-466C-A4E7-0BF7A51C7334}"/>
    <cellStyle name="제목 1 30 2" xfId="3341" xr:uid="{9688BF54-4F87-4D92-AFAF-1D294ECDB10A}"/>
    <cellStyle name="제목 1 31" xfId="3342" xr:uid="{EE736016-4C07-41D4-941B-E508FF1A2AF6}"/>
    <cellStyle name="제목 1 31 2" xfId="3343" xr:uid="{E81B5659-F863-451D-A47F-467CB215BB5D}"/>
    <cellStyle name="제목 1 32" xfId="3344" xr:uid="{E71B3A2A-A4C7-4A01-B79C-14816D514251}"/>
    <cellStyle name="제목 1 32 2" xfId="3345" xr:uid="{4D1A5124-090D-4E62-B995-7505ADC63874}"/>
    <cellStyle name="제목 1 33" xfId="3346" xr:uid="{9F46DCF9-006F-4AF3-882C-E65812CC4C90}"/>
    <cellStyle name="제목 1 33 2" xfId="3347" xr:uid="{FD3C2965-C3C7-42D9-A28A-9348A8C5CFAD}"/>
    <cellStyle name="제목 1 34" xfId="3348" xr:uid="{35AB6FD1-5E0B-4802-BA51-928875A80BC2}"/>
    <cellStyle name="제목 1 34 2" xfId="3349" xr:uid="{7DA76EE9-0174-4A42-BE27-B6D94DF005CE}"/>
    <cellStyle name="제목 1 35" xfId="3350" xr:uid="{6069B3F4-EA99-417D-935E-475A97E15528}"/>
    <cellStyle name="제목 1 35 2" xfId="3351" xr:uid="{1C9508EC-E164-4AE1-921F-955E263601A8}"/>
    <cellStyle name="제목 1 36" xfId="3352" xr:uid="{7536C0C2-30EC-4CB2-B1E3-E6B92B7679FD}"/>
    <cellStyle name="제목 1 36 2" xfId="3353" xr:uid="{12947711-49C3-4B92-9A62-9C0EF7B87092}"/>
    <cellStyle name="제목 1 37" xfId="3354" xr:uid="{5AB5E270-4E74-408C-9E71-6AF5818EDB30}"/>
    <cellStyle name="제목 1 37 2" xfId="3355" xr:uid="{5ABFEE20-9D6F-49F4-A661-9DF03F632281}"/>
    <cellStyle name="제목 1 38" xfId="3356" xr:uid="{A1165CBE-AE18-4BBF-B123-9D93FE9C7917}"/>
    <cellStyle name="제목 1 38 2" xfId="3357" xr:uid="{9941A62B-F1E6-4043-8F1A-C9DE045C33CF}"/>
    <cellStyle name="제목 1 39" xfId="3358" xr:uid="{55C0DAD2-8321-4B7C-9484-47A21C442454}"/>
    <cellStyle name="제목 1 39 2" xfId="3359" xr:uid="{E31F3166-7BEB-49AB-9EE1-46CC1B47E5CA}"/>
    <cellStyle name="제목 1 4" xfId="3360" xr:uid="{59F14946-07D1-4C7C-8D02-D0829DA87158}"/>
    <cellStyle name="제목 1 4 2" xfId="3361" xr:uid="{5A40E9AD-9DB1-4AC2-81C2-362F90920648}"/>
    <cellStyle name="제목 1 40" xfId="3362" xr:uid="{4A47443F-1E3A-4EE9-A22C-63B1BADCC0A9}"/>
    <cellStyle name="제목 1 40 2" xfId="3363" xr:uid="{078B02F1-6070-4783-86DC-51D250B06527}"/>
    <cellStyle name="제목 1 41" xfId="3364" xr:uid="{910A69B9-F742-425B-9D41-BC6D3752B403}"/>
    <cellStyle name="제목 1 41 2" xfId="3365" xr:uid="{F77EA81A-4E2F-4DE8-AC51-EDF3F777FA89}"/>
    <cellStyle name="제목 1 42" xfId="3366" xr:uid="{C7E4AF8C-6E0A-4287-8CFA-1C0A093D490F}"/>
    <cellStyle name="제목 1 42 2" xfId="3367" xr:uid="{3C563569-0FF5-47A7-A4BA-9827A4B2117E}"/>
    <cellStyle name="제목 1 43" xfId="3368" xr:uid="{E6E96003-B316-4061-BF78-06F91CE605A5}"/>
    <cellStyle name="제목 1 43 2" xfId="3369" xr:uid="{60E1B565-08A9-44E8-9A63-EF864D18A3FB}"/>
    <cellStyle name="제목 1 44" xfId="3370" xr:uid="{6F106B84-75EC-4A87-9223-AA30458B7B67}"/>
    <cellStyle name="제목 1 45" xfId="3371" xr:uid="{19CC5FEB-C4F4-4062-820C-F493D2E6F105}"/>
    <cellStyle name="제목 1 46" xfId="3372" xr:uid="{FDB26B85-660A-4062-801D-2CB9D0491D46}"/>
    <cellStyle name="제목 1 47" xfId="3373" xr:uid="{FBFD29F9-1ED0-4297-8795-E39AE014F2BA}"/>
    <cellStyle name="제목 1 48" xfId="3374" xr:uid="{46E5C775-5942-4A46-B788-227E99E2CFAB}"/>
    <cellStyle name="제목 1 49" xfId="3375" xr:uid="{9580ABA1-D0CA-4483-8B11-536205BDAC34}"/>
    <cellStyle name="제목 1 5" xfId="3376" xr:uid="{528B5F0C-50E2-4548-8041-8CC1B90AB67F}"/>
    <cellStyle name="제목 1 5 2" xfId="3377" xr:uid="{24C76CC1-591A-4521-9726-0D5EB69E3EBE}"/>
    <cellStyle name="제목 1 50" xfId="3378" xr:uid="{0A890DFF-9C3E-4B4E-A45E-9FB7C5FCEA72}"/>
    <cellStyle name="제목 1 51" xfId="3948" xr:uid="{E2BF7A9C-2D4B-4AD2-9A22-36598B800840}"/>
    <cellStyle name="제목 1 52" xfId="4112" xr:uid="{809B5CFE-7968-4E17-BA99-43D5A1044A26}"/>
    <cellStyle name="제목 1 53" xfId="4264" xr:uid="{C48890CD-E710-41B8-8003-5B988287301C}"/>
    <cellStyle name="제목 1 54" xfId="4436" xr:uid="{E6211F52-2CE5-4B47-8782-3154C3FA9F5A}"/>
    <cellStyle name="제목 1 55" xfId="3295" xr:uid="{87535417-63A5-47A1-B4DF-280E2BAB4DD1}"/>
    <cellStyle name="제목 1 6" xfId="3379" xr:uid="{4F827186-88DF-48AC-9875-F4A8E86EF70D}"/>
    <cellStyle name="제목 1 6 2" xfId="3380" xr:uid="{E9FB1519-0F7F-481E-8DEB-327134231AAC}"/>
    <cellStyle name="제목 1 7" xfId="3381" xr:uid="{C2133EA8-2CE4-45CF-9671-DD414DEC5679}"/>
    <cellStyle name="제목 1 7 2" xfId="3382" xr:uid="{28C8D9AB-953F-484D-BD6C-772669372AA1}"/>
    <cellStyle name="제목 1 8" xfId="3383" xr:uid="{B4F3B433-41FD-475C-899A-005C37CC993E}"/>
    <cellStyle name="제목 1 8 2" xfId="3384" xr:uid="{916D86BD-5E55-4A0D-AEE6-1752DFD6467E}"/>
    <cellStyle name="제목 1 9" xfId="3385" xr:uid="{5471EB64-6B49-4171-B3ED-B02E172E1E20}"/>
    <cellStyle name="제목 1 9 2" xfId="3386" xr:uid="{827265F9-82AB-407D-8113-8B0873F6D494}"/>
    <cellStyle name="제목 10" xfId="3387" xr:uid="{540065F9-F68F-461D-B7B0-F85519648A7F}"/>
    <cellStyle name="제목 10 2" xfId="3388" xr:uid="{AE57A519-2E2E-4374-ADBA-E5187844D7C2}"/>
    <cellStyle name="제목 11" xfId="3389" xr:uid="{6C93A592-2D74-4EDD-98D1-45E8AA7E2936}"/>
    <cellStyle name="제목 11 2" xfId="3390" xr:uid="{4ECD52EC-F3D5-4DDC-B60A-ECAEA38893C3}"/>
    <cellStyle name="제목 12" xfId="3391" xr:uid="{29D95887-0ECC-40DD-B9D3-64F45901B8B2}"/>
    <cellStyle name="제목 12 2" xfId="3392" xr:uid="{948C9DDF-2B7C-4318-9BC8-BEE5DC13E695}"/>
    <cellStyle name="제목 13" xfId="3393" xr:uid="{ADDD1ABD-5420-4DAE-891C-EBCFAA9C117E}"/>
    <cellStyle name="제목 13 2" xfId="3394" xr:uid="{DEE8948F-824C-431F-91F6-F3A9D15ADB6A}"/>
    <cellStyle name="제목 14" xfId="3395" xr:uid="{402AAE5A-E6D1-4962-A57D-DDE87B60C2F1}"/>
    <cellStyle name="제목 14 2" xfId="3396" xr:uid="{4F51F0EF-3509-4F98-8248-63AB71E1D2F6}"/>
    <cellStyle name="제목 15" xfId="3397" xr:uid="{A71694E0-DB39-4659-9C18-250E77C6388B}"/>
    <cellStyle name="제목 15 2" xfId="3398" xr:uid="{C5E3E0CE-542B-4B77-BAFF-05795DD65067}"/>
    <cellStyle name="제목 16" xfId="3399" xr:uid="{D1799639-1A50-4218-82DC-B28E5DE9A957}"/>
    <cellStyle name="제목 16 2" xfId="3400" xr:uid="{437069ED-EF73-40B0-8207-BA262A4FE184}"/>
    <cellStyle name="제목 17" xfId="3401" xr:uid="{A0423C82-8DB8-4BE7-9289-DC21996C8AA4}"/>
    <cellStyle name="제목 17 2" xfId="3402" xr:uid="{929509F3-B1E1-4422-973E-A8CBDD44FBB6}"/>
    <cellStyle name="제목 18" xfId="3403" xr:uid="{3C107C32-07F8-4475-8D3B-C432DECDAA48}"/>
    <cellStyle name="제목 18 2" xfId="3404" xr:uid="{DD50B983-FA3C-41AD-8DB0-A3F3AE8BD728}"/>
    <cellStyle name="제목 19" xfId="3405" xr:uid="{05A09566-CFDF-4F72-A937-A6083F742920}"/>
    <cellStyle name="제목 19 2" xfId="3406" xr:uid="{70D1235E-8781-4CCA-9576-AC01E6DF4A41}"/>
    <cellStyle name="제목 2 10" xfId="3408" xr:uid="{0520F0EB-421C-42BB-BB7F-63052D94A1BE}"/>
    <cellStyle name="제목 2 10 2" xfId="3409" xr:uid="{219C4A00-F17B-4C65-809C-9AF5643C76BF}"/>
    <cellStyle name="제목 2 11" xfId="3410" xr:uid="{4C40D6BD-CF18-4177-9719-17F3CD20D6A3}"/>
    <cellStyle name="제목 2 11 2" xfId="3411" xr:uid="{E581D1B8-7D61-4E74-B7FE-A21971559CA6}"/>
    <cellStyle name="제목 2 12" xfId="3412" xr:uid="{38CA309F-C4DA-4E42-B589-560EE366416B}"/>
    <cellStyle name="제목 2 12 2" xfId="3413" xr:uid="{26663D65-39D8-46D0-9E64-BAD56E69A7DD}"/>
    <cellStyle name="제목 2 13" xfId="3414" xr:uid="{A336328E-DB04-4A10-88B7-74F4997EF71F}"/>
    <cellStyle name="제목 2 13 2" xfId="3415" xr:uid="{506561DD-06E0-4A7C-BE32-A38BBF54A13C}"/>
    <cellStyle name="제목 2 14" xfId="3416" xr:uid="{39645BF4-2C9A-4C25-9AD8-5F1337C3ED52}"/>
    <cellStyle name="제목 2 14 2" xfId="3417" xr:uid="{BB94EF12-F587-475C-8427-E445E5F1CAF7}"/>
    <cellStyle name="제목 2 15" xfId="3418" xr:uid="{14B876E2-3173-4D24-AA46-4561DF65F658}"/>
    <cellStyle name="제목 2 15 2" xfId="3419" xr:uid="{B88195CC-6879-4148-B039-5EAB40C20C68}"/>
    <cellStyle name="제목 2 16" xfId="3420" xr:uid="{C0F03950-7BCA-453C-86CA-CAAF4304B16F}"/>
    <cellStyle name="제목 2 16 2" xfId="3421" xr:uid="{734085BA-1DA1-46DC-8D9B-BB57E2B0C4DC}"/>
    <cellStyle name="제목 2 17" xfId="3422" xr:uid="{BF4BACA9-D6DE-45CF-B690-C5242942B921}"/>
    <cellStyle name="제목 2 17 2" xfId="3423" xr:uid="{34A9CB29-DC3A-40F3-B28B-F27095C3155B}"/>
    <cellStyle name="제목 2 18" xfId="3424" xr:uid="{EF15D875-CD0E-45C8-A825-CFB031CADC41}"/>
    <cellStyle name="제목 2 18 2" xfId="3425" xr:uid="{DAB51D35-6E94-4D28-B1D8-595073B4764E}"/>
    <cellStyle name="제목 2 19" xfId="3426" xr:uid="{AA3FFB4A-649A-42AB-9F4B-0974204D76E7}"/>
    <cellStyle name="제목 2 19 2" xfId="3427" xr:uid="{6078D5BA-BBF1-4DE5-9B32-E345DD1AE09B}"/>
    <cellStyle name="제목 2 2" xfId="3428" xr:uid="{A6F3FF52-7684-412D-9C40-A69F3D112485}"/>
    <cellStyle name="제목 2 2 2" xfId="3429" xr:uid="{F94BA267-435B-4011-BD46-6FE264108571}"/>
    <cellStyle name="제목 2 20" xfId="3430" xr:uid="{16AD55FC-614E-4559-9147-62D0FA703BB8}"/>
    <cellStyle name="제목 2 20 2" xfId="3431" xr:uid="{C64EEA10-CA84-478B-845E-C213FEC21EC2}"/>
    <cellStyle name="제목 2 21" xfId="3432" xr:uid="{8807A780-5B8C-4A62-91E6-21E597675B23}"/>
    <cellStyle name="제목 2 21 2" xfId="3433" xr:uid="{28FA20A8-7CEF-477A-BDDB-F6652E82EB43}"/>
    <cellStyle name="제목 2 22" xfId="3434" xr:uid="{6AEA204C-511E-47A1-8704-2BCAB27FE683}"/>
    <cellStyle name="제목 2 22 2" xfId="3435" xr:uid="{057D7D88-B8D4-4793-9F7A-80D627A3591E}"/>
    <cellStyle name="제목 2 23" xfId="3436" xr:uid="{ED643BFA-510F-4BE6-BBCD-391B9BF4AE4E}"/>
    <cellStyle name="제목 2 23 2" xfId="3437" xr:uid="{64ECDF49-5799-4C8C-ADCD-8E3163CAC144}"/>
    <cellStyle name="제목 2 24" xfId="3438" xr:uid="{79069FDC-F34F-41C2-990A-F62273997E2B}"/>
    <cellStyle name="제목 2 24 2" xfId="3439" xr:uid="{FE260CB1-D167-4769-969D-08F626EAC735}"/>
    <cellStyle name="제목 2 25" xfId="3440" xr:uid="{08189671-B0CD-413F-886B-A4DF92751F5D}"/>
    <cellStyle name="제목 2 25 2" xfId="3441" xr:uid="{12143EEA-8357-44BF-90C4-B62E5093A7FF}"/>
    <cellStyle name="제목 2 26" xfId="3442" xr:uid="{ABAB71E0-B817-4E89-B91E-C0A4448A3ABD}"/>
    <cellStyle name="제목 2 26 2" xfId="3443" xr:uid="{00034ACA-AAE9-422D-BDF1-C59453F395BE}"/>
    <cellStyle name="제목 2 27" xfId="3444" xr:uid="{1FBD5469-948D-4A62-B31F-0EF07344B025}"/>
    <cellStyle name="제목 2 27 2" xfId="3445" xr:uid="{42B353E3-751A-41A3-A67F-283D636E6617}"/>
    <cellStyle name="제목 2 28" xfId="3446" xr:uid="{9A0049BD-28DA-4198-AF63-24A89811F704}"/>
    <cellStyle name="제목 2 28 2" xfId="3447" xr:uid="{FDFAE153-67C5-4261-A882-B0566CC81910}"/>
    <cellStyle name="제목 2 29" xfId="3448" xr:uid="{9261701B-90A4-453B-A051-E8CFC0825C8D}"/>
    <cellStyle name="제목 2 29 2" xfId="3449" xr:uid="{A9D06044-8AE8-4205-96D4-557D4A0440A4}"/>
    <cellStyle name="제목 2 3" xfId="3450" xr:uid="{A45BA3EB-3942-4845-B527-B8CB1AA83394}"/>
    <cellStyle name="제목 2 3 2" xfId="3451" xr:uid="{4403AF44-AFDE-46DD-86F4-A371AEAE6583}"/>
    <cellStyle name="제목 2 30" xfId="3452" xr:uid="{5906B4D1-A9B0-4CFF-828C-69DB918F3E95}"/>
    <cellStyle name="제목 2 30 2" xfId="3453" xr:uid="{331B8BA7-8609-4268-8768-12D91892EA06}"/>
    <cellStyle name="제목 2 31" xfId="3454" xr:uid="{F82E9DF8-0F12-479A-9AA6-55B0FB18CBC8}"/>
    <cellStyle name="제목 2 31 2" xfId="3455" xr:uid="{00D6F15E-F3BD-408A-ABD4-E24C588764A0}"/>
    <cellStyle name="제목 2 32" xfId="3456" xr:uid="{7A2D001D-B667-4B55-B952-4CA2694CE7EA}"/>
    <cellStyle name="제목 2 32 2" xfId="3457" xr:uid="{EC4C9B9B-2685-4B51-8A4D-7E5644258B1B}"/>
    <cellStyle name="제목 2 33" xfId="3458" xr:uid="{2EFAF0A4-B581-41B9-9818-7AD7A5D3FCFD}"/>
    <cellStyle name="제목 2 33 2" xfId="3459" xr:uid="{2E670B9E-ABEC-44C0-AB98-E0ED34B31B2A}"/>
    <cellStyle name="제목 2 34" xfId="3460" xr:uid="{2FBAFC24-97BD-4387-8711-7039E12E815C}"/>
    <cellStyle name="제목 2 34 2" xfId="3461" xr:uid="{64E7F46A-46BD-4494-9DBA-F43ED0ADD351}"/>
    <cellStyle name="제목 2 35" xfId="3462" xr:uid="{D22668B7-9F19-4338-8978-5560DA37FEF0}"/>
    <cellStyle name="제목 2 35 2" xfId="3463" xr:uid="{13EBD2DE-D30D-4B9A-83B9-5E83D6DCE151}"/>
    <cellStyle name="제목 2 36" xfId="3464" xr:uid="{620D3328-4021-4DEF-B660-C58D7D141D60}"/>
    <cellStyle name="제목 2 36 2" xfId="3465" xr:uid="{57F7B08D-D503-4035-B61B-65460DD1A041}"/>
    <cellStyle name="제목 2 37" xfId="3466" xr:uid="{7815B30C-074D-4136-8417-0BBDD240BE15}"/>
    <cellStyle name="제목 2 37 2" xfId="3467" xr:uid="{7C73B3D6-652E-4B0C-80A5-ECDF5D92D587}"/>
    <cellStyle name="제목 2 38" xfId="3468" xr:uid="{E29591AB-9BDE-4A27-8F7D-9851AF373B0C}"/>
    <cellStyle name="제목 2 38 2" xfId="3469" xr:uid="{6163644E-619E-41C2-AF06-CDEADA1D8DD8}"/>
    <cellStyle name="제목 2 39" xfId="3470" xr:uid="{5DA816B9-4BA4-4D1A-8D26-99FFC41EAD83}"/>
    <cellStyle name="제목 2 39 2" xfId="3471" xr:uid="{17975394-666B-4086-861C-3E0D7EE4734E}"/>
    <cellStyle name="제목 2 4" xfId="3472" xr:uid="{4B6102F2-96C6-4265-9896-64C4C474AD22}"/>
    <cellStyle name="제목 2 4 2" xfId="3473" xr:uid="{8983F26A-F3FB-4E8B-9925-2A3141FBAE16}"/>
    <cellStyle name="제목 2 40" xfId="3474" xr:uid="{683B783E-458A-44F1-AF8B-07B306551289}"/>
    <cellStyle name="제목 2 40 2" xfId="3475" xr:uid="{2F62DA0B-62A6-4511-83CD-032118FABDFD}"/>
    <cellStyle name="제목 2 41" xfId="3476" xr:uid="{D609822B-32CA-400B-922A-36BEC3FA1E9A}"/>
    <cellStyle name="제목 2 41 2" xfId="3477" xr:uid="{C55C6B37-347A-4C71-AF62-6C66E9064764}"/>
    <cellStyle name="제목 2 42" xfId="3478" xr:uid="{B08C7DED-9F73-4F30-9519-8B0904858A0A}"/>
    <cellStyle name="제목 2 42 2" xfId="3479" xr:uid="{D4BE8D22-B235-4B12-8CA2-AE3E07B3CDAC}"/>
    <cellStyle name="제목 2 43" xfId="3480" xr:uid="{70ED0DC5-8F55-4A3C-82DC-30373834F40A}"/>
    <cellStyle name="제목 2 43 2" xfId="3481" xr:uid="{3C5C397D-DB18-4BAF-AF6F-388A214FB197}"/>
    <cellStyle name="제목 2 44" xfId="3482" xr:uid="{A0B83DC7-6416-4C94-A8FC-DF8DA951005B}"/>
    <cellStyle name="제목 2 45" xfId="3483" xr:uid="{A763EF04-64DD-43A7-9703-FDBE6B72BEA7}"/>
    <cellStyle name="제목 2 46" xfId="3484" xr:uid="{EAFBC77D-11FC-4642-9CAC-323440945F02}"/>
    <cellStyle name="제목 2 47" xfId="3485" xr:uid="{EB5E9749-A774-4794-8EFB-74CFD39D0096}"/>
    <cellStyle name="제목 2 48" xfId="3486" xr:uid="{E1A4122B-D861-4B2B-AC49-A5AA0A20B8BB}"/>
    <cellStyle name="제목 2 49" xfId="3487" xr:uid="{8BF21187-831A-4CBF-9371-674279AD3ED0}"/>
    <cellStyle name="제목 2 5" xfId="3488" xr:uid="{5763264F-CBF1-4287-93A3-9F6EAD258807}"/>
    <cellStyle name="제목 2 5 2" xfId="3489" xr:uid="{31455147-F388-44E7-83F4-66A2C0F745E5}"/>
    <cellStyle name="제목 2 50" xfId="3490" xr:uid="{F89EEE21-3431-4812-9154-3D7500354D07}"/>
    <cellStyle name="제목 2 51" xfId="3949" xr:uid="{4BB629DB-2D5E-4A31-9563-1401DBF0FF84}"/>
    <cellStyle name="제목 2 52" xfId="4113" xr:uid="{F029CB98-F123-403F-9B0F-CDD3557F20C1}"/>
    <cellStyle name="제목 2 53" xfId="4265" xr:uid="{07A22753-EDAC-468B-A248-5C3BBC6B9D20}"/>
    <cellStyle name="제목 2 54" xfId="4437" xr:uid="{41DF9DC4-9517-48BB-96AE-40B9EAF55C93}"/>
    <cellStyle name="제목 2 55" xfId="3407" xr:uid="{C40C06B0-D475-40CF-B3E9-9F74EEBE5D55}"/>
    <cellStyle name="제목 2 6" xfId="3491" xr:uid="{DB3F2D79-CC57-4F37-B76E-1D6CF46EA968}"/>
    <cellStyle name="제목 2 6 2" xfId="3492" xr:uid="{68DF67E8-52C4-4962-9A83-7EE3FC2EC83E}"/>
    <cellStyle name="제목 2 7" xfId="3493" xr:uid="{6E200161-8DF3-41E2-8D79-0263598CE8AC}"/>
    <cellStyle name="제목 2 7 2" xfId="3494" xr:uid="{038AA552-2EF4-4D21-84AB-92CA1FABED6F}"/>
    <cellStyle name="제목 2 8" xfId="3495" xr:uid="{E440A17B-4B40-45C2-812D-EAE7D144CAB1}"/>
    <cellStyle name="제목 2 8 2" xfId="3496" xr:uid="{67470790-02C9-4143-9636-375781D1B87B}"/>
    <cellStyle name="제목 2 9" xfId="3497" xr:uid="{32382691-BC99-4E7A-B0CE-3DDBA34C6321}"/>
    <cellStyle name="제목 2 9 2" xfId="3498" xr:uid="{BF621BC8-4041-4B5B-8181-0C0821EEC329}"/>
    <cellStyle name="제목 20" xfId="3499" xr:uid="{593A5DE6-6FAC-4C76-83D2-3BB54761B6A5}"/>
    <cellStyle name="제목 20 2" xfId="3500" xr:uid="{D778992D-6FC6-4C76-80BC-64B6F385AE01}"/>
    <cellStyle name="제목 21" xfId="3501" xr:uid="{A87249C9-1326-42B0-B835-60DD3AB844FB}"/>
    <cellStyle name="제목 21 2" xfId="3502" xr:uid="{66EF76AF-459F-417E-A4BE-C9EAEBC42B7F}"/>
    <cellStyle name="제목 22" xfId="3503" xr:uid="{4FF5E47E-4F47-4951-B9F3-8E9F7C575603}"/>
    <cellStyle name="제목 22 2" xfId="3504" xr:uid="{4E163124-1E66-474C-BBCF-2489C8D0D4DD}"/>
    <cellStyle name="제목 23" xfId="3505" xr:uid="{5C0C4DE7-3BAA-4354-BE1C-FF38F824DE18}"/>
    <cellStyle name="제목 23 2" xfId="3506" xr:uid="{83707F63-6DED-4EF5-9EA4-A86B03CBEBBC}"/>
    <cellStyle name="제목 24" xfId="3507" xr:uid="{BA6A2572-26B1-4675-A3B2-1FCEEE6B28DE}"/>
    <cellStyle name="제목 24 2" xfId="3508" xr:uid="{9BF996FA-CFFE-48CD-9092-28AF665813DD}"/>
    <cellStyle name="제목 25" xfId="3509" xr:uid="{DB122BA1-B37F-4718-95DA-4108631DBEB0}"/>
    <cellStyle name="제목 25 2" xfId="3510" xr:uid="{40DFEE5F-FF9F-4C9E-968D-94D8810C1242}"/>
    <cellStyle name="제목 26" xfId="3511" xr:uid="{E178BD62-04D4-4AA3-AACB-A64674BC8EF4}"/>
    <cellStyle name="제목 26 2" xfId="3512" xr:uid="{055E4C75-E8AA-44A8-A7FB-0F1C92845793}"/>
    <cellStyle name="제목 27" xfId="3513" xr:uid="{04136850-3B73-4264-B4C8-5DA803E8D9EE}"/>
    <cellStyle name="제목 27 2" xfId="3514" xr:uid="{46A8A470-87AE-49D3-88DF-FFCD1C23BA8D}"/>
    <cellStyle name="제목 28" xfId="3515" xr:uid="{081ED1BA-7277-439A-832D-35626F5965C4}"/>
    <cellStyle name="제목 28 2" xfId="3516" xr:uid="{8C928ED7-D05F-465D-81D7-5AFC822C53C5}"/>
    <cellStyle name="제목 29" xfId="3517" xr:uid="{03EB2CDE-4B6F-4648-8745-A1EA42B9071E}"/>
    <cellStyle name="제목 29 2" xfId="3518" xr:uid="{310BC99E-6896-4D9F-9F4B-4799C6013E56}"/>
    <cellStyle name="제목 3 10" xfId="3520" xr:uid="{5B70624A-495A-4F2C-BBC2-2F3FC8356D03}"/>
    <cellStyle name="제목 3 10 2" xfId="3521" xr:uid="{19CC4FC4-A82D-4FB5-A003-DCB9E637A47A}"/>
    <cellStyle name="제목 3 11" xfId="3522" xr:uid="{5AB9B771-64D1-44B8-85D8-A4CB5599DC1A}"/>
    <cellStyle name="제목 3 11 2" xfId="3523" xr:uid="{2D156BA5-88C2-4A76-BD4D-E99E2E6F7E7F}"/>
    <cellStyle name="제목 3 12" xfId="3524" xr:uid="{8291777A-72A4-4144-B414-B170B50F7E0A}"/>
    <cellStyle name="제목 3 12 2" xfId="3525" xr:uid="{A5EA58CD-A75F-49C8-9B0E-4A6E8039C85A}"/>
    <cellStyle name="제목 3 13" xfId="3526" xr:uid="{FD4D0981-A29A-403B-9F36-FED588635322}"/>
    <cellStyle name="제목 3 13 2" xfId="3527" xr:uid="{7203B829-3039-4874-B87B-5DECEDACA1C5}"/>
    <cellStyle name="제목 3 14" xfId="3528" xr:uid="{7A9754AA-4C8D-4B32-B32F-70D2D4E6BC89}"/>
    <cellStyle name="제목 3 14 2" xfId="3529" xr:uid="{99B0AB05-6554-49CC-8880-7B619134B900}"/>
    <cellStyle name="제목 3 15" xfId="3530" xr:uid="{9029794B-E6B9-4D27-9083-DB88FB02ADC0}"/>
    <cellStyle name="제목 3 15 2" xfId="3531" xr:uid="{AABACEDA-0BE9-47F1-A59F-EF422907A05A}"/>
    <cellStyle name="제목 3 16" xfId="3532" xr:uid="{0C9F4713-79ED-472F-9B6A-39CF49765689}"/>
    <cellStyle name="제목 3 16 2" xfId="3533" xr:uid="{F8759335-0FAA-4126-B76C-4339D62C635F}"/>
    <cellStyle name="제목 3 17" xfId="3534" xr:uid="{86DDD9E5-2A88-4BBB-9D39-9B6B2C8F1562}"/>
    <cellStyle name="제목 3 17 2" xfId="3535" xr:uid="{A1379506-351A-480B-8D77-D9C6CFE134E7}"/>
    <cellStyle name="제목 3 18" xfId="3536" xr:uid="{FB76A157-EAF8-4CC1-A957-386D758EE76E}"/>
    <cellStyle name="제목 3 18 2" xfId="3537" xr:uid="{35ADF746-2E2B-4A08-93E7-23D95D5B5C78}"/>
    <cellStyle name="제목 3 19" xfId="3538" xr:uid="{42D23C62-552D-400B-B969-9DAC2E6F5D5C}"/>
    <cellStyle name="제목 3 19 2" xfId="3539" xr:uid="{D93C6031-D464-418E-A4A0-5A261A410288}"/>
    <cellStyle name="제목 3 2" xfId="3540" xr:uid="{CE432EE9-C4D5-4B5F-92A7-E8013058DB9B}"/>
    <cellStyle name="제목 3 2 2" xfId="3541" xr:uid="{EBBA93FB-AE55-44FD-8EEA-8F5DF1DE9AB3}"/>
    <cellStyle name="제목 3 20" xfId="3542" xr:uid="{96E77705-658C-4B74-BFA5-F11145405017}"/>
    <cellStyle name="제목 3 20 2" xfId="3543" xr:uid="{0DD1782C-35DF-43DC-ACD2-7E60F8DED68C}"/>
    <cellStyle name="제목 3 21" xfId="3544" xr:uid="{0156413E-A024-4CF7-A3DB-5C972E8102D7}"/>
    <cellStyle name="제목 3 21 2" xfId="3545" xr:uid="{20B1C5A1-1980-4A10-B4C6-7BC9A31E41B6}"/>
    <cellStyle name="제목 3 22" xfId="3546" xr:uid="{D49F88DA-8C10-4044-B91D-3B8BC8B4B95F}"/>
    <cellStyle name="제목 3 22 2" xfId="3547" xr:uid="{C85CF190-EBD6-4C8C-9A7A-9DAAEFF4DFF3}"/>
    <cellStyle name="제목 3 23" xfId="3548" xr:uid="{2C7E5A02-99B1-4EEE-B0DC-DD69E1C69388}"/>
    <cellStyle name="제목 3 23 2" xfId="3549" xr:uid="{DB4E9DC8-FC4B-4586-A5BB-4314804F7264}"/>
    <cellStyle name="제목 3 24" xfId="3550" xr:uid="{9D733C69-F422-4A89-9F95-C97604D643B9}"/>
    <cellStyle name="제목 3 24 2" xfId="3551" xr:uid="{2E133C29-0EA9-41F5-917E-ADB25720FA35}"/>
    <cellStyle name="제목 3 25" xfId="3552" xr:uid="{1D30421B-CFC2-4983-AC25-AFD4FD258390}"/>
    <cellStyle name="제목 3 25 2" xfId="3553" xr:uid="{5ABB4067-FE33-4274-BCAB-A927F617A8D0}"/>
    <cellStyle name="제목 3 26" xfId="3554" xr:uid="{471945A5-A850-4AA5-99DA-3B78A0D3A18F}"/>
    <cellStyle name="제목 3 26 2" xfId="3555" xr:uid="{E507A440-4A92-4BFE-B3F4-8DB4528836FB}"/>
    <cellStyle name="제목 3 27" xfId="3556" xr:uid="{FB4CF5FE-4D23-4B39-A962-7062749BD9DF}"/>
    <cellStyle name="제목 3 27 2" xfId="3557" xr:uid="{A8D68C4B-C080-49B9-B270-A681E9DEF899}"/>
    <cellStyle name="제목 3 28" xfId="3558" xr:uid="{CFE79878-9738-427D-8B6A-539BCE0DC098}"/>
    <cellStyle name="제목 3 28 2" xfId="3559" xr:uid="{C7D66137-951C-4369-A170-4FE1983862CF}"/>
    <cellStyle name="제목 3 29" xfId="3560" xr:uid="{E047E0F7-531C-47A1-800C-20CCFA938F82}"/>
    <cellStyle name="제목 3 29 2" xfId="3561" xr:uid="{608BF23C-EBC9-44F3-825C-8DC23279B104}"/>
    <cellStyle name="제목 3 3" xfId="3562" xr:uid="{5404E2C8-807B-44BC-9A89-3D7866BFB2AC}"/>
    <cellStyle name="제목 3 3 2" xfId="3563" xr:uid="{FF816928-80DA-4AB1-B4C3-C7C907224BCE}"/>
    <cellStyle name="제목 3 30" xfId="3564" xr:uid="{F74BF949-75EA-4D1A-AF5D-BD6218C7AB6C}"/>
    <cellStyle name="제목 3 30 2" xfId="3565" xr:uid="{F25DE2AF-120B-4E85-BBA0-F77D82EFF113}"/>
    <cellStyle name="제목 3 31" xfId="3566" xr:uid="{725DC7B5-9CE5-465C-9BD0-BEE20822D1A1}"/>
    <cellStyle name="제목 3 31 2" xfId="3567" xr:uid="{90DEE070-70A5-4E54-A608-8DBDEDAF366A}"/>
    <cellStyle name="제목 3 32" xfId="3568" xr:uid="{EA4DE9DE-B33D-45A1-A0CB-22055C651FEF}"/>
    <cellStyle name="제목 3 32 2" xfId="3569" xr:uid="{1485F123-C981-4E4F-AE0A-CB272C4AF488}"/>
    <cellStyle name="제목 3 33" xfId="3570" xr:uid="{DCCF005E-9EB2-4DF5-BA90-3866F937C8E7}"/>
    <cellStyle name="제목 3 33 2" xfId="3571" xr:uid="{6FDC7F58-A2B9-4110-A8A4-5260BEB889D3}"/>
    <cellStyle name="제목 3 34" xfId="3572" xr:uid="{B61A7695-6083-4ED0-B870-C7564FA712DD}"/>
    <cellStyle name="제목 3 34 2" xfId="3573" xr:uid="{54C004B7-87ED-4049-BCA6-2668BA41EA9A}"/>
    <cellStyle name="제목 3 35" xfId="3574" xr:uid="{F1E01DA3-AEF7-4D06-B22B-4092F5BF5F04}"/>
    <cellStyle name="제목 3 35 2" xfId="3575" xr:uid="{84AE64BE-DE09-4164-90F6-C05E6573C2AC}"/>
    <cellStyle name="제목 3 36" xfId="3576" xr:uid="{72BAAAC6-DDCD-4FF5-9F90-EC15F40241B0}"/>
    <cellStyle name="제목 3 36 2" xfId="3577" xr:uid="{B1C2734A-A99E-4707-B5A4-33D00C2DC333}"/>
    <cellStyle name="제목 3 37" xfId="3578" xr:uid="{670E2416-E8D2-40F1-871A-A375AD8AD580}"/>
    <cellStyle name="제목 3 37 2" xfId="3579" xr:uid="{77EB2826-C996-42F9-B40A-6EBED400CF12}"/>
    <cellStyle name="제목 3 38" xfId="3580" xr:uid="{E005EEF3-8E0E-45C8-8E6D-EABDCC8B39FB}"/>
    <cellStyle name="제목 3 38 2" xfId="3581" xr:uid="{4DA8594F-CCD3-4281-A8D2-25AE0576C564}"/>
    <cellStyle name="제목 3 39" xfId="3582" xr:uid="{66D7498F-E436-457E-BAC3-076A74641F92}"/>
    <cellStyle name="제목 3 39 2" xfId="3583" xr:uid="{DD63FF5B-590B-4908-9D81-FECF579E96F0}"/>
    <cellStyle name="제목 3 4" xfId="3584" xr:uid="{E3ABB05F-A9E2-4B9A-9687-CAD27D8A93A8}"/>
    <cellStyle name="제목 3 4 2" xfId="3585" xr:uid="{D18A675E-1FAA-4C32-B1F0-015528B01F5E}"/>
    <cellStyle name="제목 3 40" xfId="3586" xr:uid="{5208A47F-6908-4EE1-8B8E-9065D84E0599}"/>
    <cellStyle name="제목 3 40 2" xfId="3587" xr:uid="{CB2F6347-43C2-4A7C-BA20-0B4AA7E36742}"/>
    <cellStyle name="제목 3 41" xfId="3588" xr:uid="{C338B0F5-0957-4D03-989A-4020FFA7212E}"/>
    <cellStyle name="제목 3 41 2" xfId="3589" xr:uid="{4FDBEE1F-73E5-46AB-B37B-E9A94D92E591}"/>
    <cellStyle name="제목 3 42" xfId="3590" xr:uid="{6809BAE7-375F-428C-9B12-3C3C22F02E9A}"/>
    <cellStyle name="제목 3 42 2" xfId="3591" xr:uid="{75703342-24CF-44E0-BB8A-729BB66F0515}"/>
    <cellStyle name="제목 3 43" xfId="3592" xr:uid="{7A14B647-6025-4BE8-880E-8B9C66583652}"/>
    <cellStyle name="제목 3 43 2" xfId="3593" xr:uid="{940E585A-4362-4BDD-B040-8ECBB7DEE66E}"/>
    <cellStyle name="제목 3 44" xfId="3594" xr:uid="{187A1C5A-601C-46B2-8D0D-CEE97E4B5E44}"/>
    <cellStyle name="제목 3 45" xfId="3595" xr:uid="{EB1BDC9B-CF40-4DAD-AA6C-5755A786B368}"/>
    <cellStyle name="제목 3 46" xfId="3596" xr:uid="{299A466E-58E6-45F4-9DEE-A04F9ECEB7DA}"/>
    <cellStyle name="제목 3 47" xfId="3597" xr:uid="{6186B03F-1ADF-48A0-844D-AA5581A8FAD2}"/>
    <cellStyle name="제목 3 48" xfId="3598" xr:uid="{7E838E85-61B5-4246-BEDB-2A79AC719927}"/>
    <cellStyle name="제목 3 49" xfId="3599" xr:uid="{6AABFE1A-FE9A-41F3-884C-16B2B48EE08B}"/>
    <cellStyle name="제목 3 5" xfId="3600" xr:uid="{8FF4B123-6AA4-4C07-9FE3-51C3C4458F67}"/>
    <cellStyle name="제목 3 5 2" xfId="3601" xr:uid="{03D87F98-F16D-4686-9BB9-41D7D3C260C9}"/>
    <cellStyle name="제목 3 50" xfId="3602" xr:uid="{A39A069B-3085-4E57-B867-6AE82B980B12}"/>
    <cellStyle name="제목 3 51" xfId="3950" xr:uid="{E9691E7B-0508-4015-BFE7-DEA564610617}"/>
    <cellStyle name="제목 3 52" xfId="4114" xr:uid="{082271EA-1D67-4373-927C-DA2EF9E25FFE}"/>
    <cellStyle name="제목 3 53" xfId="4266" xr:uid="{BE0434A3-F8A5-4328-B825-11F0548343DA}"/>
    <cellStyle name="제목 3 54" xfId="4438" xr:uid="{97D80598-B961-4FE0-BCEE-173F7ED23E32}"/>
    <cellStyle name="제목 3 55" xfId="3519" xr:uid="{520D44AF-FFA9-4C55-9F61-EDFDB04001AF}"/>
    <cellStyle name="제목 3 6" xfId="3603" xr:uid="{A5BE0FE3-5B30-41EB-9C74-C689F2AB5CF3}"/>
    <cellStyle name="제목 3 6 2" xfId="3604" xr:uid="{E2CE4D7A-A45A-40F9-8CDA-5D5D73C9724F}"/>
    <cellStyle name="제목 3 7" xfId="3605" xr:uid="{F0F99CE3-4987-42C1-83CA-6A71F31369F5}"/>
    <cellStyle name="제목 3 7 2" xfId="3606" xr:uid="{F10AEAB0-4089-49BD-9DDC-CB8DFB01C7BF}"/>
    <cellStyle name="제목 3 8" xfId="3607" xr:uid="{EA07A077-F83C-433C-A6BA-DE27B6F73ED9}"/>
    <cellStyle name="제목 3 8 2" xfId="3608" xr:uid="{0DAE7BC0-C5BA-4838-937B-EF0B63E003E1}"/>
    <cellStyle name="제목 3 9" xfId="3609" xr:uid="{AFED24C4-DE09-4F4E-9ADB-C5E7B8DF0B6E}"/>
    <cellStyle name="제목 3 9 2" xfId="3610" xr:uid="{BE601C82-6C0C-4C4F-A56E-5DF900503794}"/>
    <cellStyle name="제목 30" xfId="3611" xr:uid="{09602A8B-8A6A-4AF3-930E-C08A8E2DD4DB}"/>
    <cellStyle name="제목 30 2" xfId="3612" xr:uid="{EC4208F2-297A-4920-97BD-D495F51A6A20}"/>
    <cellStyle name="제목 31" xfId="3613" xr:uid="{A508BFBA-9927-4EB9-A0F6-068B9A0210CE}"/>
    <cellStyle name="제목 31 2" xfId="3614" xr:uid="{932B51B1-4165-467C-9645-7B26CFC491B9}"/>
    <cellStyle name="제목 32" xfId="3615" xr:uid="{CFE29527-5FB5-4254-A7D4-A27316B935D7}"/>
    <cellStyle name="제목 32 2" xfId="3616" xr:uid="{3D270D08-6375-4C29-8DBC-8204D5825D33}"/>
    <cellStyle name="제목 33" xfId="3617" xr:uid="{484A4BEF-2758-4E58-9504-79FEABCF5947}"/>
    <cellStyle name="제목 33 2" xfId="3618" xr:uid="{00EE2296-E0B8-4F7B-AE34-C47D2B468191}"/>
    <cellStyle name="제목 34" xfId="3619" xr:uid="{EF4668F8-3CBE-4D7B-94DA-AAD2BDCD0491}"/>
    <cellStyle name="제목 34 2" xfId="3620" xr:uid="{A8B131BB-5BA0-417A-9B4D-69A2DAB5AF15}"/>
    <cellStyle name="제목 35" xfId="3621" xr:uid="{906BB368-6FDB-4673-A7E9-6C0CDF746527}"/>
    <cellStyle name="제목 35 2" xfId="3622" xr:uid="{05E1D808-5121-4359-BFAD-9173F102F3EB}"/>
    <cellStyle name="제목 36" xfId="3623" xr:uid="{B1B550C2-D99D-4251-8926-1DCD7F08F8ED}"/>
    <cellStyle name="제목 36 2" xfId="3624" xr:uid="{989DC1ED-9D81-42FD-986C-670E9D3A2C82}"/>
    <cellStyle name="제목 37" xfId="3625" xr:uid="{6C5F8BE7-3B8F-4FF9-876C-D22B8C9C1EA2}"/>
    <cellStyle name="제목 37 2" xfId="3626" xr:uid="{4112587B-6D12-446D-93C7-46E5099A517D}"/>
    <cellStyle name="제목 38" xfId="3627" xr:uid="{28ACCC6A-F6E9-44D0-80BF-AA18D2140447}"/>
    <cellStyle name="제목 38 2" xfId="3628" xr:uid="{9EA1EE05-1B02-4042-B88C-E633997FAFC1}"/>
    <cellStyle name="제목 39" xfId="3629" xr:uid="{1C5D2F36-83CA-4FC1-B145-70081D5E095D}"/>
    <cellStyle name="제목 39 2" xfId="3630" xr:uid="{A409B765-EBF3-4B5C-846C-C0E6774BF91D}"/>
    <cellStyle name="제목 4 10" xfId="3632" xr:uid="{48862C5E-AB52-4F75-B7DD-C4234EA9D87B}"/>
    <cellStyle name="제목 4 10 2" xfId="3633" xr:uid="{41626E33-E6A6-4B2B-A4DE-D87ED0FA09C2}"/>
    <cellStyle name="제목 4 11" xfId="3634" xr:uid="{E396D486-57E2-446E-8DBA-CDCD79676FFB}"/>
    <cellStyle name="제목 4 11 2" xfId="3635" xr:uid="{5C5B2D4A-81AC-4DB6-977D-19D14D944A42}"/>
    <cellStyle name="제목 4 12" xfId="3636" xr:uid="{532D7249-CB93-49D4-A963-0353CAB4D751}"/>
    <cellStyle name="제목 4 12 2" xfId="3637" xr:uid="{681B4B46-568B-4FDE-9C67-89BB8764FE13}"/>
    <cellStyle name="제목 4 13" xfId="3638" xr:uid="{6E230765-5749-41A1-8589-5E2A23AFBA8B}"/>
    <cellStyle name="제목 4 13 2" xfId="3639" xr:uid="{50555170-F7B2-4A1C-8BA1-923C041B2B06}"/>
    <cellStyle name="제목 4 14" xfId="3640" xr:uid="{521AB3CC-84F7-4FE0-A890-540132284384}"/>
    <cellStyle name="제목 4 14 2" xfId="3641" xr:uid="{F38A83A1-294B-4FAC-85F1-C4E32B38AE31}"/>
    <cellStyle name="제목 4 15" xfId="3642" xr:uid="{EE00A304-5C8E-48AB-82F9-76C0185F4314}"/>
    <cellStyle name="제목 4 15 2" xfId="3643" xr:uid="{D40A7BEF-F863-4D76-AC15-A18CF02E5167}"/>
    <cellStyle name="제목 4 16" xfId="3644" xr:uid="{B5DD4774-759B-4D50-9EEC-2924756C7DEF}"/>
    <cellStyle name="제목 4 16 2" xfId="3645" xr:uid="{F03DE0E0-A110-4BB4-AA44-764A45347962}"/>
    <cellStyle name="제목 4 17" xfId="3646" xr:uid="{CCA1DD6E-73CB-42A7-8149-1BE769344E1A}"/>
    <cellStyle name="제목 4 17 2" xfId="3647" xr:uid="{08AED10B-33EB-42DA-82F6-B3EC1E267734}"/>
    <cellStyle name="제목 4 18" xfId="3648" xr:uid="{A91A7D0C-6CC4-4F29-AD7E-6DCEFC526DF4}"/>
    <cellStyle name="제목 4 18 2" xfId="3649" xr:uid="{8DD305F5-81A1-4B5D-9575-2DC86E416371}"/>
    <cellStyle name="제목 4 19" xfId="3650" xr:uid="{ADBA732E-AB86-448E-9213-A238EBBBFBBF}"/>
    <cellStyle name="제목 4 19 2" xfId="3651" xr:uid="{01CC6DFC-02CD-4CFC-ADC3-C3214F308ACE}"/>
    <cellStyle name="제목 4 2" xfId="3652" xr:uid="{D7F91781-8236-4AC4-80E9-B74754CB02B6}"/>
    <cellStyle name="제목 4 2 2" xfId="3653" xr:uid="{DDFE82BE-CB9F-42AA-8317-B9F450234FE5}"/>
    <cellStyle name="제목 4 20" xfId="3654" xr:uid="{3A4F9A50-454F-4F4B-89F8-900E97AECEF4}"/>
    <cellStyle name="제목 4 20 2" xfId="3655" xr:uid="{B7E8B1EA-08FE-4F16-BAD4-E6B880DFC56C}"/>
    <cellStyle name="제목 4 21" xfId="3656" xr:uid="{521055F7-57C9-4550-BEE7-39908BA8A590}"/>
    <cellStyle name="제목 4 21 2" xfId="3657" xr:uid="{E46D79DD-69F6-4925-B401-19B741859FB1}"/>
    <cellStyle name="제목 4 22" xfId="3658" xr:uid="{7BBB9239-4D00-41FC-9009-3E5F1222C73E}"/>
    <cellStyle name="제목 4 22 2" xfId="3659" xr:uid="{6C67BAD0-9F21-461D-9161-B43E4567A2F4}"/>
    <cellStyle name="제목 4 23" xfId="3660" xr:uid="{BB5D0338-4187-450C-B0DE-64C9CCB85060}"/>
    <cellStyle name="제목 4 23 2" xfId="3661" xr:uid="{C1A10D25-A0DF-4409-99E8-73BCD8FAFA5E}"/>
    <cellStyle name="제목 4 24" xfId="3662" xr:uid="{4462345E-B8BC-461C-A5B6-6081F9DAFB5C}"/>
    <cellStyle name="제목 4 24 2" xfId="3663" xr:uid="{679DFE2D-8E4C-400C-B96D-D1B27B7F63E1}"/>
    <cellStyle name="제목 4 25" xfId="3664" xr:uid="{0D536676-6670-4BCB-AF4B-D36ED11866E1}"/>
    <cellStyle name="제목 4 25 2" xfId="3665" xr:uid="{441F917F-25A7-4030-A065-CF36CD606B96}"/>
    <cellStyle name="제목 4 26" xfId="3666" xr:uid="{73B44743-025E-41A4-BB48-9F8AD7BF7C29}"/>
    <cellStyle name="제목 4 26 2" xfId="3667" xr:uid="{8ED454C4-1091-4FFD-B4AA-64E81D55DA27}"/>
    <cellStyle name="제목 4 27" xfId="3668" xr:uid="{B9E4A162-6BE1-461F-8906-B9BC5A01F173}"/>
    <cellStyle name="제목 4 27 2" xfId="3669" xr:uid="{1BF52206-A6F2-4077-8689-26CA1401B3DC}"/>
    <cellStyle name="제목 4 28" xfId="3670" xr:uid="{840FF643-E19D-48AC-AFCA-E46BCD46A231}"/>
    <cellStyle name="제목 4 28 2" xfId="3671" xr:uid="{13A4470D-551C-4E8C-A435-EF6A016C0E2E}"/>
    <cellStyle name="제목 4 29" xfId="3672" xr:uid="{210AE3E4-7413-49F6-AF48-697147ADDC2F}"/>
    <cellStyle name="제목 4 29 2" xfId="3673" xr:uid="{15FD3D77-7F4B-4D41-9072-B255C42CB18B}"/>
    <cellStyle name="제목 4 3" xfId="3674" xr:uid="{9EB9C9E5-1365-423A-BC20-3648890B9C89}"/>
    <cellStyle name="제목 4 3 2" xfId="3675" xr:uid="{AB0C01CB-2910-4EE0-B6DE-3A06B8B4282B}"/>
    <cellStyle name="제목 4 30" xfId="3676" xr:uid="{3AD57402-F165-4BB0-8FD6-36CED0D23782}"/>
    <cellStyle name="제목 4 30 2" xfId="3677" xr:uid="{1D5FC91C-ED34-452A-A2EA-3B8F580E95C0}"/>
    <cellStyle name="제목 4 31" xfId="3678" xr:uid="{FE8A5B4E-6293-4326-AC9E-4CDDE8561775}"/>
    <cellStyle name="제목 4 31 2" xfId="3679" xr:uid="{BCACCB17-E534-463E-B79A-E82DE78978D6}"/>
    <cellStyle name="제목 4 32" xfId="3680" xr:uid="{6673CA8A-20EC-4B0A-B9F6-4AA81B43D8F3}"/>
    <cellStyle name="제목 4 32 2" xfId="3681" xr:uid="{8D57B907-37B9-4B1E-BD4F-90429C44C60A}"/>
    <cellStyle name="제목 4 33" xfId="3682" xr:uid="{5170819B-893A-4692-8F2E-3BD1948FECC0}"/>
    <cellStyle name="제목 4 33 2" xfId="3683" xr:uid="{F064B62D-AE72-4448-AEBD-E8E5D1B1BCE2}"/>
    <cellStyle name="제목 4 34" xfId="3684" xr:uid="{779D7CB2-C7DE-4834-A24E-DFE0ED62A43E}"/>
    <cellStyle name="제목 4 34 2" xfId="3685" xr:uid="{2BF88D59-30E1-446B-A022-73A30EEAD06A}"/>
    <cellStyle name="제목 4 35" xfId="3686" xr:uid="{485FDE0E-755F-4486-96FF-5DC30DAB3913}"/>
    <cellStyle name="제목 4 35 2" xfId="3687" xr:uid="{4F975D61-6B79-4859-B6A6-B5B97BA026D1}"/>
    <cellStyle name="제목 4 36" xfId="3688" xr:uid="{4E30B985-589C-4D8A-9B33-357E014D4E26}"/>
    <cellStyle name="제목 4 36 2" xfId="3689" xr:uid="{6FB1BACF-9FD5-4CB5-85D6-5927943CC209}"/>
    <cellStyle name="제목 4 37" xfId="3690" xr:uid="{27CB7553-96CE-45DF-AA5A-01BD1CF65750}"/>
    <cellStyle name="제목 4 37 2" xfId="3691" xr:uid="{0B51ECA4-F02B-4929-B828-D5BFCE29824E}"/>
    <cellStyle name="제목 4 38" xfId="3692" xr:uid="{D976A4B5-D0A1-4D7C-8E4C-30CCE3DD73BE}"/>
    <cellStyle name="제목 4 38 2" xfId="3693" xr:uid="{0B197FD6-5C12-442F-80E9-B55FF3803123}"/>
    <cellStyle name="제목 4 39" xfId="3694" xr:uid="{F9925852-963F-42DC-8457-7DDB1D33993B}"/>
    <cellStyle name="제목 4 39 2" xfId="3695" xr:uid="{F9293701-BEA0-43FE-A5E5-53ABEE967A05}"/>
    <cellStyle name="제목 4 4" xfId="3696" xr:uid="{DF249595-FAF7-40C2-9819-3F0F648A0797}"/>
    <cellStyle name="제목 4 4 2" xfId="3697" xr:uid="{59E66978-7E8C-4514-BA02-9B8A1A726833}"/>
    <cellStyle name="제목 4 40" xfId="3698" xr:uid="{A181F0C5-D1C7-4E3A-969A-55D3BF600986}"/>
    <cellStyle name="제목 4 40 2" xfId="3699" xr:uid="{B55CF08B-D8B8-46DD-A855-4D4C589513D0}"/>
    <cellStyle name="제목 4 41" xfId="3700" xr:uid="{92E9D173-3837-4043-9A79-3C56CBA9E0F8}"/>
    <cellStyle name="제목 4 41 2" xfId="3701" xr:uid="{716C08A9-7E01-4809-B7D1-1732AB1829C8}"/>
    <cellStyle name="제목 4 42" xfId="3702" xr:uid="{9B2A7C82-9EBB-4472-942F-1D77CED09C89}"/>
    <cellStyle name="제목 4 42 2" xfId="3703" xr:uid="{CD0A62E5-19C2-4D56-AF5C-515D00048F28}"/>
    <cellStyle name="제목 4 43" xfId="3704" xr:uid="{4F9756AB-C755-4AA6-90C9-7EF7E1685238}"/>
    <cellStyle name="제목 4 43 2" xfId="3705" xr:uid="{1CC9D26B-B1E9-4E53-8C47-2FC89FC6DCF6}"/>
    <cellStyle name="제목 4 44" xfId="3706" xr:uid="{5F431335-B833-4961-9AFD-379AA64A61EA}"/>
    <cellStyle name="제목 4 45" xfId="3707" xr:uid="{9C58CE55-109F-4071-9E33-CC722B2AE29B}"/>
    <cellStyle name="제목 4 46" xfId="3708" xr:uid="{B5B2E247-8119-4B89-A861-E3ADF8A34D6C}"/>
    <cellStyle name="제목 4 47" xfId="3709" xr:uid="{1A20260F-659D-4855-B5E8-285941F7DDEA}"/>
    <cellStyle name="제목 4 48" xfId="3710" xr:uid="{7EC747CD-A72F-4E83-81A2-2DAE061A806A}"/>
    <cellStyle name="제목 4 49" xfId="3711" xr:uid="{08F51524-CB1A-4A27-86C0-4D1771F91F23}"/>
    <cellStyle name="제목 4 5" xfId="3712" xr:uid="{095EC808-6BD3-48AC-BA50-D4C29D54F6A5}"/>
    <cellStyle name="제목 4 5 2" xfId="3713" xr:uid="{0779C206-434A-4E0F-A156-6921AC43ACB7}"/>
    <cellStyle name="제목 4 50" xfId="3714" xr:uid="{FD0C9319-E7D5-494B-83C2-A68E1B2836B2}"/>
    <cellStyle name="제목 4 51" xfId="3951" xr:uid="{CD8C843C-9F8B-40B2-ADF7-437B9A9686F8}"/>
    <cellStyle name="제목 4 52" xfId="4115" xr:uid="{742ABB0D-CF27-48B4-8ACF-5995ECACF5CB}"/>
    <cellStyle name="제목 4 53" xfId="4267" xr:uid="{2DAE4F58-78A2-45ED-A15F-425E85BD195D}"/>
    <cellStyle name="제목 4 54" xfId="4439" xr:uid="{66092397-470A-4A89-BF28-0DC683503D14}"/>
    <cellStyle name="제목 4 55" xfId="3631" xr:uid="{5DFD14D5-B5B9-42CD-8C2E-E6EBA3B6A859}"/>
    <cellStyle name="제목 4 6" xfId="3715" xr:uid="{279E05C8-1321-4C90-8CF6-7375F3D150C2}"/>
    <cellStyle name="제목 4 6 2" xfId="3716" xr:uid="{71F8A960-B10F-4DBB-AD83-006ED9B5D5D3}"/>
    <cellStyle name="제목 4 7" xfId="3717" xr:uid="{27D123C7-8939-4E40-B3A0-B111CFE114B0}"/>
    <cellStyle name="제목 4 7 2" xfId="3718" xr:uid="{36E20ACC-E16B-4A1B-9B3A-688AC73909C6}"/>
    <cellStyle name="제목 4 8" xfId="3719" xr:uid="{608B6A33-EA07-42CC-8AC9-2FA3BB57E7C1}"/>
    <cellStyle name="제목 4 8 2" xfId="3720" xr:uid="{9EB334E7-BB32-4BAC-B8D0-6A2A1BC83C33}"/>
    <cellStyle name="제목 4 9" xfId="3721" xr:uid="{9A7A91EC-3937-4B2B-BE2D-248A6EFE79DE}"/>
    <cellStyle name="제목 4 9 2" xfId="3722" xr:uid="{DD9423A9-C4BB-4C1A-9D56-FBE3CBA031E8}"/>
    <cellStyle name="제목 40" xfId="3723" xr:uid="{A475D64F-7B4D-4C75-B51A-7791CF642F60}"/>
    <cellStyle name="제목 40 2" xfId="3724" xr:uid="{043F2399-2A45-4268-B2A9-A09277AB6830}"/>
    <cellStyle name="제목 41" xfId="3725" xr:uid="{1D430135-2AFD-4444-A851-55144AC2F2CA}"/>
    <cellStyle name="제목 41 2" xfId="3726" xr:uid="{20AA9F45-93C2-4F8E-9610-0A9E420C04DE}"/>
    <cellStyle name="제목 42" xfId="3727" xr:uid="{41E23490-432D-4E7D-A3E9-CDC63DA9656B}"/>
    <cellStyle name="제목 42 2" xfId="3728" xr:uid="{BACBD451-65C6-46EA-B34F-CFA5A1B6BA67}"/>
    <cellStyle name="제목 43" xfId="3729" xr:uid="{39BDA1E5-CE1F-4F45-9292-DF7968E7C418}"/>
    <cellStyle name="제목 43 2" xfId="3730" xr:uid="{F2CA8CC9-3BAB-42F9-8254-64A121D81AB1}"/>
    <cellStyle name="제목 44" xfId="3731" xr:uid="{134C5955-E62F-4938-9C73-DF6EB18E7D9A}"/>
    <cellStyle name="제목 44 2" xfId="3732" xr:uid="{7E6B35EA-E641-4139-9FD2-9DCDC234581D}"/>
    <cellStyle name="제목 45" xfId="3733" xr:uid="{29B3C7CC-D862-433E-83E7-3971B5ABEC8C}"/>
    <cellStyle name="제목 45 2" xfId="3734" xr:uid="{42DCE6BF-E6A4-455E-97CB-4D30EFE507EC}"/>
    <cellStyle name="제목 46" xfId="3735" xr:uid="{DD0AE4B9-585E-41B8-9B4B-A8A893AA5668}"/>
    <cellStyle name="제목 46 2" xfId="3736" xr:uid="{8E9A827D-D759-424C-9850-D223E0C622EE}"/>
    <cellStyle name="제목 47" xfId="3737" xr:uid="{8EBED4C4-2CE4-422A-AB60-E1CA9FE7F122}"/>
    <cellStyle name="제목 48" xfId="3738" xr:uid="{92431D98-DA50-49A3-ABB2-2BED02F38EB2}"/>
    <cellStyle name="제목 49" xfId="3739" xr:uid="{75069CE3-B511-48AE-9D64-B7B600C04875}"/>
    <cellStyle name="제목 5" xfId="3740" xr:uid="{09B6EB4C-AECA-42F3-A020-EA71D42AEDC2}"/>
    <cellStyle name="제목 5 2" xfId="3741" xr:uid="{E1A9CEEC-B350-4ED6-B701-CDA360D517F3}"/>
    <cellStyle name="제목 50" xfId="3742" xr:uid="{5F139AAF-2C81-4FE9-AEA2-3947C84DB82B}"/>
    <cellStyle name="제목 51" xfId="3743" xr:uid="{4922B624-E18C-4FB1-A8A6-514436C18DD2}"/>
    <cellStyle name="제목 52" xfId="3744" xr:uid="{55ADACFA-56F0-4F13-AB5A-909205F869D4}"/>
    <cellStyle name="제목 53" xfId="3745" xr:uid="{0F31556E-F629-42EA-8AA7-931FDC60031C}"/>
    <cellStyle name="제목 54" xfId="3947" xr:uid="{85162F99-8E27-4B10-996D-7001DDD9F8E9}"/>
    <cellStyle name="제목 55" xfId="4263" xr:uid="{FCFC5171-BC79-49EB-92E6-30A45DF9B002}"/>
    <cellStyle name="제목 56" xfId="4435" xr:uid="{3D85BC2A-78B6-43D9-A46C-C50E4A32A350}"/>
    <cellStyle name="제목 57" xfId="3294" xr:uid="{860AEAEC-EEFD-410A-B5FF-FCDF172F82FC}"/>
    <cellStyle name="제목 6" xfId="3746" xr:uid="{37B97D30-D24C-40F7-8276-81B7DE9373D8}"/>
    <cellStyle name="제목 6 2" xfId="3747" xr:uid="{B7C5A889-4A43-491D-B93D-63EA060E5E55}"/>
    <cellStyle name="제목 7" xfId="3748" xr:uid="{9E66FA94-7EFA-4BD5-8377-37555813E3CF}"/>
    <cellStyle name="제목 7 2" xfId="3749" xr:uid="{426441BF-2A1C-4273-BEC2-8D8288D4FA77}"/>
    <cellStyle name="제목 8" xfId="3750" xr:uid="{2954530B-28C9-4026-80C0-7CD235D13E69}"/>
    <cellStyle name="제목 8 2" xfId="3751" xr:uid="{19240943-52DB-42CB-B5AD-58EEFB3E8A43}"/>
    <cellStyle name="제목 9" xfId="3752" xr:uid="{C0890A34-5E75-43F8-991B-DEBFD8451F7D}"/>
    <cellStyle name="제목 9 2" xfId="3753" xr:uid="{C4768F70-BB27-419D-B3EB-EEA925A151BA}"/>
    <cellStyle name="좋음 10" xfId="3755" xr:uid="{E2E4FCC0-5CAA-4CF4-9FEA-F2D4E6774FFE}"/>
    <cellStyle name="좋음 10 2" xfId="3756" xr:uid="{FE711C90-2AB5-46E3-BEF8-EA4BF07295FA}"/>
    <cellStyle name="좋음 11" xfId="3757" xr:uid="{3646C12E-9848-4019-BC81-D3155C090736}"/>
    <cellStyle name="좋음 11 2" xfId="3758" xr:uid="{44A6E4D0-D4D7-46ED-A77F-BB47F5799ABE}"/>
    <cellStyle name="좋음 12" xfId="3759" xr:uid="{533CFF52-81B1-4905-85A5-48A9E839F059}"/>
    <cellStyle name="좋음 12 2" xfId="3760" xr:uid="{218809E3-F1BD-4AA9-8006-EEA7EFCB7877}"/>
    <cellStyle name="좋음 13" xfId="3761" xr:uid="{1ADCB08B-2D51-4D05-898B-A714B65F08DE}"/>
    <cellStyle name="좋음 13 2" xfId="3762" xr:uid="{E6695788-422C-49DC-BF23-31D4709074EC}"/>
    <cellStyle name="좋음 14" xfId="3763" xr:uid="{28553F7E-98D2-4326-A86D-E1F543FEE0FE}"/>
    <cellStyle name="좋음 14 2" xfId="3764" xr:uid="{D226AE96-7A29-46D7-A791-A0402471C08B}"/>
    <cellStyle name="좋음 15" xfId="3765" xr:uid="{9C8F1DE2-0393-4FB4-8709-B32B6AD180EC}"/>
    <cellStyle name="좋음 15 2" xfId="3766" xr:uid="{59701C96-BCD1-4B4D-BDA7-CCAE06EC94AD}"/>
    <cellStyle name="좋음 16" xfId="3767" xr:uid="{812C2ECF-3707-4250-AE16-6C8295EE547B}"/>
    <cellStyle name="좋음 16 2" xfId="3768" xr:uid="{9CD24F74-5946-4604-9BAF-869A5D3A3F85}"/>
    <cellStyle name="좋음 17" xfId="3769" xr:uid="{CE573D7C-F1E6-4E64-BCB9-8AA0BEA29352}"/>
    <cellStyle name="좋음 17 2" xfId="3770" xr:uid="{C1FEFDD5-020E-4EE5-9AA7-996B1E5D7226}"/>
    <cellStyle name="좋음 18" xfId="3771" xr:uid="{F96E2B39-7D5A-4F07-9F01-6AF6132647B2}"/>
    <cellStyle name="좋음 18 2" xfId="3772" xr:uid="{D6AABE5A-4BA7-4E3D-94AE-E2C54135324A}"/>
    <cellStyle name="좋음 19" xfId="3773" xr:uid="{685FA4F2-71BF-46E2-9EE6-E4164A5775C7}"/>
    <cellStyle name="좋음 19 2" xfId="3774" xr:uid="{18B1FDCD-160A-44BB-8D61-C1C2D64A0675}"/>
    <cellStyle name="좋음 2" xfId="3775" xr:uid="{5BA448BD-B6E0-4EC0-B59E-A189FB150E22}"/>
    <cellStyle name="좋음 2 2" xfId="3776" xr:uid="{435947D0-F3DB-44C0-8C8D-49EC96F7EC84}"/>
    <cellStyle name="좋음 20" xfId="3777" xr:uid="{83BD6314-8BAE-46FB-8763-DFBACDF0F0A5}"/>
    <cellStyle name="좋음 20 2" xfId="3778" xr:uid="{8CE16A93-1643-40A3-9E42-0F7EAC356E80}"/>
    <cellStyle name="좋음 21" xfId="3779" xr:uid="{E89F0762-B82E-4EF2-8B6D-373B5A0F407B}"/>
    <cellStyle name="좋음 21 2" xfId="3780" xr:uid="{98D48A42-BE61-4FFE-84E7-D32E27ACA727}"/>
    <cellStyle name="좋음 22" xfId="3781" xr:uid="{2015CD3C-216D-496F-8B79-E4D5C56CD362}"/>
    <cellStyle name="좋음 22 2" xfId="3782" xr:uid="{2925E86D-0EC5-44E2-88D5-35469F7F1289}"/>
    <cellStyle name="좋음 23" xfId="3783" xr:uid="{6A9A9BE8-2320-4501-9977-0AC256DB5613}"/>
    <cellStyle name="좋음 23 2" xfId="3784" xr:uid="{49D3C257-A6DD-460D-8718-451E321290E5}"/>
    <cellStyle name="좋음 24" xfId="3785" xr:uid="{F4D3B731-4C66-4EA3-AE3F-D682F0625718}"/>
    <cellStyle name="좋음 24 2" xfId="3786" xr:uid="{1CCDEC46-4BF4-4249-8B83-E75C86199FD0}"/>
    <cellStyle name="좋음 25" xfId="3787" xr:uid="{A83A7A66-8BA7-4433-8641-960E7296403D}"/>
    <cellStyle name="좋음 25 2" xfId="3788" xr:uid="{38877051-FFCB-4275-B845-E3C6F8926C67}"/>
    <cellStyle name="좋음 26" xfId="3789" xr:uid="{185AB223-E331-4B73-9C64-47013C368A76}"/>
    <cellStyle name="좋음 26 2" xfId="3790" xr:uid="{B1F34743-280F-46A9-B4C3-413A70C74C50}"/>
    <cellStyle name="좋음 27" xfId="3791" xr:uid="{98A9FA88-B67E-47CA-A900-85824E9DAC0C}"/>
    <cellStyle name="좋음 27 2" xfId="3792" xr:uid="{F5BB155A-73A7-4533-A8D0-F0C9EA60D32A}"/>
    <cellStyle name="좋음 28" xfId="3793" xr:uid="{3B5D813C-D27D-4E2A-BFF0-7DD9F4A850A3}"/>
    <cellStyle name="좋음 28 2" xfId="3794" xr:uid="{E805D74F-8568-447E-9826-92BA20B38E6F}"/>
    <cellStyle name="좋음 29" xfId="3795" xr:uid="{8A0A3E01-5CD4-4107-B98B-E2751D023862}"/>
    <cellStyle name="좋음 29 2" xfId="3796" xr:uid="{123C711C-8D9F-42F4-A9E4-E1D69C14D128}"/>
    <cellStyle name="좋음 3" xfId="3797" xr:uid="{7AC65C4E-310E-4C04-B6A3-E703F51521B1}"/>
    <cellStyle name="좋음 3 2" xfId="3798" xr:uid="{B30E122B-6E5B-48F5-81AA-61EFEA34F684}"/>
    <cellStyle name="좋음 30" xfId="3799" xr:uid="{EBA1E131-C263-4D53-BBF2-BE321A378C26}"/>
    <cellStyle name="좋음 30 2" xfId="3800" xr:uid="{337BA10F-4943-4AC1-B5C7-30140660783A}"/>
    <cellStyle name="좋음 31" xfId="3801" xr:uid="{CF72E762-C57F-4DC8-AA11-E1101B1DB284}"/>
    <cellStyle name="좋음 31 2" xfId="3802" xr:uid="{63D7B215-D185-41FB-884E-7EBFA2BB09DD}"/>
    <cellStyle name="좋음 32" xfId="3803" xr:uid="{04E73032-A633-4561-9232-46FD68BE889D}"/>
    <cellStyle name="좋음 32 2" xfId="3804" xr:uid="{D1EB017C-D79B-4A25-86B0-1486DC442B63}"/>
    <cellStyle name="좋음 33" xfId="3805" xr:uid="{3D414AD5-C577-42E0-A3D6-4D59C0BA35C4}"/>
    <cellStyle name="좋음 33 2" xfId="3806" xr:uid="{95C8A4BE-C26B-4037-A342-D32BB326A6DC}"/>
    <cellStyle name="좋음 34" xfId="3807" xr:uid="{424C25AE-334E-4245-9513-5C64EF8A83CD}"/>
    <cellStyle name="좋음 34 2" xfId="3808" xr:uid="{E07A8D9A-4A31-44BE-8EB0-F6391C2DC383}"/>
    <cellStyle name="좋음 35" xfId="3809" xr:uid="{0F3D1A63-9C7E-4FE7-A0BD-CE66A307ADBE}"/>
    <cellStyle name="좋음 35 2" xfId="3810" xr:uid="{8A093E86-8395-4ABA-9384-BB016C10B4E8}"/>
    <cellStyle name="좋음 36" xfId="3811" xr:uid="{3304A697-27BA-4F73-8883-B9411CFC4C46}"/>
    <cellStyle name="좋음 36 2" xfId="3812" xr:uid="{6E23A392-98A0-4A82-B946-89A64367A8C0}"/>
    <cellStyle name="좋음 37" xfId="3813" xr:uid="{FF5F4EE3-0097-416D-B49D-C464C558DB75}"/>
    <cellStyle name="좋음 37 2" xfId="3814" xr:uid="{1549CDDC-9145-42D1-AE84-BDD90EA9D6A9}"/>
    <cellStyle name="좋음 38" xfId="3815" xr:uid="{0192F06A-B8A7-400A-AA6D-D195AEE9E17A}"/>
    <cellStyle name="좋음 38 2" xfId="3816" xr:uid="{20E69872-E766-4608-82ED-D70B2500F576}"/>
    <cellStyle name="좋음 39" xfId="3817" xr:uid="{4FB93BBA-F07C-4CFC-8C01-798EE76D406D}"/>
    <cellStyle name="좋음 39 2" xfId="3818" xr:uid="{60CFAE37-18AC-4E97-8471-47AE378FFC65}"/>
    <cellStyle name="좋음 4" xfId="3819" xr:uid="{62F99EB2-1B5A-4D77-BDEC-F0688EDF6891}"/>
    <cellStyle name="좋음 4 2" xfId="3820" xr:uid="{2331131C-F003-4219-A82F-2FD221FED860}"/>
    <cellStyle name="좋음 40" xfId="3821" xr:uid="{0843B2D0-FEAB-4013-86B3-C5104DD38BFA}"/>
    <cellStyle name="좋음 40 2" xfId="3822" xr:uid="{D935BAAC-DC35-4E06-9456-1AECF5F9F97C}"/>
    <cellStyle name="좋음 41" xfId="3823" xr:uid="{1BEC4DD2-5E9A-49DE-A3ED-798B63090F7B}"/>
    <cellStyle name="좋음 41 2" xfId="3824" xr:uid="{6BA2BD48-1B78-4F42-961B-456520788503}"/>
    <cellStyle name="좋음 42" xfId="3825" xr:uid="{D4587CC1-A0C8-4FB2-8356-C6090037689E}"/>
    <cellStyle name="좋음 42 2" xfId="3826" xr:uid="{4E26209F-C7AD-4D63-905B-A2B6C022A79B}"/>
    <cellStyle name="좋음 43" xfId="3827" xr:uid="{49B70FD1-06C5-4BF3-8CAC-E0D66F3B1724}"/>
    <cellStyle name="좋음 43 2" xfId="3828" xr:uid="{B064269D-C494-4F7F-B347-EE96630373D6}"/>
    <cellStyle name="좋음 44" xfId="3829" xr:uid="{B9921BAE-265A-4E67-9721-9B2488896BCD}"/>
    <cellStyle name="좋음 45" xfId="3830" xr:uid="{9C7674C7-EB13-4C79-B16B-78E48E0058D3}"/>
    <cellStyle name="좋음 46" xfId="3831" xr:uid="{75461AB1-C6B7-47DF-8DDF-B9215986D844}"/>
    <cellStyle name="좋음 47" xfId="3832" xr:uid="{9C358C1A-0E2B-4C75-AD5A-5C99174F7F6E}"/>
    <cellStyle name="좋음 48" xfId="3833" xr:uid="{1A0909F5-398C-40D3-B4FE-9F1924873D02}"/>
    <cellStyle name="좋음 49" xfId="3834" xr:uid="{41F72BD5-D45B-44C7-B7C4-6AAC68E22C7F}"/>
    <cellStyle name="좋음 5" xfId="3835" xr:uid="{77463644-381F-4C2F-9DFB-BE5BD806EEB1}"/>
    <cellStyle name="좋음 5 2" xfId="3836" xr:uid="{1D41E36F-F65E-4189-AA88-60357A95E2FF}"/>
    <cellStyle name="좋음 50" xfId="3837" xr:uid="{BA88831C-9FD3-4FF1-B97F-C69BAAE13A5C}"/>
    <cellStyle name="좋음 51" xfId="3952" xr:uid="{2234D750-EBCB-44FC-8785-6A1797A76967}"/>
    <cellStyle name="좋음 52" xfId="4116" xr:uid="{497BFFEF-43AC-432E-B735-DCF4F99453AD}"/>
    <cellStyle name="좋음 53" xfId="4268" xr:uid="{6148D436-1D4E-4B0B-B1E0-6AE216BDD016}"/>
    <cellStyle name="좋음 54" xfId="4440" xr:uid="{D6F80387-7A76-4739-849B-AFDF3B54F23A}"/>
    <cellStyle name="좋음 55" xfId="3754" xr:uid="{5E46D8E5-4340-4202-A4FB-5CBC125C7EA6}"/>
    <cellStyle name="좋음 6" xfId="3838" xr:uid="{4911F0DE-8DFF-4CC7-A81B-DBF981C8AFE1}"/>
    <cellStyle name="좋음 6 2" xfId="3839" xr:uid="{2D2CDD34-A7D7-4A48-8CF8-A6B37CD97CED}"/>
    <cellStyle name="좋음 7" xfId="3840" xr:uid="{FC5575F3-908E-49BF-8FCE-0F6762F3BA9C}"/>
    <cellStyle name="좋음 7 2" xfId="3841" xr:uid="{24745F98-BEE9-47E5-AA86-13FA6D7F1271}"/>
    <cellStyle name="좋음 8" xfId="3842" xr:uid="{8CCCBA77-4CC4-4EC2-8723-3DAC7F8F83C3}"/>
    <cellStyle name="좋음 8 2" xfId="3843" xr:uid="{C870B087-B14D-4855-A7FA-FB5E63A07320}"/>
    <cellStyle name="좋음 9" xfId="3844" xr:uid="{30DDADFA-9BDF-4CEF-A3BB-522CFA1EF8D3}"/>
    <cellStyle name="좋음 9 2" xfId="3845" xr:uid="{6B2B8061-52EC-48BA-B6E7-1E622BDB5345}"/>
    <cellStyle name="출력 10" xfId="3847" xr:uid="{AEEDDDDF-0C28-4A29-A09C-4ED210A1045A}"/>
    <cellStyle name="출력 10 2" xfId="3848" xr:uid="{C2FBC123-A951-4319-A39F-7A887CCA0B44}"/>
    <cellStyle name="출력 11" xfId="3849" xr:uid="{66D3179D-4AB4-4C8A-B7F7-666D605E0746}"/>
    <cellStyle name="출력 11 2" xfId="3850" xr:uid="{B32C6227-FF5E-4578-A1EC-7A7E4A9C4270}"/>
    <cellStyle name="출력 12" xfId="3851" xr:uid="{C31EBA1D-4CCE-4F08-AB6C-59BC6BC8DCAD}"/>
    <cellStyle name="출력 12 2" xfId="3852" xr:uid="{03EBB275-90B8-42CE-B9AD-2238201C6580}"/>
    <cellStyle name="출력 13" xfId="3853" xr:uid="{6386AF11-0BB4-417F-A2D9-A0946D7F31D1}"/>
    <cellStyle name="출력 13 2" xfId="3854" xr:uid="{751141EC-4940-40BF-9B1C-1453595A9F6D}"/>
    <cellStyle name="출력 14" xfId="3855" xr:uid="{628B1B84-B02B-4857-9AE2-4EAFFFFEB693}"/>
    <cellStyle name="출력 14 2" xfId="3856" xr:uid="{650FE475-B0C4-4CBB-912B-2EC2F537F4D2}"/>
    <cellStyle name="출력 15" xfId="3857" xr:uid="{A1D79F61-57DD-47F0-BC56-25FE59DF7072}"/>
    <cellStyle name="출력 15 2" xfId="3858" xr:uid="{A7243FA5-F791-4423-A437-ADA77CEB815C}"/>
    <cellStyle name="출력 16" xfId="3859" xr:uid="{D2B12697-F48D-4D98-9476-97568119D24E}"/>
    <cellStyle name="출력 16 2" xfId="3860" xr:uid="{789B9AA2-2EFF-4359-A614-0CB0D17ED8C8}"/>
    <cellStyle name="출력 17" xfId="3861" xr:uid="{D323069C-992E-4BEF-9ECD-6537B2752111}"/>
    <cellStyle name="출력 17 2" xfId="3862" xr:uid="{0FC444D8-13C3-4FE5-8277-49CD3976DAA9}"/>
    <cellStyle name="출력 18" xfId="3863" xr:uid="{46F5C44E-E217-4FE3-9FB3-425D2B6598DE}"/>
    <cellStyle name="출력 18 2" xfId="3864" xr:uid="{5CBBD632-8C5F-46C8-9DB1-CB3D5D64F8C7}"/>
    <cellStyle name="출력 19" xfId="3865" xr:uid="{D59C863F-D996-4092-8DE6-D69AD1A978EC}"/>
    <cellStyle name="출력 19 2" xfId="3866" xr:uid="{41450C8B-9E8E-4939-A810-7EF6BE13BB46}"/>
    <cellStyle name="출력 2" xfId="3867" xr:uid="{5EFF0E21-CBDF-4FC0-803E-E083BDC80B85}"/>
    <cellStyle name="출력 2 2" xfId="3868" xr:uid="{2811F484-3CC9-468E-B27E-F792F4DBDE2B}"/>
    <cellStyle name="출력 20" xfId="3869" xr:uid="{69C3906C-C0A8-4C1A-904C-FFB3E0F61399}"/>
    <cellStyle name="출력 20 2" xfId="3870" xr:uid="{37D6E04E-AEAB-4268-BD50-0F7C82231A91}"/>
    <cellStyle name="출력 21" xfId="3871" xr:uid="{FF35CCBE-8063-4ACF-AE77-EA246DC98787}"/>
    <cellStyle name="출력 21 2" xfId="3872" xr:uid="{90BBE9FA-206F-4BC5-B67C-3FCCDCCF3361}"/>
    <cellStyle name="출력 22" xfId="3873" xr:uid="{4885678D-7F1B-422E-A205-B93F8FAEAA73}"/>
    <cellStyle name="출력 22 2" xfId="3874" xr:uid="{8EEB4D59-2153-415F-998E-8950D315B2BA}"/>
    <cellStyle name="출력 23" xfId="3875" xr:uid="{8B022F91-6607-449F-90CD-849545569D6F}"/>
    <cellStyle name="출력 23 2" xfId="3876" xr:uid="{5C647CEE-299D-43D6-8D51-A21EF0275964}"/>
    <cellStyle name="출력 24" xfId="3877" xr:uid="{8CBACA37-4C74-45C3-B0C0-8C14BB693452}"/>
    <cellStyle name="출력 24 2" xfId="3878" xr:uid="{86F8B3F8-D5D4-4AEF-A32B-E24AB84D3049}"/>
    <cellStyle name="출력 25" xfId="3879" xr:uid="{D50418DB-D34D-464B-992C-7F230235EB55}"/>
    <cellStyle name="출력 25 2" xfId="3880" xr:uid="{6A56A100-6DE1-41D5-A803-431E11252AAD}"/>
    <cellStyle name="출력 26" xfId="3881" xr:uid="{3539CB03-13E4-416A-8E49-FF5C6536C6E6}"/>
    <cellStyle name="출력 26 2" xfId="3882" xr:uid="{5FCCCCCF-0833-4FFA-B032-49877DA756E5}"/>
    <cellStyle name="출력 27" xfId="3883" xr:uid="{1A5923DA-0A72-4749-8825-150572792F74}"/>
    <cellStyle name="출력 27 2" xfId="3884" xr:uid="{40C508AF-0386-4671-A727-F45D6663ACBD}"/>
    <cellStyle name="출력 28" xfId="3885" xr:uid="{E247ECCE-4E47-4B9C-81E4-DE868BB94278}"/>
    <cellStyle name="출력 28 2" xfId="3886" xr:uid="{6CB57A67-F68D-4F5B-A353-1A9C8104C72F}"/>
    <cellStyle name="출력 29" xfId="3887" xr:uid="{F265F65E-BF15-471E-AE8B-DBA14F0D23F8}"/>
    <cellStyle name="출력 29 2" xfId="3888" xr:uid="{2B8DCBF6-4011-44E0-805D-734DB7F2D894}"/>
    <cellStyle name="출력 3" xfId="3889" xr:uid="{9C06FC50-CD4A-49C2-B300-BD3F3AFFEBE8}"/>
    <cellStyle name="출력 3 2" xfId="3890" xr:uid="{FB443162-F913-4305-B890-4FC5FB96C40B}"/>
    <cellStyle name="출력 30" xfId="3891" xr:uid="{57EE2008-4C3C-4729-9381-ED020636C03B}"/>
    <cellStyle name="출력 30 2" xfId="3892" xr:uid="{FCF18302-886A-44FB-A2EE-0BF2CD60140B}"/>
    <cellStyle name="출력 31" xfId="3893" xr:uid="{2A10BF4F-9971-4C85-9219-DD4A7E4C3D89}"/>
    <cellStyle name="출력 31 2" xfId="3894" xr:uid="{AE48712A-3CB5-44FD-95E1-D20E5A97B33A}"/>
    <cellStyle name="출력 32" xfId="3895" xr:uid="{CA11735A-1BAF-4963-911D-2B5309454C69}"/>
    <cellStyle name="출력 32 2" xfId="3896" xr:uid="{A9945A41-784B-4CFB-B0D7-105A65F3DEDC}"/>
    <cellStyle name="출력 33" xfId="3897" xr:uid="{1FC89BE5-E85D-474D-83C3-0319F9B89FF6}"/>
    <cellStyle name="출력 33 2" xfId="3898" xr:uid="{FBDD2916-0044-48F8-ACC7-685744B3369B}"/>
    <cellStyle name="출력 34" xfId="3899" xr:uid="{1B45640C-47EA-4858-95EB-313F28E1C714}"/>
    <cellStyle name="출력 34 2" xfId="3900" xr:uid="{3E9C0156-EDCC-45E1-951D-A16DBB2056FB}"/>
    <cellStyle name="출력 35" xfId="3901" xr:uid="{400362CC-D7AB-40E5-B015-BC540F6ED01B}"/>
    <cellStyle name="출력 35 2" xfId="3902" xr:uid="{3DFAB4D1-3083-4C2E-AE7B-7426BC1B4285}"/>
    <cellStyle name="출력 36" xfId="3903" xr:uid="{DAF68920-C6A0-42C3-8A32-79516919AB12}"/>
    <cellStyle name="출력 36 2" xfId="3904" xr:uid="{2A43D89B-2802-4E26-AC1D-EC954D8D269A}"/>
    <cellStyle name="출력 37" xfId="3905" xr:uid="{B347048D-38FF-4BA9-A009-CA163E85AB01}"/>
    <cellStyle name="출력 37 2" xfId="3906" xr:uid="{B0D01375-55EF-4C48-B925-F44BB973C39B}"/>
    <cellStyle name="출력 38" xfId="3907" xr:uid="{37001A1A-B616-416A-AE07-C19673F7E394}"/>
    <cellStyle name="출력 38 2" xfId="3908" xr:uid="{D19B28C7-71E0-434B-93E5-12F59C56508D}"/>
    <cellStyle name="출력 39" xfId="3909" xr:uid="{985A06AA-827B-400E-B504-BC0CFAADE198}"/>
    <cellStyle name="출력 39 2" xfId="3910" xr:uid="{14CA4826-D23C-45DF-BC8A-E4CFB11146DC}"/>
    <cellStyle name="출력 4" xfId="3911" xr:uid="{F51EF69C-BC65-4FBB-8D41-AFF4E03ABC52}"/>
    <cellStyle name="출력 4 2" xfId="3912" xr:uid="{5354506F-1859-49DE-9F23-A29CA03BEF13}"/>
    <cellStyle name="출력 40" xfId="3913" xr:uid="{97D54545-C8FA-48D5-9EB0-FCC5E4DD1435}"/>
    <cellStyle name="출력 40 2" xfId="3914" xr:uid="{3DF6BC7F-AC04-47C3-A11B-F4B0C1B33731}"/>
    <cellStyle name="출력 41" xfId="3915" xr:uid="{64216AB6-BAF0-4955-AB8E-D40C38E6EB8C}"/>
    <cellStyle name="출력 41 2" xfId="3916" xr:uid="{1A6A8248-5F55-4622-A3E6-B7A721A4F742}"/>
    <cellStyle name="출력 42" xfId="3917" xr:uid="{6FD7A840-8CAD-40D8-9F42-05AA58E0A0E2}"/>
    <cellStyle name="출력 42 2" xfId="3918" xr:uid="{FD024878-0134-41FA-9BB6-3382032054DB}"/>
    <cellStyle name="출력 43" xfId="3919" xr:uid="{CF2EE355-D678-47B1-A8DB-C30F886B3FF2}"/>
    <cellStyle name="출력 43 2" xfId="3920" xr:uid="{048D47C4-3DEB-421C-926A-A0F344AE42BA}"/>
    <cellStyle name="출력 44" xfId="3921" xr:uid="{04D16D17-7DCA-4ACA-8E2F-714FD6B61344}"/>
    <cellStyle name="출력 45" xfId="3922" xr:uid="{66AE6241-6BE0-4B6F-8EE2-FFF714E605A5}"/>
    <cellStyle name="출력 46" xfId="3923" xr:uid="{C11BC996-BE35-469B-A49A-1AD1B61ADEFF}"/>
    <cellStyle name="출력 47" xfId="3924" xr:uid="{1F4D0E65-34C9-4248-B229-A9DEC7A5D288}"/>
    <cellStyle name="출력 48" xfId="3925" xr:uid="{C3348293-8F72-4EE4-ADCD-F47ECCCB98C0}"/>
    <cellStyle name="출력 49" xfId="3926" xr:uid="{16AEC2C6-1839-45E2-9986-B0C3E011520C}"/>
    <cellStyle name="출력 5" xfId="3927" xr:uid="{AF8F806D-CFE5-41A6-9F71-0691094CBF4F}"/>
    <cellStyle name="출력 5 2" xfId="3928" xr:uid="{3B9E62CA-94A3-417B-8494-7813CF06D6D0}"/>
    <cellStyle name="출력 50" xfId="3929" xr:uid="{7D1E3CAF-DD72-4430-9132-35716A7EA7BE}"/>
    <cellStyle name="출력 51" xfId="3956" xr:uid="{A9110122-8D64-4598-A244-67750ED21C78}"/>
    <cellStyle name="출력 52" xfId="4120" xr:uid="{8A9E8245-417F-41E1-91B5-D2C9ADEC882A}"/>
    <cellStyle name="출력 53" xfId="4269" xr:uid="{E6B8934F-C198-4CAE-910F-999B89DC376C}"/>
    <cellStyle name="출력 54" xfId="4441" xr:uid="{F11781C5-5467-458C-A7F3-2253779BC1B0}"/>
    <cellStyle name="출력 55" xfId="3846" xr:uid="{33E87B72-1063-4DD4-9FED-5671E2A7DF31}"/>
    <cellStyle name="출력 6" xfId="3930" xr:uid="{3DDEFC5A-845F-4B0A-863A-2B0BB32D0194}"/>
    <cellStyle name="출력 6 2" xfId="3931" xr:uid="{E746B844-08ED-4E6E-9DF8-A9E3DECC29AC}"/>
    <cellStyle name="출력 7" xfId="3932" xr:uid="{FA43851A-C7C9-443F-B171-80AB6889D0EA}"/>
    <cellStyle name="출력 7 2" xfId="3933" xr:uid="{88387679-C9DF-42D7-A568-F45BF3C093A4}"/>
    <cellStyle name="출력 8" xfId="3934" xr:uid="{7AD05547-1D2D-4E2B-B627-9A768B36CBD8}"/>
    <cellStyle name="출력 8 2" xfId="3935" xr:uid="{DCED88F1-74DC-40C7-902F-D4776AAF5F4C}"/>
    <cellStyle name="출력 9" xfId="3936" xr:uid="{96B3F531-17B2-4D7B-A839-05E1ADE4FC10}"/>
    <cellStyle name="출력 9 2" xfId="3937" xr:uid="{D776B039-5A22-43C0-99EF-B9DD21A8BE0C}"/>
    <cellStyle name="통화 [0]" xfId="157" builtinId="7"/>
    <cellStyle name="표준" xfId="0" builtinId="0"/>
    <cellStyle name="표준 10" xfId="4153" xr:uid="{B4D87322-C342-439D-8EF5-0D215783F3FA}"/>
    <cellStyle name="표준 10 2" xfId="4329" xr:uid="{24C6001D-D511-4D47-A8EC-758225F663BA}"/>
    <cellStyle name="표준 10 2 2" xfId="4633" xr:uid="{3DB04973-5D3A-47D7-8F3D-298B851E5311}"/>
    <cellStyle name="표준 10 3" xfId="4501" xr:uid="{988B5FBB-7C99-412D-8B05-18ED1E4E5AAD}"/>
    <cellStyle name="표준 11" xfId="4167" xr:uid="{19A1EDA8-E04F-4C1C-A43B-DF1D87597888}"/>
    <cellStyle name="표준 11 2" xfId="4343" xr:uid="{0CC731EF-B58C-4E55-ADF2-61C94ED9FBDE}"/>
    <cellStyle name="표준 11 2 2" xfId="4647" xr:uid="{260EA8B4-5FBC-4EC7-9D16-21FF361E7398}"/>
    <cellStyle name="표준 11 3" xfId="4515" xr:uid="{0AEC3872-1811-48B4-AD17-90F2E085A2B6}"/>
    <cellStyle name="표준 12" xfId="4181" xr:uid="{1D525FE8-A2C7-4B75-B013-02F076BE190A}"/>
    <cellStyle name="표준 12 2" xfId="4357" xr:uid="{0D7450EC-9414-40A2-B020-D0A1CD3D902E}"/>
    <cellStyle name="표준 12 2 2" xfId="4661" xr:uid="{4D88D444-3043-44DA-9FC8-254889D8A11D}"/>
    <cellStyle name="표준 12 3" xfId="4529" xr:uid="{AB21C0A6-1D8F-4A3B-81AD-FAA224756BEA}"/>
    <cellStyle name="표준 13" xfId="4195" xr:uid="{2226A5AE-CC56-4FFA-A497-99C050C1E6FB}"/>
    <cellStyle name="표준 135" xfId="3938" xr:uid="{56B88184-8837-47B2-A93A-CF2A2FFC5804}"/>
    <cellStyle name="표준 136" xfId="3939" xr:uid="{D9873808-ADC1-42B2-A7D2-DFD2D25AD713}"/>
    <cellStyle name="표준 137" xfId="3940" xr:uid="{AA56F3FD-B371-4B01-A0D3-9E6FEE9C5690}"/>
    <cellStyle name="표준 138" xfId="3941" xr:uid="{580FF2A0-EB7F-4857-94E8-E1A134633696}"/>
    <cellStyle name="표준 14" xfId="4196" xr:uid="{8C882A4D-CAE8-41AA-8D9A-F4245F047012}"/>
    <cellStyle name="표준 14 2" xfId="4371" xr:uid="{3EE540FE-BDDF-4790-8F43-5C73EF9655D5}"/>
    <cellStyle name="표준 14 2 2" xfId="4675" xr:uid="{9BE119AA-FDBE-4891-83E6-1F7B17DE2E4B}"/>
    <cellStyle name="표준 14 3" xfId="4543" xr:uid="{68211FCC-7165-4E84-875F-97D14FF9449A}"/>
    <cellStyle name="표준 15" xfId="4210" xr:uid="{260F3822-DB81-4793-A112-780396DEC8E1}"/>
    <cellStyle name="표준 15 2" xfId="4557" xr:uid="{7857E4B4-FC25-4619-A5AC-AA09CA15AF35}"/>
    <cellStyle name="표준 16" xfId="4224" xr:uid="{BA6AE2AF-BE21-4F62-8679-5C5EAEABDF35}"/>
    <cellStyle name="표준 16 2" xfId="4385" xr:uid="{54AFFE40-E0E6-45B7-829F-F453A2EA237E}"/>
    <cellStyle name="표준 16 2 2" xfId="4689" xr:uid="{D48E8796-9693-45C9-8F54-F7BF1F12D418}"/>
    <cellStyle name="표준 16 3" xfId="4571" xr:uid="{7F34E5D1-4623-4D48-82D4-DEAD44990639}"/>
    <cellStyle name="표준 17" xfId="4225" xr:uid="{2AAA964A-B336-4353-8E8A-6D494773AA1C}"/>
    <cellStyle name="표준 17 2" xfId="4386" xr:uid="{99FCE621-AEF3-4218-B88A-2B1465FDA2C6}"/>
    <cellStyle name="표준 17 2 2" xfId="4690" xr:uid="{BDD16E5D-5980-45AB-93A3-A3F1D68D2344}"/>
    <cellStyle name="표준 17 3" xfId="4572" xr:uid="{1279C462-806B-4507-A6D1-78B523BB49D8}"/>
    <cellStyle name="표준 18" xfId="4226" xr:uid="{0717E400-034E-4455-A9F7-1E29929CF267}"/>
    <cellStyle name="표준 18 2" xfId="4573" xr:uid="{5C20DD57-8EFA-477B-80E8-D462B937FDD6}"/>
    <cellStyle name="표준 19" xfId="4227" xr:uid="{5E5CF8AD-F7E1-430A-B98C-2B1B1AACBCAA}"/>
    <cellStyle name="표준 2" xfId="160" xr:uid="{7B50B0F5-3A6A-40A4-8D87-058C5DB11864}"/>
    <cellStyle name="표준 2 2" xfId="4296" xr:uid="{BA4340AD-546B-44E5-A555-FD31F72D3FD9}"/>
    <cellStyle name="표준 2 2 2" xfId="4600" xr:uid="{8504C62D-27C5-4581-8B12-A5C63B4FE5DB}"/>
    <cellStyle name="표준 2 3" xfId="4468" xr:uid="{50F79289-6090-4602-9B74-816C112BD591}"/>
    <cellStyle name="표준 2 4" xfId="4092" xr:uid="{8A0C8792-2463-434E-9A1F-8DB86D631888}"/>
    <cellStyle name="표준 2 5" xfId="4747" xr:uid="{7706AB9E-FCDA-4D2A-9252-1EE109FBCB43}"/>
    <cellStyle name="표준 20" xfId="4387" xr:uid="{5DD0A642-42B3-4D47-93CA-BA1EA1C537A5}"/>
    <cellStyle name="표준 20 2" xfId="4691" xr:uid="{0047BB6C-3930-41C4-8225-03DB09903AE2}"/>
    <cellStyle name="표준 21" xfId="4388" xr:uid="{088FEAEC-2260-46C9-80D3-1DFF1E8868C8}"/>
    <cellStyle name="표준 21 2" xfId="4692" xr:uid="{0981B828-2E54-4550-94F2-441456D51E25}"/>
    <cellStyle name="표준 22" xfId="4389" xr:uid="{B52A64C9-8A52-4623-AF0E-DF042CBB65E6}"/>
    <cellStyle name="표준 22 2" xfId="4693" xr:uid="{A4ADB111-4BF5-42C2-961C-F0BD9367BEF9}"/>
    <cellStyle name="표준 23" xfId="4390" xr:uid="{A8B3647C-1160-4D56-8263-F4B73AC421C2}"/>
    <cellStyle name="표준 24" xfId="4391" xr:uid="{9E21B6AD-892E-482C-BB92-181617C49998}"/>
    <cellStyle name="표준 24 2" xfId="4694" xr:uid="{27D372FA-2E8B-4CA9-A680-822BF7E5A1A0}"/>
    <cellStyle name="표준 25" xfId="4392" xr:uid="{03109CF3-3581-4E79-AD12-2E3790D8D18C}"/>
    <cellStyle name="표준 25 2" xfId="4695" xr:uid="{4FE4314F-122A-4187-819A-753C16CA0934}"/>
    <cellStyle name="표준 26" xfId="4393" xr:uid="{295077D1-C480-4C8E-8AC9-2E2B293FDC83}"/>
    <cellStyle name="표준 26 2" xfId="4696" xr:uid="{BF1C49B6-7999-450E-A930-965ED33A4928}"/>
    <cellStyle name="표준 27" xfId="4394" xr:uid="{2306A344-7392-4238-B566-32B42CDC74AD}"/>
    <cellStyle name="표준 27 2" xfId="4697" xr:uid="{CD0FF440-01E3-468B-B57D-9AFA6D43731B}"/>
    <cellStyle name="표준 28" xfId="4395" xr:uid="{D485A7B2-DD78-4D30-9823-6AB4F18164D3}"/>
    <cellStyle name="표준 28 2" xfId="4698" xr:uid="{D3CF4D01-B515-4B87-B95A-D6857F5BC459}"/>
    <cellStyle name="표준 29" xfId="4396" xr:uid="{8F5E1E29-8590-4344-9175-080012CFF6DC}"/>
    <cellStyle name="표준 29 2" xfId="4699" xr:uid="{5192B366-093A-4DB4-8629-318624BDF6BC}"/>
    <cellStyle name="표준 3" xfId="4093" xr:uid="{7E10BB19-1C33-4B7F-A171-9C7DC8459BC1}"/>
    <cellStyle name="표준 3 2" xfId="4297" xr:uid="{7A2E02AB-0645-4A1C-8B6F-B076C6311A51}"/>
    <cellStyle name="표준 3 2 2" xfId="4601" xr:uid="{E71A7184-9F07-4362-B86B-C7CE5A3E7A83}"/>
    <cellStyle name="표준 3 3" xfId="4469" xr:uid="{C6D1BE04-375E-4AEA-AE9A-57A46981808D}"/>
    <cellStyle name="표준 30" xfId="4397" xr:uid="{6B4C6AED-A946-4370-95CB-4F6D663D3A86}"/>
    <cellStyle name="표준 30 2" xfId="4700" xr:uid="{3CF93A0A-4F36-465F-AE41-2F585588886F}"/>
    <cellStyle name="표준 31" xfId="4398" xr:uid="{274EAEC5-2ABB-4126-8492-7E3F7732B1BA}"/>
    <cellStyle name="표준 32" xfId="4399" xr:uid="{A482D81E-7108-4B62-AEDC-C0F86CB9EA61}"/>
    <cellStyle name="표준 33" xfId="4701" xr:uid="{43A89233-86D0-4E75-8E1A-21AA90236B18}"/>
    <cellStyle name="표준 34" xfId="4702" xr:uid="{143C5475-7994-466F-8C11-755FDD347F52}"/>
    <cellStyle name="표준 35" xfId="4703" xr:uid="{EF47B843-7D6F-476B-AF19-8549A457C3D1}"/>
    <cellStyle name="표준 36" xfId="4704" xr:uid="{8CBEE351-9C31-458E-AECD-9168CD88E2D3}"/>
    <cellStyle name="표준 37" xfId="4705" xr:uid="{E4F6ACF7-108F-4B20-982C-FA41EBC309A2}"/>
    <cellStyle name="표준 38" xfId="4706" xr:uid="{C6995FD3-926F-4AA4-A4FC-BB7A6EE2C5A9}"/>
    <cellStyle name="표준 39" xfId="3942" xr:uid="{44DB2ADD-FDD1-4FAA-9187-5C338433671F}"/>
    <cellStyle name="표준 39 2" xfId="3943" xr:uid="{B5A7DB71-27D2-4131-9830-7A0256665297}"/>
    <cellStyle name="표준 4" xfId="4094" xr:uid="{2CAE922A-F5B3-4F7C-B91E-559EC7D0AD07}"/>
    <cellStyle name="표준 4 2" xfId="4298" xr:uid="{D8BBBEF1-6157-40A2-92FD-8FAF8EE5B79A}"/>
    <cellStyle name="표준 4 2 2" xfId="4602" xr:uid="{29541DCF-4E1D-42F9-A76D-9A610A31EA29}"/>
    <cellStyle name="표준 4 3" xfId="4470" xr:uid="{05F1F4F4-A340-4C7B-B1C7-F874B3D64E49}"/>
    <cellStyle name="표준 40" xfId="4707" xr:uid="{C44BCF6F-AE69-40C8-A226-1A62E790F2F7}"/>
    <cellStyle name="표준 41" xfId="4708" xr:uid="{C5DE782E-6F73-493C-BE9F-58C12DA06B65}"/>
    <cellStyle name="표준 42" xfId="4709" xr:uid="{0925CD76-25BB-43A2-BD5F-22E9DAC37490}"/>
    <cellStyle name="표준 43" xfId="4710" xr:uid="{71F2D48C-72A6-4941-BA78-69980AB85723}"/>
    <cellStyle name="표준 44" xfId="4711" xr:uid="{E58B6381-B2E5-4136-A2D2-80EC08CF4233}"/>
    <cellStyle name="표준 45" xfId="3944" xr:uid="{164D90A2-CC6D-473E-8D87-F18D426E8201}"/>
    <cellStyle name="표준 46" xfId="3945" xr:uid="{6BDBD0C8-3631-4C09-9F64-1189138C079A}"/>
    <cellStyle name="표준 47" xfId="3946" xr:uid="{6F55CEF2-AA85-412D-92E6-C792AC556DBA}"/>
    <cellStyle name="표준 48" xfId="4712" xr:uid="{D091DB60-ADA0-441C-839B-EF3A8BC86CA9}"/>
    <cellStyle name="표준 49" xfId="161" xr:uid="{0673247B-0947-4A95-AD5E-E7EEBCD73B2C}"/>
    <cellStyle name="표준 5" xfId="4095" xr:uid="{3DBE5B7A-F680-4546-80DE-6475AB8FB9A6}"/>
    <cellStyle name="표준 5 2" xfId="4299" xr:uid="{5567275A-D153-4C88-98F3-E71C73C30BEC}"/>
    <cellStyle name="표준 5 2 2" xfId="4603" xr:uid="{DBA2B8A4-A747-4C05-B03E-0D148F4A9474}"/>
    <cellStyle name="표준 5 3" xfId="4471" xr:uid="{18085D5A-4AF7-456E-A794-09C5BAA4336F}"/>
    <cellStyle name="표준 50" xfId="4748" xr:uid="{00000000-0005-0000-0000-000012130000}"/>
    <cellStyle name="표준 6" xfId="4109" xr:uid="{602BD623-59F5-47C9-B88C-639C2AD8E16B}"/>
    <cellStyle name="표준 6 2" xfId="4313" xr:uid="{41A3E10A-006A-460C-925B-45625B984FF3}"/>
    <cellStyle name="표준 6 2 2" xfId="4617" xr:uid="{E2807755-5517-435D-BECE-F7C89F165D9A}"/>
    <cellStyle name="표준 6 3" xfId="4485" xr:uid="{B3B6A5D0-8C93-4A28-AFC3-D8859FDD200A}"/>
    <cellStyle name="표준 7" xfId="4110" xr:uid="{8B9AE4AE-3496-4D5B-91D5-6A31273B209B}"/>
    <cellStyle name="표준 7 2" xfId="4314" xr:uid="{A5FC6533-77BD-4453-BF65-46F742D94EBE}"/>
    <cellStyle name="표준 7 2 2" xfId="4618" xr:uid="{781B3DB3-5222-456A-829E-3D0BA98DB6C1}"/>
    <cellStyle name="표준 7 3" xfId="4486" xr:uid="{046C9C5D-0C4E-40BE-BC2B-15C3B24C5C4B}"/>
    <cellStyle name="표준 8" xfId="4111" xr:uid="{7EF28398-3BA5-45F1-95EE-8CD94FEEECF0}"/>
    <cellStyle name="표준 8 2" xfId="4315" xr:uid="{B94893CB-674F-4897-85C7-2AA76C9AFEFE}"/>
    <cellStyle name="표준 8 2 2" xfId="4619" xr:uid="{FF620C6F-AAEC-46B3-8620-0025315AFE08}"/>
    <cellStyle name="표준 8 3" xfId="4487" xr:uid="{82F3E722-3A45-4C48-8880-42508FCE27BB}"/>
    <cellStyle name="표준 9" xfId="4152" xr:uid="{82B928FD-685F-4E1D-9E13-82DCBF661FD6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ric.go.kr/jsp/handbook/sta/statisticsTechList.jsp" TargetMode="External"/><Relationship Id="rId3" Type="http://schemas.openxmlformats.org/officeDocument/2006/relationships/hyperlink" Target="https://kosis.kr/statHtml/statHtml.do?orgId=116&amp;tblId=DT_MLTM_1062&amp;conn_path=I3" TargetMode="External"/><Relationship Id="rId7" Type="http://schemas.openxmlformats.org/officeDocument/2006/relationships/hyperlink" Target="https://stat.molit.go.kr/portal/stat/yearReport.do" TargetMode="External"/><Relationship Id="rId2" Type="http://schemas.openxmlformats.org/officeDocument/2006/relationships/hyperlink" Target="https://www.data.go.kr/data/15061960/fileData.do" TargetMode="External"/><Relationship Id="rId1" Type="http://schemas.openxmlformats.org/officeDocument/2006/relationships/hyperlink" Target="https://www.koreascience.or.kr/article/JAKO201022442401158.pdf" TargetMode="External"/><Relationship Id="rId6" Type="http://schemas.openxmlformats.org/officeDocument/2006/relationships/hyperlink" Target="http://www.keei.re.kr/keei/download/FFS2018.pdf" TargetMode="External"/><Relationship Id="rId5" Type="http://schemas.openxmlformats.org/officeDocument/2006/relationships/hyperlink" Target="https://www.ktdb.go.kr/www/selectPblcteWebList.do?key=39&amp;pageUnit=10&amp;pageIndex=1&amp;searchCnd=al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kosis.kr/statHtml/statHtml.do?orgId=116&amp;tblId=DT_MLTM_5376&amp;conn_path=I3" TargetMode="External"/><Relationship Id="rId9" Type="http://schemas.openxmlformats.org/officeDocument/2006/relationships/hyperlink" Target="https://tmacs.ts2020.kr/web/TG/TG200/TG2200/Tg1700_01.jsp?mid=S307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na.co.kr/view/AKR20120214060851003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workbookViewId="0">
      <selection activeCell="J7" sqref="J7"/>
    </sheetView>
  </sheetViews>
  <sheetFormatPr defaultRowHeight="16.5"/>
  <cols>
    <col min="2" max="2" width="9" customWidth="1"/>
  </cols>
  <sheetData>
    <row r="1" spans="1:13">
      <c r="A1" s="1" t="s">
        <v>0</v>
      </c>
    </row>
    <row r="3" spans="1:13">
      <c r="A3" s="1" t="s">
        <v>1</v>
      </c>
      <c r="B3" s="135" t="s">
        <v>2</v>
      </c>
      <c r="C3" s="133"/>
      <c r="D3" s="133"/>
      <c r="E3" s="133"/>
      <c r="J3" s="134" t="s">
        <v>3</v>
      </c>
      <c r="K3" s="225"/>
      <c r="L3" s="225"/>
      <c r="M3" s="225"/>
    </row>
    <row r="4" spans="1:13">
      <c r="B4" t="s">
        <v>4</v>
      </c>
      <c r="J4" s="101" t="s">
        <v>5</v>
      </c>
    </row>
    <row r="5" spans="1:13">
      <c r="B5" s="2">
        <v>2021</v>
      </c>
      <c r="J5" s="2">
        <v>2020</v>
      </c>
    </row>
    <row r="6" spans="1:13">
      <c r="B6" t="s">
        <v>6</v>
      </c>
      <c r="J6" s="2" t="s">
        <v>7</v>
      </c>
    </row>
    <row r="7" spans="1:13">
      <c r="B7" s="3" t="s">
        <v>8</v>
      </c>
      <c r="J7" s="9" t="s">
        <v>9</v>
      </c>
    </row>
    <row r="9" spans="1:13">
      <c r="B9" s="134" t="s">
        <v>10</v>
      </c>
      <c r="C9" s="133"/>
      <c r="D9" s="133"/>
      <c r="E9" s="133"/>
      <c r="J9" s="225" t="s">
        <v>11</v>
      </c>
      <c r="K9" s="133"/>
      <c r="L9" s="133"/>
      <c r="M9" s="133"/>
    </row>
    <row r="10" spans="1:13">
      <c r="B10" s="2" t="s">
        <v>12</v>
      </c>
      <c r="J10" s="101" t="s">
        <v>5</v>
      </c>
    </row>
    <row r="11" spans="1:13">
      <c r="B11" s="2">
        <v>2021</v>
      </c>
      <c r="J11" s="2">
        <v>2019</v>
      </c>
    </row>
    <row r="12" spans="1:13">
      <c r="B12" s="9" t="s">
        <v>13</v>
      </c>
      <c r="J12" s="2" t="s">
        <v>14</v>
      </c>
    </row>
    <row r="13" spans="1:13">
      <c r="J13" s="2" t="s">
        <v>15</v>
      </c>
    </row>
    <row r="14" spans="1:13">
      <c r="B14" s="134" t="s">
        <v>16</v>
      </c>
      <c r="C14" s="133"/>
      <c r="D14" s="133"/>
      <c r="E14" s="133"/>
      <c r="J14" s="231" t="s">
        <v>17</v>
      </c>
    </row>
    <row r="15" spans="1:13">
      <c r="B15" s="2" t="s">
        <v>4</v>
      </c>
      <c r="J15" s="231"/>
    </row>
    <row r="16" spans="1:13">
      <c r="B16" s="2">
        <v>2018</v>
      </c>
      <c r="J16" t="s">
        <v>18</v>
      </c>
    </row>
    <row r="17" spans="2:10">
      <c r="B17" s="9" t="s">
        <v>19</v>
      </c>
      <c r="J17" t="s">
        <v>20</v>
      </c>
    </row>
    <row r="18" spans="2:10">
      <c r="B18" s="2"/>
    </row>
    <row r="19" spans="2:10">
      <c r="B19" s="134" t="s">
        <v>21</v>
      </c>
      <c r="C19" s="133"/>
      <c r="D19" s="133"/>
      <c r="E19" s="133"/>
      <c r="J19" t="s">
        <v>22</v>
      </c>
    </row>
    <row r="20" spans="2:10">
      <c r="B20" s="2" t="s">
        <v>4</v>
      </c>
      <c r="J20" t="s">
        <v>23</v>
      </c>
    </row>
    <row r="21" spans="2:10">
      <c r="B21" s="2">
        <v>2017</v>
      </c>
    </row>
    <row r="22" spans="2:10">
      <c r="B22" s="9" t="s">
        <v>24</v>
      </c>
    </row>
    <row r="24" spans="2:10">
      <c r="B24" s="134" t="s">
        <v>25</v>
      </c>
      <c r="C24" s="133"/>
      <c r="D24" s="133"/>
      <c r="E24" s="133"/>
    </row>
    <row r="25" spans="2:10">
      <c r="B25" s="101" t="s">
        <v>26</v>
      </c>
    </row>
    <row r="26" spans="2:10">
      <c r="B26" s="101">
        <v>2018</v>
      </c>
    </row>
    <row r="27" spans="2:10">
      <c r="B27" s="101" t="s">
        <v>27</v>
      </c>
    </row>
    <row r="28" spans="2:10">
      <c r="B28" s="114" t="s">
        <v>28</v>
      </c>
    </row>
    <row r="29" spans="2:10">
      <c r="B29" s="101" t="s">
        <v>29</v>
      </c>
    </row>
    <row r="31" spans="2:10">
      <c r="B31" s="108" t="s">
        <v>30</v>
      </c>
      <c r="C31" s="88"/>
      <c r="D31" s="88"/>
      <c r="E31" s="88"/>
    </row>
    <row r="32" spans="2:10">
      <c r="B32" s="101">
        <v>2020</v>
      </c>
    </row>
    <row r="33" spans="1:5">
      <c r="B33" s="101" t="s">
        <v>31</v>
      </c>
    </row>
    <row r="34" spans="1:5">
      <c r="B34" s="114" t="s">
        <v>32</v>
      </c>
    </row>
    <row r="35" spans="1:5">
      <c r="B35" s="101" t="s">
        <v>33</v>
      </c>
    </row>
    <row r="37" spans="1:5">
      <c r="B37" s="132" t="s">
        <v>34</v>
      </c>
      <c r="C37" s="133"/>
      <c r="D37" s="133"/>
      <c r="E37" s="133"/>
    </row>
    <row r="38" spans="1:5">
      <c r="B38" t="s">
        <v>35</v>
      </c>
    </row>
    <row r="39" spans="1:5">
      <c r="B39" s="2">
        <v>2013</v>
      </c>
    </row>
    <row r="40" spans="1:5">
      <c r="B40" t="s">
        <v>36</v>
      </c>
    </row>
    <row r="41" spans="1:5">
      <c r="B41" s="3" t="s">
        <v>37</v>
      </c>
    </row>
    <row r="42" spans="1:5">
      <c r="B42" s="112" t="s">
        <v>38</v>
      </c>
    </row>
    <row r="43" spans="1:5">
      <c r="B43" s="1"/>
    </row>
    <row r="44" spans="1:5">
      <c r="A44" s="1" t="s">
        <v>39</v>
      </c>
      <c r="B44" s="6"/>
    </row>
    <row r="45" spans="1:5">
      <c r="A45" s="115"/>
      <c r="B45" s="6" t="s">
        <v>40</v>
      </c>
    </row>
    <row r="46" spans="1:5">
      <c r="A46" t="s">
        <v>41</v>
      </c>
      <c r="B46" s="2"/>
      <c r="C46" s="2"/>
    </row>
    <row r="47" spans="1:5">
      <c r="A47" t="s">
        <v>42</v>
      </c>
      <c r="B47" s="2"/>
      <c r="C47" s="2"/>
    </row>
    <row r="48" spans="1:5">
      <c r="B48" s="2"/>
      <c r="C48" s="2"/>
    </row>
    <row r="49" spans="1:3">
      <c r="A49" t="s">
        <v>43</v>
      </c>
      <c r="B49" s="2"/>
      <c r="C49" s="2"/>
    </row>
    <row r="50" spans="1:3">
      <c r="A50" t="s">
        <v>44</v>
      </c>
      <c r="B50" s="2"/>
      <c r="C50" s="2"/>
    </row>
    <row r="51" spans="1:3">
      <c r="B51" s="2"/>
      <c r="C51" s="9"/>
    </row>
    <row r="52" spans="1:3">
      <c r="A52" t="s">
        <v>45</v>
      </c>
      <c r="B52" s="2"/>
      <c r="C52" s="2"/>
    </row>
    <row r="53" spans="1:3">
      <c r="A53" t="s">
        <v>46</v>
      </c>
      <c r="B53" s="2"/>
      <c r="C53" s="2"/>
    </row>
    <row r="54" spans="1:3">
      <c r="A54" t="s">
        <v>47</v>
      </c>
      <c r="B54" s="2"/>
      <c r="C54" s="2"/>
    </row>
    <row r="55" spans="1:3">
      <c r="B55" s="2"/>
      <c r="C55" s="2"/>
    </row>
    <row r="56" spans="1:3">
      <c r="A56" t="s">
        <v>48</v>
      </c>
      <c r="B56" s="2"/>
      <c r="C56" s="2"/>
    </row>
    <row r="57" spans="1:3">
      <c r="A57" t="s">
        <v>49</v>
      </c>
      <c r="B57" s="2"/>
      <c r="C57" s="2"/>
    </row>
    <row r="58" spans="1:3">
      <c r="B58" s="2"/>
      <c r="C58" s="8"/>
    </row>
    <row r="59" spans="1:3">
      <c r="A59" t="s">
        <v>50</v>
      </c>
    </row>
    <row r="62" spans="1:3">
      <c r="A62" t="s">
        <v>51</v>
      </c>
      <c r="B62">
        <v>2019</v>
      </c>
    </row>
    <row r="64" spans="1:3">
      <c r="A64" s="111" t="s">
        <v>52</v>
      </c>
      <c r="B64" s="33">
        <v>0.62137100000000001</v>
      </c>
      <c r="C64" s="108" t="s">
        <v>53</v>
      </c>
    </row>
    <row r="65" spans="1:4">
      <c r="A65" s="18" t="s">
        <v>54</v>
      </c>
      <c r="B65" s="27">
        <v>365</v>
      </c>
      <c r="C65" s="17" t="s">
        <v>55</v>
      </c>
    </row>
    <row r="67" spans="1:4">
      <c r="A67" s="17"/>
      <c r="B67" s="8"/>
      <c r="C67" s="8"/>
      <c r="D67" s="8"/>
    </row>
    <row r="68" spans="1:4">
      <c r="A68" s="17"/>
      <c r="B68" s="8"/>
      <c r="C68" s="8"/>
      <c r="D68" s="8"/>
    </row>
  </sheetData>
  <phoneticPr fontId="43" type="noConversion"/>
  <hyperlinks>
    <hyperlink ref="B41" r:id="rId1" xr:uid="{DEB01DE8-9F9C-4D77-A287-7F6E86DB514A}"/>
    <hyperlink ref="B12" r:id="rId2" location="layer_data_information" xr:uid="{08BEDE13-C95C-4790-BBE1-A70B447ED917}"/>
    <hyperlink ref="B22" r:id="rId3" xr:uid="{B925611A-3B22-47C0-88F4-6D3DC6288BD5}"/>
    <hyperlink ref="B17" r:id="rId4" xr:uid="{AAF9B2AF-488B-436F-8011-BCCA9DEE1272}"/>
    <hyperlink ref="B34" r:id="rId5" xr:uid="{C940A254-C0F1-4CE0-AA36-19FC0CD966A5}"/>
    <hyperlink ref="B28" r:id="rId6" xr:uid="{548C3893-E3EA-4591-A46B-3169C482A9E1}"/>
    <hyperlink ref="J7" r:id="rId7" xr:uid="{8D2F80C1-3F75-4304-A941-2F47399CDAB7}"/>
    <hyperlink ref="J14" r:id="rId8" xr:uid="{1193D6B8-C691-4991-A971-6018E7D23B4D}"/>
    <hyperlink ref="B7" r:id="rId9" display="https://tmacs.ts2020.kr/web/TG/TG200/TG2200/Tg1700_01.jsp?mid=S3079#" xr:uid="{A66CAB60-A8C1-4524-BDD6-4A05815E4DCC}"/>
  </hyperlinks>
  <pageMargins left="0.7" right="0.7" top="0.75" bottom="0.75" header="0.3" footer="0.3"/>
  <pageSetup orientation="portrait" horizontalDpi="1200" verticalDpi="1200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ADFA-66D3-4613-931C-4A2B7C6F5DAA}">
  <dimension ref="A1:H21"/>
  <sheetViews>
    <sheetView workbookViewId="0">
      <selection activeCell="B3" sqref="B3:H3"/>
    </sheetView>
  </sheetViews>
  <sheetFormatPr defaultRowHeight="16.5"/>
  <cols>
    <col min="1" max="1" width="16.875" customWidth="1"/>
    <col min="2" max="2" width="24.5" customWidth="1"/>
    <col min="3" max="3" width="20.875" customWidth="1"/>
    <col min="4" max="4" width="18.25" customWidth="1"/>
    <col min="5" max="5" width="17.125" customWidth="1"/>
    <col min="6" max="8" width="23.25" customWidth="1"/>
    <col min="9" max="9" width="10" bestFit="1" customWidth="1"/>
    <col min="10" max="10" width="14.5" bestFit="1" customWidth="1"/>
  </cols>
  <sheetData>
    <row r="1" spans="1:8" ht="33">
      <c r="A1" s="7" t="s">
        <v>56</v>
      </c>
      <c r="B1" s="4" t="s">
        <v>57</v>
      </c>
      <c r="C1" s="4" t="s">
        <v>58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63</v>
      </c>
    </row>
    <row r="2" spans="1:8">
      <c r="A2" s="1" t="s">
        <v>64</v>
      </c>
      <c r="B2" s="287">
        <v>114917.60648530474</v>
      </c>
      <c r="C2" s="287">
        <v>34230.059993082032</v>
      </c>
      <c r="D2" s="287">
        <v>10959476.048499774</v>
      </c>
      <c r="E2" s="287">
        <v>6290827.1892583873</v>
      </c>
      <c r="F2" s="287">
        <v>648853.05339912046</v>
      </c>
      <c r="G2" s="287">
        <v>1786472.2280383769</v>
      </c>
      <c r="H2" s="287">
        <v>10491.920808424515</v>
      </c>
    </row>
    <row r="3" spans="1:8">
      <c r="A3" s="1" t="s">
        <v>65</v>
      </c>
      <c r="B3" s="287">
        <v>4535.3935146952517</v>
      </c>
      <c r="C3" s="287">
        <v>1350.9400069179658</v>
      </c>
      <c r="D3" s="287">
        <v>432531.9515002254</v>
      </c>
      <c r="E3" s="287">
        <v>248276.81074161202</v>
      </c>
      <c r="F3" s="287">
        <v>25607.946600879633</v>
      </c>
      <c r="G3" s="287">
        <v>70505.771961623075</v>
      </c>
      <c r="H3" s="287">
        <v>414.07919157548508</v>
      </c>
    </row>
    <row r="4" spans="1:8">
      <c r="A4" s="1" t="s">
        <v>66</v>
      </c>
      <c r="B4" s="287">
        <v>0</v>
      </c>
      <c r="C4" s="287">
        <v>0</v>
      </c>
      <c r="D4" s="287">
        <v>0</v>
      </c>
      <c r="E4" s="287">
        <v>822</v>
      </c>
      <c r="F4" s="287">
        <v>0</v>
      </c>
      <c r="G4" s="287">
        <v>0</v>
      </c>
      <c r="H4" s="287">
        <v>0</v>
      </c>
    </row>
    <row r="5" spans="1:8">
      <c r="A5" s="1" t="s">
        <v>67</v>
      </c>
      <c r="B5" s="287">
        <v>1046.875</v>
      </c>
      <c r="C5" s="287">
        <v>0</v>
      </c>
      <c r="D5" s="287">
        <v>0</v>
      </c>
      <c r="E5" s="287">
        <v>669.83333333333326</v>
      </c>
      <c r="F5" s="287">
        <v>0</v>
      </c>
      <c r="G5" s="287">
        <v>0</v>
      </c>
      <c r="H5" s="287">
        <v>0</v>
      </c>
    </row>
    <row r="6" spans="1:8">
      <c r="A6" s="1" t="s">
        <v>68</v>
      </c>
      <c r="B6" s="287">
        <v>0</v>
      </c>
      <c r="C6" s="287">
        <v>0</v>
      </c>
      <c r="D6" s="288">
        <v>0.4823245691429916</v>
      </c>
      <c r="E6" s="287">
        <v>328</v>
      </c>
      <c r="F6" s="287">
        <v>0</v>
      </c>
      <c r="G6" s="287">
        <v>0.19292982765719663</v>
      </c>
      <c r="H6" s="287">
        <v>0</v>
      </c>
    </row>
    <row r="7" spans="1:8">
      <c r="A7" s="1" t="s">
        <v>69</v>
      </c>
      <c r="B7" s="287">
        <v>0</v>
      </c>
      <c r="C7" s="287">
        <v>0</v>
      </c>
      <c r="D7" s="287">
        <v>272564</v>
      </c>
      <c r="E7" s="287">
        <v>0</v>
      </c>
      <c r="F7" s="287">
        <v>0</v>
      </c>
      <c r="G7" s="287">
        <v>0</v>
      </c>
      <c r="H7" s="287">
        <v>0</v>
      </c>
    </row>
    <row r="9" spans="1:8">
      <c r="A9" s="88"/>
      <c r="B9" s="89"/>
      <c r="C9" s="89"/>
      <c r="D9" s="89"/>
      <c r="E9" s="89"/>
      <c r="F9" s="89"/>
      <c r="G9" s="89"/>
      <c r="H9" s="89"/>
    </row>
    <row r="10" spans="1:8">
      <c r="A10" s="88"/>
      <c r="B10" s="5"/>
      <c r="C10" s="5"/>
      <c r="D10" s="5"/>
      <c r="E10" s="5"/>
      <c r="F10" s="5"/>
      <c r="G10" s="5"/>
      <c r="H10" s="5"/>
    </row>
    <row r="11" spans="1:8">
      <c r="A11" s="88"/>
      <c r="B11" s="5"/>
      <c r="C11" s="5"/>
      <c r="D11" s="5"/>
      <c r="E11" s="5"/>
      <c r="F11" s="5"/>
      <c r="G11" s="5"/>
      <c r="H11" s="5"/>
    </row>
    <row r="12" spans="1:8">
      <c r="A12" s="88"/>
      <c r="B12" s="5"/>
      <c r="C12" s="5"/>
      <c r="D12" s="5"/>
      <c r="E12" s="5"/>
      <c r="F12" s="5"/>
      <c r="G12" s="5"/>
      <c r="H12" s="5"/>
    </row>
    <row r="13" spans="1:8">
      <c r="A13" s="88"/>
      <c r="B13" s="5"/>
      <c r="C13" s="5"/>
      <c r="D13" s="5"/>
      <c r="E13" s="5"/>
      <c r="F13" s="5"/>
      <c r="G13" s="5"/>
      <c r="H13" s="5"/>
    </row>
    <row r="14" spans="1:8">
      <c r="A14" s="88"/>
      <c r="B14" s="5"/>
      <c r="C14" s="5"/>
      <c r="D14" s="5"/>
      <c r="E14" s="5"/>
      <c r="F14" s="5"/>
      <c r="G14" s="5"/>
      <c r="H14" s="5"/>
    </row>
    <row r="15" spans="1:8">
      <c r="A15" s="88"/>
      <c r="B15" s="5"/>
      <c r="C15" s="5"/>
      <c r="D15" s="5"/>
      <c r="E15" s="5"/>
      <c r="F15" s="5"/>
      <c r="G15" s="5"/>
      <c r="H15" s="5"/>
    </row>
    <row r="17" spans="2:8">
      <c r="B17" s="90"/>
      <c r="C17" s="90"/>
      <c r="D17" s="90"/>
      <c r="E17" s="90"/>
      <c r="F17" s="90"/>
      <c r="G17" s="90"/>
      <c r="H17" s="90"/>
    </row>
    <row r="18" spans="2:8">
      <c r="B18" s="90"/>
      <c r="C18" s="90"/>
      <c r="D18" s="90"/>
      <c r="E18" s="90"/>
      <c r="F18" s="90"/>
      <c r="G18" s="90"/>
      <c r="H18" s="90"/>
    </row>
    <row r="19" spans="2:8">
      <c r="B19" s="90"/>
      <c r="C19" s="90"/>
      <c r="D19" s="90"/>
      <c r="E19" s="90"/>
      <c r="F19" s="90"/>
      <c r="G19" s="90"/>
      <c r="H19" s="90"/>
    </row>
    <row r="20" spans="2:8">
      <c r="B20" s="90"/>
      <c r="C20" s="90"/>
      <c r="D20" s="90"/>
      <c r="E20" s="90"/>
      <c r="F20" s="90"/>
      <c r="G20" s="90"/>
      <c r="H20" s="90"/>
    </row>
    <row r="21" spans="2:8">
      <c r="B21" s="90"/>
      <c r="C21" s="90"/>
      <c r="D21" s="90"/>
      <c r="E21" s="90"/>
      <c r="F21" s="90"/>
      <c r="G21" s="90"/>
      <c r="H21" s="90"/>
    </row>
  </sheetData>
  <phoneticPr fontId="4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4CB9-AF20-413B-B3DE-29EE55FAA3A2}">
  <dimension ref="A1:H15"/>
  <sheetViews>
    <sheetView workbookViewId="0">
      <selection activeCell="C28" sqref="C28"/>
    </sheetView>
  </sheetViews>
  <sheetFormatPr defaultRowHeight="16.5"/>
  <cols>
    <col min="1" max="1" width="16.875" customWidth="1"/>
    <col min="2" max="2" width="24.5" customWidth="1"/>
    <col min="3" max="3" width="20.875" customWidth="1"/>
    <col min="4" max="4" width="18.25" customWidth="1"/>
    <col min="5" max="5" width="17.125" customWidth="1"/>
    <col min="6" max="8" width="23.25" customWidth="1"/>
    <col min="9" max="9" width="10" bestFit="1" customWidth="1"/>
    <col min="10" max="10" width="14.5" bestFit="1" customWidth="1"/>
  </cols>
  <sheetData>
    <row r="1" spans="1:8" ht="33">
      <c r="A1" s="7" t="s">
        <v>56</v>
      </c>
      <c r="B1" s="4" t="s">
        <v>70</v>
      </c>
      <c r="C1" s="4" t="s">
        <v>58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63</v>
      </c>
    </row>
    <row r="2" spans="1:8">
      <c r="A2" s="1" t="s">
        <v>64</v>
      </c>
      <c r="B2" s="5">
        <v>11965.956562995307</v>
      </c>
      <c r="C2" s="5">
        <v>1366</v>
      </c>
      <c r="D2" s="5">
        <v>14255.143043258835</v>
      </c>
      <c r="E2" s="5">
        <v>2664174.8230804084</v>
      </c>
      <c r="F2" s="5">
        <v>0</v>
      </c>
      <c r="G2" s="5">
        <v>94459.997166222995</v>
      </c>
      <c r="H2" s="5">
        <v>0</v>
      </c>
    </row>
    <row r="3" spans="1:8">
      <c r="A3" s="1" t="s">
        <v>65</v>
      </c>
      <c r="B3" s="5">
        <v>3543.0434370046937</v>
      </c>
      <c r="C3" s="5">
        <v>0</v>
      </c>
      <c r="D3" s="5">
        <v>4220.8569567411641</v>
      </c>
      <c r="E3" s="5">
        <v>788845.17691959161</v>
      </c>
      <c r="F3" s="5">
        <v>0</v>
      </c>
      <c r="G3" s="5">
        <v>27969.002833777009</v>
      </c>
      <c r="H3" s="5">
        <v>0</v>
      </c>
    </row>
    <row r="4" spans="1:8">
      <c r="A4" s="1" t="s">
        <v>66</v>
      </c>
      <c r="B4" s="5">
        <v>0</v>
      </c>
      <c r="C4" s="5">
        <v>0</v>
      </c>
      <c r="D4" s="5">
        <v>0</v>
      </c>
      <c r="E4" s="5">
        <v>36</v>
      </c>
      <c r="F4" s="5">
        <v>0</v>
      </c>
      <c r="G4" s="5">
        <v>0</v>
      </c>
      <c r="H4" s="5">
        <v>0</v>
      </c>
    </row>
    <row r="5" spans="1:8">
      <c r="A5" s="1" t="s">
        <v>67</v>
      </c>
      <c r="B5" s="5">
        <v>87.5</v>
      </c>
      <c r="C5" s="5">
        <v>0</v>
      </c>
      <c r="D5" s="5">
        <v>0</v>
      </c>
      <c r="E5" s="5">
        <v>127</v>
      </c>
      <c r="F5" s="5">
        <v>0</v>
      </c>
      <c r="G5" s="5">
        <v>0</v>
      </c>
      <c r="H5" s="5">
        <v>0</v>
      </c>
    </row>
    <row r="6" spans="1:8">
      <c r="A6" s="1" t="s">
        <v>68</v>
      </c>
      <c r="B6" s="5">
        <v>0</v>
      </c>
      <c r="C6" s="5">
        <v>0</v>
      </c>
      <c r="D6" s="5">
        <v>2.1101699900005881</v>
      </c>
      <c r="E6" s="5">
        <v>630.10013528615957</v>
      </c>
      <c r="F6" s="5">
        <v>0</v>
      </c>
      <c r="G6" s="5">
        <v>0.8440679960002353</v>
      </c>
      <c r="H6" s="5">
        <v>0</v>
      </c>
    </row>
    <row r="7" spans="1:8">
      <c r="A7" s="1" t="s">
        <v>69</v>
      </c>
      <c r="B7" s="5">
        <v>0</v>
      </c>
      <c r="C7" s="5">
        <v>0</v>
      </c>
      <c r="D7" s="5">
        <v>2016445</v>
      </c>
      <c r="E7" s="5">
        <v>0</v>
      </c>
      <c r="F7" s="5">
        <v>0</v>
      </c>
      <c r="G7" s="5">
        <v>0</v>
      </c>
      <c r="H7" s="5">
        <v>0</v>
      </c>
    </row>
    <row r="9" spans="1:8">
      <c r="A9" s="1"/>
      <c r="B9" s="88"/>
      <c r="C9" s="88"/>
      <c r="D9" s="88"/>
      <c r="E9" s="88"/>
      <c r="F9" s="88"/>
      <c r="G9" s="88"/>
      <c r="H9" s="88"/>
    </row>
    <row r="10" spans="1:8">
      <c r="A10" s="88"/>
    </row>
    <row r="11" spans="1:8">
      <c r="A11" s="88"/>
    </row>
    <row r="12" spans="1:8">
      <c r="A12" s="88"/>
    </row>
    <row r="13" spans="1:8">
      <c r="A13" s="88"/>
    </row>
    <row r="14" spans="1:8">
      <c r="A14" s="88"/>
    </row>
    <row r="15" spans="1:8">
      <c r="A15" s="88"/>
    </row>
  </sheetData>
  <phoneticPr fontId="4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2AEF-DF7D-478A-9467-A51A8EC9446B}">
  <dimension ref="A1:F145"/>
  <sheetViews>
    <sheetView topLeftCell="A43" workbookViewId="0">
      <selection activeCell="K14" sqref="K14"/>
    </sheetView>
  </sheetViews>
  <sheetFormatPr defaultColWidth="9" defaultRowHeight="13.5"/>
  <cols>
    <col min="1" max="1" width="4" style="11" customWidth="1"/>
    <col min="2" max="2" width="3.5" style="11" customWidth="1"/>
    <col min="3" max="4" width="1.5" style="11" customWidth="1"/>
    <col min="5" max="5" width="23.25" style="11" customWidth="1"/>
    <col min="6" max="6" width="12.5" style="11" bestFit="1" customWidth="1"/>
    <col min="7" max="16384" width="9" style="11"/>
  </cols>
  <sheetData>
    <row r="1" spans="1:6">
      <c r="A1" s="106" t="s">
        <v>71</v>
      </c>
    </row>
    <row r="2" spans="1:6">
      <c r="A2" s="12" t="s">
        <v>999</v>
      </c>
      <c r="B2" s="13"/>
    </row>
    <row r="3" spans="1:6">
      <c r="A3" s="240"/>
      <c r="B3" s="240"/>
      <c r="C3" s="240"/>
      <c r="D3" s="240"/>
      <c r="E3" s="240" t="s">
        <v>72</v>
      </c>
      <c r="F3" s="241" t="s">
        <v>73</v>
      </c>
    </row>
    <row r="4" spans="1:6">
      <c r="A4" s="242" t="s">
        <v>74</v>
      </c>
      <c r="B4" s="242"/>
      <c r="C4" s="242"/>
      <c r="D4" s="242"/>
      <c r="E4" s="242"/>
      <c r="F4" s="286">
        <v>24365979</v>
      </c>
    </row>
    <row r="5" spans="1:6">
      <c r="A5" s="242"/>
      <c r="B5" s="242" t="s">
        <v>75</v>
      </c>
      <c r="C5" s="242"/>
      <c r="D5" s="242"/>
      <c r="E5" s="242"/>
      <c r="F5" s="286">
        <v>19860955</v>
      </c>
    </row>
    <row r="6" spans="1:6">
      <c r="A6" s="242"/>
      <c r="B6" s="242"/>
      <c r="C6" s="242" t="s">
        <v>76</v>
      </c>
      <c r="D6" s="242"/>
      <c r="E6" s="242"/>
      <c r="F6" s="286">
        <v>13627521</v>
      </c>
    </row>
    <row r="7" spans="1:6">
      <c r="A7" s="242"/>
      <c r="B7" s="242"/>
      <c r="C7" s="242"/>
      <c r="D7" s="242" t="s">
        <v>77</v>
      </c>
      <c r="E7" s="242"/>
      <c r="F7" s="286">
        <v>11689470</v>
      </c>
    </row>
    <row r="8" spans="1:6">
      <c r="A8" s="242"/>
      <c r="B8" s="242"/>
      <c r="C8" s="242"/>
      <c r="D8" s="242"/>
      <c r="E8" s="242" t="s">
        <v>78</v>
      </c>
      <c r="F8" s="286">
        <v>146185</v>
      </c>
    </row>
    <row r="9" spans="1:6">
      <c r="A9" s="242"/>
      <c r="B9" s="242"/>
      <c r="C9" s="242"/>
      <c r="D9" s="242"/>
      <c r="E9" s="242" t="s">
        <v>79</v>
      </c>
      <c r="F9" s="286">
        <v>1763118</v>
      </c>
    </row>
    <row r="10" spans="1:6">
      <c r="A10" s="242"/>
      <c r="B10" s="242"/>
      <c r="C10" s="242"/>
      <c r="D10" s="242"/>
      <c r="E10" s="242" t="s">
        <v>80</v>
      </c>
      <c r="F10" s="286">
        <v>705219</v>
      </c>
    </row>
    <row r="11" spans="1:6">
      <c r="A11" s="242"/>
      <c r="B11" s="242"/>
      <c r="C11" s="242"/>
      <c r="D11" s="242"/>
      <c r="E11" s="242" t="s">
        <v>81</v>
      </c>
      <c r="F11" s="286">
        <v>6114232</v>
      </c>
    </row>
    <row r="12" spans="1:6">
      <c r="A12" s="242"/>
      <c r="B12" s="242"/>
      <c r="C12" s="242"/>
      <c r="D12" s="242"/>
      <c r="E12" s="242" t="s">
        <v>82</v>
      </c>
      <c r="F12" s="286">
        <v>1146082</v>
      </c>
    </row>
    <row r="13" spans="1:6">
      <c r="A13" s="242"/>
      <c r="B13" s="242"/>
      <c r="C13" s="242"/>
      <c r="D13" s="242"/>
      <c r="E13" s="242" t="s">
        <v>83</v>
      </c>
      <c r="F13" s="286">
        <v>983921</v>
      </c>
    </row>
    <row r="14" spans="1:6">
      <c r="A14" s="242"/>
      <c r="B14" s="242"/>
      <c r="C14" s="242"/>
      <c r="D14" s="242"/>
      <c r="E14" s="242" t="s">
        <v>84</v>
      </c>
      <c r="F14" s="286">
        <v>561245</v>
      </c>
    </row>
    <row r="15" spans="1:6">
      <c r="A15" s="242"/>
      <c r="B15" s="242"/>
      <c r="C15" s="242"/>
      <c r="D15" s="242"/>
      <c r="E15" s="242" t="s">
        <v>85</v>
      </c>
      <c r="F15" s="286">
        <v>230840</v>
      </c>
    </row>
    <row r="16" spans="1:6">
      <c r="A16" s="242"/>
      <c r="B16" s="242"/>
      <c r="C16" s="242"/>
      <c r="D16" s="242"/>
      <c r="E16" s="242" t="s">
        <v>86</v>
      </c>
      <c r="F16" s="286">
        <v>2792</v>
      </c>
    </row>
    <row r="17" spans="1:6">
      <c r="A17" s="242"/>
      <c r="B17" s="242"/>
      <c r="C17" s="242"/>
      <c r="D17" s="242"/>
      <c r="E17" s="242" t="s">
        <v>87</v>
      </c>
      <c r="F17" s="286">
        <v>7003</v>
      </c>
    </row>
    <row r="18" spans="1:6">
      <c r="A18" s="242"/>
      <c r="B18" s="242"/>
      <c r="C18" s="242"/>
      <c r="D18" s="242"/>
      <c r="E18" s="242" t="s">
        <v>88</v>
      </c>
      <c r="F18" s="286">
        <v>18352</v>
      </c>
    </row>
    <row r="19" spans="1:6">
      <c r="A19" s="242"/>
      <c r="B19" s="242"/>
      <c r="C19" s="242"/>
      <c r="D19" s="242"/>
      <c r="E19" s="242" t="s">
        <v>89</v>
      </c>
      <c r="F19" s="286">
        <v>30</v>
      </c>
    </row>
    <row r="20" spans="1:6">
      <c r="A20" s="242"/>
      <c r="B20" s="242"/>
      <c r="C20" s="242"/>
      <c r="D20" s="242"/>
      <c r="E20" s="242" t="s">
        <v>90</v>
      </c>
      <c r="F20" s="286">
        <v>10451</v>
      </c>
    </row>
    <row r="21" spans="1:6">
      <c r="A21" s="242"/>
      <c r="B21" s="242"/>
      <c r="C21" s="242"/>
      <c r="D21" s="242" t="s">
        <v>91</v>
      </c>
      <c r="E21" s="242"/>
      <c r="F21" s="286">
        <v>1938051</v>
      </c>
    </row>
    <row r="22" spans="1:6">
      <c r="A22" s="242"/>
      <c r="B22" s="242"/>
      <c r="C22" s="242"/>
      <c r="D22" s="242"/>
      <c r="E22" s="242" t="s">
        <v>92</v>
      </c>
      <c r="F22" s="286">
        <v>2469</v>
      </c>
    </row>
    <row r="23" spans="1:6">
      <c r="A23" s="242"/>
      <c r="B23" s="242"/>
      <c r="C23" s="242"/>
      <c r="D23" s="242"/>
      <c r="E23" s="242" t="s">
        <v>93</v>
      </c>
      <c r="F23" s="286">
        <v>1963</v>
      </c>
    </row>
    <row r="24" spans="1:6">
      <c r="A24" s="242"/>
      <c r="B24" s="242"/>
      <c r="C24" s="242"/>
      <c r="D24" s="242"/>
      <c r="E24" s="242" t="s">
        <v>94</v>
      </c>
      <c r="F24" s="286">
        <v>149213</v>
      </c>
    </row>
    <row r="25" spans="1:6">
      <c r="A25" s="242"/>
      <c r="B25" s="242"/>
      <c r="C25" s="242"/>
      <c r="D25" s="242"/>
      <c r="E25" s="242" t="s">
        <v>95</v>
      </c>
      <c r="F25" s="286">
        <v>964949</v>
      </c>
    </row>
    <row r="26" spans="1:6">
      <c r="A26" s="242"/>
      <c r="B26" s="242"/>
      <c r="C26" s="242"/>
      <c r="D26" s="242"/>
      <c r="E26" s="242" t="s">
        <v>96</v>
      </c>
      <c r="F26" s="286">
        <v>280102</v>
      </c>
    </row>
    <row r="27" spans="1:6">
      <c r="A27" s="242"/>
      <c r="B27" s="242"/>
      <c r="C27" s="242"/>
      <c r="D27" s="242"/>
      <c r="E27" s="242" t="s">
        <v>97</v>
      </c>
      <c r="F27" s="286">
        <v>252821</v>
      </c>
    </row>
    <row r="28" spans="1:6">
      <c r="A28" s="242"/>
      <c r="B28" s="242"/>
      <c r="C28" s="242"/>
      <c r="D28" s="242"/>
      <c r="E28" s="242" t="s">
        <v>98</v>
      </c>
      <c r="F28" s="286">
        <v>128341</v>
      </c>
    </row>
    <row r="29" spans="1:6">
      <c r="A29" s="242"/>
      <c r="B29" s="242"/>
      <c r="C29" s="242"/>
      <c r="D29" s="242"/>
      <c r="E29" s="242" t="s">
        <v>99</v>
      </c>
      <c r="F29" s="286">
        <v>60285</v>
      </c>
    </row>
    <row r="30" spans="1:6">
      <c r="A30" s="242"/>
      <c r="B30" s="242"/>
      <c r="C30" s="242"/>
      <c r="D30" s="242"/>
      <c r="E30" s="242" t="s">
        <v>100</v>
      </c>
      <c r="F30" s="286">
        <v>19969</v>
      </c>
    </row>
    <row r="31" spans="1:6">
      <c r="A31" s="242"/>
      <c r="B31" s="242"/>
      <c r="C31" s="242"/>
      <c r="D31" s="242"/>
      <c r="E31" s="242" t="s">
        <v>101</v>
      </c>
      <c r="F31" s="286">
        <v>22420</v>
      </c>
    </row>
    <row r="32" spans="1:6">
      <c r="A32" s="242"/>
      <c r="B32" s="242"/>
      <c r="C32" s="242"/>
      <c r="D32" s="242"/>
      <c r="E32" s="242" t="s">
        <v>102</v>
      </c>
      <c r="F32" s="286">
        <v>26121</v>
      </c>
    </row>
    <row r="33" spans="1:6">
      <c r="A33" s="242"/>
      <c r="B33" s="242"/>
      <c r="C33" s="242"/>
      <c r="D33" s="242"/>
      <c r="E33" s="242" t="s">
        <v>103</v>
      </c>
      <c r="F33" s="286">
        <v>0</v>
      </c>
    </row>
    <row r="34" spans="1:6">
      <c r="A34" s="242"/>
      <c r="B34" s="242"/>
      <c r="C34" s="242"/>
      <c r="D34" s="242"/>
      <c r="E34" s="242" t="s">
        <v>104</v>
      </c>
      <c r="F34" s="286">
        <v>29398</v>
      </c>
    </row>
    <row r="35" spans="1:6">
      <c r="A35" s="242"/>
      <c r="B35" s="242"/>
      <c r="C35" s="242" t="s">
        <v>105</v>
      </c>
      <c r="D35" s="242"/>
      <c r="E35" s="242"/>
      <c r="F35" s="286">
        <v>76936</v>
      </c>
    </row>
    <row r="36" spans="1:6">
      <c r="A36" s="242"/>
      <c r="B36" s="242"/>
      <c r="C36" s="242"/>
      <c r="D36" s="242"/>
      <c r="E36" s="242" t="s">
        <v>106</v>
      </c>
      <c r="F36" s="286">
        <v>72950</v>
      </c>
    </row>
    <row r="37" spans="1:6">
      <c r="A37" s="242"/>
      <c r="B37" s="242"/>
      <c r="C37" s="242"/>
      <c r="D37" s="242"/>
      <c r="E37" s="242" t="s">
        <v>107</v>
      </c>
      <c r="F37" s="286">
        <v>43</v>
      </c>
    </row>
    <row r="38" spans="1:6">
      <c r="A38" s="242"/>
      <c r="B38" s="242"/>
      <c r="C38" s="242"/>
      <c r="D38" s="242"/>
      <c r="E38" s="242" t="s">
        <v>108</v>
      </c>
      <c r="F38" s="286">
        <v>3158</v>
      </c>
    </row>
    <row r="39" spans="1:6">
      <c r="A39" s="242"/>
      <c r="B39" s="242"/>
      <c r="C39" s="242"/>
      <c r="D39" s="242"/>
      <c r="E39" s="242" t="s">
        <v>109</v>
      </c>
      <c r="F39" s="286">
        <v>239</v>
      </c>
    </row>
    <row r="40" spans="1:6">
      <c r="A40" s="242"/>
      <c r="B40" s="242"/>
      <c r="C40" s="242"/>
      <c r="D40" s="242"/>
      <c r="E40" s="242" t="s">
        <v>110</v>
      </c>
      <c r="F40" s="286">
        <v>60</v>
      </c>
    </row>
    <row r="41" spans="1:6">
      <c r="A41" s="242"/>
      <c r="B41" s="242"/>
      <c r="C41" s="242"/>
      <c r="D41" s="242"/>
      <c r="E41" s="242" t="s">
        <v>111</v>
      </c>
      <c r="F41" s="286">
        <v>486</v>
      </c>
    </row>
    <row r="42" spans="1:6">
      <c r="A42" s="242"/>
      <c r="B42" s="242"/>
      <c r="C42" s="242"/>
      <c r="D42" s="242"/>
      <c r="E42" s="242" t="s">
        <v>112</v>
      </c>
      <c r="F42" s="286">
        <v>0</v>
      </c>
    </row>
    <row r="43" spans="1:6">
      <c r="A43" s="242"/>
      <c r="B43" s="242"/>
      <c r="C43" s="242"/>
      <c r="D43" s="242"/>
      <c r="E43" s="242" t="s">
        <v>113</v>
      </c>
      <c r="F43" s="286">
        <v>0</v>
      </c>
    </row>
    <row r="44" spans="1:6">
      <c r="A44" s="242"/>
      <c r="B44" s="242"/>
      <c r="C44" s="242" t="s">
        <v>114</v>
      </c>
      <c r="D44" s="242"/>
      <c r="E44" s="242"/>
      <c r="F44" s="286">
        <v>4927216</v>
      </c>
    </row>
    <row r="45" spans="1:6">
      <c r="A45" s="242"/>
      <c r="B45" s="242"/>
      <c r="C45" s="242"/>
      <c r="D45" s="242"/>
      <c r="E45" s="242" t="s">
        <v>115</v>
      </c>
      <c r="F45" s="286">
        <v>32827</v>
      </c>
    </row>
    <row r="46" spans="1:6">
      <c r="A46" s="242"/>
      <c r="B46" s="242"/>
      <c r="C46" s="242"/>
      <c r="D46" s="242"/>
      <c r="E46" s="242" t="s">
        <v>116</v>
      </c>
      <c r="F46" s="286">
        <v>3269202</v>
      </c>
    </row>
    <row r="47" spans="1:6">
      <c r="A47" s="242"/>
      <c r="B47" s="242"/>
      <c r="C47" s="242"/>
      <c r="D47" s="242"/>
      <c r="E47" s="242" t="s">
        <v>117</v>
      </c>
      <c r="F47" s="286">
        <v>971998</v>
      </c>
    </row>
    <row r="48" spans="1:6">
      <c r="A48" s="242"/>
      <c r="B48" s="242"/>
      <c r="C48" s="242"/>
      <c r="D48" s="242"/>
      <c r="E48" s="242" t="s">
        <v>118</v>
      </c>
      <c r="F48" s="286">
        <v>472657</v>
      </c>
    </row>
    <row r="49" spans="1:6">
      <c r="A49" s="242"/>
      <c r="B49" s="242"/>
      <c r="C49" s="242"/>
      <c r="D49" s="242"/>
      <c r="E49" s="242" t="s">
        <v>119</v>
      </c>
      <c r="F49" s="286">
        <v>46478</v>
      </c>
    </row>
    <row r="50" spans="1:6">
      <c r="A50" s="242"/>
      <c r="B50" s="242"/>
      <c r="C50" s="242"/>
      <c r="D50" s="242"/>
      <c r="E50" s="242" t="s">
        <v>120</v>
      </c>
      <c r="F50" s="286">
        <v>88510</v>
      </c>
    </row>
    <row r="51" spans="1:6">
      <c r="A51" s="242"/>
      <c r="B51" s="242"/>
      <c r="C51" s="242"/>
      <c r="D51" s="242"/>
      <c r="E51" s="242" t="s">
        <v>121</v>
      </c>
      <c r="F51" s="286">
        <v>3</v>
      </c>
    </row>
    <row r="52" spans="1:6">
      <c r="A52" s="242"/>
      <c r="B52" s="242"/>
      <c r="C52" s="242"/>
      <c r="D52" s="242"/>
      <c r="E52" s="242" t="s">
        <v>122</v>
      </c>
      <c r="F52" s="286">
        <v>45541</v>
      </c>
    </row>
    <row r="53" spans="1:6">
      <c r="A53" s="242"/>
      <c r="B53" s="242"/>
      <c r="C53" s="242" t="s">
        <v>123</v>
      </c>
      <c r="D53" s="242"/>
      <c r="E53" s="242"/>
      <c r="F53" s="286">
        <v>1229282</v>
      </c>
    </row>
    <row r="54" spans="1:6">
      <c r="A54" s="242"/>
      <c r="B54" s="242"/>
      <c r="C54" s="242"/>
      <c r="D54" s="242"/>
      <c r="E54" s="242" t="s">
        <v>124</v>
      </c>
      <c r="F54" s="286">
        <v>105816</v>
      </c>
    </row>
    <row r="55" spans="1:6">
      <c r="A55" s="242"/>
      <c r="B55" s="242"/>
      <c r="C55" s="242"/>
      <c r="D55" s="242"/>
      <c r="E55" s="242" t="s">
        <v>125</v>
      </c>
      <c r="F55" s="286">
        <v>572188</v>
      </c>
    </row>
    <row r="56" spans="1:6">
      <c r="A56" s="242"/>
      <c r="B56" s="242"/>
      <c r="C56" s="242"/>
      <c r="D56" s="242"/>
      <c r="E56" s="242" t="s">
        <v>126</v>
      </c>
      <c r="F56" s="286">
        <v>447550</v>
      </c>
    </row>
    <row r="57" spans="1:6">
      <c r="A57" s="242"/>
      <c r="B57" s="242"/>
      <c r="C57" s="242"/>
      <c r="D57" s="242"/>
      <c r="E57" s="242" t="s">
        <v>127</v>
      </c>
      <c r="F57" s="286">
        <v>47492</v>
      </c>
    </row>
    <row r="58" spans="1:6">
      <c r="A58" s="242"/>
      <c r="B58" s="242"/>
      <c r="C58" s="242"/>
      <c r="D58" s="242"/>
      <c r="E58" s="242" t="s">
        <v>128</v>
      </c>
      <c r="F58" s="286">
        <v>37226</v>
      </c>
    </row>
    <row r="59" spans="1:6">
      <c r="A59" s="242"/>
      <c r="B59" s="242"/>
      <c r="C59" s="242"/>
      <c r="D59" s="242"/>
      <c r="E59" s="242" t="s">
        <v>129</v>
      </c>
      <c r="F59" s="286">
        <v>2219</v>
      </c>
    </row>
    <row r="60" spans="1:6">
      <c r="A60" s="242"/>
      <c r="B60" s="242"/>
      <c r="C60" s="242"/>
      <c r="D60" s="242"/>
      <c r="E60" s="242" t="s">
        <v>130</v>
      </c>
      <c r="F60" s="286">
        <v>136</v>
      </c>
    </row>
    <row r="61" spans="1:6">
      <c r="A61" s="242"/>
      <c r="B61" s="242"/>
      <c r="C61" s="242"/>
      <c r="D61" s="242"/>
      <c r="E61" s="242" t="s">
        <v>131</v>
      </c>
      <c r="F61" s="286">
        <v>16655</v>
      </c>
    </row>
    <row r="62" spans="1:6">
      <c r="A62" s="242"/>
      <c r="B62" s="242" t="s">
        <v>132</v>
      </c>
      <c r="C62" s="242"/>
      <c r="D62" s="242"/>
      <c r="E62" s="242"/>
      <c r="F62" s="286">
        <v>783842</v>
      </c>
    </row>
    <row r="63" spans="1:6">
      <c r="A63" s="242"/>
      <c r="B63" s="242"/>
      <c r="C63" s="242" t="s">
        <v>133</v>
      </c>
      <c r="D63" s="242"/>
      <c r="E63" s="242"/>
      <c r="F63" s="286">
        <v>746870</v>
      </c>
    </row>
    <row r="64" spans="1:6">
      <c r="A64" s="242"/>
      <c r="B64" s="242"/>
      <c r="C64" s="242"/>
      <c r="D64" s="242" t="s">
        <v>134</v>
      </c>
      <c r="E64" s="242"/>
      <c r="F64" s="286">
        <v>42182</v>
      </c>
    </row>
    <row r="65" spans="1:6">
      <c r="A65" s="242"/>
      <c r="B65" s="242"/>
      <c r="C65" s="242"/>
      <c r="D65" s="242" t="s">
        <v>135</v>
      </c>
      <c r="E65" s="242"/>
      <c r="F65" s="286">
        <v>24283</v>
      </c>
    </row>
    <row r="66" spans="1:6">
      <c r="A66" s="242"/>
      <c r="B66" s="242"/>
      <c r="C66" s="242"/>
      <c r="D66" s="242" t="s">
        <v>136</v>
      </c>
      <c r="E66" s="242"/>
      <c r="F66" s="286">
        <v>40287</v>
      </c>
    </row>
    <row r="67" spans="1:6">
      <c r="A67" s="242"/>
      <c r="B67" s="242"/>
      <c r="C67" s="242"/>
      <c r="D67" s="242" t="s">
        <v>137</v>
      </c>
      <c r="E67" s="242"/>
      <c r="F67" s="286">
        <v>24</v>
      </c>
    </row>
    <row r="68" spans="1:6">
      <c r="A68" s="242"/>
      <c r="B68" s="242"/>
      <c r="C68" s="242"/>
      <c r="D68" s="242" t="s">
        <v>138</v>
      </c>
      <c r="E68" s="242"/>
      <c r="F68" s="286">
        <v>0</v>
      </c>
    </row>
    <row r="69" spans="1:6">
      <c r="A69" s="242"/>
      <c r="B69" s="242"/>
      <c r="C69" s="242"/>
      <c r="D69" s="242" t="s">
        <v>139</v>
      </c>
      <c r="E69" s="242"/>
      <c r="F69" s="286">
        <v>0</v>
      </c>
    </row>
    <row r="70" spans="1:6">
      <c r="A70" s="242"/>
      <c r="B70" s="242"/>
      <c r="C70" s="242"/>
      <c r="D70" s="242" t="s">
        <v>140</v>
      </c>
      <c r="E70" s="242"/>
      <c r="F70" s="286">
        <v>640094</v>
      </c>
    </row>
    <row r="71" spans="1:6">
      <c r="A71" s="242"/>
      <c r="B71" s="242"/>
      <c r="C71" s="242"/>
      <c r="D71" s="242"/>
      <c r="E71" s="242" t="s">
        <v>141</v>
      </c>
      <c r="F71" s="286">
        <v>593704</v>
      </c>
    </row>
    <row r="72" spans="1:6">
      <c r="A72" s="242"/>
      <c r="B72" s="242"/>
      <c r="C72" s="242"/>
      <c r="D72" s="242"/>
      <c r="E72" s="242" t="s">
        <v>142</v>
      </c>
      <c r="F72" s="286">
        <v>16313</v>
      </c>
    </row>
    <row r="73" spans="1:6">
      <c r="A73" s="242"/>
      <c r="B73" s="242"/>
      <c r="C73" s="242"/>
      <c r="D73" s="242"/>
      <c r="E73" s="242" t="s">
        <v>143</v>
      </c>
      <c r="F73" s="286">
        <v>10680</v>
      </c>
    </row>
    <row r="74" spans="1:6">
      <c r="A74" s="242"/>
      <c r="B74" s="242"/>
      <c r="C74" s="242"/>
      <c r="D74" s="242"/>
      <c r="E74" s="242" t="s">
        <v>144</v>
      </c>
      <c r="F74" s="286">
        <v>18642</v>
      </c>
    </row>
    <row r="75" spans="1:6">
      <c r="A75" s="242"/>
      <c r="B75" s="242"/>
      <c r="C75" s="242"/>
      <c r="D75" s="242"/>
      <c r="E75" s="242" t="s">
        <v>145</v>
      </c>
      <c r="F75" s="286">
        <v>755</v>
      </c>
    </row>
    <row r="76" spans="1:6">
      <c r="A76" s="242"/>
      <c r="B76" s="242"/>
      <c r="C76" s="242" t="s">
        <v>146</v>
      </c>
      <c r="D76" s="242"/>
      <c r="E76" s="242"/>
      <c r="F76" s="286">
        <v>36972</v>
      </c>
    </row>
    <row r="77" spans="1:6">
      <c r="A77" s="242"/>
      <c r="B77" s="242"/>
      <c r="C77" s="242"/>
      <c r="D77" s="242" t="s">
        <v>147</v>
      </c>
      <c r="E77" s="242"/>
      <c r="F77" s="286">
        <v>6287</v>
      </c>
    </row>
    <row r="78" spans="1:6">
      <c r="A78" s="242"/>
      <c r="B78" s="242"/>
      <c r="C78" s="242"/>
      <c r="D78" s="242" t="s">
        <v>148</v>
      </c>
      <c r="E78" s="242"/>
      <c r="F78" s="286">
        <v>428</v>
      </c>
    </row>
    <row r="79" spans="1:6">
      <c r="A79" s="242"/>
      <c r="B79" s="242"/>
      <c r="C79" s="242"/>
      <c r="D79" s="242" t="s">
        <v>149</v>
      </c>
      <c r="E79" s="242"/>
      <c r="F79" s="286">
        <v>10</v>
      </c>
    </row>
    <row r="80" spans="1:6">
      <c r="A80" s="242"/>
      <c r="B80" s="242"/>
      <c r="C80" s="242"/>
      <c r="D80" s="242" t="s">
        <v>150</v>
      </c>
      <c r="E80" s="242"/>
      <c r="F80" s="286">
        <v>69</v>
      </c>
    </row>
    <row r="81" spans="1:6">
      <c r="A81" s="242"/>
      <c r="B81" s="242"/>
      <c r="C81" s="242"/>
      <c r="D81" s="242" t="s">
        <v>151</v>
      </c>
      <c r="E81" s="242"/>
      <c r="F81" s="286">
        <v>15665</v>
      </c>
    </row>
    <row r="82" spans="1:6">
      <c r="A82" s="242"/>
      <c r="B82" s="242"/>
      <c r="C82" s="242"/>
      <c r="D82" s="242" t="s">
        <v>152</v>
      </c>
      <c r="E82" s="242"/>
      <c r="F82" s="286">
        <v>14513</v>
      </c>
    </row>
    <row r="83" spans="1:6">
      <c r="A83" s="242"/>
      <c r="B83" s="242" t="s">
        <v>153</v>
      </c>
      <c r="C83" s="242"/>
      <c r="D83" s="242"/>
      <c r="E83" s="242"/>
      <c r="F83" s="286">
        <v>3615245</v>
      </c>
    </row>
    <row r="84" spans="1:6">
      <c r="A84" s="242"/>
      <c r="B84" s="242"/>
      <c r="C84" s="242" t="s">
        <v>154</v>
      </c>
      <c r="D84" s="242"/>
      <c r="E84" s="242"/>
      <c r="F84" s="286">
        <v>2574857</v>
      </c>
    </row>
    <row r="85" spans="1:6">
      <c r="A85" s="242"/>
      <c r="B85" s="242"/>
      <c r="C85" s="242"/>
      <c r="D85" s="242" t="s">
        <v>155</v>
      </c>
      <c r="E85" s="242"/>
      <c r="F85" s="286">
        <v>333040</v>
      </c>
    </row>
    <row r="86" spans="1:6">
      <c r="A86" s="242"/>
      <c r="B86" s="242"/>
      <c r="C86" s="242"/>
      <c r="D86" s="242" t="s">
        <v>156</v>
      </c>
      <c r="E86" s="242"/>
      <c r="F86" s="286">
        <v>2241817</v>
      </c>
    </row>
    <row r="87" spans="1:6">
      <c r="A87" s="242"/>
      <c r="B87" s="242"/>
      <c r="C87" s="242"/>
      <c r="D87" s="242"/>
      <c r="E87" s="242" t="s">
        <v>157</v>
      </c>
      <c r="F87" s="286">
        <v>1787347</v>
      </c>
    </row>
    <row r="88" spans="1:6">
      <c r="A88" s="242"/>
      <c r="B88" s="242"/>
      <c r="C88" s="242"/>
      <c r="D88" s="242"/>
      <c r="E88" s="242" t="s">
        <v>158</v>
      </c>
      <c r="F88" s="286">
        <v>170571</v>
      </c>
    </row>
    <row r="89" spans="1:6">
      <c r="A89" s="242"/>
      <c r="B89" s="242"/>
      <c r="C89" s="242"/>
      <c r="D89" s="242"/>
      <c r="E89" s="242" t="s">
        <v>159</v>
      </c>
      <c r="F89" s="286">
        <v>130627</v>
      </c>
    </row>
    <row r="90" spans="1:6">
      <c r="A90" s="242"/>
      <c r="B90" s="242"/>
      <c r="C90" s="242"/>
      <c r="D90" s="242"/>
      <c r="E90" s="242" t="s">
        <v>160</v>
      </c>
      <c r="F90" s="286">
        <v>74425</v>
      </c>
    </row>
    <row r="91" spans="1:6">
      <c r="A91" s="242"/>
      <c r="B91" s="242"/>
      <c r="C91" s="242"/>
      <c r="D91" s="242"/>
      <c r="E91" s="242" t="s">
        <v>161</v>
      </c>
      <c r="F91" s="286">
        <v>14941</v>
      </c>
    </row>
    <row r="92" spans="1:6">
      <c r="A92" s="242"/>
      <c r="B92" s="242"/>
      <c r="C92" s="242"/>
      <c r="D92" s="242"/>
      <c r="E92" s="242" t="s">
        <v>162</v>
      </c>
      <c r="F92" s="286">
        <v>7354</v>
      </c>
    </row>
    <row r="93" spans="1:6">
      <c r="A93" s="242"/>
      <c r="B93" s="242"/>
      <c r="C93" s="242"/>
      <c r="D93" s="242"/>
      <c r="E93" s="242" t="s">
        <v>163</v>
      </c>
      <c r="F93" s="286">
        <v>56552</v>
      </c>
    </row>
    <row r="94" spans="1:6">
      <c r="A94" s="242"/>
      <c r="B94" s="242"/>
      <c r="C94" s="242" t="s">
        <v>164</v>
      </c>
      <c r="D94" s="242"/>
      <c r="E94" s="242"/>
      <c r="F94" s="286">
        <v>55089</v>
      </c>
    </row>
    <row r="95" spans="1:6">
      <c r="A95" s="242"/>
      <c r="B95" s="242"/>
      <c r="C95" s="242"/>
      <c r="D95" s="242"/>
      <c r="E95" s="242" t="s">
        <v>165</v>
      </c>
      <c r="F95" s="286">
        <v>32795</v>
      </c>
    </row>
    <row r="96" spans="1:6">
      <c r="A96" s="242"/>
      <c r="B96" s="242"/>
      <c r="C96" s="242"/>
      <c r="D96" s="242"/>
      <c r="E96" s="242" t="s">
        <v>166</v>
      </c>
      <c r="F96" s="286">
        <v>14871</v>
      </c>
    </row>
    <row r="97" spans="1:6">
      <c r="A97" s="242"/>
      <c r="B97" s="242"/>
      <c r="C97" s="242"/>
      <c r="D97" s="242"/>
      <c r="E97" s="242" t="s">
        <v>167</v>
      </c>
      <c r="F97" s="286">
        <v>7061</v>
      </c>
    </row>
    <row r="98" spans="1:6">
      <c r="A98" s="242"/>
      <c r="B98" s="242"/>
      <c r="C98" s="242"/>
      <c r="D98" s="242"/>
      <c r="E98" s="242" t="s">
        <v>168</v>
      </c>
      <c r="F98" s="286">
        <v>362</v>
      </c>
    </row>
    <row r="99" spans="1:6">
      <c r="A99" s="242"/>
      <c r="B99" s="242"/>
      <c r="C99" s="242" t="s">
        <v>169</v>
      </c>
      <c r="D99" s="242"/>
      <c r="E99" s="242"/>
      <c r="F99" s="286">
        <v>389491</v>
      </c>
    </row>
    <row r="100" spans="1:6">
      <c r="A100" s="242"/>
      <c r="B100" s="242"/>
      <c r="C100" s="242"/>
      <c r="D100" s="242"/>
      <c r="E100" s="242" t="s">
        <v>170</v>
      </c>
      <c r="F100" s="286">
        <v>384960</v>
      </c>
    </row>
    <row r="101" spans="1:6">
      <c r="A101" s="242"/>
      <c r="B101" s="242"/>
      <c r="C101" s="242"/>
      <c r="D101" s="242"/>
      <c r="E101" s="242" t="s">
        <v>171</v>
      </c>
      <c r="F101" s="286">
        <v>4337</v>
      </c>
    </row>
    <row r="102" spans="1:6">
      <c r="A102" s="242"/>
      <c r="B102" s="242"/>
      <c r="C102" s="242"/>
      <c r="D102" s="242"/>
      <c r="E102" s="242" t="s">
        <v>172</v>
      </c>
      <c r="F102" s="286">
        <v>194</v>
      </c>
    </row>
    <row r="103" spans="1:6">
      <c r="A103" s="242"/>
      <c r="B103" s="242"/>
      <c r="C103" s="242" t="s">
        <v>173</v>
      </c>
      <c r="D103" s="242"/>
      <c r="E103" s="242"/>
      <c r="F103" s="286">
        <v>595808</v>
      </c>
    </row>
    <row r="104" spans="1:6">
      <c r="A104" s="242"/>
      <c r="B104" s="242"/>
      <c r="C104" s="242"/>
      <c r="D104" s="242" t="s">
        <v>174</v>
      </c>
      <c r="E104" s="242"/>
      <c r="F104" s="286">
        <v>14595</v>
      </c>
    </row>
    <row r="105" spans="1:6">
      <c r="A105" s="242"/>
      <c r="B105" s="242"/>
      <c r="C105" s="242"/>
      <c r="D105" s="242" t="s">
        <v>175</v>
      </c>
      <c r="E105" s="242"/>
      <c r="F105" s="286">
        <v>2042</v>
      </c>
    </row>
    <row r="106" spans="1:6">
      <c r="A106" s="242"/>
      <c r="B106" s="242"/>
      <c r="C106" s="242"/>
      <c r="D106" s="242" t="s">
        <v>176</v>
      </c>
      <c r="E106" s="242"/>
      <c r="F106" s="286">
        <v>1330</v>
      </c>
    </row>
    <row r="107" spans="1:6">
      <c r="A107" s="242"/>
      <c r="B107" s="242"/>
      <c r="C107" s="242"/>
      <c r="D107" s="242" t="s">
        <v>177</v>
      </c>
      <c r="E107" s="242"/>
      <c r="F107" s="286">
        <v>4632</v>
      </c>
    </row>
    <row r="108" spans="1:6">
      <c r="A108" s="242"/>
      <c r="B108" s="242"/>
      <c r="C108" s="242"/>
      <c r="D108" s="242" t="s">
        <v>178</v>
      </c>
      <c r="E108" s="242"/>
      <c r="F108" s="286">
        <v>131150</v>
      </c>
    </row>
    <row r="109" spans="1:6">
      <c r="A109" s="242"/>
      <c r="B109" s="242"/>
      <c r="C109" s="242"/>
      <c r="D109" s="242" t="s">
        <v>179</v>
      </c>
      <c r="E109" s="242"/>
      <c r="F109" s="286">
        <v>2237</v>
      </c>
    </row>
    <row r="110" spans="1:6">
      <c r="A110" s="242"/>
      <c r="B110" s="242"/>
      <c r="C110" s="242"/>
      <c r="D110" s="242" t="s">
        <v>180</v>
      </c>
      <c r="E110" s="242"/>
      <c r="F110" s="286">
        <v>14480</v>
      </c>
    </row>
    <row r="111" spans="1:6">
      <c r="A111" s="242"/>
      <c r="B111" s="242"/>
      <c r="C111" s="242"/>
      <c r="D111" s="242"/>
      <c r="E111" s="242" t="s">
        <v>181</v>
      </c>
      <c r="F111" s="286">
        <v>294</v>
      </c>
    </row>
    <row r="112" spans="1:6">
      <c r="A112" s="242"/>
      <c r="B112" s="242"/>
      <c r="C112" s="242"/>
      <c r="D112" s="242"/>
      <c r="E112" s="242" t="s">
        <v>182</v>
      </c>
      <c r="F112" s="286">
        <v>87</v>
      </c>
    </row>
    <row r="113" spans="1:6">
      <c r="A113" s="242"/>
      <c r="B113" s="242"/>
      <c r="C113" s="242"/>
      <c r="D113" s="242"/>
      <c r="E113" s="242" t="s">
        <v>183</v>
      </c>
      <c r="F113" s="286">
        <v>12228</v>
      </c>
    </row>
    <row r="114" spans="1:6">
      <c r="A114" s="242"/>
      <c r="B114" s="242"/>
      <c r="C114" s="242"/>
      <c r="D114" s="242"/>
      <c r="E114" s="242" t="s">
        <v>184</v>
      </c>
      <c r="F114" s="286">
        <v>45</v>
      </c>
    </row>
    <row r="115" spans="1:6">
      <c r="A115" s="242"/>
      <c r="B115" s="242"/>
      <c r="C115" s="242"/>
      <c r="D115" s="242"/>
      <c r="E115" s="242" t="s">
        <v>185</v>
      </c>
      <c r="F115" s="286">
        <v>1826</v>
      </c>
    </row>
    <row r="116" spans="1:6">
      <c r="A116" s="242"/>
      <c r="B116" s="242"/>
      <c r="C116" s="242"/>
      <c r="D116" s="242" t="s">
        <v>186</v>
      </c>
      <c r="E116" s="242"/>
      <c r="F116" s="286">
        <v>9536</v>
      </c>
    </row>
    <row r="117" spans="1:6">
      <c r="A117" s="242"/>
      <c r="B117" s="242"/>
      <c r="C117" s="242"/>
      <c r="D117" s="242"/>
      <c r="E117" s="242" t="s">
        <v>187</v>
      </c>
      <c r="F117" s="286">
        <v>270</v>
      </c>
    </row>
    <row r="118" spans="1:6">
      <c r="A118" s="242"/>
      <c r="B118" s="242"/>
      <c r="C118" s="242"/>
      <c r="D118" s="242"/>
      <c r="E118" s="242" t="s">
        <v>188</v>
      </c>
      <c r="F118" s="286">
        <v>647</v>
      </c>
    </row>
    <row r="119" spans="1:6">
      <c r="A119" s="242"/>
      <c r="B119" s="242"/>
      <c r="C119" s="242"/>
      <c r="D119" s="242"/>
      <c r="E119" s="242" t="s">
        <v>189</v>
      </c>
      <c r="F119" s="286">
        <v>245</v>
      </c>
    </row>
    <row r="120" spans="1:6">
      <c r="A120" s="242"/>
      <c r="B120" s="242"/>
      <c r="C120" s="242"/>
      <c r="D120" s="242"/>
      <c r="E120" s="242" t="s">
        <v>190</v>
      </c>
      <c r="F120" s="286">
        <v>8374</v>
      </c>
    </row>
    <row r="121" spans="1:6">
      <c r="A121" s="242"/>
      <c r="B121" s="242"/>
      <c r="C121" s="242"/>
      <c r="D121" s="242" t="s">
        <v>191</v>
      </c>
      <c r="E121" s="242"/>
      <c r="F121" s="286">
        <v>104827</v>
      </c>
    </row>
    <row r="122" spans="1:6">
      <c r="A122" s="242"/>
      <c r="B122" s="242"/>
      <c r="C122" s="242"/>
      <c r="D122" s="242"/>
      <c r="E122" s="242" t="s">
        <v>192</v>
      </c>
      <c r="F122" s="286">
        <v>10701</v>
      </c>
    </row>
    <row r="123" spans="1:6">
      <c r="A123" s="242"/>
      <c r="B123" s="242"/>
      <c r="C123" s="242"/>
      <c r="D123" s="242"/>
      <c r="E123" s="242" t="s">
        <v>193</v>
      </c>
      <c r="F123" s="286">
        <v>4153</v>
      </c>
    </row>
    <row r="124" spans="1:6">
      <c r="A124" s="242"/>
      <c r="B124" s="242"/>
      <c r="C124" s="242"/>
      <c r="D124" s="242"/>
      <c r="E124" s="242" t="s">
        <v>194</v>
      </c>
      <c r="F124" s="286">
        <v>12951</v>
      </c>
    </row>
    <row r="125" spans="1:6">
      <c r="A125" s="242"/>
      <c r="B125" s="242"/>
      <c r="C125" s="242"/>
      <c r="D125" s="242"/>
      <c r="E125" s="242" t="s">
        <v>195</v>
      </c>
      <c r="F125" s="286">
        <v>32595</v>
      </c>
    </row>
    <row r="126" spans="1:6">
      <c r="A126" s="242"/>
      <c r="B126" s="242"/>
      <c r="C126" s="242"/>
      <c r="D126" s="242"/>
      <c r="E126" s="242" t="s">
        <v>196</v>
      </c>
      <c r="F126" s="286">
        <v>44427</v>
      </c>
    </row>
    <row r="127" spans="1:6">
      <c r="A127" s="242"/>
      <c r="B127" s="242"/>
      <c r="C127" s="242"/>
      <c r="D127" s="242" t="s">
        <v>197</v>
      </c>
      <c r="E127" s="242"/>
      <c r="F127" s="286">
        <v>310979</v>
      </c>
    </row>
    <row r="128" spans="1:6">
      <c r="A128" s="242"/>
      <c r="B128" s="242" t="s">
        <v>198</v>
      </c>
      <c r="C128" s="242"/>
      <c r="D128" s="242"/>
      <c r="E128" s="242"/>
      <c r="F128" s="286">
        <v>105937</v>
      </c>
    </row>
    <row r="129" spans="1:6">
      <c r="A129" s="242"/>
      <c r="B129" s="242"/>
      <c r="C129" s="242" t="s">
        <v>199</v>
      </c>
      <c r="D129" s="242"/>
      <c r="E129" s="242"/>
      <c r="F129" s="286">
        <v>11800</v>
      </c>
    </row>
    <row r="130" spans="1:6">
      <c r="A130" s="242"/>
      <c r="B130" s="242"/>
      <c r="C130" s="242"/>
      <c r="D130" s="242"/>
      <c r="E130" s="242" t="s">
        <v>200</v>
      </c>
      <c r="F130" s="286">
        <v>11258</v>
      </c>
    </row>
    <row r="131" spans="1:6">
      <c r="A131" s="242"/>
      <c r="B131" s="242"/>
      <c r="C131" s="242"/>
      <c r="D131" s="242"/>
      <c r="E131" s="242" t="s">
        <v>201</v>
      </c>
      <c r="F131" s="286">
        <v>325</v>
      </c>
    </row>
    <row r="132" spans="1:6">
      <c r="A132" s="242"/>
      <c r="B132" s="242"/>
      <c r="C132" s="242"/>
      <c r="D132" s="242"/>
      <c r="E132" s="242" t="s">
        <v>202</v>
      </c>
      <c r="F132" s="286">
        <v>217</v>
      </c>
    </row>
    <row r="133" spans="1:6">
      <c r="A133" s="242"/>
      <c r="B133" s="242"/>
      <c r="C133" s="242" t="s">
        <v>203</v>
      </c>
      <c r="D133" s="242"/>
      <c r="E133" s="242"/>
      <c r="F133" s="286">
        <v>39781</v>
      </c>
    </row>
    <row r="134" spans="1:6">
      <c r="A134" s="242"/>
      <c r="B134" s="242"/>
      <c r="C134" s="242"/>
      <c r="D134" s="242"/>
      <c r="E134" s="242" t="s">
        <v>204</v>
      </c>
      <c r="F134" s="286">
        <v>549</v>
      </c>
    </row>
    <row r="135" spans="1:6">
      <c r="A135" s="242"/>
      <c r="B135" s="242"/>
      <c r="C135" s="242"/>
      <c r="D135" s="242"/>
      <c r="E135" s="242" t="s">
        <v>205</v>
      </c>
      <c r="F135" s="286">
        <v>395</v>
      </c>
    </row>
    <row r="136" spans="1:6">
      <c r="A136" s="242"/>
      <c r="B136" s="242"/>
      <c r="C136" s="242"/>
      <c r="D136" s="242"/>
      <c r="E136" s="242" t="s">
        <v>206</v>
      </c>
      <c r="F136" s="286">
        <v>38837</v>
      </c>
    </row>
    <row r="137" spans="1:6">
      <c r="A137" s="242"/>
      <c r="B137" s="242"/>
      <c r="C137" s="242" t="s">
        <v>207</v>
      </c>
      <c r="D137" s="242"/>
      <c r="E137" s="242"/>
      <c r="F137" s="286">
        <v>54356</v>
      </c>
    </row>
    <row r="138" spans="1:6">
      <c r="A138" s="242"/>
      <c r="B138" s="242"/>
      <c r="C138" s="242"/>
      <c r="D138" s="242" t="s">
        <v>208</v>
      </c>
      <c r="E138" s="242"/>
      <c r="F138" s="286">
        <v>23969</v>
      </c>
    </row>
    <row r="139" spans="1:6">
      <c r="A139" s="242"/>
      <c r="B139" s="242"/>
      <c r="C139" s="242"/>
      <c r="D139" s="242" t="s">
        <v>209</v>
      </c>
      <c r="E139" s="242"/>
      <c r="F139" s="286">
        <v>1031</v>
      </c>
    </row>
    <row r="140" spans="1:6">
      <c r="A140" s="242"/>
      <c r="B140" s="242"/>
      <c r="C140" s="242"/>
      <c r="D140" s="242" t="s">
        <v>210</v>
      </c>
      <c r="E140" s="242"/>
      <c r="F140" s="286">
        <v>2</v>
      </c>
    </row>
    <row r="141" spans="1:6">
      <c r="A141" s="242"/>
      <c r="B141" s="242"/>
      <c r="C141" s="242"/>
      <c r="D141" s="242" t="s">
        <v>211</v>
      </c>
      <c r="E141" s="242"/>
      <c r="F141" s="286">
        <v>3804</v>
      </c>
    </row>
    <row r="142" spans="1:6">
      <c r="A142" s="242"/>
      <c r="B142" s="242"/>
      <c r="C142" s="242"/>
      <c r="D142" s="242" t="s">
        <v>212</v>
      </c>
      <c r="E142" s="242"/>
      <c r="F142" s="286">
        <v>25550</v>
      </c>
    </row>
    <row r="144" spans="1:6">
      <c r="A144" s="110" t="s">
        <v>39</v>
      </c>
    </row>
    <row r="145" spans="1:1">
      <c r="A145" s="11" t="s">
        <v>213</v>
      </c>
    </row>
  </sheetData>
  <phoneticPr fontId="43" type="noConversion"/>
  <pageMargins left="0.7" right="0.7" top="0.75" bottom="0.75" header="0.3" footer="0.3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A6F4-DB7F-4613-A255-237C3DDC31EF}">
  <dimension ref="A1:I41"/>
  <sheetViews>
    <sheetView topLeftCell="A13" workbookViewId="0">
      <selection activeCell="I55" sqref="I55"/>
    </sheetView>
  </sheetViews>
  <sheetFormatPr defaultColWidth="9" defaultRowHeight="13.5"/>
  <cols>
    <col min="1" max="4" width="9" style="72"/>
    <col min="5" max="5" width="8" style="72" customWidth="1"/>
    <col min="6" max="6" width="10.875" style="72" bestFit="1" customWidth="1"/>
    <col min="7" max="8" width="9" style="72"/>
    <col min="9" max="9" width="12.875" style="72" bestFit="1" customWidth="1"/>
    <col min="10" max="16384" width="9" style="72"/>
  </cols>
  <sheetData>
    <row r="1" spans="1:8" ht="17.25" customHeight="1">
      <c r="A1" s="291" t="s">
        <v>214</v>
      </c>
      <c r="B1" s="291"/>
      <c r="C1" s="291"/>
      <c r="D1" s="291"/>
      <c r="E1" s="291"/>
    </row>
    <row r="2" spans="1:8" ht="27">
      <c r="A2" s="298" t="s">
        <v>215</v>
      </c>
      <c r="B2" s="298" t="s">
        <v>216</v>
      </c>
      <c r="C2" s="298" t="s">
        <v>217</v>
      </c>
      <c r="D2" s="298" t="s">
        <v>218</v>
      </c>
      <c r="E2" s="243" t="s">
        <v>219</v>
      </c>
      <c r="F2" s="301" t="s">
        <v>220</v>
      </c>
      <c r="G2" s="302"/>
    </row>
    <row r="3" spans="1:8" ht="32.25" customHeight="1" thickBot="1">
      <c r="A3" s="299"/>
      <c r="B3" s="300"/>
      <c r="C3" s="300"/>
      <c r="D3" s="300"/>
      <c r="E3" s="244" t="s">
        <v>221</v>
      </c>
      <c r="F3" s="109" t="s">
        <v>222</v>
      </c>
      <c r="G3" s="245" t="s">
        <v>223</v>
      </c>
      <c r="H3" s="84" t="s">
        <v>224</v>
      </c>
    </row>
    <row r="4" spans="1:8" ht="14.25" thickTop="1">
      <c r="A4" s="292" t="s">
        <v>225</v>
      </c>
      <c r="B4" s="83" t="s">
        <v>226</v>
      </c>
      <c r="C4" s="75" t="s">
        <v>226</v>
      </c>
      <c r="D4" s="75" t="s">
        <v>226</v>
      </c>
      <c r="E4" s="285">
        <v>37</v>
      </c>
      <c r="F4" s="76"/>
      <c r="G4" s="77"/>
    </row>
    <row r="5" spans="1:8">
      <c r="A5" s="293" t="s">
        <v>225</v>
      </c>
      <c r="B5" s="294" t="s">
        <v>227</v>
      </c>
      <c r="C5" s="246" t="s">
        <v>226</v>
      </c>
      <c r="D5" s="246" t="s">
        <v>226</v>
      </c>
      <c r="E5" s="284">
        <v>34</v>
      </c>
      <c r="F5" s="247"/>
      <c r="G5" s="78"/>
      <c r="H5" s="72" t="s">
        <v>1000</v>
      </c>
    </row>
    <row r="6" spans="1:8">
      <c r="A6" s="293" t="s">
        <v>225</v>
      </c>
      <c r="B6" s="294" t="s">
        <v>227</v>
      </c>
      <c r="C6" s="295" t="s">
        <v>228</v>
      </c>
      <c r="D6" s="246" t="s">
        <v>226</v>
      </c>
      <c r="E6" s="284">
        <v>32</v>
      </c>
      <c r="F6" s="247"/>
      <c r="G6" s="78"/>
    </row>
    <row r="7" spans="1:8">
      <c r="A7" s="293" t="s">
        <v>225</v>
      </c>
      <c r="B7" s="294" t="s">
        <v>227</v>
      </c>
      <c r="C7" s="295" t="s">
        <v>228</v>
      </c>
      <c r="D7" s="246" t="s">
        <v>229</v>
      </c>
      <c r="E7" s="284">
        <v>24</v>
      </c>
      <c r="F7" s="248">
        <f>SUM('SYVbT_DV-Regis'!F8:F9,'SYVbT_DV-Regis'!F22:F23,'SYVbT_DV-Regis'!F19:F20,'SYVbT_DV-Regis'!F33:F34)</f>
        <v>1953614</v>
      </c>
      <c r="G7" s="78">
        <f>SUMPRODUCT(E7:E10,F7:F10)/SUM(F7:F10)</f>
        <v>31.656949268402244</v>
      </c>
    </row>
    <row r="8" spans="1:8">
      <c r="A8" s="293" t="s">
        <v>225</v>
      </c>
      <c r="B8" s="294" t="s">
        <v>227</v>
      </c>
      <c r="C8" s="295" t="s">
        <v>228</v>
      </c>
      <c r="D8" s="246" t="s">
        <v>230</v>
      </c>
      <c r="E8" s="284">
        <v>20</v>
      </c>
      <c r="F8" s="248">
        <f>SUM('SYVbT_DV-Regis'!F10,'SYVbT_DV-Regis'!F24,'SYVbT_DV-Regis'!F36)</f>
        <v>927382</v>
      </c>
      <c r="G8" s="78"/>
    </row>
    <row r="9" spans="1:8">
      <c r="A9" s="293" t="s">
        <v>225</v>
      </c>
      <c r="B9" s="294" t="s">
        <v>227</v>
      </c>
      <c r="C9" s="295" t="s">
        <v>228</v>
      </c>
      <c r="D9" s="246" t="s">
        <v>231</v>
      </c>
      <c r="E9" s="284">
        <v>33</v>
      </c>
      <c r="F9" s="248">
        <f>SUM('SYVbT_DV-Regis'!F11,'SYVbT_DV-Regis'!F25,'SYVbT_DV-Regis'!F37)</f>
        <v>7079224</v>
      </c>
      <c r="G9" s="78"/>
    </row>
    <row r="10" spans="1:8">
      <c r="A10" s="293" t="s">
        <v>225</v>
      </c>
      <c r="B10" s="294" t="s">
        <v>227</v>
      </c>
      <c r="C10" s="295" t="s">
        <v>228</v>
      </c>
      <c r="D10" s="246" t="s">
        <v>232</v>
      </c>
      <c r="E10" s="284">
        <v>36</v>
      </c>
      <c r="F10" s="248">
        <f>SUM('SYVbT_DV-Regis'!F12:F18,'SYVbT_DV-Regis'!F26:F32,'SYVbT_DV-Regis'!F38:F41)</f>
        <v>3744237</v>
      </c>
      <c r="G10" s="78"/>
    </row>
    <row r="11" spans="1:8">
      <c r="A11" s="293" t="s">
        <v>225</v>
      </c>
      <c r="B11" s="294" t="s">
        <v>227</v>
      </c>
      <c r="C11" s="295" t="s">
        <v>233</v>
      </c>
      <c r="D11" s="246" t="s">
        <v>226</v>
      </c>
      <c r="E11" s="284">
        <v>39</v>
      </c>
      <c r="F11" s="248"/>
      <c r="G11" s="78"/>
    </row>
    <row r="12" spans="1:8">
      <c r="A12" s="293" t="s">
        <v>225</v>
      </c>
      <c r="B12" s="294" t="s">
        <v>227</v>
      </c>
      <c r="C12" s="295" t="s">
        <v>233</v>
      </c>
      <c r="D12" s="246" t="s">
        <v>231</v>
      </c>
      <c r="E12" s="284">
        <v>39</v>
      </c>
      <c r="F12" s="248">
        <f>SUM('SYVbT_DV-Regis'!F45:F46,'SYVbT_DV-Regis'!F51:F52)</f>
        <v>3347573</v>
      </c>
      <c r="G12" s="78">
        <f>SUMPRODUCT(E12:E13,F12:F13)/SUM(F12:F13)</f>
        <v>38.679404556244336</v>
      </c>
    </row>
    <row r="13" spans="1:8">
      <c r="A13" s="293" t="s">
        <v>225</v>
      </c>
      <c r="B13" s="294" t="s">
        <v>227</v>
      </c>
      <c r="C13" s="295" t="s">
        <v>233</v>
      </c>
      <c r="D13" s="246" t="s">
        <v>232</v>
      </c>
      <c r="E13" s="284">
        <v>38</v>
      </c>
      <c r="F13" s="248">
        <f>SUM('SYVbT_DV-Regis'!F47:F50)</f>
        <v>1579643</v>
      </c>
      <c r="G13" s="78"/>
    </row>
    <row r="14" spans="1:8">
      <c r="A14" s="293" t="s">
        <v>225</v>
      </c>
      <c r="B14" s="294" t="s">
        <v>227</v>
      </c>
      <c r="C14" s="246" t="s">
        <v>234</v>
      </c>
      <c r="D14" s="246" t="s">
        <v>226</v>
      </c>
      <c r="E14" s="284">
        <v>38</v>
      </c>
      <c r="F14" s="248">
        <f>'SYVbT_DV-Regis'!F53</f>
        <v>1229282</v>
      </c>
      <c r="G14" s="78"/>
    </row>
    <row r="15" spans="1:8">
      <c r="A15" s="293" t="s">
        <v>225</v>
      </c>
      <c r="B15" s="294" t="s">
        <v>236</v>
      </c>
      <c r="C15" s="246" t="s">
        <v>226</v>
      </c>
      <c r="D15" s="246" t="s">
        <v>226</v>
      </c>
      <c r="E15" s="284">
        <v>55</v>
      </c>
      <c r="F15" s="248"/>
      <c r="G15" s="78"/>
    </row>
    <row r="16" spans="1:8">
      <c r="A16" s="293" t="s">
        <v>225</v>
      </c>
      <c r="B16" s="294" t="s">
        <v>236</v>
      </c>
      <c r="C16" s="295" t="s">
        <v>228</v>
      </c>
      <c r="D16" s="246" t="s">
        <v>226</v>
      </c>
      <c r="E16" s="284">
        <v>56</v>
      </c>
      <c r="F16" s="248"/>
      <c r="G16" s="78"/>
    </row>
    <row r="17" spans="1:8">
      <c r="A17" s="293" t="s">
        <v>225</v>
      </c>
      <c r="B17" s="294" t="s">
        <v>236</v>
      </c>
      <c r="C17" s="295" t="s">
        <v>228</v>
      </c>
      <c r="D17" s="246" t="s">
        <v>230</v>
      </c>
      <c r="E17" s="284">
        <v>35</v>
      </c>
      <c r="F17" s="248">
        <f>SUM('SYVbT_DV-Regis'!F71)</f>
        <v>593704</v>
      </c>
      <c r="G17" s="78">
        <f>SUMPRODUCT(E17:E19,F17:F19)/SUM(F17:F19)</f>
        <v>58.493832929425466</v>
      </c>
    </row>
    <row r="18" spans="1:8">
      <c r="A18" s="293" t="s">
        <v>225</v>
      </c>
      <c r="B18" s="294" t="s">
        <v>236</v>
      </c>
      <c r="C18" s="295" t="s">
        <v>228</v>
      </c>
      <c r="D18" s="246" t="s">
        <v>231</v>
      </c>
      <c r="E18" s="284">
        <v>40</v>
      </c>
      <c r="F18" s="248">
        <f>SUM('SYVbT_DV-Regis'!F72:F73)</f>
        <v>26993</v>
      </c>
      <c r="G18" s="78"/>
    </row>
    <row r="19" spans="1:8">
      <c r="A19" s="293" t="s">
        <v>225</v>
      </c>
      <c r="B19" s="294" t="s">
        <v>236</v>
      </c>
      <c r="C19" s="295" t="s">
        <v>228</v>
      </c>
      <c r="D19" s="246" t="s">
        <v>232</v>
      </c>
      <c r="E19" s="284">
        <v>173</v>
      </c>
      <c r="F19" s="248">
        <f>SUM('SYVbT_DV-Regis'!F64:F67,'SYVbT_DV-Regis'!F74:F75)</f>
        <v>126173</v>
      </c>
      <c r="G19" s="78"/>
    </row>
    <row r="20" spans="1:8" ht="14.25" thickBot="1">
      <c r="A20" s="293" t="s">
        <v>225</v>
      </c>
      <c r="B20" s="296" t="s">
        <v>236</v>
      </c>
      <c r="C20" s="79" t="s">
        <v>237</v>
      </c>
      <c r="D20" s="79" t="s">
        <v>226</v>
      </c>
      <c r="E20" s="283">
        <v>25</v>
      </c>
      <c r="F20" s="80">
        <f>'SYVbT_DV-Regis'!F76</f>
        <v>36972</v>
      </c>
      <c r="G20" s="81"/>
      <c r="H20" s="72" t="s">
        <v>1001</v>
      </c>
    </row>
    <row r="21" spans="1:8">
      <c r="A21" s="293" t="s">
        <v>225</v>
      </c>
      <c r="B21" s="297" t="s">
        <v>238</v>
      </c>
      <c r="C21" s="75" t="s">
        <v>226</v>
      </c>
      <c r="D21" s="75" t="s">
        <v>226</v>
      </c>
      <c r="E21" s="285">
        <v>49</v>
      </c>
      <c r="F21" s="82"/>
      <c r="G21" s="77"/>
    </row>
    <row r="22" spans="1:8">
      <c r="A22" s="293" t="s">
        <v>225</v>
      </c>
      <c r="B22" s="294" t="s">
        <v>238</v>
      </c>
      <c r="C22" s="295" t="s">
        <v>228</v>
      </c>
      <c r="D22" s="246" t="s">
        <v>226</v>
      </c>
      <c r="E22" s="284">
        <v>48</v>
      </c>
      <c r="F22" s="248"/>
      <c r="G22" s="78"/>
    </row>
    <row r="23" spans="1:8">
      <c r="A23" s="293" t="s">
        <v>225</v>
      </c>
      <c r="B23" s="294" t="s">
        <v>238</v>
      </c>
      <c r="C23" s="295" t="s">
        <v>228</v>
      </c>
      <c r="D23" s="246" t="s">
        <v>230</v>
      </c>
      <c r="E23" s="284">
        <v>39</v>
      </c>
      <c r="F23" s="248">
        <f>SUM('SYVbT_DV-Regis'!F87,'SYVbT_DV-Regis'!F85)</f>
        <v>2120387</v>
      </c>
      <c r="G23" s="78">
        <f>SUMPRODUCT(E23:E25,F23:F25)/SUM(F23:F25)</f>
        <v>45.882225304162525</v>
      </c>
    </row>
    <row r="24" spans="1:8">
      <c r="A24" s="293" t="s">
        <v>225</v>
      </c>
      <c r="B24" s="294" t="s">
        <v>238</v>
      </c>
      <c r="C24" s="295" t="s">
        <v>228</v>
      </c>
      <c r="D24" s="246" t="s">
        <v>231</v>
      </c>
      <c r="E24" s="284">
        <v>50</v>
      </c>
      <c r="F24" s="248">
        <f>SUM('SYVbT_DV-Regis'!F88:F89)</f>
        <v>301198</v>
      </c>
      <c r="G24" s="78"/>
    </row>
    <row r="25" spans="1:8">
      <c r="A25" s="293" t="s">
        <v>225</v>
      </c>
      <c r="B25" s="294" t="s">
        <v>238</v>
      </c>
      <c r="C25" s="295" t="s">
        <v>228</v>
      </c>
      <c r="D25" s="246" t="s">
        <v>232</v>
      </c>
      <c r="E25" s="284">
        <v>133</v>
      </c>
      <c r="F25" s="248">
        <f>SUM('SYVbT_DV-Regis'!F90:F93)</f>
        <v>153272</v>
      </c>
      <c r="G25" s="78"/>
    </row>
    <row r="26" spans="1:8">
      <c r="A26" s="293" t="s">
        <v>225</v>
      </c>
      <c r="B26" s="294" t="s">
        <v>238</v>
      </c>
      <c r="C26" s="295" t="s">
        <v>239</v>
      </c>
      <c r="D26" s="246" t="s">
        <v>226</v>
      </c>
      <c r="E26" s="284">
        <v>18</v>
      </c>
      <c r="F26" s="248"/>
      <c r="G26" s="78"/>
    </row>
    <row r="27" spans="1:8">
      <c r="A27" s="293" t="s">
        <v>225</v>
      </c>
      <c r="B27" s="294" t="s">
        <v>238</v>
      </c>
      <c r="C27" s="295" t="s">
        <v>239</v>
      </c>
      <c r="D27" s="246" t="s">
        <v>230</v>
      </c>
      <c r="E27" s="284">
        <v>21</v>
      </c>
      <c r="F27" s="248">
        <f>'SYVbT_DV-Regis'!F95</f>
        <v>32795</v>
      </c>
      <c r="G27" s="78">
        <f>SUMPRODUCT(E27:E29,F27:F29)/SUM(F27:F29)</f>
        <v>18.840893826353717</v>
      </c>
    </row>
    <row r="28" spans="1:8">
      <c r="A28" s="293" t="s">
        <v>225</v>
      </c>
      <c r="B28" s="294" t="s">
        <v>238</v>
      </c>
      <c r="C28" s="295" t="s">
        <v>239</v>
      </c>
      <c r="D28" s="246" t="s">
        <v>231</v>
      </c>
      <c r="E28" s="284">
        <v>14</v>
      </c>
      <c r="F28" s="248">
        <f>'SYVbT_DV-Regis'!F96</f>
        <v>14871</v>
      </c>
      <c r="G28" s="78"/>
    </row>
    <row r="29" spans="1:8">
      <c r="A29" s="293" t="s">
        <v>225</v>
      </c>
      <c r="B29" s="294" t="s">
        <v>238</v>
      </c>
      <c r="C29" s="295" t="s">
        <v>239</v>
      </c>
      <c r="D29" s="246" t="s">
        <v>232</v>
      </c>
      <c r="E29" s="284">
        <v>19</v>
      </c>
      <c r="F29" s="248">
        <f>SUM('SYVbT_DV-Regis'!F97:F98)</f>
        <v>7423</v>
      </c>
      <c r="G29" s="78"/>
    </row>
    <row r="30" spans="1:8">
      <c r="A30" s="293" t="s">
        <v>225</v>
      </c>
      <c r="B30" s="294" t="s">
        <v>238</v>
      </c>
      <c r="C30" s="295" t="s">
        <v>240</v>
      </c>
      <c r="D30" s="246" t="s">
        <v>226</v>
      </c>
      <c r="E30" s="284">
        <v>40</v>
      </c>
      <c r="F30" s="248"/>
      <c r="G30" s="78"/>
    </row>
    <row r="31" spans="1:8">
      <c r="A31" s="293" t="s">
        <v>225</v>
      </c>
      <c r="B31" s="294" t="s">
        <v>238</v>
      </c>
      <c r="C31" s="295" t="s">
        <v>240</v>
      </c>
      <c r="D31" s="246" t="s">
        <v>230</v>
      </c>
      <c r="E31" s="284">
        <v>41</v>
      </c>
      <c r="F31" s="248">
        <f>'SYVbT_DV-Regis'!F100</f>
        <v>384960</v>
      </c>
      <c r="G31" s="78">
        <f>SUMPRODUCT(E31:E32,F31:F32)/SUM(F31:F32)</f>
        <v>40.82550302831131</v>
      </c>
      <c r="H31" s="72" t="s">
        <v>241</v>
      </c>
    </row>
    <row r="32" spans="1:8">
      <c r="A32" s="293" t="s">
        <v>225</v>
      </c>
      <c r="B32" s="294" t="s">
        <v>238</v>
      </c>
      <c r="C32" s="295" t="s">
        <v>240</v>
      </c>
      <c r="D32" s="246" t="s">
        <v>231</v>
      </c>
      <c r="E32" s="284">
        <v>26</v>
      </c>
      <c r="F32" s="248">
        <f>SUM('SYVbT_DV-Regis'!F101:F102)</f>
        <v>4531</v>
      </c>
      <c r="G32" s="78"/>
    </row>
    <row r="33" spans="1:9">
      <c r="A33" s="293" t="s">
        <v>225</v>
      </c>
      <c r="B33" s="294" t="s">
        <v>238</v>
      </c>
      <c r="C33" s="246" t="s">
        <v>237</v>
      </c>
      <c r="D33" s="246" t="s">
        <v>226</v>
      </c>
      <c r="E33" s="284">
        <v>64</v>
      </c>
      <c r="F33" s="248">
        <f>'SYVbT_DV-Regis'!F103</f>
        <v>595808</v>
      </c>
      <c r="G33" s="78"/>
      <c r="H33" s="72" t="s">
        <v>242</v>
      </c>
    </row>
    <row r="34" spans="1:9">
      <c r="A34" s="293" t="s">
        <v>225</v>
      </c>
      <c r="B34" s="294" t="s">
        <v>243</v>
      </c>
      <c r="C34" s="246" t="s">
        <v>226</v>
      </c>
      <c r="D34" s="246" t="s">
        <v>226</v>
      </c>
      <c r="E34" s="284">
        <v>108</v>
      </c>
      <c r="F34" s="248"/>
      <c r="G34" s="78"/>
    </row>
    <row r="35" spans="1:9">
      <c r="A35" s="293" t="s">
        <v>225</v>
      </c>
      <c r="B35" s="294" t="s">
        <v>243</v>
      </c>
      <c r="C35" s="246" t="s">
        <v>244</v>
      </c>
      <c r="D35" s="246" t="s">
        <v>226</v>
      </c>
      <c r="E35" s="284">
        <v>220</v>
      </c>
      <c r="F35" s="248">
        <f>SUM('SYVbT_DV-Regis'!F133)</f>
        <v>39781</v>
      </c>
      <c r="G35" s="78"/>
      <c r="H35" s="72" t="s">
        <v>245</v>
      </c>
    </row>
    <row r="36" spans="1:9">
      <c r="A36" s="293" t="s">
        <v>225</v>
      </c>
      <c r="B36" s="294" t="s">
        <v>243</v>
      </c>
      <c r="C36" s="246" t="s">
        <v>246</v>
      </c>
      <c r="D36" s="246" t="s">
        <v>226</v>
      </c>
      <c r="E36" s="284">
        <v>61</v>
      </c>
      <c r="F36" s="248">
        <f>SUM('SYVbT_DV-Regis'!F129)</f>
        <v>11800</v>
      </c>
      <c r="G36" s="78"/>
      <c r="H36" s="72" t="s">
        <v>247</v>
      </c>
    </row>
    <row r="37" spans="1:9" ht="14.25" thickBot="1">
      <c r="A37" s="293" t="s">
        <v>225</v>
      </c>
      <c r="B37" s="296" t="s">
        <v>243</v>
      </c>
      <c r="C37" s="79" t="s">
        <v>248</v>
      </c>
      <c r="D37" s="79" t="s">
        <v>226</v>
      </c>
      <c r="E37" s="283">
        <v>28</v>
      </c>
      <c r="F37" s="80">
        <f>SUM('SYVbT_DV-Regis'!F137)</f>
        <v>54356</v>
      </c>
      <c r="G37" s="81"/>
      <c r="H37" s="72" t="s">
        <v>245</v>
      </c>
      <c r="I37" s="282"/>
    </row>
    <row r="40" spans="1:9">
      <c r="B40" s="73"/>
      <c r="C40" s="73"/>
    </row>
    <row r="41" spans="1:9">
      <c r="B41" s="74"/>
      <c r="C41" s="74"/>
    </row>
  </sheetData>
  <mergeCells count="17">
    <mergeCell ref="F2:G2"/>
    <mergeCell ref="B34:B37"/>
    <mergeCell ref="A1:E1"/>
    <mergeCell ref="A4:A37"/>
    <mergeCell ref="B5:B14"/>
    <mergeCell ref="C6:C10"/>
    <mergeCell ref="C11:C13"/>
    <mergeCell ref="B15:B20"/>
    <mergeCell ref="C16:C19"/>
    <mergeCell ref="B21:B33"/>
    <mergeCell ref="C22:C25"/>
    <mergeCell ref="C26:C29"/>
    <mergeCell ref="C30:C32"/>
    <mergeCell ref="A2:A3"/>
    <mergeCell ref="B2:B3"/>
    <mergeCell ref="C2:C3"/>
    <mergeCell ref="D2:D3"/>
  </mergeCells>
  <phoneticPr fontId="43" type="noConversion"/>
  <pageMargins left="0.7" right="0.7" top="0.75" bottom="0.75" header="0.3" footer="0.3"/>
  <pageSetup paperSize="9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DDAC-B339-42D3-A9DF-39C4EAB49459}">
  <dimension ref="A1:S39"/>
  <sheetViews>
    <sheetView workbookViewId="0">
      <selection activeCell="Q21" sqref="Q21"/>
    </sheetView>
  </sheetViews>
  <sheetFormatPr defaultColWidth="9" defaultRowHeight="16.5"/>
  <cols>
    <col min="1" max="2" width="9" style="17"/>
    <col min="3" max="3" width="21.125" style="18" customWidth="1"/>
    <col min="4" max="7" width="9" style="17"/>
    <col min="8" max="8" width="9.875" style="18" bestFit="1" customWidth="1"/>
    <col min="9" max="9" width="9.875" style="17" customWidth="1"/>
    <col min="10" max="10" width="9" style="17"/>
    <col min="11" max="11" width="9.875" style="18" bestFit="1" customWidth="1"/>
    <col min="12" max="12" width="9.5" style="17" bestFit="1" customWidth="1"/>
    <col min="13" max="13" width="11" style="18" bestFit="1" customWidth="1"/>
    <col min="14" max="14" width="11" style="17" customWidth="1"/>
    <col min="15" max="15" width="12" style="17" customWidth="1"/>
    <col min="16" max="16" width="15.75" style="17" customWidth="1"/>
    <col min="17" max="17" width="9" style="17"/>
    <col min="18" max="18" width="11" style="17" bestFit="1" customWidth="1"/>
    <col min="19" max="16384" width="9" style="17"/>
  </cols>
  <sheetData>
    <row r="1" spans="1:19" ht="17.25" customHeight="1"/>
    <row r="2" spans="1:19">
      <c r="A2" s="318"/>
      <c r="B2" s="319"/>
      <c r="C2" s="249"/>
      <c r="D2" s="325" t="s">
        <v>249</v>
      </c>
      <c r="E2" s="325"/>
      <c r="F2" s="250"/>
      <c r="G2" s="325">
        <v>2</v>
      </c>
      <c r="H2" s="325"/>
      <c r="I2" s="250"/>
      <c r="J2" s="250"/>
      <c r="K2" s="249"/>
      <c r="L2" s="325">
        <v>3</v>
      </c>
      <c r="M2" s="325"/>
      <c r="N2" s="19"/>
      <c r="S2" s="228">
        <v>4</v>
      </c>
    </row>
    <row r="3" spans="1:19" ht="17.25" thickBot="1">
      <c r="A3" s="320"/>
      <c r="B3" s="321"/>
      <c r="C3" s="251" t="s">
        <v>222</v>
      </c>
      <c r="D3" s="252" t="s">
        <v>250</v>
      </c>
      <c r="E3" s="252" t="s">
        <v>251</v>
      </c>
      <c r="F3" s="252" t="s">
        <v>252</v>
      </c>
      <c r="G3" s="252" t="s">
        <v>250</v>
      </c>
      <c r="H3" s="251" t="s">
        <v>253</v>
      </c>
      <c r="I3" s="252" t="s">
        <v>252</v>
      </c>
      <c r="J3" s="252" t="s">
        <v>250</v>
      </c>
      <c r="K3" s="251" t="s">
        <v>253</v>
      </c>
      <c r="L3" s="252" t="s">
        <v>250</v>
      </c>
      <c r="M3" s="251" t="s">
        <v>253</v>
      </c>
      <c r="S3" s="228" t="s">
        <v>250</v>
      </c>
    </row>
    <row r="4" spans="1:19" ht="17.25" thickBot="1">
      <c r="A4" s="313" t="s">
        <v>254</v>
      </c>
      <c r="B4" s="317" t="s">
        <v>255</v>
      </c>
      <c r="C4" s="38">
        <f>SUM('SYVbT_DV-Regis'!F8:F9,'SYVbT_DV-Regis'!F22:F23,'SYVbT_DV-Regis'!F19:F20,'SYVbT_DV-Regis'!F33:F34)</f>
        <v>1953614</v>
      </c>
      <c r="D4" s="20">
        <f>SUMPRODUCT('DV-km'!E7:E10,'DV-km'!F7:F10)/SUM('DV-km'!F7:F10)</f>
        <v>31.656949268402244</v>
      </c>
      <c r="E4" s="39">
        <f>ABS(D4-'DV-km'!E6)/'DV-km'!E6</f>
        <v>1.0720335362429889E-2</v>
      </c>
      <c r="F4" s="49" t="s">
        <v>256</v>
      </c>
      <c r="G4" s="116">
        <f>SUMPRODUCT('DV-km'!E7:E9,'DV-km'!F7:F9)/SUM('DV-km'!F7:F9)</f>
        <v>30.024313519179294</v>
      </c>
      <c r="H4" s="21">
        <f>SUM('DV-km'!F7:F9)</f>
        <v>9960220</v>
      </c>
      <c r="I4" s="304" t="s">
        <v>256</v>
      </c>
      <c r="J4" s="116">
        <f>G4</f>
        <v>30.024313519179294</v>
      </c>
      <c r="K4" s="21">
        <f>H4</f>
        <v>9960220</v>
      </c>
      <c r="L4" s="65">
        <f>SUMPRODUCT(J4:J6,K4:K6)/SUM(K4:K6)</f>
        <v>32.565860325248444</v>
      </c>
      <c r="M4" s="62">
        <f>SUM(K4:K5)</f>
        <v>13307793</v>
      </c>
      <c r="O4" s="303" t="s">
        <v>257</v>
      </c>
      <c r="P4" s="22" t="s">
        <v>258</v>
      </c>
      <c r="Q4" s="15">
        <f>L4</f>
        <v>32.565860325248444</v>
      </c>
      <c r="R4" s="23">
        <f>M4</f>
        <v>13307793</v>
      </c>
      <c r="S4" s="253">
        <f>SUMPRODUCT(Q4:Q5,R4:R5)/SUM(R4:R5)*About!B64*About!B65</f>
        <v>7655.2801628395073</v>
      </c>
    </row>
    <row r="5" spans="1:19">
      <c r="A5" s="314"/>
      <c r="B5" s="316"/>
      <c r="C5" s="40">
        <f>SUM('SYVbT_DV-Regis'!F10,'SYVbT_DV-Regis'!F24,'SYVbT_DV-Regis'!F36)</f>
        <v>927382</v>
      </c>
      <c r="D5" s="254"/>
      <c r="E5" s="41"/>
      <c r="F5" s="50"/>
      <c r="G5" s="254"/>
      <c r="H5" s="24"/>
      <c r="I5" s="306"/>
      <c r="J5" s="255">
        <f>G8</f>
        <v>39</v>
      </c>
      <c r="K5" s="24">
        <f>H8</f>
        <v>3347573</v>
      </c>
      <c r="L5" s="63"/>
      <c r="M5" s="64"/>
      <c r="O5" s="303"/>
      <c r="P5" s="25" t="s">
        <v>259</v>
      </c>
      <c r="Q5" s="289">
        <f>L7</f>
        <v>36.721747203614932</v>
      </c>
      <c r="R5" s="26">
        <f>M7</f>
        <v>5323880</v>
      </c>
      <c r="S5" s="256"/>
    </row>
    <row r="6" spans="1:19" ht="17.25" thickBot="1">
      <c r="A6" s="314"/>
      <c r="B6" s="316"/>
      <c r="C6" s="40">
        <f>SUM('SYVbT_DV-Regis'!F11,'SYVbT_DV-Regis'!F25,'SYVbT_DV-Regis'!F37)</f>
        <v>7079224</v>
      </c>
      <c r="D6" s="254"/>
      <c r="E6" s="41"/>
      <c r="F6" s="50"/>
      <c r="G6" s="254"/>
      <c r="H6" s="24"/>
      <c r="I6" s="305"/>
      <c r="J6" s="30">
        <f>'DV-km'!E14</f>
        <v>38</v>
      </c>
      <c r="K6" s="31">
        <f>SUM('SYVbT_DV-Regis'!F54:F55,'SYVbT_DV-Regis'!F60:F61)</f>
        <v>694795</v>
      </c>
      <c r="L6" s="307" t="s">
        <v>260</v>
      </c>
      <c r="M6" s="308"/>
      <c r="N6" s="27"/>
      <c r="O6" s="10"/>
    </row>
    <row r="7" spans="1:19" ht="17.25" thickBot="1">
      <c r="A7" s="314"/>
      <c r="B7" s="316"/>
      <c r="C7" s="42">
        <f>SUM('SYVbT_DV-Regis'!F12:F18,'SYVbT_DV-Regis'!F26:F32,'SYVbT_DV-Regis'!F38:F41)</f>
        <v>3744237</v>
      </c>
      <c r="D7" s="30"/>
      <c r="E7" s="43"/>
      <c r="F7" s="49" t="s">
        <v>256</v>
      </c>
      <c r="G7" s="255">
        <f>'DV-km'!E10</f>
        <v>36</v>
      </c>
      <c r="H7" s="24">
        <f>'DV-km'!F10</f>
        <v>3744237</v>
      </c>
      <c r="I7" s="304" t="s">
        <v>64</v>
      </c>
      <c r="J7" s="116">
        <f>G7</f>
        <v>36</v>
      </c>
      <c r="K7" s="21">
        <f>H7</f>
        <v>3744237</v>
      </c>
      <c r="L7" s="65">
        <f>SUMPRODUCT(J7:J9,K7:K9)/SUM(K7:K9)</f>
        <v>36.721747203614932</v>
      </c>
      <c r="M7" s="62">
        <f>SUM(K7:K8)</f>
        <v>5323880</v>
      </c>
      <c r="O7" s="303" t="s">
        <v>257</v>
      </c>
      <c r="P7" s="22" t="s">
        <v>262</v>
      </c>
      <c r="Q7" s="290">
        <f>L11</f>
        <v>35.111181084786836</v>
      </c>
      <c r="R7" s="23">
        <f>M11</f>
        <v>627220</v>
      </c>
      <c r="S7" s="253">
        <f>SUMPRODUCT(Q7:Q8,R7:R8)/SUM(R7:R8)*About!B64*About!B65</f>
        <v>12908.120385242733</v>
      </c>
    </row>
    <row r="8" spans="1:19" ht="17.25" thickBot="1">
      <c r="A8" s="314"/>
      <c r="B8" s="316" t="s">
        <v>233</v>
      </c>
      <c r="C8" s="38">
        <f>SUM('SYVbT_DV-Regis'!F45:F46,'SYVbT_DV-Regis'!F51:F52)</f>
        <v>3347573</v>
      </c>
      <c r="D8" s="20">
        <f>SUMPRODUCT('DV-km'!E12:E13,'DV-km'!F12:F13)/SUM('DV-km'!F12:F13)</f>
        <v>38.679404556244336</v>
      </c>
      <c r="E8" s="39">
        <f>ABS(D8-'DV-km'!E12)/'DV-km'!E12</f>
        <v>8.2203959937349781E-3</v>
      </c>
      <c r="F8" s="50" t="s">
        <v>256</v>
      </c>
      <c r="G8" s="255">
        <f>'DV-km'!E12</f>
        <v>39</v>
      </c>
      <c r="H8" s="24">
        <f>'DV-km'!F12</f>
        <v>3347573</v>
      </c>
      <c r="I8" s="306"/>
      <c r="J8" s="255">
        <f>G9</f>
        <v>38</v>
      </c>
      <c r="K8" s="24">
        <f>H9</f>
        <v>1579643</v>
      </c>
      <c r="L8" s="63"/>
      <c r="M8" s="64"/>
      <c r="N8" s="27"/>
      <c r="O8" s="303"/>
      <c r="P8" s="25" t="s">
        <v>263</v>
      </c>
      <c r="Q8" s="16">
        <f>L13</f>
        <v>144.2272094597183</v>
      </c>
      <c r="R8" s="26">
        <f>M13</f>
        <v>156622</v>
      </c>
      <c r="S8" s="256"/>
    </row>
    <row r="9" spans="1:19" ht="17.25" thickBot="1">
      <c r="A9" s="314"/>
      <c r="B9" s="316"/>
      <c r="C9" s="42">
        <f>SUM('SYVbT_DV-Regis'!F47:F50)</f>
        <v>1579643</v>
      </c>
      <c r="D9" s="30"/>
      <c r="E9" s="43"/>
      <c r="F9" s="49" t="s">
        <v>256</v>
      </c>
      <c r="G9" s="117">
        <f>'DV-km'!E13</f>
        <v>38</v>
      </c>
      <c r="H9" s="31">
        <f>'DV-km'!F13</f>
        <v>1579643</v>
      </c>
      <c r="I9" s="305"/>
      <c r="J9" s="30">
        <f>'DV-km'!E14</f>
        <v>38</v>
      </c>
      <c r="K9" s="31">
        <f>C10-K6</f>
        <v>534487</v>
      </c>
      <c r="L9" s="309" t="s">
        <v>260</v>
      </c>
      <c r="M9" s="310"/>
      <c r="O9" s="10"/>
    </row>
    <row r="10" spans="1:19" ht="17.25" thickBot="1">
      <c r="A10" s="315"/>
      <c r="B10" s="28" t="s">
        <v>264</v>
      </c>
      <c r="C10" s="37">
        <f>'SYVbT_DV-Regis'!F53</f>
        <v>1229282</v>
      </c>
      <c r="D10" s="322" t="s">
        <v>235</v>
      </c>
      <c r="E10" s="323"/>
      <c r="F10" s="323"/>
      <c r="G10" s="323"/>
      <c r="H10" s="324"/>
      <c r="I10" s="55"/>
      <c r="J10" s="56"/>
      <c r="K10" s="37"/>
      <c r="L10" s="30"/>
      <c r="M10" s="31"/>
      <c r="O10" s="303" t="s">
        <v>265</v>
      </c>
      <c r="P10" s="22" t="s">
        <v>266</v>
      </c>
      <c r="Q10" s="15">
        <f>L15</f>
        <v>40.071138983510927</v>
      </c>
      <c r="R10" s="23">
        <f>M15</f>
        <v>2858742</v>
      </c>
      <c r="S10" s="253">
        <f>SUMPRODUCT(Q10:Q11,R10:R11)/SUM(R10:R11)*About!B64*About!B65</f>
        <v>9107.6632094677316</v>
      </c>
    </row>
    <row r="11" spans="1:19" ht="17.25" thickBot="1">
      <c r="A11" s="313" t="s">
        <v>267</v>
      </c>
      <c r="B11" s="317" t="s">
        <v>228</v>
      </c>
      <c r="C11" s="38">
        <f>SUM('SYVbT_DV-Regis'!F71)</f>
        <v>593704</v>
      </c>
      <c r="D11" s="20">
        <f>SUMPRODUCT('DV-km'!E17:E19,'DV-km'!F17:F19)/SUM('DV-km'!F17:F19)</f>
        <v>58.493832929425466</v>
      </c>
      <c r="E11" s="39">
        <f>ABS(D11-'DV-km'!E16)/'DV-km'!E16</f>
        <v>4.4532730882597606E-2</v>
      </c>
      <c r="F11" s="51" t="s">
        <v>261</v>
      </c>
      <c r="G11" s="57">
        <f>SUMPRODUCT('DV-km'!E17:E18,'DV-km'!F17:F18)/SUM('DV-km'!F17:F18)</f>
        <v>35.21744103805883</v>
      </c>
      <c r="H11" s="21">
        <f>SUM('DV-km'!F17:F18)</f>
        <v>620697</v>
      </c>
      <c r="I11" s="311" t="s">
        <v>65</v>
      </c>
      <c r="J11" s="57">
        <f>G11</f>
        <v>35.21744103805883</v>
      </c>
      <c r="K11" s="21">
        <f>H11</f>
        <v>620697</v>
      </c>
      <c r="L11" s="65">
        <f>SUMPRODUCT(J11:J12,K11:K12)/SUM(K11:K12)</f>
        <v>35.111181084786836</v>
      </c>
      <c r="M11" s="62">
        <f>SUM(K11:K12)</f>
        <v>627220</v>
      </c>
      <c r="O11" s="303"/>
      <c r="P11" s="25" t="s">
        <v>268</v>
      </c>
      <c r="Q11" s="16">
        <f>L25</f>
        <v>61</v>
      </c>
      <c r="R11" s="26">
        <f>M25</f>
        <v>11800</v>
      </c>
      <c r="S11" s="256"/>
    </row>
    <row r="12" spans="1:19" ht="17.25" thickBot="1">
      <c r="A12" s="314"/>
      <c r="B12" s="316"/>
      <c r="C12" s="40">
        <f>SUM('SYVbT_DV-Regis'!F72:F73)</f>
        <v>26993</v>
      </c>
      <c r="D12" s="254"/>
      <c r="E12" s="41"/>
      <c r="F12" s="50"/>
      <c r="G12" s="254"/>
      <c r="H12" s="24"/>
      <c r="I12" s="312"/>
      <c r="J12" s="32">
        <f>J14</f>
        <v>25</v>
      </c>
      <c r="K12" s="31">
        <v>6523</v>
      </c>
      <c r="L12" s="66"/>
      <c r="M12" s="67"/>
      <c r="O12" s="10"/>
    </row>
    <row r="13" spans="1:19" ht="17.25" thickBot="1">
      <c r="A13" s="314"/>
      <c r="B13" s="316"/>
      <c r="C13" s="42">
        <f>SUM('SYVbT_DV-Regis'!F64:F67,'SYVbT_DV-Regis'!F74:F75)</f>
        <v>126173</v>
      </c>
      <c r="D13" s="30"/>
      <c r="E13" s="43"/>
      <c r="F13" s="51" t="s">
        <v>261</v>
      </c>
      <c r="G13" s="32">
        <f>'DV-km'!E19</f>
        <v>173</v>
      </c>
      <c r="H13" s="58">
        <f>'DV-km'!F19</f>
        <v>126173</v>
      </c>
      <c r="I13" s="304" t="s">
        <v>261</v>
      </c>
      <c r="J13" s="57">
        <f>G13</f>
        <v>173</v>
      </c>
      <c r="K13" s="21">
        <f>H13</f>
        <v>126173</v>
      </c>
      <c r="L13" s="65">
        <f>SUMPRODUCT(J13:J14,K13:K14)/SUM(K13:K14)</f>
        <v>144.2272094597183</v>
      </c>
      <c r="M13" s="62">
        <f>SUM(K13:K14)</f>
        <v>156622</v>
      </c>
      <c r="O13" s="303" t="s">
        <v>265</v>
      </c>
      <c r="P13" s="22" t="s">
        <v>269</v>
      </c>
      <c r="Q13" s="15">
        <f>L18</f>
        <v>77.538258275248083</v>
      </c>
      <c r="R13" s="23">
        <f>M18</f>
        <v>756503</v>
      </c>
      <c r="S13" s="253">
        <f>SUMPRODUCT(Q13:Q14,R13:R14)/SUM(R13:R14)*About!B64*About!B65</f>
        <v>18378.798451825562</v>
      </c>
    </row>
    <row r="14" spans="1:19" ht="17.25" thickBot="1">
      <c r="A14" s="315"/>
      <c r="B14" s="28" t="s">
        <v>270</v>
      </c>
      <c r="C14" s="37">
        <f>'SYVbT_DV-Regis'!F76</f>
        <v>36972</v>
      </c>
      <c r="D14" s="322" t="s">
        <v>235</v>
      </c>
      <c r="E14" s="323"/>
      <c r="F14" s="323"/>
      <c r="G14" s="323"/>
      <c r="H14" s="323"/>
      <c r="I14" s="305"/>
      <c r="J14" s="32">
        <f>'DV-km'!E20</f>
        <v>25</v>
      </c>
      <c r="K14" s="31">
        <f>'DV-km'!F20-K12</f>
        <v>30449</v>
      </c>
      <c r="L14" s="68"/>
      <c r="M14" s="69"/>
      <c r="O14" s="303"/>
      <c r="P14" s="25" t="s">
        <v>271</v>
      </c>
      <c r="Q14" s="16">
        <f>L26</f>
        <v>109.13655629561171</v>
      </c>
      <c r="R14" s="26">
        <f>M26</f>
        <v>94137</v>
      </c>
      <c r="S14" s="256"/>
    </row>
    <row r="15" spans="1:19" ht="17.25" thickBot="1">
      <c r="A15" s="313" t="s">
        <v>272</v>
      </c>
      <c r="B15" s="317" t="s">
        <v>255</v>
      </c>
      <c r="C15" s="38">
        <f>SUM('SYVbT_DV-Regis'!F87)</f>
        <v>1787347</v>
      </c>
      <c r="D15" s="20">
        <f>SUMPRODUCT('DV-km'!E23:E25,'DV-km'!F23:F25)/SUM('DV-km'!F23:F25)</f>
        <v>45.882225304162525</v>
      </c>
      <c r="E15" s="39">
        <f>ABS('DV-km'!E22-D15)/'DV-km'!E22</f>
        <v>4.4120306163280741E-2</v>
      </c>
      <c r="F15" s="49" t="s">
        <v>256</v>
      </c>
      <c r="G15" s="116">
        <f>SUMPRODUCT('DV-km'!E23:E24,'DV-km'!F23:F24)/SUM('DV-km'!F23:F24)</f>
        <v>40.36818571307635</v>
      </c>
      <c r="H15" s="21">
        <f>SUM('DV-km'!F23:F24)</f>
        <v>2421585</v>
      </c>
      <c r="I15" s="304" t="s">
        <v>256</v>
      </c>
      <c r="J15" s="116">
        <f>G15</f>
        <v>40.36818571307635</v>
      </c>
      <c r="K15" s="21">
        <f>H15</f>
        <v>2421585</v>
      </c>
      <c r="L15" s="65">
        <f>SUMPRODUCT(J15:J17,K15:K17)/SUM(K15:K17)</f>
        <v>40.071138983510927</v>
      </c>
      <c r="M15" s="62">
        <f>SUM(K15:K17)</f>
        <v>2858742</v>
      </c>
    </row>
    <row r="16" spans="1:19">
      <c r="A16" s="314"/>
      <c r="B16" s="316"/>
      <c r="C16" s="40">
        <f>SUM('SYVbT_DV-Regis'!F88:F89)</f>
        <v>301198</v>
      </c>
      <c r="D16" s="254"/>
      <c r="E16" s="41"/>
      <c r="F16" s="50"/>
      <c r="G16" s="254"/>
      <c r="H16" s="24"/>
      <c r="I16" s="306"/>
      <c r="J16" s="255">
        <f>G19</f>
        <v>18.81611630931901</v>
      </c>
      <c r="K16" s="24">
        <f>H19</f>
        <v>47666</v>
      </c>
      <c r="L16" s="63"/>
      <c r="M16" s="64"/>
      <c r="N16" s="27"/>
    </row>
    <row r="17" spans="1:14" ht="17.25" thickBot="1">
      <c r="A17" s="314"/>
      <c r="B17" s="316"/>
      <c r="C17" s="42">
        <f>SUM('SYVbT_DV-Regis'!F90:F93)</f>
        <v>153272</v>
      </c>
      <c r="D17" s="30"/>
      <c r="E17" s="43"/>
      <c r="F17" s="51" t="s">
        <v>261</v>
      </c>
      <c r="G17" s="32">
        <f>'DV-km'!E25</f>
        <v>133</v>
      </c>
      <c r="H17" s="31">
        <f>'DV-km'!F25</f>
        <v>153272</v>
      </c>
      <c r="I17" s="305"/>
      <c r="J17" s="117">
        <f>G22</f>
        <v>40.82550302831131</v>
      </c>
      <c r="K17" s="31">
        <f>H22</f>
        <v>389491</v>
      </c>
      <c r="L17" s="70"/>
      <c r="M17" s="71"/>
    </row>
    <row r="18" spans="1:14" ht="17.25" thickBot="1">
      <c r="A18" s="314"/>
      <c r="B18" s="316" t="s">
        <v>273</v>
      </c>
      <c r="C18" s="38"/>
      <c r="D18" s="20"/>
      <c r="E18" s="39"/>
      <c r="F18" s="49"/>
      <c r="G18" s="20"/>
      <c r="H18" s="21"/>
      <c r="I18" s="304" t="s">
        <v>261</v>
      </c>
      <c r="J18" s="57">
        <f>G17</f>
        <v>133</v>
      </c>
      <c r="K18" s="21">
        <f>H17</f>
        <v>153272</v>
      </c>
      <c r="L18" s="65">
        <f>SUMPRODUCT(J18:J20,K18:K20)/SUM(K18:K20)</f>
        <v>77.538258275248083</v>
      </c>
      <c r="M18" s="62">
        <f>SUM(K18:K20)</f>
        <v>756503</v>
      </c>
      <c r="N18" s="27"/>
    </row>
    <row r="19" spans="1:14">
      <c r="A19" s="314"/>
      <c r="B19" s="316"/>
      <c r="C19" s="40">
        <f>'SYVbT_DV-Regis'!F95</f>
        <v>32795</v>
      </c>
      <c r="D19" s="254">
        <f>SUMPRODUCT('DV-km'!E27:E29,'DV-km'!F27:F29)/SUM('DV-km'!F27:F29)</f>
        <v>18.840893826353717</v>
      </c>
      <c r="E19" s="41">
        <f>ABS('DV-km'!E26-D19)/'DV-km'!E26</f>
        <v>4.6716323686317632E-2</v>
      </c>
      <c r="F19" s="50" t="s">
        <v>256</v>
      </c>
      <c r="G19" s="255">
        <f>SUMPRODUCT('DV-km'!E27:E28,'DV-km'!F27:F28)/SUM('DV-km'!F27:F28)</f>
        <v>18.81611630931901</v>
      </c>
      <c r="H19" s="24">
        <f>SUM('DV-km'!F27:F28)</f>
        <v>47666</v>
      </c>
      <c r="I19" s="306"/>
      <c r="J19" s="257">
        <f>G21</f>
        <v>19</v>
      </c>
      <c r="K19" s="24">
        <f>H21</f>
        <v>7423</v>
      </c>
      <c r="L19" s="63"/>
      <c r="M19" s="64"/>
    </row>
    <row r="20" spans="1:14" ht="17.25" thickBot="1">
      <c r="A20" s="314"/>
      <c r="B20" s="316"/>
      <c r="C20" s="40">
        <f>'SYVbT_DV-Regis'!F96</f>
        <v>14871</v>
      </c>
      <c r="D20" s="254"/>
      <c r="E20" s="41"/>
      <c r="F20" s="50"/>
      <c r="G20" s="254"/>
      <c r="H20" s="24"/>
      <c r="I20" s="305"/>
      <c r="J20" s="32">
        <f>G24</f>
        <v>64</v>
      </c>
      <c r="K20" s="31">
        <f>H24</f>
        <v>595808</v>
      </c>
      <c r="L20" s="54"/>
      <c r="M20" s="24"/>
    </row>
    <row r="21" spans="1:14" ht="17.25" thickBot="1">
      <c r="A21" s="314"/>
      <c r="B21" s="316"/>
      <c r="C21" s="42">
        <f>SUM('SYVbT_DV-Regis'!F97:F98)</f>
        <v>7423</v>
      </c>
      <c r="D21" s="30"/>
      <c r="E21" s="43"/>
      <c r="F21" s="51" t="s">
        <v>261</v>
      </c>
      <c r="G21" s="32">
        <f>'DV-km'!E29</f>
        <v>19</v>
      </c>
      <c r="H21" s="31">
        <f>'DV-km'!F29</f>
        <v>7423</v>
      </c>
      <c r="I21" s="59"/>
      <c r="J21" s="45"/>
      <c r="K21" s="44"/>
      <c r="L21" s="254"/>
      <c r="M21" s="24"/>
    </row>
    <row r="22" spans="1:14">
      <c r="A22" s="314"/>
      <c r="B22" s="316" t="s">
        <v>274</v>
      </c>
      <c r="C22" s="38">
        <f>'SYVbT_DV-Regis'!F100</f>
        <v>384960</v>
      </c>
      <c r="D22" s="20">
        <f>SUMPRODUCT('DV-km'!E31:E32,'DV-km'!F31:F32)/SUM('DV-km'!F31:F32)</f>
        <v>40.82550302831131</v>
      </c>
      <c r="E22" s="39">
        <f>ABS('DV-km'!E30-D22)/'DV-km'!E30</f>
        <v>2.0637575707782751E-2</v>
      </c>
      <c r="F22" s="49" t="s">
        <v>256</v>
      </c>
      <c r="G22" s="116">
        <f>'DV-km'!G31</f>
        <v>40.82550302831131</v>
      </c>
      <c r="H22" s="21">
        <f>SUM('DV-km'!F31:F32)</f>
        <v>389491</v>
      </c>
      <c r="I22" s="52"/>
      <c r="J22" s="254"/>
      <c r="K22" s="249"/>
      <c r="L22" s="254"/>
      <c r="M22" s="24"/>
    </row>
    <row r="23" spans="1:14" ht="17.25" thickBot="1">
      <c r="A23" s="314"/>
      <c r="B23" s="316"/>
      <c r="C23" s="42">
        <f>SUM('SYVbT_DV-Regis'!F101:F102)</f>
        <v>4531</v>
      </c>
      <c r="D23" s="30"/>
      <c r="E23" s="43"/>
      <c r="F23" s="51"/>
      <c r="G23" s="30"/>
      <c r="H23" s="31"/>
      <c r="I23" s="36"/>
      <c r="J23" s="254"/>
      <c r="K23" s="249"/>
      <c r="L23" s="254"/>
      <c r="M23" s="24"/>
    </row>
    <row r="24" spans="1:14" ht="17.25" thickBot="1">
      <c r="A24" s="315"/>
      <c r="B24" s="28" t="s">
        <v>270</v>
      </c>
      <c r="C24" s="37">
        <f>'SYVbT_DV-Regis'!F103</f>
        <v>595808</v>
      </c>
      <c r="D24" s="322" t="s">
        <v>242</v>
      </c>
      <c r="E24" s="323"/>
      <c r="F24" s="324"/>
      <c r="G24" s="53">
        <f>'DV-km'!E33</f>
        <v>64</v>
      </c>
      <c r="H24" s="37">
        <f>'DV-km'!F33</f>
        <v>595808</v>
      </c>
      <c r="I24" s="35"/>
      <c r="J24" s="30"/>
      <c r="K24" s="29"/>
      <c r="L24" s="30"/>
      <c r="M24" s="31"/>
      <c r="N24" s="27"/>
    </row>
    <row r="25" spans="1:14" ht="17.25" thickBot="1">
      <c r="A25" s="313" t="s">
        <v>275</v>
      </c>
      <c r="B25" s="46" t="s">
        <v>276</v>
      </c>
      <c r="C25" s="38">
        <f>SUM('SYVbT_DV-Regis'!F133)</f>
        <v>39781</v>
      </c>
      <c r="D25" s="20"/>
      <c r="E25" s="39"/>
      <c r="F25" s="49" t="s">
        <v>261</v>
      </c>
      <c r="G25" s="20">
        <f>'DV-km'!E35</f>
        <v>220</v>
      </c>
      <c r="H25" s="21">
        <f>'DV-km'!F35</f>
        <v>39781</v>
      </c>
      <c r="I25" s="60" t="s">
        <v>256</v>
      </c>
      <c r="J25" s="61">
        <f>G26</f>
        <v>61</v>
      </c>
      <c r="K25" s="62">
        <f>H26</f>
        <v>11800</v>
      </c>
      <c r="L25" s="65">
        <f>J25</f>
        <v>61</v>
      </c>
      <c r="M25" s="62">
        <f>K25</f>
        <v>11800</v>
      </c>
    </row>
    <row r="26" spans="1:14" ht="17.25" thickBot="1">
      <c r="A26" s="314"/>
      <c r="B26" s="47" t="s">
        <v>277</v>
      </c>
      <c r="C26" s="40">
        <f>SUM('SYVbT_DV-Regis'!F129)</f>
        <v>11800</v>
      </c>
      <c r="D26" s="254"/>
      <c r="E26" s="41"/>
      <c r="F26" s="50" t="s">
        <v>256</v>
      </c>
      <c r="G26" s="254">
        <f>'DV-km'!E36</f>
        <v>61</v>
      </c>
      <c r="H26" s="24">
        <f>'DV-km'!F36</f>
        <v>11800</v>
      </c>
      <c r="I26" s="304" t="s">
        <v>261</v>
      </c>
      <c r="J26" s="20">
        <f>G25</f>
        <v>220</v>
      </c>
      <c r="K26" s="21">
        <f>H25</f>
        <v>39781</v>
      </c>
      <c r="L26" s="65">
        <f>SUMPRODUCT(J26:J27,K26:K27)/SUM(K26:K27)</f>
        <v>109.13655629561171</v>
      </c>
      <c r="M26" s="62">
        <f>SUM(K26:K27)</f>
        <v>94137</v>
      </c>
    </row>
    <row r="27" spans="1:14" ht="17.25" thickBot="1">
      <c r="A27" s="315"/>
      <c r="B27" s="48" t="s">
        <v>278</v>
      </c>
      <c r="C27" s="42">
        <f>SUM('SYVbT_DV-Regis'!F137)</f>
        <v>54356</v>
      </c>
      <c r="D27" s="30"/>
      <c r="E27" s="43"/>
      <c r="F27" s="51" t="s">
        <v>261</v>
      </c>
      <c r="G27" s="30">
        <f>'DV-km'!E37</f>
        <v>28</v>
      </c>
      <c r="H27" s="31">
        <f>'DV-km'!F37</f>
        <v>54356</v>
      </c>
      <c r="I27" s="305"/>
      <c r="J27" s="30">
        <f>G27</f>
        <v>28</v>
      </c>
      <c r="K27" s="31">
        <f>H27</f>
        <v>54356</v>
      </c>
      <c r="L27" s="68"/>
      <c r="M27" s="69"/>
    </row>
    <row r="29" spans="1:14">
      <c r="A29" s="14" t="s">
        <v>279</v>
      </c>
    </row>
    <row r="30" spans="1:14">
      <c r="A30" s="17" t="s">
        <v>280</v>
      </c>
    </row>
    <row r="31" spans="1:14">
      <c r="A31" s="17" t="s">
        <v>281</v>
      </c>
    </row>
    <row r="32" spans="1:14">
      <c r="A32" s="17" t="s">
        <v>282</v>
      </c>
    </row>
    <row r="33" spans="1:14">
      <c r="A33" s="17" t="s">
        <v>283</v>
      </c>
    </row>
    <row r="34" spans="1:14">
      <c r="A34" s="14"/>
    </row>
    <row r="35" spans="1:14">
      <c r="A35" t="s">
        <v>284</v>
      </c>
    </row>
    <row r="36" spans="1:14">
      <c r="A36" t="s">
        <v>285</v>
      </c>
    </row>
    <row r="37" spans="1:14">
      <c r="A37" t="s">
        <v>286</v>
      </c>
      <c r="C37" s="34"/>
      <c r="D37" s="27"/>
      <c r="E37" s="14"/>
      <c r="N37" s="27"/>
    </row>
    <row r="39" spans="1:14">
      <c r="A39" s="17" t="s">
        <v>287</v>
      </c>
    </row>
  </sheetData>
  <mergeCells count="30">
    <mergeCell ref="D24:F24"/>
    <mergeCell ref="D14:H14"/>
    <mergeCell ref="D10:H10"/>
    <mergeCell ref="L2:M2"/>
    <mergeCell ref="G2:H2"/>
    <mergeCell ref="D2:E2"/>
    <mergeCell ref="I7:I9"/>
    <mergeCell ref="I13:I14"/>
    <mergeCell ref="A2:B3"/>
    <mergeCell ref="B11:B13"/>
    <mergeCell ref="B8:B9"/>
    <mergeCell ref="A4:A10"/>
    <mergeCell ref="A11:A14"/>
    <mergeCell ref="B4:B7"/>
    <mergeCell ref="A15:A24"/>
    <mergeCell ref="B22:B23"/>
    <mergeCell ref="B15:B17"/>
    <mergeCell ref="B18:B21"/>
    <mergeCell ref="A25:A27"/>
    <mergeCell ref="O4:O5"/>
    <mergeCell ref="O7:O8"/>
    <mergeCell ref="O10:O11"/>
    <mergeCell ref="O13:O14"/>
    <mergeCell ref="I26:I27"/>
    <mergeCell ref="I4:I6"/>
    <mergeCell ref="I15:I17"/>
    <mergeCell ref="I18:I20"/>
    <mergeCell ref="L6:M6"/>
    <mergeCell ref="L9:M9"/>
    <mergeCell ref="I11:I12"/>
  </mergeCells>
  <phoneticPr fontId="43" type="noConversion"/>
  <pageMargins left="0.7" right="0.7" top="0.75" bottom="0.75" header="0.3" footer="0.3"/>
  <ignoredErrors>
    <ignoredError sqref="J14:K14 J12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FD09-2145-4D3A-BB3F-94BAC97490BB}">
  <dimension ref="A1:W50"/>
  <sheetViews>
    <sheetView workbookViewId="0"/>
  </sheetViews>
  <sheetFormatPr defaultColWidth="9" defaultRowHeight="13.5"/>
  <cols>
    <col min="1" max="1" width="18.125" style="72" customWidth="1"/>
    <col min="2" max="2" width="9" style="72"/>
    <col min="3" max="3" width="12.25" style="72" customWidth="1"/>
    <col min="4" max="4" width="6.875" style="72" bestFit="1" customWidth="1"/>
    <col min="5" max="16384" width="9" style="72"/>
  </cols>
  <sheetData>
    <row r="1" spans="2:23">
      <c r="B1" s="98" t="s">
        <v>288</v>
      </c>
    </row>
    <row r="2" spans="2:23" ht="16.5">
      <c r="B2" s="258" t="s">
        <v>289</v>
      </c>
      <c r="C2" s="258" t="s">
        <v>290</v>
      </c>
      <c r="D2" s="259">
        <v>2000</v>
      </c>
      <c r="E2" s="259">
        <v>2001</v>
      </c>
      <c r="F2" s="259">
        <v>2002</v>
      </c>
      <c r="G2" s="259">
        <v>2003</v>
      </c>
      <c r="H2" s="259">
        <v>2004</v>
      </c>
      <c r="I2" s="259">
        <v>2005</v>
      </c>
      <c r="J2" s="259">
        <v>2006</v>
      </c>
      <c r="K2" s="259">
        <v>2007</v>
      </c>
      <c r="L2" s="259">
        <v>2008</v>
      </c>
      <c r="M2" s="259">
        <v>2009</v>
      </c>
      <c r="N2" s="259">
        <v>2010</v>
      </c>
      <c r="O2" s="259">
        <v>2011</v>
      </c>
      <c r="P2" s="259">
        <v>2012</v>
      </c>
      <c r="Q2" s="259">
        <v>2013</v>
      </c>
      <c r="R2" s="259">
        <v>2014</v>
      </c>
      <c r="S2" s="259">
        <v>2015</v>
      </c>
      <c r="T2" s="259">
        <v>2016</v>
      </c>
      <c r="U2" s="259">
        <v>2017</v>
      </c>
      <c r="V2" s="259">
        <v>2018</v>
      </c>
      <c r="W2" s="259">
        <v>2019</v>
      </c>
    </row>
    <row r="3" spans="2:23" ht="16.5">
      <c r="B3" s="93" t="s">
        <v>291</v>
      </c>
      <c r="C3" s="93" t="s">
        <v>292</v>
      </c>
      <c r="D3" s="260" t="s">
        <v>293</v>
      </c>
      <c r="E3" s="260" t="s">
        <v>293</v>
      </c>
      <c r="F3" s="260" t="s">
        <v>293</v>
      </c>
      <c r="G3" s="260">
        <v>340</v>
      </c>
      <c r="H3" s="260">
        <v>920</v>
      </c>
      <c r="I3" s="260">
        <v>920</v>
      </c>
      <c r="J3" s="260">
        <v>920</v>
      </c>
      <c r="K3" s="260">
        <v>920</v>
      </c>
      <c r="L3" s="260">
        <v>920</v>
      </c>
      <c r="M3" s="260">
        <v>920</v>
      </c>
      <c r="N3" s="260">
        <v>1110</v>
      </c>
      <c r="O3" s="260">
        <v>1110</v>
      </c>
      <c r="P3" s="260">
        <v>1160</v>
      </c>
      <c r="Q3" s="260">
        <v>1160</v>
      </c>
      <c r="R3" s="260">
        <v>1160</v>
      </c>
      <c r="S3" s="260">
        <v>1380</v>
      </c>
      <c r="T3" s="260">
        <v>1420</v>
      </c>
      <c r="U3" s="260">
        <v>1530</v>
      </c>
      <c r="V3" s="260">
        <v>1530</v>
      </c>
      <c r="W3" s="260">
        <v>1530</v>
      </c>
    </row>
    <row r="4" spans="2:23" ht="16.5">
      <c r="B4" s="93" t="s">
        <v>294</v>
      </c>
      <c r="C4" s="93" t="s">
        <v>292</v>
      </c>
      <c r="D4" s="260" t="s">
        <v>293</v>
      </c>
      <c r="E4" s="260" t="s">
        <v>293</v>
      </c>
      <c r="F4" s="260" t="s">
        <v>293</v>
      </c>
      <c r="G4" s="260" t="s">
        <v>293</v>
      </c>
      <c r="H4" s="260" t="s">
        <v>293</v>
      </c>
      <c r="I4" s="260" t="s">
        <v>293</v>
      </c>
      <c r="J4" s="260" t="s">
        <v>293</v>
      </c>
      <c r="K4" s="260" t="s">
        <v>293</v>
      </c>
      <c r="L4" s="260" t="s">
        <v>293</v>
      </c>
      <c r="M4" s="260" t="s">
        <v>293</v>
      </c>
      <c r="N4" s="260" t="s">
        <v>293</v>
      </c>
      <c r="O4" s="260" t="s">
        <v>293</v>
      </c>
      <c r="P4" s="260" t="s">
        <v>293</v>
      </c>
      <c r="Q4" s="260" t="s">
        <v>293</v>
      </c>
      <c r="R4" s="260" t="s">
        <v>293</v>
      </c>
      <c r="S4" s="260" t="s">
        <v>293</v>
      </c>
      <c r="T4" s="260">
        <v>100</v>
      </c>
      <c r="U4" s="260">
        <v>100</v>
      </c>
      <c r="V4" s="260">
        <v>100</v>
      </c>
      <c r="W4" s="260">
        <v>100</v>
      </c>
    </row>
    <row r="5" spans="2:23" ht="16.5">
      <c r="B5" s="93" t="s">
        <v>295</v>
      </c>
      <c r="C5" s="93" t="s">
        <v>296</v>
      </c>
      <c r="D5" s="260">
        <v>467</v>
      </c>
      <c r="E5" s="260">
        <v>482</v>
      </c>
      <c r="F5" s="260">
        <v>482</v>
      </c>
      <c r="G5" s="260">
        <v>468</v>
      </c>
      <c r="H5" s="260">
        <v>462</v>
      </c>
      <c r="I5" s="260">
        <v>455</v>
      </c>
      <c r="J5" s="260">
        <v>438</v>
      </c>
      <c r="K5" s="260">
        <v>422</v>
      </c>
      <c r="L5" s="260">
        <v>396</v>
      </c>
      <c r="M5" s="260">
        <v>335</v>
      </c>
      <c r="N5" s="260">
        <v>330</v>
      </c>
      <c r="O5" s="260">
        <v>321</v>
      </c>
      <c r="P5" s="260">
        <v>315</v>
      </c>
      <c r="Q5" s="260">
        <v>286</v>
      </c>
      <c r="R5" s="260">
        <v>309</v>
      </c>
      <c r="S5" s="260">
        <v>292</v>
      </c>
      <c r="T5" s="260">
        <v>288</v>
      </c>
      <c r="U5" s="260">
        <v>280</v>
      </c>
      <c r="V5" s="260">
        <v>265</v>
      </c>
      <c r="W5" s="260">
        <v>254</v>
      </c>
    </row>
    <row r="6" spans="2:23" ht="16.5">
      <c r="B6" s="94" t="s">
        <v>297</v>
      </c>
      <c r="C6" s="93" t="s">
        <v>298</v>
      </c>
      <c r="D6" s="260">
        <v>95</v>
      </c>
      <c r="E6" s="260">
        <v>96</v>
      </c>
      <c r="F6" s="260">
        <v>96</v>
      </c>
      <c r="G6" s="260">
        <v>106</v>
      </c>
      <c r="H6" s="260">
        <v>124</v>
      </c>
      <c r="I6" s="260">
        <v>131</v>
      </c>
      <c r="J6" s="260">
        <v>151</v>
      </c>
      <c r="K6" s="260">
        <v>151</v>
      </c>
      <c r="L6" s="260">
        <v>179</v>
      </c>
      <c r="M6" s="260">
        <v>179</v>
      </c>
      <c r="N6" s="260">
        <v>179</v>
      </c>
      <c r="O6" s="260">
        <v>177</v>
      </c>
      <c r="P6" s="260">
        <v>204</v>
      </c>
      <c r="Q6" s="260">
        <v>209</v>
      </c>
      <c r="R6" s="260">
        <v>200</v>
      </c>
      <c r="S6" s="260">
        <v>200</v>
      </c>
      <c r="T6" s="260">
        <v>195</v>
      </c>
      <c r="U6" s="260">
        <v>176</v>
      </c>
      <c r="V6" s="260">
        <v>175</v>
      </c>
      <c r="W6" s="260">
        <v>175</v>
      </c>
    </row>
    <row r="7" spans="2:23" ht="16.5">
      <c r="B7" s="94" t="s">
        <v>297</v>
      </c>
      <c r="C7" s="93" t="s">
        <v>299</v>
      </c>
      <c r="D7" s="260">
        <v>1</v>
      </c>
      <c r="E7" s="260">
        <v>1</v>
      </c>
      <c r="F7" s="260">
        <v>1</v>
      </c>
      <c r="G7" s="260">
        <v>1</v>
      </c>
      <c r="H7" s="260">
        <v>1</v>
      </c>
      <c r="I7" s="260">
        <v>1</v>
      </c>
      <c r="J7" s="260">
        <v>1</v>
      </c>
      <c r="K7" s="260">
        <v>1</v>
      </c>
      <c r="L7" s="260">
        <v>1</v>
      </c>
      <c r="M7" s="260" t="s">
        <v>293</v>
      </c>
      <c r="N7" s="260" t="s">
        <v>293</v>
      </c>
      <c r="O7" s="260" t="s">
        <v>293</v>
      </c>
      <c r="P7" s="260" t="s">
        <v>293</v>
      </c>
      <c r="Q7" s="260" t="s">
        <v>293</v>
      </c>
      <c r="R7" s="260" t="s">
        <v>293</v>
      </c>
      <c r="S7" s="260" t="s">
        <v>293</v>
      </c>
      <c r="T7" s="260" t="s">
        <v>293</v>
      </c>
      <c r="U7" s="260" t="s">
        <v>293</v>
      </c>
      <c r="V7" s="260" t="s">
        <v>293</v>
      </c>
      <c r="W7" s="260" t="s">
        <v>293</v>
      </c>
    </row>
    <row r="8" spans="2:23" ht="16.5">
      <c r="B8" s="93" t="s">
        <v>300</v>
      </c>
      <c r="C8" s="93" t="s">
        <v>301</v>
      </c>
      <c r="D8" s="260">
        <v>615</v>
      </c>
      <c r="E8" s="260">
        <v>610</v>
      </c>
      <c r="F8" s="260">
        <v>610</v>
      </c>
      <c r="G8" s="260">
        <v>606</v>
      </c>
      <c r="H8" s="260">
        <v>602</v>
      </c>
      <c r="I8" s="260">
        <v>592</v>
      </c>
      <c r="J8" s="260">
        <v>576</v>
      </c>
      <c r="K8" s="260">
        <v>566</v>
      </c>
      <c r="L8" s="260">
        <v>524</v>
      </c>
      <c r="M8" s="260">
        <v>500</v>
      </c>
      <c r="N8" s="260">
        <v>471</v>
      </c>
      <c r="O8" s="260">
        <v>444</v>
      </c>
      <c r="P8" s="260">
        <v>397</v>
      </c>
      <c r="Q8" s="260">
        <v>303</v>
      </c>
      <c r="R8" s="260">
        <v>204</v>
      </c>
      <c r="S8" s="260">
        <v>201</v>
      </c>
      <c r="T8" s="260">
        <v>178</v>
      </c>
      <c r="U8" s="260">
        <v>150</v>
      </c>
      <c r="V8" s="260">
        <v>150</v>
      </c>
      <c r="W8" s="260">
        <v>121</v>
      </c>
    </row>
    <row r="9" spans="2:23" ht="16.5">
      <c r="B9" s="94" t="s">
        <v>297</v>
      </c>
      <c r="C9" s="93" t="s">
        <v>302</v>
      </c>
      <c r="D9" s="260">
        <v>1674</v>
      </c>
      <c r="E9" s="260">
        <v>1672</v>
      </c>
      <c r="F9" s="260">
        <v>1662</v>
      </c>
      <c r="G9" s="260">
        <v>1858</v>
      </c>
      <c r="H9" s="260">
        <v>1824</v>
      </c>
      <c r="I9" s="260">
        <v>1850</v>
      </c>
      <c r="J9" s="260">
        <v>2086</v>
      </c>
      <c r="K9" s="260">
        <v>2086</v>
      </c>
      <c r="L9" s="260">
        <v>2088</v>
      </c>
      <c r="M9" s="260">
        <v>2184</v>
      </c>
      <c r="N9" s="260">
        <v>2287</v>
      </c>
      <c r="O9" s="260">
        <v>2344</v>
      </c>
      <c r="P9" s="260">
        <v>2381</v>
      </c>
      <c r="Q9" s="260">
        <v>2449</v>
      </c>
      <c r="R9" s="260">
        <v>2458</v>
      </c>
      <c r="S9" s="260">
        <v>2410</v>
      </c>
      <c r="T9" s="260">
        <v>2546</v>
      </c>
      <c r="U9" s="260">
        <v>2558</v>
      </c>
      <c r="V9" s="260">
        <v>2569</v>
      </c>
      <c r="W9" s="260">
        <v>2562</v>
      </c>
    </row>
    <row r="10" spans="2:23" ht="16.5">
      <c r="B10" s="94" t="s">
        <v>297</v>
      </c>
      <c r="C10" s="93" t="s">
        <v>303</v>
      </c>
      <c r="D10" s="260">
        <v>10</v>
      </c>
      <c r="E10" s="260" t="s">
        <v>293</v>
      </c>
      <c r="F10" s="260" t="s">
        <v>293</v>
      </c>
      <c r="G10" s="260" t="s">
        <v>293</v>
      </c>
      <c r="H10" s="260" t="s">
        <v>293</v>
      </c>
      <c r="I10" s="260" t="s">
        <v>293</v>
      </c>
      <c r="J10" s="260" t="s">
        <v>293</v>
      </c>
      <c r="K10" s="260" t="s">
        <v>293</v>
      </c>
      <c r="L10" s="260" t="s">
        <v>293</v>
      </c>
      <c r="M10" s="260" t="s">
        <v>293</v>
      </c>
      <c r="N10" s="260" t="s">
        <v>293</v>
      </c>
      <c r="O10" s="260" t="s">
        <v>293</v>
      </c>
      <c r="P10" s="260" t="s">
        <v>293</v>
      </c>
      <c r="Q10" s="260" t="s">
        <v>293</v>
      </c>
      <c r="R10" s="260" t="s">
        <v>293</v>
      </c>
      <c r="S10" s="260" t="s">
        <v>293</v>
      </c>
      <c r="T10" s="260" t="s">
        <v>293</v>
      </c>
      <c r="U10" s="260" t="s">
        <v>293</v>
      </c>
      <c r="V10" s="260" t="s">
        <v>293</v>
      </c>
      <c r="W10" s="260" t="s">
        <v>293</v>
      </c>
    </row>
    <row r="11" spans="2:23" ht="16.5">
      <c r="B11" s="94" t="s">
        <v>297</v>
      </c>
      <c r="C11" s="93" t="s">
        <v>304</v>
      </c>
      <c r="D11" s="260" t="s">
        <v>293</v>
      </c>
      <c r="E11" s="260" t="s">
        <v>293</v>
      </c>
      <c r="F11" s="260" t="s">
        <v>293</v>
      </c>
      <c r="G11" s="260" t="s">
        <v>293</v>
      </c>
      <c r="H11" s="260" t="s">
        <v>293</v>
      </c>
      <c r="I11" s="260" t="s">
        <v>293</v>
      </c>
      <c r="J11" s="260" t="s">
        <v>293</v>
      </c>
      <c r="K11" s="260" t="s">
        <v>293</v>
      </c>
      <c r="L11" s="260" t="s">
        <v>293</v>
      </c>
      <c r="M11" s="260">
        <v>32</v>
      </c>
      <c r="N11" s="260">
        <v>32</v>
      </c>
      <c r="O11" s="260">
        <v>32</v>
      </c>
      <c r="P11" s="260">
        <v>32</v>
      </c>
      <c r="Q11" s="260">
        <v>32</v>
      </c>
      <c r="R11" s="260">
        <v>166</v>
      </c>
      <c r="S11" s="260">
        <v>166</v>
      </c>
      <c r="T11" s="260">
        <v>166</v>
      </c>
      <c r="U11" s="260">
        <v>166</v>
      </c>
      <c r="V11" s="260">
        <v>166</v>
      </c>
      <c r="W11" s="260">
        <v>166</v>
      </c>
    </row>
    <row r="12" spans="2:23" ht="16.5">
      <c r="B12" s="94" t="s">
        <v>297</v>
      </c>
      <c r="C12" s="93" t="s">
        <v>305</v>
      </c>
      <c r="D12" s="260" t="s">
        <v>293</v>
      </c>
      <c r="E12" s="260" t="s">
        <v>293</v>
      </c>
      <c r="F12" s="260" t="s">
        <v>293</v>
      </c>
      <c r="G12" s="260" t="s">
        <v>293</v>
      </c>
      <c r="H12" s="260" t="s">
        <v>293</v>
      </c>
      <c r="I12" s="260" t="s">
        <v>293</v>
      </c>
      <c r="J12" s="260" t="s">
        <v>293</v>
      </c>
      <c r="K12" s="260" t="s">
        <v>293</v>
      </c>
      <c r="L12" s="260" t="s">
        <v>293</v>
      </c>
      <c r="M12" s="260" t="s">
        <v>293</v>
      </c>
      <c r="N12" s="260" t="s">
        <v>293</v>
      </c>
      <c r="O12" s="260">
        <v>16</v>
      </c>
      <c r="P12" s="260">
        <v>64</v>
      </c>
      <c r="Q12" s="260">
        <v>64</v>
      </c>
      <c r="R12" s="260">
        <v>64</v>
      </c>
      <c r="S12" s="260">
        <v>64</v>
      </c>
      <c r="T12" s="260">
        <v>64</v>
      </c>
      <c r="U12" s="260">
        <v>64</v>
      </c>
      <c r="V12" s="260">
        <v>64</v>
      </c>
      <c r="W12" s="260">
        <v>64</v>
      </c>
    </row>
    <row r="13" spans="2:23" ht="16.5">
      <c r="B13" s="93" t="s">
        <v>306</v>
      </c>
      <c r="C13" s="93" t="s">
        <v>292</v>
      </c>
      <c r="D13" s="260">
        <v>1455</v>
      </c>
      <c r="E13" s="260">
        <v>1421</v>
      </c>
      <c r="F13" s="260">
        <v>1454</v>
      </c>
      <c r="G13" s="260">
        <v>1495</v>
      </c>
      <c r="H13" s="260">
        <v>1294</v>
      </c>
      <c r="I13" s="260">
        <v>1272</v>
      </c>
      <c r="J13" s="260">
        <v>1251</v>
      </c>
      <c r="K13" s="260">
        <v>1226</v>
      </c>
      <c r="L13" s="260">
        <v>1207</v>
      </c>
      <c r="M13" s="260">
        <v>1167</v>
      </c>
      <c r="N13" s="260">
        <v>1127</v>
      </c>
      <c r="O13" s="260">
        <v>1080</v>
      </c>
      <c r="P13" s="260">
        <v>1020</v>
      </c>
      <c r="Q13" s="260">
        <v>1023</v>
      </c>
      <c r="R13" s="260">
        <v>958</v>
      </c>
      <c r="S13" s="260">
        <v>969</v>
      </c>
      <c r="T13" s="260">
        <v>921</v>
      </c>
      <c r="U13" s="260">
        <v>920</v>
      </c>
      <c r="V13" s="260">
        <v>909</v>
      </c>
      <c r="W13" s="260">
        <v>821</v>
      </c>
    </row>
    <row r="14" spans="2:23" ht="16.5">
      <c r="B14" s="93" t="s">
        <v>307</v>
      </c>
      <c r="C14" s="93" t="s">
        <v>292</v>
      </c>
      <c r="D14" s="260">
        <v>220</v>
      </c>
      <c r="E14" s="260">
        <v>220</v>
      </c>
      <c r="F14" s="260">
        <v>224</v>
      </c>
      <c r="G14" s="260">
        <v>222</v>
      </c>
      <c r="H14" s="260">
        <v>216</v>
      </c>
      <c r="I14" s="260">
        <v>202</v>
      </c>
      <c r="J14" s="260">
        <v>188</v>
      </c>
      <c r="K14" s="260">
        <v>185</v>
      </c>
      <c r="L14" s="260">
        <v>183</v>
      </c>
      <c r="M14" s="260">
        <v>179</v>
      </c>
      <c r="N14" s="260">
        <v>167</v>
      </c>
      <c r="O14" s="260">
        <v>156</v>
      </c>
      <c r="P14" s="260">
        <v>147</v>
      </c>
      <c r="Q14" s="260">
        <v>147</v>
      </c>
      <c r="R14" s="260">
        <v>133</v>
      </c>
      <c r="S14" s="260">
        <v>130</v>
      </c>
      <c r="T14" s="260">
        <v>116</v>
      </c>
      <c r="U14" s="260">
        <v>116</v>
      </c>
      <c r="V14" s="260">
        <v>113</v>
      </c>
      <c r="W14" s="260">
        <v>113</v>
      </c>
    </row>
    <row r="15" spans="2:23" ht="16.5">
      <c r="B15" s="93" t="s">
        <v>308</v>
      </c>
      <c r="C15" s="93" t="s">
        <v>292</v>
      </c>
      <c r="D15" s="260">
        <v>13224</v>
      </c>
      <c r="E15" s="260">
        <v>13413</v>
      </c>
      <c r="F15" s="260">
        <v>14113</v>
      </c>
      <c r="G15" s="260">
        <v>14450</v>
      </c>
      <c r="H15" s="260">
        <v>14286</v>
      </c>
      <c r="I15" s="260">
        <v>13817</v>
      </c>
      <c r="J15" s="260">
        <v>13178</v>
      </c>
      <c r="K15" s="260">
        <v>13183</v>
      </c>
      <c r="L15" s="260">
        <v>13105</v>
      </c>
      <c r="M15" s="260">
        <v>12843</v>
      </c>
      <c r="N15" s="260">
        <v>12755</v>
      </c>
      <c r="O15" s="260">
        <v>12705</v>
      </c>
      <c r="P15" s="260">
        <v>12570</v>
      </c>
      <c r="Q15" s="260">
        <v>12192</v>
      </c>
      <c r="R15" s="260">
        <v>11413</v>
      </c>
      <c r="S15" s="260">
        <v>11076</v>
      </c>
      <c r="T15" s="260">
        <v>11031</v>
      </c>
      <c r="U15" s="260">
        <v>10865</v>
      </c>
      <c r="V15" s="260">
        <v>10500</v>
      </c>
      <c r="W15" s="260">
        <v>10359</v>
      </c>
    </row>
    <row r="16" spans="2:23" ht="16.5">
      <c r="B16" s="93" t="s">
        <v>309</v>
      </c>
      <c r="C16" s="93" t="s">
        <v>292</v>
      </c>
      <c r="D16" s="260" t="s">
        <v>293</v>
      </c>
      <c r="E16" s="260" t="s">
        <v>293</v>
      </c>
      <c r="F16" s="260" t="s">
        <v>293</v>
      </c>
      <c r="G16" s="260" t="s">
        <v>293</v>
      </c>
      <c r="H16" s="260" t="s">
        <v>293</v>
      </c>
      <c r="I16" s="260" t="s">
        <v>293</v>
      </c>
      <c r="J16" s="260" t="s">
        <v>293</v>
      </c>
      <c r="K16" s="260" t="s">
        <v>293</v>
      </c>
      <c r="L16" s="260" t="s">
        <v>293</v>
      </c>
      <c r="M16" s="260" t="s">
        <v>293</v>
      </c>
      <c r="N16" s="260" t="s">
        <v>293</v>
      </c>
      <c r="O16" s="260" t="s">
        <v>293</v>
      </c>
      <c r="P16" s="260" t="s">
        <v>293</v>
      </c>
      <c r="Q16" s="260" t="s">
        <v>293</v>
      </c>
      <c r="R16" s="260" t="s">
        <v>293</v>
      </c>
      <c r="S16" s="260" t="s">
        <v>293</v>
      </c>
      <c r="T16" s="260" t="s">
        <v>293</v>
      </c>
      <c r="U16" s="260" t="s">
        <v>293</v>
      </c>
      <c r="V16" s="260" t="s">
        <v>293</v>
      </c>
      <c r="W16" s="260" t="s">
        <v>293</v>
      </c>
    </row>
    <row r="17" spans="1:23" ht="16.5">
      <c r="B17" s="261" t="s">
        <v>310</v>
      </c>
      <c r="C17" s="261" t="s">
        <v>292</v>
      </c>
      <c r="D17" s="260">
        <v>18</v>
      </c>
      <c r="E17" s="260">
        <v>19</v>
      </c>
      <c r="F17" s="260">
        <v>19</v>
      </c>
      <c r="G17" s="260">
        <v>18</v>
      </c>
      <c r="H17" s="260">
        <v>19</v>
      </c>
      <c r="I17" s="260">
        <v>19</v>
      </c>
      <c r="J17" s="260">
        <v>18</v>
      </c>
      <c r="K17" s="260">
        <v>19</v>
      </c>
      <c r="L17" s="260">
        <v>19</v>
      </c>
      <c r="M17" s="260">
        <v>19</v>
      </c>
      <c r="N17" s="260">
        <v>17</v>
      </c>
      <c r="O17" s="260">
        <v>16</v>
      </c>
      <c r="P17" s="260">
        <v>16</v>
      </c>
      <c r="Q17" s="260">
        <v>16</v>
      </c>
      <c r="R17" s="260">
        <v>16</v>
      </c>
      <c r="S17" s="260">
        <v>16</v>
      </c>
      <c r="T17" s="260">
        <v>16</v>
      </c>
      <c r="U17" s="260">
        <v>15</v>
      </c>
      <c r="V17" s="260">
        <v>15</v>
      </c>
      <c r="W17" s="260">
        <v>15</v>
      </c>
    </row>
    <row r="19" spans="1:23">
      <c r="B19" s="95" t="s">
        <v>311</v>
      </c>
    </row>
    <row r="20" spans="1:23">
      <c r="B20" s="262" t="s">
        <v>312</v>
      </c>
      <c r="C20" s="263">
        <v>20</v>
      </c>
      <c r="D20" s="247" t="s">
        <v>313</v>
      </c>
      <c r="E20" s="72">
        <v>920</v>
      </c>
      <c r="F20" s="72" t="s">
        <v>314</v>
      </c>
    </row>
    <row r="21" spans="1:23">
      <c r="B21" s="262" t="s">
        <v>315</v>
      </c>
      <c r="C21" s="263">
        <v>10</v>
      </c>
      <c r="D21" s="247" t="s">
        <v>313</v>
      </c>
    </row>
    <row r="22" spans="1:23">
      <c r="B22" s="262" t="s">
        <v>316</v>
      </c>
      <c r="C22" s="263">
        <v>10</v>
      </c>
      <c r="D22" s="247" t="s">
        <v>313</v>
      </c>
    </row>
    <row r="23" spans="1:23">
      <c r="B23" s="264" t="s">
        <v>317</v>
      </c>
      <c r="C23" s="265" t="s">
        <v>318</v>
      </c>
      <c r="D23" s="266" t="s">
        <v>313</v>
      </c>
      <c r="E23" s="96">
        <v>4</v>
      </c>
      <c r="F23" s="96" t="s">
        <v>319</v>
      </c>
    </row>
    <row r="24" spans="1:23">
      <c r="B24" s="264" t="s">
        <v>320</v>
      </c>
      <c r="C24" s="265" t="s">
        <v>321</v>
      </c>
      <c r="D24" s="266" t="s">
        <v>313</v>
      </c>
      <c r="E24" s="96">
        <v>6</v>
      </c>
      <c r="F24" s="96" t="s">
        <v>319</v>
      </c>
    </row>
    <row r="25" spans="1:23">
      <c r="B25" s="264" t="s">
        <v>265</v>
      </c>
      <c r="C25" s="265">
        <v>20</v>
      </c>
      <c r="D25" s="266" t="s">
        <v>313</v>
      </c>
      <c r="E25" s="96"/>
      <c r="F25" s="96" t="s">
        <v>319</v>
      </c>
    </row>
    <row r="26" spans="1:23">
      <c r="B26" s="84"/>
      <c r="C26" s="74"/>
    </row>
    <row r="27" spans="1:23">
      <c r="C27" s="72" t="s">
        <v>322</v>
      </c>
    </row>
    <row r="28" spans="1:23">
      <c r="B28" s="109"/>
      <c r="C28" s="109" t="s">
        <v>252</v>
      </c>
      <c r="D28" s="109">
        <v>2019</v>
      </c>
    </row>
    <row r="29" spans="1:23">
      <c r="A29" s="326" t="s">
        <v>70</v>
      </c>
      <c r="B29" s="327" t="s">
        <v>323</v>
      </c>
      <c r="C29" s="247" t="s">
        <v>312</v>
      </c>
      <c r="D29" s="247">
        <f>$E$20/$C$20</f>
        <v>46</v>
      </c>
      <c r="E29" s="327" t="s">
        <v>324</v>
      </c>
      <c r="F29" s="301" t="s">
        <v>325</v>
      </c>
    </row>
    <row r="30" spans="1:23">
      <c r="A30" s="326"/>
      <c r="B30" s="327"/>
      <c r="C30" s="247" t="s">
        <v>315</v>
      </c>
      <c r="D30" s="267">
        <f>(W3-$E$20)/$C$21-22</f>
        <v>39</v>
      </c>
      <c r="E30" s="327"/>
      <c r="F30" s="301"/>
    </row>
    <row r="31" spans="1:23">
      <c r="A31" s="326"/>
      <c r="B31" s="327"/>
      <c r="C31" s="247" t="s">
        <v>316</v>
      </c>
      <c r="D31" s="267">
        <f>32</f>
        <v>32</v>
      </c>
      <c r="E31" s="327"/>
      <c r="F31" s="301"/>
    </row>
    <row r="32" spans="1:23">
      <c r="A32" s="95" t="s">
        <v>60</v>
      </c>
      <c r="B32" s="247"/>
      <c r="C32" s="247" t="s">
        <v>326</v>
      </c>
      <c r="D32" s="267">
        <f>W5</f>
        <v>254</v>
      </c>
      <c r="E32" s="329" t="s">
        <v>327</v>
      </c>
      <c r="F32" s="236" t="s">
        <v>328</v>
      </c>
      <c r="G32" s="98" t="s">
        <v>329</v>
      </c>
    </row>
    <row r="33" spans="1:7">
      <c r="A33" s="95" t="s">
        <v>70</v>
      </c>
      <c r="B33" s="247"/>
      <c r="C33" s="247" t="s">
        <v>330</v>
      </c>
      <c r="D33" s="267">
        <f>W6</f>
        <v>175</v>
      </c>
      <c r="E33" s="329"/>
      <c r="F33" s="236" t="s">
        <v>328</v>
      </c>
      <c r="G33" s="98" t="s">
        <v>331</v>
      </c>
    </row>
    <row r="34" spans="1:7">
      <c r="A34" s="95" t="s">
        <v>60</v>
      </c>
      <c r="B34" s="262" t="s">
        <v>317</v>
      </c>
      <c r="C34" s="247" t="s">
        <v>332</v>
      </c>
      <c r="D34" s="267">
        <f>W8/$E$23</f>
        <v>30.25</v>
      </c>
      <c r="E34" s="327" t="s">
        <v>333</v>
      </c>
      <c r="F34" s="328" t="s">
        <v>328</v>
      </c>
    </row>
    <row r="35" spans="1:7">
      <c r="A35" s="326" t="s">
        <v>70</v>
      </c>
      <c r="B35" s="327" t="s">
        <v>320</v>
      </c>
      <c r="C35" s="247" t="s">
        <v>320</v>
      </c>
      <c r="D35" s="267">
        <f>W9/$E$24</f>
        <v>427</v>
      </c>
      <c r="E35" s="327"/>
      <c r="F35" s="328"/>
    </row>
    <row r="36" spans="1:7">
      <c r="A36" s="326"/>
      <c r="B36" s="327"/>
      <c r="C36" s="247" t="s">
        <v>334</v>
      </c>
      <c r="D36" s="267">
        <f>W11/$E$24</f>
        <v>27.666666666666668</v>
      </c>
      <c r="E36" s="327"/>
      <c r="F36" s="301" t="s">
        <v>325</v>
      </c>
    </row>
    <row r="37" spans="1:7">
      <c r="A37" s="326"/>
      <c r="B37" s="327"/>
      <c r="C37" s="247" t="s">
        <v>335</v>
      </c>
      <c r="D37" s="267">
        <f>W12/$E$24</f>
        <v>10.666666666666666</v>
      </c>
      <c r="E37" s="327"/>
      <c r="F37" s="301"/>
    </row>
    <row r="38" spans="1:7">
      <c r="B38" s="84"/>
      <c r="D38" s="97"/>
    </row>
    <row r="39" spans="1:7">
      <c r="B39" s="327" t="s">
        <v>336</v>
      </c>
      <c r="C39" s="247" t="s">
        <v>337</v>
      </c>
      <c r="D39" s="267">
        <f>W13</f>
        <v>821</v>
      </c>
    </row>
    <row r="40" spans="1:7">
      <c r="B40" s="327"/>
      <c r="C40" s="247" t="s">
        <v>338</v>
      </c>
      <c r="D40" s="267">
        <f>W14</f>
        <v>113</v>
      </c>
    </row>
    <row r="41" spans="1:7">
      <c r="B41" s="327"/>
      <c r="C41" s="247" t="s">
        <v>339</v>
      </c>
      <c r="D41" s="267">
        <f>W15</f>
        <v>10359</v>
      </c>
    </row>
    <row r="42" spans="1:7">
      <c r="B42" s="327"/>
      <c r="C42" s="247" t="s">
        <v>340</v>
      </c>
      <c r="D42" s="267">
        <f>W17</f>
        <v>15</v>
      </c>
    </row>
    <row r="44" spans="1:7">
      <c r="A44" s="98"/>
    </row>
    <row r="47" spans="1:7">
      <c r="B47" s="84"/>
      <c r="C47" s="74"/>
    </row>
    <row r="48" spans="1:7">
      <c r="B48" s="84"/>
      <c r="C48" s="74"/>
    </row>
    <row r="49" spans="2:3">
      <c r="B49" s="84"/>
      <c r="C49" s="74"/>
    </row>
    <row r="50" spans="2:3">
      <c r="B50" s="84"/>
      <c r="C50" s="74"/>
    </row>
  </sheetData>
  <mergeCells count="11">
    <mergeCell ref="A29:A31"/>
    <mergeCell ref="A35:A37"/>
    <mergeCell ref="B39:B42"/>
    <mergeCell ref="F29:F31"/>
    <mergeCell ref="F36:F37"/>
    <mergeCell ref="F34:F35"/>
    <mergeCell ref="B29:B31"/>
    <mergeCell ref="E29:E31"/>
    <mergeCell ref="E32:E33"/>
    <mergeCell ref="E34:E37"/>
    <mergeCell ref="B35:B37"/>
  </mergeCells>
  <phoneticPr fontId="43" type="noConversion"/>
  <pageMargins left="0.7" right="0.7" top="0.75" bottom="0.75" header="0.3" footer="0.3"/>
  <pageSetup orientation="portrait" horizontalDpi="4294967292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6D8D-EA6D-41E8-A40F-DBA97C1A4285}">
  <dimension ref="A1:HK53"/>
  <sheetViews>
    <sheetView workbookViewId="0">
      <selection activeCell="D43" sqref="D43"/>
    </sheetView>
  </sheetViews>
  <sheetFormatPr defaultColWidth="10" defaultRowHeight="13.5"/>
  <cols>
    <col min="1" max="1" width="5.5" style="179" customWidth="1"/>
    <col min="2" max="2" width="14" style="179" customWidth="1"/>
    <col min="3" max="3" width="9.5" style="206" customWidth="1"/>
    <col min="4" max="8" width="9.5" style="179" customWidth="1"/>
    <col min="9" max="9" width="5" style="179" customWidth="1"/>
    <col min="10" max="10" width="16.5" style="179" customWidth="1"/>
    <col min="11" max="11" width="9" style="206" customWidth="1"/>
    <col min="12" max="16" width="9" style="179" customWidth="1"/>
    <col min="17" max="17" width="14.5" style="179" bestFit="1" customWidth="1"/>
    <col min="18" max="16384" width="10" style="179"/>
  </cols>
  <sheetData>
    <row r="1" spans="1:17" s="141" customFormat="1" ht="40.5" customHeight="1">
      <c r="A1" s="330" t="s">
        <v>341</v>
      </c>
      <c r="B1" s="330"/>
      <c r="C1" s="330"/>
      <c r="D1" s="330"/>
      <c r="E1" s="330"/>
      <c r="F1" s="330"/>
      <c r="G1" s="330"/>
      <c r="H1" s="330"/>
      <c r="I1" s="330" t="s">
        <v>342</v>
      </c>
      <c r="J1" s="330"/>
      <c r="K1" s="330"/>
      <c r="L1" s="330"/>
      <c r="M1" s="330"/>
      <c r="N1" s="330"/>
      <c r="O1" s="330"/>
      <c r="P1" s="330"/>
    </row>
    <row r="2" spans="1:17" s="146" customFormat="1" ht="13.5" customHeight="1">
      <c r="A2" s="142"/>
      <c r="B2" s="142"/>
      <c r="C2" s="143"/>
      <c r="D2" s="142"/>
      <c r="E2" s="142"/>
      <c r="F2" s="142"/>
      <c r="G2" s="142"/>
      <c r="H2" s="144" t="s">
        <v>343</v>
      </c>
      <c r="I2" s="142"/>
      <c r="J2" s="142"/>
      <c r="K2" s="145"/>
      <c r="L2" s="142"/>
      <c r="M2" s="142"/>
      <c r="N2" s="142"/>
      <c r="O2" s="142"/>
      <c r="P2" s="144" t="s">
        <v>344</v>
      </c>
    </row>
    <row r="3" spans="1:17" s="149" customFormat="1" ht="33.950000000000003" customHeight="1">
      <c r="A3" s="331" t="s">
        <v>345</v>
      </c>
      <c r="B3" s="332"/>
      <c r="C3" s="147" t="s">
        <v>346</v>
      </c>
      <c r="D3" s="147" t="s">
        <v>347</v>
      </c>
      <c r="E3" s="147" t="s">
        <v>348</v>
      </c>
      <c r="F3" s="147" t="s">
        <v>349</v>
      </c>
      <c r="G3" s="147" t="s">
        <v>350</v>
      </c>
      <c r="H3" s="148" t="s">
        <v>351</v>
      </c>
      <c r="I3" s="331" t="s">
        <v>352</v>
      </c>
      <c r="J3" s="332"/>
      <c r="K3" s="147" t="s">
        <v>346</v>
      </c>
      <c r="L3" s="147" t="s">
        <v>347</v>
      </c>
      <c r="M3" s="147" t="s">
        <v>348</v>
      </c>
      <c r="N3" s="147" t="s">
        <v>349</v>
      </c>
      <c r="O3" s="147" t="s">
        <v>350</v>
      </c>
      <c r="P3" s="148" t="s">
        <v>351</v>
      </c>
    </row>
    <row r="4" spans="1:17" s="149" customFormat="1" ht="13.35" hidden="1" customHeight="1">
      <c r="A4" s="333">
        <v>2002</v>
      </c>
      <c r="B4" s="150" t="s">
        <v>353</v>
      </c>
      <c r="C4" s="151">
        <v>12678405</v>
      </c>
      <c r="D4" s="152">
        <v>851716</v>
      </c>
      <c r="E4" s="152">
        <v>2012386</v>
      </c>
      <c r="F4" s="152">
        <v>9783595</v>
      </c>
      <c r="G4" s="152">
        <v>9460</v>
      </c>
      <c r="H4" s="152">
        <v>21248</v>
      </c>
      <c r="I4" s="333">
        <v>2002</v>
      </c>
      <c r="J4" s="153" t="s">
        <v>354</v>
      </c>
      <c r="K4" s="151">
        <v>138227</v>
      </c>
      <c r="L4" s="152">
        <v>27492</v>
      </c>
      <c r="M4" s="152">
        <v>24436</v>
      </c>
      <c r="N4" s="152">
        <v>77925</v>
      </c>
      <c r="O4" s="152">
        <v>565</v>
      </c>
      <c r="P4" s="152">
        <v>7809</v>
      </c>
      <c r="Q4" s="154"/>
    </row>
    <row r="5" spans="1:17" s="149" customFormat="1" ht="13.35" hidden="1" customHeight="1">
      <c r="A5" s="334"/>
      <c r="B5" s="155" t="s">
        <v>355</v>
      </c>
      <c r="C5" s="156">
        <v>100</v>
      </c>
      <c r="D5" s="157">
        <v>6.7</v>
      </c>
      <c r="E5" s="157">
        <v>15.9</v>
      </c>
      <c r="F5" s="157">
        <v>77.099999999999994</v>
      </c>
      <c r="G5" s="157">
        <v>0.1</v>
      </c>
      <c r="H5" s="157">
        <v>0.2</v>
      </c>
      <c r="I5" s="336"/>
      <c r="J5" s="155" t="s">
        <v>355</v>
      </c>
      <c r="K5" s="156">
        <v>100</v>
      </c>
      <c r="L5" s="157">
        <v>19.899999999999999</v>
      </c>
      <c r="M5" s="157">
        <v>17.7</v>
      </c>
      <c r="N5" s="157">
        <v>56.4</v>
      </c>
      <c r="O5" s="157">
        <v>0.4</v>
      </c>
      <c r="P5" s="157">
        <v>5.6</v>
      </c>
      <c r="Q5" s="154"/>
    </row>
    <row r="6" spans="1:17" s="149" customFormat="1" ht="13.35" hidden="1" customHeight="1">
      <c r="A6" s="335"/>
      <c r="B6" s="158" t="s">
        <v>356</v>
      </c>
      <c r="C6" s="159">
        <v>-5</v>
      </c>
      <c r="D6" s="160">
        <v>0.1</v>
      </c>
      <c r="E6" s="160">
        <v>-20.399999999999999</v>
      </c>
      <c r="F6" s="160">
        <v>-1.5</v>
      </c>
      <c r="G6" s="160">
        <v>1.3</v>
      </c>
      <c r="H6" s="160">
        <v>-2.6</v>
      </c>
      <c r="I6" s="337"/>
      <c r="J6" s="158" t="s">
        <v>356</v>
      </c>
      <c r="K6" s="159">
        <v>-9</v>
      </c>
      <c r="L6" s="160">
        <v>-4.8</v>
      </c>
      <c r="M6" s="160">
        <v>-19.3</v>
      </c>
      <c r="N6" s="160">
        <v>-7.5</v>
      </c>
      <c r="O6" s="160">
        <v>1.8</v>
      </c>
      <c r="P6" s="160">
        <v>-0.8</v>
      </c>
      <c r="Q6" s="154"/>
    </row>
    <row r="7" spans="1:17" s="149" customFormat="1" ht="13.15" hidden="1" customHeight="1">
      <c r="A7" s="333">
        <v>2003</v>
      </c>
      <c r="B7" s="150" t="s">
        <v>353</v>
      </c>
      <c r="C7" s="161">
        <v>12313293</v>
      </c>
      <c r="D7" s="162">
        <v>894621</v>
      </c>
      <c r="E7" s="162">
        <v>1982192</v>
      </c>
      <c r="F7" s="162">
        <v>9404764</v>
      </c>
      <c r="G7" s="162">
        <v>10336</v>
      </c>
      <c r="H7" s="162">
        <v>21380</v>
      </c>
      <c r="I7" s="333">
        <v>2003</v>
      </c>
      <c r="J7" s="153" t="s">
        <v>354</v>
      </c>
      <c r="K7" s="156">
        <v>136741</v>
      </c>
      <c r="L7" s="163">
        <v>27228</v>
      </c>
      <c r="M7" s="163">
        <v>23755</v>
      </c>
      <c r="N7" s="163">
        <v>77200</v>
      </c>
      <c r="O7" s="163">
        <v>620</v>
      </c>
      <c r="P7" s="163">
        <v>7938</v>
      </c>
      <c r="Q7" s="154"/>
    </row>
    <row r="8" spans="1:17" s="149" customFormat="1" ht="13.15" hidden="1" customHeight="1">
      <c r="A8" s="336"/>
      <c r="B8" s="155" t="s">
        <v>355</v>
      </c>
      <c r="C8" s="161">
        <v>100</v>
      </c>
      <c r="D8" s="164">
        <v>7.3</v>
      </c>
      <c r="E8" s="164">
        <v>16.100000000000001</v>
      </c>
      <c r="F8" s="164">
        <v>76.3</v>
      </c>
      <c r="G8" s="164">
        <v>0.1</v>
      </c>
      <c r="H8" s="164">
        <v>0.2</v>
      </c>
      <c r="I8" s="336"/>
      <c r="J8" s="155" t="s">
        <v>355</v>
      </c>
      <c r="K8" s="156">
        <v>100</v>
      </c>
      <c r="L8" s="157">
        <v>19.899999999999999</v>
      </c>
      <c r="M8" s="157">
        <v>17.399999999999999</v>
      </c>
      <c r="N8" s="157">
        <v>56.4</v>
      </c>
      <c r="O8" s="157">
        <v>0.5</v>
      </c>
      <c r="P8" s="157">
        <v>5.8</v>
      </c>
      <c r="Q8" s="154"/>
    </row>
    <row r="9" spans="1:17" s="149" customFormat="1" ht="13.15" hidden="1" customHeight="1">
      <c r="A9" s="336"/>
      <c r="B9" s="158" t="s">
        <v>356</v>
      </c>
      <c r="C9" s="165">
        <v>-2.9</v>
      </c>
      <c r="D9" s="166">
        <v>5</v>
      </c>
      <c r="E9" s="166">
        <v>-1.5</v>
      </c>
      <c r="F9" s="166">
        <v>-3.9</v>
      </c>
      <c r="G9" s="166">
        <v>9.3000000000000007</v>
      </c>
      <c r="H9" s="166">
        <v>0.6</v>
      </c>
      <c r="I9" s="336"/>
      <c r="J9" s="158" t="s">
        <v>356</v>
      </c>
      <c r="K9" s="167">
        <v>-1.1000000000000001</v>
      </c>
      <c r="L9" s="160">
        <v>-1</v>
      </c>
      <c r="M9" s="160">
        <v>-2.8</v>
      </c>
      <c r="N9" s="160">
        <v>-0.9</v>
      </c>
      <c r="O9" s="160">
        <v>9.6999999999999993</v>
      </c>
      <c r="P9" s="160">
        <v>1.7</v>
      </c>
      <c r="Q9" s="154"/>
    </row>
    <row r="10" spans="1:17" s="149" customFormat="1" ht="13.15" hidden="1" customHeight="1">
      <c r="A10" s="333">
        <v>2004</v>
      </c>
      <c r="B10" s="150" t="s">
        <v>353</v>
      </c>
      <c r="C10" s="161">
        <v>12153735</v>
      </c>
      <c r="D10" s="162">
        <v>921223</v>
      </c>
      <c r="E10" s="162">
        <v>2033411</v>
      </c>
      <c r="F10" s="162">
        <v>9169560</v>
      </c>
      <c r="G10" s="162">
        <v>10648</v>
      </c>
      <c r="H10" s="162">
        <v>18893</v>
      </c>
      <c r="I10" s="333">
        <v>2004</v>
      </c>
      <c r="J10" s="153" t="s">
        <v>354</v>
      </c>
      <c r="K10" s="156">
        <v>143775</v>
      </c>
      <c r="L10" s="163">
        <v>28459</v>
      </c>
      <c r="M10" s="163">
        <v>24291</v>
      </c>
      <c r="N10" s="163">
        <v>83217</v>
      </c>
      <c r="O10" s="163">
        <v>657</v>
      </c>
      <c r="P10" s="163">
        <v>7151</v>
      </c>
      <c r="Q10" s="154"/>
    </row>
    <row r="11" spans="1:17" s="149" customFormat="1" ht="13.15" hidden="1" customHeight="1">
      <c r="A11" s="334"/>
      <c r="B11" s="155" t="s">
        <v>355</v>
      </c>
      <c r="C11" s="161">
        <v>100</v>
      </c>
      <c r="D11" s="164">
        <v>7.6</v>
      </c>
      <c r="E11" s="164">
        <v>16.7</v>
      </c>
      <c r="F11" s="164">
        <v>75.400000000000006</v>
      </c>
      <c r="G11" s="164">
        <v>0.1</v>
      </c>
      <c r="H11" s="164">
        <v>0.2</v>
      </c>
      <c r="I11" s="336"/>
      <c r="J11" s="155" t="s">
        <v>355</v>
      </c>
      <c r="K11" s="156">
        <v>100</v>
      </c>
      <c r="L11" s="157">
        <v>19.8</v>
      </c>
      <c r="M11" s="157">
        <v>16.899999999999999</v>
      </c>
      <c r="N11" s="157">
        <v>57.8</v>
      </c>
      <c r="O11" s="157">
        <v>0.5</v>
      </c>
      <c r="P11" s="157">
        <v>5</v>
      </c>
      <c r="Q11" s="154"/>
    </row>
    <row r="12" spans="1:17" s="149" customFormat="1" ht="13.15" hidden="1" customHeight="1">
      <c r="A12" s="335"/>
      <c r="B12" s="158" t="s">
        <v>356</v>
      </c>
      <c r="C12" s="165">
        <v>-1.3</v>
      </c>
      <c r="D12" s="166">
        <v>3</v>
      </c>
      <c r="E12" s="164">
        <v>2.6</v>
      </c>
      <c r="F12" s="164">
        <v>-2.5</v>
      </c>
      <c r="G12" s="164">
        <v>3</v>
      </c>
      <c r="H12" s="164">
        <v>-11.6</v>
      </c>
      <c r="I12" s="337"/>
      <c r="J12" s="158" t="s">
        <v>356</v>
      </c>
      <c r="K12" s="159">
        <v>5.0999999999999996</v>
      </c>
      <c r="L12" s="157">
        <v>4.5</v>
      </c>
      <c r="M12" s="157">
        <v>2.2999999999999998</v>
      </c>
      <c r="N12" s="157">
        <v>7.8</v>
      </c>
      <c r="O12" s="157">
        <v>6</v>
      </c>
      <c r="P12" s="157">
        <v>-9.9</v>
      </c>
      <c r="Q12" s="154"/>
    </row>
    <row r="13" spans="1:17" s="149" customFormat="1" ht="12.75" customHeight="1">
      <c r="A13" s="333">
        <v>2006</v>
      </c>
      <c r="B13" s="150" t="s">
        <v>353</v>
      </c>
      <c r="C13" s="161">
        <v>12186509</v>
      </c>
      <c r="D13" s="162">
        <v>969145</v>
      </c>
      <c r="E13" s="162">
        <v>2079961</v>
      </c>
      <c r="F13" s="162">
        <v>9108648</v>
      </c>
      <c r="G13" s="162">
        <v>11574</v>
      </c>
      <c r="H13" s="162">
        <v>17181</v>
      </c>
      <c r="I13" s="333">
        <v>2006</v>
      </c>
      <c r="J13" s="153" t="s">
        <v>354</v>
      </c>
      <c r="K13" s="156">
        <v>160740</v>
      </c>
      <c r="L13" s="163">
        <v>31416</v>
      </c>
      <c r="M13" s="163">
        <v>24110</v>
      </c>
      <c r="N13" s="163">
        <v>97854</v>
      </c>
      <c r="O13" s="163">
        <v>709</v>
      </c>
      <c r="P13" s="163">
        <v>6651</v>
      </c>
      <c r="Q13" s="154"/>
    </row>
    <row r="14" spans="1:17" s="149" customFormat="1" ht="12.75" customHeight="1">
      <c r="A14" s="334"/>
      <c r="B14" s="155" t="s">
        <v>355</v>
      </c>
      <c r="C14" s="161">
        <v>100</v>
      </c>
      <c r="D14" s="164">
        <v>8</v>
      </c>
      <c r="E14" s="164">
        <v>17.100000000000001</v>
      </c>
      <c r="F14" s="164">
        <v>74.7</v>
      </c>
      <c r="G14" s="164">
        <v>0.1</v>
      </c>
      <c r="H14" s="164">
        <v>0.1</v>
      </c>
      <c r="I14" s="334"/>
      <c r="J14" s="155" t="s">
        <v>355</v>
      </c>
      <c r="K14" s="156">
        <v>100</v>
      </c>
      <c r="L14" s="157">
        <v>19.5</v>
      </c>
      <c r="M14" s="157">
        <v>15</v>
      </c>
      <c r="N14" s="157">
        <v>61</v>
      </c>
      <c r="O14" s="157">
        <v>0.4</v>
      </c>
      <c r="P14" s="157">
        <v>4.0999999999999996</v>
      </c>
      <c r="Q14" s="154"/>
    </row>
    <row r="15" spans="1:17" s="149" customFormat="1" ht="12.75" customHeight="1">
      <c r="A15" s="335"/>
      <c r="B15" s="158" t="s">
        <v>356</v>
      </c>
      <c r="C15" s="165">
        <v>3.3</v>
      </c>
      <c r="D15" s="166">
        <v>1.9</v>
      </c>
      <c r="E15" s="166">
        <v>3</v>
      </c>
      <c r="F15" s="166">
        <v>3.5</v>
      </c>
      <c r="G15" s="166">
        <v>4.3</v>
      </c>
      <c r="H15" s="166">
        <v>0.1</v>
      </c>
      <c r="I15" s="335"/>
      <c r="J15" s="158" t="s">
        <v>356</v>
      </c>
      <c r="K15" s="159">
        <v>4.7</v>
      </c>
      <c r="L15" s="157">
        <v>1.3</v>
      </c>
      <c r="M15" s="157">
        <v>2</v>
      </c>
      <c r="N15" s="157">
        <v>6.8</v>
      </c>
      <c r="O15" s="157">
        <v>6.1</v>
      </c>
      <c r="P15" s="157">
        <v>0.9</v>
      </c>
      <c r="Q15" s="154"/>
    </row>
    <row r="16" spans="1:17" s="149" customFormat="1" ht="12.75" customHeight="1">
      <c r="A16" s="333">
        <v>2007</v>
      </c>
      <c r="B16" s="150" t="s">
        <v>353</v>
      </c>
      <c r="C16" s="161">
        <v>12410876</v>
      </c>
      <c r="D16" s="162">
        <v>989294</v>
      </c>
      <c r="E16" s="162">
        <v>2090290</v>
      </c>
      <c r="F16" s="162">
        <v>9301810</v>
      </c>
      <c r="G16" s="162">
        <v>12634</v>
      </c>
      <c r="H16" s="162">
        <v>16848</v>
      </c>
      <c r="I16" s="333">
        <v>2007</v>
      </c>
      <c r="J16" s="153" t="s">
        <v>354</v>
      </c>
      <c r="K16" s="156">
        <v>182590</v>
      </c>
      <c r="L16" s="163">
        <v>31596</v>
      </c>
      <c r="M16" s="163">
        <v>24134</v>
      </c>
      <c r="N16" s="163">
        <v>119569</v>
      </c>
      <c r="O16" s="163">
        <v>765</v>
      </c>
      <c r="P16" s="163">
        <v>6526</v>
      </c>
      <c r="Q16" s="154"/>
    </row>
    <row r="17" spans="1:219" s="149" customFormat="1" ht="12.75" customHeight="1">
      <c r="A17" s="334"/>
      <c r="B17" s="155" t="s">
        <v>355</v>
      </c>
      <c r="C17" s="161">
        <v>100</v>
      </c>
      <c r="D17" s="164">
        <v>8</v>
      </c>
      <c r="E17" s="164">
        <v>16.8</v>
      </c>
      <c r="F17" s="164">
        <v>75</v>
      </c>
      <c r="G17" s="164">
        <v>0.1</v>
      </c>
      <c r="H17" s="164">
        <v>0.1</v>
      </c>
      <c r="I17" s="334"/>
      <c r="J17" s="155" t="s">
        <v>355</v>
      </c>
      <c r="K17" s="156">
        <v>100</v>
      </c>
      <c r="L17" s="157">
        <v>17.3</v>
      </c>
      <c r="M17" s="157">
        <v>13.2</v>
      </c>
      <c r="N17" s="157">
        <v>65.5</v>
      </c>
      <c r="O17" s="157">
        <v>0.4</v>
      </c>
      <c r="P17" s="157">
        <v>3.6</v>
      </c>
      <c r="Q17" s="154"/>
    </row>
    <row r="18" spans="1:219" s="149" customFormat="1" ht="12.75" customHeight="1">
      <c r="A18" s="335"/>
      <c r="B18" s="158" t="s">
        <v>356</v>
      </c>
      <c r="C18" s="165">
        <v>1.8</v>
      </c>
      <c r="D18" s="166">
        <v>2.1</v>
      </c>
      <c r="E18" s="166">
        <v>0.5</v>
      </c>
      <c r="F18" s="166">
        <v>2.1</v>
      </c>
      <c r="G18" s="166">
        <v>9.1999999999999993</v>
      </c>
      <c r="H18" s="166">
        <v>-1.9</v>
      </c>
      <c r="I18" s="335"/>
      <c r="J18" s="158" t="s">
        <v>356</v>
      </c>
      <c r="K18" s="159">
        <v>13.6</v>
      </c>
      <c r="L18" s="157">
        <v>0.6</v>
      </c>
      <c r="M18" s="157">
        <v>0.1</v>
      </c>
      <c r="N18" s="157">
        <v>22.2</v>
      </c>
      <c r="O18" s="157">
        <v>7.9</v>
      </c>
      <c r="P18" s="157">
        <v>-1.9</v>
      </c>
      <c r="Q18" s="154"/>
    </row>
    <row r="19" spans="1:219" s="149" customFormat="1" ht="12.75" customHeight="1">
      <c r="A19" s="333">
        <v>2008</v>
      </c>
      <c r="B19" s="150" t="s">
        <v>353</v>
      </c>
      <c r="C19" s="161">
        <v>12990411</v>
      </c>
      <c r="D19" s="162">
        <v>1018977</v>
      </c>
      <c r="E19" s="162">
        <v>2141872</v>
      </c>
      <c r="F19" s="162">
        <v>9798410</v>
      </c>
      <c r="G19" s="162">
        <v>14162</v>
      </c>
      <c r="H19" s="162">
        <v>16990</v>
      </c>
      <c r="I19" s="333">
        <v>2008</v>
      </c>
      <c r="J19" s="153" t="s">
        <v>354</v>
      </c>
      <c r="K19" s="156">
        <v>168425</v>
      </c>
      <c r="L19" s="163">
        <v>32027</v>
      </c>
      <c r="M19" s="163">
        <v>24740</v>
      </c>
      <c r="N19" s="163">
        <v>104142</v>
      </c>
      <c r="O19" s="163">
        <v>873</v>
      </c>
      <c r="P19" s="163">
        <v>6643</v>
      </c>
      <c r="Q19" s="154"/>
    </row>
    <row r="20" spans="1:219" s="149" customFormat="1" ht="12.75" customHeight="1">
      <c r="A20" s="334"/>
      <c r="B20" s="155" t="s">
        <v>355</v>
      </c>
      <c r="C20" s="161">
        <v>100</v>
      </c>
      <c r="D20" s="164">
        <v>7.8</v>
      </c>
      <c r="E20" s="164">
        <v>16.5</v>
      </c>
      <c r="F20" s="164">
        <v>75.5</v>
      </c>
      <c r="G20" s="164">
        <v>0.1</v>
      </c>
      <c r="H20" s="164">
        <v>0.1</v>
      </c>
      <c r="I20" s="334"/>
      <c r="J20" s="155" t="s">
        <v>355</v>
      </c>
      <c r="K20" s="156">
        <v>100</v>
      </c>
      <c r="L20" s="157">
        <v>19</v>
      </c>
      <c r="M20" s="157">
        <v>14.7</v>
      </c>
      <c r="N20" s="157">
        <v>61.9</v>
      </c>
      <c r="O20" s="157">
        <v>0.5</v>
      </c>
      <c r="P20" s="157">
        <v>3.9</v>
      </c>
      <c r="Q20" s="154"/>
    </row>
    <row r="21" spans="1:219" s="149" customFormat="1" ht="12.75" customHeight="1">
      <c r="A21" s="335"/>
      <c r="B21" s="158" t="s">
        <v>356</v>
      </c>
      <c r="C21" s="168">
        <v>4.7</v>
      </c>
      <c r="D21" s="164">
        <v>3</v>
      </c>
      <c r="E21" s="164">
        <v>2.5</v>
      </c>
      <c r="F21" s="164">
        <v>5.3</v>
      </c>
      <c r="G21" s="164">
        <v>12.1</v>
      </c>
      <c r="H21" s="164">
        <v>0.8</v>
      </c>
      <c r="I21" s="335"/>
      <c r="J21" s="155" t="s">
        <v>356</v>
      </c>
      <c r="K21" s="167">
        <v>-7.8</v>
      </c>
      <c r="L21" s="160">
        <v>1.4</v>
      </c>
      <c r="M21" s="160">
        <v>2.5</v>
      </c>
      <c r="N21" s="160">
        <v>-12.9</v>
      </c>
      <c r="O21" s="160">
        <v>14.1</v>
      </c>
      <c r="P21" s="160">
        <v>1.8</v>
      </c>
      <c r="Q21" s="154"/>
    </row>
    <row r="22" spans="1:219" s="149" customFormat="1" ht="12.75" customHeight="1">
      <c r="A22" s="333">
        <v>2009</v>
      </c>
      <c r="B22" s="150" t="s">
        <v>353</v>
      </c>
      <c r="C22" s="161">
        <v>12958910</v>
      </c>
      <c r="D22" s="162">
        <v>1020319</v>
      </c>
      <c r="E22" s="162">
        <v>2181346</v>
      </c>
      <c r="F22" s="162">
        <v>9724316</v>
      </c>
      <c r="G22" s="162">
        <v>14868</v>
      </c>
      <c r="H22" s="162">
        <v>18061</v>
      </c>
      <c r="I22" s="333">
        <v>2009</v>
      </c>
      <c r="J22" s="153" t="s">
        <v>354</v>
      </c>
      <c r="K22" s="156">
        <v>164575</v>
      </c>
      <c r="L22" s="163">
        <v>31299</v>
      </c>
      <c r="M22" s="163">
        <v>24190</v>
      </c>
      <c r="N22" s="163">
        <v>101114</v>
      </c>
      <c r="O22" s="163">
        <v>867</v>
      </c>
      <c r="P22" s="163">
        <v>7105</v>
      </c>
      <c r="Q22" s="154"/>
    </row>
    <row r="23" spans="1:219" s="149" customFormat="1" ht="12.75" customHeight="1">
      <c r="A23" s="334"/>
      <c r="B23" s="155" t="s">
        <v>355</v>
      </c>
      <c r="C23" s="161">
        <v>100</v>
      </c>
      <c r="D23" s="164">
        <v>7.9</v>
      </c>
      <c r="E23" s="164">
        <v>16.8</v>
      </c>
      <c r="F23" s="164">
        <v>75.099999999999994</v>
      </c>
      <c r="G23" s="164">
        <v>0.1</v>
      </c>
      <c r="H23" s="164">
        <v>0.1</v>
      </c>
      <c r="I23" s="334"/>
      <c r="J23" s="155" t="s">
        <v>355</v>
      </c>
      <c r="K23" s="156">
        <v>100</v>
      </c>
      <c r="L23" s="157">
        <v>19</v>
      </c>
      <c r="M23" s="157">
        <v>14.7</v>
      </c>
      <c r="N23" s="157">
        <v>61.5</v>
      </c>
      <c r="O23" s="157">
        <v>0.5</v>
      </c>
      <c r="P23" s="157">
        <v>4.3</v>
      </c>
      <c r="Q23" s="154"/>
    </row>
    <row r="24" spans="1:219" s="149" customFormat="1" ht="12.75" customHeight="1">
      <c r="A24" s="335"/>
      <c r="B24" s="155" t="s">
        <v>356</v>
      </c>
      <c r="C24" s="168">
        <v>-0.2</v>
      </c>
      <c r="D24" s="164">
        <v>0.1</v>
      </c>
      <c r="E24" s="164">
        <v>1.8</v>
      </c>
      <c r="F24" s="164">
        <v>-0.8</v>
      </c>
      <c r="G24" s="164">
        <v>5</v>
      </c>
      <c r="H24" s="164">
        <v>6.3</v>
      </c>
      <c r="I24" s="335"/>
      <c r="J24" s="155" t="s">
        <v>356</v>
      </c>
      <c r="K24" s="159">
        <v>-2.2999999999999998</v>
      </c>
      <c r="L24" s="157">
        <v>-2.2999999999999998</v>
      </c>
      <c r="M24" s="157">
        <v>-2.2000000000000002</v>
      </c>
      <c r="N24" s="157">
        <v>-2.9</v>
      </c>
      <c r="O24" s="157">
        <v>-0.7</v>
      </c>
      <c r="P24" s="157">
        <v>7</v>
      </c>
      <c r="Q24" s="154"/>
    </row>
    <row r="25" spans="1:219" s="169" customFormat="1" ht="12.75" customHeight="1">
      <c r="A25" s="333">
        <v>2010</v>
      </c>
      <c r="B25" s="150" t="s">
        <v>353</v>
      </c>
      <c r="C25" s="161">
        <v>12867138</v>
      </c>
      <c r="D25" s="162">
        <v>1060941</v>
      </c>
      <c r="E25" s="162">
        <v>2273087</v>
      </c>
      <c r="F25" s="162">
        <v>9498586</v>
      </c>
      <c r="G25" s="162">
        <v>14308</v>
      </c>
      <c r="H25" s="162">
        <v>20216</v>
      </c>
      <c r="I25" s="333">
        <v>2010</v>
      </c>
      <c r="J25" s="153" t="s">
        <v>354</v>
      </c>
      <c r="K25" s="156">
        <v>171946</v>
      </c>
      <c r="L25" s="163">
        <v>33012</v>
      </c>
      <c r="M25" s="163">
        <v>25369</v>
      </c>
      <c r="N25" s="163">
        <v>104671</v>
      </c>
      <c r="O25" s="163">
        <v>883</v>
      </c>
      <c r="P25" s="163">
        <v>8011</v>
      </c>
    </row>
    <row r="26" spans="1:219" s="169" customFormat="1" ht="12.75" customHeight="1">
      <c r="A26" s="334"/>
      <c r="B26" s="155" t="s">
        <v>355</v>
      </c>
      <c r="C26" s="161">
        <v>100</v>
      </c>
      <c r="D26" s="164">
        <v>8.1999999999999993</v>
      </c>
      <c r="E26" s="164">
        <v>17.7</v>
      </c>
      <c r="F26" s="164">
        <v>73.8</v>
      </c>
      <c r="G26" s="164">
        <v>0.1</v>
      </c>
      <c r="H26" s="164">
        <v>0.2</v>
      </c>
      <c r="I26" s="334"/>
      <c r="J26" s="155" t="s">
        <v>355</v>
      </c>
      <c r="K26" s="156">
        <v>100</v>
      </c>
      <c r="L26" s="157">
        <v>19.2</v>
      </c>
      <c r="M26" s="157">
        <v>14.8</v>
      </c>
      <c r="N26" s="157">
        <v>60.8</v>
      </c>
      <c r="O26" s="157">
        <v>0.5</v>
      </c>
      <c r="P26" s="157">
        <v>4.7</v>
      </c>
    </row>
    <row r="27" spans="1:219" s="169" customFormat="1" ht="12.75" customHeight="1">
      <c r="A27" s="335"/>
      <c r="B27" s="158" t="s">
        <v>356</v>
      </c>
      <c r="C27" s="168">
        <v>-0.7</v>
      </c>
      <c r="D27" s="164">
        <v>4</v>
      </c>
      <c r="E27" s="164">
        <v>4.2</v>
      </c>
      <c r="F27" s="164">
        <v>-2.2999999999999998</v>
      </c>
      <c r="G27" s="164">
        <v>-3.8</v>
      </c>
      <c r="H27" s="164">
        <v>11.9</v>
      </c>
      <c r="I27" s="335"/>
      <c r="J27" s="158" t="s">
        <v>356</v>
      </c>
      <c r="K27" s="159">
        <v>4.5</v>
      </c>
      <c r="L27" s="157">
        <v>5.5</v>
      </c>
      <c r="M27" s="157">
        <v>4.9000000000000004</v>
      </c>
      <c r="N27" s="157">
        <v>3.5</v>
      </c>
      <c r="O27" s="157">
        <v>1.8</v>
      </c>
      <c r="P27" s="157">
        <v>12.8</v>
      </c>
    </row>
    <row r="28" spans="1:219" s="169" customFormat="1" ht="12.75" customHeight="1">
      <c r="A28" s="333">
        <v>2011</v>
      </c>
      <c r="B28" s="155" t="s">
        <v>353</v>
      </c>
      <c r="C28" s="161">
        <v>29455705</v>
      </c>
      <c r="D28" s="162">
        <v>1118621</v>
      </c>
      <c r="E28" s="162">
        <v>2358758</v>
      </c>
      <c r="F28" s="162">
        <v>25943079</v>
      </c>
      <c r="G28" s="162">
        <v>14266</v>
      </c>
      <c r="H28" s="162">
        <v>20981</v>
      </c>
      <c r="I28" s="333">
        <v>2011</v>
      </c>
      <c r="J28" s="153" t="s">
        <v>357</v>
      </c>
      <c r="K28" s="156">
        <v>416348</v>
      </c>
      <c r="L28" s="163">
        <v>36784</v>
      </c>
      <c r="M28" s="163">
        <v>26260</v>
      </c>
      <c r="N28" s="163">
        <v>343928</v>
      </c>
      <c r="O28" s="163">
        <v>981</v>
      </c>
      <c r="P28" s="163">
        <v>8395</v>
      </c>
      <c r="R28" s="154"/>
      <c r="S28" s="154"/>
      <c r="T28" s="338"/>
      <c r="U28" s="170"/>
      <c r="V28" s="171"/>
      <c r="W28" s="154"/>
      <c r="X28" s="154"/>
      <c r="Y28" s="154"/>
      <c r="Z28" s="154"/>
      <c r="AA28" s="154"/>
      <c r="AB28" s="338"/>
      <c r="AC28" s="172"/>
      <c r="AD28" s="171"/>
      <c r="AE28" s="154"/>
      <c r="AF28" s="154"/>
      <c r="AG28" s="154"/>
      <c r="AH28" s="154"/>
      <c r="AI28" s="154"/>
      <c r="AJ28" s="338"/>
      <c r="AK28" s="170"/>
      <c r="AL28" s="171"/>
      <c r="AM28" s="154"/>
      <c r="AN28" s="154"/>
      <c r="AO28" s="154"/>
      <c r="AP28" s="154"/>
      <c r="AQ28" s="154"/>
      <c r="AR28" s="338"/>
      <c r="AS28" s="172"/>
      <c r="AT28" s="171"/>
      <c r="AU28" s="154"/>
      <c r="AV28" s="154"/>
      <c r="AW28" s="154"/>
      <c r="AX28" s="154"/>
      <c r="AY28" s="154"/>
      <c r="AZ28" s="338"/>
      <c r="BA28" s="170"/>
      <c r="BB28" s="171"/>
      <c r="BC28" s="154"/>
      <c r="BD28" s="154"/>
      <c r="BE28" s="154"/>
      <c r="BF28" s="154"/>
      <c r="BG28" s="154"/>
      <c r="BH28" s="338"/>
      <c r="BI28" s="172"/>
      <c r="BJ28" s="171"/>
      <c r="BK28" s="154"/>
      <c r="BL28" s="154"/>
      <c r="BM28" s="154"/>
      <c r="BN28" s="154"/>
      <c r="BO28" s="154"/>
      <c r="BP28" s="338"/>
      <c r="BQ28" s="170"/>
      <c r="BR28" s="171"/>
      <c r="BS28" s="154"/>
      <c r="BT28" s="154"/>
      <c r="BU28" s="154"/>
      <c r="BV28" s="154"/>
      <c r="BW28" s="154"/>
      <c r="BX28" s="338"/>
      <c r="BY28" s="172"/>
      <c r="BZ28" s="171"/>
      <c r="CA28" s="154"/>
      <c r="CB28" s="154"/>
      <c r="CC28" s="154"/>
      <c r="CD28" s="154"/>
      <c r="CE28" s="154"/>
      <c r="CF28" s="338"/>
      <c r="CG28" s="170"/>
      <c r="CH28" s="171"/>
      <c r="CI28" s="154"/>
      <c r="CJ28" s="154"/>
      <c r="CK28" s="154"/>
      <c r="CL28" s="154"/>
      <c r="CM28" s="154"/>
      <c r="CN28" s="338"/>
      <c r="CO28" s="172"/>
      <c r="CP28" s="171"/>
      <c r="CQ28" s="154"/>
      <c r="CR28" s="154"/>
      <c r="CS28" s="154"/>
      <c r="CT28" s="154"/>
      <c r="CU28" s="154"/>
      <c r="CV28" s="338"/>
      <c r="CW28" s="170"/>
      <c r="CX28" s="171"/>
      <c r="CY28" s="154"/>
      <c r="CZ28" s="154"/>
      <c r="DA28" s="154"/>
      <c r="DB28" s="154"/>
      <c r="DC28" s="154"/>
      <c r="DD28" s="338"/>
      <c r="DE28" s="172"/>
      <c r="DF28" s="171"/>
      <c r="DG28" s="154"/>
      <c r="DH28" s="154"/>
      <c r="DI28" s="154"/>
      <c r="DJ28" s="154"/>
      <c r="DK28" s="154"/>
      <c r="DL28" s="338"/>
      <c r="DM28" s="170"/>
      <c r="DN28" s="171"/>
      <c r="DO28" s="154"/>
      <c r="DP28" s="154"/>
      <c r="DQ28" s="154"/>
      <c r="DR28" s="154"/>
      <c r="DS28" s="154"/>
      <c r="DT28" s="338"/>
      <c r="DU28" s="172"/>
      <c r="DV28" s="171"/>
      <c r="DW28" s="154"/>
      <c r="DX28" s="154"/>
      <c r="DY28" s="154"/>
      <c r="DZ28" s="154"/>
      <c r="EA28" s="154"/>
      <c r="EB28" s="338"/>
      <c r="EC28" s="170"/>
      <c r="ED28" s="171"/>
      <c r="EE28" s="154"/>
      <c r="EF28" s="154"/>
      <c r="EG28" s="154"/>
      <c r="EH28" s="154"/>
      <c r="EI28" s="154"/>
      <c r="EJ28" s="338"/>
      <c r="EK28" s="172"/>
      <c r="EL28" s="171"/>
      <c r="EM28" s="154"/>
      <c r="EN28" s="154"/>
      <c r="EO28" s="154"/>
      <c r="EP28" s="154"/>
      <c r="EQ28" s="154"/>
      <c r="ER28" s="338"/>
      <c r="ES28" s="170"/>
      <c r="ET28" s="171"/>
      <c r="EU28" s="154"/>
      <c r="EV28" s="154"/>
      <c r="EW28" s="154"/>
      <c r="EX28" s="154"/>
      <c r="EY28" s="154"/>
      <c r="EZ28" s="338"/>
      <c r="FA28" s="172"/>
      <c r="FB28" s="171"/>
      <c r="FC28" s="154"/>
      <c r="FD28" s="154"/>
      <c r="FE28" s="154"/>
      <c r="FF28" s="154"/>
      <c r="FG28" s="154"/>
      <c r="FH28" s="338"/>
      <c r="FI28" s="170"/>
      <c r="FJ28" s="171"/>
      <c r="FK28" s="154"/>
      <c r="FL28" s="154"/>
      <c r="FM28" s="154"/>
      <c r="FN28" s="154"/>
      <c r="FO28" s="154"/>
      <c r="FP28" s="338"/>
      <c r="FQ28" s="172"/>
      <c r="FR28" s="171"/>
      <c r="FS28" s="154"/>
      <c r="FT28" s="154"/>
      <c r="FU28" s="154"/>
      <c r="FV28" s="154"/>
      <c r="FW28" s="154"/>
      <c r="FX28" s="338"/>
      <c r="FY28" s="170"/>
      <c r="FZ28" s="171"/>
      <c r="GA28" s="154"/>
      <c r="GB28" s="154"/>
      <c r="GC28" s="154"/>
      <c r="GD28" s="154"/>
      <c r="GE28" s="154"/>
      <c r="GF28" s="338"/>
      <c r="GG28" s="172"/>
      <c r="GH28" s="171"/>
      <c r="GI28" s="154"/>
      <c r="GJ28" s="154"/>
      <c r="GK28" s="154"/>
      <c r="GL28" s="154"/>
      <c r="GM28" s="154"/>
      <c r="GN28" s="338"/>
      <c r="GO28" s="170"/>
      <c r="GP28" s="171"/>
      <c r="GQ28" s="154"/>
      <c r="GR28" s="154"/>
      <c r="GS28" s="154"/>
      <c r="GT28" s="154"/>
      <c r="GU28" s="154"/>
      <c r="GV28" s="338"/>
      <c r="GW28" s="172"/>
      <c r="GX28" s="171"/>
      <c r="GY28" s="154"/>
      <c r="GZ28" s="154"/>
      <c r="HA28" s="154"/>
      <c r="HB28" s="154"/>
      <c r="HC28" s="154"/>
      <c r="HD28" s="338"/>
      <c r="HE28" s="170"/>
      <c r="HF28" s="171"/>
      <c r="HG28" s="154"/>
      <c r="HH28" s="154"/>
      <c r="HI28" s="154"/>
      <c r="HJ28" s="154"/>
      <c r="HK28" s="154"/>
    </row>
    <row r="29" spans="1:219" s="169" customFormat="1" ht="12.75" customHeight="1">
      <c r="A29" s="334"/>
      <c r="B29" s="155" t="s">
        <v>355</v>
      </c>
      <c r="C29" s="161">
        <v>100</v>
      </c>
      <c r="D29" s="164">
        <v>3.8</v>
      </c>
      <c r="E29" s="164">
        <v>8</v>
      </c>
      <c r="F29" s="164">
        <v>88</v>
      </c>
      <c r="G29" s="164">
        <v>0.1</v>
      </c>
      <c r="H29" s="164">
        <v>0.1</v>
      </c>
      <c r="I29" s="334"/>
      <c r="J29" s="155" t="s">
        <v>355</v>
      </c>
      <c r="K29" s="156">
        <v>100</v>
      </c>
      <c r="L29" s="157">
        <v>8.8000000000000007</v>
      </c>
      <c r="M29" s="157">
        <v>6.3</v>
      </c>
      <c r="N29" s="157">
        <v>82.7</v>
      </c>
      <c r="O29" s="157">
        <v>0.2</v>
      </c>
      <c r="P29" s="157">
        <v>2</v>
      </c>
      <c r="R29" s="173"/>
      <c r="S29" s="173"/>
      <c r="T29" s="339"/>
      <c r="U29" s="172"/>
      <c r="V29" s="171"/>
      <c r="W29" s="173"/>
      <c r="X29" s="173"/>
      <c r="Y29" s="173"/>
      <c r="Z29" s="173"/>
      <c r="AA29" s="173"/>
      <c r="AB29" s="339"/>
      <c r="AC29" s="172"/>
      <c r="AD29" s="171"/>
      <c r="AE29" s="173"/>
      <c r="AF29" s="173"/>
      <c r="AG29" s="173"/>
      <c r="AH29" s="173"/>
      <c r="AI29" s="173"/>
      <c r="AJ29" s="339"/>
      <c r="AK29" s="172"/>
      <c r="AL29" s="171"/>
      <c r="AM29" s="173"/>
      <c r="AN29" s="173"/>
      <c r="AO29" s="173"/>
      <c r="AP29" s="173"/>
      <c r="AQ29" s="173"/>
      <c r="AR29" s="339"/>
      <c r="AS29" s="172"/>
      <c r="AT29" s="171"/>
      <c r="AU29" s="173"/>
      <c r="AV29" s="173"/>
      <c r="AW29" s="173"/>
      <c r="AX29" s="173"/>
      <c r="AY29" s="173"/>
      <c r="AZ29" s="339"/>
      <c r="BA29" s="172"/>
      <c r="BB29" s="171"/>
      <c r="BC29" s="173"/>
      <c r="BD29" s="173"/>
      <c r="BE29" s="173"/>
      <c r="BF29" s="173"/>
      <c r="BG29" s="173"/>
      <c r="BH29" s="339"/>
      <c r="BI29" s="172"/>
      <c r="BJ29" s="171"/>
      <c r="BK29" s="173"/>
      <c r="BL29" s="173"/>
      <c r="BM29" s="173"/>
      <c r="BN29" s="173"/>
      <c r="BO29" s="173"/>
      <c r="BP29" s="339"/>
      <c r="BQ29" s="172"/>
      <c r="BR29" s="171"/>
      <c r="BS29" s="173"/>
      <c r="BT29" s="173"/>
      <c r="BU29" s="173"/>
      <c r="BV29" s="173"/>
      <c r="BW29" s="173"/>
      <c r="BX29" s="339"/>
      <c r="BY29" s="172"/>
      <c r="BZ29" s="171"/>
      <c r="CA29" s="173"/>
      <c r="CB29" s="173"/>
      <c r="CC29" s="173"/>
      <c r="CD29" s="173"/>
      <c r="CE29" s="173"/>
      <c r="CF29" s="339"/>
      <c r="CG29" s="172"/>
      <c r="CH29" s="171"/>
      <c r="CI29" s="173"/>
      <c r="CJ29" s="173"/>
      <c r="CK29" s="173"/>
      <c r="CL29" s="173"/>
      <c r="CM29" s="173"/>
      <c r="CN29" s="339"/>
      <c r="CO29" s="172"/>
      <c r="CP29" s="171"/>
      <c r="CQ29" s="173"/>
      <c r="CR29" s="173"/>
      <c r="CS29" s="173"/>
      <c r="CT29" s="173"/>
      <c r="CU29" s="173"/>
      <c r="CV29" s="339"/>
      <c r="CW29" s="172"/>
      <c r="CX29" s="171"/>
      <c r="CY29" s="173"/>
      <c r="CZ29" s="173"/>
      <c r="DA29" s="173"/>
      <c r="DB29" s="173"/>
      <c r="DC29" s="173"/>
      <c r="DD29" s="339"/>
      <c r="DE29" s="172"/>
      <c r="DF29" s="171"/>
      <c r="DG29" s="173"/>
      <c r="DH29" s="173"/>
      <c r="DI29" s="173"/>
      <c r="DJ29" s="173"/>
      <c r="DK29" s="173"/>
      <c r="DL29" s="339"/>
      <c r="DM29" s="172"/>
      <c r="DN29" s="171"/>
      <c r="DO29" s="173"/>
      <c r="DP29" s="173"/>
      <c r="DQ29" s="173"/>
      <c r="DR29" s="173"/>
      <c r="DS29" s="173"/>
      <c r="DT29" s="339"/>
      <c r="DU29" s="172"/>
      <c r="DV29" s="171"/>
      <c r="DW29" s="173"/>
      <c r="DX29" s="173"/>
      <c r="DY29" s="173"/>
      <c r="DZ29" s="173"/>
      <c r="EA29" s="173"/>
      <c r="EB29" s="339"/>
      <c r="EC29" s="172"/>
      <c r="ED29" s="171"/>
      <c r="EE29" s="173"/>
      <c r="EF29" s="173"/>
      <c r="EG29" s="173"/>
      <c r="EH29" s="173"/>
      <c r="EI29" s="173"/>
      <c r="EJ29" s="339"/>
      <c r="EK29" s="172"/>
      <c r="EL29" s="171"/>
      <c r="EM29" s="173"/>
      <c r="EN29" s="173"/>
      <c r="EO29" s="173"/>
      <c r="EP29" s="173"/>
      <c r="EQ29" s="173"/>
      <c r="ER29" s="339"/>
      <c r="ES29" s="172"/>
      <c r="ET29" s="171"/>
      <c r="EU29" s="173"/>
      <c r="EV29" s="173"/>
      <c r="EW29" s="173"/>
      <c r="EX29" s="173"/>
      <c r="EY29" s="173"/>
      <c r="EZ29" s="339"/>
      <c r="FA29" s="172"/>
      <c r="FB29" s="171"/>
      <c r="FC29" s="173"/>
      <c r="FD29" s="173"/>
      <c r="FE29" s="173"/>
      <c r="FF29" s="173"/>
      <c r="FG29" s="173"/>
      <c r="FH29" s="339"/>
      <c r="FI29" s="172"/>
      <c r="FJ29" s="171"/>
      <c r="FK29" s="173"/>
      <c r="FL29" s="173"/>
      <c r="FM29" s="173"/>
      <c r="FN29" s="173"/>
      <c r="FO29" s="173"/>
      <c r="FP29" s="339"/>
      <c r="FQ29" s="172"/>
      <c r="FR29" s="171"/>
      <c r="FS29" s="173"/>
      <c r="FT29" s="173"/>
      <c r="FU29" s="173"/>
      <c r="FV29" s="173"/>
      <c r="FW29" s="173"/>
      <c r="FX29" s="339"/>
      <c r="FY29" s="172"/>
      <c r="FZ29" s="171"/>
      <c r="GA29" s="173"/>
      <c r="GB29" s="173"/>
      <c r="GC29" s="173"/>
      <c r="GD29" s="173"/>
      <c r="GE29" s="173"/>
      <c r="GF29" s="339"/>
      <c r="GG29" s="172"/>
      <c r="GH29" s="171"/>
      <c r="GI29" s="173"/>
      <c r="GJ29" s="173"/>
      <c r="GK29" s="173"/>
      <c r="GL29" s="173"/>
      <c r="GM29" s="173"/>
      <c r="GN29" s="339"/>
      <c r="GO29" s="172"/>
      <c r="GP29" s="171"/>
      <c r="GQ29" s="173"/>
      <c r="GR29" s="173"/>
      <c r="GS29" s="173"/>
      <c r="GT29" s="173"/>
      <c r="GU29" s="173"/>
      <c r="GV29" s="339"/>
      <c r="GW29" s="172"/>
      <c r="GX29" s="171"/>
      <c r="GY29" s="173"/>
      <c r="GZ29" s="173"/>
      <c r="HA29" s="173"/>
      <c r="HB29" s="173"/>
      <c r="HC29" s="173"/>
      <c r="HD29" s="339"/>
      <c r="HE29" s="172"/>
      <c r="HF29" s="171"/>
      <c r="HG29" s="173"/>
      <c r="HH29" s="173"/>
      <c r="HI29" s="173"/>
      <c r="HJ29" s="173"/>
      <c r="HK29" s="173"/>
    </row>
    <row r="30" spans="1:219" s="169" customFormat="1" ht="12.75" customHeight="1">
      <c r="A30" s="335"/>
      <c r="B30" s="158" t="s">
        <v>356</v>
      </c>
      <c r="C30" s="168">
        <v>128.9</v>
      </c>
      <c r="D30" s="164">
        <v>5.4</v>
      </c>
      <c r="E30" s="164">
        <v>3.8</v>
      </c>
      <c r="F30" s="164">
        <v>173.1</v>
      </c>
      <c r="G30" s="164">
        <v>-0.3</v>
      </c>
      <c r="H30" s="164">
        <v>3.8</v>
      </c>
      <c r="I30" s="335"/>
      <c r="J30" s="158" t="s">
        <v>356</v>
      </c>
      <c r="K30" s="159">
        <v>142.1</v>
      </c>
      <c r="L30" s="157">
        <v>11.4</v>
      </c>
      <c r="M30" s="157">
        <v>3.5</v>
      </c>
      <c r="N30" s="157">
        <v>228.6</v>
      </c>
      <c r="O30" s="157">
        <v>11.1</v>
      </c>
      <c r="P30" s="157">
        <v>4.8</v>
      </c>
      <c r="R30" s="174"/>
      <c r="S30" s="174"/>
      <c r="T30" s="339"/>
      <c r="U30" s="172"/>
      <c r="V30" s="174"/>
      <c r="W30" s="174"/>
      <c r="X30" s="174"/>
      <c r="Y30" s="174"/>
      <c r="Z30" s="174"/>
      <c r="AA30" s="174"/>
      <c r="AB30" s="339"/>
      <c r="AC30" s="172"/>
      <c r="AD30" s="174"/>
      <c r="AE30" s="174"/>
      <c r="AF30" s="174"/>
      <c r="AG30" s="174"/>
      <c r="AH30" s="174"/>
      <c r="AI30" s="174"/>
      <c r="AJ30" s="339"/>
      <c r="AK30" s="172"/>
      <c r="AL30" s="174"/>
      <c r="AM30" s="174"/>
      <c r="AN30" s="174"/>
      <c r="AO30" s="174"/>
      <c r="AP30" s="174"/>
      <c r="AQ30" s="174"/>
      <c r="AR30" s="339"/>
      <c r="AS30" s="172"/>
      <c r="AT30" s="174"/>
      <c r="AU30" s="174"/>
      <c r="AV30" s="174"/>
      <c r="AW30" s="174"/>
      <c r="AX30" s="174"/>
      <c r="AY30" s="174"/>
      <c r="AZ30" s="339"/>
      <c r="BA30" s="172"/>
      <c r="BB30" s="174"/>
      <c r="BC30" s="174"/>
      <c r="BD30" s="174"/>
      <c r="BE30" s="174"/>
      <c r="BF30" s="174"/>
      <c r="BG30" s="174"/>
      <c r="BH30" s="339"/>
      <c r="BI30" s="172"/>
      <c r="BJ30" s="174"/>
      <c r="BK30" s="174"/>
      <c r="BL30" s="174"/>
      <c r="BM30" s="174"/>
      <c r="BN30" s="174"/>
      <c r="BO30" s="174"/>
      <c r="BP30" s="339"/>
      <c r="BQ30" s="172"/>
      <c r="BR30" s="174"/>
      <c r="BS30" s="174"/>
      <c r="BT30" s="174"/>
      <c r="BU30" s="174"/>
      <c r="BV30" s="174"/>
      <c r="BW30" s="174"/>
      <c r="BX30" s="339"/>
      <c r="BY30" s="172"/>
      <c r="BZ30" s="174"/>
      <c r="CA30" s="174"/>
      <c r="CB30" s="174"/>
      <c r="CC30" s="174"/>
      <c r="CD30" s="174"/>
      <c r="CE30" s="174"/>
      <c r="CF30" s="339"/>
      <c r="CG30" s="172"/>
      <c r="CH30" s="174"/>
      <c r="CI30" s="174"/>
      <c r="CJ30" s="174"/>
      <c r="CK30" s="174"/>
      <c r="CL30" s="174"/>
      <c r="CM30" s="174"/>
      <c r="CN30" s="339"/>
      <c r="CO30" s="172"/>
      <c r="CP30" s="174"/>
      <c r="CQ30" s="174"/>
      <c r="CR30" s="174"/>
      <c r="CS30" s="174"/>
      <c r="CT30" s="174"/>
      <c r="CU30" s="174"/>
      <c r="CV30" s="339"/>
      <c r="CW30" s="172"/>
      <c r="CX30" s="174"/>
      <c r="CY30" s="174"/>
      <c r="CZ30" s="174"/>
      <c r="DA30" s="174"/>
      <c r="DB30" s="174"/>
      <c r="DC30" s="174"/>
      <c r="DD30" s="339"/>
      <c r="DE30" s="172"/>
      <c r="DF30" s="174"/>
      <c r="DG30" s="174"/>
      <c r="DH30" s="174"/>
      <c r="DI30" s="174"/>
      <c r="DJ30" s="174"/>
      <c r="DK30" s="174"/>
      <c r="DL30" s="339"/>
      <c r="DM30" s="172"/>
      <c r="DN30" s="174"/>
      <c r="DO30" s="174"/>
      <c r="DP30" s="174"/>
      <c r="DQ30" s="174"/>
      <c r="DR30" s="174"/>
      <c r="DS30" s="174"/>
      <c r="DT30" s="339"/>
      <c r="DU30" s="172"/>
      <c r="DV30" s="174"/>
      <c r="DW30" s="174"/>
      <c r="DX30" s="174"/>
      <c r="DY30" s="174"/>
      <c r="DZ30" s="174"/>
      <c r="EA30" s="174"/>
      <c r="EB30" s="339"/>
      <c r="EC30" s="172"/>
      <c r="ED30" s="174"/>
      <c r="EE30" s="174"/>
      <c r="EF30" s="174"/>
      <c r="EG30" s="174"/>
      <c r="EH30" s="174"/>
      <c r="EI30" s="174"/>
      <c r="EJ30" s="339"/>
      <c r="EK30" s="172"/>
      <c r="EL30" s="174"/>
      <c r="EM30" s="174"/>
      <c r="EN30" s="174"/>
      <c r="EO30" s="174"/>
      <c r="EP30" s="174"/>
      <c r="EQ30" s="174"/>
      <c r="ER30" s="339"/>
      <c r="ES30" s="172"/>
      <c r="ET30" s="174"/>
      <c r="EU30" s="174"/>
      <c r="EV30" s="174"/>
      <c r="EW30" s="174"/>
      <c r="EX30" s="174"/>
      <c r="EY30" s="174"/>
      <c r="EZ30" s="339"/>
      <c r="FA30" s="172"/>
      <c r="FB30" s="174"/>
      <c r="FC30" s="174"/>
      <c r="FD30" s="174"/>
      <c r="FE30" s="174"/>
      <c r="FF30" s="174"/>
      <c r="FG30" s="174"/>
      <c r="FH30" s="339"/>
      <c r="FI30" s="172"/>
      <c r="FJ30" s="174"/>
      <c r="FK30" s="174"/>
      <c r="FL30" s="174"/>
      <c r="FM30" s="174"/>
      <c r="FN30" s="174"/>
      <c r="FO30" s="174"/>
      <c r="FP30" s="339"/>
      <c r="FQ30" s="172"/>
      <c r="FR30" s="174"/>
      <c r="FS30" s="174"/>
      <c r="FT30" s="174"/>
      <c r="FU30" s="174"/>
      <c r="FV30" s="174"/>
      <c r="FW30" s="174"/>
      <c r="FX30" s="339"/>
      <c r="FY30" s="172"/>
      <c r="FZ30" s="174"/>
      <c r="GA30" s="174"/>
      <c r="GB30" s="174"/>
      <c r="GC30" s="174"/>
      <c r="GD30" s="174"/>
      <c r="GE30" s="174"/>
      <c r="GF30" s="339"/>
      <c r="GG30" s="172"/>
      <c r="GH30" s="174"/>
      <c r="GI30" s="174"/>
      <c r="GJ30" s="174"/>
      <c r="GK30" s="174"/>
      <c r="GL30" s="174"/>
      <c r="GM30" s="174"/>
      <c r="GN30" s="339"/>
      <c r="GO30" s="172"/>
      <c r="GP30" s="174"/>
      <c r="GQ30" s="174"/>
      <c r="GR30" s="174"/>
      <c r="GS30" s="174"/>
      <c r="GT30" s="174"/>
      <c r="GU30" s="174"/>
      <c r="GV30" s="339"/>
      <c r="GW30" s="172"/>
      <c r="GX30" s="174"/>
      <c r="GY30" s="174"/>
      <c r="GZ30" s="174"/>
      <c r="HA30" s="174"/>
      <c r="HB30" s="174"/>
      <c r="HC30" s="174"/>
      <c r="HD30" s="339"/>
      <c r="HE30" s="172"/>
      <c r="HF30" s="174"/>
      <c r="HG30" s="174"/>
      <c r="HH30" s="174"/>
      <c r="HI30" s="174"/>
      <c r="HJ30" s="174"/>
      <c r="HK30" s="174"/>
    </row>
    <row r="31" spans="1:219" s="169" customFormat="1" ht="12.75" customHeight="1">
      <c r="A31" s="333">
        <v>2012</v>
      </c>
      <c r="B31" s="155" t="s">
        <v>353</v>
      </c>
      <c r="C31" s="175">
        <v>29579409</v>
      </c>
      <c r="D31" s="176">
        <v>1149340</v>
      </c>
      <c r="E31" s="176">
        <v>2410931</v>
      </c>
      <c r="F31" s="176">
        <v>25982998</v>
      </c>
      <c r="G31" s="176">
        <v>14538</v>
      </c>
      <c r="H31" s="176">
        <v>21602</v>
      </c>
      <c r="I31" s="333">
        <v>2012</v>
      </c>
      <c r="J31" s="153" t="s">
        <v>357</v>
      </c>
      <c r="K31" s="177">
        <v>429928</v>
      </c>
      <c r="L31" s="178">
        <v>42493</v>
      </c>
      <c r="M31" s="178">
        <v>27586</v>
      </c>
      <c r="N31" s="178">
        <v>350217</v>
      </c>
      <c r="O31" s="178">
        <v>922</v>
      </c>
      <c r="P31" s="178">
        <v>8710</v>
      </c>
    </row>
    <row r="32" spans="1:219" s="169" customFormat="1" ht="12.75" customHeight="1">
      <c r="A32" s="334"/>
      <c r="B32" s="155" t="s">
        <v>355</v>
      </c>
      <c r="C32" s="161">
        <v>100</v>
      </c>
      <c r="D32" s="164">
        <v>3.9</v>
      </c>
      <c r="E32" s="164">
        <v>8.1999999999999993</v>
      </c>
      <c r="F32" s="164">
        <v>87.7</v>
      </c>
      <c r="G32" s="164">
        <v>0.1</v>
      </c>
      <c r="H32" s="164">
        <v>0.1</v>
      </c>
      <c r="I32" s="334"/>
      <c r="J32" s="155" t="s">
        <v>355</v>
      </c>
      <c r="K32" s="156">
        <v>100</v>
      </c>
      <c r="L32" s="157">
        <v>9.9</v>
      </c>
      <c r="M32" s="157">
        <v>6.4</v>
      </c>
      <c r="N32" s="157">
        <v>81.5</v>
      </c>
      <c r="O32" s="157">
        <v>0.2</v>
      </c>
      <c r="P32" s="157">
        <v>2</v>
      </c>
    </row>
    <row r="33" spans="1:18" ht="12.75" customHeight="1">
      <c r="A33" s="335"/>
      <c r="B33" s="158" t="s">
        <v>356</v>
      </c>
      <c r="C33" s="168">
        <v>0.4</v>
      </c>
      <c r="D33" s="164">
        <v>2.7</v>
      </c>
      <c r="E33" s="164">
        <v>2.2000000000000002</v>
      </c>
      <c r="F33" s="164">
        <v>0.2</v>
      </c>
      <c r="G33" s="164">
        <v>1.9</v>
      </c>
      <c r="H33" s="164">
        <v>3</v>
      </c>
      <c r="I33" s="335"/>
      <c r="J33" s="158" t="s">
        <v>356</v>
      </c>
      <c r="K33" s="159">
        <v>3.3</v>
      </c>
      <c r="L33" s="157">
        <v>15.5</v>
      </c>
      <c r="M33" s="157">
        <v>5</v>
      </c>
      <c r="N33" s="157">
        <v>1.8</v>
      </c>
      <c r="O33" s="157">
        <v>-6</v>
      </c>
      <c r="P33" s="157">
        <v>3.8</v>
      </c>
      <c r="Q33" s="169"/>
    </row>
    <row r="34" spans="1:18" s="169" customFormat="1" ht="12.75" customHeight="1">
      <c r="A34" s="333">
        <v>2013</v>
      </c>
      <c r="B34" s="150" t="s">
        <v>353</v>
      </c>
      <c r="C34" s="175">
        <v>30067308</v>
      </c>
      <c r="D34" s="176">
        <v>1224820</v>
      </c>
      <c r="E34" s="176">
        <v>2476394</v>
      </c>
      <c r="F34" s="176">
        <v>26327678</v>
      </c>
      <c r="G34" s="176">
        <v>16063</v>
      </c>
      <c r="H34" s="176">
        <v>22353</v>
      </c>
      <c r="I34" s="333">
        <v>2013</v>
      </c>
      <c r="J34" s="153" t="s">
        <v>357</v>
      </c>
      <c r="K34" s="177">
        <v>438154</v>
      </c>
      <c r="L34" s="178">
        <v>38531</v>
      </c>
      <c r="M34" s="178">
        <v>27822</v>
      </c>
      <c r="N34" s="178">
        <v>361696</v>
      </c>
      <c r="O34" s="178">
        <v>1012</v>
      </c>
      <c r="P34" s="178">
        <v>9093</v>
      </c>
    </row>
    <row r="35" spans="1:18" s="169" customFormat="1" ht="12.75" customHeight="1">
      <c r="A35" s="334"/>
      <c r="B35" s="155" t="s">
        <v>355</v>
      </c>
      <c r="C35" s="161">
        <v>100</v>
      </c>
      <c r="D35" s="164">
        <v>4.0999999999999996</v>
      </c>
      <c r="E35" s="164">
        <v>8.1999999999999993</v>
      </c>
      <c r="F35" s="164">
        <v>87.5</v>
      </c>
      <c r="G35" s="164">
        <v>0.1</v>
      </c>
      <c r="H35" s="164">
        <v>0.1</v>
      </c>
      <c r="I35" s="334"/>
      <c r="J35" s="155" t="s">
        <v>355</v>
      </c>
      <c r="K35" s="156">
        <v>100</v>
      </c>
      <c r="L35" s="157">
        <v>8.8000000000000007</v>
      </c>
      <c r="M35" s="157">
        <v>6.3</v>
      </c>
      <c r="N35" s="157">
        <v>82.6</v>
      </c>
      <c r="O35" s="157">
        <v>0.2</v>
      </c>
      <c r="P35" s="157">
        <v>2.1</v>
      </c>
    </row>
    <row r="36" spans="1:18" ht="12.75" customHeight="1">
      <c r="A36" s="335"/>
      <c r="B36" s="158" t="s">
        <v>356</v>
      </c>
      <c r="C36" s="168">
        <v>1.6</v>
      </c>
      <c r="D36" s="164">
        <v>6.6</v>
      </c>
      <c r="E36" s="164">
        <v>2.7</v>
      </c>
      <c r="F36" s="164">
        <v>1.3</v>
      </c>
      <c r="G36" s="164">
        <v>10.5</v>
      </c>
      <c r="H36" s="164">
        <v>3.5</v>
      </c>
      <c r="I36" s="335"/>
      <c r="J36" s="158" t="s">
        <v>356</v>
      </c>
      <c r="K36" s="159">
        <v>1.9</v>
      </c>
      <c r="L36" s="157">
        <v>-9.3000000000000007</v>
      </c>
      <c r="M36" s="157">
        <v>0.9</v>
      </c>
      <c r="N36" s="157">
        <v>3.3</v>
      </c>
      <c r="O36" s="157">
        <v>9.8000000000000007</v>
      </c>
      <c r="P36" s="157">
        <v>4.4000000000000004</v>
      </c>
    </row>
    <row r="37" spans="1:18" s="182" customFormat="1" ht="12.75" customHeight="1">
      <c r="A37" s="333">
        <v>2014</v>
      </c>
      <c r="B37" s="150" t="s">
        <v>358</v>
      </c>
      <c r="C37" s="175">
        <v>30507071</v>
      </c>
      <c r="D37" s="176">
        <v>1263472</v>
      </c>
      <c r="E37" s="176">
        <v>2526167</v>
      </c>
      <c r="F37" s="180">
        <v>26678513</v>
      </c>
      <c r="G37" s="176">
        <v>14271</v>
      </c>
      <c r="H37" s="176">
        <v>24648</v>
      </c>
      <c r="I37" s="333">
        <v>2014</v>
      </c>
      <c r="J37" s="150" t="s">
        <v>357</v>
      </c>
      <c r="K37" s="177">
        <v>439049</v>
      </c>
      <c r="L37" s="178">
        <v>39500</v>
      </c>
      <c r="M37" s="178">
        <v>28360</v>
      </c>
      <c r="N37" s="181">
        <v>360936</v>
      </c>
      <c r="O37" s="178">
        <v>756</v>
      </c>
      <c r="P37" s="178">
        <v>9497</v>
      </c>
    </row>
    <row r="38" spans="1:18" s="182" customFormat="1" ht="12.75" customHeight="1">
      <c r="A38" s="334"/>
      <c r="B38" s="155" t="s">
        <v>359</v>
      </c>
      <c r="C38" s="161">
        <v>100</v>
      </c>
      <c r="D38" s="164">
        <v>4.0999999999999996</v>
      </c>
      <c r="E38" s="164">
        <v>8.3000000000000007</v>
      </c>
      <c r="F38" s="164">
        <v>87.4</v>
      </c>
      <c r="G38" s="164">
        <v>0.1</v>
      </c>
      <c r="H38" s="164">
        <v>0.1</v>
      </c>
      <c r="I38" s="334"/>
      <c r="J38" s="155" t="s">
        <v>359</v>
      </c>
      <c r="K38" s="156">
        <v>100</v>
      </c>
      <c r="L38" s="157">
        <v>9</v>
      </c>
      <c r="M38" s="157">
        <v>6.5</v>
      </c>
      <c r="N38" s="157">
        <v>82.1</v>
      </c>
      <c r="O38" s="157">
        <v>0.2</v>
      </c>
      <c r="P38" s="157">
        <v>2.2000000000000002</v>
      </c>
    </row>
    <row r="39" spans="1:18" s="183" customFormat="1" ht="12.75" customHeight="1">
      <c r="A39" s="335"/>
      <c r="B39" s="158" t="s">
        <v>360</v>
      </c>
      <c r="C39" s="168">
        <v>1.5</v>
      </c>
      <c r="D39" s="164">
        <v>3.2</v>
      </c>
      <c r="E39" s="164">
        <v>2</v>
      </c>
      <c r="F39" s="164">
        <v>1.3</v>
      </c>
      <c r="G39" s="164">
        <v>-11.2</v>
      </c>
      <c r="H39" s="164">
        <v>10.3</v>
      </c>
      <c r="I39" s="335"/>
      <c r="J39" s="158" t="s">
        <v>360</v>
      </c>
      <c r="K39" s="159">
        <v>0.2</v>
      </c>
      <c r="L39" s="157">
        <v>2.5</v>
      </c>
      <c r="M39" s="157">
        <v>1.9</v>
      </c>
      <c r="N39" s="157">
        <v>-0.2</v>
      </c>
      <c r="O39" s="157">
        <v>-25.3</v>
      </c>
      <c r="P39" s="157">
        <v>4.4000000000000004</v>
      </c>
    </row>
    <row r="40" spans="1:18" s="183" customFormat="1" ht="12.75" customHeight="1">
      <c r="A40" s="333">
        <v>2015</v>
      </c>
      <c r="B40" s="155" t="s">
        <v>353</v>
      </c>
      <c r="C40" s="161">
        <v>31029472</v>
      </c>
      <c r="D40" s="162">
        <v>1269417</v>
      </c>
      <c r="E40" s="162">
        <v>2522900</v>
      </c>
      <c r="F40" s="162">
        <v>27193794</v>
      </c>
      <c r="G40" s="162">
        <v>15381</v>
      </c>
      <c r="H40" s="162">
        <v>27980</v>
      </c>
      <c r="I40" s="333">
        <v>2015</v>
      </c>
      <c r="J40" s="184" t="s">
        <v>357</v>
      </c>
      <c r="K40" s="185">
        <v>464853</v>
      </c>
      <c r="L40" s="186">
        <v>40343</v>
      </c>
      <c r="M40" s="186">
        <v>28028</v>
      </c>
      <c r="N40" s="186">
        <v>385018</v>
      </c>
      <c r="O40" s="186">
        <v>757</v>
      </c>
      <c r="P40" s="186">
        <v>10707</v>
      </c>
      <c r="Q40" s="187"/>
    </row>
    <row r="41" spans="1:18" s="183" customFormat="1" ht="12.75" customHeight="1">
      <c r="A41" s="334"/>
      <c r="B41" s="155" t="s">
        <v>355</v>
      </c>
      <c r="C41" s="168">
        <v>100</v>
      </c>
      <c r="D41" s="164">
        <v>4.0999999999999996</v>
      </c>
      <c r="E41" s="164">
        <v>8.1</v>
      </c>
      <c r="F41" s="164">
        <v>87.6</v>
      </c>
      <c r="G41" s="164">
        <v>0.1</v>
      </c>
      <c r="H41" s="164">
        <v>0.1</v>
      </c>
      <c r="I41" s="334"/>
      <c r="J41" s="155" t="s">
        <v>355</v>
      </c>
      <c r="K41" s="188">
        <v>100</v>
      </c>
      <c r="L41" s="189">
        <v>8.6999999999999993</v>
      </c>
      <c r="M41" s="189">
        <v>6</v>
      </c>
      <c r="N41" s="189">
        <v>82.8</v>
      </c>
      <c r="O41" s="189">
        <v>0.2</v>
      </c>
      <c r="P41" s="189">
        <v>2.2999999999999998</v>
      </c>
      <c r="Q41" s="190"/>
    </row>
    <row r="42" spans="1:18" s="183" customFormat="1" ht="12.75" customHeight="1">
      <c r="A42" s="335"/>
      <c r="B42" s="155" t="s">
        <v>356</v>
      </c>
      <c r="C42" s="168">
        <v>1.7</v>
      </c>
      <c r="D42" s="164">
        <v>0.5</v>
      </c>
      <c r="E42" s="164">
        <v>-0.1</v>
      </c>
      <c r="F42" s="164">
        <v>1.9</v>
      </c>
      <c r="G42" s="164">
        <v>7.8</v>
      </c>
      <c r="H42" s="164">
        <v>13.5</v>
      </c>
      <c r="I42" s="335"/>
      <c r="J42" s="155" t="s">
        <v>356</v>
      </c>
      <c r="K42" s="188">
        <v>5.9</v>
      </c>
      <c r="L42" s="189">
        <v>2.1</v>
      </c>
      <c r="M42" s="189">
        <v>-1.2</v>
      </c>
      <c r="N42" s="189">
        <v>6.7</v>
      </c>
      <c r="O42" s="189">
        <v>0.1</v>
      </c>
      <c r="P42" s="189">
        <v>12.7</v>
      </c>
      <c r="Q42" s="191"/>
    </row>
    <row r="43" spans="1:18" s="183" customFormat="1" ht="12.75" customHeight="1">
      <c r="A43" s="333">
        <v>2016</v>
      </c>
      <c r="B43" s="150" t="s">
        <v>358</v>
      </c>
      <c r="C43" s="175">
        <v>33158711</v>
      </c>
      <c r="D43" s="176">
        <v>1449535</v>
      </c>
      <c r="E43" s="176">
        <v>3572127</v>
      </c>
      <c r="F43" s="180">
        <v>28090714</v>
      </c>
      <c r="G43" s="176">
        <v>15423</v>
      </c>
      <c r="H43" s="176">
        <v>30913</v>
      </c>
      <c r="I43" s="333">
        <v>2016</v>
      </c>
      <c r="J43" s="150" t="s">
        <v>357</v>
      </c>
      <c r="K43" s="175">
        <v>490071</v>
      </c>
      <c r="L43" s="178">
        <v>43384</v>
      </c>
      <c r="M43" s="178">
        <v>43487</v>
      </c>
      <c r="N43" s="180">
        <v>390541</v>
      </c>
      <c r="O43" s="178">
        <v>839</v>
      </c>
      <c r="P43" s="178">
        <v>11820</v>
      </c>
      <c r="Q43" s="187"/>
    </row>
    <row r="44" spans="1:18" s="183" customFormat="1" ht="12.75" customHeight="1">
      <c r="A44" s="334"/>
      <c r="B44" s="155" t="s">
        <v>359</v>
      </c>
      <c r="C44" s="168">
        <v>100</v>
      </c>
      <c r="D44" s="164">
        <v>4.3715028608922708</v>
      </c>
      <c r="E44" s="164">
        <v>10.772816229195399</v>
      </c>
      <c r="F44" s="164">
        <v>84.715940857894026</v>
      </c>
      <c r="G44" s="164">
        <v>4.6512664500136934E-2</v>
      </c>
      <c r="H44" s="164">
        <v>9.3227387518169808E-2</v>
      </c>
      <c r="I44" s="334"/>
      <c r="J44" s="155" t="s">
        <v>359</v>
      </c>
      <c r="K44" s="159">
        <v>100</v>
      </c>
      <c r="L44" s="157">
        <v>8.9</v>
      </c>
      <c r="M44" s="157">
        <v>8.9</v>
      </c>
      <c r="N44" s="157">
        <v>79.7</v>
      </c>
      <c r="O44" s="157">
        <v>0.16916755047806467</v>
      </c>
      <c r="P44" s="157">
        <v>2.3832663249710664</v>
      </c>
      <c r="Q44" s="190"/>
      <c r="R44" s="190"/>
    </row>
    <row r="45" spans="1:18" s="183" customFormat="1" ht="12.75" customHeight="1">
      <c r="A45" s="335"/>
      <c r="B45" s="158" t="s">
        <v>360</v>
      </c>
      <c r="C45" s="168">
        <v>6.8619891437405061</v>
      </c>
      <c r="D45" s="164">
        <v>14.18895445704603</v>
      </c>
      <c r="E45" s="164">
        <v>41.588132704427444</v>
      </c>
      <c r="F45" s="164">
        <v>3.3</v>
      </c>
      <c r="G45" s="192">
        <v>0.3</v>
      </c>
      <c r="H45" s="164">
        <v>10.5</v>
      </c>
      <c r="I45" s="335"/>
      <c r="J45" s="158" t="s">
        <v>360</v>
      </c>
      <c r="K45" s="159">
        <v>5.4</v>
      </c>
      <c r="L45" s="157">
        <v>7.5</v>
      </c>
      <c r="M45" s="157">
        <v>55.2</v>
      </c>
      <c r="N45" s="157">
        <v>1.4</v>
      </c>
      <c r="O45" s="193">
        <v>10.8</v>
      </c>
      <c r="P45" s="157">
        <v>10.4</v>
      </c>
    </row>
    <row r="46" spans="1:18" s="183" customFormat="1" ht="12.75" customHeight="1">
      <c r="A46" s="333">
        <v>2017</v>
      </c>
      <c r="B46" s="150" t="s">
        <v>358</v>
      </c>
      <c r="C46" s="161">
        <v>33336714</v>
      </c>
      <c r="D46" s="162">
        <v>1490319</v>
      </c>
      <c r="E46" s="162">
        <v>3604712</v>
      </c>
      <c r="F46" s="162">
        <v>28192366</v>
      </c>
      <c r="G46" s="162">
        <v>16910</v>
      </c>
      <c r="H46" s="162">
        <v>32406</v>
      </c>
      <c r="I46" s="333">
        <v>2017</v>
      </c>
      <c r="J46" s="150" t="s">
        <v>357</v>
      </c>
      <c r="K46" s="161">
        <v>496319</v>
      </c>
      <c r="L46" s="163">
        <v>46295</v>
      </c>
      <c r="M46" s="163">
        <v>43669</v>
      </c>
      <c r="N46" s="163">
        <v>393196</v>
      </c>
      <c r="O46" s="163">
        <v>916</v>
      </c>
      <c r="P46" s="163">
        <v>12243</v>
      </c>
      <c r="Q46" s="190"/>
    </row>
    <row r="47" spans="1:18" s="183" customFormat="1" ht="12.75" customHeight="1">
      <c r="A47" s="334"/>
      <c r="B47" s="155" t="s">
        <v>359</v>
      </c>
      <c r="C47" s="168">
        <v>100</v>
      </c>
      <c r="D47" s="164">
        <v>4.5</v>
      </c>
      <c r="E47" s="164">
        <v>10.8</v>
      </c>
      <c r="F47" s="164">
        <v>84.6</v>
      </c>
      <c r="G47" s="164">
        <v>0.1</v>
      </c>
      <c r="H47" s="164">
        <v>0.1</v>
      </c>
      <c r="I47" s="334"/>
      <c r="J47" s="155" t="s">
        <v>359</v>
      </c>
      <c r="K47" s="159">
        <v>100</v>
      </c>
      <c r="L47" s="164">
        <v>9.3000000000000007</v>
      </c>
      <c r="M47" s="164">
        <v>8.8000000000000007</v>
      </c>
      <c r="N47" s="164">
        <v>79.2</v>
      </c>
      <c r="O47" s="164">
        <v>0.2</v>
      </c>
      <c r="P47" s="164">
        <v>2.5</v>
      </c>
      <c r="Q47" s="190"/>
      <c r="R47" s="190"/>
    </row>
    <row r="48" spans="1:18" s="183" customFormat="1" ht="12.75" customHeight="1">
      <c r="A48" s="335"/>
      <c r="B48" s="158" t="s">
        <v>360</v>
      </c>
      <c r="C48" s="164">
        <v>0.5</v>
      </c>
      <c r="D48" s="164">
        <v>2.8093856370392141</v>
      </c>
      <c r="E48" s="164">
        <v>0.91214562080239592</v>
      </c>
      <c r="F48" s="164">
        <v>0.4</v>
      </c>
      <c r="G48" s="164">
        <v>9.6</v>
      </c>
      <c r="H48" s="164">
        <v>4.8296833047585155</v>
      </c>
      <c r="I48" s="335"/>
      <c r="J48" s="158" t="s">
        <v>360</v>
      </c>
      <c r="K48" s="164">
        <v>0</v>
      </c>
      <c r="L48" s="157">
        <v>-12.235910133338745</v>
      </c>
      <c r="M48" s="164">
        <v>0.53121766126250425</v>
      </c>
      <c r="N48" s="157">
        <v>0</v>
      </c>
      <c r="O48" s="157">
        <v>0</v>
      </c>
      <c r="P48" s="157">
        <v>3.578680203045685</v>
      </c>
    </row>
    <row r="49" spans="1:16" s="183" customFormat="1" ht="12.75" customHeight="1">
      <c r="A49" s="341">
        <v>2018</v>
      </c>
      <c r="B49" s="194" t="s">
        <v>358</v>
      </c>
      <c r="C49" s="195">
        <v>33595786.093999997</v>
      </c>
      <c r="D49" s="195">
        <v>1521590</v>
      </c>
      <c r="E49" s="195">
        <v>3618352</v>
      </c>
      <c r="F49" s="196">
        <v>28409618</v>
      </c>
      <c r="G49" s="195">
        <v>14625.484</v>
      </c>
      <c r="H49" s="195">
        <v>31600.61</v>
      </c>
      <c r="I49" s="341">
        <v>2018</v>
      </c>
      <c r="J49" s="194" t="s">
        <v>357</v>
      </c>
      <c r="K49" s="195">
        <v>504501.23360699997</v>
      </c>
      <c r="L49" s="197">
        <v>48027</v>
      </c>
      <c r="M49" s="197">
        <v>44166</v>
      </c>
      <c r="N49" s="196">
        <v>399604</v>
      </c>
      <c r="O49" s="197">
        <v>822.23360700000001</v>
      </c>
      <c r="P49" s="197">
        <v>11882</v>
      </c>
    </row>
    <row r="50" spans="1:16" s="183" customFormat="1" ht="12.75" customHeight="1">
      <c r="A50" s="341"/>
      <c r="B50" s="194" t="s">
        <v>359</v>
      </c>
      <c r="C50" s="198">
        <v>100.00000000000001</v>
      </c>
      <c r="D50" s="198">
        <v>4.5291096798349564</v>
      </c>
      <c r="E50" s="198">
        <v>10.770255501317815</v>
      </c>
      <c r="F50" s="198">
        <v>84.563039901822052</v>
      </c>
      <c r="G50" s="198">
        <v>4.3533685918461136E-2</v>
      </c>
      <c r="H50" s="198">
        <v>9.4061231106730009E-2</v>
      </c>
      <c r="I50" s="341"/>
      <c r="J50" s="194" t="s">
        <v>359</v>
      </c>
      <c r="K50" s="199">
        <v>100</v>
      </c>
      <c r="L50" s="199">
        <v>9.5196992198858368</v>
      </c>
      <c r="M50" s="199">
        <v>8.7543889009406772</v>
      </c>
      <c r="N50" s="199">
        <v>79.207734962901284</v>
      </c>
      <c r="O50" s="199">
        <v>0.16297950376083906</v>
      </c>
      <c r="P50" s="199">
        <v>2.355197412511369</v>
      </c>
    </row>
    <row r="51" spans="1:16" s="183" customFormat="1" ht="12.75" customHeight="1">
      <c r="A51" s="342"/>
      <c r="B51" s="200" t="s">
        <v>360</v>
      </c>
      <c r="C51" s="201">
        <v>0.7771404877259398</v>
      </c>
      <c r="D51" s="201">
        <v>2.0982756040820791</v>
      </c>
      <c r="E51" s="201">
        <v>0.37839361369230051</v>
      </c>
      <c r="F51" s="201">
        <v>0.77060577320825074</v>
      </c>
      <c r="G51" s="202">
        <v>-13.509852158486101</v>
      </c>
      <c r="H51" s="202">
        <v>-2.4853113620934377</v>
      </c>
      <c r="I51" s="342"/>
      <c r="J51" s="200" t="s">
        <v>360</v>
      </c>
      <c r="K51" s="203">
        <v>1.6485835938176805</v>
      </c>
      <c r="L51" s="202">
        <v>3.7412247542931203</v>
      </c>
      <c r="M51" s="202">
        <v>1.1381071240468066</v>
      </c>
      <c r="N51" s="202">
        <v>1.6297215638002422</v>
      </c>
      <c r="O51" s="204">
        <v>-10.2365057860262</v>
      </c>
      <c r="P51" s="202">
        <v>-2.9486237033406844</v>
      </c>
    </row>
    <row r="52" spans="1:16" s="169" customFormat="1" ht="55.15" customHeight="1">
      <c r="A52" s="340" t="s">
        <v>361</v>
      </c>
      <c r="B52" s="340"/>
      <c r="C52" s="340"/>
      <c r="D52" s="340"/>
      <c r="E52" s="340"/>
      <c r="F52" s="340"/>
      <c r="G52" s="340"/>
      <c r="H52" s="340"/>
    </row>
    <row r="53" spans="1:16">
      <c r="B53" s="169"/>
      <c r="C53" s="205"/>
      <c r="J53" s="169"/>
    </row>
  </sheetData>
  <mergeCells count="62">
    <mergeCell ref="A52:H52"/>
    <mergeCell ref="A43:A45"/>
    <mergeCell ref="I43:I45"/>
    <mergeCell ref="A46:A48"/>
    <mergeCell ref="I46:I48"/>
    <mergeCell ref="A49:A51"/>
    <mergeCell ref="I49:I51"/>
    <mergeCell ref="A34:A36"/>
    <mergeCell ref="I34:I36"/>
    <mergeCell ref="A37:A39"/>
    <mergeCell ref="I37:I39"/>
    <mergeCell ref="A40:A42"/>
    <mergeCell ref="I40:I42"/>
    <mergeCell ref="FX28:FX30"/>
    <mergeCell ref="GF28:GF30"/>
    <mergeCell ref="GN28:GN30"/>
    <mergeCell ref="GV28:GV30"/>
    <mergeCell ref="HD28:HD30"/>
    <mergeCell ref="A31:A33"/>
    <mergeCell ref="I31:I33"/>
    <mergeCell ref="EB28:EB30"/>
    <mergeCell ref="EJ28:EJ30"/>
    <mergeCell ref="ER28:ER30"/>
    <mergeCell ref="AJ28:AJ30"/>
    <mergeCell ref="AR28:AR30"/>
    <mergeCell ref="AZ28:AZ30"/>
    <mergeCell ref="BH28:BH30"/>
    <mergeCell ref="BP28:BP30"/>
    <mergeCell ref="BX28:BX30"/>
    <mergeCell ref="AB28:AB30"/>
    <mergeCell ref="EZ28:EZ30"/>
    <mergeCell ref="FH28:FH30"/>
    <mergeCell ref="FP28:FP30"/>
    <mergeCell ref="CF28:CF30"/>
    <mergeCell ref="CN28:CN30"/>
    <mergeCell ref="CV28:CV30"/>
    <mergeCell ref="DD28:DD30"/>
    <mergeCell ref="DL28:DL30"/>
    <mergeCell ref="DT28:DT30"/>
    <mergeCell ref="A25:A27"/>
    <mergeCell ref="I25:I27"/>
    <mergeCell ref="A28:A30"/>
    <mergeCell ref="I28:I30"/>
    <mergeCell ref="T28:T30"/>
    <mergeCell ref="A16:A18"/>
    <mergeCell ref="I16:I18"/>
    <mergeCell ref="A19:A21"/>
    <mergeCell ref="I19:I21"/>
    <mergeCell ref="A22:A24"/>
    <mergeCell ref="I22:I24"/>
    <mergeCell ref="A7:A9"/>
    <mergeCell ref="I7:I9"/>
    <mergeCell ref="A10:A12"/>
    <mergeCell ref="I10:I12"/>
    <mergeCell ref="A13:A15"/>
    <mergeCell ref="I13:I15"/>
    <mergeCell ref="A1:H1"/>
    <mergeCell ref="I1:P1"/>
    <mergeCell ref="A3:B3"/>
    <mergeCell ref="I3:J3"/>
    <mergeCell ref="A4:A6"/>
    <mergeCell ref="I4:I6"/>
  </mergeCells>
  <phoneticPr fontId="43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C358-5D98-4BB8-AFDE-DC563599D5C2}">
  <dimension ref="A1:K6"/>
  <sheetViews>
    <sheetView workbookViewId="0"/>
  </sheetViews>
  <sheetFormatPr defaultColWidth="9" defaultRowHeight="16.5"/>
  <cols>
    <col min="1" max="1" width="19.25" style="8" bestFit="1" customWidth="1"/>
    <col min="2" max="2" width="20.125" style="8" bestFit="1" customWidth="1"/>
    <col min="3" max="3" width="15.5" style="8" bestFit="1" customWidth="1"/>
    <col min="4" max="4" width="15.5" style="8" customWidth="1"/>
    <col min="5" max="7" width="15.5" style="8" bestFit="1" customWidth="1"/>
    <col min="8" max="10" width="14.75" style="8" bestFit="1" customWidth="1"/>
    <col min="11" max="16384" width="9" style="8"/>
  </cols>
  <sheetData>
    <row r="1" spans="1:11" ht="17.25" thickBot="1">
      <c r="A1" s="14" t="s">
        <v>362</v>
      </c>
    </row>
    <row r="2" spans="1:11" ht="20.100000000000001" customHeight="1">
      <c r="A2" s="258" t="s">
        <v>363</v>
      </c>
      <c r="B2" s="258" t="s">
        <v>364</v>
      </c>
      <c r="C2" s="229">
        <v>2011</v>
      </c>
      <c r="D2" s="229">
        <v>2012</v>
      </c>
      <c r="E2" s="229">
        <v>2013</v>
      </c>
      <c r="F2" s="229">
        <v>2014</v>
      </c>
      <c r="G2" s="229">
        <v>2015</v>
      </c>
      <c r="H2" s="229">
        <v>2016</v>
      </c>
      <c r="I2" s="229">
        <v>2017</v>
      </c>
      <c r="J2" s="229">
        <v>2018</v>
      </c>
      <c r="K2" s="137" t="s">
        <v>365</v>
      </c>
    </row>
    <row r="3" spans="1:11" ht="20.100000000000001" customHeight="1">
      <c r="A3" s="85" t="s">
        <v>366</v>
      </c>
      <c r="B3" s="268" t="s">
        <v>367</v>
      </c>
      <c r="C3" s="230">
        <f>INDEX('Rail-domestic psgr traffic'!$D$13:$D$51,MATCH('Rail-CAGR'!C2,'Rail-domestic psgr traffic'!$A$13:$A$51,0))*10^3</f>
        <v>1118621000</v>
      </c>
      <c r="D3" s="230">
        <f>INDEX('Rail-domestic psgr traffic'!$D$13:$D$51,MATCH('Rail-CAGR'!D2,'Rail-domestic psgr traffic'!$A$13:$A$51,0))*10^3</f>
        <v>1149340000</v>
      </c>
      <c r="E3" s="230">
        <f>INDEX('Rail-domestic psgr traffic'!$D$13:$D$51,MATCH('Rail-CAGR'!E2,'Rail-domestic psgr traffic'!$A$13:$A$51,0))*10^3</f>
        <v>1224820000</v>
      </c>
      <c r="F3" s="230">
        <f>INDEX('Rail-domestic psgr traffic'!$D$13:$D$51,MATCH('Rail-CAGR'!F2,'Rail-domestic psgr traffic'!$A$13:$A$51,0))*10^3</f>
        <v>1263472000</v>
      </c>
      <c r="G3" s="230">
        <f>INDEX('Rail-domestic psgr traffic'!$D$13:$D$51,MATCH('Rail-CAGR'!G2,'Rail-domestic psgr traffic'!$A$13:$A$51,0))*10^3</f>
        <v>1269417000</v>
      </c>
      <c r="H3" s="230">
        <f>INDEX('Rail-domestic psgr traffic'!$D$13:$D$51,MATCH('Rail-CAGR'!H2,'Rail-domestic psgr traffic'!$A$13:$A$51,0))*10^3</f>
        <v>1449535000</v>
      </c>
      <c r="I3" s="230">
        <f>INDEX('Rail-domestic psgr traffic'!$D$13:$D$51,MATCH('Rail-CAGR'!I2,'Rail-domestic psgr traffic'!$A$13:$A$51,0))*10^3</f>
        <v>1490319000</v>
      </c>
      <c r="J3" s="230">
        <f>INDEX('Rail-domestic psgr traffic'!$D$13:$D$51,MATCH('Rail-CAGR'!J2,'Rail-domestic psgr traffic'!$A$13:$A$51,0))*10^3</f>
        <v>1521590000</v>
      </c>
      <c r="K3" s="138">
        <f>(J3/C3)^(1/7)-1</f>
        <v>4.4931475049839742E-2</v>
      </c>
    </row>
    <row r="4" spans="1:11" ht="20.100000000000001" customHeight="1">
      <c r="A4" s="86" t="s">
        <v>297</v>
      </c>
      <c r="B4" s="268" t="s">
        <v>368</v>
      </c>
      <c r="C4" s="230">
        <f>INDEX('Rail-domestic psgr traffic'!$L$13:$L$51,MATCH('Rail-CAGR'!C2,'Rail-domestic psgr traffic'!$A$13:$A$51,0))*10^6</f>
        <v>36784000000</v>
      </c>
      <c r="D4" s="230">
        <f>INDEX('Rail-domestic psgr traffic'!$L$13:$L$51,MATCH('Rail-CAGR'!D2,'Rail-domestic psgr traffic'!$A$13:$A$51,0))*10^6</f>
        <v>42493000000</v>
      </c>
      <c r="E4" s="230">
        <f>INDEX('Rail-domestic psgr traffic'!$L$13:$L$51,MATCH('Rail-CAGR'!E2,'Rail-domestic psgr traffic'!$A$13:$A$51,0))*10^6</f>
        <v>38531000000</v>
      </c>
      <c r="F4" s="230">
        <f>INDEX('Rail-domestic psgr traffic'!$L$13:$L$51,MATCH('Rail-CAGR'!F2,'Rail-domestic psgr traffic'!$A$13:$A$51,0))*10^6</f>
        <v>39500000000</v>
      </c>
      <c r="G4" s="230">
        <f>INDEX('Rail-domestic psgr traffic'!$L$13:$L$51,MATCH('Rail-CAGR'!G2,'Rail-domestic psgr traffic'!$A$13:$A$51,0))*10^6</f>
        <v>40343000000</v>
      </c>
      <c r="H4" s="230">
        <f>INDEX('Rail-domestic psgr traffic'!$L$13:$L$51,MATCH('Rail-CAGR'!H2,'Rail-domestic psgr traffic'!$A$13:$A$51,0))*10^6</f>
        <v>43384000000</v>
      </c>
      <c r="I4" s="230">
        <f>INDEX('Rail-domestic psgr traffic'!$L$13:$L$51,MATCH('Rail-CAGR'!I2,'Rail-domestic psgr traffic'!$A$13:$A$51,0))*10^6</f>
        <v>46295000000</v>
      </c>
      <c r="J4" s="230">
        <f>INDEX('Rail-domestic psgr traffic'!$L$13:$L$51,MATCH('Rail-CAGR'!J2,'Rail-domestic psgr traffic'!$A$13:$A$51,0))*10^6</f>
        <v>48027000000</v>
      </c>
      <c r="K4" s="139">
        <f>(J4/C4)^(1/7)-1</f>
        <v>3.8835168293443356E-2</v>
      </c>
    </row>
    <row r="5" spans="1:11" ht="20.100000000000001" customHeight="1">
      <c r="A5" s="85" t="s">
        <v>369</v>
      </c>
      <c r="B5" s="268" t="s">
        <v>370</v>
      </c>
      <c r="C5" s="230">
        <v>40011987</v>
      </c>
      <c r="D5" s="230">
        <v>40308928</v>
      </c>
      <c r="E5" s="230">
        <v>39822270</v>
      </c>
      <c r="F5" s="230">
        <v>37379168</v>
      </c>
      <c r="G5" s="230">
        <v>37093642</v>
      </c>
      <c r="H5" s="223">
        <v>32555441</v>
      </c>
      <c r="I5" s="223">
        <v>31669610</v>
      </c>
      <c r="J5" s="223">
        <v>30914733</v>
      </c>
      <c r="K5" s="138">
        <f>(J5/C5)^(1/7)-1</f>
        <v>-3.6178781626822532E-2</v>
      </c>
    </row>
    <row r="6" spans="1:11" ht="17.25" thickBot="1">
      <c r="A6" s="87" t="s">
        <v>297</v>
      </c>
      <c r="B6" s="268" t="s">
        <v>371</v>
      </c>
      <c r="C6" s="230">
        <v>996737509</v>
      </c>
      <c r="D6" s="230">
        <f>10458878979</f>
        <v>10458878979</v>
      </c>
      <c r="E6" s="230">
        <v>10458878979</v>
      </c>
      <c r="F6" s="230">
        <v>9563602650</v>
      </c>
      <c r="G6" s="230">
        <v>9479257421</v>
      </c>
      <c r="H6" s="223">
        <v>8414121799.3000002</v>
      </c>
      <c r="I6" s="223">
        <v>8229194875.5</v>
      </c>
      <c r="J6" s="223">
        <v>7877511771.6429996</v>
      </c>
      <c r="K6" s="140">
        <f>(J6/C6)^(1/7)-1</f>
        <v>0.34356388878242261</v>
      </c>
    </row>
  </sheetData>
  <phoneticPr fontId="43" type="noConversion"/>
  <pageMargins left="0.7" right="0.7" top="0.75" bottom="0.75" header="0.3" footer="0.3"/>
  <pageSetup paperSize="9" orientation="portrait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2409-6AEA-470A-854D-2F8F77AE33E3}">
  <dimension ref="A2:N49"/>
  <sheetViews>
    <sheetView topLeftCell="A15" workbookViewId="0">
      <selection activeCell="K37" sqref="K37"/>
    </sheetView>
  </sheetViews>
  <sheetFormatPr defaultColWidth="9" defaultRowHeight="16.5"/>
  <cols>
    <col min="1" max="1" width="11.75" style="8" customWidth="1"/>
    <col min="2" max="2" width="9" style="8"/>
    <col min="3" max="4" width="11.5" style="8" bestFit="1" customWidth="1"/>
    <col min="5" max="5" width="9.875" style="8" bestFit="1" customWidth="1"/>
    <col min="6" max="7" width="9" style="8"/>
    <col min="8" max="8" width="8.875" style="8" customWidth="1"/>
    <col min="9" max="9" width="12.5" style="8" customWidth="1"/>
    <col min="10" max="10" width="3.75" style="8" customWidth="1"/>
    <col min="11" max="11" width="4.5" style="8" customWidth="1"/>
    <col min="12" max="12" width="20.25" style="8" customWidth="1"/>
    <col min="13" max="13" width="17" style="8" customWidth="1"/>
    <col min="14" max="14" width="18" style="8" customWidth="1"/>
    <col min="15" max="16" width="9" style="8"/>
    <col min="17" max="17" width="11.125" style="8" bestFit="1" customWidth="1"/>
    <col min="18" max="18" width="18.25" style="8" bestFit="1" customWidth="1"/>
    <col min="19" max="16384" width="9" style="8"/>
  </cols>
  <sheetData>
    <row r="2" spans="2:12" ht="17.25" thickBot="1">
      <c r="D2" s="207" t="s">
        <v>372</v>
      </c>
      <c r="E2" s="8" t="s">
        <v>373</v>
      </c>
      <c r="I2" s="207" t="s">
        <v>372</v>
      </c>
      <c r="J2" s="8" t="s">
        <v>374</v>
      </c>
    </row>
    <row r="3" spans="2:12">
      <c r="B3" s="208"/>
      <c r="C3" s="209" t="s">
        <v>375</v>
      </c>
      <c r="D3" s="210" t="s">
        <v>376</v>
      </c>
      <c r="G3" s="208"/>
      <c r="H3" s="209" t="s">
        <v>375</v>
      </c>
      <c r="I3" s="210" t="s">
        <v>376</v>
      </c>
    </row>
    <row r="4" spans="2:12">
      <c r="B4" s="211">
        <v>2006</v>
      </c>
      <c r="C4" s="91">
        <f>INDEX('Rail-domestic psgr traffic'!$D$13:$D$51,MATCH(B4,'Rail-domestic psgr traffic'!$A$13:$A$51,0))</f>
        <v>969145</v>
      </c>
      <c r="D4" s="212">
        <f>INDEX('Rail-domestic psgr traffic'!$E$13:$E$51,MATCH(B4,'Rail-domestic psgr traffic'!$A$13:$A$51,0))</f>
        <v>2079961</v>
      </c>
      <c r="G4" s="211">
        <v>2006</v>
      </c>
      <c r="H4" s="91">
        <f>INDEX('Rail-domestic psgr traffic'!$L$13:$L$51,MATCH(B4,'Rail-domestic psgr traffic'!$A$13:$A$51,0))</f>
        <v>31416</v>
      </c>
      <c r="I4" s="212">
        <f>INDEX('Rail-domestic psgr traffic'!$M$13:$M$51,MATCH(B4,'Rail-domestic psgr traffic'!$A$13:$A$51,0))</f>
        <v>24110</v>
      </c>
    </row>
    <row r="5" spans="2:12">
      <c r="B5" s="211">
        <v>2007</v>
      </c>
      <c r="C5" s="91">
        <f>INDEX('Rail-domestic psgr traffic'!$D$13:$D$51,MATCH(B5,'Rail-domestic psgr traffic'!$A$13:$A$51,0))</f>
        <v>989294</v>
      </c>
      <c r="D5" s="212">
        <f>INDEX('Rail-domestic psgr traffic'!$E$13:$E$51,MATCH(B5,'Rail-domestic psgr traffic'!$A$13:$A$51,0))</f>
        <v>2090290</v>
      </c>
      <c r="G5" s="211">
        <v>2007</v>
      </c>
      <c r="H5" s="91">
        <f>INDEX('Rail-domestic psgr traffic'!$L$13:$L$51,MATCH(B5,'Rail-domestic psgr traffic'!$A$13:$A$51,0))</f>
        <v>31596</v>
      </c>
      <c r="I5" s="212">
        <f>INDEX('Rail-domestic psgr traffic'!$M$13:$M$51,MATCH(B5,'Rail-domestic psgr traffic'!$A$13:$A$51,0))</f>
        <v>24134</v>
      </c>
    </row>
    <row r="6" spans="2:12">
      <c r="B6" s="211">
        <v>2008</v>
      </c>
      <c r="C6" s="91">
        <f>INDEX('Rail-domestic psgr traffic'!$D$13:$D$51,MATCH(B6,'Rail-domestic psgr traffic'!$A$13:$A$51,0))</f>
        <v>1018977</v>
      </c>
      <c r="D6" s="212">
        <f>INDEX('Rail-domestic psgr traffic'!$E$13:$E$51,MATCH(B6,'Rail-domestic psgr traffic'!$A$13:$A$51,0))</f>
        <v>2141872</v>
      </c>
      <c r="G6" s="211">
        <v>2008</v>
      </c>
      <c r="H6" s="91">
        <f>INDEX('Rail-domestic psgr traffic'!$L$13:$L$51,MATCH(B6,'Rail-domestic psgr traffic'!$A$13:$A$51,0))</f>
        <v>32027</v>
      </c>
      <c r="I6" s="212">
        <f>INDEX('Rail-domestic psgr traffic'!$M$13:$M$51,MATCH(B6,'Rail-domestic psgr traffic'!$A$13:$A$51,0))</f>
        <v>24740</v>
      </c>
    </row>
    <row r="7" spans="2:12">
      <c r="B7" s="211">
        <v>2009</v>
      </c>
      <c r="C7" s="91">
        <f>INDEX('Rail-domestic psgr traffic'!$D$13:$D$51,MATCH(B7,'Rail-domestic psgr traffic'!$A$13:$A$51,0))</f>
        <v>1020319</v>
      </c>
      <c r="D7" s="212">
        <f>INDEX('Rail-domestic psgr traffic'!$E$13:$E$51,MATCH(B7,'Rail-domestic psgr traffic'!$A$13:$A$51,0))</f>
        <v>2181346</v>
      </c>
      <c r="G7" s="211">
        <v>2009</v>
      </c>
      <c r="H7" s="91">
        <f>INDEX('Rail-domestic psgr traffic'!$L$13:$L$51,MATCH(B7,'Rail-domestic psgr traffic'!$A$13:$A$51,0))</f>
        <v>31299</v>
      </c>
      <c r="I7" s="212">
        <f>INDEX('Rail-domestic psgr traffic'!$M$13:$M$51,MATCH(B7,'Rail-domestic psgr traffic'!$A$13:$A$51,0))</f>
        <v>24190</v>
      </c>
    </row>
    <row r="8" spans="2:12">
      <c r="B8" s="211">
        <v>2010</v>
      </c>
      <c r="C8" s="91">
        <f>INDEX('Rail-domestic psgr traffic'!$D$13:$D$51,MATCH(B8,'Rail-domestic psgr traffic'!$A$13:$A$51,0))</f>
        <v>1060941</v>
      </c>
      <c r="D8" s="212">
        <f>INDEX('Rail-domestic psgr traffic'!$E$13:$E$51,MATCH(B8,'Rail-domestic psgr traffic'!$A$13:$A$51,0))</f>
        <v>2273087</v>
      </c>
      <c r="G8" s="211">
        <v>2010</v>
      </c>
      <c r="H8" s="91">
        <f>INDEX('Rail-domestic psgr traffic'!$L$13:$L$51,MATCH(B8,'Rail-domestic psgr traffic'!$A$13:$A$51,0))</f>
        <v>33012</v>
      </c>
      <c r="I8" s="212">
        <f>INDEX('Rail-domestic psgr traffic'!$M$13:$M$51,MATCH(B8,'Rail-domestic psgr traffic'!$A$13:$A$51,0))</f>
        <v>25369</v>
      </c>
    </row>
    <row r="9" spans="2:12">
      <c r="B9" s="211">
        <v>2011</v>
      </c>
      <c r="C9" s="91">
        <f>INDEX('Rail-domestic psgr traffic'!$D$13:$D$51,MATCH(B9,'Rail-domestic psgr traffic'!$A$13:$A$51,0))</f>
        <v>1118621</v>
      </c>
      <c r="D9" s="212">
        <f>INDEX('Rail-domestic psgr traffic'!$E$13:$E$51,MATCH(B9,'Rail-domestic psgr traffic'!$A$13:$A$51,0))</f>
        <v>2358758</v>
      </c>
      <c r="G9" s="211">
        <v>2011</v>
      </c>
      <c r="H9" s="91">
        <f>INDEX('Rail-domestic psgr traffic'!$L$13:$L$51,MATCH(B9,'Rail-domestic psgr traffic'!$A$13:$A$51,0))</f>
        <v>36784</v>
      </c>
      <c r="I9" s="212">
        <f>INDEX('Rail-domestic psgr traffic'!$M$13:$M$51,MATCH(B9,'Rail-domestic psgr traffic'!$A$13:$A$51,0))</f>
        <v>26260</v>
      </c>
    </row>
    <row r="10" spans="2:12">
      <c r="B10" s="211">
        <v>2012</v>
      </c>
      <c r="C10" s="91">
        <f>INDEX('Rail-domestic psgr traffic'!$D$13:$D$51,MATCH(B10,'Rail-domestic psgr traffic'!$A$13:$A$51,0))</f>
        <v>1149340</v>
      </c>
      <c r="D10" s="212">
        <f>INDEX('Rail-domestic psgr traffic'!$E$13:$E$51,MATCH(B10,'Rail-domestic psgr traffic'!$A$13:$A$51,0))</f>
        <v>2410931</v>
      </c>
      <c r="G10" s="211">
        <v>2012</v>
      </c>
      <c r="H10" s="91">
        <f>INDEX('Rail-domestic psgr traffic'!$L$13:$L$51,MATCH(B10,'Rail-domestic psgr traffic'!$A$13:$A$51,0))</f>
        <v>42493</v>
      </c>
      <c r="I10" s="212">
        <f>INDEX('Rail-domestic psgr traffic'!$M$13:$M$51,MATCH(B10,'Rail-domestic psgr traffic'!$A$13:$A$51,0))</f>
        <v>27586</v>
      </c>
    </row>
    <row r="11" spans="2:12">
      <c r="B11" s="211">
        <v>2013</v>
      </c>
      <c r="C11" s="91">
        <f>INDEX('Rail-domestic psgr traffic'!$D$13:$D$51,MATCH(B11,'Rail-domestic psgr traffic'!$A$13:$A$51,0))</f>
        <v>1224820</v>
      </c>
      <c r="D11" s="212">
        <f>INDEX('Rail-domestic psgr traffic'!$E$13:$E$51,MATCH(B11,'Rail-domestic psgr traffic'!$A$13:$A$51,0))</f>
        <v>2476394</v>
      </c>
      <c r="G11" s="211">
        <v>2013</v>
      </c>
      <c r="H11" s="91">
        <f>INDEX('Rail-domestic psgr traffic'!$L$13:$L$51,MATCH(B11,'Rail-domestic psgr traffic'!$A$13:$A$51,0))</f>
        <v>38531</v>
      </c>
      <c r="I11" s="212">
        <f>INDEX('Rail-domestic psgr traffic'!$M$13:$M$51,MATCH(B11,'Rail-domestic psgr traffic'!$A$13:$A$51,0))</f>
        <v>27822</v>
      </c>
    </row>
    <row r="12" spans="2:12">
      <c r="B12" s="211">
        <v>2014</v>
      </c>
      <c r="C12" s="91">
        <f>INDEX('Rail-domestic psgr traffic'!$D$13:$D$51,MATCH(B12,'Rail-domestic psgr traffic'!$A$13:$A$51,0))</f>
        <v>1263472</v>
      </c>
      <c r="D12" s="212">
        <f>INDEX('Rail-domestic psgr traffic'!$E$13:$E$51,MATCH(B12,'Rail-domestic psgr traffic'!$A$13:$A$51,0))</f>
        <v>2526167</v>
      </c>
      <c r="G12" s="211">
        <v>2014</v>
      </c>
      <c r="H12" s="91">
        <f>INDEX('Rail-domestic psgr traffic'!$L$13:$L$51,MATCH(B12,'Rail-domestic psgr traffic'!$A$13:$A$51,0))</f>
        <v>39500</v>
      </c>
      <c r="I12" s="212">
        <f>INDEX('Rail-domestic psgr traffic'!$M$13:$M$51,MATCH(B12,'Rail-domestic psgr traffic'!$A$13:$A$51,0))</f>
        <v>28360</v>
      </c>
      <c r="L12" s="91"/>
    </row>
    <row r="13" spans="2:12">
      <c r="B13" s="211">
        <v>2015</v>
      </c>
      <c r="C13" s="91">
        <f>INDEX('Rail-domestic psgr traffic'!$D$13:$D$51,MATCH(B13,'Rail-domestic psgr traffic'!$A$13:$A$51,0))</f>
        <v>1269417</v>
      </c>
      <c r="D13" s="212">
        <f>INDEX('Rail-domestic psgr traffic'!$E$13:$E$51,MATCH(B13,'Rail-domestic psgr traffic'!$A$13:$A$51,0))</f>
        <v>2522900</v>
      </c>
      <c r="G13" s="211">
        <v>2015</v>
      </c>
      <c r="H13" s="91">
        <f>INDEX('Rail-domestic psgr traffic'!$L$13:$L$51,MATCH(B13,'Rail-domestic psgr traffic'!$A$13:$A$51,0))</f>
        <v>40343</v>
      </c>
      <c r="I13" s="212">
        <f>INDEX('Rail-domestic psgr traffic'!$M$13:$M$51,MATCH(B13,'Rail-domestic psgr traffic'!$A$13:$A$51,0))</f>
        <v>28028</v>
      </c>
    </row>
    <row r="14" spans="2:12">
      <c r="B14" s="211">
        <v>2016</v>
      </c>
      <c r="C14" s="91">
        <f>INDEX('Rail-domestic psgr traffic'!$D$13:$D$51,MATCH(B14,'Rail-domestic psgr traffic'!$A$13:$A$51,0))</f>
        <v>1449535</v>
      </c>
      <c r="D14" s="212">
        <f>INDEX('Rail-domestic psgr traffic'!$E$13:$E$51,MATCH(B14,'Rail-domestic psgr traffic'!$A$13:$A$51,0))</f>
        <v>3572127</v>
      </c>
      <c r="G14" s="211">
        <v>2016</v>
      </c>
      <c r="H14" s="91">
        <f>INDEX('Rail-domestic psgr traffic'!$L$13:$L$51,MATCH(B14,'Rail-domestic psgr traffic'!$A$13:$A$51,0))</f>
        <v>43384</v>
      </c>
      <c r="I14" s="212">
        <f>INDEX('Rail-domestic psgr traffic'!$M$13:$M$51,MATCH(B14,'Rail-domestic psgr traffic'!$A$13:$A$51,0))</f>
        <v>43487</v>
      </c>
    </row>
    <row r="15" spans="2:12">
      <c r="B15" s="211">
        <v>2017</v>
      </c>
      <c r="C15" s="91">
        <f>INDEX('Rail-domestic psgr traffic'!$D$13:$D$51,MATCH(B15,'Rail-domestic psgr traffic'!$A$13:$A$51,0))</f>
        <v>1490319</v>
      </c>
      <c r="D15" s="212">
        <f>INDEX('Rail-domestic psgr traffic'!$E$13:$E$51,MATCH(B15,'Rail-domestic psgr traffic'!$A$13:$A$51,0))</f>
        <v>3604712</v>
      </c>
      <c r="G15" s="211">
        <v>2017</v>
      </c>
      <c r="H15" s="91">
        <f>INDEX('Rail-domestic psgr traffic'!$L$13:$L$51,MATCH(B15,'Rail-domestic psgr traffic'!$A$13:$A$51,0))</f>
        <v>46295</v>
      </c>
      <c r="I15" s="212">
        <f>INDEX('Rail-domestic psgr traffic'!$M$13:$M$51,MATCH(B15,'Rail-domestic psgr traffic'!$A$13:$A$51,0))</f>
        <v>43669</v>
      </c>
    </row>
    <row r="16" spans="2:12" ht="17.25" thickBot="1">
      <c r="B16" s="213">
        <v>2018</v>
      </c>
      <c r="C16" s="214">
        <f>INDEX('Rail-domestic psgr traffic'!$D$13:$D$51,MATCH(B16,'Rail-domestic psgr traffic'!$A$13:$A$51,0))</f>
        <v>1521590</v>
      </c>
      <c r="D16" s="215">
        <f>INDEX('Rail-domestic psgr traffic'!$E$13:$E$51,MATCH(B16,'Rail-domestic psgr traffic'!$A$13:$A$51,0))</f>
        <v>3618352</v>
      </c>
      <c r="G16" s="213">
        <v>2018</v>
      </c>
      <c r="H16" s="214">
        <f>INDEX('Rail-domestic psgr traffic'!$L$13:$L$51,MATCH(B16,'Rail-domestic psgr traffic'!$A$13:$A$51,0))</f>
        <v>48027</v>
      </c>
      <c r="I16" s="215">
        <f>INDEX('Rail-domestic psgr traffic'!$M$13:$M$51,MATCH(B16,'Rail-domestic psgr traffic'!$A$13:$A$51,0))</f>
        <v>44166</v>
      </c>
    </row>
    <row r="17" spans="1:14">
      <c r="C17" s="91"/>
      <c r="D17" s="91"/>
      <c r="H17" s="91"/>
      <c r="I17" s="91"/>
    </row>
    <row r="18" spans="1:14">
      <c r="D18" s="91"/>
      <c r="H18" s="91"/>
      <c r="I18" s="91"/>
      <c r="L18" s="207"/>
      <c r="M18" s="227"/>
      <c r="N18" s="91"/>
    </row>
    <row r="19" spans="1:14">
      <c r="A19" s="14" t="s">
        <v>377</v>
      </c>
      <c r="C19" s="91"/>
      <c r="D19" s="91"/>
      <c r="H19" s="91"/>
      <c r="I19" s="91"/>
      <c r="L19" s="207"/>
      <c r="M19" s="227"/>
      <c r="N19" s="91"/>
    </row>
    <row r="20" spans="1:14">
      <c r="A20" s="344"/>
      <c r="B20" s="325" t="s">
        <v>378</v>
      </c>
      <c r="C20" s="325" t="s">
        <v>379</v>
      </c>
      <c r="D20" s="325" t="s">
        <v>380</v>
      </c>
      <c r="E20" s="343" t="s">
        <v>381</v>
      </c>
      <c r="F20" s="325" t="s">
        <v>382</v>
      </c>
      <c r="G20" s="325"/>
      <c r="H20" s="343" t="s">
        <v>383</v>
      </c>
      <c r="I20" s="343" t="s">
        <v>384</v>
      </c>
    </row>
    <row r="21" spans="1:14">
      <c r="A21" s="344"/>
      <c r="B21" s="325"/>
      <c r="C21" s="325"/>
      <c r="D21" s="325"/>
      <c r="E21" s="343"/>
      <c r="F21" s="228" t="s">
        <v>385</v>
      </c>
      <c r="G21" s="228" t="s">
        <v>386</v>
      </c>
      <c r="H21" s="343"/>
      <c r="I21" s="343"/>
      <c r="M21" s="105"/>
    </row>
    <row r="22" spans="1:14">
      <c r="A22" s="219" t="s">
        <v>387</v>
      </c>
      <c r="B22" s="216">
        <v>10</v>
      </c>
      <c r="C22" s="234">
        <v>160</v>
      </c>
      <c r="D22" s="216">
        <f>C22/B22</f>
        <v>16</v>
      </c>
      <c r="E22" s="235">
        <v>101188</v>
      </c>
      <c r="F22" s="216">
        <v>514</v>
      </c>
      <c r="G22" s="216">
        <v>464</v>
      </c>
      <c r="H22" s="216">
        <f>SUM(F22*5,G22*2)/7</f>
        <v>499.71428571428572</v>
      </c>
      <c r="I22" s="216">
        <f>E22/H22</f>
        <v>202.49170954831331</v>
      </c>
      <c r="J22" s="218"/>
      <c r="K22" s="218"/>
      <c r="L22" s="218"/>
    </row>
    <row r="23" spans="1:14">
      <c r="A23" s="219" t="s">
        <v>388</v>
      </c>
      <c r="B23" s="216" t="s">
        <v>389</v>
      </c>
      <c r="C23" s="234">
        <v>794</v>
      </c>
      <c r="D23" s="216">
        <v>84</v>
      </c>
      <c r="E23" s="235">
        <v>562103</v>
      </c>
      <c r="F23" s="219">
        <v>947</v>
      </c>
      <c r="G23" s="216">
        <v>853</v>
      </c>
      <c r="H23" s="216">
        <f t="shared" ref="H23:H45" si="0">SUM(F23*5,G23*2)/7</f>
        <v>920.14285714285711</v>
      </c>
      <c r="I23" s="216">
        <f t="shared" ref="I23:I45" si="1">E23/H23</f>
        <v>610.88666356155875</v>
      </c>
      <c r="J23" s="218"/>
      <c r="K23" s="218"/>
      <c r="L23" s="218"/>
      <c r="M23" s="105"/>
    </row>
    <row r="24" spans="1:14">
      <c r="A24" s="219" t="s">
        <v>390</v>
      </c>
      <c r="B24" s="216">
        <v>10</v>
      </c>
      <c r="C24" s="234">
        <v>490</v>
      </c>
      <c r="D24" s="216">
        <f t="shared" ref="D24:D25" si="2">C24/B24</f>
        <v>49</v>
      </c>
      <c r="E24" s="235">
        <v>208987</v>
      </c>
      <c r="F24" s="219">
        <v>362</v>
      </c>
      <c r="G24" s="216">
        <v>350</v>
      </c>
      <c r="H24" s="216">
        <f t="shared" si="0"/>
        <v>358.57142857142856</v>
      </c>
      <c r="I24" s="216">
        <f t="shared" si="1"/>
        <v>582.83227091633466</v>
      </c>
      <c r="J24" s="218"/>
      <c r="K24" s="218"/>
      <c r="L24" s="218"/>
      <c r="M24" s="105"/>
    </row>
    <row r="25" spans="1:14">
      <c r="A25" s="219" t="s">
        <v>391</v>
      </c>
      <c r="B25" s="216">
        <v>10</v>
      </c>
      <c r="C25" s="234">
        <v>470</v>
      </c>
      <c r="D25" s="216">
        <f t="shared" si="2"/>
        <v>47</v>
      </c>
      <c r="E25" s="235">
        <v>210968</v>
      </c>
      <c r="F25" s="216">
        <v>453</v>
      </c>
      <c r="G25" s="216">
        <v>394</v>
      </c>
      <c r="H25" s="216">
        <f t="shared" si="0"/>
        <v>436.14285714285717</v>
      </c>
      <c r="I25" s="216">
        <f t="shared" si="1"/>
        <v>483.71306911234848</v>
      </c>
      <c r="J25" s="218"/>
      <c r="K25" s="218"/>
      <c r="L25" s="218"/>
    </row>
    <row r="26" spans="1:14">
      <c r="A26" s="219" t="s">
        <v>392</v>
      </c>
      <c r="B26" s="216">
        <v>8</v>
      </c>
      <c r="C26" s="234">
        <f>640-12</f>
        <v>628</v>
      </c>
      <c r="D26" s="216">
        <f>C26/B26</f>
        <v>78.5</v>
      </c>
      <c r="E26" s="235">
        <v>223186</v>
      </c>
      <c r="F26" s="216">
        <v>431</v>
      </c>
      <c r="G26" s="216">
        <v>372</v>
      </c>
      <c r="H26" s="216">
        <f t="shared" si="0"/>
        <v>414.14285714285717</v>
      </c>
      <c r="I26" s="216">
        <f t="shared" si="1"/>
        <v>538.91065884787849</v>
      </c>
      <c r="J26" s="218"/>
      <c r="K26" s="218"/>
      <c r="L26" s="218"/>
      <c r="M26" s="105"/>
    </row>
    <row r="27" spans="1:14">
      <c r="A27" s="219" t="s">
        <v>393</v>
      </c>
      <c r="B27" s="216">
        <v>8</v>
      </c>
      <c r="C27" s="234">
        <v>312</v>
      </c>
      <c r="D27" s="216">
        <f t="shared" ref="D27:D45" si="3">C27/B27</f>
        <v>39</v>
      </c>
      <c r="E27" s="235">
        <v>130600</v>
      </c>
      <c r="F27" s="216">
        <v>330</v>
      </c>
      <c r="G27" s="216">
        <v>277</v>
      </c>
      <c r="H27" s="216">
        <f t="shared" si="0"/>
        <v>314.85714285714283</v>
      </c>
      <c r="I27" s="216">
        <f t="shared" si="1"/>
        <v>414.79128856624322</v>
      </c>
      <c r="J27" s="218"/>
      <c r="K27" s="218"/>
      <c r="L27" s="218"/>
    </row>
    <row r="28" spans="1:14">
      <c r="A28" s="219" t="s">
        <v>394</v>
      </c>
      <c r="B28" s="216">
        <v>8</v>
      </c>
      <c r="C28" s="234">
        <v>577</v>
      </c>
      <c r="D28" s="216">
        <f t="shared" si="3"/>
        <v>72.125</v>
      </c>
      <c r="E28" s="235">
        <v>261991</v>
      </c>
      <c r="F28" s="216">
        <v>415</v>
      </c>
      <c r="G28" s="216">
        <v>353</v>
      </c>
      <c r="H28" s="216">
        <f t="shared" si="0"/>
        <v>397.28571428571428</v>
      </c>
      <c r="I28" s="216">
        <f t="shared" si="1"/>
        <v>659.45235526788929</v>
      </c>
      <c r="J28" s="218"/>
      <c r="K28" s="218"/>
    </row>
    <row r="29" spans="1:14">
      <c r="A29" s="219" t="s">
        <v>395</v>
      </c>
      <c r="B29" s="216">
        <v>6</v>
      </c>
      <c r="C29" s="234">
        <v>120</v>
      </c>
      <c r="D29" s="216">
        <f t="shared" si="3"/>
        <v>20</v>
      </c>
      <c r="E29" s="235">
        <v>70133</v>
      </c>
      <c r="F29" s="216">
        <v>282</v>
      </c>
      <c r="G29" s="216">
        <v>270</v>
      </c>
      <c r="H29" s="216">
        <f t="shared" si="0"/>
        <v>278.57142857142856</v>
      </c>
      <c r="I29" s="216">
        <f t="shared" si="1"/>
        <v>251.75948717948719</v>
      </c>
      <c r="J29" s="218"/>
      <c r="K29" s="218"/>
      <c r="L29" s="218"/>
    </row>
    <row r="30" spans="1:14">
      <c r="A30" s="219" t="s">
        <v>396</v>
      </c>
      <c r="B30" s="216">
        <v>6</v>
      </c>
      <c r="C30" s="234">
        <v>270</v>
      </c>
      <c r="D30" s="216">
        <f t="shared" si="3"/>
        <v>45</v>
      </c>
      <c r="E30" s="235">
        <v>130859</v>
      </c>
      <c r="F30" s="216">
        <v>502</v>
      </c>
      <c r="G30" s="219"/>
      <c r="H30" s="216">
        <f>F30</f>
        <v>502</v>
      </c>
      <c r="I30" s="216">
        <f t="shared" si="1"/>
        <v>260.67529880478088</v>
      </c>
      <c r="J30" s="218"/>
      <c r="K30" s="218"/>
      <c r="L30" s="218"/>
      <c r="M30" s="105"/>
    </row>
    <row r="31" spans="1:14">
      <c r="A31" s="219" t="s">
        <v>397</v>
      </c>
      <c r="B31" s="216">
        <v>4</v>
      </c>
      <c r="C31" s="234">
        <v>84</v>
      </c>
      <c r="D31" s="216">
        <f t="shared" si="3"/>
        <v>21</v>
      </c>
      <c r="E31" s="235">
        <v>40262</v>
      </c>
      <c r="F31" s="216">
        <v>242</v>
      </c>
      <c r="G31" s="216">
        <v>218</v>
      </c>
      <c r="H31" s="216">
        <f t="shared" si="0"/>
        <v>235.14285714285714</v>
      </c>
      <c r="I31" s="216">
        <f t="shared" si="1"/>
        <v>171.22357229647631</v>
      </c>
      <c r="J31" s="218"/>
      <c r="K31" s="218"/>
      <c r="L31" s="218"/>
      <c r="M31" s="105"/>
    </row>
    <row r="32" spans="1:14">
      <c r="A32" s="219" t="s">
        <v>398</v>
      </c>
      <c r="B32" s="216">
        <v>8</v>
      </c>
      <c r="C32" s="234">
        <v>408</v>
      </c>
      <c r="D32" s="216">
        <f t="shared" si="3"/>
        <v>51</v>
      </c>
      <c r="E32" s="235">
        <v>173271</v>
      </c>
      <c r="F32" s="219">
        <v>364</v>
      </c>
      <c r="G32" s="216">
        <v>328</v>
      </c>
      <c r="H32" s="216">
        <f t="shared" si="0"/>
        <v>353.71428571428572</v>
      </c>
      <c r="I32" s="216">
        <f t="shared" si="1"/>
        <v>489.8614701130856</v>
      </c>
      <c r="J32" s="218"/>
      <c r="K32" s="218"/>
      <c r="L32" s="218"/>
      <c r="M32" s="105"/>
    </row>
    <row r="33" spans="1:13">
      <c r="A33" s="219" t="s">
        <v>399</v>
      </c>
      <c r="B33" s="216">
        <v>6</v>
      </c>
      <c r="C33" s="234">
        <v>336</v>
      </c>
      <c r="D33" s="216">
        <f t="shared" si="3"/>
        <v>56</v>
      </c>
      <c r="E33" s="235">
        <v>123856</v>
      </c>
      <c r="F33" s="219">
        <v>349</v>
      </c>
      <c r="G33" s="216">
        <v>305</v>
      </c>
      <c r="H33" s="216">
        <f t="shared" si="0"/>
        <v>336.42857142857144</v>
      </c>
      <c r="I33" s="216">
        <f t="shared" si="1"/>
        <v>368.14946921443737</v>
      </c>
      <c r="J33" s="218"/>
      <c r="K33" s="218"/>
      <c r="L33" s="218"/>
    </row>
    <row r="34" spans="1:13">
      <c r="A34" s="219" t="s">
        <v>400</v>
      </c>
      <c r="B34" s="216">
        <v>4</v>
      </c>
      <c r="C34" s="234">
        <v>80</v>
      </c>
      <c r="D34" s="216">
        <f t="shared" si="3"/>
        <v>20</v>
      </c>
      <c r="E34" s="235">
        <v>34438</v>
      </c>
      <c r="F34" s="219">
        <v>320</v>
      </c>
      <c r="G34" s="216">
        <v>284</v>
      </c>
      <c r="H34" s="216">
        <f t="shared" si="0"/>
        <v>309.71428571428572</v>
      </c>
      <c r="I34" s="216">
        <f t="shared" si="1"/>
        <v>111.19280442804428</v>
      </c>
      <c r="J34" s="218"/>
      <c r="K34" s="218"/>
      <c r="L34" s="218"/>
    </row>
    <row r="35" spans="1:13">
      <c r="A35" s="219" t="s">
        <v>401</v>
      </c>
      <c r="B35" s="216">
        <v>6</v>
      </c>
      <c r="C35" s="234">
        <v>102</v>
      </c>
      <c r="D35" s="216">
        <f t="shared" si="3"/>
        <v>17</v>
      </c>
      <c r="E35" s="235">
        <v>10984</v>
      </c>
      <c r="F35" s="219">
        <v>310</v>
      </c>
      <c r="G35" s="216">
        <v>278</v>
      </c>
      <c r="H35" s="216">
        <f t="shared" si="0"/>
        <v>300.85714285714283</v>
      </c>
      <c r="I35" s="216">
        <f t="shared" si="1"/>
        <v>36.509021842355182</v>
      </c>
      <c r="J35" s="218"/>
      <c r="K35" s="218"/>
      <c r="L35" s="218"/>
    </row>
    <row r="36" spans="1:13">
      <c r="A36" s="219" t="s">
        <v>402</v>
      </c>
      <c r="B36" s="216">
        <v>8</v>
      </c>
      <c r="C36" s="234">
        <v>272</v>
      </c>
      <c r="D36" s="216">
        <f t="shared" si="3"/>
        <v>34</v>
      </c>
      <c r="E36" s="235">
        <v>74427</v>
      </c>
      <c r="F36" s="219">
        <v>312</v>
      </c>
      <c r="G36" s="216">
        <v>272</v>
      </c>
      <c r="H36" s="216">
        <f t="shared" si="0"/>
        <v>300.57142857142856</v>
      </c>
      <c r="I36" s="216">
        <f t="shared" si="1"/>
        <v>247.61834600760457</v>
      </c>
      <c r="J36" s="218"/>
      <c r="K36" s="218"/>
      <c r="L36" s="218"/>
      <c r="M36" s="105"/>
    </row>
    <row r="37" spans="1:13">
      <c r="A37" s="219" t="s">
        <v>403</v>
      </c>
      <c r="B37" s="216">
        <v>2</v>
      </c>
      <c r="C37" s="234">
        <v>74</v>
      </c>
      <c r="D37" s="216">
        <f t="shared" si="3"/>
        <v>37</v>
      </c>
      <c r="E37" s="235">
        <v>41388</v>
      </c>
      <c r="F37" s="219">
        <v>460</v>
      </c>
      <c r="G37" s="216">
        <v>376</v>
      </c>
      <c r="H37" s="216">
        <f t="shared" si="0"/>
        <v>436</v>
      </c>
      <c r="I37" s="216">
        <f t="shared" si="1"/>
        <v>94.926605504587158</v>
      </c>
      <c r="J37" s="218"/>
      <c r="K37" s="218"/>
      <c r="L37" s="218"/>
      <c r="M37" s="105"/>
    </row>
    <row r="38" spans="1:13">
      <c r="A38" s="219" t="s">
        <v>404</v>
      </c>
      <c r="B38" s="216">
        <v>6</v>
      </c>
      <c r="C38" s="234">
        <v>204</v>
      </c>
      <c r="D38" s="216">
        <f t="shared" si="3"/>
        <v>34</v>
      </c>
      <c r="E38" s="235">
        <v>74572</v>
      </c>
      <c r="F38" s="216">
        <f>105112/365</f>
        <v>287.9780821917808</v>
      </c>
      <c r="G38" s="219"/>
      <c r="H38" s="216">
        <f>F38</f>
        <v>287.9780821917808</v>
      </c>
      <c r="I38" s="216">
        <f t="shared" si="1"/>
        <v>258.9502625770607</v>
      </c>
      <c r="J38" s="218"/>
      <c r="K38" s="218"/>
      <c r="L38" s="218"/>
      <c r="M38" s="105"/>
    </row>
    <row r="39" spans="1:13">
      <c r="A39" s="219" t="s">
        <v>405</v>
      </c>
      <c r="B39" s="216">
        <v>6</v>
      </c>
      <c r="C39" s="234">
        <v>180</v>
      </c>
      <c r="D39" s="216">
        <f t="shared" si="3"/>
        <v>30</v>
      </c>
      <c r="E39" s="235">
        <v>64876</v>
      </c>
      <c r="F39" s="216">
        <f>96192/365</f>
        <v>263.53972602739725</v>
      </c>
      <c r="G39" s="219"/>
      <c r="H39" s="216">
        <f t="shared" ref="H39:H40" si="4">F39</f>
        <v>263.53972602739725</v>
      </c>
      <c r="I39" s="216">
        <f t="shared" si="1"/>
        <v>246.1716151031271</v>
      </c>
      <c r="J39" s="218"/>
      <c r="K39" s="218"/>
      <c r="L39" s="218"/>
      <c r="M39" s="105"/>
    </row>
    <row r="40" spans="1:13">
      <c r="A40" s="219" t="s">
        <v>406</v>
      </c>
      <c r="B40" s="216">
        <v>3</v>
      </c>
      <c r="C40" s="234">
        <v>84</v>
      </c>
      <c r="D40" s="216">
        <f t="shared" si="3"/>
        <v>28</v>
      </c>
      <c r="E40" s="235">
        <v>28180</v>
      </c>
      <c r="F40" s="216">
        <f>111480/365</f>
        <v>305.42465753424659</v>
      </c>
      <c r="G40" s="219"/>
      <c r="H40" s="216">
        <f t="shared" si="4"/>
        <v>305.42465753424659</v>
      </c>
      <c r="I40" s="216">
        <f t="shared" si="1"/>
        <v>92.264980265518474</v>
      </c>
      <c r="J40" s="218"/>
      <c r="K40" s="218"/>
      <c r="L40" s="218"/>
    </row>
    <row r="41" spans="1:13">
      <c r="A41" s="219" t="s">
        <v>407</v>
      </c>
      <c r="B41" s="216">
        <v>4</v>
      </c>
      <c r="C41" s="234">
        <v>92</v>
      </c>
      <c r="D41" s="216">
        <f t="shared" si="3"/>
        <v>23</v>
      </c>
      <c r="E41" s="235">
        <v>19319</v>
      </c>
      <c r="F41" s="216">
        <f>G41*(F31/G31)</f>
        <v>224.23853211009174</v>
      </c>
      <c r="G41" s="219">
        <v>202</v>
      </c>
      <c r="H41" s="216">
        <f t="shared" si="0"/>
        <v>217.88466579292268</v>
      </c>
      <c r="I41" s="216">
        <f t="shared" si="1"/>
        <v>88.666175426777187</v>
      </c>
      <c r="J41" s="218"/>
      <c r="K41" s="218"/>
      <c r="L41" s="218"/>
      <c r="M41" s="105"/>
    </row>
    <row r="42" spans="1:13">
      <c r="A42" s="219" t="s">
        <v>408</v>
      </c>
      <c r="B42" s="216">
        <v>2</v>
      </c>
      <c r="C42" s="234">
        <v>50</v>
      </c>
      <c r="D42" s="216">
        <f t="shared" si="3"/>
        <v>25</v>
      </c>
      <c r="E42" s="235">
        <v>18480</v>
      </c>
      <c r="F42" s="219">
        <v>424</v>
      </c>
      <c r="G42" s="219"/>
      <c r="H42" s="216">
        <f t="shared" si="0"/>
        <v>302.85714285714283</v>
      </c>
      <c r="I42" s="216">
        <f t="shared" si="1"/>
        <v>61.018867924528308</v>
      </c>
      <c r="J42" s="218"/>
      <c r="K42" s="218"/>
      <c r="L42" s="218"/>
      <c r="M42" s="105"/>
    </row>
    <row r="43" spans="1:13">
      <c r="A43" s="219" t="s">
        <v>409</v>
      </c>
      <c r="B43" s="216">
        <v>2</v>
      </c>
      <c r="C43" s="234">
        <v>30</v>
      </c>
      <c r="D43" s="216">
        <f t="shared" si="3"/>
        <v>15</v>
      </c>
      <c r="E43" s="235">
        <v>12953</v>
      </c>
      <c r="F43" s="219">
        <v>362</v>
      </c>
      <c r="G43" s="219"/>
      <c r="H43" s="216">
        <f t="shared" si="0"/>
        <v>258.57142857142856</v>
      </c>
      <c r="I43" s="216">
        <f t="shared" si="1"/>
        <v>50.094475138121553</v>
      </c>
      <c r="J43" s="218"/>
      <c r="K43" s="218"/>
      <c r="L43" s="218"/>
      <c r="M43" s="105"/>
    </row>
    <row r="44" spans="1:13">
      <c r="A44" s="219" t="s">
        <v>410</v>
      </c>
      <c r="B44" s="216">
        <v>1</v>
      </c>
      <c r="C44" s="234">
        <v>30</v>
      </c>
      <c r="D44" s="216">
        <f t="shared" si="3"/>
        <v>30</v>
      </c>
      <c r="E44" s="235">
        <v>8848</v>
      </c>
      <c r="F44" s="219">
        <v>398</v>
      </c>
      <c r="G44" s="219"/>
      <c r="H44" s="216">
        <f t="shared" si="0"/>
        <v>284.28571428571428</v>
      </c>
      <c r="I44" s="216">
        <f t="shared" si="1"/>
        <v>31.123618090452261</v>
      </c>
      <c r="J44" s="218"/>
      <c r="K44" s="218"/>
      <c r="L44" s="218"/>
      <c r="M44" s="105"/>
    </row>
    <row r="45" spans="1:13">
      <c r="A45" s="219" t="s">
        <v>411</v>
      </c>
      <c r="B45" s="216">
        <v>2</v>
      </c>
      <c r="C45" s="234">
        <v>36</v>
      </c>
      <c r="D45" s="216">
        <f t="shared" si="3"/>
        <v>18</v>
      </c>
      <c r="E45" s="235">
        <v>16157</v>
      </c>
      <c r="F45" s="219">
        <v>516</v>
      </c>
      <c r="G45" s="219"/>
      <c r="H45" s="216">
        <f t="shared" si="0"/>
        <v>368.57142857142856</v>
      </c>
      <c r="I45" s="216">
        <f t="shared" si="1"/>
        <v>43.83682170542636</v>
      </c>
      <c r="J45" s="218"/>
      <c r="K45" s="218"/>
      <c r="L45" s="218"/>
      <c r="M45" s="105"/>
    </row>
    <row r="46" spans="1:13">
      <c r="A46" s="219" t="s">
        <v>412</v>
      </c>
      <c r="B46" s="216"/>
      <c r="C46" s="219">
        <v>5883</v>
      </c>
      <c r="D46" s="216">
        <f>SUM(D22:D45)</f>
        <v>889.625</v>
      </c>
      <c r="E46" s="217">
        <f>SUM(E22:E45)</f>
        <v>2642026</v>
      </c>
      <c r="F46" s="219"/>
      <c r="G46" s="219"/>
      <c r="H46" s="219"/>
      <c r="I46" s="219"/>
      <c r="L46" s="218"/>
    </row>
    <row r="47" spans="1:13">
      <c r="B47" s="207" t="s">
        <v>413</v>
      </c>
      <c r="C47" s="220">
        <f>SUMPRODUCT(D22:D45,I22:I45)/D46</f>
        <v>356.82478102755613</v>
      </c>
      <c r="H47" s="207" t="s">
        <v>414</v>
      </c>
      <c r="I47" s="8" t="s">
        <v>415</v>
      </c>
      <c r="L47" s="218"/>
    </row>
    <row r="48" spans="1:13">
      <c r="L48" s="218"/>
      <c r="M48" s="105"/>
    </row>
    <row r="49" spans="1:13">
      <c r="A49" s="221"/>
      <c r="M49" s="105"/>
    </row>
  </sheetData>
  <mergeCells count="8">
    <mergeCell ref="H20:H21"/>
    <mergeCell ref="I20:I21"/>
    <mergeCell ref="A20:A21"/>
    <mergeCell ref="B20:B21"/>
    <mergeCell ref="C20:C21"/>
    <mergeCell ref="D20:D21"/>
    <mergeCell ref="E20:E21"/>
    <mergeCell ref="F20:G20"/>
  </mergeCells>
  <phoneticPr fontId="4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192C-0450-42E3-8D79-845E13F91F84}">
  <dimension ref="A1:J33"/>
  <sheetViews>
    <sheetView zoomScale="90" zoomScaleNormal="90" workbookViewId="0"/>
  </sheetViews>
  <sheetFormatPr defaultColWidth="9" defaultRowHeight="16.5"/>
  <cols>
    <col min="1" max="1" width="13.5" style="8" customWidth="1"/>
    <col min="2" max="2" width="14.875" style="8" bestFit="1" customWidth="1"/>
    <col min="3" max="4" width="13.5" style="8" bestFit="1" customWidth="1"/>
    <col min="5" max="5" width="16" style="8" bestFit="1" customWidth="1"/>
    <col min="6" max="6" width="17.875" style="8" bestFit="1" customWidth="1"/>
    <col min="7" max="7" width="12.875" style="8" bestFit="1" customWidth="1"/>
    <col min="8" max="9" width="11.5" style="8" bestFit="1" customWidth="1"/>
    <col min="10" max="10" width="11" style="8" bestFit="1" customWidth="1"/>
    <col min="11" max="16384" width="9" style="8"/>
  </cols>
  <sheetData>
    <row r="1" spans="1:10" ht="20.100000000000001" customHeight="1">
      <c r="A1" s="14" t="s">
        <v>416</v>
      </c>
    </row>
    <row r="2" spans="1:10" ht="20.100000000000001" customHeight="1">
      <c r="A2" s="222" t="s">
        <v>417</v>
      </c>
      <c r="B2" s="222" t="s">
        <v>418</v>
      </c>
      <c r="C2" s="345" t="s">
        <v>419</v>
      </c>
      <c r="D2" s="346"/>
      <c r="E2" s="222" t="s">
        <v>420</v>
      </c>
      <c r="F2" s="222" t="s">
        <v>421</v>
      </c>
      <c r="G2" s="222" t="s">
        <v>422</v>
      </c>
    </row>
    <row r="3" spans="1:10" ht="20.100000000000001" customHeight="1">
      <c r="A3" s="269">
        <f>'Rail-CAGR'!J3</f>
        <v>1521590000</v>
      </c>
      <c r="B3" s="269">
        <f>'Rail-CAGR'!J4</f>
        <v>48027000000</v>
      </c>
      <c r="C3" s="345">
        <v>431.85287008701471</v>
      </c>
      <c r="D3" s="346"/>
      <c r="E3" s="217">
        <f>B3/(SUM(SYVbT_passenger!B5:H5)-$C$10)</f>
        <v>58067909.319899246</v>
      </c>
      <c r="F3" s="217">
        <f>E3*About!$B$64</f>
        <v>36081714.882015117</v>
      </c>
      <c r="G3" s="217">
        <f>F3/C3</f>
        <v>83550.943808119089</v>
      </c>
      <c r="I3" s="91"/>
      <c r="J3" s="91"/>
    </row>
    <row r="4" spans="1:10" ht="20.100000000000001" customHeight="1">
      <c r="A4" s="92"/>
      <c r="B4" s="92"/>
      <c r="C4" s="92"/>
      <c r="E4" s="91"/>
      <c r="F4" s="91"/>
      <c r="G4" s="91"/>
    </row>
    <row r="5" spans="1:10" ht="20.100000000000001" customHeight="1">
      <c r="A5" s="270" t="s">
        <v>423</v>
      </c>
      <c r="B5" s="270" t="s">
        <v>424</v>
      </c>
      <c r="C5" s="222" t="s">
        <v>425</v>
      </c>
      <c r="D5" s="222" t="s">
        <v>426</v>
      </c>
      <c r="E5" s="271" t="s">
        <v>427</v>
      </c>
      <c r="F5" s="271" t="s">
        <v>428</v>
      </c>
      <c r="G5" s="271" t="s">
        <v>422</v>
      </c>
    </row>
    <row r="6" spans="1:10" ht="20.100000000000001" customHeight="1">
      <c r="A6" s="269">
        <f>'Rail-CAGR'!J5</f>
        <v>30914733</v>
      </c>
      <c r="B6" s="269">
        <f>'Rail-CAGR'!J6</f>
        <v>7877511771.6429996</v>
      </c>
      <c r="C6" s="219">
        <v>30</v>
      </c>
      <c r="D6" s="219">
        <f>C6*50.48</f>
        <v>1514.3999999999999</v>
      </c>
      <c r="E6" s="217">
        <f>B6/SUM(SYVbT_freight!B5:H5)</f>
        <v>36724996.604396269</v>
      </c>
      <c r="F6" s="217">
        <f>E6*About!$B$64</f>
        <v>22819847.865070313</v>
      </c>
      <c r="G6" s="272">
        <f>F6/D6</f>
        <v>15068.57360345372</v>
      </c>
      <c r="I6" s="92"/>
      <c r="J6" s="91"/>
    </row>
    <row r="7" spans="1:10" ht="20.100000000000001" customHeight="1"/>
    <row r="8" spans="1:10" ht="20.100000000000001" customHeight="1">
      <c r="A8" s="14" t="s">
        <v>429</v>
      </c>
      <c r="B8" s="8" t="s">
        <v>430</v>
      </c>
    </row>
    <row r="9" spans="1:10" ht="20.100000000000001" customHeight="1">
      <c r="A9" s="222" t="s">
        <v>417</v>
      </c>
      <c r="B9" s="222" t="s">
        <v>418</v>
      </c>
      <c r="C9" s="222" t="s">
        <v>431</v>
      </c>
      <c r="D9" s="222" t="s">
        <v>419</v>
      </c>
      <c r="E9" s="222" t="s">
        <v>420</v>
      </c>
      <c r="F9" s="222" t="s">
        <v>421</v>
      </c>
      <c r="G9" s="222" t="s">
        <v>422</v>
      </c>
    </row>
    <row r="10" spans="1:10" ht="20.100000000000001" customHeight="1">
      <c r="A10" s="217">
        <f>'Rail-subway'!D16*1000</f>
        <v>3618352000</v>
      </c>
      <c r="B10" s="217">
        <f>'Rail-subway'!I16*10^6</f>
        <v>44166000000</v>
      </c>
      <c r="C10" s="217">
        <f>'Rail-subway'!D46</f>
        <v>889.625</v>
      </c>
      <c r="D10" s="217">
        <f>'Rail-subway'!C47</f>
        <v>356.82478102755613</v>
      </c>
      <c r="E10" s="217">
        <f>B10/C10</f>
        <v>49645637.20668821</v>
      </c>
      <c r="F10" s="217">
        <f>E10*About!$B$64</f>
        <v>30848359.236757059</v>
      </c>
      <c r="G10" s="217">
        <f>F10/D10</f>
        <v>86452.40150620247</v>
      </c>
    </row>
    <row r="11" spans="1:10" ht="20.100000000000001" customHeight="1"/>
    <row r="12" spans="1:10" ht="20.100000000000001" customHeight="1">
      <c r="A12" s="14" t="s">
        <v>432</v>
      </c>
    </row>
    <row r="13" spans="1:10" ht="20.100000000000001" customHeight="1">
      <c r="A13" s="222" t="s">
        <v>417</v>
      </c>
      <c r="B13" s="222" t="s">
        <v>418</v>
      </c>
      <c r="C13" s="222" t="s">
        <v>431</v>
      </c>
      <c r="D13" s="222" t="s">
        <v>419</v>
      </c>
      <c r="E13" s="222" t="s">
        <v>420</v>
      </c>
      <c r="F13" s="222" t="s">
        <v>421</v>
      </c>
      <c r="G13" s="222" t="s">
        <v>422</v>
      </c>
    </row>
    <row r="14" spans="1:10" ht="20.100000000000001" customHeight="1">
      <c r="A14" s="223">
        <f>SUM($A$3,$A$10)</f>
        <v>5139942000</v>
      </c>
      <c r="B14" s="223">
        <f>SUM($B$3,$B$10)</f>
        <v>92193000000</v>
      </c>
      <c r="C14" s="223">
        <f>SUM(SYVbT_passenger!$B$5:$H$5)</f>
        <v>1716.7083333333333</v>
      </c>
      <c r="D14" s="226">
        <f>'AVLo-passenger'!B5</f>
        <v>382.85954795395736</v>
      </c>
      <c r="E14" s="223">
        <f>B14/C14</f>
        <v>53703356.714642853</v>
      </c>
      <c r="F14" s="223">
        <f>E14*About!$B$64</f>
        <v>33369708.465134345</v>
      </c>
      <c r="G14" s="224">
        <f>F14/$D$14</f>
        <v>87159.138758496847</v>
      </c>
    </row>
    <row r="15" spans="1:10" ht="20.100000000000001" customHeight="1"/>
    <row r="16" spans="1:10" ht="20.100000000000001" customHeight="1">
      <c r="A16" s="14" t="s">
        <v>39</v>
      </c>
    </row>
    <row r="17" spans="1:1" ht="20.100000000000001" customHeight="1">
      <c r="A17" s="8" t="s">
        <v>433</v>
      </c>
    </row>
    <row r="18" spans="1:1" ht="20.100000000000001" customHeight="1">
      <c r="A18" s="8" t="s">
        <v>434</v>
      </c>
    </row>
    <row r="19" spans="1:1" ht="20.100000000000001" customHeight="1"/>
    <row r="20" spans="1:1" ht="20.100000000000001" customHeight="1">
      <c r="A20" s="8" t="s">
        <v>435</v>
      </c>
    </row>
    <row r="21" spans="1:1" ht="20.100000000000001" customHeight="1"/>
    <row r="22" spans="1:1" ht="20.100000000000001" customHeight="1"/>
    <row r="23" spans="1:1" ht="20.100000000000001" customHeight="1"/>
    <row r="24" spans="1:1" ht="20.100000000000001" customHeight="1"/>
    <row r="25" spans="1:1" ht="20.100000000000001" customHeight="1"/>
    <row r="26" spans="1:1" ht="20.100000000000001" customHeight="1"/>
    <row r="27" spans="1:1" ht="20.100000000000001" customHeight="1"/>
    <row r="28" spans="1:1" ht="20.100000000000001" customHeight="1"/>
    <row r="29" spans="1:1" ht="20.100000000000001" customHeight="1"/>
    <row r="30" spans="1:1" ht="20.100000000000001" customHeight="1"/>
    <row r="31" spans="1:1" ht="20.100000000000001" customHeight="1"/>
    <row r="32" spans="1:1" ht="20.100000000000001" customHeight="1">
      <c r="A32" s="239"/>
    </row>
    <row r="33" spans="1:1" ht="20.100000000000001" customHeight="1">
      <c r="A33" s="114"/>
    </row>
  </sheetData>
  <mergeCells count="2">
    <mergeCell ref="C2:D2"/>
    <mergeCell ref="C3:D3"/>
  </mergeCells>
  <phoneticPr fontId="43" type="noConversion"/>
  <pageMargins left="0.7" right="0.7" top="0.75" bottom="0.75" header="0.3" footer="0.3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385B6-1EFB-426D-B137-34A8D745209C}">
  <dimension ref="A2:J74"/>
  <sheetViews>
    <sheetView workbookViewId="0"/>
  </sheetViews>
  <sheetFormatPr defaultColWidth="9" defaultRowHeight="13.5"/>
  <cols>
    <col min="1" max="1" width="9" style="102"/>
    <col min="2" max="2" width="11.25" style="102" customWidth="1"/>
    <col min="3" max="3" width="10.5" style="102" customWidth="1"/>
    <col min="4" max="4" width="7.5" style="102" customWidth="1"/>
    <col min="5" max="5" width="11" style="102" customWidth="1"/>
    <col min="6" max="6" width="8.875" style="102" customWidth="1"/>
    <col min="7" max="8" width="9.5" style="102" customWidth="1"/>
    <col min="9" max="16384" width="9" style="102"/>
  </cols>
  <sheetData>
    <row r="2" spans="2:10">
      <c r="B2" s="273"/>
      <c r="C2" s="273" t="s">
        <v>436</v>
      </c>
      <c r="D2" s="273" t="s">
        <v>437</v>
      </c>
      <c r="E2" s="273" t="s">
        <v>438</v>
      </c>
      <c r="F2" s="273" t="s">
        <v>439</v>
      </c>
      <c r="G2" s="273" t="s">
        <v>440</v>
      </c>
      <c r="H2" s="103"/>
    </row>
    <row r="3" spans="2:10">
      <c r="B3" s="327" t="s">
        <v>441</v>
      </c>
      <c r="C3" s="327" t="s">
        <v>442</v>
      </c>
      <c r="D3" s="327" t="s">
        <v>443</v>
      </c>
      <c r="E3" s="274" t="s">
        <v>444</v>
      </c>
      <c r="F3" s="274">
        <v>3</v>
      </c>
      <c r="G3" s="327"/>
      <c r="H3" s="84"/>
    </row>
    <row r="4" spans="2:10">
      <c r="B4" s="327"/>
      <c r="C4" s="327"/>
      <c r="D4" s="327"/>
      <c r="E4" s="274" t="s">
        <v>445</v>
      </c>
      <c r="F4" s="274">
        <v>10</v>
      </c>
      <c r="G4" s="327"/>
      <c r="H4" s="84"/>
    </row>
    <row r="5" spans="2:10">
      <c r="B5" s="327"/>
      <c r="C5" s="327"/>
      <c r="D5" s="327"/>
      <c r="E5" s="274" t="s">
        <v>446</v>
      </c>
      <c r="F5" s="274">
        <v>44</v>
      </c>
      <c r="G5" s="327"/>
      <c r="H5" s="84"/>
    </row>
    <row r="6" spans="2:10">
      <c r="B6" s="327"/>
      <c r="C6" s="327"/>
      <c r="D6" s="327"/>
      <c r="E6" s="274" t="s">
        <v>447</v>
      </c>
      <c r="F6" s="274">
        <v>10</v>
      </c>
      <c r="G6" s="327"/>
      <c r="H6" s="84"/>
    </row>
    <row r="7" spans="2:10">
      <c r="B7" s="327"/>
      <c r="C7" s="327"/>
      <c r="D7" s="327"/>
      <c r="E7" s="274" t="s">
        <v>448</v>
      </c>
      <c r="F7" s="274">
        <v>31</v>
      </c>
      <c r="G7" s="327"/>
      <c r="H7" s="84"/>
    </row>
    <row r="8" spans="2:10">
      <c r="B8" s="327"/>
      <c r="C8" s="327"/>
      <c r="D8" s="327"/>
      <c r="E8" s="274" t="s">
        <v>449</v>
      </c>
      <c r="F8" s="274">
        <v>29</v>
      </c>
      <c r="G8" s="327"/>
      <c r="H8" s="84"/>
    </row>
    <row r="9" spans="2:10">
      <c r="B9" s="327"/>
      <c r="C9" s="327"/>
      <c r="D9" s="327"/>
      <c r="E9" s="274" t="s">
        <v>450</v>
      </c>
      <c r="F9" s="274">
        <v>10</v>
      </c>
      <c r="G9" s="327"/>
      <c r="H9" s="84"/>
    </row>
    <row r="10" spans="2:10">
      <c r="B10" s="327"/>
      <c r="C10" s="327"/>
      <c r="D10" s="327"/>
      <c r="E10" s="274" t="s">
        <v>451</v>
      </c>
      <c r="F10" s="274">
        <v>10</v>
      </c>
      <c r="G10" s="327"/>
      <c r="H10" s="84"/>
    </row>
    <row r="11" spans="2:10">
      <c r="B11" s="327"/>
      <c r="C11" s="327"/>
      <c r="D11" s="327"/>
      <c r="E11" s="274" t="s">
        <v>452</v>
      </c>
      <c r="F11" s="274">
        <f>SUM($F$3:$F$10)</f>
        <v>147</v>
      </c>
      <c r="G11" s="327"/>
      <c r="H11" s="98" t="s">
        <v>453</v>
      </c>
    </row>
    <row r="12" spans="2:10">
      <c r="B12" s="327"/>
      <c r="C12" s="327"/>
      <c r="D12" s="327" t="s">
        <v>454</v>
      </c>
      <c r="E12" s="274" t="s">
        <v>455</v>
      </c>
      <c r="F12" s="274">
        <v>4</v>
      </c>
      <c r="G12" s="327"/>
      <c r="H12" s="84">
        <f>H13-24</f>
        <v>110</v>
      </c>
      <c r="I12" s="98">
        <f>SUMPRODUCT(F12:F14,H12:H14)/SUM(F12:F14)</f>
        <v>114.17391304347827</v>
      </c>
      <c r="J12" s="102" t="s">
        <v>456</v>
      </c>
    </row>
    <row r="13" spans="2:10" ht="16.5" customHeight="1">
      <c r="B13" s="327"/>
      <c r="C13" s="327"/>
      <c r="D13" s="327"/>
      <c r="E13" s="274" t="s">
        <v>457</v>
      </c>
      <c r="F13" s="274">
        <v>7</v>
      </c>
      <c r="G13" s="327"/>
      <c r="H13" s="84">
        <v>134</v>
      </c>
    </row>
    <row r="14" spans="2:10">
      <c r="B14" s="327"/>
      <c r="C14" s="327"/>
      <c r="D14" s="327"/>
      <c r="E14" s="274" t="s">
        <v>458</v>
      </c>
      <c r="F14" s="274">
        <v>12</v>
      </c>
      <c r="G14" s="327"/>
      <c r="H14" s="84">
        <f>104</f>
        <v>104</v>
      </c>
    </row>
    <row r="15" spans="2:10">
      <c r="B15" s="327"/>
      <c r="C15" s="327"/>
      <c r="D15" s="327"/>
      <c r="E15" s="274" t="s">
        <v>452</v>
      </c>
      <c r="F15" s="274">
        <f>SUM($F$12:$F$14)</f>
        <v>23</v>
      </c>
      <c r="G15" s="327"/>
      <c r="H15" s="84"/>
    </row>
    <row r="16" spans="2:10">
      <c r="B16" s="327"/>
      <c r="C16" s="327" t="s">
        <v>459</v>
      </c>
      <c r="D16" s="327" t="s">
        <v>443</v>
      </c>
      <c r="E16" s="274" t="s">
        <v>444</v>
      </c>
      <c r="F16" s="274">
        <v>2</v>
      </c>
      <c r="G16" s="327"/>
      <c r="H16" s="84"/>
    </row>
    <row r="17" spans="2:8">
      <c r="B17" s="327"/>
      <c r="C17" s="327"/>
      <c r="D17" s="327"/>
      <c r="E17" s="274" t="s">
        <v>460</v>
      </c>
      <c r="F17" s="274">
        <v>9</v>
      </c>
      <c r="G17" s="327"/>
      <c r="H17" s="84"/>
    </row>
    <row r="18" spans="2:8">
      <c r="B18" s="327"/>
      <c r="C18" s="327"/>
      <c r="D18" s="327"/>
      <c r="E18" s="274" t="s">
        <v>461</v>
      </c>
      <c r="F18" s="274">
        <v>6</v>
      </c>
      <c r="G18" s="327"/>
      <c r="H18" s="84"/>
    </row>
    <row r="19" spans="2:8">
      <c r="B19" s="327"/>
      <c r="C19" s="327"/>
      <c r="D19" s="327"/>
      <c r="E19" s="274" t="s">
        <v>462</v>
      </c>
      <c r="F19" s="274">
        <v>19</v>
      </c>
      <c r="G19" s="327"/>
      <c r="H19" s="84"/>
    </row>
    <row r="20" spans="2:8">
      <c r="B20" s="327"/>
      <c r="C20" s="327"/>
      <c r="D20" s="327"/>
      <c r="E20" s="274" t="s">
        <v>463</v>
      </c>
      <c r="F20" s="274">
        <v>15</v>
      </c>
      <c r="G20" s="327"/>
      <c r="H20" s="84"/>
    </row>
    <row r="21" spans="2:8">
      <c r="B21" s="327"/>
      <c r="C21" s="327"/>
      <c r="D21" s="327"/>
      <c r="E21" s="274" t="s">
        <v>464</v>
      </c>
      <c r="F21" s="274">
        <v>7</v>
      </c>
      <c r="G21" s="327"/>
      <c r="H21" s="84"/>
    </row>
    <row r="22" spans="2:8">
      <c r="B22" s="327"/>
      <c r="C22" s="327"/>
      <c r="D22" s="327"/>
      <c r="E22" s="274" t="s">
        <v>450</v>
      </c>
      <c r="F22" s="274">
        <v>6</v>
      </c>
      <c r="G22" s="327"/>
      <c r="H22" s="84"/>
    </row>
    <row r="23" spans="2:8">
      <c r="B23" s="327"/>
      <c r="C23" s="327"/>
      <c r="D23" s="327"/>
      <c r="E23" s="274" t="s">
        <v>465</v>
      </c>
      <c r="F23" s="274">
        <v>10</v>
      </c>
      <c r="G23" s="327"/>
      <c r="H23" s="84"/>
    </row>
    <row r="24" spans="2:8">
      <c r="B24" s="327"/>
      <c r="C24" s="327"/>
      <c r="D24" s="327"/>
      <c r="E24" s="274" t="s">
        <v>452</v>
      </c>
      <c r="F24" s="274">
        <f>SUM($F$16:$F$23)</f>
        <v>74</v>
      </c>
      <c r="G24" s="327"/>
      <c r="H24" s="84"/>
    </row>
    <row r="25" spans="2:8">
      <c r="B25" s="327"/>
      <c r="C25" s="327"/>
      <c r="D25" s="327" t="s">
        <v>454</v>
      </c>
      <c r="E25" s="274" t="s">
        <v>455</v>
      </c>
      <c r="F25" s="274">
        <v>9</v>
      </c>
      <c r="G25" s="327"/>
      <c r="H25" s="84"/>
    </row>
    <row r="26" spans="2:8">
      <c r="B26" s="327"/>
      <c r="C26" s="327"/>
      <c r="D26" s="327"/>
      <c r="E26" s="274" t="s">
        <v>466</v>
      </c>
      <c r="F26" s="274">
        <v>1</v>
      </c>
      <c r="G26" s="327"/>
      <c r="H26" s="84"/>
    </row>
    <row r="27" spans="2:8">
      <c r="B27" s="327"/>
      <c r="C27" s="327"/>
      <c r="D27" s="327"/>
      <c r="E27" s="274" t="s">
        <v>444</v>
      </c>
      <c r="F27" s="274">
        <v>2</v>
      </c>
      <c r="G27" s="327"/>
      <c r="H27" s="84"/>
    </row>
    <row r="28" spans="2:8">
      <c r="B28" s="327"/>
      <c r="C28" s="327"/>
      <c r="D28" s="327"/>
      <c r="E28" s="274" t="s">
        <v>452</v>
      </c>
      <c r="F28" s="274">
        <f>SUM($F$25:$F$27)</f>
        <v>12</v>
      </c>
      <c r="G28" s="327"/>
      <c r="H28" s="84"/>
    </row>
    <row r="29" spans="2:8">
      <c r="B29" s="327"/>
      <c r="C29" s="327" t="s">
        <v>467</v>
      </c>
      <c r="D29" s="327" t="s">
        <v>443</v>
      </c>
      <c r="E29" s="274" t="s">
        <v>468</v>
      </c>
      <c r="F29" s="274">
        <v>45</v>
      </c>
      <c r="G29" s="327"/>
      <c r="H29" s="84"/>
    </row>
    <row r="30" spans="2:8">
      <c r="B30" s="327"/>
      <c r="C30" s="327"/>
      <c r="D30" s="327"/>
      <c r="E30" s="274" t="s">
        <v>452</v>
      </c>
      <c r="F30" s="274">
        <v>45</v>
      </c>
      <c r="G30" s="327"/>
      <c r="H30" s="84"/>
    </row>
    <row r="31" spans="2:8">
      <c r="B31" s="327"/>
      <c r="C31" s="327" t="s">
        <v>469</v>
      </c>
      <c r="D31" s="327" t="s">
        <v>443</v>
      </c>
      <c r="E31" s="274" t="s">
        <v>468</v>
      </c>
      <c r="F31" s="274">
        <v>22</v>
      </c>
      <c r="G31" s="327"/>
      <c r="H31" s="84"/>
    </row>
    <row r="32" spans="2:8">
      <c r="B32" s="327"/>
      <c r="C32" s="327"/>
      <c r="D32" s="327"/>
      <c r="E32" s="274" t="s">
        <v>460</v>
      </c>
      <c r="F32" s="274">
        <v>4</v>
      </c>
      <c r="G32" s="327"/>
      <c r="H32" s="84"/>
    </row>
    <row r="33" spans="2:8">
      <c r="B33" s="327"/>
      <c r="C33" s="327"/>
      <c r="D33" s="327"/>
      <c r="E33" s="274" t="s">
        <v>452</v>
      </c>
      <c r="F33" s="274">
        <f>SUM($F$31:$F$32)</f>
        <v>26</v>
      </c>
      <c r="G33" s="327"/>
      <c r="H33" s="84"/>
    </row>
    <row r="34" spans="2:8">
      <c r="B34" s="327"/>
      <c r="C34" s="327" t="s">
        <v>470</v>
      </c>
      <c r="D34" s="327" t="s">
        <v>443</v>
      </c>
      <c r="E34" s="274" t="s">
        <v>464</v>
      </c>
      <c r="F34" s="274">
        <v>8</v>
      </c>
      <c r="G34" s="327"/>
      <c r="H34" s="84"/>
    </row>
    <row r="35" spans="2:8">
      <c r="B35" s="327"/>
      <c r="C35" s="327"/>
      <c r="D35" s="327"/>
      <c r="E35" s="274" t="s">
        <v>471</v>
      </c>
      <c r="F35" s="274">
        <v>18</v>
      </c>
      <c r="G35" s="327"/>
      <c r="H35" s="84"/>
    </row>
    <row r="36" spans="2:8">
      <c r="B36" s="327"/>
      <c r="C36" s="327"/>
      <c r="D36" s="327"/>
      <c r="E36" s="274" t="s">
        <v>452</v>
      </c>
      <c r="F36" s="274">
        <f>SUM($F$34:$F$35)</f>
        <v>26</v>
      </c>
      <c r="G36" s="327"/>
      <c r="H36" s="84"/>
    </row>
    <row r="37" spans="2:8">
      <c r="B37" s="327"/>
      <c r="C37" s="327" t="s">
        <v>472</v>
      </c>
      <c r="D37" s="327" t="s">
        <v>443</v>
      </c>
      <c r="E37" s="274" t="s">
        <v>473</v>
      </c>
      <c r="F37" s="274">
        <v>19</v>
      </c>
      <c r="G37" s="327"/>
      <c r="H37" s="84"/>
    </row>
    <row r="38" spans="2:8">
      <c r="B38" s="327"/>
      <c r="C38" s="327"/>
      <c r="D38" s="327"/>
      <c r="E38" s="274" t="s">
        <v>468</v>
      </c>
      <c r="F38" s="274">
        <v>2</v>
      </c>
      <c r="G38" s="327"/>
      <c r="H38" s="84"/>
    </row>
    <row r="39" spans="2:8">
      <c r="B39" s="327"/>
      <c r="C39" s="327"/>
      <c r="D39" s="327"/>
      <c r="E39" s="274" t="s">
        <v>474</v>
      </c>
      <c r="F39" s="274">
        <v>2</v>
      </c>
      <c r="G39" s="327"/>
      <c r="H39" s="84"/>
    </row>
    <row r="40" spans="2:8">
      <c r="B40" s="327"/>
      <c r="C40" s="327"/>
      <c r="D40" s="327"/>
      <c r="E40" s="274" t="s">
        <v>452</v>
      </c>
      <c r="F40" s="274">
        <f>SUM($F$37:$F$39)</f>
        <v>23</v>
      </c>
      <c r="G40" s="327"/>
      <c r="H40" s="84"/>
    </row>
    <row r="41" spans="2:8">
      <c r="B41" s="327"/>
      <c r="C41" s="327" t="s">
        <v>475</v>
      </c>
      <c r="D41" s="327" t="s">
        <v>443</v>
      </c>
      <c r="E41" s="274" t="s">
        <v>468</v>
      </c>
      <c r="F41" s="274">
        <v>28</v>
      </c>
      <c r="G41" s="327"/>
      <c r="H41" s="84"/>
    </row>
    <row r="42" spans="2:8">
      <c r="B42" s="327"/>
      <c r="C42" s="327"/>
      <c r="D42" s="327"/>
      <c r="E42" s="274" t="s">
        <v>452</v>
      </c>
      <c r="F42" s="274">
        <v>28</v>
      </c>
      <c r="G42" s="327"/>
      <c r="H42" s="84"/>
    </row>
    <row r="43" spans="2:8">
      <c r="B43" s="327"/>
      <c r="C43" s="327" t="s">
        <v>476</v>
      </c>
      <c r="D43" s="327" t="s">
        <v>443</v>
      </c>
      <c r="E43" s="274" t="s">
        <v>471</v>
      </c>
      <c r="F43" s="274">
        <v>7</v>
      </c>
      <c r="G43" s="327"/>
      <c r="H43" s="84"/>
    </row>
    <row r="44" spans="2:8">
      <c r="B44" s="327"/>
      <c r="C44" s="327"/>
      <c r="D44" s="327"/>
      <c r="E44" s="274" t="s">
        <v>452</v>
      </c>
      <c r="F44" s="274">
        <v>7</v>
      </c>
      <c r="G44" s="327"/>
      <c r="H44" s="84"/>
    </row>
    <row r="45" spans="2:8">
      <c r="B45" s="327"/>
      <c r="C45" s="327" t="s">
        <v>477</v>
      </c>
      <c r="D45" s="327" t="s">
        <v>454</v>
      </c>
      <c r="E45" s="274" t="s">
        <v>478</v>
      </c>
      <c r="F45" s="274">
        <v>1</v>
      </c>
      <c r="G45" s="327"/>
      <c r="H45" s="84"/>
    </row>
    <row r="46" spans="2:8">
      <c r="B46" s="327"/>
      <c r="C46" s="327"/>
      <c r="D46" s="327"/>
      <c r="E46" s="274" t="s">
        <v>452</v>
      </c>
      <c r="F46" s="274">
        <v>1</v>
      </c>
      <c r="G46" s="327"/>
      <c r="H46" s="84"/>
    </row>
    <row r="47" spans="2:8">
      <c r="B47" s="327"/>
      <c r="C47" s="327" t="s">
        <v>479</v>
      </c>
      <c r="D47" s="327" t="s">
        <v>443</v>
      </c>
      <c r="E47" s="274" t="s">
        <v>468</v>
      </c>
      <c r="F47" s="274">
        <v>2</v>
      </c>
      <c r="G47" s="327"/>
      <c r="H47" s="84"/>
    </row>
    <row r="48" spans="2:8">
      <c r="B48" s="327"/>
      <c r="C48" s="327"/>
      <c r="D48" s="327"/>
      <c r="E48" s="274" t="s">
        <v>452</v>
      </c>
      <c r="F48" s="274">
        <v>2</v>
      </c>
      <c r="G48" s="327"/>
      <c r="H48" s="84"/>
    </row>
    <row r="49" spans="2:8">
      <c r="B49" s="301"/>
      <c r="C49" s="327" t="s">
        <v>452</v>
      </c>
      <c r="D49" s="327"/>
      <c r="E49" s="327"/>
      <c r="F49" s="104">
        <f>SUM($F$11,$F$15,$F$24,$F$28,$F$30,$F$33,$F$36,$F$40,$F$42,$F$44,$F$46,$F$48)</f>
        <v>414</v>
      </c>
      <c r="G49" s="327"/>
      <c r="H49" s="84"/>
    </row>
    <row r="50" spans="2:8">
      <c r="B50" s="301" t="s">
        <v>480</v>
      </c>
      <c r="C50" s="347" t="s">
        <v>481</v>
      </c>
      <c r="D50" s="347"/>
      <c r="E50" s="347"/>
      <c r="F50" s="104">
        <v>2</v>
      </c>
      <c r="G50" s="274">
        <v>1</v>
      </c>
    </row>
    <row r="51" spans="2:8">
      <c r="B51" s="301"/>
      <c r="C51" s="347" t="s">
        <v>442</v>
      </c>
      <c r="D51" s="347"/>
      <c r="E51" s="347"/>
      <c r="F51" s="104">
        <v>3</v>
      </c>
      <c r="G51" s="274">
        <v>5</v>
      </c>
    </row>
    <row r="52" spans="2:8">
      <c r="B52" s="301"/>
      <c r="C52" s="347" t="s">
        <v>482</v>
      </c>
      <c r="D52" s="347"/>
      <c r="E52" s="347"/>
      <c r="F52" s="104">
        <v>2</v>
      </c>
      <c r="G52" s="274"/>
    </row>
    <row r="53" spans="2:8">
      <c r="B53" s="301"/>
      <c r="C53" s="347" t="s">
        <v>483</v>
      </c>
      <c r="D53" s="347"/>
      <c r="E53" s="347"/>
      <c r="F53" s="104">
        <v>1</v>
      </c>
      <c r="G53" s="274"/>
    </row>
    <row r="54" spans="2:8">
      <c r="B54" s="301"/>
      <c r="C54" s="347" t="s">
        <v>484</v>
      </c>
      <c r="D54" s="347"/>
      <c r="E54" s="347"/>
      <c r="F54" s="104">
        <v>1</v>
      </c>
      <c r="G54" s="274">
        <v>3</v>
      </c>
    </row>
    <row r="55" spans="2:8">
      <c r="B55" s="301"/>
      <c r="C55" s="347" t="s">
        <v>485</v>
      </c>
      <c r="D55" s="347"/>
      <c r="E55" s="347"/>
      <c r="F55" s="104"/>
      <c r="G55" s="274">
        <v>4</v>
      </c>
    </row>
    <row r="56" spans="2:8">
      <c r="B56" s="301"/>
      <c r="C56" s="347" t="s">
        <v>486</v>
      </c>
      <c r="D56" s="347"/>
      <c r="E56" s="347"/>
      <c r="F56" s="104">
        <v>4</v>
      </c>
      <c r="G56" s="274">
        <v>1</v>
      </c>
    </row>
    <row r="57" spans="2:8">
      <c r="B57" s="301"/>
      <c r="C57" s="347" t="s">
        <v>487</v>
      </c>
      <c r="D57" s="347"/>
      <c r="E57" s="347"/>
      <c r="F57" s="104">
        <v>2</v>
      </c>
      <c r="G57" s="274"/>
    </row>
    <row r="58" spans="2:8">
      <c r="B58" s="301"/>
      <c r="C58" s="327" t="s">
        <v>452</v>
      </c>
      <c r="D58" s="327"/>
      <c r="E58" s="327"/>
      <c r="F58" s="104">
        <f>SUM($F$50:$F$57)</f>
        <v>15</v>
      </c>
      <c r="G58" s="274">
        <f>SUM($G$50:$G$57)</f>
        <v>14</v>
      </c>
    </row>
    <row r="59" spans="2:8">
      <c r="B59" s="347" t="s">
        <v>488</v>
      </c>
      <c r="C59" s="347"/>
      <c r="D59" s="347"/>
      <c r="E59" s="347"/>
      <c r="F59" s="274">
        <f>SUM($F$49,$F$58)</f>
        <v>429</v>
      </c>
      <c r="G59" s="274">
        <f>$G$58</f>
        <v>14</v>
      </c>
    </row>
    <row r="60" spans="2:8">
      <c r="B60" s="273" t="s">
        <v>489</v>
      </c>
      <c r="C60" s="347" t="s">
        <v>490</v>
      </c>
      <c r="D60" s="347"/>
      <c r="E60" s="347"/>
      <c r="F60" s="274">
        <v>83</v>
      </c>
      <c r="G60" s="274">
        <v>94</v>
      </c>
    </row>
    <row r="61" spans="2:8">
      <c r="B61" s="347" t="s">
        <v>491</v>
      </c>
      <c r="C61" s="347" t="s">
        <v>492</v>
      </c>
      <c r="D61" s="347"/>
      <c r="E61" s="347"/>
      <c r="F61" s="274">
        <v>111</v>
      </c>
      <c r="G61" s="274">
        <v>3</v>
      </c>
    </row>
    <row r="62" spans="2:8">
      <c r="B62" s="347"/>
      <c r="C62" s="347" t="s">
        <v>493</v>
      </c>
      <c r="D62" s="347"/>
      <c r="E62" s="347"/>
      <c r="F62" s="274"/>
      <c r="G62" s="274">
        <v>2</v>
      </c>
    </row>
    <row r="63" spans="2:8">
      <c r="B63" s="347"/>
      <c r="C63" s="347" t="s">
        <v>494</v>
      </c>
      <c r="D63" s="347"/>
      <c r="E63" s="347"/>
      <c r="F63" s="274">
        <v>2</v>
      </c>
      <c r="G63" s="274"/>
    </row>
    <row r="64" spans="2:8">
      <c r="B64" s="347"/>
      <c r="C64" s="347" t="s">
        <v>495</v>
      </c>
      <c r="D64" s="347"/>
      <c r="E64" s="347"/>
      <c r="F64" s="274">
        <v>1</v>
      </c>
      <c r="G64" s="274">
        <v>80</v>
      </c>
    </row>
    <row r="65" spans="1:8">
      <c r="B65" s="347"/>
      <c r="C65" s="347" t="s">
        <v>496</v>
      </c>
      <c r="D65" s="347"/>
      <c r="E65" s="347"/>
      <c r="F65" s="274">
        <v>19</v>
      </c>
      <c r="G65" s="274">
        <v>12</v>
      </c>
    </row>
    <row r="66" spans="1:8">
      <c r="B66" s="347"/>
      <c r="C66" s="347" t="s">
        <v>452</v>
      </c>
      <c r="D66" s="347"/>
      <c r="E66" s="347"/>
      <c r="F66" s="274">
        <f>SUM($F$61:$F$65)</f>
        <v>133</v>
      </c>
      <c r="G66" s="274">
        <f>SUM($G$61:$G$65)</f>
        <v>97</v>
      </c>
    </row>
    <row r="67" spans="1:8">
      <c r="B67" s="347" t="s">
        <v>497</v>
      </c>
      <c r="C67" s="347"/>
      <c r="D67" s="347"/>
      <c r="E67" s="347"/>
      <c r="F67" s="274">
        <f>SUM($F$66,$F$59,$F$60)</f>
        <v>645</v>
      </c>
      <c r="G67" s="274">
        <f>SUM($G$66,$G$60,$G$59)</f>
        <v>205</v>
      </c>
    </row>
    <row r="69" spans="1:8">
      <c r="B69" s="273" t="s">
        <v>252</v>
      </c>
      <c r="C69" s="273" t="s">
        <v>498</v>
      </c>
      <c r="D69" s="273" t="s">
        <v>499</v>
      </c>
      <c r="E69" s="273" t="s">
        <v>500</v>
      </c>
    </row>
    <row r="70" spans="1:8">
      <c r="B70" s="274" t="s">
        <v>501</v>
      </c>
      <c r="C70" s="274">
        <v>3</v>
      </c>
      <c r="D70" s="274">
        <v>5</v>
      </c>
      <c r="E70" s="274">
        <v>8</v>
      </c>
      <c r="G70" s="103"/>
      <c r="H70" s="103"/>
    </row>
    <row r="72" spans="1:8">
      <c r="A72" s="98" t="s">
        <v>39</v>
      </c>
    </row>
    <row r="73" spans="1:8" ht="16.5">
      <c r="A73" s="105" t="s">
        <v>502</v>
      </c>
    </row>
    <row r="74" spans="1:8">
      <c r="A74" s="102" t="s">
        <v>503</v>
      </c>
    </row>
  </sheetData>
  <mergeCells count="45">
    <mergeCell ref="D41:D42"/>
    <mergeCell ref="C43:C44"/>
    <mergeCell ref="C47:C48"/>
    <mergeCell ref="D47:D48"/>
    <mergeCell ref="G3:G49"/>
    <mergeCell ref="D12:D15"/>
    <mergeCell ref="C16:C28"/>
    <mergeCell ref="D16:D24"/>
    <mergeCell ref="D25:D28"/>
    <mergeCell ref="C29:C30"/>
    <mergeCell ref="D29:D30"/>
    <mergeCell ref="C31:C33"/>
    <mergeCell ref="D31:D33"/>
    <mergeCell ref="C34:C36"/>
    <mergeCell ref="D34:D36"/>
    <mergeCell ref="C37:C40"/>
    <mergeCell ref="D37:D40"/>
    <mergeCell ref="C41:C42"/>
    <mergeCell ref="C49:E49"/>
    <mergeCell ref="B50:B58"/>
    <mergeCell ref="C50:E50"/>
    <mergeCell ref="C51:E51"/>
    <mergeCell ref="C52:E52"/>
    <mergeCell ref="C53:E53"/>
    <mergeCell ref="C54:E54"/>
    <mergeCell ref="C55:E55"/>
    <mergeCell ref="C56:E56"/>
    <mergeCell ref="C57:E57"/>
    <mergeCell ref="B3:B49"/>
    <mergeCell ref="C3:C15"/>
    <mergeCell ref="D3:D11"/>
    <mergeCell ref="D43:D44"/>
    <mergeCell ref="C45:C46"/>
    <mergeCell ref="D45:D46"/>
    <mergeCell ref="B67:E67"/>
    <mergeCell ref="C58:E58"/>
    <mergeCell ref="B59:E59"/>
    <mergeCell ref="C60:E60"/>
    <mergeCell ref="B61:B66"/>
    <mergeCell ref="C61:E61"/>
    <mergeCell ref="C62:E62"/>
    <mergeCell ref="C63:E63"/>
    <mergeCell ref="C64:E64"/>
    <mergeCell ref="C65:E65"/>
    <mergeCell ref="C66:E66"/>
  </mergeCells>
  <phoneticPr fontId="43" type="noConversion"/>
  <hyperlinks>
    <hyperlink ref="A73" r:id="rId1" xr:uid="{277E7FFB-0B75-4C48-89CB-5AF5F27DFAC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1213-C8A8-42E1-901F-01A0FDCC3DAC}">
  <dimension ref="A1:E96"/>
  <sheetViews>
    <sheetView workbookViewId="0">
      <selection sqref="A1:E1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504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74348751</v>
      </c>
      <c r="C3" s="277">
        <v>379857</v>
      </c>
      <c r="D3" s="277">
        <v>51967568</v>
      </c>
      <c r="E3" s="277">
        <v>3140884</v>
      </c>
    </row>
    <row r="4" spans="1:5" ht="32.1" customHeight="1">
      <c r="A4" s="276" t="s">
        <v>511</v>
      </c>
      <c r="B4" s="277">
        <v>58017647</v>
      </c>
      <c r="C4" s="277">
        <v>292381</v>
      </c>
      <c r="D4" s="277">
        <v>40387789</v>
      </c>
      <c r="E4" s="277">
        <v>2378141</v>
      </c>
    </row>
    <row r="5" spans="1:5" ht="32.1" customHeight="1">
      <c r="A5" s="276" t="s">
        <v>512</v>
      </c>
      <c r="B5" s="277">
        <v>32001687</v>
      </c>
      <c r="C5" s="277">
        <v>145073</v>
      </c>
      <c r="D5" s="277">
        <v>21908363</v>
      </c>
      <c r="E5" s="277">
        <v>1634633</v>
      </c>
    </row>
    <row r="6" spans="1:5" ht="32.1" customHeight="1">
      <c r="A6" s="276" t="s">
        <v>513</v>
      </c>
      <c r="B6" s="277">
        <v>18923238</v>
      </c>
      <c r="C6" s="277">
        <v>98591</v>
      </c>
      <c r="D6" s="277">
        <v>13311076</v>
      </c>
      <c r="E6" s="277">
        <v>711966</v>
      </c>
    </row>
    <row r="7" spans="1:5" ht="32.1" customHeight="1">
      <c r="A7" s="276" t="s">
        <v>514</v>
      </c>
      <c r="B7" s="277">
        <v>1999044</v>
      </c>
      <c r="C7" s="277">
        <v>15521</v>
      </c>
      <c r="D7" s="277">
        <v>1531150</v>
      </c>
      <c r="E7" s="277">
        <v>9692</v>
      </c>
    </row>
    <row r="8" spans="1:5" ht="32.1" customHeight="1">
      <c r="A8" s="276" t="s">
        <v>515</v>
      </c>
      <c r="B8" s="277">
        <v>1839441</v>
      </c>
      <c r="C8" s="277">
        <v>10132</v>
      </c>
      <c r="D8" s="277">
        <v>1217876</v>
      </c>
      <c r="E8" s="277">
        <v>5552</v>
      </c>
    </row>
    <row r="9" spans="1:5" ht="32.1" customHeight="1">
      <c r="A9" s="276" t="s">
        <v>516</v>
      </c>
      <c r="B9" s="277">
        <v>2085479</v>
      </c>
      <c r="C9" s="277">
        <v>14891</v>
      </c>
      <c r="D9" s="277">
        <v>1420722</v>
      </c>
      <c r="E9" s="277">
        <v>11249</v>
      </c>
    </row>
    <row r="10" spans="1:5" ht="32.1" customHeight="1">
      <c r="A10" s="276" t="s">
        <v>517</v>
      </c>
      <c r="B10" s="277">
        <v>1168758</v>
      </c>
      <c r="C10" s="277">
        <v>8173</v>
      </c>
      <c r="D10" s="277">
        <v>998602</v>
      </c>
      <c r="E10" s="277">
        <v>5049</v>
      </c>
    </row>
    <row r="11" spans="1:5" ht="32.1" customHeight="1">
      <c r="A11" s="276" t="s">
        <v>518</v>
      </c>
      <c r="B11" s="277">
        <v>16331104</v>
      </c>
      <c r="C11" s="277">
        <v>87476</v>
      </c>
      <c r="D11" s="277">
        <v>11579779</v>
      </c>
      <c r="E11" s="277">
        <v>762743</v>
      </c>
    </row>
    <row r="12" spans="1:5" ht="32.1" customHeight="1">
      <c r="A12" s="276" t="s">
        <v>519</v>
      </c>
      <c r="B12" s="277">
        <v>0</v>
      </c>
      <c r="C12" s="277">
        <v>419</v>
      </c>
      <c r="D12" s="277">
        <v>0</v>
      </c>
      <c r="E12" s="277">
        <v>11380</v>
      </c>
    </row>
    <row r="13" spans="1:5" ht="32.1" customHeight="1">
      <c r="A13" s="276" t="s">
        <v>520</v>
      </c>
      <c r="B13" s="277">
        <v>0</v>
      </c>
      <c r="C13" s="277">
        <v>6</v>
      </c>
      <c r="D13" s="277">
        <v>0</v>
      </c>
      <c r="E13" s="277">
        <v>46</v>
      </c>
    </row>
    <row r="14" spans="1:5" ht="32.1" customHeight="1">
      <c r="A14" s="276" t="s">
        <v>521</v>
      </c>
      <c r="B14" s="277">
        <v>162668</v>
      </c>
      <c r="C14" s="277">
        <v>578</v>
      </c>
      <c r="D14" s="277">
        <v>109706</v>
      </c>
      <c r="E14" s="277">
        <v>5374</v>
      </c>
    </row>
    <row r="15" spans="1:5" ht="32.1" customHeight="1">
      <c r="A15" s="276" t="s">
        <v>522</v>
      </c>
      <c r="B15" s="277">
        <v>152</v>
      </c>
      <c r="C15" s="277">
        <v>2</v>
      </c>
      <c r="D15" s="277">
        <v>12</v>
      </c>
      <c r="E15" s="277">
        <v>0</v>
      </c>
    </row>
    <row r="16" spans="1:5" ht="32.1" customHeight="1">
      <c r="A16" s="276" t="s">
        <v>523</v>
      </c>
      <c r="B16" s="277">
        <v>0</v>
      </c>
      <c r="C16" s="277">
        <v>220</v>
      </c>
      <c r="D16" s="277">
        <v>0</v>
      </c>
      <c r="E16" s="277">
        <v>3107</v>
      </c>
    </row>
    <row r="17" spans="1:5" ht="32.1" customHeight="1">
      <c r="A17" s="276" t="s">
        <v>524</v>
      </c>
      <c r="B17" s="277">
        <v>147402</v>
      </c>
      <c r="C17" s="277">
        <v>522</v>
      </c>
      <c r="D17" s="277">
        <v>109680</v>
      </c>
      <c r="E17" s="277">
        <v>21364</v>
      </c>
    </row>
    <row r="18" spans="1:5" ht="32.1" customHeight="1">
      <c r="A18" s="276" t="s">
        <v>525</v>
      </c>
      <c r="B18" s="277">
        <v>256977</v>
      </c>
      <c r="C18" s="277">
        <v>1459</v>
      </c>
      <c r="D18" s="277">
        <v>216790</v>
      </c>
      <c r="E18" s="277">
        <v>6336</v>
      </c>
    </row>
    <row r="19" spans="1:5" ht="32.1" customHeight="1">
      <c r="A19" s="276" t="s">
        <v>526</v>
      </c>
      <c r="B19" s="277">
        <v>69316</v>
      </c>
      <c r="C19" s="277">
        <v>263</v>
      </c>
      <c r="D19" s="277">
        <v>60764</v>
      </c>
      <c r="E19" s="277">
        <v>3231</v>
      </c>
    </row>
    <row r="20" spans="1:5" ht="32.1" customHeight="1">
      <c r="A20" s="276" t="s">
        <v>527</v>
      </c>
      <c r="B20" s="277">
        <v>0</v>
      </c>
      <c r="C20" s="277">
        <v>3</v>
      </c>
      <c r="D20" s="277">
        <v>0</v>
      </c>
      <c r="E20" s="277">
        <v>212</v>
      </c>
    </row>
    <row r="21" spans="1:5" ht="32.1" customHeight="1">
      <c r="A21" s="276" t="s">
        <v>528</v>
      </c>
      <c r="B21" s="277">
        <v>77206</v>
      </c>
      <c r="C21" s="277">
        <v>344</v>
      </c>
      <c r="D21" s="277">
        <v>43488</v>
      </c>
      <c r="E21" s="277">
        <v>2383</v>
      </c>
    </row>
    <row r="22" spans="1:5" ht="32.1" customHeight="1">
      <c r="A22" s="276" t="s">
        <v>529</v>
      </c>
      <c r="B22" s="277">
        <v>496442</v>
      </c>
      <c r="C22" s="277">
        <v>2092</v>
      </c>
      <c r="D22" s="277">
        <v>271160</v>
      </c>
      <c r="E22" s="277">
        <v>17625</v>
      </c>
    </row>
    <row r="23" spans="1:5" ht="32.1" customHeight="1">
      <c r="A23" s="276" t="s">
        <v>530</v>
      </c>
      <c r="B23" s="277">
        <v>0</v>
      </c>
      <c r="C23" s="277">
        <v>28</v>
      </c>
      <c r="D23" s="277">
        <v>0</v>
      </c>
      <c r="E23" s="277">
        <v>1029</v>
      </c>
    </row>
    <row r="24" spans="1:5" ht="32.1" customHeight="1">
      <c r="A24" s="276" t="s">
        <v>531</v>
      </c>
      <c r="B24" s="277">
        <v>81124</v>
      </c>
      <c r="C24" s="277">
        <v>783</v>
      </c>
      <c r="D24" s="277">
        <v>57980</v>
      </c>
      <c r="E24" s="277">
        <v>916</v>
      </c>
    </row>
    <row r="25" spans="1:5" ht="32.1" customHeight="1">
      <c r="A25" s="276" t="s">
        <v>532</v>
      </c>
      <c r="B25" s="277">
        <v>175318</v>
      </c>
      <c r="C25" s="277">
        <v>602</v>
      </c>
      <c r="D25" s="277">
        <v>117066</v>
      </c>
      <c r="E25" s="277">
        <v>9015</v>
      </c>
    </row>
    <row r="26" spans="1:5" ht="32.1" customHeight="1">
      <c r="A26" s="276" t="s">
        <v>533</v>
      </c>
      <c r="B26" s="277">
        <v>142944</v>
      </c>
      <c r="C26" s="277">
        <v>776</v>
      </c>
      <c r="D26" s="277">
        <v>97191</v>
      </c>
      <c r="E26" s="277">
        <v>2333</v>
      </c>
    </row>
    <row r="27" spans="1:5" ht="32.1" customHeight="1">
      <c r="A27" s="276" t="s">
        <v>534</v>
      </c>
      <c r="B27" s="277">
        <v>0</v>
      </c>
      <c r="C27" s="277">
        <v>924</v>
      </c>
      <c r="D27" s="277">
        <v>0</v>
      </c>
      <c r="E27" s="277">
        <v>61259</v>
      </c>
    </row>
    <row r="28" spans="1:5" ht="32.1" customHeight="1">
      <c r="A28" s="276" t="s">
        <v>535</v>
      </c>
      <c r="B28" s="277">
        <v>520236</v>
      </c>
      <c r="C28" s="277">
        <v>2349</v>
      </c>
      <c r="D28" s="277">
        <v>403283</v>
      </c>
      <c r="E28" s="277">
        <v>11930</v>
      </c>
    </row>
    <row r="29" spans="1:5" ht="32.1" customHeight="1">
      <c r="A29" s="276" t="s">
        <v>536</v>
      </c>
      <c r="B29" s="277">
        <v>0</v>
      </c>
      <c r="C29" s="277">
        <v>13</v>
      </c>
      <c r="D29" s="277">
        <v>0</v>
      </c>
      <c r="E29" s="277">
        <v>269</v>
      </c>
    </row>
    <row r="30" spans="1:5" ht="32.1" customHeight="1">
      <c r="A30" s="276" t="s">
        <v>537</v>
      </c>
      <c r="B30" s="277">
        <v>142020</v>
      </c>
      <c r="C30" s="277">
        <v>777</v>
      </c>
      <c r="D30" s="277">
        <v>91238</v>
      </c>
      <c r="E30" s="277">
        <v>1144</v>
      </c>
    </row>
    <row r="31" spans="1:5" ht="32.1" customHeight="1">
      <c r="A31" s="276" t="s">
        <v>538</v>
      </c>
      <c r="B31" s="277">
        <v>103106</v>
      </c>
      <c r="C31" s="277">
        <v>690</v>
      </c>
      <c r="D31" s="277">
        <v>58673</v>
      </c>
      <c r="E31" s="277">
        <v>1770</v>
      </c>
    </row>
    <row r="32" spans="1:5" ht="32.1" customHeight="1">
      <c r="A32" s="276" t="s">
        <v>539</v>
      </c>
      <c r="B32" s="277">
        <v>1784</v>
      </c>
      <c r="C32" s="277">
        <v>8</v>
      </c>
      <c r="D32" s="277">
        <v>1510</v>
      </c>
      <c r="E32" s="277">
        <v>17</v>
      </c>
    </row>
    <row r="33" spans="1:5" ht="32.1" customHeight="1">
      <c r="A33" s="276" t="s">
        <v>540</v>
      </c>
      <c r="B33" s="277">
        <v>0</v>
      </c>
      <c r="C33" s="277">
        <v>4</v>
      </c>
      <c r="D33" s="277">
        <v>0</v>
      </c>
      <c r="E33" s="277">
        <v>189</v>
      </c>
    </row>
    <row r="34" spans="1:5" ht="32.1" customHeight="1">
      <c r="A34" s="276" t="s">
        <v>541</v>
      </c>
      <c r="B34" s="277">
        <v>197823</v>
      </c>
      <c r="C34" s="277">
        <v>1377</v>
      </c>
      <c r="D34" s="277">
        <v>98753</v>
      </c>
      <c r="E34" s="277">
        <v>2292</v>
      </c>
    </row>
    <row r="35" spans="1:5" ht="32.1" customHeight="1">
      <c r="A35" s="276" t="s">
        <v>542</v>
      </c>
      <c r="B35" s="277">
        <v>318776</v>
      </c>
      <c r="C35" s="277">
        <v>1872</v>
      </c>
      <c r="D35" s="277">
        <v>170911</v>
      </c>
      <c r="E35" s="277">
        <v>3269</v>
      </c>
    </row>
    <row r="36" spans="1:5" ht="32.1" customHeight="1">
      <c r="A36" s="276" t="s">
        <v>543</v>
      </c>
      <c r="B36" s="277">
        <v>291490</v>
      </c>
      <c r="C36" s="277">
        <v>1694</v>
      </c>
      <c r="D36" s="277">
        <v>216602</v>
      </c>
      <c r="E36" s="277">
        <v>3609</v>
      </c>
    </row>
    <row r="37" spans="1:5" ht="32.1" customHeight="1">
      <c r="A37" s="276" t="s">
        <v>544</v>
      </c>
      <c r="B37" s="277">
        <v>0</v>
      </c>
      <c r="C37" s="277">
        <v>1</v>
      </c>
      <c r="D37" s="277">
        <v>0</v>
      </c>
      <c r="E37" s="277">
        <v>44</v>
      </c>
    </row>
    <row r="38" spans="1:5" ht="32.1" customHeight="1">
      <c r="A38" s="276" t="s">
        <v>545</v>
      </c>
      <c r="B38" s="277">
        <v>5184</v>
      </c>
      <c r="C38" s="277">
        <v>36</v>
      </c>
      <c r="D38" s="277">
        <v>4289</v>
      </c>
      <c r="E38" s="277">
        <v>42</v>
      </c>
    </row>
    <row r="39" spans="1:5" ht="32.1" customHeight="1">
      <c r="A39" s="276" t="s">
        <v>546</v>
      </c>
      <c r="B39" s="277">
        <v>656</v>
      </c>
      <c r="C39" s="277">
        <v>4</v>
      </c>
      <c r="D39" s="277">
        <v>225</v>
      </c>
      <c r="E39" s="277">
        <v>6</v>
      </c>
    </row>
    <row r="40" spans="1:5" ht="32.1" customHeight="1">
      <c r="A40" s="276" t="s">
        <v>547</v>
      </c>
      <c r="B40" s="277">
        <v>0</v>
      </c>
      <c r="C40" s="277">
        <v>2</v>
      </c>
      <c r="D40" s="277">
        <v>0</v>
      </c>
      <c r="E40" s="277">
        <v>109</v>
      </c>
    </row>
    <row r="41" spans="1:5" ht="32.1" customHeight="1">
      <c r="A41" s="276" t="s">
        <v>548</v>
      </c>
      <c r="B41" s="277">
        <v>725852</v>
      </c>
      <c r="C41" s="277">
        <v>2521</v>
      </c>
      <c r="D41" s="277">
        <v>401412</v>
      </c>
      <c r="E41" s="277">
        <v>24683</v>
      </c>
    </row>
    <row r="42" spans="1:5" ht="32.1" customHeight="1">
      <c r="A42" s="276" t="s">
        <v>549</v>
      </c>
      <c r="B42" s="277">
        <v>0</v>
      </c>
      <c r="C42" s="277">
        <v>4</v>
      </c>
      <c r="D42" s="277">
        <v>0</v>
      </c>
      <c r="E42" s="277">
        <v>57</v>
      </c>
    </row>
    <row r="43" spans="1:5" ht="32.1" customHeight="1">
      <c r="A43" s="276" t="s">
        <v>550</v>
      </c>
      <c r="B43" s="277">
        <v>0</v>
      </c>
      <c r="C43" s="277">
        <v>184</v>
      </c>
      <c r="D43" s="277">
        <v>0</v>
      </c>
      <c r="E43" s="277">
        <v>6874</v>
      </c>
    </row>
    <row r="44" spans="1:5" ht="32.1" customHeight="1">
      <c r="A44" s="276" t="s">
        <v>551</v>
      </c>
      <c r="B44" s="277">
        <v>0</v>
      </c>
      <c r="C44" s="277">
        <v>415</v>
      </c>
      <c r="D44" s="277">
        <v>0</v>
      </c>
      <c r="E44" s="277">
        <v>14723</v>
      </c>
    </row>
    <row r="45" spans="1:5" ht="32.1" customHeight="1">
      <c r="A45" s="276" t="s">
        <v>552</v>
      </c>
      <c r="B45" s="277">
        <v>0</v>
      </c>
      <c r="C45" s="277">
        <v>4</v>
      </c>
      <c r="D45" s="277">
        <v>0</v>
      </c>
      <c r="E45" s="277">
        <v>294</v>
      </c>
    </row>
    <row r="46" spans="1:5" ht="32.1" customHeight="1">
      <c r="A46" s="276" t="s">
        <v>553</v>
      </c>
      <c r="B46" s="277">
        <v>0</v>
      </c>
      <c r="C46" s="277">
        <v>1</v>
      </c>
      <c r="D46" s="277">
        <v>0</v>
      </c>
      <c r="E46" s="277">
        <v>0</v>
      </c>
    </row>
    <row r="47" spans="1:5" ht="32.1" customHeight="1">
      <c r="A47" s="276" t="s">
        <v>554</v>
      </c>
      <c r="B47" s="277">
        <v>2032</v>
      </c>
      <c r="C47" s="277">
        <v>12</v>
      </c>
      <c r="D47" s="277">
        <v>732</v>
      </c>
      <c r="E47" s="277">
        <v>10</v>
      </c>
    </row>
    <row r="48" spans="1:5" ht="32.1" customHeight="1">
      <c r="A48" s="276" t="s">
        <v>555</v>
      </c>
      <c r="B48" s="277">
        <v>0</v>
      </c>
      <c r="C48" s="277">
        <v>138</v>
      </c>
      <c r="D48" s="277">
        <v>0</v>
      </c>
      <c r="E48" s="277">
        <v>788</v>
      </c>
    </row>
    <row r="49" spans="1:5" ht="32.1" customHeight="1">
      <c r="A49" s="276" t="s">
        <v>556</v>
      </c>
      <c r="B49" s="277">
        <v>254891</v>
      </c>
      <c r="C49" s="277">
        <v>731</v>
      </c>
      <c r="D49" s="277">
        <v>210302</v>
      </c>
      <c r="E49" s="277">
        <v>11831</v>
      </c>
    </row>
    <row r="50" spans="1:5" ht="32.1" customHeight="1">
      <c r="A50" s="276" t="s">
        <v>557</v>
      </c>
      <c r="B50" s="277">
        <v>203228</v>
      </c>
      <c r="C50" s="277">
        <v>818</v>
      </c>
      <c r="D50" s="277">
        <v>176930</v>
      </c>
      <c r="E50" s="277">
        <v>10608</v>
      </c>
    </row>
    <row r="51" spans="1:5" ht="32.1" customHeight="1">
      <c r="A51" s="276" t="s">
        <v>558</v>
      </c>
      <c r="B51" s="277">
        <v>0</v>
      </c>
      <c r="C51" s="277">
        <v>4</v>
      </c>
      <c r="D51" s="277">
        <v>0</v>
      </c>
      <c r="E51" s="277">
        <v>178</v>
      </c>
    </row>
    <row r="52" spans="1:5" ht="32.1" customHeight="1">
      <c r="A52" s="276" t="s">
        <v>559</v>
      </c>
      <c r="B52" s="277">
        <v>100850</v>
      </c>
      <c r="C52" s="277">
        <v>658</v>
      </c>
      <c r="D52" s="277">
        <v>63073</v>
      </c>
      <c r="E52" s="277">
        <v>1153</v>
      </c>
    </row>
    <row r="53" spans="1:5" ht="32.1" customHeight="1">
      <c r="A53" s="276" t="s">
        <v>560</v>
      </c>
      <c r="B53" s="277">
        <v>0</v>
      </c>
      <c r="C53" s="277">
        <v>2</v>
      </c>
      <c r="D53" s="277">
        <v>0</v>
      </c>
      <c r="E53" s="277">
        <v>96</v>
      </c>
    </row>
    <row r="54" spans="1:5" ht="32.1" customHeight="1">
      <c r="A54" s="276" t="s">
        <v>561</v>
      </c>
      <c r="B54" s="277">
        <v>0</v>
      </c>
      <c r="C54" s="277">
        <v>6</v>
      </c>
      <c r="D54" s="277">
        <v>0</v>
      </c>
      <c r="E54" s="277">
        <v>52</v>
      </c>
    </row>
    <row r="55" spans="1:5" ht="32.1" customHeight="1">
      <c r="A55" s="276" t="s">
        <v>562</v>
      </c>
      <c r="B55" s="277">
        <v>40280</v>
      </c>
      <c r="C55" s="277">
        <v>206</v>
      </c>
      <c r="D55" s="277">
        <v>18632</v>
      </c>
      <c r="E55" s="277">
        <v>698</v>
      </c>
    </row>
    <row r="56" spans="1:5" ht="32.1" customHeight="1">
      <c r="A56" s="276" t="s">
        <v>563</v>
      </c>
      <c r="B56" s="277">
        <v>54742</v>
      </c>
      <c r="C56" s="277">
        <v>202</v>
      </c>
      <c r="D56" s="277">
        <v>33931</v>
      </c>
      <c r="E56" s="277">
        <v>773</v>
      </c>
    </row>
    <row r="57" spans="1:5" ht="32.1" customHeight="1">
      <c r="A57" s="276" t="s">
        <v>564</v>
      </c>
      <c r="B57" s="277">
        <v>141344</v>
      </c>
      <c r="C57" s="277">
        <v>667</v>
      </c>
      <c r="D57" s="277">
        <v>127768</v>
      </c>
      <c r="E57" s="277">
        <v>6919</v>
      </c>
    </row>
    <row r="58" spans="1:5" ht="32.1" customHeight="1">
      <c r="A58" s="276" t="s">
        <v>565</v>
      </c>
      <c r="B58" s="277">
        <v>0</v>
      </c>
      <c r="C58" s="277">
        <v>606</v>
      </c>
      <c r="D58" s="277">
        <v>0</v>
      </c>
      <c r="E58" s="277">
        <v>22354</v>
      </c>
    </row>
    <row r="59" spans="1:5" ht="32.1" customHeight="1">
      <c r="A59" s="276" t="s">
        <v>566</v>
      </c>
      <c r="B59" s="277">
        <v>0</v>
      </c>
      <c r="C59" s="277">
        <v>2</v>
      </c>
      <c r="D59" s="277">
        <v>0</v>
      </c>
      <c r="E59" s="277">
        <v>10</v>
      </c>
    </row>
    <row r="60" spans="1:5" ht="32.1" customHeight="1">
      <c r="A60" s="276" t="s">
        <v>567</v>
      </c>
      <c r="B60" s="277">
        <v>45481</v>
      </c>
      <c r="C60" s="277">
        <v>596</v>
      </c>
      <c r="D60" s="277">
        <v>28477</v>
      </c>
      <c r="E60" s="277">
        <v>1646</v>
      </c>
    </row>
    <row r="61" spans="1:5" ht="32.1" customHeight="1">
      <c r="A61" s="276" t="s">
        <v>568</v>
      </c>
      <c r="B61" s="277">
        <v>46410</v>
      </c>
      <c r="C61" s="277">
        <v>231</v>
      </c>
      <c r="D61" s="277">
        <v>20449</v>
      </c>
      <c r="E61" s="277">
        <v>856</v>
      </c>
    </row>
    <row r="62" spans="1:5" ht="32.1" customHeight="1">
      <c r="A62" s="276" t="s">
        <v>569</v>
      </c>
      <c r="B62" s="277">
        <v>0</v>
      </c>
      <c r="C62" s="277">
        <v>90</v>
      </c>
      <c r="D62" s="277">
        <v>0</v>
      </c>
      <c r="E62" s="277">
        <v>4556</v>
      </c>
    </row>
    <row r="63" spans="1:5" ht="32.1" customHeight="1">
      <c r="A63" s="276" t="s">
        <v>570</v>
      </c>
      <c r="B63" s="277">
        <v>389199</v>
      </c>
      <c r="C63" s="277">
        <v>1413</v>
      </c>
      <c r="D63" s="277">
        <v>318247</v>
      </c>
      <c r="E63" s="277">
        <v>16979</v>
      </c>
    </row>
    <row r="64" spans="1:5" ht="32.1" customHeight="1">
      <c r="A64" s="276" t="s">
        <v>571</v>
      </c>
      <c r="B64" s="277">
        <v>1222</v>
      </c>
      <c r="C64" s="277">
        <v>8</v>
      </c>
      <c r="D64" s="277">
        <v>780</v>
      </c>
      <c r="E64" s="277">
        <v>10</v>
      </c>
    </row>
    <row r="65" spans="1:5" ht="32.1" customHeight="1">
      <c r="A65" s="276" t="s">
        <v>572</v>
      </c>
      <c r="B65" s="277">
        <v>0</v>
      </c>
      <c r="C65" s="277">
        <v>2746</v>
      </c>
      <c r="D65" s="277">
        <v>0</v>
      </c>
      <c r="E65" s="277">
        <v>37755</v>
      </c>
    </row>
    <row r="66" spans="1:5" ht="32.1" customHeight="1">
      <c r="A66" s="276" t="s">
        <v>573</v>
      </c>
      <c r="B66" s="277">
        <v>28891</v>
      </c>
      <c r="C66" s="277">
        <v>194</v>
      </c>
      <c r="D66" s="277">
        <v>7078</v>
      </c>
      <c r="E66" s="277">
        <v>821</v>
      </c>
    </row>
    <row r="67" spans="1:5" ht="32.1" customHeight="1">
      <c r="A67" s="276" t="s">
        <v>574</v>
      </c>
      <c r="B67" s="277">
        <v>300</v>
      </c>
      <c r="C67" s="277">
        <v>3</v>
      </c>
      <c r="D67" s="277">
        <v>303</v>
      </c>
      <c r="E67" s="277">
        <v>3</v>
      </c>
    </row>
    <row r="68" spans="1:5" ht="32.1" customHeight="1">
      <c r="A68" s="276" t="s">
        <v>575</v>
      </c>
      <c r="B68" s="277">
        <v>2435612</v>
      </c>
      <c r="C68" s="277">
        <v>8701</v>
      </c>
      <c r="D68" s="277">
        <v>1806490</v>
      </c>
      <c r="E68" s="277">
        <v>50227</v>
      </c>
    </row>
    <row r="69" spans="1:5" ht="32.1" customHeight="1">
      <c r="A69" s="276" t="s">
        <v>576</v>
      </c>
      <c r="B69" s="277">
        <v>0</v>
      </c>
      <c r="C69" s="277">
        <v>342</v>
      </c>
      <c r="D69" s="277">
        <v>0</v>
      </c>
      <c r="E69" s="277">
        <v>12122</v>
      </c>
    </row>
    <row r="70" spans="1:5" ht="32.1" customHeight="1">
      <c r="A70" s="276" t="s">
        <v>577</v>
      </c>
      <c r="B70" s="277">
        <v>886638</v>
      </c>
      <c r="C70" s="277">
        <v>4463</v>
      </c>
      <c r="D70" s="277">
        <v>743583</v>
      </c>
      <c r="E70" s="277">
        <v>23389</v>
      </c>
    </row>
    <row r="71" spans="1:5" ht="32.1" customHeight="1">
      <c r="A71" s="276" t="s">
        <v>578</v>
      </c>
      <c r="B71" s="277">
        <v>0</v>
      </c>
      <c r="C71" s="277">
        <v>389</v>
      </c>
      <c r="D71" s="277">
        <v>0</v>
      </c>
      <c r="E71" s="277">
        <v>23631</v>
      </c>
    </row>
    <row r="72" spans="1:5" ht="32.1" customHeight="1">
      <c r="A72" s="276" t="s">
        <v>579</v>
      </c>
      <c r="B72" s="277">
        <v>1131693</v>
      </c>
      <c r="C72" s="277">
        <v>6876</v>
      </c>
      <c r="D72" s="277">
        <v>826675</v>
      </c>
      <c r="E72" s="277">
        <v>22896</v>
      </c>
    </row>
    <row r="73" spans="1:5" ht="32.1" customHeight="1">
      <c r="A73" s="276" t="s">
        <v>580</v>
      </c>
      <c r="B73" s="277">
        <v>1528390</v>
      </c>
      <c r="C73" s="277">
        <v>9035</v>
      </c>
      <c r="D73" s="277">
        <v>1043696</v>
      </c>
      <c r="E73" s="277">
        <v>25783</v>
      </c>
    </row>
    <row r="74" spans="1:5" ht="32.1" customHeight="1">
      <c r="A74" s="276" t="s">
        <v>581</v>
      </c>
      <c r="B74" s="277">
        <v>1574314</v>
      </c>
      <c r="C74" s="277">
        <v>9298</v>
      </c>
      <c r="D74" s="277">
        <v>1018549</v>
      </c>
      <c r="E74" s="277">
        <v>23514</v>
      </c>
    </row>
    <row r="75" spans="1:5" ht="32.1" customHeight="1">
      <c r="A75" s="276" t="s">
        <v>582</v>
      </c>
      <c r="B75" s="277">
        <v>45830</v>
      </c>
      <c r="C75" s="277">
        <v>276</v>
      </c>
      <c r="D75" s="277">
        <v>32737</v>
      </c>
      <c r="E75" s="277">
        <v>812</v>
      </c>
    </row>
    <row r="76" spans="1:5" ht="32.1" customHeight="1">
      <c r="A76" s="276" t="s">
        <v>583</v>
      </c>
      <c r="B76" s="277">
        <v>0</v>
      </c>
      <c r="C76" s="277">
        <v>474</v>
      </c>
      <c r="D76" s="277">
        <v>0</v>
      </c>
      <c r="E76" s="277">
        <v>3156</v>
      </c>
    </row>
    <row r="77" spans="1:5" ht="32.1" customHeight="1">
      <c r="A77" s="276" t="s">
        <v>584</v>
      </c>
      <c r="B77" s="277">
        <v>39270</v>
      </c>
      <c r="C77" s="277">
        <v>286</v>
      </c>
      <c r="D77" s="277">
        <v>23112</v>
      </c>
      <c r="E77" s="277">
        <v>642</v>
      </c>
    </row>
    <row r="78" spans="1:5" ht="32.1" customHeight="1">
      <c r="A78" s="276" t="s">
        <v>585</v>
      </c>
      <c r="B78" s="277">
        <v>0</v>
      </c>
      <c r="C78" s="277">
        <v>670</v>
      </c>
      <c r="D78" s="277">
        <v>0</v>
      </c>
      <c r="E78" s="277">
        <v>28199</v>
      </c>
    </row>
    <row r="79" spans="1:5" ht="32.1" customHeight="1">
      <c r="A79" s="276" t="s">
        <v>586</v>
      </c>
      <c r="B79" s="277">
        <v>282786</v>
      </c>
      <c r="C79" s="277">
        <v>1066</v>
      </c>
      <c r="D79" s="277">
        <v>228046</v>
      </c>
      <c r="E79" s="277">
        <v>11879</v>
      </c>
    </row>
    <row r="80" spans="1:5" ht="32.1" customHeight="1">
      <c r="A80" s="276" t="s">
        <v>587</v>
      </c>
      <c r="B80" s="277">
        <v>0</v>
      </c>
      <c r="C80" s="277">
        <v>202</v>
      </c>
      <c r="D80" s="277">
        <v>0</v>
      </c>
      <c r="E80" s="277">
        <v>9009</v>
      </c>
    </row>
    <row r="81" spans="1:5" ht="32.1" customHeight="1">
      <c r="A81" s="276" t="s">
        <v>588</v>
      </c>
      <c r="B81" s="277">
        <v>182592</v>
      </c>
      <c r="C81" s="277">
        <v>724</v>
      </c>
      <c r="D81" s="277">
        <v>36061</v>
      </c>
      <c r="E81" s="277">
        <v>3600</v>
      </c>
    </row>
    <row r="82" spans="1:5" ht="32.1" customHeight="1">
      <c r="A82" s="276" t="s">
        <v>589</v>
      </c>
      <c r="B82" s="277">
        <v>0</v>
      </c>
      <c r="C82" s="277">
        <v>25</v>
      </c>
      <c r="D82" s="277">
        <v>0</v>
      </c>
      <c r="E82" s="277">
        <v>575</v>
      </c>
    </row>
    <row r="83" spans="1:5" ht="32.1" customHeight="1">
      <c r="A83" s="276" t="s">
        <v>590</v>
      </c>
      <c r="B83" s="277">
        <v>1061417</v>
      </c>
      <c r="C83" s="277">
        <v>3427</v>
      </c>
      <c r="D83" s="277">
        <v>820394</v>
      </c>
      <c r="E83" s="277">
        <v>47961</v>
      </c>
    </row>
    <row r="84" spans="1:5" ht="32.1" customHeight="1">
      <c r="A84" s="276" t="s">
        <v>591</v>
      </c>
      <c r="B84" s="277">
        <v>91803</v>
      </c>
      <c r="C84" s="277">
        <v>545</v>
      </c>
      <c r="D84" s="277">
        <v>64469</v>
      </c>
      <c r="E84" s="277">
        <v>1333</v>
      </c>
    </row>
    <row r="85" spans="1:5" ht="32.1" customHeight="1">
      <c r="A85" s="276" t="s">
        <v>592</v>
      </c>
      <c r="B85" s="277">
        <v>1080716</v>
      </c>
      <c r="C85" s="277">
        <v>3251</v>
      </c>
      <c r="D85" s="277">
        <v>797448</v>
      </c>
      <c r="E85" s="277">
        <v>39043</v>
      </c>
    </row>
    <row r="86" spans="1:5" ht="32.1" customHeight="1">
      <c r="A86" s="276" t="s">
        <v>593</v>
      </c>
      <c r="B86" s="277">
        <v>99128</v>
      </c>
      <c r="C86" s="277">
        <v>374</v>
      </c>
      <c r="D86" s="277">
        <v>74045</v>
      </c>
      <c r="E86" s="277">
        <v>4496</v>
      </c>
    </row>
    <row r="87" spans="1:5" ht="32.1" customHeight="1">
      <c r="A87" s="276" t="s">
        <v>594</v>
      </c>
      <c r="B87" s="277">
        <v>0</v>
      </c>
      <c r="C87" s="277">
        <v>2</v>
      </c>
      <c r="D87" s="277">
        <v>0</v>
      </c>
      <c r="E87" s="277">
        <v>38</v>
      </c>
    </row>
    <row r="88" spans="1:5" ht="32.1" customHeight="1">
      <c r="A88" s="276" t="s">
        <v>595</v>
      </c>
      <c r="B88" s="277">
        <v>0</v>
      </c>
      <c r="C88" s="277">
        <v>2512</v>
      </c>
      <c r="D88" s="277">
        <v>0</v>
      </c>
      <c r="E88" s="277">
        <v>34608</v>
      </c>
    </row>
    <row r="89" spans="1:5" ht="32.1" customHeight="1">
      <c r="A89" s="276" t="s">
        <v>596</v>
      </c>
      <c r="B89" s="277">
        <v>0</v>
      </c>
      <c r="C89" s="277">
        <v>1130</v>
      </c>
      <c r="D89" s="277">
        <v>0</v>
      </c>
      <c r="E89" s="277">
        <v>29258</v>
      </c>
    </row>
    <row r="90" spans="1:5" ht="32.1" customHeight="1">
      <c r="A90" s="276" t="s">
        <v>597</v>
      </c>
      <c r="B90" s="277">
        <v>0</v>
      </c>
      <c r="C90" s="277">
        <v>7</v>
      </c>
      <c r="D90" s="277">
        <v>0</v>
      </c>
      <c r="E90" s="277">
        <v>336</v>
      </c>
    </row>
    <row r="91" spans="1:5" ht="32.1" customHeight="1">
      <c r="A91" s="276" t="s">
        <v>598</v>
      </c>
      <c r="B91" s="277">
        <v>206946</v>
      </c>
      <c r="C91" s="277">
        <v>802</v>
      </c>
      <c r="D91" s="277">
        <v>160396</v>
      </c>
      <c r="E91" s="277">
        <v>17210</v>
      </c>
    </row>
    <row r="92" spans="1:5" ht="32.1" customHeight="1">
      <c r="A92" s="276" t="s">
        <v>599</v>
      </c>
      <c r="B92" s="277">
        <v>99104</v>
      </c>
      <c r="C92" s="277">
        <v>360</v>
      </c>
      <c r="D92" s="277">
        <v>72611</v>
      </c>
      <c r="E92" s="277">
        <v>5740</v>
      </c>
    </row>
    <row r="93" spans="1:5" ht="32.1" customHeight="1">
      <c r="A93" s="276" t="s">
        <v>600</v>
      </c>
      <c r="B93" s="277">
        <v>4032</v>
      </c>
      <c r="C93" s="277">
        <v>24</v>
      </c>
      <c r="D93" s="277">
        <v>3342</v>
      </c>
      <c r="E93" s="277">
        <v>37</v>
      </c>
    </row>
    <row r="94" spans="1:5" ht="32.1" customHeight="1">
      <c r="A94" s="276" t="s">
        <v>601</v>
      </c>
      <c r="B94" s="277">
        <v>349263</v>
      </c>
      <c r="C94" s="277">
        <v>1866</v>
      </c>
      <c r="D94" s="277">
        <v>285242</v>
      </c>
      <c r="E94" s="277">
        <v>8169</v>
      </c>
    </row>
    <row r="95" spans="1:5" ht="32.1" customHeight="1">
      <c r="A95" s="276" t="s">
        <v>602</v>
      </c>
      <c r="B95" s="277">
        <v>1140</v>
      </c>
      <c r="C95" s="277">
        <v>7</v>
      </c>
      <c r="D95" s="277">
        <v>1038</v>
      </c>
      <c r="E95" s="277">
        <v>9</v>
      </c>
    </row>
    <row r="96" spans="1:5" ht="32.1" customHeight="1">
      <c r="A96" s="276" t="s">
        <v>603</v>
      </c>
      <c r="B96" s="277">
        <v>5084</v>
      </c>
      <c r="C96" s="277">
        <v>32</v>
      </c>
      <c r="D96" s="277">
        <v>4410</v>
      </c>
      <c r="E96" s="277">
        <v>45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BD40-FBA2-44FF-AD77-DB7EF36FF4DF}">
  <dimension ref="A1:E102"/>
  <sheetViews>
    <sheetView workbookViewId="0">
      <selection sqref="A1:E1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604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78671088</v>
      </c>
      <c r="C3" s="277">
        <v>403297</v>
      </c>
      <c r="D3" s="277">
        <v>60732944</v>
      </c>
      <c r="E3" s="277">
        <v>3588579</v>
      </c>
    </row>
    <row r="4" spans="1:5" ht="32.1" customHeight="1">
      <c r="A4" s="276" t="s">
        <v>511</v>
      </c>
      <c r="B4" s="277">
        <v>61312548</v>
      </c>
      <c r="C4" s="277">
        <v>307880</v>
      </c>
      <c r="D4" s="277">
        <v>47237514</v>
      </c>
      <c r="E4" s="277">
        <v>2666460</v>
      </c>
    </row>
    <row r="5" spans="1:5" ht="32.1" customHeight="1">
      <c r="A5" s="276" t="s">
        <v>512</v>
      </c>
      <c r="B5" s="277">
        <v>32076128</v>
      </c>
      <c r="C5" s="277">
        <v>147892</v>
      </c>
      <c r="D5" s="277">
        <v>24291617</v>
      </c>
      <c r="E5" s="277">
        <v>1806855</v>
      </c>
    </row>
    <row r="6" spans="1:5" ht="32.1" customHeight="1">
      <c r="A6" s="276" t="s">
        <v>513</v>
      </c>
      <c r="B6" s="277">
        <v>19387617</v>
      </c>
      <c r="C6" s="277">
        <v>99519</v>
      </c>
      <c r="D6" s="277">
        <v>14909526</v>
      </c>
      <c r="E6" s="277">
        <v>810017</v>
      </c>
    </row>
    <row r="7" spans="1:5" ht="32.1" customHeight="1">
      <c r="A7" s="276" t="s">
        <v>514</v>
      </c>
      <c r="B7" s="277">
        <v>2613093</v>
      </c>
      <c r="C7" s="277">
        <v>14917</v>
      </c>
      <c r="D7" s="277">
        <v>2228648</v>
      </c>
      <c r="E7" s="277">
        <v>14760</v>
      </c>
    </row>
    <row r="8" spans="1:5" ht="32.1" customHeight="1">
      <c r="A8" s="276" t="s">
        <v>515</v>
      </c>
      <c r="B8" s="277">
        <v>1905417</v>
      </c>
      <c r="C8" s="277">
        <v>10176</v>
      </c>
      <c r="D8" s="277">
        <v>1613754</v>
      </c>
      <c r="E8" s="277">
        <v>8747</v>
      </c>
    </row>
    <row r="9" spans="1:5" ht="32.1" customHeight="1">
      <c r="A9" s="276" t="s">
        <v>516</v>
      </c>
      <c r="B9" s="277">
        <v>2902243</v>
      </c>
      <c r="C9" s="277">
        <v>19173</v>
      </c>
      <c r="D9" s="277">
        <v>2134503</v>
      </c>
      <c r="E9" s="277">
        <v>15632</v>
      </c>
    </row>
    <row r="10" spans="1:5" ht="32.1" customHeight="1">
      <c r="A10" s="276" t="s">
        <v>517</v>
      </c>
      <c r="B10" s="277">
        <v>2117901</v>
      </c>
      <c r="C10" s="277">
        <v>14560</v>
      </c>
      <c r="D10" s="277">
        <v>1905028</v>
      </c>
      <c r="E10" s="277">
        <v>9741</v>
      </c>
    </row>
    <row r="11" spans="1:5" ht="32.1" customHeight="1">
      <c r="A11" s="276" t="s">
        <v>605</v>
      </c>
      <c r="B11" s="277">
        <v>310149</v>
      </c>
      <c r="C11" s="277">
        <v>1643</v>
      </c>
      <c r="D11" s="277">
        <v>154438</v>
      </c>
      <c r="E11" s="277">
        <v>709</v>
      </c>
    </row>
    <row r="12" spans="1:5" ht="32.1" customHeight="1">
      <c r="A12" s="276" t="s">
        <v>518</v>
      </c>
      <c r="B12" s="277">
        <v>17358540</v>
      </c>
      <c r="C12" s="277">
        <v>95417</v>
      </c>
      <c r="D12" s="277">
        <v>13495430</v>
      </c>
      <c r="E12" s="277">
        <v>922120</v>
      </c>
    </row>
    <row r="13" spans="1:5" ht="32.1" customHeight="1">
      <c r="A13" s="276" t="s">
        <v>606</v>
      </c>
      <c r="B13" s="277">
        <v>0</v>
      </c>
      <c r="C13" s="277">
        <v>5</v>
      </c>
      <c r="D13" s="277">
        <v>0</v>
      </c>
      <c r="E13" s="277">
        <v>184</v>
      </c>
    </row>
    <row r="14" spans="1:5" ht="32.1" customHeight="1">
      <c r="A14" s="276" t="s">
        <v>519</v>
      </c>
      <c r="B14" s="277">
        <v>0</v>
      </c>
      <c r="C14" s="277">
        <v>589</v>
      </c>
      <c r="D14" s="277">
        <v>0</v>
      </c>
      <c r="E14" s="277">
        <v>19053</v>
      </c>
    </row>
    <row r="15" spans="1:5" ht="32.1" customHeight="1">
      <c r="A15" s="276" t="s">
        <v>520</v>
      </c>
      <c r="B15" s="277">
        <v>0</v>
      </c>
      <c r="C15" s="277">
        <v>3</v>
      </c>
      <c r="D15" s="277">
        <v>0</v>
      </c>
      <c r="E15" s="277">
        <v>95</v>
      </c>
    </row>
    <row r="16" spans="1:5" ht="32.1" customHeight="1">
      <c r="A16" s="276" t="s">
        <v>521</v>
      </c>
      <c r="B16" s="277">
        <v>211835</v>
      </c>
      <c r="C16" s="277">
        <v>787</v>
      </c>
      <c r="D16" s="277">
        <v>140092</v>
      </c>
      <c r="E16" s="277">
        <v>7875</v>
      </c>
    </row>
    <row r="17" spans="1:5" ht="32.1" customHeight="1">
      <c r="A17" s="276" t="s">
        <v>523</v>
      </c>
      <c r="B17" s="277">
        <v>0</v>
      </c>
      <c r="C17" s="277">
        <v>268</v>
      </c>
      <c r="D17" s="277">
        <v>0</v>
      </c>
      <c r="E17" s="277">
        <v>6090</v>
      </c>
    </row>
    <row r="18" spans="1:5" ht="32.1" customHeight="1">
      <c r="A18" s="276" t="s">
        <v>524</v>
      </c>
      <c r="B18" s="277">
        <v>163824</v>
      </c>
      <c r="C18" s="277">
        <v>584</v>
      </c>
      <c r="D18" s="277">
        <v>137251</v>
      </c>
      <c r="E18" s="277">
        <v>23278</v>
      </c>
    </row>
    <row r="19" spans="1:5" ht="32.1" customHeight="1">
      <c r="A19" s="276" t="s">
        <v>525</v>
      </c>
      <c r="B19" s="277">
        <v>17732</v>
      </c>
      <c r="C19" s="277">
        <v>104</v>
      </c>
      <c r="D19" s="277">
        <v>14566</v>
      </c>
      <c r="E19" s="277">
        <v>450</v>
      </c>
    </row>
    <row r="20" spans="1:5" ht="32.1" customHeight="1">
      <c r="A20" s="276" t="s">
        <v>526</v>
      </c>
      <c r="B20" s="277">
        <v>330517</v>
      </c>
      <c r="C20" s="277">
        <v>1572</v>
      </c>
      <c r="D20" s="277">
        <v>291139</v>
      </c>
      <c r="E20" s="277">
        <v>10970</v>
      </c>
    </row>
    <row r="21" spans="1:5" ht="32.1" customHeight="1">
      <c r="A21" s="276" t="s">
        <v>527</v>
      </c>
      <c r="B21" s="277">
        <v>0</v>
      </c>
      <c r="C21" s="277">
        <v>1</v>
      </c>
      <c r="D21" s="277">
        <v>0</v>
      </c>
      <c r="E21" s="277">
        <v>99</v>
      </c>
    </row>
    <row r="22" spans="1:5" ht="32.1" customHeight="1">
      <c r="A22" s="276" t="s">
        <v>528</v>
      </c>
      <c r="B22" s="277">
        <v>78998</v>
      </c>
      <c r="C22" s="277">
        <v>356</v>
      </c>
      <c r="D22" s="277">
        <v>67025</v>
      </c>
      <c r="E22" s="277">
        <v>2675</v>
      </c>
    </row>
    <row r="23" spans="1:5" ht="32.1" customHeight="1">
      <c r="A23" s="276" t="s">
        <v>529</v>
      </c>
      <c r="B23" s="277">
        <v>465567</v>
      </c>
      <c r="C23" s="277">
        <v>2168</v>
      </c>
      <c r="D23" s="277">
        <v>250843</v>
      </c>
      <c r="E23" s="277">
        <v>16615</v>
      </c>
    </row>
    <row r="24" spans="1:5" ht="32.1" customHeight="1">
      <c r="A24" s="276" t="s">
        <v>530</v>
      </c>
      <c r="B24" s="277">
        <v>0</v>
      </c>
      <c r="C24" s="277">
        <v>133</v>
      </c>
      <c r="D24" s="277">
        <v>0</v>
      </c>
      <c r="E24" s="277">
        <v>3573</v>
      </c>
    </row>
    <row r="25" spans="1:5" ht="32.1" customHeight="1">
      <c r="A25" s="276" t="s">
        <v>531</v>
      </c>
      <c r="B25" s="277">
        <v>56960</v>
      </c>
      <c r="C25" s="277">
        <v>555</v>
      </c>
      <c r="D25" s="277">
        <v>48157</v>
      </c>
      <c r="E25" s="277">
        <v>774</v>
      </c>
    </row>
    <row r="26" spans="1:5" ht="32.1" customHeight="1">
      <c r="A26" s="276" t="s">
        <v>532</v>
      </c>
      <c r="B26" s="277">
        <v>204344</v>
      </c>
      <c r="C26" s="277">
        <v>714</v>
      </c>
      <c r="D26" s="277">
        <v>170118</v>
      </c>
      <c r="E26" s="277">
        <v>10629</v>
      </c>
    </row>
    <row r="27" spans="1:5" ht="32.1" customHeight="1">
      <c r="A27" s="276" t="s">
        <v>533</v>
      </c>
      <c r="B27" s="277">
        <v>139814</v>
      </c>
      <c r="C27" s="277">
        <v>826</v>
      </c>
      <c r="D27" s="277">
        <v>99198</v>
      </c>
      <c r="E27" s="277">
        <v>2365</v>
      </c>
    </row>
    <row r="28" spans="1:5" ht="32.1" customHeight="1">
      <c r="A28" s="276" t="s">
        <v>534</v>
      </c>
      <c r="B28" s="277">
        <v>0</v>
      </c>
      <c r="C28" s="277">
        <v>855</v>
      </c>
      <c r="D28" s="277">
        <v>0</v>
      </c>
      <c r="E28" s="277">
        <v>56196</v>
      </c>
    </row>
    <row r="29" spans="1:5" ht="32.1" customHeight="1">
      <c r="A29" s="276" t="s">
        <v>535</v>
      </c>
      <c r="B29" s="277">
        <v>671378</v>
      </c>
      <c r="C29" s="277">
        <v>2767</v>
      </c>
      <c r="D29" s="277">
        <v>592498</v>
      </c>
      <c r="E29" s="277">
        <v>18872</v>
      </c>
    </row>
    <row r="30" spans="1:5" ht="32.1" customHeight="1">
      <c r="A30" s="276" t="s">
        <v>536</v>
      </c>
      <c r="B30" s="277">
        <v>0</v>
      </c>
      <c r="C30" s="277">
        <v>10</v>
      </c>
      <c r="D30" s="277">
        <v>0</v>
      </c>
      <c r="E30" s="277">
        <v>237</v>
      </c>
    </row>
    <row r="31" spans="1:5" ht="32.1" customHeight="1">
      <c r="A31" s="276" t="s">
        <v>537</v>
      </c>
      <c r="B31" s="277">
        <v>150834</v>
      </c>
      <c r="C31" s="277">
        <v>850</v>
      </c>
      <c r="D31" s="277">
        <v>116940</v>
      </c>
      <c r="E31" s="277">
        <v>1589</v>
      </c>
    </row>
    <row r="32" spans="1:5" ht="32.1" customHeight="1">
      <c r="A32" s="276" t="s">
        <v>538</v>
      </c>
      <c r="B32" s="277">
        <v>102046</v>
      </c>
      <c r="C32" s="277">
        <v>689</v>
      </c>
      <c r="D32" s="277">
        <v>63169</v>
      </c>
      <c r="E32" s="277">
        <v>1733</v>
      </c>
    </row>
    <row r="33" spans="1:5" ht="32.1" customHeight="1">
      <c r="A33" s="276" t="s">
        <v>539</v>
      </c>
      <c r="B33" s="277">
        <v>229845</v>
      </c>
      <c r="C33" s="277">
        <v>992</v>
      </c>
      <c r="D33" s="277">
        <v>203127</v>
      </c>
      <c r="E33" s="277">
        <v>4000</v>
      </c>
    </row>
    <row r="34" spans="1:5" ht="32.1" customHeight="1">
      <c r="A34" s="276" t="s">
        <v>607</v>
      </c>
      <c r="B34" s="277">
        <v>8812</v>
      </c>
      <c r="C34" s="277">
        <v>54</v>
      </c>
      <c r="D34" s="277">
        <v>3719</v>
      </c>
      <c r="E34" s="277">
        <v>42</v>
      </c>
    </row>
    <row r="35" spans="1:5" ht="32.1" customHeight="1">
      <c r="A35" s="276" t="s">
        <v>541</v>
      </c>
      <c r="B35" s="277">
        <v>227808</v>
      </c>
      <c r="C35" s="277">
        <v>1488</v>
      </c>
      <c r="D35" s="277">
        <v>129711</v>
      </c>
      <c r="E35" s="277">
        <v>2773</v>
      </c>
    </row>
    <row r="36" spans="1:5" ht="32.1" customHeight="1">
      <c r="A36" s="276" t="s">
        <v>542</v>
      </c>
      <c r="B36" s="277">
        <v>345859</v>
      </c>
      <c r="C36" s="277">
        <v>2042</v>
      </c>
      <c r="D36" s="277">
        <v>221851</v>
      </c>
      <c r="E36" s="277">
        <v>3615</v>
      </c>
    </row>
    <row r="37" spans="1:5" ht="32.1" customHeight="1">
      <c r="A37" s="276" t="s">
        <v>543</v>
      </c>
      <c r="B37" s="277">
        <v>309540</v>
      </c>
      <c r="C37" s="277">
        <v>1775</v>
      </c>
      <c r="D37" s="277">
        <v>256333</v>
      </c>
      <c r="E37" s="277">
        <v>4167</v>
      </c>
    </row>
    <row r="38" spans="1:5" ht="32.1" customHeight="1">
      <c r="A38" s="276" t="s">
        <v>545</v>
      </c>
      <c r="B38" s="277">
        <v>6336</v>
      </c>
      <c r="C38" s="277">
        <v>44</v>
      </c>
      <c r="D38" s="277">
        <v>5765</v>
      </c>
      <c r="E38" s="277">
        <v>59</v>
      </c>
    </row>
    <row r="39" spans="1:5" ht="32.1" customHeight="1">
      <c r="A39" s="276" t="s">
        <v>608</v>
      </c>
      <c r="B39" s="277">
        <v>0</v>
      </c>
      <c r="C39" s="277">
        <v>1</v>
      </c>
      <c r="D39" s="277">
        <v>0</v>
      </c>
      <c r="E39" s="277">
        <v>50</v>
      </c>
    </row>
    <row r="40" spans="1:5" ht="32.1" customHeight="1">
      <c r="A40" s="276" t="s">
        <v>547</v>
      </c>
      <c r="B40" s="277">
        <v>0</v>
      </c>
      <c r="C40" s="277">
        <v>2</v>
      </c>
      <c r="D40" s="277">
        <v>0</v>
      </c>
      <c r="E40" s="277">
        <v>32</v>
      </c>
    </row>
    <row r="41" spans="1:5" ht="32.1" customHeight="1">
      <c r="A41" s="276" t="s">
        <v>548</v>
      </c>
      <c r="B41" s="277">
        <v>710616</v>
      </c>
      <c r="C41" s="277">
        <v>2488</v>
      </c>
      <c r="D41" s="277">
        <v>441121</v>
      </c>
      <c r="E41" s="277">
        <v>23815</v>
      </c>
    </row>
    <row r="42" spans="1:5" ht="32.1" customHeight="1">
      <c r="A42" s="276" t="s">
        <v>549</v>
      </c>
      <c r="B42" s="277">
        <v>0</v>
      </c>
      <c r="C42" s="277">
        <v>4</v>
      </c>
      <c r="D42" s="277">
        <v>0</v>
      </c>
      <c r="E42" s="277">
        <v>39</v>
      </c>
    </row>
    <row r="43" spans="1:5" ht="32.1" customHeight="1">
      <c r="A43" s="276" t="s">
        <v>550</v>
      </c>
      <c r="B43" s="277">
        <v>0</v>
      </c>
      <c r="C43" s="277">
        <v>190</v>
      </c>
      <c r="D43" s="277">
        <v>0</v>
      </c>
      <c r="E43" s="277">
        <v>5864</v>
      </c>
    </row>
    <row r="44" spans="1:5" ht="32.1" customHeight="1">
      <c r="A44" s="276" t="s">
        <v>551</v>
      </c>
      <c r="B44" s="277">
        <v>0</v>
      </c>
      <c r="C44" s="277">
        <v>553</v>
      </c>
      <c r="D44" s="277">
        <v>0</v>
      </c>
      <c r="E44" s="277">
        <v>14403</v>
      </c>
    </row>
    <row r="45" spans="1:5" ht="32.1" customHeight="1">
      <c r="A45" s="276" t="s">
        <v>552</v>
      </c>
      <c r="B45" s="277">
        <v>0</v>
      </c>
      <c r="C45" s="277">
        <v>3</v>
      </c>
      <c r="D45" s="277">
        <v>0</v>
      </c>
      <c r="E45" s="277">
        <v>231</v>
      </c>
    </row>
    <row r="46" spans="1:5" ht="32.1" customHeight="1">
      <c r="A46" s="276" t="s">
        <v>553</v>
      </c>
      <c r="B46" s="277">
        <v>0</v>
      </c>
      <c r="C46" s="277">
        <v>7</v>
      </c>
      <c r="D46" s="277">
        <v>0</v>
      </c>
      <c r="E46" s="277">
        <v>241</v>
      </c>
    </row>
    <row r="47" spans="1:5" ht="32.1" customHeight="1">
      <c r="A47" s="276" t="s">
        <v>554</v>
      </c>
      <c r="B47" s="277">
        <v>1264</v>
      </c>
      <c r="C47" s="277">
        <v>8</v>
      </c>
      <c r="D47" s="277">
        <v>467</v>
      </c>
      <c r="E47" s="277">
        <v>5</v>
      </c>
    </row>
    <row r="48" spans="1:5" ht="32.1" customHeight="1">
      <c r="A48" s="276" t="s">
        <v>555</v>
      </c>
      <c r="B48" s="277">
        <v>0</v>
      </c>
      <c r="C48" s="277">
        <v>312</v>
      </c>
      <c r="D48" s="277">
        <v>0</v>
      </c>
      <c r="E48" s="277">
        <v>2332</v>
      </c>
    </row>
    <row r="49" spans="1:5" ht="32.1" customHeight="1">
      <c r="A49" s="276" t="s">
        <v>556</v>
      </c>
      <c r="B49" s="277">
        <v>370588</v>
      </c>
      <c r="C49" s="277">
        <v>730</v>
      </c>
      <c r="D49" s="277">
        <v>300560</v>
      </c>
      <c r="E49" s="277">
        <v>12915</v>
      </c>
    </row>
    <row r="50" spans="1:5" ht="32.1" customHeight="1">
      <c r="A50" s="276" t="s">
        <v>557</v>
      </c>
      <c r="B50" s="277">
        <v>188868</v>
      </c>
      <c r="C50" s="277">
        <v>754</v>
      </c>
      <c r="D50" s="277">
        <v>164112</v>
      </c>
      <c r="E50" s="277">
        <v>11223</v>
      </c>
    </row>
    <row r="51" spans="1:5" ht="32.1" customHeight="1">
      <c r="A51" s="276" t="s">
        <v>558</v>
      </c>
      <c r="B51" s="277">
        <v>0</v>
      </c>
      <c r="C51" s="277">
        <v>10</v>
      </c>
      <c r="D51" s="277">
        <v>0</v>
      </c>
      <c r="E51" s="277">
        <v>564</v>
      </c>
    </row>
    <row r="52" spans="1:5" ht="32.1" customHeight="1">
      <c r="A52" s="276" t="s">
        <v>609</v>
      </c>
      <c r="B52" s="277">
        <v>0</v>
      </c>
      <c r="C52" s="277">
        <v>336</v>
      </c>
      <c r="D52" s="277">
        <v>0</v>
      </c>
      <c r="E52" s="277">
        <v>8655</v>
      </c>
    </row>
    <row r="53" spans="1:5" ht="32.1" customHeight="1">
      <c r="A53" s="276" t="s">
        <v>559</v>
      </c>
      <c r="B53" s="277">
        <v>121048</v>
      </c>
      <c r="C53" s="277">
        <v>827</v>
      </c>
      <c r="D53" s="277">
        <v>86796</v>
      </c>
      <c r="E53" s="277">
        <v>1601</v>
      </c>
    </row>
    <row r="54" spans="1:5" ht="32.1" customHeight="1">
      <c r="A54" s="276" t="s">
        <v>560</v>
      </c>
      <c r="B54" s="277">
        <v>0</v>
      </c>
      <c r="C54" s="277">
        <v>107</v>
      </c>
      <c r="D54" s="277">
        <v>0</v>
      </c>
      <c r="E54" s="277">
        <v>3245</v>
      </c>
    </row>
    <row r="55" spans="1:5" ht="32.1" customHeight="1">
      <c r="A55" s="276" t="s">
        <v>561</v>
      </c>
      <c r="B55" s="277">
        <v>0</v>
      </c>
      <c r="C55" s="277">
        <v>6</v>
      </c>
      <c r="D55" s="277">
        <v>0</v>
      </c>
      <c r="E55" s="277">
        <v>61</v>
      </c>
    </row>
    <row r="56" spans="1:5" ht="32.1" customHeight="1">
      <c r="A56" s="276" t="s">
        <v>562</v>
      </c>
      <c r="B56" s="277">
        <v>37200</v>
      </c>
      <c r="C56" s="277">
        <v>192</v>
      </c>
      <c r="D56" s="277">
        <v>18535</v>
      </c>
      <c r="E56" s="277">
        <v>853</v>
      </c>
    </row>
    <row r="57" spans="1:5" ht="32.1" customHeight="1">
      <c r="A57" s="276" t="s">
        <v>610</v>
      </c>
      <c r="B57" s="277">
        <v>46348</v>
      </c>
      <c r="C57" s="277">
        <v>122</v>
      </c>
      <c r="D57" s="277">
        <v>37346</v>
      </c>
      <c r="E57" s="277">
        <v>1292</v>
      </c>
    </row>
    <row r="58" spans="1:5" ht="32.1" customHeight="1">
      <c r="A58" s="276" t="s">
        <v>611</v>
      </c>
      <c r="B58" s="277">
        <v>0</v>
      </c>
      <c r="C58" s="277">
        <v>619</v>
      </c>
      <c r="D58" s="277">
        <v>0</v>
      </c>
      <c r="E58" s="277">
        <v>19672</v>
      </c>
    </row>
    <row r="59" spans="1:5" ht="32.1" customHeight="1">
      <c r="A59" s="276" t="s">
        <v>563</v>
      </c>
      <c r="B59" s="277">
        <v>55826</v>
      </c>
      <c r="C59" s="277">
        <v>206</v>
      </c>
      <c r="D59" s="277">
        <v>34506</v>
      </c>
      <c r="E59" s="277">
        <v>1151</v>
      </c>
    </row>
    <row r="60" spans="1:5" ht="32.1" customHeight="1">
      <c r="A60" s="276" t="s">
        <v>564</v>
      </c>
      <c r="B60" s="277">
        <v>147620</v>
      </c>
      <c r="C60" s="277">
        <v>696</v>
      </c>
      <c r="D60" s="277">
        <v>134403</v>
      </c>
      <c r="E60" s="277">
        <v>7573</v>
      </c>
    </row>
    <row r="61" spans="1:5" ht="32.1" customHeight="1">
      <c r="A61" s="276" t="s">
        <v>565</v>
      </c>
      <c r="B61" s="277">
        <v>0</v>
      </c>
      <c r="C61" s="277">
        <v>618</v>
      </c>
      <c r="D61" s="277">
        <v>0</v>
      </c>
      <c r="E61" s="277">
        <v>22394</v>
      </c>
    </row>
    <row r="62" spans="1:5" ht="32.1" customHeight="1">
      <c r="A62" s="276" t="s">
        <v>612</v>
      </c>
      <c r="B62" s="277">
        <v>7854</v>
      </c>
      <c r="C62" s="277">
        <v>38</v>
      </c>
      <c r="D62" s="277">
        <v>2193</v>
      </c>
      <c r="E62" s="277">
        <v>130</v>
      </c>
    </row>
    <row r="63" spans="1:5" ht="32.1" customHeight="1">
      <c r="A63" s="276" t="s">
        <v>566</v>
      </c>
      <c r="B63" s="277">
        <v>0</v>
      </c>
      <c r="C63" s="277">
        <v>5</v>
      </c>
      <c r="D63" s="277">
        <v>0</v>
      </c>
      <c r="E63" s="277">
        <v>63</v>
      </c>
    </row>
    <row r="64" spans="1:5" ht="32.1" customHeight="1">
      <c r="A64" s="276" t="s">
        <v>567</v>
      </c>
      <c r="B64" s="277">
        <v>46083</v>
      </c>
      <c r="C64" s="277">
        <v>676</v>
      </c>
      <c r="D64" s="277">
        <v>30941</v>
      </c>
      <c r="E64" s="277">
        <v>2181</v>
      </c>
    </row>
    <row r="65" spans="1:5" ht="32.1" customHeight="1">
      <c r="A65" s="276" t="s">
        <v>613</v>
      </c>
      <c r="B65" s="277">
        <v>2072</v>
      </c>
      <c r="C65" s="277">
        <v>4</v>
      </c>
      <c r="D65" s="277">
        <v>1176</v>
      </c>
      <c r="E65" s="277">
        <v>16</v>
      </c>
    </row>
    <row r="66" spans="1:5" ht="32.1" customHeight="1">
      <c r="A66" s="276" t="s">
        <v>568</v>
      </c>
      <c r="B66" s="277">
        <v>49192</v>
      </c>
      <c r="C66" s="277">
        <v>226</v>
      </c>
      <c r="D66" s="277">
        <v>36440</v>
      </c>
      <c r="E66" s="277">
        <v>1328</v>
      </c>
    </row>
    <row r="67" spans="1:5" ht="32.1" customHeight="1">
      <c r="A67" s="276" t="s">
        <v>569</v>
      </c>
      <c r="B67" s="277">
        <v>0</v>
      </c>
      <c r="C67" s="277">
        <v>311</v>
      </c>
      <c r="D67" s="277">
        <v>0</v>
      </c>
      <c r="E67" s="277">
        <v>19289</v>
      </c>
    </row>
    <row r="68" spans="1:5" ht="32.1" customHeight="1">
      <c r="A68" s="276" t="s">
        <v>570</v>
      </c>
      <c r="B68" s="277">
        <v>423179</v>
      </c>
      <c r="C68" s="277">
        <v>1359</v>
      </c>
      <c r="D68" s="277">
        <v>370688</v>
      </c>
      <c r="E68" s="277">
        <v>17249</v>
      </c>
    </row>
    <row r="69" spans="1:5" ht="32.1" customHeight="1">
      <c r="A69" s="276" t="s">
        <v>571</v>
      </c>
      <c r="B69" s="277">
        <v>3460</v>
      </c>
      <c r="C69" s="277">
        <v>24</v>
      </c>
      <c r="D69" s="277">
        <v>2936</v>
      </c>
      <c r="E69" s="277">
        <v>58</v>
      </c>
    </row>
    <row r="70" spans="1:5" ht="32.1" customHeight="1">
      <c r="A70" s="276" t="s">
        <v>572</v>
      </c>
      <c r="B70" s="277">
        <v>0</v>
      </c>
      <c r="C70" s="277">
        <v>2959</v>
      </c>
      <c r="D70" s="277">
        <v>0</v>
      </c>
      <c r="E70" s="277">
        <v>43965</v>
      </c>
    </row>
    <row r="71" spans="1:5" ht="32.1" customHeight="1">
      <c r="A71" s="276" t="s">
        <v>573</v>
      </c>
      <c r="B71" s="277">
        <v>2440</v>
      </c>
      <c r="C71" s="277">
        <v>35</v>
      </c>
      <c r="D71" s="277">
        <v>465</v>
      </c>
      <c r="E71" s="277">
        <v>809</v>
      </c>
    </row>
    <row r="72" spans="1:5" ht="32.1" customHeight="1">
      <c r="A72" s="276" t="s">
        <v>614</v>
      </c>
      <c r="B72" s="277">
        <v>48826</v>
      </c>
      <c r="C72" s="277">
        <v>176</v>
      </c>
      <c r="D72" s="277">
        <v>24707</v>
      </c>
      <c r="E72" s="277">
        <v>632</v>
      </c>
    </row>
    <row r="73" spans="1:5" ht="32.1" customHeight="1">
      <c r="A73" s="276" t="s">
        <v>575</v>
      </c>
      <c r="B73" s="277">
        <v>1608435</v>
      </c>
      <c r="C73" s="277">
        <v>6624</v>
      </c>
      <c r="D73" s="277">
        <v>1406375</v>
      </c>
      <c r="E73" s="277">
        <v>36147</v>
      </c>
    </row>
    <row r="74" spans="1:5" ht="32.1" customHeight="1">
      <c r="A74" s="276" t="s">
        <v>576</v>
      </c>
      <c r="B74" s="277">
        <v>0</v>
      </c>
      <c r="C74" s="277">
        <v>474</v>
      </c>
      <c r="D74" s="277">
        <v>0</v>
      </c>
      <c r="E74" s="277">
        <v>17773</v>
      </c>
    </row>
    <row r="75" spans="1:5" ht="32.1" customHeight="1">
      <c r="A75" s="276" t="s">
        <v>577</v>
      </c>
      <c r="B75" s="277">
        <v>881760</v>
      </c>
      <c r="C75" s="277">
        <v>4070</v>
      </c>
      <c r="D75" s="277">
        <v>770790</v>
      </c>
      <c r="E75" s="277">
        <v>12693</v>
      </c>
    </row>
    <row r="76" spans="1:5" ht="32.1" customHeight="1">
      <c r="A76" s="276" t="s">
        <v>578</v>
      </c>
      <c r="B76" s="277">
        <v>0</v>
      </c>
      <c r="C76" s="277">
        <v>645</v>
      </c>
      <c r="D76" s="277">
        <v>0</v>
      </c>
      <c r="E76" s="277">
        <v>38320</v>
      </c>
    </row>
    <row r="77" spans="1:5" ht="32.1" customHeight="1">
      <c r="A77" s="276" t="s">
        <v>579</v>
      </c>
      <c r="B77" s="277">
        <v>1151541</v>
      </c>
      <c r="C77" s="277">
        <v>6762</v>
      </c>
      <c r="D77" s="277">
        <v>916460</v>
      </c>
      <c r="E77" s="277">
        <v>23540</v>
      </c>
    </row>
    <row r="78" spans="1:5" ht="32.1" customHeight="1">
      <c r="A78" s="276" t="s">
        <v>580</v>
      </c>
      <c r="B78" s="277">
        <v>1778314</v>
      </c>
      <c r="C78" s="277">
        <v>10575</v>
      </c>
      <c r="D78" s="277">
        <v>1341103</v>
      </c>
      <c r="E78" s="277">
        <v>30959</v>
      </c>
    </row>
    <row r="79" spans="1:5" ht="32.1" customHeight="1">
      <c r="A79" s="276" t="s">
        <v>581</v>
      </c>
      <c r="B79" s="277">
        <v>1844899</v>
      </c>
      <c r="C79" s="277">
        <v>10468</v>
      </c>
      <c r="D79" s="277">
        <v>1298716</v>
      </c>
      <c r="E79" s="277">
        <v>29779</v>
      </c>
    </row>
    <row r="80" spans="1:5" ht="32.1" customHeight="1">
      <c r="A80" s="276" t="s">
        <v>582</v>
      </c>
      <c r="B80" s="277">
        <v>90043</v>
      </c>
      <c r="C80" s="277">
        <v>540</v>
      </c>
      <c r="D80" s="277">
        <v>68256</v>
      </c>
      <c r="E80" s="277">
        <v>1328</v>
      </c>
    </row>
    <row r="81" spans="1:5" ht="32.1" customHeight="1">
      <c r="A81" s="276" t="s">
        <v>583</v>
      </c>
      <c r="B81" s="277">
        <v>0</v>
      </c>
      <c r="C81" s="277">
        <v>472</v>
      </c>
      <c r="D81" s="277">
        <v>0</v>
      </c>
      <c r="E81" s="277">
        <v>4017</v>
      </c>
    </row>
    <row r="82" spans="1:5" ht="32.1" customHeight="1">
      <c r="A82" s="276" t="s">
        <v>584</v>
      </c>
      <c r="B82" s="277">
        <v>62398</v>
      </c>
      <c r="C82" s="277">
        <v>409</v>
      </c>
      <c r="D82" s="277">
        <v>44366</v>
      </c>
      <c r="E82" s="277">
        <v>1167</v>
      </c>
    </row>
    <row r="83" spans="1:5" ht="32.1" customHeight="1">
      <c r="A83" s="276" t="s">
        <v>585</v>
      </c>
      <c r="B83" s="277">
        <v>0</v>
      </c>
      <c r="C83" s="277">
        <v>706</v>
      </c>
      <c r="D83" s="277">
        <v>0</v>
      </c>
      <c r="E83" s="277">
        <v>36687</v>
      </c>
    </row>
    <row r="84" spans="1:5" ht="32.1" customHeight="1">
      <c r="A84" s="276" t="s">
        <v>586</v>
      </c>
      <c r="B84" s="277">
        <v>263660</v>
      </c>
      <c r="C84" s="277">
        <v>917</v>
      </c>
      <c r="D84" s="277">
        <v>225840</v>
      </c>
      <c r="E84" s="277">
        <v>11954</v>
      </c>
    </row>
    <row r="85" spans="1:5" ht="32.1" customHeight="1">
      <c r="A85" s="276" t="s">
        <v>587</v>
      </c>
      <c r="B85" s="277">
        <v>0</v>
      </c>
      <c r="C85" s="277">
        <v>268</v>
      </c>
      <c r="D85" s="277">
        <v>0</v>
      </c>
      <c r="E85" s="277">
        <v>12039</v>
      </c>
    </row>
    <row r="86" spans="1:5" ht="32.1" customHeight="1">
      <c r="A86" s="276" t="s">
        <v>588</v>
      </c>
      <c r="B86" s="277">
        <v>188528</v>
      </c>
      <c r="C86" s="277">
        <v>729</v>
      </c>
      <c r="D86" s="277">
        <v>120341</v>
      </c>
      <c r="E86" s="277">
        <v>7960</v>
      </c>
    </row>
    <row r="87" spans="1:5" ht="32.1" customHeight="1">
      <c r="A87" s="276" t="s">
        <v>589</v>
      </c>
      <c r="B87" s="277">
        <v>0</v>
      </c>
      <c r="C87" s="277">
        <v>38</v>
      </c>
      <c r="D87" s="277">
        <v>0</v>
      </c>
      <c r="E87" s="277">
        <v>2140</v>
      </c>
    </row>
    <row r="88" spans="1:5" ht="32.1" customHeight="1">
      <c r="A88" s="276" t="s">
        <v>590</v>
      </c>
      <c r="B88" s="277">
        <v>1116808</v>
      </c>
      <c r="C88" s="277">
        <v>3787</v>
      </c>
      <c r="D88" s="277">
        <v>930137</v>
      </c>
      <c r="E88" s="277">
        <v>51663</v>
      </c>
    </row>
    <row r="89" spans="1:5" ht="32.1" customHeight="1">
      <c r="A89" s="276" t="s">
        <v>591</v>
      </c>
      <c r="B89" s="277">
        <v>100134</v>
      </c>
      <c r="C89" s="277">
        <v>608</v>
      </c>
      <c r="D89" s="277">
        <v>81051</v>
      </c>
      <c r="E89" s="277">
        <v>1471</v>
      </c>
    </row>
    <row r="90" spans="1:5" ht="32.1" customHeight="1">
      <c r="A90" s="276" t="s">
        <v>615</v>
      </c>
      <c r="B90" s="277">
        <v>91</v>
      </c>
      <c r="C90" s="277">
        <v>5</v>
      </c>
      <c r="D90" s="277">
        <v>63</v>
      </c>
      <c r="E90" s="277">
        <v>1</v>
      </c>
    </row>
    <row r="91" spans="1:5" ht="32.1" customHeight="1">
      <c r="A91" s="276" t="s">
        <v>592</v>
      </c>
      <c r="B91" s="277">
        <v>1143324</v>
      </c>
      <c r="C91" s="277">
        <v>3257</v>
      </c>
      <c r="D91" s="277">
        <v>853600</v>
      </c>
      <c r="E91" s="277">
        <v>43549</v>
      </c>
    </row>
    <row r="92" spans="1:5" ht="32.1" customHeight="1">
      <c r="A92" s="276" t="s">
        <v>593</v>
      </c>
      <c r="B92" s="277">
        <v>124152</v>
      </c>
      <c r="C92" s="277">
        <v>470</v>
      </c>
      <c r="D92" s="277">
        <v>108066</v>
      </c>
      <c r="E92" s="277">
        <v>5627</v>
      </c>
    </row>
    <row r="93" spans="1:5" ht="32.1" customHeight="1">
      <c r="A93" s="276" t="s">
        <v>595</v>
      </c>
      <c r="B93" s="277">
        <v>0</v>
      </c>
      <c r="C93" s="277">
        <v>2638</v>
      </c>
      <c r="D93" s="277">
        <v>0</v>
      </c>
      <c r="E93" s="277">
        <v>40450</v>
      </c>
    </row>
    <row r="94" spans="1:5" ht="32.1" customHeight="1">
      <c r="A94" s="276" t="s">
        <v>596</v>
      </c>
      <c r="B94" s="277">
        <v>0</v>
      </c>
      <c r="C94" s="277">
        <v>1644</v>
      </c>
      <c r="D94" s="277">
        <v>0</v>
      </c>
      <c r="E94" s="277">
        <v>40449</v>
      </c>
    </row>
    <row r="95" spans="1:5" ht="32.1" customHeight="1">
      <c r="A95" s="276" t="s">
        <v>597</v>
      </c>
      <c r="B95" s="277">
        <v>0</v>
      </c>
      <c r="C95" s="277">
        <v>31</v>
      </c>
      <c r="D95" s="277">
        <v>0</v>
      </c>
      <c r="E95" s="277">
        <v>1420</v>
      </c>
    </row>
    <row r="96" spans="1:5" ht="32.1" customHeight="1">
      <c r="A96" s="276" t="s">
        <v>598</v>
      </c>
      <c r="B96" s="277">
        <v>210512</v>
      </c>
      <c r="C96" s="277">
        <v>778</v>
      </c>
      <c r="D96" s="277">
        <v>164573</v>
      </c>
      <c r="E96" s="277">
        <v>15952</v>
      </c>
    </row>
    <row r="97" spans="1:5" ht="32.1" customHeight="1">
      <c r="A97" s="276" t="s">
        <v>599</v>
      </c>
      <c r="B97" s="277">
        <v>121960</v>
      </c>
      <c r="C97" s="277">
        <v>582</v>
      </c>
      <c r="D97" s="277">
        <v>104831</v>
      </c>
      <c r="E97" s="277">
        <v>13902</v>
      </c>
    </row>
    <row r="98" spans="1:5" ht="32.1" customHeight="1">
      <c r="A98" s="276" t="s">
        <v>600</v>
      </c>
      <c r="B98" s="277">
        <v>109032</v>
      </c>
      <c r="C98" s="277">
        <v>656</v>
      </c>
      <c r="D98" s="277">
        <v>98097</v>
      </c>
      <c r="E98" s="277">
        <v>1042</v>
      </c>
    </row>
    <row r="99" spans="1:5" ht="32.1" customHeight="1">
      <c r="A99" s="276" t="s">
        <v>601</v>
      </c>
      <c r="B99" s="277">
        <v>564018</v>
      </c>
      <c r="C99" s="277">
        <v>2282</v>
      </c>
      <c r="D99" s="277">
        <v>450622</v>
      </c>
      <c r="E99" s="277">
        <v>15453</v>
      </c>
    </row>
    <row r="100" spans="1:5" ht="32.1" customHeight="1">
      <c r="A100" s="276" t="s">
        <v>602</v>
      </c>
      <c r="B100" s="277">
        <v>2262</v>
      </c>
      <c r="C100" s="277">
        <v>15</v>
      </c>
      <c r="D100" s="277">
        <v>1631</v>
      </c>
      <c r="E100" s="277">
        <v>13</v>
      </c>
    </row>
    <row r="101" spans="1:5" ht="32.1" customHeight="1">
      <c r="A101" s="276" t="s">
        <v>616</v>
      </c>
      <c r="B101" s="277">
        <v>0</v>
      </c>
      <c r="C101" s="277">
        <v>54</v>
      </c>
      <c r="D101" s="277">
        <v>0</v>
      </c>
      <c r="E101" s="277">
        <v>2593</v>
      </c>
    </row>
    <row r="102" spans="1:5" ht="32.1" customHeight="1">
      <c r="A102" s="276" t="s">
        <v>603</v>
      </c>
      <c r="B102" s="277">
        <v>12136</v>
      </c>
      <c r="C102" s="277">
        <v>78</v>
      </c>
      <c r="D102" s="277">
        <v>11618</v>
      </c>
      <c r="E102" s="277">
        <v>94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A7A7-234B-4BEA-A334-A3A27A47A2EF}">
  <dimension ref="A1:E104"/>
  <sheetViews>
    <sheetView workbookViewId="0">
      <selection sqref="A1:E1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617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85515136</v>
      </c>
      <c r="C3" s="277">
        <v>432069</v>
      </c>
      <c r="D3" s="277">
        <v>64127716</v>
      </c>
      <c r="E3" s="277">
        <v>3519231</v>
      </c>
    </row>
    <row r="4" spans="1:5" ht="32.1" customHeight="1">
      <c r="A4" s="276" t="s">
        <v>511</v>
      </c>
      <c r="B4" s="277">
        <v>65976928</v>
      </c>
      <c r="C4" s="277">
        <v>328216</v>
      </c>
      <c r="D4" s="277">
        <v>49538896</v>
      </c>
      <c r="E4" s="277">
        <v>2623974</v>
      </c>
    </row>
    <row r="5" spans="1:5" ht="32.1" customHeight="1">
      <c r="A5" s="276" t="s">
        <v>512</v>
      </c>
      <c r="B5" s="277">
        <v>32825791</v>
      </c>
      <c r="C5" s="277">
        <v>149360</v>
      </c>
      <c r="D5" s="277">
        <v>23753884</v>
      </c>
      <c r="E5" s="277">
        <v>1750900</v>
      </c>
    </row>
    <row r="6" spans="1:5" ht="32.1" customHeight="1">
      <c r="A6" s="276" t="s">
        <v>513</v>
      </c>
      <c r="B6" s="277">
        <v>20219623</v>
      </c>
      <c r="C6" s="277">
        <v>103700</v>
      </c>
      <c r="D6" s="277">
        <v>15131318</v>
      </c>
      <c r="E6" s="277">
        <v>805002</v>
      </c>
    </row>
    <row r="7" spans="1:5" ht="32.1" customHeight="1">
      <c r="A7" s="276" t="s">
        <v>514</v>
      </c>
      <c r="B7" s="277">
        <v>3495453</v>
      </c>
      <c r="C7" s="277">
        <v>18616</v>
      </c>
      <c r="D7" s="277">
        <v>3071539</v>
      </c>
      <c r="E7" s="277">
        <v>20378</v>
      </c>
    </row>
    <row r="8" spans="1:5" ht="32.1" customHeight="1">
      <c r="A8" s="276" t="s">
        <v>515</v>
      </c>
      <c r="B8" s="277">
        <v>2196584</v>
      </c>
      <c r="C8" s="277">
        <v>11764</v>
      </c>
      <c r="D8" s="277">
        <v>1778205</v>
      </c>
      <c r="E8" s="277">
        <v>11295</v>
      </c>
    </row>
    <row r="9" spans="1:5" ht="32.1" customHeight="1">
      <c r="A9" s="276" t="s">
        <v>516</v>
      </c>
      <c r="B9" s="277">
        <v>3293705</v>
      </c>
      <c r="C9" s="277">
        <v>20636</v>
      </c>
      <c r="D9" s="277">
        <v>2521425</v>
      </c>
      <c r="E9" s="277">
        <v>19882</v>
      </c>
    </row>
    <row r="10" spans="1:5" ht="32.1" customHeight="1">
      <c r="A10" s="276" t="s">
        <v>517</v>
      </c>
      <c r="B10" s="277">
        <v>2065792</v>
      </c>
      <c r="C10" s="277">
        <v>14160</v>
      </c>
      <c r="D10" s="277">
        <v>1773415</v>
      </c>
      <c r="E10" s="277">
        <v>9760</v>
      </c>
    </row>
    <row r="11" spans="1:5" ht="32.1" customHeight="1">
      <c r="A11" s="276" t="s">
        <v>605</v>
      </c>
      <c r="B11" s="277">
        <v>1879980</v>
      </c>
      <c r="C11" s="277">
        <v>9980</v>
      </c>
      <c r="D11" s="277">
        <v>1509110</v>
      </c>
      <c r="E11" s="277">
        <v>6757</v>
      </c>
    </row>
    <row r="12" spans="1:5" ht="32.1" customHeight="1">
      <c r="A12" s="276" t="s">
        <v>518</v>
      </c>
      <c r="B12" s="277">
        <v>19538208</v>
      </c>
      <c r="C12" s="277">
        <v>103853</v>
      </c>
      <c r="D12" s="277">
        <v>14588820</v>
      </c>
      <c r="E12" s="277">
        <v>895258</v>
      </c>
    </row>
    <row r="13" spans="1:5" ht="32.1" customHeight="1">
      <c r="A13" s="276" t="s">
        <v>521</v>
      </c>
      <c r="B13" s="277">
        <v>311330</v>
      </c>
      <c r="C13" s="277">
        <v>1132</v>
      </c>
      <c r="D13" s="277">
        <v>197726</v>
      </c>
      <c r="E13" s="277">
        <v>8548</v>
      </c>
    </row>
    <row r="14" spans="1:5" ht="32.1" customHeight="1">
      <c r="A14" s="276" t="s">
        <v>618</v>
      </c>
      <c r="B14" s="277">
        <v>0</v>
      </c>
      <c r="C14" s="277">
        <v>90</v>
      </c>
      <c r="D14" s="277">
        <v>0</v>
      </c>
      <c r="E14" s="277">
        <v>4691</v>
      </c>
    </row>
    <row r="15" spans="1:5" ht="32.1" customHeight="1">
      <c r="A15" s="276" t="s">
        <v>523</v>
      </c>
      <c r="B15" s="277">
        <v>0</v>
      </c>
      <c r="C15" s="277">
        <v>16</v>
      </c>
      <c r="D15" s="277">
        <v>0</v>
      </c>
      <c r="E15" s="277">
        <v>362</v>
      </c>
    </row>
    <row r="16" spans="1:5" ht="32.1" customHeight="1">
      <c r="A16" s="276" t="s">
        <v>524</v>
      </c>
      <c r="B16" s="277">
        <v>194148</v>
      </c>
      <c r="C16" s="277">
        <v>684</v>
      </c>
      <c r="D16" s="277">
        <v>162708</v>
      </c>
      <c r="E16" s="277">
        <v>24396</v>
      </c>
    </row>
    <row r="17" spans="1:5" ht="32.1" customHeight="1">
      <c r="A17" s="276" t="s">
        <v>619</v>
      </c>
      <c r="B17" s="277">
        <v>0</v>
      </c>
      <c r="C17" s="277">
        <v>40</v>
      </c>
      <c r="D17" s="277">
        <v>0</v>
      </c>
      <c r="E17" s="277">
        <v>2244</v>
      </c>
    </row>
    <row r="18" spans="1:5" ht="32.1" customHeight="1">
      <c r="A18" s="276" t="s">
        <v>526</v>
      </c>
      <c r="B18" s="277">
        <v>407698</v>
      </c>
      <c r="C18" s="277">
        <v>1977</v>
      </c>
      <c r="D18" s="277">
        <v>328323</v>
      </c>
      <c r="E18" s="277">
        <v>12659</v>
      </c>
    </row>
    <row r="19" spans="1:5" ht="32.1" customHeight="1">
      <c r="A19" s="276" t="s">
        <v>527</v>
      </c>
      <c r="B19" s="277">
        <v>0</v>
      </c>
      <c r="C19" s="277">
        <v>24</v>
      </c>
      <c r="D19" s="277">
        <v>0</v>
      </c>
      <c r="E19" s="277">
        <v>306</v>
      </c>
    </row>
    <row r="20" spans="1:5" ht="32.1" customHeight="1">
      <c r="A20" s="276" t="s">
        <v>528</v>
      </c>
      <c r="B20" s="277">
        <v>104562</v>
      </c>
      <c r="C20" s="277">
        <v>410</v>
      </c>
      <c r="D20" s="277">
        <v>86677</v>
      </c>
      <c r="E20" s="277">
        <v>3230</v>
      </c>
    </row>
    <row r="21" spans="1:5" ht="32.1" customHeight="1">
      <c r="A21" s="276" t="s">
        <v>529</v>
      </c>
      <c r="B21" s="277">
        <v>548377</v>
      </c>
      <c r="C21" s="277">
        <v>2356</v>
      </c>
      <c r="D21" s="277">
        <v>304748</v>
      </c>
      <c r="E21" s="277">
        <v>18526</v>
      </c>
    </row>
    <row r="22" spans="1:5" ht="32.1" customHeight="1">
      <c r="A22" s="276" t="s">
        <v>530</v>
      </c>
      <c r="B22" s="277">
        <v>0</v>
      </c>
      <c r="C22" s="277">
        <v>78</v>
      </c>
      <c r="D22" s="277">
        <v>0</v>
      </c>
      <c r="E22" s="277">
        <v>2273</v>
      </c>
    </row>
    <row r="23" spans="1:5" ht="32.1" customHeight="1">
      <c r="A23" s="276" t="s">
        <v>531</v>
      </c>
      <c r="B23" s="277">
        <v>65520</v>
      </c>
      <c r="C23" s="277">
        <v>634</v>
      </c>
      <c r="D23" s="277">
        <v>52390</v>
      </c>
      <c r="E23" s="277">
        <v>807</v>
      </c>
    </row>
    <row r="24" spans="1:5" ht="32.1" customHeight="1">
      <c r="A24" s="276" t="s">
        <v>532</v>
      </c>
      <c r="B24" s="277">
        <v>281918</v>
      </c>
      <c r="C24" s="277">
        <v>1152</v>
      </c>
      <c r="D24" s="277">
        <v>209081</v>
      </c>
      <c r="E24" s="277">
        <v>12631</v>
      </c>
    </row>
    <row r="25" spans="1:5" ht="32.1" customHeight="1">
      <c r="A25" s="276" t="s">
        <v>620</v>
      </c>
      <c r="B25" s="277">
        <v>1000</v>
      </c>
      <c r="C25" s="277">
        <v>8</v>
      </c>
      <c r="D25" s="277">
        <v>680</v>
      </c>
      <c r="E25" s="277">
        <v>8</v>
      </c>
    </row>
    <row r="26" spans="1:5" ht="32.1" customHeight="1">
      <c r="A26" s="276" t="s">
        <v>621</v>
      </c>
      <c r="B26" s="277">
        <v>0</v>
      </c>
      <c r="C26" s="277">
        <v>1</v>
      </c>
      <c r="D26" s="277">
        <v>0</v>
      </c>
      <c r="E26" s="277">
        <v>15</v>
      </c>
    </row>
    <row r="27" spans="1:5" ht="32.1" customHeight="1">
      <c r="A27" s="276" t="s">
        <v>533</v>
      </c>
      <c r="B27" s="277">
        <v>141630</v>
      </c>
      <c r="C27" s="277">
        <v>682</v>
      </c>
      <c r="D27" s="277">
        <v>115909</v>
      </c>
      <c r="E27" s="277">
        <v>3222</v>
      </c>
    </row>
    <row r="28" spans="1:5" ht="32.1" customHeight="1">
      <c r="A28" s="276" t="s">
        <v>534</v>
      </c>
      <c r="B28" s="277">
        <v>0</v>
      </c>
      <c r="C28" s="277">
        <v>511</v>
      </c>
      <c r="D28" s="277">
        <v>0</v>
      </c>
      <c r="E28" s="277">
        <v>35752</v>
      </c>
    </row>
    <row r="29" spans="1:5" ht="32.1" customHeight="1">
      <c r="A29" s="276" t="s">
        <v>535</v>
      </c>
      <c r="B29" s="277">
        <v>823134</v>
      </c>
      <c r="C29" s="277">
        <v>3421</v>
      </c>
      <c r="D29" s="277">
        <v>629317</v>
      </c>
      <c r="E29" s="277">
        <v>20204</v>
      </c>
    </row>
    <row r="30" spans="1:5" ht="32.1" customHeight="1">
      <c r="A30" s="276" t="s">
        <v>536</v>
      </c>
      <c r="B30" s="277">
        <v>0</v>
      </c>
      <c r="C30" s="277">
        <v>7</v>
      </c>
      <c r="D30" s="277">
        <v>0</v>
      </c>
      <c r="E30" s="277">
        <v>215</v>
      </c>
    </row>
    <row r="31" spans="1:5" ht="32.1" customHeight="1">
      <c r="A31" s="276" t="s">
        <v>537</v>
      </c>
      <c r="B31" s="277">
        <v>147924</v>
      </c>
      <c r="C31" s="277">
        <v>897</v>
      </c>
      <c r="D31" s="277">
        <v>100861</v>
      </c>
      <c r="E31" s="277">
        <v>1491</v>
      </c>
    </row>
    <row r="32" spans="1:5" ht="32.1" customHeight="1">
      <c r="A32" s="276" t="s">
        <v>538</v>
      </c>
      <c r="B32" s="277">
        <v>134938</v>
      </c>
      <c r="C32" s="277">
        <v>820</v>
      </c>
      <c r="D32" s="277">
        <v>74082</v>
      </c>
      <c r="E32" s="277">
        <v>2032</v>
      </c>
    </row>
    <row r="33" spans="1:5" ht="32.1" customHeight="1">
      <c r="A33" s="276" t="s">
        <v>539</v>
      </c>
      <c r="B33" s="277">
        <v>421329</v>
      </c>
      <c r="C33" s="277">
        <v>1715</v>
      </c>
      <c r="D33" s="277">
        <v>362156</v>
      </c>
      <c r="E33" s="277">
        <v>9437</v>
      </c>
    </row>
    <row r="34" spans="1:5" ht="32.1" customHeight="1">
      <c r="A34" s="276" t="s">
        <v>607</v>
      </c>
      <c r="B34" s="277">
        <v>24400</v>
      </c>
      <c r="C34" s="277">
        <v>140</v>
      </c>
      <c r="D34" s="277">
        <v>15267</v>
      </c>
      <c r="E34" s="277">
        <v>238</v>
      </c>
    </row>
    <row r="35" spans="1:5" ht="32.1" customHeight="1">
      <c r="A35" s="276" t="s">
        <v>541</v>
      </c>
      <c r="B35" s="277">
        <v>161118</v>
      </c>
      <c r="C35" s="277">
        <v>988</v>
      </c>
      <c r="D35" s="277">
        <v>98090</v>
      </c>
      <c r="E35" s="277">
        <v>2236</v>
      </c>
    </row>
    <row r="36" spans="1:5" ht="32.1" customHeight="1">
      <c r="A36" s="276" t="s">
        <v>542</v>
      </c>
      <c r="B36" s="277">
        <v>334869</v>
      </c>
      <c r="C36" s="277">
        <v>1943</v>
      </c>
      <c r="D36" s="277">
        <v>225675</v>
      </c>
      <c r="E36" s="277">
        <v>2850</v>
      </c>
    </row>
    <row r="37" spans="1:5" ht="32.1" customHeight="1">
      <c r="A37" s="276" t="s">
        <v>543</v>
      </c>
      <c r="B37" s="277">
        <v>484865</v>
      </c>
      <c r="C37" s="277">
        <v>2761</v>
      </c>
      <c r="D37" s="277">
        <v>384438</v>
      </c>
      <c r="E37" s="277">
        <v>5787</v>
      </c>
    </row>
    <row r="38" spans="1:5" ht="32.1" customHeight="1">
      <c r="A38" s="276" t="s">
        <v>622</v>
      </c>
      <c r="B38" s="277">
        <v>49755</v>
      </c>
      <c r="C38" s="277">
        <v>307</v>
      </c>
      <c r="D38" s="277">
        <v>34718</v>
      </c>
      <c r="E38" s="277">
        <v>337</v>
      </c>
    </row>
    <row r="39" spans="1:5" ht="32.1" customHeight="1">
      <c r="A39" s="276" t="s">
        <v>545</v>
      </c>
      <c r="B39" s="277">
        <v>5040</v>
      </c>
      <c r="C39" s="277">
        <v>39</v>
      </c>
      <c r="D39" s="277">
        <v>4352</v>
      </c>
      <c r="E39" s="277">
        <v>44</v>
      </c>
    </row>
    <row r="40" spans="1:5" ht="32.1" customHeight="1">
      <c r="A40" s="276" t="s">
        <v>548</v>
      </c>
      <c r="B40" s="277">
        <v>823215</v>
      </c>
      <c r="C40" s="277">
        <v>2925</v>
      </c>
      <c r="D40" s="277">
        <v>488786</v>
      </c>
      <c r="E40" s="277">
        <v>26461</v>
      </c>
    </row>
    <row r="41" spans="1:5" ht="32.1" customHeight="1">
      <c r="A41" s="276" t="s">
        <v>623</v>
      </c>
      <c r="B41" s="277">
        <v>152</v>
      </c>
      <c r="C41" s="277">
        <v>2</v>
      </c>
      <c r="D41" s="277">
        <v>104</v>
      </c>
      <c r="E41" s="277">
        <v>27</v>
      </c>
    </row>
    <row r="42" spans="1:5" ht="32.1" customHeight="1">
      <c r="A42" s="276" t="s">
        <v>550</v>
      </c>
      <c r="B42" s="277">
        <v>0</v>
      </c>
      <c r="C42" s="277">
        <v>176</v>
      </c>
      <c r="D42" s="277">
        <v>0</v>
      </c>
      <c r="E42" s="277">
        <v>3954</v>
      </c>
    </row>
    <row r="43" spans="1:5" ht="32.1" customHeight="1">
      <c r="A43" s="276" t="s">
        <v>551</v>
      </c>
      <c r="B43" s="277">
        <v>0</v>
      </c>
      <c r="C43" s="277">
        <v>359</v>
      </c>
      <c r="D43" s="277">
        <v>0</v>
      </c>
      <c r="E43" s="277">
        <v>4658</v>
      </c>
    </row>
    <row r="44" spans="1:5" ht="32.1" customHeight="1">
      <c r="A44" s="276" t="s">
        <v>552</v>
      </c>
      <c r="B44" s="277">
        <v>0</v>
      </c>
      <c r="C44" s="277">
        <v>3</v>
      </c>
      <c r="D44" s="277">
        <v>0</v>
      </c>
      <c r="E44" s="277">
        <v>181</v>
      </c>
    </row>
    <row r="45" spans="1:5" ht="32.1" customHeight="1">
      <c r="A45" s="276" t="s">
        <v>554</v>
      </c>
      <c r="B45" s="277">
        <v>1580</v>
      </c>
      <c r="C45" s="277">
        <v>10</v>
      </c>
      <c r="D45" s="277">
        <v>659</v>
      </c>
      <c r="E45" s="277">
        <v>9</v>
      </c>
    </row>
    <row r="46" spans="1:5" ht="32.1" customHeight="1">
      <c r="A46" s="276" t="s">
        <v>555</v>
      </c>
      <c r="B46" s="277">
        <v>0</v>
      </c>
      <c r="C46" s="277">
        <v>230</v>
      </c>
      <c r="D46" s="277">
        <v>0</v>
      </c>
      <c r="E46" s="277">
        <v>1427</v>
      </c>
    </row>
    <row r="47" spans="1:5" ht="32.1" customHeight="1">
      <c r="A47" s="276" t="s">
        <v>556</v>
      </c>
      <c r="B47" s="277">
        <v>365010</v>
      </c>
      <c r="C47" s="277">
        <v>730</v>
      </c>
      <c r="D47" s="277">
        <v>280961</v>
      </c>
      <c r="E47" s="277">
        <v>12716</v>
      </c>
    </row>
    <row r="48" spans="1:5" ht="32.1" customHeight="1">
      <c r="A48" s="276" t="s">
        <v>557</v>
      </c>
      <c r="B48" s="277">
        <v>208386</v>
      </c>
      <c r="C48" s="277">
        <v>816</v>
      </c>
      <c r="D48" s="277">
        <v>174335</v>
      </c>
      <c r="E48" s="277">
        <v>10538</v>
      </c>
    </row>
    <row r="49" spans="1:5" ht="32.1" customHeight="1">
      <c r="A49" s="276" t="s">
        <v>558</v>
      </c>
      <c r="B49" s="277">
        <v>0</v>
      </c>
      <c r="C49" s="277">
        <v>4</v>
      </c>
      <c r="D49" s="277">
        <v>0</v>
      </c>
      <c r="E49" s="277">
        <v>50</v>
      </c>
    </row>
    <row r="50" spans="1:5" ht="32.1" customHeight="1">
      <c r="A50" s="276" t="s">
        <v>609</v>
      </c>
      <c r="B50" s="277">
        <v>0</v>
      </c>
      <c r="C50" s="277">
        <v>688</v>
      </c>
      <c r="D50" s="277">
        <v>0</v>
      </c>
      <c r="E50" s="277">
        <v>20736</v>
      </c>
    </row>
    <row r="51" spans="1:5" ht="32.1" customHeight="1">
      <c r="A51" s="276" t="s">
        <v>559</v>
      </c>
      <c r="B51" s="277">
        <v>119286</v>
      </c>
      <c r="C51" s="277">
        <v>846</v>
      </c>
      <c r="D51" s="277">
        <v>80617</v>
      </c>
      <c r="E51" s="277">
        <v>1462</v>
      </c>
    </row>
    <row r="52" spans="1:5" ht="32.1" customHeight="1">
      <c r="A52" s="276" t="s">
        <v>560</v>
      </c>
      <c r="B52" s="277">
        <v>0</v>
      </c>
      <c r="C52" s="277">
        <v>218</v>
      </c>
      <c r="D52" s="277">
        <v>0</v>
      </c>
      <c r="E52" s="277">
        <v>4141</v>
      </c>
    </row>
    <row r="53" spans="1:5" ht="32.1" customHeight="1">
      <c r="A53" s="276" t="s">
        <v>561</v>
      </c>
      <c r="B53" s="277">
        <v>0</v>
      </c>
      <c r="C53" s="277">
        <v>4</v>
      </c>
      <c r="D53" s="277">
        <v>0</v>
      </c>
      <c r="E53" s="277">
        <v>46</v>
      </c>
    </row>
    <row r="54" spans="1:5" ht="32.1" customHeight="1">
      <c r="A54" s="276" t="s">
        <v>562</v>
      </c>
      <c r="B54" s="277">
        <v>37744</v>
      </c>
      <c r="C54" s="277">
        <v>196</v>
      </c>
      <c r="D54" s="277">
        <v>21072</v>
      </c>
      <c r="E54" s="277">
        <v>875</v>
      </c>
    </row>
    <row r="55" spans="1:5" ht="32.1" customHeight="1">
      <c r="A55" s="276" t="s">
        <v>610</v>
      </c>
      <c r="B55" s="277">
        <v>271063</v>
      </c>
      <c r="C55" s="277">
        <v>719</v>
      </c>
      <c r="D55" s="277">
        <v>195497</v>
      </c>
      <c r="E55" s="277">
        <v>7451</v>
      </c>
    </row>
    <row r="56" spans="1:5" ht="32.1" customHeight="1">
      <c r="A56" s="276" t="s">
        <v>611</v>
      </c>
      <c r="B56" s="277">
        <v>0</v>
      </c>
      <c r="C56" s="277">
        <v>1212</v>
      </c>
      <c r="D56" s="277">
        <v>0</v>
      </c>
      <c r="E56" s="277">
        <v>35254</v>
      </c>
    </row>
    <row r="57" spans="1:5" ht="32.1" customHeight="1">
      <c r="A57" s="276" t="s">
        <v>563</v>
      </c>
      <c r="B57" s="277">
        <v>56242</v>
      </c>
      <c r="C57" s="277">
        <v>208</v>
      </c>
      <c r="D57" s="277">
        <v>39864</v>
      </c>
      <c r="E57" s="277">
        <v>1491</v>
      </c>
    </row>
    <row r="58" spans="1:5" ht="32.1" customHeight="1">
      <c r="A58" s="276" t="s">
        <v>564</v>
      </c>
      <c r="B58" s="277">
        <v>153226</v>
      </c>
      <c r="C58" s="277">
        <v>722</v>
      </c>
      <c r="D58" s="277">
        <v>136681</v>
      </c>
      <c r="E58" s="277">
        <v>6901</v>
      </c>
    </row>
    <row r="59" spans="1:5" ht="32.1" customHeight="1">
      <c r="A59" s="276" t="s">
        <v>565</v>
      </c>
      <c r="B59" s="277">
        <v>0</v>
      </c>
      <c r="C59" s="277">
        <v>617</v>
      </c>
      <c r="D59" s="277">
        <v>0</v>
      </c>
      <c r="E59" s="277">
        <v>21256</v>
      </c>
    </row>
    <row r="60" spans="1:5" ht="32.1" customHeight="1">
      <c r="A60" s="276" t="s">
        <v>612</v>
      </c>
      <c r="B60" s="277">
        <v>148423</v>
      </c>
      <c r="C60" s="277">
        <v>721</v>
      </c>
      <c r="D60" s="277">
        <v>74347</v>
      </c>
      <c r="E60" s="277">
        <v>6843</v>
      </c>
    </row>
    <row r="61" spans="1:5" ht="32.1" customHeight="1">
      <c r="A61" s="276" t="s">
        <v>566</v>
      </c>
      <c r="B61" s="277">
        <v>0</v>
      </c>
      <c r="C61" s="277">
        <v>2</v>
      </c>
      <c r="D61" s="277">
        <v>0</v>
      </c>
      <c r="E61" s="277">
        <v>0</v>
      </c>
    </row>
    <row r="62" spans="1:5" ht="32.1" customHeight="1">
      <c r="A62" s="276" t="s">
        <v>567</v>
      </c>
      <c r="B62" s="277">
        <v>45511</v>
      </c>
      <c r="C62" s="277">
        <v>643</v>
      </c>
      <c r="D62" s="277">
        <v>29664</v>
      </c>
      <c r="E62" s="277">
        <v>2061</v>
      </c>
    </row>
    <row r="63" spans="1:5" ht="32.1" customHeight="1">
      <c r="A63" s="276" t="s">
        <v>613</v>
      </c>
      <c r="B63" s="277">
        <v>89130</v>
      </c>
      <c r="C63" s="277">
        <v>182</v>
      </c>
      <c r="D63" s="277">
        <v>81340</v>
      </c>
      <c r="E63" s="277">
        <v>2237</v>
      </c>
    </row>
    <row r="64" spans="1:5" ht="32.1" customHeight="1">
      <c r="A64" s="276" t="s">
        <v>624</v>
      </c>
      <c r="B64" s="277">
        <v>477</v>
      </c>
      <c r="C64" s="277">
        <v>1</v>
      </c>
      <c r="D64" s="277">
        <v>494</v>
      </c>
      <c r="E64" s="277">
        <v>4</v>
      </c>
    </row>
    <row r="65" spans="1:5" ht="32.1" customHeight="1">
      <c r="A65" s="276" t="s">
        <v>568</v>
      </c>
      <c r="B65" s="277">
        <v>46212</v>
      </c>
      <c r="C65" s="277">
        <v>224</v>
      </c>
      <c r="D65" s="277">
        <v>33411</v>
      </c>
      <c r="E65" s="277">
        <v>1423</v>
      </c>
    </row>
    <row r="66" spans="1:5" ht="32.1" customHeight="1">
      <c r="A66" s="276" t="s">
        <v>569</v>
      </c>
      <c r="B66" s="277">
        <v>0</v>
      </c>
      <c r="C66" s="277">
        <v>161</v>
      </c>
      <c r="D66" s="277">
        <v>0</v>
      </c>
      <c r="E66" s="277">
        <v>11443</v>
      </c>
    </row>
    <row r="67" spans="1:5" ht="32.1" customHeight="1">
      <c r="A67" s="276" t="s">
        <v>570</v>
      </c>
      <c r="B67" s="277">
        <v>464919</v>
      </c>
      <c r="C67" s="277">
        <v>1434</v>
      </c>
      <c r="D67" s="277">
        <v>379734</v>
      </c>
      <c r="E67" s="277">
        <v>15277</v>
      </c>
    </row>
    <row r="68" spans="1:5" ht="32.1" customHeight="1">
      <c r="A68" s="276" t="s">
        <v>571</v>
      </c>
      <c r="B68" s="277">
        <v>2649</v>
      </c>
      <c r="C68" s="277">
        <v>20</v>
      </c>
      <c r="D68" s="277">
        <v>1490</v>
      </c>
      <c r="E68" s="277">
        <v>29</v>
      </c>
    </row>
    <row r="69" spans="1:5" ht="32.1" customHeight="1">
      <c r="A69" s="276" t="s">
        <v>572</v>
      </c>
      <c r="B69" s="277">
        <v>0</v>
      </c>
      <c r="C69" s="277">
        <v>2998</v>
      </c>
      <c r="D69" s="277">
        <v>0</v>
      </c>
      <c r="E69" s="277">
        <v>48204</v>
      </c>
    </row>
    <row r="70" spans="1:5" ht="32.1" customHeight="1">
      <c r="A70" s="276" t="s">
        <v>573</v>
      </c>
      <c r="B70" s="277">
        <v>0</v>
      </c>
      <c r="C70" s="277">
        <v>2</v>
      </c>
      <c r="D70" s="277">
        <v>0</v>
      </c>
      <c r="E70" s="277">
        <v>110</v>
      </c>
    </row>
    <row r="71" spans="1:5" ht="32.1" customHeight="1">
      <c r="A71" s="276" t="s">
        <v>614</v>
      </c>
      <c r="B71" s="277">
        <v>142272</v>
      </c>
      <c r="C71" s="277">
        <v>416</v>
      </c>
      <c r="D71" s="277">
        <v>74586</v>
      </c>
      <c r="E71" s="277">
        <v>1715</v>
      </c>
    </row>
    <row r="72" spans="1:5" ht="32.1" customHeight="1">
      <c r="A72" s="276" t="s">
        <v>575</v>
      </c>
      <c r="B72" s="277">
        <v>1270046</v>
      </c>
      <c r="C72" s="277">
        <v>6124</v>
      </c>
      <c r="D72" s="277">
        <v>1037345</v>
      </c>
      <c r="E72" s="277">
        <v>24539</v>
      </c>
    </row>
    <row r="73" spans="1:5" ht="32.1" customHeight="1">
      <c r="A73" s="276" t="s">
        <v>576</v>
      </c>
      <c r="B73" s="277">
        <v>0</v>
      </c>
      <c r="C73" s="277">
        <v>214</v>
      </c>
      <c r="D73" s="277">
        <v>0</v>
      </c>
      <c r="E73" s="277">
        <v>9400</v>
      </c>
    </row>
    <row r="74" spans="1:5" ht="32.1" customHeight="1">
      <c r="A74" s="276" t="s">
        <v>577</v>
      </c>
      <c r="B74" s="277">
        <v>980094</v>
      </c>
      <c r="C74" s="277">
        <v>4247</v>
      </c>
      <c r="D74" s="277">
        <v>806743</v>
      </c>
      <c r="E74" s="277">
        <v>13667</v>
      </c>
    </row>
    <row r="75" spans="1:5" ht="32.1" customHeight="1">
      <c r="A75" s="276" t="s">
        <v>578</v>
      </c>
      <c r="B75" s="277">
        <v>0</v>
      </c>
      <c r="C75" s="277">
        <v>390</v>
      </c>
      <c r="D75" s="277">
        <v>0</v>
      </c>
      <c r="E75" s="277">
        <v>21331</v>
      </c>
    </row>
    <row r="76" spans="1:5" ht="32.1" customHeight="1">
      <c r="A76" s="276" t="s">
        <v>579</v>
      </c>
      <c r="B76" s="277">
        <v>1238112</v>
      </c>
      <c r="C76" s="277">
        <v>7332</v>
      </c>
      <c r="D76" s="277">
        <v>945502</v>
      </c>
      <c r="E76" s="277">
        <v>22505</v>
      </c>
    </row>
    <row r="77" spans="1:5" ht="32.1" customHeight="1">
      <c r="A77" s="276" t="s">
        <v>580</v>
      </c>
      <c r="B77" s="277">
        <v>1737022</v>
      </c>
      <c r="C77" s="277">
        <v>10281</v>
      </c>
      <c r="D77" s="277">
        <v>1323586</v>
      </c>
      <c r="E77" s="277">
        <v>29257</v>
      </c>
    </row>
    <row r="78" spans="1:5" ht="32.1" customHeight="1">
      <c r="A78" s="276" t="s">
        <v>581</v>
      </c>
      <c r="B78" s="277">
        <v>1932670</v>
      </c>
      <c r="C78" s="277">
        <v>11071</v>
      </c>
      <c r="D78" s="277">
        <v>1359713</v>
      </c>
      <c r="E78" s="277">
        <v>32182</v>
      </c>
    </row>
    <row r="79" spans="1:5" ht="32.1" customHeight="1">
      <c r="A79" s="276" t="s">
        <v>582</v>
      </c>
      <c r="B79" s="277">
        <v>78402</v>
      </c>
      <c r="C79" s="277">
        <v>468</v>
      </c>
      <c r="D79" s="277">
        <v>58752</v>
      </c>
      <c r="E79" s="277">
        <v>1296</v>
      </c>
    </row>
    <row r="80" spans="1:5" ht="32.1" customHeight="1">
      <c r="A80" s="276" t="s">
        <v>583</v>
      </c>
      <c r="B80" s="277">
        <v>0</v>
      </c>
      <c r="C80" s="277">
        <v>520</v>
      </c>
      <c r="D80" s="277">
        <v>0</v>
      </c>
      <c r="E80" s="277">
        <v>4381</v>
      </c>
    </row>
    <row r="81" spans="1:5" ht="32.1" customHeight="1">
      <c r="A81" s="276" t="s">
        <v>584</v>
      </c>
      <c r="B81" s="277">
        <v>52248</v>
      </c>
      <c r="C81" s="277">
        <v>348</v>
      </c>
      <c r="D81" s="277">
        <v>36142</v>
      </c>
      <c r="E81" s="277">
        <v>1009</v>
      </c>
    </row>
    <row r="82" spans="1:5" ht="32.1" customHeight="1">
      <c r="A82" s="276" t="s">
        <v>585</v>
      </c>
      <c r="B82" s="277">
        <v>0</v>
      </c>
      <c r="C82" s="277">
        <v>700</v>
      </c>
      <c r="D82" s="277">
        <v>0</v>
      </c>
      <c r="E82" s="277">
        <v>38832</v>
      </c>
    </row>
    <row r="83" spans="1:5" ht="32.1" customHeight="1">
      <c r="A83" s="276" t="s">
        <v>586</v>
      </c>
      <c r="B83" s="277">
        <v>286891</v>
      </c>
      <c r="C83" s="277">
        <v>1051</v>
      </c>
      <c r="D83" s="277">
        <v>225438</v>
      </c>
      <c r="E83" s="277">
        <v>10308</v>
      </c>
    </row>
    <row r="84" spans="1:5" ht="32.1" customHeight="1">
      <c r="A84" s="276" t="s">
        <v>587</v>
      </c>
      <c r="B84" s="277">
        <v>0</v>
      </c>
      <c r="C84" s="277">
        <v>302</v>
      </c>
      <c r="D84" s="277">
        <v>0</v>
      </c>
      <c r="E84" s="277">
        <v>11832</v>
      </c>
    </row>
    <row r="85" spans="1:5" ht="32.1" customHeight="1">
      <c r="A85" s="276" t="s">
        <v>588</v>
      </c>
      <c r="B85" s="277">
        <v>191052</v>
      </c>
      <c r="C85" s="277">
        <v>730</v>
      </c>
      <c r="D85" s="277">
        <v>151178</v>
      </c>
      <c r="E85" s="277">
        <v>10304</v>
      </c>
    </row>
    <row r="86" spans="1:5" ht="32.1" customHeight="1">
      <c r="A86" s="276" t="s">
        <v>589</v>
      </c>
      <c r="B86" s="277">
        <v>0</v>
      </c>
      <c r="C86" s="277">
        <v>29</v>
      </c>
      <c r="D86" s="277">
        <v>0</v>
      </c>
      <c r="E86" s="277">
        <v>665</v>
      </c>
    </row>
    <row r="87" spans="1:5" ht="32.1" customHeight="1">
      <c r="A87" s="276" t="s">
        <v>590</v>
      </c>
      <c r="B87" s="277">
        <v>1219209</v>
      </c>
      <c r="C87" s="277">
        <v>4020</v>
      </c>
      <c r="D87" s="277">
        <v>988646</v>
      </c>
      <c r="E87" s="277">
        <v>49061</v>
      </c>
    </row>
    <row r="88" spans="1:5" ht="32.1" customHeight="1">
      <c r="A88" s="276" t="s">
        <v>625</v>
      </c>
      <c r="B88" s="277">
        <v>6492</v>
      </c>
      <c r="C88" s="277">
        <v>44</v>
      </c>
      <c r="D88" s="277">
        <v>5871</v>
      </c>
      <c r="E88" s="277">
        <v>102</v>
      </c>
    </row>
    <row r="89" spans="1:5" ht="32.1" customHeight="1">
      <c r="A89" s="276" t="s">
        <v>591</v>
      </c>
      <c r="B89" s="277">
        <v>123486</v>
      </c>
      <c r="C89" s="277">
        <v>749</v>
      </c>
      <c r="D89" s="277">
        <v>91068</v>
      </c>
      <c r="E89" s="277">
        <v>1531</v>
      </c>
    </row>
    <row r="90" spans="1:5" ht="32.1" customHeight="1">
      <c r="A90" s="276" t="s">
        <v>626</v>
      </c>
      <c r="B90" s="277">
        <v>418</v>
      </c>
      <c r="C90" s="277">
        <v>2</v>
      </c>
      <c r="D90" s="277">
        <v>60</v>
      </c>
      <c r="E90" s="277">
        <v>1</v>
      </c>
    </row>
    <row r="91" spans="1:5" ht="32.1" customHeight="1">
      <c r="A91" s="276" t="s">
        <v>592</v>
      </c>
      <c r="B91" s="277">
        <v>1134958</v>
      </c>
      <c r="C91" s="277">
        <v>3284</v>
      </c>
      <c r="D91" s="277">
        <v>782469</v>
      </c>
      <c r="E91" s="277">
        <v>38079</v>
      </c>
    </row>
    <row r="92" spans="1:5" ht="32.1" customHeight="1">
      <c r="A92" s="276" t="s">
        <v>593</v>
      </c>
      <c r="B92" s="277">
        <v>186280</v>
      </c>
      <c r="C92" s="277">
        <v>702</v>
      </c>
      <c r="D92" s="277">
        <v>141685</v>
      </c>
      <c r="E92" s="277">
        <v>8183</v>
      </c>
    </row>
    <row r="93" spans="1:5" ht="32.1" customHeight="1">
      <c r="A93" s="276" t="s">
        <v>627</v>
      </c>
      <c r="B93" s="277">
        <v>3502</v>
      </c>
      <c r="C93" s="277">
        <v>22</v>
      </c>
      <c r="D93" s="277">
        <v>2655</v>
      </c>
      <c r="E93" s="277">
        <v>27</v>
      </c>
    </row>
    <row r="94" spans="1:5" ht="32.1" customHeight="1">
      <c r="A94" s="276" t="s">
        <v>595</v>
      </c>
      <c r="B94" s="277">
        <v>0</v>
      </c>
      <c r="C94" s="277">
        <v>2502</v>
      </c>
      <c r="D94" s="277">
        <v>0</v>
      </c>
      <c r="E94" s="277">
        <v>43035</v>
      </c>
    </row>
    <row r="95" spans="1:5" ht="32.1" customHeight="1">
      <c r="A95" s="276" t="s">
        <v>596</v>
      </c>
      <c r="B95" s="277">
        <v>0</v>
      </c>
      <c r="C95" s="277">
        <v>2093</v>
      </c>
      <c r="D95" s="277">
        <v>0</v>
      </c>
      <c r="E95" s="277">
        <v>46688</v>
      </c>
    </row>
    <row r="96" spans="1:5" ht="32.1" customHeight="1">
      <c r="A96" s="276" t="s">
        <v>597</v>
      </c>
      <c r="B96" s="277">
        <v>0</v>
      </c>
      <c r="C96" s="277">
        <v>15</v>
      </c>
      <c r="D96" s="277">
        <v>0</v>
      </c>
      <c r="E96" s="277">
        <v>448</v>
      </c>
    </row>
    <row r="97" spans="1:5" ht="32.1" customHeight="1">
      <c r="A97" s="276" t="s">
        <v>598</v>
      </c>
      <c r="B97" s="277">
        <v>219448</v>
      </c>
      <c r="C97" s="277">
        <v>881</v>
      </c>
      <c r="D97" s="277">
        <v>167272</v>
      </c>
      <c r="E97" s="277">
        <v>17800</v>
      </c>
    </row>
    <row r="98" spans="1:5" ht="32.1" customHeight="1">
      <c r="A98" s="276" t="s">
        <v>599</v>
      </c>
      <c r="B98" s="277">
        <v>174570</v>
      </c>
      <c r="C98" s="277">
        <v>728</v>
      </c>
      <c r="D98" s="277">
        <v>130682</v>
      </c>
      <c r="E98" s="277">
        <v>13164</v>
      </c>
    </row>
    <row r="99" spans="1:5" ht="32.1" customHeight="1">
      <c r="A99" s="276" t="s">
        <v>600</v>
      </c>
      <c r="B99" s="277">
        <v>217760</v>
      </c>
      <c r="C99" s="277">
        <v>1264</v>
      </c>
      <c r="D99" s="277">
        <v>196256</v>
      </c>
      <c r="E99" s="277">
        <v>2005</v>
      </c>
    </row>
    <row r="100" spans="1:5" ht="32.1" customHeight="1">
      <c r="A100" s="276" t="s">
        <v>601</v>
      </c>
      <c r="B100" s="277">
        <v>709808</v>
      </c>
      <c r="C100" s="277">
        <v>2624</v>
      </c>
      <c r="D100" s="277">
        <v>537967</v>
      </c>
      <c r="E100" s="277">
        <v>14302</v>
      </c>
    </row>
    <row r="101" spans="1:5" ht="32.1" customHeight="1">
      <c r="A101" s="276" t="s">
        <v>628</v>
      </c>
      <c r="B101" s="277">
        <v>104276</v>
      </c>
      <c r="C101" s="277">
        <v>402</v>
      </c>
      <c r="D101" s="277">
        <v>77164</v>
      </c>
      <c r="E101" s="277">
        <v>2129</v>
      </c>
    </row>
    <row r="102" spans="1:5" ht="32.1" customHeight="1">
      <c r="A102" s="276" t="s">
        <v>602</v>
      </c>
      <c r="B102" s="277">
        <v>26336</v>
      </c>
      <c r="C102" s="277">
        <v>162</v>
      </c>
      <c r="D102" s="277">
        <v>17249</v>
      </c>
      <c r="E102" s="277">
        <v>221</v>
      </c>
    </row>
    <row r="103" spans="1:5" ht="32.1" customHeight="1">
      <c r="A103" s="276" t="s">
        <v>616</v>
      </c>
      <c r="B103" s="277">
        <v>0</v>
      </c>
      <c r="C103" s="277">
        <v>64</v>
      </c>
      <c r="D103" s="277">
        <v>0</v>
      </c>
      <c r="E103" s="277">
        <v>3208</v>
      </c>
    </row>
    <row r="104" spans="1:5" ht="32.1" customHeight="1">
      <c r="A104" s="276" t="s">
        <v>603</v>
      </c>
      <c r="B104" s="277">
        <v>26076</v>
      </c>
      <c r="C104" s="277">
        <v>166</v>
      </c>
      <c r="D104" s="277">
        <v>24537</v>
      </c>
      <c r="E104" s="277">
        <v>246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5287-AFC3-4A1E-8F74-30AE044B11F8}">
  <dimension ref="A1:E109"/>
  <sheetViews>
    <sheetView workbookViewId="0">
      <selection sqref="A1:E1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629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91835360</v>
      </c>
      <c r="C3" s="277">
        <v>469354</v>
      </c>
      <c r="D3" s="277">
        <v>69857266</v>
      </c>
      <c r="E3" s="277">
        <v>3474058</v>
      </c>
    </row>
    <row r="4" spans="1:5" ht="32.1" customHeight="1">
      <c r="A4" s="276" t="s">
        <v>511</v>
      </c>
      <c r="B4" s="277">
        <v>70457208</v>
      </c>
      <c r="C4" s="277">
        <v>355775</v>
      </c>
      <c r="D4" s="277">
        <v>53874897</v>
      </c>
      <c r="E4" s="277">
        <v>2556561</v>
      </c>
    </row>
    <row r="5" spans="1:5" ht="32.1" customHeight="1">
      <c r="A5" s="276" t="s">
        <v>512</v>
      </c>
      <c r="B5" s="277">
        <v>33637018</v>
      </c>
      <c r="C5" s="277">
        <v>157693</v>
      </c>
      <c r="D5" s="277">
        <v>24737589</v>
      </c>
      <c r="E5" s="277">
        <v>1645210</v>
      </c>
    </row>
    <row r="6" spans="1:5" ht="32.1" customHeight="1">
      <c r="A6" s="276" t="s">
        <v>513</v>
      </c>
      <c r="B6" s="277">
        <v>20952590</v>
      </c>
      <c r="C6" s="277">
        <v>107195</v>
      </c>
      <c r="D6" s="277">
        <v>15922283</v>
      </c>
      <c r="E6" s="277">
        <v>817254</v>
      </c>
    </row>
    <row r="7" spans="1:5" ht="32.1" customHeight="1">
      <c r="A7" s="276" t="s">
        <v>514</v>
      </c>
      <c r="B7" s="277">
        <v>4499505</v>
      </c>
      <c r="C7" s="277">
        <v>23984</v>
      </c>
      <c r="D7" s="277">
        <v>3876064</v>
      </c>
      <c r="E7" s="277">
        <v>30185</v>
      </c>
    </row>
    <row r="8" spans="1:5" ht="32.1" customHeight="1">
      <c r="A8" s="276" t="s">
        <v>515</v>
      </c>
      <c r="B8" s="277">
        <v>2808291</v>
      </c>
      <c r="C8" s="277">
        <v>15061</v>
      </c>
      <c r="D8" s="277">
        <v>2364057</v>
      </c>
      <c r="E8" s="277">
        <v>16830</v>
      </c>
    </row>
    <row r="9" spans="1:5" ht="32.1" customHeight="1">
      <c r="A9" s="276" t="s">
        <v>516</v>
      </c>
      <c r="B9" s="277">
        <v>3651760</v>
      </c>
      <c r="C9" s="277">
        <v>22167</v>
      </c>
      <c r="D9" s="277">
        <v>2784602</v>
      </c>
      <c r="E9" s="277">
        <v>22067</v>
      </c>
    </row>
    <row r="10" spans="1:5" ht="32.1" customHeight="1">
      <c r="A10" s="276" t="s">
        <v>517</v>
      </c>
      <c r="B10" s="277">
        <v>2628161</v>
      </c>
      <c r="C10" s="277">
        <v>17585</v>
      </c>
      <c r="D10" s="277">
        <v>2274159</v>
      </c>
      <c r="E10" s="277">
        <v>14278</v>
      </c>
    </row>
    <row r="11" spans="1:5" ht="32.1" customHeight="1">
      <c r="A11" s="276" t="s">
        <v>605</v>
      </c>
      <c r="B11" s="277">
        <v>2279883</v>
      </c>
      <c r="C11" s="277">
        <v>12090</v>
      </c>
      <c r="D11" s="277">
        <v>1916143</v>
      </c>
      <c r="E11" s="277">
        <v>10737</v>
      </c>
    </row>
    <row r="12" spans="1:5" ht="32.1" customHeight="1">
      <c r="A12" s="276" t="s">
        <v>518</v>
      </c>
      <c r="B12" s="277">
        <v>21378152</v>
      </c>
      <c r="C12" s="277">
        <v>113579</v>
      </c>
      <c r="D12" s="277">
        <v>15982369</v>
      </c>
      <c r="E12" s="277">
        <v>917497</v>
      </c>
    </row>
    <row r="13" spans="1:5" ht="32.1" customHeight="1">
      <c r="A13" s="276" t="s">
        <v>630</v>
      </c>
      <c r="B13" s="277">
        <v>6570</v>
      </c>
      <c r="C13" s="277">
        <v>49</v>
      </c>
      <c r="D13" s="277">
        <v>4456</v>
      </c>
      <c r="E13" s="277">
        <v>65</v>
      </c>
    </row>
    <row r="14" spans="1:5" ht="32.1" customHeight="1">
      <c r="A14" s="276" t="s">
        <v>521</v>
      </c>
      <c r="B14" s="277">
        <v>322480</v>
      </c>
      <c r="C14" s="277">
        <v>1268</v>
      </c>
      <c r="D14" s="277">
        <v>228646</v>
      </c>
      <c r="E14" s="277">
        <v>12279</v>
      </c>
    </row>
    <row r="15" spans="1:5" ht="32.1" customHeight="1">
      <c r="A15" s="276" t="s">
        <v>524</v>
      </c>
      <c r="B15" s="277">
        <v>199432</v>
      </c>
      <c r="C15" s="277">
        <v>706</v>
      </c>
      <c r="D15" s="277">
        <v>173769</v>
      </c>
      <c r="E15" s="277">
        <v>27223</v>
      </c>
    </row>
    <row r="16" spans="1:5" ht="32.1" customHeight="1">
      <c r="A16" s="276" t="s">
        <v>619</v>
      </c>
      <c r="B16" s="277">
        <v>0</v>
      </c>
      <c r="C16" s="277">
        <v>52</v>
      </c>
      <c r="D16" s="277">
        <v>0</v>
      </c>
      <c r="E16" s="277">
        <v>2409</v>
      </c>
    </row>
    <row r="17" spans="1:5" ht="32.1" customHeight="1">
      <c r="A17" s="276" t="s">
        <v>526</v>
      </c>
      <c r="B17" s="277">
        <v>365906</v>
      </c>
      <c r="C17" s="277">
        <v>1702</v>
      </c>
      <c r="D17" s="277">
        <v>310020</v>
      </c>
      <c r="E17" s="277">
        <v>14025</v>
      </c>
    </row>
    <row r="18" spans="1:5" ht="32.1" customHeight="1">
      <c r="A18" s="276" t="s">
        <v>528</v>
      </c>
      <c r="B18" s="277">
        <v>151734</v>
      </c>
      <c r="C18" s="277">
        <v>558</v>
      </c>
      <c r="D18" s="277">
        <v>123941</v>
      </c>
      <c r="E18" s="277">
        <v>4412</v>
      </c>
    </row>
    <row r="19" spans="1:5" ht="32.1" customHeight="1">
      <c r="A19" s="276" t="s">
        <v>529</v>
      </c>
      <c r="B19" s="277">
        <v>516888</v>
      </c>
      <c r="C19" s="277">
        <v>2372</v>
      </c>
      <c r="D19" s="277">
        <v>286978</v>
      </c>
      <c r="E19" s="277">
        <v>18012</v>
      </c>
    </row>
    <row r="20" spans="1:5" ht="32.1" customHeight="1">
      <c r="A20" s="276" t="s">
        <v>530</v>
      </c>
      <c r="B20" s="277">
        <v>0</v>
      </c>
      <c r="C20" s="277">
        <v>342</v>
      </c>
      <c r="D20" s="277">
        <v>0</v>
      </c>
      <c r="E20" s="277">
        <v>7322</v>
      </c>
    </row>
    <row r="21" spans="1:5" ht="32.1" customHeight="1">
      <c r="A21" s="276" t="s">
        <v>531</v>
      </c>
      <c r="B21" s="277">
        <v>49296</v>
      </c>
      <c r="C21" s="277">
        <v>478</v>
      </c>
      <c r="D21" s="277">
        <v>39111</v>
      </c>
      <c r="E21" s="277">
        <v>595</v>
      </c>
    </row>
    <row r="22" spans="1:5" ht="32.1" customHeight="1">
      <c r="A22" s="276" t="s">
        <v>532</v>
      </c>
      <c r="B22" s="277">
        <v>221163</v>
      </c>
      <c r="C22" s="277">
        <v>791</v>
      </c>
      <c r="D22" s="277">
        <v>168918</v>
      </c>
      <c r="E22" s="277">
        <v>12040</v>
      </c>
    </row>
    <row r="23" spans="1:5" ht="32.1" customHeight="1">
      <c r="A23" s="276" t="s">
        <v>620</v>
      </c>
      <c r="B23" s="277">
        <v>9115</v>
      </c>
      <c r="C23" s="277">
        <v>37</v>
      </c>
      <c r="D23" s="277">
        <v>4411</v>
      </c>
      <c r="E23" s="277">
        <v>58</v>
      </c>
    </row>
    <row r="24" spans="1:5" ht="32.1" customHeight="1">
      <c r="A24" s="276" t="s">
        <v>621</v>
      </c>
      <c r="B24" s="277">
        <v>0</v>
      </c>
      <c r="C24" s="277">
        <v>13</v>
      </c>
      <c r="D24" s="277">
        <v>0</v>
      </c>
      <c r="E24" s="277">
        <v>100</v>
      </c>
    </row>
    <row r="25" spans="1:5" ht="32.1" customHeight="1">
      <c r="A25" s="276" t="s">
        <v>631</v>
      </c>
      <c r="B25" s="277">
        <v>1472</v>
      </c>
      <c r="C25" s="277">
        <v>12</v>
      </c>
      <c r="D25" s="277">
        <v>1423</v>
      </c>
      <c r="E25" s="277">
        <v>19</v>
      </c>
    </row>
    <row r="26" spans="1:5" ht="32.1" customHeight="1">
      <c r="A26" s="276" t="s">
        <v>533</v>
      </c>
      <c r="B26" s="277">
        <v>166990</v>
      </c>
      <c r="C26" s="277">
        <v>704</v>
      </c>
      <c r="D26" s="277">
        <v>142732</v>
      </c>
      <c r="E26" s="277">
        <v>4157</v>
      </c>
    </row>
    <row r="27" spans="1:5" ht="32.1" customHeight="1">
      <c r="A27" s="276" t="s">
        <v>534</v>
      </c>
      <c r="B27" s="277">
        <v>0</v>
      </c>
      <c r="C27" s="277">
        <v>235</v>
      </c>
      <c r="D27" s="277">
        <v>0</v>
      </c>
      <c r="E27" s="277">
        <v>17097</v>
      </c>
    </row>
    <row r="28" spans="1:5" ht="32.1" customHeight="1">
      <c r="A28" s="276" t="s">
        <v>632</v>
      </c>
      <c r="B28" s="277">
        <v>23400</v>
      </c>
      <c r="C28" s="277">
        <v>130</v>
      </c>
      <c r="D28" s="277">
        <v>14297</v>
      </c>
      <c r="E28" s="277">
        <v>124</v>
      </c>
    </row>
    <row r="29" spans="1:5" ht="32.1" customHeight="1">
      <c r="A29" s="276" t="s">
        <v>535</v>
      </c>
      <c r="B29" s="277">
        <v>806012</v>
      </c>
      <c r="C29" s="277">
        <v>3428</v>
      </c>
      <c r="D29" s="277">
        <v>657539</v>
      </c>
      <c r="E29" s="277">
        <v>21044</v>
      </c>
    </row>
    <row r="30" spans="1:5" ht="32.1" customHeight="1">
      <c r="A30" s="276" t="s">
        <v>536</v>
      </c>
      <c r="B30" s="277">
        <v>0</v>
      </c>
      <c r="C30" s="277">
        <v>8</v>
      </c>
      <c r="D30" s="277">
        <v>0</v>
      </c>
      <c r="E30" s="277">
        <v>205</v>
      </c>
    </row>
    <row r="31" spans="1:5" ht="32.1" customHeight="1">
      <c r="A31" s="276" t="s">
        <v>537</v>
      </c>
      <c r="B31" s="277">
        <v>141210</v>
      </c>
      <c r="C31" s="277">
        <v>877</v>
      </c>
      <c r="D31" s="277">
        <v>99939</v>
      </c>
      <c r="E31" s="277">
        <v>1471</v>
      </c>
    </row>
    <row r="32" spans="1:5" ht="32.1" customHeight="1">
      <c r="A32" s="276" t="s">
        <v>633</v>
      </c>
      <c r="B32" s="277">
        <v>576</v>
      </c>
      <c r="C32" s="277">
        <v>4</v>
      </c>
      <c r="D32" s="277">
        <v>259</v>
      </c>
      <c r="E32" s="277">
        <v>5</v>
      </c>
    </row>
    <row r="33" spans="1:5" ht="32.1" customHeight="1">
      <c r="A33" s="276" t="s">
        <v>538</v>
      </c>
      <c r="B33" s="277">
        <v>170119</v>
      </c>
      <c r="C33" s="277">
        <v>1028</v>
      </c>
      <c r="D33" s="277">
        <v>86004</v>
      </c>
      <c r="E33" s="277">
        <v>1967</v>
      </c>
    </row>
    <row r="34" spans="1:5" ht="32.1" customHeight="1">
      <c r="A34" s="276" t="s">
        <v>539</v>
      </c>
      <c r="B34" s="277">
        <v>360912</v>
      </c>
      <c r="C34" s="277">
        <v>1359</v>
      </c>
      <c r="D34" s="277">
        <v>309824</v>
      </c>
      <c r="E34" s="277">
        <v>8899</v>
      </c>
    </row>
    <row r="35" spans="1:5" ht="32.1" customHeight="1">
      <c r="A35" s="276" t="s">
        <v>607</v>
      </c>
      <c r="B35" s="277">
        <v>37156</v>
      </c>
      <c r="C35" s="277">
        <v>204</v>
      </c>
      <c r="D35" s="277">
        <v>27309</v>
      </c>
      <c r="E35" s="277">
        <v>451</v>
      </c>
    </row>
    <row r="36" spans="1:5" ht="32.1" customHeight="1">
      <c r="A36" s="276" t="s">
        <v>541</v>
      </c>
      <c r="B36" s="277">
        <v>153956</v>
      </c>
      <c r="C36" s="277">
        <v>936</v>
      </c>
      <c r="D36" s="277">
        <v>92700</v>
      </c>
      <c r="E36" s="277">
        <v>2034</v>
      </c>
    </row>
    <row r="37" spans="1:5" ht="32.1" customHeight="1">
      <c r="A37" s="276" t="s">
        <v>542</v>
      </c>
      <c r="B37" s="277">
        <v>346075</v>
      </c>
      <c r="C37" s="277">
        <v>2030</v>
      </c>
      <c r="D37" s="277">
        <v>253276</v>
      </c>
      <c r="E37" s="277">
        <v>3243</v>
      </c>
    </row>
    <row r="38" spans="1:5" ht="32.1" customHeight="1">
      <c r="A38" s="276" t="s">
        <v>543</v>
      </c>
      <c r="B38" s="277">
        <v>595128</v>
      </c>
      <c r="C38" s="277">
        <v>3344</v>
      </c>
      <c r="D38" s="277">
        <v>410768</v>
      </c>
      <c r="E38" s="277">
        <v>7180</v>
      </c>
    </row>
    <row r="39" spans="1:5" ht="32.1" customHeight="1">
      <c r="A39" s="276" t="s">
        <v>622</v>
      </c>
      <c r="B39" s="277">
        <v>106530</v>
      </c>
      <c r="C39" s="277">
        <v>613</v>
      </c>
      <c r="D39" s="277">
        <v>84535</v>
      </c>
      <c r="E39" s="277">
        <v>832</v>
      </c>
    </row>
    <row r="40" spans="1:5" ht="32.1" customHeight="1">
      <c r="A40" s="276" t="s">
        <v>545</v>
      </c>
      <c r="B40" s="277">
        <v>104244</v>
      </c>
      <c r="C40" s="277">
        <v>710</v>
      </c>
      <c r="D40" s="277">
        <v>59166</v>
      </c>
      <c r="E40" s="277">
        <v>388</v>
      </c>
    </row>
    <row r="41" spans="1:5" ht="32.1" customHeight="1">
      <c r="A41" s="276" t="s">
        <v>634</v>
      </c>
      <c r="B41" s="277">
        <v>0</v>
      </c>
      <c r="C41" s="277">
        <v>2</v>
      </c>
      <c r="D41" s="277">
        <v>0</v>
      </c>
      <c r="E41" s="277">
        <v>72</v>
      </c>
    </row>
    <row r="42" spans="1:5" ht="32.1" customHeight="1">
      <c r="A42" s="276" t="s">
        <v>548</v>
      </c>
      <c r="B42" s="277">
        <v>994116</v>
      </c>
      <c r="C42" s="277">
        <v>3522</v>
      </c>
      <c r="D42" s="277">
        <v>606485</v>
      </c>
      <c r="E42" s="277">
        <v>28662</v>
      </c>
    </row>
    <row r="43" spans="1:5" ht="32.1" customHeight="1">
      <c r="A43" s="276" t="s">
        <v>549</v>
      </c>
      <c r="B43" s="277">
        <v>0</v>
      </c>
      <c r="C43" s="277">
        <v>2</v>
      </c>
      <c r="D43" s="277">
        <v>0</v>
      </c>
      <c r="E43" s="277">
        <v>34</v>
      </c>
    </row>
    <row r="44" spans="1:5" ht="32.1" customHeight="1">
      <c r="A44" s="276" t="s">
        <v>550</v>
      </c>
      <c r="B44" s="277">
        <v>0</v>
      </c>
      <c r="C44" s="277">
        <v>174</v>
      </c>
      <c r="D44" s="277">
        <v>0</v>
      </c>
      <c r="E44" s="277">
        <v>4440</v>
      </c>
    </row>
    <row r="45" spans="1:5" ht="32.1" customHeight="1">
      <c r="A45" s="276" t="s">
        <v>551</v>
      </c>
      <c r="B45" s="277">
        <v>0</v>
      </c>
      <c r="C45" s="277">
        <v>279</v>
      </c>
      <c r="D45" s="277">
        <v>0</v>
      </c>
      <c r="E45" s="277">
        <v>3992</v>
      </c>
    </row>
    <row r="46" spans="1:5" ht="32.1" customHeight="1">
      <c r="A46" s="276" t="s">
        <v>552</v>
      </c>
      <c r="B46" s="277">
        <v>0</v>
      </c>
      <c r="C46" s="277">
        <v>3</v>
      </c>
      <c r="D46" s="277">
        <v>0</v>
      </c>
      <c r="E46" s="277">
        <v>231</v>
      </c>
    </row>
    <row r="47" spans="1:5" ht="32.1" customHeight="1">
      <c r="A47" s="276" t="s">
        <v>635</v>
      </c>
      <c r="B47" s="277">
        <v>0</v>
      </c>
      <c r="C47" s="277">
        <v>2</v>
      </c>
      <c r="D47" s="277">
        <v>0</v>
      </c>
      <c r="E47" s="277">
        <v>105</v>
      </c>
    </row>
    <row r="48" spans="1:5" ht="32.1" customHeight="1">
      <c r="A48" s="276" t="s">
        <v>553</v>
      </c>
      <c r="B48" s="277">
        <v>0</v>
      </c>
      <c r="C48" s="277">
        <v>2</v>
      </c>
      <c r="D48" s="277">
        <v>0</v>
      </c>
      <c r="E48" s="277">
        <v>68</v>
      </c>
    </row>
    <row r="49" spans="1:5" ht="32.1" customHeight="1">
      <c r="A49" s="276" t="s">
        <v>554</v>
      </c>
      <c r="B49" s="277">
        <v>1932</v>
      </c>
      <c r="C49" s="277">
        <v>12</v>
      </c>
      <c r="D49" s="277">
        <v>1035</v>
      </c>
      <c r="E49" s="277">
        <v>13</v>
      </c>
    </row>
    <row r="50" spans="1:5" ht="32.1" customHeight="1">
      <c r="A50" s="276" t="s">
        <v>555</v>
      </c>
      <c r="B50" s="277">
        <v>0</v>
      </c>
      <c r="C50" s="277">
        <v>328</v>
      </c>
      <c r="D50" s="277">
        <v>0</v>
      </c>
      <c r="E50" s="277">
        <v>2337</v>
      </c>
    </row>
    <row r="51" spans="1:5" ht="32.1" customHeight="1">
      <c r="A51" s="276" t="s">
        <v>556</v>
      </c>
      <c r="B51" s="277">
        <v>337063</v>
      </c>
      <c r="C51" s="277">
        <v>765</v>
      </c>
      <c r="D51" s="277">
        <v>279020</v>
      </c>
      <c r="E51" s="277">
        <v>13927</v>
      </c>
    </row>
    <row r="52" spans="1:5" ht="32.1" customHeight="1">
      <c r="A52" s="276" t="s">
        <v>557</v>
      </c>
      <c r="B52" s="277">
        <v>312216</v>
      </c>
      <c r="C52" s="277">
        <v>1188</v>
      </c>
      <c r="D52" s="277">
        <v>256290</v>
      </c>
      <c r="E52" s="277">
        <v>13157</v>
      </c>
    </row>
    <row r="53" spans="1:5" ht="32.1" customHeight="1">
      <c r="A53" s="276" t="s">
        <v>558</v>
      </c>
      <c r="B53" s="277">
        <v>0</v>
      </c>
      <c r="C53" s="277">
        <v>26</v>
      </c>
      <c r="D53" s="277">
        <v>0</v>
      </c>
      <c r="E53" s="277">
        <v>569</v>
      </c>
    </row>
    <row r="54" spans="1:5" ht="32.1" customHeight="1">
      <c r="A54" s="276" t="s">
        <v>609</v>
      </c>
      <c r="B54" s="277">
        <v>0</v>
      </c>
      <c r="C54" s="277">
        <v>604</v>
      </c>
      <c r="D54" s="277">
        <v>0</v>
      </c>
      <c r="E54" s="277">
        <v>15888</v>
      </c>
    </row>
    <row r="55" spans="1:5" ht="32.1" customHeight="1">
      <c r="A55" s="276" t="s">
        <v>559</v>
      </c>
      <c r="B55" s="277">
        <v>116748</v>
      </c>
      <c r="C55" s="277">
        <v>780</v>
      </c>
      <c r="D55" s="277">
        <v>89056</v>
      </c>
      <c r="E55" s="277">
        <v>1973</v>
      </c>
    </row>
    <row r="56" spans="1:5" ht="32.1" customHeight="1">
      <c r="A56" s="276" t="s">
        <v>560</v>
      </c>
      <c r="B56" s="277">
        <v>0</v>
      </c>
      <c r="C56" s="277">
        <v>182</v>
      </c>
      <c r="D56" s="277">
        <v>0</v>
      </c>
      <c r="E56" s="277">
        <v>3608</v>
      </c>
    </row>
    <row r="57" spans="1:5" ht="32.1" customHeight="1">
      <c r="A57" s="276" t="s">
        <v>636</v>
      </c>
      <c r="B57" s="277">
        <v>11060</v>
      </c>
      <c r="C57" s="277">
        <v>72</v>
      </c>
      <c r="D57" s="277">
        <v>6345</v>
      </c>
      <c r="E57" s="277">
        <v>162</v>
      </c>
    </row>
    <row r="58" spans="1:5" ht="32.1" customHeight="1">
      <c r="A58" s="276" t="s">
        <v>562</v>
      </c>
      <c r="B58" s="277">
        <v>39084</v>
      </c>
      <c r="C58" s="277">
        <v>210</v>
      </c>
      <c r="D58" s="277">
        <v>23654</v>
      </c>
      <c r="E58" s="277">
        <v>848</v>
      </c>
    </row>
    <row r="59" spans="1:5" ht="32.1" customHeight="1">
      <c r="A59" s="276" t="s">
        <v>637</v>
      </c>
      <c r="B59" s="277">
        <v>11520</v>
      </c>
      <c r="C59" s="277">
        <v>64</v>
      </c>
      <c r="D59" s="277">
        <v>5005</v>
      </c>
      <c r="E59" s="277">
        <v>33</v>
      </c>
    </row>
    <row r="60" spans="1:5" ht="32.1" customHeight="1">
      <c r="A60" s="276" t="s">
        <v>610</v>
      </c>
      <c r="B60" s="277">
        <v>275587</v>
      </c>
      <c r="C60" s="277">
        <v>731</v>
      </c>
      <c r="D60" s="277">
        <v>229035</v>
      </c>
      <c r="E60" s="277">
        <v>7639</v>
      </c>
    </row>
    <row r="61" spans="1:5" ht="32.1" customHeight="1">
      <c r="A61" s="276" t="s">
        <v>611</v>
      </c>
      <c r="B61" s="277">
        <v>0</v>
      </c>
      <c r="C61" s="277">
        <v>1211</v>
      </c>
      <c r="D61" s="277">
        <v>0</v>
      </c>
      <c r="E61" s="277">
        <v>39077</v>
      </c>
    </row>
    <row r="62" spans="1:5" ht="32.1" customHeight="1">
      <c r="A62" s="276" t="s">
        <v>563</v>
      </c>
      <c r="B62" s="277">
        <v>56364</v>
      </c>
      <c r="C62" s="277">
        <v>210</v>
      </c>
      <c r="D62" s="277">
        <v>42759</v>
      </c>
      <c r="E62" s="277">
        <v>1668</v>
      </c>
    </row>
    <row r="63" spans="1:5" ht="32.1" customHeight="1">
      <c r="A63" s="276" t="s">
        <v>564</v>
      </c>
      <c r="B63" s="277">
        <v>152701</v>
      </c>
      <c r="C63" s="277">
        <v>722</v>
      </c>
      <c r="D63" s="277">
        <v>140354</v>
      </c>
      <c r="E63" s="277">
        <v>6328</v>
      </c>
    </row>
    <row r="64" spans="1:5" ht="32.1" customHeight="1">
      <c r="A64" s="276" t="s">
        <v>565</v>
      </c>
      <c r="B64" s="277">
        <v>0</v>
      </c>
      <c r="C64" s="277">
        <v>620</v>
      </c>
      <c r="D64" s="277">
        <v>0</v>
      </c>
      <c r="E64" s="277">
        <v>21574</v>
      </c>
    </row>
    <row r="65" spans="1:5" ht="32.1" customHeight="1">
      <c r="A65" s="276" t="s">
        <v>612</v>
      </c>
      <c r="B65" s="277">
        <v>169195</v>
      </c>
      <c r="C65" s="277">
        <v>728</v>
      </c>
      <c r="D65" s="277">
        <v>116947</v>
      </c>
      <c r="E65" s="277">
        <v>9890</v>
      </c>
    </row>
    <row r="66" spans="1:5" ht="32.1" customHeight="1">
      <c r="A66" s="276" t="s">
        <v>638</v>
      </c>
      <c r="B66" s="277">
        <v>11000</v>
      </c>
      <c r="C66" s="277">
        <v>50</v>
      </c>
      <c r="D66" s="277">
        <v>8490</v>
      </c>
      <c r="E66" s="277">
        <v>568</v>
      </c>
    </row>
    <row r="67" spans="1:5" ht="32.1" customHeight="1">
      <c r="A67" s="276" t="s">
        <v>567</v>
      </c>
      <c r="B67" s="277">
        <v>45990</v>
      </c>
      <c r="C67" s="277">
        <v>627</v>
      </c>
      <c r="D67" s="277">
        <v>29038</v>
      </c>
      <c r="E67" s="277">
        <v>1937</v>
      </c>
    </row>
    <row r="68" spans="1:5" ht="32.1" customHeight="1">
      <c r="A68" s="276" t="s">
        <v>613</v>
      </c>
      <c r="B68" s="277">
        <v>4070</v>
      </c>
      <c r="C68" s="277">
        <v>8</v>
      </c>
      <c r="D68" s="277">
        <v>3907</v>
      </c>
      <c r="E68" s="277">
        <v>105</v>
      </c>
    </row>
    <row r="69" spans="1:5" ht="32.1" customHeight="1">
      <c r="A69" s="276" t="s">
        <v>568</v>
      </c>
      <c r="B69" s="277">
        <v>38968</v>
      </c>
      <c r="C69" s="277">
        <v>176</v>
      </c>
      <c r="D69" s="277">
        <v>27742</v>
      </c>
      <c r="E69" s="277">
        <v>967</v>
      </c>
    </row>
    <row r="70" spans="1:5" ht="32.1" customHeight="1">
      <c r="A70" s="276" t="s">
        <v>639</v>
      </c>
      <c r="B70" s="277">
        <v>8745</v>
      </c>
      <c r="C70" s="277">
        <v>53</v>
      </c>
      <c r="D70" s="277">
        <v>6005</v>
      </c>
      <c r="E70" s="277">
        <v>80</v>
      </c>
    </row>
    <row r="71" spans="1:5" ht="32.1" customHeight="1">
      <c r="A71" s="276" t="s">
        <v>569</v>
      </c>
      <c r="B71" s="277">
        <v>0</v>
      </c>
      <c r="C71" s="277">
        <v>275</v>
      </c>
      <c r="D71" s="277">
        <v>0</v>
      </c>
      <c r="E71" s="277">
        <v>22246</v>
      </c>
    </row>
    <row r="72" spans="1:5" ht="32.1" customHeight="1">
      <c r="A72" s="276" t="s">
        <v>570</v>
      </c>
      <c r="B72" s="277">
        <v>460391</v>
      </c>
      <c r="C72" s="277">
        <v>1420</v>
      </c>
      <c r="D72" s="277">
        <v>376450</v>
      </c>
      <c r="E72" s="277">
        <v>14096</v>
      </c>
    </row>
    <row r="73" spans="1:5" ht="32.1" customHeight="1">
      <c r="A73" s="276" t="s">
        <v>571</v>
      </c>
      <c r="B73" s="277">
        <v>1140</v>
      </c>
      <c r="C73" s="277">
        <v>8</v>
      </c>
      <c r="D73" s="277">
        <v>949</v>
      </c>
      <c r="E73" s="277">
        <v>15</v>
      </c>
    </row>
    <row r="74" spans="1:5" ht="32.1" customHeight="1">
      <c r="A74" s="276" t="s">
        <v>572</v>
      </c>
      <c r="B74" s="277">
        <v>0</v>
      </c>
      <c r="C74" s="277">
        <v>3449</v>
      </c>
      <c r="D74" s="277">
        <v>0</v>
      </c>
      <c r="E74" s="277">
        <v>53431</v>
      </c>
    </row>
    <row r="75" spans="1:5" ht="32.1" customHeight="1">
      <c r="A75" s="276" t="s">
        <v>614</v>
      </c>
      <c r="B75" s="277">
        <v>84116</v>
      </c>
      <c r="C75" s="277">
        <v>294</v>
      </c>
      <c r="D75" s="277">
        <v>47896</v>
      </c>
      <c r="E75" s="277">
        <v>1203</v>
      </c>
    </row>
    <row r="76" spans="1:5" ht="32.1" customHeight="1">
      <c r="A76" s="276" t="s">
        <v>575</v>
      </c>
      <c r="B76" s="277">
        <v>1353972</v>
      </c>
      <c r="C76" s="277">
        <v>6579</v>
      </c>
      <c r="D76" s="277">
        <v>1111703</v>
      </c>
      <c r="E76" s="277">
        <v>27647</v>
      </c>
    </row>
    <row r="77" spans="1:5" ht="32.1" customHeight="1">
      <c r="A77" s="276" t="s">
        <v>576</v>
      </c>
      <c r="B77" s="277">
        <v>0</v>
      </c>
      <c r="C77" s="277">
        <v>282</v>
      </c>
      <c r="D77" s="277">
        <v>0</v>
      </c>
      <c r="E77" s="277">
        <v>9650</v>
      </c>
    </row>
    <row r="78" spans="1:5" ht="32.1" customHeight="1">
      <c r="A78" s="276" t="s">
        <v>577</v>
      </c>
      <c r="B78" s="277">
        <v>1022722</v>
      </c>
      <c r="C78" s="277">
        <v>4391</v>
      </c>
      <c r="D78" s="277">
        <v>803712</v>
      </c>
      <c r="E78" s="277">
        <v>14586</v>
      </c>
    </row>
    <row r="79" spans="1:5" ht="32.1" customHeight="1">
      <c r="A79" s="276" t="s">
        <v>579</v>
      </c>
      <c r="B79" s="277">
        <v>1271506</v>
      </c>
      <c r="C79" s="277">
        <v>7486</v>
      </c>
      <c r="D79" s="277">
        <v>957775</v>
      </c>
      <c r="E79" s="277">
        <v>21819</v>
      </c>
    </row>
    <row r="80" spans="1:5" ht="32.1" customHeight="1">
      <c r="A80" s="276" t="s">
        <v>580</v>
      </c>
      <c r="B80" s="277">
        <v>1921888</v>
      </c>
      <c r="C80" s="277">
        <v>11468</v>
      </c>
      <c r="D80" s="277">
        <v>1426509</v>
      </c>
      <c r="E80" s="277">
        <v>30430</v>
      </c>
    </row>
    <row r="81" spans="1:5" ht="32.1" customHeight="1">
      <c r="A81" s="276" t="s">
        <v>581</v>
      </c>
      <c r="B81" s="277">
        <v>1969297</v>
      </c>
      <c r="C81" s="277">
        <v>11298</v>
      </c>
      <c r="D81" s="277">
        <v>1406596</v>
      </c>
      <c r="E81" s="277">
        <v>31081</v>
      </c>
    </row>
    <row r="82" spans="1:5" ht="32.1" customHeight="1">
      <c r="A82" s="276" t="s">
        <v>582</v>
      </c>
      <c r="B82" s="277">
        <v>122668</v>
      </c>
      <c r="C82" s="277">
        <v>732</v>
      </c>
      <c r="D82" s="277">
        <v>95895</v>
      </c>
      <c r="E82" s="277">
        <v>2135</v>
      </c>
    </row>
    <row r="83" spans="1:5" ht="32.1" customHeight="1">
      <c r="A83" s="276" t="s">
        <v>583</v>
      </c>
      <c r="B83" s="277">
        <v>0</v>
      </c>
      <c r="C83" s="277">
        <v>482</v>
      </c>
      <c r="D83" s="277">
        <v>0</v>
      </c>
      <c r="E83" s="277">
        <v>3913</v>
      </c>
    </row>
    <row r="84" spans="1:5" ht="32.1" customHeight="1">
      <c r="A84" s="276" t="s">
        <v>584</v>
      </c>
      <c r="B84" s="277">
        <v>63536</v>
      </c>
      <c r="C84" s="277">
        <v>386</v>
      </c>
      <c r="D84" s="277">
        <v>46124</v>
      </c>
      <c r="E84" s="277">
        <v>1187</v>
      </c>
    </row>
    <row r="85" spans="1:5" ht="32.1" customHeight="1">
      <c r="A85" s="276" t="s">
        <v>585</v>
      </c>
      <c r="B85" s="277">
        <v>0</v>
      </c>
      <c r="C85" s="277">
        <v>600</v>
      </c>
      <c r="D85" s="277">
        <v>0</v>
      </c>
      <c r="E85" s="277">
        <v>35143</v>
      </c>
    </row>
    <row r="86" spans="1:5" ht="32.1" customHeight="1">
      <c r="A86" s="276" t="s">
        <v>586</v>
      </c>
      <c r="B86" s="277">
        <v>382534</v>
      </c>
      <c r="C86" s="277">
        <v>1582</v>
      </c>
      <c r="D86" s="277">
        <v>286531</v>
      </c>
      <c r="E86" s="277">
        <v>11509</v>
      </c>
    </row>
    <row r="87" spans="1:5" ht="32.1" customHeight="1">
      <c r="A87" s="276" t="s">
        <v>640</v>
      </c>
      <c r="B87" s="277">
        <v>9000</v>
      </c>
      <c r="C87" s="277">
        <v>57</v>
      </c>
      <c r="D87" s="277">
        <v>5973</v>
      </c>
      <c r="E87" s="277">
        <v>51</v>
      </c>
    </row>
    <row r="88" spans="1:5" ht="32.1" customHeight="1">
      <c r="A88" s="276" t="s">
        <v>587</v>
      </c>
      <c r="B88" s="277">
        <v>0</v>
      </c>
      <c r="C88" s="277">
        <v>300</v>
      </c>
      <c r="D88" s="277">
        <v>0</v>
      </c>
      <c r="E88" s="277">
        <v>12442</v>
      </c>
    </row>
    <row r="89" spans="1:5" ht="32.1" customHeight="1">
      <c r="A89" s="276" t="s">
        <v>588</v>
      </c>
      <c r="B89" s="277">
        <v>198419</v>
      </c>
      <c r="C89" s="277">
        <v>864</v>
      </c>
      <c r="D89" s="277">
        <v>167534</v>
      </c>
      <c r="E89" s="277">
        <v>18734</v>
      </c>
    </row>
    <row r="90" spans="1:5" ht="32.1" customHeight="1">
      <c r="A90" s="276" t="s">
        <v>589</v>
      </c>
      <c r="B90" s="277">
        <v>0</v>
      </c>
      <c r="C90" s="277">
        <v>4</v>
      </c>
      <c r="D90" s="277">
        <v>0</v>
      </c>
      <c r="E90" s="277">
        <v>0</v>
      </c>
    </row>
    <row r="91" spans="1:5" ht="32.1" customHeight="1">
      <c r="A91" s="276" t="s">
        <v>590</v>
      </c>
      <c r="B91" s="277">
        <v>1295237</v>
      </c>
      <c r="C91" s="277">
        <v>4332</v>
      </c>
      <c r="D91" s="277">
        <v>1046374</v>
      </c>
      <c r="E91" s="277">
        <v>49844</v>
      </c>
    </row>
    <row r="92" spans="1:5" ht="32.1" customHeight="1">
      <c r="A92" s="276" t="s">
        <v>591</v>
      </c>
      <c r="B92" s="277">
        <v>159942</v>
      </c>
      <c r="C92" s="277">
        <v>945</v>
      </c>
      <c r="D92" s="277">
        <v>121113</v>
      </c>
      <c r="E92" s="277">
        <v>1759</v>
      </c>
    </row>
    <row r="93" spans="1:5" ht="32.1" customHeight="1">
      <c r="A93" s="276" t="s">
        <v>592</v>
      </c>
      <c r="B93" s="277">
        <v>1428282</v>
      </c>
      <c r="C93" s="277">
        <v>4224</v>
      </c>
      <c r="D93" s="277">
        <v>931916</v>
      </c>
      <c r="E93" s="277">
        <v>38515</v>
      </c>
    </row>
    <row r="94" spans="1:5" ht="32.1" customHeight="1">
      <c r="A94" s="276" t="s">
        <v>593</v>
      </c>
      <c r="B94" s="277">
        <v>206808</v>
      </c>
      <c r="C94" s="277">
        <v>826</v>
      </c>
      <c r="D94" s="277">
        <v>174983</v>
      </c>
      <c r="E94" s="277">
        <v>13168</v>
      </c>
    </row>
    <row r="95" spans="1:5" ht="32.1" customHeight="1">
      <c r="A95" s="276" t="s">
        <v>627</v>
      </c>
      <c r="B95" s="277">
        <v>36256</v>
      </c>
      <c r="C95" s="277">
        <v>206</v>
      </c>
      <c r="D95" s="277">
        <v>33710</v>
      </c>
      <c r="E95" s="277">
        <v>349</v>
      </c>
    </row>
    <row r="96" spans="1:5" ht="32.1" customHeight="1">
      <c r="A96" s="276" t="s">
        <v>595</v>
      </c>
      <c r="B96" s="277">
        <v>0</v>
      </c>
      <c r="C96" s="277">
        <v>2503</v>
      </c>
      <c r="D96" s="277">
        <v>0</v>
      </c>
      <c r="E96" s="277">
        <v>49635</v>
      </c>
    </row>
    <row r="97" spans="1:5" ht="32.1" customHeight="1">
      <c r="A97" s="276" t="s">
        <v>596</v>
      </c>
      <c r="B97" s="277">
        <v>0</v>
      </c>
      <c r="C97" s="277">
        <v>2283</v>
      </c>
      <c r="D97" s="277">
        <v>0</v>
      </c>
      <c r="E97" s="277">
        <v>53473</v>
      </c>
    </row>
    <row r="98" spans="1:5" ht="32.1" customHeight="1">
      <c r="A98" s="276" t="s">
        <v>597</v>
      </c>
      <c r="B98" s="277">
        <v>0</v>
      </c>
      <c r="C98" s="277">
        <v>2</v>
      </c>
      <c r="D98" s="277">
        <v>0</v>
      </c>
      <c r="E98" s="277">
        <v>79</v>
      </c>
    </row>
    <row r="99" spans="1:5" ht="32.1" customHeight="1">
      <c r="A99" s="276" t="s">
        <v>598</v>
      </c>
      <c r="B99" s="277">
        <v>218822</v>
      </c>
      <c r="C99" s="277">
        <v>888</v>
      </c>
      <c r="D99" s="277">
        <v>175741</v>
      </c>
      <c r="E99" s="277">
        <v>19367</v>
      </c>
    </row>
    <row r="100" spans="1:5" ht="32.1" customHeight="1">
      <c r="A100" s="276" t="s">
        <v>641</v>
      </c>
      <c r="B100" s="277">
        <v>23704</v>
      </c>
      <c r="C100" s="277">
        <v>107</v>
      </c>
      <c r="D100" s="277">
        <v>18776</v>
      </c>
      <c r="E100" s="277">
        <v>277</v>
      </c>
    </row>
    <row r="101" spans="1:5" ht="32.1" customHeight="1">
      <c r="A101" s="276" t="s">
        <v>642</v>
      </c>
      <c r="B101" s="277">
        <v>221400</v>
      </c>
      <c r="C101" s="277">
        <v>1230</v>
      </c>
      <c r="D101" s="277">
        <v>170163</v>
      </c>
      <c r="E101" s="277">
        <v>1034</v>
      </c>
    </row>
    <row r="102" spans="1:5" ht="32.1" customHeight="1">
      <c r="A102" s="276" t="s">
        <v>599</v>
      </c>
      <c r="B102" s="277">
        <v>160036</v>
      </c>
      <c r="C102" s="277">
        <v>586</v>
      </c>
      <c r="D102" s="277">
        <v>123137</v>
      </c>
      <c r="E102" s="277">
        <v>9240</v>
      </c>
    </row>
    <row r="103" spans="1:5" ht="32.1" customHeight="1">
      <c r="A103" s="276" t="s">
        <v>600</v>
      </c>
      <c r="B103" s="277">
        <v>361616</v>
      </c>
      <c r="C103" s="277">
        <v>2028</v>
      </c>
      <c r="D103" s="277">
        <v>292884</v>
      </c>
      <c r="E103" s="277">
        <v>3215</v>
      </c>
    </row>
    <row r="104" spans="1:5" ht="32.1" customHeight="1">
      <c r="A104" s="276" t="s">
        <v>601</v>
      </c>
      <c r="B104" s="277">
        <v>738656</v>
      </c>
      <c r="C104" s="277">
        <v>3078</v>
      </c>
      <c r="D104" s="277">
        <v>540767</v>
      </c>
      <c r="E104" s="277">
        <v>14495</v>
      </c>
    </row>
    <row r="105" spans="1:5" ht="32.1" customHeight="1">
      <c r="A105" s="276" t="s">
        <v>628</v>
      </c>
      <c r="B105" s="277">
        <v>146916</v>
      </c>
      <c r="C105" s="277">
        <v>566</v>
      </c>
      <c r="D105" s="277">
        <v>107842</v>
      </c>
      <c r="E105" s="277">
        <v>3463</v>
      </c>
    </row>
    <row r="106" spans="1:5" ht="32.1" customHeight="1">
      <c r="A106" s="276" t="s">
        <v>602</v>
      </c>
      <c r="B106" s="277">
        <v>49124</v>
      </c>
      <c r="C106" s="277">
        <v>300</v>
      </c>
      <c r="D106" s="277">
        <v>35668</v>
      </c>
      <c r="E106" s="277">
        <v>413</v>
      </c>
    </row>
    <row r="107" spans="1:5" ht="32.1" customHeight="1">
      <c r="A107" s="276" t="s">
        <v>643</v>
      </c>
      <c r="B107" s="277">
        <v>576</v>
      </c>
      <c r="C107" s="277">
        <v>2</v>
      </c>
      <c r="D107" s="277">
        <v>320</v>
      </c>
      <c r="E107" s="277">
        <v>2</v>
      </c>
    </row>
    <row r="108" spans="1:5" ht="32.1" customHeight="1">
      <c r="A108" s="276" t="s">
        <v>616</v>
      </c>
      <c r="B108" s="277">
        <v>297</v>
      </c>
      <c r="C108" s="277">
        <v>1</v>
      </c>
      <c r="D108" s="277">
        <v>195</v>
      </c>
      <c r="E108" s="277">
        <v>4</v>
      </c>
    </row>
    <row r="109" spans="1:5" ht="32.1" customHeight="1">
      <c r="A109" s="276" t="s">
        <v>603</v>
      </c>
      <c r="B109" s="277">
        <v>26568</v>
      </c>
      <c r="C109" s="277">
        <v>172</v>
      </c>
      <c r="D109" s="277">
        <v>23945</v>
      </c>
      <c r="E109" s="277">
        <v>238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93BA-A2F7-4754-8B0F-28968FAD761D}">
  <dimension ref="A1:E119"/>
  <sheetViews>
    <sheetView workbookViewId="0">
      <selection sqref="A1:E1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644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97015350</v>
      </c>
      <c r="C3" s="277">
        <v>500739</v>
      </c>
      <c r="D3" s="277">
        <v>73965044</v>
      </c>
      <c r="E3" s="277">
        <v>3498947</v>
      </c>
    </row>
    <row r="4" spans="1:5" ht="32.1" customHeight="1">
      <c r="A4" s="276" t="s">
        <v>511</v>
      </c>
      <c r="B4" s="277">
        <v>73317719</v>
      </c>
      <c r="C4" s="277">
        <v>375144</v>
      </c>
      <c r="D4" s="277">
        <v>56145585</v>
      </c>
      <c r="E4" s="277">
        <v>2569156</v>
      </c>
    </row>
    <row r="5" spans="1:5" ht="32.1" customHeight="1">
      <c r="A5" s="276" t="s">
        <v>512</v>
      </c>
      <c r="B5" s="277">
        <v>32749187</v>
      </c>
      <c r="C5" s="277">
        <v>156246</v>
      </c>
      <c r="D5" s="277">
        <v>23782373</v>
      </c>
      <c r="E5" s="277">
        <v>1557667</v>
      </c>
    </row>
    <row r="6" spans="1:5" ht="32.1" customHeight="1">
      <c r="A6" s="276" t="s">
        <v>513</v>
      </c>
      <c r="B6" s="277">
        <v>21781892</v>
      </c>
      <c r="C6" s="277">
        <v>111638</v>
      </c>
      <c r="D6" s="277">
        <v>16474697</v>
      </c>
      <c r="E6" s="277">
        <v>891655</v>
      </c>
    </row>
    <row r="7" spans="1:5" ht="32.1" customHeight="1">
      <c r="A7" s="276" t="s">
        <v>514</v>
      </c>
      <c r="B7" s="277">
        <v>5355228</v>
      </c>
      <c r="C7" s="277">
        <v>28559</v>
      </c>
      <c r="D7" s="277">
        <v>4654562</v>
      </c>
      <c r="E7" s="277">
        <v>38605</v>
      </c>
    </row>
    <row r="8" spans="1:5" ht="32.1" customHeight="1">
      <c r="A8" s="276" t="s">
        <v>515</v>
      </c>
      <c r="B8" s="277">
        <v>3353676</v>
      </c>
      <c r="C8" s="277">
        <v>18005</v>
      </c>
      <c r="D8" s="277">
        <v>2799075</v>
      </c>
      <c r="E8" s="277">
        <v>20476</v>
      </c>
    </row>
    <row r="9" spans="1:5" ht="32.1" customHeight="1">
      <c r="A9" s="276" t="s">
        <v>516</v>
      </c>
      <c r="B9" s="277">
        <v>4405466</v>
      </c>
      <c r="C9" s="277">
        <v>26996</v>
      </c>
      <c r="D9" s="277">
        <v>3380160</v>
      </c>
      <c r="E9" s="277">
        <v>26474</v>
      </c>
    </row>
    <row r="10" spans="1:5" ht="32.1" customHeight="1">
      <c r="A10" s="276" t="s">
        <v>517</v>
      </c>
      <c r="B10" s="277">
        <v>3131987</v>
      </c>
      <c r="C10" s="277">
        <v>19795</v>
      </c>
      <c r="D10" s="277">
        <v>2785612</v>
      </c>
      <c r="E10" s="277">
        <v>18432</v>
      </c>
    </row>
    <row r="11" spans="1:5" ht="32.1" customHeight="1">
      <c r="A11" s="276" t="s">
        <v>605</v>
      </c>
      <c r="B11" s="277">
        <v>2540283</v>
      </c>
      <c r="C11" s="277">
        <v>13489</v>
      </c>
      <c r="D11" s="277">
        <v>2269106</v>
      </c>
      <c r="E11" s="277">
        <v>12940</v>
      </c>
    </row>
    <row r="12" spans="1:5" ht="32.1" customHeight="1">
      <c r="A12" s="276" t="s">
        <v>645</v>
      </c>
      <c r="B12" s="277">
        <v>0</v>
      </c>
      <c r="C12" s="277">
        <v>416</v>
      </c>
      <c r="D12" s="277">
        <v>0</v>
      </c>
      <c r="E12" s="277">
        <v>2908</v>
      </c>
    </row>
    <row r="13" spans="1:5" ht="32.1" customHeight="1">
      <c r="A13" s="276" t="s">
        <v>518</v>
      </c>
      <c r="B13" s="277">
        <v>23697631</v>
      </c>
      <c r="C13" s="277">
        <v>125595</v>
      </c>
      <c r="D13" s="277">
        <v>17819459</v>
      </c>
      <c r="E13" s="277">
        <v>929791</v>
      </c>
    </row>
    <row r="14" spans="1:5" ht="32.1" customHeight="1">
      <c r="A14" s="276" t="s">
        <v>646</v>
      </c>
      <c r="B14" s="277">
        <v>0</v>
      </c>
      <c r="C14" s="277">
        <v>1</v>
      </c>
      <c r="D14" s="277">
        <v>0</v>
      </c>
      <c r="E14" s="277">
        <v>25</v>
      </c>
    </row>
    <row r="15" spans="1:5" ht="32.1" customHeight="1">
      <c r="A15" s="276" t="s">
        <v>630</v>
      </c>
      <c r="B15" s="277">
        <v>11826</v>
      </c>
      <c r="C15" s="277">
        <v>82</v>
      </c>
      <c r="D15" s="277">
        <v>8991</v>
      </c>
      <c r="E15" s="277">
        <v>125</v>
      </c>
    </row>
    <row r="16" spans="1:5" ht="32.1" customHeight="1">
      <c r="A16" s="276" t="s">
        <v>521</v>
      </c>
      <c r="B16" s="277">
        <v>337432</v>
      </c>
      <c r="C16" s="277">
        <v>1310</v>
      </c>
      <c r="D16" s="277">
        <v>237062</v>
      </c>
      <c r="E16" s="277">
        <v>12345</v>
      </c>
    </row>
    <row r="17" spans="1:5" ht="32.1" customHeight="1">
      <c r="A17" s="276" t="s">
        <v>524</v>
      </c>
      <c r="B17" s="277">
        <v>202368</v>
      </c>
      <c r="C17" s="277">
        <v>721</v>
      </c>
      <c r="D17" s="277">
        <v>175549</v>
      </c>
      <c r="E17" s="277">
        <v>27075</v>
      </c>
    </row>
    <row r="18" spans="1:5" ht="32.1" customHeight="1">
      <c r="A18" s="276" t="s">
        <v>647</v>
      </c>
      <c r="B18" s="277">
        <v>7630</v>
      </c>
      <c r="C18" s="277">
        <v>35</v>
      </c>
      <c r="D18" s="277">
        <v>4529</v>
      </c>
      <c r="E18" s="277">
        <v>56</v>
      </c>
    </row>
    <row r="19" spans="1:5" ht="32.1" customHeight="1">
      <c r="A19" s="276" t="s">
        <v>526</v>
      </c>
      <c r="B19" s="277">
        <v>280927</v>
      </c>
      <c r="C19" s="277">
        <v>1018</v>
      </c>
      <c r="D19" s="277">
        <v>240276</v>
      </c>
      <c r="E19" s="277">
        <v>11708</v>
      </c>
    </row>
    <row r="20" spans="1:5" ht="32.1" customHeight="1">
      <c r="A20" s="276" t="s">
        <v>648</v>
      </c>
      <c r="B20" s="277">
        <v>63620</v>
      </c>
      <c r="C20" s="277">
        <v>446</v>
      </c>
      <c r="D20" s="277">
        <v>38631</v>
      </c>
      <c r="E20" s="277">
        <v>548</v>
      </c>
    </row>
    <row r="21" spans="1:5" ht="32.1" customHeight="1">
      <c r="A21" s="276" t="s">
        <v>528</v>
      </c>
      <c r="B21" s="277">
        <v>192290</v>
      </c>
      <c r="C21" s="277">
        <v>610</v>
      </c>
      <c r="D21" s="277">
        <v>149496</v>
      </c>
      <c r="E21" s="277">
        <v>5459</v>
      </c>
    </row>
    <row r="22" spans="1:5" ht="32.1" customHeight="1">
      <c r="A22" s="276" t="s">
        <v>649</v>
      </c>
      <c r="B22" s="277">
        <v>0</v>
      </c>
      <c r="C22" s="277">
        <v>9</v>
      </c>
      <c r="D22" s="277">
        <v>0</v>
      </c>
      <c r="E22" s="277">
        <v>105</v>
      </c>
    </row>
    <row r="23" spans="1:5" ht="32.1" customHeight="1">
      <c r="A23" s="276" t="s">
        <v>529</v>
      </c>
      <c r="B23" s="277">
        <v>498923</v>
      </c>
      <c r="C23" s="277">
        <v>2336</v>
      </c>
      <c r="D23" s="277">
        <v>284222</v>
      </c>
      <c r="E23" s="277">
        <v>18732</v>
      </c>
    </row>
    <row r="24" spans="1:5" ht="32.1" customHeight="1">
      <c r="A24" s="276" t="s">
        <v>530</v>
      </c>
      <c r="B24" s="277">
        <v>0</v>
      </c>
      <c r="C24" s="277">
        <v>584</v>
      </c>
      <c r="D24" s="277">
        <v>0</v>
      </c>
      <c r="E24" s="277">
        <v>14316</v>
      </c>
    </row>
    <row r="25" spans="1:5" ht="32.1" customHeight="1">
      <c r="A25" s="276" t="s">
        <v>531</v>
      </c>
      <c r="B25" s="277">
        <v>58484</v>
      </c>
      <c r="C25" s="277">
        <v>564</v>
      </c>
      <c r="D25" s="277">
        <v>45821</v>
      </c>
      <c r="E25" s="277">
        <v>682</v>
      </c>
    </row>
    <row r="26" spans="1:5" ht="32.1" customHeight="1">
      <c r="A26" s="276" t="s">
        <v>532</v>
      </c>
      <c r="B26" s="277">
        <v>207014</v>
      </c>
      <c r="C26" s="277">
        <v>730</v>
      </c>
      <c r="D26" s="277">
        <v>180946</v>
      </c>
      <c r="E26" s="277">
        <v>13097</v>
      </c>
    </row>
    <row r="27" spans="1:5" ht="32.1" customHeight="1">
      <c r="A27" s="276" t="s">
        <v>620</v>
      </c>
      <c r="B27" s="277">
        <v>741</v>
      </c>
      <c r="C27" s="277">
        <v>3</v>
      </c>
      <c r="D27" s="277">
        <v>191</v>
      </c>
      <c r="E27" s="277">
        <v>2</v>
      </c>
    </row>
    <row r="28" spans="1:5" ht="32.1" customHeight="1">
      <c r="A28" s="276" t="s">
        <v>650</v>
      </c>
      <c r="B28" s="277">
        <v>0</v>
      </c>
      <c r="C28" s="277">
        <v>2</v>
      </c>
      <c r="D28" s="277">
        <v>0</v>
      </c>
      <c r="E28" s="277">
        <v>11</v>
      </c>
    </row>
    <row r="29" spans="1:5" ht="32.1" customHeight="1">
      <c r="A29" s="276" t="s">
        <v>631</v>
      </c>
      <c r="B29" s="277">
        <v>4132</v>
      </c>
      <c r="C29" s="277">
        <v>34</v>
      </c>
      <c r="D29" s="277">
        <v>3881</v>
      </c>
      <c r="E29" s="277">
        <v>49</v>
      </c>
    </row>
    <row r="30" spans="1:5" ht="32.1" customHeight="1">
      <c r="A30" s="276" t="s">
        <v>533</v>
      </c>
      <c r="B30" s="277">
        <v>160602</v>
      </c>
      <c r="C30" s="277">
        <v>687</v>
      </c>
      <c r="D30" s="277">
        <v>133236</v>
      </c>
      <c r="E30" s="277">
        <v>4078</v>
      </c>
    </row>
    <row r="31" spans="1:5" ht="32.1" customHeight="1">
      <c r="A31" s="276" t="s">
        <v>534</v>
      </c>
      <c r="B31" s="277">
        <v>0</v>
      </c>
      <c r="C31" s="277">
        <v>143</v>
      </c>
      <c r="D31" s="277">
        <v>0</v>
      </c>
      <c r="E31" s="277">
        <v>11198</v>
      </c>
    </row>
    <row r="32" spans="1:5" ht="32.1" customHeight="1">
      <c r="A32" s="276" t="s">
        <v>632</v>
      </c>
      <c r="B32" s="277">
        <v>188640</v>
      </c>
      <c r="C32" s="277">
        <v>1048</v>
      </c>
      <c r="D32" s="277">
        <v>120119</v>
      </c>
      <c r="E32" s="277">
        <v>1033</v>
      </c>
    </row>
    <row r="33" spans="1:5" ht="32.1" customHeight="1">
      <c r="A33" s="276" t="s">
        <v>535</v>
      </c>
      <c r="B33" s="277">
        <v>913769</v>
      </c>
      <c r="C33" s="277">
        <v>4012</v>
      </c>
      <c r="D33" s="277">
        <v>779345</v>
      </c>
      <c r="E33" s="277">
        <v>23404</v>
      </c>
    </row>
    <row r="34" spans="1:5" ht="32.1" customHeight="1">
      <c r="A34" s="276" t="s">
        <v>536</v>
      </c>
      <c r="B34" s="277">
        <v>0</v>
      </c>
      <c r="C34" s="277">
        <v>8</v>
      </c>
      <c r="D34" s="277">
        <v>0</v>
      </c>
      <c r="E34" s="277">
        <v>333</v>
      </c>
    </row>
    <row r="35" spans="1:5" ht="32.1" customHeight="1">
      <c r="A35" s="276" t="s">
        <v>537</v>
      </c>
      <c r="B35" s="277">
        <v>125496</v>
      </c>
      <c r="C35" s="277">
        <v>756</v>
      </c>
      <c r="D35" s="277">
        <v>76898</v>
      </c>
      <c r="E35" s="277">
        <v>1074</v>
      </c>
    </row>
    <row r="36" spans="1:5" ht="32.1" customHeight="1">
      <c r="A36" s="276" t="s">
        <v>651</v>
      </c>
      <c r="B36" s="277">
        <v>480</v>
      </c>
      <c r="C36" s="277">
        <v>3</v>
      </c>
      <c r="D36" s="277">
        <v>469</v>
      </c>
      <c r="E36" s="277">
        <v>0</v>
      </c>
    </row>
    <row r="37" spans="1:5" ht="32.1" customHeight="1">
      <c r="A37" s="276" t="s">
        <v>538</v>
      </c>
      <c r="B37" s="277">
        <v>148984</v>
      </c>
      <c r="C37" s="277">
        <v>984</v>
      </c>
      <c r="D37" s="277">
        <v>75972</v>
      </c>
      <c r="E37" s="277">
        <v>1500</v>
      </c>
    </row>
    <row r="38" spans="1:5" ht="32.1" customHeight="1">
      <c r="A38" s="276" t="s">
        <v>652</v>
      </c>
      <c r="B38" s="277">
        <v>3960</v>
      </c>
      <c r="C38" s="277">
        <v>27</v>
      </c>
      <c r="D38" s="277">
        <v>3404</v>
      </c>
      <c r="E38" s="277">
        <v>32</v>
      </c>
    </row>
    <row r="39" spans="1:5" ht="32.1" customHeight="1">
      <c r="A39" s="276" t="s">
        <v>539</v>
      </c>
      <c r="B39" s="277">
        <v>354994</v>
      </c>
      <c r="C39" s="277">
        <v>1347</v>
      </c>
      <c r="D39" s="277">
        <v>315047</v>
      </c>
      <c r="E39" s="277">
        <v>7829</v>
      </c>
    </row>
    <row r="40" spans="1:5" ht="32.1" customHeight="1">
      <c r="A40" s="276" t="s">
        <v>607</v>
      </c>
      <c r="B40" s="277">
        <v>57784</v>
      </c>
      <c r="C40" s="277">
        <v>321</v>
      </c>
      <c r="D40" s="277">
        <v>46145</v>
      </c>
      <c r="E40" s="277">
        <v>613</v>
      </c>
    </row>
    <row r="41" spans="1:5" ht="32.1" customHeight="1">
      <c r="A41" s="276" t="s">
        <v>541</v>
      </c>
      <c r="B41" s="277">
        <v>189504</v>
      </c>
      <c r="C41" s="277">
        <v>1128</v>
      </c>
      <c r="D41" s="277">
        <v>124541</v>
      </c>
      <c r="E41" s="277">
        <v>2632</v>
      </c>
    </row>
    <row r="42" spans="1:5" ht="32.1" customHeight="1">
      <c r="A42" s="276" t="s">
        <v>542</v>
      </c>
      <c r="B42" s="277">
        <v>386095</v>
      </c>
      <c r="C42" s="277">
        <v>2240</v>
      </c>
      <c r="D42" s="277">
        <v>289017</v>
      </c>
      <c r="E42" s="277">
        <v>3961</v>
      </c>
    </row>
    <row r="43" spans="1:5" ht="32.1" customHeight="1">
      <c r="A43" s="276" t="s">
        <v>543</v>
      </c>
      <c r="B43" s="277">
        <v>683937</v>
      </c>
      <c r="C43" s="277">
        <v>3480</v>
      </c>
      <c r="D43" s="277">
        <v>475271</v>
      </c>
      <c r="E43" s="277">
        <v>7761</v>
      </c>
    </row>
    <row r="44" spans="1:5" ht="32.1" customHeight="1">
      <c r="A44" s="276" t="s">
        <v>622</v>
      </c>
      <c r="B44" s="277">
        <v>109410</v>
      </c>
      <c r="C44" s="277">
        <v>628</v>
      </c>
      <c r="D44" s="277">
        <v>96961</v>
      </c>
      <c r="E44" s="277">
        <v>981</v>
      </c>
    </row>
    <row r="45" spans="1:5" ht="32.1" customHeight="1">
      <c r="A45" s="276" t="s">
        <v>653</v>
      </c>
      <c r="B45" s="277">
        <v>69948</v>
      </c>
      <c r="C45" s="277">
        <v>174</v>
      </c>
      <c r="D45" s="277">
        <v>51018</v>
      </c>
      <c r="E45" s="277">
        <v>1258</v>
      </c>
    </row>
    <row r="46" spans="1:5" ht="32.1" customHeight="1">
      <c r="A46" s="276" t="s">
        <v>545</v>
      </c>
      <c r="B46" s="277">
        <v>223272</v>
      </c>
      <c r="C46" s="277">
        <v>1507</v>
      </c>
      <c r="D46" s="277">
        <v>138135</v>
      </c>
      <c r="E46" s="277">
        <v>922</v>
      </c>
    </row>
    <row r="47" spans="1:5" ht="32.1" customHeight="1">
      <c r="A47" s="276" t="s">
        <v>547</v>
      </c>
      <c r="B47" s="277">
        <v>0</v>
      </c>
      <c r="C47" s="277">
        <v>2</v>
      </c>
      <c r="D47" s="277">
        <v>0</v>
      </c>
      <c r="E47" s="277">
        <v>226</v>
      </c>
    </row>
    <row r="48" spans="1:5" ht="32.1" customHeight="1">
      <c r="A48" s="276" t="s">
        <v>548</v>
      </c>
      <c r="B48" s="277">
        <v>1036182</v>
      </c>
      <c r="C48" s="277">
        <v>3670</v>
      </c>
      <c r="D48" s="277">
        <v>641548</v>
      </c>
      <c r="E48" s="277">
        <v>29950</v>
      </c>
    </row>
    <row r="49" spans="1:5" ht="32.1" customHeight="1">
      <c r="A49" s="276" t="s">
        <v>654</v>
      </c>
      <c r="B49" s="277">
        <v>114536</v>
      </c>
      <c r="C49" s="277">
        <v>464</v>
      </c>
      <c r="D49" s="277">
        <v>92800</v>
      </c>
      <c r="E49" s="277">
        <v>5591</v>
      </c>
    </row>
    <row r="50" spans="1:5" ht="32.1" customHeight="1">
      <c r="A50" s="276" t="s">
        <v>549</v>
      </c>
      <c r="B50" s="277">
        <v>0</v>
      </c>
      <c r="C50" s="277">
        <v>2</v>
      </c>
      <c r="D50" s="277">
        <v>0</v>
      </c>
      <c r="E50" s="277">
        <v>34</v>
      </c>
    </row>
    <row r="51" spans="1:5" ht="32.1" customHeight="1">
      <c r="A51" s="276" t="s">
        <v>550</v>
      </c>
      <c r="B51" s="277">
        <v>0</v>
      </c>
      <c r="C51" s="277">
        <v>56</v>
      </c>
      <c r="D51" s="277">
        <v>0</v>
      </c>
      <c r="E51" s="277">
        <v>1128</v>
      </c>
    </row>
    <row r="52" spans="1:5" ht="32.1" customHeight="1">
      <c r="A52" s="276" t="s">
        <v>551</v>
      </c>
      <c r="B52" s="277">
        <v>0</v>
      </c>
      <c r="C52" s="277">
        <v>196</v>
      </c>
      <c r="D52" s="277">
        <v>0</v>
      </c>
      <c r="E52" s="277">
        <v>2537</v>
      </c>
    </row>
    <row r="53" spans="1:5" ht="32.1" customHeight="1">
      <c r="A53" s="276" t="s">
        <v>552</v>
      </c>
      <c r="B53" s="277">
        <v>0</v>
      </c>
      <c r="C53" s="277">
        <v>7</v>
      </c>
      <c r="D53" s="277">
        <v>0</v>
      </c>
      <c r="E53" s="277">
        <v>542</v>
      </c>
    </row>
    <row r="54" spans="1:5" ht="32.1" customHeight="1">
      <c r="A54" s="276" t="s">
        <v>554</v>
      </c>
      <c r="B54" s="277">
        <v>944</v>
      </c>
      <c r="C54" s="277">
        <v>6</v>
      </c>
      <c r="D54" s="277">
        <v>539</v>
      </c>
      <c r="E54" s="277">
        <v>5</v>
      </c>
    </row>
    <row r="55" spans="1:5" ht="32.1" customHeight="1">
      <c r="A55" s="276" t="s">
        <v>555</v>
      </c>
      <c r="B55" s="277">
        <v>0</v>
      </c>
      <c r="C55" s="277">
        <v>302</v>
      </c>
      <c r="D55" s="277">
        <v>0</v>
      </c>
      <c r="E55" s="277">
        <v>2015</v>
      </c>
    </row>
    <row r="56" spans="1:5" ht="32.1" customHeight="1">
      <c r="A56" s="276" t="s">
        <v>556</v>
      </c>
      <c r="B56" s="277">
        <v>375690</v>
      </c>
      <c r="C56" s="277">
        <v>816</v>
      </c>
      <c r="D56" s="277">
        <v>292744</v>
      </c>
      <c r="E56" s="277">
        <v>15810</v>
      </c>
    </row>
    <row r="57" spans="1:5" ht="32.1" customHeight="1">
      <c r="A57" s="276" t="s">
        <v>557</v>
      </c>
      <c r="B57" s="277">
        <v>381286</v>
      </c>
      <c r="C57" s="277">
        <v>1652</v>
      </c>
      <c r="D57" s="277">
        <v>319705</v>
      </c>
      <c r="E57" s="277">
        <v>12218</v>
      </c>
    </row>
    <row r="58" spans="1:5" ht="32.1" customHeight="1">
      <c r="A58" s="276" t="s">
        <v>558</v>
      </c>
      <c r="B58" s="277">
        <v>0</v>
      </c>
      <c r="C58" s="277">
        <v>22</v>
      </c>
      <c r="D58" s="277">
        <v>0</v>
      </c>
      <c r="E58" s="277">
        <v>759</v>
      </c>
    </row>
    <row r="59" spans="1:5" ht="32.1" customHeight="1">
      <c r="A59" s="276" t="s">
        <v>609</v>
      </c>
      <c r="B59" s="277">
        <v>0</v>
      </c>
      <c r="C59" s="277">
        <v>498</v>
      </c>
      <c r="D59" s="277">
        <v>0</v>
      </c>
      <c r="E59" s="277">
        <v>9474</v>
      </c>
    </row>
    <row r="60" spans="1:5" ht="32.1" customHeight="1">
      <c r="A60" s="276" t="s">
        <v>559</v>
      </c>
      <c r="B60" s="277">
        <v>146120</v>
      </c>
      <c r="C60" s="277">
        <v>890</v>
      </c>
      <c r="D60" s="277">
        <v>115032</v>
      </c>
      <c r="E60" s="277">
        <v>2463</v>
      </c>
    </row>
    <row r="61" spans="1:5" ht="32.1" customHeight="1">
      <c r="A61" s="276" t="s">
        <v>560</v>
      </c>
      <c r="B61" s="277">
        <v>0</v>
      </c>
      <c r="C61" s="277">
        <v>172</v>
      </c>
      <c r="D61" s="277">
        <v>0</v>
      </c>
      <c r="E61" s="277">
        <v>4525</v>
      </c>
    </row>
    <row r="62" spans="1:5" ht="32.1" customHeight="1">
      <c r="A62" s="276" t="s">
        <v>636</v>
      </c>
      <c r="B62" s="277">
        <v>6004</v>
      </c>
      <c r="C62" s="277">
        <v>38</v>
      </c>
      <c r="D62" s="277">
        <v>2827</v>
      </c>
      <c r="E62" s="277">
        <v>83</v>
      </c>
    </row>
    <row r="63" spans="1:5" ht="32.1" customHeight="1">
      <c r="A63" s="276" t="s">
        <v>562</v>
      </c>
      <c r="B63" s="277">
        <v>39652</v>
      </c>
      <c r="C63" s="277">
        <v>208</v>
      </c>
      <c r="D63" s="277">
        <v>25370</v>
      </c>
      <c r="E63" s="277">
        <v>866</v>
      </c>
    </row>
    <row r="64" spans="1:5" ht="32.1" customHeight="1">
      <c r="A64" s="276" t="s">
        <v>637</v>
      </c>
      <c r="B64" s="277">
        <v>94680</v>
      </c>
      <c r="C64" s="277">
        <v>526</v>
      </c>
      <c r="D64" s="277">
        <v>49803</v>
      </c>
      <c r="E64" s="277">
        <v>359</v>
      </c>
    </row>
    <row r="65" spans="1:5" ht="32.1" customHeight="1">
      <c r="A65" s="276" t="s">
        <v>610</v>
      </c>
      <c r="B65" s="277">
        <v>346840</v>
      </c>
      <c r="C65" s="277">
        <v>920</v>
      </c>
      <c r="D65" s="277">
        <v>280165</v>
      </c>
      <c r="E65" s="277">
        <v>8142</v>
      </c>
    </row>
    <row r="66" spans="1:5" ht="32.1" customHeight="1">
      <c r="A66" s="276" t="s">
        <v>611</v>
      </c>
      <c r="B66" s="277">
        <v>0</v>
      </c>
      <c r="C66" s="277">
        <v>1262</v>
      </c>
      <c r="D66" s="277">
        <v>0</v>
      </c>
      <c r="E66" s="277">
        <v>39036</v>
      </c>
    </row>
    <row r="67" spans="1:5" ht="32.1" customHeight="1">
      <c r="A67" s="276" t="s">
        <v>563</v>
      </c>
      <c r="B67" s="277">
        <v>55472</v>
      </c>
      <c r="C67" s="277">
        <v>208</v>
      </c>
      <c r="D67" s="277">
        <v>42526</v>
      </c>
      <c r="E67" s="277">
        <v>1666</v>
      </c>
    </row>
    <row r="68" spans="1:5" ht="32.1" customHeight="1">
      <c r="A68" s="276" t="s">
        <v>564</v>
      </c>
      <c r="B68" s="277">
        <v>167310</v>
      </c>
      <c r="C68" s="277">
        <v>710</v>
      </c>
      <c r="D68" s="277">
        <v>148216</v>
      </c>
      <c r="E68" s="277">
        <v>7393</v>
      </c>
    </row>
    <row r="69" spans="1:5" ht="32.1" customHeight="1">
      <c r="A69" s="276" t="s">
        <v>565</v>
      </c>
      <c r="B69" s="277">
        <v>0</v>
      </c>
      <c r="C69" s="277">
        <v>620</v>
      </c>
      <c r="D69" s="277">
        <v>0</v>
      </c>
      <c r="E69" s="277">
        <v>20680</v>
      </c>
    </row>
    <row r="70" spans="1:5" ht="32.1" customHeight="1">
      <c r="A70" s="276" t="s">
        <v>655</v>
      </c>
      <c r="B70" s="277">
        <v>52318</v>
      </c>
      <c r="C70" s="277">
        <v>224</v>
      </c>
      <c r="D70" s="277">
        <v>12927</v>
      </c>
      <c r="E70" s="277">
        <v>489</v>
      </c>
    </row>
    <row r="71" spans="1:5" ht="32.1" customHeight="1">
      <c r="A71" s="276" t="s">
        <v>612</v>
      </c>
      <c r="B71" s="277">
        <v>182814</v>
      </c>
      <c r="C71" s="277">
        <v>729</v>
      </c>
      <c r="D71" s="277">
        <v>145806</v>
      </c>
      <c r="E71" s="277">
        <v>10535</v>
      </c>
    </row>
    <row r="72" spans="1:5" ht="32.1" customHeight="1">
      <c r="A72" s="276" t="s">
        <v>566</v>
      </c>
      <c r="B72" s="277">
        <v>276</v>
      </c>
      <c r="C72" s="277">
        <v>2</v>
      </c>
      <c r="D72" s="277">
        <v>239</v>
      </c>
      <c r="E72" s="277">
        <v>0</v>
      </c>
    </row>
    <row r="73" spans="1:5" ht="32.1" customHeight="1">
      <c r="A73" s="276" t="s">
        <v>638</v>
      </c>
      <c r="B73" s="277">
        <v>135344</v>
      </c>
      <c r="C73" s="277">
        <v>615</v>
      </c>
      <c r="D73" s="277">
        <v>104677</v>
      </c>
      <c r="E73" s="277">
        <v>8584</v>
      </c>
    </row>
    <row r="74" spans="1:5" ht="32.1" customHeight="1">
      <c r="A74" s="276" t="s">
        <v>567</v>
      </c>
      <c r="B74" s="277">
        <v>57332</v>
      </c>
      <c r="C74" s="277">
        <v>532</v>
      </c>
      <c r="D74" s="277">
        <v>35236</v>
      </c>
      <c r="E74" s="277">
        <v>863</v>
      </c>
    </row>
    <row r="75" spans="1:5" ht="32.1" customHeight="1">
      <c r="A75" s="276" t="s">
        <v>568</v>
      </c>
      <c r="B75" s="277">
        <v>49312</v>
      </c>
      <c r="C75" s="277">
        <v>206</v>
      </c>
      <c r="D75" s="277">
        <v>36333</v>
      </c>
      <c r="E75" s="277">
        <v>1253</v>
      </c>
    </row>
    <row r="76" spans="1:5" ht="32.1" customHeight="1">
      <c r="A76" s="276" t="s">
        <v>656</v>
      </c>
      <c r="B76" s="277">
        <v>0</v>
      </c>
      <c r="C76" s="277">
        <v>1</v>
      </c>
      <c r="D76" s="277">
        <v>0</v>
      </c>
      <c r="E76" s="277">
        <v>0</v>
      </c>
    </row>
    <row r="77" spans="1:5" ht="32.1" customHeight="1">
      <c r="A77" s="276" t="s">
        <v>639</v>
      </c>
      <c r="B77" s="277">
        <v>29563</v>
      </c>
      <c r="C77" s="277">
        <v>179</v>
      </c>
      <c r="D77" s="277">
        <v>20761</v>
      </c>
      <c r="E77" s="277">
        <v>311</v>
      </c>
    </row>
    <row r="78" spans="1:5" ht="32.1" customHeight="1">
      <c r="A78" s="276" t="s">
        <v>569</v>
      </c>
      <c r="B78" s="277">
        <v>0</v>
      </c>
      <c r="C78" s="277">
        <v>2</v>
      </c>
      <c r="D78" s="277">
        <v>0</v>
      </c>
      <c r="E78" s="277">
        <v>68</v>
      </c>
    </row>
    <row r="79" spans="1:5" ht="32.1" customHeight="1">
      <c r="A79" s="276" t="s">
        <v>570</v>
      </c>
      <c r="B79" s="277">
        <v>465747</v>
      </c>
      <c r="C79" s="277">
        <v>1436</v>
      </c>
      <c r="D79" s="277">
        <v>384232</v>
      </c>
      <c r="E79" s="277">
        <v>13983</v>
      </c>
    </row>
    <row r="80" spans="1:5" ht="32.1" customHeight="1">
      <c r="A80" s="276" t="s">
        <v>571</v>
      </c>
      <c r="B80" s="277">
        <v>6054</v>
      </c>
      <c r="C80" s="277">
        <v>38</v>
      </c>
      <c r="D80" s="277">
        <v>4630</v>
      </c>
      <c r="E80" s="277">
        <v>79</v>
      </c>
    </row>
    <row r="81" spans="1:5" ht="32.1" customHeight="1">
      <c r="A81" s="276" t="s">
        <v>572</v>
      </c>
      <c r="B81" s="277">
        <v>0</v>
      </c>
      <c r="C81" s="277">
        <v>3977</v>
      </c>
      <c r="D81" s="277">
        <v>0</v>
      </c>
      <c r="E81" s="277">
        <v>46577</v>
      </c>
    </row>
    <row r="82" spans="1:5" ht="32.1" customHeight="1">
      <c r="A82" s="276" t="s">
        <v>657</v>
      </c>
      <c r="B82" s="277">
        <v>247</v>
      </c>
      <c r="C82" s="277">
        <v>1</v>
      </c>
      <c r="D82" s="277">
        <v>67</v>
      </c>
      <c r="E82" s="277">
        <v>2</v>
      </c>
    </row>
    <row r="83" spans="1:5" ht="32.1" customHeight="1">
      <c r="A83" s="276" t="s">
        <v>614</v>
      </c>
      <c r="B83" s="277">
        <v>102316</v>
      </c>
      <c r="C83" s="277">
        <v>418</v>
      </c>
      <c r="D83" s="277">
        <v>68953</v>
      </c>
      <c r="E83" s="277">
        <v>2089</v>
      </c>
    </row>
    <row r="84" spans="1:5" ht="32.1" customHeight="1">
      <c r="A84" s="276" t="s">
        <v>575</v>
      </c>
      <c r="B84" s="277">
        <v>1237370</v>
      </c>
      <c r="C84" s="277">
        <v>6014</v>
      </c>
      <c r="D84" s="277">
        <v>1004584</v>
      </c>
      <c r="E84" s="277">
        <v>25908</v>
      </c>
    </row>
    <row r="85" spans="1:5" ht="32.1" customHeight="1">
      <c r="A85" s="276" t="s">
        <v>576</v>
      </c>
      <c r="B85" s="277">
        <v>0</v>
      </c>
      <c r="C85" s="277">
        <v>259</v>
      </c>
      <c r="D85" s="277">
        <v>0</v>
      </c>
      <c r="E85" s="277">
        <v>5912</v>
      </c>
    </row>
    <row r="86" spans="1:5" ht="32.1" customHeight="1">
      <c r="A86" s="276" t="s">
        <v>577</v>
      </c>
      <c r="B86" s="277">
        <v>663024</v>
      </c>
      <c r="C86" s="277">
        <v>2484</v>
      </c>
      <c r="D86" s="277">
        <v>490122</v>
      </c>
      <c r="E86" s="277">
        <v>9023</v>
      </c>
    </row>
    <row r="87" spans="1:5" ht="32.1" customHeight="1">
      <c r="A87" s="276" t="s">
        <v>658</v>
      </c>
      <c r="B87" s="277">
        <v>14335</v>
      </c>
      <c r="C87" s="277">
        <v>62</v>
      </c>
      <c r="D87" s="277">
        <v>11101</v>
      </c>
      <c r="E87" s="277">
        <v>137</v>
      </c>
    </row>
    <row r="88" spans="1:5" ht="32.1" customHeight="1">
      <c r="A88" s="276" t="s">
        <v>579</v>
      </c>
      <c r="B88" s="277">
        <v>1325001</v>
      </c>
      <c r="C88" s="277">
        <v>7646</v>
      </c>
      <c r="D88" s="277">
        <v>1044181</v>
      </c>
      <c r="E88" s="277">
        <v>23284</v>
      </c>
    </row>
    <row r="89" spans="1:5" ht="32.1" customHeight="1">
      <c r="A89" s="276" t="s">
        <v>659</v>
      </c>
      <c r="B89" s="277">
        <v>86302</v>
      </c>
      <c r="C89" s="277">
        <v>547</v>
      </c>
      <c r="D89" s="277">
        <v>64016</v>
      </c>
      <c r="E89" s="277">
        <v>602</v>
      </c>
    </row>
    <row r="90" spans="1:5" ht="32.1" customHeight="1">
      <c r="A90" s="276" t="s">
        <v>580</v>
      </c>
      <c r="B90" s="277">
        <v>2124294</v>
      </c>
      <c r="C90" s="277">
        <v>12592</v>
      </c>
      <c r="D90" s="277">
        <v>1607607</v>
      </c>
      <c r="E90" s="277">
        <v>32849</v>
      </c>
    </row>
    <row r="91" spans="1:5" ht="32.1" customHeight="1">
      <c r="A91" s="276" t="s">
        <v>581</v>
      </c>
      <c r="B91" s="277">
        <v>2244715</v>
      </c>
      <c r="C91" s="277">
        <v>12896</v>
      </c>
      <c r="D91" s="277">
        <v>1699147</v>
      </c>
      <c r="E91" s="277">
        <v>34015</v>
      </c>
    </row>
    <row r="92" spans="1:5" ht="32.1" customHeight="1">
      <c r="A92" s="276" t="s">
        <v>660</v>
      </c>
      <c r="B92" s="277">
        <v>0</v>
      </c>
      <c r="C92" s="277">
        <v>20</v>
      </c>
      <c r="D92" s="277">
        <v>0</v>
      </c>
      <c r="E92" s="277">
        <v>38</v>
      </c>
    </row>
    <row r="93" spans="1:5" ht="32.1" customHeight="1">
      <c r="A93" s="276" t="s">
        <v>582</v>
      </c>
      <c r="B93" s="277">
        <v>122102</v>
      </c>
      <c r="C93" s="277">
        <v>728</v>
      </c>
      <c r="D93" s="277">
        <v>99117</v>
      </c>
      <c r="E93" s="277">
        <v>2388</v>
      </c>
    </row>
    <row r="94" spans="1:5" ht="32.1" customHeight="1">
      <c r="A94" s="276" t="s">
        <v>583</v>
      </c>
      <c r="B94" s="277">
        <v>0</v>
      </c>
      <c r="C94" s="277">
        <v>604</v>
      </c>
      <c r="D94" s="277">
        <v>0</v>
      </c>
      <c r="E94" s="277">
        <v>4466</v>
      </c>
    </row>
    <row r="95" spans="1:5" ht="32.1" customHeight="1">
      <c r="A95" s="276" t="s">
        <v>584</v>
      </c>
      <c r="B95" s="277">
        <v>80282</v>
      </c>
      <c r="C95" s="277">
        <v>479</v>
      </c>
      <c r="D95" s="277">
        <v>59451</v>
      </c>
      <c r="E95" s="277">
        <v>1240</v>
      </c>
    </row>
    <row r="96" spans="1:5" ht="32.1" customHeight="1">
      <c r="A96" s="276" t="s">
        <v>585</v>
      </c>
      <c r="B96" s="277">
        <v>0</v>
      </c>
      <c r="C96" s="277">
        <v>590</v>
      </c>
      <c r="D96" s="277">
        <v>0</v>
      </c>
      <c r="E96" s="277">
        <v>35199</v>
      </c>
    </row>
    <row r="97" spans="1:5" ht="32.1" customHeight="1">
      <c r="A97" s="276" t="s">
        <v>586</v>
      </c>
      <c r="B97" s="277">
        <v>391705</v>
      </c>
      <c r="C97" s="277">
        <v>1722</v>
      </c>
      <c r="D97" s="277">
        <v>312257</v>
      </c>
      <c r="E97" s="277">
        <v>10917</v>
      </c>
    </row>
    <row r="98" spans="1:5" ht="32.1" customHeight="1">
      <c r="A98" s="276" t="s">
        <v>640</v>
      </c>
      <c r="B98" s="277">
        <v>131176</v>
      </c>
      <c r="C98" s="277">
        <v>869</v>
      </c>
      <c r="D98" s="277">
        <v>105244</v>
      </c>
      <c r="E98" s="277">
        <v>1254</v>
      </c>
    </row>
    <row r="99" spans="1:5" ht="32.1" customHeight="1">
      <c r="A99" s="276" t="s">
        <v>661</v>
      </c>
      <c r="B99" s="277">
        <v>48024</v>
      </c>
      <c r="C99" s="277">
        <v>174</v>
      </c>
      <c r="D99" s="277">
        <v>34500</v>
      </c>
      <c r="E99" s="277">
        <v>1619</v>
      </c>
    </row>
    <row r="100" spans="1:5" ht="32.1" customHeight="1">
      <c r="A100" s="276" t="s">
        <v>662</v>
      </c>
      <c r="B100" s="277">
        <v>36006</v>
      </c>
      <c r="C100" s="277">
        <v>200</v>
      </c>
      <c r="D100" s="277">
        <v>27611</v>
      </c>
      <c r="E100" s="277">
        <v>243</v>
      </c>
    </row>
    <row r="101" spans="1:5" ht="32.1" customHeight="1">
      <c r="A101" s="276" t="s">
        <v>587</v>
      </c>
      <c r="B101" s="277">
        <v>0</v>
      </c>
      <c r="C101" s="277">
        <v>302</v>
      </c>
      <c r="D101" s="277">
        <v>0</v>
      </c>
      <c r="E101" s="277">
        <v>14485</v>
      </c>
    </row>
    <row r="102" spans="1:5" ht="32.1" customHeight="1">
      <c r="A102" s="276" t="s">
        <v>588</v>
      </c>
      <c r="B102" s="277">
        <v>233077</v>
      </c>
      <c r="C102" s="277">
        <v>948</v>
      </c>
      <c r="D102" s="277">
        <v>186509</v>
      </c>
      <c r="E102" s="277">
        <v>26618</v>
      </c>
    </row>
    <row r="103" spans="1:5" ht="32.1" customHeight="1">
      <c r="A103" s="276" t="s">
        <v>589</v>
      </c>
      <c r="B103" s="277">
        <v>0</v>
      </c>
      <c r="C103" s="277">
        <v>5</v>
      </c>
      <c r="D103" s="277">
        <v>0</v>
      </c>
      <c r="E103" s="277">
        <v>96</v>
      </c>
    </row>
    <row r="104" spans="1:5" ht="32.1" customHeight="1">
      <c r="A104" s="276" t="s">
        <v>590</v>
      </c>
      <c r="B104" s="277">
        <v>1254921</v>
      </c>
      <c r="C104" s="277">
        <v>4323</v>
      </c>
      <c r="D104" s="277">
        <v>1024227</v>
      </c>
      <c r="E104" s="277">
        <v>50251</v>
      </c>
    </row>
    <row r="105" spans="1:5" ht="32.1" customHeight="1">
      <c r="A105" s="276" t="s">
        <v>591</v>
      </c>
      <c r="B105" s="277">
        <v>190359</v>
      </c>
      <c r="C105" s="277">
        <v>1097</v>
      </c>
      <c r="D105" s="277">
        <v>139980</v>
      </c>
      <c r="E105" s="277">
        <v>2129</v>
      </c>
    </row>
    <row r="106" spans="1:5" ht="32.1" customHeight="1">
      <c r="A106" s="276" t="s">
        <v>592</v>
      </c>
      <c r="B106" s="277">
        <v>1666904</v>
      </c>
      <c r="C106" s="277">
        <v>4886</v>
      </c>
      <c r="D106" s="277">
        <v>1013805</v>
      </c>
      <c r="E106" s="277">
        <v>39324</v>
      </c>
    </row>
    <row r="107" spans="1:5" ht="32.1" customHeight="1">
      <c r="A107" s="276" t="s">
        <v>593</v>
      </c>
      <c r="B107" s="277">
        <v>203896</v>
      </c>
      <c r="C107" s="277">
        <v>926</v>
      </c>
      <c r="D107" s="277">
        <v>173886</v>
      </c>
      <c r="E107" s="277">
        <v>14812</v>
      </c>
    </row>
    <row r="108" spans="1:5" ht="32.1" customHeight="1">
      <c r="A108" s="276" t="s">
        <v>627</v>
      </c>
      <c r="B108" s="277">
        <v>20188</v>
      </c>
      <c r="C108" s="277">
        <v>104</v>
      </c>
      <c r="D108" s="277">
        <v>18334</v>
      </c>
      <c r="E108" s="277">
        <v>282</v>
      </c>
    </row>
    <row r="109" spans="1:5" ht="32.1" customHeight="1">
      <c r="A109" s="276" t="s">
        <v>595</v>
      </c>
      <c r="B109" s="277">
        <v>0</v>
      </c>
      <c r="C109" s="277">
        <v>2493</v>
      </c>
      <c r="D109" s="277">
        <v>0</v>
      </c>
      <c r="E109" s="277">
        <v>54183</v>
      </c>
    </row>
    <row r="110" spans="1:5" ht="32.1" customHeight="1">
      <c r="A110" s="276" t="s">
        <v>596</v>
      </c>
      <c r="B110" s="277">
        <v>0</v>
      </c>
      <c r="C110" s="277">
        <v>2797</v>
      </c>
      <c r="D110" s="277">
        <v>0</v>
      </c>
      <c r="E110" s="277">
        <v>59191</v>
      </c>
    </row>
    <row r="111" spans="1:5" ht="32.1" customHeight="1">
      <c r="A111" s="276" t="s">
        <v>597</v>
      </c>
      <c r="B111" s="277">
        <v>0</v>
      </c>
      <c r="C111" s="277">
        <v>12</v>
      </c>
      <c r="D111" s="277">
        <v>0</v>
      </c>
      <c r="E111" s="277">
        <v>422</v>
      </c>
    </row>
    <row r="112" spans="1:5" ht="32.1" customHeight="1">
      <c r="A112" s="276" t="s">
        <v>598</v>
      </c>
      <c r="B112" s="277">
        <v>224496</v>
      </c>
      <c r="C112" s="277">
        <v>834</v>
      </c>
      <c r="D112" s="277">
        <v>178697</v>
      </c>
      <c r="E112" s="277">
        <v>20372</v>
      </c>
    </row>
    <row r="113" spans="1:5" ht="32.1" customHeight="1">
      <c r="A113" s="276" t="s">
        <v>642</v>
      </c>
      <c r="B113" s="277">
        <v>426240</v>
      </c>
      <c r="C113" s="277">
        <v>2368</v>
      </c>
      <c r="D113" s="277">
        <v>361624</v>
      </c>
      <c r="E113" s="277">
        <v>2068</v>
      </c>
    </row>
    <row r="114" spans="1:5" ht="32.1" customHeight="1">
      <c r="A114" s="276" t="s">
        <v>599</v>
      </c>
      <c r="B114" s="277">
        <v>168086</v>
      </c>
      <c r="C114" s="277">
        <v>612</v>
      </c>
      <c r="D114" s="277">
        <v>134999</v>
      </c>
      <c r="E114" s="277">
        <v>9667</v>
      </c>
    </row>
    <row r="115" spans="1:5" ht="32.1" customHeight="1">
      <c r="A115" s="276" t="s">
        <v>600</v>
      </c>
      <c r="B115" s="277">
        <v>554660</v>
      </c>
      <c r="C115" s="277">
        <v>3126</v>
      </c>
      <c r="D115" s="277">
        <v>408340</v>
      </c>
      <c r="E115" s="277">
        <v>4720</v>
      </c>
    </row>
    <row r="116" spans="1:5" ht="32.1" customHeight="1">
      <c r="A116" s="276" t="s">
        <v>601</v>
      </c>
      <c r="B116" s="277">
        <v>677467</v>
      </c>
      <c r="C116" s="277">
        <v>3227</v>
      </c>
      <c r="D116" s="277">
        <v>519531</v>
      </c>
      <c r="E116" s="277">
        <v>13600</v>
      </c>
    </row>
    <row r="117" spans="1:5" ht="32.1" customHeight="1">
      <c r="A117" s="276" t="s">
        <v>628</v>
      </c>
      <c r="B117" s="277">
        <v>189364</v>
      </c>
      <c r="C117" s="277">
        <v>730</v>
      </c>
      <c r="D117" s="277">
        <v>142423</v>
      </c>
      <c r="E117" s="277">
        <v>4771</v>
      </c>
    </row>
    <row r="118" spans="1:5" ht="32.1" customHeight="1">
      <c r="A118" s="276" t="s">
        <v>602</v>
      </c>
      <c r="B118" s="277">
        <v>37952</v>
      </c>
      <c r="C118" s="277">
        <v>226</v>
      </c>
      <c r="D118" s="277">
        <v>25644</v>
      </c>
      <c r="E118" s="277">
        <v>313</v>
      </c>
    </row>
    <row r="119" spans="1:5" ht="32.1" customHeight="1">
      <c r="A119" s="276" t="s">
        <v>603</v>
      </c>
      <c r="B119" s="277">
        <v>17384</v>
      </c>
      <c r="C119" s="277">
        <v>108</v>
      </c>
      <c r="D119" s="277">
        <v>12213</v>
      </c>
      <c r="E119" s="277">
        <v>112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870F-9FCA-4D70-93AB-21689663E2C2}">
  <dimension ref="A1:E117"/>
  <sheetViews>
    <sheetView workbookViewId="0">
      <selection sqref="A1:E1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663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104829020</v>
      </c>
      <c r="C3" s="277">
        <v>536586</v>
      </c>
      <c r="D3" s="277">
        <v>82133482</v>
      </c>
      <c r="E3" s="277">
        <v>3693861</v>
      </c>
    </row>
    <row r="4" spans="1:5" ht="32.1" customHeight="1">
      <c r="A4" s="276" t="s">
        <v>511</v>
      </c>
      <c r="B4" s="277">
        <v>77209328</v>
      </c>
      <c r="C4" s="277">
        <v>391048</v>
      </c>
      <c r="D4" s="277">
        <v>60788552</v>
      </c>
      <c r="E4" s="277">
        <v>2658483</v>
      </c>
    </row>
    <row r="5" spans="1:5" ht="32.1" customHeight="1">
      <c r="A5" s="276" t="s">
        <v>512</v>
      </c>
      <c r="B5" s="277">
        <v>32359474</v>
      </c>
      <c r="C5" s="277">
        <v>153299</v>
      </c>
      <c r="D5" s="277">
        <v>23681776</v>
      </c>
      <c r="E5" s="277">
        <v>1618992</v>
      </c>
    </row>
    <row r="6" spans="1:5" ht="32.1" customHeight="1">
      <c r="A6" s="276" t="s">
        <v>513</v>
      </c>
      <c r="B6" s="277">
        <v>22720554</v>
      </c>
      <c r="C6" s="277">
        <v>113606</v>
      </c>
      <c r="D6" s="277">
        <v>17857985</v>
      </c>
      <c r="E6" s="277">
        <v>880280</v>
      </c>
    </row>
    <row r="7" spans="1:5" ht="32.1" customHeight="1">
      <c r="A7" s="276" t="s">
        <v>514</v>
      </c>
      <c r="B7" s="277">
        <v>6317529</v>
      </c>
      <c r="C7" s="277">
        <v>33661</v>
      </c>
      <c r="D7" s="277">
        <v>5624151</v>
      </c>
      <c r="E7" s="277">
        <v>47474</v>
      </c>
    </row>
    <row r="8" spans="1:5" ht="32.1" customHeight="1">
      <c r="A8" s="276" t="s">
        <v>515</v>
      </c>
      <c r="B8" s="277">
        <v>4079390</v>
      </c>
      <c r="C8" s="277">
        <v>21788</v>
      </c>
      <c r="D8" s="277">
        <v>3641209</v>
      </c>
      <c r="E8" s="277">
        <v>31985</v>
      </c>
    </row>
    <row r="9" spans="1:5" ht="32.1" customHeight="1">
      <c r="A9" s="276" t="s">
        <v>516</v>
      </c>
      <c r="B9" s="277">
        <v>5222666</v>
      </c>
      <c r="C9" s="277">
        <v>30360</v>
      </c>
      <c r="D9" s="277">
        <v>4161565</v>
      </c>
      <c r="E9" s="277">
        <v>34851</v>
      </c>
    </row>
    <row r="10" spans="1:5" ht="32.1" customHeight="1">
      <c r="A10" s="276" t="s">
        <v>517</v>
      </c>
      <c r="B10" s="277">
        <v>3217578</v>
      </c>
      <c r="C10" s="277">
        <v>20000</v>
      </c>
      <c r="D10" s="277">
        <v>2910048</v>
      </c>
      <c r="E10" s="277">
        <v>21596</v>
      </c>
    </row>
    <row r="11" spans="1:5" ht="32.1" customHeight="1">
      <c r="A11" s="276" t="s">
        <v>605</v>
      </c>
      <c r="B11" s="277">
        <v>3292137</v>
      </c>
      <c r="C11" s="277">
        <v>17485</v>
      </c>
      <c r="D11" s="277">
        <v>2911818</v>
      </c>
      <c r="E11" s="277">
        <v>18178</v>
      </c>
    </row>
    <row r="12" spans="1:5" ht="32.1" customHeight="1">
      <c r="A12" s="276" t="s">
        <v>645</v>
      </c>
      <c r="B12" s="277">
        <v>0</v>
      </c>
      <c r="C12" s="277">
        <v>849</v>
      </c>
      <c r="D12" s="277">
        <v>0</v>
      </c>
      <c r="E12" s="277">
        <v>5128</v>
      </c>
    </row>
    <row r="13" spans="1:5" ht="32.1" customHeight="1">
      <c r="A13" s="276" t="s">
        <v>518</v>
      </c>
      <c r="B13" s="277">
        <v>27619692</v>
      </c>
      <c r="C13" s="277">
        <v>145538</v>
      </c>
      <c r="D13" s="277">
        <v>21344930</v>
      </c>
      <c r="E13" s="277">
        <v>1035379</v>
      </c>
    </row>
    <row r="14" spans="1:5" ht="32.1" customHeight="1">
      <c r="A14" s="276" t="s">
        <v>606</v>
      </c>
      <c r="B14" s="277">
        <v>0</v>
      </c>
      <c r="C14" s="277">
        <v>1</v>
      </c>
      <c r="D14" s="277">
        <v>0</v>
      </c>
      <c r="E14" s="277">
        <v>40</v>
      </c>
    </row>
    <row r="15" spans="1:5" ht="32.1" customHeight="1">
      <c r="A15" s="276" t="s">
        <v>521</v>
      </c>
      <c r="B15" s="277">
        <v>356108</v>
      </c>
      <c r="C15" s="277">
        <v>1466</v>
      </c>
      <c r="D15" s="277">
        <v>239322</v>
      </c>
      <c r="E15" s="277">
        <v>12511</v>
      </c>
    </row>
    <row r="16" spans="1:5" ht="32.1" customHeight="1">
      <c r="A16" s="276" t="s">
        <v>522</v>
      </c>
      <c r="B16" s="277">
        <v>1186</v>
      </c>
      <c r="C16" s="277">
        <v>14</v>
      </c>
      <c r="D16" s="277">
        <v>526</v>
      </c>
      <c r="E16" s="277">
        <v>14</v>
      </c>
    </row>
    <row r="17" spans="1:5" ht="32.1" customHeight="1">
      <c r="A17" s="276" t="s">
        <v>524</v>
      </c>
      <c r="B17" s="277">
        <v>205828</v>
      </c>
      <c r="C17" s="277">
        <v>728</v>
      </c>
      <c r="D17" s="277">
        <v>179215</v>
      </c>
      <c r="E17" s="277">
        <v>28135</v>
      </c>
    </row>
    <row r="18" spans="1:5" ht="32.1" customHeight="1">
      <c r="A18" s="276" t="s">
        <v>647</v>
      </c>
      <c r="B18" s="277">
        <v>14166</v>
      </c>
      <c r="C18" s="277">
        <v>75</v>
      </c>
      <c r="D18" s="277">
        <v>9142</v>
      </c>
      <c r="E18" s="277">
        <v>121</v>
      </c>
    </row>
    <row r="19" spans="1:5" ht="32.1" customHeight="1">
      <c r="A19" s="276" t="s">
        <v>526</v>
      </c>
      <c r="B19" s="277">
        <v>379248</v>
      </c>
      <c r="C19" s="277">
        <v>1138</v>
      </c>
      <c r="D19" s="277">
        <v>311437</v>
      </c>
      <c r="E19" s="277">
        <v>14420</v>
      </c>
    </row>
    <row r="20" spans="1:5" ht="32.1" customHeight="1">
      <c r="A20" s="276" t="s">
        <v>648</v>
      </c>
      <c r="B20" s="277">
        <v>91454</v>
      </c>
      <c r="C20" s="277">
        <v>639</v>
      </c>
      <c r="D20" s="277">
        <v>59872</v>
      </c>
      <c r="E20" s="277">
        <v>934</v>
      </c>
    </row>
    <row r="21" spans="1:5" ht="32.1" customHeight="1">
      <c r="A21" s="276" t="s">
        <v>528</v>
      </c>
      <c r="B21" s="277">
        <v>242134</v>
      </c>
      <c r="C21" s="277">
        <v>674</v>
      </c>
      <c r="D21" s="277">
        <v>194514</v>
      </c>
      <c r="E21" s="277">
        <v>6101</v>
      </c>
    </row>
    <row r="22" spans="1:5" ht="32.1" customHeight="1">
      <c r="A22" s="276" t="s">
        <v>529</v>
      </c>
      <c r="B22" s="277">
        <v>432181</v>
      </c>
      <c r="C22" s="277">
        <v>1384</v>
      </c>
      <c r="D22" s="277">
        <v>338517</v>
      </c>
      <c r="E22" s="277">
        <v>20842</v>
      </c>
    </row>
    <row r="23" spans="1:5" ht="32.1" customHeight="1">
      <c r="A23" s="276" t="s">
        <v>530</v>
      </c>
      <c r="B23" s="277">
        <v>0</v>
      </c>
      <c r="C23" s="277">
        <v>542</v>
      </c>
      <c r="D23" s="277">
        <v>0</v>
      </c>
      <c r="E23" s="277">
        <v>15579</v>
      </c>
    </row>
    <row r="24" spans="1:5" ht="32.1" customHeight="1">
      <c r="A24" s="276" t="s">
        <v>664</v>
      </c>
      <c r="B24" s="277">
        <v>498</v>
      </c>
      <c r="C24" s="277">
        <v>4</v>
      </c>
      <c r="D24" s="277">
        <v>418</v>
      </c>
      <c r="E24" s="277">
        <v>7</v>
      </c>
    </row>
    <row r="25" spans="1:5" ht="32.1" customHeight="1">
      <c r="A25" s="276" t="s">
        <v>531</v>
      </c>
      <c r="B25" s="277">
        <v>64792</v>
      </c>
      <c r="C25" s="277">
        <v>624</v>
      </c>
      <c r="D25" s="277">
        <v>54538</v>
      </c>
      <c r="E25" s="277">
        <v>827</v>
      </c>
    </row>
    <row r="26" spans="1:5" ht="32.1" customHeight="1">
      <c r="A26" s="276" t="s">
        <v>532</v>
      </c>
      <c r="B26" s="277">
        <v>206898</v>
      </c>
      <c r="C26" s="277">
        <v>734</v>
      </c>
      <c r="D26" s="277">
        <v>175514</v>
      </c>
      <c r="E26" s="277">
        <v>13666</v>
      </c>
    </row>
    <row r="27" spans="1:5" ht="32.1" customHeight="1">
      <c r="A27" s="276" t="s">
        <v>631</v>
      </c>
      <c r="B27" s="277">
        <v>3200</v>
      </c>
      <c r="C27" s="277">
        <v>26</v>
      </c>
      <c r="D27" s="277">
        <v>3081</v>
      </c>
      <c r="E27" s="277">
        <v>39</v>
      </c>
    </row>
    <row r="28" spans="1:5" ht="32.1" customHeight="1">
      <c r="A28" s="276" t="s">
        <v>533</v>
      </c>
      <c r="B28" s="277">
        <v>160610</v>
      </c>
      <c r="C28" s="277">
        <v>692</v>
      </c>
      <c r="D28" s="277">
        <v>127950</v>
      </c>
      <c r="E28" s="277">
        <v>3917</v>
      </c>
    </row>
    <row r="29" spans="1:5" ht="32.1" customHeight="1">
      <c r="A29" s="276" t="s">
        <v>534</v>
      </c>
      <c r="B29" s="277">
        <v>0</v>
      </c>
      <c r="C29" s="277">
        <v>2</v>
      </c>
      <c r="D29" s="277">
        <v>0</v>
      </c>
      <c r="E29" s="277">
        <v>0</v>
      </c>
    </row>
    <row r="30" spans="1:5" ht="32.1" customHeight="1">
      <c r="A30" s="276" t="s">
        <v>665</v>
      </c>
      <c r="B30" s="277">
        <v>13056</v>
      </c>
      <c r="C30" s="277">
        <v>93</v>
      </c>
      <c r="D30" s="277">
        <v>1942</v>
      </c>
      <c r="E30" s="277">
        <v>33</v>
      </c>
    </row>
    <row r="31" spans="1:5" ht="32.1" customHeight="1">
      <c r="A31" s="276" t="s">
        <v>632</v>
      </c>
      <c r="B31" s="277">
        <v>207000</v>
      </c>
      <c r="C31" s="277">
        <v>1150</v>
      </c>
      <c r="D31" s="277">
        <v>155781</v>
      </c>
      <c r="E31" s="277">
        <v>1365</v>
      </c>
    </row>
    <row r="32" spans="1:5" ht="32.1" customHeight="1">
      <c r="A32" s="276" t="s">
        <v>535</v>
      </c>
      <c r="B32" s="277">
        <v>1060704</v>
      </c>
      <c r="C32" s="277">
        <v>5132</v>
      </c>
      <c r="D32" s="277">
        <v>872458</v>
      </c>
      <c r="E32" s="277">
        <v>23934</v>
      </c>
    </row>
    <row r="33" spans="1:5" ht="32.1" customHeight="1">
      <c r="A33" s="276" t="s">
        <v>536</v>
      </c>
      <c r="B33" s="277">
        <v>0</v>
      </c>
      <c r="C33" s="277">
        <v>12</v>
      </c>
      <c r="D33" s="277">
        <v>0</v>
      </c>
      <c r="E33" s="277">
        <v>346</v>
      </c>
    </row>
    <row r="34" spans="1:5" ht="32.1" customHeight="1">
      <c r="A34" s="276" t="s">
        <v>537</v>
      </c>
      <c r="B34" s="277">
        <v>72756</v>
      </c>
      <c r="C34" s="277">
        <v>454</v>
      </c>
      <c r="D34" s="277">
        <v>54367</v>
      </c>
      <c r="E34" s="277">
        <v>641</v>
      </c>
    </row>
    <row r="35" spans="1:5" ht="32.1" customHeight="1">
      <c r="A35" s="276" t="s">
        <v>651</v>
      </c>
      <c r="B35" s="277">
        <v>1218</v>
      </c>
      <c r="C35" s="277">
        <v>8</v>
      </c>
      <c r="D35" s="277">
        <v>1181</v>
      </c>
      <c r="E35" s="277">
        <v>11</v>
      </c>
    </row>
    <row r="36" spans="1:5" ht="32.1" customHeight="1">
      <c r="A36" s="276" t="s">
        <v>652</v>
      </c>
      <c r="B36" s="277">
        <v>108360</v>
      </c>
      <c r="C36" s="277">
        <v>611</v>
      </c>
      <c r="D36" s="277">
        <v>83761</v>
      </c>
      <c r="E36" s="277">
        <v>1062</v>
      </c>
    </row>
    <row r="37" spans="1:5" ht="32.1" customHeight="1">
      <c r="A37" s="276" t="s">
        <v>539</v>
      </c>
      <c r="B37" s="277">
        <v>317816</v>
      </c>
      <c r="C37" s="277">
        <v>1212</v>
      </c>
      <c r="D37" s="277">
        <v>260246</v>
      </c>
      <c r="E37" s="277">
        <v>6627</v>
      </c>
    </row>
    <row r="38" spans="1:5" ht="32.1" customHeight="1">
      <c r="A38" s="276" t="s">
        <v>540</v>
      </c>
      <c r="B38" s="277">
        <v>0</v>
      </c>
      <c r="C38" s="277">
        <v>2</v>
      </c>
      <c r="D38" s="277">
        <v>0</v>
      </c>
      <c r="E38" s="277">
        <v>72</v>
      </c>
    </row>
    <row r="39" spans="1:5" ht="32.1" customHeight="1">
      <c r="A39" s="276" t="s">
        <v>607</v>
      </c>
      <c r="B39" s="277">
        <v>124478</v>
      </c>
      <c r="C39" s="277">
        <v>580</v>
      </c>
      <c r="D39" s="277">
        <v>106787</v>
      </c>
      <c r="E39" s="277">
        <v>1616</v>
      </c>
    </row>
    <row r="40" spans="1:5" ht="32.1" customHeight="1">
      <c r="A40" s="276" t="s">
        <v>541</v>
      </c>
      <c r="B40" s="277">
        <v>491538</v>
      </c>
      <c r="C40" s="277">
        <v>2946</v>
      </c>
      <c r="D40" s="277">
        <v>318017</v>
      </c>
      <c r="E40" s="277">
        <v>6352</v>
      </c>
    </row>
    <row r="41" spans="1:5" ht="32.1" customHeight="1">
      <c r="A41" s="276" t="s">
        <v>542</v>
      </c>
      <c r="B41" s="277">
        <v>475924</v>
      </c>
      <c r="C41" s="277">
        <v>2315</v>
      </c>
      <c r="D41" s="277">
        <v>363685</v>
      </c>
      <c r="E41" s="277">
        <v>5745</v>
      </c>
    </row>
    <row r="42" spans="1:5" ht="32.1" customHeight="1">
      <c r="A42" s="276" t="s">
        <v>543</v>
      </c>
      <c r="B42" s="277">
        <v>632537</v>
      </c>
      <c r="C42" s="277">
        <v>2892</v>
      </c>
      <c r="D42" s="277">
        <v>394344</v>
      </c>
      <c r="E42" s="277">
        <v>7402</v>
      </c>
    </row>
    <row r="43" spans="1:5" ht="32.1" customHeight="1">
      <c r="A43" s="276" t="s">
        <v>622</v>
      </c>
      <c r="B43" s="277">
        <v>102888</v>
      </c>
      <c r="C43" s="277">
        <v>595</v>
      </c>
      <c r="D43" s="277">
        <v>86555</v>
      </c>
      <c r="E43" s="277">
        <v>825</v>
      </c>
    </row>
    <row r="44" spans="1:5" ht="32.1" customHeight="1">
      <c r="A44" s="276" t="s">
        <v>653</v>
      </c>
      <c r="B44" s="277">
        <v>125826</v>
      </c>
      <c r="C44" s="277">
        <v>313</v>
      </c>
      <c r="D44" s="277">
        <v>106582</v>
      </c>
      <c r="E44" s="277">
        <v>2355</v>
      </c>
    </row>
    <row r="45" spans="1:5" ht="32.1" customHeight="1">
      <c r="A45" s="276" t="s">
        <v>545</v>
      </c>
      <c r="B45" s="277">
        <v>62772</v>
      </c>
      <c r="C45" s="277">
        <v>431</v>
      </c>
      <c r="D45" s="277">
        <v>47348</v>
      </c>
      <c r="E45" s="277">
        <v>331</v>
      </c>
    </row>
    <row r="46" spans="1:5" ht="32.1" customHeight="1">
      <c r="A46" s="276" t="s">
        <v>546</v>
      </c>
      <c r="B46" s="277">
        <v>5688</v>
      </c>
      <c r="C46" s="277">
        <v>36</v>
      </c>
      <c r="D46" s="277">
        <v>4597</v>
      </c>
      <c r="E46" s="277">
        <v>59</v>
      </c>
    </row>
    <row r="47" spans="1:5" ht="32.1" customHeight="1">
      <c r="A47" s="276" t="s">
        <v>666</v>
      </c>
      <c r="B47" s="277">
        <v>1296</v>
      </c>
      <c r="C47" s="277">
        <v>8</v>
      </c>
      <c r="D47" s="277">
        <v>1153</v>
      </c>
      <c r="E47" s="277">
        <v>19</v>
      </c>
    </row>
    <row r="48" spans="1:5" ht="32.1" customHeight="1">
      <c r="A48" s="276" t="s">
        <v>667</v>
      </c>
      <c r="B48" s="277">
        <v>0</v>
      </c>
      <c r="C48" s="277">
        <v>45</v>
      </c>
      <c r="D48" s="277">
        <v>0</v>
      </c>
      <c r="E48" s="277">
        <v>1959</v>
      </c>
    </row>
    <row r="49" spans="1:5" ht="32.1" customHeight="1">
      <c r="A49" s="276" t="s">
        <v>547</v>
      </c>
      <c r="B49" s="277">
        <v>0</v>
      </c>
      <c r="C49" s="277">
        <v>4</v>
      </c>
      <c r="D49" s="277">
        <v>0</v>
      </c>
      <c r="E49" s="277">
        <v>80</v>
      </c>
    </row>
    <row r="50" spans="1:5" ht="32.1" customHeight="1">
      <c r="A50" s="276" t="s">
        <v>548</v>
      </c>
      <c r="B50" s="277">
        <v>1055733</v>
      </c>
      <c r="C50" s="277">
        <v>3732</v>
      </c>
      <c r="D50" s="277">
        <v>675396</v>
      </c>
      <c r="E50" s="277">
        <v>31307</v>
      </c>
    </row>
    <row r="51" spans="1:5" ht="32.1" customHeight="1">
      <c r="A51" s="276" t="s">
        <v>654</v>
      </c>
      <c r="B51" s="277">
        <v>177336</v>
      </c>
      <c r="C51" s="277">
        <v>718</v>
      </c>
      <c r="D51" s="277">
        <v>150915</v>
      </c>
      <c r="E51" s="277">
        <v>9967</v>
      </c>
    </row>
    <row r="52" spans="1:5" ht="32.1" customHeight="1">
      <c r="A52" s="276" t="s">
        <v>549</v>
      </c>
      <c r="B52" s="277">
        <v>0</v>
      </c>
      <c r="C52" s="277">
        <v>4</v>
      </c>
      <c r="D52" s="277">
        <v>0</v>
      </c>
      <c r="E52" s="277">
        <v>39</v>
      </c>
    </row>
    <row r="53" spans="1:5" ht="32.1" customHeight="1">
      <c r="A53" s="276" t="s">
        <v>668</v>
      </c>
      <c r="B53" s="277">
        <v>13939</v>
      </c>
      <c r="C53" s="277">
        <v>56</v>
      </c>
      <c r="D53" s="277">
        <v>12456</v>
      </c>
      <c r="E53" s="277">
        <v>149</v>
      </c>
    </row>
    <row r="54" spans="1:5" ht="32.1" customHeight="1">
      <c r="A54" s="276" t="s">
        <v>551</v>
      </c>
      <c r="B54" s="277">
        <v>256</v>
      </c>
      <c r="C54" s="277">
        <v>222</v>
      </c>
      <c r="D54" s="277">
        <v>219</v>
      </c>
      <c r="E54" s="277">
        <v>3761</v>
      </c>
    </row>
    <row r="55" spans="1:5" ht="32.1" customHeight="1">
      <c r="A55" s="276" t="s">
        <v>552</v>
      </c>
      <c r="B55" s="277">
        <v>0</v>
      </c>
      <c r="C55" s="277">
        <v>3</v>
      </c>
      <c r="D55" s="277">
        <v>0</v>
      </c>
      <c r="E55" s="277">
        <v>175</v>
      </c>
    </row>
    <row r="56" spans="1:5" ht="32.1" customHeight="1">
      <c r="A56" s="276" t="s">
        <v>669</v>
      </c>
      <c r="B56" s="277">
        <v>248</v>
      </c>
      <c r="C56" s="277">
        <v>1</v>
      </c>
      <c r="D56" s="277">
        <v>148</v>
      </c>
      <c r="E56" s="277">
        <v>7</v>
      </c>
    </row>
    <row r="57" spans="1:5" ht="32.1" customHeight="1">
      <c r="A57" s="276" t="s">
        <v>554</v>
      </c>
      <c r="B57" s="277">
        <v>17901</v>
      </c>
      <c r="C57" s="277">
        <v>161</v>
      </c>
      <c r="D57" s="277">
        <v>9867</v>
      </c>
      <c r="E57" s="277">
        <v>108</v>
      </c>
    </row>
    <row r="58" spans="1:5" ht="32.1" customHeight="1">
      <c r="A58" s="276" t="s">
        <v>555</v>
      </c>
      <c r="B58" s="277">
        <v>0</v>
      </c>
      <c r="C58" s="277">
        <v>556</v>
      </c>
      <c r="D58" s="277">
        <v>0</v>
      </c>
      <c r="E58" s="277">
        <v>3884</v>
      </c>
    </row>
    <row r="59" spans="1:5" ht="32.1" customHeight="1">
      <c r="A59" s="276" t="s">
        <v>556</v>
      </c>
      <c r="B59" s="277">
        <v>375789</v>
      </c>
      <c r="C59" s="277">
        <v>835</v>
      </c>
      <c r="D59" s="277">
        <v>313833</v>
      </c>
      <c r="E59" s="277">
        <v>18879</v>
      </c>
    </row>
    <row r="60" spans="1:5" ht="32.1" customHeight="1">
      <c r="A60" s="276" t="s">
        <v>557</v>
      </c>
      <c r="B60" s="277">
        <v>460670</v>
      </c>
      <c r="C60" s="277">
        <v>2024</v>
      </c>
      <c r="D60" s="277">
        <v>403898</v>
      </c>
      <c r="E60" s="277">
        <v>12886</v>
      </c>
    </row>
    <row r="61" spans="1:5" ht="32.1" customHeight="1">
      <c r="A61" s="276" t="s">
        <v>609</v>
      </c>
      <c r="B61" s="277">
        <v>0</v>
      </c>
      <c r="C61" s="277">
        <v>402</v>
      </c>
      <c r="D61" s="277">
        <v>0</v>
      </c>
      <c r="E61" s="277">
        <v>6556</v>
      </c>
    </row>
    <row r="62" spans="1:5" ht="32.1" customHeight="1">
      <c r="A62" s="276" t="s">
        <v>559</v>
      </c>
      <c r="B62" s="277">
        <v>230492</v>
      </c>
      <c r="C62" s="277">
        <v>1436</v>
      </c>
      <c r="D62" s="277">
        <v>175351</v>
      </c>
      <c r="E62" s="277">
        <v>3453</v>
      </c>
    </row>
    <row r="63" spans="1:5" ht="32.1" customHeight="1">
      <c r="A63" s="276" t="s">
        <v>560</v>
      </c>
      <c r="B63" s="277">
        <v>0</v>
      </c>
      <c r="C63" s="277">
        <v>208</v>
      </c>
      <c r="D63" s="277">
        <v>0</v>
      </c>
      <c r="E63" s="277">
        <v>7527</v>
      </c>
    </row>
    <row r="64" spans="1:5" ht="32.1" customHeight="1">
      <c r="A64" s="276" t="s">
        <v>562</v>
      </c>
      <c r="B64" s="277">
        <v>58400</v>
      </c>
      <c r="C64" s="277">
        <v>270</v>
      </c>
      <c r="D64" s="277">
        <v>44052</v>
      </c>
      <c r="E64" s="277">
        <v>1482</v>
      </c>
    </row>
    <row r="65" spans="1:5" ht="32.1" customHeight="1">
      <c r="A65" s="276" t="s">
        <v>610</v>
      </c>
      <c r="B65" s="277">
        <v>521014</v>
      </c>
      <c r="C65" s="277">
        <v>1382</v>
      </c>
      <c r="D65" s="277">
        <v>423914</v>
      </c>
      <c r="E65" s="277">
        <v>11423</v>
      </c>
    </row>
    <row r="66" spans="1:5" ht="32.1" customHeight="1">
      <c r="A66" s="276" t="s">
        <v>611</v>
      </c>
      <c r="B66" s="277">
        <v>0</v>
      </c>
      <c r="C66" s="277">
        <v>1292</v>
      </c>
      <c r="D66" s="277">
        <v>0</v>
      </c>
      <c r="E66" s="277">
        <v>42260</v>
      </c>
    </row>
    <row r="67" spans="1:5" ht="32.1" customHeight="1">
      <c r="A67" s="276" t="s">
        <v>563</v>
      </c>
      <c r="B67" s="277">
        <v>9630</v>
      </c>
      <c r="C67" s="277">
        <v>36</v>
      </c>
      <c r="D67" s="277">
        <v>5872</v>
      </c>
      <c r="E67" s="277">
        <v>256</v>
      </c>
    </row>
    <row r="68" spans="1:5" ht="32.1" customHeight="1">
      <c r="A68" s="276" t="s">
        <v>564</v>
      </c>
      <c r="B68" s="277">
        <v>151315</v>
      </c>
      <c r="C68" s="277">
        <v>723</v>
      </c>
      <c r="D68" s="277">
        <v>135320</v>
      </c>
      <c r="E68" s="277">
        <v>8169</v>
      </c>
    </row>
    <row r="69" spans="1:5" ht="32.1" customHeight="1">
      <c r="A69" s="276" t="s">
        <v>565</v>
      </c>
      <c r="B69" s="277">
        <v>0</v>
      </c>
      <c r="C69" s="277">
        <v>617</v>
      </c>
      <c r="D69" s="277">
        <v>0</v>
      </c>
      <c r="E69" s="277">
        <v>19890</v>
      </c>
    </row>
    <row r="70" spans="1:5" ht="32.1" customHeight="1">
      <c r="A70" s="276" t="s">
        <v>655</v>
      </c>
      <c r="B70" s="277">
        <v>90569</v>
      </c>
      <c r="C70" s="277">
        <v>369</v>
      </c>
      <c r="D70" s="277">
        <v>44344</v>
      </c>
      <c r="E70" s="277">
        <v>1138</v>
      </c>
    </row>
    <row r="71" spans="1:5" ht="32.1" customHeight="1">
      <c r="A71" s="276" t="s">
        <v>612</v>
      </c>
      <c r="B71" s="277">
        <v>183435</v>
      </c>
      <c r="C71" s="277">
        <v>730</v>
      </c>
      <c r="D71" s="277">
        <v>157084</v>
      </c>
      <c r="E71" s="277">
        <v>12031</v>
      </c>
    </row>
    <row r="72" spans="1:5" ht="32.1" customHeight="1">
      <c r="A72" s="276" t="s">
        <v>638</v>
      </c>
      <c r="B72" s="277">
        <v>148276</v>
      </c>
      <c r="C72" s="277">
        <v>674</v>
      </c>
      <c r="D72" s="277">
        <v>118656</v>
      </c>
      <c r="E72" s="277">
        <v>9738</v>
      </c>
    </row>
    <row r="73" spans="1:5" ht="32.1" customHeight="1">
      <c r="A73" s="276" t="s">
        <v>567</v>
      </c>
      <c r="B73" s="277">
        <v>182720</v>
      </c>
      <c r="C73" s="277">
        <v>1484</v>
      </c>
      <c r="D73" s="277">
        <v>138116</v>
      </c>
      <c r="E73" s="277">
        <v>2249</v>
      </c>
    </row>
    <row r="74" spans="1:5" ht="32.1" customHeight="1">
      <c r="A74" s="276" t="s">
        <v>613</v>
      </c>
      <c r="B74" s="277">
        <v>15178</v>
      </c>
      <c r="C74" s="277">
        <v>52</v>
      </c>
      <c r="D74" s="277">
        <v>12585</v>
      </c>
      <c r="E74" s="277">
        <v>175</v>
      </c>
    </row>
    <row r="75" spans="1:5" ht="32.1" customHeight="1">
      <c r="A75" s="276" t="s">
        <v>670</v>
      </c>
      <c r="B75" s="277">
        <v>141343</v>
      </c>
      <c r="C75" s="277">
        <v>772</v>
      </c>
      <c r="D75" s="277">
        <v>135837</v>
      </c>
      <c r="E75" s="277">
        <v>1353</v>
      </c>
    </row>
    <row r="76" spans="1:5" ht="32.1" customHeight="1">
      <c r="A76" s="276" t="s">
        <v>568</v>
      </c>
      <c r="B76" s="277">
        <v>52285</v>
      </c>
      <c r="C76" s="277">
        <v>207</v>
      </c>
      <c r="D76" s="277">
        <v>45915</v>
      </c>
      <c r="E76" s="277">
        <v>1525</v>
      </c>
    </row>
    <row r="77" spans="1:5" ht="32.1" customHeight="1">
      <c r="A77" s="276" t="s">
        <v>639</v>
      </c>
      <c r="B77" s="277">
        <v>22945</v>
      </c>
      <c r="C77" s="277">
        <v>138</v>
      </c>
      <c r="D77" s="277">
        <v>17333</v>
      </c>
      <c r="E77" s="277">
        <v>290</v>
      </c>
    </row>
    <row r="78" spans="1:5" ht="32.1" customHeight="1">
      <c r="A78" s="276" t="s">
        <v>570</v>
      </c>
      <c r="B78" s="277">
        <v>420192</v>
      </c>
      <c r="C78" s="277">
        <v>1570</v>
      </c>
      <c r="D78" s="277">
        <v>348604</v>
      </c>
      <c r="E78" s="277">
        <v>12072</v>
      </c>
    </row>
    <row r="79" spans="1:5" ht="32.1" customHeight="1">
      <c r="A79" s="276" t="s">
        <v>572</v>
      </c>
      <c r="B79" s="277">
        <v>0</v>
      </c>
      <c r="C79" s="277">
        <v>3978</v>
      </c>
      <c r="D79" s="277">
        <v>0</v>
      </c>
      <c r="E79" s="277">
        <v>47325</v>
      </c>
    </row>
    <row r="80" spans="1:5" ht="32.1" customHeight="1">
      <c r="A80" s="276" t="s">
        <v>614</v>
      </c>
      <c r="B80" s="277">
        <v>105216</v>
      </c>
      <c r="C80" s="277">
        <v>412</v>
      </c>
      <c r="D80" s="277">
        <v>69583</v>
      </c>
      <c r="E80" s="277">
        <v>3075</v>
      </c>
    </row>
    <row r="81" spans="1:5" ht="32.1" customHeight="1">
      <c r="A81" s="276" t="s">
        <v>575</v>
      </c>
      <c r="B81" s="277">
        <v>1078347</v>
      </c>
      <c r="C81" s="277">
        <v>5698</v>
      </c>
      <c r="D81" s="277">
        <v>887903</v>
      </c>
      <c r="E81" s="277">
        <v>20105</v>
      </c>
    </row>
    <row r="82" spans="1:5" ht="32.1" customHeight="1">
      <c r="A82" s="276" t="s">
        <v>576</v>
      </c>
      <c r="B82" s="277">
        <v>0</v>
      </c>
      <c r="C82" s="277">
        <v>145</v>
      </c>
      <c r="D82" s="277">
        <v>0</v>
      </c>
      <c r="E82" s="277">
        <v>3626</v>
      </c>
    </row>
    <row r="83" spans="1:5" ht="32.1" customHeight="1">
      <c r="A83" s="276" t="s">
        <v>577</v>
      </c>
      <c r="B83" s="277">
        <v>539862</v>
      </c>
      <c r="C83" s="277">
        <v>2186</v>
      </c>
      <c r="D83" s="277">
        <v>399529</v>
      </c>
      <c r="E83" s="277">
        <v>9267</v>
      </c>
    </row>
    <row r="84" spans="1:5" ht="32.1" customHeight="1">
      <c r="A84" s="276" t="s">
        <v>658</v>
      </c>
      <c r="B84" s="277">
        <v>10340</v>
      </c>
      <c r="C84" s="277">
        <v>44</v>
      </c>
      <c r="D84" s="277">
        <v>9726</v>
      </c>
      <c r="E84" s="277">
        <v>155</v>
      </c>
    </row>
    <row r="85" spans="1:5" ht="32.1" customHeight="1">
      <c r="A85" s="276" t="s">
        <v>579</v>
      </c>
      <c r="B85" s="277">
        <v>1719710</v>
      </c>
      <c r="C85" s="277">
        <v>9279</v>
      </c>
      <c r="D85" s="277">
        <v>1350184</v>
      </c>
      <c r="E85" s="277">
        <v>29453</v>
      </c>
    </row>
    <row r="86" spans="1:5" ht="32.1" customHeight="1">
      <c r="A86" s="276" t="s">
        <v>659</v>
      </c>
      <c r="B86" s="277">
        <v>194794</v>
      </c>
      <c r="C86" s="277">
        <v>1236</v>
      </c>
      <c r="D86" s="277">
        <v>164775</v>
      </c>
      <c r="E86" s="277">
        <v>1630</v>
      </c>
    </row>
    <row r="87" spans="1:5" ht="32.1" customHeight="1">
      <c r="A87" s="276" t="s">
        <v>580</v>
      </c>
      <c r="B87" s="277">
        <v>2642473</v>
      </c>
      <c r="C87" s="277">
        <v>15583</v>
      </c>
      <c r="D87" s="277">
        <v>2075740</v>
      </c>
      <c r="E87" s="277">
        <v>41078</v>
      </c>
    </row>
    <row r="88" spans="1:5" ht="32.1" customHeight="1">
      <c r="A88" s="276" t="s">
        <v>581</v>
      </c>
      <c r="B88" s="277">
        <v>2710118</v>
      </c>
      <c r="C88" s="277">
        <v>15419</v>
      </c>
      <c r="D88" s="277">
        <v>2097415</v>
      </c>
      <c r="E88" s="277">
        <v>41080</v>
      </c>
    </row>
    <row r="89" spans="1:5" ht="32.1" customHeight="1">
      <c r="A89" s="276" t="s">
        <v>660</v>
      </c>
      <c r="B89" s="277">
        <v>0</v>
      </c>
      <c r="C89" s="277">
        <v>56</v>
      </c>
      <c r="D89" s="277">
        <v>0</v>
      </c>
      <c r="E89" s="277">
        <v>313</v>
      </c>
    </row>
    <row r="90" spans="1:5" ht="32.1" customHeight="1">
      <c r="A90" s="276" t="s">
        <v>582</v>
      </c>
      <c r="B90" s="277">
        <v>217870</v>
      </c>
      <c r="C90" s="277">
        <v>1310</v>
      </c>
      <c r="D90" s="277">
        <v>154247</v>
      </c>
      <c r="E90" s="277">
        <v>3317</v>
      </c>
    </row>
    <row r="91" spans="1:5" ht="32.1" customHeight="1">
      <c r="A91" s="276" t="s">
        <v>583</v>
      </c>
      <c r="B91" s="277">
        <v>0</v>
      </c>
      <c r="C91" s="277">
        <v>742</v>
      </c>
      <c r="D91" s="277">
        <v>0</v>
      </c>
      <c r="E91" s="277">
        <v>3731</v>
      </c>
    </row>
    <row r="92" spans="1:5" ht="32.1" customHeight="1">
      <c r="A92" s="276" t="s">
        <v>584</v>
      </c>
      <c r="B92" s="277">
        <v>224572</v>
      </c>
      <c r="C92" s="277">
        <v>1332</v>
      </c>
      <c r="D92" s="277">
        <v>184452</v>
      </c>
      <c r="E92" s="277">
        <v>2614</v>
      </c>
    </row>
    <row r="93" spans="1:5" ht="32.1" customHeight="1">
      <c r="A93" s="276" t="s">
        <v>585</v>
      </c>
      <c r="B93" s="277">
        <v>0</v>
      </c>
      <c r="C93" s="277">
        <v>592</v>
      </c>
      <c r="D93" s="277">
        <v>0</v>
      </c>
      <c r="E93" s="277">
        <v>33485</v>
      </c>
    </row>
    <row r="94" spans="1:5" ht="32.1" customHeight="1">
      <c r="A94" s="276" t="s">
        <v>586</v>
      </c>
      <c r="B94" s="277">
        <v>568176</v>
      </c>
      <c r="C94" s="277">
        <v>2745</v>
      </c>
      <c r="D94" s="277">
        <v>480821</v>
      </c>
      <c r="E94" s="277">
        <v>12675</v>
      </c>
    </row>
    <row r="95" spans="1:5" ht="32.1" customHeight="1">
      <c r="A95" s="276" t="s">
        <v>640</v>
      </c>
      <c r="B95" s="277">
        <v>205446</v>
      </c>
      <c r="C95" s="277">
        <v>1184</v>
      </c>
      <c r="D95" s="277">
        <v>187840</v>
      </c>
      <c r="E95" s="277">
        <v>2292</v>
      </c>
    </row>
    <row r="96" spans="1:5" ht="32.1" customHeight="1">
      <c r="A96" s="276" t="s">
        <v>661</v>
      </c>
      <c r="B96" s="277">
        <v>102948</v>
      </c>
      <c r="C96" s="277">
        <v>373</v>
      </c>
      <c r="D96" s="277">
        <v>78796</v>
      </c>
      <c r="E96" s="277">
        <v>4292</v>
      </c>
    </row>
    <row r="97" spans="1:5" ht="32.1" customHeight="1">
      <c r="A97" s="276" t="s">
        <v>662</v>
      </c>
      <c r="B97" s="277">
        <v>252938</v>
      </c>
      <c r="C97" s="277">
        <v>1405</v>
      </c>
      <c r="D97" s="277">
        <v>226190</v>
      </c>
      <c r="E97" s="277">
        <v>2134</v>
      </c>
    </row>
    <row r="98" spans="1:5" ht="32.1" customHeight="1">
      <c r="A98" s="276" t="s">
        <v>587</v>
      </c>
      <c r="B98" s="277">
        <v>0</v>
      </c>
      <c r="C98" s="277">
        <v>310</v>
      </c>
      <c r="D98" s="277">
        <v>0</v>
      </c>
      <c r="E98" s="277">
        <v>14711</v>
      </c>
    </row>
    <row r="99" spans="1:5" ht="32.1" customHeight="1">
      <c r="A99" s="276" t="s">
        <v>588</v>
      </c>
      <c r="B99" s="277">
        <v>246133</v>
      </c>
      <c r="C99" s="277">
        <v>1102</v>
      </c>
      <c r="D99" s="277">
        <v>216724</v>
      </c>
      <c r="E99" s="277">
        <v>39509</v>
      </c>
    </row>
    <row r="100" spans="1:5" ht="32.1" customHeight="1">
      <c r="A100" s="276" t="s">
        <v>589</v>
      </c>
      <c r="B100" s="277">
        <v>0</v>
      </c>
      <c r="C100" s="277">
        <v>161</v>
      </c>
      <c r="D100" s="277">
        <v>0</v>
      </c>
      <c r="E100" s="277">
        <v>11475</v>
      </c>
    </row>
    <row r="101" spans="1:5" ht="32.1" customHeight="1">
      <c r="A101" s="276" t="s">
        <v>590</v>
      </c>
      <c r="B101" s="277">
        <v>1447423</v>
      </c>
      <c r="C101" s="277">
        <v>4735</v>
      </c>
      <c r="D101" s="277">
        <v>1208953</v>
      </c>
      <c r="E101" s="277">
        <v>52203</v>
      </c>
    </row>
    <row r="102" spans="1:5" ht="32.1" customHeight="1">
      <c r="A102" s="276" t="s">
        <v>591</v>
      </c>
      <c r="B102" s="277">
        <v>188748</v>
      </c>
      <c r="C102" s="277">
        <v>1077</v>
      </c>
      <c r="D102" s="277">
        <v>147591</v>
      </c>
      <c r="E102" s="277">
        <v>2202</v>
      </c>
    </row>
    <row r="103" spans="1:5" ht="32.1" customHeight="1">
      <c r="A103" s="276" t="s">
        <v>671</v>
      </c>
      <c r="B103" s="277">
        <v>144768</v>
      </c>
      <c r="C103" s="277">
        <v>384</v>
      </c>
      <c r="D103" s="277">
        <v>119681</v>
      </c>
      <c r="E103" s="277">
        <v>2090</v>
      </c>
    </row>
    <row r="104" spans="1:5" ht="32.1" customHeight="1">
      <c r="A104" s="276" t="s">
        <v>592</v>
      </c>
      <c r="B104" s="277">
        <v>1555576</v>
      </c>
      <c r="C104" s="277">
        <v>4698</v>
      </c>
      <c r="D104" s="277">
        <v>937083</v>
      </c>
      <c r="E104" s="277">
        <v>41140</v>
      </c>
    </row>
    <row r="105" spans="1:5" ht="32.1" customHeight="1">
      <c r="A105" s="276" t="s">
        <v>593</v>
      </c>
      <c r="B105" s="277">
        <v>293254</v>
      </c>
      <c r="C105" s="277">
        <v>1244</v>
      </c>
      <c r="D105" s="277">
        <v>240751</v>
      </c>
      <c r="E105" s="277">
        <v>17760</v>
      </c>
    </row>
    <row r="106" spans="1:5" ht="32.1" customHeight="1">
      <c r="A106" s="276" t="s">
        <v>595</v>
      </c>
      <c r="B106" s="277">
        <v>0</v>
      </c>
      <c r="C106" s="277">
        <v>2517</v>
      </c>
      <c r="D106" s="277">
        <v>0</v>
      </c>
      <c r="E106" s="277">
        <v>54646</v>
      </c>
    </row>
    <row r="107" spans="1:5" ht="32.1" customHeight="1">
      <c r="A107" s="276" t="s">
        <v>596</v>
      </c>
      <c r="B107" s="277">
        <v>0</v>
      </c>
      <c r="C107" s="277">
        <v>3048</v>
      </c>
      <c r="D107" s="277">
        <v>0</v>
      </c>
      <c r="E107" s="277">
        <v>76388</v>
      </c>
    </row>
    <row r="108" spans="1:5" ht="32.1" customHeight="1">
      <c r="A108" s="276" t="s">
        <v>597</v>
      </c>
      <c r="B108" s="277">
        <v>0</v>
      </c>
      <c r="C108" s="277">
        <v>4</v>
      </c>
      <c r="D108" s="277">
        <v>0</v>
      </c>
      <c r="E108" s="277">
        <v>65</v>
      </c>
    </row>
    <row r="109" spans="1:5" ht="32.1" customHeight="1">
      <c r="A109" s="276" t="s">
        <v>598</v>
      </c>
      <c r="B109" s="277">
        <v>218326</v>
      </c>
      <c r="C109" s="277">
        <v>780</v>
      </c>
      <c r="D109" s="277">
        <v>168723</v>
      </c>
      <c r="E109" s="277">
        <v>18904</v>
      </c>
    </row>
    <row r="110" spans="1:5" ht="32.1" customHeight="1">
      <c r="A110" s="276" t="s">
        <v>642</v>
      </c>
      <c r="B110" s="277">
        <v>516240</v>
      </c>
      <c r="C110" s="277">
        <v>2868</v>
      </c>
      <c r="D110" s="277">
        <v>461090</v>
      </c>
      <c r="E110" s="277">
        <v>2378</v>
      </c>
    </row>
    <row r="111" spans="1:5" ht="32.1" customHeight="1">
      <c r="A111" s="276" t="s">
        <v>599</v>
      </c>
      <c r="B111" s="277">
        <v>183798</v>
      </c>
      <c r="C111" s="277">
        <v>632</v>
      </c>
      <c r="D111" s="277">
        <v>156204</v>
      </c>
      <c r="E111" s="277">
        <v>10068</v>
      </c>
    </row>
    <row r="112" spans="1:5" ht="32.1" customHeight="1">
      <c r="A112" s="276" t="s">
        <v>600</v>
      </c>
      <c r="B112" s="277">
        <v>602924</v>
      </c>
      <c r="C112" s="277">
        <v>3360</v>
      </c>
      <c r="D112" s="277">
        <v>329164</v>
      </c>
      <c r="E112" s="277">
        <v>4155</v>
      </c>
    </row>
    <row r="113" spans="1:5" ht="32.1" customHeight="1">
      <c r="A113" s="276" t="s">
        <v>601</v>
      </c>
      <c r="B113" s="277">
        <v>952708</v>
      </c>
      <c r="C113" s="277">
        <v>4549</v>
      </c>
      <c r="D113" s="277">
        <v>739669</v>
      </c>
      <c r="E113" s="277">
        <v>14251</v>
      </c>
    </row>
    <row r="114" spans="1:5" ht="32.1" customHeight="1">
      <c r="A114" s="276" t="s">
        <v>628</v>
      </c>
      <c r="B114" s="277">
        <v>166034</v>
      </c>
      <c r="C114" s="277">
        <v>592</v>
      </c>
      <c r="D114" s="277">
        <v>138661</v>
      </c>
      <c r="E114" s="277">
        <v>4996</v>
      </c>
    </row>
    <row r="115" spans="1:5" ht="32.1" customHeight="1">
      <c r="A115" s="276" t="s">
        <v>616</v>
      </c>
      <c r="B115" s="277">
        <v>300</v>
      </c>
      <c r="C115" s="277">
        <v>2</v>
      </c>
      <c r="D115" s="277">
        <v>87</v>
      </c>
      <c r="E115" s="277">
        <v>2</v>
      </c>
    </row>
    <row r="116" spans="1:5" ht="32.1" customHeight="1">
      <c r="A116" s="276" t="s">
        <v>603</v>
      </c>
      <c r="B116" s="277">
        <v>238824</v>
      </c>
      <c r="C116" s="277">
        <v>1364</v>
      </c>
      <c r="D116" s="277">
        <v>190783</v>
      </c>
      <c r="E116" s="277">
        <v>2517</v>
      </c>
    </row>
    <row r="117" spans="1:5" ht="32.1" customHeight="1">
      <c r="A117" s="276" t="s">
        <v>672</v>
      </c>
      <c r="B117" s="277">
        <v>0</v>
      </c>
      <c r="C117" s="277">
        <v>136</v>
      </c>
      <c r="D117" s="277">
        <v>0</v>
      </c>
      <c r="E117" s="277">
        <v>3532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C374-52E5-4DC9-81BF-EC75FF860F49}">
  <dimension ref="A1:E114"/>
  <sheetViews>
    <sheetView workbookViewId="0">
      <selection sqref="A1:E1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673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112911898</v>
      </c>
      <c r="C3" s="277">
        <v>570597</v>
      </c>
      <c r="D3" s="277">
        <v>90238814</v>
      </c>
      <c r="E3" s="277">
        <v>3806552</v>
      </c>
    </row>
    <row r="4" spans="1:5" ht="32.1" customHeight="1">
      <c r="A4" s="276" t="s">
        <v>511</v>
      </c>
      <c r="B4" s="277">
        <v>84329502</v>
      </c>
      <c r="C4" s="277">
        <v>420486</v>
      </c>
      <c r="D4" s="277">
        <v>68106765</v>
      </c>
      <c r="E4" s="277">
        <v>2733091</v>
      </c>
    </row>
    <row r="5" spans="1:5" ht="32.1" customHeight="1">
      <c r="A5" s="276" t="s">
        <v>512</v>
      </c>
      <c r="B5" s="277">
        <v>33133187</v>
      </c>
      <c r="C5" s="277">
        <v>155567</v>
      </c>
      <c r="D5" s="277">
        <v>25234712</v>
      </c>
      <c r="E5" s="277">
        <v>1639833</v>
      </c>
    </row>
    <row r="6" spans="1:5" ht="32.1" customHeight="1">
      <c r="A6" s="276" t="s">
        <v>513</v>
      </c>
      <c r="B6" s="277">
        <v>22873092</v>
      </c>
      <c r="C6" s="277">
        <v>111588</v>
      </c>
      <c r="D6" s="277">
        <v>18284942</v>
      </c>
      <c r="E6" s="277">
        <v>877963</v>
      </c>
    </row>
    <row r="7" spans="1:5" ht="32.1" customHeight="1">
      <c r="A7" s="276" t="s">
        <v>514</v>
      </c>
      <c r="B7" s="277">
        <v>8162700</v>
      </c>
      <c r="C7" s="277">
        <v>43408</v>
      </c>
      <c r="D7" s="277">
        <v>7227016</v>
      </c>
      <c r="E7" s="277">
        <v>56020</v>
      </c>
    </row>
    <row r="8" spans="1:5" ht="32.1" customHeight="1">
      <c r="A8" s="276" t="s">
        <v>515</v>
      </c>
      <c r="B8" s="277">
        <v>6029972</v>
      </c>
      <c r="C8" s="277">
        <v>29704</v>
      </c>
      <c r="D8" s="277">
        <v>5364234</v>
      </c>
      <c r="E8" s="277">
        <v>52320</v>
      </c>
    </row>
    <row r="9" spans="1:5" ht="32.1" customHeight="1">
      <c r="A9" s="276" t="s">
        <v>516</v>
      </c>
      <c r="B9" s="277">
        <v>5860267</v>
      </c>
      <c r="C9" s="277">
        <v>33212</v>
      </c>
      <c r="D9" s="277">
        <v>4907953</v>
      </c>
      <c r="E9" s="277">
        <v>48124</v>
      </c>
    </row>
    <row r="10" spans="1:5" ht="32.1" customHeight="1">
      <c r="A10" s="276" t="s">
        <v>517</v>
      </c>
      <c r="B10" s="277">
        <v>3901018</v>
      </c>
      <c r="C10" s="277">
        <v>22546</v>
      </c>
      <c r="D10" s="277">
        <v>3398902</v>
      </c>
      <c r="E10" s="277">
        <v>25308</v>
      </c>
    </row>
    <row r="11" spans="1:5" ht="32.1" customHeight="1">
      <c r="A11" s="276" t="s">
        <v>605</v>
      </c>
      <c r="B11" s="277">
        <v>4369266</v>
      </c>
      <c r="C11" s="277">
        <v>23205</v>
      </c>
      <c r="D11" s="277">
        <v>3689006</v>
      </c>
      <c r="E11" s="277">
        <v>23604</v>
      </c>
    </row>
    <row r="12" spans="1:5" ht="32.1" customHeight="1">
      <c r="A12" s="276" t="s">
        <v>645</v>
      </c>
      <c r="B12" s="277">
        <v>0</v>
      </c>
      <c r="C12" s="277">
        <v>1256</v>
      </c>
      <c r="D12" s="277">
        <v>0</v>
      </c>
      <c r="E12" s="277">
        <v>9920</v>
      </c>
    </row>
    <row r="13" spans="1:5" ht="32.1" customHeight="1">
      <c r="A13" s="276" t="s">
        <v>518</v>
      </c>
      <c r="B13" s="277">
        <v>28582396</v>
      </c>
      <c r="C13" s="277">
        <v>150111</v>
      </c>
      <c r="D13" s="277">
        <v>22132049</v>
      </c>
      <c r="E13" s="277">
        <v>1073461</v>
      </c>
    </row>
    <row r="14" spans="1:5" ht="32.1" customHeight="1">
      <c r="A14" s="276" t="s">
        <v>674</v>
      </c>
      <c r="B14" s="277">
        <v>20564</v>
      </c>
      <c r="C14" s="277">
        <v>106</v>
      </c>
      <c r="D14" s="277">
        <v>13899</v>
      </c>
      <c r="E14" s="277">
        <v>120</v>
      </c>
    </row>
    <row r="15" spans="1:5" ht="32.1" customHeight="1">
      <c r="A15" s="276" t="s">
        <v>521</v>
      </c>
      <c r="B15" s="277">
        <v>327250</v>
      </c>
      <c r="C15" s="277">
        <v>1348</v>
      </c>
      <c r="D15" s="277">
        <v>232401</v>
      </c>
      <c r="E15" s="277">
        <v>10627</v>
      </c>
    </row>
    <row r="16" spans="1:5" ht="32.1" customHeight="1">
      <c r="A16" s="276" t="s">
        <v>524</v>
      </c>
      <c r="B16" s="277">
        <v>204030</v>
      </c>
      <c r="C16" s="277">
        <v>724</v>
      </c>
      <c r="D16" s="277">
        <v>174535</v>
      </c>
      <c r="E16" s="277">
        <v>26340</v>
      </c>
    </row>
    <row r="17" spans="1:5" ht="32.1" customHeight="1">
      <c r="A17" s="276" t="s">
        <v>675</v>
      </c>
      <c r="B17" s="277">
        <v>9960</v>
      </c>
      <c r="C17" s="277">
        <v>26</v>
      </c>
      <c r="D17" s="277">
        <v>9511</v>
      </c>
      <c r="E17" s="277">
        <v>142</v>
      </c>
    </row>
    <row r="18" spans="1:5" ht="32.1" customHeight="1">
      <c r="A18" s="276" t="s">
        <v>526</v>
      </c>
      <c r="B18" s="277">
        <v>434682</v>
      </c>
      <c r="C18" s="277">
        <v>1356</v>
      </c>
      <c r="D18" s="277">
        <v>378397</v>
      </c>
      <c r="E18" s="277">
        <v>16248</v>
      </c>
    </row>
    <row r="19" spans="1:5" ht="32.1" customHeight="1">
      <c r="A19" s="276" t="s">
        <v>648</v>
      </c>
      <c r="B19" s="277">
        <v>117914</v>
      </c>
      <c r="C19" s="277">
        <v>798</v>
      </c>
      <c r="D19" s="277">
        <v>75695</v>
      </c>
      <c r="E19" s="277">
        <v>1043</v>
      </c>
    </row>
    <row r="20" spans="1:5" ht="32.1" customHeight="1">
      <c r="A20" s="276" t="s">
        <v>528</v>
      </c>
      <c r="B20" s="277">
        <v>277702</v>
      </c>
      <c r="C20" s="277">
        <v>724</v>
      </c>
      <c r="D20" s="277">
        <v>220734</v>
      </c>
      <c r="E20" s="277">
        <v>5685</v>
      </c>
    </row>
    <row r="21" spans="1:5" ht="32.1" customHeight="1">
      <c r="A21" s="276" t="s">
        <v>676</v>
      </c>
      <c r="B21" s="277">
        <v>7320</v>
      </c>
      <c r="C21" s="277">
        <v>40</v>
      </c>
      <c r="D21" s="277">
        <v>6865</v>
      </c>
      <c r="E21" s="277">
        <v>70</v>
      </c>
    </row>
    <row r="22" spans="1:5" ht="32.1" customHeight="1">
      <c r="A22" s="276" t="s">
        <v>677</v>
      </c>
      <c r="B22" s="277">
        <v>720</v>
      </c>
      <c r="C22" s="277">
        <v>4</v>
      </c>
      <c r="D22" s="277">
        <v>610</v>
      </c>
      <c r="E22" s="277">
        <v>6</v>
      </c>
    </row>
    <row r="23" spans="1:5" ht="32.1" customHeight="1">
      <c r="A23" s="276" t="s">
        <v>529</v>
      </c>
      <c r="B23" s="277">
        <v>473805</v>
      </c>
      <c r="C23" s="277">
        <v>1198</v>
      </c>
      <c r="D23" s="277">
        <v>385847</v>
      </c>
      <c r="E23" s="277">
        <v>20824</v>
      </c>
    </row>
    <row r="24" spans="1:5" ht="32.1" customHeight="1">
      <c r="A24" s="276" t="s">
        <v>530</v>
      </c>
      <c r="B24" s="277">
        <v>0</v>
      </c>
      <c r="C24" s="277">
        <v>445</v>
      </c>
      <c r="D24" s="277">
        <v>0</v>
      </c>
      <c r="E24" s="277">
        <v>15998</v>
      </c>
    </row>
    <row r="25" spans="1:5" ht="32.1" customHeight="1">
      <c r="A25" s="276" t="s">
        <v>531</v>
      </c>
      <c r="B25" s="277">
        <v>49608</v>
      </c>
      <c r="C25" s="277">
        <v>478</v>
      </c>
      <c r="D25" s="277">
        <v>38918</v>
      </c>
      <c r="E25" s="277">
        <v>536</v>
      </c>
    </row>
    <row r="26" spans="1:5" ht="32.1" customHeight="1">
      <c r="A26" s="276" t="s">
        <v>532</v>
      </c>
      <c r="B26" s="277">
        <v>206476</v>
      </c>
      <c r="C26" s="277">
        <v>730</v>
      </c>
      <c r="D26" s="277">
        <v>157483</v>
      </c>
      <c r="E26" s="277">
        <v>13139</v>
      </c>
    </row>
    <row r="27" spans="1:5" ht="32.1" customHeight="1">
      <c r="A27" s="276" t="s">
        <v>650</v>
      </c>
      <c r="B27" s="277">
        <v>0</v>
      </c>
      <c r="C27" s="277">
        <v>2</v>
      </c>
      <c r="D27" s="277">
        <v>0</v>
      </c>
      <c r="E27" s="277">
        <v>15</v>
      </c>
    </row>
    <row r="28" spans="1:5" ht="32.1" customHeight="1">
      <c r="A28" s="276" t="s">
        <v>533</v>
      </c>
      <c r="B28" s="277">
        <v>172074</v>
      </c>
      <c r="C28" s="277">
        <v>734</v>
      </c>
      <c r="D28" s="277">
        <v>146113</v>
      </c>
      <c r="E28" s="277">
        <v>4039</v>
      </c>
    </row>
    <row r="29" spans="1:5" ht="32.1" customHeight="1">
      <c r="A29" s="276" t="s">
        <v>534</v>
      </c>
      <c r="B29" s="277">
        <v>0</v>
      </c>
      <c r="C29" s="277">
        <v>34</v>
      </c>
      <c r="D29" s="277">
        <v>0</v>
      </c>
      <c r="E29" s="277">
        <v>195</v>
      </c>
    </row>
    <row r="30" spans="1:5" ht="32.1" customHeight="1">
      <c r="A30" s="276" t="s">
        <v>632</v>
      </c>
      <c r="B30" s="277">
        <v>31320</v>
      </c>
      <c r="C30" s="277">
        <v>174</v>
      </c>
      <c r="D30" s="277">
        <v>28670</v>
      </c>
      <c r="E30" s="277">
        <v>282</v>
      </c>
    </row>
    <row r="31" spans="1:5" ht="32.1" customHeight="1">
      <c r="A31" s="276" t="s">
        <v>535</v>
      </c>
      <c r="B31" s="277">
        <v>1225026</v>
      </c>
      <c r="C31" s="277">
        <v>5584</v>
      </c>
      <c r="D31" s="277">
        <v>1019677</v>
      </c>
      <c r="E31" s="277">
        <v>29992</v>
      </c>
    </row>
    <row r="32" spans="1:5" ht="32.1" customHeight="1">
      <c r="A32" s="276" t="s">
        <v>536</v>
      </c>
      <c r="B32" s="277">
        <v>0</v>
      </c>
      <c r="C32" s="277">
        <v>10</v>
      </c>
      <c r="D32" s="277">
        <v>0</v>
      </c>
      <c r="E32" s="277">
        <v>534</v>
      </c>
    </row>
    <row r="33" spans="1:5" ht="32.1" customHeight="1">
      <c r="A33" s="276" t="s">
        <v>537</v>
      </c>
      <c r="B33" s="277">
        <v>47494</v>
      </c>
      <c r="C33" s="277">
        <v>307</v>
      </c>
      <c r="D33" s="277">
        <v>33858</v>
      </c>
      <c r="E33" s="277">
        <v>419</v>
      </c>
    </row>
    <row r="34" spans="1:5" ht="32.1" customHeight="1">
      <c r="A34" s="276" t="s">
        <v>651</v>
      </c>
      <c r="B34" s="277">
        <v>79795</v>
      </c>
      <c r="C34" s="277">
        <v>471</v>
      </c>
      <c r="D34" s="277">
        <v>71012</v>
      </c>
      <c r="E34" s="277">
        <v>722</v>
      </c>
    </row>
    <row r="35" spans="1:5" ht="32.1" customHeight="1">
      <c r="A35" s="276" t="s">
        <v>652</v>
      </c>
      <c r="B35" s="277">
        <v>173520</v>
      </c>
      <c r="C35" s="277">
        <v>969</v>
      </c>
      <c r="D35" s="277">
        <v>132157</v>
      </c>
      <c r="E35" s="277">
        <v>2233</v>
      </c>
    </row>
    <row r="36" spans="1:5" ht="32.1" customHeight="1">
      <c r="A36" s="276" t="s">
        <v>539</v>
      </c>
      <c r="B36" s="277">
        <v>8160</v>
      </c>
      <c r="C36" s="277">
        <v>30</v>
      </c>
      <c r="D36" s="277">
        <v>7808</v>
      </c>
      <c r="E36" s="277">
        <v>278</v>
      </c>
    </row>
    <row r="37" spans="1:5" ht="32.1" customHeight="1">
      <c r="A37" s="276" t="s">
        <v>607</v>
      </c>
      <c r="B37" s="277">
        <v>161134</v>
      </c>
      <c r="C37" s="277">
        <v>747</v>
      </c>
      <c r="D37" s="277">
        <v>126810</v>
      </c>
      <c r="E37" s="277">
        <v>1853</v>
      </c>
    </row>
    <row r="38" spans="1:5" ht="32.1" customHeight="1">
      <c r="A38" s="276" t="s">
        <v>541</v>
      </c>
      <c r="B38" s="277">
        <v>696318</v>
      </c>
      <c r="C38" s="277">
        <v>4224</v>
      </c>
      <c r="D38" s="277">
        <v>403241</v>
      </c>
      <c r="E38" s="277">
        <v>8488</v>
      </c>
    </row>
    <row r="39" spans="1:5" ht="32.1" customHeight="1">
      <c r="A39" s="276" t="s">
        <v>542</v>
      </c>
      <c r="B39" s="277">
        <v>471440</v>
      </c>
      <c r="C39" s="277">
        <v>2277</v>
      </c>
      <c r="D39" s="277">
        <v>370929</v>
      </c>
      <c r="E39" s="277">
        <v>6238</v>
      </c>
    </row>
    <row r="40" spans="1:5" ht="32.1" customHeight="1">
      <c r="A40" s="276" t="s">
        <v>543</v>
      </c>
      <c r="B40" s="277">
        <v>475846</v>
      </c>
      <c r="C40" s="277">
        <v>2646</v>
      </c>
      <c r="D40" s="277">
        <v>363478</v>
      </c>
      <c r="E40" s="277">
        <v>5235</v>
      </c>
    </row>
    <row r="41" spans="1:5" ht="32.1" customHeight="1">
      <c r="A41" s="276" t="s">
        <v>622</v>
      </c>
      <c r="B41" s="277">
        <v>137682</v>
      </c>
      <c r="C41" s="277">
        <v>769</v>
      </c>
      <c r="D41" s="277">
        <v>105604</v>
      </c>
      <c r="E41" s="277">
        <v>991</v>
      </c>
    </row>
    <row r="42" spans="1:5" ht="32.1" customHeight="1">
      <c r="A42" s="276" t="s">
        <v>653</v>
      </c>
      <c r="B42" s="277">
        <v>131220</v>
      </c>
      <c r="C42" s="277">
        <v>335</v>
      </c>
      <c r="D42" s="277">
        <v>103683</v>
      </c>
      <c r="E42" s="277">
        <v>2619</v>
      </c>
    </row>
    <row r="43" spans="1:5" ht="32.1" customHeight="1">
      <c r="A43" s="276" t="s">
        <v>545</v>
      </c>
      <c r="B43" s="277">
        <v>7950</v>
      </c>
      <c r="C43" s="277">
        <v>56</v>
      </c>
      <c r="D43" s="277">
        <v>6302</v>
      </c>
      <c r="E43" s="277">
        <v>60</v>
      </c>
    </row>
    <row r="44" spans="1:5" ht="32.1" customHeight="1">
      <c r="A44" s="276" t="s">
        <v>546</v>
      </c>
      <c r="B44" s="277">
        <v>40132</v>
      </c>
      <c r="C44" s="277">
        <v>254</v>
      </c>
      <c r="D44" s="277">
        <v>31527</v>
      </c>
      <c r="E44" s="277">
        <v>441</v>
      </c>
    </row>
    <row r="45" spans="1:5" ht="32.1" customHeight="1">
      <c r="A45" s="276" t="s">
        <v>678</v>
      </c>
      <c r="B45" s="277">
        <v>0</v>
      </c>
      <c r="C45" s="277">
        <v>110</v>
      </c>
      <c r="D45" s="277">
        <v>0</v>
      </c>
      <c r="E45" s="277">
        <v>6414</v>
      </c>
    </row>
    <row r="46" spans="1:5" ht="32.1" customHeight="1">
      <c r="A46" s="276" t="s">
        <v>634</v>
      </c>
      <c r="B46" s="277">
        <v>0</v>
      </c>
      <c r="C46" s="277">
        <v>5</v>
      </c>
      <c r="D46" s="277">
        <v>0</v>
      </c>
      <c r="E46" s="277">
        <v>58</v>
      </c>
    </row>
    <row r="47" spans="1:5" ht="32.1" customHeight="1">
      <c r="A47" s="276" t="s">
        <v>667</v>
      </c>
      <c r="B47" s="277">
        <v>0</v>
      </c>
      <c r="C47" s="277">
        <v>78</v>
      </c>
      <c r="D47" s="277">
        <v>0</v>
      </c>
      <c r="E47" s="277">
        <v>4334</v>
      </c>
    </row>
    <row r="48" spans="1:5" ht="32.1" customHeight="1">
      <c r="A48" s="276" t="s">
        <v>547</v>
      </c>
      <c r="B48" s="277">
        <v>0</v>
      </c>
      <c r="C48" s="277">
        <v>2</v>
      </c>
      <c r="D48" s="277">
        <v>0</v>
      </c>
      <c r="E48" s="277">
        <v>92</v>
      </c>
    </row>
    <row r="49" spans="1:5" ht="32.1" customHeight="1">
      <c r="A49" s="276" t="s">
        <v>548</v>
      </c>
      <c r="B49" s="277">
        <v>1030814</v>
      </c>
      <c r="C49" s="277">
        <v>3644</v>
      </c>
      <c r="D49" s="277">
        <v>618149</v>
      </c>
      <c r="E49" s="277">
        <v>29852</v>
      </c>
    </row>
    <row r="50" spans="1:5" ht="32.1" customHeight="1">
      <c r="A50" s="276" t="s">
        <v>654</v>
      </c>
      <c r="B50" s="277">
        <v>174358</v>
      </c>
      <c r="C50" s="277">
        <v>706</v>
      </c>
      <c r="D50" s="277">
        <v>159446</v>
      </c>
      <c r="E50" s="277">
        <v>9869</v>
      </c>
    </row>
    <row r="51" spans="1:5" ht="32.1" customHeight="1">
      <c r="A51" s="276" t="s">
        <v>668</v>
      </c>
      <c r="B51" s="277">
        <v>32349</v>
      </c>
      <c r="C51" s="277">
        <v>125</v>
      </c>
      <c r="D51" s="277">
        <v>28301</v>
      </c>
      <c r="E51" s="277">
        <v>369</v>
      </c>
    </row>
    <row r="52" spans="1:5" ht="32.1" customHeight="1">
      <c r="A52" s="276" t="s">
        <v>679</v>
      </c>
      <c r="B52" s="277">
        <v>120</v>
      </c>
      <c r="C52" s="277">
        <v>1</v>
      </c>
      <c r="D52" s="277">
        <v>25</v>
      </c>
      <c r="E52" s="277">
        <v>0</v>
      </c>
    </row>
    <row r="53" spans="1:5" ht="32.1" customHeight="1">
      <c r="A53" s="276" t="s">
        <v>551</v>
      </c>
      <c r="B53" s="277">
        <v>0</v>
      </c>
      <c r="C53" s="277">
        <v>63</v>
      </c>
      <c r="D53" s="277">
        <v>0</v>
      </c>
      <c r="E53" s="277">
        <v>1342</v>
      </c>
    </row>
    <row r="54" spans="1:5" ht="32.1" customHeight="1">
      <c r="A54" s="276" t="s">
        <v>552</v>
      </c>
      <c r="B54" s="277">
        <v>0</v>
      </c>
      <c r="C54" s="277">
        <v>4</v>
      </c>
      <c r="D54" s="277">
        <v>0</v>
      </c>
      <c r="E54" s="277">
        <v>63</v>
      </c>
    </row>
    <row r="55" spans="1:5" ht="32.1" customHeight="1">
      <c r="A55" s="276" t="s">
        <v>669</v>
      </c>
      <c r="B55" s="277">
        <v>50000</v>
      </c>
      <c r="C55" s="277">
        <v>200</v>
      </c>
      <c r="D55" s="277">
        <v>35704</v>
      </c>
      <c r="E55" s="277">
        <v>2077</v>
      </c>
    </row>
    <row r="56" spans="1:5" ht="32.1" customHeight="1">
      <c r="A56" s="276" t="s">
        <v>554</v>
      </c>
      <c r="B56" s="277">
        <v>25628</v>
      </c>
      <c r="C56" s="277">
        <v>248</v>
      </c>
      <c r="D56" s="277">
        <v>13576</v>
      </c>
      <c r="E56" s="277">
        <v>158</v>
      </c>
    </row>
    <row r="57" spans="1:5" ht="32.1" customHeight="1">
      <c r="A57" s="276" t="s">
        <v>555</v>
      </c>
      <c r="B57" s="277">
        <v>0</v>
      </c>
      <c r="C57" s="277">
        <v>502</v>
      </c>
      <c r="D57" s="277">
        <v>0</v>
      </c>
      <c r="E57" s="277">
        <v>4908</v>
      </c>
    </row>
    <row r="58" spans="1:5" ht="32.1" customHeight="1">
      <c r="A58" s="276" t="s">
        <v>556</v>
      </c>
      <c r="B58" s="277">
        <v>376610</v>
      </c>
      <c r="C58" s="277">
        <v>814</v>
      </c>
      <c r="D58" s="277">
        <v>298459</v>
      </c>
      <c r="E58" s="277">
        <v>20577</v>
      </c>
    </row>
    <row r="59" spans="1:5" ht="32.1" customHeight="1">
      <c r="A59" s="276" t="s">
        <v>557</v>
      </c>
      <c r="B59" s="277">
        <v>431338</v>
      </c>
      <c r="C59" s="277">
        <v>1828</v>
      </c>
      <c r="D59" s="277">
        <v>360624</v>
      </c>
      <c r="E59" s="277">
        <v>11182</v>
      </c>
    </row>
    <row r="60" spans="1:5" ht="32.1" customHeight="1">
      <c r="A60" s="276" t="s">
        <v>609</v>
      </c>
      <c r="B60" s="277">
        <v>0</v>
      </c>
      <c r="C60" s="277">
        <v>10</v>
      </c>
      <c r="D60" s="277">
        <v>0</v>
      </c>
      <c r="E60" s="277">
        <v>209</v>
      </c>
    </row>
    <row r="61" spans="1:5" ht="32.1" customHeight="1">
      <c r="A61" s="276" t="s">
        <v>559</v>
      </c>
      <c r="B61" s="277">
        <v>234108</v>
      </c>
      <c r="C61" s="277">
        <v>1376</v>
      </c>
      <c r="D61" s="277">
        <v>187951</v>
      </c>
      <c r="E61" s="277">
        <v>3318</v>
      </c>
    </row>
    <row r="62" spans="1:5" ht="32.1" customHeight="1">
      <c r="A62" s="276" t="s">
        <v>560</v>
      </c>
      <c r="B62" s="277">
        <v>0</v>
      </c>
      <c r="C62" s="277">
        <v>297</v>
      </c>
      <c r="D62" s="277">
        <v>0</v>
      </c>
      <c r="E62" s="277">
        <v>10764</v>
      </c>
    </row>
    <row r="63" spans="1:5" ht="32.1" customHeight="1">
      <c r="A63" s="276" t="s">
        <v>562</v>
      </c>
      <c r="B63" s="277">
        <v>82078</v>
      </c>
      <c r="C63" s="277">
        <v>374</v>
      </c>
      <c r="D63" s="277">
        <v>55982</v>
      </c>
      <c r="E63" s="277">
        <v>1828</v>
      </c>
    </row>
    <row r="64" spans="1:5" ht="32.1" customHeight="1">
      <c r="A64" s="276" t="s">
        <v>610</v>
      </c>
      <c r="B64" s="277">
        <v>691795</v>
      </c>
      <c r="C64" s="277">
        <v>1835</v>
      </c>
      <c r="D64" s="277">
        <v>429873</v>
      </c>
      <c r="E64" s="277">
        <v>10938</v>
      </c>
    </row>
    <row r="65" spans="1:5" ht="32.1" customHeight="1">
      <c r="A65" s="276" t="s">
        <v>611</v>
      </c>
      <c r="B65" s="277">
        <v>0</v>
      </c>
      <c r="C65" s="277">
        <v>1290</v>
      </c>
      <c r="D65" s="277">
        <v>0</v>
      </c>
      <c r="E65" s="277">
        <v>40295</v>
      </c>
    </row>
    <row r="66" spans="1:5" ht="32.1" customHeight="1">
      <c r="A66" s="276" t="s">
        <v>564</v>
      </c>
      <c r="B66" s="277">
        <v>176612</v>
      </c>
      <c r="C66" s="277">
        <v>724</v>
      </c>
      <c r="D66" s="277">
        <v>162893</v>
      </c>
      <c r="E66" s="277">
        <v>9804</v>
      </c>
    </row>
    <row r="67" spans="1:5" ht="32.1" customHeight="1">
      <c r="A67" s="276" t="s">
        <v>565</v>
      </c>
      <c r="B67" s="277">
        <v>0</v>
      </c>
      <c r="C67" s="277">
        <v>612</v>
      </c>
      <c r="D67" s="277">
        <v>0</v>
      </c>
      <c r="E67" s="277">
        <v>19627</v>
      </c>
    </row>
    <row r="68" spans="1:5" ht="32.1" customHeight="1">
      <c r="A68" s="276" t="s">
        <v>655</v>
      </c>
      <c r="B68" s="277">
        <v>71280</v>
      </c>
      <c r="C68" s="277">
        <v>264</v>
      </c>
      <c r="D68" s="277">
        <v>28181</v>
      </c>
      <c r="E68" s="277">
        <v>845</v>
      </c>
    </row>
    <row r="69" spans="1:5" ht="32.1" customHeight="1">
      <c r="A69" s="276" t="s">
        <v>612</v>
      </c>
      <c r="B69" s="277">
        <v>190576</v>
      </c>
      <c r="C69" s="277">
        <v>730</v>
      </c>
      <c r="D69" s="277">
        <v>160142</v>
      </c>
      <c r="E69" s="277">
        <v>11845</v>
      </c>
    </row>
    <row r="70" spans="1:5" ht="32.1" customHeight="1">
      <c r="A70" s="276" t="s">
        <v>638</v>
      </c>
      <c r="B70" s="277">
        <v>155100</v>
      </c>
      <c r="C70" s="277">
        <v>720</v>
      </c>
      <c r="D70" s="277">
        <v>125036</v>
      </c>
      <c r="E70" s="277">
        <v>9439</v>
      </c>
    </row>
    <row r="71" spans="1:5" ht="32.1" customHeight="1">
      <c r="A71" s="276" t="s">
        <v>567</v>
      </c>
      <c r="B71" s="277">
        <v>242730</v>
      </c>
      <c r="C71" s="277">
        <v>1938</v>
      </c>
      <c r="D71" s="277">
        <v>152092</v>
      </c>
      <c r="E71" s="277">
        <v>2334</v>
      </c>
    </row>
    <row r="72" spans="1:5" ht="32.1" customHeight="1">
      <c r="A72" s="276" t="s">
        <v>613</v>
      </c>
      <c r="B72" s="277">
        <v>4536</v>
      </c>
      <c r="C72" s="277">
        <v>17</v>
      </c>
      <c r="D72" s="277">
        <v>3986</v>
      </c>
      <c r="E72" s="277">
        <v>53</v>
      </c>
    </row>
    <row r="73" spans="1:5" ht="32.1" customHeight="1">
      <c r="A73" s="276" t="s">
        <v>670</v>
      </c>
      <c r="B73" s="277">
        <v>153314</v>
      </c>
      <c r="C73" s="277">
        <v>835</v>
      </c>
      <c r="D73" s="277">
        <v>139081</v>
      </c>
      <c r="E73" s="277">
        <v>1453</v>
      </c>
    </row>
    <row r="74" spans="1:5" ht="32.1" customHeight="1">
      <c r="A74" s="276" t="s">
        <v>568</v>
      </c>
      <c r="B74" s="277">
        <v>60833</v>
      </c>
      <c r="C74" s="277">
        <v>245</v>
      </c>
      <c r="D74" s="277">
        <v>52019</v>
      </c>
      <c r="E74" s="277">
        <v>1639</v>
      </c>
    </row>
    <row r="75" spans="1:5" ht="32.1" customHeight="1">
      <c r="A75" s="276" t="s">
        <v>639</v>
      </c>
      <c r="B75" s="277">
        <v>3135</v>
      </c>
      <c r="C75" s="277">
        <v>19</v>
      </c>
      <c r="D75" s="277">
        <v>2581</v>
      </c>
      <c r="E75" s="277">
        <v>41</v>
      </c>
    </row>
    <row r="76" spans="1:5" ht="32.1" customHeight="1">
      <c r="A76" s="276" t="s">
        <v>680</v>
      </c>
      <c r="B76" s="277">
        <v>0</v>
      </c>
      <c r="C76" s="277">
        <v>86</v>
      </c>
      <c r="D76" s="277">
        <v>0</v>
      </c>
      <c r="E76" s="277">
        <v>4179</v>
      </c>
    </row>
    <row r="77" spans="1:5" ht="32.1" customHeight="1">
      <c r="A77" s="276" t="s">
        <v>570</v>
      </c>
      <c r="B77" s="277">
        <v>466237</v>
      </c>
      <c r="C77" s="277">
        <v>1968</v>
      </c>
      <c r="D77" s="277">
        <v>395947</v>
      </c>
      <c r="E77" s="277">
        <v>13023</v>
      </c>
    </row>
    <row r="78" spans="1:5" ht="32.1" customHeight="1">
      <c r="A78" s="276" t="s">
        <v>571</v>
      </c>
      <c r="B78" s="277">
        <v>6200</v>
      </c>
      <c r="C78" s="277">
        <v>40</v>
      </c>
      <c r="D78" s="277">
        <v>4830</v>
      </c>
      <c r="E78" s="277">
        <v>66</v>
      </c>
    </row>
    <row r="79" spans="1:5" ht="32.1" customHeight="1">
      <c r="A79" s="276" t="s">
        <v>572</v>
      </c>
      <c r="B79" s="277">
        <v>0</v>
      </c>
      <c r="C79" s="277">
        <v>3666</v>
      </c>
      <c r="D79" s="277">
        <v>0</v>
      </c>
      <c r="E79" s="277">
        <v>42274</v>
      </c>
    </row>
    <row r="80" spans="1:5" ht="32.1" customHeight="1">
      <c r="A80" s="276" t="s">
        <v>614</v>
      </c>
      <c r="B80" s="277">
        <v>104960</v>
      </c>
      <c r="C80" s="277">
        <v>410</v>
      </c>
      <c r="D80" s="277">
        <v>69383</v>
      </c>
      <c r="E80" s="277">
        <v>3153</v>
      </c>
    </row>
    <row r="81" spans="1:5" ht="32.1" customHeight="1">
      <c r="A81" s="276" t="s">
        <v>575</v>
      </c>
      <c r="B81" s="277">
        <v>866177</v>
      </c>
      <c r="C81" s="277">
        <v>4551</v>
      </c>
      <c r="D81" s="277">
        <v>735287</v>
      </c>
      <c r="E81" s="277">
        <v>18457</v>
      </c>
    </row>
    <row r="82" spans="1:5" ht="32.1" customHeight="1">
      <c r="A82" s="276" t="s">
        <v>577</v>
      </c>
      <c r="B82" s="277">
        <v>510180</v>
      </c>
      <c r="C82" s="277">
        <v>2190</v>
      </c>
      <c r="D82" s="277">
        <v>406709</v>
      </c>
      <c r="E82" s="277">
        <v>7559</v>
      </c>
    </row>
    <row r="83" spans="1:5" ht="32.1" customHeight="1">
      <c r="A83" s="276" t="s">
        <v>658</v>
      </c>
      <c r="B83" s="277">
        <v>11552</v>
      </c>
      <c r="C83" s="277">
        <v>52</v>
      </c>
      <c r="D83" s="277">
        <v>8011</v>
      </c>
      <c r="E83" s="277">
        <v>253</v>
      </c>
    </row>
    <row r="84" spans="1:5" ht="32.1" customHeight="1">
      <c r="A84" s="276" t="s">
        <v>579</v>
      </c>
      <c r="B84" s="277">
        <v>1715776</v>
      </c>
      <c r="C84" s="277">
        <v>9370</v>
      </c>
      <c r="D84" s="277">
        <v>1258620</v>
      </c>
      <c r="E84" s="277">
        <v>28905</v>
      </c>
    </row>
    <row r="85" spans="1:5" ht="32.1" customHeight="1">
      <c r="A85" s="276" t="s">
        <v>659</v>
      </c>
      <c r="B85" s="277">
        <v>152182</v>
      </c>
      <c r="C85" s="277">
        <v>965</v>
      </c>
      <c r="D85" s="277">
        <v>123675</v>
      </c>
      <c r="E85" s="277">
        <v>1285</v>
      </c>
    </row>
    <row r="86" spans="1:5" ht="32.1" customHeight="1">
      <c r="A86" s="276" t="s">
        <v>580</v>
      </c>
      <c r="B86" s="277">
        <v>2633311</v>
      </c>
      <c r="C86" s="277">
        <v>15936</v>
      </c>
      <c r="D86" s="277">
        <v>2028321</v>
      </c>
      <c r="E86" s="277">
        <v>44190</v>
      </c>
    </row>
    <row r="87" spans="1:5" ht="32.1" customHeight="1">
      <c r="A87" s="276" t="s">
        <v>581</v>
      </c>
      <c r="B87" s="277">
        <v>3051428</v>
      </c>
      <c r="C87" s="277">
        <v>16973</v>
      </c>
      <c r="D87" s="277">
        <v>2342106</v>
      </c>
      <c r="E87" s="277">
        <v>49284</v>
      </c>
    </row>
    <row r="88" spans="1:5" ht="32.1" customHeight="1">
      <c r="A88" s="276" t="s">
        <v>582</v>
      </c>
      <c r="B88" s="277">
        <v>238318</v>
      </c>
      <c r="C88" s="277">
        <v>1448</v>
      </c>
      <c r="D88" s="277">
        <v>181919</v>
      </c>
      <c r="E88" s="277">
        <v>3475</v>
      </c>
    </row>
    <row r="89" spans="1:5" ht="32.1" customHeight="1">
      <c r="A89" s="276" t="s">
        <v>583</v>
      </c>
      <c r="B89" s="277">
        <v>0</v>
      </c>
      <c r="C89" s="277">
        <v>468</v>
      </c>
      <c r="D89" s="277">
        <v>0</v>
      </c>
      <c r="E89" s="277">
        <v>1865</v>
      </c>
    </row>
    <row r="90" spans="1:5" ht="32.1" customHeight="1">
      <c r="A90" s="276" t="s">
        <v>584</v>
      </c>
      <c r="B90" s="277">
        <v>189086</v>
      </c>
      <c r="C90" s="277">
        <v>1125</v>
      </c>
      <c r="D90" s="277">
        <v>150213</v>
      </c>
      <c r="E90" s="277">
        <v>2400</v>
      </c>
    </row>
    <row r="91" spans="1:5" ht="32.1" customHeight="1">
      <c r="A91" s="276" t="s">
        <v>585</v>
      </c>
      <c r="B91" s="277">
        <v>0</v>
      </c>
      <c r="C91" s="277">
        <v>562</v>
      </c>
      <c r="D91" s="277">
        <v>0</v>
      </c>
      <c r="E91" s="277">
        <v>31888</v>
      </c>
    </row>
    <row r="92" spans="1:5" ht="32.1" customHeight="1">
      <c r="A92" s="276" t="s">
        <v>586</v>
      </c>
      <c r="B92" s="277">
        <v>666613</v>
      </c>
      <c r="C92" s="277">
        <v>3338</v>
      </c>
      <c r="D92" s="277">
        <v>546848</v>
      </c>
      <c r="E92" s="277">
        <v>14239</v>
      </c>
    </row>
    <row r="93" spans="1:5" ht="32.1" customHeight="1">
      <c r="A93" s="276" t="s">
        <v>640</v>
      </c>
      <c r="B93" s="277">
        <v>157416</v>
      </c>
      <c r="C93" s="277">
        <v>890</v>
      </c>
      <c r="D93" s="277">
        <v>128054</v>
      </c>
      <c r="E93" s="277">
        <v>1483</v>
      </c>
    </row>
    <row r="94" spans="1:5" ht="32.1" customHeight="1">
      <c r="A94" s="276" t="s">
        <v>661</v>
      </c>
      <c r="B94" s="277">
        <v>111228</v>
      </c>
      <c r="C94" s="277">
        <v>403</v>
      </c>
      <c r="D94" s="277">
        <v>94951</v>
      </c>
      <c r="E94" s="277">
        <v>4533</v>
      </c>
    </row>
    <row r="95" spans="1:5" ht="32.1" customHeight="1">
      <c r="A95" s="276" t="s">
        <v>662</v>
      </c>
      <c r="B95" s="277">
        <v>570442</v>
      </c>
      <c r="C95" s="277">
        <v>3172</v>
      </c>
      <c r="D95" s="277">
        <v>507634</v>
      </c>
      <c r="E95" s="277">
        <v>5022</v>
      </c>
    </row>
    <row r="96" spans="1:5" ht="32.1" customHeight="1">
      <c r="A96" s="276" t="s">
        <v>587</v>
      </c>
      <c r="B96" s="277">
        <v>0</v>
      </c>
      <c r="C96" s="277">
        <v>304</v>
      </c>
      <c r="D96" s="277">
        <v>0</v>
      </c>
      <c r="E96" s="277">
        <v>13252</v>
      </c>
    </row>
    <row r="97" spans="1:5" ht="32.1" customHeight="1">
      <c r="A97" s="276" t="s">
        <v>588</v>
      </c>
      <c r="B97" s="277">
        <v>275533</v>
      </c>
      <c r="C97" s="277">
        <v>1144</v>
      </c>
      <c r="D97" s="277">
        <v>231861</v>
      </c>
      <c r="E97" s="277">
        <v>42502</v>
      </c>
    </row>
    <row r="98" spans="1:5" ht="32.1" customHeight="1">
      <c r="A98" s="276" t="s">
        <v>589</v>
      </c>
      <c r="B98" s="277">
        <v>0</v>
      </c>
      <c r="C98" s="277">
        <v>320</v>
      </c>
      <c r="D98" s="277">
        <v>0</v>
      </c>
      <c r="E98" s="277">
        <v>22930</v>
      </c>
    </row>
    <row r="99" spans="1:5" ht="32.1" customHeight="1">
      <c r="A99" s="276" t="s">
        <v>681</v>
      </c>
      <c r="B99" s="277">
        <v>5800</v>
      </c>
      <c r="C99" s="277">
        <v>32</v>
      </c>
      <c r="D99" s="277">
        <v>4870</v>
      </c>
      <c r="E99" s="277">
        <v>42</v>
      </c>
    </row>
    <row r="100" spans="1:5" ht="32.1" customHeight="1">
      <c r="A100" s="276" t="s">
        <v>590</v>
      </c>
      <c r="B100" s="277">
        <v>1278112</v>
      </c>
      <c r="C100" s="277">
        <v>4455</v>
      </c>
      <c r="D100" s="277">
        <v>1038164</v>
      </c>
      <c r="E100" s="277">
        <v>51520</v>
      </c>
    </row>
    <row r="101" spans="1:5" ht="32.1" customHeight="1">
      <c r="A101" s="276" t="s">
        <v>591</v>
      </c>
      <c r="B101" s="277">
        <v>178840</v>
      </c>
      <c r="C101" s="277">
        <v>1028</v>
      </c>
      <c r="D101" s="277">
        <v>133219</v>
      </c>
      <c r="E101" s="277">
        <v>1977</v>
      </c>
    </row>
    <row r="102" spans="1:5" ht="32.1" customHeight="1">
      <c r="A102" s="276" t="s">
        <v>671</v>
      </c>
      <c r="B102" s="277">
        <v>328744</v>
      </c>
      <c r="C102" s="277">
        <v>872</v>
      </c>
      <c r="D102" s="277">
        <v>251936</v>
      </c>
      <c r="E102" s="277">
        <v>6034</v>
      </c>
    </row>
    <row r="103" spans="1:5" ht="32.1" customHeight="1">
      <c r="A103" s="276" t="s">
        <v>592</v>
      </c>
      <c r="B103" s="277">
        <v>1361513</v>
      </c>
      <c r="C103" s="277">
        <v>4210</v>
      </c>
      <c r="D103" s="277">
        <v>969115</v>
      </c>
      <c r="E103" s="277">
        <v>42015</v>
      </c>
    </row>
    <row r="104" spans="1:5" ht="32.1" customHeight="1">
      <c r="A104" s="276" t="s">
        <v>593</v>
      </c>
      <c r="B104" s="277">
        <v>348699</v>
      </c>
      <c r="C104" s="277">
        <v>1317</v>
      </c>
      <c r="D104" s="277">
        <v>266044</v>
      </c>
      <c r="E104" s="277">
        <v>21002</v>
      </c>
    </row>
    <row r="105" spans="1:5" ht="32.1" customHeight="1">
      <c r="A105" s="276" t="s">
        <v>594</v>
      </c>
      <c r="B105" s="277">
        <v>0</v>
      </c>
      <c r="C105" s="277">
        <v>2</v>
      </c>
      <c r="D105" s="277">
        <v>0</v>
      </c>
      <c r="E105" s="277">
        <v>13</v>
      </c>
    </row>
    <row r="106" spans="1:5" ht="32.1" customHeight="1">
      <c r="A106" s="276" t="s">
        <v>595</v>
      </c>
      <c r="B106" s="277">
        <v>0</v>
      </c>
      <c r="C106" s="277">
        <v>2538</v>
      </c>
      <c r="D106" s="277">
        <v>0</v>
      </c>
      <c r="E106" s="277">
        <v>55288</v>
      </c>
    </row>
    <row r="107" spans="1:5" ht="32.1" customHeight="1">
      <c r="A107" s="276" t="s">
        <v>596</v>
      </c>
      <c r="B107" s="277">
        <v>0</v>
      </c>
      <c r="C107" s="277">
        <v>3771</v>
      </c>
      <c r="D107" s="277">
        <v>0</v>
      </c>
      <c r="E107" s="277">
        <v>91511</v>
      </c>
    </row>
    <row r="108" spans="1:5" ht="32.1" customHeight="1">
      <c r="A108" s="276" t="s">
        <v>598</v>
      </c>
      <c r="B108" s="277">
        <v>259296</v>
      </c>
      <c r="C108" s="277">
        <v>738</v>
      </c>
      <c r="D108" s="277">
        <v>199652</v>
      </c>
      <c r="E108" s="277">
        <v>15357</v>
      </c>
    </row>
    <row r="109" spans="1:5" ht="32.1" customHeight="1">
      <c r="A109" s="276" t="s">
        <v>642</v>
      </c>
      <c r="B109" s="277">
        <v>569520</v>
      </c>
      <c r="C109" s="277">
        <v>3164</v>
      </c>
      <c r="D109" s="277">
        <v>499088</v>
      </c>
      <c r="E109" s="277">
        <v>2585</v>
      </c>
    </row>
    <row r="110" spans="1:5" ht="32.1" customHeight="1">
      <c r="A110" s="276" t="s">
        <v>599</v>
      </c>
      <c r="B110" s="277">
        <v>211538</v>
      </c>
      <c r="C110" s="277">
        <v>718</v>
      </c>
      <c r="D110" s="277">
        <v>169426</v>
      </c>
      <c r="E110" s="277">
        <v>11435</v>
      </c>
    </row>
    <row r="111" spans="1:5" ht="32.1" customHeight="1">
      <c r="A111" s="276" t="s">
        <v>600</v>
      </c>
      <c r="B111" s="277">
        <v>593978</v>
      </c>
      <c r="C111" s="277">
        <v>3304</v>
      </c>
      <c r="D111" s="277">
        <v>432989</v>
      </c>
      <c r="E111" s="277">
        <v>4801</v>
      </c>
    </row>
    <row r="112" spans="1:5" ht="32.1" customHeight="1">
      <c r="A112" s="276" t="s">
        <v>601</v>
      </c>
      <c r="B112" s="277">
        <v>988013</v>
      </c>
      <c r="C112" s="277">
        <v>4567</v>
      </c>
      <c r="D112" s="277">
        <v>832845</v>
      </c>
      <c r="E112" s="277">
        <v>13474</v>
      </c>
    </row>
    <row r="113" spans="1:5" ht="32.1" customHeight="1">
      <c r="A113" s="276" t="s">
        <v>628</v>
      </c>
      <c r="B113" s="277">
        <v>153468</v>
      </c>
      <c r="C113" s="277">
        <v>522</v>
      </c>
      <c r="D113" s="277">
        <v>136112</v>
      </c>
      <c r="E113" s="277">
        <v>4726</v>
      </c>
    </row>
    <row r="114" spans="1:5" ht="32.1" customHeight="1">
      <c r="A114" s="276" t="s">
        <v>603</v>
      </c>
      <c r="B114" s="277">
        <v>401780</v>
      </c>
      <c r="C114" s="277">
        <v>2276</v>
      </c>
      <c r="D114" s="277">
        <v>324355</v>
      </c>
      <c r="E114" s="277">
        <v>4320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D8E2-9B60-47AE-8887-E24745082470}">
  <dimension ref="A1:E118"/>
  <sheetViews>
    <sheetView workbookViewId="0">
      <selection sqref="A1:E1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682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126013885</v>
      </c>
      <c r="C3" s="277">
        <v>629859</v>
      </c>
      <c r="D3" s="277">
        <v>104890078</v>
      </c>
      <c r="E3" s="277">
        <v>4073856</v>
      </c>
    </row>
    <row r="4" spans="1:5" ht="32.1" customHeight="1">
      <c r="A4" s="276" t="s">
        <v>511</v>
      </c>
      <c r="B4" s="277">
        <v>94085064</v>
      </c>
      <c r="C4" s="277">
        <v>464495</v>
      </c>
      <c r="D4" s="277">
        <v>78956163</v>
      </c>
      <c r="E4" s="277">
        <v>2886178</v>
      </c>
    </row>
    <row r="5" spans="1:5" ht="32.1" customHeight="1">
      <c r="A5" s="276" t="s">
        <v>512</v>
      </c>
      <c r="B5" s="277">
        <v>34536646</v>
      </c>
      <c r="C5" s="277">
        <v>160543</v>
      </c>
      <c r="D5" s="277">
        <v>27192702</v>
      </c>
      <c r="E5" s="277">
        <v>1670328</v>
      </c>
    </row>
    <row r="6" spans="1:5" ht="32.1" customHeight="1">
      <c r="A6" s="276" t="s">
        <v>513</v>
      </c>
      <c r="B6" s="277">
        <v>23197310</v>
      </c>
      <c r="C6" s="277">
        <v>112503</v>
      </c>
      <c r="D6" s="277">
        <v>19481209</v>
      </c>
      <c r="E6" s="277">
        <v>915418</v>
      </c>
    </row>
    <row r="7" spans="1:5" ht="32.1" customHeight="1">
      <c r="A7" s="276" t="s">
        <v>514</v>
      </c>
      <c r="B7" s="277">
        <v>9783354</v>
      </c>
      <c r="C7" s="277">
        <v>51942</v>
      </c>
      <c r="D7" s="277">
        <v>8777803</v>
      </c>
      <c r="E7" s="277">
        <v>68509</v>
      </c>
    </row>
    <row r="8" spans="1:5" ht="32.1" customHeight="1">
      <c r="A8" s="276" t="s">
        <v>515</v>
      </c>
      <c r="B8" s="277">
        <v>8675464</v>
      </c>
      <c r="C8" s="277">
        <v>40571</v>
      </c>
      <c r="D8" s="277">
        <v>7789237</v>
      </c>
      <c r="E8" s="277">
        <v>80078</v>
      </c>
    </row>
    <row r="9" spans="1:5" ht="32.1" customHeight="1">
      <c r="A9" s="276" t="s">
        <v>516</v>
      </c>
      <c r="B9" s="277">
        <v>6821723</v>
      </c>
      <c r="C9" s="277">
        <v>37290</v>
      </c>
      <c r="D9" s="277">
        <v>5959324</v>
      </c>
      <c r="E9" s="277">
        <v>73102</v>
      </c>
    </row>
    <row r="10" spans="1:5" ht="32.1" customHeight="1">
      <c r="A10" s="276" t="s">
        <v>517</v>
      </c>
      <c r="B10" s="277">
        <v>5278848</v>
      </c>
      <c r="C10" s="277">
        <v>29485</v>
      </c>
      <c r="D10" s="277">
        <v>4653121</v>
      </c>
      <c r="E10" s="277">
        <v>34005</v>
      </c>
    </row>
    <row r="11" spans="1:5" ht="32.1" customHeight="1">
      <c r="A11" s="276" t="s">
        <v>605</v>
      </c>
      <c r="B11" s="277">
        <v>5492106</v>
      </c>
      <c r="C11" s="277">
        <v>29117</v>
      </c>
      <c r="D11" s="277">
        <v>4885964</v>
      </c>
      <c r="E11" s="277">
        <v>33732</v>
      </c>
    </row>
    <row r="12" spans="1:5" ht="32.1" customHeight="1">
      <c r="A12" s="276" t="s">
        <v>645</v>
      </c>
      <c r="B12" s="277">
        <v>0</v>
      </c>
      <c r="C12" s="277">
        <v>1428</v>
      </c>
      <c r="D12" s="277">
        <v>0</v>
      </c>
      <c r="E12" s="277">
        <v>9178</v>
      </c>
    </row>
    <row r="13" spans="1:5" ht="32.1" customHeight="1">
      <c r="A13" s="276" t="s">
        <v>683</v>
      </c>
      <c r="B13" s="277">
        <v>299613</v>
      </c>
      <c r="C13" s="277">
        <v>1616</v>
      </c>
      <c r="D13" s="277">
        <v>216803</v>
      </c>
      <c r="E13" s="277">
        <v>1827</v>
      </c>
    </row>
    <row r="14" spans="1:5" ht="32.1" customHeight="1">
      <c r="A14" s="276" t="s">
        <v>518</v>
      </c>
      <c r="B14" s="277">
        <v>31928821</v>
      </c>
      <c r="C14" s="277">
        <v>165364</v>
      </c>
      <c r="D14" s="277">
        <v>25933915</v>
      </c>
      <c r="E14" s="277">
        <v>1187678</v>
      </c>
    </row>
    <row r="15" spans="1:5" ht="32.1" customHeight="1">
      <c r="A15" s="276" t="s">
        <v>646</v>
      </c>
      <c r="B15" s="277">
        <v>0</v>
      </c>
      <c r="C15" s="277">
        <v>2</v>
      </c>
      <c r="D15" s="277">
        <v>0</v>
      </c>
      <c r="E15" s="277">
        <v>74</v>
      </c>
    </row>
    <row r="16" spans="1:5" ht="32.1" customHeight="1">
      <c r="A16" s="276" t="s">
        <v>674</v>
      </c>
      <c r="B16" s="277">
        <v>66288</v>
      </c>
      <c r="C16" s="277">
        <v>344</v>
      </c>
      <c r="D16" s="277">
        <v>45107</v>
      </c>
      <c r="E16" s="277">
        <v>357</v>
      </c>
    </row>
    <row r="17" spans="1:5" ht="32.1" customHeight="1">
      <c r="A17" s="276" t="s">
        <v>521</v>
      </c>
      <c r="B17" s="277">
        <v>321308</v>
      </c>
      <c r="C17" s="277">
        <v>1330</v>
      </c>
      <c r="D17" s="277">
        <v>231974</v>
      </c>
      <c r="E17" s="277">
        <v>12403</v>
      </c>
    </row>
    <row r="18" spans="1:5" ht="32.1" customHeight="1">
      <c r="A18" s="276" t="s">
        <v>684</v>
      </c>
      <c r="B18" s="277">
        <v>0</v>
      </c>
      <c r="C18" s="277">
        <v>1</v>
      </c>
      <c r="D18" s="277">
        <v>0</v>
      </c>
      <c r="E18" s="277">
        <v>33</v>
      </c>
    </row>
    <row r="19" spans="1:5" ht="32.1" customHeight="1">
      <c r="A19" s="276" t="s">
        <v>524</v>
      </c>
      <c r="B19" s="277">
        <v>221532</v>
      </c>
      <c r="C19" s="277">
        <v>732</v>
      </c>
      <c r="D19" s="277">
        <v>191423</v>
      </c>
      <c r="E19" s="277">
        <v>26246</v>
      </c>
    </row>
    <row r="20" spans="1:5" ht="32.1" customHeight="1">
      <c r="A20" s="276" t="s">
        <v>526</v>
      </c>
      <c r="B20" s="277">
        <v>411654</v>
      </c>
      <c r="C20" s="277">
        <v>1340</v>
      </c>
      <c r="D20" s="277">
        <v>360869</v>
      </c>
      <c r="E20" s="277">
        <v>15185</v>
      </c>
    </row>
    <row r="21" spans="1:5" ht="32.1" customHeight="1">
      <c r="A21" s="276" t="s">
        <v>648</v>
      </c>
      <c r="B21" s="277">
        <v>137370</v>
      </c>
      <c r="C21" s="277">
        <v>931</v>
      </c>
      <c r="D21" s="277">
        <v>87335</v>
      </c>
      <c r="E21" s="277">
        <v>1217</v>
      </c>
    </row>
    <row r="22" spans="1:5" ht="32.1" customHeight="1">
      <c r="A22" s="276" t="s">
        <v>528</v>
      </c>
      <c r="B22" s="277">
        <v>254994</v>
      </c>
      <c r="C22" s="277">
        <v>728</v>
      </c>
      <c r="D22" s="277">
        <v>221840</v>
      </c>
      <c r="E22" s="277">
        <v>6425</v>
      </c>
    </row>
    <row r="23" spans="1:5" ht="32.1" customHeight="1">
      <c r="A23" s="276" t="s">
        <v>676</v>
      </c>
      <c r="B23" s="277">
        <v>42174</v>
      </c>
      <c r="C23" s="277">
        <v>228</v>
      </c>
      <c r="D23" s="277">
        <v>38852</v>
      </c>
      <c r="E23" s="277">
        <v>385</v>
      </c>
    </row>
    <row r="24" spans="1:5" ht="32.1" customHeight="1">
      <c r="A24" s="276" t="s">
        <v>529</v>
      </c>
      <c r="B24" s="277">
        <v>486978</v>
      </c>
      <c r="C24" s="277">
        <v>1311</v>
      </c>
      <c r="D24" s="277">
        <v>393133</v>
      </c>
      <c r="E24" s="277">
        <v>22371</v>
      </c>
    </row>
    <row r="25" spans="1:5" ht="32.1" customHeight="1">
      <c r="A25" s="276" t="s">
        <v>530</v>
      </c>
      <c r="B25" s="277">
        <v>0</v>
      </c>
      <c r="C25" s="277">
        <v>366</v>
      </c>
      <c r="D25" s="277">
        <v>0</v>
      </c>
      <c r="E25" s="277">
        <v>8550</v>
      </c>
    </row>
    <row r="26" spans="1:5" ht="32.1" customHeight="1">
      <c r="A26" s="276" t="s">
        <v>531</v>
      </c>
      <c r="B26" s="277">
        <v>87880</v>
      </c>
      <c r="C26" s="277">
        <v>846</v>
      </c>
      <c r="D26" s="277">
        <v>71453</v>
      </c>
      <c r="E26" s="277">
        <v>935</v>
      </c>
    </row>
    <row r="27" spans="1:5" ht="32.1" customHeight="1">
      <c r="A27" s="276" t="s">
        <v>532</v>
      </c>
      <c r="B27" s="277">
        <v>207866</v>
      </c>
      <c r="C27" s="277">
        <v>732</v>
      </c>
      <c r="D27" s="277">
        <v>174761</v>
      </c>
      <c r="E27" s="277">
        <v>11919</v>
      </c>
    </row>
    <row r="28" spans="1:5" ht="32.1" customHeight="1">
      <c r="A28" s="276" t="s">
        <v>533</v>
      </c>
      <c r="B28" s="277">
        <v>174500</v>
      </c>
      <c r="C28" s="277">
        <v>778</v>
      </c>
      <c r="D28" s="277">
        <v>144424</v>
      </c>
      <c r="E28" s="277">
        <v>4414</v>
      </c>
    </row>
    <row r="29" spans="1:5" ht="32.1" customHeight="1">
      <c r="A29" s="276" t="s">
        <v>534</v>
      </c>
      <c r="B29" s="277">
        <v>0</v>
      </c>
      <c r="C29" s="277">
        <v>14</v>
      </c>
      <c r="D29" s="277">
        <v>0</v>
      </c>
      <c r="E29" s="277">
        <v>166</v>
      </c>
    </row>
    <row r="30" spans="1:5" ht="32.1" customHeight="1">
      <c r="A30" s="276" t="s">
        <v>535</v>
      </c>
      <c r="B30" s="277">
        <v>1356576</v>
      </c>
      <c r="C30" s="277">
        <v>5195</v>
      </c>
      <c r="D30" s="277">
        <v>1112782</v>
      </c>
      <c r="E30" s="277">
        <v>38888</v>
      </c>
    </row>
    <row r="31" spans="1:5" ht="32.1" customHeight="1">
      <c r="A31" s="276" t="s">
        <v>536</v>
      </c>
      <c r="B31" s="277">
        <v>0</v>
      </c>
      <c r="C31" s="277">
        <v>5</v>
      </c>
      <c r="D31" s="277">
        <v>0</v>
      </c>
      <c r="E31" s="277">
        <v>168</v>
      </c>
    </row>
    <row r="32" spans="1:5" ht="32.1" customHeight="1">
      <c r="A32" s="276" t="s">
        <v>537</v>
      </c>
      <c r="B32" s="277">
        <v>65608</v>
      </c>
      <c r="C32" s="277">
        <v>404</v>
      </c>
      <c r="D32" s="277">
        <v>48757</v>
      </c>
      <c r="E32" s="277">
        <v>577</v>
      </c>
    </row>
    <row r="33" spans="1:5" ht="32.1" customHeight="1">
      <c r="A33" s="276" t="s">
        <v>651</v>
      </c>
      <c r="B33" s="277">
        <v>78679</v>
      </c>
      <c r="C33" s="277">
        <v>453</v>
      </c>
      <c r="D33" s="277">
        <v>70783</v>
      </c>
      <c r="E33" s="277">
        <v>748</v>
      </c>
    </row>
    <row r="34" spans="1:5" ht="32.1" customHeight="1">
      <c r="A34" s="276" t="s">
        <v>633</v>
      </c>
      <c r="B34" s="277">
        <v>876</v>
      </c>
      <c r="C34" s="277">
        <v>6</v>
      </c>
      <c r="D34" s="277">
        <v>468</v>
      </c>
      <c r="E34" s="277">
        <v>8</v>
      </c>
    </row>
    <row r="35" spans="1:5" ht="32.1" customHeight="1">
      <c r="A35" s="276" t="s">
        <v>652</v>
      </c>
      <c r="B35" s="277">
        <v>300040</v>
      </c>
      <c r="C35" s="277">
        <v>1660</v>
      </c>
      <c r="D35" s="277">
        <v>242684</v>
      </c>
      <c r="E35" s="277">
        <v>4475</v>
      </c>
    </row>
    <row r="36" spans="1:5" ht="32.1" customHeight="1">
      <c r="A36" s="276" t="s">
        <v>607</v>
      </c>
      <c r="B36" s="277">
        <v>206398</v>
      </c>
      <c r="C36" s="277">
        <v>953</v>
      </c>
      <c r="D36" s="277">
        <v>170150</v>
      </c>
      <c r="E36" s="277">
        <v>2124</v>
      </c>
    </row>
    <row r="37" spans="1:5" ht="32.1" customHeight="1">
      <c r="A37" s="276" t="s">
        <v>541</v>
      </c>
      <c r="B37" s="277">
        <v>849660</v>
      </c>
      <c r="C37" s="277">
        <v>5015</v>
      </c>
      <c r="D37" s="277">
        <v>604901</v>
      </c>
      <c r="E37" s="277">
        <v>10484</v>
      </c>
    </row>
    <row r="38" spans="1:5" ht="32.1" customHeight="1">
      <c r="A38" s="276" t="s">
        <v>542</v>
      </c>
      <c r="B38" s="277">
        <v>501524</v>
      </c>
      <c r="C38" s="277">
        <v>2455</v>
      </c>
      <c r="D38" s="277">
        <v>409552</v>
      </c>
      <c r="E38" s="277">
        <v>6761</v>
      </c>
    </row>
    <row r="39" spans="1:5" ht="32.1" customHeight="1">
      <c r="A39" s="276" t="s">
        <v>543</v>
      </c>
      <c r="B39" s="277">
        <v>407732</v>
      </c>
      <c r="C39" s="277">
        <v>2270</v>
      </c>
      <c r="D39" s="277">
        <v>314457</v>
      </c>
      <c r="E39" s="277">
        <v>4622</v>
      </c>
    </row>
    <row r="40" spans="1:5" ht="32.1" customHeight="1">
      <c r="A40" s="276" t="s">
        <v>685</v>
      </c>
      <c r="B40" s="277">
        <v>0</v>
      </c>
      <c r="C40" s="277">
        <v>37</v>
      </c>
      <c r="D40" s="277">
        <v>0</v>
      </c>
      <c r="E40" s="277">
        <v>820</v>
      </c>
    </row>
    <row r="41" spans="1:5" ht="32.1" customHeight="1">
      <c r="A41" s="276" t="s">
        <v>622</v>
      </c>
      <c r="B41" s="277">
        <v>59786</v>
      </c>
      <c r="C41" s="277">
        <v>310</v>
      </c>
      <c r="D41" s="277">
        <v>48221</v>
      </c>
      <c r="E41" s="277">
        <v>478</v>
      </c>
    </row>
    <row r="42" spans="1:5" ht="32.1" customHeight="1">
      <c r="A42" s="276" t="s">
        <v>653</v>
      </c>
      <c r="B42" s="277">
        <v>133146</v>
      </c>
      <c r="C42" s="277">
        <v>353</v>
      </c>
      <c r="D42" s="277">
        <v>120208</v>
      </c>
      <c r="E42" s="277">
        <v>2738</v>
      </c>
    </row>
    <row r="43" spans="1:5" ht="32.1" customHeight="1">
      <c r="A43" s="276" t="s">
        <v>545</v>
      </c>
      <c r="B43" s="277">
        <v>5250</v>
      </c>
      <c r="C43" s="277">
        <v>35</v>
      </c>
      <c r="D43" s="277">
        <v>4220</v>
      </c>
      <c r="E43" s="277">
        <v>39</v>
      </c>
    </row>
    <row r="44" spans="1:5" ht="32.1" customHeight="1">
      <c r="A44" s="276" t="s">
        <v>546</v>
      </c>
      <c r="B44" s="277">
        <v>72364</v>
      </c>
      <c r="C44" s="277">
        <v>458</v>
      </c>
      <c r="D44" s="277">
        <v>60255</v>
      </c>
      <c r="E44" s="277">
        <v>619</v>
      </c>
    </row>
    <row r="45" spans="1:5" ht="32.1" customHeight="1">
      <c r="A45" s="276" t="s">
        <v>666</v>
      </c>
      <c r="B45" s="277">
        <v>1296</v>
      </c>
      <c r="C45" s="277">
        <v>8</v>
      </c>
      <c r="D45" s="277">
        <v>1038</v>
      </c>
      <c r="E45" s="277">
        <v>17</v>
      </c>
    </row>
    <row r="46" spans="1:5" ht="32.1" customHeight="1">
      <c r="A46" s="276" t="s">
        <v>678</v>
      </c>
      <c r="B46" s="277">
        <v>0</v>
      </c>
      <c r="C46" s="277">
        <v>2</v>
      </c>
      <c r="D46" s="277">
        <v>0</v>
      </c>
      <c r="E46" s="277">
        <v>146</v>
      </c>
    </row>
    <row r="47" spans="1:5" ht="32.1" customHeight="1">
      <c r="A47" s="276" t="s">
        <v>667</v>
      </c>
      <c r="B47" s="277">
        <v>0</v>
      </c>
      <c r="C47" s="277">
        <v>252</v>
      </c>
      <c r="D47" s="277">
        <v>0</v>
      </c>
      <c r="E47" s="277">
        <v>17334</v>
      </c>
    </row>
    <row r="48" spans="1:5" ht="32.1" customHeight="1">
      <c r="A48" s="276" t="s">
        <v>548</v>
      </c>
      <c r="B48" s="277">
        <v>1033790</v>
      </c>
      <c r="C48" s="277">
        <v>3656</v>
      </c>
      <c r="D48" s="277">
        <v>680358</v>
      </c>
      <c r="E48" s="277">
        <v>35509</v>
      </c>
    </row>
    <row r="49" spans="1:5" ht="32.1" customHeight="1">
      <c r="A49" s="276" t="s">
        <v>686</v>
      </c>
      <c r="B49" s="277">
        <v>25380</v>
      </c>
      <c r="C49" s="277">
        <v>138</v>
      </c>
      <c r="D49" s="277">
        <v>15955</v>
      </c>
      <c r="E49" s="277">
        <v>152</v>
      </c>
    </row>
    <row r="50" spans="1:5" ht="32.1" customHeight="1">
      <c r="A50" s="276" t="s">
        <v>654</v>
      </c>
      <c r="B50" s="277">
        <v>186247</v>
      </c>
      <c r="C50" s="277">
        <v>713</v>
      </c>
      <c r="D50" s="277">
        <v>171849</v>
      </c>
      <c r="E50" s="277">
        <v>8928</v>
      </c>
    </row>
    <row r="51" spans="1:5" ht="32.1" customHeight="1">
      <c r="A51" s="276" t="s">
        <v>687</v>
      </c>
      <c r="B51" s="277">
        <v>0</v>
      </c>
      <c r="C51" s="277">
        <v>13</v>
      </c>
      <c r="D51" s="277">
        <v>0</v>
      </c>
      <c r="E51" s="277">
        <v>298</v>
      </c>
    </row>
    <row r="52" spans="1:5" ht="32.1" customHeight="1">
      <c r="A52" s="276" t="s">
        <v>551</v>
      </c>
      <c r="B52" s="277">
        <v>0</v>
      </c>
      <c r="C52" s="277">
        <v>84</v>
      </c>
      <c r="D52" s="277">
        <v>0</v>
      </c>
      <c r="E52" s="277">
        <v>3644</v>
      </c>
    </row>
    <row r="53" spans="1:5" ht="32.1" customHeight="1">
      <c r="A53" s="276" t="s">
        <v>552</v>
      </c>
      <c r="B53" s="277">
        <v>0</v>
      </c>
      <c r="C53" s="277">
        <v>1</v>
      </c>
      <c r="D53" s="277">
        <v>0</v>
      </c>
      <c r="E53" s="277">
        <v>24</v>
      </c>
    </row>
    <row r="54" spans="1:5" ht="32.1" customHeight="1">
      <c r="A54" s="276" t="s">
        <v>669</v>
      </c>
      <c r="B54" s="277">
        <v>105856</v>
      </c>
      <c r="C54" s="277">
        <v>418</v>
      </c>
      <c r="D54" s="277">
        <v>85095</v>
      </c>
      <c r="E54" s="277">
        <v>4750</v>
      </c>
    </row>
    <row r="55" spans="1:5" ht="32.1" customHeight="1">
      <c r="A55" s="276" t="s">
        <v>554</v>
      </c>
      <c r="B55" s="277">
        <v>27815</v>
      </c>
      <c r="C55" s="277">
        <v>261</v>
      </c>
      <c r="D55" s="277">
        <v>19060</v>
      </c>
      <c r="E55" s="277">
        <v>212</v>
      </c>
    </row>
    <row r="56" spans="1:5" ht="32.1" customHeight="1">
      <c r="A56" s="276" t="s">
        <v>555</v>
      </c>
      <c r="B56" s="277">
        <v>0</v>
      </c>
      <c r="C56" s="277">
        <v>452</v>
      </c>
      <c r="D56" s="277">
        <v>0</v>
      </c>
      <c r="E56" s="277">
        <v>3853</v>
      </c>
    </row>
    <row r="57" spans="1:5" ht="32.1" customHeight="1">
      <c r="A57" s="276" t="s">
        <v>556</v>
      </c>
      <c r="B57" s="277">
        <v>378672</v>
      </c>
      <c r="C57" s="277">
        <v>740</v>
      </c>
      <c r="D57" s="277">
        <v>324962</v>
      </c>
      <c r="E57" s="277">
        <v>15726</v>
      </c>
    </row>
    <row r="58" spans="1:5" ht="32.1" customHeight="1">
      <c r="A58" s="276" t="s">
        <v>557</v>
      </c>
      <c r="B58" s="277">
        <v>732806</v>
      </c>
      <c r="C58" s="277">
        <v>3225</v>
      </c>
      <c r="D58" s="277">
        <v>613686</v>
      </c>
      <c r="E58" s="277">
        <v>16052</v>
      </c>
    </row>
    <row r="59" spans="1:5" ht="32.1" customHeight="1">
      <c r="A59" s="276" t="s">
        <v>609</v>
      </c>
      <c r="B59" s="277">
        <v>0</v>
      </c>
      <c r="C59" s="277">
        <v>54</v>
      </c>
      <c r="D59" s="277">
        <v>0</v>
      </c>
      <c r="E59" s="277">
        <v>1465</v>
      </c>
    </row>
    <row r="60" spans="1:5" ht="32.1" customHeight="1">
      <c r="A60" s="276" t="s">
        <v>559</v>
      </c>
      <c r="B60" s="277">
        <v>274872</v>
      </c>
      <c r="C60" s="277">
        <v>1553</v>
      </c>
      <c r="D60" s="277">
        <v>240041</v>
      </c>
      <c r="E60" s="277">
        <v>3712</v>
      </c>
    </row>
    <row r="61" spans="1:5" ht="32.1" customHeight="1">
      <c r="A61" s="276" t="s">
        <v>560</v>
      </c>
      <c r="B61" s="277">
        <v>0</v>
      </c>
      <c r="C61" s="277">
        <v>487</v>
      </c>
      <c r="D61" s="277">
        <v>0</v>
      </c>
      <c r="E61" s="277">
        <v>19539</v>
      </c>
    </row>
    <row r="62" spans="1:5" ht="32.1" customHeight="1">
      <c r="A62" s="276" t="s">
        <v>562</v>
      </c>
      <c r="B62" s="277">
        <v>90670</v>
      </c>
      <c r="C62" s="277">
        <v>418</v>
      </c>
      <c r="D62" s="277">
        <v>65402</v>
      </c>
      <c r="E62" s="277">
        <v>2080</v>
      </c>
    </row>
    <row r="63" spans="1:5" ht="32.1" customHeight="1">
      <c r="A63" s="276" t="s">
        <v>610</v>
      </c>
      <c r="B63" s="277">
        <v>710268</v>
      </c>
      <c r="C63" s="277">
        <v>1884</v>
      </c>
      <c r="D63" s="277">
        <v>560767</v>
      </c>
      <c r="E63" s="277">
        <v>13554</v>
      </c>
    </row>
    <row r="64" spans="1:5" ht="32.1" customHeight="1">
      <c r="A64" s="276" t="s">
        <v>611</v>
      </c>
      <c r="B64" s="277">
        <v>0</v>
      </c>
      <c r="C64" s="277">
        <v>1276</v>
      </c>
      <c r="D64" s="277">
        <v>0</v>
      </c>
      <c r="E64" s="277">
        <v>40001</v>
      </c>
    </row>
    <row r="65" spans="1:5" ht="32.1" customHeight="1">
      <c r="A65" s="276" t="s">
        <v>564</v>
      </c>
      <c r="B65" s="277">
        <v>295738</v>
      </c>
      <c r="C65" s="277">
        <v>1062</v>
      </c>
      <c r="D65" s="277">
        <v>265553</v>
      </c>
      <c r="E65" s="277">
        <v>15865</v>
      </c>
    </row>
    <row r="66" spans="1:5" ht="32.1" customHeight="1">
      <c r="A66" s="276" t="s">
        <v>565</v>
      </c>
      <c r="B66" s="277">
        <v>0</v>
      </c>
      <c r="C66" s="277">
        <v>613</v>
      </c>
      <c r="D66" s="277">
        <v>0</v>
      </c>
      <c r="E66" s="277">
        <v>19927</v>
      </c>
    </row>
    <row r="67" spans="1:5" ht="32.1" customHeight="1">
      <c r="A67" s="276" t="s">
        <v>655</v>
      </c>
      <c r="B67" s="277">
        <v>84780</v>
      </c>
      <c r="C67" s="277">
        <v>314</v>
      </c>
      <c r="D67" s="277">
        <v>37317</v>
      </c>
      <c r="E67" s="277">
        <v>1228</v>
      </c>
    </row>
    <row r="68" spans="1:5" ht="32.1" customHeight="1">
      <c r="A68" s="276" t="s">
        <v>612</v>
      </c>
      <c r="B68" s="277">
        <v>225349</v>
      </c>
      <c r="C68" s="277">
        <v>737</v>
      </c>
      <c r="D68" s="277">
        <v>186516</v>
      </c>
      <c r="E68" s="277">
        <v>14910</v>
      </c>
    </row>
    <row r="69" spans="1:5" ht="32.1" customHeight="1">
      <c r="A69" s="276" t="s">
        <v>638</v>
      </c>
      <c r="B69" s="277">
        <v>152376</v>
      </c>
      <c r="C69" s="277">
        <v>712</v>
      </c>
      <c r="D69" s="277">
        <v>125965</v>
      </c>
      <c r="E69" s="277">
        <v>9166</v>
      </c>
    </row>
    <row r="70" spans="1:5" ht="32.1" customHeight="1">
      <c r="A70" s="276" t="s">
        <v>567</v>
      </c>
      <c r="B70" s="277">
        <v>289308</v>
      </c>
      <c r="C70" s="277">
        <v>2244</v>
      </c>
      <c r="D70" s="277">
        <v>211805</v>
      </c>
      <c r="E70" s="277">
        <v>3078</v>
      </c>
    </row>
    <row r="71" spans="1:5" ht="32.1" customHeight="1">
      <c r="A71" s="276" t="s">
        <v>670</v>
      </c>
      <c r="B71" s="277">
        <v>307722</v>
      </c>
      <c r="C71" s="277">
        <v>1672</v>
      </c>
      <c r="D71" s="277">
        <v>264858</v>
      </c>
      <c r="E71" s="277">
        <v>2611</v>
      </c>
    </row>
    <row r="72" spans="1:5" ht="32.1" customHeight="1">
      <c r="A72" s="276" t="s">
        <v>568</v>
      </c>
      <c r="B72" s="277">
        <v>66278</v>
      </c>
      <c r="C72" s="277">
        <v>266</v>
      </c>
      <c r="D72" s="277">
        <v>58266</v>
      </c>
      <c r="E72" s="277">
        <v>1874</v>
      </c>
    </row>
    <row r="73" spans="1:5" ht="32.1" customHeight="1">
      <c r="A73" s="276" t="s">
        <v>639</v>
      </c>
      <c r="B73" s="277">
        <v>4662</v>
      </c>
      <c r="C73" s="277">
        <v>28</v>
      </c>
      <c r="D73" s="277">
        <v>3638</v>
      </c>
      <c r="E73" s="277">
        <v>52</v>
      </c>
    </row>
    <row r="74" spans="1:5" ht="32.1" customHeight="1">
      <c r="A74" s="276" t="s">
        <v>680</v>
      </c>
      <c r="B74" s="277">
        <v>0</v>
      </c>
      <c r="C74" s="277">
        <v>17</v>
      </c>
      <c r="D74" s="277">
        <v>0</v>
      </c>
      <c r="E74" s="277">
        <v>291</v>
      </c>
    </row>
    <row r="75" spans="1:5" ht="32.1" customHeight="1">
      <c r="A75" s="276" t="s">
        <v>570</v>
      </c>
      <c r="B75" s="277">
        <v>372441</v>
      </c>
      <c r="C75" s="277">
        <v>1454</v>
      </c>
      <c r="D75" s="277">
        <v>315130</v>
      </c>
      <c r="E75" s="277">
        <v>12182</v>
      </c>
    </row>
    <row r="76" spans="1:5" ht="32.1" customHeight="1">
      <c r="A76" s="276" t="s">
        <v>571</v>
      </c>
      <c r="B76" s="277">
        <v>55936</v>
      </c>
      <c r="C76" s="277">
        <v>304</v>
      </c>
      <c r="D76" s="277">
        <v>43469</v>
      </c>
      <c r="E76" s="277">
        <v>648</v>
      </c>
    </row>
    <row r="77" spans="1:5" ht="32.1" customHeight="1">
      <c r="A77" s="276" t="s">
        <v>572</v>
      </c>
      <c r="B77" s="277">
        <v>0</v>
      </c>
      <c r="C77" s="277">
        <v>3596</v>
      </c>
      <c r="D77" s="277">
        <v>0</v>
      </c>
      <c r="E77" s="277">
        <v>47037</v>
      </c>
    </row>
    <row r="78" spans="1:5" ht="32.1" customHeight="1">
      <c r="A78" s="276" t="s">
        <v>614</v>
      </c>
      <c r="B78" s="277">
        <v>106499</v>
      </c>
      <c r="C78" s="277">
        <v>416</v>
      </c>
      <c r="D78" s="277">
        <v>74877</v>
      </c>
      <c r="E78" s="277">
        <v>3275</v>
      </c>
    </row>
    <row r="79" spans="1:5" ht="32.1" customHeight="1">
      <c r="A79" s="276" t="s">
        <v>575</v>
      </c>
      <c r="B79" s="277">
        <v>759464</v>
      </c>
      <c r="C79" s="277">
        <v>4392</v>
      </c>
      <c r="D79" s="277">
        <v>659048</v>
      </c>
      <c r="E79" s="277">
        <v>16500</v>
      </c>
    </row>
    <row r="80" spans="1:5" ht="32.1" customHeight="1">
      <c r="A80" s="276" t="s">
        <v>576</v>
      </c>
      <c r="B80" s="277">
        <v>0</v>
      </c>
      <c r="C80" s="277">
        <v>8</v>
      </c>
      <c r="D80" s="277">
        <v>0</v>
      </c>
      <c r="E80" s="277">
        <v>331</v>
      </c>
    </row>
    <row r="81" spans="1:5" ht="32.1" customHeight="1">
      <c r="A81" s="276" t="s">
        <v>577</v>
      </c>
      <c r="B81" s="277">
        <v>506046</v>
      </c>
      <c r="C81" s="277">
        <v>2194</v>
      </c>
      <c r="D81" s="277">
        <v>424542</v>
      </c>
      <c r="E81" s="277">
        <v>7733</v>
      </c>
    </row>
    <row r="82" spans="1:5" ht="32.1" customHeight="1">
      <c r="A82" s="276" t="s">
        <v>688</v>
      </c>
      <c r="B82" s="277">
        <v>720</v>
      </c>
      <c r="C82" s="277">
        <v>4</v>
      </c>
      <c r="D82" s="277">
        <v>481</v>
      </c>
      <c r="E82" s="277">
        <v>6</v>
      </c>
    </row>
    <row r="83" spans="1:5" ht="32.1" customHeight="1">
      <c r="A83" s="276" t="s">
        <v>579</v>
      </c>
      <c r="B83" s="277">
        <v>1754947</v>
      </c>
      <c r="C83" s="277">
        <v>9453</v>
      </c>
      <c r="D83" s="277">
        <v>1403831</v>
      </c>
      <c r="E83" s="277">
        <v>28829</v>
      </c>
    </row>
    <row r="84" spans="1:5" ht="32.1" customHeight="1">
      <c r="A84" s="276" t="s">
        <v>689</v>
      </c>
      <c r="B84" s="277">
        <v>297040</v>
      </c>
      <c r="C84" s="277">
        <v>1460</v>
      </c>
      <c r="D84" s="277">
        <v>225139</v>
      </c>
      <c r="E84" s="277">
        <v>5010</v>
      </c>
    </row>
    <row r="85" spans="1:5" ht="32.1" customHeight="1">
      <c r="A85" s="276" t="s">
        <v>659</v>
      </c>
      <c r="B85" s="277">
        <v>200828</v>
      </c>
      <c r="C85" s="277">
        <v>1272</v>
      </c>
      <c r="D85" s="277">
        <v>171919</v>
      </c>
      <c r="E85" s="277">
        <v>1718</v>
      </c>
    </row>
    <row r="86" spans="1:5" ht="32.1" customHeight="1">
      <c r="A86" s="276" t="s">
        <v>580</v>
      </c>
      <c r="B86" s="277">
        <v>2900076</v>
      </c>
      <c r="C86" s="277">
        <v>17605</v>
      </c>
      <c r="D86" s="277">
        <v>2343998</v>
      </c>
      <c r="E86" s="277">
        <v>46211</v>
      </c>
    </row>
    <row r="87" spans="1:5" ht="32.1" customHeight="1">
      <c r="A87" s="276" t="s">
        <v>581</v>
      </c>
      <c r="B87" s="277">
        <v>3473924</v>
      </c>
      <c r="C87" s="277">
        <v>18610</v>
      </c>
      <c r="D87" s="277">
        <v>2735552</v>
      </c>
      <c r="E87" s="277">
        <v>55569</v>
      </c>
    </row>
    <row r="88" spans="1:5" ht="32.1" customHeight="1">
      <c r="A88" s="276" t="s">
        <v>582</v>
      </c>
      <c r="B88" s="277">
        <v>337904</v>
      </c>
      <c r="C88" s="277">
        <v>2066</v>
      </c>
      <c r="D88" s="277">
        <v>258574</v>
      </c>
      <c r="E88" s="277">
        <v>4343</v>
      </c>
    </row>
    <row r="89" spans="1:5" ht="32.1" customHeight="1">
      <c r="A89" s="276" t="s">
        <v>583</v>
      </c>
      <c r="B89" s="277">
        <v>0</v>
      </c>
      <c r="C89" s="277">
        <v>334</v>
      </c>
      <c r="D89" s="277">
        <v>0</v>
      </c>
      <c r="E89" s="277">
        <v>1828</v>
      </c>
    </row>
    <row r="90" spans="1:5" ht="32.1" customHeight="1">
      <c r="A90" s="276" t="s">
        <v>584</v>
      </c>
      <c r="B90" s="277">
        <v>206076</v>
      </c>
      <c r="C90" s="277">
        <v>1264</v>
      </c>
      <c r="D90" s="277">
        <v>161648</v>
      </c>
      <c r="E90" s="277">
        <v>2605</v>
      </c>
    </row>
    <row r="91" spans="1:5" ht="32.1" customHeight="1">
      <c r="A91" s="276" t="s">
        <v>585</v>
      </c>
      <c r="B91" s="277">
        <v>0</v>
      </c>
      <c r="C91" s="277">
        <v>538</v>
      </c>
      <c r="D91" s="277">
        <v>0</v>
      </c>
      <c r="E91" s="277">
        <v>27441</v>
      </c>
    </row>
    <row r="92" spans="1:5" ht="32.1" customHeight="1">
      <c r="A92" s="276" t="s">
        <v>586</v>
      </c>
      <c r="B92" s="277">
        <v>850563</v>
      </c>
      <c r="C92" s="277">
        <v>3876</v>
      </c>
      <c r="D92" s="277">
        <v>703199</v>
      </c>
      <c r="E92" s="277">
        <v>17010</v>
      </c>
    </row>
    <row r="93" spans="1:5" ht="32.1" customHeight="1">
      <c r="A93" s="276" t="s">
        <v>640</v>
      </c>
      <c r="B93" s="277">
        <v>185892</v>
      </c>
      <c r="C93" s="277">
        <v>1044</v>
      </c>
      <c r="D93" s="277">
        <v>166518</v>
      </c>
      <c r="E93" s="277">
        <v>1967</v>
      </c>
    </row>
    <row r="94" spans="1:5" ht="32.1" customHeight="1">
      <c r="A94" s="276" t="s">
        <v>661</v>
      </c>
      <c r="B94" s="277">
        <v>97980</v>
      </c>
      <c r="C94" s="277">
        <v>358</v>
      </c>
      <c r="D94" s="277">
        <v>82805</v>
      </c>
      <c r="E94" s="277">
        <v>4442</v>
      </c>
    </row>
    <row r="95" spans="1:5" ht="32.1" customHeight="1">
      <c r="A95" s="276" t="s">
        <v>662</v>
      </c>
      <c r="B95" s="277">
        <v>757000</v>
      </c>
      <c r="C95" s="277">
        <v>4198</v>
      </c>
      <c r="D95" s="277">
        <v>675825</v>
      </c>
      <c r="E95" s="277">
        <v>6862</v>
      </c>
    </row>
    <row r="96" spans="1:5" ht="32.1" customHeight="1">
      <c r="A96" s="276" t="s">
        <v>587</v>
      </c>
      <c r="B96" s="277">
        <v>0</v>
      </c>
      <c r="C96" s="277">
        <v>306</v>
      </c>
      <c r="D96" s="277">
        <v>0</v>
      </c>
      <c r="E96" s="277">
        <v>13778</v>
      </c>
    </row>
    <row r="97" spans="1:5" ht="32.1" customHeight="1">
      <c r="A97" s="276" t="s">
        <v>588</v>
      </c>
      <c r="B97" s="277">
        <v>288238</v>
      </c>
      <c r="C97" s="277">
        <v>1154</v>
      </c>
      <c r="D97" s="277">
        <v>252184</v>
      </c>
      <c r="E97" s="277">
        <v>46689</v>
      </c>
    </row>
    <row r="98" spans="1:5" ht="32.1" customHeight="1">
      <c r="A98" s="276" t="s">
        <v>589</v>
      </c>
      <c r="B98" s="277">
        <v>0</v>
      </c>
      <c r="C98" s="277">
        <v>396</v>
      </c>
      <c r="D98" s="277">
        <v>0</v>
      </c>
      <c r="E98" s="277">
        <v>26163</v>
      </c>
    </row>
    <row r="99" spans="1:5" ht="32.1" customHeight="1">
      <c r="A99" s="276" t="s">
        <v>681</v>
      </c>
      <c r="B99" s="277">
        <v>46420</v>
      </c>
      <c r="C99" s="277">
        <v>238</v>
      </c>
      <c r="D99" s="277">
        <v>31053</v>
      </c>
      <c r="E99" s="277">
        <v>398</v>
      </c>
    </row>
    <row r="100" spans="1:5" ht="32.1" customHeight="1">
      <c r="A100" s="276" t="s">
        <v>590</v>
      </c>
      <c r="B100" s="277">
        <v>1386707</v>
      </c>
      <c r="C100" s="277">
        <v>4570</v>
      </c>
      <c r="D100" s="277">
        <v>1193376</v>
      </c>
      <c r="E100" s="277">
        <v>55468</v>
      </c>
    </row>
    <row r="101" spans="1:5" ht="32.1" customHeight="1">
      <c r="A101" s="276" t="s">
        <v>591</v>
      </c>
      <c r="B101" s="277">
        <v>190014</v>
      </c>
      <c r="C101" s="277">
        <v>1063</v>
      </c>
      <c r="D101" s="277">
        <v>148112</v>
      </c>
      <c r="E101" s="277">
        <v>2156</v>
      </c>
    </row>
    <row r="102" spans="1:5" ht="32.1" customHeight="1">
      <c r="A102" s="276" t="s">
        <v>690</v>
      </c>
      <c r="B102" s="277">
        <v>58140</v>
      </c>
      <c r="C102" s="277">
        <v>323</v>
      </c>
      <c r="D102" s="277">
        <v>41562</v>
      </c>
      <c r="E102" s="277">
        <v>362</v>
      </c>
    </row>
    <row r="103" spans="1:5" ht="32.1" customHeight="1">
      <c r="A103" s="276" t="s">
        <v>671</v>
      </c>
      <c r="B103" s="277">
        <v>370214</v>
      </c>
      <c r="C103" s="277">
        <v>982</v>
      </c>
      <c r="D103" s="277">
        <v>319797</v>
      </c>
      <c r="E103" s="277">
        <v>7794</v>
      </c>
    </row>
    <row r="104" spans="1:5" ht="32.1" customHeight="1">
      <c r="A104" s="276" t="s">
        <v>592</v>
      </c>
      <c r="B104" s="277">
        <v>1108086</v>
      </c>
      <c r="C104" s="277">
        <v>3448</v>
      </c>
      <c r="D104" s="277">
        <v>878301</v>
      </c>
      <c r="E104" s="277">
        <v>41275</v>
      </c>
    </row>
    <row r="105" spans="1:5" ht="32.1" customHeight="1">
      <c r="A105" s="276" t="s">
        <v>593</v>
      </c>
      <c r="B105" s="277">
        <v>364440</v>
      </c>
      <c r="C105" s="277">
        <v>1310</v>
      </c>
      <c r="D105" s="277">
        <v>278278</v>
      </c>
      <c r="E105" s="277">
        <v>25411</v>
      </c>
    </row>
    <row r="106" spans="1:5" ht="32.1" customHeight="1">
      <c r="A106" s="276" t="s">
        <v>691</v>
      </c>
      <c r="B106" s="277">
        <v>296</v>
      </c>
      <c r="C106" s="277">
        <v>4</v>
      </c>
      <c r="D106" s="277">
        <v>268</v>
      </c>
      <c r="E106" s="277">
        <v>3</v>
      </c>
    </row>
    <row r="107" spans="1:5" ht="32.1" customHeight="1">
      <c r="A107" s="276" t="s">
        <v>595</v>
      </c>
      <c r="B107" s="277">
        <v>0</v>
      </c>
      <c r="C107" s="277">
        <v>2548</v>
      </c>
      <c r="D107" s="277">
        <v>0</v>
      </c>
      <c r="E107" s="277">
        <v>53811</v>
      </c>
    </row>
    <row r="108" spans="1:5" ht="32.1" customHeight="1">
      <c r="A108" s="276" t="s">
        <v>596</v>
      </c>
      <c r="B108" s="277">
        <v>0</v>
      </c>
      <c r="C108" s="277">
        <v>3961</v>
      </c>
      <c r="D108" s="277">
        <v>0</v>
      </c>
      <c r="E108" s="277">
        <v>117537</v>
      </c>
    </row>
    <row r="109" spans="1:5" ht="32.1" customHeight="1">
      <c r="A109" s="276" t="s">
        <v>692</v>
      </c>
      <c r="B109" s="277">
        <v>16128</v>
      </c>
      <c r="C109" s="277">
        <v>64</v>
      </c>
      <c r="D109" s="277">
        <v>12377</v>
      </c>
      <c r="E109" s="277">
        <v>739</v>
      </c>
    </row>
    <row r="110" spans="1:5" ht="32.1" customHeight="1">
      <c r="A110" s="276" t="s">
        <v>598</v>
      </c>
      <c r="B110" s="277">
        <v>258028</v>
      </c>
      <c r="C110" s="277">
        <v>720</v>
      </c>
      <c r="D110" s="277">
        <v>211332</v>
      </c>
      <c r="E110" s="277">
        <v>14729</v>
      </c>
    </row>
    <row r="111" spans="1:5" ht="32.1" customHeight="1">
      <c r="A111" s="276" t="s">
        <v>642</v>
      </c>
      <c r="B111" s="277">
        <v>891720</v>
      </c>
      <c r="C111" s="277">
        <v>4956</v>
      </c>
      <c r="D111" s="277">
        <v>767882</v>
      </c>
      <c r="E111" s="277">
        <v>3719</v>
      </c>
    </row>
    <row r="112" spans="1:5" ht="32.1" customHeight="1">
      <c r="A112" s="276" t="s">
        <v>599</v>
      </c>
      <c r="B112" s="277">
        <v>207480</v>
      </c>
      <c r="C112" s="277">
        <v>712</v>
      </c>
      <c r="D112" s="277">
        <v>176780</v>
      </c>
      <c r="E112" s="277">
        <v>11788</v>
      </c>
    </row>
    <row r="113" spans="1:5" ht="32.1" customHeight="1">
      <c r="A113" s="276" t="s">
        <v>600</v>
      </c>
      <c r="B113" s="277">
        <v>578290</v>
      </c>
      <c r="C113" s="277">
        <v>3216</v>
      </c>
      <c r="D113" s="277">
        <v>448857</v>
      </c>
      <c r="E113" s="277">
        <v>4887</v>
      </c>
    </row>
    <row r="114" spans="1:5" ht="32.1" customHeight="1">
      <c r="A114" s="276" t="s">
        <v>601</v>
      </c>
      <c r="B114" s="277">
        <v>1126310</v>
      </c>
      <c r="C114" s="277">
        <v>4612</v>
      </c>
      <c r="D114" s="277">
        <v>960790</v>
      </c>
      <c r="E114" s="277">
        <v>17484</v>
      </c>
    </row>
    <row r="115" spans="1:5" ht="32.1" customHeight="1">
      <c r="A115" s="276" t="s">
        <v>628</v>
      </c>
      <c r="B115" s="277">
        <v>154056</v>
      </c>
      <c r="C115" s="277">
        <v>524</v>
      </c>
      <c r="D115" s="277">
        <v>136303</v>
      </c>
      <c r="E115" s="277">
        <v>5100</v>
      </c>
    </row>
    <row r="116" spans="1:5" ht="32.1" customHeight="1">
      <c r="A116" s="276" t="s">
        <v>602</v>
      </c>
      <c r="B116" s="277">
        <v>40240</v>
      </c>
      <c r="C116" s="277">
        <v>248</v>
      </c>
      <c r="D116" s="277">
        <v>38054</v>
      </c>
      <c r="E116" s="277">
        <v>411</v>
      </c>
    </row>
    <row r="117" spans="1:5" ht="32.1" customHeight="1">
      <c r="A117" s="276" t="s">
        <v>603</v>
      </c>
      <c r="B117" s="277">
        <v>529512</v>
      </c>
      <c r="C117" s="277">
        <v>2939</v>
      </c>
      <c r="D117" s="277">
        <v>484752</v>
      </c>
      <c r="E117" s="277">
        <v>6027</v>
      </c>
    </row>
    <row r="118" spans="1:5" ht="32.1" customHeight="1">
      <c r="A118" s="276" t="s">
        <v>672</v>
      </c>
      <c r="B118" s="277">
        <v>7098</v>
      </c>
      <c r="C118" s="277">
        <v>32</v>
      </c>
      <c r="D118" s="277">
        <v>6562</v>
      </c>
      <c r="E118" s="277">
        <v>179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63D4-F856-4B49-940A-7D42F82F6A73}">
  <dimension ref="A1:E120"/>
  <sheetViews>
    <sheetView workbookViewId="0">
      <selection sqref="A1:E1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693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132181325</v>
      </c>
      <c r="C3" s="277">
        <v>653659</v>
      </c>
      <c r="D3" s="277">
        <v>110418531</v>
      </c>
      <c r="E3" s="277">
        <v>4321641</v>
      </c>
    </row>
    <row r="4" spans="1:5" ht="32.1" customHeight="1">
      <c r="A4" s="276" t="s">
        <v>511</v>
      </c>
      <c r="B4" s="277">
        <v>101616268</v>
      </c>
      <c r="C4" s="277">
        <v>497211</v>
      </c>
      <c r="D4" s="277">
        <v>85904545</v>
      </c>
      <c r="E4" s="277">
        <v>3031848</v>
      </c>
    </row>
    <row r="5" spans="1:5" ht="32.1" customHeight="1">
      <c r="A5" s="276" t="s">
        <v>512</v>
      </c>
      <c r="B5" s="277">
        <v>34573069</v>
      </c>
      <c r="C5" s="277">
        <v>160910</v>
      </c>
      <c r="D5" s="277">
        <v>27174286</v>
      </c>
      <c r="E5" s="277">
        <v>1757107</v>
      </c>
    </row>
    <row r="6" spans="1:5" ht="32.1" customHeight="1">
      <c r="A6" s="276" t="s">
        <v>513</v>
      </c>
      <c r="B6" s="277">
        <v>23277581</v>
      </c>
      <c r="C6" s="277">
        <v>108585</v>
      </c>
      <c r="D6" s="277">
        <v>19513985</v>
      </c>
      <c r="E6" s="277">
        <v>937983</v>
      </c>
    </row>
    <row r="7" spans="1:5" ht="32.1" customHeight="1">
      <c r="A7" s="276" t="s">
        <v>514</v>
      </c>
      <c r="B7" s="277">
        <v>11427705</v>
      </c>
      <c r="C7" s="277">
        <v>60560</v>
      </c>
      <c r="D7" s="277">
        <v>10605908</v>
      </c>
      <c r="E7" s="277">
        <v>83760</v>
      </c>
    </row>
    <row r="8" spans="1:5" ht="32.1" customHeight="1">
      <c r="A8" s="276" t="s">
        <v>515</v>
      </c>
      <c r="B8" s="277">
        <v>9630777</v>
      </c>
      <c r="C8" s="277">
        <v>44874</v>
      </c>
      <c r="D8" s="277">
        <v>8715127</v>
      </c>
      <c r="E8" s="277">
        <v>90266</v>
      </c>
    </row>
    <row r="9" spans="1:5" ht="32.1" customHeight="1">
      <c r="A9" s="276" t="s">
        <v>516</v>
      </c>
      <c r="B9" s="277">
        <v>8308793</v>
      </c>
      <c r="C9" s="277">
        <v>44063</v>
      </c>
      <c r="D9" s="277">
        <v>7196418</v>
      </c>
      <c r="E9" s="277">
        <v>64034</v>
      </c>
    </row>
    <row r="10" spans="1:5" ht="32.1" customHeight="1">
      <c r="A10" s="276" t="s">
        <v>517</v>
      </c>
      <c r="B10" s="277">
        <v>6221791</v>
      </c>
      <c r="C10" s="277">
        <v>34108</v>
      </c>
      <c r="D10" s="277">
        <v>5582868</v>
      </c>
      <c r="E10" s="277">
        <v>38203</v>
      </c>
    </row>
    <row r="11" spans="1:5" ht="32.1" customHeight="1">
      <c r="A11" s="276" t="s">
        <v>605</v>
      </c>
      <c r="B11" s="277">
        <v>7041126</v>
      </c>
      <c r="C11" s="277">
        <v>37332</v>
      </c>
      <c r="D11" s="277">
        <v>6289045</v>
      </c>
      <c r="E11" s="277">
        <v>45558</v>
      </c>
    </row>
    <row r="12" spans="1:5" ht="32.1" customHeight="1">
      <c r="A12" s="276" t="s">
        <v>645</v>
      </c>
      <c r="B12" s="277">
        <v>0</v>
      </c>
      <c r="C12" s="277">
        <v>942</v>
      </c>
      <c r="D12" s="277">
        <v>0</v>
      </c>
      <c r="E12" s="277">
        <v>6675</v>
      </c>
    </row>
    <row r="13" spans="1:5" ht="32.1" customHeight="1">
      <c r="A13" s="276" t="s">
        <v>683</v>
      </c>
      <c r="B13" s="277">
        <v>1135426</v>
      </c>
      <c r="C13" s="277">
        <v>5837</v>
      </c>
      <c r="D13" s="277">
        <v>826908</v>
      </c>
      <c r="E13" s="277">
        <v>8261</v>
      </c>
    </row>
    <row r="14" spans="1:5" ht="32.1" customHeight="1">
      <c r="A14" s="276" t="s">
        <v>518</v>
      </c>
      <c r="B14" s="277">
        <v>30565057</v>
      </c>
      <c r="C14" s="277">
        <v>156448</v>
      </c>
      <c r="D14" s="277">
        <v>24513986</v>
      </c>
      <c r="E14" s="277">
        <v>1289793</v>
      </c>
    </row>
    <row r="15" spans="1:5" ht="32.1" customHeight="1">
      <c r="A15" s="276" t="s">
        <v>521</v>
      </c>
      <c r="B15" s="277">
        <v>344501</v>
      </c>
      <c r="C15" s="277">
        <v>1346</v>
      </c>
      <c r="D15" s="277">
        <v>264312</v>
      </c>
      <c r="E15" s="277">
        <v>14765</v>
      </c>
    </row>
    <row r="16" spans="1:5" ht="32.1" customHeight="1">
      <c r="A16" s="276" t="s">
        <v>524</v>
      </c>
      <c r="B16" s="277">
        <v>223830</v>
      </c>
      <c r="C16" s="277">
        <v>730</v>
      </c>
      <c r="D16" s="277">
        <v>198278</v>
      </c>
      <c r="E16" s="277">
        <v>26691</v>
      </c>
    </row>
    <row r="17" spans="1:5" ht="32.1" customHeight="1">
      <c r="A17" s="276" t="s">
        <v>526</v>
      </c>
      <c r="B17" s="277">
        <v>540336</v>
      </c>
      <c r="C17" s="277">
        <v>1802</v>
      </c>
      <c r="D17" s="277">
        <v>482207</v>
      </c>
      <c r="E17" s="277">
        <v>21368</v>
      </c>
    </row>
    <row r="18" spans="1:5" ht="32.1" customHeight="1">
      <c r="A18" s="276" t="s">
        <v>694</v>
      </c>
      <c r="B18" s="277">
        <v>0</v>
      </c>
      <c r="C18" s="277">
        <v>2</v>
      </c>
      <c r="D18" s="277">
        <v>0</v>
      </c>
      <c r="E18" s="277">
        <v>22</v>
      </c>
    </row>
    <row r="19" spans="1:5" ht="32.1" customHeight="1">
      <c r="A19" s="276" t="s">
        <v>648</v>
      </c>
      <c r="B19" s="277">
        <v>141212</v>
      </c>
      <c r="C19" s="277">
        <v>954</v>
      </c>
      <c r="D19" s="277">
        <v>109271</v>
      </c>
      <c r="E19" s="277">
        <v>1570</v>
      </c>
    </row>
    <row r="20" spans="1:5" ht="32.1" customHeight="1">
      <c r="A20" s="276" t="s">
        <v>695</v>
      </c>
      <c r="B20" s="277">
        <v>1464</v>
      </c>
      <c r="C20" s="277">
        <v>9</v>
      </c>
      <c r="D20" s="277">
        <v>1402</v>
      </c>
      <c r="E20" s="277">
        <v>13</v>
      </c>
    </row>
    <row r="21" spans="1:5" ht="32.1" customHeight="1">
      <c r="A21" s="276" t="s">
        <v>528</v>
      </c>
      <c r="B21" s="277">
        <v>265664</v>
      </c>
      <c r="C21" s="277">
        <v>724</v>
      </c>
      <c r="D21" s="277">
        <v>235623</v>
      </c>
      <c r="E21" s="277">
        <v>8418</v>
      </c>
    </row>
    <row r="22" spans="1:5" ht="32.1" customHeight="1">
      <c r="A22" s="276" t="s">
        <v>676</v>
      </c>
      <c r="B22" s="277">
        <v>9840</v>
      </c>
      <c r="C22" s="277">
        <v>54</v>
      </c>
      <c r="D22" s="277">
        <v>8553</v>
      </c>
      <c r="E22" s="277">
        <v>93</v>
      </c>
    </row>
    <row r="23" spans="1:5" ht="32.1" customHeight="1">
      <c r="A23" s="276" t="s">
        <v>529</v>
      </c>
      <c r="B23" s="277">
        <v>455369</v>
      </c>
      <c r="C23" s="277">
        <v>1195</v>
      </c>
      <c r="D23" s="277">
        <v>381375</v>
      </c>
      <c r="E23" s="277">
        <v>18607</v>
      </c>
    </row>
    <row r="24" spans="1:5" ht="32.1" customHeight="1">
      <c r="A24" s="276" t="s">
        <v>530</v>
      </c>
      <c r="B24" s="277">
        <v>0</v>
      </c>
      <c r="C24" s="277">
        <v>668</v>
      </c>
      <c r="D24" s="277">
        <v>0</v>
      </c>
      <c r="E24" s="277">
        <v>12831</v>
      </c>
    </row>
    <row r="25" spans="1:5" ht="32.1" customHeight="1">
      <c r="A25" s="276" t="s">
        <v>531</v>
      </c>
      <c r="B25" s="277">
        <v>22880</v>
      </c>
      <c r="C25" s="277">
        <v>220</v>
      </c>
      <c r="D25" s="277">
        <v>19863</v>
      </c>
      <c r="E25" s="277">
        <v>281</v>
      </c>
    </row>
    <row r="26" spans="1:5" ht="32.1" customHeight="1">
      <c r="A26" s="276" t="s">
        <v>532</v>
      </c>
      <c r="B26" s="277">
        <v>229864</v>
      </c>
      <c r="C26" s="277">
        <v>762</v>
      </c>
      <c r="D26" s="277">
        <v>192446</v>
      </c>
      <c r="E26" s="277">
        <v>13810</v>
      </c>
    </row>
    <row r="27" spans="1:5" ht="32.1" customHeight="1">
      <c r="A27" s="276" t="s">
        <v>533</v>
      </c>
      <c r="B27" s="277">
        <v>201162</v>
      </c>
      <c r="C27" s="277">
        <v>911</v>
      </c>
      <c r="D27" s="277">
        <v>169411</v>
      </c>
      <c r="E27" s="277">
        <v>4963</v>
      </c>
    </row>
    <row r="28" spans="1:5" ht="32.1" customHeight="1">
      <c r="A28" s="276" t="s">
        <v>696</v>
      </c>
      <c r="B28" s="277">
        <v>183</v>
      </c>
      <c r="C28" s="277">
        <v>4</v>
      </c>
      <c r="D28" s="277">
        <v>101</v>
      </c>
      <c r="E28" s="277">
        <v>3</v>
      </c>
    </row>
    <row r="29" spans="1:5" ht="32.1" customHeight="1">
      <c r="A29" s="276" t="s">
        <v>535</v>
      </c>
      <c r="B29" s="277">
        <v>1280098</v>
      </c>
      <c r="C29" s="277">
        <v>5109</v>
      </c>
      <c r="D29" s="277">
        <v>1139232</v>
      </c>
      <c r="E29" s="277">
        <v>44739</v>
      </c>
    </row>
    <row r="30" spans="1:5" ht="32.1" customHeight="1">
      <c r="A30" s="276" t="s">
        <v>536</v>
      </c>
      <c r="B30" s="277">
        <v>0</v>
      </c>
      <c r="C30" s="277">
        <v>18</v>
      </c>
      <c r="D30" s="277">
        <v>0</v>
      </c>
      <c r="E30" s="277">
        <v>398</v>
      </c>
    </row>
    <row r="31" spans="1:5" ht="32.1" customHeight="1">
      <c r="A31" s="276" t="s">
        <v>697</v>
      </c>
      <c r="B31" s="277">
        <v>1320</v>
      </c>
      <c r="C31" s="277">
        <v>16</v>
      </c>
      <c r="D31" s="277">
        <v>732</v>
      </c>
      <c r="E31" s="277">
        <v>12</v>
      </c>
    </row>
    <row r="32" spans="1:5" ht="32.1" customHeight="1">
      <c r="A32" s="276" t="s">
        <v>651</v>
      </c>
      <c r="B32" s="277">
        <v>7332</v>
      </c>
      <c r="C32" s="277">
        <v>42</v>
      </c>
      <c r="D32" s="277">
        <v>6714</v>
      </c>
      <c r="E32" s="277">
        <v>75</v>
      </c>
    </row>
    <row r="33" spans="1:5" ht="32.1" customHeight="1">
      <c r="A33" s="276" t="s">
        <v>633</v>
      </c>
      <c r="B33" s="277">
        <v>31452</v>
      </c>
      <c r="C33" s="277">
        <v>210</v>
      </c>
      <c r="D33" s="277">
        <v>17112</v>
      </c>
      <c r="E33" s="277">
        <v>243</v>
      </c>
    </row>
    <row r="34" spans="1:5" ht="32.1" customHeight="1">
      <c r="A34" s="276" t="s">
        <v>652</v>
      </c>
      <c r="B34" s="277">
        <v>799800</v>
      </c>
      <c r="C34" s="277">
        <v>3969</v>
      </c>
      <c r="D34" s="277">
        <v>681317</v>
      </c>
      <c r="E34" s="277">
        <v>10390</v>
      </c>
    </row>
    <row r="35" spans="1:5" ht="32.1" customHeight="1">
      <c r="A35" s="276" t="s">
        <v>607</v>
      </c>
      <c r="B35" s="277">
        <v>50484</v>
      </c>
      <c r="C35" s="277">
        <v>292</v>
      </c>
      <c r="D35" s="277">
        <v>34627</v>
      </c>
      <c r="E35" s="277">
        <v>552</v>
      </c>
    </row>
    <row r="36" spans="1:5" ht="32.1" customHeight="1">
      <c r="A36" s="276" t="s">
        <v>541</v>
      </c>
      <c r="B36" s="277">
        <v>880898</v>
      </c>
      <c r="C36" s="277">
        <v>5212</v>
      </c>
      <c r="D36" s="277">
        <v>626663</v>
      </c>
      <c r="E36" s="277">
        <v>9860</v>
      </c>
    </row>
    <row r="37" spans="1:5" ht="32.1" customHeight="1">
      <c r="A37" s="276" t="s">
        <v>542</v>
      </c>
      <c r="B37" s="277">
        <v>428374</v>
      </c>
      <c r="C37" s="277">
        <v>2366</v>
      </c>
      <c r="D37" s="277">
        <v>325645</v>
      </c>
      <c r="E37" s="277">
        <v>5733</v>
      </c>
    </row>
    <row r="38" spans="1:5" ht="32.1" customHeight="1">
      <c r="A38" s="276" t="s">
        <v>543</v>
      </c>
      <c r="B38" s="277">
        <v>538544</v>
      </c>
      <c r="C38" s="277">
        <v>2472</v>
      </c>
      <c r="D38" s="277">
        <v>400869</v>
      </c>
      <c r="E38" s="277">
        <v>7900</v>
      </c>
    </row>
    <row r="39" spans="1:5" ht="32.1" customHeight="1">
      <c r="A39" s="276" t="s">
        <v>698</v>
      </c>
      <c r="B39" s="277">
        <v>1392</v>
      </c>
      <c r="C39" s="277">
        <v>8</v>
      </c>
      <c r="D39" s="277">
        <v>1354</v>
      </c>
      <c r="E39" s="277">
        <v>15</v>
      </c>
    </row>
    <row r="40" spans="1:5" ht="32.1" customHeight="1">
      <c r="A40" s="276" t="s">
        <v>622</v>
      </c>
      <c r="B40" s="277">
        <v>87506</v>
      </c>
      <c r="C40" s="277">
        <v>455</v>
      </c>
      <c r="D40" s="277">
        <v>74833</v>
      </c>
      <c r="E40" s="277">
        <v>717</v>
      </c>
    </row>
    <row r="41" spans="1:5" ht="32.1" customHeight="1">
      <c r="A41" s="276" t="s">
        <v>699</v>
      </c>
      <c r="B41" s="277">
        <v>52450</v>
      </c>
      <c r="C41" s="277">
        <v>138</v>
      </c>
      <c r="D41" s="277">
        <v>47179</v>
      </c>
      <c r="E41" s="277">
        <v>1415</v>
      </c>
    </row>
    <row r="42" spans="1:5" ht="32.1" customHeight="1">
      <c r="A42" s="276" t="s">
        <v>653</v>
      </c>
      <c r="B42" s="277">
        <v>66420</v>
      </c>
      <c r="C42" s="277">
        <v>176</v>
      </c>
      <c r="D42" s="277">
        <v>59799</v>
      </c>
      <c r="E42" s="277">
        <v>1468</v>
      </c>
    </row>
    <row r="43" spans="1:5" ht="32.1" customHeight="1">
      <c r="A43" s="276" t="s">
        <v>545</v>
      </c>
      <c r="B43" s="277">
        <v>21000</v>
      </c>
      <c r="C43" s="277">
        <v>140</v>
      </c>
      <c r="D43" s="277">
        <v>14525</v>
      </c>
      <c r="E43" s="277">
        <v>126</v>
      </c>
    </row>
    <row r="44" spans="1:5" ht="32.1" customHeight="1">
      <c r="A44" s="276" t="s">
        <v>546</v>
      </c>
      <c r="B44" s="277">
        <v>145452</v>
      </c>
      <c r="C44" s="277">
        <v>918</v>
      </c>
      <c r="D44" s="277">
        <v>124981</v>
      </c>
      <c r="E44" s="277">
        <v>1311</v>
      </c>
    </row>
    <row r="45" spans="1:5" ht="32.1" customHeight="1">
      <c r="A45" s="276" t="s">
        <v>666</v>
      </c>
      <c r="B45" s="277">
        <v>972</v>
      </c>
      <c r="C45" s="277">
        <v>6</v>
      </c>
      <c r="D45" s="277">
        <v>565</v>
      </c>
      <c r="E45" s="277">
        <v>10</v>
      </c>
    </row>
    <row r="46" spans="1:5" ht="32.1" customHeight="1">
      <c r="A46" s="276" t="s">
        <v>667</v>
      </c>
      <c r="B46" s="277">
        <v>0</v>
      </c>
      <c r="C46" s="277">
        <v>306</v>
      </c>
      <c r="D46" s="277">
        <v>0</v>
      </c>
      <c r="E46" s="277">
        <v>21147</v>
      </c>
    </row>
    <row r="47" spans="1:5" ht="32.1" customHeight="1">
      <c r="A47" s="276" t="s">
        <v>547</v>
      </c>
      <c r="B47" s="277">
        <v>0</v>
      </c>
      <c r="C47" s="277">
        <v>16</v>
      </c>
      <c r="D47" s="277">
        <v>0</v>
      </c>
      <c r="E47" s="277">
        <v>627</v>
      </c>
    </row>
    <row r="48" spans="1:5" ht="32.1" customHeight="1">
      <c r="A48" s="276" t="s">
        <v>548</v>
      </c>
      <c r="B48" s="277">
        <v>1036266</v>
      </c>
      <c r="C48" s="277">
        <v>3655</v>
      </c>
      <c r="D48" s="277">
        <v>703125</v>
      </c>
      <c r="E48" s="277">
        <v>39526</v>
      </c>
    </row>
    <row r="49" spans="1:5" ht="32.1" customHeight="1">
      <c r="A49" s="276" t="s">
        <v>654</v>
      </c>
      <c r="B49" s="277">
        <v>201476</v>
      </c>
      <c r="C49" s="277">
        <v>706</v>
      </c>
      <c r="D49" s="277">
        <v>184591</v>
      </c>
      <c r="E49" s="277">
        <v>8723</v>
      </c>
    </row>
    <row r="50" spans="1:5" ht="32.1" customHeight="1">
      <c r="A50" s="276" t="s">
        <v>700</v>
      </c>
      <c r="B50" s="277">
        <v>49572</v>
      </c>
      <c r="C50" s="277">
        <v>204</v>
      </c>
      <c r="D50" s="277">
        <v>35331</v>
      </c>
      <c r="E50" s="277">
        <v>2162</v>
      </c>
    </row>
    <row r="51" spans="1:5" ht="32.1" customHeight="1">
      <c r="A51" s="276" t="s">
        <v>701</v>
      </c>
      <c r="B51" s="277">
        <v>0</v>
      </c>
      <c r="C51" s="277">
        <v>1</v>
      </c>
      <c r="D51" s="277">
        <v>0</v>
      </c>
      <c r="E51" s="277">
        <v>2</v>
      </c>
    </row>
    <row r="52" spans="1:5" ht="32.1" customHeight="1">
      <c r="A52" s="276" t="s">
        <v>551</v>
      </c>
      <c r="B52" s="277">
        <v>221</v>
      </c>
      <c r="C52" s="277">
        <v>540</v>
      </c>
      <c r="D52" s="277">
        <v>150</v>
      </c>
      <c r="E52" s="277">
        <v>33240</v>
      </c>
    </row>
    <row r="53" spans="1:5" ht="32.1" customHeight="1">
      <c r="A53" s="276" t="s">
        <v>552</v>
      </c>
      <c r="B53" s="277">
        <v>0</v>
      </c>
      <c r="C53" s="277">
        <v>6</v>
      </c>
      <c r="D53" s="277">
        <v>0</v>
      </c>
      <c r="E53" s="277">
        <v>414</v>
      </c>
    </row>
    <row r="54" spans="1:5" ht="32.1" customHeight="1">
      <c r="A54" s="276" t="s">
        <v>669</v>
      </c>
      <c r="B54" s="277">
        <v>87132</v>
      </c>
      <c r="C54" s="277">
        <v>348</v>
      </c>
      <c r="D54" s="277">
        <v>73037</v>
      </c>
      <c r="E54" s="277">
        <v>3546</v>
      </c>
    </row>
    <row r="55" spans="1:5" ht="32.1" customHeight="1">
      <c r="A55" s="276" t="s">
        <v>554</v>
      </c>
      <c r="B55" s="277">
        <v>54307</v>
      </c>
      <c r="C55" s="277">
        <v>507</v>
      </c>
      <c r="D55" s="277">
        <v>36754</v>
      </c>
      <c r="E55" s="277">
        <v>409</v>
      </c>
    </row>
    <row r="56" spans="1:5" ht="32.1" customHeight="1">
      <c r="A56" s="276" t="s">
        <v>556</v>
      </c>
      <c r="B56" s="277">
        <v>403626</v>
      </c>
      <c r="C56" s="277">
        <v>783</v>
      </c>
      <c r="D56" s="277">
        <v>344274</v>
      </c>
      <c r="E56" s="277">
        <v>15789</v>
      </c>
    </row>
    <row r="57" spans="1:5" ht="32.1" customHeight="1">
      <c r="A57" s="276" t="s">
        <v>557</v>
      </c>
      <c r="B57" s="277">
        <v>753983</v>
      </c>
      <c r="C57" s="277">
        <v>3242</v>
      </c>
      <c r="D57" s="277">
        <v>636495</v>
      </c>
      <c r="E57" s="277">
        <v>19322</v>
      </c>
    </row>
    <row r="58" spans="1:5" ht="32.1" customHeight="1">
      <c r="A58" s="276" t="s">
        <v>609</v>
      </c>
      <c r="B58" s="277">
        <v>0</v>
      </c>
      <c r="C58" s="277">
        <v>102</v>
      </c>
      <c r="D58" s="277">
        <v>0</v>
      </c>
      <c r="E58" s="277">
        <v>2918</v>
      </c>
    </row>
    <row r="59" spans="1:5" ht="32.1" customHeight="1">
      <c r="A59" s="276" t="s">
        <v>559</v>
      </c>
      <c r="B59" s="277">
        <v>254106</v>
      </c>
      <c r="C59" s="277">
        <v>1482</v>
      </c>
      <c r="D59" s="277">
        <v>195166</v>
      </c>
      <c r="E59" s="277">
        <v>3673</v>
      </c>
    </row>
    <row r="60" spans="1:5" ht="32.1" customHeight="1">
      <c r="A60" s="276" t="s">
        <v>560</v>
      </c>
      <c r="B60" s="277">
        <v>0</v>
      </c>
      <c r="C60" s="277">
        <v>626</v>
      </c>
      <c r="D60" s="277">
        <v>0</v>
      </c>
      <c r="E60" s="277">
        <v>26281</v>
      </c>
    </row>
    <row r="61" spans="1:5" ht="32.1" customHeight="1">
      <c r="A61" s="276" t="s">
        <v>562</v>
      </c>
      <c r="B61" s="277">
        <v>111234</v>
      </c>
      <c r="C61" s="277">
        <v>522</v>
      </c>
      <c r="D61" s="277">
        <v>88465</v>
      </c>
      <c r="E61" s="277">
        <v>2656</v>
      </c>
    </row>
    <row r="62" spans="1:5" ht="32.1" customHeight="1">
      <c r="A62" s="276" t="s">
        <v>610</v>
      </c>
      <c r="B62" s="277">
        <v>745706</v>
      </c>
      <c r="C62" s="277">
        <v>1978</v>
      </c>
      <c r="D62" s="277">
        <v>614223</v>
      </c>
      <c r="E62" s="277">
        <v>16426</v>
      </c>
    </row>
    <row r="63" spans="1:5" ht="32.1" customHeight="1">
      <c r="A63" s="276" t="s">
        <v>611</v>
      </c>
      <c r="B63" s="277">
        <v>0</v>
      </c>
      <c r="C63" s="277">
        <v>1231</v>
      </c>
      <c r="D63" s="277">
        <v>0</v>
      </c>
      <c r="E63" s="277">
        <v>40428</v>
      </c>
    </row>
    <row r="64" spans="1:5" ht="32.1" customHeight="1">
      <c r="A64" s="276" t="s">
        <v>702</v>
      </c>
      <c r="B64" s="277">
        <v>0</v>
      </c>
      <c r="C64" s="277">
        <v>2</v>
      </c>
      <c r="D64" s="277">
        <v>0</v>
      </c>
      <c r="E64" s="277">
        <v>45</v>
      </c>
    </row>
    <row r="65" spans="1:5" ht="32.1" customHeight="1">
      <c r="A65" s="276" t="s">
        <v>564</v>
      </c>
      <c r="B65" s="277">
        <v>395545</v>
      </c>
      <c r="C65" s="277">
        <v>1341</v>
      </c>
      <c r="D65" s="277">
        <v>345952</v>
      </c>
      <c r="E65" s="277">
        <v>22324</v>
      </c>
    </row>
    <row r="66" spans="1:5" ht="32.1" customHeight="1">
      <c r="A66" s="276" t="s">
        <v>565</v>
      </c>
      <c r="B66" s="277">
        <v>0</v>
      </c>
      <c r="C66" s="277">
        <v>617</v>
      </c>
      <c r="D66" s="277">
        <v>0</v>
      </c>
      <c r="E66" s="277">
        <v>19515</v>
      </c>
    </row>
    <row r="67" spans="1:5" ht="32.1" customHeight="1">
      <c r="A67" s="276" t="s">
        <v>655</v>
      </c>
      <c r="B67" s="277">
        <v>87972</v>
      </c>
      <c r="C67" s="277">
        <v>324</v>
      </c>
      <c r="D67" s="277">
        <v>38153</v>
      </c>
      <c r="E67" s="277">
        <v>2185</v>
      </c>
    </row>
    <row r="68" spans="1:5" ht="32.1" customHeight="1">
      <c r="A68" s="276" t="s">
        <v>612</v>
      </c>
      <c r="B68" s="277">
        <v>225461</v>
      </c>
      <c r="C68" s="277">
        <v>734</v>
      </c>
      <c r="D68" s="277">
        <v>186699</v>
      </c>
      <c r="E68" s="277">
        <v>15096</v>
      </c>
    </row>
    <row r="69" spans="1:5" ht="32.1" customHeight="1">
      <c r="A69" s="276" t="s">
        <v>638</v>
      </c>
      <c r="B69" s="277">
        <v>149420</v>
      </c>
      <c r="C69" s="277">
        <v>698</v>
      </c>
      <c r="D69" s="277">
        <v>127719</v>
      </c>
      <c r="E69" s="277">
        <v>9109</v>
      </c>
    </row>
    <row r="70" spans="1:5" ht="32.1" customHeight="1">
      <c r="A70" s="276" t="s">
        <v>567</v>
      </c>
      <c r="B70" s="277">
        <v>336294</v>
      </c>
      <c r="C70" s="277">
        <v>2602</v>
      </c>
      <c r="D70" s="277">
        <v>253653</v>
      </c>
      <c r="E70" s="277">
        <v>3572</v>
      </c>
    </row>
    <row r="71" spans="1:5" ht="32.1" customHeight="1">
      <c r="A71" s="276" t="s">
        <v>670</v>
      </c>
      <c r="B71" s="277">
        <v>51300</v>
      </c>
      <c r="C71" s="277">
        <v>290</v>
      </c>
      <c r="D71" s="277">
        <v>47767</v>
      </c>
      <c r="E71" s="277">
        <v>505</v>
      </c>
    </row>
    <row r="72" spans="1:5" ht="32.1" customHeight="1">
      <c r="A72" s="276" t="s">
        <v>568</v>
      </c>
      <c r="B72" s="277">
        <v>84672</v>
      </c>
      <c r="C72" s="277">
        <v>342</v>
      </c>
      <c r="D72" s="277">
        <v>77396</v>
      </c>
      <c r="E72" s="277">
        <v>2949</v>
      </c>
    </row>
    <row r="73" spans="1:5" ht="32.1" customHeight="1">
      <c r="A73" s="276" t="s">
        <v>639</v>
      </c>
      <c r="B73" s="277">
        <v>4999</v>
      </c>
      <c r="C73" s="277">
        <v>30</v>
      </c>
      <c r="D73" s="277">
        <v>3748</v>
      </c>
      <c r="E73" s="277">
        <v>53</v>
      </c>
    </row>
    <row r="74" spans="1:5" ht="32.1" customHeight="1">
      <c r="A74" s="276" t="s">
        <v>680</v>
      </c>
      <c r="B74" s="277">
        <v>0</v>
      </c>
      <c r="C74" s="277">
        <v>8</v>
      </c>
      <c r="D74" s="277">
        <v>0</v>
      </c>
      <c r="E74" s="277">
        <v>45</v>
      </c>
    </row>
    <row r="75" spans="1:5" ht="32.1" customHeight="1">
      <c r="A75" s="276" t="s">
        <v>570</v>
      </c>
      <c r="B75" s="277">
        <v>353562</v>
      </c>
      <c r="C75" s="277">
        <v>1320</v>
      </c>
      <c r="D75" s="277">
        <v>292835</v>
      </c>
      <c r="E75" s="277">
        <v>11717</v>
      </c>
    </row>
    <row r="76" spans="1:5" ht="32.1" customHeight="1">
      <c r="A76" s="276" t="s">
        <v>571</v>
      </c>
      <c r="B76" s="277">
        <v>57776</v>
      </c>
      <c r="C76" s="277">
        <v>314</v>
      </c>
      <c r="D76" s="277">
        <v>46610</v>
      </c>
      <c r="E76" s="277">
        <v>764</v>
      </c>
    </row>
    <row r="77" spans="1:5" ht="32.1" customHeight="1">
      <c r="A77" s="276" t="s">
        <v>572</v>
      </c>
      <c r="B77" s="277">
        <v>0</v>
      </c>
      <c r="C77" s="277">
        <v>3613</v>
      </c>
      <c r="D77" s="277">
        <v>0</v>
      </c>
      <c r="E77" s="277">
        <v>42954</v>
      </c>
    </row>
    <row r="78" spans="1:5" ht="32.1" customHeight="1">
      <c r="A78" s="276" t="s">
        <v>614</v>
      </c>
      <c r="B78" s="277">
        <v>104704</v>
      </c>
      <c r="C78" s="277">
        <v>410</v>
      </c>
      <c r="D78" s="277">
        <v>76809</v>
      </c>
      <c r="E78" s="277">
        <v>4104</v>
      </c>
    </row>
    <row r="79" spans="1:5" ht="32.1" customHeight="1">
      <c r="A79" s="276" t="s">
        <v>575</v>
      </c>
      <c r="B79" s="277">
        <v>763761</v>
      </c>
      <c r="C79" s="277">
        <v>4384</v>
      </c>
      <c r="D79" s="277">
        <v>653307</v>
      </c>
      <c r="E79" s="277">
        <v>17483</v>
      </c>
    </row>
    <row r="80" spans="1:5" ht="32.1" customHeight="1">
      <c r="A80" s="276" t="s">
        <v>576</v>
      </c>
      <c r="B80" s="277">
        <v>0</v>
      </c>
      <c r="C80" s="277">
        <v>4</v>
      </c>
      <c r="D80" s="277">
        <v>0</v>
      </c>
      <c r="E80" s="277">
        <v>194</v>
      </c>
    </row>
    <row r="81" spans="1:5" ht="32.1" customHeight="1">
      <c r="A81" s="276" t="s">
        <v>577</v>
      </c>
      <c r="B81" s="277">
        <v>523815</v>
      </c>
      <c r="C81" s="277">
        <v>2189</v>
      </c>
      <c r="D81" s="277">
        <v>429371</v>
      </c>
      <c r="E81" s="277">
        <v>9679</v>
      </c>
    </row>
    <row r="82" spans="1:5" ht="32.1" customHeight="1">
      <c r="A82" s="276" t="s">
        <v>703</v>
      </c>
      <c r="B82" s="277">
        <v>13810</v>
      </c>
      <c r="C82" s="277">
        <v>76</v>
      </c>
      <c r="D82" s="277">
        <v>8537</v>
      </c>
      <c r="E82" s="277">
        <v>83</v>
      </c>
    </row>
    <row r="83" spans="1:5" ht="32.1" customHeight="1">
      <c r="A83" s="276" t="s">
        <v>688</v>
      </c>
      <c r="B83" s="277">
        <v>27288</v>
      </c>
      <c r="C83" s="277">
        <v>168</v>
      </c>
      <c r="D83" s="277">
        <v>23248</v>
      </c>
      <c r="E83" s="277">
        <v>228</v>
      </c>
    </row>
    <row r="84" spans="1:5" ht="32.1" customHeight="1">
      <c r="A84" s="276" t="s">
        <v>579</v>
      </c>
      <c r="B84" s="277">
        <v>1185000</v>
      </c>
      <c r="C84" s="277">
        <v>7017</v>
      </c>
      <c r="D84" s="277">
        <v>888978</v>
      </c>
      <c r="E84" s="277">
        <v>17997</v>
      </c>
    </row>
    <row r="85" spans="1:5" ht="32.1" customHeight="1">
      <c r="A85" s="276" t="s">
        <v>659</v>
      </c>
      <c r="B85" s="277">
        <v>39164</v>
      </c>
      <c r="C85" s="277">
        <v>248</v>
      </c>
      <c r="D85" s="277">
        <v>33538</v>
      </c>
      <c r="E85" s="277">
        <v>405</v>
      </c>
    </row>
    <row r="86" spans="1:5" ht="32.1" customHeight="1">
      <c r="A86" s="276" t="s">
        <v>580</v>
      </c>
      <c r="B86" s="277">
        <v>2136857</v>
      </c>
      <c r="C86" s="277">
        <v>13076</v>
      </c>
      <c r="D86" s="277">
        <v>1636364</v>
      </c>
      <c r="E86" s="277">
        <v>34387</v>
      </c>
    </row>
    <row r="87" spans="1:5" ht="32.1" customHeight="1">
      <c r="A87" s="276" t="s">
        <v>581</v>
      </c>
      <c r="B87" s="277">
        <v>2625072</v>
      </c>
      <c r="C87" s="277">
        <v>15030</v>
      </c>
      <c r="D87" s="277">
        <v>1966731</v>
      </c>
      <c r="E87" s="277">
        <v>41121</v>
      </c>
    </row>
    <row r="88" spans="1:5" ht="32.1" customHeight="1">
      <c r="A88" s="276" t="s">
        <v>582</v>
      </c>
      <c r="B88" s="277">
        <v>185326</v>
      </c>
      <c r="C88" s="277">
        <v>1124</v>
      </c>
      <c r="D88" s="277">
        <v>131066</v>
      </c>
      <c r="E88" s="277">
        <v>3007</v>
      </c>
    </row>
    <row r="89" spans="1:5" ht="32.1" customHeight="1">
      <c r="A89" s="276" t="s">
        <v>583</v>
      </c>
      <c r="B89" s="277">
        <v>0</v>
      </c>
      <c r="C89" s="277">
        <v>190</v>
      </c>
      <c r="D89" s="277">
        <v>0</v>
      </c>
      <c r="E89" s="277">
        <v>1410</v>
      </c>
    </row>
    <row r="90" spans="1:5" ht="32.1" customHeight="1">
      <c r="A90" s="276" t="s">
        <v>584</v>
      </c>
      <c r="B90" s="277">
        <v>89916</v>
      </c>
      <c r="C90" s="277">
        <v>558</v>
      </c>
      <c r="D90" s="277">
        <v>60920</v>
      </c>
      <c r="E90" s="277">
        <v>1267</v>
      </c>
    </row>
    <row r="91" spans="1:5" ht="32.1" customHeight="1">
      <c r="A91" s="276" t="s">
        <v>585</v>
      </c>
      <c r="B91" s="277">
        <v>0</v>
      </c>
      <c r="C91" s="277">
        <v>554</v>
      </c>
      <c r="D91" s="277">
        <v>0</v>
      </c>
      <c r="E91" s="277">
        <v>37920</v>
      </c>
    </row>
    <row r="92" spans="1:5" ht="32.1" customHeight="1">
      <c r="A92" s="276" t="s">
        <v>586</v>
      </c>
      <c r="B92" s="277">
        <v>970483</v>
      </c>
      <c r="C92" s="277">
        <v>4059</v>
      </c>
      <c r="D92" s="277">
        <v>810377</v>
      </c>
      <c r="E92" s="277">
        <v>23168</v>
      </c>
    </row>
    <row r="93" spans="1:5" ht="32.1" customHeight="1">
      <c r="A93" s="276" t="s">
        <v>640</v>
      </c>
      <c r="B93" s="277">
        <v>132838</v>
      </c>
      <c r="C93" s="277">
        <v>738</v>
      </c>
      <c r="D93" s="277">
        <v>98699</v>
      </c>
      <c r="E93" s="277">
        <v>1364</v>
      </c>
    </row>
    <row r="94" spans="1:5" ht="32.1" customHeight="1">
      <c r="A94" s="276" t="s">
        <v>661</v>
      </c>
      <c r="B94" s="277">
        <v>99636</v>
      </c>
      <c r="C94" s="277">
        <v>361</v>
      </c>
      <c r="D94" s="277">
        <v>86296</v>
      </c>
      <c r="E94" s="277">
        <v>4571</v>
      </c>
    </row>
    <row r="95" spans="1:5" ht="32.1" customHeight="1">
      <c r="A95" s="276" t="s">
        <v>662</v>
      </c>
      <c r="B95" s="277">
        <v>612068</v>
      </c>
      <c r="C95" s="277">
        <v>3377</v>
      </c>
      <c r="D95" s="277">
        <v>478974</v>
      </c>
      <c r="E95" s="277">
        <v>6003</v>
      </c>
    </row>
    <row r="96" spans="1:5" ht="32.1" customHeight="1">
      <c r="A96" s="276" t="s">
        <v>587</v>
      </c>
      <c r="B96" s="277">
        <v>0</v>
      </c>
      <c r="C96" s="277">
        <v>302</v>
      </c>
      <c r="D96" s="277">
        <v>0</v>
      </c>
      <c r="E96" s="277">
        <v>15961</v>
      </c>
    </row>
    <row r="97" spans="1:5" ht="32.1" customHeight="1">
      <c r="A97" s="276" t="s">
        <v>588</v>
      </c>
      <c r="B97" s="277">
        <v>318902</v>
      </c>
      <c r="C97" s="277">
        <v>1230</v>
      </c>
      <c r="D97" s="277">
        <v>251396</v>
      </c>
      <c r="E97" s="277">
        <v>49469</v>
      </c>
    </row>
    <row r="98" spans="1:5" ht="32.1" customHeight="1">
      <c r="A98" s="276" t="s">
        <v>589</v>
      </c>
      <c r="B98" s="277">
        <v>0</v>
      </c>
      <c r="C98" s="277">
        <v>449</v>
      </c>
      <c r="D98" s="277">
        <v>0</v>
      </c>
      <c r="E98" s="277">
        <v>30569</v>
      </c>
    </row>
    <row r="99" spans="1:5" ht="32.1" customHeight="1">
      <c r="A99" s="276" t="s">
        <v>681</v>
      </c>
      <c r="B99" s="277">
        <v>22220</v>
      </c>
      <c r="C99" s="277">
        <v>126</v>
      </c>
      <c r="D99" s="277">
        <v>21201</v>
      </c>
      <c r="E99" s="277">
        <v>203</v>
      </c>
    </row>
    <row r="100" spans="1:5" ht="32.1" customHeight="1">
      <c r="A100" s="276" t="s">
        <v>590</v>
      </c>
      <c r="B100" s="277">
        <v>1257174</v>
      </c>
      <c r="C100" s="277">
        <v>4476</v>
      </c>
      <c r="D100" s="277">
        <v>1043579</v>
      </c>
      <c r="E100" s="277">
        <v>57626</v>
      </c>
    </row>
    <row r="101" spans="1:5" ht="32.1" customHeight="1">
      <c r="A101" s="276" t="s">
        <v>591</v>
      </c>
      <c r="B101" s="277">
        <v>183002</v>
      </c>
      <c r="C101" s="277">
        <v>1064</v>
      </c>
      <c r="D101" s="277">
        <v>137432</v>
      </c>
      <c r="E101" s="277">
        <v>2168</v>
      </c>
    </row>
    <row r="102" spans="1:5" ht="32.1" customHeight="1">
      <c r="A102" s="276" t="s">
        <v>690</v>
      </c>
      <c r="B102" s="277">
        <v>205920</v>
      </c>
      <c r="C102" s="277">
        <v>1147</v>
      </c>
      <c r="D102" s="277">
        <v>157826</v>
      </c>
      <c r="E102" s="277">
        <v>1472</v>
      </c>
    </row>
    <row r="103" spans="1:5" ht="32.1" customHeight="1">
      <c r="A103" s="276" t="s">
        <v>671</v>
      </c>
      <c r="B103" s="277">
        <v>599053</v>
      </c>
      <c r="C103" s="277">
        <v>1591</v>
      </c>
      <c r="D103" s="277">
        <v>522608</v>
      </c>
      <c r="E103" s="277">
        <v>11450</v>
      </c>
    </row>
    <row r="104" spans="1:5" ht="32.1" customHeight="1">
      <c r="A104" s="276" t="s">
        <v>592</v>
      </c>
      <c r="B104" s="277">
        <v>1236746</v>
      </c>
      <c r="C104" s="277">
        <v>3451</v>
      </c>
      <c r="D104" s="277">
        <v>934905</v>
      </c>
      <c r="E104" s="277">
        <v>46679</v>
      </c>
    </row>
    <row r="105" spans="1:5" ht="32.1" customHeight="1">
      <c r="A105" s="276" t="s">
        <v>593</v>
      </c>
      <c r="B105" s="277">
        <v>375236</v>
      </c>
      <c r="C105" s="277">
        <v>1342</v>
      </c>
      <c r="D105" s="277">
        <v>321974</v>
      </c>
      <c r="E105" s="277">
        <v>28229</v>
      </c>
    </row>
    <row r="106" spans="1:5" ht="32.1" customHeight="1">
      <c r="A106" s="276" t="s">
        <v>704</v>
      </c>
      <c r="B106" s="277">
        <v>59472</v>
      </c>
      <c r="C106" s="277">
        <v>381</v>
      </c>
      <c r="D106" s="277">
        <v>42764</v>
      </c>
      <c r="E106" s="277">
        <v>486</v>
      </c>
    </row>
    <row r="107" spans="1:5" ht="32.1" customHeight="1">
      <c r="A107" s="276" t="s">
        <v>691</v>
      </c>
      <c r="B107" s="277">
        <v>110070</v>
      </c>
      <c r="C107" s="277">
        <v>633</v>
      </c>
      <c r="D107" s="277">
        <v>73550</v>
      </c>
      <c r="E107" s="277">
        <v>723</v>
      </c>
    </row>
    <row r="108" spans="1:5" ht="32.1" customHeight="1">
      <c r="A108" s="276" t="s">
        <v>595</v>
      </c>
      <c r="B108" s="277">
        <v>0</v>
      </c>
      <c r="C108" s="277">
        <v>2647</v>
      </c>
      <c r="D108" s="277">
        <v>0</v>
      </c>
      <c r="E108" s="277">
        <v>61698</v>
      </c>
    </row>
    <row r="109" spans="1:5" ht="32.1" customHeight="1">
      <c r="A109" s="276" t="s">
        <v>596</v>
      </c>
      <c r="B109" s="277">
        <v>0</v>
      </c>
      <c r="C109" s="277">
        <v>4005</v>
      </c>
      <c r="D109" s="277">
        <v>0</v>
      </c>
      <c r="E109" s="277">
        <v>121439</v>
      </c>
    </row>
    <row r="110" spans="1:5" ht="32.1" customHeight="1">
      <c r="A110" s="276" t="s">
        <v>692</v>
      </c>
      <c r="B110" s="277">
        <v>104832</v>
      </c>
      <c r="C110" s="277">
        <v>416</v>
      </c>
      <c r="D110" s="277">
        <v>86900</v>
      </c>
      <c r="E110" s="277">
        <v>5468</v>
      </c>
    </row>
    <row r="111" spans="1:5" ht="32.1" customHeight="1">
      <c r="A111" s="276" t="s">
        <v>598</v>
      </c>
      <c r="B111" s="277">
        <v>265436</v>
      </c>
      <c r="C111" s="277">
        <v>734</v>
      </c>
      <c r="D111" s="277">
        <v>227161</v>
      </c>
      <c r="E111" s="277">
        <v>15829</v>
      </c>
    </row>
    <row r="112" spans="1:5" ht="32.1" customHeight="1">
      <c r="A112" s="276" t="s">
        <v>642</v>
      </c>
      <c r="B112" s="277">
        <v>912960</v>
      </c>
      <c r="C112" s="277">
        <v>5072</v>
      </c>
      <c r="D112" s="277">
        <v>778714</v>
      </c>
      <c r="E112" s="277">
        <v>4219</v>
      </c>
    </row>
    <row r="113" spans="1:5" ht="32.1" customHeight="1">
      <c r="A113" s="276" t="s">
        <v>599</v>
      </c>
      <c r="B113" s="277">
        <v>230186</v>
      </c>
      <c r="C113" s="277">
        <v>726</v>
      </c>
      <c r="D113" s="277">
        <v>199461</v>
      </c>
      <c r="E113" s="277">
        <v>12976</v>
      </c>
    </row>
    <row r="114" spans="1:5" ht="32.1" customHeight="1">
      <c r="A114" s="276" t="s">
        <v>705</v>
      </c>
      <c r="B114" s="277">
        <v>12068</v>
      </c>
      <c r="C114" s="277">
        <v>67</v>
      </c>
      <c r="D114" s="277">
        <v>10018</v>
      </c>
      <c r="E114" s="277">
        <v>94</v>
      </c>
    </row>
    <row r="115" spans="1:5" ht="32.1" customHeight="1">
      <c r="A115" s="276" t="s">
        <v>600</v>
      </c>
      <c r="B115" s="277">
        <v>588124</v>
      </c>
      <c r="C115" s="277">
        <v>3268</v>
      </c>
      <c r="D115" s="277">
        <v>463353</v>
      </c>
      <c r="E115" s="277">
        <v>5216</v>
      </c>
    </row>
    <row r="116" spans="1:5" ht="32.1" customHeight="1">
      <c r="A116" s="276" t="s">
        <v>601</v>
      </c>
      <c r="B116" s="277">
        <v>1210501</v>
      </c>
      <c r="C116" s="277">
        <v>5245</v>
      </c>
      <c r="D116" s="277">
        <v>949558</v>
      </c>
      <c r="E116" s="277">
        <v>18631</v>
      </c>
    </row>
    <row r="117" spans="1:5" ht="32.1" customHeight="1">
      <c r="A117" s="276" t="s">
        <v>628</v>
      </c>
      <c r="B117" s="277">
        <v>153244</v>
      </c>
      <c r="C117" s="277">
        <v>522</v>
      </c>
      <c r="D117" s="277">
        <v>131589</v>
      </c>
      <c r="E117" s="277">
        <v>5406</v>
      </c>
    </row>
    <row r="118" spans="1:5" ht="32.1" customHeight="1">
      <c r="A118" s="276" t="s">
        <v>602</v>
      </c>
      <c r="B118" s="277">
        <v>3572</v>
      </c>
      <c r="C118" s="277">
        <v>22</v>
      </c>
      <c r="D118" s="277">
        <v>3465</v>
      </c>
      <c r="E118" s="277">
        <v>39</v>
      </c>
    </row>
    <row r="119" spans="1:5" ht="32.1" customHeight="1">
      <c r="A119" s="276" t="s">
        <v>603</v>
      </c>
      <c r="B119" s="277">
        <v>736376</v>
      </c>
      <c r="C119" s="277">
        <v>3623</v>
      </c>
      <c r="D119" s="277">
        <v>657422</v>
      </c>
      <c r="E119" s="277">
        <v>8186</v>
      </c>
    </row>
    <row r="120" spans="1:5" ht="32.1" customHeight="1">
      <c r="A120" s="276" t="s">
        <v>672</v>
      </c>
      <c r="B120" s="277">
        <v>195796</v>
      </c>
      <c r="C120" s="277">
        <v>928</v>
      </c>
      <c r="D120" s="277">
        <v>164763</v>
      </c>
      <c r="E120" s="277">
        <v>4647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3D41-7D43-4C52-BD6B-0B1905CF135F}">
  <dimension ref="A1:E117"/>
  <sheetViews>
    <sheetView workbookViewId="0">
      <selection sqref="A1:E1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706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140984316</v>
      </c>
      <c r="C3" s="277">
        <v>691523</v>
      </c>
      <c r="D3" s="277">
        <v>118490493</v>
      </c>
      <c r="E3" s="277">
        <v>4442001</v>
      </c>
    </row>
    <row r="4" spans="1:5" ht="32.1" customHeight="1">
      <c r="A4" s="276" t="s">
        <v>511</v>
      </c>
      <c r="B4" s="277">
        <v>107630602</v>
      </c>
      <c r="C4" s="277">
        <v>524690</v>
      </c>
      <c r="D4" s="277">
        <v>91273049</v>
      </c>
      <c r="E4" s="277">
        <v>3069951</v>
      </c>
    </row>
    <row r="5" spans="1:5" ht="32.1" customHeight="1">
      <c r="A5" s="276" t="s">
        <v>512</v>
      </c>
      <c r="B5" s="277">
        <v>34581717</v>
      </c>
      <c r="C5" s="277">
        <v>161805</v>
      </c>
      <c r="D5" s="277">
        <v>27239631</v>
      </c>
      <c r="E5" s="277">
        <v>1719674</v>
      </c>
    </row>
    <row r="6" spans="1:5" ht="32.1" customHeight="1">
      <c r="A6" s="276" t="s">
        <v>513</v>
      </c>
      <c r="B6" s="277">
        <v>23417538</v>
      </c>
      <c r="C6" s="277">
        <v>106212</v>
      </c>
      <c r="D6" s="277">
        <v>20015328</v>
      </c>
      <c r="E6" s="277">
        <v>977787</v>
      </c>
    </row>
    <row r="7" spans="1:5" ht="32.1" customHeight="1">
      <c r="A7" s="276" t="s">
        <v>514</v>
      </c>
      <c r="B7" s="277">
        <v>13247853</v>
      </c>
      <c r="C7" s="277">
        <v>70138</v>
      </c>
      <c r="D7" s="277">
        <v>12082012</v>
      </c>
      <c r="E7" s="277">
        <v>95671</v>
      </c>
    </row>
    <row r="8" spans="1:5" ht="32.1" customHeight="1">
      <c r="A8" s="276" t="s">
        <v>515</v>
      </c>
      <c r="B8" s="277">
        <v>10131816</v>
      </c>
      <c r="C8" s="277">
        <v>47841</v>
      </c>
      <c r="D8" s="277">
        <v>8992497</v>
      </c>
      <c r="E8" s="277">
        <v>88746</v>
      </c>
    </row>
    <row r="9" spans="1:5" ht="32.1" customHeight="1">
      <c r="A9" s="276" t="s">
        <v>516</v>
      </c>
      <c r="B9" s="277">
        <v>9484996</v>
      </c>
      <c r="C9" s="277">
        <v>49122</v>
      </c>
      <c r="D9" s="277">
        <v>8151790</v>
      </c>
      <c r="E9" s="277">
        <v>59161</v>
      </c>
    </row>
    <row r="10" spans="1:5" ht="32.1" customHeight="1">
      <c r="A10" s="276" t="s">
        <v>517</v>
      </c>
      <c r="B10" s="277">
        <v>6720627</v>
      </c>
      <c r="C10" s="277">
        <v>35372</v>
      </c>
      <c r="D10" s="277">
        <v>5954290</v>
      </c>
      <c r="E10" s="277">
        <v>43190</v>
      </c>
    </row>
    <row r="11" spans="1:5" ht="32.1" customHeight="1">
      <c r="A11" s="276" t="s">
        <v>605</v>
      </c>
      <c r="B11" s="277">
        <v>8020065</v>
      </c>
      <c r="C11" s="277">
        <v>42492</v>
      </c>
      <c r="D11" s="277">
        <v>7109469</v>
      </c>
      <c r="E11" s="277">
        <v>51782</v>
      </c>
    </row>
    <row r="12" spans="1:5" ht="32.1" customHeight="1">
      <c r="A12" s="276" t="s">
        <v>645</v>
      </c>
      <c r="B12" s="277">
        <v>0</v>
      </c>
      <c r="C12" s="277">
        <v>1537</v>
      </c>
      <c r="D12" s="277">
        <v>0</v>
      </c>
      <c r="E12" s="277">
        <v>18246</v>
      </c>
    </row>
    <row r="13" spans="1:5" ht="32.1" customHeight="1">
      <c r="A13" s="276" t="s">
        <v>683</v>
      </c>
      <c r="B13" s="277">
        <v>2025990</v>
      </c>
      <c r="C13" s="277">
        <v>10171</v>
      </c>
      <c r="D13" s="277">
        <v>1728032</v>
      </c>
      <c r="E13" s="277">
        <v>15694</v>
      </c>
    </row>
    <row r="14" spans="1:5" ht="32.1" customHeight="1">
      <c r="A14" s="276" t="s">
        <v>518</v>
      </c>
      <c r="B14" s="277">
        <v>33353714</v>
      </c>
      <c r="C14" s="277">
        <v>166833</v>
      </c>
      <c r="D14" s="277">
        <v>27217444</v>
      </c>
      <c r="E14" s="277">
        <v>1372050</v>
      </c>
    </row>
    <row r="15" spans="1:5" ht="32.1" customHeight="1">
      <c r="A15" s="276" t="s">
        <v>521</v>
      </c>
      <c r="B15" s="277">
        <v>358483</v>
      </c>
      <c r="C15" s="277">
        <v>1296</v>
      </c>
      <c r="D15" s="277">
        <v>259398</v>
      </c>
      <c r="E15" s="277">
        <v>14947</v>
      </c>
    </row>
    <row r="16" spans="1:5" ht="32.1" customHeight="1">
      <c r="A16" s="276" t="s">
        <v>684</v>
      </c>
      <c r="B16" s="277">
        <v>0</v>
      </c>
      <c r="C16" s="277">
        <v>2</v>
      </c>
      <c r="D16" s="277">
        <v>0</v>
      </c>
      <c r="E16" s="277">
        <v>58</v>
      </c>
    </row>
    <row r="17" spans="1:5" ht="32.1" customHeight="1">
      <c r="A17" s="276" t="s">
        <v>524</v>
      </c>
      <c r="B17" s="277">
        <v>220976</v>
      </c>
      <c r="C17" s="277">
        <v>724</v>
      </c>
      <c r="D17" s="277">
        <v>200130</v>
      </c>
      <c r="E17" s="277">
        <v>23236</v>
      </c>
    </row>
    <row r="18" spans="1:5" ht="32.1" customHeight="1">
      <c r="A18" s="276" t="s">
        <v>526</v>
      </c>
      <c r="B18" s="277">
        <v>580467</v>
      </c>
      <c r="C18" s="277">
        <v>2135</v>
      </c>
      <c r="D18" s="277">
        <v>535226</v>
      </c>
      <c r="E18" s="277">
        <v>23985</v>
      </c>
    </row>
    <row r="19" spans="1:5" ht="32.1" customHeight="1">
      <c r="A19" s="276" t="s">
        <v>694</v>
      </c>
      <c r="B19" s="277">
        <v>0</v>
      </c>
      <c r="C19" s="277">
        <v>2</v>
      </c>
      <c r="D19" s="277">
        <v>0</v>
      </c>
      <c r="E19" s="277">
        <v>16</v>
      </c>
    </row>
    <row r="20" spans="1:5" ht="32.1" customHeight="1">
      <c r="A20" s="276" t="s">
        <v>648</v>
      </c>
      <c r="B20" s="277">
        <v>137030</v>
      </c>
      <c r="C20" s="277">
        <v>925</v>
      </c>
      <c r="D20" s="277">
        <v>87221</v>
      </c>
      <c r="E20" s="277">
        <v>1482</v>
      </c>
    </row>
    <row r="21" spans="1:5" ht="32.1" customHeight="1">
      <c r="A21" s="276" t="s">
        <v>695</v>
      </c>
      <c r="B21" s="277">
        <v>10440</v>
      </c>
      <c r="C21" s="277">
        <v>59</v>
      </c>
      <c r="D21" s="277">
        <v>10080</v>
      </c>
      <c r="E21" s="277">
        <v>113</v>
      </c>
    </row>
    <row r="22" spans="1:5" ht="32.1" customHeight="1">
      <c r="A22" s="276" t="s">
        <v>528</v>
      </c>
      <c r="B22" s="277">
        <v>287721</v>
      </c>
      <c r="C22" s="277">
        <v>727</v>
      </c>
      <c r="D22" s="277">
        <v>240681</v>
      </c>
      <c r="E22" s="277">
        <v>10653</v>
      </c>
    </row>
    <row r="23" spans="1:5" ht="32.1" customHeight="1">
      <c r="A23" s="276" t="s">
        <v>529</v>
      </c>
      <c r="B23" s="277">
        <v>400524</v>
      </c>
      <c r="C23" s="277">
        <v>1223</v>
      </c>
      <c r="D23" s="277">
        <v>335914</v>
      </c>
      <c r="E23" s="277">
        <v>19041</v>
      </c>
    </row>
    <row r="24" spans="1:5" ht="32.1" customHeight="1">
      <c r="A24" s="276" t="s">
        <v>530</v>
      </c>
      <c r="B24" s="277">
        <v>0</v>
      </c>
      <c r="C24" s="277">
        <v>676</v>
      </c>
      <c r="D24" s="277">
        <v>0</v>
      </c>
      <c r="E24" s="277">
        <v>14349</v>
      </c>
    </row>
    <row r="25" spans="1:5" ht="32.1" customHeight="1">
      <c r="A25" s="276" t="s">
        <v>707</v>
      </c>
      <c r="B25" s="277">
        <v>10440</v>
      </c>
      <c r="C25" s="277">
        <v>60</v>
      </c>
      <c r="D25" s="277">
        <v>3491</v>
      </c>
      <c r="E25" s="277">
        <v>35</v>
      </c>
    </row>
    <row r="26" spans="1:5" ht="32.1" customHeight="1">
      <c r="A26" s="276" t="s">
        <v>531</v>
      </c>
      <c r="B26" s="277">
        <v>11232</v>
      </c>
      <c r="C26" s="277">
        <v>109</v>
      </c>
      <c r="D26" s="277">
        <v>8840</v>
      </c>
      <c r="E26" s="277">
        <v>131</v>
      </c>
    </row>
    <row r="27" spans="1:5" ht="32.1" customHeight="1">
      <c r="A27" s="276" t="s">
        <v>532</v>
      </c>
      <c r="B27" s="277">
        <v>393660</v>
      </c>
      <c r="C27" s="277">
        <v>1127</v>
      </c>
      <c r="D27" s="277">
        <v>306347</v>
      </c>
      <c r="E27" s="277">
        <v>17277</v>
      </c>
    </row>
    <row r="28" spans="1:5" ht="32.1" customHeight="1">
      <c r="A28" s="276" t="s">
        <v>708</v>
      </c>
      <c r="B28" s="277">
        <v>960</v>
      </c>
      <c r="C28" s="277">
        <v>6</v>
      </c>
      <c r="D28" s="277">
        <v>771</v>
      </c>
      <c r="E28" s="277">
        <v>9</v>
      </c>
    </row>
    <row r="29" spans="1:5" ht="32.1" customHeight="1">
      <c r="A29" s="276" t="s">
        <v>533</v>
      </c>
      <c r="B29" s="277">
        <v>239464</v>
      </c>
      <c r="C29" s="277">
        <v>1086</v>
      </c>
      <c r="D29" s="277">
        <v>198200</v>
      </c>
      <c r="E29" s="277">
        <v>5502</v>
      </c>
    </row>
    <row r="30" spans="1:5" ht="32.1" customHeight="1">
      <c r="A30" s="276" t="s">
        <v>534</v>
      </c>
      <c r="B30" s="277">
        <v>0</v>
      </c>
      <c r="C30" s="277">
        <v>140</v>
      </c>
      <c r="D30" s="277">
        <v>0</v>
      </c>
      <c r="E30" s="277">
        <v>4961</v>
      </c>
    </row>
    <row r="31" spans="1:5" ht="32.1" customHeight="1">
      <c r="A31" s="276" t="s">
        <v>535</v>
      </c>
      <c r="B31" s="277">
        <v>1433516</v>
      </c>
      <c r="C31" s="277">
        <v>5752</v>
      </c>
      <c r="D31" s="277">
        <v>1197321</v>
      </c>
      <c r="E31" s="277">
        <v>45372</v>
      </c>
    </row>
    <row r="32" spans="1:5" ht="32.1" customHeight="1">
      <c r="A32" s="276" t="s">
        <v>536</v>
      </c>
      <c r="B32" s="277">
        <v>0</v>
      </c>
      <c r="C32" s="277">
        <v>17</v>
      </c>
      <c r="D32" s="277">
        <v>0</v>
      </c>
      <c r="E32" s="277">
        <v>594</v>
      </c>
    </row>
    <row r="33" spans="1:5" ht="32.1" customHeight="1">
      <c r="A33" s="276" t="s">
        <v>633</v>
      </c>
      <c r="B33" s="277">
        <v>37026</v>
      </c>
      <c r="C33" s="277">
        <v>247</v>
      </c>
      <c r="D33" s="277">
        <v>23806</v>
      </c>
      <c r="E33" s="277">
        <v>448</v>
      </c>
    </row>
    <row r="34" spans="1:5" ht="32.1" customHeight="1">
      <c r="A34" s="276" t="s">
        <v>652</v>
      </c>
      <c r="B34" s="277">
        <v>1580460</v>
      </c>
      <c r="C34" s="277">
        <v>7323</v>
      </c>
      <c r="D34" s="277">
        <v>1333475</v>
      </c>
      <c r="E34" s="277">
        <v>17715</v>
      </c>
    </row>
    <row r="35" spans="1:5" ht="32.1" customHeight="1">
      <c r="A35" s="276" t="s">
        <v>607</v>
      </c>
      <c r="B35" s="277">
        <v>57352</v>
      </c>
      <c r="C35" s="277">
        <v>308</v>
      </c>
      <c r="D35" s="277">
        <v>46310</v>
      </c>
      <c r="E35" s="277">
        <v>714</v>
      </c>
    </row>
    <row r="36" spans="1:5" ht="32.1" customHeight="1">
      <c r="A36" s="276" t="s">
        <v>541</v>
      </c>
      <c r="B36" s="277">
        <v>1049236</v>
      </c>
      <c r="C36" s="277">
        <v>6188</v>
      </c>
      <c r="D36" s="277">
        <v>829810</v>
      </c>
      <c r="E36" s="277">
        <v>14614</v>
      </c>
    </row>
    <row r="37" spans="1:5" ht="32.1" customHeight="1">
      <c r="A37" s="276" t="s">
        <v>542</v>
      </c>
      <c r="B37" s="277">
        <v>408714</v>
      </c>
      <c r="C37" s="277">
        <v>2380</v>
      </c>
      <c r="D37" s="277">
        <v>332565</v>
      </c>
      <c r="E37" s="277">
        <v>5682</v>
      </c>
    </row>
    <row r="38" spans="1:5" ht="32.1" customHeight="1">
      <c r="A38" s="276" t="s">
        <v>543</v>
      </c>
      <c r="B38" s="277">
        <v>510454</v>
      </c>
      <c r="C38" s="277">
        <v>1806</v>
      </c>
      <c r="D38" s="277">
        <v>405073</v>
      </c>
      <c r="E38" s="277">
        <v>10427</v>
      </c>
    </row>
    <row r="39" spans="1:5" ht="32.1" customHeight="1">
      <c r="A39" s="276" t="s">
        <v>709</v>
      </c>
      <c r="B39" s="277">
        <v>354</v>
      </c>
      <c r="C39" s="277">
        <v>2</v>
      </c>
      <c r="D39" s="277">
        <v>74</v>
      </c>
      <c r="E39" s="277">
        <v>1</v>
      </c>
    </row>
    <row r="40" spans="1:5" ht="32.1" customHeight="1">
      <c r="A40" s="276" t="s">
        <v>622</v>
      </c>
      <c r="B40" s="277">
        <v>117908</v>
      </c>
      <c r="C40" s="277">
        <v>586</v>
      </c>
      <c r="D40" s="277">
        <v>101997</v>
      </c>
      <c r="E40" s="277">
        <v>1019</v>
      </c>
    </row>
    <row r="41" spans="1:5" ht="32.1" customHeight="1">
      <c r="A41" s="276" t="s">
        <v>699</v>
      </c>
      <c r="B41" s="277">
        <v>117710</v>
      </c>
      <c r="C41" s="277">
        <v>312</v>
      </c>
      <c r="D41" s="277">
        <v>105534</v>
      </c>
      <c r="E41" s="277">
        <v>3515</v>
      </c>
    </row>
    <row r="42" spans="1:5" ht="32.1" customHeight="1">
      <c r="A42" s="276" t="s">
        <v>545</v>
      </c>
      <c r="B42" s="277">
        <v>4800</v>
      </c>
      <c r="C42" s="277">
        <v>32</v>
      </c>
      <c r="D42" s="277">
        <v>1993</v>
      </c>
      <c r="E42" s="277">
        <v>17</v>
      </c>
    </row>
    <row r="43" spans="1:5" ht="32.1" customHeight="1">
      <c r="A43" s="276" t="s">
        <v>546</v>
      </c>
      <c r="B43" s="277">
        <v>200396</v>
      </c>
      <c r="C43" s="277">
        <v>1230</v>
      </c>
      <c r="D43" s="277">
        <v>164139</v>
      </c>
      <c r="E43" s="277">
        <v>1942</v>
      </c>
    </row>
    <row r="44" spans="1:5" ht="32.1" customHeight="1">
      <c r="A44" s="276" t="s">
        <v>666</v>
      </c>
      <c r="B44" s="277">
        <v>1296</v>
      </c>
      <c r="C44" s="277">
        <v>8</v>
      </c>
      <c r="D44" s="277">
        <v>1061</v>
      </c>
      <c r="E44" s="277">
        <v>18</v>
      </c>
    </row>
    <row r="45" spans="1:5" ht="32.1" customHeight="1">
      <c r="A45" s="276" t="s">
        <v>667</v>
      </c>
      <c r="B45" s="277">
        <v>0</v>
      </c>
      <c r="C45" s="277">
        <v>326</v>
      </c>
      <c r="D45" s="277">
        <v>0</v>
      </c>
      <c r="E45" s="277">
        <v>17482</v>
      </c>
    </row>
    <row r="46" spans="1:5" ht="32.1" customHeight="1">
      <c r="A46" s="276" t="s">
        <v>547</v>
      </c>
      <c r="B46" s="277">
        <v>0</v>
      </c>
      <c r="C46" s="277">
        <v>2</v>
      </c>
      <c r="D46" s="277">
        <v>0</v>
      </c>
      <c r="E46" s="277">
        <v>13</v>
      </c>
    </row>
    <row r="47" spans="1:5" ht="32.1" customHeight="1">
      <c r="A47" s="276" t="s">
        <v>548</v>
      </c>
      <c r="B47" s="277">
        <v>1022604</v>
      </c>
      <c r="C47" s="277">
        <v>3592</v>
      </c>
      <c r="D47" s="277">
        <v>733331</v>
      </c>
      <c r="E47" s="277">
        <v>40331</v>
      </c>
    </row>
    <row r="48" spans="1:5" ht="32.1" customHeight="1">
      <c r="A48" s="276" t="s">
        <v>654</v>
      </c>
      <c r="B48" s="277">
        <v>207938</v>
      </c>
      <c r="C48" s="277">
        <v>730</v>
      </c>
      <c r="D48" s="277">
        <v>189622</v>
      </c>
      <c r="E48" s="277">
        <v>8996</v>
      </c>
    </row>
    <row r="49" spans="1:5" ht="32.1" customHeight="1">
      <c r="A49" s="276" t="s">
        <v>687</v>
      </c>
      <c r="B49" s="277">
        <v>0</v>
      </c>
      <c r="C49" s="277">
        <v>1</v>
      </c>
      <c r="D49" s="277">
        <v>0</v>
      </c>
      <c r="E49" s="277">
        <v>2</v>
      </c>
    </row>
    <row r="50" spans="1:5" ht="32.1" customHeight="1">
      <c r="A50" s="276" t="s">
        <v>700</v>
      </c>
      <c r="B50" s="277">
        <v>101088</v>
      </c>
      <c r="C50" s="277">
        <v>416</v>
      </c>
      <c r="D50" s="277">
        <v>80198</v>
      </c>
      <c r="E50" s="277">
        <v>4635</v>
      </c>
    </row>
    <row r="51" spans="1:5" ht="32.1" customHeight="1">
      <c r="A51" s="276" t="s">
        <v>701</v>
      </c>
      <c r="B51" s="277">
        <v>0</v>
      </c>
      <c r="C51" s="277">
        <v>3</v>
      </c>
      <c r="D51" s="277">
        <v>0</v>
      </c>
      <c r="E51" s="277">
        <v>4</v>
      </c>
    </row>
    <row r="52" spans="1:5" ht="32.1" customHeight="1">
      <c r="A52" s="276" t="s">
        <v>551</v>
      </c>
      <c r="B52" s="277">
        <v>0</v>
      </c>
      <c r="C52" s="277">
        <v>860</v>
      </c>
      <c r="D52" s="277">
        <v>0</v>
      </c>
      <c r="E52" s="277">
        <v>43933</v>
      </c>
    </row>
    <row r="53" spans="1:5" ht="32.1" customHeight="1">
      <c r="A53" s="276" t="s">
        <v>552</v>
      </c>
      <c r="B53" s="277">
        <v>0</v>
      </c>
      <c r="C53" s="277">
        <v>4</v>
      </c>
      <c r="D53" s="277">
        <v>0</v>
      </c>
      <c r="E53" s="277">
        <v>275</v>
      </c>
    </row>
    <row r="54" spans="1:5" ht="32.1" customHeight="1">
      <c r="A54" s="276" t="s">
        <v>669</v>
      </c>
      <c r="B54" s="277">
        <v>95966</v>
      </c>
      <c r="C54" s="277">
        <v>384</v>
      </c>
      <c r="D54" s="277">
        <v>81456</v>
      </c>
      <c r="E54" s="277">
        <v>4235</v>
      </c>
    </row>
    <row r="55" spans="1:5" ht="32.1" customHeight="1">
      <c r="A55" s="276" t="s">
        <v>554</v>
      </c>
      <c r="B55" s="277">
        <v>49092</v>
      </c>
      <c r="C55" s="277">
        <v>447</v>
      </c>
      <c r="D55" s="277">
        <v>31276</v>
      </c>
      <c r="E55" s="277">
        <v>341</v>
      </c>
    </row>
    <row r="56" spans="1:5" ht="32.1" customHeight="1">
      <c r="A56" s="276" t="s">
        <v>556</v>
      </c>
      <c r="B56" s="277">
        <v>402295</v>
      </c>
      <c r="C56" s="277">
        <v>778</v>
      </c>
      <c r="D56" s="277">
        <v>338845</v>
      </c>
      <c r="E56" s="277">
        <v>15783</v>
      </c>
    </row>
    <row r="57" spans="1:5" ht="32.1" customHeight="1">
      <c r="A57" s="276" t="s">
        <v>557</v>
      </c>
      <c r="B57" s="277">
        <v>756294</v>
      </c>
      <c r="C57" s="277">
        <v>3246</v>
      </c>
      <c r="D57" s="277">
        <v>665746</v>
      </c>
      <c r="E57" s="277">
        <v>19341</v>
      </c>
    </row>
    <row r="58" spans="1:5" ht="32.1" customHeight="1">
      <c r="A58" s="276" t="s">
        <v>609</v>
      </c>
      <c r="B58" s="277">
        <v>0</v>
      </c>
      <c r="C58" s="277">
        <v>104</v>
      </c>
      <c r="D58" s="277">
        <v>0</v>
      </c>
      <c r="E58" s="277">
        <v>3350</v>
      </c>
    </row>
    <row r="59" spans="1:5" ht="32.1" customHeight="1">
      <c r="A59" s="276" t="s">
        <v>559</v>
      </c>
      <c r="B59" s="277">
        <v>261278</v>
      </c>
      <c r="C59" s="277">
        <v>1470</v>
      </c>
      <c r="D59" s="277">
        <v>226192</v>
      </c>
      <c r="E59" s="277">
        <v>4128</v>
      </c>
    </row>
    <row r="60" spans="1:5" ht="32.1" customHeight="1">
      <c r="A60" s="276" t="s">
        <v>560</v>
      </c>
      <c r="B60" s="277">
        <v>0</v>
      </c>
      <c r="C60" s="277">
        <v>751</v>
      </c>
      <c r="D60" s="277">
        <v>0</v>
      </c>
      <c r="E60" s="277">
        <v>31537</v>
      </c>
    </row>
    <row r="61" spans="1:5" ht="32.1" customHeight="1">
      <c r="A61" s="276" t="s">
        <v>562</v>
      </c>
      <c r="B61" s="277">
        <v>140580</v>
      </c>
      <c r="C61" s="277">
        <v>676</v>
      </c>
      <c r="D61" s="277">
        <v>105023</v>
      </c>
      <c r="E61" s="277">
        <v>3048</v>
      </c>
    </row>
    <row r="62" spans="1:5" ht="32.1" customHeight="1">
      <c r="A62" s="276" t="s">
        <v>610</v>
      </c>
      <c r="B62" s="277">
        <v>1073636</v>
      </c>
      <c r="C62" s="277">
        <v>2849</v>
      </c>
      <c r="D62" s="277">
        <v>807177</v>
      </c>
      <c r="E62" s="277">
        <v>21177</v>
      </c>
    </row>
    <row r="63" spans="1:5" ht="32.1" customHeight="1">
      <c r="A63" s="276" t="s">
        <v>611</v>
      </c>
      <c r="B63" s="277">
        <v>0</v>
      </c>
      <c r="C63" s="277">
        <v>1044</v>
      </c>
      <c r="D63" s="277">
        <v>0</v>
      </c>
      <c r="E63" s="277">
        <v>35432</v>
      </c>
    </row>
    <row r="64" spans="1:5" ht="32.1" customHeight="1">
      <c r="A64" s="276" t="s">
        <v>702</v>
      </c>
      <c r="B64" s="277">
        <v>0</v>
      </c>
      <c r="C64" s="277">
        <v>1</v>
      </c>
      <c r="D64" s="277">
        <v>0</v>
      </c>
      <c r="E64" s="277">
        <v>92</v>
      </c>
    </row>
    <row r="65" spans="1:5" ht="32.1" customHeight="1">
      <c r="A65" s="276" t="s">
        <v>564</v>
      </c>
      <c r="B65" s="277">
        <v>421608</v>
      </c>
      <c r="C65" s="277">
        <v>1396</v>
      </c>
      <c r="D65" s="277">
        <v>376301</v>
      </c>
      <c r="E65" s="277">
        <v>24568</v>
      </c>
    </row>
    <row r="66" spans="1:5" ht="32.1" customHeight="1">
      <c r="A66" s="276" t="s">
        <v>565</v>
      </c>
      <c r="B66" s="277">
        <v>0</v>
      </c>
      <c r="C66" s="277">
        <v>619</v>
      </c>
      <c r="D66" s="277">
        <v>0</v>
      </c>
      <c r="E66" s="277">
        <v>18832</v>
      </c>
    </row>
    <row r="67" spans="1:5" ht="32.1" customHeight="1">
      <c r="A67" s="276" t="s">
        <v>655</v>
      </c>
      <c r="B67" s="277">
        <v>179520</v>
      </c>
      <c r="C67" s="277">
        <v>661</v>
      </c>
      <c r="D67" s="277">
        <v>71927</v>
      </c>
      <c r="E67" s="277">
        <v>2980</v>
      </c>
    </row>
    <row r="68" spans="1:5" ht="32.1" customHeight="1">
      <c r="A68" s="276" t="s">
        <v>612</v>
      </c>
      <c r="B68" s="277">
        <v>228313</v>
      </c>
      <c r="C68" s="277">
        <v>732</v>
      </c>
      <c r="D68" s="277">
        <v>189015</v>
      </c>
      <c r="E68" s="277">
        <v>14639</v>
      </c>
    </row>
    <row r="69" spans="1:5" ht="32.1" customHeight="1">
      <c r="A69" s="276" t="s">
        <v>638</v>
      </c>
      <c r="B69" s="277">
        <v>154432</v>
      </c>
      <c r="C69" s="277">
        <v>720</v>
      </c>
      <c r="D69" s="277">
        <v>132744</v>
      </c>
      <c r="E69" s="277">
        <v>8804</v>
      </c>
    </row>
    <row r="70" spans="1:5" ht="32.1" customHeight="1">
      <c r="A70" s="276" t="s">
        <v>567</v>
      </c>
      <c r="B70" s="277">
        <v>372636</v>
      </c>
      <c r="C70" s="277">
        <v>2886</v>
      </c>
      <c r="D70" s="277">
        <v>264627</v>
      </c>
      <c r="E70" s="277">
        <v>3754</v>
      </c>
    </row>
    <row r="71" spans="1:5" ht="32.1" customHeight="1">
      <c r="A71" s="276" t="s">
        <v>670</v>
      </c>
      <c r="B71" s="277">
        <v>19306</v>
      </c>
      <c r="C71" s="277">
        <v>102</v>
      </c>
      <c r="D71" s="277">
        <v>17561</v>
      </c>
      <c r="E71" s="277">
        <v>181</v>
      </c>
    </row>
    <row r="72" spans="1:5" ht="32.1" customHeight="1">
      <c r="A72" s="276" t="s">
        <v>568</v>
      </c>
      <c r="B72" s="277">
        <v>115424</v>
      </c>
      <c r="C72" s="277">
        <v>502</v>
      </c>
      <c r="D72" s="277">
        <v>98299</v>
      </c>
      <c r="E72" s="277">
        <v>5579</v>
      </c>
    </row>
    <row r="73" spans="1:5" ht="32.1" customHeight="1">
      <c r="A73" s="276" t="s">
        <v>639</v>
      </c>
      <c r="B73" s="277">
        <v>14442</v>
      </c>
      <c r="C73" s="277">
        <v>86</v>
      </c>
      <c r="D73" s="277">
        <v>11037</v>
      </c>
      <c r="E73" s="277">
        <v>135</v>
      </c>
    </row>
    <row r="74" spans="1:5" ht="32.1" customHeight="1">
      <c r="A74" s="276" t="s">
        <v>680</v>
      </c>
      <c r="B74" s="277">
        <v>0</v>
      </c>
      <c r="C74" s="277">
        <v>1</v>
      </c>
      <c r="D74" s="277">
        <v>0</v>
      </c>
      <c r="E74" s="277">
        <v>58</v>
      </c>
    </row>
    <row r="75" spans="1:5" ht="32.1" customHeight="1">
      <c r="A75" s="276" t="s">
        <v>570</v>
      </c>
      <c r="B75" s="277">
        <v>184866</v>
      </c>
      <c r="C75" s="277">
        <v>730</v>
      </c>
      <c r="D75" s="277">
        <v>159714</v>
      </c>
      <c r="E75" s="277">
        <v>10644</v>
      </c>
    </row>
    <row r="76" spans="1:5" ht="32.1" customHeight="1">
      <c r="A76" s="276" t="s">
        <v>571</v>
      </c>
      <c r="B76" s="277">
        <v>57408</v>
      </c>
      <c r="C76" s="277">
        <v>312</v>
      </c>
      <c r="D76" s="277">
        <v>50615</v>
      </c>
      <c r="E76" s="277">
        <v>815</v>
      </c>
    </row>
    <row r="77" spans="1:5" ht="32.1" customHeight="1">
      <c r="A77" s="276" t="s">
        <v>572</v>
      </c>
      <c r="B77" s="277">
        <v>0</v>
      </c>
      <c r="C77" s="277">
        <v>3366</v>
      </c>
      <c r="D77" s="277">
        <v>0</v>
      </c>
      <c r="E77" s="277">
        <v>41045</v>
      </c>
    </row>
    <row r="78" spans="1:5" ht="32.1" customHeight="1">
      <c r="A78" s="276" t="s">
        <v>614</v>
      </c>
      <c r="B78" s="277">
        <v>103935</v>
      </c>
      <c r="C78" s="277">
        <v>406</v>
      </c>
      <c r="D78" s="277">
        <v>73723</v>
      </c>
      <c r="E78" s="277">
        <v>4955</v>
      </c>
    </row>
    <row r="79" spans="1:5" ht="32.1" customHeight="1">
      <c r="A79" s="276" t="s">
        <v>575</v>
      </c>
      <c r="B79" s="277">
        <v>706734</v>
      </c>
      <c r="C79" s="277">
        <v>3815</v>
      </c>
      <c r="D79" s="277">
        <v>634888</v>
      </c>
      <c r="E79" s="277">
        <v>16213</v>
      </c>
    </row>
    <row r="80" spans="1:5" ht="32.1" customHeight="1">
      <c r="A80" s="276" t="s">
        <v>577</v>
      </c>
      <c r="B80" s="277">
        <v>521686</v>
      </c>
      <c r="C80" s="277">
        <v>2187</v>
      </c>
      <c r="D80" s="277">
        <v>447816</v>
      </c>
      <c r="E80" s="277">
        <v>7897</v>
      </c>
    </row>
    <row r="81" spans="1:5" ht="32.1" customHeight="1">
      <c r="A81" s="276" t="s">
        <v>703</v>
      </c>
      <c r="B81" s="277">
        <v>27905</v>
      </c>
      <c r="C81" s="277">
        <v>153</v>
      </c>
      <c r="D81" s="277">
        <v>21715</v>
      </c>
      <c r="E81" s="277">
        <v>221</v>
      </c>
    </row>
    <row r="82" spans="1:5" ht="32.1" customHeight="1">
      <c r="A82" s="276" t="s">
        <v>688</v>
      </c>
      <c r="B82" s="277">
        <v>56892</v>
      </c>
      <c r="C82" s="277">
        <v>311</v>
      </c>
      <c r="D82" s="277">
        <v>51612</v>
      </c>
      <c r="E82" s="277">
        <v>509</v>
      </c>
    </row>
    <row r="83" spans="1:5" ht="32.1" customHeight="1">
      <c r="A83" s="276" t="s">
        <v>579</v>
      </c>
      <c r="B83" s="277">
        <v>1342607</v>
      </c>
      <c r="C83" s="277">
        <v>7771</v>
      </c>
      <c r="D83" s="277">
        <v>1072102</v>
      </c>
      <c r="E83" s="277">
        <v>22587</v>
      </c>
    </row>
    <row r="84" spans="1:5" ht="32.1" customHeight="1">
      <c r="A84" s="276" t="s">
        <v>659</v>
      </c>
      <c r="B84" s="277">
        <v>138330</v>
      </c>
      <c r="C84" s="277">
        <v>876</v>
      </c>
      <c r="D84" s="277">
        <v>121534</v>
      </c>
      <c r="E84" s="277">
        <v>1983</v>
      </c>
    </row>
    <row r="85" spans="1:5" ht="32.1" customHeight="1">
      <c r="A85" s="276" t="s">
        <v>580</v>
      </c>
      <c r="B85" s="277">
        <v>2282281</v>
      </c>
      <c r="C85" s="277">
        <v>13648</v>
      </c>
      <c r="D85" s="277">
        <v>1833819</v>
      </c>
      <c r="E85" s="277">
        <v>39435</v>
      </c>
    </row>
    <row r="86" spans="1:5" ht="32.1" customHeight="1">
      <c r="A86" s="276" t="s">
        <v>581</v>
      </c>
      <c r="B86" s="277">
        <v>2727553</v>
      </c>
      <c r="C86" s="277">
        <v>14777</v>
      </c>
      <c r="D86" s="277">
        <v>2191448</v>
      </c>
      <c r="E86" s="277">
        <v>45554</v>
      </c>
    </row>
    <row r="87" spans="1:5" ht="32.1" customHeight="1">
      <c r="A87" s="276" t="s">
        <v>582</v>
      </c>
      <c r="B87" s="277">
        <v>180516</v>
      </c>
      <c r="C87" s="277">
        <v>1080</v>
      </c>
      <c r="D87" s="277">
        <v>129820</v>
      </c>
      <c r="E87" s="277">
        <v>3259</v>
      </c>
    </row>
    <row r="88" spans="1:5" ht="32.1" customHeight="1">
      <c r="A88" s="276" t="s">
        <v>583</v>
      </c>
      <c r="B88" s="277">
        <v>0</v>
      </c>
      <c r="C88" s="277">
        <v>186</v>
      </c>
      <c r="D88" s="277">
        <v>0</v>
      </c>
      <c r="E88" s="277">
        <v>1610</v>
      </c>
    </row>
    <row r="89" spans="1:5" ht="32.1" customHeight="1">
      <c r="A89" s="276" t="s">
        <v>584</v>
      </c>
      <c r="B89" s="277">
        <v>106698</v>
      </c>
      <c r="C89" s="277">
        <v>670</v>
      </c>
      <c r="D89" s="277">
        <v>74636</v>
      </c>
      <c r="E89" s="277">
        <v>1485</v>
      </c>
    </row>
    <row r="90" spans="1:5" ht="32.1" customHeight="1">
      <c r="A90" s="276" t="s">
        <v>585</v>
      </c>
      <c r="B90" s="277">
        <v>0</v>
      </c>
      <c r="C90" s="277">
        <v>574</v>
      </c>
      <c r="D90" s="277">
        <v>0</v>
      </c>
      <c r="E90" s="277">
        <v>38612</v>
      </c>
    </row>
    <row r="91" spans="1:5" ht="32.1" customHeight="1">
      <c r="A91" s="276" t="s">
        <v>586</v>
      </c>
      <c r="B91" s="277">
        <v>964008</v>
      </c>
      <c r="C91" s="277">
        <v>4120</v>
      </c>
      <c r="D91" s="277">
        <v>834334</v>
      </c>
      <c r="E91" s="277">
        <v>24358</v>
      </c>
    </row>
    <row r="92" spans="1:5" ht="32.1" customHeight="1">
      <c r="A92" s="276" t="s">
        <v>640</v>
      </c>
      <c r="B92" s="277">
        <v>144377</v>
      </c>
      <c r="C92" s="277">
        <v>826</v>
      </c>
      <c r="D92" s="277">
        <v>114502</v>
      </c>
      <c r="E92" s="277">
        <v>1493</v>
      </c>
    </row>
    <row r="93" spans="1:5" ht="32.1" customHeight="1">
      <c r="A93" s="276" t="s">
        <v>661</v>
      </c>
      <c r="B93" s="277">
        <v>97428</v>
      </c>
      <c r="C93" s="277">
        <v>353</v>
      </c>
      <c r="D93" s="277">
        <v>80800</v>
      </c>
      <c r="E93" s="277">
        <v>4449</v>
      </c>
    </row>
    <row r="94" spans="1:5" ht="32.1" customHeight="1">
      <c r="A94" s="276" t="s">
        <v>662</v>
      </c>
      <c r="B94" s="277">
        <v>833748</v>
      </c>
      <c r="C94" s="277">
        <v>4551</v>
      </c>
      <c r="D94" s="277">
        <v>685125</v>
      </c>
      <c r="E94" s="277">
        <v>9015</v>
      </c>
    </row>
    <row r="95" spans="1:5" ht="32.1" customHeight="1">
      <c r="A95" s="276" t="s">
        <v>710</v>
      </c>
      <c r="B95" s="277">
        <v>20540</v>
      </c>
      <c r="C95" s="277">
        <v>130</v>
      </c>
      <c r="D95" s="277">
        <v>12844</v>
      </c>
      <c r="E95" s="277">
        <v>237</v>
      </c>
    </row>
    <row r="96" spans="1:5" ht="32.1" customHeight="1">
      <c r="A96" s="276" t="s">
        <v>587</v>
      </c>
      <c r="B96" s="277">
        <v>0</v>
      </c>
      <c r="C96" s="277">
        <v>314</v>
      </c>
      <c r="D96" s="277">
        <v>0</v>
      </c>
      <c r="E96" s="277">
        <v>15215</v>
      </c>
    </row>
    <row r="97" spans="1:5" ht="32.1" customHeight="1">
      <c r="A97" s="276" t="s">
        <v>588</v>
      </c>
      <c r="B97" s="277">
        <v>316168</v>
      </c>
      <c r="C97" s="277">
        <v>1232</v>
      </c>
      <c r="D97" s="277">
        <v>243639</v>
      </c>
      <c r="E97" s="277">
        <v>57119</v>
      </c>
    </row>
    <row r="98" spans="1:5" ht="32.1" customHeight="1">
      <c r="A98" s="276" t="s">
        <v>589</v>
      </c>
      <c r="B98" s="277">
        <v>0</v>
      </c>
      <c r="C98" s="277">
        <v>355</v>
      </c>
      <c r="D98" s="277">
        <v>0</v>
      </c>
      <c r="E98" s="277">
        <v>21788</v>
      </c>
    </row>
    <row r="99" spans="1:5" ht="32.1" customHeight="1">
      <c r="A99" s="276" t="s">
        <v>590</v>
      </c>
      <c r="B99" s="277">
        <v>1244673</v>
      </c>
      <c r="C99" s="277">
        <v>4413</v>
      </c>
      <c r="D99" s="277">
        <v>1051961</v>
      </c>
      <c r="E99" s="277">
        <v>51387</v>
      </c>
    </row>
    <row r="100" spans="1:5" ht="32.1" customHeight="1">
      <c r="A100" s="276" t="s">
        <v>591</v>
      </c>
      <c r="B100" s="277">
        <v>188585</v>
      </c>
      <c r="C100" s="277">
        <v>1056</v>
      </c>
      <c r="D100" s="277">
        <v>151792</v>
      </c>
      <c r="E100" s="277">
        <v>2363</v>
      </c>
    </row>
    <row r="101" spans="1:5" ht="32.1" customHeight="1">
      <c r="A101" s="276" t="s">
        <v>690</v>
      </c>
      <c r="B101" s="277">
        <v>225180</v>
      </c>
      <c r="C101" s="277">
        <v>1251</v>
      </c>
      <c r="D101" s="277">
        <v>192062</v>
      </c>
      <c r="E101" s="277">
        <v>1958</v>
      </c>
    </row>
    <row r="102" spans="1:5" ht="32.1" customHeight="1">
      <c r="A102" s="276" t="s">
        <v>671</v>
      </c>
      <c r="B102" s="277">
        <v>662012</v>
      </c>
      <c r="C102" s="277">
        <v>1756</v>
      </c>
      <c r="D102" s="277">
        <v>565050</v>
      </c>
      <c r="E102" s="277">
        <v>14442</v>
      </c>
    </row>
    <row r="103" spans="1:5" ht="32.1" customHeight="1">
      <c r="A103" s="276" t="s">
        <v>592</v>
      </c>
      <c r="B103" s="277">
        <v>1399652</v>
      </c>
      <c r="C103" s="277">
        <v>3970</v>
      </c>
      <c r="D103" s="277">
        <v>1027133</v>
      </c>
      <c r="E103" s="277">
        <v>52148</v>
      </c>
    </row>
    <row r="104" spans="1:5" ht="32.1" customHeight="1">
      <c r="A104" s="276" t="s">
        <v>593</v>
      </c>
      <c r="B104" s="277">
        <v>375652</v>
      </c>
      <c r="C104" s="277">
        <v>1354</v>
      </c>
      <c r="D104" s="277">
        <v>340691</v>
      </c>
      <c r="E104" s="277">
        <v>29327</v>
      </c>
    </row>
    <row r="105" spans="1:5" ht="32.1" customHeight="1">
      <c r="A105" s="276" t="s">
        <v>704</v>
      </c>
      <c r="B105" s="277">
        <v>90456</v>
      </c>
      <c r="C105" s="277">
        <v>574</v>
      </c>
      <c r="D105" s="277">
        <v>63394</v>
      </c>
      <c r="E105" s="277">
        <v>715</v>
      </c>
    </row>
    <row r="106" spans="1:5" ht="32.1" customHeight="1">
      <c r="A106" s="276" t="s">
        <v>691</v>
      </c>
      <c r="B106" s="277">
        <v>331200</v>
      </c>
      <c r="C106" s="277">
        <v>1859</v>
      </c>
      <c r="D106" s="277">
        <v>267337</v>
      </c>
      <c r="E106" s="277">
        <v>2680</v>
      </c>
    </row>
    <row r="107" spans="1:5" ht="32.1" customHeight="1">
      <c r="A107" s="276" t="s">
        <v>595</v>
      </c>
      <c r="B107" s="277">
        <v>0</v>
      </c>
      <c r="C107" s="277">
        <v>2639</v>
      </c>
      <c r="D107" s="277">
        <v>0</v>
      </c>
      <c r="E107" s="277">
        <v>56315</v>
      </c>
    </row>
    <row r="108" spans="1:5" ht="32.1" customHeight="1">
      <c r="A108" s="276" t="s">
        <v>596</v>
      </c>
      <c r="B108" s="277">
        <v>0</v>
      </c>
      <c r="C108" s="277">
        <v>4222</v>
      </c>
      <c r="D108" s="277">
        <v>0</v>
      </c>
      <c r="E108" s="277">
        <v>132915</v>
      </c>
    </row>
    <row r="109" spans="1:5" ht="32.1" customHeight="1">
      <c r="A109" s="276" t="s">
        <v>692</v>
      </c>
      <c r="B109" s="277">
        <v>134904</v>
      </c>
      <c r="C109" s="277">
        <v>516</v>
      </c>
      <c r="D109" s="277">
        <v>116938</v>
      </c>
      <c r="E109" s="277">
        <v>6539</v>
      </c>
    </row>
    <row r="110" spans="1:5" ht="32.1" customHeight="1">
      <c r="A110" s="276" t="s">
        <v>598</v>
      </c>
      <c r="B110" s="277">
        <v>304594</v>
      </c>
      <c r="C110" s="277">
        <v>862</v>
      </c>
      <c r="D110" s="277">
        <v>261785</v>
      </c>
      <c r="E110" s="277">
        <v>17140</v>
      </c>
    </row>
    <row r="111" spans="1:5" ht="32.1" customHeight="1">
      <c r="A111" s="276" t="s">
        <v>642</v>
      </c>
      <c r="B111" s="277">
        <v>895860</v>
      </c>
      <c r="C111" s="277">
        <v>4978</v>
      </c>
      <c r="D111" s="277">
        <v>769563</v>
      </c>
      <c r="E111" s="277">
        <v>4293</v>
      </c>
    </row>
    <row r="112" spans="1:5" ht="32.1" customHeight="1">
      <c r="A112" s="276" t="s">
        <v>599</v>
      </c>
      <c r="B112" s="277">
        <v>246456</v>
      </c>
      <c r="C112" s="277">
        <v>724</v>
      </c>
      <c r="D112" s="277">
        <v>217082</v>
      </c>
      <c r="E112" s="277">
        <v>13822</v>
      </c>
    </row>
    <row r="113" spans="1:5" ht="32.1" customHeight="1">
      <c r="A113" s="276" t="s">
        <v>705</v>
      </c>
      <c r="B113" s="277">
        <v>480942</v>
      </c>
      <c r="C113" s="277">
        <v>2670</v>
      </c>
      <c r="D113" s="277">
        <v>376995</v>
      </c>
      <c r="E113" s="277">
        <v>4553</v>
      </c>
    </row>
    <row r="114" spans="1:5" ht="32.1" customHeight="1">
      <c r="A114" s="276" t="s">
        <v>601</v>
      </c>
      <c r="B114" s="277">
        <v>1082865</v>
      </c>
      <c r="C114" s="277">
        <v>4377</v>
      </c>
      <c r="D114" s="277">
        <v>872115</v>
      </c>
      <c r="E114" s="277">
        <v>19374</v>
      </c>
    </row>
    <row r="115" spans="1:5" ht="32.1" customHeight="1">
      <c r="A115" s="276" t="s">
        <v>628</v>
      </c>
      <c r="B115" s="277">
        <v>153052</v>
      </c>
      <c r="C115" s="277">
        <v>522</v>
      </c>
      <c r="D115" s="277">
        <v>127394</v>
      </c>
      <c r="E115" s="277">
        <v>5614</v>
      </c>
    </row>
    <row r="116" spans="1:5" ht="32.1" customHeight="1">
      <c r="A116" s="276" t="s">
        <v>603</v>
      </c>
      <c r="B116" s="277">
        <v>638584</v>
      </c>
      <c r="C116" s="277">
        <v>2992</v>
      </c>
      <c r="D116" s="277">
        <v>583167</v>
      </c>
      <c r="E116" s="277">
        <v>7578</v>
      </c>
    </row>
    <row r="117" spans="1:5" ht="32.1" customHeight="1">
      <c r="A117" s="276" t="s">
        <v>672</v>
      </c>
      <c r="B117" s="277">
        <v>298296</v>
      </c>
      <c r="C117" s="277">
        <v>1478</v>
      </c>
      <c r="D117" s="277">
        <v>248465</v>
      </c>
      <c r="E117" s="277">
        <v>6847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EA507-ABD3-41A9-A230-80D7BBF61613}">
  <dimension ref="A1:E124"/>
  <sheetViews>
    <sheetView workbookViewId="0">
      <selection sqref="A1:E1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711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148604672</v>
      </c>
      <c r="C3" s="277">
        <v>723592</v>
      </c>
      <c r="D3" s="277">
        <v>124286883</v>
      </c>
      <c r="E3" s="277">
        <v>4274717</v>
      </c>
    </row>
    <row r="4" spans="1:5" ht="32.1" customHeight="1">
      <c r="A4" s="276" t="s">
        <v>511</v>
      </c>
      <c r="B4" s="277">
        <v>111528123</v>
      </c>
      <c r="C4" s="277">
        <v>542111</v>
      </c>
      <c r="D4" s="277">
        <v>94245011</v>
      </c>
      <c r="E4" s="277">
        <v>2885294</v>
      </c>
    </row>
    <row r="5" spans="1:5" ht="32.1" customHeight="1">
      <c r="A5" s="276" t="s">
        <v>512</v>
      </c>
      <c r="B5" s="277">
        <v>34122844</v>
      </c>
      <c r="C5" s="277">
        <v>160674</v>
      </c>
      <c r="D5" s="277">
        <v>27834934</v>
      </c>
      <c r="E5" s="277">
        <v>1598043</v>
      </c>
    </row>
    <row r="6" spans="1:5" ht="32.1" customHeight="1">
      <c r="A6" s="276" t="s">
        <v>513</v>
      </c>
      <c r="B6" s="277">
        <v>23873324</v>
      </c>
      <c r="C6" s="277">
        <v>105412</v>
      </c>
      <c r="D6" s="277">
        <v>20306912</v>
      </c>
      <c r="E6" s="277">
        <v>918180</v>
      </c>
    </row>
    <row r="7" spans="1:5" ht="32.1" customHeight="1">
      <c r="A7" s="276" t="s">
        <v>514</v>
      </c>
      <c r="B7" s="277">
        <v>15160068</v>
      </c>
      <c r="C7" s="277">
        <v>80243</v>
      </c>
      <c r="D7" s="277">
        <v>13352537</v>
      </c>
      <c r="E7" s="277">
        <v>100820</v>
      </c>
    </row>
    <row r="8" spans="1:5" ht="32.1" customHeight="1">
      <c r="A8" s="276" t="s">
        <v>515</v>
      </c>
      <c r="B8" s="277">
        <v>10002717</v>
      </c>
      <c r="C8" s="277">
        <v>46470</v>
      </c>
      <c r="D8" s="277">
        <v>8754190</v>
      </c>
      <c r="E8" s="277">
        <v>81225</v>
      </c>
    </row>
    <row r="9" spans="1:5" ht="32.1" customHeight="1">
      <c r="A9" s="276" t="s">
        <v>516</v>
      </c>
      <c r="B9" s="277">
        <v>9576749</v>
      </c>
      <c r="C9" s="277">
        <v>49622</v>
      </c>
      <c r="D9" s="277">
        <v>7863061</v>
      </c>
      <c r="E9" s="277">
        <v>51342</v>
      </c>
    </row>
    <row r="10" spans="1:5" ht="32.1" customHeight="1">
      <c r="A10" s="276" t="s">
        <v>517</v>
      </c>
      <c r="B10" s="277">
        <v>7220370</v>
      </c>
      <c r="C10" s="277">
        <v>37642</v>
      </c>
      <c r="D10" s="277">
        <v>6193866</v>
      </c>
      <c r="E10" s="277">
        <v>42541</v>
      </c>
    </row>
    <row r="11" spans="1:5" ht="32.1" customHeight="1">
      <c r="A11" s="276" t="s">
        <v>605</v>
      </c>
      <c r="B11" s="277">
        <v>9341853</v>
      </c>
      <c r="C11" s="277">
        <v>49482</v>
      </c>
      <c r="D11" s="277">
        <v>7999611</v>
      </c>
      <c r="E11" s="277">
        <v>58755</v>
      </c>
    </row>
    <row r="12" spans="1:5" ht="32.1" customHeight="1">
      <c r="A12" s="276" t="s">
        <v>645</v>
      </c>
      <c r="B12" s="277">
        <v>0</v>
      </c>
      <c r="C12" s="277">
        <v>1268</v>
      </c>
      <c r="D12" s="277">
        <v>0</v>
      </c>
      <c r="E12" s="277">
        <v>17761</v>
      </c>
    </row>
    <row r="13" spans="1:5" ht="32.1" customHeight="1">
      <c r="A13" s="276" t="s">
        <v>683</v>
      </c>
      <c r="B13" s="277">
        <v>2195602</v>
      </c>
      <c r="C13" s="277">
        <v>11112</v>
      </c>
      <c r="D13" s="277">
        <v>1916636</v>
      </c>
      <c r="E13" s="277">
        <v>16502</v>
      </c>
    </row>
    <row r="14" spans="1:5" ht="32.1" customHeight="1">
      <c r="A14" s="276" t="s">
        <v>712</v>
      </c>
      <c r="B14" s="277">
        <v>34596</v>
      </c>
      <c r="C14" s="277">
        <v>186</v>
      </c>
      <c r="D14" s="277">
        <v>23264</v>
      </c>
      <c r="E14" s="277">
        <v>126</v>
      </c>
    </row>
    <row r="15" spans="1:5" ht="32.1" customHeight="1">
      <c r="A15" s="276" t="s">
        <v>518</v>
      </c>
      <c r="B15" s="277">
        <v>37076549</v>
      </c>
      <c r="C15" s="277">
        <v>181481</v>
      </c>
      <c r="D15" s="277">
        <v>30041872</v>
      </c>
      <c r="E15" s="277">
        <v>1389423</v>
      </c>
    </row>
    <row r="16" spans="1:5" ht="32.1" customHeight="1">
      <c r="A16" s="276" t="s">
        <v>713</v>
      </c>
      <c r="B16" s="277">
        <v>0</v>
      </c>
      <c r="C16" s="277">
        <v>158</v>
      </c>
      <c r="D16" s="277">
        <v>0</v>
      </c>
      <c r="E16" s="277">
        <v>595</v>
      </c>
    </row>
    <row r="17" spans="1:5" ht="32.1" customHeight="1">
      <c r="A17" s="276" t="s">
        <v>521</v>
      </c>
      <c r="B17" s="277">
        <v>408078</v>
      </c>
      <c r="C17" s="277">
        <v>1390</v>
      </c>
      <c r="D17" s="277">
        <v>296316</v>
      </c>
      <c r="E17" s="277">
        <v>12425</v>
      </c>
    </row>
    <row r="18" spans="1:5" ht="32.1" customHeight="1">
      <c r="A18" s="276" t="s">
        <v>524</v>
      </c>
      <c r="B18" s="277">
        <v>224868</v>
      </c>
      <c r="C18" s="277">
        <v>726</v>
      </c>
      <c r="D18" s="277">
        <v>203903</v>
      </c>
      <c r="E18" s="277">
        <v>20001</v>
      </c>
    </row>
    <row r="19" spans="1:5" ht="32.1" customHeight="1">
      <c r="A19" s="276" t="s">
        <v>714</v>
      </c>
      <c r="B19" s="277">
        <v>11368</v>
      </c>
      <c r="C19" s="277">
        <v>38</v>
      </c>
      <c r="D19" s="277">
        <v>9460</v>
      </c>
      <c r="E19" s="277">
        <v>505</v>
      </c>
    </row>
    <row r="20" spans="1:5" ht="32.1" customHeight="1">
      <c r="A20" s="276" t="s">
        <v>526</v>
      </c>
      <c r="B20" s="277">
        <v>761164</v>
      </c>
      <c r="C20" s="277">
        <v>2686</v>
      </c>
      <c r="D20" s="277">
        <v>680606</v>
      </c>
      <c r="E20" s="277">
        <v>29236</v>
      </c>
    </row>
    <row r="21" spans="1:5" ht="32.1" customHeight="1">
      <c r="A21" s="276" t="s">
        <v>648</v>
      </c>
      <c r="B21" s="277">
        <v>96166</v>
      </c>
      <c r="C21" s="277">
        <v>670</v>
      </c>
      <c r="D21" s="277">
        <v>61682</v>
      </c>
      <c r="E21" s="277">
        <v>1140</v>
      </c>
    </row>
    <row r="22" spans="1:5" ht="32.1" customHeight="1">
      <c r="A22" s="276" t="s">
        <v>715</v>
      </c>
      <c r="B22" s="277">
        <v>0</v>
      </c>
      <c r="C22" s="277">
        <v>10</v>
      </c>
      <c r="D22" s="277">
        <v>0</v>
      </c>
      <c r="E22" s="277">
        <v>453</v>
      </c>
    </row>
    <row r="23" spans="1:5" ht="32.1" customHeight="1">
      <c r="A23" s="276" t="s">
        <v>528</v>
      </c>
      <c r="B23" s="277">
        <v>340424</v>
      </c>
      <c r="C23" s="277">
        <v>972</v>
      </c>
      <c r="D23" s="277">
        <v>268405</v>
      </c>
      <c r="E23" s="277">
        <v>10551</v>
      </c>
    </row>
    <row r="24" spans="1:5" ht="32.1" customHeight="1">
      <c r="A24" s="276" t="s">
        <v>529</v>
      </c>
      <c r="B24" s="277">
        <v>449034</v>
      </c>
      <c r="C24" s="277">
        <v>1316</v>
      </c>
      <c r="D24" s="277">
        <v>400728</v>
      </c>
      <c r="E24" s="277">
        <v>19062</v>
      </c>
    </row>
    <row r="25" spans="1:5" ht="32.1" customHeight="1">
      <c r="A25" s="276" t="s">
        <v>530</v>
      </c>
      <c r="B25" s="277">
        <v>0</v>
      </c>
      <c r="C25" s="277">
        <v>836</v>
      </c>
      <c r="D25" s="277">
        <v>0</v>
      </c>
      <c r="E25" s="277">
        <v>17132</v>
      </c>
    </row>
    <row r="26" spans="1:5" ht="32.1" customHeight="1">
      <c r="A26" s="276" t="s">
        <v>707</v>
      </c>
      <c r="B26" s="277">
        <v>35670</v>
      </c>
      <c r="C26" s="277">
        <v>206</v>
      </c>
      <c r="D26" s="277">
        <v>25712</v>
      </c>
      <c r="E26" s="277">
        <v>266</v>
      </c>
    </row>
    <row r="27" spans="1:5" ht="32.1" customHeight="1">
      <c r="A27" s="276" t="s">
        <v>532</v>
      </c>
      <c r="B27" s="277">
        <v>388400</v>
      </c>
      <c r="C27" s="277">
        <v>1228</v>
      </c>
      <c r="D27" s="277">
        <v>288073</v>
      </c>
      <c r="E27" s="277">
        <v>16425</v>
      </c>
    </row>
    <row r="28" spans="1:5" ht="32.1" customHeight="1">
      <c r="A28" s="276" t="s">
        <v>631</v>
      </c>
      <c r="B28" s="277">
        <v>742</v>
      </c>
      <c r="C28" s="277">
        <v>7</v>
      </c>
      <c r="D28" s="277">
        <v>635</v>
      </c>
      <c r="E28" s="277">
        <v>7</v>
      </c>
    </row>
    <row r="29" spans="1:5" ht="32.1" customHeight="1">
      <c r="A29" s="276" t="s">
        <v>533</v>
      </c>
      <c r="B29" s="277">
        <v>269068</v>
      </c>
      <c r="C29" s="277">
        <v>1182</v>
      </c>
      <c r="D29" s="277">
        <v>214067</v>
      </c>
      <c r="E29" s="277">
        <v>5566</v>
      </c>
    </row>
    <row r="30" spans="1:5" ht="32.1" customHeight="1">
      <c r="A30" s="276" t="s">
        <v>534</v>
      </c>
      <c r="B30" s="277">
        <v>0</v>
      </c>
      <c r="C30" s="277">
        <v>332</v>
      </c>
      <c r="D30" s="277">
        <v>0</v>
      </c>
      <c r="E30" s="277">
        <v>12895</v>
      </c>
    </row>
    <row r="31" spans="1:5" ht="32.1" customHeight="1">
      <c r="A31" s="276" t="s">
        <v>665</v>
      </c>
      <c r="B31" s="277">
        <v>4512</v>
      </c>
      <c r="C31" s="277">
        <v>32</v>
      </c>
      <c r="D31" s="277">
        <v>1273</v>
      </c>
      <c r="E31" s="277">
        <v>20</v>
      </c>
    </row>
    <row r="32" spans="1:5" ht="32.1" customHeight="1">
      <c r="A32" s="276" t="s">
        <v>716</v>
      </c>
      <c r="B32" s="277">
        <v>47168</v>
      </c>
      <c r="C32" s="277">
        <v>240</v>
      </c>
      <c r="D32" s="277">
        <v>28307</v>
      </c>
      <c r="E32" s="277">
        <v>289</v>
      </c>
    </row>
    <row r="33" spans="1:5" ht="32.1" customHeight="1">
      <c r="A33" s="276" t="s">
        <v>535</v>
      </c>
      <c r="B33" s="277">
        <v>1567860</v>
      </c>
      <c r="C33" s="277">
        <v>6211</v>
      </c>
      <c r="D33" s="277">
        <v>1310334</v>
      </c>
      <c r="E33" s="277">
        <v>50573</v>
      </c>
    </row>
    <row r="34" spans="1:5" ht="32.1" customHeight="1">
      <c r="A34" s="276" t="s">
        <v>536</v>
      </c>
      <c r="B34" s="277">
        <v>0</v>
      </c>
      <c r="C34" s="277">
        <v>9</v>
      </c>
      <c r="D34" s="277">
        <v>0</v>
      </c>
      <c r="E34" s="277">
        <v>327</v>
      </c>
    </row>
    <row r="35" spans="1:5" ht="32.1" customHeight="1">
      <c r="A35" s="276" t="s">
        <v>651</v>
      </c>
      <c r="B35" s="277">
        <v>63672</v>
      </c>
      <c r="C35" s="277">
        <v>344</v>
      </c>
      <c r="D35" s="277">
        <v>60227</v>
      </c>
      <c r="E35" s="277">
        <v>599</v>
      </c>
    </row>
    <row r="36" spans="1:5" ht="32.1" customHeight="1">
      <c r="A36" s="276" t="s">
        <v>633</v>
      </c>
      <c r="B36" s="277">
        <v>63764</v>
      </c>
      <c r="C36" s="277">
        <v>406</v>
      </c>
      <c r="D36" s="277">
        <v>43975</v>
      </c>
      <c r="E36" s="277">
        <v>962</v>
      </c>
    </row>
    <row r="37" spans="1:5" ht="32.1" customHeight="1">
      <c r="A37" s="276" t="s">
        <v>652</v>
      </c>
      <c r="B37" s="277">
        <v>2282472</v>
      </c>
      <c r="C37" s="277">
        <v>10418</v>
      </c>
      <c r="D37" s="277">
        <v>1797706</v>
      </c>
      <c r="E37" s="277">
        <v>21617</v>
      </c>
    </row>
    <row r="38" spans="1:5" ht="32.1" customHeight="1">
      <c r="A38" s="276" t="s">
        <v>540</v>
      </c>
      <c r="B38" s="277">
        <v>0</v>
      </c>
      <c r="C38" s="277">
        <v>2</v>
      </c>
      <c r="D38" s="277">
        <v>0</v>
      </c>
      <c r="E38" s="277">
        <v>73</v>
      </c>
    </row>
    <row r="39" spans="1:5" ht="32.1" customHeight="1">
      <c r="A39" s="276" t="s">
        <v>607</v>
      </c>
      <c r="B39" s="277">
        <v>81020</v>
      </c>
      <c r="C39" s="277">
        <v>421</v>
      </c>
      <c r="D39" s="277">
        <v>58352</v>
      </c>
      <c r="E39" s="277">
        <v>878</v>
      </c>
    </row>
    <row r="40" spans="1:5" ht="32.1" customHeight="1">
      <c r="A40" s="276" t="s">
        <v>541</v>
      </c>
      <c r="B40" s="277">
        <v>1185202</v>
      </c>
      <c r="C40" s="277">
        <v>6932</v>
      </c>
      <c r="D40" s="277">
        <v>939324</v>
      </c>
      <c r="E40" s="277">
        <v>16914</v>
      </c>
    </row>
    <row r="41" spans="1:5" ht="32.1" customHeight="1">
      <c r="A41" s="276" t="s">
        <v>542</v>
      </c>
      <c r="B41" s="277">
        <v>435024</v>
      </c>
      <c r="C41" s="277">
        <v>2371</v>
      </c>
      <c r="D41" s="277">
        <v>357416</v>
      </c>
      <c r="E41" s="277">
        <v>5960</v>
      </c>
    </row>
    <row r="42" spans="1:5" ht="32.1" customHeight="1">
      <c r="A42" s="276" t="s">
        <v>543</v>
      </c>
      <c r="B42" s="277">
        <v>579424</v>
      </c>
      <c r="C42" s="277">
        <v>2177</v>
      </c>
      <c r="D42" s="277">
        <v>422453</v>
      </c>
      <c r="E42" s="277">
        <v>10461</v>
      </c>
    </row>
    <row r="43" spans="1:5" ht="32.1" customHeight="1">
      <c r="A43" s="276" t="s">
        <v>622</v>
      </c>
      <c r="B43" s="277">
        <v>73156</v>
      </c>
      <c r="C43" s="277">
        <v>367</v>
      </c>
      <c r="D43" s="277">
        <v>62884</v>
      </c>
      <c r="E43" s="277">
        <v>629</v>
      </c>
    </row>
    <row r="44" spans="1:5" ht="32.1" customHeight="1">
      <c r="A44" s="276" t="s">
        <v>699</v>
      </c>
      <c r="B44" s="277">
        <v>114884</v>
      </c>
      <c r="C44" s="277">
        <v>312</v>
      </c>
      <c r="D44" s="277">
        <v>102774</v>
      </c>
      <c r="E44" s="277">
        <v>2706</v>
      </c>
    </row>
    <row r="45" spans="1:5" ht="32.1" customHeight="1">
      <c r="A45" s="276" t="s">
        <v>546</v>
      </c>
      <c r="B45" s="277">
        <v>262310</v>
      </c>
      <c r="C45" s="277">
        <v>1556</v>
      </c>
      <c r="D45" s="277">
        <v>221048</v>
      </c>
      <c r="E45" s="277">
        <v>2524</v>
      </c>
    </row>
    <row r="46" spans="1:5" ht="32.1" customHeight="1">
      <c r="A46" s="276" t="s">
        <v>666</v>
      </c>
      <c r="B46" s="277">
        <v>33382</v>
      </c>
      <c r="C46" s="277">
        <v>207</v>
      </c>
      <c r="D46" s="277">
        <v>29076</v>
      </c>
      <c r="E46" s="277">
        <v>399</v>
      </c>
    </row>
    <row r="47" spans="1:5" ht="32.1" customHeight="1">
      <c r="A47" s="276" t="s">
        <v>667</v>
      </c>
      <c r="B47" s="277">
        <v>0</v>
      </c>
      <c r="C47" s="277">
        <v>304</v>
      </c>
      <c r="D47" s="277">
        <v>0</v>
      </c>
      <c r="E47" s="277">
        <v>17290</v>
      </c>
    </row>
    <row r="48" spans="1:5" ht="32.1" customHeight="1">
      <c r="A48" s="276" t="s">
        <v>548</v>
      </c>
      <c r="B48" s="277">
        <v>917468</v>
      </c>
      <c r="C48" s="277">
        <v>2994</v>
      </c>
      <c r="D48" s="277">
        <v>776072</v>
      </c>
      <c r="E48" s="277">
        <v>43269</v>
      </c>
    </row>
    <row r="49" spans="1:5" ht="32.1" customHeight="1">
      <c r="A49" s="276" t="s">
        <v>654</v>
      </c>
      <c r="B49" s="277">
        <v>208536</v>
      </c>
      <c r="C49" s="277">
        <v>732</v>
      </c>
      <c r="D49" s="277">
        <v>189433</v>
      </c>
      <c r="E49" s="277">
        <v>9189</v>
      </c>
    </row>
    <row r="50" spans="1:5" ht="32.1" customHeight="1">
      <c r="A50" s="276" t="s">
        <v>687</v>
      </c>
      <c r="B50" s="277">
        <v>0</v>
      </c>
      <c r="C50" s="277">
        <v>4</v>
      </c>
      <c r="D50" s="277">
        <v>0</v>
      </c>
      <c r="E50" s="277">
        <v>4</v>
      </c>
    </row>
    <row r="51" spans="1:5" ht="32.1" customHeight="1">
      <c r="A51" s="276" t="s">
        <v>700</v>
      </c>
      <c r="B51" s="277">
        <v>104309</v>
      </c>
      <c r="C51" s="277">
        <v>430</v>
      </c>
      <c r="D51" s="277">
        <v>85439</v>
      </c>
      <c r="E51" s="277">
        <v>4271</v>
      </c>
    </row>
    <row r="52" spans="1:5" ht="32.1" customHeight="1">
      <c r="A52" s="276" t="s">
        <v>701</v>
      </c>
      <c r="B52" s="277">
        <v>0</v>
      </c>
      <c r="C52" s="277">
        <v>1</v>
      </c>
      <c r="D52" s="277">
        <v>0</v>
      </c>
      <c r="E52" s="277">
        <v>8</v>
      </c>
    </row>
    <row r="53" spans="1:5" ht="32.1" customHeight="1">
      <c r="A53" s="276" t="s">
        <v>551</v>
      </c>
      <c r="B53" s="277">
        <v>0</v>
      </c>
      <c r="C53" s="277">
        <v>1348</v>
      </c>
      <c r="D53" s="277">
        <v>0</v>
      </c>
      <c r="E53" s="277">
        <v>71912</v>
      </c>
    </row>
    <row r="54" spans="1:5" ht="32.1" customHeight="1">
      <c r="A54" s="276" t="s">
        <v>552</v>
      </c>
      <c r="B54" s="277">
        <v>0</v>
      </c>
      <c r="C54" s="277">
        <v>3</v>
      </c>
      <c r="D54" s="277">
        <v>0</v>
      </c>
      <c r="E54" s="277">
        <v>188</v>
      </c>
    </row>
    <row r="55" spans="1:5" ht="32.1" customHeight="1">
      <c r="A55" s="276" t="s">
        <v>669</v>
      </c>
      <c r="B55" s="277">
        <v>102986</v>
      </c>
      <c r="C55" s="277">
        <v>412</v>
      </c>
      <c r="D55" s="277">
        <v>86166</v>
      </c>
      <c r="E55" s="277">
        <v>4135</v>
      </c>
    </row>
    <row r="56" spans="1:5" ht="32.1" customHeight="1">
      <c r="A56" s="276" t="s">
        <v>717</v>
      </c>
      <c r="B56" s="277">
        <v>6518</v>
      </c>
      <c r="C56" s="277">
        <v>33</v>
      </c>
      <c r="D56" s="277">
        <v>3341</v>
      </c>
      <c r="E56" s="277">
        <v>30</v>
      </c>
    </row>
    <row r="57" spans="1:5" ht="32.1" customHeight="1">
      <c r="A57" s="276" t="s">
        <v>554</v>
      </c>
      <c r="B57" s="277">
        <v>37174</v>
      </c>
      <c r="C57" s="277">
        <v>284</v>
      </c>
      <c r="D57" s="277">
        <v>22573</v>
      </c>
      <c r="E57" s="277">
        <v>240</v>
      </c>
    </row>
    <row r="58" spans="1:5" ht="32.1" customHeight="1">
      <c r="A58" s="276" t="s">
        <v>556</v>
      </c>
      <c r="B58" s="277">
        <v>381446</v>
      </c>
      <c r="C58" s="277">
        <v>734</v>
      </c>
      <c r="D58" s="277">
        <v>322479</v>
      </c>
      <c r="E58" s="277">
        <v>14650</v>
      </c>
    </row>
    <row r="59" spans="1:5" ht="32.1" customHeight="1">
      <c r="A59" s="276" t="s">
        <v>557</v>
      </c>
      <c r="B59" s="277">
        <v>735115</v>
      </c>
      <c r="C59" s="277">
        <v>3130</v>
      </c>
      <c r="D59" s="277">
        <v>649555</v>
      </c>
      <c r="E59" s="277">
        <v>17974</v>
      </c>
    </row>
    <row r="60" spans="1:5" ht="32.1" customHeight="1">
      <c r="A60" s="276" t="s">
        <v>609</v>
      </c>
      <c r="B60" s="277">
        <v>0</v>
      </c>
      <c r="C60" s="277">
        <v>207</v>
      </c>
      <c r="D60" s="277">
        <v>0</v>
      </c>
      <c r="E60" s="277">
        <v>7451</v>
      </c>
    </row>
    <row r="61" spans="1:5" ht="32.1" customHeight="1">
      <c r="A61" s="276" t="s">
        <v>559</v>
      </c>
      <c r="B61" s="277">
        <v>241318</v>
      </c>
      <c r="C61" s="277">
        <v>1436</v>
      </c>
      <c r="D61" s="277">
        <v>201466</v>
      </c>
      <c r="E61" s="277">
        <v>3643</v>
      </c>
    </row>
    <row r="62" spans="1:5" ht="32.1" customHeight="1">
      <c r="A62" s="276" t="s">
        <v>560</v>
      </c>
      <c r="B62" s="277">
        <v>0</v>
      </c>
      <c r="C62" s="277">
        <v>756</v>
      </c>
      <c r="D62" s="277">
        <v>0</v>
      </c>
      <c r="E62" s="277">
        <v>28051</v>
      </c>
    </row>
    <row r="63" spans="1:5" ht="32.1" customHeight="1">
      <c r="A63" s="276" t="s">
        <v>562</v>
      </c>
      <c r="B63" s="277">
        <v>153792</v>
      </c>
      <c r="C63" s="277">
        <v>754</v>
      </c>
      <c r="D63" s="277">
        <v>114009</v>
      </c>
      <c r="E63" s="277">
        <v>3060</v>
      </c>
    </row>
    <row r="64" spans="1:5" ht="32.1" customHeight="1">
      <c r="A64" s="276" t="s">
        <v>610</v>
      </c>
      <c r="B64" s="277">
        <v>1079311</v>
      </c>
      <c r="C64" s="277">
        <v>2863</v>
      </c>
      <c r="D64" s="277">
        <v>833544</v>
      </c>
      <c r="E64" s="277">
        <v>21243</v>
      </c>
    </row>
    <row r="65" spans="1:5" ht="32.1" customHeight="1">
      <c r="A65" s="276" t="s">
        <v>611</v>
      </c>
      <c r="B65" s="277">
        <v>0</v>
      </c>
      <c r="C65" s="277">
        <v>648</v>
      </c>
      <c r="D65" s="277">
        <v>0</v>
      </c>
      <c r="E65" s="277">
        <v>21536</v>
      </c>
    </row>
    <row r="66" spans="1:5" ht="32.1" customHeight="1">
      <c r="A66" s="276" t="s">
        <v>564</v>
      </c>
      <c r="B66" s="277">
        <v>439518</v>
      </c>
      <c r="C66" s="277">
        <v>1395</v>
      </c>
      <c r="D66" s="277">
        <v>390613</v>
      </c>
      <c r="E66" s="277">
        <v>23678</v>
      </c>
    </row>
    <row r="67" spans="1:5" ht="32.1" customHeight="1">
      <c r="A67" s="276" t="s">
        <v>565</v>
      </c>
      <c r="B67" s="277">
        <v>0</v>
      </c>
      <c r="C67" s="277">
        <v>618</v>
      </c>
      <c r="D67" s="277">
        <v>0</v>
      </c>
      <c r="E67" s="277">
        <v>20099</v>
      </c>
    </row>
    <row r="68" spans="1:5" ht="32.1" customHeight="1">
      <c r="A68" s="276" t="s">
        <v>655</v>
      </c>
      <c r="B68" s="277">
        <v>253236</v>
      </c>
      <c r="C68" s="277">
        <v>1078</v>
      </c>
      <c r="D68" s="277">
        <v>87683</v>
      </c>
      <c r="E68" s="277">
        <v>7102</v>
      </c>
    </row>
    <row r="69" spans="1:5" ht="32.1" customHeight="1">
      <c r="A69" s="276" t="s">
        <v>612</v>
      </c>
      <c r="B69" s="277">
        <v>300948</v>
      </c>
      <c r="C69" s="277">
        <v>732</v>
      </c>
      <c r="D69" s="277">
        <v>227736</v>
      </c>
      <c r="E69" s="277">
        <v>11899</v>
      </c>
    </row>
    <row r="70" spans="1:5" ht="32.1" customHeight="1">
      <c r="A70" s="276" t="s">
        <v>638</v>
      </c>
      <c r="B70" s="277">
        <v>154312</v>
      </c>
      <c r="C70" s="277">
        <v>720</v>
      </c>
      <c r="D70" s="277">
        <v>135528</v>
      </c>
      <c r="E70" s="277">
        <v>8138</v>
      </c>
    </row>
    <row r="71" spans="1:5" ht="32.1" customHeight="1">
      <c r="A71" s="276" t="s">
        <v>567</v>
      </c>
      <c r="B71" s="277">
        <v>415032</v>
      </c>
      <c r="C71" s="277">
        <v>3217</v>
      </c>
      <c r="D71" s="277">
        <v>294241</v>
      </c>
      <c r="E71" s="277">
        <v>3814</v>
      </c>
    </row>
    <row r="72" spans="1:5" ht="32.1" customHeight="1">
      <c r="A72" s="276" t="s">
        <v>670</v>
      </c>
      <c r="B72" s="277">
        <v>67918</v>
      </c>
      <c r="C72" s="277">
        <v>358</v>
      </c>
      <c r="D72" s="277">
        <v>61970</v>
      </c>
      <c r="E72" s="277">
        <v>648</v>
      </c>
    </row>
    <row r="73" spans="1:5" ht="32.1" customHeight="1">
      <c r="A73" s="276" t="s">
        <v>568</v>
      </c>
      <c r="B73" s="277">
        <v>181546</v>
      </c>
      <c r="C73" s="277">
        <v>782</v>
      </c>
      <c r="D73" s="277">
        <v>151232</v>
      </c>
      <c r="E73" s="277">
        <v>7771</v>
      </c>
    </row>
    <row r="74" spans="1:5" ht="32.1" customHeight="1">
      <c r="A74" s="276" t="s">
        <v>639</v>
      </c>
      <c r="B74" s="277">
        <v>33283</v>
      </c>
      <c r="C74" s="277">
        <v>199</v>
      </c>
      <c r="D74" s="277">
        <v>21847</v>
      </c>
      <c r="E74" s="277">
        <v>253</v>
      </c>
    </row>
    <row r="75" spans="1:5" ht="32.1" customHeight="1">
      <c r="A75" s="276" t="s">
        <v>680</v>
      </c>
      <c r="B75" s="277">
        <v>0</v>
      </c>
      <c r="C75" s="277">
        <v>28</v>
      </c>
      <c r="D75" s="277">
        <v>0</v>
      </c>
      <c r="E75" s="277">
        <v>1546</v>
      </c>
    </row>
    <row r="76" spans="1:5" ht="32.1" customHeight="1">
      <c r="A76" s="276" t="s">
        <v>570</v>
      </c>
      <c r="B76" s="277">
        <v>261739</v>
      </c>
      <c r="C76" s="277">
        <v>1008</v>
      </c>
      <c r="D76" s="277">
        <v>207146</v>
      </c>
      <c r="E76" s="277">
        <v>13340</v>
      </c>
    </row>
    <row r="77" spans="1:5" ht="32.1" customHeight="1">
      <c r="A77" s="276" t="s">
        <v>571</v>
      </c>
      <c r="B77" s="277">
        <v>52992</v>
      </c>
      <c r="C77" s="277">
        <v>288</v>
      </c>
      <c r="D77" s="277">
        <v>47497</v>
      </c>
      <c r="E77" s="277">
        <v>811</v>
      </c>
    </row>
    <row r="78" spans="1:5" ht="32.1" customHeight="1">
      <c r="A78" s="276" t="s">
        <v>572</v>
      </c>
      <c r="B78" s="277">
        <v>0</v>
      </c>
      <c r="C78" s="277">
        <v>3029</v>
      </c>
      <c r="D78" s="277">
        <v>0</v>
      </c>
      <c r="E78" s="277">
        <v>38203</v>
      </c>
    </row>
    <row r="79" spans="1:5" ht="32.1" customHeight="1">
      <c r="A79" s="276" t="s">
        <v>718</v>
      </c>
      <c r="B79" s="277">
        <v>9238</v>
      </c>
      <c r="C79" s="277">
        <v>62</v>
      </c>
      <c r="D79" s="277">
        <v>5894</v>
      </c>
      <c r="E79" s="277">
        <v>77</v>
      </c>
    </row>
    <row r="80" spans="1:5" ht="32.1" customHeight="1">
      <c r="A80" s="276" t="s">
        <v>614</v>
      </c>
      <c r="B80" s="277">
        <v>105728</v>
      </c>
      <c r="C80" s="277">
        <v>414</v>
      </c>
      <c r="D80" s="277">
        <v>64727</v>
      </c>
      <c r="E80" s="277">
        <v>3926</v>
      </c>
    </row>
    <row r="81" spans="1:5" ht="32.1" customHeight="1">
      <c r="A81" s="276" t="s">
        <v>575</v>
      </c>
      <c r="B81" s="277">
        <v>821986</v>
      </c>
      <c r="C81" s="277">
        <v>3627</v>
      </c>
      <c r="D81" s="277">
        <v>676588</v>
      </c>
      <c r="E81" s="277">
        <v>15995</v>
      </c>
    </row>
    <row r="82" spans="1:5" ht="32.1" customHeight="1">
      <c r="A82" s="276" t="s">
        <v>577</v>
      </c>
      <c r="B82" s="277">
        <v>520927</v>
      </c>
      <c r="C82" s="277">
        <v>2182</v>
      </c>
      <c r="D82" s="277">
        <v>414726</v>
      </c>
      <c r="E82" s="277">
        <v>8972</v>
      </c>
    </row>
    <row r="83" spans="1:5" ht="32.1" customHeight="1">
      <c r="A83" s="276" t="s">
        <v>719</v>
      </c>
      <c r="B83" s="277">
        <v>6700</v>
      </c>
      <c r="C83" s="277">
        <v>20</v>
      </c>
      <c r="D83" s="277">
        <v>5851</v>
      </c>
      <c r="E83" s="277">
        <v>77</v>
      </c>
    </row>
    <row r="84" spans="1:5" ht="32.1" customHeight="1">
      <c r="A84" s="276" t="s">
        <v>688</v>
      </c>
      <c r="B84" s="277">
        <v>35176</v>
      </c>
      <c r="C84" s="277">
        <v>195</v>
      </c>
      <c r="D84" s="277">
        <v>32015</v>
      </c>
      <c r="E84" s="277">
        <v>337</v>
      </c>
    </row>
    <row r="85" spans="1:5" ht="32.1" customHeight="1">
      <c r="A85" s="276" t="s">
        <v>579</v>
      </c>
      <c r="B85" s="277">
        <v>1537421</v>
      </c>
      <c r="C85" s="277">
        <v>8065</v>
      </c>
      <c r="D85" s="277">
        <v>1250721</v>
      </c>
      <c r="E85" s="277">
        <v>30204</v>
      </c>
    </row>
    <row r="86" spans="1:5" ht="32.1" customHeight="1">
      <c r="A86" s="276" t="s">
        <v>659</v>
      </c>
      <c r="B86" s="277">
        <v>234382</v>
      </c>
      <c r="C86" s="277">
        <v>1484</v>
      </c>
      <c r="D86" s="277">
        <v>215916</v>
      </c>
      <c r="E86" s="277">
        <v>3271</v>
      </c>
    </row>
    <row r="87" spans="1:5" ht="32.1" customHeight="1">
      <c r="A87" s="276" t="s">
        <v>580</v>
      </c>
      <c r="B87" s="277">
        <v>2663952</v>
      </c>
      <c r="C87" s="277">
        <v>14981</v>
      </c>
      <c r="D87" s="277">
        <v>2142980</v>
      </c>
      <c r="E87" s="277">
        <v>43514</v>
      </c>
    </row>
    <row r="88" spans="1:5" ht="32.1" customHeight="1">
      <c r="A88" s="276" t="s">
        <v>581</v>
      </c>
      <c r="B88" s="277">
        <v>3005784</v>
      </c>
      <c r="C88" s="277">
        <v>15621</v>
      </c>
      <c r="D88" s="277">
        <v>2380343</v>
      </c>
      <c r="E88" s="277">
        <v>47724</v>
      </c>
    </row>
    <row r="89" spans="1:5" ht="32.1" customHeight="1">
      <c r="A89" s="276" t="s">
        <v>720</v>
      </c>
      <c r="B89" s="277">
        <v>27056</v>
      </c>
      <c r="C89" s="277">
        <v>160</v>
      </c>
      <c r="D89" s="277">
        <v>22522</v>
      </c>
      <c r="E89" s="277">
        <v>230</v>
      </c>
    </row>
    <row r="90" spans="1:5" ht="32.1" customHeight="1">
      <c r="A90" s="276" t="s">
        <v>660</v>
      </c>
      <c r="B90" s="277">
        <v>0</v>
      </c>
      <c r="C90" s="277">
        <v>16</v>
      </c>
      <c r="D90" s="277">
        <v>0</v>
      </c>
      <c r="E90" s="277">
        <v>248</v>
      </c>
    </row>
    <row r="91" spans="1:5" ht="32.1" customHeight="1">
      <c r="A91" s="276" t="s">
        <v>582</v>
      </c>
      <c r="B91" s="277">
        <v>212096</v>
      </c>
      <c r="C91" s="277">
        <v>1266</v>
      </c>
      <c r="D91" s="277">
        <v>159688</v>
      </c>
      <c r="E91" s="277">
        <v>3588</v>
      </c>
    </row>
    <row r="92" spans="1:5" ht="32.1" customHeight="1">
      <c r="A92" s="276" t="s">
        <v>583</v>
      </c>
      <c r="B92" s="277">
        <v>0</v>
      </c>
      <c r="C92" s="277">
        <v>186</v>
      </c>
      <c r="D92" s="277">
        <v>0</v>
      </c>
      <c r="E92" s="277">
        <v>1388</v>
      </c>
    </row>
    <row r="93" spans="1:5" ht="32.1" customHeight="1">
      <c r="A93" s="276" t="s">
        <v>584</v>
      </c>
      <c r="B93" s="277">
        <v>125546</v>
      </c>
      <c r="C93" s="277">
        <v>730</v>
      </c>
      <c r="D93" s="277">
        <v>95589</v>
      </c>
      <c r="E93" s="277">
        <v>1746</v>
      </c>
    </row>
    <row r="94" spans="1:5" ht="32.1" customHeight="1">
      <c r="A94" s="276" t="s">
        <v>585</v>
      </c>
      <c r="B94" s="277">
        <v>0</v>
      </c>
      <c r="C94" s="277">
        <v>544</v>
      </c>
      <c r="D94" s="277">
        <v>0</v>
      </c>
      <c r="E94" s="277">
        <v>30222</v>
      </c>
    </row>
    <row r="95" spans="1:5" ht="32.1" customHeight="1">
      <c r="A95" s="276" t="s">
        <v>586</v>
      </c>
      <c r="B95" s="277">
        <v>986211</v>
      </c>
      <c r="C95" s="277">
        <v>4174</v>
      </c>
      <c r="D95" s="277">
        <v>838334</v>
      </c>
      <c r="E95" s="277">
        <v>24318</v>
      </c>
    </row>
    <row r="96" spans="1:5" ht="32.1" customHeight="1">
      <c r="A96" s="276" t="s">
        <v>721</v>
      </c>
      <c r="B96" s="277">
        <v>19944</v>
      </c>
      <c r="C96" s="277">
        <v>110</v>
      </c>
      <c r="D96" s="277">
        <v>14040</v>
      </c>
      <c r="E96" s="277">
        <v>133</v>
      </c>
    </row>
    <row r="97" spans="1:5" ht="32.1" customHeight="1">
      <c r="A97" s="276" t="s">
        <v>640</v>
      </c>
      <c r="B97" s="277">
        <v>187042</v>
      </c>
      <c r="C97" s="277">
        <v>1054</v>
      </c>
      <c r="D97" s="277">
        <v>167696</v>
      </c>
      <c r="E97" s="277">
        <v>2002</v>
      </c>
    </row>
    <row r="98" spans="1:5" ht="32.1" customHeight="1">
      <c r="A98" s="276" t="s">
        <v>661</v>
      </c>
      <c r="B98" s="277">
        <v>105294</v>
      </c>
      <c r="C98" s="277">
        <v>381</v>
      </c>
      <c r="D98" s="277">
        <v>85188</v>
      </c>
      <c r="E98" s="277">
        <v>4585</v>
      </c>
    </row>
    <row r="99" spans="1:5" ht="32.1" customHeight="1">
      <c r="A99" s="276" t="s">
        <v>662</v>
      </c>
      <c r="B99" s="277">
        <v>1056996</v>
      </c>
      <c r="C99" s="277">
        <v>5780</v>
      </c>
      <c r="D99" s="277">
        <v>909787</v>
      </c>
      <c r="E99" s="277">
        <v>9678</v>
      </c>
    </row>
    <row r="100" spans="1:5" ht="32.1" customHeight="1">
      <c r="A100" s="276" t="s">
        <v>710</v>
      </c>
      <c r="B100" s="277">
        <v>117816</v>
      </c>
      <c r="C100" s="277">
        <v>744</v>
      </c>
      <c r="D100" s="277">
        <v>92864</v>
      </c>
      <c r="E100" s="277">
        <v>1639</v>
      </c>
    </row>
    <row r="101" spans="1:5" ht="32.1" customHeight="1">
      <c r="A101" s="276" t="s">
        <v>722</v>
      </c>
      <c r="B101" s="277">
        <v>0</v>
      </c>
      <c r="C101" s="277">
        <v>90</v>
      </c>
      <c r="D101" s="277">
        <v>0</v>
      </c>
      <c r="E101" s="277">
        <v>2684</v>
      </c>
    </row>
    <row r="102" spans="1:5" ht="32.1" customHeight="1">
      <c r="A102" s="276" t="s">
        <v>587</v>
      </c>
      <c r="B102" s="277">
        <v>0</v>
      </c>
      <c r="C102" s="277">
        <v>300</v>
      </c>
      <c r="D102" s="277">
        <v>0</v>
      </c>
      <c r="E102" s="277">
        <v>13945</v>
      </c>
    </row>
    <row r="103" spans="1:5" ht="32.1" customHeight="1">
      <c r="A103" s="276" t="s">
        <v>588</v>
      </c>
      <c r="B103" s="277">
        <v>279774</v>
      </c>
      <c r="C103" s="277">
        <v>1224</v>
      </c>
      <c r="D103" s="277">
        <v>230849</v>
      </c>
      <c r="E103" s="277">
        <v>59618</v>
      </c>
    </row>
    <row r="104" spans="1:5" ht="32.1" customHeight="1">
      <c r="A104" s="276" t="s">
        <v>589</v>
      </c>
      <c r="B104" s="277">
        <v>0</v>
      </c>
      <c r="C104" s="277">
        <v>137</v>
      </c>
      <c r="D104" s="277">
        <v>0</v>
      </c>
      <c r="E104" s="277">
        <v>3534</v>
      </c>
    </row>
    <row r="105" spans="1:5" ht="32.1" customHeight="1">
      <c r="A105" s="276" t="s">
        <v>590</v>
      </c>
      <c r="B105" s="277">
        <v>1241746</v>
      </c>
      <c r="C105" s="277">
        <v>4349</v>
      </c>
      <c r="D105" s="277">
        <v>1009940</v>
      </c>
      <c r="E105" s="277">
        <v>50425</v>
      </c>
    </row>
    <row r="106" spans="1:5" ht="32.1" customHeight="1">
      <c r="A106" s="276" t="s">
        <v>591</v>
      </c>
      <c r="B106" s="277">
        <v>181170</v>
      </c>
      <c r="C106" s="277">
        <v>1053</v>
      </c>
      <c r="D106" s="277">
        <v>139899</v>
      </c>
      <c r="E106" s="277">
        <v>2233</v>
      </c>
    </row>
    <row r="107" spans="1:5" ht="32.1" customHeight="1">
      <c r="A107" s="276" t="s">
        <v>690</v>
      </c>
      <c r="B107" s="277">
        <v>206280</v>
      </c>
      <c r="C107" s="277">
        <v>1146</v>
      </c>
      <c r="D107" s="277">
        <v>175961</v>
      </c>
      <c r="E107" s="277">
        <v>1734</v>
      </c>
    </row>
    <row r="108" spans="1:5" ht="32.1" customHeight="1">
      <c r="A108" s="276" t="s">
        <v>671</v>
      </c>
      <c r="B108" s="277">
        <v>792196</v>
      </c>
      <c r="C108" s="277">
        <v>2108</v>
      </c>
      <c r="D108" s="277">
        <v>643534</v>
      </c>
      <c r="E108" s="277">
        <v>14548</v>
      </c>
    </row>
    <row r="109" spans="1:5" ht="32.1" customHeight="1">
      <c r="A109" s="276" t="s">
        <v>592</v>
      </c>
      <c r="B109" s="277">
        <v>1384884</v>
      </c>
      <c r="C109" s="277">
        <v>4106</v>
      </c>
      <c r="D109" s="277">
        <v>1090558</v>
      </c>
      <c r="E109" s="277">
        <v>49118</v>
      </c>
    </row>
    <row r="110" spans="1:5" ht="32.1" customHeight="1">
      <c r="A110" s="276" t="s">
        <v>593</v>
      </c>
      <c r="B110" s="277">
        <v>372562</v>
      </c>
      <c r="C110" s="277">
        <v>1336</v>
      </c>
      <c r="D110" s="277">
        <v>332162</v>
      </c>
      <c r="E110" s="277">
        <v>31113</v>
      </c>
    </row>
    <row r="111" spans="1:5" ht="32.1" customHeight="1">
      <c r="A111" s="276" t="s">
        <v>704</v>
      </c>
      <c r="B111" s="277">
        <v>12528</v>
      </c>
      <c r="C111" s="277">
        <v>81</v>
      </c>
      <c r="D111" s="277">
        <v>9323</v>
      </c>
      <c r="E111" s="277">
        <v>103</v>
      </c>
    </row>
    <row r="112" spans="1:5" ht="32.1" customHeight="1">
      <c r="A112" s="276" t="s">
        <v>691</v>
      </c>
      <c r="B112" s="277">
        <v>422100</v>
      </c>
      <c r="C112" s="277">
        <v>2347</v>
      </c>
      <c r="D112" s="277">
        <v>347079</v>
      </c>
      <c r="E112" s="277">
        <v>3552</v>
      </c>
    </row>
    <row r="113" spans="1:5" ht="32.1" customHeight="1">
      <c r="A113" s="276" t="s">
        <v>595</v>
      </c>
      <c r="B113" s="277">
        <v>0</v>
      </c>
      <c r="C113" s="277">
        <v>2612</v>
      </c>
      <c r="D113" s="277">
        <v>0</v>
      </c>
      <c r="E113" s="277">
        <v>54374</v>
      </c>
    </row>
    <row r="114" spans="1:5" ht="32.1" customHeight="1">
      <c r="A114" s="276" t="s">
        <v>596</v>
      </c>
      <c r="B114" s="277">
        <v>0</v>
      </c>
      <c r="C114" s="277">
        <v>3701</v>
      </c>
      <c r="D114" s="277">
        <v>0</v>
      </c>
      <c r="E114" s="277">
        <v>113206</v>
      </c>
    </row>
    <row r="115" spans="1:5" ht="32.1" customHeight="1">
      <c r="A115" s="276" t="s">
        <v>692</v>
      </c>
      <c r="B115" s="277">
        <v>170016</v>
      </c>
      <c r="C115" s="277">
        <v>610</v>
      </c>
      <c r="D115" s="277">
        <v>146066</v>
      </c>
      <c r="E115" s="277">
        <v>7409</v>
      </c>
    </row>
    <row r="116" spans="1:5" ht="32.1" customHeight="1">
      <c r="A116" s="276" t="s">
        <v>598</v>
      </c>
      <c r="B116" s="277">
        <v>320368</v>
      </c>
      <c r="C116" s="277">
        <v>878</v>
      </c>
      <c r="D116" s="277">
        <v>283010</v>
      </c>
      <c r="E116" s="277">
        <v>18047</v>
      </c>
    </row>
    <row r="117" spans="1:5" ht="32.1" customHeight="1">
      <c r="A117" s="276" t="s">
        <v>642</v>
      </c>
      <c r="B117" s="277">
        <v>963900</v>
      </c>
      <c r="C117" s="277">
        <v>5355</v>
      </c>
      <c r="D117" s="277">
        <v>729457</v>
      </c>
      <c r="E117" s="277">
        <v>4654</v>
      </c>
    </row>
    <row r="118" spans="1:5" ht="32.1" customHeight="1">
      <c r="A118" s="276" t="s">
        <v>599</v>
      </c>
      <c r="B118" s="277">
        <v>247274</v>
      </c>
      <c r="C118" s="277">
        <v>724</v>
      </c>
      <c r="D118" s="277">
        <v>214986</v>
      </c>
      <c r="E118" s="277">
        <v>14850</v>
      </c>
    </row>
    <row r="119" spans="1:5" ht="32.1" customHeight="1">
      <c r="A119" s="276" t="s">
        <v>705</v>
      </c>
      <c r="B119" s="277">
        <v>815492</v>
      </c>
      <c r="C119" s="277">
        <v>4523</v>
      </c>
      <c r="D119" s="277">
        <v>651590</v>
      </c>
      <c r="E119" s="277">
        <v>6774</v>
      </c>
    </row>
    <row r="120" spans="1:5" ht="32.1" customHeight="1">
      <c r="A120" s="276" t="s">
        <v>601</v>
      </c>
      <c r="B120" s="277">
        <v>967693</v>
      </c>
      <c r="C120" s="277">
        <v>4209</v>
      </c>
      <c r="D120" s="277">
        <v>800049</v>
      </c>
      <c r="E120" s="277">
        <v>17033</v>
      </c>
    </row>
    <row r="121" spans="1:5" ht="32.1" customHeight="1">
      <c r="A121" s="276" t="s">
        <v>628</v>
      </c>
      <c r="B121" s="277">
        <v>158344</v>
      </c>
      <c r="C121" s="277">
        <v>540</v>
      </c>
      <c r="D121" s="277">
        <v>132678</v>
      </c>
      <c r="E121" s="277">
        <v>6623</v>
      </c>
    </row>
    <row r="122" spans="1:5" ht="32.1" customHeight="1">
      <c r="A122" s="276" t="s">
        <v>616</v>
      </c>
      <c r="B122" s="277">
        <v>728</v>
      </c>
      <c r="C122" s="277">
        <v>2</v>
      </c>
      <c r="D122" s="277">
        <v>468</v>
      </c>
      <c r="E122" s="277">
        <v>8</v>
      </c>
    </row>
    <row r="123" spans="1:5" ht="32.1" customHeight="1">
      <c r="A123" s="276" t="s">
        <v>603</v>
      </c>
      <c r="B123" s="277">
        <v>550192</v>
      </c>
      <c r="C123" s="277">
        <v>2557</v>
      </c>
      <c r="D123" s="277">
        <v>495972</v>
      </c>
      <c r="E123" s="277">
        <v>6640</v>
      </c>
    </row>
    <row r="124" spans="1:5" ht="32.1" customHeight="1">
      <c r="A124" s="276" t="s">
        <v>672</v>
      </c>
      <c r="B124" s="277">
        <v>302678</v>
      </c>
      <c r="C124" s="277">
        <v>1410</v>
      </c>
      <c r="D124" s="277">
        <v>238516</v>
      </c>
      <c r="E124" s="277">
        <v>6687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010D-44ED-46FC-9A26-1D4B73195D80}">
  <dimension ref="A1:E146"/>
  <sheetViews>
    <sheetView workbookViewId="0">
      <selection sqref="A1:E1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723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57043334</v>
      </c>
      <c r="C3" s="277">
        <v>339597</v>
      </c>
      <c r="D3" s="277">
        <v>39671379</v>
      </c>
      <c r="E3" s="277">
        <v>3252778</v>
      </c>
    </row>
    <row r="4" spans="1:5" ht="32.1" customHeight="1">
      <c r="A4" s="276" t="s">
        <v>511</v>
      </c>
      <c r="B4" s="277">
        <v>48876694</v>
      </c>
      <c r="C4" s="277">
        <v>275368</v>
      </c>
      <c r="D4" s="277">
        <v>34952212</v>
      </c>
      <c r="E4" s="277">
        <v>2346383</v>
      </c>
    </row>
    <row r="5" spans="1:5" ht="32.1" customHeight="1">
      <c r="A5" s="276" t="s">
        <v>512</v>
      </c>
      <c r="B5" s="277">
        <v>12001426</v>
      </c>
      <c r="C5" s="277">
        <v>79983</v>
      </c>
      <c r="D5" s="277">
        <v>7692395</v>
      </c>
      <c r="E5" s="277">
        <v>1451998</v>
      </c>
    </row>
    <row r="6" spans="1:5" ht="32.1" customHeight="1">
      <c r="A6" s="276" t="s">
        <v>513</v>
      </c>
      <c r="B6" s="277">
        <v>10217551</v>
      </c>
      <c r="C6" s="277">
        <v>55745</v>
      </c>
      <c r="D6" s="277">
        <v>6701035</v>
      </c>
      <c r="E6" s="277">
        <v>762706</v>
      </c>
    </row>
    <row r="7" spans="1:5" ht="32.1" customHeight="1">
      <c r="A7" s="276" t="s">
        <v>514</v>
      </c>
      <c r="B7" s="277">
        <v>6841422</v>
      </c>
      <c r="C7" s="277">
        <v>36248</v>
      </c>
      <c r="D7" s="277">
        <v>5488712</v>
      </c>
      <c r="E7" s="277">
        <v>30381</v>
      </c>
    </row>
    <row r="8" spans="1:5" ht="32.1" customHeight="1">
      <c r="A8" s="276" t="s">
        <v>515</v>
      </c>
      <c r="B8" s="277">
        <v>5831604</v>
      </c>
      <c r="C8" s="277">
        <v>29356</v>
      </c>
      <c r="D8" s="277">
        <v>4321451</v>
      </c>
      <c r="E8" s="277">
        <v>29905</v>
      </c>
    </row>
    <row r="9" spans="1:5" ht="32.1" customHeight="1">
      <c r="A9" s="276" t="s">
        <v>516</v>
      </c>
      <c r="B9" s="277">
        <v>5215538</v>
      </c>
      <c r="C9" s="277">
        <v>26783</v>
      </c>
      <c r="D9" s="277">
        <v>3801599</v>
      </c>
      <c r="E9" s="277">
        <v>21355</v>
      </c>
    </row>
    <row r="10" spans="1:5" ht="32.1" customHeight="1">
      <c r="A10" s="276" t="s">
        <v>517</v>
      </c>
      <c r="B10" s="277">
        <v>1292238</v>
      </c>
      <c r="C10" s="277">
        <v>6743</v>
      </c>
      <c r="D10" s="277">
        <v>984718</v>
      </c>
      <c r="E10" s="277">
        <v>6452</v>
      </c>
    </row>
    <row r="11" spans="1:5" ht="32.1" customHeight="1">
      <c r="A11" s="276" t="s">
        <v>605</v>
      </c>
      <c r="B11" s="277">
        <v>5805329</v>
      </c>
      <c r="C11" s="277">
        <v>30786</v>
      </c>
      <c r="D11" s="277">
        <v>4640807</v>
      </c>
      <c r="E11" s="277">
        <v>24533</v>
      </c>
    </row>
    <row r="12" spans="1:5" ht="32.1" customHeight="1">
      <c r="A12" s="276" t="s">
        <v>645</v>
      </c>
      <c r="B12" s="277">
        <v>0</v>
      </c>
      <c r="C12" s="277">
        <v>1381</v>
      </c>
      <c r="D12" s="277">
        <v>0</v>
      </c>
      <c r="E12" s="277">
        <v>12346</v>
      </c>
    </row>
    <row r="13" spans="1:5" ht="32.1" customHeight="1">
      <c r="A13" s="276" t="s">
        <v>683</v>
      </c>
      <c r="B13" s="277">
        <v>1381240</v>
      </c>
      <c r="C13" s="277">
        <v>6778</v>
      </c>
      <c r="D13" s="277">
        <v>1167131</v>
      </c>
      <c r="E13" s="277">
        <v>5801</v>
      </c>
    </row>
    <row r="14" spans="1:5" ht="32.1" customHeight="1">
      <c r="A14" s="276" t="s">
        <v>712</v>
      </c>
      <c r="B14" s="277">
        <v>290346</v>
      </c>
      <c r="C14" s="277">
        <v>1565</v>
      </c>
      <c r="D14" s="277">
        <v>154364</v>
      </c>
      <c r="E14" s="277">
        <v>904</v>
      </c>
    </row>
    <row r="15" spans="1:5" ht="32.1" customHeight="1">
      <c r="A15" s="276" t="s">
        <v>518</v>
      </c>
      <c r="B15" s="277">
        <v>8166640</v>
      </c>
      <c r="C15" s="277">
        <v>64229</v>
      </c>
      <c r="D15" s="277">
        <v>4719167</v>
      </c>
      <c r="E15" s="277">
        <v>906395</v>
      </c>
    </row>
    <row r="16" spans="1:5" ht="32.1" customHeight="1">
      <c r="A16" s="276" t="s">
        <v>724</v>
      </c>
      <c r="B16" s="277">
        <v>0</v>
      </c>
      <c r="C16" s="277">
        <v>3</v>
      </c>
      <c r="D16" s="277">
        <v>0</v>
      </c>
      <c r="E16" s="277">
        <v>21</v>
      </c>
    </row>
    <row r="17" spans="1:5" ht="32.1" customHeight="1">
      <c r="A17" s="276" t="s">
        <v>725</v>
      </c>
      <c r="B17" s="277">
        <v>0</v>
      </c>
      <c r="C17" s="277">
        <v>2</v>
      </c>
      <c r="D17" s="277">
        <v>0</v>
      </c>
      <c r="E17" s="277">
        <v>32</v>
      </c>
    </row>
    <row r="18" spans="1:5" ht="32.1" customHeight="1">
      <c r="A18" s="276" t="s">
        <v>726</v>
      </c>
      <c r="B18" s="277">
        <v>0</v>
      </c>
      <c r="C18" s="277">
        <v>2</v>
      </c>
      <c r="D18" s="277">
        <v>0</v>
      </c>
      <c r="E18" s="277">
        <v>21</v>
      </c>
    </row>
    <row r="19" spans="1:5" ht="32.1" customHeight="1">
      <c r="A19" s="276" t="s">
        <v>713</v>
      </c>
      <c r="B19" s="277">
        <v>0</v>
      </c>
      <c r="C19" s="277">
        <v>424</v>
      </c>
      <c r="D19" s="277">
        <v>0</v>
      </c>
      <c r="E19" s="277">
        <v>3664</v>
      </c>
    </row>
    <row r="20" spans="1:5" ht="32.1" customHeight="1">
      <c r="A20" s="276" t="s">
        <v>521</v>
      </c>
      <c r="B20" s="277">
        <v>141834</v>
      </c>
      <c r="C20" s="277">
        <v>556</v>
      </c>
      <c r="D20" s="277">
        <v>73970</v>
      </c>
      <c r="E20" s="277">
        <v>7781</v>
      </c>
    </row>
    <row r="21" spans="1:5" ht="32.1" customHeight="1">
      <c r="A21" s="276" t="s">
        <v>684</v>
      </c>
      <c r="B21" s="277">
        <v>0</v>
      </c>
      <c r="C21" s="277">
        <v>14</v>
      </c>
      <c r="D21" s="277">
        <v>0</v>
      </c>
      <c r="E21" s="277">
        <v>149</v>
      </c>
    </row>
    <row r="22" spans="1:5" ht="32.1" customHeight="1">
      <c r="A22" s="276" t="s">
        <v>524</v>
      </c>
      <c r="B22" s="277">
        <v>167614</v>
      </c>
      <c r="C22" s="277">
        <v>522</v>
      </c>
      <c r="D22" s="277">
        <v>69173</v>
      </c>
      <c r="E22" s="277">
        <v>11880</v>
      </c>
    </row>
    <row r="23" spans="1:5" ht="32.1" customHeight="1">
      <c r="A23" s="276" t="s">
        <v>714</v>
      </c>
      <c r="B23" s="277">
        <v>32373</v>
      </c>
      <c r="C23" s="277">
        <v>146</v>
      </c>
      <c r="D23" s="277">
        <v>21848</v>
      </c>
      <c r="E23" s="277">
        <v>1666</v>
      </c>
    </row>
    <row r="24" spans="1:5" ht="32.1" customHeight="1">
      <c r="A24" s="276" t="s">
        <v>526</v>
      </c>
      <c r="B24" s="277">
        <v>477117</v>
      </c>
      <c r="C24" s="277">
        <v>2122</v>
      </c>
      <c r="D24" s="277">
        <v>206684</v>
      </c>
      <c r="E24" s="277">
        <v>21114</v>
      </c>
    </row>
    <row r="25" spans="1:5" ht="32.1" customHeight="1">
      <c r="A25" s="276" t="s">
        <v>648</v>
      </c>
      <c r="B25" s="277">
        <v>21224</v>
      </c>
      <c r="C25" s="277">
        <v>152</v>
      </c>
      <c r="D25" s="277">
        <v>14323</v>
      </c>
      <c r="E25" s="277">
        <v>309</v>
      </c>
    </row>
    <row r="26" spans="1:5" ht="32.1" customHeight="1">
      <c r="A26" s="276" t="s">
        <v>715</v>
      </c>
      <c r="B26" s="277">
        <v>0</v>
      </c>
      <c r="C26" s="277">
        <v>8</v>
      </c>
      <c r="D26" s="277">
        <v>0</v>
      </c>
      <c r="E26" s="277">
        <v>205</v>
      </c>
    </row>
    <row r="27" spans="1:5" ht="32.1" customHeight="1">
      <c r="A27" s="276" t="s">
        <v>528</v>
      </c>
      <c r="B27" s="277">
        <v>54636</v>
      </c>
      <c r="C27" s="277">
        <v>192</v>
      </c>
      <c r="D27" s="277">
        <v>37128</v>
      </c>
      <c r="E27" s="277">
        <v>2193</v>
      </c>
    </row>
    <row r="28" spans="1:5" ht="32.1" customHeight="1">
      <c r="A28" s="276" t="s">
        <v>727</v>
      </c>
      <c r="B28" s="277">
        <v>470</v>
      </c>
      <c r="C28" s="277">
        <v>6</v>
      </c>
      <c r="D28" s="277">
        <v>95</v>
      </c>
      <c r="E28" s="277">
        <v>25</v>
      </c>
    </row>
    <row r="29" spans="1:5" ht="32.1" customHeight="1">
      <c r="A29" s="276" t="s">
        <v>728</v>
      </c>
      <c r="B29" s="277">
        <v>0</v>
      </c>
      <c r="C29" s="277">
        <v>6</v>
      </c>
      <c r="D29" s="277">
        <v>0</v>
      </c>
      <c r="E29" s="277">
        <v>136</v>
      </c>
    </row>
    <row r="30" spans="1:5" ht="32.1" customHeight="1">
      <c r="A30" s="276" t="s">
        <v>529</v>
      </c>
      <c r="B30" s="277">
        <v>127405</v>
      </c>
      <c r="C30" s="277">
        <v>395</v>
      </c>
      <c r="D30" s="277">
        <v>73902</v>
      </c>
      <c r="E30" s="277">
        <v>5960</v>
      </c>
    </row>
    <row r="31" spans="1:5" ht="32.1" customHeight="1">
      <c r="A31" s="276" t="s">
        <v>530</v>
      </c>
      <c r="B31" s="277">
        <v>0</v>
      </c>
      <c r="C31" s="277">
        <v>916</v>
      </c>
      <c r="D31" s="277">
        <v>0</v>
      </c>
      <c r="E31" s="277">
        <v>17738</v>
      </c>
    </row>
    <row r="32" spans="1:5" ht="32.1" customHeight="1">
      <c r="A32" s="276" t="s">
        <v>707</v>
      </c>
      <c r="B32" s="277">
        <v>15324</v>
      </c>
      <c r="C32" s="277">
        <v>96</v>
      </c>
      <c r="D32" s="277">
        <v>11660</v>
      </c>
      <c r="E32" s="277">
        <v>166</v>
      </c>
    </row>
    <row r="33" spans="1:5" ht="32.1" customHeight="1">
      <c r="A33" s="276" t="s">
        <v>532</v>
      </c>
      <c r="B33" s="277">
        <v>68964</v>
      </c>
      <c r="C33" s="277">
        <v>542</v>
      </c>
      <c r="D33" s="277">
        <v>44171</v>
      </c>
      <c r="E33" s="277">
        <v>9049</v>
      </c>
    </row>
    <row r="34" spans="1:5" ht="32.1" customHeight="1">
      <c r="A34" s="276" t="s">
        <v>533</v>
      </c>
      <c r="B34" s="277">
        <v>50294</v>
      </c>
      <c r="C34" s="277">
        <v>244</v>
      </c>
      <c r="D34" s="277">
        <v>35448</v>
      </c>
      <c r="E34" s="277">
        <v>1951</v>
      </c>
    </row>
    <row r="35" spans="1:5" ht="32.1" customHeight="1">
      <c r="A35" s="276" t="s">
        <v>534</v>
      </c>
      <c r="B35" s="277">
        <v>0</v>
      </c>
      <c r="C35" s="277">
        <v>1440</v>
      </c>
      <c r="D35" s="277">
        <v>0</v>
      </c>
      <c r="E35" s="277">
        <v>48390</v>
      </c>
    </row>
    <row r="36" spans="1:5" ht="32.1" customHeight="1">
      <c r="A36" s="276" t="s">
        <v>729</v>
      </c>
      <c r="B36" s="277">
        <v>3276</v>
      </c>
      <c r="C36" s="277">
        <v>28</v>
      </c>
      <c r="D36" s="277">
        <v>2641</v>
      </c>
      <c r="E36" s="277">
        <v>89</v>
      </c>
    </row>
    <row r="37" spans="1:5" ht="32.1" customHeight="1">
      <c r="A37" s="276" t="s">
        <v>665</v>
      </c>
      <c r="B37" s="277">
        <v>30082</v>
      </c>
      <c r="C37" s="277">
        <v>240</v>
      </c>
      <c r="D37" s="277">
        <v>17964</v>
      </c>
      <c r="E37" s="277">
        <v>628</v>
      </c>
    </row>
    <row r="38" spans="1:5" ht="32.1" customHeight="1">
      <c r="A38" s="276" t="s">
        <v>716</v>
      </c>
      <c r="B38" s="277">
        <v>48400</v>
      </c>
      <c r="C38" s="277">
        <v>351</v>
      </c>
      <c r="D38" s="277">
        <v>23141</v>
      </c>
      <c r="E38" s="277">
        <v>2013</v>
      </c>
    </row>
    <row r="39" spans="1:5" ht="32.1" customHeight="1">
      <c r="A39" s="276" t="s">
        <v>535</v>
      </c>
      <c r="B39" s="277">
        <v>292130</v>
      </c>
      <c r="C39" s="277">
        <v>1302</v>
      </c>
      <c r="D39" s="277">
        <v>210113</v>
      </c>
      <c r="E39" s="277">
        <v>11442</v>
      </c>
    </row>
    <row r="40" spans="1:5" ht="32.1" customHeight="1">
      <c r="A40" s="276" t="s">
        <v>536</v>
      </c>
      <c r="B40" s="277">
        <v>0</v>
      </c>
      <c r="C40" s="277">
        <v>29</v>
      </c>
      <c r="D40" s="277">
        <v>0</v>
      </c>
      <c r="E40" s="277">
        <v>1138</v>
      </c>
    </row>
    <row r="41" spans="1:5" ht="32.1" customHeight="1">
      <c r="A41" s="276" t="s">
        <v>651</v>
      </c>
      <c r="B41" s="277">
        <v>5676</v>
      </c>
      <c r="C41" s="277">
        <v>32</v>
      </c>
      <c r="D41" s="277">
        <v>4494</v>
      </c>
      <c r="E41" s="277">
        <v>46</v>
      </c>
    </row>
    <row r="42" spans="1:5" ht="32.1" customHeight="1">
      <c r="A42" s="276" t="s">
        <v>633</v>
      </c>
      <c r="B42" s="277">
        <v>11772</v>
      </c>
      <c r="C42" s="277">
        <v>74</v>
      </c>
      <c r="D42" s="277">
        <v>5850</v>
      </c>
      <c r="E42" s="277">
        <v>132</v>
      </c>
    </row>
    <row r="43" spans="1:5" ht="32.1" customHeight="1">
      <c r="A43" s="276" t="s">
        <v>730</v>
      </c>
      <c r="B43" s="277">
        <v>18270</v>
      </c>
      <c r="C43" s="277">
        <v>180</v>
      </c>
      <c r="D43" s="277">
        <v>306</v>
      </c>
      <c r="E43" s="277">
        <v>1327</v>
      </c>
    </row>
    <row r="44" spans="1:5" ht="32.1" customHeight="1">
      <c r="A44" s="276" t="s">
        <v>652</v>
      </c>
      <c r="B44" s="277">
        <v>428146</v>
      </c>
      <c r="C44" s="277">
        <v>2003</v>
      </c>
      <c r="D44" s="277">
        <v>291135</v>
      </c>
      <c r="E44" s="277">
        <v>3892</v>
      </c>
    </row>
    <row r="45" spans="1:5" ht="32.1" customHeight="1">
      <c r="A45" s="276" t="s">
        <v>540</v>
      </c>
      <c r="B45" s="277">
        <v>1967</v>
      </c>
      <c r="C45" s="277">
        <v>8</v>
      </c>
      <c r="D45" s="277">
        <v>922</v>
      </c>
      <c r="E45" s="277">
        <v>85</v>
      </c>
    </row>
    <row r="46" spans="1:5" ht="32.1" customHeight="1">
      <c r="A46" s="276" t="s">
        <v>607</v>
      </c>
      <c r="B46" s="277">
        <v>12624</v>
      </c>
      <c r="C46" s="277">
        <v>126</v>
      </c>
      <c r="D46" s="277">
        <v>6556</v>
      </c>
      <c r="E46" s="277">
        <v>455</v>
      </c>
    </row>
    <row r="47" spans="1:5" ht="32.1" customHeight="1">
      <c r="A47" s="276" t="s">
        <v>541</v>
      </c>
      <c r="B47" s="277">
        <v>167270</v>
      </c>
      <c r="C47" s="277">
        <v>1767</v>
      </c>
      <c r="D47" s="277">
        <v>107318</v>
      </c>
      <c r="E47" s="277">
        <v>6146</v>
      </c>
    </row>
    <row r="48" spans="1:5" ht="32.1" customHeight="1">
      <c r="A48" s="276" t="s">
        <v>542</v>
      </c>
      <c r="B48" s="277">
        <v>49036</v>
      </c>
      <c r="C48" s="277">
        <v>237</v>
      </c>
      <c r="D48" s="277">
        <v>31589</v>
      </c>
      <c r="E48" s="277">
        <v>612</v>
      </c>
    </row>
    <row r="49" spans="1:5" ht="32.1" customHeight="1">
      <c r="A49" s="276" t="s">
        <v>543</v>
      </c>
      <c r="B49" s="277">
        <v>114410</v>
      </c>
      <c r="C49" s="277">
        <v>465</v>
      </c>
      <c r="D49" s="277">
        <v>62976</v>
      </c>
      <c r="E49" s="277">
        <v>2789</v>
      </c>
    </row>
    <row r="50" spans="1:5" ht="32.1" customHeight="1">
      <c r="A50" s="276" t="s">
        <v>731</v>
      </c>
      <c r="B50" s="277">
        <v>1726</v>
      </c>
      <c r="C50" s="277">
        <v>8</v>
      </c>
      <c r="D50" s="277">
        <v>868</v>
      </c>
      <c r="E50" s="277">
        <v>79</v>
      </c>
    </row>
    <row r="51" spans="1:5" ht="32.1" customHeight="1">
      <c r="A51" s="276" t="s">
        <v>622</v>
      </c>
      <c r="B51" s="277">
        <v>37036</v>
      </c>
      <c r="C51" s="277">
        <v>200</v>
      </c>
      <c r="D51" s="277">
        <v>25160</v>
      </c>
      <c r="E51" s="277">
        <v>256</v>
      </c>
    </row>
    <row r="52" spans="1:5" ht="32.1" customHeight="1">
      <c r="A52" s="276" t="s">
        <v>732</v>
      </c>
      <c r="B52" s="277">
        <v>651</v>
      </c>
      <c r="C52" s="277">
        <v>7</v>
      </c>
      <c r="D52" s="277">
        <v>46</v>
      </c>
      <c r="E52" s="277">
        <v>32</v>
      </c>
    </row>
    <row r="53" spans="1:5" ht="32.1" customHeight="1">
      <c r="A53" s="276" t="s">
        <v>699</v>
      </c>
      <c r="B53" s="277">
        <v>42840</v>
      </c>
      <c r="C53" s="277">
        <v>130</v>
      </c>
      <c r="D53" s="277">
        <v>15178</v>
      </c>
      <c r="E53" s="277">
        <v>1204</v>
      </c>
    </row>
    <row r="54" spans="1:5" ht="32.1" customHeight="1">
      <c r="A54" s="276" t="s">
        <v>733</v>
      </c>
      <c r="B54" s="277">
        <v>378</v>
      </c>
      <c r="C54" s="277">
        <v>92</v>
      </c>
      <c r="D54" s="277">
        <v>103</v>
      </c>
      <c r="E54" s="277">
        <v>969</v>
      </c>
    </row>
    <row r="55" spans="1:5" ht="32.1" customHeight="1">
      <c r="A55" s="276" t="s">
        <v>546</v>
      </c>
      <c r="B55" s="277">
        <v>59684</v>
      </c>
      <c r="C55" s="277">
        <v>348</v>
      </c>
      <c r="D55" s="277">
        <v>44794</v>
      </c>
      <c r="E55" s="277">
        <v>600</v>
      </c>
    </row>
    <row r="56" spans="1:5" ht="32.1" customHeight="1">
      <c r="A56" s="276" t="s">
        <v>734</v>
      </c>
      <c r="B56" s="277">
        <v>194</v>
      </c>
      <c r="C56" s="277">
        <v>2</v>
      </c>
      <c r="D56" s="277">
        <v>110</v>
      </c>
      <c r="E56" s="277">
        <v>2</v>
      </c>
    </row>
    <row r="57" spans="1:5" ht="32.1" customHeight="1">
      <c r="A57" s="276" t="s">
        <v>667</v>
      </c>
      <c r="B57" s="277">
        <v>0</v>
      </c>
      <c r="C57" s="277">
        <v>357</v>
      </c>
      <c r="D57" s="277">
        <v>0</v>
      </c>
      <c r="E57" s="277">
        <v>24497</v>
      </c>
    </row>
    <row r="58" spans="1:5" ht="32.1" customHeight="1">
      <c r="A58" s="276" t="s">
        <v>547</v>
      </c>
      <c r="B58" s="277">
        <v>0</v>
      </c>
      <c r="C58" s="277">
        <v>131</v>
      </c>
      <c r="D58" s="277">
        <v>0</v>
      </c>
      <c r="E58" s="277">
        <v>2575</v>
      </c>
    </row>
    <row r="59" spans="1:5" ht="32.1" customHeight="1">
      <c r="A59" s="276" t="s">
        <v>548</v>
      </c>
      <c r="B59" s="277">
        <v>271932</v>
      </c>
      <c r="C59" s="277">
        <v>849</v>
      </c>
      <c r="D59" s="277">
        <v>119241</v>
      </c>
      <c r="E59" s="277">
        <v>12749</v>
      </c>
    </row>
    <row r="60" spans="1:5" ht="32.1" customHeight="1">
      <c r="A60" s="276" t="s">
        <v>654</v>
      </c>
      <c r="B60" s="277">
        <v>78814</v>
      </c>
      <c r="C60" s="277">
        <v>2052</v>
      </c>
      <c r="D60" s="277">
        <v>47753</v>
      </c>
      <c r="E60" s="277">
        <v>10520</v>
      </c>
    </row>
    <row r="61" spans="1:5" ht="32.1" customHeight="1">
      <c r="A61" s="276" t="s">
        <v>687</v>
      </c>
      <c r="B61" s="277">
        <v>0</v>
      </c>
      <c r="C61" s="277">
        <v>1</v>
      </c>
      <c r="D61" s="277">
        <v>0</v>
      </c>
      <c r="E61" s="277">
        <v>4</v>
      </c>
    </row>
    <row r="62" spans="1:5" ht="32.1" customHeight="1">
      <c r="A62" s="276" t="s">
        <v>549</v>
      </c>
      <c r="B62" s="277">
        <v>0</v>
      </c>
      <c r="C62" s="277">
        <v>2</v>
      </c>
      <c r="D62" s="277">
        <v>0</v>
      </c>
      <c r="E62" s="277">
        <v>24</v>
      </c>
    </row>
    <row r="63" spans="1:5" ht="32.1" customHeight="1">
      <c r="A63" s="276" t="s">
        <v>700</v>
      </c>
      <c r="B63" s="277">
        <v>60750</v>
      </c>
      <c r="C63" s="277">
        <v>251</v>
      </c>
      <c r="D63" s="277">
        <v>32862</v>
      </c>
      <c r="E63" s="277">
        <v>2353</v>
      </c>
    </row>
    <row r="64" spans="1:5" ht="32.1" customHeight="1">
      <c r="A64" s="276" t="s">
        <v>550</v>
      </c>
      <c r="B64" s="277">
        <v>0</v>
      </c>
      <c r="C64" s="277">
        <v>11</v>
      </c>
      <c r="D64" s="277">
        <v>0</v>
      </c>
      <c r="E64" s="277">
        <v>141</v>
      </c>
    </row>
    <row r="65" spans="1:5" ht="32.1" customHeight="1">
      <c r="A65" s="276" t="s">
        <v>735</v>
      </c>
      <c r="B65" s="277">
        <v>0</v>
      </c>
      <c r="C65" s="277">
        <v>134</v>
      </c>
      <c r="D65" s="277">
        <v>0</v>
      </c>
      <c r="E65" s="277">
        <v>840</v>
      </c>
    </row>
    <row r="66" spans="1:5" ht="32.1" customHeight="1">
      <c r="A66" s="276" t="s">
        <v>701</v>
      </c>
      <c r="B66" s="277">
        <v>0</v>
      </c>
      <c r="C66" s="277">
        <v>1</v>
      </c>
      <c r="D66" s="277">
        <v>0</v>
      </c>
      <c r="E66" s="277">
        <v>0</v>
      </c>
    </row>
    <row r="67" spans="1:5" ht="32.1" customHeight="1">
      <c r="A67" s="276" t="s">
        <v>551</v>
      </c>
      <c r="B67" s="277">
        <v>0</v>
      </c>
      <c r="C67" s="277">
        <v>2335</v>
      </c>
      <c r="D67" s="277">
        <v>0</v>
      </c>
      <c r="E67" s="277">
        <v>59567</v>
      </c>
    </row>
    <row r="68" spans="1:5" ht="32.1" customHeight="1">
      <c r="A68" s="276" t="s">
        <v>669</v>
      </c>
      <c r="B68" s="277">
        <v>19000</v>
      </c>
      <c r="C68" s="277">
        <v>96</v>
      </c>
      <c r="D68" s="277">
        <v>14396</v>
      </c>
      <c r="E68" s="277">
        <v>898</v>
      </c>
    </row>
    <row r="69" spans="1:5" ht="32.1" customHeight="1">
      <c r="A69" s="276" t="s">
        <v>554</v>
      </c>
      <c r="B69" s="277">
        <v>5120</v>
      </c>
      <c r="C69" s="277">
        <v>34</v>
      </c>
      <c r="D69" s="277">
        <v>2192</v>
      </c>
      <c r="E69" s="277">
        <v>25</v>
      </c>
    </row>
    <row r="70" spans="1:5" ht="32.1" customHeight="1">
      <c r="A70" s="276" t="s">
        <v>556</v>
      </c>
      <c r="B70" s="277">
        <v>178440</v>
      </c>
      <c r="C70" s="277">
        <v>633</v>
      </c>
      <c r="D70" s="277">
        <v>85837</v>
      </c>
      <c r="E70" s="277">
        <v>12928</v>
      </c>
    </row>
    <row r="71" spans="1:5" ht="32.1" customHeight="1">
      <c r="A71" s="276" t="s">
        <v>557</v>
      </c>
      <c r="B71" s="277">
        <v>174334</v>
      </c>
      <c r="C71" s="277">
        <v>1103</v>
      </c>
      <c r="D71" s="277">
        <v>87138</v>
      </c>
      <c r="E71" s="277">
        <v>12664</v>
      </c>
    </row>
    <row r="72" spans="1:5" ht="32.1" customHeight="1">
      <c r="A72" s="276" t="s">
        <v>609</v>
      </c>
      <c r="B72" s="277">
        <v>0</v>
      </c>
      <c r="C72" s="277">
        <v>667</v>
      </c>
      <c r="D72" s="277">
        <v>0</v>
      </c>
      <c r="E72" s="277">
        <v>22551</v>
      </c>
    </row>
    <row r="73" spans="1:5" ht="32.1" customHeight="1">
      <c r="A73" s="276" t="s">
        <v>736</v>
      </c>
      <c r="B73" s="277">
        <v>0</v>
      </c>
      <c r="C73" s="277">
        <v>24</v>
      </c>
      <c r="D73" s="277">
        <v>0</v>
      </c>
      <c r="E73" s="277">
        <v>154</v>
      </c>
    </row>
    <row r="74" spans="1:5" ht="32.1" customHeight="1">
      <c r="A74" s="276" t="s">
        <v>559</v>
      </c>
      <c r="B74" s="277">
        <v>27438</v>
      </c>
      <c r="C74" s="277">
        <v>158</v>
      </c>
      <c r="D74" s="277">
        <v>17836</v>
      </c>
      <c r="E74" s="277">
        <v>402</v>
      </c>
    </row>
    <row r="75" spans="1:5" ht="32.1" customHeight="1">
      <c r="A75" s="276" t="s">
        <v>560</v>
      </c>
      <c r="B75" s="277">
        <v>0</v>
      </c>
      <c r="C75" s="277">
        <v>719</v>
      </c>
      <c r="D75" s="277">
        <v>0</v>
      </c>
      <c r="E75" s="277">
        <v>26830</v>
      </c>
    </row>
    <row r="76" spans="1:5" ht="32.1" customHeight="1">
      <c r="A76" s="276" t="s">
        <v>636</v>
      </c>
      <c r="B76" s="277">
        <v>900</v>
      </c>
      <c r="C76" s="277">
        <v>10</v>
      </c>
      <c r="D76" s="277">
        <v>545</v>
      </c>
      <c r="E76" s="277">
        <v>18</v>
      </c>
    </row>
    <row r="77" spans="1:5" ht="32.1" customHeight="1">
      <c r="A77" s="276" t="s">
        <v>562</v>
      </c>
      <c r="B77" s="277">
        <v>38672</v>
      </c>
      <c r="C77" s="277">
        <v>202</v>
      </c>
      <c r="D77" s="277">
        <v>28083</v>
      </c>
      <c r="E77" s="277">
        <v>956</v>
      </c>
    </row>
    <row r="78" spans="1:5" ht="32.1" customHeight="1">
      <c r="A78" s="276" t="s">
        <v>610</v>
      </c>
      <c r="B78" s="277">
        <v>214850</v>
      </c>
      <c r="C78" s="277">
        <v>574</v>
      </c>
      <c r="D78" s="277">
        <v>133871</v>
      </c>
      <c r="E78" s="277">
        <v>5291</v>
      </c>
    </row>
    <row r="79" spans="1:5" ht="32.1" customHeight="1">
      <c r="A79" s="276" t="s">
        <v>611</v>
      </c>
      <c r="B79" s="277">
        <v>0</v>
      </c>
      <c r="C79" s="277">
        <v>510</v>
      </c>
      <c r="D79" s="277">
        <v>0</v>
      </c>
      <c r="E79" s="277">
        <v>16432</v>
      </c>
    </row>
    <row r="80" spans="1:5" ht="32.1" customHeight="1">
      <c r="A80" s="276" t="s">
        <v>564</v>
      </c>
      <c r="B80" s="277">
        <v>176151</v>
      </c>
      <c r="C80" s="277">
        <v>693</v>
      </c>
      <c r="D80" s="277">
        <v>94116</v>
      </c>
      <c r="E80" s="277">
        <v>9903</v>
      </c>
    </row>
    <row r="81" spans="1:5" ht="32.1" customHeight="1">
      <c r="A81" s="276" t="s">
        <v>565</v>
      </c>
      <c r="B81" s="277">
        <v>0</v>
      </c>
      <c r="C81" s="277">
        <v>636</v>
      </c>
      <c r="D81" s="277">
        <v>0</v>
      </c>
      <c r="E81" s="277">
        <v>21819</v>
      </c>
    </row>
    <row r="82" spans="1:5" ht="32.1" customHeight="1">
      <c r="A82" s="276" t="s">
        <v>655</v>
      </c>
      <c r="B82" s="277">
        <v>129185</v>
      </c>
      <c r="C82" s="277">
        <v>790</v>
      </c>
      <c r="D82" s="277">
        <v>28393</v>
      </c>
      <c r="E82" s="277">
        <v>11398</v>
      </c>
    </row>
    <row r="83" spans="1:5" ht="32.1" customHeight="1">
      <c r="A83" s="276" t="s">
        <v>612</v>
      </c>
      <c r="B83" s="277">
        <v>209912</v>
      </c>
      <c r="C83" s="277">
        <v>656</v>
      </c>
      <c r="D83" s="277">
        <v>60449</v>
      </c>
      <c r="E83" s="277">
        <v>12176</v>
      </c>
    </row>
    <row r="84" spans="1:5" ht="32.1" customHeight="1">
      <c r="A84" s="276" t="s">
        <v>737</v>
      </c>
      <c r="B84" s="277">
        <v>500</v>
      </c>
      <c r="C84" s="277">
        <v>4</v>
      </c>
      <c r="D84" s="277">
        <v>420</v>
      </c>
      <c r="E84" s="277">
        <v>23</v>
      </c>
    </row>
    <row r="85" spans="1:5" ht="32.1" customHeight="1">
      <c r="A85" s="276" t="s">
        <v>638</v>
      </c>
      <c r="B85" s="277">
        <v>36416</v>
      </c>
      <c r="C85" s="277">
        <v>300</v>
      </c>
      <c r="D85" s="277">
        <v>25489</v>
      </c>
      <c r="E85" s="277">
        <v>3044</v>
      </c>
    </row>
    <row r="86" spans="1:5" ht="32.1" customHeight="1">
      <c r="A86" s="276" t="s">
        <v>567</v>
      </c>
      <c r="B86" s="277">
        <v>96806</v>
      </c>
      <c r="C86" s="277">
        <v>756</v>
      </c>
      <c r="D86" s="277">
        <v>56093</v>
      </c>
      <c r="E86" s="277">
        <v>744</v>
      </c>
    </row>
    <row r="87" spans="1:5" ht="32.1" customHeight="1">
      <c r="A87" s="276" t="s">
        <v>670</v>
      </c>
      <c r="B87" s="277">
        <v>6034</v>
      </c>
      <c r="C87" s="277">
        <v>62</v>
      </c>
      <c r="D87" s="277">
        <v>4807</v>
      </c>
      <c r="E87" s="277">
        <v>201</v>
      </c>
    </row>
    <row r="88" spans="1:5" ht="32.1" customHeight="1">
      <c r="A88" s="276" t="s">
        <v>568</v>
      </c>
      <c r="B88" s="277">
        <v>43312</v>
      </c>
      <c r="C88" s="277">
        <v>220</v>
      </c>
      <c r="D88" s="277">
        <v>29234</v>
      </c>
      <c r="E88" s="277">
        <v>2374</v>
      </c>
    </row>
    <row r="89" spans="1:5" ht="32.1" customHeight="1">
      <c r="A89" s="276" t="s">
        <v>680</v>
      </c>
      <c r="B89" s="277">
        <v>0</v>
      </c>
      <c r="C89" s="277">
        <v>11</v>
      </c>
      <c r="D89" s="277">
        <v>0</v>
      </c>
      <c r="E89" s="277">
        <v>138</v>
      </c>
    </row>
    <row r="90" spans="1:5" ht="32.1" customHeight="1">
      <c r="A90" s="276" t="s">
        <v>738</v>
      </c>
      <c r="B90" s="277">
        <v>1044</v>
      </c>
      <c r="C90" s="277">
        <v>4</v>
      </c>
      <c r="D90" s="277">
        <v>19</v>
      </c>
      <c r="E90" s="277">
        <v>47</v>
      </c>
    </row>
    <row r="91" spans="1:5" ht="32.1" customHeight="1">
      <c r="A91" s="276" t="s">
        <v>570</v>
      </c>
      <c r="B91" s="277">
        <v>82993</v>
      </c>
      <c r="C91" s="277">
        <v>490</v>
      </c>
      <c r="D91" s="277">
        <v>41319</v>
      </c>
      <c r="E91" s="277">
        <v>6352</v>
      </c>
    </row>
    <row r="92" spans="1:5" ht="32.1" customHeight="1">
      <c r="A92" s="276" t="s">
        <v>571</v>
      </c>
      <c r="B92" s="277">
        <v>8832</v>
      </c>
      <c r="C92" s="277">
        <v>48</v>
      </c>
      <c r="D92" s="277">
        <v>6384</v>
      </c>
      <c r="E92" s="277">
        <v>128</v>
      </c>
    </row>
    <row r="93" spans="1:5" ht="32.1" customHeight="1">
      <c r="A93" s="276" t="s">
        <v>572</v>
      </c>
      <c r="B93" s="277">
        <v>0</v>
      </c>
      <c r="C93" s="277">
        <v>3442</v>
      </c>
      <c r="D93" s="277">
        <v>0</v>
      </c>
      <c r="E93" s="277">
        <v>37726</v>
      </c>
    </row>
    <row r="94" spans="1:5" ht="32.1" customHeight="1">
      <c r="A94" s="276" t="s">
        <v>739</v>
      </c>
      <c r="B94" s="277">
        <v>624</v>
      </c>
      <c r="C94" s="277">
        <v>2</v>
      </c>
      <c r="D94" s="277">
        <v>172</v>
      </c>
      <c r="E94" s="277">
        <v>5</v>
      </c>
    </row>
    <row r="95" spans="1:5" ht="32.1" customHeight="1">
      <c r="A95" s="276" t="s">
        <v>614</v>
      </c>
      <c r="B95" s="277">
        <v>20992</v>
      </c>
      <c r="C95" s="277">
        <v>136</v>
      </c>
      <c r="D95" s="277">
        <v>15074</v>
      </c>
      <c r="E95" s="277">
        <v>1632</v>
      </c>
    </row>
    <row r="96" spans="1:5" ht="32.1" customHeight="1">
      <c r="A96" s="276" t="s">
        <v>575</v>
      </c>
      <c r="B96" s="277">
        <v>150044</v>
      </c>
      <c r="C96" s="277">
        <v>746</v>
      </c>
      <c r="D96" s="277">
        <v>98310</v>
      </c>
      <c r="E96" s="277">
        <v>3867</v>
      </c>
    </row>
    <row r="97" spans="1:5" ht="32.1" customHeight="1">
      <c r="A97" s="276" t="s">
        <v>577</v>
      </c>
      <c r="B97" s="277">
        <v>97396</v>
      </c>
      <c r="C97" s="277">
        <v>407</v>
      </c>
      <c r="D97" s="277">
        <v>57653</v>
      </c>
      <c r="E97" s="277">
        <v>1971</v>
      </c>
    </row>
    <row r="98" spans="1:5" ht="32.1" customHeight="1">
      <c r="A98" s="276" t="s">
        <v>719</v>
      </c>
      <c r="B98" s="277">
        <v>19430</v>
      </c>
      <c r="C98" s="277">
        <v>58</v>
      </c>
      <c r="D98" s="277">
        <v>13722</v>
      </c>
      <c r="E98" s="277">
        <v>296</v>
      </c>
    </row>
    <row r="99" spans="1:5" ht="32.1" customHeight="1">
      <c r="A99" s="276" t="s">
        <v>688</v>
      </c>
      <c r="B99" s="277">
        <v>17702</v>
      </c>
      <c r="C99" s="277">
        <v>98</v>
      </c>
      <c r="D99" s="277">
        <v>12538</v>
      </c>
      <c r="E99" s="277">
        <v>113</v>
      </c>
    </row>
    <row r="100" spans="1:5" ht="32.1" customHeight="1">
      <c r="A100" s="276" t="s">
        <v>579</v>
      </c>
      <c r="B100" s="277">
        <v>259334</v>
      </c>
      <c r="C100" s="277">
        <v>1784</v>
      </c>
      <c r="D100" s="277">
        <v>168349</v>
      </c>
      <c r="E100" s="277">
        <v>11731</v>
      </c>
    </row>
    <row r="101" spans="1:5" ht="32.1" customHeight="1">
      <c r="A101" s="276" t="s">
        <v>659</v>
      </c>
      <c r="B101" s="277">
        <v>29062</v>
      </c>
      <c r="C101" s="277">
        <v>184</v>
      </c>
      <c r="D101" s="277">
        <v>22365</v>
      </c>
      <c r="E101" s="277">
        <v>332</v>
      </c>
    </row>
    <row r="102" spans="1:5" ht="32.1" customHeight="1">
      <c r="A102" s="276" t="s">
        <v>580</v>
      </c>
      <c r="B102" s="277">
        <v>385530</v>
      </c>
      <c r="C102" s="277">
        <v>2283</v>
      </c>
      <c r="D102" s="277">
        <v>246105</v>
      </c>
      <c r="E102" s="277">
        <v>7660</v>
      </c>
    </row>
    <row r="103" spans="1:5" ht="32.1" customHeight="1">
      <c r="A103" s="276" t="s">
        <v>581</v>
      </c>
      <c r="B103" s="277">
        <v>378476</v>
      </c>
      <c r="C103" s="277">
        <v>2272</v>
      </c>
      <c r="D103" s="277">
        <v>241245</v>
      </c>
      <c r="E103" s="277">
        <v>7969</v>
      </c>
    </row>
    <row r="104" spans="1:5" ht="32.1" customHeight="1">
      <c r="A104" s="276" t="s">
        <v>720</v>
      </c>
      <c r="B104" s="277">
        <v>4080</v>
      </c>
      <c r="C104" s="277">
        <v>24</v>
      </c>
      <c r="D104" s="277">
        <v>2317</v>
      </c>
      <c r="E104" s="277">
        <v>23</v>
      </c>
    </row>
    <row r="105" spans="1:5" ht="32.1" customHeight="1">
      <c r="A105" s="276" t="s">
        <v>660</v>
      </c>
      <c r="B105" s="277">
        <v>0</v>
      </c>
      <c r="C105" s="277">
        <v>12</v>
      </c>
      <c r="D105" s="277">
        <v>0</v>
      </c>
      <c r="E105" s="277">
        <v>177</v>
      </c>
    </row>
    <row r="106" spans="1:5" ht="32.1" customHeight="1">
      <c r="A106" s="276" t="s">
        <v>582</v>
      </c>
      <c r="B106" s="277">
        <v>33606</v>
      </c>
      <c r="C106" s="277">
        <v>202</v>
      </c>
      <c r="D106" s="277">
        <v>21045</v>
      </c>
      <c r="E106" s="277">
        <v>503</v>
      </c>
    </row>
    <row r="107" spans="1:5" ht="32.1" customHeight="1">
      <c r="A107" s="276" t="s">
        <v>583</v>
      </c>
      <c r="B107" s="277">
        <v>0</v>
      </c>
      <c r="C107" s="277">
        <v>430</v>
      </c>
      <c r="D107" s="277">
        <v>0</v>
      </c>
      <c r="E107" s="277">
        <v>4370</v>
      </c>
    </row>
    <row r="108" spans="1:5" ht="32.1" customHeight="1">
      <c r="A108" s="276" t="s">
        <v>584</v>
      </c>
      <c r="B108" s="277">
        <v>46730</v>
      </c>
      <c r="C108" s="277">
        <v>211</v>
      </c>
      <c r="D108" s="277">
        <v>26409</v>
      </c>
      <c r="E108" s="277">
        <v>1150</v>
      </c>
    </row>
    <row r="109" spans="1:5" ht="32.1" customHeight="1">
      <c r="A109" s="276" t="s">
        <v>585</v>
      </c>
      <c r="B109" s="277">
        <v>0</v>
      </c>
      <c r="C109" s="277">
        <v>542</v>
      </c>
      <c r="D109" s="277">
        <v>0</v>
      </c>
      <c r="E109" s="277">
        <v>36616</v>
      </c>
    </row>
    <row r="110" spans="1:5" ht="32.1" customHeight="1">
      <c r="A110" s="276" t="s">
        <v>586</v>
      </c>
      <c r="B110" s="277">
        <v>199558</v>
      </c>
      <c r="C110" s="277">
        <v>1557</v>
      </c>
      <c r="D110" s="277">
        <v>118980</v>
      </c>
      <c r="E110" s="277">
        <v>17347</v>
      </c>
    </row>
    <row r="111" spans="1:5" ht="32.1" customHeight="1">
      <c r="A111" s="276" t="s">
        <v>740</v>
      </c>
      <c r="B111" s="277">
        <v>615</v>
      </c>
      <c r="C111" s="277">
        <v>4</v>
      </c>
      <c r="D111" s="277">
        <v>364</v>
      </c>
      <c r="E111" s="277">
        <v>10</v>
      </c>
    </row>
    <row r="112" spans="1:5" ht="32.1" customHeight="1">
      <c r="A112" s="276" t="s">
        <v>640</v>
      </c>
      <c r="B112" s="277">
        <v>15972</v>
      </c>
      <c r="C112" s="277">
        <v>88</v>
      </c>
      <c r="D112" s="277">
        <v>11876</v>
      </c>
      <c r="E112" s="277">
        <v>140</v>
      </c>
    </row>
    <row r="113" spans="1:5" ht="32.1" customHeight="1">
      <c r="A113" s="276" t="s">
        <v>661</v>
      </c>
      <c r="B113" s="277">
        <v>18216</v>
      </c>
      <c r="C113" s="277">
        <v>66</v>
      </c>
      <c r="D113" s="277">
        <v>13436</v>
      </c>
      <c r="E113" s="277">
        <v>788</v>
      </c>
    </row>
    <row r="114" spans="1:5" ht="32.1" customHeight="1">
      <c r="A114" s="276" t="s">
        <v>662</v>
      </c>
      <c r="B114" s="277">
        <v>152666</v>
      </c>
      <c r="C114" s="277">
        <v>854</v>
      </c>
      <c r="D114" s="277">
        <v>111925</v>
      </c>
      <c r="E114" s="277">
        <v>1158</v>
      </c>
    </row>
    <row r="115" spans="1:5" ht="32.1" customHeight="1">
      <c r="A115" s="276" t="s">
        <v>741</v>
      </c>
      <c r="B115" s="277">
        <v>189</v>
      </c>
      <c r="C115" s="277">
        <v>2</v>
      </c>
      <c r="D115" s="277">
        <v>136</v>
      </c>
      <c r="E115" s="277">
        <v>4</v>
      </c>
    </row>
    <row r="116" spans="1:5" ht="32.1" customHeight="1">
      <c r="A116" s="276" t="s">
        <v>710</v>
      </c>
      <c r="B116" s="277">
        <v>44448</v>
      </c>
      <c r="C116" s="277">
        <v>276</v>
      </c>
      <c r="D116" s="277">
        <v>27706</v>
      </c>
      <c r="E116" s="277">
        <v>673</v>
      </c>
    </row>
    <row r="117" spans="1:5" ht="32.1" customHeight="1">
      <c r="A117" s="276" t="s">
        <v>722</v>
      </c>
      <c r="B117" s="277">
        <v>0</v>
      </c>
      <c r="C117" s="277">
        <v>16</v>
      </c>
      <c r="D117" s="277">
        <v>0</v>
      </c>
      <c r="E117" s="277">
        <v>524</v>
      </c>
    </row>
    <row r="118" spans="1:5" ht="32.1" customHeight="1">
      <c r="A118" s="276" t="s">
        <v>587</v>
      </c>
      <c r="B118" s="277">
        <v>0</v>
      </c>
      <c r="C118" s="277">
        <v>308</v>
      </c>
      <c r="D118" s="277">
        <v>0</v>
      </c>
      <c r="E118" s="277">
        <v>17598</v>
      </c>
    </row>
    <row r="119" spans="1:5" ht="32.1" customHeight="1">
      <c r="A119" s="276" t="s">
        <v>588</v>
      </c>
      <c r="B119" s="277">
        <v>275849</v>
      </c>
      <c r="C119" s="277">
        <v>1183</v>
      </c>
      <c r="D119" s="277">
        <v>88571</v>
      </c>
      <c r="E119" s="277">
        <v>55190</v>
      </c>
    </row>
    <row r="120" spans="1:5" ht="32.1" customHeight="1">
      <c r="A120" s="276" t="s">
        <v>589</v>
      </c>
      <c r="B120" s="277">
        <v>150</v>
      </c>
      <c r="C120" s="277">
        <v>1495</v>
      </c>
      <c r="D120" s="277">
        <v>123</v>
      </c>
      <c r="E120" s="277">
        <v>3963</v>
      </c>
    </row>
    <row r="121" spans="1:5" ht="32.1" customHeight="1">
      <c r="A121" s="276" t="s">
        <v>590</v>
      </c>
      <c r="B121" s="277">
        <v>149034</v>
      </c>
      <c r="C121" s="277">
        <v>888</v>
      </c>
      <c r="D121" s="277">
        <v>108428</v>
      </c>
      <c r="E121" s="277">
        <v>16520</v>
      </c>
    </row>
    <row r="122" spans="1:5" ht="32.1" customHeight="1">
      <c r="A122" s="276" t="s">
        <v>591</v>
      </c>
      <c r="B122" s="277">
        <v>18710</v>
      </c>
      <c r="C122" s="277">
        <v>110</v>
      </c>
      <c r="D122" s="277">
        <v>11144</v>
      </c>
      <c r="E122" s="277">
        <v>211</v>
      </c>
    </row>
    <row r="123" spans="1:5" ht="32.1" customHeight="1">
      <c r="A123" s="276" t="s">
        <v>742</v>
      </c>
      <c r="B123" s="277">
        <v>600</v>
      </c>
      <c r="C123" s="277">
        <v>2</v>
      </c>
      <c r="D123" s="277">
        <v>332</v>
      </c>
      <c r="E123" s="277">
        <v>10</v>
      </c>
    </row>
    <row r="124" spans="1:5" ht="32.1" customHeight="1">
      <c r="A124" s="276" t="s">
        <v>690</v>
      </c>
      <c r="B124" s="277">
        <v>39960</v>
      </c>
      <c r="C124" s="277">
        <v>226</v>
      </c>
      <c r="D124" s="277">
        <v>26310</v>
      </c>
      <c r="E124" s="277">
        <v>258</v>
      </c>
    </row>
    <row r="125" spans="1:5" ht="32.1" customHeight="1">
      <c r="A125" s="276" t="s">
        <v>671</v>
      </c>
      <c r="B125" s="277">
        <v>152619</v>
      </c>
      <c r="C125" s="277">
        <v>409</v>
      </c>
      <c r="D125" s="277">
        <v>98287</v>
      </c>
      <c r="E125" s="277">
        <v>2863</v>
      </c>
    </row>
    <row r="126" spans="1:5" ht="32.1" customHeight="1">
      <c r="A126" s="276" t="s">
        <v>592</v>
      </c>
      <c r="B126" s="277">
        <v>247588</v>
      </c>
      <c r="C126" s="277">
        <v>837</v>
      </c>
      <c r="D126" s="277">
        <v>159036</v>
      </c>
      <c r="E126" s="277">
        <v>13271</v>
      </c>
    </row>
    <row r="127" spans="1:5" ht="32.1" customHeight="1">
      <c r="A127" s="276" t="s">
        <v>743</v>
      </c>
      <c r="B127" s="277">
        <v>432</v>
      </c>
      <c r="C127" s="277">
        <v>2</v>
      </c>
      <c r="D127" s="277">
        <v>186</v>
      </c>
      <c r="E127" s="277">
        <v>7</v>
      </c>
    </row>
    <row r="128" spans="1:5" ht="32.1" customHeight="1">
      <c r="A128" s="276" t="s">
        <v>593</v>
      </c>
      <c r="B128" s="277">
        <v>114914</v>
      </c>
      <c r="C128" s="277">
        <v>576</v>
      </c>
      <c r="D128" s="277">
        <v>67130</v>
      </c>
      <c r="E128" s="277">
        <v>21639</v>
      </c>
    </row>
    <row r="129" spans="1:5" ht="32.1" customHeight="1">
      <c r="A129" s="276" t="s">
        <v>744</v>
      </c>
      <c r="B129" s="277">
        <v>0</v>
      </c>
      <c r="C129" s="277">
        <v>292</v>
      </c>
      <c r="D129" s="277">
        <v>0</v>
      </c>
      <c r="E129" s="277">
        <v>2732</v>
      </c>
    </row>
    <row r="130" spans="1:5" ht="32.1" customHeight="1">
      <c r="A130" s="276" t="s">
        <v>745</v>
      </c>
      <c r="B130" s="277">
        <v>620</v>
      </c>
      <c r="C130" s="277">
        <v>2</v>
      </c>
      <c r="D130" s="277">
        <v>284</v>
      </c>
      <c r="E130" s="277">
        <v>3</v>
      </c>
    </row>
    <row r="131" spans="1:5" ht="32.1" customHeight="1">
      <c r="A131" s="276" t="s">
        <v>691</v>
      </c>
      <c r="B131" s="277">
        <v>80280</v>
      </c>
      <c r="C131" s="277">
        <v>446</v>
      </c>
      <c r="D131" s="277">
        <v>57991</v>
      </c>
      <c r="E131" s="277">
        <v>610</v>
      </c>
    </row>
    <row r="132" spans="1:5" ht="32.1" customHeight="1">
      <c r="A132" s="276" t="s">
        <v>595</v>
      </c>
      <c r="B132" s="277">
        <v>0</v>
      </c>
      <c r="C132" s="277">
        <v>2943</v>
      </c>
      <c r="D132" s="277">
        <v>0</v>
      </c>
      <c r="E132" s="277">
        <v>59283</v>
      </c>
    </row>
    <row r="133" spans="1:5" ht="32.1" customHeight="1">
      <c r="A133" s="276" t="s">
        <v>746</v>
      </c>
      <c r="B133" s="277">
        <v>0</v>
      </c>
      <c r="C133" s="277">
        <v>3</v>
      </c>
      <c r="D133" s="277">
        <v>0</v>
      </c>
      <c r="E133" s="277">
        <v>30</v>
      </c>
    </row>
    <row r="134" spans="1:5" ht="32.1" customHeight="1">
      <c r="A134" s="276" t="s">
        <v>596</v>
      </c>
      <c r="B134" s="277">
        <v>0</v>
      </c>
      <c r="C134" s="277">
        <v>3421</v>
      </c>
      <c r="D134" s="277">
        <v>0</v>
      </c>
      <c r="E134" s="277">
        <v>95615</v>
      </c>
    </row>
    <row r="135" spans="1:5" ht="32.1" customHeight="1">
      <c r="A135" s="276" t="s">
        <v>692</v>
      </c>
      <c r="B135" s="277">
        <v>102900</v>
      </c>
      <c r="C135" s="277">
        <v>414</v>
      </c>
      <c r="D135" s="277">
        <v>58452</v>
      </c>
      <c r="E135" s="277">
        <v>5138</v>
      </c>
    </row>
    <row r="136" spans="1:5" ht="32.1" customHeight="1">
      <c r="A136" s="276" t="s">
        <v>598</v>
      </c>
      <c r="B136" s="277">
        <v>104643</v>
      </c>
      <c r="C136" s="277">
        <v>297</v>
      </c>
      <c r="D136" s="277">
        <v>44795</v>
      </c>
      <c r="E136" s="277">
        <v>6682</v>
      </c>
    </row>
    <row r="137" spans="1:5" ht="32.1" customHeight="1">
      <c r="A137" s="276" t="s">
        <v>642</v>
      </c>
      <c r="B137" s="277">
        <v>128520</v>
      </c>
      <c r="C137" s="277">
        <v>714</v>
      </c>
      <c r="D137" s="277">
        <v>85034</v>
      </c>
      <c r="E137" s="277">
        <v>573</v>
      </c>
    </row>
    <row r="138" spans="1:5" ht="32.1" customHeight="1">
      <c r="A138" s="276" t="s">
        <v>599</v>
      </c>
      <c r="B138" s="277">
        <v>95110</v>
      </c>
      <c r="C138" s="277">
        <v>439</v>
      </c>
      <c r="D138" s="277">
        <v>41456</v>
      </c>
      <c r="E138" s="277">
        <v>9510</v>
      </c>
    </row>
    <row r="139" spans="1:5" ht="32.1" customHeight="1">
      <c r="A139" s="276" t="s">
        <v>705</v>
      </c>
      <c r="B139" s="277">
        <v>160956</v>
      </c>
      <c r="C139" s="277">
        <v>896</v>
      </c>
      <c r="D139" s="277">
        <v>112616</v>
      </c>
      <c r="E139" s="277">
        <v>1181</v>
      </c>
    </row>
    <row r="140" spans="1:5" ht="32.1" customHeight="1">
      <c r="A140" s="276" t="s">
        <v>601</v>
      </c>
      <c r="B140" s="277">
        <v>155612</v>
      </c>
      <c r="C140" s="277">
        <v>754</v>
      </c>
      <c r="D140" s="277">
        <v>105890</v>
      </c>
      <c r="E140" s="277">
        <v>3358</v>
      </c>
    </row>
    <row r="141" spans="1:5" ht="32.1" customHeight="1">
      <c r="A141" s="276" t="s">
        <v>628</v>
      </c>
      <c r="B141" s="277">
        <v>29646</v>
      </c>
      <c r="C141" s="277">
        <v>405</v>
      </c>
      <c r="D141" s="277">
        <v>21688</v>
      </c>
      <c r="E141" s="277">
        <v>4513</v>
      </c>
    </row>
    <row r="142" spans="1:5" ht="32.1" customHeight="1">
      <c r="A142" s="276" t="s">
        <v>747</v>
      </c>
      <c r="B142" s="277">
        <v>669</v>
      </c>
      <c r="C142" s="277">
        <v>8</v>
      </c>
      <c r="D142" s="277">
        <v>391</v>
      </c>
      <c r="E142" s="277">
        <v>11</v>
      </c>
    </row>
    <row r="143" spans="1:5" ht="32.1" customHeight="1">
      <c r="A143" s="276" t="s">
        <v>616</v>
      </c>
      <c r="B143" s="277">
        <v>0</v>
      </c>
      <c r="C143" s="277">
        <v>106</v>
      </c>
      <c r="D143" s="277">
        <v>0</v>
      </c>
      <c r="E143" s="277">
        <v>290</v>
      </c>
    </row>
    <row r="144" spans="1:5" ht="32.1" customHeight="1">
      <c r="A144" s="276" t="s">
        <v>603</v>
      </c>
      <c r="B144" s="277">
        <v>64072</v>
      </c>
      <c r="C144" s="277">
        <v>312</v>
      </c>
      <c r="D144" s="277">
        <v>48116</v>
      </c>
      <c r="E144" s="277">
        <v>721</v>
      </c>
    </row>
    <row r="145" spans="1:5" ht="32.1" customHeight="1">
      <c r="A145" s="276" t="s">
        <v>672</v>
      </c>
      <c r="B145" s="277">
        <v>24828</v>
      </c>
      <c r="C145" s="277">
        <v>102</v>
      </c>
      <c r="D145" s="277">
        <v>17037</v>
      </c>
      <c r="E145" s="277">
        <v>635</v>
      </c>
    </row>
    <row r="146" spans="1:5" ht="32.1" customHeight="1">
      <c r="A146" s="276" t="s">
        <v>748</v>
      </c>
      <c r="B146" s="277">
        <v>0</v>
      </c>
      <c r="C146" s="277">
        <v>2</v>
      </c>
      <c r="D146" s="277">
        <v>0</v>
      </c>
      <c r="E146" s="277">
        <v>45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14C2-0B26-4673-856C-281909BC70DE}">
  <dimension ref="A1:E124"/>
  <sheetViews>
    <sheetView workbookViewId="0">
      <selection sqref="A1:E1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749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32514689</v>
      </c>
      <c r="C3" s="277">
        <v>221916</v>
      </c>
      <c r="D3" s="277">
        <v>23096692</v>
      </c>
      <c r="E3" s="277">
        <v>2362615</v>
      </c>
    </row>
    <row r="4" spans="1:5" ht="32.1" customHeight="1">
      <c r="A4" s="276" t="s">
        <v>511</v>
      </c>
      <c r="B4" s="277">
        <v>30014803</v>
      </c>
      <c r="C4" s="277">
        <v>183569</v>
      </c>
      <c r="D4" s="277">
        <v>22359540</v>
      </c>
      <c r="E4" s="277">
        <v>1674325</v>
      </c>
    </row>
    <row r="5" spans="1:5" ht="32.1" customHeight="1">
      <c r="A5" s="276" t="s">
        <v>512</v>
      </c>
      <c r="B5" s="277">
        <v>6142104</v>
      </c>
      <c r="C5" s="277">
        <v>51313</v>
      </c>
      <c r="D5" s="277">
        <v>3560170</v>
      </c>
      <c r="E5" s="277">
        <v>1091951</v>
      </c>
    </row>
    <row r="6" spans="1:5" ht="32.1" customHeight="1">
      <c r="A6" s="276" t="s">
        <v>513</v>
      </c>
      <c r="B6" s="277">
        <v>5190734</v>
      </c>
      <c r="C6" s="277">
        <v>32859</v>
      </c>
      <c r="D6" s="277">
        <v>3254915</v>
      </c>
      <c r="E6" s="277">
        <v>500834</v>
      </c>
    </row>
    <row r="7" spans="1:5" ht="32.1" customHeight="1">
      <c r="A7" s="276" t="s">
        <v>514</v>
      </c>
      <c r="B7" s="277">
        <v>4803057</v>
      </c>
      <c r="C7" s="277">
        <v>25697</v>
      </c>
      <c r="D7" s="277">
        <v>4240990</v>
      </c>
      <c r="E7" s="277">
        <v>17171</v>
      </c>
    </row>
    <row r="8" spans="1:5" ht="32.1" customHeight="1">
      <c r="A8" s="276" t="s">
        <v>515</v>
      </c>
      <c r="B8" s="277">
        <v>4834251</v>
      </c>
      <c r="C8" s="277">
        <v>25504</v>
      </c>
      <c r="D8" s="277">
        <v>3804565</v>
      </c>
      <c r="E8" s="277">
        <v>18240</v>
      </c>
    </row>
    <row r="9" spans="1:5" ht="32.1" customHeight="1">
      <c r="A9" s="276" t="s">
        <v>516</v>
      </c>
      <c r="B9" s="277">
        <v>3737532</v>
      </c>
      <c r="C9" s="277">
        <v>18972</v>
      </c>
      <c r="D9" s="277">
        <v>2942753</v>
      </c>
      <c r="E9" s="277">
        <v>13909</v>
      </c>
    </row>
    <row r="10" spans="1:5" ht="32.1" customHeight="1">
      <c r="A10" s="276" t="s">
        <v>605</v>
      </c>
      <c r="B10" s="277">
        <v>3809484</v>
      </c>
      <c r="C10" s="277">
        <v>20503</v>
      </c>
      <c r="D10" s="277">
        <v>3342086</v>
      </c>
      <c r="E10" s="277">
        <v>15917</v>
      </c>
    </row>
    <row r="11" spans="1:5" ht="32.1" customHeight="1">
      <c r="A11" s="276" t="s">
        <v>645</v>
      </c>
      <c r="B11" s="277">
        <v>0</v>
      </c>
      <c r="C11" s="277">
        <v>1239</v>
      </c>
      <c r="D11" s="277">
        <v>0</v>
      </c>
      <c r="E11" s="277">
        <v>12205</v>
      </c>
    </row>
    <row r="12" spans="1:5" ht="32.1" customHeight="1">
      <c r="A12" s="276" t="s">
        <v>683</v>
      </c>
      <c r="B12" s="277">
        <v>1186025</v>
      </c>
      <c r="C12" s="277">
        <v>5835</v>
      </c>
      <c r="D12" s="277">
        <v>1084483</v>
      </c>
      <c r="E12" s="277">
        <v>3428</v>
      </c>
    </row>
    <row r="13" spans="1:5" ht="32.1" customHeight="1">
      <c r="A13" s="276" t="s">
        <v>712</v>
      </c>
      <c r="B13" s="277">
        <v>138318</v>
      </c>
      <c r="C13" s="277">
        <v>743</v>
      </c>
      <c r="D13" s="277">
        <v>64659</v>
      </c>
      <c r="E13" s="277">
        <v>369</v>
      </c>
    </row>
    <row r="14" spans="1:5" ht="32.1" customHeight="1">
      <c r="A14" s="276" t="s">
        <v>750</v>
      </c>
      <c r="B14" s="277">
        <v>147960</v>
      </c>
      <c r="C14" s="277">
        <v>822</v>
      </c>
      <c r="D14" s="277">
        <v>46934</v>
      </c>
      <c r="E14" s="277">
        <v>235</v>
      </c>
    </row>
    <row r="15" spans="1:5" ht="32.1" customHeight="1">
      <c r="A15" s="276" t="s">
        <v>751</v>
      </c>
      <c r="B15" s="277">
        <v>25338</v>
      </c>
      <c r="C15" s="277">
        <v>82</v>
      </c>
      <c r="D15" s="277">
        <v>17985</v>
      </c>
      <c r="E15" s="277">
        <v>66</v>
      </c>
    </row>
    <row r="16" spans="1:5" ht="32.1" customHeight="1">
      <c r="A16" s="276" t="s">
        <v>518</v>
      </c>
      <c r="B16" s="277">
        <v>2499886</v>
      </c>
      <c r="C16" s="277">
        <v>38347</v>
      </c>
      <c r="D16" s="277">
        <v>737152</v>
      </c>
      <c r="E16" s="277">
        <v>688289</v>
      </c>
    </row>
    <row r="17" spans="1:5" ht="32.1" customHeight="1">
      <c r="A17" s="276" t="s">
        <v>752</v>
      </c>
      <c r="B17" s="277">
        <v>0</v>
      </c>
      <c r="C17" s="277">
        <v>2</v>
      </c>
      <c r="D17" s="277">
        <v>0</v>
      </c>
      <c r="E17" s="277">
        <v>10</v>
      </c>
    </row>
    <row r="18" spans="1:5" ht="32.1" customHeight="1">
      <c r="A18" s="276" t="s">
        <v>753</v>
      </c>
      <c r="B18" s="277">
        <v>0</v>
      </c>
      <c r="C18" s="277">
        <v>16</v>
      </c>
      <c r="D18" s="277">
        <v>0</v>
      </c>
      <c r="E18" s="277">
        <v>51</v>
      </c>
    </row>
    <row r="19" spans="1:5" ht="32.1" customHeight="1">
      <c r="A19" s="276" t="s">
        <v>725</v>
      </c>
      <c r="B19" s="277">
        <v>0</v>
      </c>
      <c r="C19" s="277">
        <v>2</v>
      </c>
      <c r="D19" s="277">
        <v>0</v>
      </c>
      <c r="E19" s="277">
        <v>32</v>
      </c>
    </row>
    <row r="20" spans="1:5" ht="32.1" customHeight="1">
      <c r="A20" s="276" t="s">
        <v>754</v>
      </c>
      <c r="B20" s="277">
        <v>0</v>
      </c>
      <c r="C20" s="277">
        <v>2</v>
      </c>
      <c r="D20" s="277">
        <v>0</v>
      </c>
      <c r="E20" s="277">
        <v>26</v>
      </c>
    </row>
    <row r="21" spans="1:5" ht="32.1" customHeight="1">
      <c r="A21" s="276" t="s">
        <v>713</v>
      </c>
      <c r="B21" s="277">
        <v>0</v>
      </c>
      <c r="C21" s="277">
        <v>434</v>
      </c>
      <c r="D21" s="277">
        <v>0</v>
      </c>
      <c r="E21" s="277">
        <v>3571</v>
      </c>
    </row>
    <row r="22" spans="1:5" ht="32.1" customHeight="1">
      <c r="A22" s="276" t="s">
        <v>521</v>
      </c>
      <c r="B22" s="277">
        <v>39346</v>
      </c>
      <c r="C22" s="277">
        <v>202</v>
      </c>
      <c r="D22" s="277">
        <v>9598</v>
      </c>
      <c r="E22" s="277">
        <v>3947</v>
      </c>
    </row>
    <row r="23" spans="1:5" ht="32.1" customHeight="1">
      <c r="A23" s="276" t="s">
        <v>684</v>
      </c>
      <c r="B23" s="277">
        <v>0</v>
      </c>
      <c r="C23" s="277">
        <v>75</v>
      </c>
      <c r="D23" s="277">
        <v>0</v>
      </c>
      <c r="E23" s="277">
        <v>2282</v>
      </c>
    </row>
    <row r="24" spans="1:5" ht="32.1" customHeight="1">
      <c r="A24" s="276" t="s">
        <v>524</v>
      </c>
      <c r="B24" s="277">
        <v>127940</v>
      </c>
      <c r="C24" s="277">
        <v>345</v>
      </c>
      <c r="D24" s="277">
        <v>27526</v>
      </c>
      <c r="E24" s="277">
        <v>8702</v>
      </c>
    </row>
    <row r="25" spans="1:5" ht="32.1" customHeight="1">
      <c r="A25" s="276" t="s">
        <v>714</v>
      </c>
      <c r="B25" s="277">
        <v>4832</v>
      </c>
      <c r="C25" s="277">
        <v>70</v>
      </c>
      <c r="D25" s="277">
        <v>662</v>
      </c>
      <c r="E25" s="277">
        <v>1012</v>
      </c>
    </row>
    <row r="26" spans="1:5" ht="32.1" customHeight="1">
      <c r="A26" s="276" t="s">
        <v>526</v>
      </c>
      <c r="B26" s="277">
        <v>311119</v>
      </c>
      <c r="C26" s="277">
        <v>1041</v>
      </c>
      <c r="D26" s="277">
        <v>81638</v>
      </c>
      <c r="E26" s="277">
        <v>12789</v>
      </c>
    </row>
    <row r="27" spans="1:5" ht="32.1" customHeight="1">
      <c r="A27" s="276" t="s">
        <v>694</v>
      </c>
      <c r="B27" s="277">
        <v>0</v>
      </c>
      <c r="C27" s="277">
        <v>2</v>
      </c>
      <c r="D27" s="277">
        <v>0</v>
      </c>
      <c r="E27" s="277">
        <v>71</v>
      </c>
    </row>
    <row r="28" spans="1:5" ht="32.1" customHeight="1">
      <c r="A28" s="276" t="s">
        <v>648</v>
      </c>
      <c r="B28" s="277">
        <v>3266</v>
      </c>
      <c r="C28" s="277">
        <v>24</v>
      </c>
      <c r="D28" s="277">
        <v>2300</v>
      </c>
      <c r="E28" s="277">
        <v>78</v>
      </c>
    </row>
    <row r="29" spans="1:5" ht="32.1" customHeight="1">
      <c r="A29" s="276" t="s">
        <v>755</v>
      </c>
      <c r="B29" s="277">
        <v>0</v>
      </c>
      <c r="C29" s="277">
        <v>2</v>
      </c>
      <c r="D29" s="277">
        <v>0</v>
      </c>
      <c r="E29" s="277">
        <v>4</v>
      </c>
    </row>
    <row r="30" spans="1:5" ht="32.1" customHeight="1">
      <c r="A30" s="276" t="s">
        <v>715</v>
      </c>
      <c r="B30" s="277">
        <v>0</v>
      </c>
      <c r="C30" s="277">
        <v>2</v>
      </c>
      <c r="D30" s="277">
        <v>0</v>
      </c>
      <c r="E30" s="277">
        <v>52</v>
      </c>
    </row>
    <row r="31" spans="1:5" ht="32.1" customHeight="1">
      <c r="A31" s="276" t="s">
        <v>528</v>
      </c>
      <c r="B31" s="277">
        <v>21372</v>
      </c>
      <c r="C31" s="277">
        <v>69</v>
      </c>
      <c r="D31" s="277">
        <v>12239</v>
      </c>
      <c r="E31" s="277">
        <v>1037</v>
      </c>
    </row>
    <row r="32" spans="1:5" ht="32.1" customHeight="1">
      <c r="A32" s="276" t="s">
        <v>728</v>
      </c>
      <c r="B32" s="277">
        <v>0</v>
      </c>
      <c r="C32" s="277">
        <v>6</v>
      </c>
      <c r="D32" s="277">
        <v>0</v>
      </c>
      <c r="E32" s="277">
        <v>203</v>
      </c>
    </row>
    <row r="33" spans="1:5" ht="32.1" customHeight="1">
      <c r="A33" s="276" t="s">
        <v>529</v>
      </c>
      <c r="B33" s="277">
        <v>85849</v>
      </c>
      <c r="C33" s="277">
        <v>293</v>
      </c>
      <c r="D33" s="277">
        <v>29658</v>
      </c>
      <c r="E33" s="277">
        <v>4796</v>
      </c>
    </row>
    <row r="34" spans="1:5" ht="32.1" customHeight="1">
      <c r="A34" s="276" t="s">
        <v>530</v>
      </c>
      <c r="B34" s="277">
        <v>0</v>
      </c>
      <c r="C34" s="277">
        <v>931</v>
      </c>
      <c r="D34" s="277">
        <v>0</v>
      </c>
      <c r="E34" s="277">
        <v>10486</v>
      </c>
    </row>
    <row r="35" spans="1:5" ht="32.1" customHeight="1">
      <c r="A35" s="276" t="s">
        <v>707</v>
      </c>
      <c r="B35" s="277">
        <v>0</v>
      </c>
      <c r="C35" s="277">
        <v>138</v>
      </c>
      <c r="D35" s="277">
        <v>0</v>
      </c>
      <c r="E35" s="277">
        <v>557</v>
      </c>
    </row>
    <row r="36" spans="1:5" ht="32.1" customHeight="1">
      <c r="A36" s="276" t="s">
        <v>756</v>
      </c>
      <c r="B36" s="277">
        <v>0</v>
      </c>
      <c r="C36" s="277">
        <v>1</v>
      </c>
      <c r="D36" s="277">
        <v>0</v>
      </c>
      <c r="E36" s="277">
        <v>33</v>
      </c>
    </row>
    <row r="37" spans="1:5" ht="32.1" customHeight="1">
      <c r="A37" s="276" t="s">
        <v>532</v>
      </c>
      <c r="B37" s="277">
        <v>0</v>
      </c>
      <c r="C37" s="277">
        <v>418</v>
      </c>
      <c r="D37" s="277">
        <v>0</v>
      </c>
      <c r="E37" s="277">
        <v>7582</v>
      </c>
    </row>
    <row r="38" spans="1:5" ht="32.1" customHeight="1">
      <c r="A38" s="276" t="s">
        <v>620</v>
      </c>
      <c r="B38" s="277">
        <v>0</v>
      </c>
      <c r="C38" s="277">
        <v>2</v>
      </c>
      <c r="D38" s="277">
        <v>0</v>
      </c>
      <c r="E38" s="277">
        <v>26</v>
      </c>
    </row>
    <row r="39" spans="1:5" ht="32.1" customHeight="1">
      <c r="A39" s="276" t="s">
        <v>533</v>
      </c>
      <c r="B39" s="277">
        <v>18106</v>
      </c>
      <c r="C39" s="277">
        <v>210</v>
      </c>
      <c r="D39" s="277">
        <v>13805</v>
      </c>
      <c r="E39" s="277">
        <v>2060</v>
      </c>
    </row>
    <row r="40" spans="1:5" ht="32.1" customHeight="1">
      <c r="A40" s="276" t="s">
        <v>534</v>
      </c>
      <c r="B40" s="277">
        <v>0</v>
      </c>
      <c r="C40" s="277">
        <v>1602</v>
      </c>
      <c r="D40" s="277">
        <v>0</v>
      </c>
      <c r="E40" s="277">
        <v>24697</v>
      </c>
    </row>
    <row r="41" spans="1:5" ht="32.1" customHeight="1">
      <c r="A41" s="276" t="s">
        <v>729</v>
      </c>
      <c r="B41" s="277">
        <v>7560</v>
      </c>
      <c r="C41" s="277">
        <v>67</v>
      </c>
      <c r="D41" s="277">
        <v>4419</v>
      </c>
      <c r="E41" s="277">
        <v>269</v>
      </c>
    </row>
    <row r="42" spans="1:5" ht="32.1" customHeight="1">
      <c r="A42" s="276" t="s">
        <v>665</v>
      </c>
      <c r="B42" s="277">
        <v>21488</v>
      </c>
      <c r="C42" s="277">
        <v>162</v>
      </c>
      <c r="D42" s="277">
        <v>13810</v>
      </c>
      <c r="E42" s="277">
        <v>552</v>
      </c>
    </row>
    <row r="43" spans="1:5" ht="32.1" customHeight="1">
      <c r="A43" s="276" t="s">
        <v>716</v>
      </c>
      <c r="B43" s="277">
        <v>3021</v>
      </c>
      <c r="C43" s="277">
        <v>314</v>
      </c>
      <c r="D43" s="277">
        <v>3089</v>
      </c>
      <c r="E43" s="277">
        <v>6245</v>
      </c>
    </row>
    <row r="44" spans="1:5" ht="32.1" customHeight="1">
      <c r="A44" s="276" t="s">
        <v>757</v>
      </c>
      <c r="B44" s="277">
        <v>0</v>
      </c>
      <c r="C44" s="277">
        <v>2</v>
      </c>
      <c r="D44" s="277">
        <v>0</v>
      </c>
      <c r="E44" s="277">
        <v>9</v>
      </c>
    </row>
    <row r="45" spans="1:5" ht="32.1" customHeight="1">
      <c r="A45" s="276" t="s">
        <v>535</v>
      </c>
      <c r="B45" s="277">
        <v>13577</v>
      </c>
      <c r="C45" s="277">
        <v>286</v>
      </c>
      <c r="D45" s="277">
        <v>8373</v>
      </c>
      <c r="E45" s="277">
        <v>4875</v>
      </c>
    </row>
    <row r="46" spans="1:5" ht="32.1" customHeight="1">
      <c r="A46" s="276" t="s">
        <v>536</v>
      </c>
      <c r="B46" s="277">
        <v>0</v>
      </c>
      <c r="C46" s="277">
        <v>15</v>
      </c>
      <c r="D46" s="277">
        <v>0</v>
      </c>
      <c r="E46" s="277">
        <v>864</v>
      </c>
    </row>
    <row r="47" spans="1:5" ht="32.1" customHeight="1">
      <c r="A47" s="276" t="s">
        <v>730</v>
      </c>
      <c r="B47" s="277">
        <v>7540</v>
      </c>
      <c r="C47" s="277">
        <v>52</v>
      </c>
      <c r="D47" s="277">
        <v>189</v>
      </c>
      <c r="E47" s="277">
        <v>443</v>
      </c>
    </row>
    <row r="48" spans="1:5" ht="32.1" customHeight="1">
      <c r="A48" s="276" t="s">
        <v>652</v>
      </c>
      <c r="B48" s="277">
        <v>5590</v>
      </c>
      <c r="C48" s="277">
        <v>237</v>
      </c>
      <c r="D48" s="277">
        <v>4785</v>
      </c>
      <c r="E48" s="277">
        <v>2010</v>
      </c>
    </row>
    <row r="49" spans="1:5" ht="32.1" customHeight="1">
      <c r="A49" s="276" t="s">
        <v>541</v>
      </c>
      <c r="B49" s="277">
        <v>27344</v>
      </c>
      <c r="C49" s="277">
        <v>500</v>
      </c>
      <c r="D49" s="277">
        <v>17892</v>
      </c>
      <c r="E49" s="277">
        <v>2019</v>
      </c>
    </row>
    <row r="50" spans="1:5" ht="32.1" customHeight="1">
      <c r="A50" s="276" t="s">
        <v>543</v>
      </c>
      <c r="B50" s="277">
        <v>50672</v>
      </c>
      <c r="C50" s="277">
        <v>186</v>
      </c>
      <c r="D50" s="277">
        <v>6004</v>
      </c>
      <c r="E50" s="277">
        <v>1920</v>
      </c>
    </row>
    <row r="51" spans="1:5" ht="32.1" customHeight="1">
      <c r="A51" s="276" t="s">
        <v>731</v>
      </c>
      <c r="B51" s="277">
        <v>18168</v>
      </c>
      <c r="C51" s="277">
        <v>70</v>
      </c>
      <c r="D51" s="277">
        <v>3057</v>
      </c>
      <c r="E51" s="277">
        <v>833</v>
      </c>
    </row>
    <row r="52" spans="1:5" ht="32.1" customHeight="1">
      <c r="A52" s="276" t="s">
        <v>758</v>
      </c>
      <c r="B52" s="277">
        <v>0</v>
      </c>
      <c r="C52" s="277">
        <v>62</v>
      </c>
      <c r="D52" s="277">
        <v>0</v>
      </c>
      <c r="E52" s="277">
        <v>1368</v>
      </c>
    </row>
    <row r="53" spans="1:5" ht="32.1" customHeight="1">
      <c r="A53" s="276" t="s">
        <v>699</v>
      </c>
      <c r="B53" s="277">
        <v>22886</v>
      </c>
      <c r="C53" s="277">
        <v>68</v>
      </c>
      <c r="D53" s="277">
        <v>1162</v>
      </c>
      <c r="E53" s="277">
        <v>612</v>
      </c>
    </row>
    <row r="54" spans="1:5" ht="32.1" customHeight="1">
      <c r="A54" s="276" t="s">
        <v>733</v>
      </c>
      <c r="B54" s="277">
        <v>0</v>
      </c>
      <c r="C54" s="277">
        <v>70</v>
      </c>
      <c r="D54" s="277">
        <v>0</v>
      </c>
      <c r="E54" s="277">
        <v>643</v>
      </c>
    </row>
    <row r="55" spans="1:5" ht="32.1" customHeight="1">
      <c r="A55" s="276" t="s">
        <v>546</v>
      </c>
      <c r="B55" s="277">
        <v>15912</v>
      </c>
      <c r="C55" s="277">
        <v>90</v>
      </c>
      <c r="D55" s="277">
        <v>8304</v>
      </c>
      <c r="E55" s="277">
        <v>246</v>
      </c>
    </row>
    <row r="56" spans="1:5" ht="32.1" customHeight="1">
      <c r="A56" s="276" t="s">
        <v>667</v>
      </c>
      <c r="B56" s="277">
        <v>0</v>
      </c>
      <c r="C56" s="277">
        <v>274</v>
      </c>
      <c r="D56" s="277">
        <v>0</v>
      </c>
      <c r="E56" s="277">
        <v>17540</v>
      </c>
    </row>
    <row r="57" spans="1:5" ht="32.1" customHeight="1">
      <c r="A57" s="276" t="s">
        <v>547</v>
      </c>
      <c r="B57" s="277">
        <v>0</v>
      </c>
      <c r="C57" s="277">
        <v>4</v>
      </c>
      <c r="D57" s="277">
        <v>0</v>
      </c>
      <c r="E57" s="277">
        <v>79</v>
      </c>
    </row>
    <row r="58" spans="1:5" ht="32.1" customHeight="1">
      <c r="A58" s="276" t="s">
        <v>548</v>
      </c>
      <c r="B58" s="277">
        <v>145500</v>
      </c>
      <c r="C58" s="277">
        <v>420</v>
      </c>
      <c r="D58" s="277">
        <v>19364</v>
      </c>
      <c r="E58" s="277">
        <v>7919</v>
      </c>
    </row>
    <row r="59" spans="1:5" ht="32.1" customHeight="1">
      <c r="A59" s="276" t="s">
        <v>654</v>
      </c>
      <c r="B59" s="277">
        <v>60778</v>
      </c>
      <c r="C59" s="277">
        <v>2032</v>
      </c>
      <c r="D59" s="277">
        <v>32417</v>
      </c>
      <c r="E59" s="277">
        <v>18095</v>
      </c>
    </row>
    <row r="60" spans="1:5" ht="32.1" customHeight="1">
      <c r="A60" s="276" t="s">
        <v>687</v>
      </c>
      <c r="B60" s="277">
        <v>0</v>
      </c>
      <c r="C60" s="277">
        <v>3</v>
      </c>
      <c r="D60" s="277">
        <v>0</v>
      </c>
      <c r="E60" s="277">
        <v>22</v>
      </c>
    </row>
    <row r="61" spans="1:5" ht="32.1" customHeight="1">
      <c r="A61" s="276" t="s">
        <v>700</v>
      </c>
      <c r="B61" s="277">
        <v>34020</v>
      </c>
      <c r="C61" s="277">
        <v>140</v>
      </c>
      <c r="D61" s="277">
        <v>14859</v>
      </c>
      <c r="E61" s="277">
        <v>1638</v>
      </c>
    </row>
    <row r="62" spans="1:5" ht="32.1" customHeight="1">
      <c r="A62" s="276" t="s">
        <v>550</v>
      </c>
      <c r="B62" s="277">
        <v>0</v>
      </c>
      <c r="C62" s="277">
        <v>36</v>
      </c>
      <c r="D62" s="277">
        <v>0</v>
      </c>
      <c r="E62" s="277">
        <v>502</v>
      </c>
    </row>
    <row r="63" spans="1:5" ht="32.1" customHeight="1">
      <c r="A63" s="276" t="s">
        <v>735</v>
      </c>
      <c r="B63" s="277">
        <v>0</v>
      </c>
      <c r="C63" s="277">
        <v>310</v>
      </c>
      <c r="D63" s="277">
        <v>0</v>
      </c>
      <c r="E63" s="277">
        <v>2391</v>
      </c>
    </row>
    <row r="64" spans="1:5" ht="32.1" customHeight="1">
      <c r="A64" s="276" t="s">
        <v>701</v>
      </c>
      <c r="B64" s="277">
        <v>0</v>
      </c>
      <c r="C64" s="277">
        <v>3</v>
      </c>
      <c r="D64" s="277">
        <v>0</v>
      </c>
      <c r="E64" s="277">
        <v>25</v>
      </c>
    </row>
    <row r="65" spans="1:5" ht="32.1" customHeight="1">
      <c r="A65" s="276" t="s">
        <v>551</v>
      </c>
      <c r="B65" s="277">
        <v>0</v>
      </c>
      <c r="C65" s="277">
        <v>2189</v>
      </c>
      <c r="D65" s="277">
        <v>0</v>
      </c>
      <c r="E65" s="277">
        <v>40919</v>
      </c>
    </row>
    <row r="66" spans="1:5" ht="32.1" customHeight="1">
      <c r="A66" s="276" t="s">
        <v>552</v>
      </c>
      <c r="B66" s="277">
        <v>0</v>
      </c>
      <c r="C66" s="277">
        <v>1</v>
      </c>
      <c r="D66" s="277">
        <v>0</v>
      </c>
      <c r="E66" s="277">
        <v>61</v>
      </c>
    </row>
    <row r="67" spans="1:5" ht="32.1" customHeight="1">
      <c r="A67" s="276" t="s">
        <v>555</v>
      </c>
      <c r="B67" s="277">
        <v>0</v>
      </c>
      <c r="C67" s="277">
        <v>122</v>
      </c>
      <c r="D67" s="277">
        <v>0</v>
      </c>
      <c r="E67" s="277">
        <v>937</v>
      </c>
    </row>
    <row r="68" spans="1:5" ht="32.1" customHeight="1">
      <c r="A68" s="276" t="s">
        <v>556</v>
      </c>
      <c r="B68" s="277">
        <v>150422</v>
      </c>
      <c r="C68" s="277">
        <v>486</v>
      </c>
      <c r="D68" s="277">
        <v>50393</v>
      </c>
      <c r="E68" s="277">
        <v>11819</v>
      </c>
    </row>
    <row r="69" spans="1:5" ht="32.1" customHeight="1">
      <c r="A69" s="276" t="s">
        <v>557</v>
      </c>
      <c r="B69" s="277">
        <v>23872</v>
      </c>
      <c r="C69" s="277">
        <v>631</v>
      </c>
      <c r="D69" s="277">
        <v>1579</v>
      </c>
      <c r="E69" s="277">
        <v>9318</v>
      </c>
    </row>
    <row r="70" spans="1:5" ht="32.1" customHeight="1">
      <c r="A70" s="276" t="s">
        <v>609</v>
      </c>
      <c r="B70" s="277">
        <v>0</v>
      </c>
      <c r="C70" s="277">
        <v>473</v>
      </c>
      <c r="D70" s="277">
        <v>0</v>
      </c>
      <c r="E70" s="277">
        <v>14255</v>
      </c>
    </row>
    <row r="71" spans="1:5" ht="32.1" customHeight="1">
      <c r="A71" s="276" t="s">
        <v>560</v>
      </c>
      <c r="B71" s="277">
        <v>0</v>
      </c>
      <c r="C71" s="277">
        <v>596</v>
      </c>
      <c r="D71" s="277">
        <v>0</v>
      </c>
      <c r="E71" s="277">
        <v>27823</v>
      </c>
    </row>
    <row r="72" spans="1:5" ht="32.1" customHeight="1">
      <c r="A72" s="276" t="s">
        <v>636</v>
      </c>
      <c r="B72" s="277">
        <v>0</v>
      </c>
      <c r="C72" s="277">
        <v>4</v>
      </c>
      <c r="D72" s="277">
        <v>0</v>
      </c>
      <c r="E72" s="277">
        <v>19</v>
      </c>
    </row>
    <row r="73" spans="1:5" ht="32.1" customHeight="1">
      <c r="A73" s="276" t="s">
        <v>562</v>
      </c>
      <c r="B73" s="277">
        <v>13944</v>
      </c>
      <c r="C73" s="277">
        <v>84</v>
      </c>
      <c r="D73" s="277">
        <v>10497</v>
      </c>
      <c r="E73" s="277">
        <v>377</v>
      </c>
    </row>
    <row r="74" spans="1:5" ht="32.1" customHeight="1">
      <c r="A74" s="276" t="s">
        <v>610</v>
      </c>
      <c r="B74" s="277">
        <v>0</v>
      </c>
      <c r="C74" s="277">
        <v>144</v>
      </c>
      <c r="D74" s="277">
        <v>0</v>
      </c>
      <c r="E74" s="277">
        <v>2593</v>
      </c>
    </row>
    <row r="75" spans="1:5" ht="32.1" customHeight="1">
      <c r="A75" s="276" t="s">
        <v>611</v>
      </c>
      <c r="B75" s="277">
        <v>0</v>
      </c>
      <c r="C75" s="277">
        <v>98</v>
      </c>
      <c r="D75" s="277">
        <v>0</v>
      </c>
      <c r="E75" s="277">
        <v>3422</v>
      </c>
    </row>
    <row r="76" spans="1:5" ht="32.1" customHeight="1">
      <c r="A76" s="276" t="s">
        <v>564</v>
      </c>
      <c r="B76" s="277">
        <v>80958</v>
      </c>
      <c r="C76" s="277">
        <v>602</v>
      </c>
      <c r="D76" s="277">
        <v>25557</v>
      </c>
      <c r="E76" s="277">
        <v>8632</v>
      </c>
    </row>
    <row r="77" spans="1:5" ht="32.1" customHeight="1">
      <c r="A77" s="276" t="s">
        <v>565</v>
      </c>
      <c r="B77" s="277">
        <v>0</v>
      </c>
      <c r="C77" s="277">
        <v>412</v>
      </c>
      <c r="D77" s="277">
        <v>0</v>
      </c>
      <c r="E77" s="277">
        <v>15083</v>
      </c>
    </row>
    <row r="78" spans="1:5" ht="32.1" customHeight="1">
      <c r="A78" s="276" t="s">
        <v>655</v>
      </c>
      <c r="B78" s="277">
        <v>107776</v>
      </c>
      <c r="C78" s="277">
        <v>562</v>
      </c>
      <c r="D78" s="277">
        <v>11529</v>
      </c>
      <c r="E78" s="277">
        <v>9304</v>
      </c>
    </row>
    <row r="79" spans="1:5" ht="32.1" customHeight="1">
      <c r="A79" s="276" t="s">
        <v>612</v>
      </c>
      <c r="B79" s="277">
        <v>145098</v>
      </c>
      <c r="C79" s="277">
        <v>539</v>
      </c>
      <c r="D79" s="277">
        <v>24914</v>
      </c>
      <c r="E79" s="277">
        <v>10551</v>
      </c>
    </row>
    <row r="80" spans="1:5" ht="32.1" customHeight="1">
      <c r="A80" s="276" t="s">
        <v>737</v>
      </c>
      <c r="B80" s="277">
        <v>0</v>
      </c>
      <c r="C80" s="277">
        <v>6</v>
      </c>
      <c r="D80" s="277">
        <v>0</v>
      </c>
      <c r="E80" s="277">
        <v>74</v>
      </c>
    </row>
    <row r="81" spans="1:5" ht="32.1" customHeight="1">
      <c r="A81" s="276" t="s">
        <v>638</v>
      </c>
      <c r="B81" s="277">
        <v>0</v>
      </c>
      <c r="C81" s="277">
        <v>24</v>
      </c>
      <c r="D81" s="277">
        <v>0</v>
      </c>
      <c r="E81" s="277">
        <v>280</v>
      </c>
    </row>
    <row r="82" spans="1:5" ht="32.1" customHeight="1">
      <c r="A82" s="276" t="s">
        <v>567</v>
      </c>
      <c r="B82" s="277">
        <v>10752</v>
      </c>
      <c r="C82" s="277">
        <v>84</v>
      </c>
      <c r="D82" s="277">
        <v>5504</v>
      </c>
      <c r="E82" s="277">
        <v>133</v>
      </c>
    </row>
    <row r="83" spans="1:5" ht="32.1" customHeight="1">
      <c r="A83" s="276" t="s">
        <v>624</v>
      </c>
      <c r="B83" s="277">
        <v>0</v>
      </c>
      <c r="C83" s="277">
        <v>6</v>
      </c>
      <c r="D83" s="277">
        <v>0</v>
      </c>
      <c r="E83" s="277">
        <v>78</v>
      </c>
    </row>
    <row r="84" spans="1:5" ht="32.1" customHeight="1">
      <c r="A84" s="276" t="s">
        <v>568</v>
      </c>
      <c r="B84" s="277">
        <v>24180</v>
      </c>
      <c r="C84" s="277">
        <v>156</v>
      </c>
      <c r="D84" s="277">
        <v>13710</v>
      </c>
      <c r="E84" s="277">
        <v>2115</v>
      </c>
    </row>
    <row r="85" spans="1:5" ht="32.1" customHeight="1">
      <c r="A85" s="276" t="s">
        <v>759</v>
      </c>
      <c r="B85" s="277">
        <v>0</v>
      </c>
      <c r="C85" s="277">
        <v>1</v>
      </c>
      <c r="D85" s="277">
        <v>0</v>
      </c>
      <c r="E85" s="277">
        <v>21</v>
      </c>
    </row>
    <row r="86" spans="1:5" ht="32.1" customHeight="1">
      <c r="A86" s="276" t="s">
        <v>656</v>
      </c>
      <c r="B86" s="277">
        <v>6069</v>
      </c>
      <c r="C86" s="277">
        <v>24</v>
      </c>
      <c r="D86" s="277">
        <v>2415</v>
      </c>
      <c r="E86" s="277">
        <v>234</v>
      </c>
    </row>
    <row r="87" spans="1:5" ht="32.1" customHeight="1">
      <c r="A87" s="276" t="s">
        <v>680</v>
      </c>
      <c r="B87" s="277">
        <v>0</v>
      </c>
      <c r="C87" s="277">
        <v>316</v>
      </c>
      <c r="D87" s="277">
        <v>0</v>
      </c>
      <c r="E87" s="277">
        <v>988</v>
      </c>
    </row>
    <row r="88" spans="1:5" ht="32.1" customHeight="1">
      <c r="A88" s="276" t="s">
        <v>760</v>
      </c>
      <c r="B88" s="277">
        <v>0</v>
      </c>
      <c r="C88" s="277">
        <v>2</v>
      </c>
      <c r="D88" s="277">
        <v>0</v>
      </c>
      <c r="E88" s="277">
        <v>27</v>
      </c>
    </row>
    <row r="89" spans="1:5" ht="32.1" customHeight="1">
      <c r="A89" s="276" t="s">
        <v>570</v>
      </c>
      <c r="B89" s="277">
        <v>87150</v>
      </c>
      <c r="C89" s="277">
        <v>544</v>
      </c>
      <c r="D89" s="277">
        <v>30409</v>
      </c>
      <c r="E89" s="277">
        <v>8889</v>
      </c>
    </row>
    <row r="90" spans="1:5" ht="32.1" customHeight="1">
      <c r="A90" s="276" t="s">
        <v>572</v>
      </c>
      <c r="B90" s="277">
        <v>0</v>
      </c>
      <c r="C90" s="277">
        <v>3118</v>
      </c>
      <c r="D90" s="277">
        <v>0</v>
      </c>
      <c r="E90" s="277">
        <v>27629</v>
      </c>
    </row>
    <row r="91" spans="1:5" ht="32.1" customHeight="1">
      <c r="A91" s="276" t="s">
        <v>614</v>
      </c>
      <c r="B91" s="277">
        <v>3328</v>
      </c>
      <c r="C91" s="277">
        <v>107</v>
      </c>
      <c r="D91" s="277">
        <v>1908</v>
      </c>
      <c r="E91" s="277">
        <v>888</v>
      </c>
    </row>
    <row r="92" spans="1:5" ht="32.1" customHeight="1">
      <c r="A92" s="276" t="s">
        <v>575</v>
      </c>
      <c r="B92" s="277">
        <v>0</v>
      </c>
      <c r="C92" s="277">
        <v>18</v>
      </c>
      <c r="D92" s="277">
        <v>0</v>
      </c>
      <c r="E92" s="277">
        <v>120</v>
      </c>
    </row>
    <row r="93" spans="1:5" ht="32.1" customHeight="1">
      <c r="A93" s="276" t="s">
        <v>577</v>
      </c>
      <c r="B93" s="277">
        <v>0</v>
      </c>
      <c r="C93" s="277">
        <v>308</v>
      </c>
      <c r="D93" s="277">
        <v>0</v>
      </c>
      <c r="E93" s="277">
        <v>10459</v>
      </c>
    </row>
    <row r="94" spans="1:5" ht="32.1" customHeight="1">
      <c r="A94" s="276" t="s">
        <v>579</v>
      </c>
      <c r="B94" s="277">
        <v>28705</v>
      </c>
      <c r="C94" s="277">
        <v>464</v>
      </c>
      <c r="D94" s="277">
        <v>14907</v>
      </c>
      <c r="E94" s="277">
        <v>5698</v>
      </c>
    </row>
    <row r="95" spans="1:5" ht="32.1" customHeight="1">
      <c r="A95" s="276" t="s">
        <v>580</v>
      </c>
      <c r="B95" s="277">
        <v>40110</v>
      </c>
      <c r="C95" s="277">
        <v>172</v>
      </c>
      <c r="D95" s="277">
        <v>24029</v>
      </c>
      <c r="E95" s="277">
        <v>1910</v>
      </c>
    </row>
    <row r="96" spans="1:5" ht="32.1" customHeight="1">
      <c r="A96" s="276" t="s">
        <v>581</v>
      </c>
      <c r="B96" s="277">
        <v>25280</v>
      </c>
      <c r="C96" s="277">
        <v>728</v>
      </c>
      <c r="D96" s="277">
        <v>17583</v>
      </c>
      <c r="E96" s="277">
        <v>8203</v>
      </c>
    </row>
    <row r="97" spans="1:5" ht="32.1" customHeight="1">
      <c r="A97" s="276" t="s">
        <v>582</v>
      </c>
      <c r="B97" s="277">
        <v>9622</v>
      </c>
      <c r="C97" s="277">
        <v>54</v>
      </c>
      <c r="D97" s="277">
        <v>4998</v>
      </c>
      <c r="E97" s="277">
        <v>194</v>
      </c>
    </row>
    <row r="98" spans="1:5" ht="32.1" customHeight="1">
      <c r="A98" s="276" t="s">
        <v>583</v>
      </c>
      <c r="B98" s="277">
        <v>0</v>
      </c>
      <c r="C98" s="277">
        <v>484</v>
      </c>
      <c r="D98" s="277">
        <v>0</v>
      </c>
      <c r="E98" s="277">
        <v>4434</v>
      </c>
    </row>
    <row r="99" spans="1:5" ht="32.1" customHeight="1">
      <c r="A99" s="276" t="s">
        <v>584</v>
      </c>
      <c r="B99" s="277">
        <v>20162</v>
      </c>
      <c r="C99" s="277">
        <v>112</v>
      </c>
      <c r="D99" s="277">
        <v>7744</v>
      </c>
      <c r="E99" s="277">
        <v>329</v>
      </c>
    </row>
    <row r="100" spans="1:5" ht="32.1" customHeight="1">
      <c r="A100" s="276" t="s">
        <v>585</v>
      </c>
      <c r="B100" s="277">
        <v>0</v>
      </c>
      <c r="C100" s="277">
        <v>384</v>
      </c>
      <c r="D100" s="277">
        <v>0</v>
      </c>
      <c r="E100" s="277">
        <v>29747</v>
      </c>
    </row>
    <row r="101" spans="1:5" ht="32.1" customHeight="1">
      <c r="A101" s="276" t="s">
        <v>586</v>
      </c>
      <c r="B101" s="277">
        <v>15084</v>
      </c>
      <c r="C101" s="277">
        <v>772</v>
      </c>
      <c r="D101" s="277">
        <v>763</v>
      </c>
      <c r="E101" s="277">
        <v>11742</v>
      </c>
    </row>
    <row r="102" spans="1:5" ht="32.1" customHeight="1">
      <c r="A102" s="276" t="s">
        <v>761</v>
      </c>
      <c r="B102" s="277">
        <v>51620</v>
      </c>
      <c r="C102" s="277">
        <v>354</v>
      </c>
      <c r="D102" s="277">
        <v>3046</v>
      </c>
      <c r="E102" s="277">
        <v>3713</v>
      </c>
    </row>
    <row r="103" spans="1:5" ht="32.1" customHeight="1">
      <c r="A103" s="276" t="s">
        <v>662</v>
      </c>
      <c r="B103" s="277">
        <v>19328</v>
      </c>
      <c r="C103" s="277">
        <v>104</v>
      </c>
      <c r="D103" s="277">
        <v>11185</v>
      </c>
      <c r="E103" s="277">
        <v>238</v>
      </c>
    </row>
    <row r="104" spans="1:5" ht="32.1" customHeight="1">
      <c r="A104" s="276" t="s">
        <v>710</v>
      </c>
      <c r="B104" s="277">
        <v>25428</v>
      </c>
      <c r="C104" s="277">
        <v>142</v>
      </c>
      <c r="D104" s="277">
        <v>11814</v>
      </c>
      <c r="E104" s="277">
        <v>343</v>
      </c>
    </row>
    <row r="105" spans="1:5" ht="32.1" customHeight="1">
      <c r="A105" s="276" t="s">
        <v>722</v>
      </c>
      <c r="B105" s="277">
        <v>0</v>
      </c>
      <c r="C105" s="277">
        <v>90</v>
      </c>
      <c r="D105" s="277">
        <v>0</v>
      </c>
      <c r="E105" s="277">
        <v>3686</v>
      </c>
    </row>
    <row r="106" spans="1:5" ht="32.1" customHeight="1">
      <c r="A106" s="276" t="s">
        <v>587</v>
      </c>
      <c r="B106" s="277">
        <v>0</v>
      </c>
      <c r="C106" s="277">
        <v>264</v>
      </c>
      <c r="D106" s="277">
        <v>0</v>
      </c>
      <c r="E106" s="277">
        <v>13410</v>
      </c>
    </row>
    <row r="107" spans="1:5" ht="32.1" customHeight="1">
      <c r="A107" s="276" t="s">
        <v>588</v>
      </c>
      <c r="B107" s="277">
        <v>177720</v>
      </c>
      <c r="C107" s="277">
        <v>815</v>
      </c>
      <c r="D107" s="277">
        <v>50585</v>
      </c>
      <c r="E107" s="277">
        <v>38306</v>
      </c>
    </row>
    <row r="108" spans="1:5" ht="32.1" customHeight="1">
      <c r="A108" s="276" t="s">
        <v>589</v>
      </c>
      <c r="B108" s="277">
        <v>0</v>
      </c>
      <c r="C108" s="277">
        <v>2275</v>
      </c>
      <c r="D108" s="277">
        <v>0</v>
      </c>
      <c r="E108" s="277">
        <v>9605</v>
      </c>
    </row>
    <row r="109" spans="1:5" ht="32.1" customHeight="1">
      <c r="A109" s="276" t="s">
        <v>681</v>
      </c>
      <c r="B109" s="277">
        <v>0</v>
      </c>
      <c r="C109" s="277">
        <v>22</v>
      </c>
      <c r="D109" s="277">
        <v>0</v>
      </c>
      <c r="E109" s="277">
        <v>93</v>
      </c>
    </row>
    <row r="110" spans="1:5" ht="32.1" customHeight="1">
      <c r="A110" s="276" t="s">
        <v>590</v>
      </c>
      <c r="B110" s="277">
        <v>11028</v>
      </c>
      <c r="C110" s="277">
        <v>390</v>
      </c>
      <c r="D110" s="277">
        <v>1771</v>
      </c>
      <c r="E110" s="277">
        <v>8658</v>
      </c>
    </row>
    <row r="111" spans="1:5" ht="32.1" customHeight="1">
      <c r="A111" s="276" t="s">
        <v>671</v>
      </c>
      <c r="B111" s="277">
        <v>0</v>
      </c>
      <c r="C111" s="277">
        <v>56</v>
      </c>
      <c r="D111" s="277">
        <v>0</v>
      </c>
      <c r="E111" s="277">
        <v>1299</v>
      </c>
    </row>
    <row r="112" spans="1:5" ht="32.1" customHeight="1">
      <c r="A112" s="276" t="s">
        <v>592</v>
      </c>
      <c r="B112" s="277">
        <v>38783</v>
      </c>
      <c r="C112" s="277">
        <v>338</v>
      </c>
      <c r="D112" s="277">
        <v>5434</v>
      </c>
      <c r="E112" s="277">
        <v>8165</v>
      </c>
    </row>
    <row r="113" spans="1:5" ht="32.1" customHeight="1">
      <c r="A113" s="276" t="s">
        <v>593</v>
      </c>
      <c r="B113" s="277">
        <v>72941</v>
      </c>
      <c r="C113" s="277">
        <v>474</v>
      </c>
      <c r="D113" s="277">
        <v>25742</v>
      </c>
      <c r="E113" s="277">
        <v>17470</v>
      </c>
    </row>
    <row r="114" spans="1:5" ht="32.1" customHeight="1">
      <c r="A114" s="276" t="s">
        <v>744</v>
      </c>
      <c r="B114" s="277">
        <v>0</v>
      </c>
      <c r="C114" s="277">
        <v>778</v>
      </c>
      <c r="D114" s="277">
        <v>0</v>
      </c>
      <c r="E114" s="277">
        <v>7387</v>
      </c>
    </row>
    <row r="115" spans="1:5" ht="32.1" customHeight="1">
      <c r="A115" s="276" t="s">
        <v>595</v>
      </c>
      <c r="B115" s="277">
        <v>0</v>
      </c>
      <c r="C115" s="277">
        <v>1841</v>
      </c>
      <c r="D115" s="277">
        <v>0</v>
      </c>
      <c r="E115" s="277">
        <v>43561</v>
      </c>
    </row>
    <row r="116" spans="1:5" ht="32.1" customHeight="1">
      <c r="A116" s="276" t="s">
        <v>596</v>
      </c>
      <c r="B116" s="277">
        <v>0</v>
      </c>
      <c r="C116" s="277">
        <v>2628</v>
      </c>
      <c r="D116" s="277">
        <v>0</v>
      </c>
      <c r="E116" s="277">
        <v>80690</v>
      </c>
    </row>
    <row r="117" spans="1:5" ht="32.1" customHeight="1">
      <c r="A117" s="276" t="s">
        <v>692</v>
      </c>
      <c r="B117" s="277">
        <v>71232</v>
      </c>
      <c r="C117" s="277">
        <v>294</v>
      </c>
      <c r="D117" s="277">
        <v>29513</v>
      </c>
      <c r="E117" s="277">
        <v>3623</v>
      </c>
    </row>
    <row r="118" spans="1:5" ht="32.1" customHeight="1">
      <c r="A118" s="276" t="s">
        <v>598</v>
      </c>
      <c r="B118" s="277">
        <v>80919</v>
      </c>
      <c r="C118" s="277">
        <v>255</v>
      </c>
      <c r="D118" s="277">
        <v>15120</v>
      </c>
      <c r="E118" s="277">
        <v>6416</v>
      </c>
    </row>
    <row r="119" spans="1:5" ht="32.1" customHeight="1">
      <c r="A119" s="276" t="s">
        <v>599</v>
      </c>
      <c r="B119" s="277">
        <v>69863</v>
      </c>
      <c r="C119" s="277">
        <v>339</v>
      </c>
      <c r="D119" s="277">
        <v>8227</v>
      </c>
      <c r="E119" s="277">
        <v>8461</v>
      </c>
    </row>
    <row r="120" spans="1:5" ht="32.1" customHeight="1">
      <c r="A120" s="276" t="s">
        <v>601</v>
      </c>
      <c r="B120" s="277">
        <v>6560</v>
      </c>
      <c r="C120" s="277">
        <v>166</v>
      </c>
      <c r="D120" s="277">
        <v>976</v>
      </c>
      <c r="E120" s="277">
        <v>1931</v>
      </c>
    </row>
    <row r="121" spans="1:5" ht="32.1" customHeight="1">
      <c r="A121" s="276" t="s">
        <v>628</v>
      </c>
      <c r="B121" s="277">
        <v>36066</v>
      </c>
      <c r="C121" s="277">
        <v>285</v>
      </c>
      <c r="D121" s="277">
        <v>10150</v>
      </c>
      <c r="E121" s="277">
        <v>3727</v>
      </c>
    </row>
    <row r="122" spans="1:5" ht="32.1" customHeight="1">
      <c r="A122" s="276" t="s">
        <v>643</v>
      </c>
      <c r="B122" s="277">
        <v>0</v>
      </c>
      <c r="C122" s="277">
        <v>2</v>
      </c>
      <c r="D122" s="277">
        <v>0</v>
      </c>
      <c r="E122" s="277">
        <v>30</v>
      </c>
    </row>
    <row r="123" spans="1:5" ht="32.1" customHeight="1">
      <c r="A123" s="276" t="s">
        <v>616</v>
      </c>
      <c r="B123" s="277">
        <v>0</v>
      </c>
      <c r="C123" s="277">
        <v>188</v>
      </c>
      <c r="D123" s="277">
        <v>0</v>
      </c>
      <c r="E123" s="277">
        <v>544</v>
      </c>
    </row>
    <row r="124" spans="1:5" ht="32.1" customHeight="1">
      <c r="A124" s="276" t="s">
        <v>672</v>
      </c>
      <c r="B124" s="277">
        <v>0</v>
      </c>
      <c r="C124" s="277">
        <v>128</v>
      </c>
      <c r="D124" s="277">
        <v>0</v>
      </c>
      <c r="E124" s="277">
        <v>2409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8E56-B102-4684-B6EF-3D3443CE0E85}">
  <dimension ref="A1:E98"/>
  <sheetViews>
    <sheetView workbookViewId="0">
      <selection sqref="A1:E1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762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148604672</v>
      </c>
      <c r="C3" s="277">
        <v>688245</v>
      </c>
      <c r="D3" s="277">
        <v>124286883</v>
      </c>
      <c r="E3" s="277">
        <v>2586429</v>
      </c>
    </row>
    <row r="4" spans="1:5" ht="32.1" customHeight="1">
      <c r="A4" s="276" t="s">
        <v>511</v>
      </c>
      <c r="B4" s="277">
        <v>111528123</v>
      </c>
      <c r="C4" s="277">
        <v>523827</v>
      </c>
      <c r="D4" s="277">
        <v>94245011</v>
      </c>
      <c r="E4" s="277">
        <v>1723221</v>
      </c>
    </row>
    <row r="5" spans="1:5" ht="32.1" customHeight="1">
      <c r="A5" s="276" t="s">
        <v>512</v>
      </c>
      <c r="B5" s="277">
        <v>34122844</v>
      </c>
      <c r="C5" s="277">
        <v>150137</v>
      </c>
      <c r="D5" s="277">
        <v>27834934</v>
      </c>
      <c r="E5" s="277">
        <v>892834</v>
      </c>
    </row>
    <row r="6" spans="1:5" ht="32.1" customHeight="1">
      <c r="A6" s="276" t="s">
        <v>513</v>
      </c>
      <c r="B6" s="277">
        <v>23873324</v>
      </c>
      <c r="C6" s="277">
        <v>98933</v>
      </c>
      <c r="D6" s="277">
        <v>20306912</v>
      </c>
      <c r="E6" s="277">
        <v>479076</v>
      </c>
    </row>
    <row r="7" spans="1:5" ht="32.1" customHeight="1">
      <c r="A7" s="276" t="s">
        <v>514</v>
      </c>
      <c r="B7" s="277">
        <v>15160068</v>
      </c>
      <c r="C7" s="277">
        <v>80243</v>
      </c>
      <c r="D7" s="277">
        <v>13352537</v>
      </c>
      <c r="E7" s="277">
        <v>100820</v>
      </c>
    </row>
    <row r="8" spans="1:5" ht="32.1" customHeight="1">
      <c r="A8" s="276" t="s">
        <v>515</v>
      </c>
      <c r="B8" s="277">
        <v>10002717</v>
      </c>
      <c r="C8" s="277">
        <v>46470</v>
      </c>
      <c r="D8" s="277">
        <v>8754190</v>
      </c>
      <c r="E8" s="277">
        <v>81225</v>
      </c>
    </row>
    <row r="9" spans="1:5" ht="32.1" customHeight="1">
      <c r="A9" s="276" t="s">
        <v>516</v>
      </c>
      <c r="B9" s="277">
        <v>9576749</v>
      </c>
      <c r="C9" s="277">
        <v>49622</v>
      </c>
      <c r="D9" s="277">
        <v>7863061</v>
      </c>
      <c r="E9" s="277">
        <v>51342</v>
      </c>
    </row>
    <row r="10" spans="1:5" ht="32.1" customHeight="1">
      <c r="A10" s="276" t="s">
        <v>517</v>
      </c>
      <c r="B10" s="277">
        <v>7220370</v>
      </c>
      <c r="C10" s="277">
        <v>37642</v>
      </c>
      <c r="D10" s="277">
        <v>6193866</v>
      </c>
      <c r="E10" s="277">
        <v>42541</v>
      </c>
    </row>
    <row r="11" spans="1:5" ht="32.1" customHeight="1">
      <c r="A11" s="276" t="s">
        <v>605</v>
      </c>
      <c r="B11" s="277">
        <v>9341853</v>
      </c>
      <c r="C11" s="277">
        <v>49482</v>
      </c>
      <c r="D11" s="277">
        <v>7999611</v>
      </c>
      <c r="E11" s="277">
        <v>58755</v>
      </c>
    </row>
    <row r="12" spans="1:5" ht="32.1" customHeight="1">
      <c r="A12" s="276" t="s">
        <v>683</v>
      </c>
      <c r="B12" s="277">
        <v>2195602</v>
      </c>
      <c r="C12" s="277">
        <v>11112</v>
      </c>
      <c r="D12" s="277">
        <v>1916636</v>
      </c>
      <c r="E12" s="277">
        <v>16502</v>
      </c>
    </row>
    <row r="13" spans="1:5" ht="32.1" customHeight="1">
      <c r="A13" s="276" t="s">
        <v>712</v>
      </c>
      <c r="B13" s="277">
        <v>34596</v>
      </c>
      <c r="C13" s="277">
        <v>186</v>
      </c>
      <c r="D13" s="277">
        <v>23264</v>
      </c>
      <c r="E13" s="277">
        <v>126</v>
      </c>
    </row>
    <row r="14" spans="1:5" ht="32.1" customHeight="1">
      <c r="A14" s="276" t="s">
        <v>518</v>
      </c>
      <c r="B14" s="277">
        <v>37076549</v>
      </c>
      <c r="C14" s="277">
        <v>164418</v>
      </c>
      <c r="D14" s="277">
        <v>30041872</v>
      </c>
      <c r="E14" s="277">
        <v>863208</v>
      </c>
    </row>
    <row r="15" spans="1:5" ht="32.1" customHeight="1">
      <c r="A15" s="276" t="s">
        <v>521</v>
      </c>
      <c r="B15" s="277">
        <v>408078</v>
      </c>
      <c r="C15" s="277">
        <v>1390</v>
      </c>
      <c r="D15" s="277">
        <v>296316</v>
      </c>
      <c r="E15" s="277">
        <v>12425</v>
      </c>
    </row>
    <row r="16" spans="1:5" ht="32.1" customHeight="1">
      <c r="A16" s="276" t="s">
        <v>524</v>
      </c>
      <c r="B16" s="277">
        <v>224868</v>
      </c>
      <c r="C16" s="277">
        <v>726</v>
      </c>
      <c r="D16" s="277">
        <v>203903</v>
      </c>
      <c r="E16" s="277">
        <v>20001</v>
      </c>
    </row>
    <row r="17" spans="1:5" ht="32.1" customHeight="1">
      <c r="A17" s="276" t="s">
        <v>714</v>
      </c>
      <c r="B17" s="277">
        <v>11368</v>
      </c>
      <c r="C17" s="277">
        <v>38</v>
      </c>
      <c r="D17" s="277">
        <v>9460</v>
      </c>
      <c r="E17" s="277">
        <v>505</v>
      </c>
    </row>
    <row r="18" spans="1:5" ht="32.1" customHeight="1">
      <c r="A18" s="276" t="s">
        <v>526</v>
      </c>
      <c r="B18" s="277">
        <v>761164</v>
      </c>
      <c r="C18" s="277">
        <v>2686</v>
      </c>
      <c r="D18" s="277">
        <v>680606</v>
      </c>
      <c r="E18" s="277">
        <v>29236</v>
      </c>
    </row>
    <row r="19" spans="1:5" ht="32.1" customHeight="1">
      <c r="A19" s="276" t="s">
        <v>648</v>
      </c>
      <c r="B19" s="277">
        <v>96166</v>
      </c>
      <c r="C19" s="277">
        <v>670</v>
      </c>
      <c r="D19" s="277">
        <v>61682</v>
      </c>
      <c r="E19" s="277">
        <v>1140</v>
      </c>
    </row>
    <row r="20" spans="1:5" ht="32.1" customHeight="1">
      <c r="A20" s="276" t="s">
        <v>528</v>
      </c>
      <c r="B20" s="277">
        <v>340424</v>
      </c>
      <c r="C20" s="277">
        <v>972</v>
      </c>
      <c r="D20" s="277">
        <v>268405</v>
      </c>
      <c r="E20" s="277">
        <v>10551</v>
      </c>
    </row>
    <row r="21" spans="1:5" ht="32.1" customHeight="1">
      <c r="A21" s="276" t="s">
        <v>529</v>
      </c>
      <c r="B21" s="277">
        <v>449034</v>
      </c>
      <c r="C21" s="277">
        <v>1316</v>
      </c>
      <c r="D21" s="277">
        <v>400728</v>
      </c>
      <c r="E21" s="277">
        <v>19062</v>
      </c>
    </row>
    <row r="22" spans="1:5" ht="32.1" customHeight="1">
      <c r="A22" s="276" t="s">
        <v>707</v>
      </c>
      <c r="B22" s="277">
        <v>35670</v>
      </c>
      <c r="C22" s="277">
        <v>206</v>
      </c>
      <c r="D22" s="277">
        <v>25712</v>
      </c>
      <c r="E22" s="277">
        <v>266</v>
      </c>
    </row>
    <row r="23" spans="1:5" ht="32.1" customHeight="1">
      <c r="A23" s="276" t="s">
        <v>532</v>
      </c>
      <c r="B23" s="277">
        <v>388400</v>
      </c>
      <c r="C23" s="277">
        <v>1228</v>
      </c>
      <c r="D23" s="277">
        <v>288073</v>
      </c>
      <c r="E23" s="277">
        <v>16425</v>
      </c>
    </row>
    <row r="24" spans="1:5" ht="32.1" customHeight="1">
      <c r="A24" s="276" t="s">
        <v>631</v>
      </c>
      <c r="B24" s="277">
        <v>742</v>
      </c>
      <c r="C24" s="277">
        <v>7</v>
      </c>
      <c r="D24" s="277">
        <v>635</v>
      </c>
      <c r="E24" s="277">
        <v>7</v>
      </c>
    </row>
    <row r="25" spans="1:5" ht="32.1" customHeight="1">
      <c r="A25" s="276" t="s">
        <v>533</v>
      </c>
      <c r="B25" s="277">
        <v>269068</v>
      </c>
      <c r="C25" s="277">
        <v>1182</v>
      </c>
      <c r="D25" s="277">
        <v>214067</v>
      </c>
      <c r="E25" s="277">
        <v>5566</v>
      </c>
    </row>
    <row r="26" spans="1:5" ht="32.1" customHeight="1">
      <c r="A26" s="276" t="s">
        <v>665</v>
      </c>
      <c r="B26" s="277">
        <v>4512</v>
      </c>
      <c r="C26" s="277">
        <v>32</v>
      </c>
      <c r="D26" s="277">
        <v>1273</v>
      </c>
      <c r="E26" s="277">
        <v>20</v>
      </c>
    </row>
    <row r="27" spans="1:5" ht="32.1" customHeight="1">
      <c r="A27" s="276" t="s">
        <v>716</v>
      </c>
      <c r="B27" s="277">
        <v>47168</v>
      </c>
      <c r="C27" s="277">
        <v>240</v>
      </c>
      <c r="D27" s="277">
        <v>28307</v>
      </c>
      <c r="E27" s="277">
        <v>289</v>
      </c>
    </row>
    <row r="28" spans="1:5" ht="32.1" customHeight="1">
      <c r="A28" s="276" t="s">
        <v>535</v>
      </c>
      <c r="B28" s="277">
        <v>1567860</v>
      </c>
      <c r="C28" s="277">
        <v>6211</v>
      </c>
      <c r="D28" s="277">
        <v>1310334</v>
      </c>
      <c r="E28" s="277">
        <v>50573</v>
      </c>
    </row>
    <row r="29" spans="1:5" ht="32.1" customHeight="1">
      <c r="A29" s="276" t="s">
        <v>651</v>
      </c>
      <c r="B29" s="277">
        <v>63672</v>
      </c>
      <c r="C29" s="277">
        <v>344</v>
      </c>
      <c r="D29" s="277">
        <v>60227</v>
      </c>
      <c r="E29" s="277">
        <v>599</v>
      </c>
    </row>
    <row r="30" spans="1:5" ht="32.1" customHeight="1">
      <c r="A30" s="276" t="s">
        <v>633</v>
      </c>
      <c r="B30" s="277">
        <v>63764</v>
      </c>
      <c r="C30" s="277">
        <v>406</v>
      </c>
      <c r="D30" s="277">
        <v>43975</v>
      </c>
      <c r="E30" s="277">
        <v>962</v>
      </c>
    </row>
    <row r="31" spans="1:5" ht="32.1" customHeight="1">
      <c r="A31" s="276" t="s">
        <v>652</v>
      </c>
      <c r="B31" s="277">
        <v>2282472</v>
      </c>
      <c r="C31" s="277">
        <v>10418</v>
      </c>
      <c r="D31" s="277">
        <v>1797706</v>
      </c>
      <c r="E31" s="277">
        <v>21617</v>
      </c>
    </row>
    <row r="32" spans="1:5" ht="32.1" customHeight="1">
      <c r="A32" s="276" t="s">
        <v>607</v>
      </c>
      <c r="B32" s="277">
        <v>81020</v>
      </c>
      <c r="C32" s="277">
        <v>421</v>
      </c>
      <c r="D32" s="277">
        <v>58352</v>
      </c>
      <c r="E32" s="277">
        <v>878</v>
      </c>
    </row>
    <row r="33" spans="1:5" ht="32.1" customHeight="1">
      <c r="A33" s="276" t="s">
        <v>541</v>
      </c>
      <c r="B33" s="277">
        <v>1185202</v>
      </c>
      <c r="C33" s="277">
        <v>6932</v>
      </c>
      <c r="D33" s="277">
        <v>939324</v>
      </c>
      <c r="E33" s="277">
        <v>16914</v>
      </c>
    </row>
    <row r="34" spans="1:5" ht="32.1" customHeight="1">
      <c r="A34" s="276" t="s">
        <v>542</v>
      </c>
      <c r="B34" s="277">
        <v>435024</v>
      </c>
      <c r="C34" s="277">
        <v>2371</v>
      </c>
      <c r="D34" s="277">
        <v>357416</v>
      </c>
      <c r="E34" s="277">
        <v>5960</v>
      </c>
    </row>
    <row r="35" spans="1:5" ht="32.1" customHeight="1">
      <c r="A35" s="276" t="s">
        <v>543</v>
      </c>
      <c r="B35" s="277">
        <v>579424</v>
      </c>
      <c r="C35" s="277">
        <v>2177</v>
      </c>
      <c r="D35" s="277">
        <v>422453</v>
      </c>
      <c r="E35" s="277">
        <v>10461</v>
      </c>
    </row>
    <row r="36" spans="1:5" ht="32.1" customHeight="1">
      <c r="A36" s="276" t="s">
        <v>622</v>
      </c>
      <c r="B36" s="277">
        <v>73156</v>
      </c>
      <c r="C36" s="277">
        <v>367</v>
      </c>
      <c r="D36" s="277">
        <v>62884</v>
      </c>
      <c r="E36" s="277">
        <v>629</v>
      </c>
    </row>
    <row r="37" spans="1:5" ht="32.1" customHeight="1">
      <c r="A37" s="276" t="s">
        <v>699</v>
      </c>
      <c r="B37" s="277">
        <v>114884</v>
      </c>
      <c r="C37" s="277">
        <v>312</v>
      </c>
      <c r="D37" s="277">
        <v>102774</v>
      </c>
      <c r="E37" s="277">
        <v>2706</v>
      </c>
    </row>
    <row r="38" spans="1:5" ht="32.1" customHeight="1">
      <c r="A38" s="276" t="s">
        <v>546</v>
      </c>
      <c r="B38" s="277">
        <v>262310</v>
      </c>
      <c r="C38" s="277">
        <v>1556</v>
      </c>
      <c r="D38" s="277">
        <v>221048</v>
      </c>
      <c r="E38" s="277">
        <v>2524</v>
      </c>
    </row>
    <row r="39" spans="1:5" ht="32.1" customHeight="1">
      <c r="A39" s="276" t="s">
        <v>666</v>
      </c>
      <c r="B39" s="277">
        <v>33382</v>
      </c>
      <c r="C39" s="277">
        <v>207</v>
      </c>
      <c r="D39" s="277">
        <v>29076</v>
      </c>
      <c r="E39" s="277">
        <v>399</v>
      </c>
    </row>
    <row r="40" spans="1:5" ht="32.1" customHeight="1">
      <c r="A40" s="276" t="s">
        <v>548</v>
      </c>
      <c r="B40" s="277">
        <v>917468</v>
      </c>
      <c r="C40" s="277">
        <v>2994</v>
      </c>
      <c r="D40" s="277">
        <v>776072</v>
      </c>
      <c r="E40" s="277">
        <v>43269</v>
      </c>
    </row>
    <row r="41" spans="1:5" ht="32.1" customHeight="1">
      <c r="A41" s="276" t="s">
        <v>654</v>
      </c>
      <c r="B41" s="277">
        <v>208536</v>
      </c>
      <c r="C41" s="277">
        <v>732</v>
      </c>
      <c r="D41" s="277">
        <v>189433</v>
      </c>
      <c r="E41" s="277">
        <v>9189</v>
      </c>
    </row>
    <row r="42" spans="1:5" ht="32.1" customHeight="1">
      <c r="A42" s="276" t="s">
        <v>700</v>
      </c>
      <c r="B42" s="277">
        <v>104309</v>
      </c>
      <c r="C42" s="277">
        <v>430</v>
      </c>
      <c r="D42" s="277">
        <v>85439</v>
      </c>
      <c r="E42" s="277">
        <v>4271</v>
      </c>
    </row>
    <row r="43" spans="1:5" ht="32.1" customHeight="1">
      <c r="A43" s="276" t="s">
        <v>669</v>
      </c>
      <c r="B43" s="277">
        <v>102986</v>
      </c>
      <c r="C43" s="277">
        <v>412</v>
      </c>
      <c r="D43" s="277">
        <v>86166</v>
      </c>
      <c r="E43" s="277">
        <v>4135</v>
      </c>
    </row>
    <row r="44" spans="1:5" ht="32.1" customHeight="1">
      <c r="A44" s="276" t="s">
        <v>717</v>
      </c>
      <c r="B44" s="277">
        <v>6518</v>
      </c>
      <c r="C44" s="277">
        <v>33</v>
      </c>
      <c r="D44" s="277">
        <v>3341</v>
      </c>
      <c r="E44" s="277">
        <v>30</v>
      </c>
    </row>
    <row r="45" spans="1:5" ht="32.1" customHeight="1">
      <c r="A45" s="276" t="s">
        <v>554</v>
      </c>
      <c r="B45" s="277">
        <v>37174</v>
      </c>
      <c r="C45" s="277">
        <v>284</v>
      </c>
      <c r="D45" s="277">
        <v>22573</v>
      </c>
      <c r="E45" s="277">
        <v>240</v>
      </c>
    </row>
    <row r="46" spans="1:5" ht="32.1" customHeight="1">
      <c r="A46" s="276" t="s">
        <v>556</v>
      </c>
      <c r="B46" s="277">
        <v>381446</v>
      </c>
      <c r="C46" s="277">
        <v>730</v>
      </c>
      <c r="D46" s="277">
        <v>322479</v>
      </c>
      <c r="E46" s="277">
        <v>14358</v>
      </c>
    </row>
    <row r="47" spans="1:5" ht="32.1" customHeight="1">
      <c r="A47" s="276" t="s">
        <v>557</v>
      </c>
      <c r="B47" s="277">
        <v>735115</v>
      </c>
      <c r="C47" s="277">
        <v>3130</v>
      </c>
      <c r="D47" s="277">
        <v>649555</v>
      </c>
      <c r="E47" s="277">
        <v>17974</v>
      </c>
    </row>
    <row r="48" spans="1:5" ht="32.1" customHeight="1">
      <c r="A48" s="276" t="s">
        <v>559</v>
      </c>
      <c r="B48" s="277">
        <v>241318</v>
      </c>
      <c r="C48" s="277">
        <v>1436</v>
      </c>
      <c r="D48" s="277">
        <v>201466</v>
      </c>
      <c r="E48" s="277">
        <v>3643</v>
      </c>
    </row>
    <row r="49" spans="1:5" ht="32.1" customHeight="1">
      <c r="A49" s="276" t="s">
        <v>562</v>
      </c>
      <c r="B49" s="277">
        <v>153792</v>
      </c>
      <c r="C49" s="277">
        <v>754</v>
      </c>
      <c r="D49" s="277">
        <v>114009</v>
      </c>
      <c r="E49" s="277">
        <v>3060</v>
      </c>
    </row>
    <row r="50" spans="1:5" ht="32.1" customHeight="1">
      <c r="A50" s="276" t="s">
        <v>610</v>
      </c>
      <c r="B50" s="277">
        <v>1079311</v>
      </c>
      <c r="C50" s="277">
        <v>2863</v>
      </c>
      <c r="D50" s="277">
        <v>833544</v>
      </c>
      <c r="E50" s="277">
        <v>21243</v>
      </c>
    </row>
    <row r="51" spans="1:5" ht="32.1" customHeight="1">
      <c r="A51" s="276" t="s">
        <v>564</v>
      </c>
      <c r="B51" s="277">
        <v>439518</v>
      </c>
      <c r="C51" s="277">
        <v>1395</v>
      </c>
      <c r="D51" s="277">
        <v>390613</v>
      </c>
      <c r="E51" s="277">
        <v>23678</v>
      </c>
    </row>
    <row r="52" spans="1:5" ht="32.1" customHeight="1">
      <c r="A52" s="276" t="s">
        <v>655</v>
      </c>
      <c r="B52" s="277">
        <v>253236</v>
      </c>
      <c r="C52" s="277">
        <v>934</v>
      </c>
      <c r="D52" s="277">
        <v>87683</v>
      </c>
      <c r="E52" s="277">
        <v>2434</v>
      </c>
    </row>
    <row r="53" spans="1:5" ht="32.1" customHeight="1">
      <c r="A53" s="276" t="s">
        <v>612</v>
      </c>
      <c r="B53" s="277">
        <v>300948</v>
      </c>
      <c r="C53" s="277">
        <v>730</v>
      </c>
      <c r="D53" s="277">
        <v>227736</v>
      </c>
      <c r="E53" s="277">
        <v>11851</v>
      </c>
    </row>
    <row r="54" spans="1:5" ht="32.1" customHeight="1">
      <c r="A54" s="276" t="s">
        <v>638</v>
      </c>
      <c r="B54" s="277">
        <v>154312</v>
      </c>
      <c r="C54" s="277">
        <v>720</v>
      </c>
      <c r="D54" s="277">
        <v>135528</v>
      </c>
      <c r="E54" s="277">
        <v>8138</v>
      </c>
    </row>
    <row r="55" spans="1:5" ht="32.1" customHeight="1">
      <c r="A55" s="276" t="s">
        <v>567</v>
      </c>
      <c r="B55" s="277">
        <v>415032</v>
      </c>
      <c r="C55" s="277">
        <v>3217</v>
      </c>
      <c r="D55" s="277">
        <v>294241</v>
      </c>
      <c r="E55" s="277">
        <v>3814</v>
      </c>
    </row>
    <row r="56" spans="1:5" ht="32.1" customHeight="1">
      <c r="A56" s="276" t="s">
        <v>670</v>
      </c>
      <c r="B56" s="277">
        <v>67918</v>
      </c>
      <c r="C56" s="277">
        <v>358</v>
      </c>
      <c r="D56" s="277">
        <v>61970</v>
      </c>
      <c r="E56" s="277">
        <v>648</v>
      </c>
    </row>
    <row r="57" spans="1:5" ht="32.1" customHeight="1">
      <c r="A57" s="276" t="s">
        <v>568</v>
      </c>
      <c r="B57" s="277">
        <v>181546</v>
      </c>
      <c r="C57" s="277">
        <v>728</v>
      </c>
      <c r="D57" s="277">
        <v>151232</v>
      </c>
      <c r="E57" s="277">
        <v>6197</v>
      </c>
    </row>
    <row r="58" spans="1:5" ht="32.1" customHeight="1">
      <c r="A58" s="276" t="s">
        <v>639</v>
      </c>
      <c r="B58" s="277">
        <v>33283</v>
      </c>
      <c r="C58" s="277">
        <v>199</v>
      </c>
      <c r="D58" s="277">
        <v>21847</v>
      </c>
      <c r="E58" s="277">
        <v>253</v>
      </c>
    </row>
    <row r="59" spans="1:5" ht="32.1" customHeight="1">
      <c r="A59" s="276" t="s">
        <v>570</v>
      </c>
      <c r="B59" s="277">
        <v>261739</v>
      </c>
      <c r="C59" s="277">
        <v>1008</v>
      </c>
      <c r="D59" s="277">
        <v>207146</v>
      </c>
      <c r="E59" s="277">
        <v>13340</v>
      </c>
    </row>
    <row r="60" spans="1:5" ht="32.1" customHeight="1">
      <c r="A60" s="276" t="s">
        <v>571</v>
      </c>
      <c r="B60" s="277">
        <v>52992</v>
      </c>
      <c r="C60" s="277">
        <v>288</v>
      </c>
      <c r="D60" s="277">
        <v>47497</v>
      </c>
      <c r="E60" s="277">
        <v>811</v>
      </c>
    </row>
    <row r="61" spans="1:5" ht="32.1" customHeight="1">
      <c r="A61" s="276" t="s">
        <v>718</v>
      </c>
      <c r="B61" s="277">
        <v>9238</v>
      </c>
      <c r="C61" s="277">
        <v>62</v>
      </c>
      <c r="D61" s="277">
        <v>5894</v>
      </c>
      <c r="E61" s="277">
        <v>77</v>
      </c>
    </row>
    <row r="62" spans="1:5" ht="32.1" customHeight="1">
      <c r="A62" s="276" t="s">
        <v>614</v>
      </c>
      <c r="B62" s="277">
        <v>105728</v>
      </c>
      <c r="C62" s="277">
        <v>414</v>
      </c>
      <c r="D62" s="277">
        <v>64727</v>
      </c>
      <c r="E62" s="277">
        <v>3926</v>
      </c>
    </row>
    <row r="63" spans="1:5" ht="32.1" customHeight="1">
      <c r="A63" s="276" t="s">
        <v>575</v>
      </c>
      <c r="B63" s="277">
        <v>821986</v>
      </c>
      <c r="C63" s="277">
        <v>3627</v>
      </c>
      <c r="D63" s="277">
        <v>676588</v>
      </c>
      <c r="E63" s="277">
        <v>15995</v>
      </c>
    </row>
    <row r="64" spans="1:5" ht="32.1" customHeight="1">
      <c r="A64" s="276" t="s">
        <v>577</v>
      </c>
      <c r="B64" s="277">
        <v>520927</v>
      </c>
      <c r="C64" s="277">
        <v>2182</v>
      </c>
      <c r="D64" s="277">
        <v>414726</v>
      </c>
      <c r="E64" s="277">
        <v>8972</v>
      </c>
    </row>
    <row r="65" spans="1:5" ht="32.1" customHeight="1">
      <c r="A65" s="276" t="s">
        <v>719</v>
      </c>
      <c r="B65" s="277">
        <v>6700</v>
      </c>
      <c r="C65" s="277">
        <v>20</v>
      </c>
      <c r="D65" s="277">
        <v>5851</v>
      </c>
      <c r="E65" s="277">
        <v>77</v>
      </c>
    </row>
    <row r="66" spans="1:5" ht="32.1" customHeight="1">
      <c r="A66" s="276" t="s">
        <v>688</v>
      </c>
      <c r="B66" s="277">
        <v>35176</v>
      </c>
      <c r="C66" s="277">
        <v>195</v>
      </c>
      <c r="D66" s="277">
        <v>32015</v>
      </c>
      <c r="E66" s="277">
        <v>337</v>
      </c>
    </row>
    <row r="67" spans="1:5" ht="32.1" customHeight="1">
      <c r="A67" s="276" t="s">
        <v>579</v>
      </c>
      <c r="B67" s="277">
        <v>1537421</v>
      </c>
      <c r="C67" s="277">
        <v>8065</v>
      </c>
      <c r="D67" s="277">
        <v>1250721</v>
      </c>
      <c r="E67" s="277">
        <v>30204</v>
      </c>
    </row>
    <row r="68" spans="1:5" ht="32.1" customHeight="1">
      <c r="A68" s="276" t="s">
        <v>659</v>
      </c>
      <c r="B68" s="277">
        <v>234382</v>
      </c>
      <c r="C68" s="277">
        <v>1484</v>
      </c>
      <c r="D68" s="277">
        <v>215916</v>
      </c>
      <c r="E68" s="277">
        <v>3271</v>
      </c>
    </row>
    <row r="69" spans="1:5" ht="32.1" customHeight="1">
      <c r="A69" s="276" t="s">
        <v>580</v>
      </c>
      <c r="B69" s="277">
        <v>2663952</v>
      </c>
      <c r="C69" s="277">
        <v>14981</v>
      </c>
      <c r="D69" s="277">
        <v>2142980</v>
      </c>
      <c r="E69" s="277">
        <v>43514</v>
      </c>
    </row>
    <row r="70" spans="1:5" ht="32.1" customHeight="1">
      <c r="A70" s="276" t="s">
        <v>581</v>
      </c>
      <c r="B70" s="277">
        <v>3005784</v>
      </c>
      <c r="C70" s="277">
        <v>15621</v>
      </c>
      <c r="D70" s="277">
        <v>2380343</v>
      </c>
      <c r="E70" s="277">
        <v>47724</v>
      </c>
    </row>
    <row r="71" spans="1:5" ht="32.1" customHeight="1">
      <c r="A71" s="276" t="s">
        <v>720</v>
      </c>
      <c r="B71" s="277">
        <v>27056</v>
      </c>
      <c r="C71" s="277">
        <v>160</v>
      </c>
      <c r="D71" s="277">
        <v>22522</v>
      </c>
      <c r="E71" s="277">
        <v>230</v>
      </c>
    </row>
    <row r="72" spans="1:5" ht="32.1" customHeight="1">
      <c r="A72" s="276" t="s">
        <v>582</v>
      </c>
      <c r="B72" s="277">
        <v>212096</v>
      </c>
      <c r="C72" s="277">
        <v>1266</v>
      </c>
      <c r="D72" s="277">
        <v>159688</v>
      </c>
      <c r="E72" s="277">
        <v>3588</v>
      </c>
    </row>
    <row r="73" spans="1:5" ht="32.1" customHeight="1">
      <c r="A73" s="276" t="s">
        <v>584</v>
      </c>
      <c r="B73" s="277">
        <v>125546</v>
      </c>
      <c r="C73" s="277">
        <v>730</v>
      </c>
      <c r="D73" s="277">
        <v>95589</v>
      </c>
      <c r="E73" s="277">
        <v>1746</v>
      </c>
    </row>
    <row r="74" spans="1:5" ht="32.1" customHeight="1">
      <c r="A74" s="276" t="s">
        <v>586</v>
      </c>
      <c r="B74" s="277">
        <v>986211</v>
      </c>
      <c r="C74" s="277">
        <v>4174</v>
      </c>
      <c r="D74" s="277">
        <v>838334</v>
      </c>
      <c r="E74" s="277">
        <v>24318</v>
      </c>
    </row>
    <row r="75" spans="1:5" ht="32.1" customHeight="1">
      <c r="A75" s="276" t="s">
        <v>721</v>
      </c>
      <c r="B75" s="277">
        <v>19944</v>
      </c>
      <c r="C75" s="277">
        <v>110</v>
      </c>
      <c r="D75" s="277">
        <v>14040</v>
      </c>
      <c r="E75" s="277">
        <v>133</v>
      </c>
    </row>
    <row r="76" spans="1:5" ht="32.1" customHeight="1">
      <c r="A76" s="276" t="s">
        <v>640</v>
      </c>
      <c r="B76" s="277">
        <v>187042</v>
      </c>
      <c r="C76" s="277">
        <v>1054</v>
      </c>
      <c r="D76" s="277">
        <v>167696</v>
      </c>
      <c r="E76" s="277">
        <v>2002</v>
      </c>
    </row>
    <row r="77" spans="1:5" ht="32.1" customHeight="1">
      <c r="A77" s="276" t="s">
        <v>661</v>
      </c>
      <c r="B77" s="277">
        <v>105294</v>
      </c>
      <c r="C77" s="277">
        <v>381</v>
      </c>
      <c r="D77" s="277">
        <v>85188</v>
      </c>
      <c r="E77" s="277">
        <v>4585</v>
      </c>
    </row>
    <row r="78" spans="1:5" ht="32.1" customHeight="1">
      <c r="A78" s="276" t="s">
        <v>662</v>
      </c>
      <c r="B78" s="277">
        <v>1056996</v>
      </c>
      <c r="C78" s="277">
        <v>5780</v>
      </c>
      <c r="D78" s="277">
        <v>909787</v>
      </c>
      <c r="E78" s="277">
        <v>9678</v>
      </c>
    </row>
    <row r="79" spans="1:5" ht="32.1" customHeight="1">
      <c r="A79" s="276" t="s">
        <v>710</v>
      </c>
      <c r="B79" s="277">
        <v>117816</v>
      </c>
      <c r="C79" s="277">
        <v>744</v>
      </c>
      <c r="D79" s="277">
        <v>92864</v>
      </c>
      <c r="E79" s="277">
        <v>1639</v>
      </c>
    </row>
    <row r="80" spans="1:5" ht="32.1" customHeight="1">
      <c r="A80" s="276" t="s">
        <v>588</v>
      </c>
      <c r="B80" s="277">
        <v>279774</v>
      </c>
      <c r="C80" s="277">
        <v>730</v>
      </c>
      <c r="D80" s="277">
        <v>230849</v>
      </c>
      <c r="E80" s="277">
        <v>14895</v>
      </c>
    </row>
    <row r="81" spans="1:5" ht="32.1" customHeight="1">
      <c r="A81" s="276" t="s">
        <v>590</v>
      </c>
      <c r="B81" s="277">
        <v>1241746</v>
      </c>
      <c r="C81" s="277">
        <v>4061</v>
      </c>
      <c r="D81" s="277">
        <v>1009940</v>
      </c>
      <c r="E81" s="277">
        <v>44765</v>
      </c>
    </row>
    <row r="82" spans="1:5" ht="32.1" customHeight="1">
      <c r="A82" s="276" t="s">
        <v>591</v>
      </c>
      <c r="B82" s="277">
        <v>181170</v>
      </c>
      <c r="C82" s="277">
        <v>1053</v>
      </c>
      <c r="D82" s="277">
        <v>139899</v>
      </c>
      <c r="E82" s="277">
        <v>2233</v>
      </c>
    </row>
    <row r="83" spans="1:5" ht="32.1" customHeight="1">
      <c r="A83" s="276" t="s">
        <v>690</v>
      </c>
      <c r="B83" s="277">
        <v>206280</v>
      </c>
      <c r="C83" s="277">
        <v>1146</v>
      </c>
      <c r="D83" s="277">
        <v>175961</v>
      </c>
      <c r="E83" s="277">
        <v>1734</v>
      </c>
    </row>
    <row r="84" spans="1:5" ht="32.1" customHeight="1">
      <c r="A84" s="276" t="s">
        <v>671</v>
      </c>
      <c r="B84" s="277">
        <v>792196</v>
      </c>
      <c r="C84" s="277">
        <v>2108</v>
      </c>
      <c r="D84" s="277">
        <v>643534</v>
      </c>
      <c r="E84" s="277">
        <v>14548</v>
      </c>
    </row>
    <row r="85" spans="1:5" ht="32.1" customHeight="1">
      <c r="A85" s="276" t="s">
        <v>592</v>
      </c>
      <c r="B85" s="277">
        <v>1384884</v>
      </c>
      <c r="C85" s="277">
        <v>4106</v>
      </c>
      <c r="D85" s="277">
        <v>1090558</v>
      </c>
      <c r="E85" s="277">
        <v>49118</v>
      </c>
    </row>
    <row r="86" spans="1:5" ht="32.1" customHeight="1">
      <c r="A86" s="276" t="s">
        <v>593</v>
      </c>
      <c r="B86" s="277">
        <v>372562</v>
      </c>
      <c r="C86" s="277">
        <v>1138</v>
      </c>
      <c r="D86" s="277">
        <v>332162</v>
      </c>
      <c r="E86" s="277">
        <v>19230</v>
      </c>
    </row>
    <row r="87" spans="1:5" ht="32.1" customHeight="1">
      <c r="A87" s="276" t="s">
        <v>704</v>
      </c>
      <c r="B87" s="277">
        <v>12528</v>
      </c>
      <c r="C87" s="277">
        <v>81</v>
      </c>
      <c r="D87" s="277">
        <v>9323</v>
      </c>
      <c r="E87" s="277">
        <v>103</v>
      </c>
    </row>
    <row r="88" spans="1:5" ht="32.1" customHeight="1">
      <c r="A88" s="276" t="s">
        <v>691</v>
      </c>
      <c r="B88" s="277">
        <v>422100</v>
      </c>
      <c r="C88" s="277">
        <v>2347</v>
      </c>
      <c r="D88" s="277">
        <v>347079</v>
      </c>
      <c r="E88" s="277">
        <v>3552</v>
      </c>
    </row>
    <row r="89" spans="1:5" ht="32.1" customHeight="1">
      <c r="A89" s="276" t="s">
        <v>692</v>
      </c>
      <c r="B89" s="277">
        <v>170016</v>
      </c>
      <c r="C89" s="277">
        <v>610</v>
      </c>
      <c r="D89" s="277">
        <v>146066</v>
      </c>
      <c r="E89" s="277">
        <v>7409</v>
      </c>
    </row>
    <row r="90" spans="1:5" ht="32.1" customHeight="1">
      <c r="A90" s="276" t="s">
        <v>598</v>
      </c>
      <c r="B90" s="277">
        <v>320368</v>
      </c>
      <c r="C90" s="277">
        <v>878</v>
      </c>
      <c r="D90" s="277">
        <v>283010</v>
      </c>
      <c r="E90" s="277">
        <v>18047</v>
      </c>
    </row>
    <row r="91" spans="1:5" ht="32.1" customHeight="1">
      <c r="A91" s="276" t="s">
        <v>642</v>
      </c>
      <c r="B91" s="277">
        <v>963900</v>
      </c>
      <c r="C91" s="277">
        <v>5355</v>
      </c>
      <c r="D91" s="277">
        <v>729457</v>
      </c>
      <c r="E91" s="277">
        <v>4654</v>
      </c>
    </row>
    <row r="92" spans="1:5" ht="32.1" customHeight="1">
      <c r="A92" s="276" t="s">
        <v>599</v>
      </c>
      <c r="B92" s="277">
        <v>247274</v>
      </c>
      <c r="C92" s="277">
        <v>724</v>
      </c>
      <c r="D92" s="277">
        <v>214986</v>
      </c>
      <c r="E92" s="277">
        <v>14850</v>
      </c>
    </row>
    <row r="93" spans="1:5" ht="32.1" customHeight="1">
      <c r="A93" s="276" t="s">
        <v>705</v>
      </c>
      <c r="B93" s="277">
        <v>815492</v>
      </c>
      <c r="C93" s="277">
        <v>4523</v>
      </c>
      <c r="D93" s="277">
        <v>651590</v>
      </c>
      <c r="E93" s="277">
        <v>6774</v>
      </c>
    </row>
    <row r="94" spans="1:5" ht="32.1" customHeight="1">
      <c r="A94" s="276" t="s">
        <v>601</v>
      </c>
      <c r="B94" s="277">
        <v>967693</v>
      </c>
      <c r="C94" s="277">
        <v>4209</v>
      </c>
      <c r="D94" s="277">
        <v>800049</v>
      </c>
      <c r="E94" s="277">
        <v>17033</v>
      </c>
    </row>
    <row r="95" spans="1:5" ht="32.1" customHeight="1">
      <c r="A95" s="276" t="s">
        <v>628</v>
      </c>
      <c r="B95" s="277">
        <v>158344</v>
      </c>
      <c r="C95" s="277">
        <v>540</v>
      </c>
      <c r="D95" s="277">
        <v>132678</v>
      </c>
      <c r="E95" s="277">
        <v>6623</v>
      </c>
    </row>
    <row r="96" spans="1:5" ht="32.1" customHeight="1">
      <c r="A96" s="276" t="s">
        <v>616</v>
      </c>
      <c r="B96" s="277">
        <v>728</v>
      </c>
      <c r="C96" s="277">
        <v>2</v>
      </c>
      <c r="D96" s="277">
        <v>468</v>
      </c>
      <c r="E96" s="277">
        <v>8</v>
      </c>
    </row>
    <row r="97" spans="1:5" ht="32.1" customHeight="1">
      <c r="A97" s="276" t="s">
        <v>603</v>
      </c>
      <c r="B97" s="277">
        <v>550192</v>
      </c>
      <c r="C97" s="277">
        <v>2557</v>
      </c>
      <c r="D97" s="277">
        <v>495972</v>
      </c>
      <c r="E97" s="277">
        <v>6640</v>
      </c>
    </row>
    <row r="98" spans="1:5" ht="32.1" customHeight="1">
      <c r="A98" s="276" t="s">
        <v>672</v>
      </c>
      <c r="B98" s="277">
        <v>302678</v>
      </c>
      <c r="C98" s="277">
        <v>1410</v>
      </c>
      <c r="D98" s="277">
        <v>238516</v>
      </c>
      <c r="E98" s="277">
        <v>6687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7988-6FEE-48FA-B262-F26BD2C95A99}">
  <dimension ref="A1:E40"/>
  <sheetViews>
    <sheetView workbookViewId="0">
      <selection activeCell="B26" sqref="B26"/>
    </sheetView>
  </sheetViews>
  <sheetFormatPr defaultColWidth="9" defaultRowHeight="16.5"/>
  <cols>
    <col min="1" max="1" width="48.5" style="8" customWidth="1"/>
    <col min="2" max="5" width="28.5" style="8" customWidth="1"/>
    <col min="6" max="16384" width="9" style="8"/>
  </cols>
  <sheetData>
    <row r="1" spans="1:5" ht="33.950000000000003" customHeight="1">
      <c r="A1" s="348" t="s">
        <v>763</v>
      </c>
      <c r="B1" s="349"/>
      <c r="C1" s="349"/>
      <c r="D1" s="349"/>
      <c r="E1" s="349"/>
    </row>
    <row r="2" spans="1:5" ht="36.950000000000003" customHeight="1">
      <c r="A2" s="275" t="s">
        <v>505</v>
      </c>
      <c r="B2" s="275" t="s">
        <v>506</v>
      </c>
      <c r="C2" s="275" t="s">
        <v>507</v>
      </c>
      <c r="D2" s="275" t="s">
        <v>508</v>
      </c>
      <c r="E2" s="275" t="s">
        <v>509</v>
      </c>
    </row>
    <row r="3" spans="1:5" ht="32.1" customHeight="1">
      <c r="A3" s="276" t="s">
        <v>510</v>
      </c>
      <c r="B3" s="277">
        <v>0</v>
      </c>
      <c r="C3" s="277">
        <v>35347</v>
      </c>
      <c r="D3" s="277">
        <v>0</v>
      </c>
      <c r="E3" s="277">
        <v>1688288</v>
      </c>
    </row>
    <row r="4" spans="1:5" ht="32.1" customHeight="1">
      <c r="A4" s="276" t="s">
        <v>511</v>
      </c>
      <c r="B4" s="277">
        <v>0</v>
      </c>
      <c r="C4" s="277">
        <v>18284</v>
      </c>
      <c r="D4" s="277">
        <v>0</v>
      </c>
      <c r="E4" s="277">
        <v>1162073</v>
      </c>
    </row>
    <row r="5" spans="1:5">
      <c r="A5" s="276" t="s">
        <v>512</v>
      </c>
      <c r="B5" s="277">
        <v>0</v>
      </c>
      <c r="C5" s="277">
        <v>10537</v>
      </c>
      <c r="D5" s="277">
        <v>0</v>
      </c>
      <c r="E5" s="277">
        <v>705208</v>
      </c>
    </row>
    <row r="6" spans="1:5">
      <c r="A6" s="276" t="s">
        <v>513</v>
      </c>
      <c r="B6" s="277">
        <v>0</v>
      </c>
      <c r="C6" s="277">
        <v>6479</v>
      </c>
      <c r="D6" s="277">
        <v>0</v>
      </c>
      <c r="E6" s="277">
        <v>439104</v>
      </c>
    </row>
    <row r="7" spans="1:5">
      <c r="A7" s="276" t="s">
        <v>645</v>
      </c>
      <c r="B7" s="277">
        <v>0</v>
      </c>
      <c r="C7" s="277">
        <v>1268</v>
      </c>
      <c r="D7" s="277">
        <v>0</v>
      </c>
      <c r="E7" s="277">
        <v>17761</v>
      </c>
    </row>
    <row r="8" spans="1:5" ht="32.1" customHeight="1">
      <c r="A8" s="276" t="s">
        <v>518</v>
      </c>
      <c r="B8" s="277">
        <v>0</v>
      </c>
      <c r="C8" s="277">
        <v>17063</v>
      </c>
      <c r="D8" s="277">
        <v>0</v>
      </c>
      <c r="E8" s="277">
        <v>526215</v>
      </c>
    </row>
    <row r="9" spans="1:5">
      <c r="A9" s="276" t="s">
        <v>713</v>
      </c>
      <c r="B9" s="277">
        <v>0</v>
      </c>
      <c r="C9" s="277">
        <v>158</v>
      </c>
      <c r="D9" s="277">
        <v>0</v>
      </c>
      <c r="E9" s="277">
        <v>595</v>
      </c>
    </row>
    <row r="10" spans="1:5">
      <c r="A10" s="276" t="s">
        <v>715</v>
      </c>
      <c r="B10" s="277">
        <v>0</v>
      </c>
      <c r="C10" s="277">
        <v>10</v>
      </c>
      <c r="D10" s="277">
        <v>0</v>
      </c>
      <c r="E10" s="277">
        <v>453</v>
      </c>
    </row>
    <row r="11" spans="1:5">
      <c r="A11" s="276" t="s">
        <v>530</v>
      </c>
      <c r="B11" s="277">
        <v>0</v>
      </c>
      <c r="C11" s="277">
        <v>836</v>
      </c>
      <c r="D11" s="277">
        <v>0</v>
      </c>
      <c r="E11" s="277">
        <v>17132</v>
      </c>
    </row>
    <row r="12" spans="1:5">
      <c r="A12" s="276" t="s">
        <v>534</v>
      </c>
      <c r="B12" s="277">
        <v>0</v>
      </c>
      <c r="C12" s="277">
        <v>332</v>
      </c>
      <c r="D12" s="277">
        <v>0</v>
      </c>
      <c r="E12" s="277">
        <v>12895</v>
      </c>
    </row>
    <row r="13" spans="1:5">
      <c r="A13" s="276" t="s">
        <v>536</v>
      </c>
      <c r="B13" s="277">
        <v>0</v>
      </c>
      <c r="C13" s="277">
        <v>9</v>
      </c>
      <c r="D13" s="277">
        <v>0</v>
      </c>
      <c r="E13" s="277">
        <v>327</v>
      </c>
    </row>
    <row r="14" spans="1:5">
      <c r="A14" s="276" t="s">
        <v>540</v>
      </c>
      <c r="B14" s="277">
        <v>0</v>
      </c>
      <c r="C14" s="277">
        <v>2</v>
      </c>
      <c r="D14" s="277">
        <v>0</v>
      </c>
      <c r="E14" s="277">
        <v>73</v>
      </c>
    </row>
    <row r="15" spans="1:5">
      <c r="A15" s="276" t="s">
        <v>667</v>
      </c>
      <c r="B15" s="277">
        <v>0</v>
      </c>
      <c r="C15" s="277">
        <v>304</v>
      </c>
      <c r="D15" s="277">
        <v>0</v>
      </c>
      <c r="E15" s="277">
        <v>17290</v>
      </c>
    </row>
    <row r="16" spans="1:5">
      <c r="A16" s="276" t="s">
        <v>687</v>
      </c>
      <c r="B16" s="277">
        <v>0</v>
      </c>
      <c r="C16" s="277">
        <v>4</v>
      </c>
      <c r="D16" s="277">
        <v>0</v>
      </c>
      <c r="E16" s="277">
        <v>4</v>
      </c>
    </row>
    <row r="17" spans="1:5">
      <c r="A17" s="276" t="s">
        <v>701</v>
      </c>
      <c r="B17" s="277">
        <v>0</v>
      </c>
      <c r="C17" s="277">
        <v>1</v>
      </c>
      <c r="D17" s="277">
        <v>0</v>
      </c>
      <c r="E17" s="277">
        <v>8</v>
      </c>
    </row>
    <row r="18" spans="1:5">
      <c r="A18" s="276" t="s">
        <v>551</v>
      </c>
      <c r="B18" s="277">
        <v>0</v>
      </c>
      <c r="C18" s="277">
        <v>1348</v>
      </c>
      <c r="D18" s="277">
        <v>0</v>
      </c>
      <c r="E18" s="277">
        <v>71912</v>
      </c>
    </row>
    <row r="19" spans="1:5">
      <c r="A19" s="276" t="s">
        <v>552</v>
      </c>
      <c r="B19" s="277">
        <v>0</v>
      </c>
      <c r="C19" s="277">
        <v>3</v>
      </c>
      <c r="D19" s="277">
        <v>0</v>
      </c>
      <c r="E19" s="277">
        <v>188</v>
      </c>
    </row>
    <row r="20" spans="1:5">
      <c r="A20" s="276" t="s">
        <v>556</v>
      </c>
      <c r="B20" s="277">
        <v>0</v>
      </c>
      <c r="C20" s="277">
        <v>4</v>
      </c>
      <c r="D20" s="277">
        <v>0</v>
      </c>
      <c r="E20" s="277">
        <v>292</v>
      </c>
    </row>
    <row r="21" spans="1:5">
      <c r="A21" s="276" t="s">
        <v>609</v>
      </c>
      <c r="B21" s="277">
        <v>0</v>
      </c>
      <c r="C21" s="277">
        <v>207</v>
      </c>
      <c r="D21" s="277">
        <v>0</v>
      </c>
      <c r="E21" s="277">
        <v>7451</v>
      </c>
    </row>
    <row r="22" spans="1:5">
      <c r="A22" s="276" t="s">
        <v>560</v>
      </c>
      <c r="B22" s="277">
        <v>0</v>
      </c>
      <c r="C22" s="277">
        <v>756</v>
      </c>
      <c r="D22" s="277">
        <v>0</v>
      </c>
      <c r="E22" s="277">
        <v>28051</v>
      </c>
    </row>
    <row r="23" spans="1:5">
      <c r="A23" s="276" t="s">
        <v>611</v>
      </c>
      <c r="B23" s="277">
        <v>0</v>
      </c>
      <c r="C23" s="277">
        <v>648</v>
      </c>
      <c r="D23" s="277">
        <v>0</v>
      </c>
      <c r="E23" s="277">
        <v>21536</v>
      </c>
    </row>
    <row r="24" spans="1:5">
      <c r="A24" s="276" t="s">
        <v>565</v>
      </c>
      <c r="B24" s="277">
        <v>0</v>
      </c>
      <c r="C24" s="277">
        <v>618</v>
      </c>
      <c r="D24" s="277">
        <v>0</v>
      </c>
      <c r="E24" s="277">
        <v>20099</v>
      </c>
    </row>
    <row r="25" spans="1:5">
      <c r="A25" s="276" t="s">
        <v>655</v>
      </c>
      <c r="B25" s="277">
        <v>0</v>
      </c>
      <c r="C25" s="277">
        <v>144</v>
      </c>
      <c r="D25" s="277">
        <v>0</v>
      </c>
      <c r="E25" s="277">
        <v>4669</v>
      </c>
    </row>
    <row r="26" spans="1:5">
      <c r="A26" s="276" t="s">
        <v>612</v>
      </c>
      <c r="B26" s="277">
        <v>0</v>
      </c>
      <c r="C26" s="277">
        <v>2</v>
      </c>
      <c r="D26" s="277">
        <v>0</v>
      </c>
      <c r="E26" s="277">
        <v>49</v>
      </c>
    </row>
    <row r="27" spans="1:5">
      <c r="A27" s="276" t="s">
        <v>568</v>
      </c>
      <c r="B27" s="277">
        <v>0</v>
      </c>
      <c r="C27" s="277">
        <v>54</v>
      </c>
      <c r="D27" s="277">
        <v>0</v>
      </c>
      <c r="E27" s="277">
        <v>1574</v>
      </c>
    </row>
    <row r="28" spans="1:5">
      <c r="A28" s="276" t="s">
        <v>680</v>
      </c>
      <c r="B28" s="277">
        <v>0</v>
      </c>
      <c r="C28" s="277">
        <v>28</v>
      </c>
      <c r="D28" s="277">
        <v>0</v>
      </c>
      <c r="E28" s="277">
        <v>1546</v>
      </c>
    </row>
    <row r="29" spans="1:5">
      <c r="A29" s="276" t="s">
        <v>572</v>
      </c>
      <c r="B29" s="277">
        <v>0</v>
      </c>
      <c r="C29" s="277">
        <v>3029</v>
      </c>
      <c r="D29" s="277">
        <v>0</v>
      </c>
      <c r="E29" s="277">
        <v>38203</v>
      </c>
    </row>
    <row r="30" spans="1:5">
      <c r="A30" s="276" t="s">
        <v>660</v>
      </c>
      <c r="B30" s="277">
        <v>0</v>
      </c>
      <c r="C30" s="277">
        <v>16</v>
      </c>
      <c r="D30" s="277">
        <v>0</v>
      </c>
      <c r="E30" s="277">
        <v>248</v>
      </c>
    </row>
    <row r="31" spans="1:5">
      <c r="A31" s="276" t="s">
        <v>583</v>
      </c>
      <c r="B31" s="277">
        <v>0</v>
      </c>
      <c r="C31" s="277">
        <v>186</v>
      </c>
      <c r="D31" s="277">
        <v>0</v>
      </c>
      <c r="E31" s="277">
        <v>1388</v>
      </c>
    </row>
    <row r="32" spans="1:5">
      <c r="A32" s="276" t="s">
        <v>585</v>
      </c>
      <c r="B32" s="277">
        <v>0</v>
      </c>
      <c r="C32" s="277">
        <v>544</v>
      </c>
      <c r="D32" s="277">
        <v>0</v>
      </c>
      <c r="E32" s="277">
        <v>30222</v>
      </c>
    </row>
    <row r="33" spans="1:5">
      <c r="A33" s="276" t="s">
        <v>722</v>
      </c>
      <c r="B33" s="277">
        <v>0</v>
      </c>
      <c r="C33" s="277">
        <v>90</v>
      </c>
      <c r="D33" s="277">
        <v>0</v>
      </c>
      <c r="E33" s="277">
        <v>2684</v>
      </c>
    </row>
    <row r="34" spans="1:5">
      <c r="A34" s="276" t="s">
        <v>587</v>
      </c>
      <c r="B34" s="277">
        <v>0</v>
      </c>
      <c r="C34" s="277">
        <v>300</v>
      </c>
      <c r="D34" s="277">
        <v>0</v>
      </c>
      <c r="E34" s="277">
        <v>13945</v>
      </c>
    </row>
    <row r="35" spans="1:5">
      <c r="A35" s="276" t="s">
        <v>588</v>
      </c>
      <c r="B35" s="277">
        <v>0</v>
      </c>
      <c r="C35" s="277">
        <v>494</v>
      </c>
      <c r="D35" s="277">
        <v>0</v>
      </c>
      <c r="E35" s="277">
        <v>44723</v>
      </c>
    </row>
    <row r="36" spans="1:5">
      <c r="A36" s="276" t="s">
        <v>589</v>
      </c>
      <c r="B36" s="277">
        <v>0</v>
      </c>
      <c r="C36" s="277">
        <v>137</v>
      </c>
      <c r="D36" s="277">
        <v>0</v>
      </c>
      <c r="E36" s="277">
        <v>3534</v>
      </c>
    </row>
    <row r="37" spans="1:5">
      <c r="A37" s="276" t="s">
        <v>590</v>
      </c>
      <c r="B37" s="277">
        <v>0</v>
      </c>
      <c r="C37" s="277">
        <v>288</v>
      </c>
      <c r="D37" s="277">
        <v>0</v>
      </c>
      <c r="E37" s="277">
        <v>5660</v>
      </c>
    </row>
    <row r="38" spans="1:5">
      <c r="A38" s="276" t="s">
        <v>593</v>
      </c>
      <c r="B38" s="277">
        <v>0</v>
      </c>
      <c r="C38" s="277">
        <v>198</v>
      </c>
      <c r="D38" s="277">
        <v>0</v>
      </c>
      <c r="E38" s="277">
        <v>11883</v>
      </c>
    </row>
    <row r="39" spans="1:5">
      <c r="A39" s="276" t="s">
        <v>595</v>
      </c>
      <c r="B39" s="277">
        <v>0</v>
      </c>
      <c r="C39" s="277">
        <v>2612</v>
      </c>
      <c r="D39" s="277">
        <v>0</v>
      </c>
      <c r="E39" s="277">
        <v>54374</v>
      </c>
    </row>
    <row r="40" spans="1:5">
      <c r="A40" s="276" t="s">
        <v>596</v>
      </c>
      <c r="B40" s="277">
        <v>0</v>
      </c>
      <c r="C40" s="277">
        <v>3701</v>
      </c>
      <c r="D40" s="277">
        <v>0</v>
      </c>
      <c r="E40" s="277">
        <v>113206</v>
      </c>
    </row>
  </sheetData>
  <mergeCells count="1">
    <mergeCell ref="A1:E1"/>
  </mergeCells>
  <phoneticPr fontId="4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B616B-4866-4A8F-8AE3-27820F2610C8}">
  <dimension ref="A1:Q51"/>
  <sheetViews>
    <sheetView workbookViewId="0">
      <selection activeCell="L7" sqref="L7"/>
    </sheetView>
  </sheetViews>
  <sheetFormatPr defaultColWidth="9" defaultRowHeight="16.5"/>
  <cols>
    <col min="1" max="1" width="9" style="8"/>
    <col min="2" max="2" width="13.125" style="8" bestFit="1" customWidth="1"/>
    <col min="3" max="3" width="15.875" style="8" bestFit="1" customWidth="1"/>
    <col min="4" max="4" width="9.875" style="8" bestFit="1" customWidth="1"/>
    <col min="5" max="5" width="14.75" style="8" bestFit="1" customWidth="1"/>
    <col min="6" max="6" width="9.125" style="8" bestFit="1" customWidth="1"/>
    <col min="7" max="7" width="13.5" style="8" bestFit="1" customWidth="1"/>
    <col min="8" max="8" width="9" style="8"/>
    <col min="9" max="9" width="11" style="8" customWidth="1"/>
    <col min="10" max="10" width="12.25" style="8" bestFit="1" customWidth="1"/>
    <col min="11" max="11" width="15.875" style="8" bestFit="1" customWidth="1"/>
    <col min="12" max="12" width="9.125" style="8" bestFit="1" customWidth="1"/>
    <col min="13" max="13" width="15.875" style="8" bestFit="1" customWidth="1"/>
    <col min="14" max="14" width="17.75" style="8" bestFit="1" customWidth="1"/>
    <col min="15" max="15" width="12.75" style="8" bestFit="1" customWidth="1"/>
    <col min="16" max="16" width="9" style="8"/>
    <col min="17" max="17" width="9.875" style="8" bestFit="1" customWidth="1"/>
    <col min="18" max="16384" width="9" style="8"/>
  </cols>
  <sheetData>
    <row r="1" spans="1:17">
      <c r="A1" s="14" t="s">
        <v>764</v>
      </c>
    </row>
    <row r="2" spans="1:17">
      <c r="A2" s="127" t="s">
        <v>765</v>
      </c>
      <c r="B2" s="127" t="s">
        <v>508</v>
      </c>
      <c r="C2" s="127" t="s">
        <v>766</v>
      </c>
      <c r="D2" s="127" t="s">
        <v>509</v>
      </c>
      <c r="E2" s="127" t="s">
        <v>767</v>
      </c>
      <c r="F2" s="127" t="s">
        <v>768</v>
      </c>
      <c r="G2" s="127" t="s">
        <v>769</v>
      </c>
      <c r="I2" s="107" t="s">
        <v>770</v>
      </c>
      <c r="J2" s="10"/>
    </row>
    <row r="3" spans="1:17">
      <c r="A3" s="99">
        <v>1989</v>
      </c>
      <c r="B3" s="91">
        <v>17234880</v>
      </c>
      <c r="C3" s="91">
        <v>32973999372</v>
      </c>
      <c r="D3" s="91">
        <v>865713</v>
      </c>
      <c r="E3" s="91">
        <v>4331431570</v>
      </c>
      <c r="F3" s="91">
        <v>122857</v>
      </c>
      <c r="G3" s="91">
        <v>240728926</v>
      </c>
      <c r="I3" s="343" t="s">
        <v>771</v>
      </c>
      <c r="J3" s="222" t="s">
        <v>772</v>
      </c>
      <c r="K3" s="222" t="s">
        <v>773</v>
      </c>
      <c r="L3" s="222" t="s">
        <v>774</v>
      </c>
      <c r="M3" s="222" t="s">
        <v>420</v>
      </c>
      <c r="N3" s="222" t="s">
        <v>421</v>
      </c>
      <c r="O3" s="222" t="s">
        <v>422</v>
      </c>
    </row>
    <row r="4" spans="1:17">
      <c r="A4" s="99">
        <v>1990</v>
      </c>
      <c r="B4" s="91">
        <v>20690235</v>
      </c>
      <c r="C4" s="91">
        <v>40415780780</v>
      </c>
      <c r="D4" s="91">
        <v>959590</v>
      </c>
      <c r="E4" s="91">
        <v>4626454321</v>
      </c>
      <c r="F4" s="91">
        <v>139529</v>
      </c>
      <c r="G4" s="91">
        <v>280656064</v>
      </c>
      <c r="I4" s="325"/>
      <c r="J4" s="223">
        <f>INDEX(B:B,MATCH(About!$B$62,$A:$A,0))</f>
        <v>123366608</v>
      </c>
      <c r="K4" s="226">
        <f>INDEX(C:C,MATCH(About!$B$62,$A:$A,0))*N49</f>
        <v>213650889243.91965</v>
      </c>
      <c r="L4" s="223">
        <f>'AVLo-passenger'!B4</f>
        <v>155.72981935122084</v>
      </c>
      <c r="M4" s="223">
        <f>K4/SYVbT_passenger!$E$4</f>
        <v>259915923.65440348</v>
      </c>
      <c r="N4" s="223">
        <f>M4*About!$B$64</f>
        <v>161504217.39706033</v>
      </c>
      <c r="O4" s="278">
        <f>N4/L4</f>
        <v>1037079.5912426789</v>
      </c>
      <c r="Q4" s="91"/>
    </row>
    <row r="5" spans="1:17">
      <c r="A5" s="99">
        <v>1991</v>
      </c>
      <c r="B5" s="91">
        <v>22523737</v>
      </c>
      <c r="C5" s="91">
        <v>42968310434</v>
      </c>
      <c r="D5" s="91">
        <v>986884</v>
      </c>
      <c r="E5" s="91">
        <v>4548580506</v>
      </c>
      <c r="F5" s="91">
        <v>150595</v>
      </c>
      <c r="G5" s="91">
        <v>300479394</v>
      </c>
    </row>
    <row r="6" spans="1:17">
      <c r="A6" s="99">
        <v>1992</v>
      </c>
      <c r="B6" s="91">
        <v>25811748</v>
      </c>
      <c r="C6" s="91">
        <v>50453658708</v>
      </c>
      <c r="D6" s="91">
        <v>1078832</v>
      </c>
      <c r="E6" s="91">
        <v>5062484859</v>
      </c>
      <c r="F6" s="91">
        <v>177627</v>
      </c>
      <c r="G6" s="91">
        <v>347095622</v>
      </c>
      <c r="I6" s="343" t="s">
        <v>775</v>
      </c>
      <c r="J6" s="222" t="s">
        <v>776</v>
      </c>
      <c r="K6" s="222" t="s">
        <v>777</v>
      </c>
      <c r="L6" s="222" t="s">
        <v>778</v>
      </c>
      <c r="M6" s="222" t="s">
        <v>427</v>
      </c>
      <c r="N6" s="222" t="s">
        <v>428</v>
      </c>
      <c r="O6" s="222" t="s">
        <v>422</v>
      </c>
    </row>
    <row r="7" spans="1:17">
      <c r="A7" s="99">
        <v>1993</v>
      </c>
      <c r="B7" s="91">
        <v>27201333</v>
      </c>
      <c r="C7" s="91">
        <v>53138303731</v>
      </c>
      <c r="D7" s="91">
        <v>1223888</v>
      </c>
      <c r="E7" s="91">
        <v>6287703403</v>
      </c>
      <c r="F7" s="91">
        <v>201182</v>
      </c>
      <c r="G7" s="91">
        <v>371002537</v>
      </c>
      <c r="I7" s="325"/>
      <c r="J7" s="223">
        <f>INDEX(D:D,MATCH(About!$B$62,$A:$A,0))*O49</f>
        <v>2885294</v>
      </c>
      <c r="K7" s="226">
        <f>INDEX(E:E,MATCH(About!$B$62,$A:$A,0))*O49</f>
        <v>12356170711.17976</v>
      </c>
      <c r="L7" s="223">
        <f>'AVLo-freight'!B4</f>
        <v>63.556825639903742</v>
      </c>
      <c r="M7" s="223">
        <f>K7/SYVbT_freight!E4</f>
        <v>343226964.1994378</v>
      </c>
      <c r="N7" s="223">
        <f>M7*About!B64</f>
        <v>213271281.97156885</v>
      </c>
      <c r="O7" s="278">
        <f>N7/L7</f>
        <v>3355599.9662397844</v>
      </c>
    </row>
    <row r="8" spans="1:17">
      <c r="A8" s="99">
        <v>1994</v>
      </c>
      <c r="B8" s="91">
        <v>31481845</v>
      </c>
      <c r="C8" s="91">
        <v>60636514958</v>
      </c>
      <c r="D8" s="91">
        <v>1418923</v>
      </c>
      <c r="E8" s="91">
        <v>7107986755</v>
      </c>
      <c r="F8" s="91">
        <v>214424</v>
      </c>
      <c r="G8" s="91">
        <v>416475276</v>
      </c>
      <c r="I8" s="8" t="s">
        <v>779</v>
      </c>
    </row>
    <row r="9" spans="1:17">
      <c r="A9" s="99">
        <v>1995</v>
      </c>
      <c r="B9" s="91">
        <v>35611282</v>
      </c>
      <c r="C9" s="91">
        <v>69018847961</v>
      </c>
      <c r="D9" s="91">
        <v>1613469</v>
      </c>
      <c r="E9" s="91">
        <v>8218439669</v>
      </c>
      <c r="F9" s="91">
        <v>234027</v>
      </c>
      <c r="G9" s="91">
        <v>468101617</v>
      </c>
    </row>
    <row r="10" spans="1:17">
      <c r="A10" s="99">
        <v>1996</v>
      </c>
      <c r="B10" s="91">
        <v>39559043</v>
      </c>
      <c r="C10" s="91">
        <v>78775501273</v>
      </c>
      <c r="D10" s="91">
        <v>1782337</v>
      </c>
      <c r="E10" s="91">
        <v>9176947009</v>
      </c>
      <c r="F10" s="91">
        <v>254565</v>
      </c>
      <c r="G10" s="91">
        <v>528539658</v>
      </c>
    </row>
    <row r="11" spans="1:17">
      <c r="A11" s="99">
        <v>1997</v>
      </c>
      <c r="B11" s="91">
        <v>42176926</v>
      </c>
      <c r="C11" s="91">
        <v>83426879836</v>
      </c>
      <c r="D11" s="91">
        <v>2018393</v>
      </c>
      <c r="E11" s="91">
        <v>10700851468</v>
      </c>
      <c r="F11" s="91">
        <v>277048</v>
      </c>
      <c r="G11" s="91">
        <v>591150615</v>
      </c>
    </row>
    <row r="12" spans="1:17">
      <c r="A12" s="99">
        <v>1998</v>
      </c>
      <c r="B12" s="91">
        <v>33608780</v>
      </c>
      <c r="C12" s="91">
        <v>62612530888</v>
      </c>
      <c r="D12" s="91">
        <v>1834298</v>
      </c>
      <c r="E12" s="91">
        <v>9400102457</v>
      </c>
      <c r="F12" s="91">
        <v>248188</v>
      </c>
      <c r="G12" s="91">
        <v>489105234</v>
      </c>
    </row>
    <row r="13" spans="1:17">
      <c r="A13" s="99">
        <v>1999</v>
      </c>
      <c r="B13" s="91">
        <v>37894642</v>
      </c>
      <c r="C13" s="91">
        <v>72436042000</v>
      </c>
      <c r="D13" s="91">
        <v>2112703</v>
      </c>
      <c r="E13" s="91">
        <v>10898300517</v>
      </c>
      <c r="F13" s="91">
        <v>246910</v>
      </c>
      <c r="G13" s="91">
        <v>498569299</v>
      </c>
    </row>
    <row r="14" spans="1:17">
      <c r="A14" s="99">
        <v>2000</v>
      </c>
      <c r="B14" s="91">
        <v>41967169</v>
      </c>
      <c r="C14" s="91">
        <v>83955503185</v>
      </c>
      <c r="D14" s="91">
        <v>2383581</v>
      </c>
      <c r="E14" s="91">
        <v>12429945390</v>
      </c>
      <c r="F14" s="91">
        <v>273691</v>
      </c>
      <c r="G14" s="91">
        <v>561891020</v>
      </c>
    </row>
    <row r="15" spans="1:17">
      <c r="A15" s="99">
        <v>2001</v>
      </c>
      <c r="B15" s="91">
        <v>42161838</v>
      </c>
      <c r="C15" s="91">
        <v>84544146258</v>
      </c>
      <c r="D15" s="91">
        <v>2294864</v>
      </c>
      <c r="E15" s="91">
        <v>11326745204</v>
      </c>
      <c r="F15" s="91">
        <v>283914</v>
      </c>
      <c r="G15" s="91">
        <v>567756515</v>
      </c>
    </row>
    <row r="16" spans="1:17">
      <c r="A16" s="99">
        <v>2002</v>
      </c>
      <c r="B16" s="91">
        <v>43965144</v>
      </c>
      <c r="C16" s="91">
        <v>92174967638</v>
      </c>
      <c r="D16" s="91">
        <v>2509507</v>
      </c>
      <c r="E16" s="91">
        <v>12606344764</v>
      </c>
      <c r="F16" s="91">
        <v>303032</v>
      </c>
      <c r="G16" s="91">
        <v>641000008</v>
      </c>
    </row>
    <row r="17" spans="1:7">
      <c r="A17" s="99">
        <v>2003</v>
      </c>
      <c r="B17" s="91">
        <v>42838812</v>
      </c>
      <c r="C17" s="91">
        <v>82231019775</v>
      </c>
      <c r="D17" s="91">
        <v>2631359</v>
      </c>
      <c r="E17" s="91">
        <v>11695819583</v>
      </c>
      <c r="F17" s="91">
        <v>310124</v>
      </c>
      <c r="G17" s="91">
        <v>615049182</v>
      </c>
    </row>
    <row r="18" spans="1:7">
      <c r="A18" s="99">
        <v>2004</v>
      </c>
      <c r="B18" s="91">
        <v>45823588</v>
      </c>
      <c r="C18" s="91">
        <v>96583257785</v>
      </c>
      <c r="D18" s="91">
        <v>2978118</v>
      </c>
      <c r="E18" s="91">
        <v>13809815644</v>
      </c>
      <c r="F18" s="91">
        <v>313708</v>
      </c>
      <c r="G18" s="91">
        <v>688719258</v>
      </c>
    </row>
    <row r="19" spans="1:7">
      <c r="A19" s="99">
        <v>2005</v>
      </c>
      <c r="B19" s="91">
        <v>46841441</v>
      </c>
      <c r="C19" s="91">
        <v>101664000000</v>
      </c>
      <c r="D19" s="91">
        <v>2989203</v>
      </c>
      <c r="E19" s="91">
        <v>13597859781</v>
      </c>
      <c r="F19" s="91">
        <v>314128</v>
      </c>
      <c r="G19" s="91">
        <v>697677439</v>
      </c>
    </row>
    <row r="20" spans="1:7">
      <c r="A20" s="99">
        <v>2006</v>
      </c>
      <c r="B20" s="91">
        <v>49888580</v>
      </c>
      <c r="C20" s="91">
        <v>110791000000</v>
      </c>
      <c r="D20" s="91">
        <v>3208783</v>
      </c>
      <c r="E20" s="91">
        <v>14730313293</v>
      </c>
      <c r="F20" s="91">
        <v>340637</v>
      </c>
      <c r="G20" s="91">
        <v>765599846</v>
      </c>
    </row>
    <row r="21" spans="1:7">
      <c r="A21" s="99">
        <v>2007</v>
      </c>
      <c r="B21" s="91">
        <v>53715079</v>
      </c>
      <c r="C21" s="91">
        <v>121308000000</v>
      </c>
      <c r="D21" s="91">
        <v>3454508</v>
      </c>
      <c r="E21" s="91">
        <v>15880213082</v>
      </c>
      <c r="F21" s="91">
        <v>386314</v>
      </c>
      <c r="G21" s="91">
        <v>860482950</v>
      </c>
    </row>
    <row r="22" spans="1:7">
      <c r="A22" s="99">
        <v>2008</v>
      </c>
      <c r="B22" s="91">
        <v>52331770</v>
      </c>
      <c r="C22" s="91">
        <v>121563000000</v>
      </c>
      <c r="D22" s="91">
        <v>3251606</v>
      </c>
      <c r="E22" s="91">
        <v>14948577845</v>
      </c>
      <c r="F22" s="91">
        <v>389484</v>
      </c>
      <c r="G22" s="91">
        <v>868323394</v>
      </c>
    </row>
    <row r="23" spans="1:7">
      <c r="A23" s="99">
        <v>2009</v>
      </c>
      <c r="B23" s="91">
        <v>51574629</v>
      </c>
      <c r="C23" s="91">
        <v>116308000000</v>
      </c>
      <c r="D23" s="91">
        <v>3141146</v>
      </c>
      <c r="E23" s="91">
        <v>14085183952</v>
      </c>
      <c r="F23" s="91">
        <v>379865</v>
      </c>
      <c r="G23" s="91">
        <v>790370533</v>
      </c>
    </row>
    <row r="24" spans="1:7">
      <c r="A24" s="99">
        <v>2010</v>
      </c>
      <c r="B24" s="91">
        <v>60277303</v>
      </c>
      <c r="C24" s="91">
        <v>135771000000</v>
      </c>
      <c r="D24" s="91">
        <v>3588741</v>
      </c>
      <c r="E24" s="91">
        <v>16376088401</v>
      </c>
      <c r="F24" s="91">
        <v>403296</v>
      </c>
      <c r="G24" s="91">
        <v>894995910</v>
      </c>
    </row>
    <row r="25" spans="1:7">
      <c r="A25" s="99">
        <v>2011</v>
      </c>
      <c r="B25" s="91">
        <v>63629352</v>
      </c>
      <c r="C25" s="91">
        <v>148394000000</v>
      </c>
      <c r="D25" s="91">
        <v>3519237</v>
      </c>
      <c r="E25" s="91">
        <v>16021369980</v>
      </c>
      <c r="F25" s="91">
        <v>432080</v>
      </c>
      <c r="G25" s="91">
        <v>984715383</v>
      </c>
    </row>
    <row r="26" spans="1:7">
      <c r="A26" s="99">
        <v>2012</v>
      </c>
      <c r="B26" s="91">
        <v>69304162</v>
      </c>
      <c r="C26" s="91">
        <v>162735000000</v>
      </c>
      <c r="D26" s="91">
        <v>3474057</v>
      </c>
      <c r="E26" s="91">
        <v>15678617167</v>
      </c>
      <c r="F26" s="91">
        <v>469335</v>
      </c>
      <c r="G26" s="91">
        <v>1055832994</v>
      </c>
    </row>
    <row r="27" spans="1:7">
      <c r="A27" s="99">
        <v>2013</v>
      </c>
      <c r="B27" s="91">
        <v>73340261</v>
      </c>
      <c r="C27" s="91">
        <v>172963000000</v>
      </c>
      <c r="D27" s="91">
        <v>3498939</v>
      </c>
      <c r="E27" s="91">
        <v>15657045872</v>
      </c>
      <c r="F27" s="91">
        <v>500738</v>
      </c>
      <c r="G27" s="91">
        <v>1116671455</v>
      </c>
    </row>
    <row r="28" spans="1:7">
      <c r="A28" s="99">
        <v>2014</v>
      </c>
      <c r="B28" s="91">
        <v>81426297</v>
      </c>
      <c r="C28" s="91">
        <v>183113000000</v>
      </c>
      <c r="D28" s="91">
        <v>3693861</v>
      </c>
      <c r="E28" s="91">
        <v>16472894383</v>
      </c>
      <c r="F28" s="91">
        <v>536586</v>
      </c>
      <c r="G28" s="91">
        <v>1151922788</v>
      </c>
    </row>
    <row r="29" spans="1:7">
      <c r="A29" s="99">
        <v>2015</v>
      </c>
      <c r="B29" s="91">
        <v>89414538</v>
      </c>
      <c r="C29" s="91">
        <v>198443000000</v>
      </c>
      <c r="D29" s="91">
        <v>3806553</v>
      </c>
      <c r="E29" s="91">
        <v>16780475856</v>
      </c>
      <c r="F29" s="91">
        <v>570591</v>
      </c>
      <c r="G29" s="91">
        <v>1197486056</v>
      </c>
    </row>
    <row r="30" spans="1:7">
      <c r="A30" s="99">
        <v>2016</v>
      </c>
      <c r="B30" s="91">
        <v>103913732</v>
      </c>
      <c r="C30" s="91">
        <v>224081000000</v>
      </c>
      <c r="D30" s="91">
        <v>4073795</v>
      </c>
      <c r="E30" s="91">
        <v>17477169423</v>
      </c>
      <c r="F30" s="91">
        <v>629853</v>
      </c>
      <c r="G30" s="91">
        <v>1291889819</v>
      </c>
    </row>
    <row r="31" spans="1:7">
      <c r="A31" s="99">
        <v>2017</v>
      </c>
      <c r="B31" s="91">
        <v>109361974</v>
      </c>
      <c r="C31" s="91">
        <v>243641000000</v>
      </c>
      <c r="D31" s="91">
        <v>4321641</v>
      </c>
      <c r="E31" s="91">
        <v>18875336169</v>
      </c>
      <c r="F31" s="91">
        <v>653654</v>
      </c>
      <c r="G31" s="91">
        <v>1365679888</v>
      </c>
    </row>
    <row r="32" spans="1:7">
      <c r="A32" s="99">
        <v>2018</v>
      </c>
      <c r="B32" s="91">
        <v>117525898</v>
      </c>
      <c r="C32" s="91">
        <v>263629000000</v>
      </c>
      <c r="D32" s="91">
        <v>4441975</v>
      </c>
      <c r="E32" s="91">
        <v>19447758637</v>
      </c>
      <c r="F32" s="91">
        <v>691521</v>
      </c>
      <c r="G32" s="91">
        <v>1455708646</v>
      </c>
    </row>
    <row r="33" spans="1:16">
      <c r="A33" s="128">
        <v>2019</v>
      </c>
      <c r="B33" s="124">
        <v>123366608</v>
      </c>
      <c r="C33" s="124">
        <v>281755000000</v>
      </c>
      <c r="D33" s="124">
        <v>4274717</v>
      </c>
      <c r="E33" s="124">
        <v>18306326147</v>
      </c>
      <c r="F33" s="124">
        <v>723592</v>
      </c>
      <c r="G33" s="124">
        <v>1543833004</v>
      </c>
    </row>
    <row r="34" spans="1:16">
      <c r="A34" s="99">
        <v>2020</v>
      </c>
      <c r="B34" s="91">
        <v>39403960</v>
      </c>
      <c r="C34" s="91">
        <v>62314352681</v>
      </c>
      <c r="D34" s="91">
        <v>3252778</v>
      </c>
      <c r="E34" s="91">
        <v>15811549626</v>
      </c>
      <c r="F34" s="91">
        <v>339594</v>
      </c>
      <c r="G34" s="91">
        <v>770665128</v>
      </c>
    </row>
    <row r="35" spans="1:16">
      <c r="A35" s="14" t="s">
        <v>780</v>
      </c>
    </row>
    <row r="37" spans="1:16">
      <c r="A37" s="14" t="s">
        <v>781</v>
      </c>
      <c r="N37" s="14" t="s">
        <v>782</v>
      </c>
    </row>
    <row r="38" spans="1:16">
      <c r="A38" s="127" t="s">
        <v>783</v>
      </c>
      <c r="B38" s="14" t="s">
        <v>784</v>
      </c>
      <c r="C38" s="14" t="s">
        <v>785</v>
      </c>
      <c r="D38" s="14" t="s">
        <v>786</v>
      </c>
      <c r="E38" s="14" t="s">
        <v>787</v>
      </c>
      <c r="H38" s="127" t="s">
        <v>788</v>
      </c>
      <c r="I38" s="14" t="s">
        <v>784</v>
      </c>
      <c r="J38" s="14" t="s">
        <v>785</v>
      </c>
      <c r="K38" s="14" t="s">
        <v>786</v>
      </c>
      <c r="L38" s="14" t="s">
        <v>787</v>
      </c>
      <c r="N38" s="14" t="s">
        <v>786</v>
      </c>
      <c r="O38" s="14" t="s">
        <v>787</v>
      </c>
      <c r="P38" s="8">
        <f>AVERAGE(O39:O49)</f>
        <v>0.72088835996183043</v>
      </c>
    </row>
    <row r="39" spans="1:16">
      <c r="A39" s="99">
        <v>2009</v>
      </c>
      <c r="B39" s="92">
        <f>'Air09'!B4</f>
        <v>58017647</v>
      </c>
      <c r="C39" s="92">
        <f>'Air09'!C4</f>
        <v>292381</v>
      </c>
      <c r="D39" s="92">
        <f>'Air09'!D4</f>
        <v>40387789</v>
      </c>
      <c r="E39" s="92">
        <f>'Air09'!E4</f>
        <v>2378141</v>
      </c>
      <c r="H39" s="99">
        <v>2009</v>
      </c>
      <c r="I39" s="92">
        <f>'Air09'!B11</f>
        <v>16331104</v>
      </c>
      <c r="J39" s="92">
        <f>'Air09'!C11</f>
        <v>87476</v>
      </c>
      <c r="K39" s="92">
        <f>'Air09'!D11</f>
        <v>11579779</v>
      </c>
      <c r="L39" s="92">
        <f>'Air09'!E11</f>
        <v>762743</v>
      </c>
      <c r="N39" s="8">
        <f t="shared" ref="N39:N50" si="0">D39/SUM(D39,K39)</f>
        <v>0.77717296680114023</v>
      </c>
      <c r="O39" s="8">
        <f t="shared" ref="O39:O50" si="1">E39/SUM(E39,L39)</f>
        <v>0.75715658394260976</v>
      </c>
    </row>
    <row r="40" spans="1:16">
      <c r="A40" s="99">
        <v>2010</v>
      </c>
      <c r="B40" s="92">
        <f>'Air10'!B4</f>
        <v>61312548</v>
      </c>
      <c r="C40" s="92">
        <f>'Air10'!C4</f>
        <v>307880</v>
      </c>
      <c r="D40" s="92">
        <f>'Air10'!D4</f>
        <v>47237514</v>
      </c>
      <c r="E40" s="92">
        <f>'Air10'!E4</f>
        <v>2666460</v>
      </c>
      <c r="H40" s="99">
        <v>2010</v>
      </c>
      <c r="I40" s="92">
        <f>'Air10'!B12</f>
        <v>17358540</v>
      </c>
      <c r="J40" s="92">
        <f>'Air10'!C12</f>
        <v>95417</v>
      </c>
      <c r="K40" s="92">
        <f>'Air10'!D12</f>
        <v>13495430</v>
      </c>
      <c r="L40" s="92">
        <f>'Air10'!E12</f>
        <v>922120</v>
      </c>
      <c r="N40" s="8">
        <f t="shared" si="0"/>
        <v>0.7777906172307405</v>
      </c>
      <c r="O40" s="8">
        <f t="shared" si="1"/>
        <v>0.74304042267414971</v>
      </c>
    </row>
    <row r="41" spans="1:16">
      <c r="A41" s="99">
        <v>2011</v>
      </c>
      <c r="B41" s="92">
        <f>'Air11'!B4</f>
        <v>65976928</v>
      </c>
      <c r="C41" s="92">
        <f>'Air11'!C4</f>
        <v>328216</v>
      </c>
      <c r="D41" s="92">
        <f>'Air11'!D4</f>
        <v>49538896</v>
      </c>
      <c r="E41" s="92">
        <f>'Air11'!E4</f>
        <v>2623974</v>
      </c>
      <c r="H41" s="99">
        <v>2011</v>
      </c>
      <c r="I41" s="92">
        <f>'Air11'!B12</f>
        <v>19538208</v>
      </c>
      <c r="J41" s="92">
        <f>'Air11'!C12</f>
        <v>103853</v>
      </c>
      <c r="K41" s="92">
        <f>'Air11'!D12</f>
        <v>14588820</v>
      </c>
      <c r="L41" s="92">
        <f>'Air11'!E12</f>
        <v>895258</v>
      </c>
      <c r="N41" s="8">
        <f t="shared" si="0"/>
        <v>0.77250367064375103</v>
      </c>
      <c r="O41" s="8">
        <f t="shared" si="1"/>
        <v>0.74560983760093114</v>
      </c>
    </row>
    <row r="42" spans="1:16">
      <c r="A42" s="99">
        <v>2012</v>
      </c>
      <c r="B42" s="92">
        <f>'Air12'!B4</f>
        <v>70457208</v>
      </c>
      <c r="C42" s="92">
        <f>'Air12'!C4</f>
        <v>355775</v>
      </c>
      <c r="D42" s="92">
        <f>'Air12'!D4</f>
        <v>53874897</v>
      </c>
      <c r="E42" s="92">
        <f>'Air12'!E4</f>
        <v>2556561</v>
      </c>
      <c r="H42" s="99">
        <v>2012</v>
      </c>
      <c r="I42" s="92">
        <f>'Air12'!B12</f>
        <v>21378152</v>
      </c>
      <c r="J42" s="92">
        <f>'Air12'!C12</f>
        <v>113579</v>
      </c>
      <c r="K42" s="92">
        <f>'Air12'!D12</f>
        <v>15982369</v>
      </c>
      <c r="L42" s="92">
        <f>'Air12'!E12</f>
        <v>917497</v>
      </c>
      <c r="N42" s="8">
        <f t="shared" si="0"/>
        <v>0.77121393499711255</v>
      </c>
      <c r="O42" s="8">
        <f t="shared" si="1"/>
        <v>0.73590049446497441</v>
      </c>
    </row>
    <row r="43" spans="1:16">
      <c r="A43" s="99">
        <v>2013</v>
      </c>
      <c r="B43" s="92">
        <f>'Air13'!B4</f>
        <v>73317719</v>
      </c>
      <c r="C43" s="92">
        <f>'Air13'!C4</f>
        <v>375144</v>
      </c>
      <c r="D43" s="92">
        <f>'Air13'!D4</f>
        <v>56145585</v>
      </c>
      <c r="E43" s="92">
        <f>'Air13'!E4</f>
        <v>2569156</v>
      </c>
      <c r="H43" s="99">
        <v>2013</v>
      </c>
      <c r="I43" s="92">
        <f>'Air13'!B13</f>
        <v>23697631</v>
      </c>
      <c r="J43" s="92">
        <f>'Air13'!C13</f>
        <v>125595</v>
      </c>
      <c r="K43" s="92">
        <f>'Air13'!D13</f>
        <v>17819459</v>
      </c>
      <c r="L43" s="92">
        <f>'Air13'!E13</f>
        <v>929791</v>
      </c>
      <c r="N43" s="8">
        <f t="shared" si="0"/>
        <v>0.7590826958745539</v>
      </c>
      <c r="O43" s="8">
        <f t="shared" si="1"/>
        <v>0.73426548044311613</v>
      </c>
    </row>
    <row r="44" spans="1:16">
      <c r="A44" s="99">
        <v>2014</v>
      </c>
      <c r="B44" s="92">
        <f>'Air14'!B4</f>
        <v>77209328</v>
      </c>
      <c r="C44" s="92">
        <f>'Air14'!C4</f>
        <v>391048</v>
      </c>
      <c r="D44" s="92">
        <f>'Air14'!D4</f>
        <v>60788552</v>
      </c>
      <c r="E44" s="92">
        <f>'Air14'!E4</f>
        <v>2658483</v>
      </c>
      <c r="H44" s="99">
        <v>2014</v>
      </c>
      <c r="I44" s="92">
        <f>'Air14'!B13</f>
        <v>27619692</v>
      </c>
      <c r="J44" s="92">
        <f>'Air14'!C13</f>
        <v>145538</v>
      </c>
      <c r="K44" s="92">
        <f>'Air14'!D13</f>
        <v>21344930</v>
      </c>
      <c r="L44" s="92">
        <f>'Air14'!E13</f>
        <v>1035379</v>
      </c>
      <c r="N44" s="8">
        <f t="shared" si="0"/>
        <v>0.74011901747937581</v>
      </c>
      <c r="O44" s="8">
        <f t="shared" si="1"/>
        <v>0.71970284758878378</v>
      </c>
    </row>
    <row r="45" spans="1:16">
      <c r="A45" s="99">
        <v>2015</v>
      </c>
      <c r="B45" s="92">
        <f>'Air15'!B4</f>
        <v>84329502</v>
      </c>
      <c r="C45" s="92">
        <f>'Air15'!C4</f>
        <v>420486</v>
      </c>
      <c r="D45" s="92">
        <f>'Air15'!D4</f>
        <v>68106765</v>
      </c>
      <c r="E45" s="92">
        <f>'Air15'!E4</f>
        <v>2733091</v>
      </c>
      <c r="H45" s="99">
        <v>2015</v>
      </c>
      <c r="I45" s="92">
        <f>'Air15'!B13</f>
        <v>28582396</v>
      </c>
      <c r="J45" s="92">
        <f>'Air15'!C13</f>
        <v>150111</v>
      </c>
      <c r="K45" s="92">
        <f>'Air15'!D13</f>
        <v>22132049</v>
      </c>
      <c r="L45" s="92">
        <f>'Air15'!E13</f>
        <v>1073461</v>
      </c>
      <c r="N45" s="8">
        <f t="shared" si="0"/>
        <v>0.75473914140759868</v>
      </c>
      <c r="O45" s="8">
        <f t="shared" si="1"/>
        <v>0.71799649656697184</v>
      </c>
    </row>
    <row r="46" spans="1:16">
      <c r="A46" s="99">
        <v>2016</v>
      </c>
      <c r="B46" s="92">
        <f>'Air16'!B4</f>
        <v>94085064</v>
      </c>
      <c r="C46" s="92">
        <f>'Air16'!C4</f>
        <v>464495</v>
      </c>
      <c r="D46" s="92">
        <f>'Air16'!D4</f>
        <v>78956163</v>
      </c>
      <c r="E46" s="92">
        <f>'Air16'!E4</f>
        <v>2886178</v>
      </c>
      <c r="H46" s="99">
        <v>2016</v>
      </c>
      <c r="I46" s="92">
        <f>'Air16'!B14</f>
        <v>31928821</v>
      </c>
      <c r="J46" s="92">
        <f>'Air16'!C14</f>
        <v>165364</v>
      </c>
      <c r="K46" s="92">
        <f>'Air16'!D14</f>
        <v>25933915</v>
      </c>
      <c r="L46" s="92">
        <f>'Air16'!E14</f>
        <v>1187678</v>
      </c>
      <c r="N46" s="8">
        <f t="shared" si="0"/>
        <v>0.75275149476006686</v>
      </c>
      <c r="O46" s="8">
        <f t="shared" si="1"/>
        <v>0.70846343120620858</v>
      </c>
    </row>
    <row r="47" spans="1:16">
      <c r="A47" s="99">
        <v>2017</v>
      </c>
      <c r="B47" s="92">
        <f>'Air17'!B4</f>
        <v>101616268</v>
      </c>
      <c r="C47" s="92">
        <f>'Air17'!C4</f>
        <v>497211</v>
      </c>
      <c r="D47" s="92">
        <f>'Air17'!D4</f>
        <v>85904545</v>
      </c>
      <c r="E47" s="92">
        <f>'Air17'!E4</f>
        <v>3031848</v>
      </c>
      <c r="H47" s="99">
        <v>2017</v>
      </c>
      <c r="I47" s="92">
        <f>'Air17'!B14</f>
        <v>30565057</v>
      </c>
      <c r="J47" s="92">
        <f>'Air17'!C14</f>
        <v>156448</v>
      </c>
      <c r="K47" s="92">
        <f>'Air17'!D14</f>
        <v>24513986</v>
      </c>
      <c r="L47" s="92">
        <f>'Air17'!E14</f>
        <v>1289793</v>
      </c>
      <c r="N47" s="8">
        <f t="shared" si="0"/>
        <v>0.77799029041601719</v>
      </c>
      <c r="O47" s="8">
        <f t="shared" si="1"/>
        <v>0.70155017503767669</v>
      </c>
    </row>
    <row r="48" spans="1:16">
      <c r="A48" s="99">
        <v>2018</v>
      </c>
      <c r="B48" s="92">
        <f>'Air18'!B4</f>
        <v>107630602</v>
      </c>
      <c r="C48" s="92">
        <f>'Air18'!C4</f>
        <v>524690</v>
      </c>
      <c r="D48" s="92">
        <f>'Air18'!D4</f>
        <v>91273049</v>
      </c>
      <c r="E48" s="92">
        <f>'Air18'!E4</f>
        <v>3069951</v>
      </c>
      <c r="H48" s="99">
        <v>2018</v>
      </c>
      <c r="I48" s="92">
        <f>'Air18'!B14</f>
        <v>33353714</v>
      </c>
      <c r="J48" s="92">
        <f>'Air18'!C14</f>
        <v>166833</v>
      </c>
      <c r="K48" s="92">
        <f>'Air18'!D14</f>
        <v>27217444</v>
      </c>
      <c r="L48" s="92">
        <f>'Air18'!E14</f>
        <v>1372050</v>
      </c>
      <c r="N48" s="8">
        <f t="shared" si="0"/>
        <v>0.7702984998129766</v>
      </c>
      <c r="O48" s="8">
        <f t="shared" si="1"/>
        <v>0.69111893491244147</v>
      </c>
    </row>
    <row r="49" spans="1:16">
      <c r="A49" s="99">
        <v>2019</v>
      </c>
      <c r="B49" s="92">
        <f>'Air19'!B4</f>
        <v>111528123</v>
      </c>
      <c r="C49" s="92">
        <f>'Air19'!C4</f>
        <v>542111</v>
      </c>
      <c r="D49" s="92">
        <f>'Air19'!D4</f>
        <v>94245011</v>
      </c>
      <c r="E49" s="92">
        <f>'Air19'!E4</f>
        <v>2885294</v>
      </c>
      <c r="H49" s="99">
        <v>2019</v>
      </c>
      <c r="I49" s="92">
        <f>'Air19'!B15</f>
        <v>37076549</v>
      </c>
      <c r="J49" s="92">
        <f>'Air19'!C15</f>
        <v>181481</v>
      </c>
      <c r="K49" s="92">
        <f>'Air19'!D15</f>
        <v>30041872</v>
      </c>
      <c r="L49" s="92">
        <f>'Air19'!E15</f>
        <v>1389423</v>
      </c>
      <c r="N49" s="136">
        <f t="shared" si="0"/>
        <v>0.75828606145026578</v>
      </c>
      <c r="O49" s="136">
        <f t="shared" si="1"/>
        <v>0.67496725514227018</v>
      </c>
      <c r="P49" s="8" t="s">
        <v>789</v>
      </c>
    </row>
    <row r="50" spans="1:16">
      <c r="A50" s="99">
        <v>2020</v>
      </c>
      <c r="B50" s="92">
        <f>'Air20'!B4</f>
        <v>48876694</v>
      </c>
      <c r="C50" s="92">
        <f>'Air20'!C4</f>
        <v>275368</v>
      </c>
      <c r="D50" s="92">
        <f>'Air20'!D4</f>
        <v>34952212</v>
      </c>
      <c r="E50" s="92">
        <f>'Air20'!E4</f>
        <v>2346383</v>
      </c>
      <c r="H50" s="99">
        <v>2020</v>
      </c>
      <c r="I50" s="92">
        <f>'Air20'!B15</f>
        <v>8166640</v>
      </c>
      <c r="J50" s="92">
        <f>'Air20'!C15</f>
        <v>64229</v>
      </c>
      <c r="K50" s="92">
        <f>'Air20'!D15</f>
        <v>4719167</v>
      </c>
      <c r="L50" s="92">
        <f>'Air20'!E15</f>
        <v>906395</v>
      </c>
      <c r="N50" s="8">
        <f t="shared" si="0"/>
        <v>0.88104353518943723</v>
      </c>
      <c r="O50" s="8">
        <f t="shared" si="1"/>
        <v>0.72134741442545414</v>
      </c>
    </row>
    <row r="51" spans="1:16">
      <c r="B51" s="92"/>
      <c r="C51" s="92"/>
      <c r="D51" s="92"/>
      <c r="E51" s="92"/>
    </row>
  </sheetData>
  <mergeCells count="2">
    <mergeCell ref="I3:I4"/>
    <mergeCell ref="I6:I7"/>
  </mergeCells>
  <phoneticPr fontId="4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927B-E15C-4D36-8ABD-1C42B56F6AFA}">
  <dimension ref="B1:E11"/>
  <sheetViews>
    <sheetView workbookViewId="0">
      <selection activeCell="H17" sqref="H17"/>
    </sheetView>
  </sheetViews>
  <sheetFormatPr defaultRowHeight="16.5"/>
  <cols>
    <col min="2" max="2" width="22.75" bestFit="1" customWidth="1"/>
    <col min="3" max="3" width="14.25" customWidth="1"/>
  </cols>
  <sheetData>
    <row r="1" spans="2:5">
      <c r="C1" t="s">
        <v>790</v>
      </c>
      <c r="D1" t="s">
        <v>791</v>
      </c>
    </row>
    <row r="2" spans="2:5">
      <c r="B2" t="s">
        <v>792</v>
      </c>
      <c r="C2">
        <v>72.8</v>
      </c>
      <c r="D2">
        <v>166</v>
      </c>
      <c r="E2" s="113">
        <f>SUMPRODUCT(C2:C3,D2:D3)/SUM(D2:D3)</f>
        <v>46.621976149914822</v>
      </c>
    </row>
    <row r="3" spans="2:5">
      <c r="B3" t="s">
        <v>793</v>
      </c>
      <c r="C3">
        <v>36.299999999999997</v>
      </c>
      <c r="D3">
        <v>421</v>
      </c>
    </row>
    <row r="7" spans="2:5">
      <c r="B7" t="s">
        <v>794</v>
      </c>
      <c r="C7">
        <v>14.3</v>
      </c>
      <c r="D7">
        <v>507</v>
      </c>
      <c r="E7" s="232">
        <f>SUMPRODUCT(C7:C8,D7:D8)/SUM(D7:D8)</f>
        <v>20.033133433283361</v>
      </c>
    </row>
    <row r="8" spans="2:5">
      <c r="B8" t="s">
        <v>795</v>
      </c>
      <c r="C8">
        <v>38.200000000000003</v>
      </c>
      <c r="D8">
        <v>160</v>
      </c>
    </row>
    <row r="11" spans="2:5">
      <c r="C11" s="233"/>
    </row>
  </sheetData>
  <phoneticPr fontId="4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81A32-6E09-4536-9605-3AE70AD9D670}">
  <dimension ref="A1:FA78"/>
  <sheetViews>
    <sheetView zoomScale="70" zoomScaleNormal="70" workbookViewId="0"/>
  </sheetViews>
  <sheetFormatPr defaultColWidth="9" defaultRowHeight="16.5"/>
  <cols>
    <col min="1" max="1" width="9.75" style="8" bestFit="1" customWidth="1"/>
    <col min="2" max="2" width="13.875" style="8" bestFit="1" customWidth="1"/>
    <col min="3" max="3" width="15.125" style="8" bestFit="1" customWidth="1"/>
    <col min="4" max="4" width="18.5" style="8" bestFit="1" customWidth="1"/>
    <col min="5" max="5" width="15.125" style="8" bestFit="1" customWidth="1"/>
    <col min="6" max="6" width="15.875" style="8" bestFit="1" customWidth="1"/>
    <col min="7" max="7" width="14" style="8" bestFit="1" customWidth="1"/>
    <col min="8" max="8" width="12.75" style="8" bestFit="1" customWidth="1"/>
    <col min="9" max="11" width="11.5" style="8" bestFit="1" customWidth="1"/>
    <col min="12" max="12" width="15.75" style="8" customWidth="1"/>
    <col min="13" max="13" width="11.5" style="8" bestFit="1" customWidth="1"/>
    <col min="14" max="15" width="13.5" style="8" bestFit="1" customWidth="1"/>
    <col min="16" max="16" width="12.875" style="8" customWidth="1"/>
    <col min="17" max="17" width="13.5" style="8" bestFit="1" customWidth="1"/>
    <col min="18" max="18" width="21.5" style="8" bestFit="1" customWidth="1"/>
    <col min="19" max="19" width="18.5" style="8" bestFit="1" customWidth="1"/>
    <col min="20" max="20" width="19.75" style="8" customWidth="1"/>
    <col min="21" max="22" width="15.125" style="8" bestFit="1" customWidth="1"/>
    <col min="23" max="23" width="15.75" style="8" bestFit="1" customWidth="1"/>
    <col min="24" max="25" width="15.125" style="8" bestFit="1" customWidth="1"/>
    <col min="26" max="26" width="9.5" style="8" bestFit="1" customWidth="1"/>
    <col min="27" max="28" width="11" style="8" customWidth="1"/>
    <col min="29" max="29" width="15.875" style="8" bestFit="1" customWidth="1"/>
    <col min="30" max="16384" width="9" style="8"/>
  </cols>
  <sheetData>
    <row r="1" spans="1:157">
      <c r="A1" s="14" t="s">
        <v>796</v>
      </c>
    </row>
    <row r="2" spans="1:157" ht="20.100000000000001" customHeight="1">
      <c r="A2" s="258" t="s">
        <v>797</v>
      </c>
      <c r="B2" s="258" t="s">
        <v>798</v>
      </c>
      <c r="C2" s="259" t="s">
        <v>799</v>
      </c>
      <c r="D2" s="259" t="s">
        <v>800</v>
      </c>
      <c r="E2" s="259" t="s">
        <v>801</v>
      </c>
    </row>
    <row r="3" spans="1:157" ht="20.100000000000001" customHeight="1">
      <c r="A3" s="93" t="s">
        <v>802</v>
      </c>
      <c r="B3" s="93" t="s">
        <v>803</v>
      </c>
      <c r="C3" s="260">
        <v>15422957</v>
      </c>
      <c r="D3" s="260">
        <v>16909861</v>
      </c>
      <c r="E3" s="260">
        <v>14625484</v>
      </c>
    </row>
    <row r="4" spans="1:157" ht="20.100000000000001" customHeight="1">
      <c r="A4" s="94" t="s">
        <v>297</v>
      </c>
      <c r="B4" s="93" t="s">
        <v>804</v>
      </c>
      <c r="C4" s="260">
        <v>30912922</v>
      </c>
      <c r="D4" s="260">
        <v>32406255</v>
      </c>
      <c r="E4" s="260">
        <v>31600610</v>
      </c>
    </row>
    <row r="5" spans="1:157" ht="20.100000000000001" customHeight="1">
      <c r="A5" s="94" t="s">
        <v>297</v>
      </c>
      <c r="B5" s="93" t="s">
        <v>805</v>
      </c>
      <c r="C5" s="260">
        <v>839080084</v>
      </c>
      <c r="D5" s="260">
        <v>915668809</v>
      </c>
      <c r="E5" s="260">
        <v>822233607</v>
      </c>
    </row>
    <row r="6" spans="1:157" ht="20.100000000000001" customHeight="1">
      <c r="A6" s="94" t="s">
        <v>297</v>
      </c>
      <c r="B6" s="93" t="s">
        <v>806</v>
      </c>
      <c r="C6" s="260">
        <v>11819784935</v>
      </c>
      <c r="D6" s="260">
        <v>12243233861</v>
      </c>
      <c r="E6" s="260">
        <v>11882156510</v>
      </c>
    </row>
    <row r="7" spans="1:157" ht="20.100000000000001" customHeight="1">
      <c r="A7" s="93" t="s">
        <v>807</v>
      </c>
      <c r="B7" s="93" t="s">
        <v>803</v>
      </c>
      <c r="C7" s="260">
        <v>2776696</v>
      </c>
      <c r="D7" s="260">
        <v>2728147</v>
      </c>
      <c r="E7" s="260" t="s">
        <v>293</v>
      </c>
    </row>
    <row r="8" spans="1:157" ht="20.100000000000001" customHeight="1">
      <c r="A8" s="94" t="s">
        <v>297</v>
      </c>
      <c r="B8" s="93" t="s">
        <v>804</v>
      </c>
      <c r="C8" s="260">
        <v>73000810</v>
      </c>
      <c r="D8" s="260">
        <v>76955719</v>
      </c>
      <c r="E8" s="260">
        <v>85925288</v>
      </c>
    </row>
    <row r="9" spans="1:157" ht="20.100000000000001" customHeight="1">
      <c r="A9" s="94" t="s">
        <v>297</v>
      </c>
      <c r="B9" s="93" t="s">
        <v>805</v>
      </c>
      <c r="C9" s="260" t="s">
        <v>293</v>
      </c>
      <c r="D9" s="260" t="s">
        <v>293</v>
      </c>
      <c r="E9" s="260" t="s">
        <v>293</v>
      </c>
    </row>
    <row r="10" spans="1:157" ht="20.100000000000001" customHeight="1">
      <c r="A10" s="126" t="s">
        <v>297</v>
      </c>
      <c r="B10" s="261" t="s">
        <v>806</v>
      </c>
      <c r="C10" s="260">
        <v>212261253909</v>
      </c>
      <c r="D10" s="260">
        <v>231398037659</v>
      </c>
      <c r="E10" s="260">
        <v>251747144593</v>
      </c>
    </row>
    <row r="11" spans="1:157">
      <c r="A11" s="14" t="s">
        <v>808</v>
      </c>
    </row>
    <row r="12" spans="1:157" ht="20.100000000000001" customHeight="1">
      <c r="A12" s="258" t="s">
        <v>809</v>
      </c>
      <c r="B12" s="258" t="s">
        <v>810</v>
      </c>
      <c r="C12" s="259" t="s">
        <v>811</v>
      </c>
      <c r="D12" s="259" t="s">
        <v>812</v>
      </c>
      <c r="E12" s="259" t="s">
        <v>813</v>
      </c>
      <c r="F12" s="259" t="s">
        <v>814</v>
      </c>
      <c r="G12" s="259" t="s">
        <v>815</v>
      </c>
      <c r="H12" s="259" t="s">
        <v>816</v>
      </c>
      <c r="I12" s="259" t="s">
        <v>817</v>
      </c>
      <c r="J12" s="259" t="s">
        <v>818</v>
      </c>
      <c r="K12" s="259" t="s">
        <v>819</v>
      </c>
      <c r="L12" s="259" t="s">
        <v>820</v>
      </c>
      <c r="M12" s="259" t="s">
        <v>821</v>
      </c>
      <c r="N12" s="259" t="s">
        <v>822</v>
      </c>
      <c r="O12" s="259" t="s">
        <v>823</v>
      </c>
      <c r="P12" s="259" t="s">
        <v>824</v>
      </c>
      <c r="Q12" s="259" t="s">
        <v>825</v>
      </c>
      <c r="R12" s="259" t="s">
        <v>826</v>
      </c>
      <c r="S12" s="259" t="s">
        <v>827</v>
      </c>
      <c r="T12" s="259" t="s">
        <v>828</v>
      </c>
      <c r="U12" s="259" t="s">
        <v>829</v>
      </c>
      <c r="V12" s="259" t="s">
        <v>830</v>
      </c>
      <c r="W12" s="259" t="s">
        <v>831</v>
      </c>
      <c r="X12" s="259" t="s">
        <v>832</v>
      </c>
      <c r="Y12" s="259" t="s">
        <v>833</v>
      </c>
      <c r="Z12" s="259" t="s">
        <v>834</v>
      </c>
      <c r="AA12" s="259" t="s">
        <v>835</v>
      </c>
      <c r="AB12" s="259" t="s">
        <v>836</v>
      </c>
      <c r="AC12" s="259" t="s">
        <v>837</v>
      </c>
      <c r="AD12" s="259" t="s">
        <v>838</v>
      </c>
      <c r="AE12" s="259" t="s">
        <v>839</v>
      </c>
      <c r="AF12" s="259" t="s">
        <v>840</v>
      </c>
      <c r="AG12" s="259" t="s">
        <v>841</v>
      </c>
      <c r="AH12" s="259" t="s">
        <v>842</v>
      </c>
      <c r="AI12" s="259" t="s">
        <v>843</v>
      </c>
      <c r="AJ12" s="259" t="s">
        <v>844</v>
      </c>
      <c r="AK12" s="259" t="s">
        <v>845</v>
      </c>
      <c r="AL12" s="259" t="s">
        <v>846</v>
      </c>
      <c r="AM12" s="259" t="s">
        <v>847</v>
      </c>
      <c r="AN12" s="259" t="s">
        <v>848</v>
      </c>
      <c r="AO12" s="259" t="s">
        <v>849</v>
      </c>
      <c r="AP12" s="259" t="s">
        <v>850</v>
      </c>
      <c r="AQ12" s="259" t="s">
        <v>851</v>
      </c>
      <c r="AR12" s="259" t="s">
        <v>852</v>
      </c>
      <c r="AS12" s="259" t="s">
        <v>853</v>
      </c>
      <c r="AT12" s="259" t="s">
        <v>854</v>
      </c>
      <c r="AU12" s="259" t="s">
        <v>855</v>
      </c>
      <c r="AV12" s="259" t="s">
        <v>856</v>
      </c>
      <c r="AW12" s="259" t="s">
        <v>857</v>
      </c>
      <c r="AX12" s="259" t="s">
        <v>858</v>
      </c>
      <c r="AY12" s="259" t="s">
        <v>859</v>
      </c>
      <c r="AZ12" s="259" t="s">
        <v>860</v>
      </c>
      <c r="BA12" s="259" t="s">
        <v>861</v>
      </c>
      <c r="BB12" s="259" t="s">
        <v>862</v>
      </c>
      <c r="BC12" s="259" t="s">
        <v>863</v>
      </c>
      <c r="BD12" s="259" t="s">
        <v>864</v>
      </c>
      <c r="BE12" s="259" t="s">
        <v>865</v>
      </c>
      <c r="BF12" s="259" t="s">
        <v>866</v>
      </c>
      <c r="BG12" s="259" t="s">
        <v>867</v>
      </c>
      <c r="BH12" s="259" t="s">
        <v>868</v>
      </c>
      <c r="BI12" s="259" t="s">
        <v>869</v>
      </c>
      <c r="BJ12" s="259" t="s">
        <v>870</v>
      </c>
      <c r="BK12" s="259" t="s">
        <v>871</v>
      </c>
      <c r="BL12" s="259" t="s">
        <v>872</v>
      </c>
      <c r="BM12" s="259" t="s">
        <v>873</v>
      </c>
      <c r="BN12" s="259" t="s">
        <v>874</v>
      </c>
      <c r="BO12" s="259" t="s">
        <v>875</v>
      </c>
      <c r="BP12" s="259" t="s">
        <v>876</v>
      </c>
      <c r="BQ12" s="259" t="s">
        <v>877</v>
      </c>
      <c r="BR12" s="259" t="s">
        <v>878</v>
      </c>
      <c r="BS12" s="259" t="s">
        <v>879</v>
      </c>
      <c r="BT12" s="259" t="s">
        <v>880</v>
      </c>
      <c r="BU12" s="259" t="s">
        <v>881</v>
      </c>
      <c r="BV12" s="259" t="s">
        <v>882</v>
      </c>
      <c r="BW12" s="259" t="s">
        <v>883</v>
      </c>
      <c r="BX12" s="259" t="s">
        <v>884</v>
      </c>
      <c r="BY12" s="259" t="s">
        <v>885</v>
      </c>
      <c r="BZ12" s="259" t="s">
        <v>886</v>
      </c>
      <c r="CA12" s="259" t="s">
        <v>887</v>
      </c>
      <c r="CB12" s="259" t="s">
        <v>888</v>
      </c>
      <c r="CC12" s="259" t="s">
        <v>889</v>
      </c>
      <c r="CD12" s="259" t="s">
        <v>890</v>
      </c>
      <c r="CE12" s="259" t="s">
        <v>891</v>
      </c>
      <c r="CF12" s="259" t="s">
        <v>892</v>
      </c>
      <c r="CG12" s="259" t="s">
        <v>893</v>
      </c>
      <c r="CH12" s="259" t="s">
        <v>894</v>
      </c>
      <c r="CI12" s="259" t="s">
        <v>895</v>
      </c>
      <c r="CJ12" s="259" t="s">
        <v>896</v>
      </c>
      <c r="CK12" s="259" t="s">
        <v>897</v>
      </c>
      <c r="CL12" s="259" t="s">
        <v>898</v>
      </c>
      <c r="CM12" s="259" t="s">
        <v>899</v>
      </c>
      <c r="CN12" s="259" t="s">
        <v>900</v>
      </c>
      <c r="CO12" s="259" t="s">
        <v>901</v>
      </c>
      <c r="CP12" s="259" t="s">
        <v>902</v>
      </c>
      <c r="CQ12" s="259" t="s">
        <v>903</v>
      </c>
      <c r="CR12" s="259" t="s">
        <v>904</v>
      </c>
      <c r="CS12" s="259" t="s">
        <v>905</v>
      </c>
      <c r="CT12" s="259" t="s">
        <v>906</v>
      </c>
      <c r="CU12" s="259" t="s">
        <v>907</v>
      </c>
      <c r="CV12" s="259" t="s">
        <v>908</v>
      </c>
      <c r="CW12" s="259" t="s">
        <v>909</v>
      </c>
      <c r="CX12" s="259" t="s">
        <v>910</v>
      </c>
      <c r="CY12" s="259" t="s">
        <v>911</v>
      </c>
      <c r="CZ12" s="259" t="s">
        <v>912</v>
      </c>
      <c r="DA12" s="259" t="s">
        <v>913</v>
      </c>
      <c r="DB12" s="259" t="s">
        <v>914</v>
      </c>
      <c r="DC12" s="259" t="s">
        <v>915</v>
      </c>
      <c r="DD12" s="259" t="s">
        <v>916</v>
      </c>
      <c r="DE12" s="259" t="s">
        <v>917</v>
      </c>
      <c r="DF12" s="259" t="s">
        <v>918</v>
      </c>
      <c r="DG12" s="259" t="s">
        <v>919</v>
      </c>
      <c r="DH12" s="259" t="s">
        <v>920</v>
      </c>
      <c r="DI12" s="259" t="s">
        <v>921</v>
      </c>
      <c r="DJ12" s="259" t="s">
        <v>922</v>
      </c>
      <c r="DK12" s="259" t="s">
        <v>923</v>
      </c>
      <c r="DL12" s="259" t="s">
        <v>924</v>
      </c>
      <c r="DM12" s="259" t="s">
        <v>925</v>
      </c>
      <c r="DN12" s="259" t="s">
        <v>926</v>
      </c>
      <c r="DO12" s="259" t="s">
        <v>927</v>
      </c>
      <c r="DP12" s="259" t="s">
        <v>928</v>
      </c>
      <c r="DQ12" s="259" t="s">
        <v>929</v>
      </c>
      <c r="DR12" s="259" t="s">
        <v>930</v>
      </c>
      <c r="DS12" s="259" t="s">
        <v>931</v>
      </c>
      <c r="DT12" s="259" t="s">
        <v>932</v>
      </c>
      <c r="DU12" s="259" t="s">
        <v>933</v>
      </c>
      <c r="DV12" s="259" t="s">
        <v>934</v>
      </c>
      <c r="DW12" s="259" t="s">
        <v>935</v>
      </c>
      <c r="DX12" s="259" t="s">
        <v>936</v>
      </c>
      <c r="DY12" s="259" t="s">
        <v>937</v>
      </c>
      <c r="DZ12" s="259" t="s">
        <v>938</v>
      </c>
      <c r="EA12" s="259" t="s">
        <v>939</v>
      </c>
      <c r="EB12" s="259" t="s">
        <v>940</v>
      </c>
      <c r="EC12" s="259" t="s">
        <v>941</v>
      </c>
      <c r="ED12" s="259" t="s">
        <v>942</v>
      </c>
      <c r="EE12" s="259" t="s">
        <v>943</v>
      </c>
      <c r="EF12" s="259" t="s">
        <v>944</v>
      </c>
      <c r="EG12" s="259" t="s">
        <v>945</v>
      </c>
      <c r="EH12" s="259" t="s">
        <v>946</v>
      </c>
      <c r="EI12" s="259" t="s">
        <v>947</v>
      </c>
      <c r="EJ12" s="259" t="s">
        <v>948</v>
      </c>
      <c r="EK12" s="259" t="s">
        <v>949</v>
      </c>
      <c r="EL12" s="259" t="s">
        <v>950</v>
      </c>
      <c r="EM12" s="259" t="s">
        <v>951</v>
      </c>
      <c r="EN12" s="259" t="s">
        <v>952</v>
      </c>
      <c r="EO12" s="259" t="s">
        <v>953</v>
      </c>
      <c r="EP12" s="259" t="s">
        <v>954</v>
      </c>
      <c r="EQ12" s="259" t="s">
        <v>955</v>
      </c>
      <c r="ER12" s="259" t="s">
        <v>956</v>
      </c>
      <c r="ES12" s="259" t="s">
        <v>957</v>
      </c>
      <c r="ET12" s="259" t="s">
        <v>958</v>
      </c>
      <c r="EU12" s="259" t="s">
        <v>959</v>
      </c>
      <c r="EV12" s="259" t="s">
        <v>960</v>
      </c>
      <c r="EW12" s="259" t="s">
        <v>961</v>
      </c>
      <c r="EX12" s="259" t="s">
        <v>962</v>
      </c>
      <c r="EY12" s="259" t="s">
        <v>963</v>
      </c>
      <c r="EZ12" s="259" t="s">
        <v>964</v>
      </c>
      <c r="FA12" s="259" t="s">
        <v>965</v>
      </c>
    </row>
    <row r="13" spans="1:157" ht="20.100000000000001" customHeight="1">
      <c r="A13" s="93" t="s">
        <v>802</v>
      </c>
      <c r="B13" s="93" t="s">
        <v>73</v>
      </c>
      <c r="C13" s="260">
        <v>595272320</v>
      </c>
      <c r="D13" s="260">
        <v>621239664</v>
      </c>
      <c r="E13" s="260">
        <v>700344184</v>
      </c>
      <c r="F13" s="260">
        <v>567023195</v>
      </c>
      <c r="G13" s="260">
        <v>567344200</v>
      </c>
      <c r="H13" s="260">
        <v>676315453</v>
      </c>
      <c r="I13" s="260">
        <v>721822691</v>
      </c>
      <c r="J13" s="260">
        <v>772444316</v>
      </c>
      <c r="K13" s="260">
        <v>758315596</v>
      </c>
      <c r="L13" s="260">
        <v>679412965</v>
      </c>
      <c r="M13" s="260">
        <v>687451212</v>
      </c>
      <c r="N13" s="260">
        <v>56080572</v>
      </c>
      <c r="O13" s="260">
        <v>54825756</v>
      </c>
      <c r="P13" s="260">
        <v>57161659</v>
      </c>
      <c r="Q13" s="260">
        <v>58392931</v>
      </c>
      <c r="R13" s="260">
        <v>59763150</v>
      </c>
      <c r="S13" s="260">
        <v>58231499</v>
      </c>
      <c r="T13" s="260">
        <v>56572624</v>
      </c>
      <c r="U13" s="260">
        <v>56112587</v>
      </c>
      <c r="V13" s="260">
        <v>58516121</v>
      </c>
      <c r="W13" s="260">
        <v>60695990</v>
      </c>
      <c r="X13" s="260">
        <v>57461547</v>
      </c>
      <c r="Y13" s="260">
        <v>56964040</v>
      </c>
      <c r="Z13" s="260">
        <v>57950364</v>
      </c>
      <c r="AA13" s="260">
        <v>56843979</v>
      </c>
      <c r="AB13" s="260">
        <v>59369471</v>
      </c>
      <c r="AC13" s="260">
        <v>59748875</v>
      </c>
      <c r="AD13" s="260">
        <v>60576452</v>
      </c>
      <c r="AE13" s="260">
        <v>60353498</v>
      </c>
      <c r="AF13" s="260">
        <v>58712222</v>
      </c>
      <c r="AG13" s="260">
        <v>58989227</v>
      </c>
      <c r="AH13" s="260">
        <v>59909506</v>
      </c>
      <c r="AI13" s="260">
        <v>61361275</v>
      </c>
      <c r="AJ13" s="260">
        <v>60401219</v>
      </c>
      <c r="AK13" s="260">
        <v>61005759</v>
      </c>
      <c r="AL13" s="260">
        <v>59137520</v>
      </c>
      <c r="AM13" s="260">
        <v>57871646</v>
      </c>
      <c r="AN13" s="260">
        <v>61509159</v>
      </c>
      <c r="AO13" s="260">
        <v>61243019</v>
      </c>
      <c r="AP13" s="260">
        <v>61659465</v>
      </c>
      <c r="AQ13" s="260">
        <v>60761327</v>
      </c>
      <c r="AR13" s="260">
        <v>61119952</v>
      </c>
      <c r="AS13" s="260">
        <v>60613441</v>
      </c>
      <c r="AT13" s="260">
        <v>61386242</v>
      </c>
      <c r="AU13" s="260">
        <v>63231326</v>
      </c>
      <c r="AV13" s="260">
        <v>61043684</v>
      </c>
      <c r="AW13" s="260">
        <v>60248745</v>
      </c>
      <c r="AX13" s="260">
        <v>60376458</v>
      </c>
      <c r="AY13" s="260">
        <v>60263022</v>
      </c>
      <c r="AZ13" s="260">
        <v>63981588</v>
      </c>
      <c r="BA13" s="260">
        <v>64934061</v>
      </c>
      <c r="BB13" s="260">
        <v>64980430</v>
      </c>
      <c r="BC13" s="260">
        <v>63467496</v>
      </c>
      <c r="BD13" s="260">
        <v>64075052</v>
      </c>
      <c r="BE13" s="260">
        <v>63653300</v>
      </c>
      <c r="BF13" s="260">
        <v>65302883</v>
      </c>
      <c r="BG13" s="260">
        <v>66251299</v>
      </c>
      <c r="BH13" s="260">
        <v>65174664</v>
      </c>
      <c r="BI13" s="260">
        <v>64218363</v>
      </c>
      <c r="BJ13" s="260">
        <v>63186365</v>
      </c>
      <c r="BK13" s="260">
        <v>61698492</v>
      </c>
      <c r="BL13" s="260">
        <v>66151489</v>
      </c>
      <c r="BM13" s="260">
        <v>66261054</v>
      </c>
      <c r="BN13" s="260">
        <v>66599215</v>
      </c>
      <c r="BO13" s="260">
        <v>65608968</v>
      </c>
      <c r="BP13" s="260">
        <v>64398781</v>
      </c>
      <c r="BQ13" s="260">
        <v>63039418</v>
      </c>
      <c r="BR13" s="260">
        <v>63092034</v>
      </c>
      <c r="BS13" s="260">
        <v>64569496</v>
      </c>
      <c r="BT13" s="260">
        <v>67948877</v>
      </c>
      <c r="BU13" s="260">
        <v>65476342</v>
      </c>
      <c r="BV13" s="260">
        <v>62449195</v>
      </c>
      <c r="BW13" s="260">
        <v>61414084</v>
      </c>
      <c r="BX13" s="260">
        <v>66930418</v>
      </c>
      <c r="BY13" s="260">
        <v>66790386</v>
      </c>
      <c r="BZ13" s="260">
        <v>66599215</v>
      </c>
      <c r="CA13" s="260">
        <v>65945949</v>
      </c>
      <c r="CB13" s="260">
        <v>64398781</v>
      </c>
      <c r="CC13" s="260">
        <v>64218520</v>
      </c>
      <c r="CD13" s="260">
        <v>64814588</v>
      </c>
      <c r="CE13" s="260">
        <v>67411275</v>
      </c>
      <c r="CF13" s="260">
        <v>67948877</v>
      </c>
      <c r="CG13" s="260">
        <v>65839355</v>
      </c>
      <c r="CH13" s="260">
        <v>73499611</v>
      </c>
      <c r="CI13" s="260">
        <v>70705774</v>
      </c>
      <c r="CJ13" s="260">
        <v>76095011</v>
      </c>
      <c r="CK13" s="260">
        <v>75129468</v>
      </c>
      <c r="CL13" s="260">
        <v>75656868</v>
      </c>
      <c r="CM13" s="260">
        <v>75000303</v>
      </c>
      <c r="CN13" s="260">
        <v>75662591</v>
      </c>
      <c r="CO13" s="260">
        <v>70169560</v>
      </c>
      <c r="CP13" s="260">
        <v>74179930</v>
      </c>
      <c r="CQ13" s="260">
        <v>77235033</v>
      </c>
      <c r="CR13" s="260">
        <v>75518286</v>
      </c>
      <c r="CS13" s="260">
        <v>73697996</v>
      </c>
      <c r="CT13" s="260">
        <v>71911186</v>
      </c>
      <c r="CU13" s="260">
        <v>68666202</v>
      </c>
      <c r="CV13" s="260">
        <v>75157956</v>
      </c>
      <c r="CW13" s="260">
        <v>73568520</v>
      </c>
      <c r="CX13" s="260">
        <v>74040388</v>
      </c>
      <c r="CY13" s="260">
        <v>75119275</v>
      </c>
      <c r="CZ13" s="260">
        <v>72126529</v>
      </c>
      <c r="DA13" s="260">
        <v>72852462</v>
      </c>
      <c r="DB13" s="260">
        <v>72402080</v>
      </c>
      <c r="DC13" s="260">
        <v>75075197</v>
      </c>
      <c r="DD13" s="260">
        <v>75000710</v>
      </c>
      <c r="DE13" s="260">
        <v>73391281</v>
      </c>
      <c r="DF13" s="260">
        <v>63388271</v>
      </c>
      <c r="DG13" s="260">
        <v>60760139</v>
      </c>
      <c r="DH13" s="260">
        <v>65784262</v>
      </c>
      <c r="DI13" s="260">
        <v>65547050</v>
      </c>
      <c r="DJ13" s="260">
        <v>65998059</v>
      </c>
      <c r="DK13" s="260">
        <v>66001586</v>
      </c>
      <c r="DL13" s="260">
        <v>65240808</v>
      </c>
      <c r="DM13" s="260">
        <v>63564047</v>
      </c>
      <c r="DN13" s="260">
        <v>64859702</v>
      </c>
      <c r="DO13" s="260">
        <v>77642564</v>
      </c>
      <c r="DP13" s="260">
        <v>76890838</v>
      </c>
      <c r="DQ13" s="260">
        <v>74950685</v>
      </c>
      <c r="DR13" s="260" t="s">
        <v>293</v>
      </c>
      <c r="DS13" s="260" t="s">
        <v>293</v>
      </c>
      <c r="DT13" s="260" t="s">
        <v>293</v>
      </c>
      <c r="DU13" s="260" t="s">
        <v>293</v>
      </c>
      <c r="DV13" s="260" t="s">
        <v>293</v>
      </c>
      <c r="DW13" s="260" t="s">
        <v>293</v>
      </c>
      <c r="DX13" s="260" t="s">
        <v>293</v>
      </c>
      <c r="DY13" s="260" t="s">
        <v>293</v>
      </c>
      <c r="DZ13" s="260" t="s">
        <v>293</v>
      </c>
      <c r="EA13" s="260" t="s">
        <v>293</v>
      </c>
      <c r="EB13" s="260" t="s">
        <v>293</v>
      </c>
      <c r="EC13" s="260" t="s">
        <v>293</v>
      </c>
      <c r="ED13" s="260" t="s">
        <v>293</v>
      </c>
      <c r="EE13" s="260" t="s">
        <v>293</v>
      </c>
      <c r="EF13" s="260" t="s">
        <v>293</v>
      </c>
      <c r="EG13" s="260" t="s">
        <v>293</v>
      </c>
      <c r="EH13" s="260" t="s">
        <v>293</v>
      </c>
      <c r="EI13" s="260" t="s">
        <v>293</v>
      </c>
      <c r="EJ13" s="260" t="s">
        <v>293</v>
      </c>
      <c r="EK13" s="260" t="s">
        <v>293</v>
      </c>
      <c r="EL13" s="260" t="s">
        <v>293</v>
      </c>
      <c r="EM13" s="260" t="s">
        <v>293</v>
      </c>
      <c r="EN13" s="260" t="s">
        <v>293</v>
      </c>
      <c r="EO13" s="260" t="s">
        <v>293</v>
      </c>
      <c r="EP13" s="260" t="s">
        <v>293</v>
      </c>
      <c r="EQ13" s="260" t="s">
        <v>293</v>
      </c>
      <c r="ER13" s="260" t="s">
        <v>293</v>
      </c>
      <c r="ES13" s="260" t="s">
        <v>293</v>
      </c>
      <c r="ET13" s="260" t="s">
        <v>293</v>
      </c>
      <c r="EU13" s="260" t="s">
        <v>293</v>
      </c>
      <c r="EV13" s="260" t="s">
        <v>293</v>
      </c>
      <c r="EW13" s="260" t="s">
        <v>293</v>
      </c>
      <c r="EX13" s="260" t="s">
        <v>293</v>
      </c>
      <c r="EY13" s="260" t="s">
        <v>293</v>
      </c>
      <c r="EZ13" s="260" t="s">
        <v>293</v>
      </c>
      <c r="FA13" s="260" t="s">
        <v>293</v>
      </c>
    </row>
    <row r="14" spans="1:157" ht="20.100000000000001" customHeight="1">
      <c r="A14" s="94" t="s">
        <v>297</v>
      </c>
      <c r="B14" s="93" t="s">
        <v>966</v>
      </c>
      <c r="C14" s="260">
        <v>57469339</v>
      </c>
      <c r="D14" s="260">
        <v>53526971</v>
      </c>
      <c r="E14" s="260">
        <v>53827826</v>
      </c>
      <c r="F14" s="260">
        <v>43344820</v>
      </c>
      <c r="G14" s="260">
        <v>42080967</v>
      </c>
      <c r="H14" s="260">
        <v>45239839</v>
      </c>
      <c r="I14" s="260">
        <v>45122332</v>
      </c>
      <c r="J14" s="260">
        <v>45732629</v>
      </c>
      <c r="K14" s="260">
        <v>47109970</v>
      </c>
      <c r="L14" s="260">
        <v>44512467</v>
      </c>
      <c r="M14" s="260">
        <v>41668802</v>
      </c>
      <c r="N14" s="260">
        <v>3000989</v>
      </c>
      <c r="O14" s="260">
        <v>3058861</v>
      </c>
      <c r="P14" s="260">
        <v>3632421</v>
      </c>
      <c r="Q14" s="260">
        <v>3874998</v>
      </c>
      <c r="R14" s="260">
        <v>3908205</v>
      </c>
      <c r="S14" s="260">
        <v>3723069</v>
      </c>
      <c r="T14" s="260">
        <v>3035281</v>
      </c>
      <c r="U14" s="260">
        <v>3582249</v>
      </c>
      <c r="V14" s="260">
        <v>3865430</v>
      </c>
      <c r="W14" s="260">
        <v>3663709</v>
      </c>
      <c r="X14" s="260">
        <v>4060887</v>
      </c>
      <c r="Y14" s="260">
        <v>3934481</v>
      </c>
      <c r="Z14" s="260">
        <v>3319263</v>
      </c>
      <c r="AA14" s="260">
        <v>2974849</v>
      </c>
      <c r="AB14" s="260">
        <v>3914912</v>
      </c>
      <c r="AC14" s="260">
        <v>3924455</v>
      </c>
      <c r="AD14" s="260">
        <v>3895774</v>
      </c>
      <c r="AE14" s="260">
        <v>3703086</v>
      </c>
      <c r="AF14" s="260">
        <v>3476431</v>
      </c>
      <c r="AG14" s="260">
        <v>3444103</v>
      </c>
      <c r="AH14" s="260">
        <v>3235934</v>
      </c>
      <c r="AI14" s="260">
        <v>4309512</v>
      </c>
      <c r="AJ14" s="260">
        <v>4230336</v>
      </c>
      <c r="AK14" s="260">
        <v>4133124</v>
      </c>
      <c r="AL14" s="260">
        <v>3419470</v>
      </c>
      <c r="AM14" s="260">
        <v>3070669</v>
      </c>
      <c r="AN14" s="260">
        <v>4048396</v>
      </c>
      <c r="AO14" s="260">
        <v>4239781</v>
      </c>
      <c r="AP14" s="260">
        <v>4417651</v>
      </c>
      <c r="AQ14" s="260">
        <v>4193394</v>
      </c>
      <c r="AR14" s="260">
        <v>4096204</v>
      </c>
      <c r="AS14" s="260">
        <v>3809148</v>
      </c>
      <c r="AT14" s="260">
        <v>3863128</v>
      </c>
      <c r="AU14" s="260">
        <v>4322695</v>
      </c>
      <c r="AV14" s="260">
        <v>3876609</v>
      </c>
      <c r="AW14" s="260">
        <v>3448543</v>
      </c>
      <c r="AX14" s="260">
        <v>2346643</v>
      </c>
      <c r="AY14" s="260">
        <v>2621495</v>
      </c>
      <c r="AZ14" s="260">
        <v>3438099</v>
      </c>
      <c r="BA14" s="260">
        <v>3572112</v>
      </c>
      <c r="BB14" s="260">
        <v>3666841</v>
      </c>
      <c r="BC14" s="260">
        <v>3591244</v>
      </c>
      <c r="BD14" s="260">
        <v>3280017</v>
      </c>
      <c r="BE14" s="260">
        <v>3288796</v>
      </c>
      <c r="BF14" s="260">
        <v>3463755</v>
      </c>
      <c r="BG14" s="260">
        <v>3426784</v>
      </c>
      <c r="BH14" s="260">
        <v>2994640</v>
      </c>
      <c r="BI14" s="260">
        <v>3207278</v>
      </c>
      <c r="BJ14" s="260">
        <v>2588834</v>
      </c>
      <c r="BK14" s="260">
        <v>2590708</v>
      </c>
      <c r="BL14" s="260">
        <v>3510581</v>
      </c>
      <c r="BM14" s="260">
        <v>3754282</v>
      </c>
      <c r="BN14" s="260">
        <v>3674631</v>
      </c>
      <c r="BO14" s="260">
        <v>3651789</v>
      </c>
      <c r="BP14" s="260">
        <v>3360575</v>
      </c>
      <c r="BQ14" s="260">
        <v>3058764</v>
      </c>
      <c r="BR14" s="260">
        <v>2759690</v>
      </c>
      <c r="BS14" s="260">
        <v>3460098</v>
      </c>
      <c r="BT14" s="260">
        <v>3542581</v>
      </c>
      <c r="BU14" s="260">
        <v>3264912</v>
      </c>
      <c r="BV14" s="260">
        <v>2567788</v>
      </c>
      <c r="BW14" s="260">
        <v>2470106</v>
      </c>
      <c r="BX14" s="260">
        <v>3675088</v>
      </c>
      <c r="BY14" s="260">
        <v>3757325</v>
      </c>
      <c r="BZ14" s="260">
        <v>3674631</v>
      </c>
      <c r="CA14" s="260">
        <v>3605712</v>
      </c>
      <c r="CB14" s="260">
        <v>3360575</v>
      </c>
      <c r="CC14" s="260">
        <v>3227277</v>
      </c>
      <c r="CD14" s="260">
        <v>3298026</v>
      </c>
      <c r="CE14" s="260">
        <v>3635453</v>
      </c>
      <c r="CF14" s="260">
        <v>3542581</v>
      </c>
      <c r="CG14" s="260">
        <v>3469153</v>
      </c>
      <c r="CH14" s="260">
        <v>2689011</v>
      </c>
      <c r="CI14" s="260">
        <v>2933099</v>
      </c>
      <c r="CJ14" s="260">
        <v>3605834</v>
      </c>
      <c r="CK14" s="260">
        <v>3557410</v>
      </c>
      <c r="CL14" s="260">
        <v>3807425</v>
      </c>
      <c r="CM14" s="260">
        <v>3731815</v>
      </c>
      <c r="CN14" s="260">
        <v>3506984</v>
      </c>
      <c r="CO14" s="260">
        <v>3046520</v>
      </c>
      <c r="CP14" s="260">
        <v>3080181</v>
      </c>
      <c r="CQ14" s="260">
        <v>3592844</v>
      </c>
      <c r="CR14" s="260">
        <v>3592416</v>
      </c>
      <c r="CS14" s="260">
        <v>3165389</v>
      </c>
      <c r="CT14" s="260">
        <v>2909186</v>
      </c>
      <c r="CU14" s="260">
        <v>2717781</v>
      </c>
      <c r="CV14" s="260">
        <v>3639589</v>
      </c>
      <c r="CW14" s="260">
        <v>3807309</v>
      </c>
      <c r="CX14" s="260">
        <v>3984681</v>
      </c>
      <c r="CY14" s="260">
        <v>3565386</v>
      </c>
      <c r="CZ14" s="260">
        <v>3437362</v>
      </c>
      <c r="DA14" s="260">
        <v>3313811</v>
      </c>
      <c r="DB14" s="260">
        <v>3026376</v>
      </c>
      <c r="DC14" s="260">
        <v>3689731</v>
      </c>
      <c r="DD14" s="260">
        <v>3587288</v>
      </c>
      <c r="DE14" s="260">
        <v>2143770</v>
      </c>
      <c r="DF14" s="260">
        <v>2534655</v>
      </c>
      <c r="DG14" s="260">
        <v>2602407</v>
      </c>
      <c r="DH14" s="260">
        <v>3382487</v>
      </c>
      <c r="DI14" s="260">
        <v>3450747</v>
      </c>
      <c r="DJ14" s="260">
        <v>3362860</v>
      </c>
      <c r="DK14" s="260">
        <v>3210007</v>
      </c>
      <c r="DL14" s="260">
        <v>3314427</v>
      </c>
      <c r="DM14" s="260">
        <v>3008351</v>
      </c>
      <c r="DN14" s="260">
        <v>2892065</v>
      </c>
      <c r="DO14" s="260">
        <v>3346101</v>
      </c>
      <c r="DP14" s="260">
        <v>3224812</v>
      </c>
      <c r="DQ14" s="260">
        <v>3050249</v>
      </c>
      <c r="DR14" s="260">
        <v>2734664</v>
      </c>
      <c r="DS14" s="260">
        <v>2344967</v>
      </c>
      <c r="DT14" s="260">
        <v>3251254</v>
      </c>
      <c r="DU14" s="260">
        <v>3250163</v>
      </c>
      <c r="DV14" s="260">
        <v>3217001</v>
      </c>
      <c r="DW14" s="260">
        <v>3287290</v>
      </c>
      <c r="DX14" s="260">
        <v>3274352</v>
      </c>
      <c r="DY14" s="260">
        <v>3014957</v>
      </c>
      <c r="DZ14" s="260">
        <v>2907906</v>
      </c>
      <c r="EA14" s="260">
        <v>3409564</v>
      </c>
      <c r="EB14" s="260">
        <v>3167879</v>
      </c>
      <c r="EC14" s="260">
        <v>3233645</v>
      </c>
      <c r="ED14" s="260">
        <v>2622245</v>
      </c>
      <c r="EE14" s="260">
        <v>2471111</v>
      </c>
      <c r="EF14" s="260">
        <v>3286290</v>
      </c>
      <c r="EG14" s="260">
        <v>3118350</v>
      </c>
      <c r="EH14" s="260">
        <v>3188390</v>
      </c>
      <c r="EI14" s="260">
        <v>3105722</v>
      </c>
      <c r="EJ14" s="260">
        <v>3009458</v>
      </c>
      <c r="EK14" s="260">
        <v>3024435</v>
      </c>
      <c r="EL14" s="260">
        <v>2527637</v>
      </c>
      <c r="EM14" s="260">
        <v>1883222</v>
      </c>
      <c r="EN14" s="260">
        <v>1898447</v>
      </c>
      <c r="EO14" s="260">
        <v>2420134</v>
      </c>
      <c r="EP14" s="260">
        <v>2151665</v>
      </c>
      <c r="EQ14" s="260">
        <v>2402359</v>
      </c>
      <c r="ER14" s="260">
        <v>2905635</v>
      </c>
      <c r="ES14" s="260">
        <v>2868040</v>
      </c>
      <c r="ET14" s="260">
        <v>2890323</v>
      </c>
      <c r="EU14" s="260">
        <v>2775104</v>
      </c>
      <c r="EV14" s="260">
        <v>2525432</v>
      </c>
      <c r="EW14" s="260">
        <v>2505020</v>
      </c>
      <c r="EX14" s="260">
        <v>2783365</v>
      </c>
      <c r="EY14" s="260">
        <v>2429279</v>
      </c>
      <c r="EZ14" s="260">
        <v>2860412</v>
      </c>
      <c r="FA14" s="260">
        <v>2572976</v>
      </c>
    </row>
    <row r="15" spans="1:157" ht="20.100000000000001" customHeight="1">
      <c r="A15" s="94" t="s">
        <v>297</v>
      </c>
      <c r="B15" s="93" t="s">
        <v>967</v>
      </c>
      <c r="C15" s="260">
        <v>408368372</v>
      </c>
      <c r="D15" s="260">
        <v>426413788</v>
      </c>
      <c r="E15" s="260">
        <v>499083185</v>
      </c>
      <c r="F15" s="260">
        <v>408136000</v>
      </c>
      <c r="G15" s="260">
        <v>401177000</v>
      </c>
      <c r="H15" s="260">
        <v>496174000</v>
      </c>
      <c r="I15" s="260">
        <v>535725000</v>
      </c>
      <c r="J15" s="260">
        <v>584573000</v>
      </c>
      <c r="K15" s="260">
        <v>565456252</v>
      </c>
      <c r="L15" s="260">
        <v>518855708</v>
      </c>
      <c r="M15" s="260">
        <v>526000147</v>
      </c>
      <c r="N15" s="260">
        <v>43309017</v>
      </c>
      <c r="O15" s="260">
        <v>42999385</v>
      </c>
      <c r="P15" s="260">
        <v>43331211</v>
      </c>
      <c r="Q15" s="260">
        <v>44167415</v>
      </c>
      <c r="R15" s="260">
        <v>44953006</v>
      </c>
      <c r="S15" s="260">
        <v>44307841</v>
      </c>
      <c r="T15" s="260">
        <v>44590048</v>
      </c>
      <c r="U15" s="260">
        <v>42994062</v>
      </c>
      <c r="V15" s="260">
        <v>44998500</v>
      </c>
      <c r="W15" s="260">
        <v>46923771</v>
      </c>
      <c r="X15" s="260">
        <v>43894486</v>
      </c>
      <c r="Y15" s="260">
        <v>42809129</v>
      </c>
      <c r="Z15" s="260">
        <v>44917100</v>
      </c>
      <c r="AA15" s="260">
        <v>45536597</v>
      </c>
      <c r="AB15" s="260">
        <v>45393591</v>
      </c>
      <c r="AC15" s="260">
        <v>45896203</v>
      </c>
      <c r="AD15" s="260">
        <v>45883342</v>
      </c>
      <c r="AE15" s="260">
        <v>45791504</v>
      </c>
      <c r="AF15" s="260">
        <v>45166795</v>
      </c>
      <c r="AG15" s="260">
        <v>45996175</v>
      </c>
      <c r="AH15" s="260">
        <v>46793231</v>
      </c>
      <c r="AI15" s="260">
        <v>46658698</v>
      </c>
      <c r="AJ15" s="260">
        <v>45879483</v>
      </c>
      <c r="AK15" s="260">
        <v>46351752</v>
      </c>
      <c r="AL15" s="260">
        <v>45005689</v>
      </c>
      <c r="AM15" s="260">
        <v>45383050</v>
      </c>
      <c r="AN15" s="260">
        <v>46158592</v>
      </c>
      <c r="AO15" s="260">
        <v>46365508</v>
      </c>
      <c r="AP15" s="260">
        <v>46236132</v>
      </c>
      <c r="AQ15" s="260">
        <v>46508927</v>
      </c>
      <c r="AR15" s="260">
        <v>46595820</v>
      </c>
      <c r="AS15" s="260">
        <v>46217048</v>
      </c>
      <c r="AT15" s="260">
        <v>47109328</v>
      </c>
      <c r="AU15" s="260">
        <v>47749743</v>
      </c>
      <c r="AV15" s="260">
        <v>46588269</v>
      </c>
      <c r="AW15" s="260">
        <v>45883239</v>
      </c>
      <c r="AX15" s="260">
        <v>49031750</v>
      </c>
      <c r="AY15" s="260">
        <v>48637977</v>
      </c>
      <c r="AZ15" s="260">
        <v>50507890</v>
      </c>
      <c r="BA15" s="260">
        <v>50561749</v>
      </c>
      <c r="BB15" s="260">
        <v>50283974</v>
      </c>
      <c r="BC15" s="260">
        <v>50536333</v>
      </c>
      <c r="BD15" s="260">
        <v>50545724</v>
      </c>
      <c r="BE15" s="260">
        <v>50508637</v>
      </c>
      <c r="BF15" s="260">
        <v>51113078</v>
      </c>
      <c r="BG15" s="260">
        <v>52749720</v>
      </c>
      <c r="BH15" s="260">
        <v>51842183</v>
      </c>
      <c r="BI15" s="260">
        <v>51161310</v>
      </c>
      <c r="BJ15" s="260">
        <v>51144826</v>
      </c>
      <c r="BK15" s="260">
        <v>50764398</v>
      </c>
      <c r="BL15" s="260">
        <v>52494343</v>
      </c>
      <c r="BM15" s="260">
        <v>51933773</v>
      </c>
      <c r="BN15" s="260">
        <v>51570955</v>
      </c>
      <c r="BO15" s="260">
        <v>51673455</v>
      </c>
      <c r="BP15" s="260">
        <v>51564008</v>
      </c>
      <c r="BQ15" s="260">
        <v>50778956</v>
      </c>
      <c r="BR15" s="260">
        <v>51643833</v>
      </c>
      <c r="BS15" s="260">
        <v>50654485</v>
      </c>
      <c r="BT15" s="260">
        <v>53367764</v>
      </c>
      <c r="BU15" s="260">
        <v>51938851</v>
      </c>
      <c r="BV15" s="260">
        <v>51385569</v>
      </c>
      <c r="BW15" s="260">
        <v>51228249</v>
      </c>
      <c r="BX15" s="260">
        <v>53250737</v>
      </c>
      <c r="BY15" s="260">
        <v>53084007</v>
      </c>
      <c r="BZ15" s="260">
        <v>51570955</v>
      </c>
      <c r="CA15" s="260">
        <v>52801732</v>
      </c>
      <c r="CB15" s="260">
        <v>51564008</v>
      </c>
      <c r="CC15" s="260">
        <v>52036861</v>
      </c>
      <c r="CD15" s="260">
        <v>53242152</v>
      </c>
      <c r="CE15" s="260">
        <v>54581252</v>
      </c>
      <c r="CF15" s="260">
        <v>53367764</v>
      </c>
      <c r="CG15" s="260">
        <v>53061782</v>
      </c>
      <c r="CH15" s="260">
        <v>60713663</v>
      </c>
      <c r="CI15" s="260">
        <v>58612836</v>
      </c>
      <c r="CJ15" s="260">
        <v>62357794</v>
      </c>
      <c r="CK15" s="260">
        <v>61080942</v>
      </c>
      <c r="CL15" s="260">
        <v>61000089</v>
      </c>
      <c r="CM15" s="260">
        <v>60632011</v>
      </c>
      <c r="CN15" s="260">
        <v>61612048</v>
      </c>
      <c r="CO15" s="260">
        <v>58311599</v>
      </c>
      <c r="CP15" s="260">
        <v>61772727</v>
      </c>
      <c r="CQ15" s="260">
        <v>63544929</v>
      </c>
      <c r="CR15" s="260">
        <v>61876148</v>
      </c>
      <c r="CS15" s="260">
        <v>61404133</v>
      </c>
      <c r="CT15" s="260">
        <v>60029250</v>
      </c>
      <c r="CU15" s="260">
        <v>57908135</v>
      </c>
      <c r="CV15" s="260">
        <v>61166814</v>
      </c>
      <c r="CW15" s="260">
        <v>59638979</v>
      </c>
      <c r="CX15" s="260">
        <v>59697842</v>
      </c>
      <c r="CY15" s="260">
        <v>60980828</v>
      </c>
      <c r="CZ15" s="260">
        <v>58956901</v>
      </c>
      <c r="DA15" s="260">
        <v>59527635</v>
      </c>
      <c r="DB15" s="260">
        <v>60060883</v>
      </c>
      <c r="DC15" s="260">
        <v>61429400</v>
      </c>
      <c r="DD15" s="260">
        <v>60949738</v>
      </c>
      <c r="DE15" s="260">
        <v>61030314</v>
      </c>
      <c r="DF15" s="260">
        <v>50748466</v>
      </c>
      <c r="DG15" s="260">
        <v>49637621</v>
      </c>
      <c r="DH15" s="260">
        <v>51867701</v>
      </c>
      <c r="DI15" s="260">
        <v>51806931</v>
      </c>
      <c r="DJ15" s="260">
        <v>52512074</v>
      </c>
      <c r="DK15" s="260">
        <v>52459071</v>
      </c>
      <c r="DL15" s="260">
        <v>52125555</v>
      </c>
      <c r="DM15" s="260">
        <v>51221834</v>
      </c>
      <c r="DN15" s="260">
        <v>53274948</v>
      </c>
      <c r="DO15" s="260">
        <v>63839968</v>
      </c>
      <c r="DP15" s="260">
        <v>63077511</v>
      </c>
      <c r="DQ15" s="260">
        <v>62473956</v>
      </c>
      <c r="DR15" s="260" t="s">
        <v>293</v>
      </c>
      <c r="DS15" s="260" t="s">
        <v>293</v>
      </c>
      <c r="DT15" s="260" t="s">
        <v>293</v>
      </c>
      <c r="DU15" s="260" t="s">
        <v>293</v>
      </c>
      <c r="DV15" s="260" t="s">
        <v>293</v>
      </c>
      <c r="DW15" s="260" t="s">
        <v>293</v>
      </c>
      <c r="DX15" s="260" t="s">
        <v>293</v>
      </c>
      <c r="DY15" s="260" t="s">
        <v>293</v>
      </c>
      <c r="DZ15" s="260" t="s">
        <v>293</v>
      </c>
      <c r="EA15" s="260" t="s">
        <v>293</v>
      </c>
      <c r="EB15" s="260" t="s">
        <v>293</v>
      </c>
      <c r="EC15" s="260" t="s">
        <v>293</v>
      </c>
      <c r="ED15" s="260" t="s">
        <v>293</v>
      </c>
      <c r="EE15" s="260" t="s">
        <v>293</v>
      </c>
      <c r="EF15" s="260" t="s">
        <v>293</v>
      </c>
      <c r="EG15" s="260" t="s">
        <v>293</v>
      </c>
      <c r="EH15" s="260" t="s">
        <v>293</v>
      </c>
      <c r="EI15" s="260" t="s">
        <v>293</v>
      </c>
      <c r="EJ15" s="260" t="s">
        <v>293</v>
      </c>
      <c r="EK15" s="260" t="s">
        <v>293</v>
      </c>
      <c r="EL15" s="260" t="s">
        <v>293</v>
      </c>
      <c r="EM15" s="260" t="s">
        <v>293</v>
      </c>
      <c r="EN15" s="260" t="s">
        <v>293</v>
      </c>
      <c r="EO15" s="260" t="s">
        <v>293</v>
      </c>
      <c r="EP15" s="260" t="s">
        <v>293</v>
      </c>
      <c r="EQ15" s="260" t="s">
        <v>293</v>
      </c>
      <c r="ER15" s="260" t="s">
        <v>293</v>
      </c>
      <c r="ES15" s="260" t="s">
        <v>293</v>
      </c>
      <c r="ET15" s="260" t="s">
        <v>293</v>
      </c>
      <c r="EU15" s="260" t="s">
        <v>293</v>
      </c>
      <c r="EV15" s="260" t="s">
        <v>293</v>
      </c>
      <c r="EW15" s="260" t="s">
        <v>293</v>
      </c>
      <c r="EX15" s="260" t="s">
        <v>293</v>
      </c>
      <c r="EY15" s="260" t="s">
        <v>293</v>
      </c>
      <c r="EZ15" s="260" t="s">
        <v>293</v>
      </c>
      <c r="FA15" s="260" t="s">
        <v>293</v>
      </c>
    </row>
    <row r="16" spans="1:157" ht="20.100000000000001" customHeight="1">
      <c r="A16" s="94" t="s">
        <v>297</v>
      </c>
      <c r="B16" s="93" t="s">
        <v>968</v>
      </c>
      <c r="C16" s="260">
        <v>129111889</v>
      </c>
      <c r="D16" s="260">
        <v>140947542</v>
      </c>
      <c r="E16" s="260">
        <v>147045854</v>
      </c>
      <c r="F16" s="260">
        <v>115178828</v>
      </c>
      <c r="G16" s="260">
        <v>123692958</v>
      </c>
      <c r="H16" s="260">
        <v>134467386</v>
      </c>
      <c r="I16" s="260">
        <v>140544327</v>
      </c>
      <c r="J16" s="260">
        <v>141705985</v>
      </c>
      <c r="K16" s="260">
        <v>145326809</v>
      </c>
      <c r="L16" s="260">
        <v>115635806</v>
      </c>
      <c r="M16" s="260">
        <v>119409878</v>
      </c>
      <c r="N16" s="260">
        <v>9738061</v>
      </c>
      <c r="O16" s="260">
        <v>8736249</v>
      </c>
      <c r="P16" s="260">
        <v>10159869</v>
      </c>
      <c r="Q16" s="260">
        <v>10318433</v>
      </c>
      <c r="R16" s="260">
        <v>10875542</v>
      </c>
      <c r="S16" s="260">
        <v>10176447</v>
      </c>
      <c r="T16" s="260">
        <v>8922508</v>
      </c>
      <c r="U16" s="260">
        <v>9508569</v>
      </c>
      <c r="V16" s="260">
        <v>9623495</v>
      </c>
      <c r="W16" s="260">
        <v>10080784</v>
      </c>
      <c r="X16" s="260">
        <v>9476104</v>
      </c>
      <c r="Y16" s="260">
        <v>10188715</v>
      </c>
      <c r="Z16" s="260">
        <v>9683037</v>
      </c>
      <c r="AA16" s="260">
        <v>8303819</v>
      </c>
      <c r="AB16" s="260">
        <v>10030594</v>
      </c>
      <c r="AC16" s="260">
        <v>9901094</v>
      </c>
      <c r="AD16" s="260">
        <v>10773610</v>
      </c>
      <c r="AE16" s="260">
        <v>10836921</v>
      </c>
      <c r="AF16" s="260">
        <v>10045722</v>
      </c>
      <c r="AG16" s="260">
        <v>9523785</v>
      </c>
      <c r="AH16" s="260">
        <v>9855583</v>
      </c>
      <c r="AI16" s="260">
        <v>10364414</v>
      </c>
      <c r="AJ16" s="260">
        <v>10264772</v>
      </c>
      <c r="AK16" s="260">
        <v>10495848</v>
      </c>
      <c r="AL16" s="260">
        <v>10688920</v>
      </c>
      <c r="AM16" s="260">
        <v>9393702</v>
      </c>
      <c r="AN16" s="260">
        <v>11280292</v>
      </c>
      <c r="AO16" s="260">
        <v>10617605</v>
      </c>
      <c r="AP16" s="260">
        <v>10986885</v>
      </c>
      <c r="AQ16" s="260">
        <v>10042801</v>
      </c>
      <c r="AR16" s="260">
        <v>10412026</v>
      </c>
      <c r="AS16" s="260">
        <v>10565833</v>
      </c>
      <c r="AT16" s="260">
        <v>10392834</v>
      </c>
      <c r="AU16" s="260">
        <v>11133933</v>
      </c>
      <c r="AV16" s="260">
        <v>10555440</v>
      </c>
      <c r="AW16" s="260">
        <v>10893983</v>
      </c>
      <c r="AX16" s="260">
        <v>8974859</v>
      </c>
      <c r="AY16" s="260">
        <v>8981640</v>
      </c>
      <c r="AZ16" s="260">
        <v>10011138</v>
      </c>
      <c r="BA16" s="260">
        <v>10778696</v>
      </c>
      <c r="BB16" s="260">
        <v>11010533</v>
      </c>
      <c r="BC16" s="260">
        <v>9320761</v>
      </c>
      <c r="BD16" s="260">
        <v>10229614</v>
      </c>
      <c r="BE16" s="260">
        <v>9832618</v>
      </c>
      <c r="BF16" s="260">
        <v>10702641</v>
      </c>
      <c r="BG16" s="260">
        <v>10051092</v>
      </c>
      <c r="BH16" s="260">
        <v>10313579</v>
      </c>
      <c r="BI16" s="260">
        <v>9824739</v>
      </c>
      <c r="BJ16" s="260">
        <v>9430070</v>
      </c>
      <c r="BK16" s="260">
        <v>8320019</v>
      </c>
      <c r="BL16" s="260">
        <v>10121805</v>
      </c>
      <c r="BM16" s="260">
        <v>10549394</v>
      </c>
      <c r="BN16" s="260">
        <v>11332909</v>
      </c>
      <c r="BO16" s="260">
        <v>10265194</v>
      </c>
      <c r="BP16" s="260">
        <v>9454720</v>
      </c>
      <c r="BQ16" s="260">
        <v>9179380</v>
      </c>
      <c r="BR16" s="260">
        <v>8666415</v>
      </c>
      <c r="BS16" s="260">
        <v>10431587</v>
      </c>
      <c r="BT16" s="260">
        <v>11017860</v>
      </c>
      <c r="BU16" s="260">
        <v>10252227</v>
      </c>
      <c r="BV16" s="260">
        <v>8476082</v>
      </c>
      <c r="BW16" s="260">
        <v>7694920</v>
      </c>
      <c r="BX16" s="260">
        <v>9977314</v>
      </c>
      <c r="BY16" s="260">
        <v>9924708</v>
      </c>
      <c r="BZ16" s="260">
        <v>11332909</v>
      </c>
      <c r="CA16" s="260">
        <v>9518360</v>
      </c>
      <c r="CB16" s="260">
        <v>9454720</v>
      </c>
      <c r="CC16" s="260">
        <v>8930073</v>
      </c>
      <c r="CD16" s="260">
        <v>8250502</v>
      </c>
      <c r="CE16" s="260">
        <v>9168212</v>
      </c>
      <c r="CF16" s="260">
        <v>11017860</v>
      </c>
      <c r="CG16" s="260">
        <v>9282482</v>
      </c>
      <c r="CH16" s="260">
        <v>10071298</v>
      </c>
      <c r="CI16" s="260">
        <v>9136628</v>
      </c>
      <c r="CJ16" s="260">
        <v>10105857</v>
      </c>
      <c r="CK16" s="260">
        <v>10466553</v>
      </c>
      <c r="CL16" s="260">
        <v>10826504</v>
      </c>
      <c r="CM16" s="260">
        <v>10615448</v>
      </c>
      <c r="CN16" s="260">
        <v>10522564</v>
      </c>
      <c r="CO16" s="260">
        <v>8789748</v>
      </c>
      <c r="CP16" s="260">
        <v>9307097</v>
      </c>
      <c r="CQ16" s="260">
        <v>10075289</v>
      </c>
      <c r="CR16" s="260">
        <v>10030050</v>
      </c>
      <c r="CS16" s="260">
        <v>9110271</v>
      </c>
      <c r="CT16" s="260">
        <v>8952710</v>
      </c>
      <c r="CU16" s="260">
        <v>8020408</v>
      </c>
      <c r="CV16" s="260">
        <v>10328866</v>
      </c>
      <c r="CW16" s="260">
        <v>10099682</v>
      </c>
      <c r="CX16" s="260">
        <v>10338088</v>
      </c>
      <c r="CY16" s="260">
        <v>10554611</v>
      </c>
      <c r="CZ16" s="260">
        <v>9712420</v>
      </c>
      <c r="DA16" s="260">
        <v>9989191</v>
      </c>
      <c r="DB16" s="260">
        <v>9293279</v>
      </c>
      <c r="DC16" s="260">
        <v>9933424</v>
      </c>
      <c r="DD16" s="260">
        <v>10441517</v>
      </c>
      <c r="DE16" s="260">
        <v>10195914</v>
      </c>
      <c r="DF16" s="260">
        <v>10082417</v>
      </c>
      <c r="DG16" s="260">
        <v>8498818</v>
      </c>
      <c r="DH16" s="260">
        <v>10511377</v>
      </c>
      <c r="DI16" s="260">
        <v>10266192</v>
      </c>
      <c r="DJ16" s="260">
        <v>10102259</v>
      </c>
      <c r="DK16" s="260">
        <v>10311627</v>
      </c>
      <c r="DL16" s="260">
        <v>9776873</v>
      </c>
      <c r="DM16" s="260">
        <v>9307408</v>
      </c>
      <c r="DN16" s="260">
        <v>8666943</v>
      </c>
      <c r="DO16" s="260">
        <v>10430332</v>
      </c>
      <c r="DP16" s="260">
        <v>10564679</v>
      </c>
      <c r="DQ16" s="260">
        <v>9401163</v>
      </c>
      <c r="DR16" s="260">
        <v>9634525</v>
      </c>
      <c r="DS16" s="260">
        <v>8554106</v>
      </c>
      <c r="DT16" s="260">
        <v>10026694</v>
      </c>
      <c r="DU16" s="260">
        <v>10476782</v>
      </c>
      <c r="DV16" s="260">
        <v>10655900</v>
      </c>
      <c r="DW16" s="260">
        <v>10763392</v>
      </c>
      <c r="DX16" s="260">
        <v>10480933</v>
      </c>
      <c r="DY16" s="260">
        <v>10933588</v>
      </c>
      <c r="DZ16" s="260">
        <v>10979171</v>
      </c>
      <c r="EA16" s="260">
        <v>12016779</v>
      </c>
      <c r="EB16" s="260">
        <v>11687739</v>
      </c>
      <c r="EC16" s="260">
        <v>12401621</v>
      </c>
      <c r="ED16" s="260">
        <v>12107753</v>
      </c>
      <c r="EE16" s="260">
        <v>10375643</v>
      </c>
      <c r="EF16" s="260">
        <v>12883162</v>
      </c>
      <c r="EG16" s="260">
        <v>12080222</v>
      </c>
      <c r="EH16" s="260">
        <v>12258058</v>
      </c>
      <c r="EI16" s="260">
        <v>12188677</v>
      </c>
      <c r="EJ16" s="260">
        <v>11901355</v>
      </c>
      <c r="EK16" s="260">
        <v>11685562</v>
      </c>
      <c r="EL16" s="260">
        <v>10862620</v>
      </c>
      <c r="EM16" s="260">
        <v>12544187</v>
      </c>
      <c r="EN16" s="260">
        <v>12229103</v>
      </c>
      <c r="EO16" s="260">
        <v>12111006</v>
      </c>
      <c r="EP16" s="260">
        <v>15872211</v>
      </c>
      <c r="EQ16" s="260">
        <v>13216846</v>
      </c>
      <c r="ER16" s="260">
        <v>12398437</v>
      </c>
      <c r="ES16" s="260">
        <v>12014717</v>
      </c>
      <c r="ET16" s="260">
        <v>12453431</v>
      </c>
      <c r="EU16" s="260">
        <v>11960941</v>
      </c>
      <c r="EV16" s="260">
        <v>10973679</v>
      </c>
      <c r="EW16" s="260">
        <v>11180290</v>
      </c>
      <c r="EX16" s="260">
        <v>10516491</v>
      </c>
      <c r="EY16" s="260">
        <v>9820041</v>
      </c>
      <c r="EZ16" s="260">
        <v>11024011</v>
      </c>
      <c r="FA16" s="260">
        <v>11156212</v>
      </c>
    </row>
    <row r="17" spans="1:157" ht="20.100000000000001" customHeight="1">
      <c r="A17" s="94" t="s">
        <v>297</v>
      </c>
      <c r="B17" s="93" t="s">
        <v>969</v>
      </c>
      <c r="C17" s="260">
        <v>322720</v>
      </c>
      <c r="D17" s="260">
        <v>351363</v>
      </c>
      <c r="E17" s="260">
        <v>387319</v>
      </c>
      <c r="F17" s="260">
        <v>363547</v>
      </c>
      <c r="G17" s="260">
        <v>393275</v>
      </c>
      <c r="H17" s="260">
        <v>434228</v>
      </c>
      <c r="I17" s="260">
        <v>431032</v>
      </c>
      <c r="J17" s="260">
        <v>432702</v>
      </c>
      <c r="K17" s="260">
        <v>422565</v>
      </c>
      <c r="L17" s="260">
        <v>408984</v>
      </c>
      <c r="M17" s="260">
        <v>372385</v>
      </c>
      <c r="N17" s="260">
        <v>32505</v>
      </c>
      <c r="O17" s="260">
        <v>31261</v>
      </c>
      <c r="P17" s="260">
        <v>38158</v>
      </c>
      <c r="Q17" s="260">
        <v>32085</v>
      </c>
      <c r="R17" s="260">
        <v>26397</v>
      </c>
      <c r="S17" s="260">
        <v>24142</v>
      </c>
      <c r="T17" s="260">
        <v>24787</v>
      </c>
      <c r="U17" s="260">
        <v>27707</v>
      </c>
      <c r="V17" s="260">
        <v>28696</v>
      </c>
      <c r="W17" s="260">
        <v>27726</v>
      </c>
      <c r="X17" s="260">
        <v>30070</v>
      </c>
      <c r="Y17" s="260">
        <v>31715</v>
      </c>
      <c r="Z17" s="260">
        <v>30964</v>
      </c>
      <c r="AA17" s="260">
        <v>28714</v>
      </c>
      <c r="AB17" s="260">
        <v>30374</v>
      </c>
      <c r="AC17" s="260">
        <v>27123</v>
      </c>
      <c r="AD17" s="260">
        <v>23726</v>
      </c>
      <c r="AE17" s="260">
        <v>21987</v>
      </c>
      <c r="AF17" s="260">
        <v>23274</v>
      </c>
      <c r="AG17" s="260">
        <v>25164</v>
      </c>
      <c r="AH17" s="260">
        <v>24758</v>
      </c>
      <c r="AI17" s="260">
        <v>28651</v>
      </c>
      <c r="AJ17" s="260">
        <v>26628</v>
      </c>
      <c r="AK17" s="260">
        <v>25035</v>
      </c>
      <c r="AL17" s="260">
        <v>23441</v>
      </c>
      <c r="AM17" s="260">
        <v>24225</v>
      </c>
      <c r="AN17" s="260">
        <v>21879</v>
      </c>
      <c r="AO17" s="260">
        <v>20125</v>
      </c>
      <c r="AP17" s="260">
        <v>18797</v>
      </c>
      <c r="AQ17" s="260">
        <v>16205</v>
      </c>
      <c r="AR17" s="260">
        <v>15902</v>
      </c>
      <c r="AS17" s="260">
        <v>21412</v>
      </c>
      <c r="AT17" s="260">
        <v>20952</v>
      </c>
      <c r="AU17" s="260">
        <v>24955</v>
      </c>
      <c r="AV17" s="260">
        <v>23366</v>
      </c>
      <c r="AW17" s="260">
        <v>22980</v>
      </c>
      <c r="AX17" s="260">
        <v>23206</v>
      </c>
      <c r="AY17" s="260">
        <v>21910</v>
      </c>
      <c r="AZ17" s="260">
        <v>24461</v>
      </c>
      <c r="BA17" s="260">
        <v>21504</v>
      </c>
      <c r="BB17" s="260">
        <v>19082</v>
      </c>
      <c r="BC17" s="260">
        <v>19158</v>
      </c>
      <c r="BD17" s="260">
        <v>19697</v>
      </c>
      <c r="BE17" s="260">
        <v>23249</v>
      </c>
      <c r="BF17" s="260">
        <v>23409</v>
      </c>
      <c r="BG17" s="260">
        <v>23703</v>
      </c>
      <c r="BH17" s="260">
        <v>24262</v>
      </c>
      <c r="BI17" s="260">
        <v>25036</v>
      </c>
      <c r="BJ17" s="260">
        <v>22635</v>
      </c>
      <c r="BK17" s="260">
        <v>23367</v>
      </c>
      <c r="BL17" s="260">
        <v>24760</v>
      </c>
      <c r="BM17" s="260">
        <v>23605</v>
      </c>
      <c r="BN17" s="260">
        <v>20720</v>
      </c>
      <c r="BO17" s="260">
        <v>18530</v>
      </c>
      <c r="BP17" s="260">
        <v>19478</v>
      </c>
      <c r="BQ17" s="260">
        <v>22318</v>
      </c>
      <c r="BR17" s="260">
        <v>22096</v>
      </c>
      <c r="BS17" s="260">
        <v>23326</v>
      </c>
      <c r="BT17" s="260">
        <v>20672</v>
      </c>
      <c r="BU17" s="260">
        <v>20352</v>
      </c>
      <c r="BV17" s="260">
        <v>19756</v>
      </c>
      <c r="BW17" s="260">
        <v>20809</v>
      </c>
      <c r="BX17" s="260">
        <v>27279</v>
      </c>
      <c r="BY17" s="260">
        <v>24346</v>
      </c>
      <c r="BZ17" s="260">
        <v>20720</v>
      </c>
      <c r="CA17" s="260">
        <v>20145</v>
      </c>
      <c r="CB17" s="260">
        <v>19478</v>
      </c>
      <c r="CC17" s="260">
        <v>24309</v>
      </c>
      <c r="CD17" s="260">
        <v>23908</v>
      </c>
      <c r="CE17" s="260">
        <v>26358</v>
      </c>
      <c r="CF17" s="260">
        <v>20672</v>
      </c>
      <c r="CG17" s="260">
        <v>25938</v>
      </c>
      <c r="CH17" s="260">
        <v>25639</v>
      </c>
      <c r="CI17" s="260">
        <v>23211</v>
      </c>
      <c r="CJ17" s="260">
        <v>25526</v>
      </c>
      <c r="CK17" s="260">
        <v>24563</v>
      </c>
      <c r="CL17" s="260">
        <v>22850</v>
      </c>
      <c r="CM17" s="260">
        <v>21029</v>
      </c>
      <c r="CN17" s="260">
        <v>20995</v>
      </c>
      <c r="CO17" s="260">
        <v>21693</v>
      </c>
      <c r="CP17" s="260">
        <v>19925</v>
      </c>
      <c r="CQ17" s="260">
        <v>21971</v>
      </c>
      <c r="CR17" s="260">
        <v>19672</v>
      </c>
      <c r="CS17" s="260">
        <v>18203</v>
      </c>
      <c r="CT17" s="260">
        <v>20040</v>
      </c>
      <c r="CU17" s="260">
        <v>19878</v>
      </c>
      <c r="CV17" s="260">
        <v>22687</v>
      </c>
      <c r="CW17" s="260">
        <v>22550</v>
      </c>
      <c r="CX17" s="260">
        <v>19777</v>
      </c>
      <c r="CY17" s="260">
        <v>18450</v>
      </c>
      <c r="CZ17" s="260">
        <v>19846</v>
      </c>
      <c r="DA17" s="260">
        <v>21825</v>
      </c>
      <c r="DB17" s="260">
        <v>21542</v>
      </c>
      <c r="DC17" s="260">
        <v>22642</v>
      </c>
      <c r="DD17" s="260">
        <v>22167</v>
      </c>
      <c r="DE17" s="260">
        <v>21283</v>
      </c>
      <c r="DF17" s="260">
        <v>22733</v>
      </c>
      <c r="DG17" s="260">
        <v>21293</v>
      </c>
      <c r="DH17" s="260">
        <v>22697</v>
      </c>
      <c r="DI17" s="260">
        <v>23180</v>
      </c>
      <c r="DJ17" s="260">
        <v>20866</v>
      </c>
      <c r="DK17" s="260">
        <v>20881</v>
      </c>
      <c r="DL17" s="260">
        <v>23953</v>
      </c>
      <c r="DM17" s="260">
        <v>26454</v>
      </c>
      <c r="DN17" s="260">
        <v>25746</v>
      </c>
      <c r="DO17" s="260">
        <v>26163</v>
      </c>
      <c r="DP17" s="260">
        <v>23836</v>
      </c>
      <c r="DQ17" s="260">
        <v>25317</v>
      </c>
      <c r="DR17" s="260">
        <v>24502</v>
      </c>
      <c r="DS17" s="260">
        <v>25316</v>
      </c>
      <c r="DT17" s="260">
        <v>25026</v>
      </c>
      <c r="DU17" s="260">
        <v>24622</v>
      </c>
      <c r="DV17" s="260">
        <v>23458</v>
      </c>
      <c r="DW17" s="260">
        <v>18814</v>
      </c>
      <c r="DX17" s="260">
        <v>21312</v>
      </c>
      <c r="DY17" s="260">
        <v>25130</v>
      </c>
      <c r="DZ17" s="260">
        <v>24803</v>
      </c>
      <c r="EA17" s="260">
        <v>25921</v>
      </c>
      <c r="EB17" s="260">
        <v>23847</v>
      </c>
      <c r="EC17" s="260">
        <v>25031</v>
      </c>
      <c r="ED17" s="260">
        <v>24933</v>
      </c>
      <c r="EE17" s="260">
        <v>24549</v>
      </c>
      <c r="EF17" s="260">
        <v>24435</v>
      </c>
      <c r="EG17" s="260">
        <v>23540</v>
      </c>
      <c r="EH17" s="260">
        <v>22778</v>
      </c>
      <c r="EI17" s="260">
        <v>22597</v>
      </c>
      <c r="EJ17" s="260">
        <v>25134</v>
      </c>
      <c r="EK17" s="260">
        <v>25654</v>
      </c>
      <c r="EL17" s="260">
        <v>25674</v>
      </c>
      <c r="EM17" s="260">
        <v>26830</v>
      </c>
      <c r="EN17" s="260">
        <v>23002</v>
      </c>
      <c r="EO17" s="260">
        <v>23758</v>
      </c>
      <c r="EP17" s="260">
        <v>26368</v>
      </c>
      <c r="EQ17" s="260">
        <v>23154</v>
      </c>
      <c r="ER17" s="260">
        <v>24160</v>
      </c>
      <c r="ES17" s="260">
        <v>23379</v>
      </c>
      <c r="ET17" s="260">
        <v>23574</v>
      </c>
      <c r="EU17" s="260">
        <v>22570</v>
      </c>
      <c r="EV17" s="260">
        <v>24120</v>
      </c>
      <c r="EW17" s="260">
        <v>26200</v>
      </c>
      <c r="EX17" s="260">
        <v>26053</v>
      </c>
      <c r="EY17" s="260">
        <v>25548</v>
      </c>
      <c r="EZ17" s="260">
        <v>22547</v>
      </c>
      <c r="FA17" s="260">
        <v>22454</v>
      </c>
    </row>
    <row r="18" spans="1:157" ht="20.100000000000001" customHeight="1">
      <c r="A18" s="93" t="s">
        <v>807</v>
      </c>
      <c r="B18" s="93" t="s">
        <v>73</v>
      </c>
      <c r="C18" s="260">
        <v>405714274</v>
      </c>
      <c r="D18" s="260">
        <v>442551230</v>
      </c>
      <c r="E18" s="260">
        <v>486661311</v>
      </c>
      <c r="F18" s="260">
        <v>476222728</v>
      </c>
      <c r="G18" s="260">
        <v>533902560</v>
      </c>
      <c r="H18" s="260">
        <v>571548755</v>
      </c>
      <c r="I18" s="260">
        <v>612773903</v>
      </c>
      <c r="J18" s="260">
        <v>637622077</v>
      </c>
      <c r="K18" s="260">
        <v>669816827</v>
      </c>
      <c r="L18" s="260">
        <v>735946247</v>
      </c>
      <c r="M18" s="260">
        <v>757553023</v>
      </c>
      <c r="N18" s="260">
        <v>71712480</v>
      </c>
      <c r="O18" s="260">
        <v>60371386</v>
      </c>
      <c r="P18" s="260">
        <v>69621029</v>
      </c>
      <c r="Q18" s="260">
        <v>66572995</v>
      </c>
      <c r="R18" s="260">
        <v>69341698</v>
      </c>
      <c r="S18" s="260">
        <v>65346873</v>
      </c>
      <c r="T18" s="260">
        <v>67351512</v>
      </c>
      <c r="U18" s="260">
        <v>66247601</v>
      </c>
      <c r="V18" s="260">
        <v>68907654</v>
      </c>
      <c r="W18" s="260">
        <v>66330190</v>
      </c>
      <c r="X18" s="260">
        <v>67877209</v>
      </c>
      <c r="Y18" s="260">
        <v>73002511</v>
      </c>
      <c r="Z18" s="260">
        <v>69823227</v>
      </c>
      <c r="AA18" s="260">
        <v>64765263</v>
      </c>
      <c r="AB18" s="260">
        <v>72893625</v>
      </c>
      <c r="AC18" s="260">
        <v>73768125</v>
      </c>
      <c r="AD18" s="260">
        <v>76886281</v>
      </c>
      <c r="AE18" s="260">
        <v>71823800</v>
      </c>
      <c r="AF18" s="260">
        <v>74787624</v>
      </c>
      <c r="AG18" s="260">
        <v>70166140</v>
      </c>
      <c r="AH18" s="260">
        <v>69525067</v>
      </c>
      <c r="AI18" s="260">
        <v>73019869</v>
      </c>
      <c r="AJ18" s="260">
        <v>69080081</v>
      </c>
      <c r="AK18" s="260">
        <v>79122341</v>
      </c>
      <c r="AL18" s="260">
        <v>76217972</v>
      </c>
      <c r="AM18" s="260">
        <v>68383491</v>
      </c>
      <c r="AN18" s="260">
        <v>80098146</v>
      </c>
      <c r="AO18" s="260">
        <v>75323826</v>
      </c>
      <c r="AP18" s="260">
        <v>78086486</v>
      </c>
      <c r="AQ18" s="260">
        <v>71914259</v>
      </c>
      <c r="AR18" s="260">
        <v>81232962</v>
      </c>
      <c r="AS18" s="260">
        <v>75588855</v>
      </c>
      <c r="AT18" s="260">
        <v>74979218</v>
      </c>
      <c r="AU18" s="260">
        <v>75772750</v>
      </c>
      <c r="AV18" s="260">
        <v>71295784</v>
      </c>
      <c r="AW18" s="260">
        <v>67040000</v>
      </c>
      <c r="AX18" s="260">
        <v>65569343</v>
      </c>
      <c r="AY18" s="260">
        <v>61834770</v>
      </c>
      <c r="AZ18" s="260">
        <v>70424452</v>
      </c>
      <c r="BA18" s="260">
        <v>65689263</v>
      </c>
      <c r="BB18" s="260">
        <v>70037813</v>
      </c>
      <c r="BC18" s="260">
        <v>67870082</v>
      </c>
      <c r="BD18" s="260">
        <v>72048511</v>
      </c>
      <c r="BE18" s="260">
        <v>71855645</v>
      </c>
      <c r="BF18" s="260">
        <v>73407082</v>
      </c>
      <c r="BG18" s="260">
        <v>80797905</v>
      </c>
      <c r="BH18" s="260">
        <v>74599247</v>
      </c>
      <c r="BI18" s="260">
        <v>77037000</v>
      </c>
      <c r="BJ18" s="260">
        <v>79753982</v>
      </c>
      <c r="BK18" s="260">
        <v>70655920</v>
      </c>
      <c r="BL18" s="260">
        <v>83172463</v>
      </c>
      <c r="BM18" s="260">
        <v>79083912</v>
      </c>
      <c r="BN18" s="260">
        <v>84226201</v>
      </c>
      <c r="BO18" s="260">
        <v>80146202</v>
      </c>
      <c r="BP18" s="260">
        <v>82414666</v>
      </c>
      <c r="BQ18" s="260">
        <v>79967287</v>
      </c>
      <c r="BR18" s="260">
        <v>78656024</v>
      </c>
      <c r="BS18" s="260">
        <v>82449817</v>
      </c>
      <c r="BT18" s="260">
        <v>86266955</v>
      </c>
      <c r="BU18" s="260">
        <v>82726797</v>
      </c>
      <c r="BV18" s="260">
        <v>89570617</v>
      </c>
      <c r="BW18" s="260">
        <v>78587466</v>
      </c>
      <c r="BX18" s="260">
        <v>92243362</v>
      </c>
      <c r="BY18" s="260">
        <v>89599038</v>
      </c>
      <c r="BZ18" s="260">
        <v>84226201</v>
      </c>
      <c r="CA18" s="260">
        <v>85373450</v>
      </c>
      <c r="CB18" s="260">
        <v>82414666</v>
      </c>
      <c r="CC18" s="260">
        <v>88260910</v>
      </c>
      <c r="CD18" s="260">
        <v>85833636</v>
      </c>
      <c r="CE18" s="260">
        <v>92305861</v>
      </c>
      <c r="CF18" s="260">
        <v>86266955</v>
      </c>
      <c r="CG18" s="260">
        <v>96588328</v>
      </c>
      <c r="CH18" s="260">
        <v>95141585</v>
      </c>
      <c r="CI18" s="260">
        <v>86679451</v>
      </c>
      <c r="CJ18" s="260">
        <v>95604137</v>
      </c>
      <c r="CK18" s="260">
        <v>92108043</v>
      </c>
      <c r="CL18" s="260">
        <v>95001421</v>
      </c>
      <c r="CM18" s="260">
        <v>90663146</v>
      </c>
      <c r="CN18" s="260">
        <v>94259481</v>
      </c>
      <c r="CO18" s="260">
        <v>84101404</v>
      </c>
      <c r="CP18" s="260">
        <v>96606494</v>
      </c>
      <c r="CQ18" s="260">
        <v>94290831</v>
      </c>
      <c r="CR18" s="260">
        <v>93160394</v>
      </c>
      <c r="CS18" s="260">
        <v>94130663</v>
      </c>
      <c r="CT18" s="260">
        <v>98476563</v>
      </c>
      <c r="CU18" s="260">
        <v>84993652</v>
      </c>
      <c r="CV18" s="260">
        <v>99928409</v>
      </c>
      <c r="CW18" s="260">
        <v>92464787</v>
      </c>
      <c r="CX18" s="260">
        <v>91080175</v>
      </c>
      <c r="CY18" s="260">
        <v>93047685</v>
      </c>
      <c r="CZ18" s="260">
        <v>94901896</v>
      </c>
      <c r="DA18" s="260">
        <v>91665688</v>
      </c>
      <c r="DB18" s="260">
        <v>90190630</v>
      </c>
      <c r="DC18" s="260">
        <v>93990009</v>
      </c>
      <c r="DD18" s="260">
        <v>94976891</v>
      </c>
      <c r="DE18" s="260">
        <v>100734923</v>
      </c>
      <c r="DF18" s="260">
        <v>104668191</v>
      </c>
      <c r="DG18" s="260">
        <v>88531214</v>
      </c>
      <c r="DH18" s="260">
        <v>105712440</v>
      </c>
      <c r="DI18" s="260">
        <v>98444070</v>
      </c>
      <c r="DJ18" s="260">
        <v>97944495</v>
      </c>
      <c r="DK18" s="260">
        <v>96424428</v>
      </c>
      <c r="DL18" s="260">
        <v>99657093</v>
      </c>
      <c r="DM18" s="260">
        <v>97870590</v>
      </c>
      <c r="DN18" s="260">
        <v>95267783</v>
      </c>
      <c r="DO18" s="260">
        <v>101918922</v>
      </c>
      <c r="DP18" s="260">
        <v>99645838</v>
      </c>
      <c r="DQ18" s="260">
        <v>101966872</v>
      </c>
      <c r="DR18" s="260">
        <v>106393448</v>
      </c>
      <c r="DS18" s="260">
        <v>95823656</v>
      </c>
      <c r="DT18" s="260">
        <v>104300962</v>
      </c>
      <c r="DU18" s="260">
        <v>100643276</v>
      </c>
      <c r="DV18" s="260">
        <v>102262911</v>
      </c>
      <c r="DW18" s="260">
        <v>100526977</v>
      </c>
      <c r="DX18" s="260">
        <v>101861350</v>
      </c>
      <c r="DY18" s="260">
        <v>101383136</v>
      </c>
      <c r="DZ18" s="260">
        <v>99204577</v>
      </c>
      <c r="EA18" s="260">
        <v>102969388</v>
      </c>
      <c r="EB18" s="260">
        <v>98207343</v>
      </c>
      <c r="EC18" s="260">
        <v>106723474</v>
      </c>
      <c r="ED18" s="260">
        <v>105610122</v>
      </c>
      <c r="EE18" s="260">
        <v>96221146</v>
      </c>
      <c r="EF18" s="260">
        <v>108494284</v>
      </c>
      <c r="EG18" s="260">
        <v>99251751</v>
      </c>
      <c r="EH18" s="260">
        <v>106800199</v>
      </c>
      <c r="EI18" s="260">
        <v>100979850</v>
      </c>
      <c r="EJ18" s="260">
        <v>105802676</v>
      </c>
      <c r="EK18" s="260">
        <v>98031206</v>
      </c>
      <c r="EL18" s="260">
        <v>102167608</v>
      </c>
      <c r="EM18" s="260">
        <v>108983802</v>
      </c>
      <c r="EN18" s="260">
        <v>103444358</v>
      </c>
      <c r="EO18" s="260">
        <v>110590967</v>
      </c>
      <c r="EP18" s="260">
        <v>109874598</v>
      </c>
      <c r="EQ18" s="260">
        <v>95966406</v>
      </c>
      <c r="ER18" s="260">
        <v>115933464</v>
      </c>
      <c r="ES18" s="260">
        <v>109383174</v>
      </c>
      <c r="ET18" s="260">
        <v>108440461</v>
      </c>
      <c r="EU18" s="260">
        <v>114766282</v>
      </c>
      <c r="EV18" s="260">
        <v>114130689</v>
      </c>
      <c r="EW18" s="260">
        <v>108142899</v>
      </c>
      <c r="EX18" s="260">
        <v>106043438</v>
      </c>
      <c r="EY18" s="260">
        <v>107899248</v>
      </c>
      <c r="EZ18" s="260">
        <v>110895591</v>
      </c>
      <c r="FA18" s="260">
        <v>115044738</v>
      </c>
    </row>
    <row r="19" spans="1:157" ht="20.100000000000001" customHeight="1">
      <c r="A19" s="94" t="s">
        <v>297</v>
      </c>
      <c r="B19" s="93" t="s">
        <v>968</v>
      </c>
      <c r="C19" s="260">
        <v>404423525</v>
      </c>
      <c r="D19" s="260">
        <v>441120256</v>
      </c>
      <c r="E19" s="260">
        <v>485030237</v>
      </c>
      <c r="F19" s="260">
        <v>474751966</v>
      </c>
      <c r="G19" s="260">
        <v>532183132</v>
      </c>
      <c r="H19" s="260">
        <v>569599403</v>
      </c>
      <c r="I19" s="260">
        <v>610910071</v>
      </c>
      <c r="J19" s="260">
        <v>635545272</v>
      </c>
      <c r="K19" s="260">
        <v>667608033</v>
      </c>
      <c r="L19" s="260">
        <v>733377114</v>
      </c>
      <c r="M19" s="260">
        <v>754936409</v>
      </c>
      <c r="N19" s="260">
        <v>71498130</v>
      </c>
      <c r="O19" s="260">
        <v>60166069</v>
      </c>
      <c r="P19" s="260">
        <v>69374069</v>
      </c>
      <c r="Q19" s="260">
        <v>66339706</v>
      </c>
      <c r="R19" s="260">
        <v>69117840</v>
      </c>
      <c r="S19" s="260">
        <v>65117487</v>
      </c>
      <c r="T19" s="260">
        <v>67115143</v>
      </c>
      <c r="U19" s="260">
        <v>66003023</v>
      </c>
      <c r="V19" s="260">
        <v>68654939</v>
      </c>
      <c r="W19" s="260">
        <v>66074528</v>
      </c>
      <c r="X19" s="260">
        <v>67618421</v>
      </c>
      <c r="Y19" s="260">
        <v>72750249</v>
      </c>
      <c r="Z19" s="260">
        <v>69590357</v>
      </c>
      <c r="AA19" s="260">
        <v>64537815</v>
      </c>
      <c r="AB19" s="260">
        <v>72622148</v>
      </c>
      <c r="AC19" s="260">
        <v>73509257</v>
      </c>
      <c r="AD19" s="260">
        <v>76631162</v>
      </c>
      <c r="AE19" s="260">
        <v>71565233</v>
      </c>
      <c r="AF19" s="260">
        <v>74523211</v>
      </c>
      <c r="AG19" s="260">
        <v>69898301</v>
      </c>
      <c r="AH19" s="260">
        <v>69256753</v>
      </c>
      <c r="AI19" s="260">
        <v>72739050</v>
      </c>
      <c r="AJ19" s="260">
        <v>68798775</v>
      </c>
      <c r="AK19" s="260">
        <v>78851416</v>
      </c>
      <c r="AL19" s="260">
        <v>75959392</v>
      </c>
      <c r="AM19" s="260">
        <v>68140334</v>
      </c>
      <c r="AN19" s="260">
        <v>79822102</v>
      </c>
      <c r="AO19" s="260">
        <v>75061658</v>
      </c>
      <c r="AP19" s="260">
        <v>77827643</v>
      </c>
      <c r="AQ19" s="260">
        <v>71656309</v>
      </c>
      <c r="AR19" s="260">
        <v>80974587</v>
      </c>
      <c r="AS19" s="260">
        <v>75332082</v>
      </c>
      <c r="AT19" s="260">
        <v>74737590</v>
      </c>
      <c r="AU19" s="260">
        <v>75520078</v>
      </c>
      <c r="AV19" s="260">
        <v>71068306</v>
      </c>
      <c r="AW19" s="260">
        <v>66836301</v>
      </c>
      <c r="AX19" s="260">
        <v>65372953</v>
      </c>
      <c r="AY19" s="260">
        <v>61631352</v>
      </c>
      <c r="AZ19" s="260">
        <v>70188547</v>
      </c>
      <c r="BA19" s="260">
        <v>65463381</v>
      </c>
      <c r="BB19" s="260">
        <v>69809347</v>
      </c>
      <c r="BC19" s="260">
        <v>67640916</v>
      </c>
      <c r="BD19" s="260">
        <v>71802669</v>
      </c>
      <c r="BE19" s="260">
        <v>71606954</v>
      </c>
      <c r="BF19" s="260">
        <v>73154152</v>
      </c>
      <c r="BG19" s="260">
        <v>80532236</v>
      </c>
      <c r="BH19" s="260">
        <v>74325677</v>
      </c>
      <c r="BI19" s="260">
        <v>76770460</v>
      </c>
      <c r="BJ19" s="260">
        <v>79496585</v>
      </c>
      <c r="BK19" s="260">
        <v>70408567</v>
      </c>
      <c r="BL19" s="260">
        <v>82877407</v>
      </c>
      <c r="BM19" s="260">
        <v>78804243</v>
      </c>
      <c r="BN19" s="260">
        <v>83933977</v>
      </c>
      <c r="BO19" s="260">
        <v>79870634</v>
      </c>
      <c r="BP19" s="260">
        <v>82128859</v>
      </c>
      <c r="BQ19" s="260">
        <v>79693904</v>
      </c>
      <c r="BR19" s="260">
        <v>78388759</v>
      </c>
      <c r="BS19" s="260">
        <v>82156187</v>
      </c>
      <c r="BT19" s="260">
        <v>85987952</v>
      </c>
      <c r="BU19" s="260">
        <v>82446268</v>
      </c>
      <c r="BV19" s="260">
        <v>89299706</v>
      </c>
      <c r="BW19" s="260">
        <v>78345814</v>
      </c>
      <c r="BX19" s="260">
        <v>91950050</v>
      </c>
      <c r="BY19" s="260">
        <v>89330061</v>
      </c>
      <c r="BZ19" s="260">
        <v>83933977</v>
      </c>
      <c r="CA19" s="260">
        <v>85107490</v>
      </c>
      <c r="CB19" s="260">
        <v>82128859</v>
      </c>
      <c r="CC19" s="260">
        <v>87989584</v>
      </c>
      <c r="CD19" s="260">
        <v>85571617</v>
      </c>
      <c r="CE19" s="260">
        <v>92026295</v>
      </c>
      <c r="CF19" s="260">
        <v>85987952</v>
      </c>
      <c r="CG19" s="260">
        <v>96314793</v>
      </c>
      <c r="CH19" s="260">
        <v>94896714</v>
      </c>
      <c r="CI19" s="260">
        <v>86421173</v>
      </c>
      <c r="CJ19" s="260">
        <v>95324695</v>
      </c>
      <c r="CK19" s="260">
        <v>91848315</v>
      </c>
      <c r="CL19" s="260">
        <v>94739877</v>
      </c>
      <c r="CM19" s="260">
        <v>90395008</v>
      </c>
      <c r="CN19" s="260">
        <v>93986459</v>
      </c>
      <c r="CO19" s="260">
        <v>83830349</v>
      </c>
      <c r="CP19" s="260">
        <v>96334454</v>
      </c>
      <c r="CQ19" s="260">
        <v>94013869</v>
      </c>
      <c r="CR19" s="260">
        <v>92884917</v>
      </c>
      <c r="CS19" s="260">
        <v>93862440</v>
      </c>
      <c r="CT19" s="260">
        <v>98223778</v>
      </c>
      <c r="CU19" s="260">
        <v>84760248</v>
      </c>
      <c r="CV19" s="260">
        <v>99639144</v>
      </c>
      <c r="CW19" s="260">
        <v>92195514</v>
      </c>
      <c r="CX19" s="260">
        <v>90811456</v>
      </c>
      <c r="CY19" s="260">
        <v>92780740</v>
      </c>
      <c r="CZ19" s="260">
        <v>94631597</v>
      </c>
      <c r="DA19" s="260">
        <v>91391060</v>
      </c>
      <c r="DB19" s="260">
        <v>89923450</v>
      </c>
      <c r="DC19" s="260">
        <v>93702614</v>
      </c>
      <c r="DD19" s="260">
        <v>94690782</v>
      </c>
      <c r="DE19" s="260">
        <v>100454672</v>
      </c>
      <c r="DF19" s="260">
        <v>104396105</v>
      </c>
      <c r="DG19" s="260">
        <v>88282914</v>
      </c>
      <c r="DH19" s="260">
        <v>105411161</v>
      </c>
      <c r="DI19" s="260">
        <v>98161977</v>
      </c>
      <c r="DJ19" s="260">
        <v>97666692</v>
      </c>
      <c r="DK19" s="260">
        <v>96148308</v>
      </c>
      <c r="DL19" s="260">
        <v>99369439</v>
      </c>
      <c r="DM19" s="260">
        <v>97579420</v>
      </c>
      <c r="DN19" s="260">
        <v>94990644</v>
      </c>
      <c r="DO19" s="260">
        <v>101618359</v>
      </c>
      <c r="DP19" s="260">
        <v>99343048</v>
      </c>
      <c r="DQ19" s="260">
        <v>101673127</v>
      </c>
      <c r="DR19" s="260">
        <v>106111429</v>
      </c>
      <c r="DS19" s="260">
        <v>95552893</v>
      </c>
      <c r="DT19" s="260">
        <v>103983109</v>
      </c>
      <c r="DU19" s="260">
        <v>100344125</v>
      </c>
      <c r="DV19" s="260">
        <v>101967710</v>
      </c>
      <c r="DW19" s="260">
        <v>100255921</v>
      </c>
      <c r="DX19" s="260">
        <v>101580882</v>
      </c>
      <c r="DY19" s="260">
        <v>101090659</v>
      </c>
      <c r="DZ19" s="260">
        <v>98915618</v>
      </c>
      <c r="EA19" s="260">
        <v>102656683</v>
      </c>
      <c r="EB19" s="260">
        <v>97901217</v>
      </c>
      <c r="EC19" s="260">
        <v>106421480</v>
      </c>
      <c r="ED19" s="260">
        <v>105315336</v>
      </c>
      <c r="EE19" s="260">
        <v>95956187</v>
      </c>
      <c r="EF19" s="260">
        <v>108177404</v>
      </c>
      <c r="EG19" s="260">
        <v>98943999</v>
      </c>
      <c r="EH19" s="260">
        <v>106497406</v>
      </c>
      <c r="EI19" s="260">
        <v>100665074</v>
      </c>
      <c r="EJ19" s="260">
        <v>105480287</v>
      </c>
      <c r="EK19" s="260">
        <v>97716091</v>
      </c>
      <c r="EL19" s="260">
        <v>101849677</v>
      </c>
      <c r="EM19" s="260">
        <v>108638653</v>
      </c>
      <c r="EN19" s="260">
        <v>103108914</v>
      </c>
      <c r="EO19" s="260">
        <v>110248033</v>
      </c>
      <c r="EP19" s="260">
        <v>109551763</v>
      </c>
      <c r="EQ19" s="260">
        <v>95660622</v>
      </c>
      <c r="ER19" s="260">
        <v>115581807</v>
      </c>
      <c r="ES19" s="260">
        <v>109053490</v>
      </c>
      <c r="ET19" s="260">
        <v>108120113</v>
      </c>
      <c r="EU19" s="260">
        <v>114441570</v>
      </c>
      <c r="EV19" s="260">
        <v>113793969</v>
      </c>
      <c r="EW19" s="260">
        <v>107805399</v>
      </c>
      <c r="EX19" s="260">
        <v>105698271</v>
      </c>
      <c r="EY19" s="260">
        <v>107560077</v>
      </c>
      <c r="EZ19" s="260">
        <v>110537249</v>
      </c>
      <c r="FA19" s="260">
        <v>114685144</v>
      </c>
    </row>
    <row r="20" spans="1:157" ht="20.100000000000001" customHeight="1">
      <c r="A20" s="126" t="s">
        <v>297</v>
      </c>
      <c r="B20" s="261" t="s">
        <v>969</v>
      </c>
      <c r="C20" s="260">
        <v>1290749</v>
      </c>
      <c r="D20" s="260">
        <v>1430974</v>
      </c>
      <c r="E20" s="260">
        <v>1631074</v>
      </c>
      <c r="F20" s="260">
        <v>1470762</v>
      </c>
      <c r="G20" s="260">
        <v>1719428</v>
      </c>
      <c r="H20" s="260">
        <v>1949352</v>
      </c>
      <c r="I20" s="260">
        <v>1863832</v>
      </c>
      <c r="J20" s="260">
        <v>2076805</v>
      </c>
      <c r="K20" s="260">
        <v>2208794</v>
      </c>
      <c r="L20" s="260">
        <v>2569133</v>
      </c>
      <c r="M20" s="260">
        <v>2616614</v>
      </c>
      <c r="N20" s="260">
        <v>214350</v>
      </c>
      <c r="O20" s="260">
        <v>205317</v>
      </c>
      <c r="P20" s="260">
        <v>246960</v>
      </c>
      <c r="Q20" s="260">
        <v>233289</v>
      </c>
      <c r="R20" s="260">
        <v>223858</v>
      </c>
      <c r="S20" s="260">
        <v>229386</v>
      </c>
      <c r="T20" s="260">
        <v>236369</v>
      </c>
      <c r="U20" s="260">
        <v>244578</v>
      </c>
      <c r="V20" s="260">
        <v>252715</v>
      </c>
      <c r="W20" s="260">
        <v>255662</v>
      </c>
      <c r="X20" s="260">
        <v>258788</v>
      </c>
      <c r="Y20" s="260">
        <v>252262</v>
      </c>
      <c r="Z20" s="260">
        <v>232870</v>
      </c>
      <c r="AA20" s="260">
        <v>227448</v>
      </c>
      <c r="AB20" s="260">
        <v>271477</v>
      </c>
      <c r="AC20" s="260">
        <v>258868</v>
      </c>
      <c r="AD20" s="260">
        <v>255119</v>
      </c>
      <c r="AE20" s="260">
        <v>258567</v>
      </c>
      <c r="AF20" s="260">
        <v>264413</v>
      </c>
      <c r="AG20" s="260">
        <v>267839</v>
      </c>
      <c r="AH20" s="260">
        <v>268314</v>
      </c>
      <c r="AI20" s="260">
        <v>280819</v>
      </c>
      <c r="AJ20" s="260">
        <v>281306</v>
      </c>
      <c r="AK20" s="260">
        <v>270925</v>
      </c>
      <c r="AL20" s="260">
        <v>258580</v>
      </c>
      <c r="AM20" s="260">
        <v>243157</v>
      </c>
      <c r="AN20" s="260">
        <v>276044</v>
      </c>
      <c r="AO20" s="260">
        <v>262168</v>
      </c>
      <c r="AP20" s="260">
        <v>258843</v>
      </c>
      <c r="AQ20" s="260">
        <v>257950</v>
      </c>
      <c r="AR20" s="260">
        <v>258375</v>
      </c>
      <c r="AS20" s="260">
        <v>256773</v>
      </c>
      <c r="AT20" s="260">
        <v>241628</v>
      </c>
      <c r="AU20" s="260">
        <v>252672</v>
      </c>
      <c r="AV20" s="260">
        <v>227478</v>
      </c>
      <c r="AW20" s="260">
        <v>203699</v>
      </c>
      <c r="AX20" s="260">
        <v>196390</v>
      </c>
      <c r="AY20" s="260">
        <v>203418</v>
      </c>
      <c r="AZ20" s="260">
        <v>235905</v>
      </c>
      <c r="BA20" s="260">
        <v>225882</v>
      </c>
      <c r="BB20" s="260">
        <v>228466</v>
      </c>
      <c r="BC20" s="260">
        <v>229166</v>
      </c>
      <c r="BD20" s="260">
        <v>245842</v>
      </c>
      <c r="BE20" s="260">
        <v>248691</v>
      </c>
      <c r="BF20" s="260">
        <v>252930</v>
      </c>
      <c r="BG20" s="260">
        <v>265669</v>
      </c>
      <c r="BH20" s="260">
        <v>273570</v>
      </c>
      <c r="BI20" s="260">
        <v>266540</v>
      </c>
      <c r="BJ20" s="260">
        <v>257397</v>
      </c>
      <c r="BK20" s="260">
        <v>247353</v>
      </c>
      <c r="BL20" s="260">
        <v>295056</v>
      </c>
      <c r="BM20" s="260">
        <v>279669</v>
      </c>
      <c r="BN20" s="260">
        <v>292224</v>
      </c>
      <c r="BO20" s="260">
        <v>275568</v>
      </c>
      <c r="BP20" s="260">
        <v>285807</v>
      </c>
      <c r="BQ20" s="260">
        <v>273383</v>
      </c>
      <c r="BR20" s="260">
        <v>267265</v>
      </c>
      <c r="BS20" s="260">
        <v>293630</v>
      </c>
      <c r="BT20" s="260">
        <v>279003</v>
      </c>
      <c r="BU20" s="260">
        <v>280529</v>
      </c>
      <c r="BV20" s="260">
        <v>270911</v>
      </c>
      <c r="BW20" s="260">
        <v>241652</v>
      </c>
      <c r="BX20" s="260">
        <v>293312</v>
      </c>
      <c r="BY20" s="260">
        <v>268977</v>
      </c>
      <c r="BZ20" s="260">
        <v>292224</v>
      </c>
      <c r="CA20" s="260">
        <v>265960</v>
      </c>
      <c r="CB20" s="260">
        <v>285807</v>
      </c>
      <c r="CC20" s="260">
        <v>271326</v>
      </c>
      <c r="CD20" s="260">
        <v>262019</v>
      </c>
      <c r="CE20" s="260">
        <v>279566</v>
      </c>
      <c r="CF20" s="260">
        <v>279003</v>
      </c>
      <c r="CG20" s="260">
        <v>273535</v>
      </c>
      <c r="CH20" s="260">
        <v>244871</v>
      </c>
      <c r="CI20" s="260">
        <v>258278</v>
      </c>
      <c r="CJ20" s="260">
        <v>279442</v>
      </c>
      <c r="CK20" s="260">
        <v>259728</v>
      </c>
      <c r="CL20" s="260">
        <v>261544</v>
      </c>
      <c r="CM20" s="260">
        <v>268138</v>
      </c>
      <c r="CN20" s="260">
        <v>273022</v>
      </c>
      <c r="CO20" s="260">
        <v>271055</v>
      </c>
      <c r="CP20" s="260">
        <v>272040</v>
      </c>
      <c r="CQ20" s="260">
        <v>276962</v>
      </c>
      <c r="CR20" s="260">
        <v>275477</v>
      </c>
      <c r="CS20" s="260">
        <v>268223</v>
      </c>
      <c r="CT20" s="260">
        <v>252785</v>
      </c>
      <c r="CU20" s="260">
        <v>233404</v>
      </c>
      <c r="CV20" s="260">
        <v>289265</v>
      </c>
      <c r="CW20" s="260">
        <v>269273</v>
      </c>
      <c r="CX20" s="260">
        <v>268719</v>
      </c>
      <c r="CY20" s="260">
        <v>266945</v>
      </c>
      <c r="CZ20" s="260">
        <v>270299</v>
      </c>
      <c r="DA20" s="260">
        <v>274628</v>
      </c>
      <c r="DB20" s="260">
        <v>267180</v>
      </c>
      <c r="DC20" s="260">
        <v>287395</v>
      </c>
      <c r="DD20" s="260">
        <v>286109</v>
      </c>
      <c r="DE20" s="260">
        <v>280251</v>
      </c>
      <c r="DF20" s="260">
        <v>272086</v>
      </c>
      <c r="DG20" s="260">
        <v>248300</v>
      </c>
      <c r="DH20" s="260">
        <v>301279</v>
      </c>
      <c r="DI20" s="260">
        <v>282093</v>
      </c>
      <c r="DJ20" s="260">
        <v>277803</v>
      </c>
      <c r="DK20" s="260">
        <v>276120</v>
      </c>
      <c r="DL20" s="260">
        <v>287654</v>
      </c>
      <c r="DM20" s="260">
        <v>291170</v>
      </c>
      <c r="DN20" s="260">
        <v>277139</v>
      </c>
      <c r="DO20" s="260">
        <v>300563</v>
      </c>
      <c r="DP20" s="260">
        <v>302790</v>
      </c>
      <c r="DQ20" s="260">
        <v>293745</v>
      </c>
      <c r="DR20" s="260">
        <v>282019</v>
      </c>
      <c r="DS20" s="260">
        <v>270763</v>
      </c>
      <c r="DT20" s="260">
        <v>317853</v>
      </c>
      <c r="DU20" s="260">
        <v>299151</v>
      </c>
      <c r="DV20" s="260">
        <v>295201</v>
      </c>
      <c r="DW20" s="260">
        <v>271056</v>
      </c>
      <c r="DX20" s="260">
        <v>280468</v>
      </c>
      <c r="DY20" s="260">
        <v>292477</v>
      </c>
      <c r="DZ20" s="260">
        <v>288959</v>
      </c>
      <c r="EA20" s="260">
        <v>312705</v>
      </c>
      <c r="EB20" s="260">
        <v>306126</v>
      </c>
      <c r="EC20" s="260">
        <v>301994</v>
      </c>
      <c r="ED20" s="260">
        <v>294786</v>
      </c>
      <c r="EE20" s="260">
        <v>264959</v>
      </c>
      <c r="EF20" s="260">
        <v>316880</v>
      </c>
      <c r="EG20" s="260">
        <v>307752</v>
      </c>
      <c r="EH20" s="260">
        <v>302793</v>
      </c>
      <c r="EI20" s="260">
        <v>314776</v>
      </c>
      <c r="EJ20" s="260">
        <v>322389</v>
      </c>
      <c r="EK20" s="260">
        <v>315115</v>
      </c>
      <c r="EL20" s="260">
        <v>317931</v>
      </c>
      <c r="EM20" s="260">
        <v>345149</v>
      </c>
      <c r="EN20" s="260">
        <v>335444</v>
      </c>
      <c r="EO20" s="260">
        <v>342934</v>
      </c>
      <c r="EP20" s="260">
        <v>322835</v>
      </c>
      <c r="EQ20" s="260">
        <v>305784</v>
      </c>
      <c r="ER20" s="260">
        <v>351657</v>
      </c>
      <c r="ES20" s="260">
        <v>329684</v>
      </c>
      <c r="ET20" s="260">
        <v>320348</v>
      </c>
      <c r="EU20" s="260">
        <v>324712</v>
      </c>
      <c r="EV20" s="260">
        <v>336720</v>
      </c>
      <c r="EW20" s="260">
        <v>337500</v>
      </c>
      <c r="EX20" s="260">
        <v>345167</v>
      </c>
      <c r="EY20" s="260">
        <v>339171</v>
      </c>
      <c r="EZ20" s="260">
        <v>358342</v>
      </c>
      <c r="FA20" s="260">
        <v>359594</v>
      </c>
    </row>
    <row r="21" spans="1:157" ht="20.100000000000001" customHeight="1">
      <c r="A21" s="14" t="s">
        <v>970</v>
      </c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29"/>
      <c r="BD21" s="129"/>
      <c r="BE21" s="129"/>
      <c r="BF21" s="129"/>
      <c r="BG21" s="129"/>
      <c r="BH21" s="129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/>
      <c r="BU21" s="129"/>
      <c r="BV21" s="129"/>
      <c r="BW21" s="129"/>
      <c r="BX21" s="129"/>
      <c r="BY21" s="129"/>
      <c r="BZ21" s="129"/>
      <c r="CA21" s="129"/>
      <c r="CB21" s="129"/>
      <c r="CC21" s="129"/>
      <c r="CD21" s="129"/>
      <c r="CE21" s="129"/>
      <c r="CF21" s="129"/>
      <c r="CG21" s="129"/>
      <c r="CH21" s="129"/>
      <c r="CI21" s="129"/>
      <c r="CJ21" s="129"/>
      <c r="CK21" s="129"/>
      <c r="CL21" s="129"/>
      <c r="CM21" s="129"/>
      <c r="CN21" s="129"/>
      <c r="CO21" s="129"/>
      <c r="CP21" s="129"/>
      <c r="CQ21" s="129"/>
      <c r="CR21" s="129"/>
      <c r="CS21" s="129"/>
      <c r="CT21" s="129"/>
      <c r="CU21" s="129"/>
      <c r="CV21" s="129"/>
      <c r="CW21" s="129"/>
      <c r="CX21" s="129"/>
      <c r="CY21" s="129"/>
      <c r="CZ21" s="129"/>
      <c r="DA21" s="129"/>
      <c r="DB21" s="129"/>
      <c r="DC21" s="129"/>
      <c r="DD21" s="129"/>
      <c r="DE21" s="129"/>
      <c r="DF21" s="129"/>
      <c r="DG21" s="129"/>
      <c r="DH21" s="129"/>
      <c r="DI21" s="129"/>
      <c r="DJ21" s="129"/>
      <c r="DK21" s="129"/>
      <c r="DL21" s="129"/>
      <c r="DM21" s="129"/>
      <c r="DN21" s="129"/>
      <c r="DO21" s="129"/>
      <c r="DP21" s="129"/>
      <c r="DQ21" s="129"/>
      <c r="DR21" s="129"/>
      <c r="DS21" s="129"/>
      <c r="DT21" s="129"/>
      <c r="DU21" s="129"/>
      <c r="DV21" s="129"/>
      <c r="DW21" s="129"/>
      <c r="DX21" s="129"/>
      <c r="DY21" s="129"/>
      <c r="DZ21" s="129"/>
      <c r="EA21" s="129"/>
      <c r="EB21" s="129"/>
      <c r="EC21" s="129"/>
      <c r="ED21" s="129"/>
      <c r="EE21" s="129"/>
      <c r="EF21" s="129"/>
      <c r="EG21" s="129"/>
      <c r="EH21" s="129"/>
      <c r="EI21" s="129"/>
      <c r="EJ21" s="129"/>
      <c r="EK21" s="129"/>
      <c r="EL21" s="129"/>
      <c r="EM21" s="129"/>
      <c r="EN21" s="129"/>
      <c r="EO21" s="129"/>
      <c r="EP21" s="129"/>
      <c r="EQ21" s="129"/>
      <c r="ER21" s="129"/>
      <c r="ES21" s="129"/>
      <c r="ET21" s="129"/>
      <c r="EU21" s="129"/>
      <c r="EV21" s="129"/>
      <c r="EW21" s="129"/>
      <c r="EX21" s="129"/>
      <c r="EY21" s="129"/>
      <c r="EZ21" s="129"/>
      <c r="FA21" s="129"/>
    </row>
    <row r="22" spans="1:157" ht="20.100000000000001" customHeight="1">
      <c r="A22" s="279" t="s">
        <v>809</v>
      </c>
      <c r="B22" s="279" t="s">
        <v>810</v>
      </c>
      <c r="C22" s="280">
        <v>1995</v>
      </c>
      <c r="D22" s="280">
        <v>1996</v>
      </c>
      <c r="E22" s="280">
        <v>1997</v>
      </c>
      <c r="F22" s="280">
        <v>1998</v>
      </c>
      <c r="G22" s="280">
        <v>1999</v>
      </c>
      <c r="H22" s="280">
        <v>2000</v>
      </c>
      <c r="I22" s="280">
        <v>2001</v>
      </c>
      <c r="J22" s="280">
        <v>2002</v>
      </c>
      <c r="K22" s="280">
        <v>2003</v>
      </c>
      <c r="L22" s="280">
        <v>2004</v>
      </c>
      <c r="M22" s="280">
        <v>2005</v>
      </c>
      <c r="N22" s="131">
        <v>2006</v>
      </c>
      <c r="O22" s="131">
        <v>2007</v>
      </c>
      <c r="P22" s="131">
        <v>2008</v>
      </c>
      <c r="Q22" s="131">
        <v>2009</v>
      </c>
      <c r="R22" s="131">
        <v>2010</v>
      </c>
      <c r="S22" s="131">
        <v>2011</v>
      </c>
      <c r="T22" s="131">
        <v>2012</v>
      </c>
      <c r="U22" s="131">
        <v>2013</v>
      </c>
      <c r="V22" s="131">
        <v>2014</v>
      </c>
      <c r="W22" s="131">
        <v>2015</v>
      </c>
      <c r="X22" s="131">
        <v>2016</v>
      </c>
      <c r="Y22" s="131">
        <v>2017</v>
      </c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29"/>
      <c r="BD22" s="129"/>
      <c r="BE22" s="129"/>
      <c r="BF22" s="129"/>
      <c r="BG22" s="129"/>
      <c r="BH22" s="129"/>
      <c r="BI22" s="129"/>
      <c r="BJ22" s="129"/>
      <c r="BK22" s="129"/>
      <c r="BL22" s="129"/>
      <c r="BM22" s="129"/>
      <c r="BN22" s="129"/>
      <c r="BO22" s="129"/>
      <c r="BP22" s="129"/>
      <c r="BQ22" s="129"/>
      <c r="BR22" s="129"/>
      <c r="BS22" s="129"/>
      <c r="BT22" s="129"/>
      <c r="BU22" s="129"/>
      <c r="BV22" s="129"/>
      <c r="BW22" s="129"/>
      <c r="BX22" s="129"/>
      <c r="BY22" s="129"/>
      <c r="BZ22" s="129"/>
      <c r="CA22" s="129"/>
      <c r="CB22" s="129"/>
      <c r="CC22" s="129"/>
      <c r="CD22" s="129"/>
      <c r="CE22" s="129"/>
      <c r="CF22" s="129"/>
      <c r="CG22" s="129"/>
      <c r="CH22" s="129"/>
      <c r="CI22" s="129"/>
      <c r="CJ22" s="129"/>
      <c r="CK22" s="129"/>
      <c r="CL22" s="129"/>
      <c r="CM22" s="129"/>
      <c r="CN22" s="129"/>
      <c r="CO22" s="129"/>
      <c r="CP22" s="129"/>
      <c r="CQ22" s="129"/>
      <c r="CR22" s="129"/>
      <c r="CS22" s="129"/>
      <c r="CT22" s="129"/>
      <c r="CU22" s="129"/>
      <c r="CV22" s="129"/>
      <c r="CW22" s="129"/>
      <c r="CX22" s="129"/>
      <c r="CY22" s="129"/>
      <c r="CZ22" s="129"/>
      <c r="DA22" s="129"/>
      <c r="DB22" s="129"/>
      <c r="DC22" s="129"/>
      <c r="DD22" s="129"/>
      <c r="DE22" s="129"/>
      <c r="DF22" s="129"/>
      <c r="DG22" s="129"/>
      <c r="DH22" s="129"/>
      <c r="DI22" s="129"/>
      <c r="DJ22" s="129"/>
      <c r="DK22" s="129"/>
      <c r="DL22" s="129"/>
      <c r="DM22" s="129"/>
      <c r="DN22" s="129"/>
      <c r="DO22" s="129"/>
      <c r="DP22" s="129"/>
      <c r="DQ22" s="129"/>
      <c r="DR22" s="129"/>
      <c r="DS22" s="129"/>
      <c r="DT22" s="129"/>
      <c r="DU22" s="129"/>
      <c r="DV22" s="129"/>
      <c r="DW22" s="129"/>
      <c r="DX22" s="129"/>
      <c r="DY22" s="129"/>
      <c r="DZ22" s="129"/>
      <c r="EA22" s="129"/>
      <c r="EB22" s="129"/>
      <c r="EC22" s="129"/>
      <c r="ED22" s="129"/>
      <c r="EE22" s="129"/>
      <c r="EF22" s="129"/>
      <c r="EG22" s="129"/>
      <c r="EH22" s="129"/>
      <c r="EI22" s="129"/>
      <c r="EJ22" s="129"/>
      <c r="EK22" s="129"/>
      <c r="EL22" s="129"/>
      <c r="EM22" s="129"/>
      <c r="EN22" s="129"/>
      <c r="EO22" s="129"/>
      <c r="EP22" s="129"/>
      <c r="EQ22" s="129"/>
      <c r="ER22" s="129"/>
      <c r="ES22" s="129"/>
      <c r="ET22" s="129"/>
      <c r="EU22" s="129"/>
      <c r="EV22" s="129"/>
      <c r="EW22" s="129"/>
      <c r="EX22" s="129"/>
      <c r="EY22" s="129"/>
      <c r="EZ22" s="129"/>
      <c r="FA22" s="129"/>
    </row>
    <row r="23" spans="1:157" ht="20.100000000000001" customHeight="1">
      <c r="A23" s="353" t="s">
        <v>802</v>
      </c>
      <c r="B23" s="93" t="s">
        <v>73</v>
      </c>
      <c r="C23" s="260">
        <v>595272320</v>
      </c>
      <c r="D23" s="260">
        <v>621239664</v>
      </c>
      <c r="E23" s="260">
        <v>700344184</v>
      </c>
      <c r="F23" s="260">
        <v>567023195</v>
      </c>
      <c r="G23" s="260">
        <v>567344200</v>
      </c>
      <c r="H23" s="260">
        <v>676315453</v>
      </c>
      <c r="I23" s="260">
        <v>721822691</v>
      </c>
      <c r="J23" s="260">
        <v>772444316</v>
      </c>
      <c r="K23" s="260">
        <v>758315596</v>
      </c>
      <c r="L23" s="260">
        <v>679412965</v>
      </c>
      <c r="M23" s="260">
        <v>687451212</v>
      </c>
      <c r="N23" s="130">
        <f>SUM(N13:Y13)</f>
        <v>690778476</v>
      </c>
      <c r="O23" s="130">
        <f>SUM(Z13:AK13)</f>
        <v>715221847</v>
      </c>
      <c r="P23" s="130">
        <f>SUM(AL13:AW13)</f>
        <v>729825526</v>
      </c>
      <c r="Q23" s="130">
        <f>SUM(AX13:BI13)</f>
        <v>766678616</v>
      </c>
      <c r="R23" s="130">
        <f>SUM(BJ13:BU13)</f>
        <v>778030531</v>
      </c>
      <c r="S23" s="130">
        <f>SUM(BV13:CG13)</f>
        <v>784760643</v>
      </c>
      <c r="T23" s="130">
        <f>SUM(CH13:CS13)</f>
        <v>892550431</v>
      </c>
      <c r="U23" s="130">
        <f>SUM(CT13:DE13)</f>
        <v>879311786</v>
      </c>
      <c r="V23" s="130">
        <f>SUM(DF13:DQ13)</f>
        <v>810628011</v>
      </c>
      <c r="W23" s="130">
        <f>SUM(DR13:EC13)</f>
        <v>0</v>
      </c>
      <c r="X23" s="130">
        <f>SUM(ED13:EO13)</f>
        <v>0</v>
      </c>
      <c r="Y23" s="130">
        <f>SUM(EP13:FA13)</f>
        <v>0</v>
      </c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29"/>
      <c r="BY23" s="129"/>
      <c r="BZ23" s="129"/>
      <c r="CA23" s="129"/>
      <c r="CB23" s="129"/>
      <c r="CC23" s="129"/>
      <c r="CD23" s="129"/>
      <c r="CE23" s="129"/>
      <c r="CF23" s="129"/>
      <c r="CG23" s="129"/>
      <c r="CH23" s="129"/>
      <c r="CI23" s="129"/>
      <c r="CJ23" s="129"/>
      <c r="CK23" s="129"/>
      <c r="CL23" s="129"/>
      <c r="CM23" s="129"/>
      <c r="CN23" s="129"/>
      <c r="CO23" s="129"/>
      <c r="CP23" s="129"/>
      <c r="CQ23" s="129"/>
      <c r="CR23" s="129"/>
      <c r="CS23" s="129"/>
      <c r="CT23" s="129"/>
      <c r="CU23" s="129"/>
      <c r="CV23" s="129"/>
      <c r="CW23" s="129"/>
      <c r="CX23" s="129"/>
      <c r="CY23" s="129"/>
      <c r="CZ23" s="129"/>
      <c r="DA23" s="129"/>
      <c r="DB23" s="129"/>
      <c r="DC23" s="129"/>
      <c r="DD23" s="129"/>
      <c r="DE23" s="129"/>
      <c r="DF23" s="129"/>
      <c r="DG23" s="129"/>
      <c r="DH23" s="129"/>
      <c r="DI23" s="129"/>
      <c r="DJ23" s="129"/>
      <c r="DK23" s="129"/>
      <c r="DL23" s="129"/>
      <c r="DM23" s="129"/>
      <c r="DN23" s="129"/>
      <c r="DO23" s="129"/>
      <c r="DP23" s="129"/>
      <c r="DQ23" s="129"/>
      <c r="DR23" s="129"/>
      <c r="DS23" s="129"/>
      <c r="DT23" s="129"/>
      <c r="DU23" s="129"/>
      <c r="DV23" s="129"/>
      <c r="DW23" s="129"/>
      <c r="DX23" s="129"/>
      <c r="DY23" s="129"/>
      <c r="DZ23" s="129"/>
      <c r="EA23" s="129"/>
      <c r="EB23" s="129"/>
      <c r="EC23" s="129"/>
      <c r="ED23" s="129"/>
      <c r="EE23" s="129"/>
      <c r="EF23" s="129"/>
      <c r="EG23" s="129"/>
      <c r="EH23" s="129"/>
      <c r="EI23" s="129"/>
      <c r="EJ23" s="129"/>
      <c r="EK23" s="129"/>
      <c r="EL23" s="129"/>
      <c r="EM23" s="129"/>
      <c r="EN23" s="129"/>
      <c r="EO23" s="129"/>
      <c r="EP23" s="129"/>
      <c r="EQ23" s="129"/>
      <c r="ER23" s="129"/>
      <c r="ES23" s="129"/>
      <c r="ET23" s="129"/>
      <c r="EU23" s="129"/>
      <c r="EV23" s="129"/>
      <c r="EW23" s="129"/>
      <c r="EX23" s="129"/>
      <c r="EY23" s="129"/>
      <c r="EZ23" s="129"/>
      <c r="FA23" s="129"/>
    </row>
    <row r="24" spans="1:157" ht="20.100000000000001" customHeight="1">
      <c r="A24" s="354"/>
      <c r="B24" s="93" t="s">
        <v>966</v>
      </c>
      <c r="C24" s="260">
        <v>57469339</v>
      </c>
      <c r="D24" s="260">
        <v>53526971</v>
      </c>
      <c r="E24" s="260">
        <v>53827826</v>
      </c>
      <c r="F24" s="260">
        <v>43344820</v>
      </c>
      <c r="G24" s="260">
        <v>42080967</v>
      </c>
      <c r="H24" s="260">
        <v>45239839</v>
      </c>
      <c r="I24" s="260">
        <v>45122332</v>
      </c>
      <c r="J24" s="260">
        <v>45732629</v>
      </c>
      <c r="K24" s="260">
        <v>47109970</v>
      </c>
      <c r="L24" s="260">
        <v>44512467</v>
      </c>
      <c r="M24" s="260">
        <v>41668802</v>
      </c>
      <c r="N24" s="130">
        <f t="shared" ref="N24:N30" si="0">SUM(N14:Y14)</f>
        <v>43340580</v>
      </c>
      <c r="O24" s="130">
        <f t="shared" ref="O24:O30" si="1">SUM(Z14:AK14)</f>
        <v>44561779</v>
      </c>
      <c r="P24" s="130">
        <f t="shared" ref="P24:P30" si="2">SUM(AL14:AW14)</f>
        <v>46805688</v>
      </c>
      <c r="Q24" s="130">
        <f t="shared" ref="Q24:Q30" si="3">SUM(AX14:BI14)</f>
        <v>38897704</v>
      </c>
      <c r="R24" s="130">
        <f t="shared" ref="R24:R30" si="4">SUM(BJ14:BU14)</f>
        <v>39217445</v>
      </c>
      <c r="S24" s="130">
        <f t="shared" ref="S24:S30" si="5">SUM(BV14:CG14)</f>
        <v>40283715</v>
      </c>
      <c r="T24" s="130">
        <f t="shared" ref="T24:T30" si="6">SUM(CH14:CS14)</f>
        <v>40308928</v>
      </c>
      <c r="U24" s="130">
        <f t="shared" ref="U24:U30" si="7">SUM(CT14:DE14)</f>
        <v>39822270</v>
      </c>
      <c r="V24" s="130">
        <f t="shared" ref="V24:V30" si="8">SUM(DF14:DQ14)</f>
        <v>37379168</v>
      </c>
      <c r="W24" s="130">
        <f t="shared" ref="W24:W30" si="9">SUM(DR14:EC14)</f>
        <v>37093642</v>
      </c>
      <c r="X24" s="130">
        <f t="shared" ref="X24:X30" si="10">SUM(ED14:EO14)</f>
        <v>32555441</v>
      </c>
      <c r="Y24" s="130">
        <f t="shared" ref="Y24:Y30" si="11">SUM(EP14:FA14)</f>
        <v>31669610</v>
      </c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  <c r="BP24" s="129"/>
      <c r="BQ24" s="129"/>
      <c r="BR24" s="129"/>
      <c r="BS24" s="129"/>
      <c r="BT24" s="129"/>
      <c r="BU24" s="129"/>
      <c r="BV24" s="129"/>
      <c r="BW24" s="129"/>
      <c r="BX24" s="129"/>
      <c r="BY24" s="129"/>
      <c r="BZ24" s="129"/>
      <c r="CA24" s="129"/>
      <c r="CB24" s="129"/>
      <c r="CC24" s="129"/>
      <c r="CD24" s="129"/>
      <c r="CE24" s="129"/>
      <c r="CF24" s="129"/>
      <c r="CG24" s="129"/>
      <c r="CH24" s="129"/>
      <c r="CI24" s="129"/>
      <c r="CJ24" s="129"/>
      <c r="CK24" s="129"/>
      <c r="CL24" s="129"/>
      <c r="CM24" s="129"/>
      <c r="CN24" s="129"/>
      <c r="CO24" s="129"/>
      <c r="CP24" s="129"/>
      <c r="CQ24" s="129"/>
      <c r="CR24" s="129"/>
      <c r="CS24" s="129"/>
      <c r="CT24" s="129"/>
      <c r="CU24" s="129"/>
      <c r="CV24" s="129"/>
      <c r="CW24" s="129"/>
      <c r="CX24" s="129"/>
      <c r="CY24" s="129"/>
      <c r="CZ24" s="129"/>
      <c r="DA24" s="129"/>
      <c r="DB24" s="129"/>
      <c r="DC24" s="129"/>
      <c r="DD24" s="129"/>
      <c r="DE24" s="129"/>
      <c r="DF24" s="129"/>
      <c r="DG24" s="129"/>
      <c r="DH24" s="129"/>
      <c r="DI24" s="129"/>
      <c r="DJ24" s="129"/>
      <c r="DK24" s="129"/>
      <c r="DL24" s="129"/>
      <c r="DM24" s="129"/>
      <c r="DN24" s="129"/>
      <c r="DO24" s="129"/>
      <c r="DP24" s="129"/>
      <c r="DQ24" s="129"/>
      <c r="DR24" s="129"/>
      <c r="DS24" s="129"/>
      <c r="DT24" s="129"/>
      <c r="DU24" s="129"/>
      <c r="DV24" s="129"/>
      <c r="DW24" s="129"/>
      <c r="DX24" s="129"/>
      <c r="DY24" s="129"/>
      <c r="DZ24" s="129"/>
      <c r="EA24" s="129"/>
      <c r="EB24" s="129"/>
      <c r="EC24" s="129"/>
      <c r="ED24" s="129"/>
      <c r="EE24" s="129"/>
      <c r="EF24" s="129"/>
      <c r="EG24" s="129"/>
      <c r="EH24" s="129"/>
      <c r="EI24" s="129"/>
      <c r="EJ24" s="129"/>
      <c r="EK24" s="129"/>
      <c r="EL24" s="129"/>
      <c r="EM24" s="129"/>
      <c r="EN24" s="129"/>
      <c r="EO24" s="129"/>
      <c r="EP24" s="129"/>
      <c r="EQ24" s="129"/>
      <c r="ER24" s="129"/>
      <c r="ES24" s="129"/>
      <c r="ET24" s="129"/>
      <c r="EU24" s="129"/>
      <c r="EV24" s="129"/>
      <c r="EW24" s="129"/>
      <c r="EX24" s="129"/>
      <c r="EY24" s="129"/>
      <c r="EZ24" s="129"/>
      <c r="FA24" s="129"/>
    </row>
    <row r="25" spans="1:157" ht="20.100000000000001" customHeight="1">
      <c r="A25" s="354"/>
      <c r="B25" s="93" t="s">
        <v>967</v>
      </c>
      <c r="C25" s="260">
        <v>408368372</v>
      </c>
      <c r="D25" s="260">
        <v>426413788</v>
      </c>
      <c r="E25" s="260">
        <v>499083185</v>
      </c>
      <c r="F25" s="260">
        <v>408136000</v>
      </c>
      <c r="G25" s="260">
        <v>401177000</v>
      </c>
      <c r="H25" s="260">
        <v>496174000</v>
      </c>
      <c r="I25" s="260">
        <v>535725000</v>
      </c>
      <c r="J25" s="260">
        <v>584573000</v>
      </c>
      <c r="K25" s="260">
        <v>565456252</v>
      </c>
      <c r="L25" s="260">
        <v>518855708</v>
      </c>
      <c r="M25" s="260">
        <v>526000147</v>
      </c>
      <c r="N25" s="130">
        <f t="shared" si="0"/>
        <v>529277871</v>
      </c>
      <c r="O25" s="130">
        <f t="shared" si="1"/>
        <v>550264471</v>
      </c>
      <c r="P25" s="130">
        <f t="shared" si="2"/>
        <v>555801345</v>
      </c>
      <c r="Q25" s="130">
        <f t="shared" si="3"/>
        <v>607480325</v>
      </c>
      <c r="R25" s="130">
        <f t="shared" si="4"/>
        <v>619529647</v>
      </c>
      <c r="S25" s="130">
        <f t="shared" si="5"/>
        <v>631175068</v>
      </c>
      <c r="T25" s="130">
        <f t="shared" si="6"/>
        <v>732918919</v>
      </c>
      <c r="U25" s="130">
        <f t="shared" si="7"/>
        <v>721376719</v>
      </c>
      <c r="V25" s="130">
        <f t="shared" si="8"/>
        <v>655045636</v>
      </c>
      <c r="W25" s="130">
        <f t="shared" si="9"/>
        <v>0</v>
      </c>
      <c r="X25" s="130">
        <f t="shared" si="10"/>
        <v>0</v>
      </c>
      <c r="Y25" s="130">
        <f t="shared" si="11"/>
        <v>0</v>
      </c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  <c r="BP25" s="129"/>
      <c r="BQ25" s="129"/>
      <c r="BR25" s="129"/>
      <c r="BS25" s="129"/>
      <c r="BT25" s="129"/>
      <c r="BU25" s="129"/>
      <c r="BV25" s="129"/>
      <c r="BW25" s="129"/>
      <c r="BX25" s="129"/>
      <c r="BY25" s="129"/>
      <c r="BZ25" s="129"/>
      <c r="CA25" s="129"/>
      <c r="CB25" s="129"/>
      <c r="CC25" s="129"/>
      <c r="CD25" s="129"/>
      <c r="CE25" s="129"/>
      <c r="CF25" s="129"/>
      <c r="CG25" s="129"/>
      <c r="CH25" s="129"/>
      <c r="CI25" s="129"/>
      <c r="CJ25" s="129"/>
      <c r="CK25" s="129"/>
      <c r="CL25" s="129"/>
      <c r="CM25" s="129"/>
      <c r="CN25" s="129"/>
      <c r="CO25" s="129"/>
      <c r="CP25" s="129"/>
      <c r="CQ25" s="129"/>
      <c r="CR25" s="129"/>
      <c r="CS25" s="129"/>
      <c r="CT25" s="129"/>
      <c r="CU25" s="129"/>
      <c r="CV25" s="129"/>
      <c r="CW25" s="129"/>
      <c r="CX25" s="129"/>
      <c r="CY25" s="129"/>
      <c r="CZ25" s="129"/>
      <c r="DA25" s="129"/>
      <c r="DB25" s="129"/>
      <c r="DC25" s="129"/>
      <c r="DD25" s="129"/>
      <c r="DE25" s="129"/>
      <c r="DF25" s="129"/>
      <c r="DG25" s="129"/>
      <c r="DH25" s="129"/>
      <c r="DI25" s="129"/>
      <c r="DJ25" s="129"/>
      <c r="DK25" s="129"/>
      <c r="DL25" s="129"/>
      <c r="DM25" s="129"/>
      <c r="DN25" s="129"/>
      <c r="DO25" s="129"/>
      <c r="DP25" s="129"/>
      <c r="DQ25" s="129"/>
      <c r="DR25" s="129"/>
      <c r="DS25" s="129"/>
      <c r="DT25" s="129"/>
      <c r="DU25" s="129"/>
      <c r="DV25" s="129"/>
      <c r="DW25" s="129"/>
      <c r="DX25" s="129"/>
      <c r="DY25" s="129"/>
      <c r="DZ25" s="129"/>
      <c r="EA25" s="129"/>
      <c r="EB25" s="129"/>
      <c r="EC25" s="129"/>
      <c r="ED25" s="129"/>
      <c r="EE25" s="129"/>
      <c r="EF25" s="129"/>
      <c r="EG25" s="129"/>
      <c r="EH25" s="129"/>
      <c r="EI25" s="129"/>
      <c r="EJ25" s="129"/>
      <c r="EK25" s="129"/>
      <c r="EL25" s="129"/>
      <c r="EM25" s="129"/>
      <c r="EN25" s="129"/>
      <c r="EO25" s="129"/>
      <c r="EP25" s="129"/>
      <c r="EQ25" s="129"/>
      <c r="ER25" s="129"/>
      <c r="ES25" s="129"/>
      <c r="ET25" s="129"/>
      <c r="EU25" s="129"/>
      <c r="EV25" s="129"/>
      <c r="EW25" s="129"/>
      <c r="EX25" s="129"/>
      <c r="EY25" s="129"/>
      <c r="EZ25" s="129"/>
      <c r="FA25" s="129"/>
    </row>
    <row r="26" spans="1:157" ht="20.100000000000001" customHeight="1">
      <c r="A26" s="354"/>
      <c r="B26" s="93" t="s">
        <v>968</v>
      </c>
      <c r="C26" s="260">
        <v>129111889</v>
      </c>
      <c r="D26" s="260">
        <v>140947542</v>
      </c>
      <c r="E26" s="260">
        <v>147045854</v>
      </c>
      <c r="F26" s="260">
        <v>115178828</v>
      </c>
      <c r="G26" s="260">
        <v>123692958</v>
      </c>
      <c r="H26" s="260">
        <v>134467386</v>
      </c>
      <c r="I26" s="260">
        <v>140544327</v>
      </c>
      <c r="J26" s="260">
        <v>141705985</v>
      </c>
      <c r="K26" s="260">
        <v>145326809</v>
      </c>
      <c r="L26" s="260">
        <v>115635806</v>
      </c>
      <c r="M26" s="260">
        <v>119409878</v>
      </c>
      <c r="N26" s="130">
        <f t="shared" si="0"/>
        <v>117804776</v>
      </c>
      <c r="O26" s="130">
        <f t="shared" si="1"/>
        <v>120079199</v>
      </c>
      <c r="P26" s="130">
        <f t="shared" si="2"/>
        <v>126964254</v>
      </c>
      <c r="Q26" s="130">
        <f t="shared" si="3"/>
        <v>120031910</v>
      </c>
      <c r="R26" s="130">
        <f t="shared" si="4"/>
        <v>119021580</v>
      </c>
      <c r="S26" s="130">
        <f t="shared" si="5"/>
        <v>113028142</v>
      </c>
      <c r="T26" s="130">
        <f t="shared" si="6"/>
        <v>119057307</v>
      </c>
      <c r="U26" s="130">
        <f t="shared" si="7"/>
        <v>117860110</v>
      </c>
      <c r="V26" s="130">
        <f t="shared" si="8"/>
        <v>117920088</v>
      </c>
      <c r="W26" s="130">
        <f t="shared" si="9"/>
        <v>128611230</v>
      </c>
      <c r="X26" s="130">
        <f t="shared" si="10"/>
        <v>143227348</v>
      </c>
      <c r="Y26" s="130">
        <f t="shared" si="11"/>
        <v>142587307</v>
      </c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29"/>
      <c r="BP26" s="129"/>
      <c r="BQ26" s="129"/>
      <c r="BR26" s="129"/>
      <c r="BS26" s="129"/>
      <c r="BT26" s="129"/>
      <c r="BU26" s="129"/>
      <c r="BV26" s="129"/>
      <c r="BW26" s="129"/>
      <c r="BX26" s="129"/>
      <c r="BY26" s="129"/>
      <c r="BZ26" s="129"/>
      <c r="CA26" s="129"/>
      <c r="CB26" s="129"/>
      <c r="CC26" s="129"/>
      <c r="CD26" s="129"/>
      <c r="CE26" s="129"/>
      <c r="CF26" s="129"/>
      <c r="CG26" s="129"/>
      <c r="CH26" s="129"/>
      <c r="CI26" s="129"/>
      <c r="CJ26" s="129"/>
      <c r="CK26" s="129"/>
      <c r="CL26" s="129"/>
      <c r="CM26" s="129"/>
      <c r="CN26" s="129"/>
      <c r="CO26" s="129"/>
      <c r="CP26" s="129"/>
      <c r="CQ26" s="129"/>
      <c r="CR26" s="129"/>
      <c r="CS26" s="129"/>
      <c r="CT26" s="129"/>
      <c r="CU26" s="129"/>
      <c r="CV26" s="129"/>
      <c r="CW26" s="129"/>
      <c r="CX26" s="129"/>
      <c r="CY26" s="129"/>
      <c r="CZ26" s="129"/>
      <c r="DA26" s="129"/>
      <c r="DB26" s="129"/>
      <c r="DC26" s="129"/>
      <c r="DD26" s="129"/>
      <c r="DE26" s="129"/>
      <c r="DF26" s="129"/>
      <c r="DG26" s="129"/>
      <c r="DH26" s="129"/>
      <c r="DI26" s="129"/>
      <c r="DJ26" s="129"/>
      <c r="DK26" s="129"/>
      <c r="DL26" s="129"/>
      <c r="DM26" s="129"/>
      <c r="DN26" s="129"/>
      <c r="DO26" s="129"/>
      <c r="DP26" s="129"/>
      <c r="DQ26" s="129"/>
      <c r="DR26" s="129"/>
      <c r="DS26" s="129"/>
      <c r="DT26" s="129"/>
      <c r="DU26" s="129"/>
      <c r="DV26" s="129"/>
      <c r="DW26" s="129"/>
      <c r="DX26" s="129"/>
      <c r="DY26" s="129"/>
      <c r="DZ26" s="129"/>
      <c r="EA26" s="129"/>
      <c r="EB26" s="129"/>
      <c r="EC26" s="129"/>
      <c r="ED26" s="129"/>
      <c r="EE26" s="129"/>
      <c r="EF26" s="129"/>
      <c r="EG26" s="129"/>
      <c r="EH26" s="129"/>
      <c r="EI26" s="129"/>
      <c r="EJ26" s="129"/>
      <c r="EK26" s="129"/>
      <c r="EL26" s="129"/>
      <c r="EM26" s="129"/>
      <c r="EN26" s="129"/>
      <c r="EO26" s="129"/>
      <c r="EP26" s="129"/>
      <c r="EQ26" s="129"/>
      <c r="ER26" s="129"/>
      <c r="ES26" s="129"/>
      <c r="ET26" s="129"/>
      <c r="EU26" s="129"/>
      <c r="EV26" s="129"/>
      <c r="EW26" s="129"/>
      <c r="EX26" s="129"/>
      <c r="EY26" s="129"/>
      <c r="EZ26" s="129"/>
      <c r="FA26" s="129"/>
    </row>
    <row r="27" spans="1:157" ht="20.100000000000001" customHeight="1">
      <c r="A27" s="355"/>
      <c r="B27" s="93" t="s">
        <v>969</v>
      </c>
      <c r="C27" s="260">
        <v>322720</v>
      </c>
      <c r="D27" s="260">
        <v>351363</v>
      </c>
      <c r="E27" s="260">
        <v>387319</v>
      </c>
      <c r="F27" s="260">
        <v>363547</v>
      </c>
      <c r="G27" s="260">
        <v>393275</v>
      </c>
      <c r="H27" s="260">
        <v>434228</v>
      </c>
      <c r="I27" s="260">
        <v>431032</v>
      </c>
      <c r="J27" s="260">
        <v>432702</v>
      </c>
      <c r="K27" s="260">
        <v>422565</v>
      </c>
      <c r="L27" s="260">
        <v>408984</v>
      </c>
      <c r="M27" s="260">
        <v>372385</v>
      </c>
      <c r="N27" s="130">
        <f t="shared" si="0"/>
        <v>355249</v>
      </c>
      <c r="O27" s="130">
        <f t="shared" si="1"/>
        <v>316398</v>
      </c>
      <c r="P27" s="130">
        <f t="shared" si="2"/>
        <v>254239</v>
      </c>
      <c r="Q27" s="130">
        <f t="shared" si="3"/>
        <v>268677</v>
      </c>
      <c r="R27" s="130">
        <f t="shared" si="4"/>
        <v>261859</v>
      </c>
      <c r="S27" s="130">
        <f t="shared" si="5"/>
        <v>273718</v>
      </c>
      <c r="T27" s="130">
        <f t="shared" si="6"/>
        <v>265277</v>
      </c>
      <c r="U27" s="130">
        <f t="shared" si="7"/>
        <v>252687</v>
      </c>
      <c r="V27" s="130">
        <f t="shared" si="8"/>
        <v>283119</v>
      </c>
      <c r="W27" s="130">
        <f t="shared" si="9"/>
        <v>287782</v>
      </c>
      <c r="X27" s="130">
        <f t="shared" si="10"/>
        <v>292884</v>
      </c>
      <c r="Y27" s="130">
        <f t="shared" si="11"/>
        <v>290127</v>
      </c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  <c r="BJ27" s="129"/>
      <c r="BK27" s="129"/>
      <c r="BL27" s="129"/>
      <c r="BM27" s="129"/>
      <c r="BN27" s="129"/>
      <c r="BO27" s="129"/>
      <c r="BP27" s="129"/>
      <c r="BQ27" s="129"/>
      <c r="BR27" s="129"/>
      <c r="BS27" s="129"/>
      <c r="BT27" s="129"/>
      <c r="BU27" s="129"/>
      <c r="BV27" s="129"/>
      <c r="BW27" s="129"/>
      <c r="BX27" s="129"/>
      <c r="BY27" s="129"/>
      <c r="BZ27" s="129"/>
      <c r="CA27" s="129"/>
      <c r="CB27" s="129"/>
      <c r="CC27" s="129"/>
      <c r="CD27" s="129"/>
      <c r="CE27" s="129"/>
      <c r="CF27" s="129"/>
      <c r="CG27" s="129"/>
      <c r="CH27" s="129"/>
      <c r="CI27" s="129"/>
      <c r="CJ27" s="129"/>
      <c r="CK27" s="129"/>
      <c r="CL27" s="129"/>
      <c r="CM27" s="129"/>
      <c r="CN27" s="129"/>
      <c r="CO27" s="129"/>
      <c r="CP27" s="129"/>
      <c r="CQ27" s="129"/>
      <c r="CR27" s="129"/>
      <c r="CS27" s="129"/>
      <c r="CT27" s="129"/>
      <c r="CU27" s="129"/>
      <c r="CV27" s="129"/>
      <c r="CW27" s="129"/>
      <c r="CX27" s="129"/>
      <c r="CY27" s="129"/>
      <c r="CZ27" s="129"/>
      <c r="DA27" s="129"/>
      <c r="DB27" s="129"/>
      <c r="DC27" s="129"/>
      <c r="DD27" s="129"/>
      <c r="DE27" s="129"/>
      <c r="DF27" s="129"/>
      <c r="DG27" s="129"/>
      <c r="DH27" s="129"/>
      <c r="DI27" s="129"/>
      <c r="DJ27" s="129"/>
      <c r="DK27" s="129"/>
      <c r="DL27" s="129"/>
      <c r="DM27" s="129"/>
      <c r="DN27" s="129"/>
      <c r="DO27" s="129"/>
      <c r="DP27" s="129"/>
      <c r="DQ27" s="129"/>
      <c r="DR27" s="129"/>
      <c r="DS27" s="129"/>
      <c r="DT27" s="129"/>
      <c r="DU27" s="129"/>
      <c r="DV27" s="129"/>
      <c r="DW27" s="129"/>
      <c r="DX27" s="129"/>
      <c r="DY27" s="129"/>
      <c r="DZ27" s="129"/>
      <c r="EA27" s="129"/>
      <c r="EB27" s="129"/>
      <c r="EC27" s="129"/>
      <c r="ED27" s="129"/>
      <c r="EE27" s="129"/>
      <c r="EF27" s="129"/>
      <c r="EG27" s="129"/>
      <c r="EH27" s="129"/>
      <c r="EI27" s="129"/>
      <c r="EJ27" s="129"/>
      <c r="EK27" s="129"/>
      <c r="EL27" s="129"/>
      <c r="EM27" s="129"/>
      <c r="EN27" s="129"/>
      <c r="EO27" s="129"/>
      <c r="EP27" s="129"/>
      <c r="EQ27" s="129"/>
      <c r="ER27" s="129"/>
      <c r="ES27" s="129"/>
      <c r="ET27" s="129"/>
      <c r="EU27" s="129"/>
      <c r="EV27" s="129"/>
      <c r="EW27" s="129"/>
      <c r="EX27" s="129"/>
      <c r="EY27" s="129"/>
      <c r="EZ27" s="129"/>
      <c r="FA27" s="129"/>
    </row>
    <row r="28" spans="1:157" ht="20.100000000000001" customHeight="1">
      <c r="A28" s="353" t="s">
        <v>807</v>
      </c>
      <c r="B28" s="93" t="s">
        <v>73</v>
      </c>
      <c r="C28" s="260">
        <v>405714274</v>
      </c>
      <c r="D28" s="260">
        <v>442551230</v>
      </c>
      <c r="E28" s="260">
        <v>486661311</v>
      </c>
      <c r="F28" s="260">
        <v>476222728</v>
      </c>
      <c r="G28" s="260">
        <v>533902560</v>
      </c>
      <c r="H28" s="260">
        <v>571548755</v>
      </c>
      <c r="I28" s="260">
        <v>612773903</v>
      </c>
      <c r="J28" s="260">
        <v>637622077</v>
      </c>
      <c r="K28" s="260">
        <v>669816827</v>
      </c>
      <c r="L28" s="260">
        <v>735946247</v>
      </c>
      <c r="M28" s="260">
        <v>757553023</v>
      </c>
      <c r="N28" s="130">
        <f t="shared" si="0"/>
        <v>812683138</v>
      </c>
      <c r="O28" s="130">
        <f t="shared" si="1"/>
        <v>865661443</v>
      </c>
      <c r="P28" s="130">
        <f t="shared" si="2"/>
        <v>895933749</v>
      </c>
      <c r="Q28" s="130">
        <f t="shared" si="3"/>
        <v>851171113</v>
      </c>
      <c r="R28" s="130">
        <f t="shared" si="4"/>
        <v>969520226</v>
      </c>
      <c r="S28" s="130">
        <f t="shared" si="5"/>
        <v>1051270490</v>
      </c>
      <c r="T28" s="130">
        <f t="shared" si="6"/>
        <v>1111747050</v>
      </c>
      <c r="U28" s="130">
        <f t="shared" si="7"/>
        <v>1126451308</v>
      </c>
      <c r="V28" s="130">
        <f t="shared" si="8"/>
        <v>1188051936</v>
      </c>
      <c r="W28" s="130">
        <f t="shared" si="9"/>
        <v>1220300498</v>
      </c>
      <c r="X28" s="130">
        <f t="shared" si="10"/>
        <v>1246377969</v>
      </c>
      <c r="Y28" s="130">
        <f t="shared" si="11"/>
        <v>1316520988</v>
      </c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  <c r="BJ28" s="129"/>
      <c r="BK28" s="129"/>
      <c r="BL28" s="129"/>
      <c r="BM28" s="129"/>
      <c r="BN28" s="129"/>
      <c r="BO28" s="129"/>
      <c r="BP28" s="129"/>
      <c r="BQ28" s="129"/>
      <c r="BR28" s="129"/>
      <c r="BS28" s="129"/>
      <c r="BT28" s="129"/>
      <c r="BU28" s="129"/>
      <c r="BV28" s="129"/>
      <c r="BW28" s="129"/>
      <c r="BX28" s="129"/>
      <c r="BY28" s="129"/>
      <c r="BZ28" s="129"/>
      <c r="CA28" s="129"/>
      <c r="CB28" s="129"/>
      <c r="CC28" s="129"/>
      <c r="CD28" s="129"/>
      <c r="CE28" s="129"/>
      <c r="CF28" s="129"/>
      <c r="CG28" s="129"/>
      <c r="CH28" s="129"/>
      <c r="CI28" s="129"/>
      <c r="CJ28" s="129"/>
      <c r="CK28" s="129"/>
      <c r="CL28" s="129"/>
      <c r="CM28" s="129"/>
      <c r="CN28" s="129"/>
      <c r="CO28" s="129"/>
      <c r="CP28" s="129"/>
      <c r="CQ28" s="129"/>
      <c r="CR28" s="129"/>
      <c r="CS28" s="129"/>
      <c r="CT28" s="129"/>
      <c r="CU28" s="129"/>
      <c r="CV28" s="129"/>
      <c r="CW28" s="129"/>
      <c r="CX28" s="129"/>
      <c r="CY28" s="129"/>
      <c r="CZ28" s="129"/>
      <c r="DA28" s="129"/>
      <c r="DB28" s="129"/>
      <c r="DC28" s="129"/>
      <c r="DD28" s="129"/>
      <c r="DE28" s="129"/>
      <c r="DF28" s="129"/>
      <c r="DG28" s="129"/>
      <c r="DH28" s="129"/>
      <c r="DI28" s="129"/>
      <c r="DJ28" s="129"/>
      <c r="DK28" s="129"/>
      <c r="DL28" s="129"/>
      <c r="DM28" s="129"/>
      <c r="DN28" s="129"/>
      <c r="DO28" s="129"/>
      <c r="DP28" s="129"/>
      <c r="DQ28" s="129"/>
      <c r="DR28" s="129"/>
      <c r="DS28" s="129"/>
      <c r="DT28" s="129"/>
      <c r="DU28" s="129"/>
      <c r="DV28" s="129"/>
      <c r="DW28" s="129"/>
      <c r="DX28" s="129"/>
      <c r="DY28" s="129"/>
      <c r="DZ28" s="129"/>
      <c r="EA28" s="129"/>
      <c r="EB28" s="129"/>
      <c r="EC28" s="129"/>
      <c r="ED28" s="129"/>
      <c r="EE28" s="129"/>
      <c r="EF28" s="129"/>
      <c r="EG28" s="129"/>
      <c r="EH28" s="129"/>
      <c r="EI28" s="129"/>
      <c r="EJ28" s="129"/>
      <c r="EK28" s="129"/>
      <c r="EL28" s="129"/>
      <c r="EM28" s="129"/>
      <c r="EN28" s="129"/>
      <c r="EO28" s="129"/>
      <c r="EP28" s="129"/>
      <c r="EQ28" s="129"/>
      <c r="ER28" s="129"/>
      <c r="ES28" s="129"/>
      <c r="ET28" s="129"/>
      <c r="EU28" s="129"/>
      <c r="EV28" s="129"/>
      <c r="EW28" s="129"/>
      <c r="EX28" s="129"/>
      <c r="EY28" s="129"/>
      <c r="EZ28" s="129"/>
      <c r="FA28" s="129"/>
    </row>
    <row r="29" spans="1:157" ht="20.100000000000001" customHeight="1">
      <c r="A29" s="354"/>
      <c r="B29" s="93" t="s">
        <v>968</v>
      </c>
      <c r="C29" s="260">
        <v>404423525</v>
      </c>
      <c r="D29" s="260">
        <v>441120256</v>
      </c>
      <c r="E29" s="260">
        <v>485030237</v>
      </c>
      <c r="F29" s="260">
        <v>474751966</v>
      </c>
      <c r="G29" s="260">
        <v>532183132</v>
      </c>
      <c r="H29" s="260">
        <v>569599403</v>
      </c>
      <c r="I29" s="260">
        <v>610910071</v>
      </c>
      <c r="J29" s="260">
        <v>635545272</v>
      </c>
      <c r="K29" s="260">
        <v>667608033</v>
      </c>
      <c r="L29" s="260">
        <v>733377114</v>
      </c>
      <c r="M29" s="260">
        <v>754936409</v>
      </c>
      <c r="N29" s="130">
        <f t="shared" si="0"/>
        <v>809829604</v>
      </c>
      <c r="O29" s="130">
        <f t="shared" si="1"/>
        <v>862523478</v>
      </c>
      <c r="P29" s="130">
        <f t="shared" si="2"/>
        <v>892936382</v>
      </c>
      <c r="Q29" s="130">
        <f t="shared" si="3"/>
        <v>848298644</v>
      </c>
      <c r="R29" s="130">
        <f t="shared" si="4"/>
        <v>966193342</v>
      </c>
      <c r="S29" s="130">
        <f t="shared" si="5"/>
        <v>1047986198</v>
      </c>
      <c r="T29" s="130">
        <f t="shared" si="6"/>
        <v>1108538270</v>
      </c>
      <c r="U29" s="130">
        <f t="shared" si="7"/>
        <v>1123205055</v>
      </c>
      <c r="V29" s="130">
        <f t="shared" si="8"/>
        <v>1184641194</v>
      </c>
      <c r="W29" s="130">
        <f t="shared" si="9"/>
        <v>1216781726</v>
      </c>
      <c r="X29" s="130">
        <f t="shared" si="10"/>
        <v>1242597061</v>
      </c>
      <c r="Y29" s="130">
        <f t="shared" si="11"/>
        <v>1312489474</v>
      </c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  <c r="BH29" s="129"/>
      <c r="BI29" s="129"/>
      <c r="BJ29" s="129"/>
      <c r="BK29" s="129"/>
      <c r="BL29" s="129"/>
      <c r="BM29" s="129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/>
      <c r="BX29" s="129"/>
      <c r="BY29" s="129"/>
      <c r="BZ29" s="129"/>
      <c r="CA29" s="129"/>
      <c r="CB29" s="129"/>
      <c r="CC29" s="129"/>
      <c r="CD29" s="129"/>
      <c r="CE29" s="129"/>
      <c r="CF29" s="129"/>
      <c r="CG29" s="129"/>
      <c r="CH29" s="129"/>
      <c r="CI29" s="129"/>
      <c r="CJ29" s="129"/>
      <c r="CK29" s="129"/>
      <c r="CL29" s="129"/>
      <c r="CM29" s="129"/>
      <c r="CN29" s="129"/>
      <c r="CO29" s="129"/>
      <c r="CP29" s="129"/>
      <c r="CQ29" s="129"/>
      <c r="CR29" s="129"/>
      <c r="CS29" s="129"/>
      <c r="CT29" s="129"/>
      <c r="CU29" s="129"/>
      <c r="CV29" s="129"/>
      <c r="CW29" s="129"/>
      <c r="CX29" s="129"/>
      <c r="CY29" s="129"/>
      <c r="CZ29" s="129"/>
      <c r="DA29" s="129"/>
      <c r="DB29" s="129"/>
      <c r="DC29" s="129"/>
      <c r="DD29" s="129"/>
      <c r="DE29" s="129"/>
      <c r="DF29" s="129"/>
      <c r="DG29" s="129"/>
      <c r="DH29" s="129"/>
      <c r="DI29" s="129"/>
      <c r="DJ29" s="129"/>
      <c r="DK29" s="129"/>
      <c r="DL29" s="129"/>
      <c r="DM29" s="129"/>
      <c r="DN29" s="129"/>
      <c r="DO29" s="129"/>
      <c r="DP29" s="129"/>
      <c r="DQ29" s="129"/>
      <c r="DR29" s="129"/>
      <c r="DS29" s="129"/>
      <c r="DT29" s="129"/>
      <c r="DU29" s="129"/>
      <c r="DV29" s="129"/>
      <c r="DW29" s="129"/>
      <c r="DX29" s="129"/>
      <c r="DY29" s="129"/>
      <c r="DZ29" s="129"/>
      <c r="EA29" s="129"/>
      <c r="EB29" s="129"/>
      <c r="EC29" s="129"/>
      <c r="ED29" s="129"/>
      <c r="EE29" s="129"/>
      <c r="EF29" s="129"/>
      <c r="EG29" s="129"/>
      <c r="EH29" s="129"/>
      <c r="EI29" s="129"/>
      <c r="EJ29" s="129"/>
      <c r="EK29" s="129"/>
      <c r="EL29" s="129"/>
      <c r="EM29" s="129"/>
      <c r="EN29" s="129"/>
      <c r="EO29" s="129"/>
      <c r="EP29" s="129"/>
      <c r="EQ29" s="129"/>
      <c r="ER29" s="129"/>
      <c r="ES29" s="129"/>
      <c r="ET29" s="129"/>
      <c r="EU29" s="129"/>
      <c r="EV29" s="129"/>
      <c r="EW29" s="129"/>
      <c r="EX29" s="129"/>
      <c r="EY29" s="129"/>
      <c r="EZ29" s="129"/>
      <c r="FA29" s="129"/>
    </row>
    <row r="30" spans="1:157" ht="20.100000000000001" customHeight="1">
      <c r="A30" s="355"/>
      <c r="B30" s="261" t="s">
        <v>969</v>
      </c>
      <c r="C30" s="260">
        <v>1290749</v>
      </c>
      <c r="D30" s="260">
        <v>1430974</v>
      </c>
      <c r="E30" s="260">
        <v>1631074</v>
      </c>
      <c r="F30" s="260">
        <v>1470762</v>
      </c>
      <c r="G30" s="260">
        <v>1719428</v>
      </c>
      <c r="H30" s="260">
        <v>1949352</v>
      </c>
      <c r="I30" s="260">
        <v>1863832</v>
      </c>
      <c r="J30" s="260">
        <v>2076805</v>
      </c>
      <c r="K30" s="260">
        <v>2208794</v>
      </c>
      <c r="L30" s="260">
        <v>2569133</v>
      </c>
      <c r="M30" s="260">
        <v>2616614</v>
      </c>
      <c r="N30" s="130">
        <f t="shared" si="0"/>
        <v>2853534</v>
      </c>
      <c r="O30" s="130">
        <f t="shared" si="1"/>
        <v>3137965</v>
      </c>
      <c r="P30" s="130">
        <f t="shared" si="2"/>
        <v>2997367</v>
      </c>
      <c r="Q30" s="130">
        <f t="shared" si="3"/>
        <v>2872469</v>
      </c>
      <c r="R30" s="130">
        <f t="shared" si="4"/>
        <v>3326884</v>
      </c>
      <c r="S30" s="130">
        <f t="shared" si="5"/>
        <v>3284292</v>
      </c>
      <c r="T30" s="130">
        <f t="shared" si="6"/>
        <v>3208780</v>
      </c>
      <c r="U30" s="130">
        <f t="shared" si="7"/>
        <v>3246253</v>
      </c>
      <c r="V30" s="130">
        <f t="shared" si="8"/>
        <v>3410742</v>
      </c>
      <c r="W30" s="130">
        <f t="shared" si="9"/>
        <v>3518772</v>
      </c>
      <c r="X30" s="130">
        <f t="shared" si="10"/>
        <v>3780908</v>
      </c>
      <c r="Y30" s="130">
        <f t="shared" si="11"/>
        <v>4031514</v>
      </c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129"/>
      <c r="BS30" s="129"/>
      <c r="BT30" s="129"/>
      <c r="BU30" s="129"/>
      <c r="BV30" s="129"/>
      <c r="BW30" s="129"/>
      <c r="BX30" s="129"/>
      <c r="BY30" s="129"/>
      <c r="BZ30" s="129"/>
      <c r="CA30" s="129"/>
      <c r="CB30" s="129"/>
      <c r="CC30" s="129"/>
      <c r="CD30" s="129"/>
      <c r="CE30" s="129"/>
      <c r="CF30" s="129"/>
      <c r="CG30" s="129"/>
      <c r="CH30" s="129"/>
      <c r="CI30" s="129"/>
      <c r="CJ30" s="129"/>
      <c r="CK30" s="129"/>
      <c r="CL30" s="129"/>
      <c r="CM30" s="129"/>
      <c r="CN30" s="129"/>
      <c r="CO30" s="129"/>
      <c r="CP30" s="129"/>
      <c r="CQ30" s="129"/>
      <c r="CR30" s="129"/>
      <c r="CS30" s="129"/>
      <c r="CT30" s="129"/>
      <c r="CU30" s="129"/>
      <c r="CV30" s="129"/>
      <c r="CW30" s="129"/>
      <c r="CX30" s="129"/>
      <c r="CY30" s="129"/>
      <c r="CZ30" s="129"/>
      <c r="DA30" s="129"/>
      <c r="DB30" s="129"/>
      <c r="DC30" s="129"/>
      <c r="DD30" s="129"/>
      <c r="DE30" s="129"/>
      <c r="DF30" s="129"/>
      <c r="DG30" s="129"/>
      <c r="DH30" s="129"/>
      <c r="DI30" s="129"/>
      <c r="DJ30" s="129"/>
      <c r="DK30" s="129"/>
      <c r="DL30" s="129"/>
      <c r="DM30" s="129"/>
      <c r="DN30" s="129"/>
      <c r="DO30" s="129"/>
      <c r="DP30" s="129"/>
      <c r="DQ30" s="129"/>
      <c r="DR30" s="129"/>
      <c r="DS30" s="129"/>
      <c r="DT30" s="129"/>
      <c r="DU30" s="129"/>
      <c r="DV30" s="129"/>
      <c r="DW30" s="129"/>
      <c r="DX30" s="129"/>
      <c r="DY30" s="129"/>
      <c r="DZ30" s="129"/>
      <c r="EA30" s="129"/>
      <c r="EB30" s="129"/>
      <c r="EC30" s="129"/>
      <c r="ED30" s="129"/>
      <c r="EE30" s="129"/>
      <c r="EF30" s="129"/>
      <c r="EG30" s="129"/>
      <c r="EH30" s="129"/>
      <c r="EI30" s="129"/>
      <c r="EJ30" s="129"/>
      <c r="EK30" s="129"/>
      <c r="EL30" s="129"/>
      <c r="EM30" s="129"/>
      <c r="EN30" s="129"/>
      <c r="EO30" s="129"/>
      <c r="EP30" s="129"/>
      <c r="EQ30" s="129"/>
      <c r="ER30" s="129"/>
      <c r="ES30" s="129"/>
      <c r="ET30" s="129"/>
      <c r="EU30" s="129"/>
      <c r="EV30" s="129"/>
      <c r="EW30" s="129"/>
      <c r="EX30" s="129"/>
      <c r="EY30" s="129"/>
      <c r="EZ30" s="129"/>
      <c r="FA30" s="129"/>
    </row>
    <row r="31" spans="1:157" ht="20.100000000000001" customHeight="1">
      <c r="A31" s="352" t="s">
        <v>500</v>
      </c>
      <c r="B31" s="261" t="s">
        <v>971</v>
      </c>
      <c r="C31" s="129">
        <f>SUM(C26,C29)</f>
        <v>533535414</v>
      </c>
      <c r="D31" s="129">
        <f t="shared" ref="D31:Y31" si="12">SUM(D26,D29)</f>
        <v>582067798</v>
      </c>
      <c r="E31" s="129">
        <f t="shared" si="12"/>
        <v>632076091</v>
      </c>
      <c r="F31" s="129">
        <f t="shared" si="12"/>
        <v>589930794</v>
      </c>
      <c r="G31" s="129">
        <f t="shared" si="12"/>
        <v>655876090</v>
      </c>
      <c r="H31" s="129">
        <f t="shared" si="12"/>
        <v>704066789</v>
      </c>
      <c r="I31" s="129">
        <f t="shared" si="12"/>
        <v>751454398</v>
      </c>
      <c r="J31" s="129">
        <f t="shared" si="12"/>
        <v>777251257</v>
      </c>
      <c r="K31" s="129">
        <f t="shared" si="12"/>
        <v>812934842</v>
      </c>
      <c r="L31" s="129">
        <f t="shared" si="12"/>
        <v>849012920</v>
      </c>
      <c r="M31" s="129">
        <f t="shared" si="12"/>
        <v>874346287</v>
      </c>
      <c r="N31" s="129">
        <f t="shared" si="12"/>
        <v>927634380</v>
      </c>
      <c r="O31" s="129">
        <f t="shared" si="12"/>
        <v>982602677</v>
      </c>
      <c r="P31" s="129">
        <f t="shared" si="12"/>
        <v>1019900636</v>
      </c>
      <c r="Q31" s="129">
        <f t="shared" si="12"/>
        <v>968330554</v>
      </c>
      <c r="R31" s="129">
        <f t="shared" si="12"/>
        <v>1085214922</v>
      </c>
      <c r="S31" s="129">
        <f t="shared" si="12"/>
        <v>1161014340</v>
      </c>
      <c r="T31" s="129">
        <f t="shared" si="12"/>
        <v>1227595577</v>
      </c>
      <c r="U31" s="129">
        <f t="shared" si="12"/>
        <v>1241065165</v>
      </c>
      <c r="V31" s="129">
        <f t="shared" si="12"/>
        <v>1302561282</v>
      </c>
      <c r="W31" s="129">
        <f t="shared" si="12"/>
        <v>1345392956</v>
      </c>
      <c r="X31" s="129">
        <f t="shared" si="12"/>
        <v>1385824409</v>
      </c>
      <c r="Y31" s="129">
        <f t="shared" si="12"/>
        <v>1455076781</v>
      </c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  <c r="BH31" s="129"/>
      <c r="BI31" s="129"/>
      <c r="BJ31" s="129"/>
      <c r="BK31" s="129"/>
      <c r="BL31" s="129"/>
      <c r="BM31" s="129"/>
      <c r="BN31" s="129"/>
      <c r="BO31" s="129"/>
      <c r="BP31" s="129"/>
      <c r="BQ31" s="129"/>
      <c r="BR31" s="129"/>
      <c r="BS31" s="129"/>
      <c r="BT31" s="129"/>
      <c r="BU31" s="129"/>
      <c r="BV31" s="129"/>
      <c r="BW31" s="129"/>
      <c r="BX31" s="129"/>
      <c r="BY31" s="129"/>
      <c r="BZ31" s="129"/>
      <c r="CA31" s="129"/>
      <c r="CB31" s="129"/>
      <c r="CC31" s="129"/>
      <c r="CD31" s="129"/>
      <c r="CE31" s="129"/>
      <c r="CF31" s="129"/>
      <c r="CG31" s="129"/>
      <c r="CH31" s="129"/>
      <c r="CI31" s="129"/>
      <c r="CJ31" s="129"/>
      <c r="CK31" s="129"/>
      <c r="CL31" s="129"/>
      <c r="CM31" s="129"/>
      <c r="CN31" s="129"/>
      <c r="CO31" s="129"/>
      <c r="CP31" s="129"/>
      <c r="CQ31" s="129"/>
      <c r="CR31" s="129"/>
      <c r="CS31" s="129"/>
      <c r="CT31" s="129"/>
      <c r="CU31" s="129"/>
      <c r="CV31" s="129"/>
      <c r="CW31" s="129"/>
      <c r="CX31" s="129"/>
      <c r="CY31" s="129"/>
      <c r="CZ31" s="129"/>
      <c r="DA31" s="129"/>
      <c r="DB31" s="129"/>
      <c r="DC31" s="129"/>
      <c r="DD31" s="129"/>
      <c r="DE31" s="129"/>
      <c r="DF31" s="129"/>
      <c r="DG31" s="129"/>
      <c r="DH31" s="129"/>
      <c r="DI31" s="129"/>
      <c r="DJ31" s="129"/>
      <c r="DK31" s="129"/>
      <c r="DL31" s="129"/>
      <c r="DM31" s="129"/>
      <c r="DN31" s="129"/>
      <c r="DO31" s="129"/>
      <c r="DP31" s="129"/>
      <c r="DQ31" s="129"/>
      <c r="DR31" s="129"/>
      <c r="DS31" s="129"/>
      <c r="DT31" s="129"/>
      <c r="DU31" s="129"/>
      <c r="DV31" s="129"/>
      <c r="DW31" s="129"/>
      <c r="DX31" s="129"/>
      <c r="DY31" s="129"/>
      <c r="DZ31" s="129"/>
      <c r="EA31" s="129"/>
      <c r="EB31" s="129"/>
      <c r="EC31" s="129"/>
      <c r="ED31" s="129"/>
      <c r="EE31" s="129"/>
      <c r="EF31" s="129"/>
      <c r="EG31" s="129"/>
      <c r="EH31" s="129"/>
      <c r="EI31" s="129"/>
      <c r="EJ31" s="129"/>
      <c r="EK31" s="129"/>
      <c r="EL31" s="129"/>
      <c r="EM31" s="129"/>
      <c r="EN31" s="129"/>
      <c r="EO31" s="129"/>
      <c r="EP31" s="129"/>
      <c r="EQ31" s="129"/>
      <c r="ER31" s="129"/>
      <c r="ES31" s="129"/>
      <c r="ET31" s="129"/>
      <c r="EU31" s="129"/>
      <c r="EV31" s="129"/>
      <c r="EW31" s="129"/>
      <c r="EX31" s="129"/>
      <c r="EY31" s="129"/>
      <c r="EZ31" s="129"/>
      <c r="FA31" s="129"/>
    </row>
    <row r="32" spans="1:157" ht="20.100000000000001" customHeight="1">
      <c r="A32" s="352"/>
      <c r="B32" s="261" t="s">
        <v>972</v>
      </c>
      <c r="C32" s="129">
        <f>SUM(C27,C30)</f>
        <v>1613469</v>
      </c>
      <c r="D32" s="129">
        <f t="shared" ref="D32:Y32" si="13">SUM(D27,D30)</f>
        <v>1782337</v>
      </c>
      <c r="E32" s="129">
        <f t="shared" si="13"/>
        <v>2018393</v>
      </c>
      <c r="F32" s="129">
        <f t="shared" si="13"/>
        <v>1834309</v>
      </c>
      <c r="G32" s="129">
        <f t="shared" si="13"/>
        <v>2112703</v>
      </c>
      <c r="H32" s="129">
        <f t="shared" si="13"/>
        <v>2383580</v>
      </c>
      <c r="I32" s="129">
        <f t="shared" si="13"/>
        <v>2294864</v>
      </c>
      <c r="J32" s="129">
        <f t="shared" si="13"/>
        <v>2509507</v>
      </c>
      <c r="K32" s="129">
        <f t="shared" si="13"/>
        <v>2631359</v>
      </c>
      <c r="L32" s="129">
        <f t="shared" si="13"/>
        <v>2978117</v>
      </c>
      <c r="M32" s="129">
        <f t="shared" si="13"/>
        <v>2988999</v>
      </c>
      <c r="N32" s="129">
        <f t="shared" si="13"/>
        <v>3208783</v>
      </c>
      <c r="O32" s="129">
        <f t="shared" si="13"/>
        <v>3454363</v>
      </c>
      <c r="P32" s="129">
        <f t="shared" si="13"/>
        <v>3251606</v>
      </c>
      <c r="Q32" s="129">
        <f t="shared" si="13"/>
        <v>3141146</v>
      </c>
      <c r="R32" s="129">
        <f t="shared" si="13"/>
        <v>3588743</v>
      </c>
      <c r="S32" s="129">
        <f t="shared" si="13"/>
        <v>3558010</v>
      </c>
      <c r="T32" s="129">
        <f t="shared" si="13"/>
        <v>3474057</v>
      </c>
      <c r="U32" s="129">
        <f t="shared" si="13"/>
        <v>3498940</v>
      </c>
      <c r="V32" s="129">
        <f t="shared" si="13"/>
        <v>3693861</v>
      </c>
      <c r="W32" s="129">
        <f t="shared" si="13"/>
        <v>3806554</v>
      </c>
      <c r="X32" s="129">
        <f t="shared" si="13"/>
        <v>4073792</v>
      </c>
      <c r="Y32" s="129">
        <f t="shared" si="13"/>
        <v>4321641</v>
      </c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129"/>
      <c r="BS32" s="129"/>
      <c r="BT32" s="129"/>
      <c r="BU32" s="129"/>
      <c r="BV32" s="129"/>
      <c r="BW32" s="129"/>
      <c r="BX32" s="129"/>
      <c r="BY32" s="129"/>
      <c r="BZ32" s="129"/>
      <c r="CA32" s="129"/>
      <c r="CB32" s="129"/>
      <c r="CC32" s="129"/>
      <c r="CD32" s="129"/>
      <c r="CE32" s="129"/>
      <c r="CF32" s="129"/>
      <c r="CG32" s="129"/>
      <c r="CH32" s="129"/>
      <c r="CI32" s="129"/>
      <c r="CJ32" s="129"/>
      <c r="CK32" s="129"/>
      <c r="CL32" s="129"/>
      <c r="CM32" s="129"/>
      <c r="CN32" s="129"/>
      <c r="CO32" s="129"/>
      <c r="CP32" s="129"/>
      <c r="CQ32" s="129"/>
      <c r="CR32" s="129"/>
      <c r="CS32" s="129"/>
      <c r="CT32" s="129"/>
      <c r="CU32" s="129"/>
      <c r="CV32" s="129"/>
      <c r="CW32" s="129"/>
      <c r="CX32" s="129"/>
      <c r="CY32" s="129"/>
      <c r="CZ32" s="129"/>
      <c r="DA32" s="129"/>
      <c r="DB32" s="129"/>
      <c r="DC32" s="129"/>
      <c r="DD32" s="129"/>
      <c r="DE32" s="129"/>
      <c r="DF32" s="129"/>
      <c r="DG32" s="129"/>
      <c r="DH32" s="129"/>
      <c r="DI32" s="129"/>
      <c r="DJ32" s="129"/>
      <c r="DK32" s="129"/>
      <c r="DL32" s="129"/>
      <c r="DM32" s="129"/>
      <c r="DN32" s="129"/>
      <c r="DO32" s="129"/>
      <c r="DP32" s="129"/>
      <c r="DQ32" s="129"/>
      <c r="DR32" s="129"/>
      <c r="DS32" s="129"/>
      <c r="DT32" s="129"/>
      <c r="DU32" s="129"/>
      <c r="DV32" s="129"/>
      <c r="DW32" s="129"/>
      <c r="DX32" s="129"/>
      <c r="DY32" s="129"/>
      <c r="DZ32" s="129"/>
      <c r="EA32" s="129"/>
      <c r="EB32" s="129"/>
      <c r="EC32" s="129"/>
      <c r="ED32" s="129"/>
      <c r="EE32" s="129"/>
      <c r="EF32" s="129"/>
      <c r="EG32" s="129"/>
      <c r="EH32" s="129"/>
      <c r="EI32" s="129"/>
      <c r="EJ32" s="129"/>
      <c r="EK32" s="129"/>
      <c r="EL32" s="129"/>
      <c r="EM32" s="129"/>
      <c r="EN32" s="129"/>
      <c r="EO32" s="129"/>
      <c r="EP32" s="129"/>
      <c r="EQ32" s="129"/>
      <c r="ER32" s="129"/>
      <c r="ES32" s="129"/>
      <c r="ET32" s="129"/>
      <c r="EU32" s="129"/>
      <c r="EV32" s="129"/>
      <c r="EW32" s="129"/>
      <c r="EX32" s="129"/>
      <c r="EY32" s="129"/>
      <c r="EZ32" s="129"/>
      <c r="FA32" s="129"/>
    </row>
    <row r="33" spans="1:21">
      <c r="J33" s="14" t="s">
        <v>973</v>
      </c>
      <c r="K33" s="14" t="s">
        <v>974</v>
      </c>
    </row>
    <row r="34" spans="1:21">
      <c r="A34" s="120" t="s">
        <v>975</v>
      </c>
      <c r="B34" s="350" t="s">
        <v>976</v>
      </c>
      <c r="C34" s="350"/>
      <c r="D34" s="350" t="s">
        <v>977</v>
      </c>
      <c r="E34" s="350"/>
      <c r="F34" s="350" t="s">
        <v>500</v>
      </c>
      <c r="G34" s="350"/>
      <c r="I34" s="120" t="s">
        <v>978</v>
      </c>
      <c r="J34" s="351" t="s">
        <v>976</v>
      </c>
      <c r="K34" s="351"/>
      <c r="L34" s="350" t="s">
        <v>977</v>
      </c>
      <c r="M34" s="350"/>
      <c r="N34" s="350" t="s">
        <v>500</v>
      </c>
      <c r="O34" s="350"/>
      <c r="P34" s="350" t="s">
        <v>979</v>
      </c>
      <c r="Q34" s="350"/>
      <c r="T34" s="14"/>
      <c r="U34" s="14"/>
    </row>
    <row r="35" spans="1:21">
      <c r="A35" s="127" t="s">
        <v>252</v>
      </c>
      <c r="B35" s="14" t="s">
        <v>980</v>
      </c>
      <c r="C35" s="14" t="s">
        <v>981</v>
      </c>
      <c r="D35" s="14" t="s">
        <v>980</v>
      </c>
      <c r="E35" s="14" t="s">
        <v>981</v>
      </c>
      <c r="F35" s="14" t="s">
        <v>980</v>
      </c>
      <c r="G35" s="14" t="s">
        <v>981</v>
      </c>
      <c r="I35" s="127" t="s">
        <v>252</v>
      </c>
      <c r="J35" s="127" t="s">
        <v>982</v>
      </c>
      <c r="K35" s="127" t="s">
        <v>983</v>
      </c>
      <c r="L35" s="127" t="s">
        <v>982</v>
      </c>
      <c r="M35" s="127" t="s">
        <v>983</v>
      </c>
      <c r="N35" s="127" t="s">
        <v>982</v>
      </c>
      <c r="O35" s="127" t="s">
        <v>983</v>
      </c>
      <c r="P35" s="127" t="s">
        <v>984</v>
      </c>
      <c r="Q35" s="127" t="s">
        <v>985</v>
      </c>
      <c r="R35" s="127" t="s">
        <v>986</v>
      </c>
      <c r="S35" s="127" t="s">
        <v>987</v>
      </c>
    </row>
    <row r="36" spans="1:21">
      <c r="A36" s="8">
        <v>1990</v>
      </c>
      <c r="B36" s="118">
        <v>8260</v>
      </c>
      <c r="C36" s="118">
        <v>520</v>
      </c>
      <c r="D36" s="118">
        <v>236</v>
      </c>
      <c r="E36" s="118">
        <v>84</v>
      </c>
      <c r="F36" s="118">
        <f>SUM(B36,D36)</f>
        <v>8496</v>
      </c>
      <c r="G36" s="118">
        <f>SUM(C36,E36)</f>
        <v>604</v>
      </c>
      <c r="I36" s="8">
        <v>1990</v>
      </c>
      <c r="J36" s="118">
        <v>63914</v>
      </c>
      <c r="K36" s="118">
        <v>21127</v>
      </c>
      <c r="L36" s="118">
        <v>219781</v>
      </c>
      <c r="M36" s="118">
        <v>1833650</v>
      </c>
      <c r="N36" s="118">
        <f>SUM(J36,L36)</f>
        <v>283695</v>
      </c>
      <c r="O36" s="118">
        <f>SUM(K36,M36)</f>
        <v>1854777</v>
      </c>
      <c r="P36" s="118">
        <f>'Air-Cal'!D4/1000*'Air-Cal'!$P$38</f>
        <v>691.75726133577291</v>
      </c>
      <c r="Q36" s="123">
        <f>'Air-Cal'!E4/10^6*'Air-Cal'!$P$38</f>
        <v>3335.1570679040137</v>
      </c>
      <c r="R36" s="118">
        <f>SUM(O36,Q36)</f>
        <v>1858112.157067904</v>
      </c>
      <c r="S36" s="119">
        <f t="shared" ref="S36:S46" si="14">M36/L36</f>
        <v>8.3430778820735192</v>
      </c>
    </row>
    <row r="37" spans="1:21">
      <c r="A37" s="8">
        <v>1991</v>
      </c>
      <c r="B37" s="118">
        <v>8485</v>
      </c>
      <c r="C37" s="118">
        <v>524</v>
      </c>
      <c r="D37" s="118">
        <v>335</v>
      </c>
      <c r="E37" s="118">
        <v>113</v>
      </c>
      <c r="F37" s="118">
        <f t="shared" ref="F37:F65" si="15">SUM(B37,D37)</f>
        <v>8820</v>
      </c>
      <c r="G37" s="118">
        <f t="shared" ref="G37:G65" si="16">SUM(C37,E37)</f>
        <v>637</v>
      </c>
      <c r="I37" s="8">
        <v>1991</v>
      </c>
      <c r="J37" s="118">
        <v>76124</v>
      </c>
      <c r="K37" s="118">
        <v>24737</v>
      </c>
      <c r="L37" s="118">
        <v>262972</v>
      </c>
      <c r="M37" s="118">
        <v>2168582</v>
      </c>
      <c r="N37" s="118">
        <f t="shared" ref="N37:N62" si="17">SUM(J37,L37)</f>
        <v>339096</v>
      </c>
      <c r="O37" s="118">
        <f t="shared" ref="O37:O62" si="18">SUM(K37,M37)</f>
        <v>2193319</v>
      </c>
      <c r="P37" s="118">
        <f>'Air-Cal'!D5/1000*'Air-Cal'!$P$38</f>
        <v>711.43318823257107</v>
      </c>
      <c r="Q37" s="123">
        <f>'Air-Cal'!E5/10^6*'Air-Cal'!$P$38</f>
        <v>3279.018741124693</v>
      </c>
      <c r="R37" s="118">
        <f t="shared" ref="R37:R65" si="19">SUM(O37,Q37)</f>
        <v>2196598.0187411248</v>
      </c>
      <c r="S37" s="119">
        <f t="shared" si="14"/>
        <v>8.2464368830141606</v>
      </c>
    </row>
    <row r="38" spans="1:21">
      <c r="A38" s="8">
        <v>1992</v>
      </c>
      <c r="B38" s="118">
        <v>8733</v>
      </c>
      <c r="C38" s="118">
        <v>525</v>
      </c>
      <c r="D38" s="118">
        <v>338</v>
      </c>
      <c r="E38" s="118">
        <v>130</v>
      </c>
      <c r="F38" s="118">
        <f t="shared" si="15"/>
        <v>9071</v>
      </c>
      <c r="G38" s="118">
        <f t="shared" si="16"/>
        <v>655</v>
      </c>
      <c r="I38" s="8">
        <v>1992</v>
      </c>
      <c r="J38" s="118">
        <v>85589</v>
      </c>
      <c r="K38" s="118">
        <v>36008</v>
      </c>
      <c r="L38" s="118">
        <v>285573</v>
      </c>
      <c r="M38" s="118">
        <v>2457145</v>
      </c>
      <c r="N38" s="118">
        <f t="shared" si="17"/>
        <v>371162</v>
      </c>
      <c r="O38" s="118">
        <f t="shared" si="18"/>
        <v>2493153</v>
      </c>
      <c r="P38" s="118">
        <f>'Air-Cal'!D6/1000*'Air-Cal'!$P$38</f>
        <v>777.71743115434151</v>
      </c>
      <c r="Q38" s="123">
        <f>'Air-Cal'!E6/10^6*'Air-Cal'!$P$38</f>
        <v>3649.4864073361086</v>
      </c>
      <c r="R38" s="118">
        <f t="shared" si="19"/>
        <v>2496802.4864073363</v>
      </c>
      <c r="S38" s="119">
        <f t="shared" si="14"/>
        <v>8.6042623077111635</v>
      </c>
    </row>
    <row r="39" spans="1:21">
      <c r="A39" s="8">
        <v>1993</v>
      </c>
      <c r="B39" s="118">
        <v>7990</v>
      </c>
      <c r="C39" s="118">
        <v>468</v>
      </c>
      <c r="D39" s="118">
        <v>296</v>
      </c>
      <c r="E39" s="118">
        <v>112</v>
      </c>
      <c r="F39" s="118">
        <f t="shared" si="15"/>
        <v>8286</v>
      </c>
      <c r="G39" s="118">
        <f t="shared" si="16"/>
        <v>580</v>
      </c>
      <c r="I39" s="8">
        <v>1993</v>
      </c>
      <c r="J39" s="118">
        <v>96196</v>
      </c>
      <c r="K39" s="118">
        <v>38765</v>
      </c>
      <c r="L39" s="118">
        <v>316872</v>
      </c>
      <c r="M39" s="118">
        <v>2768396</v>
      </c>
      <c r="N39" s="118">
        <f t="shared" si="17"/>
        <v>413068</v>
      </c>
      <c r="O39" s="118">
        <f t="shared" si="18"/>
        <v>2807161</v>
      </c>
      <c r="P39" s="118">
        <f>'Air-Cal'!D7/1000*'Air-Cal'!$P$38</f>
        <v>882.28661309696463</v>
      </c>
      <c r="Q39" s="123">
        <f>'Air-Cal'!E7/10^6*'Air-Cal'!$P$38</f>
        <v>4532.7321941150904</v>
      </c>
      <c r="R39" s="118">
        <f t="shared" si="19"/>
        <v>2811693.7321941149</v>
      </c>
      <c r="S39" s="119">
        <f t="shared" si="14"/>
        <v>8.736638137796966</v>
      </c>
    </row>
    <row r="40" spans="1:21">
      <c r="A40" s="8">
        <v>1994</v>
      </c>
      <c r="B40" s="118">
        <v>7869</v>
      </c>
      <c r="C40" s="118">
        <v>436</v>
      </c>
      <c r="D40" s="118">
        <v>411</v>
      </c>
      <c r="E40" s="118">
        <v>163</v>
      </c>
      <c r="F40" s="118">
        <f t="shared" si="15"/>
        <v>8280</v>
      </c>
      <c r="G40" s="118">
        <f t="shared" si="16"/>
        <v>599</v>
      </c>
      <c r="I40" s="8">
        <v>1994</v>
      </c>
      <c r="J40" s="118">
        <v>117694</v>
      </c>
      <c r="K40" s="118">
        <v>34935</v>
      </c>
      <c r="L40" s="118">
        <v>353428</v>
      </c>
      <c r="M40" s="118">
        <v>2881696</v>
      </c>
      <c r="N40" s="118">
        <f t="shared" si="17"/>
        <v>471122</v>
      </c>
      <c r="O40" s="118">
        <f t="shared" si="18"/>
        <v>2916631</v>
      </c>
      <c r="P40" s="118">
        <f>'Air-Cal'!D8/1000*'Air-Cal'!$P$38</f>
        <v>1022.8850743821204</v>
      </c>
      <c r="Q40" s="123">
        <f>'Air-Cal'!E8/10^6*'Air-Cal'!$P$38</f>
        <v>5124.0649144423633</v>
      </c>
      <c r="R40" s="118">
        <f t="shared" si="19"/>
        <v>2921755.0649144421</v>
      </c>
      <c r="S40" s="119">
        <f t="shared" si="14"/>
        <v>8.1535588578154528</v>
      </c>
    </row>
    <row r="41" spans="1:21">
      <c r="A41" s="8">
        <v>1995</v>
      </c>
      <c r="B41" s="118">
        <v>8702</v>
      </c>
      <c r="C41" s="118">
        <v>502</v>
      </c>
      <c r="D41" s="118">
        <v>395</v>
      </c>
      <c r="E41" s="118">
        <v>136</v>
      </c>
      <c r="F41" s="118">
        <f t="shared" si="15"/>
        <v>9097</v>
      </c>
      <c r="G41" s="118">
        <f t="shared" si="16"/>
        <v>638</v>
      </c>
      <c r="I41" s="8">
        <v>1995</v>
      </c>
      <c r="J41" s="118">
        <v>129112</v>
      </c>
      <c r="K41" s="118">
        <v>43936</v>
      </c>
      <c r="L41" s="118">
        <v>404424</v>
      </c>
      <c r="M41" s="118">
        <v>3263717</v>
      </c>
      <c r="N41" s="118">
        <f t="shared" si="17"/>
        <v>533536</v>
      </c>
      <c r="O41" s="118">
        <f t="shared" si="18"/>
        <v>3307653</v>
      </c>
      <c r="P41" s="118">
        <f>'Air-Cal'!D9/1000*'Air-Cal'!$P$38</f>
        <v>1163.1310212592546</v>
      </c>
      <c r="Q41" s="123">
        <f>'Air-Cal'!E9/10^6*'Air-Cal'!$P$38</f>
        <v>5924.5774944306577</v>
      </c>
      <c r="R41" s="118">
        <f t="shared" si="19"/>
        <v>3313577.5774944308</v>
      </c>
      <c r="S41" s="119">
        <f t="shared" si="14"/>
        <v>8.0700378810357449</v>
      </c>
    </row>
    <row r="42" spans="1:21">
      <c r="A42" s="8">
        <v>1996</v>
      </c>
      <c r="B42" s="118">
        <v>9413</v>
      </c>
      <c r="C42" s="118">
        <v>547</v>
      </c>
      <c r="D42" s="118">
        <v>523</v>
      </c>
      <c r="E42" s="118">
        <v>198</v>
      </c>
      <c r="F42" s="118">
        <f t="shared" si="15"/>
        <v>9936</v>
      </c>
      <c r="G42" s="118">
        <f t="shared" si="16"/>
        <v>745</v>
      </c>
      <c r="I42" s="8">
        <v>1996</v>
      </c>
      <c r="J42" s="118">
        <v>140948</v>
      </c>
      <c r="K42" s="118">
        <v>46452</v>
      </c>
      <c r="L42" s="118">
        <v>441120</v>
      </c>
      <c r="M42" s="118">
        <v>3575745</v>
      </c>
      <c r="N42" s="118">
        <f t="shared" si="17"/>
        <v>582068</v>
      </c>
      <c r="O42" s="118">
        <f t="shared" si="18"/>
        <v>3622197</v>
      </c>
      <c r="P42" s="118">
        <f>'Air-Cal'!D10/1000*'Air-Cal'!$P$38</f>
        <v>1284.8659968292889</v>
      </c>
      <c r="Q42" s="123">
        <f>'Air-Cal'!E10/10^6*'Air-Cal'!$P$38</f>
        <v>6615.5542787746344</v>
      </c>
      <c r="R42" s="118">
        <f t="shared" si="19"/>
        <v>3628812.5542787747</v>
      </c>
      <c r="S42" s="119">
        <f t="shared" si="14"/>
        <v>8.1060595756256806</v>
      </c>
    </row>
    <row r="43" spans="1:21">
      <c r="A43" s="8">
        <v>1997</v>
      </c>
      <c r="B43" s="118">
        <v>9899</v>
      </c>
      <c r="C43" s="118">
        <v>571</v>
      </c>
      <c r="D43" s="118">
        <v>564</v>
      </c>
      <c r="E43" s="118">
        <v>214</v>
      </c>
      <c r="F43" s="118">
        <f t="shared" si="15"/>
        <v>10463</v>
      </c>
      <c r="G43" s="118">
        <f t="shared" si="16"/>
        <v>785</v>
      </c>
      <c r="I43" s="8">
        <v>1997</v>
      </c>
      <c r="J43" s="118">
        <v>147046</v>
      </c>
      <c r="K43" s="118">
        <v>45299</v>
      </c>
      <c r="L43" s="118">
        <v>485030</v>
      </c>
      <c r="M43" s="118">
        <v>4170203</v>
      </c>
      <c r="N43" s="118">
        <f t="shared" si="17"/>
        <v>632076</v>
      </c>
      <c r="O43" s="118">
        <f t="shared" si="18"/>
        <v>4215502</v>
      </c>
      <c r="P43" s="118">
        <f>'Air-Cal'!D11/1000*'Air-Cal'!$P$38</f>
        <v>1455.0360195284388</v>
      </c>
      <c r="Q43" s="123">
        <f>'Air-Cal'!E11/10^6*'Air-Cal'!$P$38</f>
        <v>7714.119264961666</v>
      </c>
      <c r="R43" s="118">
        <f t="shared" si="19"/>
        <v>4223216.1192649612</v>
      </c>
      <c r="S43" s="119">
        <f t="shared" si="14"/>
        <v>8.5978248768117442</v>
      </c>
    </row>
    <row r="44" spans="1:21">
      <c r="A44" s="8">
        <v>1998</v>
      </c>
      <c r="B44" s="118">
        <v>8277</v>
      </c>
      <c r="C44" s="118">
        <v>434</v>
      </c>
      <c r="D44" s="118">
        <v>538</v>
      </c>
      <c r="E44" s="118">
        <v>200</v>
      </c>
      <c r="F44" s="118">
        <f t="shared" si="15"/>
        <v>8815</v>
      </c>
      <c r="G44" s="118">
        <f t="shared" si="16"/>
        <v>634</v>
      </c>
      <c r="I44" s="8">
        <v>1998</v>
      </c>
      <c r="J44" s="118">
        <v>115179</v>
      </c>
      <c r="K44" s="118">
        <v>33462</v>
      </c>
      <c r="L44" s="118">
        <v>474752</v>
      </c>
      <c r="M44" s="118">
        <v>4215379</v>
      </c>
      <c r="N44" s="118">
        <f t="shared" si="17"/>
        <v>589931</v>
      </c>
      <c r="O44" s="118">
        <f t="shared" si="18"/>
        <v>4248841</v>
      </c>
      <c r="P44" s="118">
        <f>'Air-Cal'!D12/1000*'Air-Cal'!$P$38</f>
        <v>1322.3240769012657</v>
      </c>
      <c r="Q44" s="123">
        <f>'Air-Cal'!E12/10^6*'Air-Cal'!$P$38</f>
        <v>6776.4244436999033</v>
      </c>
      <c r="R44" s="118">
        <f t="shared" si="19"/>
        <v>4255617.4244437004</v>
      </c>
      <c r="S44" s="119">
        <f t="shared" si="14"/>
        <v>8.8791179394715556</v>
      </c>
    </row>
    <row r="45" spans="1:21">
      <c r="A45" s="8">
        <v>1999</v>
      </c>
      <c r="B45" s="118">
        <v>9052</v>
      </c>
      <c r="C45" s="118">
        <v>543</v>
      </c>
      <c r="D45" s="118">
        <v>805</v>
      </c>
      <c r="E45" s="118">
        <v>299</v>
      </c>
      <c r="F45" s="118">
        <f t="shared" si="15"/>
        <v>9857</v>
      </c>
      <c r="G45" s="118">
        <f t="shared" si="16"/>
        <v>842</v>
      </c>
      <c r="I45" s="8">
        <v>1999</v>
      </c>
      <c r="J45" s="118">
        <v>123693</v>
      </c>
      <c r="K45" s="118">
        <v>33699</v>
      </c>
      <c r="L45" s="118">
        <v>532183</v>
      </c>
      <c r="M45" s="118">
        <v>4670305</v>
      </c>
      <c r="N45" s="118">
        <f t="shared" si="17"/>
        <v>655876</v>
      </c>
      <c r="O45" s="118">
        <f t="shared" si="18"/>
        <v>4704004</v>
      </c>
      <c r="P45" s="118">
        <f>'Air-Cal'!D13/1000*'Air-Cal'!$P$38</f>
        <v>1523.0230007564389</v>
      </c>
      <c r="Q45" s="123">
        <f>'Air-Cal'!E13/10^6*'Air-Cal'!$P$38</f>
        <v>7856.4579860712984</v>
      </c>
      <c r="R45" s="118">
        <f t="shared" si="19"/>
        <v>4711860.4579860717</v>
      </c>
      <c r="S45" s="119">
        <f t="shared" si="14"/>
        <v>8.7757500709342455</v>
      </c>
    </row>
    <row r="46" spans="1:21">
      <c r="A46" s="8">
        <v>2000</v>
      </c>
      <c r="B46" s="118">
        <v>9702</v>
      </c>
      <c r="C46" s="118">
        <v>672</v>
      </c>
      <c r="D46" s="118">
        <v>999</v>
      </c>
      <c r="E46" s="118">
        <v>398</v>
      </c>
      <c r="F46" s="118">
        <f t="shared" si="15"/>
        <v>10701</v>
      </c>
      <c r="G46" s="118">
        <f t="shared" si="16"/>
        <v>1070</v>
      </c>
      <c r="I46" s="8">
        <v>2000</v>
      </c>
      <c r="J46" s="118">
        <v>131987</v>
      </c>
      <c r="K46" s="118">
        <v>38298</v>
      </c>
      <c r="L46" s="118">
        <v>569599</v>
      </c>
      <c r="M46" s="118">
        <v>4362779</v>
      </c>
      <c r="N46" s="118">
        <f t="shared" si="17"/>
        <v>701586</v>
      </c>
      <c r="O46" s="118">
        <f t="shared" si="18"/>
        <v>4401077</v>
      </c>
      <c r="P46" s="118">
        <f>'Air-Cal'!D14/1000*'Air-Cal'!$P$38</f>
        <v>1718.2957979261798</v>
      </c>
      <c r="Q46" s="123">
        <f>'Air-Cal'!E14/10^6*'Air-Cal'!$P$38</f>
        <v>8960.6029466122145</v>
      </c>
      <c r="R46" s="118">
        <f t="shared" si="19"/>
        <v>4410037.6029466121</v>
      </c>
      <c r="S46" s="119">
        <f t="shared" si="14"/>
        <v>7.6593866913389945</v>
      </c>
    </row>
    <row r="47" spans="1:21">
      <c r="A47" s="8">
        <v>2001</v>
      </c>
      <c r="B47" s="118">
        <v>9340</v>
      </c>
      <c r="C47" s="118">
        <v>555</v>
      </c>
      <c r="D47" s="118">
        <v>1075</v>
      </c>
      <c r="E47" s="118">
        <v>401</v>
      </c>
      <c r="F47" s="118">
        <f t="shared" si="15"/>
        <v>10415</v>
      </c>
      <c r="G47" s="118">
        <f t="shared" si="16"/>
        <v>956</v>
      </c>
      <c r="I47" s="8">
        <v>2001</v>
      </c>
      <c r="J47" s="118">
        <v>140544</v>
      </c>
      <c r="K47" s="118">
        <v>36443</v>
      </c>
      <c r="L47" s="118">
        <f>INDEX($C$29:$Y$29,MATCH('Ships-Cal'!I47,'Ships-Cal'!$C$22:$Y$22,0))/1000</f>
        <v>610910.071</v>
      </c>
      <c r="M47" s="121">
        <f t="shared" ref="M47:M65" si="20">L47*S47</f>
        <v>5184035.0642846422</v>
      </c>
      <c r="N47" s="118">
        <f t="shared" si="17"/>
        <v>751454.071</v>
      </c>
      <c r="O47" s="121">
        <f t="shared" si="18"/>
        <v>5220478.0642846422</v>
      </c>
      <c r="P47" s="118">
        <f>'Air-Cal'!D15/1000*'Air-Cal'!$P$38</f>
        <v>1654.3407452954461</v>
      </c>
      <c r="Q47" s="123">
        <f>'Air-Cal'!E15/10^6*'Air-Cal'!$P$38</f>
        <v>8165.3187738170891</v>
      </c>
      <c r="R47" s="118">
        <f t="shared" si="19"/>
        <v>5228643.3830584595</v>
      </c>
      <c r="S47" s="122">
        <f>AVERAGE($S$41:$S$45)</f>
        <v>8.4857580687757928</v>
      </c>
    </row>
    <row r="48" spans="1:21">
      <c r="A48" s="8">
        <v>2002</v>
      </c>
      <c r="B48" s="118">
        <v>9460</v>
      </c>
      <c r="C48" s="118">
        <v>565</v>
      </c>
      <c r="D48" s="118">
        <v>1253</v>
      </c>
      <c r="E48" s="118">
        <v>459</v>
      </c>
      <c r="F48" s="118">
        <f t="shared" si="15"/>
        <v>10713</v>
      </c>
      <c r="G48" s="118">
        <f t="shared" si="16"/>
        <v>1024</v>
      </c>
      <c r="I48" s="8">
        <v>2002</v>
      </c>
      <c r="J48" s="118">
        <v>141706</v>
      </c>
      <c r="K48" s="118">
        <v>38171</v>
      </c>
      <c r="L48" s="118">
        <f>INDEX($C$29:$Y$29,MATCH('Ships-Cal'!I48,'Ships-Cal'!$C$22:$Y$22,0))/1000</f>
        <v>635545.272</v>
      </c>
      <c r="M48" s="121">
        <f t="shared" si="20"/>
        <v>5393083.4199463055</v>
      </c>
      <c r="N48" s="118">
        <f t="shared" si="17"/>
        <v>777251.272</v>
      </c>
      <c r="O48" s="121">
        <f t="shared" si="18"/>
        <v>5431254.4199463055</v>
      </c>
      <c r="P48" s="118">
        <f>'Air-Cal'!D16/1000*'Air-Cal'!$P$38</f>
        <v>1809.0743855427331</v>
      </c>
      <c r="Q48" s="123">
        <f>'Air-Cal'!E16/10^6*'Air-Cal'!$P$38</f>
        <v>9087.7672020333684</v>
      </c>
      <c r="R48" s="118">
        <f t="shared" si="19"/>
        <v>5440342.1871483391</v>
      </c>
      <c r="S48" s="122">
        <f t="shared" ref="S48:S65" si="21">AVERAGE($S$41:$S$45)</f>
        <v>8.4857580687757928</v>
      </c>
    </row>
    <row r="49" spans="1:19">
      <c r="A49" s="8">
        <v>2003</v>
      </c>
      <c r="B49" s="118">
        <v>10336</v>
      </c>
      <c r="C49" s="118">
        <v>620</v>
      </c>
      <c r="D49" s="118">
        <v>1380</v>
      </c>
      <c r="E49" s="118">
        <v>535</v>
      </c>
      <c r="F49" s="118">
        <f t="shared" si="15"/>
        <v>11716</v>
      </c>
      <c r="G49" s="118">
        <f t="shared" si="16"/>
        <v>1155</v>
      </c>
      <c r="I49" s="8">
        <v>2003</v>
      </c>
      <c r="J49" s="118">
        <v>145327</v>
      </c>
      <c r="K49" s="118">
        <v>33884</v>
      </c>
      <c r="L49" s="118">
        <f>INDEX($C$29:$Y$29,MATCH('Ships-Cal'!I49,'Ships-Cal'!$C$22:$Y$22,0))/1000</f>
        <v>667608.03300000005</v>
      </c>
      <c r="M49" s="121">
        <f t="shared" si="20"/>
        <v>5665160.2528092861</v>
      </c>
      <c r="N49" s="118">
        <f t="shared" si="17"/>
        <v>812935.03300000005</v>
      </c>
      <c r="O49" s="121">
        <f t="shared" si="18"/>
        <v>5699044.2528092861</v>
      </c>
      <c r="P49" s="118">
        <f>'Air-Cal'!D17/1000*'Air-Cal'!$P$38</f>
        <v>1896.9160739808021</v>
      </c>
      <c r="Q49" s="123">
        <f>'Air-Cal'!E17/10^6*'Air-Cal'!$P$38</f>
        <v>8431.3801975983297</v>
      </c>
      <c r="R49" s="118">
        <f t="shared" si="19"/>
        <v>5707475.6330068847</v>
      </c>
      <c r="S49" s="122">
        <f t="shared" si="21"/>
        <v>8.4857580687757928</v>
      </c>
    </row>
    <row r="50" spans="1:19">
      <c r="A50" s="8">
        <v>2004</v>
      </c>
      <c r="B50" s="118">
        <v>10648</v>
      </c>
      <c r="C50" s="118">
        <v>657</v>
      </c>
      <c r="D50" s="118">
        <v>1822</v>
      </c>
      <c r="E50" s="118">
        <v>714</v>
      </c>
      <c r="F50" s="118">
        <f t="shared" si="15"/>
        <v>12470</v>
      </c>
      <c r="G50" s="118">
        <f t="shared" si="16"/>
        <v>1371</v>
      </c>
      <c r="I50" s="8">
        <v>2004</v>
      </c>
      <c r="J50" s="118">
        <v>115636</v>
      </c>
      <c r="K50" s="118">
        <v>25840</v>
      </c>
      <c r="L50" s="118">
        <f>INDEX($C$29:$Y$29,MATCH('Ships-Cal'!I50,'Ships-Cal'!$C$22:$Y$22,0))/1000</f>
        <v>733377.11399999994</v>
      </c>
      <c r="M50" s="121">
        <f t="shared" si="20"/>
        <v>6223260.7625810038</v>
      </c>
      <c r="N50" s="118">
        <f t="shared" si="17"/>
        <v>849013.11399999994</v>
      </c>
      <c r="O50" s="121">
        <f t="shared" si="18"/>
        <v>6249100.7625810038</v>
      </c>
      <c r="P50" s="118">
        <f>'Air-Cal'!D18/1000*'Air-Cal'!$P$38</f>
        <v>2146.8906007928063</v>
      </c>
      <c r="Q50" s="123">
        <f>'Air-Cal'!E18/10^6*'Air-Cal'!$P$38</f>
        <v>9955.3353509783901</v>
      </c>
      <c r="R50" s="118">
        <f t="shared" si="19"/>
        <v>6259056.097931982</v>
      </c>
      <c r="S50" s="122">
        <f t="shared" si="21"/>
        <v>8.4857580687757928</v>
      </c>
    </row>
    <row r="51" spans="1:19">
      <c r="A51" s="8">
        <v>2005</v>
      </c>
      <c r="B51" s="118">
        <v>11100</v>
      </c>
      <c r="C51" s="118">
        <v>668</v>
      </c>
      <c r="D51" s="118">
        <v>2105</v>
      </c>
      <c r="E51" s="118">
        <v>857</v>
      </c>
      <c r="F51" s="118">
        <f t="shared" si="15"/>
        <v>13205</v>
      </c>
      <c r="G51" s="118">
        <f t="shared" si="16"/>
        <v>1525</v>
      </c>
      <c r="I51" s="8">
        <v>2005</v>
      </c>
      <c r="J51" s="118">
        <v>119410</v>
      </c>
      <c r="K51" s="118">
        <v>26590</v>
      </c>
      <c r="L51" s="118">
        <f>INDEX($C$29:$Y$29,MATCH('Ships-Cal'!I51,'Ships-Cal'!$C$22:$Y$22,0))/1000</f>
        <v>754936.40899999999</v>
      </c>
      <c r="M51" s="121">
        <f t="shared" si="20"/>
        <v>6406207.7240843717</v>
      </c>
      <c r="N51" s="118">
        <f t="shared" si="17"/>
        <v>874346.40899999999</v>
      </c>
      <c r="O51" s="121">
        <f t="shared" si="18"/>
        <v>6432797.7240843717</v>
      </c>
      <c r="P51" s="118">
        <f>'Air-Cal'!D19/1000*'Air-Cal'!$P$38</f>
        <v>2154.8816482629832</v>
      </c>
      <c r="Q51" s="123">
        <f>'Air-Cal'!E19/10^6*'Air-Cal'!$P$38</f>
        <v>9802.5388365160234</v>
      </c>
      <c r="R51" s="118">
        <f t="shared" si="19"/>
        <v>6442600.2629208881</v>
      </c>
      <c r="S51" s="122">
        <f t="shared" si="21"/>
        <v>8.4857580687757928</v>
      </c>
    </row>
    <row r="52" spans="1:19">
      <c r="A52" s="8">
        <v>2006</v>
      </c>
      <c r="B52" s="118">
        <v>11574</v>
      </c>
      <c r="C52" s="118">
        <v>709</v>
      </c>
      <c r="D52" s="118">
        <v>2385</v>
      </c>
      <c r="E52" s="118">
        <v>993</v>
      </c>
      <c r="F52" s="118">
        <f t="shared" si="15"/>
        <v>13959</v>
      </c>
      <c r="G52" s="118">
        <f t="shared" si="16"/>
        <v>1702</v>
      </c>
      <c r="I52" s="8">
        <v>2006</v>
      </c>
      <c r="J52" s="118">
        <v>117805</v>
      </c>
      <c r="K52" s="118">
        <v>26478</v>
      </c>
      <c r="L52" s="118">
        <f>INDEX($C$29:$Y$29,MATCH('Ships-Cal'!I52,'Ships-Cal'!$C$22:$Y$22,0))/1000</f>
        <v>809829.60400000005</v>
      </c>
      <c r="M52" s="121">
        <f t="shared" si="20"/>
        <v>6872018.0964765055</v>
      </c>
      <c r="N52" s="118">
        <f t="shared" si="17"/>
        <v>927634.60400000005</v>
      </c>
      <c r="O52" s="121">
        <f t="shared" si="18"/>
        <v>6898496.0964765055</v>
      </c>
      <c r="P52" s="118">
        <f>'Air-Cal'!D20/1000*'Air-Cal'!$P$38</f>
        <v>2313.1743143434019</v>
      </c>
      <c r="Q52" s="123">
        <f>'Air-Cal'!E20/10^6*'Air-Cal'!$P$38</f>
        <v>10618.911391514719</v>
      </c>
      <c r="R52" s="118">
        <f t="shared" si="19"/>
        <v>6909115.0078680199</v>
      </c>
      <c r="S52" s="122">
        <f t="shared" si="21"/>
        <v>8.4857580687757928</v>
      </c>
    </row>
    <row r="53" spans="1:19">
      <c r="A53" s="8">
        <v>2007</v>
      </c>
      <c r="B53" s="118">
        <v>12634</v>
      </c>
      <c r="C53" s="118">
        <v>765</v>
      </c>
      <c r="D53" s="118">
        <v>2550</v>
      </c>
      <c r="E53" s="118">
        <v>1019</v>
      </c>
      <c r="F53" s="118">
        <f t="shared" si="15"/>
        <v>15184</v>
      </c>
      <c r="G53" s="118">
        <f t="shared" si="16"/>
        <v>1784</v>
      </c>
      <c r="I53" s="8">
        <v>2007</v>
      </c>
      <c r="J53" s="118">
        <v>120079</v>
      </c>
      <c r="K53" s="118">
        <v>27998</v>
      </c>
      <c r="L53" s="118">
        <f>INDEX($C$29:$Y$29,MATCH('Ships-Cal'!I53,'Ships-Cal'!$C$22:$Y$22,0))/1000</f>
        <v>862523.478</v>
      </c>
      <c r="M53" s="121">
        <f t="shared" si="20"/>
        <v>7319165.56294706</v>
      </c>
      <c r="N53" s="118">
        <f t="shared" si="17"/>
        <v>982602.478</v>
      </c>
      <c r="O53" s="121">
        <f t="shared" si="18"/>
        <v>7347163.56294706</v>
      </c>
      <c r="P53" s="118">
        <f>'Air-Cal'!D21/1000*'Air-Cal'!$P$38</f>
        <v>2490.3146065950227</v>
      </c>
      <c r="Q53" s="123">
        <f>'Air-Cal'!E21/10^6*'Air-Cal'!$P$38</f>
        <v>11447.860764527384</v>
      </c>
      <c r="R53" s="118">
        <f t="shared" si="19"/>
        <v>7358611.4237115877</v>
      </c>
      <c r="S53" s="122">
        <f t="shared" si="21"/>
        <v>8.4857580687757928</v>
      </c>
    </row>
    <row r="54" spans="1:19">
      <c r="A54" s="8">
        <v>2008</v>
      </c>
      <c r="B54" s="118">
        <v>14162</v>
      </c>
      <c r="C54" s="118">
        <v>765</v>
      </c>
      <c r="D54" s="118">
        <v>2534</v>
      </c>
      <c r="E54" s="118">
        <v>1019</v>
      </c>
      <c r="F54" s="118">
        <f t="shared" si="15"/>
        <v>16696</v>
      </c>
      <c r="G54" s="118">
        <f t="shared" si="16"/>
        <v>1784</v>
      </c>
      <c r="I54" s="8">
        <v>2008</v>
      </c>
      <c r="J54" s="118">
        <v>126964</v>
      </c>
      <c r="K54" s="118">
        <v>29590</v>
      </c>
      <c r="L54" s="118">
        <f>INDEX($C$29:$Y$29,MATCH('Ships-Cal'!I54,'Ships-Cal'!$C$22:$Y$22,0))/1000</f>
        <v>892936.38199999998</v>
      </c>
      <c r="M54" s="121">
        <f t="shared" si="20"/>
        <v>7577242.1084599635</v>
      </c>
      <c r="N54" s="118">
        <f t="shared" si="17"/>
        <v>1019900.382</v>
      </c>
      <c r="O54" s="121">
        <f t="shared" si="18"/>
        <v>7606832.1084599635</v>
      </c>
      <c r="P54" s="118">
        <f>'Air-Cal'!D22/1000*'Air-Cal'!$P$38</f>
        <v>2344.0449165820478</v>
      </c>
      <c r="Q54" s="123">
        <f>'Air-Cal'!E22/10^6*'Air-Cal'!$P$38</f>
        <v>10776.255766443803</v>
      </c>
      <c r="R54" s="118">
        <f t="shared" si="19"/>
        <v>7617608.3642264074</v>
      </c>
      <c r="S54" s="122">
        <f t="shared" si="21"/>
        <v>8.4857580687757928</v>
      </c>
    </row>
    <row r="55" spans="1:19">
      <c r="A55" s="8">
        <v>2009</v>
      </c>
      <c r="B55" s="118">
        <v>14868</v>
      </c>
      <c r="C55" s="118">
        <v>867</v>
      </c>
      <c r="D55" s="118">
        <v>2089</v>
      </c>
      <c r="E55" s="118">
        <v>845</v>
      </c>
      <c r="F55" s="118">
        <f t="shared" si="15"/>
        <v>16957</v>
      </c>
      <c r="G55" s="118">
        <f t="shared" si="16"/>
        <v>1712</v>
      </c>
      <c r="I55" s="8">
        <v>2009</v>
      </c>
      <c r="J55" s="118">
        <v>120032</v>
      </c>
      <c r="K55" s="118">
        <v>25249</v>
      </c>
      <c r="L55" s="118">
        <f>INDEX($C$29:$Y$29,MATCH('Ships-Cal'!I55,'Ships-Cal'!$C$22:$Y$22,0))/1000</f>
        <v>848298.64399999997</v>
      </c>
      <c r="M55" s="121">
        <f t="shared" si="20"/>
        <v>7198457.0630545635</v>
      </c>
      <c r="N55" s="118">
        <f t="shared" si="17"/>
        <v>968330.64399999997</v>
      </c>
      <c r="O55" s="121">
        <f t="shared" si="18"/>
        <v>7223706.0630545635</v>
      </c>
      <c r="P55" s="118">
        <f>'Air-Cal'!D23/1000*'Air-Cal'!O39</f>
        <v>2378.3393750249929</v>
      </c>
      <c r="Q55" s="123">
        <f>'Air-Cal'!E23/10^6*'Air-Cal'!O39</f>
        <v>10664.689765299587</v>
      </c>
      <c r="R55" s="118">
        <f t="shared" si="19"/>
        <v>7234370.7528198631</v>
      </c>
      <c r="S55" s="122">
        <f t="shared" si="21"/>
        <v>8.4857580687757928</v>
      </c>
    </row>
    <row r="56" spans="1:19">
      <c r="A56" s="8">
        <v>2010</v>
      </c>
      <c r="B56" s="118">
        <v>14308</v>
      </c>
      <c r="C56" s="118">
        <v>883</v>
      </c>
      <c r="D56" s="118">
        <v>2761</v>
      </c>
      <c r="E56" s="118">
        <v>1104</v>
      </c>
      <c r="F56" s="118">
        <f t="shared" si="15"/>
        <v>17069</v>
      </c>
      <c r="G56" s="118">
        <f t="shared" si="16"/>
        <v>1987</v>
      </c>
      <c r="I56" s="8">
        <v>2010</v>
      </c>
      <c r="J56" s="118">
        <v>124225</v>
      </c>
      <c r="K56" s="118">
        <v>23281</v>
      </c>
      <c r="L56" s="118">
        <f>INDEX($C$29:$Y$29,MATCH('Ships-Cal'!I56,'Ships-Cal'!$C$22:$Y$22,0))/1000</f>
        <v>966193.34199999995</v>
      </c>
      <c r="M56" s="121">
        <f t="shared" si="20"/>
        <v>8198882.9478739481</v>
      </c>
      <c r="N56" s="118">
        <f t="shared" si="17"/>
        <v>1090418.3419999999</v>
      </c>
      <c r="O56" s="121">
        <f t="shared" si="18"/>
        <v>8222163.9478739481</v>
      </c>
      <c r="P56" s="118">
        <f>'Air-Cal'!D24/1000*'Air-Cal'!O40</f>
        <v>2666.5796295080509</v>
      </c>
      <c r="Q56" s="123">
        <f>'Air-Cal'!E24/10^6*'Air-Cal'!O40</f>
        <v>12168.095647228281</v>
      </c>
      <c r="R56" s="118">
        <f t="shared" si="19"/>
        <v>8234332.0435211761</v>
      </c>
      <c r="S56" s="122">
        <f t="shared" si="21"/>
        <v>8.4857580687757928</v>
      </c>
    </row>
    <row r="57" spans="1:19">
      <c r="A57" s="8">
        <v>2011</v>
      </c>
      <c r="B57" s="118">
        <v>14266</v>
      </c>
      <c r="C57" s="118">
        <v>981</v>
      </c>
      <c r="D57" s="118">
        <v>2660</v>
      </c>
      <c r="E57" s="118">
        <v>1188</v>
      </c>
      <c r="F57" s="118">
        <f t="shared" si="15"/>
        <v>16926</v>
      </c>
      <c r="G57" s="118">
        <f t="shared" si="16"/>
        <v>2169</v>
      </c>
      <c r="I57" s="8">
        <v>2011</v>
      </c>
      <c r="J57" s="118">
        <v>125588</v>
      </c>
      <c r="K57" s="118">
        <v>27220</v>
      </c>
      <c r="L57" s="118">
        <f>INDEX($C$29:$Y$29,MATCH('Ships-Cal'!I57,'Ships-Cal'!$C$22:$Y$22,0))/1000</f>
        <v>1047986.198</v>
      </c>
      <c r="M57" s="121">
        <f t="shared" si="20"/>
        <v>8892957.3356441651</v>
      </c>
      <c r="N57" s="118">
        <f t="shared" si="17"/>
        <v>1173574.1979999999</v>
      </c>
      <c r="O57" s="121">
        <f t="shared" si="18"/>
        <v>8920177.3356441651</v>
      </c>
      <c r="P57" s="118">
        <f>'Air-Cal'!D25/1000*'Air-Cal'!O41</f>
        <v>2623.977728049188</v>
      </c>
      <c r="Q57" s="123">
        <f>'Air-Cal'!E25/10^6*'Air-Cal'!O41</f>
        <v>11945.691068932232</v>
      </c>
      <c r="R57" s="118">
        <f t="shared" si="19"/>
        <v>8932123.0267130975</v>
      </c>
      <c r="S57" s="122">
        <f t="shared" si="21"/>
        <v>8.4857580687757928</v>
      </c>
    </row>
    <row r="58" spans="1:19">
      <c r="A58" s="8">
        <v>2012</v>
      </c>
      <c r="B58" s="118">
        <v>14538</v>
      </c>
      <c r="C58" s="118">
        <v>922</v>
      </c>
      <c r="D58" s="118">
        <v>2881</v>
      </c>
      <c r="E58" s="118">
        <v>1163</v>
      </c>
      <c r="F58" s="118">
        <f t="shared" si="15"/>
        <v>17419</v>
      </c>
      <c r="G58" s="118">
        <f t="shared" si="16"/>
        <v>2085</v>
      </c>
      <c r="I58" s="8">
        <v>2012</v>
      </c>
      <c r="J58" s="118">
        <v>119057</v>
      </c>
      <c r="K58" s="118">
        <v>25804</v>
      </c>
      <c r="L58" s="118">
        <f>INDEX($C$29:$Y$29,MATCH('Ships-Cal'!I58,'Ships-Cal'!$C$22:$Y$22,0))/1000</f>
        <v>1108538.27</v>
      </c>
      <c r="M58" s="121">
        <f t="shared" si="20"/>
        <v>9406787.5691992585</v>
      </c>
      <c r="N58" s="118">
        <f t="shared" si="17"/>
        <v>1227595.27</v>
      </c>
      <c r="O58" s="121">
        <f t="shared" si="18"/>
        <v>9432591.5691992585</v>
      </c>
      <c r="P58" s="118">
        <f>'Air-Cal'!D26/1000*'Air-Cal'!O42</f>
        <v>2556.5602640995053</v>
      </c>
      <c r="Q58" s="123">
        <f>'Air-Cal'!E26/10^6*'Air-Cal'!O42</f>
        <v>11537.902125722336</v>
      </c>
      <c r="R58" s="118">
        <f t="shared" si="19"/>
        <v>9444129.4713249803</v>
      </c>
      <c r="S58" s="122">
        <f t="shared" si="21"/>
        <v>8.4857580687757928</v>
      </c>
    </row>
    <row r="59" spans="1:19">
      <c r="A59" s="8">
        <v>2013</v>
      </c>
      <c r="B59" s="118">
        <v>16063</v>
      </c>
      <c r="C59" s="118">
        <v>1012</v>
      </c>
      <c r="D59" s="118">
        <v>2737</v>
      </c>
      <c r="E59" s="123">
        <f>1088531084/10^6</f>
        <v>1088.531084</v>
      </c>
      <c r="F59" s="118">
        <f t="shared" si="15"/>
        <v>18800</v>
      </c>
      <c r="G59" s="118">
        <f t="shared" si="16"/>
        <v>2100.5310840000002</v>
      </c>
      <c r="I59" s="8">
        <v>2013</v>
      </c>
      <c r="J59" s="118">
        <v>117860</v>
      </c>
      <c r="K59" s="118">
        <v>30476</v>
      </c>
      <c r="L59" s="118">
        <f>INDEX($C$29:$Y$29,MATCH('Ships-Cal'!I59,'Ships-Cal'!$C$22:$Y$22,0))/1000</f>
        <v>1123205.0549999999</v>
      </c>
      <c r="M59" s="121">
        <f t="shared" si="20"/>
        <v>9531246.3583560083</v>
      </c>
      <c r="N59" s="118">
        <f t="shared" si="17"/>
        <v>1241065.0549999999</v>
      </c>
      <c r="O59" s="121">
        <f t="shared" si="18"/>
        <v>9561722.3583560083</v>
      </c>
      <c r="P59" s="118">
        <f>'Air-Cal'!D27/1000*'Air-Cal'!O43</f>
        <v>2569.1501258761564</v>
      </c>
      <c r="Q59" s="123">
        <f>'Air-Cal'!E27/10^6*'Air-Cal'!O43</f>
        <v>11496.428309523988</v>
      </c>
      <c r="R59" s="118">
        <f t="shared" si="19"/>
        <v>9573218.7866655327</v>
      </c>
      <c r="S59" s="122">
        <f t="shared" si="21"/>
        <v>8.4857580687757928</v>
      </c>
    </row>
    <row r="60" spans="1:19">
      <c r="A60" s="8">
        <v>2014</v>
      </c>
      <c r="B60" s="118">
        <v>14271</v>
      </c>
      <c r="C60" s="118">
        <v>756</v>
      </c>
      <c r="D60" s="118">
        <v>2646</v>
      </c>
      <c r="E60" s="123">
        <f>1086021774/10^6</f>
        <v>1086.0217740000001</v>
      </c>
      <c r="F60" s="118">
        <f t="shared" si="15"/>
        <v>16917</v>
      </c>
      <c r="G60" s="118">
        <f t="shared" si="16"/>
        <v>1842.0217740000001</v>
      </c>
      <c r="I60" s="8">
        <v>2014</v>
      </c>
      <c r="J60" s="118">
        <v>117920</v>
      </c>
      <c r="K60" s="118">
        <v>29900</v>
      </c>
      <c r="L60" s="118">
        <f>INDEX($C$29:$Y$29,MATCH('Ships-Cal'!I60,'Ships-Cal'!$C$22:$Y$22,0))/1000</f>
        <v>1184641.1939999999</v>
      </c>
      <c r="M60" s="121">
        <f t="shared" si="20"/>
        <v>10052578.570589688</v>
      </c>
      <c r="N60" s="118">
        <f t="shared" si="17"/>
        <v>1302561.1939999999</v>
      </c>
      <c r="O60" s="121">
        <f t="shared" si="18"/>
        <v>10082478.570589688</v>
      </c>
      <c r="P60" s="118">
        <f>'Air-Cal'!D28/1000*'Air-Cal'!O44</f>
        <v>2658.4822802971526</v>
      </c>
      <c r="Q60" s="123">
        <f>'Air-Cal'!E28/10^6*'Air-Cal'!O44</f>
        <v>11855.58899547438</v>
      </c>
      <c r="R60" s="118">
        <f t="shared" si="19"/>
        <v>10094334.159585161</v>
      </c>
      <c r="S60" s="122">
        <f t="shared" si="21"/>
        <v>8.4857580687757928</v>
      </c>
    </row>
    <row r="61" spans="1:19">
      <c r="A61" s="8">
        <v>2015</v>
      </c>
      <c r="B61" s="118">
        <v>15381</v>
      </c>
      <c r="C61" s="118">
        <v>757</v>
      </c>
      <c r="D61" s="118">
        <v>2617</v>
      </c>
      <c r="E61" s="121">
        <f>TREND($E$56:$E$60,$A$56:$A$60,A61)</f>
        <v>1085.2829612000023</v>
      </c>
      <c r="F61" s="118">
        <f t="shared" si="15"/>
        <v>17998</v>
      </c>
      <c r="G61" s="118">
        <f t="shared" si="16"/>
        <v>1842.2829612000023</v>
      </c>
      <c r="I61" s="8">
        <v>2015</v>
      </c>
      <c r="J61" s="118">
        <v>128611</v>
      </c>
      <c r="K61" s="118">
        <v>31841</v>
      </c>
      <c r="L61" s="118">
        <f>INDEX($C$29:$Y$29,MATCH('Ships-Cal'!I61,'Ships-Cal'!$C$22:$Y$22,0))/1000</f>
        <v>1216781.726</v>
      </c>
      <c r="M61" s="121">
        <f t="shared" si="20"/>
        <v>10325315.349343436</v>
      </c>
      <c r="N61" s="118">
        <f t="shared" si="17"/>
        <v>1345392.726</v>
      </c>
      <c r="O61" s="121">
        <f t="shared" si="18"/>
        <v>10357156.349343436</v>
      </c>
      <c r="P61" s="118">
        <f>'Air-Cal'!D29/1000*'Air-Cal'!O45</f>
        <v>2733.0917179964963</v>
      </c>
      <c r="Q61" s="123">
        <f>'Air-Cal'!E29/10^6*'Air-Cal'!O45</f>
        <v>12048.322875334659</v>
      </c>
      <c r="R61" s="118">
        <f t="shared" si="19"/>
        <v>10369204.67221877</v>
      </c>
      <c r="S61" s="122">
        <f t="shared" si="21"/>
        <v>8.4857580687757928</v>
      </c>
    </row>
    <row r="62" spans="1:19">
      <c r="A62" s="8">
        <v>2016</v>
      </c>
      <c r="B62" s="118">
        <v>15423</v>
      </c>
      <c r="C62" s="118">
        <v>839</v>
      </c>
      <c r="D62" s="118">
        <v>2777</v>
      </c>
      <c r="E62" s="121">
        <f t="shared" ref="E62:E65" si="22">TREND($E$56:$E$60,$A$56:$A$60,A62)</f>
        <v>1071.7404244000027</v>
      </c>
      <c r="F62" s="118">
        <f t="shared" si="15"/>
        <v>18200</v>
      </c>
      <c r="G62" s="118">
        <f t="shared" si="16"/>
        <v>1910.7404244000027</v>
      </c>
      <c r="I62" s="8">
        <v>2016</v>
      </c>
      <c r="J62" s="118">
        <v>143227</v>
      </c>
      <c r="K62" s="118">
        <v>37036</v>
      </c>
      <c r="L62" s="118">
        <f>INDEX($C$29:$Y$29,MATCH('Ships-Cal'!I62,'Ships-Cal'!$C$22:$Y$22,0))/1000</f>
        <v>1242597.061</v>
      </c>
      <c r="M62" s="121">
        <f t="shared" si="20"/>
        <v>10544378.036617836</v>
      </c>
      <c r="N62" s="118">
        <f t="shared" si="17"/>
        <v>1385824.061</v>
      </c>
      <c r="O62" s="121">
        <f t="shared" si="18"/>
        <v>10581414.036617836</v>
      </c>
      <c r="P62" s="118">
        <f>'Air-Cal'!D30/1000*'Air-Cal'!O46</f>
        <v>2886.1347837306967</v>
      </c>
      <c r="Q62" s="123">
        <f>'Air-Cal'!E30/10^6*'Air-Cal'!O46</f>
        <v>12381.935417190813</v>
      </c>
      <c r="R62" s="118">
        <f t="shared" si="19"/>
        <v>10593795.972035026</v>
      </c>
      <c r="S62" s="122">
        <f t="shared" si="21"/>
        <v>8.4857580687757928</v>
      </c>
    </row>
    <row r="63" spans="1:19">
      <c r="A63" s="8">
        <v>2017</v>
      </c>
      <c r="B63" s="118">
        <f>D3/1000</f>
        <v>16909.861000000001</v>
      </c>
      <c r="C63" s="118">
        <f>D5/10^6</f>
        <v>915.66880900000001</v>
      </c>
      <c r="D63" s="118">
        <f>D7/1000</f>
        <v>2728.1469999999999</v>
      </c>
      <c r="E63" s="121">
        <f t="shared" si="22"/>
        <v>1058.197887600003</v>
      </c>
      <c r="F63" s="118">
        <f t="shared" si="15"/>
        <v>19638.008000000002</v>
      </c>
      <c r="G63" s="118">
        <f t="shared" si="16"/>
        <v>1973.866696600003</v>
      </c>
      <c r="I63" s="8">
        <v>2017</v>
      </c>
      <c r="J63" s="118">
        <v>142587</v>
      </c>
      <c r="K63" s="123">
        <v>33855</v>
      </c>
      <c r="L63" s="118">
        <f>INDEX($C$29:$Y$29,MATCH('Ships-Cal'!I63,'Ships-Cal'!$C$22:$Y$22,0))/1000</f>
        <v>1312489.4739999999</v>
      </c>
      <c r="M63" s="121">
        <f t="shared" si="20"/>
        <v>11137468.144178795</v>
      </c>
      <c r="N63" s="118">
        <f t="shared" ref="N63:N65" si="23">SUM(J63,L63)</f>
        <v>1455076.4739999999</v>
      </c>
      <c r="O63" s="121">
        <f t="shared" ref="O63:O65" si="24">SUM(K63,M63)</f>
        <v>11171323.144178795</v>
      </c>
      <c r="P63" s="118">
        <f>'Air-Cal'!D31/1000*'Air-Cal'!O47</f>
        <v>3031.848</v>
      </c>
      <c r="Q63" s="123">
        <f>'Air-Cal'!E31/10^6*'Air-Cal'!O47</f>
        <v>13241.995393256939</v>
      </c>
      <c r="R63" s="118">
        <f t="shared" si="19"/>
        <v>11184565.139572052</v>
      </c>
      <c r="S63" s="122">
        <f t="shared" si="21"/>
        <v>8.4857580687757928</v>
      </c>
    </row>
    <row r="64" spans="1:19">
      <c r="A64" s="8">
        <v>2018</v>
      </c>
      <c r="B64" s="118">
        <f>E3/1000</f>
        <v>14625.484</v>
      </c>
      <c r="C64" s="118">
        <f>E5/10^6</f>
        <v>822.23360700000001</v>
      </c>
      <c r="D64" s="121">
        <f>TREND($D$59:$D$63,$A$59:$A$63,A64)</f>
        <v>2735.0176000000029</v>
      </c>
      <c r="E64" s="121">
        <f t="shared" si="22"/>
        <v>1044.6553508000034</v>
      </c>
      <c r="F64" s="118">
        <f t="shared" si="15"/>
        <v>17360.501600000003</v>
      </c>
      <c r="G64" s="118">
        <f t="shared" si="16"/>
        <v>1866.8889578000035</v>
      </c>
      <c r="I64" s="8">
        <v>2018</v>
      </c>
      <c r="J64" s="123">
        <f>TREND($J$59:$J$63,$I$59:$I$63,I64)</f>
        <v>152469.30000000075</v>
      </c>
      <c r="K64" s="123">
        <v>28282</v>
      </c>
      <c r="L64" s="123">
        <v>1405925</v>
      </c>
      <c r="M64" s="121">
        <f t="shared" si="20"/>
        <v>11930339.412843606</v>
      </c>
      <c r="N64" s="118">
        <f t="shared" si="23"/>
        <v>1558394.3000000007</v>
      </c>
      <c r="O64" s="121">
        <f t="shared" si="24"/>
        <v>11958621.412843606</v>
      </c>
      <c r="P64" s="118">
        <f>'Air-Cal'!D32/1000*'Air-Cal'!O48</f>
        <v>3069.9330309076927</v>
      </c>
      <c r="Q64" s="123">
        <f>'Air-Cal'!E32/10^6*'Air-Cal'!O48</f>
        <v>13440.714235637673</v>
      </c>
      <c r="R64" s="118">
        <f t="shared" si="19"/>
        <v>11972062.127079243</v>
      </c>
      <c r="S64" s="122">
        <f t="shared" si="21"/>
        <v>8.4857580687757928</v>
      </c>
    </row>
    <row r="65" spans="1:19">
      <c r="A65" s="8">
        <v>2019</v>
      </c>
      <c r="B65" s="121">
        <f>TREND($B$60:$B$64,$A$60:$A$64,A65)</f>
        <v>15993.417699999991</v>
      </c>
      <c r="C65" s="121">
        <f>TREND($C$60:$C$64,$B$60:$B$64,B65)</f>
        <v>853.10778614210824</v>
      </c>
      <c r="D65" s="121">
        <f>TREND($D$59:$D$63,$A$59:$A$63,A65)</f>
        <v>2746.3470000000016</v>
      </c>
      <c r="E65" s="121">
        <f t="shared" si="22"/>
        <v>1031.1128140000037</v>
      </c>
      <c r="F65" s="118">
        <f t="shared" si="15"/>
        <v>18739.764699999992</v>
      </c>
      <c r="G65" s="118">
        <f t="shared" si="16"/>
        <v>1884.2206001421118</v>
      </c>
      <c r="I65" s="8">
        <v>2019</v>
      </c>
      <c r="J65" s="121">
        <f>TREND($J$60:$J$64,$I$60:$I$64,I65)</f>
        <v>161885.24000000022</v>
      </c>
      <c r="K65" s="121">
        <f>TREND($K$60:$K$64,$I$60:$I$64,I65)</f>
        <v>31816.200000000012</v>
      </c>
      <c r="L65" s="121">
        <f>TREND($L$60:$L$64,$I$60:$I$64,I65)</f>
        <v>1433969.498999998</v>
      </c>
      <c r="M65" s="121">
        <f t="shared" si="20"/>
        <v>12168318.246517614</v>
      </c>
      <c r="N65" s="118">
        <f t="shared" si="23"/>
        <v>1595854.7389999982</v>
      </c>
      <c r="O65" s="121">
        <f t="shared" si="24"/>
        <v>12200134.446517613</v>
      </c>
      <c r="P65" s="118">
        <f>'Air-Cal'!D33/1000*'Air-Cal'!O49</f>
        <v>2885.2939999999994</v>
      </c>
      <c r="Q65" s="123">
        <f>'Air-Cal'!E33/10^6*'Air-Cal'!O49</f>
        <v>12356.17071117976</v>
      </c>
      <c r="R65" s="118">
        <f t="shared" si="19"/>
        <v>12212490.617228793</v>
      </c>
      <c r="S65" s="122">
        <f t="shared" si="21"/>
        <v>8.4857580687757928</v>
      </c>
    </row>
    <row r="66" spans="1:19">
      <c r="P66" s="92"/>
    </row>
    <row r="67" spans="1:19">
      <c r="B67" s="107" t="s">
        <v>770</v>
      </c>
      <c r="C67" s="101"/>
    </row>
    <row r="68" spans="1:19">
      <c r="B68" s="356" t="s">
        <v>988</v>
      </c>
      <c r="C68" s="219" t="s">
        <v>772</v>
      </c>
      <c r="D68" s="219" t="s">
        <v>773</v>
      </c>
      <c r="E68" s="219" t="s">
        <v>989</v>
      </c>
      <c r="F68" s="219" t="s">
        <v>420</v>
      </c>
      <c r="G68" s="219" t="s">
        <v>421</v>
      </c>
      <c r="H68" s="219" t="s">
        <v>422</v>
      </c>
    </row>
    <row r="69" spans="1:19">
      <c r="B69" s="344"/>
      <c r="C69" s="217">
        <f>INDEX($F$36:$F$65,MATCH(About!$B$62,$A$36:$A$65,0))*10^3</f>
        <v>18739764.699999992</v>
      </c>
      <c r="D69" s="217">
        <f>INDEX($G$36:$G$65,MATCH(About!$B$62,$A$36:$A$65,0))*10^6</f>
        <v>1884220600.1421118</v>
      </c>
      <c r="E69" s="281">
        <f>'AVLo-passenger'!B6</f>
        <v>337.61417769892506</v>
      </c>
      <c r="F69" s="217">
        <f>D69/SUM(SYVbT_passenger!B6:H6)</f>
        <v>5732772.9268822484</v>
      </c>
      <c r="G69" s="217">
        <f>F69*About!$B$64</f>
        <v>3562178.8463497497</v>
      </c>
      <c r="H69" s="272">
        <f>G69/E69</f>
        <v>10551.03452890655</v>
      </c>
    </row>
    <row r="71" spans="1:19">
      <c r="B71" s="356" t="s">
        <v>990</v>
      </c>
      <c r="C71" s="219" t="s">
        <v>776</v>
      </c>
      <c r="D71" s="219" t="s">
        <v>777</v>
      </c>
      <c r="E71" s="219" t="s">
        <v>991</v>
      </c>
      <c r="F71" s="219" t="s">
        <v>427</v>
      </c>
      <c r="G71" s="219" t="s">
        <v>428</v>
      </c>
      <c r="H71" s="219" t="s">
        <v>422</v>
      </c>
    </row>
    <row r="72" spans="1:19">
      <c r="B72" s="344"/>
      <c r="C72" s="223">
        <f>INDEX($N$36:$N$65,MATCH(About!$B$62,$I$36:$I$65,0))*10^3</f>
        <v>1595854738.9999981</v>
      </c>
      <c r="D72" s="223">
        <f>INDEX($O$36:$O$65,MATCH(About!$B$62,$I$36:$I$65,0))*10^6</f>
        <v>12200134446517.613</v>
      </c>
      <c r="E72" s="223">
        <f>'AVLo-freight'!B6</f>
        <v>65977.620430441006</v>
      </c>
      <c r="F72" s="223">
        <f>$D72/SUM(SYVbT_freight!$B$6:$H$6)</f>
        <v>19271858724.325684</v>
      </c>
      <c r="G72" s="223">
        <f>$F72*About!$B$64</f>
        <v>11974974127.392975</v>
      </c>
      <c r="H72" s="278">
        <f>$G72/$E72</f>
        <v>181500.5459316007</v>
      </c>
    </row>
    <row r="73" spans="1:19">
      <c r="C73" s="118"/>
      <c r="D73" s="118"/>
      <c r="E73" s="118"/>
      <c r="F73" s="118"/>
      <c r="G73" s="118"/>
      <c r="H73" s="118"/>
    </row>
    <row r="74" spans="1:19">
      <c r="A74" s="14" t="s">
        <v>39</v>
      </c>
    </row>
    <row r="75" spans="1:19">
      <c r="A75" s="125" t="s">
        <v>992</v>
      </c>
    </row>
    <row r="76" spans="1:19">
      <c r="A76" s="238" t="s">
        <v>993</v>
      </c>
    </row>
    <row r="78" spans="1:19">
      <c r="A78" s="14"/>
      <c r="B78" s="105"/>
    </row>
  </sheetData>
  <mergeCells count="12">
    <mergeCell ref="A31:A32"/>
    <mergeCell ref="A23:A27"/>
    <mergeCell ref="A28:A30"/>
    <mergeCell ref="B68:B69"/>
    <mergeCell ref="B71:B72"/>
    <mergeCell ref="P34:Q34"/>
    <mergeCell ref="L34:M34"/>
    <mergeCell ref="N34:O34"/>
    <mergeCell ref="B34:C34"/>
    <mergeCell ref="D34:E34"/>
    <mergeCell ref="F34:G34"/>
    <mergeCell ref="J34:K34"/>
  </mergeCells>
  <phoneticPr fontId="43" type="noConversion"/>
  <pageMargins left="0.7" right="0.7" top="0.75" bottom="0.75" header="0.3" footer="0.3"/>
  <pageSetup paperSize="9" orientation="portrait" horizontalDpi="4294967292" r:id="rId1"/>
  <ignoredErrors>
    <ignoredError sqref="N23:Y30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74EC-F941-473A-B7FA-1CC3E534E0CD}">
  <sheetPr>
    <tabColor theme="3"/>
  </sheetPr>
  <dimension ref="A1:AG7"/>
  <sheetViews>
    <sheetView workbookViewId="0">
      <selection activeCell="B2" sqref="B2"/>
    </sheetView>
  </sheetViews>
  <sheetFormatPr defaultColWidth="9.125" defaultRowHeight="16.5"/>
  <cols>
    <col min="1" max="1" width="16.5" customWidth="1"/>
    <col min="2" max="2" width="10.5" bestFit="1" customWidth="1"/>
  </cols>
  <sheetData>
    <row r="1" spans="1:33" ht="33">
      <c r="A1" s="7" t="s">
        <v>994</v>
      </c>
      <c r="B1" s="4">
        <v>2020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>
      <c r="A2" t="s">
        <v>64</v>
      </c>
      <c r="B2" s="5">
        <f>'DV-Cal'!S4</f>
        <v>7655.2801628395073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spans="1:33">
      <c r="A3" t="s">
        <v>65</v>
      </c>
      <c r="B3" s="5">
        <f>'DV-Cal'!S7</f>
        <v>12908.120385242733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>
      <c r="A4" t="s">
        <v>66</v>
      </c>
      <c r="B4" s="5">
        <f>'Air-Cal'!O4</f>
        <v>1037079.5912426789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>
      <c r="A5" t="s">
        <v>67</v>
      </c>
      <c r="B5" s="5">
        <f>'Rail-Cal'!$G$14</f>
        <v>87159.138758496847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>
      <c r="A6" t="s">
        <v>68</v>
      </c>
      <c r="B6" s="5">
        <v>194.17552144824873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spans="1:33">
      <c r="A7" t="s">
        <v>69</v>
      </c>
      <c r="B7" s="5">
        <f>Motorbikes!$E$7*About!$B$64*365</f>
        <v>4543.5229764190408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</sheetData>
  <phoneticPr fontId="43" type="noConversion"/>
  <pageMargins left="0.7" right="0.7" top="0.75" bottom="0.75" header="0.3" footer="0.3"/>
  <pageSetup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69F5-AA28-4D4B-A658-E770BCFE40EA}">
  <sheetPr>
    <tabColor theme="3"/>
  </sheetPr>
  <dimension ref="A1:AF7"/>
  <sheetViews>
    <sheetView workbookViewId="0">
      <selection activeCell="B7" sqref="B7"/>
    </sheetView>
  </sheetViews>
  <sheetFormatPr defaultColWidth="9.125" defaultRowHeight="16.5"/>
  <cols>
    <col min="1" max="1" width="16.5" customWidth="1"/>
    <col min="2" max="2" width="9.5" bestFit="1" customWidth="1"/>
  </cols>
  <sheetData>
    <row r="1" spans="1:32" ht="33">
      <c r="A1" s="7" t="s">
        <v>994</v>
      </c>
      <c r="B1" s="1">
        <v>2020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t="s">
        <v>64</v>
      </c>
      <c r="B2" s="5">
        <f>'DV-Cal'!S10</f>
        <v>9107.6632094677316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>
      <c r="A3" t="s">
        <v>65</v>
      </c>
      <c r="B3" s="5">
        <f>'DV-Cal'!S13</f>
        <v>18378.798451825562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>
      <c r="A4" t="s">
        <v>66</v>
      </c>
      <c r="B4" s="5">
        <f>'Air-Cal'!O7</f>
        <v>3355599.9662397844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>
      <c r="A5" t="s">
        <v>67</v>
      </c>
      <c r="B5" s="5">
        <f>'Rail-Cal'!G6</f>
        <v>15068.57360345372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>
      <c r="A6" t="s">
        <v>68</v>
      </c>
      <c r="B6" s="5">
        <f>'Ships-Cal'!H72</f>
        <v>181500.5459316007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>
      <c r="A7" t="s">
        <v>69</v>
      </c>
      <c r="B7" s="5">
        <f>Motorbikes!$E$2*About!$B$64*365</f>
        <v>10573.883538920783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</sheetData>
  <phoneticPr fontId="43" type="noConversion"/>
  <pageMargins left="0.7" right="0.7" top="0.75" bottom="0.75" header="0.3" footer="0.3"/>
  <pageSetup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9"/>
  <sheetViews>
    <sheetView workbookViewId="0">
      <selection activeCell="B3" sqref="B3"/>
    </sheetView>
  </sheetViews>
  <sheetFormatPr defaultColWidth="9.125" defaultRowHeight="16.5"/>
  <cols>
    <col min="1" max="1" width="16.5" customWidth="1"/>
    <col min="2" max="2" width="9" customWidth="1"/>
    <col min="3" max="3" width="10.5" bestFit="1" customWidth="1"/>
  </cols>
  <sheetData>
    <row r="1" spans="1:31" ht="33">
      <c r="A1" s="7" t="s">
        <v>994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  <c r="G1" s="4">
        <v>2026</v>
      </c>
      <c r="H1" s="4">
        <v>2027</v>
      </c>
      <c r="I1" s="4">
        <v>2028</v>
      </c>
      <c r="J1" s="4">
        <v>2029</v>
      </c>
      <c r="K1" s="4">
        <v>2030</v>
      </c>
      <c r="L1" s="4">
        <v>2031</v>
      </c>
      <c r="M1" s="4">
        <v>2032</v>
      </c>
      <c r="N1" s="4">
        <v>2033</v>
      </c>
      <c r="O1" s="4">
        <v>2034</v>
      </c>
      <c r="P1" s="4">
        <v>2035</v>
      </c>
      <c r="Q1" s="4">
        <v>2036</v>
      </c>
      <c r="R1" s="4">
        <v>2037</v>
      </c>
      <c r="S1" s="4">
        <v>2038</v>
      </c>
      <c r="T1" s="4">
        <v>2039</v>
      </c>
      <c r="U1" s="4">
        <v>2040</v>
      </c>
      <c r="V1" s="4">
        <v>2041</v>
      </c>
      <c r="W1" s="4">
        <v>2042</v>
      </c>
      <c r="X1" s="4">
        <v>2043</v>
      </c>
      <c r="Y1" s="4">
        <v>2044</v>
      </c>
      <c r="Z1" s="4">
        <v>2045</v>
      </c>
      <c r="AA1" s="4">
        <v>2046</v>
      </c>
      <c r="AB1" s="4">
        <v>2047</v>
      </c>
      <c r="AC1" s="4">
        <v>2048</v>
      </c>
      <c r="AD1" s="4">
        <v>2049</v>
      </c>
      <c r="AE1" s="4">
        <v>2050</v>
      </c>
    </row>
    <row r="2" spans="1:31">
      <c r="A2" t="s">
        <v>64</v>
      </c>
      <c r="B2" s="5">
        <f t="shared" ref="B2:B7" si="0">C2</f>
        <v>7655.2801628395073</v>
      </c>
      <c r="C2" s="5">
        <f>'DV-Cal'!S4</f>
        <v>7655.2801628395073</v>
      </c>
      <c r="D2" s="5">
        <f>$C$2</f>
        <v>7655.2801628395073</v>
      </c>
      <c r="E2" s="5">
        <f t="shared" ref="E2:AE2" si="1">$C$2</f>
        <v>7655.2801628395073</v>
      </c>
      <c r="F2" s="5">
        <f t="shared" si="1"/>
        <v>7655.2801628395073</v>
      </c>
      <c r="G2" s="5">
        <f t="shared" si="1"/>
        <v>7655.2801628395073</v>
      </c>
      <c r="H2" s="5">
        <f t="shared" si="1"/>
        <v>7655.2801628395073</v>
      </c>
      <c r="I2" s="5">
        <f t="shared" si="1"/>
        <v>7655.2801628395073</v>
      </c>
      <c r="J2" s="5">
        <f t="shared" si="1"/>
        <v>7655.2801628395073</v>
      </c>
      <c r="K2" s="5">
        <f t="shared" si="1"/>
        <v>7655.2801628395073</v>
      </c>
      <c r="L2" s="5">
        <f t="shared" si="1"/>
        <v>7655.2801628395073</v>
      </c>
      <c r="M2" s="5">
        <f t="shared" si="1"/>
        <v>7655.2801628395073</v>
      </c>
      <c r="N2" s="5">
        <f t="shared" si="1"/>
        <v>7655.2801628395073</v>
      </c>
      <c r="O2" s="5">
        <f t="shared" si="1"/>
        <v>7655.2801628395073</v>
      </c>
      <c r="P2" s="5">
        <f t="shared" si="1"/>
        <v>7655.2801628395073</v>
      </c>
      <c r="Q2" s="5">
        <f t="shared" si="1"/>
        <v>7655.2801628395073</v>
      </c>
      <c r="R2" s="5">
        <f t="shared" si="1"/>
        <v>7655.2801628395073</v>
      </c>
      <c r="S2" s="5">
        <f t="shared" si="1"/>
        <v>7655.2801628395073</v>
      </c>
      <c r="T2" s="5">
        <f t="shared" si="1"/>
        <v>7655.2801628395073</v>
      </c>
      <c r="U2" s="5">
        <f t="shared" si="1"/>
        <v>7655.2801628395073</v>
      </c>
      <c r="V2" s="5">
        <f t="shared" si="1"/>
        <v>7655.2801628395073</v>
      </c>
      <c r="W2" s="5">
        <f t="shared" si="1"/>
        <v>7655.2801628395073</v>
      </c>
      <c r="X2" s="5">
        <f t="shared" si="1"/>
        <v>7655.2801628395073</v>
      </c>
      <c r="Y2" s="5">
        <f t="shared" si="1"/>
        <v>7655.2801628395073</v>
      </c>
      <c r="Z2" s="5">
        <f t="shared" si="1"/>
        <v>7655.2801628395073</v>
      </c>
      <c r="AA2" s="5">
        <f t="shared" si="1"/>
        <v>7655.2801628395073</v>
      </c>
      <c r="AB2" s="5">
        <f t="shared" si="1"/>
        <v>7655.2801628395073</v>
      </c>
      <c r="AC2" s="5">
        <f t="shared" si="1"/>
        <v>7655.2801628395073</v>
      </c>
      <c r="AD2" s="5">
        <f t="shared" si="1"/>
        <v>7655.2801628395073</v>
      </c>
      <c r="AE2" s="5">
        <f t="shared" si="1"/>
        <v>7655.2801628395073</v>
      </c>
    </row>
    <row r="3" spans="1:31">
      <c r="A3" t="s">
        <v>65</v>
      </c>
      <c r="B3" s="5">
        <f t="shared" si="0"/>
        <v>12908.120385242733</v>
      </c>
      <c r="C3" s="5">
        <f>'DV-Cal'!S7</f>
        <v>12908.120385242733</v>
      </c>
      <c r="D3" s="5">
        <f>$C$3</f>
        <v>12908.120385242733</v>
      </c>
      <c r="E3" s="5">
        <f t="shared" ref="E3:AE3" si="2">$C$3</f>
        <v>12908.120385242733</v>
      </c>
      <c r="F3" s="5">
        <f t="shared" si="2"/>
        <v>12908.120385242733</v>
      </c>
      <c r="G3" s="5">
        <f t="shared" si="2"/>
        <v>12908.120385242733</v>
      </c>
      <c r="H3" s="5">
        <f t="shared" si="2"/>
        <v>12908.120385242733</v>
      </c>
      <c r="I3" s="5">
        <f t="shared" si="2"/>
        <v>12908.120385242733</v>
      </c>
      <c r="J3" s="5">
        <f t="shared" si="2"/>
        <v>12908.120385242733</v>
      </c>
      <c r="K3" s="5">
        <f t="shared" si="2"/>
        <v>12908.120385242733</v>
      </c>
      <c r="L3" s="5">
        <f t="shared" si="2"/>
        <v>12908.120385242733</v>
      </c>
      <c r="M3" s="5">
        <f t="shared" si="2"/>
        <v>12908.120385242733</v>
      </c>
      <c r="N3" s="5">
        <f t="shared" si="2"/>
        <v>12908.120385242733</v>
      </c>
      <c r="O3" s="5">
        <f t="shared" si="2"/>
        <v>12908.120385242733</v>
      </c>
      <c r="P3" s="5">
        <f t="shared" si="2"/>
        <v>12908.120385242733</v>
      </c>
      <c r="Q3" s="5">
        <f t="shared" si="2"/>
        <v>12908.120385242733</v>
      </c>
      <c r="R3" s="5">
        <f t="shared" si="2"/>
        <v>12908.120385242733</v>
      </c>
      <c r="S3" s="5">
        <f t="shared" si="2"/>
        <v>12908.120385242733</v>
      </c>
      <c r="T3" s="5">
        <f t="shared" si="2"/>
        <v>12908.120385242733</v>
      </c>
      <c r="U3" s="5">
        <f t="shared" si="2"/>
        <v>12908.120385242733</v>
      </c>
      <c r="V3" s="5">
        <f t="shared" si="2"/>
        <v>12908.120385242733</v>
      </c>
      <c r="W3" s="5">
        <f t="shared" si="2"/>
        <v>12908.120385242733</v>
      </c>
      <c r="X3" s="5">
        <f t="shared" si="2"/>
        <v>12908.120385242733</v>
      </c>
      <c r="Y3" s="5">
        <f t="shared" si="2"/>
        <v>12908.120385242733</v>
      </c>
      <c r="Z3" s="5">
        <f t="shared" si="2"/>
        <v>12908.120385242733</v>
      </c>
      <c r="AA3" s="5">
        <f t="shared" si="2"/>
        <v>12908.120385242733</v>
      </c>
      <c r="AB3" s="5">
        <f t="shared" si="2"/>
        <v>12908.120385242733</v>
      </c>
      <c r="AC3" s="5">
        <f t="shared" si="2"/>
        <v>12908.120385242733</v>
      </c>
      <c r="AD3" s="5">
        <f t="shared" si="2"/>
        <v>12908.120385242733</v>
      </c>
      <c r="AE3" s="5">
        <f t="shared" si="2"/>
        <v>12908.120385242733</v>
      </c>
    </row>
    <row r="4" spans="1:31">
      <c r="A4" t="s">
        <v>66</v>
      </c>
      <c r="B4" s="5">
        <f t="shared" si="0"/>
        <v>1037079.5912426789</v>
      </c>
      <c r="C4" s="5">
        <f>'Air-Cal'!O4</f>
        <v>1037079.5912426789</v>
      </c>
      <c r="D4" s="5">
        <f>$C$4</f>
        <v>1037079.5912426789</v>
      </c>
      <c r="E4" s="5">
        <f t="shared" ref="E4:AE4" si="3">$C$4</f>
        <v>1037079.5912426789</v>
      </c>
      <c r="F4" s="5">
        <f t="shared" si="3"/>
        <v>1037079.5912426789</v>
      </c>
      <c r="G4" s="5">
        <f t="shared" si="3"/>
        <v>1037079.5912426789</v>
      </c>
      <c r="H4" s="5">
        <f t="shared" si="3"/>
        <v>1037079.5912426789</v>
      </c>
      <c r="I4" s="5">
        <f t="shared" si="3"/>
        <v>1037079.5912426789</v>
      </c>
      <c r="J4" s="5">
        <f t="shared" si="3"/>
        <v>1037079.5912426789</v>
      </c>
      <c r="K4" s="5">
        <f t="shared" si="3"/>
        <v>1037079.5912426789</v>
      </c>
      <c r="L4" s="5">
        <f t="shared" si="3"/>
        <v>1037079.5912426789</v>
      </c>
      <c r="M4" s="5">
        <f t="shared" si="3"/>
        <v>1037079.5912426789</v>
      </c>
      <c r="N4" s="5">
        <f t="shared" si="3"/>
        <v>1037079.5912426789</v>
      </c>
      <c r="O4" s="5">
        <f t="shared" si="3"/>
        <v>1037079.5912426789</v>
      </c>
      <c r="P4" s="5">
        <f t="shared" si="3"/>
        <v>1037079.5912426789</v>
      </c>
      <c r="Q4" s="5">
        <f t="shared" si="3"/>
        <v>1037079.5912426789</v>
      </c>
      <c r="R4" s="5">
        <f t="shared" si="3"/>
        <v>1037079.5912426789</v>
      </c>
      <c r="S4" s="5">
        <f t="shared" si="3"/>
        <v>1037079.5912426789</v>
      </c>
      <c r="T4" s="5">
        <f t="shared" si="3"/>
        <v>1037079.5912426789</v>
      </c>
      <c r="U4" s="5">
        <f t="shared" si="3"/>
        <v>1037079.5912426789</v>
      </c>
      <c r="V4" s="5">
        <f t="shared" si="3"/>
        <v>1037079.5912426789</v>
      </c>
      <c r="W4" s="5">
        <f t="shared" si="3"/>
        <v>1037079.5912426789</v>
      </c>
      <c r="X4" s="5">
        <f t="shared" si="3"/>
        <v>1037079.5912426789</v>
      </c>
      <c r="Y4" s="5">
        <f t="shared" si="3"/>
        <v>1037079.5912426789</v>
      </c>
      <c r="Z4" s="5">
        <f t="shared" si="3"/>
        <v>1037079.5912426789</v>
      </c>
      <c r="AA4" s="5">
        <f t="shared" si="3"/>
        <v>1037079.5912426789</v>
      </c>
      <c r="AB4" s="5">
        <f t="shared" si="3"/>
        <v>1037079.5912426789</v>
      </c>
      <c r="AC4" s="5">
        <f t="shared" si="3"/>
        <v>1037079.5912426789</v>
      </c>
      <c r="AD4" s="5">
        <f t="shared" si="3"/>
        <v>1037079.5912426789</v>
      </c>
      <c r="AE4" s="5">
        <f t="shared" si="3"/>
        <v>1037079.5912426789</v>
      </c>
    </row>
    <row r="5" spans="1:31">
      <c r="A5" t="s">
        <v>67</v>
      </c>
      <c r="B5" s="5">
        <f t="shared" si="0"/>
        <v>87159.138758496847</v>
      </c>
      <c r="C5" s="5">
        <f>'Rail-Cal'!$G$14</f>
        <v>87159.138758496847</v>
      </c>
      <c r="D5" s="5">
        <f>$C$5</f>
        <v>87159.138758496847</v>
      </c>
      <c r="E5" s="5">
        <f t="shared" ref="E5:AE5" si="4">$C$5</f>
        <v>87159.138758496847</v>
      </c>
      <c r="F5" s="5">
        <f t="shared" si="4"/>
        <v>87159.138758496847</v>
      </c>
      <c r="G5" s="5">
        <f t="shared" si="4"/>
        <v>87159.138758496847</v>
      </c>
      <c r="H5" s="5">
        <f t="shared" si="4"/>
        <v>87159.138758496847</v>
      </c>
      <c r="I5" s="5">
        <f t="shared" si="4"/>
        <v>87159.138758496847</v>
      </c>
      <c r="J5" s="5">
        <f t="shared" si="4"/>
        <v>87159.138758496847</v>
      </c>
      <c r="K5" s="5">
        <f t="shared" si="4"/>
        <v>87159.138758496847</v>
      </c>
      <c r="L5" s="5">
        <f t="shared" si="4"/>
        <v>87159.138758496847</v>
      </c>
      <c r="M5" s="5">
        <f t="shared" si="4"/>
        <v>87159.138758496847</v>
      </c>
      <c r="N5" s="5">
        <f t="shared" si="4"/>
        <v>87159.138758496847</v>
      </c>
      <c r="O5" s="5">
        <f t="shared" si="4"/>
        <v>87159.138758496847</v>
      </c>
      <c r="P5" s="5">
        <f t="shared" si="4"/>
        <v>87159.138758496847</v>
      </c>
      <c r="Q5" s="5">
        <f t="shared" si="4"/>
        <v>87159.138758496847</v>
      </c>
      <c r="R5" s="5">
        <f t="shared" si="4"/>
        <v>87159.138758496847</v>
      </c>
      <c r="S5" s="5">
        <f t="shared" si="4"/>
        <v>87159.138758496847</v>
      </c>
      <c r="T5" s="5">
        <f t="shared" si="4"/>
        <v>87159.138758496847</v>
      </c>
      <c r="U5" s="5">
        <f t="shared" si="4"/>
        <v>87159.138758496847</v>
      </c>
      <c r="V5" s="5">
        <f t="shared" si="4"/>
        <v>87159.138758496847</v>
      </c>
      <c r="W5" s="5">
        <f t="shared" si="4"/>
        <v>87159.138758496847</v>
      </c>
      <c r="X5" s="5">
        <f t="shared" si="4"/>
        <v>87159.138758496847</v>
      </c>
      <c r="Y5" s="5">
        <f t="shared" si="4"/>
        <v>87159.138758496847</v>
      </c>
      <c r="Z5" s="5">
        <f t="shared" si="4"/>
        <v>87159.138758496847</v>
      </c>
      <c r="AA5" s="5">
        <f t="shared" si="4"/>
        <v>87159.138758496847</v>
      </c>
      <c r="AB5" s="5">
        <f t="shared" si="4"/>
        <v>87159.138758496847</v>
      </c>
      <c r="AC5" s="5">
        <f t="shared" si="4"/>
        <v>87159.138758496847</v>
      </c>
      <c r="AD5" s="5">
        <f t="shared" si="4"/>
        <v>87159.138758496847</v>
      </c>
      <c r="AE5" s="5">
        <f t="shared" si="4"/>
        <v>87159.138758496847</v>
      </c>
    </row>
    <row r="6" spans="1:31">
      <c r="A6" t="s">
        <v>68</v>
      </c>
      <c r="B6" s="5">
        <v>194.17552144824873</v>
      </c>
      <c r="C6" s="5">
        <v>194.17552144824873</v>
      </c>
      <c r="D6" s="5">
        <v>194.17552144824873</v>
      </c>
      <c r="E6" s="5">
        <v>194.17552144824873</v>
      </c>
      <c r="F6" s="5">
        <v>194.17552144824873</v>
      </c>
      <c r="G6" s="5">
        <v>194.17552144824873</v>
      </c>
      <c r="H6" s="5">
        <v>194.17552144824873</v>
      </c>
      <c r="I6" s="5">
        <v>194.17552144824873</v>
      </c>
      <c r="J6" s="5">
        <v>194.17552144824873</v>
      </c>
      <c r="K6" s="5">
        <v>194.17552144824873</v>
      </c>
      <c r="L6" s="5">
        <v>194.17552144824873</v>
      </c>
      <c r="M6" s="5">
        <v>194.17552144824873</v>
      </c>
      <c r="N6" s="5">
        <v>194.17552144824873</v>
      </c>
      <c r="O6" s="5">
        <v>194.17552144824873</v>
      </c>
      <c r="P6" s="5">
        <v>194.17552144824873</v>
      </c>
      <c r="Q6" s="5">
        <v>194.17552144824873</v>
      </c>
      <c r="R6" s="5">
        <v>194.17552144824873</v>
      </c>
      <c r="S6" s="5">
        <v>194.17552144824873</v>
      </c>
      <c r="T6" s="5">
        <v>194.17552144824873</v>
      </c>
      <c r="U6" s="5">
        <v>194.17552144824873</v>
      </c>
      <c r="V6" s="5">
        <v>194.17552144824873</v>
      </c>
      <c r="W6" s="5">
        <v>194.17552144824873</v>
      </c>
      <c r="X6" s="5">
        <v>194.17552144824873</v>
      </c>
      <c r="Y6" s="5">
        <v>194.17552144824873</v>
      </c>
      <c r="Z6" s="5">
        <v>194.17552144824873</v>
      </c>
      <c r="AA6" s="5">
        <v>194.17552144824873</v>
      </c>
      <c r="AB6" s="5">
        <v>194.17552144824873</v>
      </c>
      <c r="AC6" s="5">
        <v>194.17552144824873</v>
      </c>
      <c r="AD6" s="5">
        <v>194.17552144824873</v>
      </c>
      <c r="AE6" s="5">
        <v>194.17552144824873</v>
      </c>
    </row>
    <row r="7" spans="1:31">
      <c r="A7" t="s">
        <v>69</v>
      </c>
      <c r="B7" s="5">
        <f t="shared" si="0"/>
        <v>4543.5229764190408</v>
      </c>
      <c r="C7" s="5">
        <f>Motorbikes!$E$7*About!$B$64*365</f>
        <v>4543.5229764190408</v>
      </c>
      <c r="D7" s="5">
        <f t="shared" ref="D7:AE7" si="5">$B$7</f>
        <v>4543.5229764190408</v>
      </c>
      <c r="E7" s="5">
        <f t="shared" si="5"/>
        <v>4543.5229764190408</v>
      </c>
      <c r="F7" s="5">
        <f t="shared" si="5"/>
        <v>4543.5229764190408</v>
      </c>
      <c r="G7" s="5">
        <f t="shared" si="5"/>
        <v>4543.5229764190408</v>
      </c>
      <c r="H7" s="5">
        <f t="shared" si="5"/>
        <v>4543.5229764190408</v>
      </c>
      <c r="I7" s="5">
        <f t="shared" si="5"/>
        <v>4543.5229764190408</v>
      </c>
      <c r="J7" s="5">
        <f t="shared" si="5"/>
        <v>4543.5229764190408</v>
      </c>
      <c r="K7" s="5">
        <f t="shared" si="5"/>
        <v>4543.5229764190408</v>
      </c>
      <c r="L7" s="5">
        <f t="shared" si="5"/>
        <v>4543.5229764190408</v>
      </c>
      <c r="M7" s="5">
        <f t="shared" si="5"/>
        <v>4543.5229764190408</v>
      </c>
      <c r="N7" s="5">
        <f t="shared" si="5"/>
        <v>4543.5229764190408</v>
      </c>
      <c r="O7" s="5">
        <f t="shared" si="5"/>
        <v>4543.5229764190408</v>
      </c>
      <c r="P7" s="5">
        <f t="shared" si="5"/>
        <v>4543.5229764190408</v>
      </c>
      <c r="Q7" s="5">
        <f t="shared" si="5"/>
        <v>4543.5229764190408</v>
      </c>
      <c r="R7" s="5">
        <f t="shared" si="5"/>
        <v>4543.5229764190408</v>
      </c>
      <c r="S7" s="5">
        <f t="shared" si="5"/>
        <v>4543.5229764190408</v>
      </c>
      <c r="T7" s="5">
        <f t="shared" si="5"/>
        <v>4543.5229764190408</v>
      </c>
      <c r="U7" s="5">
        <f t="shared" si="5"/>
        <v>4543.5229764190408</v>
      </c>
      <c r="V7" s="5">
        <f t="shared" si="5"/>
        <v>4543.5229764190408</v>
      </c>
      <c r="W7" s="5">
        <f t="shared" si="5"/>
        <v>4543.5229764190408</v>
      </c>
      <c r="X7" s="5">
        <f t="shared" si="5"/>
        <v>4543.5229764190408</v>
      </c>
      <c r="Y7" s="5">
        <f t="shared" si="5"/>
        <v>4543.5229764190408</v>
      </c>
      <c r="Z7" s="5">
        <f t="shared" si="5"/>
        <v>4543.5229764190408</v>
      </c>
      <c r="AA7" s="5">
        <f t="shared" si="5"/>
        <v>4543.5229764190408</v>
      </c>
      <c r="AB7" s="5">
        <f t="shared" si="5"/>
        <v>4543.5229764190408</v>
      </c>
      <c r="AC7" s="5">
        <f t="shared" si="5"/>
        <v>4543.5229764190408</v>
      </c>
      <c r="AD7" s="5">
        <f t="shared" si="5"/>
        <v>4543.5229764190408</v>
      </c>
      <c r="AE7" s="5">
        <f t="shared" si="5"/>
        <v>4543.5229764190408</v>
      </c>
    </row>
    <row r="9" spans="1:31">
      <c r="B9" s="5"/>
    </row>
  </sheetData>
  <phoneticPr fontId="43" type="noConversion"/>
  <pageMargins left="0.7" right="0.7" top="0.75" bottom="0.75" header="0.3" footer="0.3"/>
  <pageSetup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7"/>
  <sheetViews>
    <sheetView tabSelected="1" workbookViewId="0">
      <selection activeCell="O15" sqref="O15"/>
    </sheetView>
  </sheetViews>
  <sheetFormatPr defaultColWidth="9.125" defaultRowHeight="16.5"/>
  <cols>
    <col min="1" max="1" width="16.5" customWidth="1"/>
    <col min="3" max="3" width="9.5" bestFit="1" customWidth="1"/>
  </cols>
  <sheetData>
    <row r="1" spans="1:31" ht="33">
      <c r="A1" s="7" t="s">
        <v>994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t="s">
        <v>64</v>
      </c>
      <c r="B2" s="5">
        <f>C2</f>
        <v>9107.6632094677316</v>
      </c>
      <c r="C2" s="5">
        <f>'DV-Cal'!S10</f>
        <v>9107.6632094677316</v>
      </c>
      <c r="D2" s="5">
        <f>$C$2</f>
        <v>9107.6632094677316</v>
      </c>
      <c r="E2" s="5">
        <f t="shared" ref="E2:AE2" si="0">$C$2</f>
        <v>9107.6632094677316</v>
      </c>
      <c r="F2" s="5">
        <f t="shared" si="0"/>
        <v>9107.6632094677316</v>
      </c>
      <c r="G2" s="5">
        <f t="shared" si="0"/>
        <v>9107.6632094677316</v>
      </c>
      <c r="H2" s="5">
        <f t="shared" si="0"/>
        <v>9107.6632094677316</v>
      </c>
      <c r="I2" s="5">
        <f t="shared" si="0"/>
        <v>9107.6632094677316</v>
      </c>
      <c r="J2" s="5">
        <f t="shared" si="0"/>
        <v>9107.6632094677316</v>
      </c>
      <c r="K2" s="5">
        <f t="shared" si="0"/>
        <v>9107.6632094677316</v>
      </c>
      <c r="L2" s="5">
        <f t="shared" si="0"/>
        <v>9107.6632094677316</v>
      </c>
      <c r="M2" s="5">
        <f t="shared" si="0"/>
        <v>9107.6632094677316</v>
      </c>
      <c r="N2" s="5">
        <f t="shared" si="0"/>
        <v>9107.6632094677316</v>
      </c>
      <c r="O2" s="5">
        <f t="shared" si="0"/>
        <v>9107.6632094677316</v>
      </c>
      <c r="P2" s="5">
        <f t="shared" si="0"/>
        <v>9107.6632094677316</v>
      </c>
      <c r="Q2" s="5">
        <f t="shared" si="0"/>
        <v>9107.6632094677316</v>
      </c>
      <c r="R2" s="5">
        <f t="shared" si="0"/>
        <v>9107.6632094677316</v>
      </c>
      <c r="S2" s="5">
        <f t="shared" si="0"/>
        <v>9107.6632094677316</v>
      </c>
      <c r="T2" s="5">
        <f t="shared" si="0"/>
        <v>9107.6632094677316</v>
      </c>
      <c r="U2" s="5">
        <f t="shared" si="0"/>
        <v>9107.6632094677316</v>
      </c>
      <c r="V2" s="5">
        <f t="shared" si="0"/>
        <v>9107.6632094677316</v>
      </c>
      <c r="W2" s="5">
        <f t="shared" si="0"/>
        <v>9107.6632094677316</v>
      </c>
      <c r="X2" s="5">
        <f t="shared" si="0"/>
        <v>9107.6632094677316</v>
      </c>
      <c r="Y2" s="5">
        <f t="shared" si="0"/>
        <v>9107.6632094677316</v>
      </c>
      <c r="Z2" s="5">
        <f t="shared" si="0"/>
        <v>9107.6632094677316</v>
      </c>
      <c r="AA2" s="5">
        <f t="shared" si="0"/>
        <v>9107.6632094677316</v>
      </c>
      <c r="AB2" s="5">
        <f t="shared" si="0"/>
        <v>9107.6632094677316</v>
      </c>
      <c r="AC2" s="5">
        <f t="shared" si="0"/>
        <v>9107.6632094677316</v>
      </c>
      <c r="AD2" s="5">
        <f t="shared" si="0"/>
        <v>9107.6632094677316</v>
      </c>
      <c r="AE2" s="5">
        <f t="shared" si="0"/>
        <v>9107.6632094677316</v>
      </c>
    </row>
    <row r="3" spans="1:31">
      <c r="A3" t="s">
        <v>65</v>
      </c>
      <c r="B3" s="5">
        <f>C3</f>
        <v>18378.798451825562</v>
      </c>
      <c r="C3" s="5">
        <f>'DV-Cal'!S13</f>
        <v>18378.798451825562</v>
      </c>
      <c r="D3" s="5">
        <f>$C$3</f>
        <v>18378.798451825562</v>
      </c>
      <c r="E3" s="5">
        <f t="shared" ref="E3:AE3" si="1">$C$3</f>
        <v>18378.798451825562</v>
      </c>
      <c r="F3" s="5">
        <f t="shared" si="1"/>
        <v>18378.798451825562</v>
      </c>
      <c r="G3" s="5">
        <f t="shared" si="1"/>
        <v>18378.798451825562</v>
      </c>
      <c r="H3" s="5">
        <f t="shared" si="1"/>
        <v>18378.798451825562</v>
      </c>
      <c r="I3" s="5">
        <f t="shared" si="1"/>
        <v>18378.798451825562</v>
      </c>
      <c r="J3" s="5">
        <f t="shared" si="1"/>
        <v>18378.798451825562</v>
      </c>
      <c r="K3" s="5">
        <f t="shared" si="1"/>
        <v>18378.798451825562</v>
      </c>
      <c r="L3" s="5">
        <f t="shared" si="1"/>
        <v>18378.798451825562</v>
      </c>
      <c r="M3" s="5">
        <f t="shared" si="1"/>
        <v>18378.798451825562</v>
      </c>
      <c r="N3" s="5">
        <f t="shared" si="1"/>
        <v>18378.798451825562</v>
      </c>
      <c r="O3" s="5">
        <f t="shared" si="1"/>
        <v>18378.798451825562</v>
      </c>
      <c r="P3" s="5">
        <f t="shared" si="1"/>
        <v>18378.798451825562</v>
      </c>
      <c r="Q3" s="5">
        <f t="shared" si="1"/>
        <v>18378.798451825562</v>
      </c>
      <c r="R3" s="5">
        <f t="shared" si="1"/>
        <v>18378.798451825562</v>
      </c>
      <c r="S3" s="5">
        <f t="shared" si="1"/>
        <v>18378.798451825562</v>
      </c>
      <c r="T3" s="5">
        <f t="shared" si="1"/>
        <v>18378.798451825562</v>
      </c>
      <c r="U3" s="5">
        <f t="shared" si="1"/>
        <v>18378.798451825562</v>
      </c>
      <c r="V3" s="5">
        <f t="shared" si="1"/>
        <v>18378.798451825562</v>
      </c>
      <c r="W3" s="5">
        <f t="shared" si="1"/>
        <v>18378.798451825562</v>
      </c>
      <c r="X3" s="5">
        <f t="shared" si="1"/>
        <v>18378.798451825562</v>
      </c>
      <c r="Y3" s="5">
        <f t="shared" si="1"/>
        <v>18378.798451825562</v>
      </c>
      <c r="Z3" s="5">
        <f t="shared" si="1"/>
        <v>18378.798451825562</v>
      </c>
      <c r="AA3" s="5">
        <f t="shared" si="1"/>
        <v>18378.798451825562</v>
      </c>
      <c r="AB3" s="5">
        <f t="shared" si="1"/>
        <v>18378.798451825562</v>
      </c>
      <c r="AC3" s="5">
        <f t="shared" si="1"/>
        <v>18378.798451825562</v>
      </c>
      <c r="AD3" s="5">
        <f t="shared" si="1"/>
        <v>18378.798451825562</v>
      </c>
      <c r="AE3" s="5">
        <f t="shared" si="1"/>
        <v>18378.798451825562</v>
      </c>
    </row>
    <row r="4" spans="1:31">
      <c r="A4" t="s">
        <v>66</v>
      </c>
      <c r="B4" s="5">
        <f>'Air-Cal'!O7</f>
        <v>3355599.9662397844</v>
      </c>
      <c r="C4" s="5">
        <f>$B$4</f>
        <v>3355599.9662397844</v>
      </c>
      <c r="D4" s="5">
        <f t="shared" ref="D4:AE4" si="2">$B$4</f>
        <v>3355599.9662397844</v>
      </c>
      <c r="E4" s="5">
        <f t="shared" si="2"/>
        <v>3355599.9662397844</v>
      </c>
      <c r="F4" s="5">
        <f t="shared" si="2"/>
        <v>3355599.9662397844</v>
      </c>
      <c r="G4" s="5">
        <f t="shared" si="2"/>
        <v>3355599.9662397844</v>
      </c>
      <c r="H4" s="5">
        <f t="shared" si="2"/>
        <v>3355599.9662397844</v>
      </c>
      <c r="I4" s="5">
        <f t="shared" si="2"/>
        <v>3355599.9662397844</v>
      </c>
      <c r="J4" s="5">
        <f t="shared" si="2"/>
        <v>3355599.9662397844</v>
      </c>
      <c r="K4" s="5">
        <f t="shared" si="2"/>
        <v>3355599.9662397844</v>
      </c>
      <c r="L4" s="5">
        <f t="shared" si="2"/>
        <v>3355599.9662397844</v>
      </c>
      <c r="M4" s="5">
        <f t="shared" si="2"/>
        <v>3355599.9662397844</v>
      </c>
      <c r="N4" s="5">
        <f t="shared" si="2"/>
        <v>3355599.9662397844</v>
      </c>
      <c r="O4" s="5">
        <f t="shared" si="2"/>
        <v>3355599.9662397844</v>
      </c>
      <c r="P4" s="5">
        <f t="shared" si="2"/>
        <v>3355599.9662397844</v>
      </c>
      <c r="Q4" s="5">
        <f t="shared" si="2"/>
        <v>3355599.9662397844</v>
      </c>
      <c r="R4" s="5">
        <f t="shared" si="2"/>
        <v>3355599.9662397844</v>
      </c>
      <c r="S4" s="5">
        <f t="shared" si="2"/>
        <v>3355599.9662397844</v>
      </c>
      <c r="T4" s="5">
        <f t="shared" si="2"/>
        <v>3355599.9662397844</v>
      </c>
      <c r="U4" s="5">
        <f t="shared" si="2"/>
        <v>3355599.9662397844</v>
      </c>
      <c r="V4" s="5">
        <f t="shared" si="2"/>
        <v>3355599.9662397844</v>
      </c>
      <c r="W4" s="5">
        <f t="shared" si="2"/>
        <v>3355599.9662397844</v>
      </c>
      <c r="X4" s="5">
        <f t="shared" si="2"/>
        <v>3355599.9662397844</v>
      </c>
      <c r="Y4" s="5">
        <f t="shared" si="2"/>
        <v>3355599.9662397844</v>
      </c>
      <c r="Z4" s="5">
        <f t="shared" si="2"/>
        <v>3355599.9662397844</v>
      </c>
      <c r="AA4" s="5">
        <f t="shared" si="2"/>
        <v>3355599.9662397844</v>
      </c>
      <c r="AB4" s="5">
        <f t="shared" si="2"/>
        <v>3355599.9662397844</v>
      </c>
      <c r="AC4" s="5">
        <f t="shared" si="2"/>
        <v>3355599.9662397844</v>
      </c>
      <c r="AD4" s="5">
        <f t="shared" si="2"/>
        <v>3355599.9662397844</v>
      </c>
      <c r="AE4" s="5">
        <f t="shared" si="2"/>
        <v>3355599.9662397844</v>
      </c>
    </row>
    <row r="5" spans="1:31">
      <c r="A5" t="s">
        <v>67</v>
      </c>
      <c r="B5" s="5">
        <f>'Rail-Cal'!G6</f>
        <v>15068.57360345372</v>
      </c>
      <c r="C5" s="5">
        <f>$B$5</f>
        <v>15068.57360345372</v>
      </c>
      <c r="D5" s="5">
        <f t="shared" ref="D5:AE5" si="3">$B$5</f>
        <v>15068.57360345372</v>
      </c>
      <c r="E5" s="5">
        <f t="shared" si="3"/>
        <v>15068.57360345372</v>
      </c>
      <c r="F5" s="5">
        <f t="shared" si="3"/>
        <v>15068.57360345372</v>
      </c>
      <c r="G5" s="5">
        <f t="shared" si="3"/>
        <v>15068.57360345372</v>
      </c>
      <c r="H5" s="5">
        <f t="shared" si="3"/>
        <v>15068.57360345372</v>
      </c>
      <c r="I5" s="5">
        <f t="shared" si="3"/>
        <v>15068.57360345372</v>
      </c>
      <c r="J5" s="5">
        <f t="shared" si="3"/>
        <v>15068.57360345372</v>
      </c>
      <c r="K5" s="5">
        <f t="shared" si="3"/>
        <v>15068.57360345372</v>
      </c>
      <c r="L5" s="5">
        <f t="shared" si="3"/>
        <v>15068.57360345372</v>
      </c>
      <c r="M5" s="5">
        <f t="shared" si="3"/>
        <v>15068.57360345372</v>
      </c>
      <c r="N5" s="5">
        <f t="shared" si="3"/>
        <v>15068.57360345372</v>
      </c>
      <c r="O5" s="5">
        <f t="shared" si="3"/>
        <v>15068.57360345372</v>
      </c>
      <c r="P5" s="5">
        <f t="shared" si="3"/>
        <v>15068.57360345372</v>
      </c>
      <c r="Q5" s="5">
        <f t="shared" si="3"/>
        <v>15068.57360345372</v>
      </c>
      <c r="R5" s="5">
        <f t="shared" si="3"/>
        <v>15068.57360345372</v>
      </c>
      <c r="S5" s="5">
        <f t="shared" si="3"/>
        <v>15068.57360345372</v>
      </c>
      <c r="T5" s="5">
        <f t="shared" si="3"/>
        <v>15068.57360345372</v>
      </c>
      <c r="U5" s="5">
        <f t="shared" si="3"/>
        <v>15068.57360345372</v>
      </c>
      <c r="V5" s="5">
        <f t="shared" si="3"/>
        <v>15068.57360345372</v>
      </c>
      <c r="W5" s="5">
        <f t="shared" si="3"/>
        <v>15068.57360345372</v>
      </c>
      <c r="X5" s="5">
        <f t="shared" si="3"/>
        <v>15068.57360345372</v>
      </c>
      <c r="Y5" s="5">
        <f t="shared" si="3"/>
        <v>15068.57360345372</v>
      </c>
      <c r="Z5" s="5">
        <f t="shared" si="3"/>
        <v>15068.57360345372</v>
      </c>
      <c r="AA5" s="5">
        <f t="shared" si="3"/>
        <v>15068.57360345372</v>
      </c>
      <c r="AB5" s="5">
        <f t="shared" si="3"/>
        <v>15068.57360345372</v>
      </c>
      <c r="AC5" s="5">
        <f t="shared" si="3"/>
        <v>15068.57360345372</v>
      </c>
      <c r="AD5" s="5">
        <f t="shared" si="3"/>
        <v>15068.57360345372</v>
      </c>
      <c r="AE5" s="5">
        <f t="shared" si="3"/>
        <v>15068.57360345372</v>
      </c>
    </row>
    <row r="6" spans="1:31">
      <c r="A6" t="s">
        <v>68</v>
      </c>
      <c r="B6" s="5">
        <f>'Ships-Cal'!H72</f>
        <v>181500.5459316007</v>
      </c>
      <c r="C6" s="5">
        <f>B6</f>
        <v>181500.5459316007</v>
      </c>
      <c r="D6" s="5">
        <f t="shared" ref="D6:AE6" si="4">C6</f>
        <v>181500.5459316007</v>
      </c>
      <c r="E6" s="5">
        <f t="shared" si="4"/>
        <v>181500.5459316007</v>
      </c>
      <c r="F6" s="5">
        <f t="shared" si="4"/>
        <v>181500.5459316007</v>
      </c>
      <c r="G6" s="5">
        <f t="shared" si="4"/>
        <v>181500.5459316007</v>
      </c>
      <c r="H6" s="5">
        <f t="shared" si="4"/>
        <v>181500.5459316007</v>
      </c>
      <c r="I6" s="5">
        <f t="shared" si="4"/>
        <v>181500.5459316007</v>
      </c>
      <c r="J6" s="5">
        <f t="shared" si="4"/>
        <v>181500.5459316007</v>
      </c>
      <c r="K6" s="5">
        <f t="shared" si="4"/>
        <v>181500.5459316007</v>
      </c>
      <c r="L6" s="5">
        <f t="shared" si="4"/>
        <v>181500.5459316007</v>
      </c>
      <c r="M6" s="5">
        <f t="shared" si="4"/>
        <v>181500.5459316007</v>
      </c>
      <c r="N6" s="5">
        <f t="shared" si="4"/>
        <v>181500.5459316007</v>
      </c>
      <c r="O6" s="5">
        <f t="shared" si="4"/>
        <v>181500.5459316007</v>
      </c>
      <c r="P6" s="5">
        <f t="shared" si="4"/>
        <v>181500.5459316007</v>
      </c>
      <c r="Q6" s="5">
        <f t="shared" si="4"/>
        <v>181500.5459316007</v>
      </c>
      <c r="R6" s="5">
        <f t="shared" si="4"/>
        <v>181500.5459316007</v>
      </c>
      <c r="S6" s="5">
        <f t="shared" si="4"/>
        <v>181500.5459316007</v>
      </c>
      <c r="T6" s="5">
        <f t="shared" si="4"/>
        <v>181500.5459316007</v>
      </c>
      <c r="U6" s="5">
        <f t="shared" si="4"/>
        <v>181500.5459316007</v>
      </c>
      <c r="V6" s="5">
        <f t="shared" si="4"/>
        <v>181500.5459316007</v>
      </c>
      <c r="W6" s="5">
        <f t="shared" si="4"/>
        <v>181500.5459316007</v>
      </c>
      <c r="X6" s="5">
        <f t="shared" si="4"/>
        <v>181500.5459316007</v>
      </c>
      <c r="Y6" s="5">
        <f t="shared" si="4"/>
        <v>181500.5459316007</v>
      </c>
      <c r="Z6" s="5">
        <f t="shared" si="4"/>
        <v>181500.5459316007</v>
      </c>
      <c r="AA6" s="5">
        <f t="shared" si="4"/>
        <v>181500.5459316007</v>
      </c>
      <c r="AB6" s="5">
        <f t="shared" si="4"/>
        <v>181500.5459316007</v>
      </c>
      <c r="AC6" s="5">
        <f t="shared" si="4"/>
        <v>181500.5459316007</v>
      </c>
      <c r="AD6" s="5">
        <f t="shared" si="4"/>
        <v>181500.5459316007</v>
      </c>
      <c r="AE6" s="5">
        <f t="shared" si="4"/>
        <v>181500.5459316007</v>
      </c>
    </row>
    <row r="7" spans="1:31">
      <c r="A7" t="s">
        <v>69</v>
      </c>
      <c r="B7" s="5">
        <f>Motorbikes!$E$2*About!$B$64*365</f>
        <v>10573.883538920783</v>
      </c>
      <c r="C7" s="5">
        <f t="shared" ref="C7" si="5">B7</f>
        <v>10573.883538920783</v>
      </c>
      <c r="D7" s="5">
        <f t="shared" ref="D7:AE7" si="6">C7</f>
        <v>10573.883538920783</v>
      </c>
      <c r="E7" s="5">
        <f t="shared" si="6"/>
        <v>10573.883538920783</v>
      </c>
      <c r="F7" s="5">
        <f t="shared" si="6"/>
        <v>10573.883538920783</v>
      </c>
      <c r="G7" s="5">
        <f t="shared" si="6"/>
        <v>10573.883538920783</v>
      </c>
      <c r="H7" s="5">
        <f t="shared" si="6"/>
        <v>10573.883538920783</v>
      </c>
      <c r="I7" s="5">
        <f t="shared" si="6"/>
        <v>10573.883538920783</v>
      </c>
      <c r="J7" s="5">
        <f t="shared" si="6"/>
        <v>10573.883538920783</v>
      </c>
      <c r="K7" s="5">
        <f t="shared" si="6"/>
        <v>10573.883538920783</v>
      </c>
      <c r="L7" s="5">
        <f t="shared" si="6"/>
        <v>10573.883538920783</v>
      </c>
      <c r="M7" s="5">
        <f t="shared" si="6"/>
        <v>10573.883538920783</v>
      </c>
      <c r="N7" s="5">
        <f t="shared" si="6"/>
        <v>10573.883538920783</v>
      </c>
      <c r="O7" s="5">
        <f t="shared" si="6"/>
        <v>10573.883538920783</v>
      </c>
      <c r="P7" s="5">
        <f t="shared" si="6"/>
        <v>10573.883538920783</v>
      </c>
      <c r="Q7" s="5">
        <f t="shared" si="6"/>
        <v>10573.883538920783</v>
      </c>
      <c r="R7" s="5">
        <f t="shared" si="6"/>
        <v>10573.883538920783</v>
      </c>
      <c r="S7" s="5">
        <f t="shared" si="6"/>
        <v>10573.883538920783</v>
      </c>
      <c r="T7" s="5">
        <f t="shared" si="6"/>
        <v>10573.883538920783</v>
      </c>
      <c r="U7" s="5">
        <f t="shared" si="6"/>
        <v>10573.883538920783</v>
      </c>
      <c r="V7" s="5">
        <f t="shared" si="6"/>
        <v>10573.883538920783</v>
      </c>
      <c r="W7" s="5">
        <f t="shared" si="6"/>
        <v>10573.883538920783</v>
      </c>
      <c r="X7" s="5">
        <f t="shared" si="6"/>
        <v>10573.883538920783</v>
      </c>
      <c r="Y7" s="5">
        <f t="shared" si="6"/>
        <v>10573.883538920783</v>
      </c>
      <c r="Z7" s="5">
        <f t="shared" si="6"/>
        <v>10573.883538920783</v>
      </c>
      <c r="AA7" s="5">
        <f t="shared" si="6"/>
        <v>10573.883538920783</v>
      </c>
      <c r="AB7" s="5">
        <f t="shared" si="6"/>
        <v>10573.883538920783</v>
      </c>
      <c r="AC7" s="5">
        <f t="shared" si="6"/>
        <v>10573.883538920783</v>
      </c>
      <c r="AD7" s="5">
        <f t="shared" si="6"/>
        <v>10573.883538920783</v>
      </c>
      <c r="AE7" s="5">
        <f t="shared" si="6"/>
        <v>10573.883538920783</v>
      </c>
    </row>
  </sheetData>
  <phoneticPr fontId="43" type="noConversion"/>
  <pageMargins left="0.7" right="0.7" top="0.75" bottom="0.75" header="0.3" footer="0.3"/>
  <pageSetup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7FB3-E9EC-4E6D-8DC8-7394CAD9CB6D}">
  <dimension ref="A1:B9"/>
  <sheetViews>
    <sheetView workbookViewId="0">
      <selection activeCell="F11" sqref="F11"/>
    </sheetView>
  </sheetViews>
  <sheetFormatPr defaultRowHeight="16.5"/>
  <sheetData>
    <row r="1" spans="1:2">
      <c r="A1" s="88" t="s">
        <v>324</v>
      </c>
    </row>
    <row r="2" spans="1:2">
      <c r="A2" s="88" t="s">
        <v>256</v>
      </c>
      <c r="B2" s="237">
        <v>1.404094416519162</v>
      </c>
    </row>
    <row r="3" spans="1:2">
      <c r="A3" s="88" t="s">
        <v>261</v>
      </c>
      <c r="B3" s="237">
        <v>14.731070293267342</v>
      </c>
    </row>
    <row r="4" spans="1:2">
      <c r="A4" s="88" t="s">
        <v>995</v>
      </c>
      <c r="B4" s="237">
        <v>155.72981935122084</v>
      </c>
    </row>
    <row r="5" spans="1:2">
      <c r="A5" s="88" t="s">
        <v>996</v>
      </c>
      <c r="B5" s="237">
        <v>382.85954795395736</v>
      </c>
    </row>
    <row r="6" spans="1:2">
      <c r="A6" s="88" t="s">
        <v>997</v>
      </c>
      <c r="B6" s="237">
        <v>337.61417769892506</v>
      </c>
    </row>
    <row r="7" spans="1:2">
      <c r="A7" s="88" t="s">
        <v>998</v>
      </c>
      <c r="B7" s="100">
        <v>1.1000000000000001</v>
      </c>
    </row>
    <row r="9" spans="1:2">
      <c r="A9" s="88"/>
    </row>
  </sheetData>
  <phoneticPr fontId="43" type="noConversion"/>
  <pageMargins left="0.7" right="0.7" top="0.75" bottom="0.75" header="0.3" footer="0.3"/>
  <pageSetup orientation="portrait" horizontalDpi="4294967292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6362-C8AD-4E05-9BB5-A3E0175F14FE}">
  <dimension ref="A2:B7"/>
  <sheetViews>
    <sheetView workbookViewId="0">
      <selection activeCell="G15" sqref="G15"/>
    </sheetView>
  </sheetViews>
  <sheetFormatPr defaultRowHeight="16.5"/>
  <sheetData>
    <row r="2" spans="1:2">
      <c r="A2" s="88" t="s">
        <v>64</v>
      </c>
      <c r="B2">
        <v>1.2304866591260886</v>
      </c>
    </row>
    <row r="3" spans="1:2">
      <c r="A3" s="88" t="s">
        <v>65</v>
      </c>
      <c r="B3">
        <v>27.6</v>
      </c>
    </row>
    <row r="4" spans="1:2">
      <c r="A4" s="88" t="s">
        <v>66</v>
      </c>
      <c r="B4">
        <v>63.556825639903742</v>
      </c>
    </row>
    <row r="5" spans="1:2">
      <c r="A5" s="88" t="s">
        <v>67</v>
      </c>
      <c r="B5">
        <v>1514.4</v>
      </c>
    </row>
    <row r="6" spans="1:2">
      <c r="A6" s="88" t="s">
        <v>68</v>
      </c>
      <c r="B6">
        <v>65977.620430441006</v>
      </c>
    </row>
    <row r="7" spans="1:2">
      <c r="A7" s="88" t="s">
        <v>69</v>
      </c>
      <c r="B7">
        <v>3.0000000000000001E-3</v>
      </c>
    </row>
  </sheetData>
  <phoneticPr fontId="4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E990AB-D6C3-4877-8CC4-E56AC912AA2D}">
  <ds:schemaRefs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40f4d404-d193-41dc-bb72-733c1e774208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B3C66A5-F9D4-43AC-8D20-6A5FFE9273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DF6D24-367C-4AAA-A6DF-31814A8E26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36</vt:i4>
      </vt:variant>
    </vt:vector>
  </HeadingPairs>
  <TitlesOfParts>
    <vt:vector size="36" baseType="lpstr">
      <vt:lpstr>About</vt:lpstr>
      <vt:lpstr>SYVbT_passenger</vt:lpstr>
      <vt:lpstr>SYVbT_freight</vt:lpstr>
      <vt:lpstr>SYVbT_DV-Regis</vt:lpstr>
      <vt:lpstr>DV-km</vt:lpstr>
      <vt:lpstr>DV-Cal</vt:lpstr>
      <vt:lpstr>SYVbT_Rail</vt:lpstr>
      <vt:lpstr>Rail-domestic psgr traffic</vt:lpstr>
      <vt:lpstr>Rail-CAGR</vt:lpstr>
      <vt:lpstr>Rail-subway</vt:lpstr>
      <vt:lpstr>Rail-Cal</vt:lpstr>
      <vt:lpstr>SYVbT_Aircraft</vt:lpstr>
      <vt:lpstr>Air09</vt:lpstr>
      <vt:lpstr>Air10</vt:lpstr>
      <vt:lpstr>Air11</vt:lpstr>
      <vt:lpstr>Air12</vt:lpstr>
      <vt:lpstr>Air13</vt:lpstr>
      <vt:lpstr>Air14</vt:lpstr>
      <vt:lpstr>Air15</vt:lpstr>
      <vt:lpstr>Air16</vt:lpstr>
      <vt:lpstr>Air17</vt:lpstr>
      <vt:lpstr>Air18</vt:lpstr>
      <vt:lpstr>Air19</vt:lpstr>
      <vt:lpstr>Air20</vt:lpstr>
      <vt:lpstr>Air21</vt:lpstr>
      <vt:lpstr>Air-psgr19</vt:lpstr>
      <vt:lpstr>Air-freight19</vt:lpstr>
      <vt:lpstr>Air-Cal</vt:lpstr>
      <vt:lpstr>Motorbikes</vt:lpstr>
      <vt:lpstr>Ships-Cal</vt:lpstr>
      <vt:lpstr>SYAADTbVT-passengers</vt:lpstr>
      <vt:lpstr>SYAADTbVT-freight</vt:lpstr>
      <vt:lpstr>BAADTbVT-passengers</vt:lpstr>
      <vt:lpstr>BAADTbVT-freight</vt:lpstr>
      <vt:lpstr>AVLo-passenger</vt:lpstr>
      <vt:lpstr>AVLo-freight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공용계정2</cp:lastModifiedBy>
  <cp:revision/>
  <dcterms:created xsi:type="dcterms:W3CDTF">2015-03-31T22:53:51Z</dcterms:created>
  <dcterms:modified xsi:type="dcterms:W3CDTF">2026-01-07T07:38:30Z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