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CDTRtSY\"/>
    </mc:Choice>
  </mc:AlternateContent>
  <xr:revisionPtr revIDLastSave="0" documentId="13_ncr:1_{76EC8EB9-E354-4BF5-BAE9-96ADFCA6AD16}" xr6:coauthVersionLast="47" xr6:coauthVersionMax="47" xr10:uidLastSave="{00000000-0000-0000-0000-000000000000}"/>
  <bookViews>
    <workbookView xWindow="-28050" yWindow="1815" windowWidth="27045" windowHeight="14955" tabRatio="889" activeTab="1" xr2:uid="{00000000-000D-0000-FFFF-FFFF00000000}"/>
  </bookViews>
  <sheets>
    <sheet name="About" sheetId="1" r:id="rId1"/>
    <sheet name="fleet &amp; energy forecasts" sheetId="78" r:id="rId2"/>
    <sheet name="SYVbT_DV-Regis" sheetId="35" r:id="rId3"/>
    <sheet name="BAADTbVT_DV-km" sheetId="37" r:id="rId4"/>
    <sheet name="DV-CAGR_mod" sheetId="70" r:id="rId5"/>
    <sheet name="Rail2019-psgr" sheetId="62" r:id="rId6"/>
    <sheet name="Rail2020-psgr" sheetId="61" r:id="rId7"/>
    <sheet name="Rail2021-psgr" sheetId="60" r:id="rId8"/>
    <sheet name="Rail2019-freight" sheetId="58" r:id="rId9"/>
    <sheet name="Rail2020-freight" sheetId="59" r:id="rId10"/>
    <sheet name="Rail2021-freight" sheetId="57" r:id="rId11"/>
    <sheet name="BAADTbVT_Rail-CAGR" sheetId="68" r:id="rId12"/>
    <sheet name="Rail-Cal" sheetId="56" r:id="rId13"/>
    <sheet name="AIR2019" sheetId="71" r:id="rId14"/>
    <sheet name="AIR2020" sheetId="72" r:id="rId15"/>
    <sheet name="AIR2021" sheetId="73" r:id="rId16"/>
    <sheet name="AIR2022" sheetId="74" r:id="rId17"/>
    <sheet name="AIR2023" sheetId="75" r:id="rId18"/>
    <sheet name="AIR2024" sheetId="76" r:id="rId19"/>
    <sheet name="AIR-Cal" sheetId="77" r:id="rId20"/>
    <sheet name="Air-CAGR" sheetId="67" r:id="rId21"/>
    <sheet name="BAADTbVT_Ships-Cal psgr CAGR" sheetId="49" r:id="rId22"/>
    <sheet name="Ships-freight CAGR" sheetId="55" r:id="rId23"/>
    <sheet name="BCDTRtSY-psgr" sheetId="6" r:id="rId24"/>
    <sheet name="BCDTRtSY-frgt" sheetId="12" r:id="rId25"/>
  </sheets>
  <externalReferences>
    <externalReference r:id="rId26"/>
  </externalReferences>
  <definedNames>
    <definedName name="Eno_TM" localSheetId="4">'[1]1997  Table 1a Modified'!#REF!</definedName>
    <definedName name="Eno_TM">'[1]1997  Table 1a Modified'!#REF!</definedName>
    <definedName name="Eno_Tons" localSheetId="4">'[1]1997  Table 1a Modified'!#REF!</definedName>
    <definedName name="Eno_Tons">'[1]1997  Table 1a Modified'!#REF!</definedName>
    <definedName name="Sum_T2" localSheetId="4">'[1]1997  Table 1a Modified'!#REF!</definedName>
    <definedName name="Sum_T2">'[1]1997  Table 1a Modified'!#REF!</definedName>
    <definedName name="Sum_TTM" localSheetId="4">'[1]1997  Table 1a Modified'!#REF!</definedName>
    <definedName name="Sum_TTM">'[1]1997  Table 1a Modified'!#REF!</definedName>
    <definedName name="ti_tbl_50" localSheetId="4">#REF!</definedName>
    <definedName name="ti_tbl_50">#REF!</definedName>
    <definedName name="ti_tbl_69" localSheetId="4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55" l="1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E13" i="56"/>
  <c r="E1" i="56"/>
  <c r="J55" i="67"/>
  <c r="I55" i="67"/>
  <c r="AG41" i="70" l="1"/>
  <c r="AG43" i="70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E5" i="6"/>
  <c r="AD59" i="78"/>
  <c r="AC59" i="78"/>
  <c r="AB59" i="78"/>
  <c r="AA59" i="78"/>
  <c r="Z59" i="78"/>
  <c r="Y59" i="78"/>
  <c r="X59" i="78"/>
  <c r="W59" i="78"/>
  <c r="V59" i="78"/>
  <c r="U59" i="78"/>
  <c r="T59" i="78"/>
  <c r="S59" i="78"/>
  <c r="R59" i="78"/>
  <c r="Q59" i="78"/>
  <c r="P59" i="78"/>
  <c r="O59" i="78"/>
  <c r="N59" i="78"/>
  <c r="M59" i="78"/>
  <c r="L59" i="78"/>
  <c r="K59" i="78"/>
  <c r="J59" i="78"/>
  <c r="I59" i="78"/>
  <c r="H59" i="78"/>
  <c r="G59" i="78"/>
  <c r="F59" i="78"/>
  <c r="E59" i="78"/>
  <c r="D59" i="78"/>
  <c r="AD58" i="78"/>
  <c r="AC58" i="78"/>
  <c r="AB58" i="78"/>
  <c r="AA58" i="78"/>
  <c r="Z58" i="78"/>
  <c r="Y58" i="78"/>
  <c r="X58" i="78"/>
  <c r="W58" i="78"/>
  <c r="V58" i="78"/>
  <c r="U58" i="78"/>
  <c r="T58" i="78"/>
  <c r="S58" i="78"/>
  <c r="R58" i="78"/>
  <c r="Q58" i="78"/>
  <c r="P58" i="78"/>
  <c r="O58" i="78"/>
  <c r="N58" i="78"/>
  <c r="M58" i="78"/>
  <c r="L58" i="78"/>
  <c r="K58" i="78"/>
  <c r="J58" i="78"/>
  <c r="I58" i="78"/>
  <c r="H58" i="78"/>
  <c r="G58" i="78"/>
  <c r="F58" i="78"/>
  <c r="E58" i="78"/>
  <c r="D58" i="78"/>
  <c r="AD57" i="78"/>
  <c r="AC57" i="78"/>
  <c r="AB57" i="78"/>
  <c r="AA57" i="78"/>
  <c r="Z57" i="78"/>
  <c r="Y57" i="78"/>
  <c r="X57" i="78"/>
  <c r="W57" i="78"/>
  <c r="V57" i="78"/>
  <c r="U57" i="78"/>
  <c r="T57" i="78"/>
  <c r="S57" i="78"/>
  <c r="R57" i="78"/>
  <c r="Q57" i="78"/>
  <c r="P57" i="78"/>
  <c r="O57" i="78"/>
  <c r="N57" i="78"/>
  <c r="M57" i="78"/>
  <c r="L57" i="78"/>
  <c r="K57" i="78"/>
  <c r="J57" i="78"/>
  <c r="I57" i="78"/>
  <c r="H57" i="78"/>
  <c r="G57" i="78"/>
  <c r="F57" i="78"/>
  <c r="E57" i="78"/>
  <c r="D57" i="78"/>
  <c r="Z51" i="78"/>
  <c r="Y51" i="78"/>
  <c r="X51" i="78"/>
  <c r="W51" i="78"/>
  <c r="V51" i="78"/>
  <c r="U51" i="78"/>
  <c r="T51" i="78"/>
  <c r="S51" i="78"/>
  <c r="R51" i="78"/>
  <c r="Q51" i="78"/>
  <c r="P51" i="78"/>
  <c r="O51" i="78"/>
  <c r="N51" i="78"/>
  <c r="M51" i="78"/>
  <c r="L51" i="78"/>
  <c r="K51" i="78"/>
  <c r="J51" i="78"/>
  <c r="I51" i="78"/>
  <c r="D51" i="78"/>
  <c r="C51" i="78"/>
  <c r="AD50" i="78"/>
  <c r="AC50" i="78"/>
  <c r="AB50" i="78"/>
  <c r="AA50" i="78"/>
  <c r="Z50" i="78"/>
  <c r="Y50" i="78"/>
  <c r="X50" i="78"/>
  <c r="W50" i="78"/>
  <c r="V50" i="78"/>
  <c r="U50" i="78"/>
  <c r="T50" i="78"/>
  <c r="S50" i="78"/>
  <c r="R50" i="78"/>
  <c r="Q50" i="78"/>
  <c r="P50" i="78"/>
  <c r="O50" i="78"/>
  <c r="I50" i="78"/>
  <c r="H50" i="78"/>
  <c r="G50" i="78"/>
  <c r="F50" i="78"/>
  <c r="E50" i="78"/>
  <c r="D50" i="78"/>
  <c r="C50" i="78"/>
  <c r="AD49" i="78"/>
  <c r="AC49" i="78"/>
  <c r="AB49" i="78"/>
  <c r="AA49" i="78"/>
  <c r="Z49" i="78"/>
  <c r="Y49" i="78"/>
  <c r="X49" i="78"/>
  <c r="W49" i="78"/>
  <c r="V49" i="78"/>
  <c r="U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C49" i="78"/>
  <c r="B46" i="78" a="1"/>
  <c r="B46" i="78" s="1"/>
  <c r="AD43" i="78" a="1"/>
  <c r="AD43" i="78" s="1"/>
  <c r="AD51" i="78" s="1"/>
  <c r="AC43" i="78" a="1"/>
  <c r="AC43" i="78" s="1"/>
  <c r="AC51" i="78" s="1"/>
  <c r="AB43" i="78" a="1"/>
  <c r="AB43" i="78" s="1"/>
  <c r="AB51" i="78" s="1"/>
  <c r="AA43" i="78" a="1"/>
  <c r="AA43" i="78" s="1"/>
  <c r="AA51" i="78" s="1"/>
  <c r="Z43" i="78" a="1"/>
  <c r="Z43" i="78" s="1"/>
  <c r="Y43" i="78" a="1"/>
  <c r="Y43" i="78" s="1"/>
  <c r="X43" i="78" a="1"/>
  <c r="X43" i="78" s="1"/>
  <c r="W43" i="78" a="1"/>
  <c r="W43" i="78" s="1"/>
  <c r="V43" i="78" a="1"/>
  <c r="V43" i="78" s="1"/>
  <c r="U43" i="78" a="1"/>
  <c r="U43" i="78" s="1"/>
  <c r="T43" i="78" a="1"/>
  <c r="T43" i="78" s="1"/>
  <c r="S43" i="78" a="1"/>
  <c r="S43" i="78" s="1"/>
  <c r="R43" i="78" a="1"/>
  <c r="R43" i="78" s="1"/>
  <c r="Q43" i="78" a="1"/>
  <c r="Q43" i="78" s="1"/>
  <c r="P43" i="78" a="1"/>
  <c r="P43" i="78" s="1"/>
  <c r="O43" i="78" a="1"/>
  <c r="O43" i="78" s="1"/>
  <c r="N43" i="78" a="1"/>
  <c r="N43" i="78" s="1"/>
  <c r="M43" i="78" a="1"/>
  <c r="M43" i="78" s="1"/>
  <c r="L43" i="78" a="1"/>
  <c r="L43" i="78" s="1"/>
  <c r="K43" i="78" a="1"/>
  <c r="K43" i="78" s="1"/>
  <c r="J43" i="78" a="1"/>
  <c r="J43" i="78" s="1"/>
  <c r="I43" i="78" a="1"/>
  <c r="I43" i="78" s="1"/>
  <c r="H43" i="78" a="1"/>
  <c r="H43" i="78" s="1"/>
  <c r="H51" i="78" s="1"/>
  <c r="G43" i="78" a="1"/>
  <c r="G43" i="78" s="1"/>
  <c r="G51" i="78" s="1"/>
  <c r="F43" i="78" a="1"/>
  <c r="F43" i="78" s="1"/>
  <c r="F51" i="78" s="1"/>
  <c r="E43" i="78" a="1"/>
  <c r="E43" i="78" s="1"/>
  <c r="E51" i="78" s="1"/>
  <c r="D43" i="78" a="1"/>
  <c r="D43" i="78" s="1"/>
  <c r="C43" i="78" a="1"/>
  <c r="C43" i="78" s="1"/>
  <c r="AD42" i="78" a="1"/>
  <c r="AD42" i="78" s="1"/>
  <c r="AC42" i="78" a="1"/>
  <c r="AC42" i="78" s="1"/>
  <c r="AB42" i="78" a="1"/>
  <c r="AB42" i="78" s="1"/>
  <c r="AA42" i="78" a="1"/>
  <c r="AA42" i="78" s="1"/>
  <c r="Z42" i="78" a="1"/>
  <c r="Z42" i="78" s="1"/>
  <c r="Y42" i="78" a="1"/>
  <c r="Y42" i="78" s="1"/>
  <c r="X42" i="78" a="1"/>
  <c r="X42" i="78" s="1"/>
  <c r="W42" i="78" a="1"/>
  <c r="W42" i="78" s="1"/>
  <c r="V42" i="78" a="1"/>
  <c r="V42" i="78" s="1"/>
  <c r="U42" i="78" a="1"/>
  <c r="U42" i="78" s="1"/>
  <c r="T42" i="78" a="1"/>
  <c r="T42" i="78" s="1"/>
  <c r="S42" i="78" a="1"/>
  <c r="S42" i="78" s="1"/>
  <c r="R42" i="78" a="1"/>
  <c r="R42" i="78" s="1"/>
  <c r="Q42" i="78" a="1"/>
  <c r="Q42" i="78" s="1"/>
  <c r="P42" i="78" a="1"/>
  <c r="P42" i="78" s="1"/>
  <c r="O42" i="78" a="1"/>
  <c r="O42" i="78" s="1"/>
  <c r="N42" i="78" a="1"/>
  <c r="N42" i="78" s="1"/>
  <c r="N50" i="78" s="1"/>
  <c r="M42" i="78" a="1"/>
  <c r="M42" i="78" s="1"/>
  <c r="M50" i="78" s="1"/>
  <c r="L42" i="78" a="1"/>
  <c r="L42" i="78" s="1"/>
  <c r="L50" i="78" s="1"/>
  <c r="K42" i="78" a="1"/>
  <c r="K42" i="78" s="1"/>
  <c r="K50" i="78" s="1"/>
  <c r="J42" i="78" a="1"/>
  <c r="J42" i="78" s="1"/>
  <c r="J50" i="78" s="1"/>
  <c r="I42" i="78" a="1"/>
  <c r="I42" i="78" s="1"/>
  <c r="H42" i="78" a="1"/>
  <c r="H42" i="78" s="1"/>
  <c r="G42" i="78" a="1"/>
  <c r="G42" i="78" s="1"/>
  <c r="F42" i="78" a="1"/>
  <c r="F42" i="78" s="1"/>
  <c r="E42" i="78" a="1"/>
  <c r="E42" i="78" s="1"/>
  <c r="D42" i="78" a="1"/>
  <c r="D42" i="78" s="1"/>
  <c r="C42" i="78" a="1"/>
  <c r="C42" i="78" s="1"/>
  <c r="AD41" i="78" a="1"/>
  <c r="AD41" i="78" s="1"/>
  <c r="AC41" i="78" a="1"/>
  <c r="AC41" i="78" s="1"/>
  <c r="AB41" i="78" a="1"/>
  <c r="AB41" i="78" s="1"/>
  <c r="AA41" i="78" a="1"/>
  <c r="AA41" i="78" s="1"/>
  <c r="Z41" i="78" a="1"/>
  <c r="Z41" i="78" s="1"/>
  <c r="Y41" i="78" a="1"/>
  <c r="Y41" i="78" s="1"/>
  <c r="X41" i="78" a="1"/>
  <c r="X41" i="78" s="1"/>
  <c r="W41" i="78" a="1"/>
  <c r="W41" i="78" s="1"/>
  <c r="V41" i="78" a="1"/>
  <c r="V41" i="78" s="1"/>
  <c r="U41" i="78" a="1"/>
  <c r="U41" i="78" s="1"/>
  <c r="T41" i="78" a="1"/>
  <c r="T41" i="78" s="1"/>
  <c r="T49" i="78" s="1"/>
  <c r="S41" i="78" a="1"/>
  <c r="S41" i="78" s="1"/>
  <c r="S49" i="78" s="1"/>
  <c r="R41" i="78" a="1"/>
  <c r="R41" i="78" s="1"/>
  <c r="R49" i="78" s="1"/>
  <c r="Q41" i="78" a="1"/>
  <c r="Q41" i="78" s="1"/>
  <c r="Q49" i="78" s="1"/>
  <c r="P41" i="78" a="1"/>
  <c r="P41" i="78" s="1"/>
  <c r="P49" i="78" s="1"/>
  <c r="O41" i="78" a="1"/>
  <c r="O41" i="78" s="1"/>
  <c r="N41" i="78" a="1"/>
  <c r="N41" i="78" s="1"/>
  <c r="M41" i="78" a="1"/>
  <c r="M41" i="78" s="1"/>
  <c r="L41" i="78" a="1"/>
  <c r="L41" i="78" s="1"/>
  <c r="K41" i="78" a="1"/>
  <c r="K41" i="78" s="1"/>
  <c r="J41" i="78" a="1"/>
  <c r="J41" i="78" s="1"/>
  <c r="I41" i="78" a="1"/>
  <c r="I41" i="78" s="1"/>
  <c r="H41" i="78" a="1"/>
  <c r="H41" i="78" s="1"/>
  <c r="G41" i="78" a="1"/>
  <c r="G41" i="78" s="1"/>
  <c r="F41" i="78" a="1"/>
  <c r="F41" i="78" s="1"/>
  <c r="E41" i="78" a="1"/>
  <c r="E41" i="78" s="1"/>
  <c r="D41" i="78" a="1"/>
  <c r="D41" i="78" s="1"/>
  <c r="C41" i="78" a="1"/>
  <c r="C41" i="78" s="1"/>
  <c r="AD40" i="78" a="1"/>
  <c r="AD40" i="78" s="1"/>
  <c r="AD48" i="78" s="1"/>
  <c r="AC40" i="78" a="1"/>
  <c r="AC40" i="78" s="1"/>
  <c r="AC48" i="78" s="1"/>
  <c r="AB40" i="78" a="1"/>
  <c r="AB40" i="78" s="1"/>
  <c r="AB48" i="78" s="1"/>
  <c r="AA40" i="78" a="1"/>
  <c r="AA40" i="78" s="1"/>
  <c r="AA48" i="78" s="1"/>
  <c r="Z40" i="78" a="1"/>
  <c r="Z40" i="78" s="1"/>
  <c r="Z48" i="78" s="1"/>
  <c r="Y40" i="78" a="1"/>
  <c r="Y40" i="78" s="1"/>
  <c r="Y48" i="78" s="1"/>
  <c r="X40" i="78" a="1"/>
  <c r="X40" i="78" s="1"/>
  <c r="X48" i="78" s="1"/>
  <c r="W40" i="78" a="1"/>
  <c r="W40" i="78" s="1"/>
  <c r="W48" i="78" s="1"/>
  <c r="V40" i="78" a="1"/>
  <c r="V40" i="78" s="1"/>
  <c r="V48" i="78" s="1"/>
  <c r="U40" i="78" a="1"/>
  <c r="U40" i="78" s="1"/>
  <c r="U48" i="78" s="1"/>
  <c r="T40" i="78" a="1"/>
  <c r="T40" i="78" s="1"/>
  <c r="T48" i="78" s="1"/>
  <c r="S40" i="78" a="1"/>
  <c r="S40" i="78" s="1"/>
  <c r="S48" i="78" s="1"/>
  <c r="R40" i="78" a="1"/>
  <c r="R40" i="78" s="1"/>
  <c r="R48" i="78" s="1"/>
  <c r="Q40" i="78" a="1"/>
  <c r="Q40" i="78" s="1"/>
  <c r="Q48" i="78" s="1"/>
  <c r="P40" i="78" a="1"/>
  <c r="P40" i="78" s="1"/>
  <c r="P48" i="78" s="1"/>
  <c r="O40" i="78" a="1"/>
  <c r="O40" i="78" s="1"/>
  <c r="O48" i="78" s="1"/>
  <c r="N40" i="78" a="1"/>
  <c r="N40" i="78" s="1"/>
  <c r="N48" i="78" s="1"/>
  <c r="M40" i="78" a="1"/>
  <c r="M40" i="78" s="1"/>
  <c r="M48" i="78" s="1"/>
  <c r="L40" i="78" a="1"/>
  <c r="L40" i="78" s="1"/>
  <c r="L48" i="78" s="1"/>
  <c r="K40" i="78" a="1"/>
  <c r="K40" i="78" s="1"/>
  <c r="K48" i="78" s="1"/>
  <c r="J40" i="78" a="1"/>
  <c r="J40" i="78" s="1"/>
  <c r="J48" i="78" s="1"/>
  <c r="I40" i="78" a="1"/>
  <c r="I40" i="78" s="1"/>
  <c r="I48" i="78" s="1"/>
  <c r="H40" i="78" a="1"/>
  <c r="H40" i="78" s="1"/>
  <c r="H48" i="78" s="1"/>
  <c r="G40" i="78" a="1"/>
  <c r="G40" i="78" s="1"/>
  <c r="G48" i="78" s="1"/>
  <c r="F40" i="78" a="1"/>
  <c r="F40" i="78" s="1"/>
  <c r="F48" i="78" s="1"/>
  <c r="E40" i="78" a="1"/>
  <c r="E40" i="78" s="1"/>
  <c r="E48" i="78" s="1"/>
  <c r="D40" i="78" a="1"/>
  <c r="D40" i="78" s="1"/>
  <c r="D48" i="78" s="1"/>
  <c r="C40" i="78" a="1"/>
  <c r="C40" i="78" s="1"/>
  <c r="C48" i="78" s="1"/>
  <c r="AD40" i="70"/>
  <c r="AE40" i="70"/>
  <c r="X47" i="70"/>
  <c r="W47" i="70"/>
  <c r="B40" i="78"/>
  <c r="B39" i="78"/>
  <c r="B38" i="78"/>
  <c r="G89" i="78"/>
  <c r="G88" i="78"/>
  <c r="G87" i="78"/>
  <c r="G86" i="78"/>
  <c r="G85" i="78"/>
  <c r="G84" i="78"/>
  <c r="G83" i="78"/>
  <c r="G82" i="78"/>
  <c r="G81" i="78"/>
  <c r="G80" i="78"/>
  <c r="AD38" i="78" a="1"/>
  <c r="AD38" i="78" s="1"/>
  <c r="AC38" i="78" a="1"/>
  <c r="AC38" i="78" s="1"/>
  <c r="AB38" i="78" a="1"/>
  <c r="AB38" i="78" s="1"/>
  <c r="AA38" i="78" a="1"/>
  <c r="AA38" i="78" s="1"/>
  <c r="Z38" i="78" a="1"/>
  <c r="Z38" i="78" s="1"/>
  <c r="Y38" i="78" a="1"/>
  <c r="Y38" i="78" s="1"/>
  <c r="X38" i="78" a="1"/>
  <c r="X38" i="78" s="1"/>
  <c r="W38" i="78" a="1"/>
  <c r="W38" i="78" s="1"/>
  <c r="V38" i="78" a="1"/>
  <c r="V38" i="78" s="1"/>
  <c r="U38" i="78" a="1"/>
  <c r="U38" i="78" s="1"/>
  <c r="T38" i="78" a="1"/>
  <c r="T38" i="78" s="1"/>
  <c r="S38" i="78" a="1"/>
  <c r="S38" i="78" s="1"/>
  <c r="S46" i="78" s="1"/>
  <c r="R38" i="78" a="1"/>
  <c r="R38" i="78" s="1"/>
  <c r="Q38" i="78" a="1"/>
  <c r="Q38" i="78" s="1"/>
  <c r="P38" i="78" a="1"/>
  <c r="P38" i="78" s="1"/>
  <c r="O38" i="78" a="1"/>
  <c r="O38" i="78" s="1"/>
  <c r="N38" i="78" a="1"/>
  <c r="N38" i="78" s="1"/>
  <c r="M38" i="78" a="1"/>
  <c r="M38" i="78" s="1"/>
  <c r="L38" i="78" a="1"/>
  <c r="L38" i="78" s="1"/>
  <c r="K38" i="78" a="1"/>
  <c r="K38" i="78" s="1"/>
  <c r="J38" i="78" a="1"/>
  <c r="J38" i="78" s="1"/>
  <c r="J46" i="78" s="1"/>
  <c r="J54" i="78" s="1"/>
  <c r="AD39" i="78" a="1"/>
  <c r="AD39" i="78" s="1"/>
  <c r="AD47" i="78" s="1"/>
  <c r="AC39" i="78" a="1"/>
  <c r="AC39" i="78" s="1"/>
  <c r="AC47" i="78" s="1"/>
  <c r="AB39" i="78" a="1"/>
  <c r="AB39" i="78" s="1"/>
  <c r="AB47" i="78" s="1"/>
  <c r="AA39" i="78" a="1"/>
  <c r="AA39" i="78" s="1"/>
  <c r="AA47" i="78" s="1"/>
  <c r="Z39" i="78" a="1"/>
  <c r="Z39" i="78" s="1"/>
  <c r="Z47" i="78" s="1"/>
  <c r="Y39" i="78" a="1"/>
  <c r="Y39" i="78" s="1"/>
  <c r="Y47" i="78" s="1"/>
  <c r="X39" i="78" a="1"/>
  <c r="X39" i="78" s="1"/>
  <c r="X47" i="78" s="1"/>
  <c r="X55" i="78" s="1"/>
  <c r="W39" i="78" a="1"/>
  <c r="W39" i="78" s="1"/>
  <c r="W47" i="78" s="1"/>
  <c r="V39" i="78" a="1"/>
  <c r="V39" i="78" s="1"/>
  <c r="V47" i="78" s="1"/>
  <c r="U39" i="78" a="1"/>
  <c r="U39" i="78" s="1"/>
  <c r="U47" i="78" s="1"/>
  <c r="T39" i="78" a="1"/>
  <c r="T39" i="78" s="1"/>
  <c r="T47" i="78" s="1"/>
  <c r="S39" i="78" a="1"/>
  <c r="S39" i="78" s="1"/>
  <c r="S47" i="78" s="1"/>
  <c r="R39" i="78" a="1"/>
  <c r="R39" i="78" s="1"/>
  <c r="R47" i="78" s="1"/>
  <c r="Q39" i="78" a="1"/>
  <c r="Q39" i="78" s="1"/>
  <c r="Q47" i="78" s="1"/>
  <c r="P39" i="78" a="1"/>
  <c r="P39" i="78" s="1"/>
  <c r="P47" i="78" s="1"/>
  <c r="O39" i="78" a="1"/>
  <c r="O39" i="78" s="1"/>
  <c r="O47" i="78" s="1"/>
  <c r="N39" i="78" a="1"/>
  <c r="N39" i="78" s="1"/>
  <c r="N47" i="78" s="1"/>
  <c r="M39" i="78" a="1"/>
  <c r="M39" i="78" s="1"/>
  <c r="M47" i="78" s="1"/>
  <c r="L39" i="78" a="1"/>
  <c r="L39" i="78" s="1"/>
  <c r="L47" i="78" s="1"/>
  <c r="K39" i="78" a="1"/>
  <c r="K39" i="78" s="1"/>
  <c r="K47" i="78" s="1"/>
  <c r="J39" i="78" a="1"/>
  <c r="J39" i="78" s="1"/>
  <c r="J47" i="78" s="1"/>
  <c r="I39" i="78" a="1"/>
  <c r="I39" i="78" s="1"/>
  <c r="I47" i="78" s="1"/>
  <c r="H39" i="78" a="1"/>
  <c r="H39" i="78" s="1"/>
  <c r="H47" i="78" s="1"/>
  <c r="G39" i="78" a="1"/>
  <c r="G39" i="78" s="1"/>
  <c r="G47" i="78" s="1"/>
  <c r="F39" i="78" a="1"/>
  <c r="F39" i="78" s="1"/>
  <c r="F47" i="78" s="1"/>
  <c r="E39" i="78" a="1"/>
  <c r="E39" i="78" s="1"/>
  <c r="E47" i="78" s="1"/>
  <c r="D39" i="78" a="1"/>
  <c r="D39" i="78" s="1"/>
  <c r="D47" i="78" s="1"/>
  <c r="C39" i="78" a="1"/>
  <c r="C39" i="78" s="1"/>
  <c r="C47" i="78" s="1"/>
  <c r="I38" i="78" a="1"/>
  <c r="I38" i="78" s="1"/>
  <c r="I46" i="78" s="1"/>
  <c r="H38" i="78" a="1"/>
  <c r="H38" i="78" s="1"/>
  <c r="H46" i="78" s="1"/>
  <c r="G38" i="78" a="1"/>
  <c r="G38" i="78" s="1"/>
  <c r="G46" i="78" s="1"/>
  <c r="F38" i="78" a="1"/>
  <c r="F38" i="78" s="1"/>
  <c r="F46" i="78" s="1"/>
  <c r="E38" i="78" a="1"/>
  <c r="E38" i="78" s="1"/>
  <c r="E46" i="78" s="1"/>
  <c r="D38" i="78" a="1"/>
  <c r="D38" i="78" s="1"/>
  <c r="D46" i="78" s="1"/>
  <c r="C38" i="78" a="1"/>
  <c r="C38" i="78" s="1"/>
  <c r="C46" i="78" s="1"/>
  <c r="J111" i="78"/>
  <c r="J110" i="78"/>
  <c r="J109" i="78"/>
  <c r="J108" i="78"/>
  <c r="J107" i="78"/>
  <c r="J106" i="78"/>
  <c r="J105" i="78"/>
  <c r="J104" i="78"/>
  <c r="J103" i="78"/>
  <c r="J102" i="78"/>
  <c r="J101" i="78"/>
  <c r="J100" i="78"/>
  <c r="J99" i="78"/>
  <c r="J98" i="78"/>
  <c r="AD45" i="78"/>
  <c r="AC45" i="78"/>
  <c r="AB45" i="78"/>
  <c r="AA45" i="78"/>
  <c r="Z45" i="78"/>
  <c r="Y45" i="78"/>
  <c r="X45" i="78"/>
  <c r="W45" i="78"/>
  <c r="V45" i="78"/>
  <c r="U45" i="78"/>
  <c r="T45" i="78"/>
  <c r="S45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C45" i="78"/>
  <c r="C73" i="78" a="1"/>
  <c r="C73" i="78" s="1"/>
  <c r="C74" i="78" s="1" a="1"/>
  <c r="C74" i="78" s="1"/>
  <c r="L55" i="78" l="1"/>
  <c r="M55" i="78"/>
  <c r="N55" i="78"/>
  <c r="T55" i="78"/>
  <c r="U55" i="78"/>
  <c r="R55" i="78"/>
  <c r="O55" i="78"/>
  <c r="P55" i="78"/>
  <c r="Q55" i="78"/>
  <c r="S55" i="78"/>
  <c r="V55" i="78"/>
  <c r="W55" i="78"/>
  <c r="I54" i="78"/>
  <c r="K55" i="78"/>
  <c r="Y55" i="78"/>
  <c r="AB56" i="78"/>
  <c r="V56" i="78"/>
  <c r="S56" i="78"/>
  <c r="Y56" i="78"/>
  <c r="W56" i="78"/>
  <c r="U56" i="78"/>
  <c r="AA56" i="78"/>
  <c r="X56" i="78"/>
  <c r="R56" i="78"/>
  <c r="F56" i="78"/>
  <c r="E56" i="78"/>
  <c r="L56" i="78"/>
  <c r="M56" i="78"/>
  <c r="Q56" i="78"/>
  <c r="T56" i="78"/>
  <c r="N56" i="78"/>
  <c r="O56" i="78"/>
  <c r="P56" i="78"/>
  <c r="D54" i="78"/>
  <c r="H54" i="78"/>
  <c r="AB55" i="78"/>
  <c r="AD55" i="78"/>
  <c r="J55" i="78"/>
  <c r="E54" i="78"/>
  <c r="G54" i="78"/>
  <c r="D55" i="78"/>
  <c r="I55" i="78"/>
  <c r="S54" i="78"/>
  <c r="Z55" i="78"/>
  <c r="AC55" i="78"/>
  <c r="Z56" i="78"/>
  <c r="G56" i="78"/>
  <c r="AC56" i="78"/>
  <c r="F54" i="78"/>
  <c r="B54" i="78" a="1"/>
  <c r="B54" i="78" s="1"/>
  <c r="H56" i="78"/>
  <c r="AD56" i="78"/>
  <c r="C53" i="78" a="1"/>
  <c r="C53" i="78" s="1"/>
  <c r="E55" i="78"/>
  <c r="F55" i="78"/>
  <c r="H55" i="78"/>
  <c r="D56" i="78"/>
  <c r="I56" i="78"/>
  <c r="AA55" i="78"/>
  <c r="G55" i="78"/>
  <c r="J56" i="78"/>
  <c r="K56" i="78"/>
  <c r="C93" i="78"/>
  <c r="V46" i="78"/>
  <c r="V54" i="78" s="1"/>
  <c r="Z46" i="78"/>
  <c r="Z54" i="78" s="1"/>
  <c r="AA46" i="78"/>
  <c r="AA54" i="78" s="1"/>
  <c r="AC46" i="78"/>
  <c r="AC54" i="78" s="1"/>
  <c r="U46" i="78"/>
  <c r="U54" i="78" s="1"/>
  <c r="W46" i="78"/>
  <c r="W54" i="78" s="1"/>
  <c r="X46" i="78"/>
  <c r="X54" i="78" s="1"/>
  <c r="Y46" i="78"/>
  <c r="Y54" i="78" s="1"/>
  <c r="AB46" i="78"/>
  <c r="AB54" i="78" s="1"/>
  <c r="AD46" i="78"/>
  <c r="AD54" i="78" s="1"/>
  <c r="K46" i="78"/>
  <c r="K54" i="78" s="1"/>
  <c r="L46" i="78"/>
  <c r="L54" i="78" s="1"/>
  <c r="M46" i="78"/>
  <c r="M54" i="78" s="1"/>
  <c r="N46" i="78"/>
  <c r="N54" i="78" s="1"/>
  <c r="O46" i="78"/>
  <c r="O54" i="78" s="1"/>
  <c r="P46" i="78"/>
  <c r="P54" i="78" s="1"/>
  <c r="Q46" i="78"/>
  <c r="Q54" i="78" s="1"/>
  <c r="R46" i="78"/>
  <c r="R54" i="78" s="1"/>
  <c r="T46" i="78"/>
  <c r="T54" i="78" s="1"/>
  <c r="M74" i="78" a="1"/>
  <c r="M74" i="78" s="1"/>
  <c r="M75" i="78" s="1"/>
  <c r="AI47" i="70" s="1"/>
  <c r="N74" i="78" a="1"/>
  <c r="N74" i="78" s="1"/>
  <c r="N75" i="78" s="1"/>
  <c r="AJ47" i="70" s="1"/>
  <c r="P74" i="78" a="1"/>
  <c r="P74" i="78" s="1"/>
  <c r="P75" i="78" s="1"/>
  <c r="AL47" i="70" s="1"/>
  <c r="Q74" i="78" a="1"/>
  <c r="Q74" i="78" s="1"/>
  <c r="Q75" i="78" s="1"/>
  <c r="AM47" i="70" s="1"/>
  <c r="R74" i="78" a="1"/>
  <c r="R74" i="78" s="1"/>
  <c r="R75" i="78" s="1"/>
  <c r="AN47" i="70" s="1"/>
  <c r="F74" i="78" a="1"/>
  <c r="F74" i="78" s="1"/>
  <c r="F75" i="78" s="1"/>
  <c r="AB47" i="70" s="1"/>
  <c r="S74" i="78" a="1"/>
  <c r="S74" i="78" s="1"/>
  <c r="S75" i="78" s="1"/>
  <c r="AO47" i="70" s="1"/>
  <c r="L74" i="78" a="1"/>
  <c r="L74" i="78" s="1"/>
  <c r="L75" i="78" s="1"/>
  <c r="AH47" i="70" s="1"/>
  <c r="O74" i="78" a="1"/>
  <c r="O74" i="78" s="1"/>
  <c r="O75" i="78" s="1"/>
  <c r="AK47" i="70" s="1"/>
  <c r="X74" i="78" a="1"/>
  <c r="X74" i="78" s="1"/>
  <c r="X75" i="78" s="1"/>
  <c r="AT47" i="70" s="1"/>
  <c r="Y74" i="78" a="1"/>
  <c r="Y74" i="78" s="1"/>
  <c r="Y75" i="78" s="1"/>
  <c r="AU47" i="70" s="1"/>
  <c r="T74" i="78" a="1"/>
  <c r="T74" i="78" s="1"/>
  <c r="T75" i="78" s="1"/>
  <c r="AP47" i="70" s="1"/>
  <c r="U74" i="78" a="1"/>
  <c r="U74" i="78" s="1"/>
  <c r="U75" i="78" s="1"/>
  <c r="AQ47" i="70" s="1"/>
  <c r="V74" i="78" a="1"/>
  <c r="V74" i="78" s="1"/>
  <c r="V75" i="78" s="1"/>
  <c r="AR47" i="70" s="1"/>
  <c r="Z74" i="78" a="1"/>
  <c r="Z74" i="78" s="1"/>
  <c r="Z75" i="78" s="1"/>
  <c r="AV47" i="70" s="1"/>
  <c r="AB74" i="78" a="1"/>
  <c r="AB74" i="78" s="1"/>
  <c r="AB75" i="78" s="1"/>
  <c r="AX47" i="70" s="1"/>
  <c r="W74" i="78" a="1"/>
  <c r="W74" i="78" s="1"/>
  <c r="W75" i="78" s="1"/>
  <c r="AS47" i="70" s="1"/>
  <c r="E74" i="78" a="1"/>
  <c r="E74" i="78" s="1"/>
  <c r="E75" i="78" s="1"/>
  <c r="AA47" i="70" s="1"/>
  <c r="AA74" i="78" a="1"/>
  <c r="AA74" i="78" s="1"/>
  <c r="AA75" i="78" s="1"/>
  <c r="AW47" i="70" s="1"/>
  <c r="G74" i="78" a="1"/>
  <c r="G74" i="78" s="1"/>
  <c r="G75" i="78" s="1"/>
  <c r="AC47" i="70" s="1"/>
  <c r="AC74" i="78" a="1"/>
  <c r="AC74" i="78" s="1"/>
  <c r="AC75" i="78" s="1"/>
  <c r="AY47" i="70" s="1"/>
  <c r="H74" i="78" a="1"/>
  <c r="H74" i="78" s="1"/>
  <c r="H75" i="78" s="1"/>
  <c r="AD47" i="70" s="1"/>
  <c r="AD74" i="78" a="1"/>
  <c r="AD74" i="78" s="1"/>
  <c r="AD75" i="78" s="1"/>
  <c r="AZ47" i="70" s="1"/>
  <c r="I74" i="78" a="1"/>
  <c r="I74" i="78" s="1"/>
  <c r="I75" i="78" s="1"/>
  <c r="AE47" i="70" s="1"/>
  <c r="C92" i="78" a="1"/>
  <c r="D93" i="78" s="1" a="1"/>
  <c r="D93" i="78" s="1"/>
  <c r="D94" i="78" s="1"/>
  <c r="J74" i="78" a="1"/>
  <c r="J74" i="78" s="1"/>
  <c r="J75" i="78" s="1"/>
  <c r="AF47" i="70" s="1"/>
  <c r="K74" i="78" a="1"/>
  <c r="K74" i="78" s="1"/>
  <c r="K75" i="78" s="1"/>
  <c r="AG47" i="70" s="1"/>
  <c r="D74" i="78" a="1"/>
  <c r="D74" i="78" s="1"/>
  <c r="D75" i="78" s="1"/>
  <c r="Z47" i="70" s="1"/>
  <c r="U93" i="78" l="1" a="1"/>
  <c r="U93" i="78" s="1"/>
  <c r="U94" i="78" s="1"/>
  <c r="N93" i="78" a="1"/>
  <c r="N93" i="78" s="1"/>
  <c r="N94" i="78" s="1"/>
  <c r="T93" i="78" a="1"/>
  <c r="T93" i="78" s="1"/>
  <c r="T94" i="78" s="1"/>
  <c r="M93" i="78" a="1"/>
  <c r="M93" i="78" s="1"/>
  <c r="M94" i="78" s="1"/>
  <c r="K93" i="78" a="1"/>
  <c r="K93" i="78" s="1"/>
  <c r="K94" i="78" s="1"/>
  <c r="W93" i="78" a="1"/>
  <c r="W93" i="78" s="1"/>
  <c r="W94" i="78" s="1"/>
  <c r="F93" i="78" a="1"/>
  <c r="F93" i="78" s="1"/>
  <c r="F94" i="78" s="1"/>
  <c r="AD93" i="78" a="1"/>
  <c r="AD93" i="78" s="1"/>
  <c r="AD94" i="78" s="1"/>
  <c r="AC93" i="78" a="1"/>
  <c r="AC93" i="78" s="1"/>
  <c r="AC94" i="78" s="1"/>
  <c r="J93" i="78" a="1"/>
  <c r="J93" i="78" s="1"/>
  <c r="J94" i="78" s="1"/>
  <c r="O93" i="78" a="1"/>
  <c r="O93" i="78" s="1"/>
  <c r="O94" i="78" s="1"/>
  <c r="Q93" i="78" a="1"/>
  <c r="Q93" i="78" s="1"/>
  <c r="Q94" i="78" s="1"/>
  <c r="P93" i="78" a="1"/>
  <c r="P93" i="78" s="1"/>
  <c r="P94" i="78" s="1"/>
  <c r="L93" i="78" a="1"/>
  <c r="L93" i="78" s="1"/>
  <c r="L94" i="78" s="1"/>
  <c r="C92" i="78"/>
  <c r="C113" i="78" s="1" a="1"/>
  <c r="E93" i="78" a="1"/>
  <c r="E93" i="78" s="1"/>
  <c r="E94" i="78" s="1"/>
  <c r="Y93" i="78" a="1"/>
  <c r="Y93" i="78" s="1"/>
  <c r="Y94" i="78" s="1"/>
  <c r="Z93" i="78" a="1"/>
  <c r="Z93" i="78" s="1"/>
  <c r="Z94" i="78" s="1"/>
  <c r="I93" i="78" a="1"/>
  <c r="I93" i="78" s="1"/>
  <c r="I94" i="78" s="1"/>
  <c r="G93" i="78" a="1"/>
  <c r="G93" i="78" s="1"/>
  <c r="G94" i="78" s="1"/>
  <c r="AB93" i="78" a="1"/>
  <c r="AB93" i="78" s="1"/>
  <c r="AB94" i="78" s="1"/>
  <c r="AA93" i="78" a="1"/>
  <c r="AA93" i="78" s="1"/>
  <c r="AA94" i="78" s="1"/>
  <c r="X93" i="78" a="1"/>
  <c r="X93" i="78" s="1"/>
  <c r="X94" i="78" s="1"/>
  <c r="H93" i="78" a="1"/>
  <c r="H93" i="78" s="1"/>
  <c r="H94" i="78" s="1"/>
  <c r="V93" i="78" a="1"/>
  <c r="V93" i="78" s="1"/>
  <c r="V94" i="78" s="1"/>
  <c r="S93" i="78" a="1"/>
  <c r="S93" i="78" s="1"/>
  <c r="S94" i="78" s="1"/>
  <c r="R93" i="78" a="1"/>
  <c r="R93" i="78" s="1"/>
  <c r="R94" i="78" s="1"/>
  <c r="C113" i="78" l="1"/>
  <c r="G114" i="78" a="1"/>
  <c r="G114" i="78" s="1"/>
  <c r="R114" i="78" a="1"/>
  <c r="R114" i="78" s="1"/>
  <c r="J115" i="78" a="1"/>
  <c r="J115" i="78" s="1"/>
  <c r="O114" i="78" a="1"/>
  <c r="O114" i="78" s="1"/>
  <c r="H114" i="78" a="1"/>
  <c r="H114" i="78" s="1"/>
  <c r="V114" i="78" a="1"/>
  <c r="V114" i="78" s="1"/>
  <c r="P114" i="78" a="1"/>
  <c r="P114" i="78" s="1"/>
  <c r="I114" i="78" a="1"/>
  <c r="I114" i="78" s="1"/>
  <c r="K115" i="78" a="1"/>
  <c r="K115" i="78" s="1"/>
  <c r="D114" i="78" a="1"/>
  <c r="D114" i="78" s="1"/>
  <c r="W114" i="78" a="1"/>
  <c r="W114" i="78" s="1"/>
  <c r="U114" i="78" a="1"/>
  <c r="U114" i="78" s="1"/>
  <c r="S114" i="78" a="1"/>
  <c r="S114" i="78" s="1"/>
  <c r="F114" i="78" a="1"/>
  <c r="F114" i="78" s="1"/>
  <c r="E114" i="78" a="1"/>
  <c r="E114" i="78" s="1"/>
  <c r="X114" i="78" a="1"/>
  <c r="X114" i="78" s="1"/>
  <c r="T114" i="78" a="1"/>
  <c r="T114" i="78" s="1"/>
  <c r="Q114" i="78" a="1"/>
  <c r="Q114" i="78" s="1"/>
  <c r="E115" i="78" a="1"/>
  <c r="E115" i="78" s="1"/>
  <c r="M115" i="78" a="1"/>
  <c r="M115" i="78" s="1"/>
  <c r="N115" i="78" a="1"/>
  <c r="N115" i="78" s="1"/>
  <c r="L115" i="78" a="1"/>
  <c r="L115" i="78" s="1"/>
  <c r="AB114" i="78" a="1"/>
  <c r="AB114" i="78" s="1"/>
  <c r="P115" i="78" a="1"/>
  <c r="P115" i="78" s="1"/>
  <c r="T115" i="78" a="1"/>
  <c r="T115" i="78" s="1"/>
  <c r="V115" i="78" a="1"/>
  <c r="V115" i="78" s="1"/>
  <c r="Q115" i="78" a="1"/>
  <c r="Q115" i="78" s="1"/>
  <c r="R115" i="78" a="1"/>
  <c r="R115" i="78" s="1"/>
  <c r="S115" i="78" a="1"/>
  <c r="S115" i="78" s="1"/>
  <c r="Y114" i="78" a="1"/>
  <c r="Y114" i="78" s="1"/>
  <c r="W115" i="78" a="1"/>
  <c r="W115" i="78" s="1"/>
  <c r="AD114" i="78" a="1"/>
  <c r="AD114" i="78" s="1"/>
  <c r="J114" i="78" a="1"/>
  <c r="J114" i="78" s="1"/>
  <c r="K114" i="78" a="1"/>
  <c r="K114" i="78" s="1"/>
  <c r="AA115" i="78" a="1"/>
  <c r="AA115" i="78" s="1"/>
  <c r="Z114" i="78" a="1"/>
  <c r="Z114" i="78" s="1"/>
  <c r="O115" i="78" a="1"/>
  <c r="O115" i="78" s="1"/>
  <c r="Z115" i="78" a="1"/>
  <c r="Z115" i="78" s="1"/>
  <c r="I115" i="78" a="1"/>
  <c r="I115" i="78" s="1"/>
  <c r="AC114" i="78" a="1"/>
  <c r="AC114" i="78" s="1"/>
  <c r="L114" i="78" a="1"/>
  <c r="L114" i="78" s="1"/>
  <c r="N114" i="78" a="1"/>
  <c r="N114" i="78" s="1"/>
  <c r="G115" i="78" a="1"/>
  <c r="G115" i="78" s="1"/>
  <c r="X115" i="78" a="1"/>
  <c r="X115" i="78" s="1"/>
  <c r="AB115" i="78" a="1"/>
  <c r="AB115" i="78" s="1"/>
  <c r="U115" i="78" a="1"/>
  <c r="U115" i="78" s="1"/>
  <c r="H115" i="78" a="1"/>
  <c r="H115" i="78" s="1"/>
  <c r="AC115" i="78" a="1"/>
  <c r="AC115" i="78" s="1"/>
  <c r="F115" i="78" a="1"/>
  <c r="F115" i="78" s="1"/>
  <c r="AD115" i="78" a="1"/>
  <c r="AD115" i="78" s="1"/>
  <c r="M114" i="78" a="1"/>
  <c r="M114" i="78" s="1"/>
  <c r="Y115" i="78" a="1"/>
  <c r="Y115" i="78" s="1"/>
  <c r="D115" i="78" a="1"/>
  <c r="D115" i="78" s="1"/>
  <c r="AA114" i="78" a="1"/>
  <c r="AA114" i="78" s="1"/>
  <c r="T116" i="78" l="1"/>
  <c r="S116" i="78"/>
  <c r="L116" i="78"/>
  <c r="H116" i="78"/>
  <c r="Q116" i="78"/>
  <c r="U116" i="78"/>
  <c r="AD116" i="78"/>
  <c r="V116" i="78"/>
  <c r="W116" i="78"/>
  <c r="AC116" i="78"/>
  <c r="X116" i="78"/>
  <c r="K116" i="78"/>
  <c r="P116" i="78"/>
  <c r="N116" i="78"/>
  <c r="F116" i="78"/>
  <c r="D116" i="78"/>
  <c r="J116" i="78"/>
  <c r="Y116" i="78"/>
  <c r="I116" i="78"/>
  <c r="O116" i="78"/>
  <c r="E116" i="78"/>
  <c r="AA116" i="78"/>
  <c r="R116" i="78"/>
  <c r="Z116" i="78"/>
  <c r="AB116" i="78"/>
  <c r="G116" i="78"/>
  <c r="M116" i="78"/>
  <c r="C114" i="78" a="1"/>
  <c r="C114" i="78" s="1"/>
  <c r="AD118" i="78" s="1"/>
  <c r="AZ49" i="70" s="1"/>
  <c r="C115" i="78" a="1"/>
  <c r="C115" i="78" s="1"/>
  <c r="N119" i="78" s="1"/>
  <c r="U118" i="78" l="1"/>
  <c r="AQ49" i="70" s="1"/>
  <c r="R119" i="78"/>
  <c r="W118" i="78"/>
  <c r="AS49" i="70" s="1"/>
  <c r="K118" i="78"/>
  <c r="AG49" i="70" s="1"/>
  <c r="G118" i="78"/>
  <c r="AC49" i="70" s="1"/>
  <c r="X118" i="78"/>
  <c r="AT49" i="70" s="1"/>
  <c r="H118" i="78"/>
  <c r="AD49" i="70" s="1"/>
  <c r="J119" i="78"/>
  <c r="M118" i="78"/>
  <c r="AI49" i="70" s="1"/>
  <c r="W119" i="78"/>
  <c r="O119" i="78"/>
  <c r="Q118" i="78"/>
  <c r="AM49" i="70" s="1"/>
  <c r="AB119" i="78"/>
  <c r="F119" i="78"/>
  <c r="T119" i="78"/>
  <c r="Z118" i="78"/>
  <c r="AV49" i="70" s="1"/>
  <c r="E119" i="78"/>
  <c r="O118" i="78"/>
  <c r="AK49" i="70" s="1"/>
  <c r="L119" i="78"/>
  <c r="AA118" i="78"/>
  <c r="AW49" i="70" s="1"/>
  <c r="G119" i="78"/>
  <c r="Z119" i="78"/>
  <c r="AB118" i="78"/>
  <c r="AX49" i="70" s="1"/>
  <c r="D119" i="78"/>
  <c r="L118" i="78"/>
  <c r="AH49" i="70" s="1"/>
  <c r="I118" i="78"/>
  <c r="AE49" i="70" s="1"/>
  <c r="R118" i="78"/>
  <c r="AN49" i="70" s="1"/>
  <c r="V119" i="78"/>
  <c r="AC119" i="78"/>
  <c r="U119" i="78"/>
  <c r="M119" i="78"/>
  <c r="Q119" i="78"/>
  <c r="K119" i="78"/>
  <c r="S119" i="78"/>
  <c r="P118" i="78"/>
  <c r="AL49" i="70" s="1"/>
  <c r="Y118" i="78"/>
  <c r="AU49" i="70" s="1"/>
  <c r="E118" i="78"/>
  <c r="AA49" i="70" s="1"/>
  <c r="AC118" i="78"/>
  <c r="AY49" i="70" s="1"/>
  <c r="AD119" i="78"/>
  <c r="Y119" i="78"/>
  <c r="D118" i="78"/>
  <c r="Z49" i="70" s="1"/>
  <c r="AA119" i="78"/>
  <c r="F118" i="78"/>
  <c r="AB49" i="70" s="1"/>
  <c r="I119" i="78"/>
  <c r="N118" i="78"/>
  <c r="AJ49" i="70" s="1"/>
  <c r="S118" i="78"/>
  <c r="AO49" i="70" s="1"/>
  <c r="T118" i="78"/>
  <c r="AP49" i="70" s="1"/>
  <c r="P119" i="78"/>
  <c r="X119" i="78"/>
  <c r="V118" i="78"/>
  <c r="AR49" i="70" s="1"/>
  <c r="H119" i="78"/>
  <c r="J118" i="78"/>
  <c r="AF49" i="70" s="1"/>
  <c r="C116" i="78"/>
  <c r="AH40" i="70" l="1"/>
  <c r="C2" i="12" l="1"/>
  <c r="D2" i="12"/>
  <c r="E2" i="12"/>
  <c r="F2" i="12"/>
  <c r="C3" i="12"/>
  <c r="D3" i="12"/>
  <c r="E3" i="12"/>
  <c r="B3" i="12"/>
  <c r="B2" i="12"/>
  <c r="D2" i="6"/>
  <c r="E2" i="6"/>
  <c r="F2" i="6"/>
  <c r="C3" i="6"/>
  <c r="D3" i="6"/>
  <c r="E3" i="6"/>
  <c r="B3" i="6"/>
  <c r="B2" i="6"/>
  <c r="W40" i="70"/>
  <c r="X40" i="70"/>
  <c r="Y40" i="70"/>
  <c r="Z40" i="70"/>
  <c r="AA40" i="70"/>
  <c r="AB40" i="70"/>
  <c r="AC40" i="70"/>
  <c r="AF40" i="70"/>
  <c r="AG40" i="70"/>
  <c r="W41" i="70"/>
  <c r="X41" i="70"/>
  <c r="Y41" i="70"/>
  <c r="Z41" i="70"/>
  <c r="AA41" i="70"/>
  <c r="AB41" i="70"/>
  <c r="AC41" i="70"/>
  <c r="AD41" i="70"/>
  <c r="AE41" i="70"/>
  <c r="AF41" i="70"/>
  <c r="V41" i="70"/>
  <c r="V40" i="70"/>
  <c r="G17" i="37"/>
  <c r="C4" i="12" l="1"/>
  <c r="D4" i="12"/>
  <c r="E4" i="12"/>
  <c r="F4" i="12"/>
  <c r="B4" i="12"/>
  <c r="F4" i="6"/>
  <c r="C4" i="6"/>
  <c r="D4" i="6"/>
  <c r="E4" i="6"/>
  <c r="B4" i="6"/>
  <c r="E7" i="77"/>
  <c r="D7" i="77"/>
  <c r="B7" i="77"/>
  <c r="G6" i="77"/>
  <c r="G8" i="77" s="1"/>
  <c r="F6" i="77"/>
  <c r="F8" i="77" s="1"/>
  <c r="E6" i="77"/>
  <c r="E8" i="77" s="1"/>
  <c r="D6" i="77"/>
  <c r="D8" i="77" s="1"/>
  <c r="C6" i="77"/>
  <c r="C8" i="77" s="1"/>
  <c r="B6" i="77"/>
  <c r="B8" i="77" s="1"/>
  <c r="G5" i="77"/>
  <c r="G7" i="77" s="1"/>
  <c r="F5" i="77"/>
  <c r="F7" i="77" s="1"/>
  <c r="E5" i="77"/>
  <c r="D5" i="77"/>
  <c r="C5" i="77"/>
  <c r="C7" i="77" s="1"/>
  <c r="B5" i="77"/>
  <c r="G4" i="77"/>
  <c r="F4" i="77"/>
  <c r="E4" i="77"/>
  <c r="D4" i="77"/>
  <c r="C4" i="77"/>
  <c r="B4" i="77"/>
  <c r="G3" i="77"/>
  <c r="F3" i="77"/>
  <c r="E3" i="77"/>
  <c r="D3" i="77"/>
  <c r="C3" i="77"/>
  <c r="B3" i="77"/>
  <c r="W42" i="70" l="1"/>
  <c r="X42" i="70"/>
  <c r="Y42" i="70"/>
  <c r="Z42" i="70"/>
  <c r="AA42" i="70"/>
  <c r="AB42" i="70"/>
  <c r="AC42" i="70"/>
  <c r="U49" i="70" s="1"/>
  <c r="AD42" i="70"/>
  <c r="V49" i="70" s="1"/>
  <c r="AE42" i="70"/>
  <c r="W49" i="70" s="1"/>
  <c r="AF42" i="70"/>
  <c r="X49" i="70" s="1"/>
  <c r="AG42" i="70"/>
  <c r="Y49" i="70" s="1"/>
  <c r="W43" i="70"/>
  <c r="X43" i="70"/>
  <c r="Y43" i="70"/>
  <c r="Z43" i="70"/>
  <c r="AA43" i="70"/>
  <c r="AB43" i="70"/>
  <c r="AC43" i="70"/>
  <c r="U50" i="70" s="1"/>
  <c r="AD43" i="70"/>
  <c r="V50" i="70" s="1"/>
  <c r="AE43" i="70"/>
  <c r="W50" i="70" s="1"/>
  <c r="AF43" i="70"/>
  <c r="X50" i="70" s="1"/>
  <c r="Y50" i="70"/>
  <c r="V43" i="70"/>
  <c r="V42" i="70"/>
  <c r="U48" i="70"/>
  <c r="V48" i="70"/>
  <c r="W48" i="70"/>
  <c r="X48" i="70"/>
  <c r="Y48" i="70"/>
  <c r="U47" i="70"/>
  <c r="V47" i="70"/>
  <c r="C2" i="6" s="1"/>
  <c r="Y47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Z48" i="70" l="1"/>
  <c r="G3" i="6" s="1"/>
  <c r="AX48" i="70"/>
  <c r="AD48" i="70"/>
  <c r="AT48" i="70"/>
  <c r="AV48" i="70"/>
  <c r="AK48" i="70"/>
  <c r="AE48" i="70"/>
  <c r="AF48" i="70"/>
  <c r="AQ48" i="70"/>
  <c r="AP48" i="70"/>
  <c r="AW48" i="70"/>
  <c r="AH48" i="70"/>
  <c r="AY48" i="70"/>
  <c r="AB48" i="70"/>
  <c r="AG48" i="70"/>
  <c r="AU48" i="70"/>
  <c r="AC48" i="70"/>
  <c r="AA48" i="70"/>
  <c r="AL48" i="70"/>
  <c r="AO48" i="70"/>
  <c r="AM48" i="70"/>
  <c r="AZ48" i="70"/>
  <c r="AS48" i="70"/>
  <c r="AR48" i="70"/>
  <c r="AJ48" i="70"/>
  <c r="AN48" i="70"/>
  <c r="AI48" i="70"/>
  <c r="F3" i="6"/>
  <c r="AJ50" i="70"/>
  <c r="AG50" i="70"/>
  <c r="AN50" i="70"/>
  <c r="AO50" i="70"/>
  <c r="AR50" i="70"/>
  <c r="AK50" i="70"/>
  <c r="AU50" i="70"/>
  <c r="AD50" i="70"/>
  <c r="AC50" i="70"/>
  <c r="AT50" i="70"/>
  <c r="AM50" i="70"/>
  <c r="AE50" i="70"/>
  <c r="AS50" i="70"/>
  <c r="AV50" i="70"/>
  <c r="AI50" i="70"/>
  <c r="AY50" i="70"/>
  <c r="AQ50" i="70"/>
  <c r="AZ50" i="70"/>
  <c r="AB50" i="70"/>
  <c r="AF50" i="70"/>
  <c r="AW50" i="70"/>
  <c r="AH50" i="70"/>
  <c r="AA50" i="70"/>
  <c r="AX50" i="70"/>
  <c r="AP50" i="70"/>
  <c r="AL50" i="70"/>
  <c r="Z50" i="70"/>
  <c r="F3" i="12"/>
  <c r="Y56" i="70"/>
  <c r="Y55" i="70"/>
  <c r="AH42" i="70"/>
  <c r="AH43" i="70"/>
  <c r="G3" i="12" s="1"/>
  <c r="AH41" i="70"/>
  <c r="G2" i="6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H3" i="12" l="1"/>
  <c r="H3" i="6"/>
  <c r="H2" i="6"/>
  <c r="I2" i="6" l="1"/>
  <c r="I3" i="6"/>
  <c r="I3" i="12"/>
  <c r="F23" i="37"/>
  <c r="N23" i="70" s="1"/>
  <c r="N40" i="70" l="1"/>
  <c r="J3" i="12"/>
  <c r="J3" i="6"/>
  <c r="J2" i="6"/>
  <c r="K3" i="6" l="1"/>
  <c r="K3" i="12"/>
  <c r="K2" i="6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L3" i="12" l="1"/>
  <c r="L3" i="6"/>
  <c r="K6" i="68"/>
  <c r="K5" i="68"/>
  <c r="K4" i="68"/>
  <c r="K3" i="68"/>
  <c r="L2" i="6" l="1"/>
  <c r="M2" i="6"/>
  <c r="M3" i="6"/>
  <c r="M3" i="12"/>
  <c r="F13" i="37"/>
  <c r="N2" i="6" l="1"/>
  <c r="N13" i="70"/>
  <c r="N3" i="12"/>
  <c r="N3" i="6"/>
  <c r="D42" i="55"/>
  <c r="C42" i="55"/>
  <c r="B42" i="55"/>
  <c r="N64" i="70" l="1"/>
  <c r="O3" i="12"/>
  <c r="O2" i="6"/>
  <c r="O3" i="6"/>
  <c r="C43" i="55"/>
  <c r="C6" i="12" s="1"/>
  <c r="D6" i="12" s="1"/>
  <c r="E6" i="12" s="1"/>
  <c r="F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P2" i="6" l="1"/>
  <c r="P3" i="6"/>
  <c r="P3" i="12"/>
  <c r="Q3" i="12" l="1"/>
  <c r="Q3" i="6"/>
  <c r="Q2" i="6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R3" i="6" l="1"/>
  <c r="R2" i="6"/>
  <c r="B3" i="56"/>
  <c r="D4" i="56" s="1"/>
  <c r="D5" i="6" s="1"/>
  <c r="F5" i="6" s="1"/>
  <c r="D3" i="56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S3" i="12" l="1"/>
  <c r="R3" i="12"/>
  <c r="S2" i="6"/>
  <c r="S3" i="6"/>
  <c r="C4" i="56"/>
  <c r="C5" i="6" s="1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T3" i="6" l="1"/>
  <c r="T3" i="12"/>
  <c r="T2" i="6"/>
  <c r="E62" i="49"/>
  <c r="G62" i="49" s="1"/>
  <c r="C16" i="56"/>
  <c r="C5" i="12" s="1"/>
  <c r="O31" i="49"/>
  <c r="D16" i="56"/>
  <c r="D5" i="12" s="1"/>
  <c r="E5" i="12" s="1"/>
  <c r="F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U2" i="6" l="1"/>
  <c r="U3" i="12"/>
  <c r="U3" i="6"/>
  <c r="C65" i="49"/>
  <c r="V3" i="12" l="1"/>
  <c r="V3" i="6"/>
  <c r="G65" i="49"/>
  <c r="C66" i="49"/>
  <c r="C6" i="6" s="1"/>
  <c r="D6" i="6" s="1"/>
  <c r="E6" i="6" s="1"/>
  <c r="F6" i="6" s="1"/>
  <c r="P36" i="49"/>
  <c r="P37" i="49"/>
  <c r="P38" i="49"/>
  <c r="P39" i="49"/>
  <c r="P40" i="49"/>
  <c r="P41" i="49"/>
  <c r="P42" i="49"/>
  <c r="P43" i="49"/>
  <c r="P44" i="49"/>
  <c r="P45" i="49"/>
  <c r="P46" i="49"/>
  <c r="W2" i="6" l="1"/>
  <c r="V2" i="6"/>
  <c r="W3" i="6"/>
  <c r="W3" i="12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X3" i="12" l="1"/>
  <c r="X3" i="6"/>
  <c r="X2" i="6"/>
  <c r="N63" i="49"/>
  <c r="Y3" i="12" l="1"/>
  <c r="Y2" i="6"/>
  <c r="Y3" i="6"/>
  <c r="N47" i="49"/>
  <c r="M47" i="49"/>
  <c r="O47" i="49" s="1"/>
  <c r="Z3" i="12" l="1"/>
  <c r="Z2" i="6"/>
  <c r="Z3" i="6"/>
  <c r="M64" i="49"/>
  <c r="O64" i="49" s="1"/>
  <c r="N64" i="49"/>
  <c r="N48" i="49"/>
  <c r="M48" i="49"/>
  <c r="O48" i="49" s="1"/>
  <c r="AA3" i="6" l="1"/>
  <c r="AA2" i="6"/>
  <c r="AA3" i="12"/>
  <c r="N49" i="49"/>
  <c r="M49" i="49"/>
  <c r="O49" i="49" s="1"/>
  <c r="N65" i="49"/>
  <c r="M65" i="49"/>
  <c r="O65" i="49" s="1"/>
  <c r="AB3" i="12" l="1"/>
  <c r="AB3" i="6"/>
  <c r="AB2" i="6"/>
  <c r="N50" i="49"/>
  <c r="M50" i="49"/>
  <c r="O50" i="49" s="1"/>
  <c r="AC2" i="6" l="1"/>
  <c r="AC3" i="6"/>
  <c r="AC3" i="12"/>
  <c r="N51" i="49"/>
  <c r="M51" i="49"/>
  <c r="O51" i="49" s="1"/>
  <c r="AD3" i="12" l="1"/>
  <c r="AD3" i="6"/>
  <c r="AD2" i="6"/>
  <c r="N52" i="49"/>
  <c r="M52" i="49"/>
  <c r="O52" i="49" s="1"/>
  <c r="F37" i="37"/>
  <c r="F35" i="37"/>
  <c r="F36" i="37"/>
  <c r="F33" i="37"/>
  <c r="F29" i="37"/>
  <c r="F25" i="37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N7" i="70" l="1"/>
  <c r="AE2" i="6"/>
  <c r="N24" i="70"/>
  <c r="N27" i="70"/>
  <c r="N12" i="70"/>
  <c r="O12" i="70" s="1"/>
  <c r="N61" i="70" s="1"/>
  <c r="N9" i="70"/>
  <c r="N33" i="70"/>
  <c r="N28" i="70"/>
  <c r="N43" i="70" s="1"/>
  <c r="N36" i="70"/>
  <c r="AE3" i="6"/>
  <c r="N14" i="70"/>
  <c r="N29" i="70"/>
  <c r="N20" i="70"/>
  <c r="N67" i="70" s="1"/>
  <c r="N35" i="70"/>
  <c r="N31" i="70"/>
  <c r="N8" i="70"/>
  <c r="N32" i="70"/>
  <c r="N45" i="70" s="1"/>
  <c r="N10" i="70"/>
  <c r="O10" i="70" s="1"/>
  <c r="N63" i="70" s="1"/>
  <c r="N25" i="70"/>
  <c r="N18" i="70"/>
  <c r="N19" i="70"/>
  <c r="N17" i="70"/>
  <c r="N37" i="70"/>
  <c r="N52" i="70" s="1"/>
  <c r="AE3" i="12"/>
  <c r="N53" i="49"/>
  <c r="M53" i="49"/>
  <c r="O53" i="49" s="1"/>
  <c r="G23" i="37"/>
  <c r="G27" i="37"/>
  <c r="G31" i="37"/>
  <c r="G7" i="37"/>
  <c r="G12" i="37"/>
  <c r="N66" i="70" l="1"/>
  <c r="H73" i="70" s="1"/>
  <c r="H83" i="70" s="1"/>
  <c r="O19" i="70"/>
  <c r="O31" i="70"/>
  <c r="N44" i="70"/>
  <c r="O36" i="70"/>
  <c r="N46" i="70"/>
  <c r="N51" i="70"/>
  <c r="O35" i="70"/>
  <c r="N41" i="70"/>
  <c r="O23" i="70"/>
  <c r="N65" i="70"/>
  <c r="O13" i="70"/>
  <c r="O27" i="70"/>
  <c r="N42" i="70"/>
  <c r="N48" i="70"/>
  <c r="O25" i="70"/>
  <c r="O33" i="70"/>
  <c r="N50" i="70"/>
  <c r="AF2" i="6"/>
  <c r="H62" i="70"/>
  <c r="L62" i="70"/>
  <c r="K62" i="70"/>
  <c r="J62" i="70"/>
  <c r="I62" i="70"/>
  <c r="M62" i="70"/>
  <c r="G62" i="70"/>
  <c r="E62" i="70"/>
  <c r="O17" i="70"/>
  <c r="N62" i="70" s="1"/>
  <c r="F62" i="70"/>
  <c r="L73" i="70"/>
  <c r="L83" i="70" s="1"/>
  <c r="E90" i="70" s="1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AF3" i="6"/>
  <c r="AF3" i="12"/>
  <c r="N54" i="49"/>
  <c r="M54" i="49"/>
  <c r="O54" i="49" s="1"/>
  <c r="J73" i="70" l="1"/>
  <c r="J83" i="70" s="1"/>
  <c r="M73" i="70"/>
  <c r="M83" i="70" s="1"/>
  <c r="E73" i="70"/>
  <c r="E83" i="70" s="1"/>
  <c r="G73" i="70"/>
  <c r="G83" i="70" s="1"/>
  <c r="F73" i="70"/>
  <c r="F83" i="70" s="1"/>
  <c r="I73" i="70"/>
  <c r="I83" i="70" s="1"/>
  <c r="K73" i="70"/>
  <c r="K83" i="70" s="1"/>
  <c r="E72" i="70"/>
  <c r="E82" i="70" s="1"/>
  <c r="AG2" i="6"/>
  <c r="AG3" i="6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M72" i="70"/>
  <c r="G72" i="70"/>
  <c r="G82" i="70" s="1"/>
  <c r="AG3" i="12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N73" i="70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55" i="49"/>
  <c r="M55" i="49"/>
  <c r="O55" i="49" s="1"/>
  <c r="M85" i="70" l="1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N56" i="49"/>
  <c r="M56" i="49"/>
  <c r="O56" i="49" s="1"/>
  <c r="O82" i="70" l="1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N57" i="49"/>
  <c r="M57" i="49"/>
  <c r="O57" i="49" s="1"/>
  <c r="M63" i="49"/>
  <c r="O63" i="49" s="1"/>
  <c r="N58" i="49" l="1"/>
  <c r="M58" i="49"/>
  <c r="O58" i="49" s="1"/>
  <c r="N59" i="49" l="1"/>
  <c r="M59" i="49"/>
  <c r="O59" i="49" s="1"/>
  <c r="N60" i="49" l="1"/>
  <c r="M60" i="49"/>
  <c r="O60" i="49" s="1"/>
  <c r="N61" i="49" l="1"/>
  <c r="M61" i="49"/>
  <c r="O61" i="49" s="1"/>
  <c r="N62" i="49" l="1"/>
  <c r="M62" i="49"/>
  <c r="O62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<sst xmlns="http://schemas.openxmlformats.org/spreadsheetml/2006/main" count="2361" uniqueCount="1019">
  <si>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</si>
  <si>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</si>
  <si>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</si>
  <si>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</si>
  <si>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</si>
  <si>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</si>
  <si>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</si>
  <si>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</si>
  <si>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</si>
  <si>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</si>
  <si>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</si>
  <si>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</si>
  <si>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</si>
  <si>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</si>
  <si>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</si>
  <si>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</si>
  <si>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</si>
  <si>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</si>
  <si>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</si>
  <si>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</si>
  <si>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</si>
  <si>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</si>
  <si>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</si>
  <si>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</si>
  <si>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</si>
  <si>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</si>
  <si>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</si>
  <si>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</si>
  <si>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</si>
  <si>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</si>
  <si>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</si>
  <si>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</si>
  <si>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</si>
  <si>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</si>
  <si>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</si>
  <si>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</si>
  <si>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</si>
  <si>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</si>
  <si>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</si>
  <si>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</si>
  <si>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</si>
  <si>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</si>
  <si>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</si>
  <si>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</si>
  <si>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</si>
  <si>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</si>
  <si>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</si>
  <si>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</si>
  <si>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</si>
  <si>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</si>
  <si>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</si>
  <si>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</si>
  <si>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</si>
  <si>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</si>
  <si>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</si>
  <si>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</si>
  <si>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</si>
  <si>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</si>
  <si>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</si>
  <si>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</si>
  <si>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</si>
  <si>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</si>
  <si>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</si>
  <si>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</si>
  <si>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</si>
  <si>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</si>
  <si>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</si>
  <si>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</si>
  <si>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</si>
  <si>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</si>
  <si>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</si>
  <si>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</si>
  <si>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</si>
  <si>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</si>
  <si>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</si>
  <si>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</si>
  <si>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</si>
  <si>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</si>
  <si>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</si>
  <si>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</si>
  <si>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</si>
  <si>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</si>
  <si>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</si>
  <si>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</si>
  <si>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</si>
  <si>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</si>
  <si>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</si>
  <si>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</si>
  <si>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</si>
  <si>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</si>
  <si>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</si>
  <si>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</si>
  <si>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</si>
  <si>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</si>
  <si>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</si>
  <si>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</si>
  <si>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</si>
  <si>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</si>
  <si>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</si>
  <si>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</si>
  <si>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</si>
  <si>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</si>
  <si>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</si>
  <si>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</si>
  <si>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</si>
  <si>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</si>
  <si>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</si>
  <si>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</si>
  <si>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</si>
  <si>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</si>
  <si>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</si>
  <si>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</si>
  <si>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</si>
  <si>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</si>
  <si>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</si>
  <si>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</si>
  <si>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</si>
  <si>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</si>
  <si>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</si>
  <si>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</si>
  <si>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</si>
  <si>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</si>
  <si>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</si>
  <si>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</si>
  <si>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</si>
  <si>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</si>
  <si>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</si>
  <si>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</si>
  <si>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</si>
  <si>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</si>
  <si>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</si>
  <si>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</si>
  <si>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</si>
  <si>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</si>
  <si>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</si>
  <si>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</si>
  <si>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</si>
  <si>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</si>
  <si>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</si>
  <si>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</si>
  <si>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</si>
  <si>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</si>
  <si>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</si>
  <si>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</si>
  <si>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</si>
  <si>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</si>
  <si>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</si>
  <si>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</si>
  <si>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</si>
  <si>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</si>
  <si>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</si>
  <si>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</si>
  <si>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</si>
  <si>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</si>
  <si>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</si>
  <si>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</si>
  <si>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</si>
  <si>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</si>
  <si>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</si>
  <si>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</si>
  <si>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</si>
  <si>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</si>
  <si>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</si>
  <si>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</si>
  <si>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</si>
  <si>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</si>
  <si>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</si>
  <si>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</si>
  <si>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</si>
  <si>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</si>
  <si>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</si>
  <si>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</si>
  <si>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</si>
  <si>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</si>
  <si>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</si>
  <si>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</si>
  <si>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</si>
  <si>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</si>
  <si>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</si>
  <si>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</si>
  <si>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</si>
  <si>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</si>
  <si>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</si>
  <si>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</si>
  <si>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</si>
  <si>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</si>
  <si>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</si>
  <si>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</si>
  <si>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</si>
  <si>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</si>
  <si>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</si>
  <si>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</si>
  <si>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</si>
  <si>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</si>
  <si>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</si>
  <si>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</si>
  <si>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</si>
  <si>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</si>
  <si>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</si>
  <si>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</si>
  <si>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</si>
  <si>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</si>
  <si>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</si>
  <si>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</si>
  <si>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</si>
  <si>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</si>
  <si>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</si>
  <si>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</si>
  <si>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</si>
  <si>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</si>
  <si>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</si>
  <si>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</si>
  <si>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</si>
  <si>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</si>
  <si>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</si>
  <si>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</si>
  <si>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</si>
  <si>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</si>
  <si>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</si>
  <si>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</si>
  <si>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</si>
  <si>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</si>
  <si>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</si>
  <si>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</si>
  <si>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</si>
  <si>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</si>
  <si>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</si>
  <si>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</si>
  <si>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</si>
  <si>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</si>
  <si>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</si>
  <si>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</si>
  <si>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</si>
  <si>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</si>
  <si>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</si>
  <si>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</si>
  <si>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</si>
  <si>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</si>
  <si>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</si>
  <si>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</si>
  <si>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</si>
  <si>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</si>
  <si>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</si>
  <si>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</si>
  <si>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</si>
  <si>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</si>
  <si>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</si>
  <si>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</si>
  <si>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</si>
  <si>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승합</t>
    <phoneticPr fontId="43" type="noConversion"/>
  </si>
  <si>
    <t>passenger-HDVs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</si>
  <si>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</si>
  <si>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</si>
  <si>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</si>
  <si>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</si>
  <si>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</si>
  <si>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</si>
  <si>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</si>
  <si>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</si>
  <si>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</si>
  <si>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</si>
  <si>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</si>
  <si>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</si>
  <si>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</si>
  <si>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</si>
  <si>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</si>
  <si>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</si>
  <si>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</si>
  <si>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</si>
  <si>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</si>
  <si>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</si>
  <si>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</si>
  <si>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</si>
  <si>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</si>
  <si>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</si>
  <si>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</si>
  <si>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</si>
  <si>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</si>
  <si>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</si>
  <si>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</si>
  <si>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</si>
  <si>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</si>
  <si>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</si>
  <si>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</si>
  <si>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</si>
  <si>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</si>
  <si>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</si>
  <si>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</si>
  <si>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</si>
  <si>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</si>
  <si>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</si>
  <si>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</si>
  <si>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</si>
  <si>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</si>
  <si>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</si>
  <si>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</si>
  <si>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</si>
  <si>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</si>
  <si>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</si>
  <si>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</si>
  <si>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</si>
  <si>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</si>
  <si>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</si>
  <si>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</si>
  <si>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</si>
  <si>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</si>
  <si>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</si>
  <si>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</si>
  <si>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</si>
  <si>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</si>
  <si>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</si>
  <si>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</si>
  <si>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</si>
  <si>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</si>
  <si>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</si>
  <si>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</si>
  <si>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</si>
  <si>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</si>
  <si>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</si>
  <si>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</si>
  <si>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</si>
  <si>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</si>
  <si>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</si>
  <si>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</si>
  <si>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</si>
  <si>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</si>
  <si>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</si>
  <si>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</si>
  <si>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</si>
  <si>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</si>
  <si>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</si>
  <si>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</si>
  <si>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</si>
  <si>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</si>
  <si>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</si>
  <si>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</si>
  <si>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</si>
  <si>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</si>
  <si>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</si>
  <si>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</si>
  <si>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</si>
  <si>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</si>
  <si>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</si>
  <si>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</si>
  <si>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</si>
  <si>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</si>
  <si>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</si>
  <si>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</si>
  <si>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</si>
  <si>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</si>
  <si>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</si>
  <si>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</si>
  <si>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</si>
  <si>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</si>
  <si>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</si>
  <si>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</si>
  <si>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</si>
  <si>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</si>
  <si>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</si>
  <si>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</si>
  <si>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</si>
  <si>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</si>
  <si>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</si>
  <si>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</si>
  <si>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</si>
  <si>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</si>
  <si>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</si>
  <si>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</si>
  <si>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</si>
  <si>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</si>
  <si>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</si>
  <si>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</si>
  <si>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</si>
  <si>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</si>
  <si>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</si>
  <si>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</si>
  <si>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</si>
  <si>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</si>
  <si>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</si>
  <si>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</si>
  <si>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</si>
  <si>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</si>
  <si>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</si>
  <si>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</si>
  <si>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</si>
  <si>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</si>
  <si>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</si>
  <si>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</si>
  <si>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</si>
  <si>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</si>
  <si>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</si>
  <si>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</si>
  <si>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</si>
  <si>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</si>
  <si>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</si>
  <si>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</si>
  <si>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</si>
  <si>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</si>
  <si>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</si>
  <si>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</si>
  <si>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</si>
  <si>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</si>
  <si>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</si>
  <si>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</si>
  <si>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</si>
  <si>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</si>
  <si>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</si>
  <si>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</si>
  <si>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</si>
  <si>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</si>
  <si>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</si>
  <si>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</si>
  <si>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</si>
  <si>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</si>
  <si>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</si>
  <si>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</si>
  <si>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</si>
  <si>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</si>
  <si>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</si>
  <si>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</si>
  <si>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</si>
  <si>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</si>
  <si>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</si>
  <si>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</si>
  <si>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</si>
  <si>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</si>
  <si>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</si>
  <si>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</si>
  <si>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</si>
  <si>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</si>
  <si>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</si>
  <si>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</si>
  <si>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</si>
  <si>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</si>
  <si>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</si>
  <si>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</si>
  <si>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</si>
  <si>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</si>
  <si>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</si>
  <si>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</si>
  <si>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</si>
  <si>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</si>
  <si>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</si>
  <si>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</si>
  <si>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</si>
  <si>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</si>
  <si>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</si>
  <si>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</si>
  <si>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</si>
  <si>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</si>
  <si>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</si>
  <si>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</si>
  <si>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</si>
  <si>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</si>
  <si>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</si>
  <si>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</si>
  <si>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</si>
  <si>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</si>
  <si>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</si>
  <si>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</si>
  <si>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</si>
  <si>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</si>
  <si>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</si>
  <si>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</si>
  <si>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</si>
  <si>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</si>
  <si>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</si>
  <si>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</si>
  <si>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</si>
  <si>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</si>
  <si>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</si>
  <si>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</si>
  <si>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</si>
  <si>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</si>
  <si>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</si>
  <si>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</si>
  <si>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</si>
  <si>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</si>
  <si>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</si>
  <si>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</si>
  <si>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</si>
  <si>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</si>
  <si>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</si>
  <si>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</si>
  <si>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</si>
  <si>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</si>
  <si>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</si>
  <si>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</si>
  <si>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</si>
  <si>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</si>
  <si>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</si>
  <si>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</si>
  <si>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</si>
  <si>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</si>
  <si>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</si>
  <si>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</si>
  <si>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</si>
  <si>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</si>
  <si>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</si>
  <si>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</si>
  <si>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</si>
  <si>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</si>
  <si>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</si>
  <si>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</si>
  <si>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</si>
  <si>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</si>
  <si>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</si>
  <si>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</si>
  <si>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</si>
  <si>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</si>
  <si>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</si>
  <si>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</si>
  <si>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</si>
  <si>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</si>
  <si>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</si>
  <si>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</si>
  <si>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</si>
  <si>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</si>
  <si>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</si>
  <si>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</si>
  <si>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</si>
  <si>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</si>
  <si>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</si>
  <si>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</si>
  <si>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</si>
  <si>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</si>
  <si>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</si>
  <si>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</si>
  <si>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</si>
  <si>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</si>
  <si>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</si>
  <si>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</si>
  <si>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</si>
  <si>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</si>
  <si>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</si>
  <si>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</si>
  <si>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</si>
  <si>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</si>
  <si>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</si>
  <si>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</si>
  <si>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</si>
  <si>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</si>
  <si>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</si>
  <si>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</si>
  <si>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</si>
  <si>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</si>
  <si>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</si>
  <si>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</si>
  <si>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</si>
  <si>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</si>
  <si>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</si>
  <si>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</si>
  <si>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</si>
  <si>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</si>
  <si>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</si>
  <si>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</si>
  <si>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</si>
  <si>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</si>
  <si>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</si>
  <si>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</si>
  <si>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</si>
  <si>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</si>
  <si>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</si>
  <si>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</si>
  <si>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</si>
  <si>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</si>
  <si>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</si>
  <si>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</si>
  <si>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</si>
  <si>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</si>
  <si>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</si>
  <si>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</si>
  <si>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</si>
  <si>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</si>
  <si>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</si>
  <si>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</si>
  <si>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</si>
  <si>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</si>
  <si>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</si>
  <si>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</si>
  <si>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</si>
  <si>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</si>
  <si>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</si>
  <si>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</si>
  <si>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</si>
  <si>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</si>
  <si>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</si>
  <si>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</si>
  <si>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</si>
  <si>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</si>
  <si>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</si>
  <si>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</si>
  <si>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</si>
  <si>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</si>
  <si>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</si>
  <si>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</si>
  <si>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</si>
  <si>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</si>
  <si>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</si>
  <si>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</si>
  <si>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</si>
  <si>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</si>
  <si>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</si>
  <si>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</si>
  <si>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</si>
  <si>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</si>
  <si>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</si>
  <si>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</si>
  <si>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</si>
  <si>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</si>
  <si>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</si>
  <si>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</si>
  <si>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</si>
  <si>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</si>
  <si>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</si>
  <si>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</si>
  <si>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</si>
  <si>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</si>
  <si>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</si>
  <si>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</si>
  <si>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</si>
  <si>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</si>
  <si>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</si>
  <si>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</si>
  <si>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</si>
  <si>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</si>
  <si>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</si>
  <si>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</si>
  <si>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</si>
  <si>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</si>
  <si>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</si>
  <si>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</si>
  <si>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</si>
  <si>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</si>
  <si>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</si>
  <si>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</si>
  <si>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</si>
  <si>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</si>
  <si>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</si>
  <si>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</si>
  <si>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</si>
  <si>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</si>
  <si>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</si>
  <si>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</si>
  <si>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</si>
  <si>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</si>
  <si>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</si>
  <si>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</si>
  <si>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</si>
  <si>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</si>
  <si>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</si>
  <si>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</si>
  <si>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</si>
  <si>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</si>
  <si>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</si>
  <si>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</si>
  <si>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</si>
  <si>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</si>
  <si>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</si>
  <si>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</si>
  <si>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</si>
  <si>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</si>
  <si>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</si>
  <si>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</si>
  <si>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</si>
  <si>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</si>
  <si>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</si>
  <si>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</si>
  <si>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</si>
  <si>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</si>
  <si>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</si>
  <si>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</si>
  <si>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</si>
  <si>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</si>
  <si>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</si>
  <si>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</si>
  <si>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</si>
  <si>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</si>
  <si>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</si>
  <si>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</si>
  <si>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</si>
  <si>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</si>
  <si>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</si>
  <si>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</si>
  <si>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</si>
  <si>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</si>
  <si>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</si>
  <si>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</si>
  <si>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</si>
  <si>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</si>
  <si>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</si>
  <si>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</si>
  <si>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</si>
  <si>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</si>
  <si>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</si>
  <si>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</si>
  <si>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</si>
  <si>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</si>
  <si>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</si>
  <si>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</si>
  <si>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</si>
  <si>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</si>
  <si>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</si>
  <si>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</si>
  <si>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</si>
  <si>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</si>
  <si>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</si>
  <si>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</si>
  <si>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</si>
  <si>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</si>
  <si>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</si>
  <si>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</si>
  <si>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</si>
  <si>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</si>
  <si>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</si>
  <si>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</si>
  <si>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</si>
  <si>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</si>
  <si>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</si>
  <si>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</si>
  <si>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</si>
  <si>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</si>
  <si>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</si>
  <si>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</si>
  <si>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</si>
  <si>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</si>
  <si>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</si>
  <si>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</si>
  <si>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</si>
  <si>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</si>
  <si>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</si>
  <si>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</si>
  <si>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</si>
  <si>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</si>
  <si>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</si>
  <si>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</si>
  <si>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</si>
  <si>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</si>
  <si>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</si>
  <si>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</si>
  <si>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</si>
  <si>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</si>
  <si>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</si>
  <si>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</si>
  <si>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</si>
  <si>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</si>
  <si>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</si>
  <si>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</si>
  <si>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</si>
  <si>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</si>
  <si>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</si>
  <si>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</si>
  <si>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</si>
  <si>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</si>
  <si>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</si>
  <si>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</si>
  <si>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</si>
  <si>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</si>
  <si>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</si>
  <si>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</si>
  <si>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</si>
  <si>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</si>
  <si>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</si>
  <si>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</si>
  <si>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</si>
  <si>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</si>
  <si>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</si>
  <si>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</si>
  <si>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</si>
  <si>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</si>
  <si>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</si>
  <si>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</si>
  <si>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</si>
  <si>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</si>
  <si>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</si>
  <si>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</si>
  <si>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</si>
  <si>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</si>
  <si>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</si>
  <si>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</si>
  <si>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</si>
  <si>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</si>
  <si>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</si>
  <si>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</si>
  <si>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</si>
  <si>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</si>
  <si>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</si>
  <si>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</si>
  <si>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</si>
  <si>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</si>
  <si>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</si>
  <si>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</si>
  <si>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</si>
  <si>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</si>
  <si>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</si>
  <si>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</si>
  <si>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</si>
  <si>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</si>
  <si>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</si>
  <si>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</si>
  <si>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</si>
  <si>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</si>
  <si>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</si>
  <si>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</si>
  <si>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</si>
  <si>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</si>
  <si>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</si>
  <si>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</si>
  <si>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</si>
  <si>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</si>
  <si>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</si>
  <si>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</si>
  <si>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</si>
  <si>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</si>
  <si>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</si>
  <si>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</si>
  <si>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</si>
  <si>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</si>
  <si>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</si>
  <si>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</si>
  <si>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</si>
  <si>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</si>
  <si>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</si>
  <si>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</si>
  <si>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</si>
  <si>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</si>
  <si>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</si>
  <si>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</si>
  <si>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</si>
  <si>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</si>
  <si>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</si>
  <si>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</si>
  <si>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</si>
  <si>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</si>
  <si>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</si>
  <si>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</si>
  <si>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</si>
  <si>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</si>
  <si>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</si>
  <si>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</si>
  <si>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</si>
  <si>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</si>
  <si>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</si>
  <si>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</si>
  <si>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</si>
  <si>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</si>
  <si>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</si>
  <si>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</si>
  <si>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</si>
  <si>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</si>
  <si>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</si>
  <si>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</si>
  <si>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</si>
  <si>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</si>
  <si>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</si>
  <si>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</si>
  <si>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</si>
  <si>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</si>
  <si>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</si>
  <si>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</si>
  <si>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</si>
  <si>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</si>
  <si>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</si>
  <si>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</si>
  <si>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</si>
  <si>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</si>
  <si>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</si>
  <si>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</si>
  <si>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</si>
  <si>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</si>
  <si>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</si>
  <si>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</si>
  <si>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</si>
  <si>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</si>
  <si>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</si>
  <si>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</si>
  <si>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</si>
  <si>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</si>
  <si>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</si>
  <si>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</si>
  <si>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</si>
  <si>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</si>
  <si>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</si>
  <si>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</si>
  <si>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</si>
  <si>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</si>
  <si>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</si>
  <si>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</si>
  <si>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</si>
  <si>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</si>
  <si>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</si>
  <si>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</si>
  <si>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</si>
  <si>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</si>
  <si>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</si>
  <si>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</si>
  <si>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</si>
  <si>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</si>
  <si>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</si>
  <si>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</si>
  <si>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</si>
  <si>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</si>
  <si>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</si>
  <si>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</si>
  <si>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</si>
  <si>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</si>
  <si>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</si>
  <si>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</si>
  <si>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</si>
  <si>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</si>
  <si>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</si>
  <si>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</si>
  <si>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</si>
  <si>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</si>
  <si>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</si>
  <si>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</si>
  <si>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</si>
  <si>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</si>
  <si>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</si>
  <si>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</si>
  <si>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</si>
  <si>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</si>
  <si>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</si>
  <si>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</si>
  <si>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</si>
  <si>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</si>
  <si>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</si>
  <si>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</si>
  <si>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</si>
  <si>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</si>
  <si>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</si>
  <si>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</si>
  <si>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</si>
  <si>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</si>
  <si>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</si>
  <si>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</si>
  <si>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</si>
  <si>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</si>
  <si>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</si>
  <si>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</si>
  <si>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</si>
  <si>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</si>
  <si>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</si>
  <si>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</si>
  <si>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</si>
  <si>
    <t>조회년월: 2020.12</t>
    <phoneticPr fontId="43" type="noConversion"/>
  </si>
  <si>
    <t>수송 부문 주요 지표 및 에너지 수요 - 기준 시나리오(REF) / Key Transport Sector Indicators and Energy Demand - Reference Scenario (REF)</t>
  </si>
  <si>
    <r>
      <t xml:space="preserve">(단위: 백만 </t>
    </r>
    <r>
      <rPr>
        <sz val="7"/>
        <color theme="1"/>
        <rFont val="Century Gothic"/>
        <family val="2"/>
      </rPr>
      <t>toe</t>
    </r>
    <r>
      <rPr>
        <sz val="7"/>
        <color theme="1"/>
        <rFont val="맑은 고딕"/>
        <family val="3"/>
        <charset val="129"/>
      </rPr>
      <t>)</t>
    </r>
  </si>
  <si>
    <t>비중 (%) / weight %</t>
  </si>
  <si>
    <t>증가율 (%) / 
Increase rate (%)</t>
  </si>
  <si>
    <t>00-23</t>
  </si>
  <si>
    <t>23-50</t>
  </si>
  <si>
    <t>Key Indicators</t>
  </si>
  <si>
    <t>주요지표</t>
    <phoneticPr fontId="59" type="noConversion"/>
  </si>
  <si>
    <t>By Vehicle Type (Millions of Units)</t>
  </si>
  <si>
    <t>자동차 형태별 (백만대)</t>
  </si>
  <si>
    <t>Passenger Cars</t>
  </si>
  <si>
    <t>승용차</t>
    <phoneticPr fontId="59" type="noConversion"/>
  </si>
  <si>
    <t>Trucks</t>
  </si>
  <si>
    <t>화물차</t>
    <phoneticPr fontId="59" type="noConversion"/>
  </si>
  <si>
    <t>Passenger Vehicles</t>
  </si>
  <si>
    <t>승합차</t>
    <phoneticPr fontId="59" type="noConversion"/>
  </si>
  <si>
    <t>By Vehicle Fuel (Millions of Units)</t>
  </si>
  <si>
    <t>자동차 연료별 (백만대)</t>
  </si>
  <si>
    <t>Gasoline</t>
  </si>
  <si>
    <t>휘발유</t>
  </si>
  <si>
    <t>Diesel</t>
  </si>
  <si>
    <t>경유</t>
  </si>
  <si>
    <t>Battery Vehicles</t>
  </si>
  <si>
    <t>배터리자동차</t>
  </si>
  <si>
    <t>Fuel Cell Vehicles</t>
  </si>
  <si>
    <t>연료전지자동차</t>
  </si>
  <si>
    <t>Others</t>
  </si>
  <si>
    <t>기타</t>
  </si>
  <si>
    <t>Energy Demand</t>
  </si>
  <si>
    <t>에너지 수요</t>
  </si>
  <si>
    <t>휘발유</t>
    <phoneticPr fontId="59" type="noConversion"/>
  </si>
  <si>
    <t>경유</t>
    <phoneticPr fontId="59" type="noConversion"/>
  </si>
  <si>
    <t>Heavy Oil</t>
  </si>
  <si>
    <t>중유</t>
    <phoneticPr fontId="59" type="noConversion"/>
  </si>
  <si>
    <t>Jet Fuel</t>
  </si>
  <si>
    <t>제트유</t>
    <phoneticPr fontId="59" type="noConversion"/>
  </si>
  <si>
    <t>Butane</t>
  </si>
  <si>
    <t>부탄</t>
    <phoneticPr fontId="59" type="noConversion"/>
  </si>
  <si>
    <t>Other Petroleum</t>
  </si>
  <si>
    <t>기타석유</t>
    <phoneticPr fontId="59" type="noConversion"/>
  </si>
  <si>
    <t>City Gas</t>
  </si>
  <si>
    <t>도시가스</t>
    <phoneticPr fontId="59" type="noConversion"/>
  </si>
  <si>
    <t>Electricity</t>
  </si>
  <si>
    <t>전기</t>
  </si>
  <si>
    <t>Renewable Energy/Others</t>
  </si>
  <si>
    <t>신재생∙기타</t>
  </si>
  <si>
    <t>Energy Demand by Transportation Mode</t>
  </si>
  <si>
    <t>수송 수단별 에너지수요</t>
    <phoneticPr fontId="59" type="noConversion"/>
  </si>
  <si>
    <t>Road</t>
  </si>
  <si>
    <t>도로</t>
    <phoneticPr fontId="59" type="noConversion"/>
  </si>
  <si>
    <t>Rail</t>
  </si>
  <si>
    <t>철도</t>
    <phoneticPr fontId="59" type="noConversion"/>
  </si>
  <si>
    <t>Air</t>
  </si>
  <si>
    <t>항공</t>
    <phoneticPr fontId="59" type="noConversion"/>
  </si>
  <si>
    <t>Shipment</t>
  </si>
  <si>
    <t>해운</t>
    <phoneticPr fontId="59" type="noConversion"/>
  </si>
  <si>
    <t>KEEI Data</t>
  </si>
  <si>
    <t>x</t>
  </si>
  <si>
    <t xml:space="preserve"> y</t>
  </si>
  <si>
    <t>Oh et al. data; Journal of Climate Change Research 2023</t>
  </si>
  <si>
    <t>LDV</t>
  </si>
  <si>
    <t>HDV</t>
  </si>
  <si>
    <t>Buses</t>
  </si>
  <si>
    <t>Freight Trucks</t>
  </si>
  <si>
    <t>scaled by forecast</t>
  </si>
  <si>
    <t>Future vehicle stock</t>
  </si>
  <si>
    <t>Journal of Climate Change Research</t>
  </si>
  <si>
    <t>https://jccr.re.kr/xml/39221/39221.pdf</t>
  </si>
  <si>
    <t>2050 Carbon neutrality measures and costs in the road transport sector of South Korea</t>
  </si>
  <si>
    <t>I believe the KEEI source lumps heavy buses in with trucks and only separates passenger vans in the bus category.</t>
  </si>
  <si>
    <t>Shipping</t>
  </si>
  <si>
    <t>fleet</t>
  </si>
  <si>
    <t>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</si>
</sst>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  <numFmt numFmtId="171" formatCode="#\ ##0"/>
    <numFmt numFmtId="172" formatCode="#\ ##0.00"/>
    <numFmt numFmtId="173" formatCode="#\ ##0;\-#\ ##0;\-"/>
    <numFmt numFmtId="174" formatCode="#\ ##0.0"/>
  </numFmts>
  <fonts count="14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맑은 고딕"/>
      <family val="3"/>
      <charset val="129"/>
    </font>
    <font>
      <sz val="7"/>
      <color theme="1"/>
      <name val="맑은 고딕"/>
      <family val="3"/>
      <charset val="129"/>
    </font>
    <font>
      <sz val="7"/>
      <color theme="1"/>
      <name val="Century Gothic"/>
      <family val="2"/>
    </font>
    <font>
      <b/>
      <sz val="7.5"/>
      <color theme="0"/>
      <name val="Calibri"/>
      <family val="2"/>
      <scheme val="minor"/>
    </font>
    <font>
      <b/>
      <sz val="8"/>
      <color theme="0"/>
      <name val="맑은 고딕"/>
      <family val="3"/>
      <charset val="129"/>
    </font>
    <font>
      <b/>
      <sz val="8"/>
      <color theme="0"/>
      <name val="Calibri"/>
      <family val="2"/>
      <scheme val="minor"/>
    </font>
    <font>
      <sz val="9"/>
      <color rgb="FF1F1F1F"/>
      <name val="Cambria"/>
      <family val="2"/>
      <scheme val="major"/>
    </font>
    <font>
      <b/>
      <sz val="7"/>
      <color theme="1"/>
      <name val="맑은 고딕"/>
      <family val="3"/>
      <charset val="129"/>
    </font>
    <font>
      <b/>
      <sz val="7.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7.5"/>
      <color indexed="8"/>
      <name val="Calibri"/>
      <family val="2"/>
      <scheme val="minor"/>
    </font>
    <font>
      <sz val="9"/>
      <color theme="1"/>
      <name val="Cambria"/>
      <family val="2"/>
      <scheme val="major"/>
    </font>
    <font>
      <sz val="1"/>
      <color theme="1"/>
      <name val="맑은 고딕"/>
      <family val="3"/>
      <charset val="129"/>
    </font>
    <font>
      <sz val="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3" tint="-0.249977111117893"/>
      </top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4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164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164" fontId="125" fillId="0" borderId="0" applyFont="0" applyFill="0" applyBorder="0" applyAlignment="0" applyProtection="0">
      <alignment vertical="center"/>
    </xf>
  </cellStyleXfs>
  <cellXfs count="242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70" fontId="121" fillId="0" borderId="70" xfId="4707" applyNumberFormat="1" applyFont="1" applyBorder="1" applyAlignment="1">
      <alignment horizontal="center" vertical="center"/>
    </xf>
    <xf numFmtId="170" fontId="123" fillId="31" borderId="56" xfId="0" applyNumberFormat="1" applyFont="1" applyFill="1" applyBorder="1" applyAlignment="1">
      <alignment horizontal="right"/>
    </xf>
    <xf numFmtId="170" fontId="123" fillId="30" borderId="56" xfId="0" applyNumberFormat="1" applyFont="1" applyFill="1" applyBorder="1" applyAlignment="1">
      <alignment horizontal="right"/>
    </xf>
    <xf numFmtId="170" fontId="123" fillId="32" borderId="56" xfId="0" applyNumberFormat="1" applyFont="1" applyFill="1" applyBorder="1" applyAlignment="1">
      <alignment horizontal="right"/>
    </xf>
    <xf numFmtId="170" fontId="123" fillId="29" borderId="56" xfId="0" applyNumberFormat="1" applyFont="1" applyFill="1" applyBorder="1" applyAlignment="1">
      <alignment horizontal="right"/>
    </xf>
    <xf numFmtId="170" fontId="122" fillId="0" borderId="0" xfId="0" applyNumberFormat="1" applyFont="1" applyAlignment="1">
      <alignment vertical="center"/>
    </xf>
    <xf numFmtId="169" fontId="124" fillId="0" borderId="0" xfId="0" applyNumberFormat="1" applyFont="1"/>
    <xf numFmtId="11" fontId="0" fillId="0" borderId="0" xfId="0" applyNumberFormat="1" applyAlignment="1">
      <alignment vertical="center"/>
    </xf>
    <xf numFmtId="11" fontId="0" fillId="0" borderId="0" xfId="0" applyNumberFormat="1"/>
    <xf numFmtId="0" fontId="0" fillId="34" borderId="56" xfId="0" applyFill="1" applyBorder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164" fontId="0" fillId="0" borderId="0" xfId="4711" applyFont="1">
      <alignment vertical="center"/>
    </xf>
    <xf numFmtId="0" fontId="83" fillId="70" borderId="0" xfId="4292" applyFill="1" applyAlignment="1"/>
    <xf numFmtId="0" fontId="129" fillId="71" borderId="0" xfId="4291" applyFont="1" applyFill="1" applyAlignment="1">
      <alignment vertical="center" wrapText="1"/>
    </xf>
    <xf numFmtId="0" fontId="130" fillId="71" borderId="0" xfId="4291" applyFont="1" applyFill="1" applyAlignment="1">
      <alignment horizontal="centerContinuous" vertical="center" wrapText="1"/>
    </xf>
    <xf numFmtId="0" fontId="131" fillId="71" borderId="0" xfId="4291" applyFont="1" applyFill="1" applyAlignment="1">
      <alignment vertical="center" wrapText="1"/>
    </xf>
    <xf numFmtId="0" fontId="131" fillId="71" borderId="0" xfId="4291" applyFont="1" applyFill="1" applyAlignment="1">
      <alignment horizontal="center" vertical="center" wrapText="1"/>
    </xf>
    <xf numFmtId="0" fontId="132" fillId="0" borderId="0" xfId="0" applyFont="1" applyAlignment="1">
      <alignment horizontal="left" vertical="center"/>
    </xf>
    <xf numFmtId="0" fontId="133" fillId="70" borderId="0" xfId="4291" applyFont="1" applyFill="1" applyAlignment="1">
      <alignment vertical="center" wrapText="1"/>
    </xf>
    <xf numFmtId="171" fontId="134" fillId="72" borderId="0" xfId="4291" applyNumberFormat="1" applyFont="1" applyFill="1" applyAlignment="1">
      <alignment horizontal="right" vertical="center" wrapText="1"/>
    </xf>
    <xf numFmtId="171" fontId="134" fillId="70" borderId="0" xfId="4291" applyNumberFormat="1" applyFont="1" applyFill="1" applyAlignment="1">
      <alignment horizontal="right" vertical="center" wrapText="1"/>
    </xf>
    <xf numFmtId="172" fontId="135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1"/>
    </xf>
    <xf numFmtId="173" fontId="136" fillId="72" borderId="0" xfId="4291" applyNumberFormat="1" applyFont="1" applyFill="1" applyAlignment="1">
      <alignment horizontal="right" vertical="center" wrapText="1"/>
    </xf>
    <xf numFmtId="173" fontId="136" fillId="70" borderId="0" xfId="4291" applyNumberFormat="1" applyFont="1" applyFill="1" applyAlignment="1">
      <alignment horizontal="right" vertical="center" wrapText="1"/>
    </xf>
    <xf numFmtId="171" fontId="136" fillId="70" borderId="0" xfId="4291" applyNumberFormat="1" applyFont="1" applyFill="1" applyAlignment="1">
      <alignment horizontal="right" vertical="center" wrapText="1"/>
    </xf>
    <xf numFmtId="174" fontId="136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2"/>
    </xf>
    <xf numFmtId="173" fontId="135" fillId="72" borderId="0" xfId="4291" applyNumberFormat="1" applyFont="1" applyFill="1" applyAlignment="1">
      <alignment horizontal="right" vertical="center" wrapText="1"/>
    </xf>
    <xf numFmtId="173" fontId="135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/>
    </xf>
    <xf numFmtId="174" fontId="135" fillId="70" borderId="0" xfId="4291" applyNumberFormat="1" applyFont="1" applyFill="1" applyAlignment="1">
      <alignment horizontal="right" vertical="center" wrapText="1"/>
    </xf>
    <xf numFmtId="0" fontId="137" fillId="0" borderId="0" xfId="0" applyFont="1" applyAlignment="1">
      <alignment horizontal="left" vertical="center"/>
    </xf>
    <xf numFmtId="0" fontId="138" fillId="70" borderId="73" xfId="4291" applyFont="1" applyFill="1" applyBorder="1" applyAlignment="1">
      <alignment vertical="center" wrapText="1"/>
    </xf>
    <xf numFmtId="171" fontId="139" fillId="72" borderId="73" xfId="4291" applyNumberFormat="1" applyFont="1" applyFill="1" applyBorder="1" applyAlignment="1">
      <alignment horizontal="right" vertical="center" wrapText="1"/>
    </xf>
    <xf numFmtId="171" fontId="139" fillId="70" borderId="73" xfId="4291" applyNumberFormat="1" applyFont="1" applyFill="1" applyBorder="1" applyAlignment="1">
      <alignment horizontal="right" vertical="center" wrapText="1"/>
    </xf>
    <xf numFmtId="174" fontId="139" fillId="70" borderId="73" xfId="4291" applyNumberFormat="1" applyFont="1" applyFill="1" applyBorder="1" applyAlignment="1">
      <alignment horizontal="right" vertical="center" wrapText="1"/>
    </xf>
    <xf numFmtId="173" fontId="134" fillId="72" borderId="0" xfId="4291" applyNumberFormat="1" applyFont="1" applyFill="1" applyAlignment="1">
      <alignment horizontal="right" vertical="center" wrapText="1"/>
    </xf>
    <xf numFmtId="173" fontId="134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 indent="1"/>
    </xf>
    <xf numFmtId="174" fontId="135" fillId="70" borderId="0" xfId="4291" applyNumberFormat="1" applyFont="1" applyFill="1" applyAlignment="1">
      <alignment horizontal="right" vertical="center" wrapText="1" indent="1"/>
    </xf>
    <xf numFmtId="0" fontId="132" fillId="73" borderId="0" xfId="0" applyFont="1" applyFill="1" applyAlignment="1">
      <alignment horizontal="left" vertical="center"/>
    </xf>
    <xf numFmtId="0" fontId="0" fillId="74" borderId="0" xfId="0" applyFill="1"/>
    <xf numFmtId="0" fontId="2" fillId="74" borderId="0" xfId="0" applyFont="1" applyFill="1"/>
    <xf numFmtId="1" fontId="0" fillId="0" borderId="0" xfId="0" applyNumberFormat="1"/>
    <xf numFmtId="11" fontId="0" fillId="0" borderId="0" xfId="4708" applyNumberFormat="1" applyFont="1" applyAlignment="1">
      <alignment vertical="center"/>
    </xf>
    <xf numFmtId="11" fontId="0" fillId="29" borderId="0" xfId="4708" applyNumberFormat="1" applyFont="1" applyFill="1" applyAlignment="1">
      <alignment vertical="center"/>
    </xf>
    <xf numFmtId="11" fontId="0" fillId="0" borderId="0" xfId="4708" applyNumberFormat="1" applyFont="1" applyFill="1" applyAlignment="1">
      <alignment vertical="center"/>
    </xf>
    <xf numFmtId="11" fontId="0" fillId="75" borderId="0" xfId="0" applyNumberFormat="1" applyFill="1" applyAlignment="1">
      <alignment vertical="center"/>
    </xf>
    <xf numFmtId="0" fontId="0" fillId="75" borderId="0" xfId="0" applyFill="1" applyAlignment="1">
      <alignment vertical="center"/>
    </xf>
    <xf numFmtId="0" fontId="140" fillId="0" borderId="0" xfId="0" applyFont="1"/>
    <xf numFmtId="169" fontId="0" fillId="76" borderId="0" xfId="0" applyNumberFormat="1" applyFill="1"/>
    <xf numFmtId="169" fontId="0" fillId="27" borderId="0" xfId="0" applyNumberFormat="1" applyFill="1"/>
    <xf numFmtId="169" fontId="0" fillId="77" borderId="0" xfId="0" applyNumberFormat="1" applyFill="1"/>
    <xf numFmtId="169" fontId="0" fillId="78" borderId="0" xfId="0" applyNumberFormat="1" applyFill="1"/>
    <xf numFmtId="169" fontId="0" fillId="79" borderId="0" xfId="0" applyNumberFormat="1" applyFill="1"/>
    <xf numFmtId="169" fontId="0" fillId="75" borderId="0" xfId="0" applyNumberFormat="1" applyFill="1"/>
    <xf numFmtId="0" fontId="126" fillId="70" borderId="0" xfId="4292" applyFont="1" applyFill="1" applyAlignment="1">
      <alignment horizontal="center" wrapText="1"/>
    </xf>
    <xf numFmtId="0" fontId="126" fillId="70" borderId="0" xfId="4292" applyFont="1" applyFill="1" applyAlignment="1">
      <alignment horizontal="center"/>
    </xf>
    <xf numFmtId="0" fontId="127" fillId="70" borderId="0" xfId="4292" applyFont="1" applyFill="1" applyAlignment="1">
      <alignment horizontal="right" wrapText="1"/>
    </xf>
    <xf numFmtId="0" fontId="129" fillId="71" borderId="72" xfId="4291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1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</a:t>
            </a:r>
            <a:r>
              <a:rPr lang="en-US" baseline="0"/>
              <a:t> "trucks", H: "trucks"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forecasts'!$C$116:$AD$116</c:f>
              <c:numCache>
                <c:formatCode>0.00E+00</c:formatCode>
                <c:ptCount val="28"/>
                <c:pt idx="0">
                  <c:v>3242311.1744860602</c:v>
                </c:pt>
                <c:pt idx="1">
                  <c:v>3252813.1197185623</c:v>
                </c:pt>
                <c:pt idx="2">
                  <c:v>3263315.064951065</c:v>
                </c:pt>
                <c:pt idx="3">
                  <c:v>3273380.9323765878</c:v>
                </c:pt>
                <c:pt idx="4">
                  <c:v>3283446.7998021115</c:v>
                </c:pt>
                <c:pt idx="5">
                  <c:v>3293512.6672276352</c:v>
                </c:pt>
                <c:pt idx="6">
                  <c:v>3303578.5346531589</c:v>
                </c:pt>
                <c:pt idx="7">
                  <c:v>3313644.4020786807</c:v>
                </c:pt>
                <c:pt idx="8">
                  <c:v>3316624.2211783109</c:v>
                </c:pt>
                <c:pt idx="9">
                  <c:v>3319604.0402779402</c:v>
                </c:pt>
                <c:pt idx="10">
                  <c:v>3322583.8593775695</c:v>
                </c:pt>
                <c:pt idx="11">
                  <c:v>3325563.6784771988</c:v>
                </c:pt>
                <c:pt idx="12">
                  <c:v>3328543.4975768286</c:v>
                </c:pt>
                <c:pt idx="13">
                  <c:v>3324088.460180596</c:v>
                </c:pt>
                <c:pt idx="14">
                  <c:v>3319633.4227843615</c:v>
                </c:pt>
                <c:pt idx="15">
                  <c:v>3315178.3853881275</c:v>
                </c:pt>
                <c:pt idx="16">
                  <c:v>3310723.3479918949</c:v>
                </c:pt>
                <c:pt idx="17">
                  <c:v>3306268.3105956591</c:v>
                </c:pt>
                <c:pt idx="18">
                  <c:v>3292714.1006734804</c:v>
                </c:pt>
                <c:pt idx="19">
                  <c:v>3279159.8907513064</c:v>
                </c:pt>
                <c:pt idx="20">
                  <c:v>3265605.6808291278</c:v>
                </c:pt>
                <c:pt idx="21">
                  <c:v>3252051.4709069501</c:v>
                </c:pt>
                <c:pt idx="22">
                  <c:v>3238497.2609847714</c:v>
                </c:pt>
                <c:pt idx="23">
                  <c:v>3217856.9679041491</c:v>
                </c:pt>
                <c:pt idx="24">
                  <c:v>3197216.6748235268</c:v>
                </c:pt>
                <c:pt idx="25">
                  <c:v>3176576.3817429044</c:v>
                </c:pt>
                <c:pt idx="26">
                  <c:v>3155936.0886622821</c:v>
                </c:pt>
                <c:pt idx="27">
                  <c:v>3135295.7955816598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5-4D77-8DA1-58DCFE6CEF18}"/>
            </c:ext>
          </c:extLst>
        </c:ser>
        <c:ser>
          <c:idx val="0"/>
          <c:order val="1"/>
          <c:tx>
            <c:v>KEEI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forecasts'!$C$47:$AD$47</c:f>
              <c:numCache>
                <c:formatCode>General</c:formatCode>
                <c:ptCount val="28"/>
                <c:pt idx="0">
                  <c:v>3726000.0000000028</c:v>
                </c:pt>
                <c:pt idx="1">
                  <c:v>3741142.8571428582</c:v>
                </c:pt>
                <c:pt idx="2">
                  <c:v>3756285.7142857169</c:v>
                </c:pt>
                <c:pt idx="3">
                  <c:v>3771428.5714285723</c:v>
                </c:pt>
                <c:pt idx="4">
                  <c:v>3786571.428571431</c:v>
                </c:pt>
                <c:pt idx="5">
                  <c:v>3801714.2857142864</c:v>
                </c:pt>
                <c:pt idx="6">
                  <c:v>3816857.1428571455</c:v>
                </c:pt>
                <c:pt idx="7">
                  <c:v>3832000</c:v>
                </c:pt>
                <c:pt idx="8">
                  <c:v>3833700</c:v>
                </c:pt>
                <c:pt idx="9">
                  <c:v>3835400</c:v>
                </c:pt>
                <c:pt idx="10">
                  <c:v>3837100</c:v>
                </c:pt>
                <c:pt idx="11">
                  <c:v>3838800</c:v>
                </c:pt>
                <c:pt idx="12">
                  <c:v>3840500</c:v>
                </c:pt>
                <c:pt idx="13">
                  <c:v>3842200</c:v>
                </c:pt>
                <c:pt idx="14">
                  <c:v>3843900</c:v>
                </c:pt>
                <c:pt idx="15">
                  <c:v>3845600</c:v>
                </c:pt>
                <c:pt idx="16">
                  <c:v>3847300</c:v>
                </c:pt>
                <c:pt idx="17">
                  <c:v>3848999.9999999967</c:v>
                </c:pt>
                <c:pt idx="18">
                  <c:v>3832999.9999999986</c:v>
                </c:pt>
                <c:pt idx="19">
                  <c:v>3816999.999999993</c:v>
                </c:pt>
                <c:pt idx="20">
                  <c:v>3800999.9999999949</c:v>
                </c:pt>
                <c:pt idx="21">
                  <c:v>3784999.9999999967</c:v>
                </c:pt>
                <c:pt idx="22">
                  <c:v>3768999.9999999981</c:v>
                </c:pt>
                <c:pt idx="23">
                  <c:v>3752999.999999993</c:v>
                </c:pt>
                <c:pt idx="24">
                  <c:v>3736999.9999999949</c:v>
                </c:pt>
                <c:pt idx="25">
                  <c:v>3720999.9999999967</c:v>
                </c:pt>
                <c:pt idx="26">
                  <c:v>3704999.9999999981</c:v>
                </c:pt>
                <c:pt idx="27">
                  <c:v>3689000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5-4D77-8DA1-58DCFE6CE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forecasts'!$C$74:$AD$74</c:f>
              <c:numCache>
                <c:formatCode>General</c:formatCode>
                <c:ptCount val="28"/>
                <c:pt idx="0">
                  <c:v>21046386.210114717</c:v>
                </c:pt>
                <c:pt idx="1">
                  <c:v>21466405.31511426</c:v>
                </c:pt>
                <c:pt idx="2" formatCode="0.00E+00">
                  <c:v>21886424.420113862</c:v>
                </c:pt>
                <c:pt idx="3" formatCode="0.00E+00">
                  <c:v>22126626.43878746</c:v>
                </c:pt>
                <c:pt idx="4" formatCode="0.00E+00">
                  <c:v>22366828.457461059</c:v>
                </c:pt>
                <c:pt idx="5" formatCode="0.00E+00">
                  <c:v>22607030.476134658</c:v>
                </c:pt>
                <c:pt idx="6" formatCode="0.00E+00">
                  <c:v>22847232.494808257</c:v>
                </c:pt>
                <c:pt idx="7" formatCode="0.00E+00">
                  <c:v>23087434.513481796</c:v>
                </c:pt>
                <c:pt idx="8" formatCode="0.00E+00">
                  <c:v>23236866.898107767</c:v>
                </c:pt>
                <c:pt idx="9" formatCode="0.00E+00">
                  <c:v>23386299.282733798</c:v>
                </c:pt>
                <c:pt idx="10" formatCode="0.00E+00">
                  <c:v>23535731.667359769</c:v>
                </c:pt>
                <c:pt idx="11" formatCode="0.00E+00">
                  <c:v>23685164.051985741</c:v>
                </c:pt>
                <c:pt idx="12" formatCode="0.00E+00">
                  <c:v>23834596.436611734</c:v>
                </c:pt>
                <c:pt idx="13" formatCode="0.00E+00">
                  <c:v>23869947.682934277</c:v>
                </c:pt>
                <c:pt idx="14" formatCode="0.00E+00">
                  <c:v>23905298.929256819</c:v>
                </c:pt>
                <c:pt idx="15" formatCode="0.00E+00">
                  <c:v>23940650.175579362</c:v>
                </c:pt>
                <c:pt idx="16" formatCode="0.00E+00">
                  <c:v>23976001.421901904</c:v>
                </c:pt>
                <c:pt idx="17" formatCode="0.00E+00">
                  <c:v>24011352.668224454</c:v>
                </c:pt>
                <c:pt idx="18" formatCode="0.00E+00">
                  <c:v>23986319.17682682</c:v>
                </c:pt>
                <c:pt idx="19" formatCode="0.00E+00">
                  <c:v>23961285.685429186</c:v>
                </c:pt>
                <c:pt idx="20" formatCode="0.00E+00">
                  <c:v>23936252.194031551</c:v>
                </c:pt>
                <c:pt idx="21" formatCode="0.00E+00">
                  <c:v>23911218.702633917</c:v>
                </c:pt>
                <c:pt idx="22" formatCode="0.00E+00">
                  <c:v>23886185.211236298</c:v>
                </c:pt>
                <c:pt idx="23" formatCode="0.00E+00">
                  <c:v>23774779.87271145</c:v>
                </c:pt>
                <c:pt idx="24" formatCode="0.00E+00">
                  <c:v>23663374.534186631</c:v>
                </c:pt>
                <c:pt idx="25" formatCode="0.00E+00">
                  <c:v>23551969.195661783</c:v>
                </c:pt>
                <c:pt idx="26" formatCode="0.00E+00">
                  <c:v>23440563.857136935</c:v>
                </c:pt>
                <c:pt idx="27" formatCode="0.00E+00">
                  <c:v>23329158.518612117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14-4D56-91D0-8B52DA0B6C99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forecasts'!$C$46:$AD$46</c:f>
              <c:numCache>
                <c:formatCode>General</c:formatCode>
                <c:ptCount val="28"/>
                <c:pt idx="0">
                  <c:v>21389999.999999985</c:v>
                </c:pt>
                <c:pt idx="1">
                  <c:v>21645428.571428511</c:v>
                </c:pt>
                <c:pt idx="2">
                  <c:v>21900857.142857034</c:v>
                </c:pt>
                <c:pt idx="3">
                  <c:v>22156285.714285672</c:v>
                </c:pt>
                <c:pt idx="4">
                  <c:v>22411714.285714198</c:v>
                </c:pt>
                <c:pt idx="5">
                  <c:v>22667142.857142836</c:v>
                </c:pt>
                <c:pt idx="6">
                  <c:v>22922571.428571358</c:v>
                </c:pt>
                <c:pt idx="7">
                  <c:v>23177999.999999996</c:v>
                </c:pt>
                <c:pt idx="8">
                  <c:v>23266499.999999978</c:v>
                </c:pt>
                <c:pt idx="9">
                  <c:v>23354999.999999989</c:v>
                </c:pt>
                <c:pt idx="10">
                  <c:v>23443500</c:v>
                </c:pt>
                <c:pt idx="11">
                  <c:v>23531999.999999981</c:v>
                </c:pt>
                <c:pt idx="12">
                  <c:v>23620499.999999993</c:v>
                </c:pt>
                <c:pt idx="13">
                  <c:v>23709000.000000004</c:v>
                </c:pt>
                <c:pt idx="14">
                  <c:v>23797499.999999985</c:v>
                </c:pt>
                <c:pt idx="15">
                  <c:v>23885999.999999996</c:v>
                </c:pt>
                <c:pt idx="16">
                  <c:v>23974499.999999978</c:v>
                </c:pt>
                <c:pt idx="17">
                  <c:v>24062999.999999989</c:v>
                </c:pt>
                <c:pt idx="18">
                  <c:v>23968999.999999966</c:v>
                </c:pt>
                <c:pt idx="19">
                  <c:v>23874999.99999997</c:v>
                </c:pt>
                <c:pt idx="20">
                  <c:v>23780999.999999978</c:v>
                </c:pt>
                <c:pt idx="21">
                  <c:v>23686999.999999985</c:v>
                </c:pt>
                <c:pt idx="22">
                  <c:v>23592999.999999989</c:v>
                </c:pt>
                <c:pt idx="23">
                  <c:v>23498999.999999966</c:v>
                </c:pt>
                <c:pt idx="24">
                  <c:v>23404999.999999974</c:v>
                </c:pt>
                <c:pt idx="25">
                  <c:v>23310999.999999978</c:v>
                </c:pt>
                <c:pt idx="26">
                  <c:v>23216999.999999985</c:v>
                </c:pt>
                <c:pt idx="27">
                  <c:v>23122999.999999989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14-4D56-91D0-8B52DA0B6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 "passenver vehicles",</a:t>
            </a:r>
            <a:r>
              <a:rPr lang="en-US" baseline="0"/>
              <a:t> H: buses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forecasts'!$C$93:$AD$93</c:f>
              <c:numCache>
                <c:formatCode>General</c:formatCode>
                <c:ptCount val="28"/>
                <c:pt idx="0" formatCode="0">
                  <c:v>222336.69845735302</c:v>
                </c:pt>
                <c:pt idx="1">
                  <c:v>222381.01364915445</c:v>
                </c:pt>
                <c:pt idx="2">
                  <c:v>222425.32884095592</c:v>
                </c:pt>
                <c:pt idx="3">
                  <c:v>222221.47699769924</c:v>
                </c:pt>
                <c:pt idx="4">
                  <c:v>222017.62515444256</c:v>
                </c:pt>
                <c:pt idx="5">
                  <c:v>221813.77331118588</c:v>
                </c:pt>
                <c:pt idx="6">
                  <c:v>221609.92146792921</c:v>
                </c:pt>
                <c:pt idx="7">
                  <c:v>221406.0696246725</c:v>
                </c:pt>
                <c:pt idx="8">
                  <c:v>221307.0980040846</c:v>
                </c:pt>
                <c:pt idx="9">
                  <c:v>221208.12638349674</c:v>
                </c:pt>
                <c:pt idx="10">
                  <c:v>221109.15476290885</c:v>
                </c:pt>
                <c:pt idx="11">
                  <c:v>221010.18314232095</c:v>
                </c:pt>
                <c:pt idx="12">
                  <c:v>220911.21152173314</c:v>
                </c:pt>
                <c:pt idx="13">
                  <c:v>220683.72499967495</c:v>
                </c:pt>
                <c:pt idx="14">
                  <c:v>220456.2384776168</c:v>
                </c:pt>
                <c:pt idx="15">
                  <c:v>220228.75195555866</c:v>
                </c:pt>
                <c:pt idx="16">
                  <c:v>220001.26543350052</c:v>
                </c:pt>
                <c:pt idx="17">
                  <c:v>219773.77891144203</c:v>
                </c:pt>
                <c:pt idx="18">
                  <c:v>218775.21085824887</c:v>
                </c:pt>
                <c:pt idx="19">
                  <c:v>217776.64280505548</c:v>
                </c:pt>
                <c:pt idx="20">
                  <c:v>216778.07475186232</c:v>
                </c:pt>
                <c:pt idx="21">
                  <c:v>215779.50669866893</c:v>
                </c:pt>
                <c:pt idx="22">
                  <c:v>214780.93864547554</c:v>
                </c:pt>
                <c:pt idx="23">
                  <c:v>213531.25219763676</c:v>
                </c:pt>
                <c:pt idx="24">
                  <c:v>212281.56574979797</c:v>
                </c:pt>
                <c:pt idx="25">
                  <c:v>211031.87930195918</c:v>
                </c:pt>
                <c:pt idx="26">
                  <c:v>209782.1928541204</c:v>
                </c:pt>
                <c:pt idx="27">
                  <c:v>208532.50640628161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F-4C78-A9D2-12364DB39870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forecasts'!$C$48:$AD$48</c:f>
              <c:numCache>
                <c:formatCode>General</c:formatCode>
                <c:ptCount val="28"/>
                <c:pt idx="0">
                  <c:v>695000</c:v>
                </c:pt>
                <c:pt idx="1">
                  <c:v>695428.57142857125</c:v>
                </c:pt>
                <c:pt idx="2">
                  <c:v>695857.14285714272</c:v>
                </c:pt>
                <c:pt idx="3">
                  <c:v>696285.7142857142</c:v>
                </c:pt>
                <c:pt idx="4">
                  <c:v>696714.28571428556</c:v>
                </c:pt>
                <c:pt idx="5">
                  <c:v>697142.85714285704</c:v>
                </c:pt>
                <c:pt idx="6">
                  <c:v>697571.42857142852</c:v>
                </c:pt>
                <c:pt idx="7">
                  <c:v>698000</c:v>
                </c:pt>
                <c:pt idx="8">
                  <c:v>697299.99999999977</c:v>
                </c:pt>
                <c:pt idx="9">
                  <c:v>696599.99999999988</c:v>
                </c:pt>
                <c:pt idx="10">
                  <c:v>695899.99999999977</c:v>
                </c:pt>
                <c:pt idx="11">
                  <c:v>695199.99999999977</c:v>
                </c:pt>
                <c:pt idx="12">
                  <c:v>694499.99999999988</c:v>
                </c:pt>
                <c:pt idx="13">
                  <c:v>693799.99999999977</c:v>
                </c:pt>
                <c:pt idx="14">
                  <c:v>693099.99999999988</c:v>
                </c:pt>
                <c:pt idx="15">
                  <c:v>692399.99999999988</c:v>
                </c:pt>
                <c:pt idx="16">
                  <c:v>691699.99999999977</c:v>
                </c:pt>
                <c:pt idx="17">
                  <c:v>690999.99999999988</c:v>
                </c:pt>
                <c:pt idx="18">
                  <c:v>687199.99999999977</c:v>
                </c:pt>
                <c:pt idx="19">
                  <c:v>683399.99999999977</c:v>
                </c:pt>
                <c:pt idx="20">
                  <c:v>679599.99999999977</c:v>
                </c:pt>
                <c:pt idx="21">
                  <c:v>675799.99999999977</c:v>
                </c:pt>
                <c:pt idx="22">
                  <c:v>671999.99999999965</c:v>
                </c:pt>
                <c:pt idx="23">
                  <c:v>668199.99999999965</c:v>
                </c:pt>
                <c:pt idx="24">
                  <c:v>664399.99999999965</c:v>
                </c:pt>
                <c:pt idx="25">
                  <c:v>660599.99999999965</c:v>
                </c:pt>
                <c:pt idx="26">
                  <c:v>656799.99999999965</c:v>
                </c:pt>
                <c:pt idx="27">
                  <c:v>652999.99999999953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F-4C78-A9D2-12364DB39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KEEI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'fleet &amp; energy forecasts'!$B$54</c:f>
              <c:strCache>
                <c:ptCount val="1"/>
                <c:pt idx="0">
                  <c:v>Passenger Cars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forecasts'!$C$54:$AD$54</c:f>
              <c:numCache>
                <c:formatCode>General</c:formatCode>
                <c:ptCount val="28"/>
                <c:pt idx="0">
                  <c:v>1</c:v>
                </c:pt>
                <c:pt idx="1">
                  <c:v>1.0119414946904406</c:v>
                </c:pt>
                <c:pt idx="2">
                  <c:v>1.0238829893808812</c:v>
                </c:pt>
                <c:pt idx="3">
                  <c:v>1.0358244840713271</c:v>
                </c:pt>
                <c:pt idx="4">
                  <c:v>1.0477659787617679</c:v>
                </c:pt>
                <c:pt idx="5">
                  <c:v>1.0597074734522138</c:v>
                </c:pt>
                <c:pt idx="6">
                  <c:v>1.0716489681426542</c:v>
                </c:pt>
                <c:pt idx="7">
                  <c:v>1.0835904628331001</c:v>
                </c:pt>
                <c:pt idx="8">
                  <c:v>1.087727910238429</c:v>
                </c:pt>
                <c:pt idx="9">
                  <c:v>1.0918653576437589</c:v>
                </c:pt>
                <c:pt idx="10">
                  <c:v>1.0960028050490891</c:v>
                </c:pt>
                <c:pt idx="11">
                  <c:v>1.1001402524544179</c:v>
                </c:pt>
                <c:pt idx="12">
                  <c:v>1.1042776998597479</c:v>
                </c:pt>
                <c:pt idx="13">
                  <c:v>1.1084151472650781</c:v>
                </c:pt>
                <c:pt idx="14">
                  <c:v>1.1125525946704069</c:v>
                </c:pt>
                <c:pt idx="15">
                  <c:v>1.1166900420757369</c:v>
                </c:pt>
                <c:pt idx="16">
                  <c:v>1.1208274894810657</c:v>
                </c:pt>
                <c:pt idx="17">
                  <c:v>1.1249649368863959</c:v>
                </c:pt>
                <c:pt idx="18">
                  <c:v>1.1205703599812988</c:v>
                </c:pt>
                <c:pt idx="19">
                  <c:v>1.1161757830762031</c:v>
                </c:pt>
                <c:pt idx="20">
                  <c:v>1.1117812061711076</c:v>
                </c:pt>
                <c:pt idx="21">
                  <c:v>1.1073866292660122</c:v>
                </c:pt>
                <c:pt idx="22">
                  <c:v>1.1029920523609165</c:v>
                </c:pt>
                <c:pt idx="23">
                  <c:v>1.0985974754558196</c:v>
                </c:pt>
                <c:pt idx="24">
                  <c:v>1.0942028985507242</c:v>
                </c:pt>
                <c:pt idx="25">
                  <c:v>1.0898083216456285</c:v>
                </c:pt>
                <c:pt idx="26">
                  <c:v>1.085413744740533</c:v>
                </c:pt>
                <c:pt idx="27">
                  <c:v>1.0810191678354373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C4-4987-A9F2-E9A727AF52E6}"/>
            </c:ext>
          </c:extLst>
        </c:ser>
        <c:ser>
          <c:idx val="1"/>
          <c:order val="1"/>
          <c:tx>
            <c:strRef>
              <c:f>'fleet &amp; energy forecasts'!$B$55</c:f>
              <c:strCache>
                <c:ptCount val="1"/>
                <c:pt idx="0">
                  <c:v>Trucks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forecasts'!$C$55:$AD$55</c:f>
              <c:numCache>
                <c:formatCode>General</c:formatCode>
                <c:ptCount val="28"/>
                <c:pt idx="0">
                  <c:v>1</c:v>
                </c:pt>
                <c:pt idx="1">
                  <c:v>1.0040641055133803</c:v>
                </c:pt>
                <c:pt idx="2">
                  <c:v>1.0081282110267618</c:v>
                </c:pt>
                <c:pt idx="3">
                  <c:v>1.0121923165401421</c:v>
                </c:pt>
                <c:pt idx="4">
                  <c:v>1.0162564220535233</c:v>
                </c:pt>
                <c:pt idx="5">
                  <c:v>1.0203205275669038</c:v>
                </c:pt>
                <c:pt idx="6">
                  <c:v>1.0243846330802853</c:v>
                </c:pt>
                <c:pt idx="7">
                  <c:v>1.0284487385936654</c:v>
                </c:pt>
                <c:pt idx="8">
                  <c:v>1.0289049919484694</c:v>
                </c:pt>
                <c:pt idx="9">
                  <c:v>1.0293612453032734</c:v>
                </c:pt>
                <c:pt idx="10">
                  <c:v>1.0298174986580777</c:v>
                </c:pt>
                <c:pt idx="11">
                  <c:v>1.0302737520128817</c:v>
                </c:pt>
                <c:pt idx="12">
                  <c:v>1.0307300053676858</c:v>
                </c:pt>
                <c:pt idx="13">
                  <c:v>1.0311862587224898</c:v>
                </c:pt>
                <c:pt idx="14">
                  <c:v>1.0316425120772938</c:v>
                </c:pt>
                <c:pt idx="15">
                  <c:v>1.0320987654320979</c:v>
                </c:pt>
                <c:pt idx="16">
                  <c:v>1.0325550187869021</c:v>
                </c:pt>
                <c:pt idx="17">
                  <c:v>1.0330112721417053</c:v>
                </c:pt>
                <c:pt idx="18">
                  <c:v>1.0287171229200203</c:v>
                </c:pt>
                <c:pt idx="19">
                  <c:v>1.0244229736983335</c:v>
                </c:pt>
                <c:pt idx="20">
                  <c:v>1.0201288244766484</c:v>
                </c:pt>
                <c:pt idx="21">
                  <c:v>1.0158346752549634</c:v>
                </c:pt>
                <c:pt idx="22">
                  <c:v>1.0115405260332784</c:v>
                </c:pt>
                <c:pt idx="23">
                  <c:v>1.0072463768115916</c:v>
                </c:pt>
                <c:pt idx="24">
                  <c:v>1.0029522275899065</c:v>
                </c:pt>
                <c:pt idx="25">
                  <c:v>0.99865807836822162</c:v>
                </c:pt>
                <c:pt idx="26">
                  <c:v>0.9943639291465366</c:v>
                </c:pt>
                <c:pt idx="27">
                  <c:v>0.99006977992485168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C4-4987-A9F2-E9A727AF52E6}"/>
            </c:ext>
          </c:extLst>
        </c:ser>
        <c:ser>
          <c:idx val="2"/>
          <c:order val="2"/>
          <c:tx>
            <c:strRef>
              <c:f>'fleet &amp; energy forecasts'!$B$56</c:f>
              <c:strCache>
                <c:ptCount val="1"/>
                <c:pt idx="0">
                  <c:v>Passenger Vehicles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forecasts'!$C$56:$AD$56</c:f>
              <c:numCache>
                <c:formatCode>General</c:formatCode>
                <c:ptCount val="28"/>
                <c:pt idx="0">
                  <c:v>1</c:v>
                </c:pt>
                <c:pt idx="1">
                  <c:v>1.0006166495375126</c:v>
                </c:pt>
                <c:pt idx="2">
                  <c:v>1.0012332990750255</c:v>
                </c:pt>
                <c:pt idx="3">
                  <c:v>1.0018499486125385</c:v>
                </c:pt>
                <c:pt idx="4">
                  <c:v>1.0024665981500511</c:v>
                </c:pt>
                <c:pt idx="5">
                  <c:v>1.0030832476875642</c:v>
                </c:pt>
                <c:pt idx="6">
                  <c:v>1.003699897225077</c:v>
                </c:pt>
                <c:pt idx="7">
                  <c:v>1.0043165467625899</c:v>
                </c:pt>
                <c:pt idx="8">
                  <c:v>1.0033093525179853</c:v>
                </c:pt>
                <c:pt idx="9">
                  <c:v>1.0023021582733811</c:v>
                </c:pt>
                <c:pt idx="10">
                  <c:v>1.0012949640287767</c:v>
                </c:pt>
                <c:pt idx="11">
                  <c:v>1.0002877697841723</c:v>
                </c:pt>
                <c:pt idx="12">
                  <c:v>0.99928057553956817</c:v>
                </c:pt>
                <c:pt idx="13">
                  <c:v>0.99827338129496368</c:v>
                </c:pt>
                <c:pt idx="14">
                  <c:v>0.99726618705035952</c:v>
                </c:pt>
                <c:pt idx="15">
                  <c:v>0.99625899280575525</c:v>
                </c:pt>
                <c:pt idx="16">
                  <c:v>0.99525179856115076</c:v>
                </c:pt>
                <c:pt idx="17">
                  <c:v>0.9942446043165466</c:v>
                </c:pt>
                <c:pt idx="18">
                  <c:v>0.98877697841726586</c:v>
                </c:pt>
                <c:pt idx="19">
                  <c:v>0.98330935251798524</c:v>
                </c:pt>
                <c:pt idx="20">
                  <c:v>0.97784172661870472</c:v>
                </c:pt>
                <c:pt idx="21">
                  <c:v>0.97237410071942409</c:v>
                </c:pt>
                <c:pt idx="22">
                  <c:v>0.96690647482014336</c:v>
                </c:pt>
                <c:pt idx="23">
                  <c:v>0.96143884892086284</c:v>
                </c:pt>
                <c:pt idx="24">
                  <c:v>0.95597122302158222</c:v>
                </c:pt>
                <c:pt idx="25">
                  <c:v>0.9505035971223017</c:v>
                </c:pt>
                <c:pt idx="26">
                  <c:v>0.94503597122302108</c:v>
                </c:pt>
                <c:pt idx="27">
                  <c:v>0.93956834532374034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C4-4987-A9F2-E9A727AF52E6}"/>
            </c:ext>
          </c:extLst>
        </c:ser>
        <c:ser>
          <c:idx val="3"/>
          <c:order val="3"/>
          <c:tx>
            <c:strRef>
              <c:f>'fleet &amp; energy forecasts'!$B$57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forecasts'!$C$57:$AD$57</c:f>
              <c:numCache>
                <c:formatCode>General</c:formatCode>
                <c:ptCount val="28"/>
                <c:pt idx="0">
                  <c:v>1</c:v>
                </c:pt>
                <c:pt idx="1">
                  <c:v>1.0435835351089608</c:v>
                </c:pt>
                <c:pt idx="2">
                  <c:v>1.0871670702179217</c:v>
                </c:pt>
                <c:pt idx="3">
                  <c:v>1.1307506053268823</c:v>
                </c:pt>
                <c:pt idx="4">
                  <c:v>1.1743341404358432</c:v>
                </c:pt>
                <c:pt idx="5">
                  <c:v>1.217917675544804</c:v>
                </c:pt>
                <c:pt idx="6">
                  <c:v>1.2615012106537646</c:v>
                </c:pt>
                <c:pt idx="7">
                  <c:v>1.3050847457627208</c:v>
                </c:pt>
                <c:pt idx="8">
                  <c:v>1.309491525423738</c:v>
                </c:pt>
                <c:pt idx="9">
                  <c:v>1.3138983050847555</c:v>
                </c:pt>
                <c:pt idx="10">
                  <c:v>1.3183050847457727</c:v>
                </c:pt>
                <c:pt idx="11">
                  <c:v>1.3227118644067883</c:v>
                </c:pt>
                <c:pt idx="12">
                  <c:v>1.3271186440678056</c:v>
                </c:pt>
                <c:pt idx="13">
                  <c:v>1.3315254237288228</c:v>
                </c:pt>
                <c:pt idx="14">
                  <c:v>1.3359322033898402</c:v>
                </c:pt>
                <c:pt idx="15">
                  <c:v>1.3403389830508572</c:v>
                </c:pt>
                <c:pt idx="16">
                  <c:v>1.3447457627118746</c:v>
                </c:pt>
                <c:pt idx="17">
                  <c:v>1.349152542372889</c:v>
                </c:pt>
                <c:pt idx="18">
                  <c:v>1.3440677966101768</c:v>
                </c:pt>
                <c:pt idx="19">
                  <c:v>1.3389830508474647</c:v>
                </c:pt>
                <c:pt idx="20">
                  <c:v>1.3338983050847526</c:v>
                </c:pt>
                <c:pt idx="21">
                  <c:v>1.3288135593220405</c:v>
                </c:pt>
                <c:pt idx="22">
                  <c:v>1.3237288135593297</c:v>
                </c:pt>
                <c:pt idx="23">
                  <c:v>1.3186440677966178</c:v>
                </c:pt>
                <c:pt idx="24">
                  <c:v>1.3135593220339057</c:v>
                </c:pt>
                <c:pt idx="25">
                  <c:v>1.3084745762711936</c:v>
                </c:pt>
                <c:pt idx="26">
                  <c:v>1.3033898305084815</c:v>
                </c:pt>
                <c:pt idx="27">
                  <c:v>1.2983050847457693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C4-4987-A9F2-E9A727AF52E6}"/>
            </c:ext>
          </c:extLst>
        </c:ser>
        <c:ser>
          <c:idx val="4"/>
          <c:order val="4"/>
          <c:tx>
            <c:strRef>
              <c:f>'fleet &amp; energy forecasts'!$B$58</c:f>
              <c:strCache>
                <c:ptCount val="1"/>
                <c:pt idx="0">
                  <c:v>Air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forecasts'!$C$58:$AD$58</c:f>
              <c:numCache>
                <c:formatCode>General</c:formatCode>
                <c:ptCount val="28"/>
                <c:pt idx="0">
                  <c:v>1</c:v>
                </c:pt>
                <c:pt idx="1">
                  <c:v>1.0243398027362403</c:v>
                </c:pt>
                <c:pt idx="2">
                  <c:v>1.0486796054724805</c:v>
                </c:pt>
                <c:pt idx="3">
                  <c:v>1.073019408208721</c:v>
                </c:pt>
                <c:pt idx="4">
                  <c:v>1.0973592109449612</c:v>
                </c:pt>
                <c:pt idx="5">
                  <c:v>1.1216990136811935</c:v>
                </c:pt>
                <c:pt idx="6">
                  <c:v>1.1460388164174338</c:v>
                </c:pt>
                <c:pt idx="7">
                  <c:v>1.17037861915368</c:v>
                </c:pt>
                <c:pt idx="8">
                  <c:v>1.1665924276169317</c:v>
                </c:pt>
                <c:pt idx="9">
                  <c:v>1.1628062360801832</c:v>
                </c:pt>
                <c:pt idx="10">
                  <c:v>1.1590200445434349</c:v>
                </c:pt>
                <c:pt idx="11">
                  <c:v>1.1552338530066864</c:v>
                </c:pt>
                <c:pt idx="12">
                  <c:v>1.1514476614699378</c:v>
                </c:pt>
                <c:pt idx="13">
                  <c:v>1.1476614699331895</c:v>
                </c:pt>
                <c:pt idx="14">
                  <c:v>1.143875278396441</c:v>
                </c:pt>
                <c:pt idx="15">
                  <c:v>1.1400890868596927</c:v>
                </c:pt>
                <c:pt idx="16">
                  <c:v>1.1363028953229442</c:v>
                </c:pt>
                <c:pt idx="17">
                  <c:v>1.1325167037861967</c:v>
                </c:pt>
                <c:pt idx="18">
                  <c:v>1.1341870824053504</c:v>
                </c:pt>
                <c:pt idx="19">
                  <c:v>1.1358574610245042</c:v>
                </c:pt>
                <c:pt idx="20">
                  <c:v>1.1375278396436579</c:v>
                </c:pt>
                <c:pt idx="21">
                  <c:v>1.1391982182628113</c:v>
                </c:pt>
                <c:pt idx="22">
                  <c:v>1.140868596881965</c:v>
                </c:pt>
                <c:pt idx="23">
                  <c:v>1.1425389755011188</c:v>
                </c:pt>
                <c:pt idx="24">
                  <c:v>1.1442093541202725</c:v>
                </c:pt>
                <c:pt idx="25">
                  <c:v>1.1458797327394261</c:v>
                </c:pt>
                <c:pt idx="26">
                  <c:v>1.14755011135858</c:v>
                </c:pt>
                <c:pt idx="27">
                  <c:v>1.1492204899777336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C4-4987-A9F2-E9A727AF52E6}"/>
            </c:ext>
          </c:extLst>
        </c:ser>
        <c:ser>
          <c:idx val="5"/>
          <c:order val="5"/>
          <c:tx>
            <c:strRef>
              <c:f>'fleet &amp; energy forecasts'!$B$59</c:f>
              <c:strCache>
                <c:ptCount val="1"/>
                <c:pt idx="0">
                  <c:v>Shipping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forecasts'!$C$59:$AD$59</c:f>
              <c:numCache>
                <c:formatCode>General</c:formatCode>
                <c:ptCount val="28"/>
                <c:pt idx="0">
                  <c:v>1</c:v>
                </c:pt>
                <c:pt idx="1">
                  <c:v>0.98726708074533975</c:v>
                </c:pt>
                <c:pt idx="2">
                  <c:v>0.97453416149068361</c:v>
                </c:pt>
                <c:pt idx="3">
                  <c:v>0.96180124223602337</c:v>
                </c:pt>
                <c:pt idx="4">
                  <c:v>0.94906832298136323</c:v>
                </c:pt>
                <c:pt idx="5">
                  <c:v>0.93633540372670698</c:v>
                </c:pt>
                <c:pt idx="6">
                  <c:v>0.92360248447204685</c:v>
                </c:pt>
                <c:pt idx="7">
                  <c:v>0.91086956521738871</c:v>
                </c:pt>
                <c:pt idx="8">
                  <c:v>0.90565217391304154</c:v>
                </c:pt>
                <c:pt idx="9">
                  <c:v>0.90043478260869425</c:v>
                </c:pt>
                <c:pt idx="10">
                  <c:v>0.89521739130434497</c:v>
                </c:pt>
                <c:pt idx="11">
                  <c:v>0.88999999999999779</c:v>
                </c:pt>
                <c:pt idx="12">
                  <c:v>0.88478260869565051</c:v>
                </c:pt>
                <c:pt idx="13">
                  <c:v>0.87956521739130333</c:v>
                </c:pt>
                <c:pt idx="14">
                  <c:v>0.87434782608695405</c:v>
                </c:pt>
                <c:pt idx="15">
                  <c:v>0.86913043478260688</c:v>
                </c:pt>
                <c:pt idx="16">
                  <c:v>0.86391304347825959</c:v>
                </c:pt>
                <c:pt idx="17">
                  <c:v>0.85869565217391053</c:v>
                </c:pt>
                <c:pt idx="18">
                  <c:v>0.85217391304347545</c:v>
                </c:pt>
                <c:pt idx="19">
                  <c:v>0.84565217391304048</c:v>
                </c:pt>
                <c:pt idx="20">
                  <c:v>0.83913043478260541</c:v>
                </c:pt>
                <c:pt idx="21">
                  <c:v>0.83260869565217044</c:v>
                </c:pt>
                <c:pt idx="22">
                  <c:v>0.82608695652173736</c:v>
                </c:pt>
                <c:pt idx="23">
                  <c:v>0.81956521739130228</c:v>
                </c:pt>
                <c:pt idx="24">
                  <c:v>0.81304347826086731</c:v>
                </c:pt>
                <c:pt idx="25">
                  <c:v>0.80652173913043224</c:v>
                </c:pt>
                <c:pt idx="26">
                  <c:v>0.79999999999999727</c:v>
                </c:pt>
                <c:pt idx="27">
                  <c:v>0.79347826086956219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C4-4987-A9F2-E9A727AF5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486432"/>
        <c:axId val="1761486912"/>
      </c:scatterChart>
      <c:valAx>
        <c:axId val="176148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912"/>
        <c:crosses val="autoZero"/>
        <c:crossBetween val="midCat"/>
      </c:valAx>
      <c:valAx>
        <c:axId val="1761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'DV-CAGR_mod'!$T$47</c:f>
              <c:strCache>
                <c:ptCount val="1"/>
                <c:pt idx="0">
                  <c:v>passenger-LDVs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'DV-CAGR_mod'!$U$46:$AZ$46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'DV-CAGR_mod'!$U$47:$AZ$47</c:f>
              <c:numCache>
                <c:formatCode>0.00E+00</c:formatCode>
                <c:ptCount val="32"/>
                <c:pt idx="0">
                  <c:v>227771105</c:v>
                </c:pt>
                <c:pt idx="1">
                  <c:v>229538498</c:v>
                </c:pt>
                <c:pt idx="2">
                  <c:v>252970242</c:v>
                </c:pt>
                <c:pt idx="3">
                  <c:v>229400041</c:v>
                </c:pt>
                <c:pt idx="4">
                  <c:v>231703641</c:v>
                </c:pt>
                <c:pt idx="5">
                  <c:v>236327710.65957814</c:v>
                </c:pt>
                <c:pt idx="6">
                  <c:v>240951780.31915694</c:v>
                </c:pt>
                <c:pt idx="7">
                  <c:v>243596209.71176568</c:v>
                </c:pt>
                <c:pt idx="8">
                  <c:v>246240639.10437444</c:v>
                </c:pt>
                <c:pt idx="9">
                  <c:v>248885068.4969832</c:v>
                </c:pt>
                <c:pt idx="10">
                  <c:v>251529497.8895919</c:v>
                </c:pt>
                <c:pt idx="11">
                  <c:v>254173927.28220001</c:v>
                </c:pt>
                <c:pt idx="12">
                  <c:v>255819056.62913322</c:v>
                </c:pt>
                <c:pt idx="13">
                  <c:v>257464185.9760671</c:v>
                </c:pt>
                <c:pt idx="14">
                  <c:v>259109315.32300028</c:v>
                </c:pt>
                <c:pt idx="15">
                  <c:v>260754444.6699335</c:v>
                </c:pt>
                <c:pt idx="16">
                  <c:v>262399574.01686695</c:v>
                </c:pt>
                <c:pt idx="17">
                  <c:v>262788762.56472725</c:v>
                </c:pt>
                <c:pt idx="18">
                  <c:v>263177951.11258745</c:v>
                </c:pt>
                <c:pt idx="19">
                  <c:v>263567139.66044775</c:v>
                </c:pt>
                <c:pt idx="20">
                  <c:v>263956328.20830801</c:v>
                </c:pt>
                <c:pt idx="21">
                  <c:v>264345516.75616834</c:v>
                </c:pt>
                <c:pt idx="22">
                  <c:v>264069918.32107994</c:v>
                </c:pt>
                <c:pt idx="23">
                  <c:v>263794319.88599154</c:v>
                </c:pt>
                <c:pt idx="24">
                  <c:v>263518721.45090315</c:v>
                </c:pt>
                <c:pt idx="25">
                  <c:v>263243123.01581469</c:v>
                </c:pt>
                <c:pt idx="26">
                  <c:v>262967524.58072644</c:v>
                </c:pt>
                <c:pt idx="27">
                  <c:v>261741042.16681737</c:v>
                </c:pt>
                <c:pt idx="28">
                  <c:v>260514559.75290856</c:v>
                </c:pt>
                <c:pt idx="29">
                  <c:v>259288077.33899948</c:v>
                </c:pt>
                <c:pt idx="30">
                  <c:v>258061594.92509034</c:v>
                </c:pt>
                <c:pt idx="31">
                  <c:v>256835112.51118156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8-420C-9641-D16E24633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91584"/>
        <c:axId val="996487744"/>
      </c:scatterChart>
      <c:valAx>
        <c:axId val="9964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87744"/>
        <c:crosses val="autoZero"/>
        <c:crossBetween val="midCat"/>
      </c:valAx>
      <c:valAx>
        <c:axId val="9964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'BCDTRtSY-psgr'!$A$2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'BCDTRtSY-psgr'!$B$2:$AG$2</c:f>
              <c:numCache>
                <c:formatCode>0.00_);[Red]\(0.00\)</c:formatCode>
                <c:ptCount val="32"/>
                <c:pt idx="0">
                  <c:v>1</c:v>
                </c:pt>
                <c:pt idx="1">
                  <c:v>1.0077595136573623</c:v>
                </c:pt>
                <c:pt idx="2">
                  <c:v>1.1106335985857381</c:v>
                </c:pt>
                <c:pt idx="3">
                  <c:v>1.0071516358495078</c:v>
                </c:pt>
                <c:pt idx="4">
                  <c:v>1.0172652979841319</c:v>
                </c:pt>
                <c:pt idx="5">
                  <c:v>1.0375666863431958</c:v>
                </c:pt>
                <c:pt idx="6">
                  <c:v>1.0578680747022629</c:v>
                </c:pt>
                <c:pt idx="7">
                  <c:v>1.0694781048358424</c:v>
                </c:pt>
                <c:pt idx="8">
                  <c:v>1.0810881349694221</c:v>
                </c:pt>
                <c:pt idx="9">
                  <c:v>1.0926981651030019</c:v>
                </c:pt>
                <c:pt idx="10">
                  <c:v>1.1043081952365814</c:v>
                </c:pt>
                <c:pt idx="11">
                  <c:v>1.1159182253701583</c:v>
                </c:pt>
                <c:pt idx="12">
                  <c:v>1.1231409560450314</c:v>
                </c:pt>
                <c:pt idx="13">
                  <c:v>1.1303636867199072</c:v>
                </c:pt>
                <c:pt idx="14">
                  <c:v>1.1375864173947801</c:v>
                </c:pt>
                <c:pt idx="15">
                  <c:v>1.1448091480696532</c:v>
                </c:pt>
                <c:pt idx="16">
                  <c:v>1.1520318787445272</c:v>
                </c:pt>
                <c:pt idx="17">
                  <c:v>1.153740561449738</c:v>
                </c:pt>
                <c:pt idx="18">
                  <c:v>1.1554492441549487</c:v>
                </c:pt>
                <c:pt idx="19">
                  <c:v>1.1571579268601597</c:v>
                </c:pt>
                <c:pt idx="20">
                  <c:v>1.1588666095653706</c:v>
                </c:pt>
                <c:pt idx="21">
                  <c:v>1.1605752922705816</c:v>
                </c:pt>
                <c:pt idx="22">
                  <c:v>1.1593653124749075</c:v>
                </c:pt>
                <c:pt idx="23">
                  <c:v>1.1581553326792331</c:v>
                </c:pt>
                <c:pt idx="24">
                  <c:v>1.1569453528835589</c:v>
                </c:pt>
                <c:pt idx="25">
                  <c:v>1.1557353730878843</c:v>
                </c:pt>
                <c:pt idx="26">
                  <c:v>1.1545253932922108</c:v>
                </c:pt>
                <c:pt idx="27">
                  <c:v>1.1491406786072245</c:v>
                </c:pt>
                <c:pt idx="28">
                  <c:v>1.1437559639222392</c:v>
                </c:pt>
                <c:pt idx="29">
                  <c:v>1.1383712492372529</c:v>
                </c:pt>
                <c:pt idx="30">
                  <c:v>1.1329865345522661</c:v>
                </c:pt>
                <c:pt idx="31">
                  <c:v>1.127601819867281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98-4833-A480-E2357455A574}"/>
            </c:ext>
          </c:extLst>
        </c:ser>
        <c:ser>
          <c:idx val="1"/>
          <c:order val="1"/>
          <c:tx>
            <c:strRef>
              <c:f>'BCDTRtSY-psgr'!$A$3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'BCDTRtSY-psgr'!$B$3:$AG$3</c:f>
              <c:numCache>
                <c:formatCode>0.00_);[Red]\(0.00\)</c:formatCode>
                <c:ptCount val="32"/>
                <c:pt idx="0">
                  <c:v>1</c:v>
                </c:pt>
                <c:pt idx="1">
                  <c:v>0.89730245774607453</c:v>
                </c:pt>
                <c:pt idx="2">
                  <c:v>0.77059848845857315</c:v>
                </c:pt>
                <c:pt idx="3">
                  <c:v>0.7893138055889366</c:v>
                </c:pt>
                <c:pt idx="4">
                  <c:v>0.78356079732927797</c:v>
                </c:pt>
                <c:pt idx="5">
                  <c:v>0.7837169732879149</c:v>
                </c:pt>
                <c:pt idx="6">
                  <c:v>0.78387314924655194</c:v>
                </c:pt>
                <c:pt idx="7">
                  <c:v>0.78315473292595561</c:v>
                </c:pt>
                <c:pt idx="8">
                  <c:v>0.78243631660535928</c:v>
                </c:pt>
                <c:pt idx="9">
                  <c:v>0.78171790028476318</c:v>
                </c:pt>
                <c:pt idx="10">
                  <c:v>0.78099948396416696</c:v>
                </c:pt>
                <c:pt idx="11">
                  <c:v>0.78028106764357053</c:v>
                </c:pt>
                <c:pt idx="12">
                  <c:v>0.7799322710549782</c:v>
                </c:pt>
                <c:pt idx="13">
                  <c:v>0.77958347446638587</c:v>
                </c:pt>
                <c:pt idx="14">
                  <c:v>0.77923467787779344</c:v>
                </c:pt>
                <c:pt idx="15">
                  <c:v>0.77888588128920111</c:v>
                </c:pt>
                <c:pt idx="16">
                  <c:v>0.77853708470060901</c:v>
                </c:pt>
                <c:pt idx="17">
                  <c:v>0.77773537485314648</c:v>
                </c:pt>
                <c:pt idx="18">
                  <c:v>0.77693366500568395</c:v>
                </c:pt>
                <c:pt idx="19">
                  <c:v>0.77613195515822153</c:v>
                </c:pt>
                <c:pt idx="20">
                  <c:v>0.77533024531075923</c:v>
                </c:pt>
                <c:pt idx="21">
                  <c:v>0.77452853546329548</c:v>
                </c:pt>
                <c:pt idx="22">
                  <c:v>0.7710093738252195</c:v>
                </c:pt>
                <c:pt idx="23">
                  <c:v>0.76749021218714286</c:v>
                </c:pt>
                <c:pt idx="24">
                  <c:v>0.76397105054906678</c:v>
                </c:pt>
                <c:pt idx="25">
                  <c:v>0.76045188891099003</c:v>
                </c:pt>
                <c:pt idx="26">
                  <c:v>0.75693272727291339</c:v>
                </c:pt>
                <c:pt idx="27">
                  <c:v>0.75252857215019087</c:v>
                </c:pt>
                <c:pt idx="28">
                  <c:v>0.74812441702746835</c:v>
                </c:pt>
                <c:pt idx="29">
                  <c:v>0.74372026190474594</c:v>
                </c:pt>
                <c:pt idx="30">
                  <c:v>0.73931610678202342</c:v>
                </c:pt>
                <c:pt idx="31">
                  <c:v>0.7349119516593009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98-4833-A480-E2357455A574}"/>
            </c:ext>
          </c:extLst>
        </c:ser>
        <c:ser>
          <c:idx val="2"/>
          <c:order val="2"/>
          <c:tx>
            <c:strRef>
              <c:f>'BCDTRtSY-psgr'!$A$4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'BCDTRtSY-psgr'!$B$4:$AG$4</c:f>
              <c:numCache>
                <c:formatCode>0.00_);[Red]\(0.00\)</c:formatCode>
                <c:ptCount val="32"/>
                <c:pt idx="0">
                  <c:v>1</c:v>
                </c:pt>
                <c:pt idx="1">
                  <c:v>0.47251549953486432</c:v>
                </c:pt>
                <c:pt idx="2">
                  <c:v>0.53770681442362867</c:v>
                </c:pt>
                <c:pt idx="3">
                  <c:v>0.67238169721830265</c:v>
                </c:pt>
                <c:pt idx="4">
                  <c:v>0.88048845782452634</c:v>
                </c:pt>
                <c:pt idx="5">
                  <c:v>0.97405616848470689</c:v>
                </c:pt>
                <c:pt idx="6">
                  <c:v>0.99720115897673445</c:v>
                </c:pt>
                <c:pt idx="7">
                  <c:v>1.0203461494687625</c:v>
                </c:pt>
                <c:pt idx="8">
                  <c:v>1.04349113996079</c:v>
                </c:pt>
                <c:pt idx="9">
                  <c:v>1.06663613045281</c:v>
                </c:pt>
                <c:pt idx="10">
                  <c:v>1.0897811209448378</c:v>
                </c:pt>
                <c:pt idx="11">
                  <c:v>1.1129261114368711</c:v>
                </c:pt>
                <c:pt idx="12">
                  <c:v>1.109325779582556</c:v>
                </c:pt>
                <c:pt idx="13">
                  <c:v>1.1057254477282406</c:v>
                </c:pt>
                <c:pt idx="14">
                  <c:v>1.1021251158739251</c:v>
                </c:pt>
                <c:pt idx="15">
                  <c:v>1.09852478401961</c:v>
                </c:pt>
                <c:pt idx="16">
                  <c:v>1.0949244521652943</c:v>
                </c:pt>
                <c:pt idx="17">
                  <c:v>1.0913241203109791</c:v>
                </c:pt>
                <c:pt idx="18">
                  <c:v>1.0877237884566635</c:v>
                </c:pt>
                <c:pt idx="19">
                  <c:v>1.0841234566023485</c:v>
                </c:pt>
                <c:pt idx="20">
                  <c:v>1.0805231247480329</c:v>
                </c:pt>
                <c:pt idx="21">
                  <c:v>1.0769227928937184</c:v>
                </c:pt>
                <c:pt idx="22">
                  <c:v>1.0785111745941516</c:v>
                </c:pt>
                <c:pt idx="23">
                  <c:v>1.0800995562945852</c:v>
                </c:pt>
                <c:pt idx="24">
                  <c:v>1.0816879379950182</c:v>
                </c:pt>
                <c:pt idx="25">
                  <c:v>1.0832763196954511</c:v>
                </c:pt>
                <c:pt idx="26">
                  <c:v>1.0848647013958843</c:v>
                </c:pt>
                <c:pt idx="27">
                  <c:v>1.0864530830963179</c:v>
                </c:pt>
                <c:pt idx="28">
                  <c:v>1.0880414647967509</c:v>
                </c:pt>
                <c:pt idx="29">
                  <c:v>1.0896298464971841</c:v>
                </c:pt>
                <c:pt idx="30">
                  <c:v>1.0912182281976175</c:v>
                </c:pt>
                <c:pt idx="31">
                  <c:v>1.0928066098980507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98-4833-A480-E2357455A574}"/>
            </c:ext>
          </c:extLst>
        </c:ser>
        <c:ser>
          <c:idx val="3"/>
          <c:order val="3"/>
          <c:tx>
            <c:strRef>
              <c:f>'BCDTRtSY-psgr'!$A$5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'BCDTRtSY-psgr'!$B$5:$AG$5</c:f>
              <c:numCache>
                <c:formatCode>0.00_);[Red]\(0.00\)</c:formatCode>
                <c:ptCount val="32"/>
                <c:pt idx="0">
                  <c:v>1</c:v>
                </c:pt>
                <c:pt idx="1">
                  <c:v>0.63449793100934282</c:v>
                </c:pt>
                <c:pt idx="2">
                  <c:v>0.63972651023832128</c:v>
                </c:pt>
                <c:pt idx="3">
                  <c:v>0.6645703969252037</c:v>
                </c:pt>
                <c:pt idx="4">
                  <c:v>0.69037910013263448</c:v>
                </c:pt>
                <c:pt idx="5">
                  <c:v>0.72046826188175794</c:v>
                </c:pt>
                <c:pt idx="6">
                  <c:v>0.7505574236308814</c:v>
                </c:pt>
                <c:pt idx="7">
                  <c:v>0.78064658538000475</c:v>
                </c:pt>
                <c:pt idx="8">
                  <c:v>0.81073574712912821</c:v>
                </c:pt>
                <c:pt idx="9">
                  <c:v>0.84082490887825168</c:v>
                </c:pt>
                <c:pt idx="10">
                  <c:v>0.87091407062737503</c:v>
                </c:pt>
                <c:pt idx="11">
                  <c:v>0.90100323237649527</c:v>
                </c:pt>
                <c:pt idx="12">
                  <c:v>0.90404558095335108</c:v>
                </c:pt>
                <c:pt idx="13">
                  <c:v>0.90708792953020712</c:v>
                </c:pt>
                <c:pt idx="14">
                  <c:v>0.91013027810706304</c:v>
                </c:pt>
                <c:pt idx="15">
                  <c:v>0.91317262668391774</c:v>
                </c:pt>
                <c:pt idx="16">
                  <c:v>0.91621497526077367</c:v>
                </c:pt>
                <c:pt idx="17">
                  <c:v>0.91925732383762948</c:v>
                </c:pt>
                <c:pt idx="18">
                  <c:v>0.92229967241448552</c:v>
                </c:pt>
                <c:pt idx="19">
                  <c:v>0.92534202099134122</c:v>
                </c:pt>
                <c:pt idx="20">
                  <c:v>0.92838436956819725</c:v>
                </c:pt>
                <c:pt idx="21">
                  <c:v>0.93142671814505107</c:v>
                </c:pt>
                <c:pt idx="22">
                  <c:v>0.92791631594098667</c:v>
                </c:pt>
                <c:pt idx="23">
                  <c:v>0.92440591373692227</c:v>
                </c:pt>
                <c:pt idx="24">
                  <c:v>0.92089551153285787</c:v>
                </c:pt>
                <c:pt idx="25">
                  <c:v>0.91738510932879347</c:v>
                </c:pt>
                <c:pt idx="26">
                  <c:v>0.91387470712472996</c:v>
                </c:pt>
                <c:pt idx="27">
                  <c:v>0.91036430492066567</c:v>
                </c:pt>
                <c:pt idx="28">
                  <c:v>0.90685390271660127</c:v>
                </c:pt>
                <c:pt idx="29">
                  <c:v>0.90334350051253687</c:v>
                </c:pt>
                <c:pt idx="30">
                  <c:v>0.89983309830847236</c:v>
                </c:pt>
                <c:pt idx="31">
                  <c:v>0.89632269610440796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98-4833-A480-E2357455A574}"/>
            </c:ext>
          </c:extLst>
        </c:ser>
        <c:ser>
          <c:idx val="4"/>
          <c:order val="4"/>
          <c:tx>
            <c:strRef>
              <c:f>'BCDTRtSY-psgr'!$A$6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'BCDTRtSY-psgr'!$B$6:$AG$6</c:f>
              <c:numCache>
                <c:formatCode>0.00_);[Red]\(0.00\)</c:formatCode>
                <c:ptCount val="32"/>
                <c:pt idx="0">
                  <c:v>1</c:v>
                </c:pt>
                <c:pt idx="1">
                  <c:v>0.98896712459176861</c:v>
                </c:pt>
                <c:pt idx="2">
                  <c:v>0.97805597352331075</c:v>
                </c:pt>
                <c:pt idx="3">
                  <c:v>0.96726520382515158</c:v>
                </c:pt>
                <c:pt idx="4">
                  <c:v>0.95659348734463112</c:v>
                </c:pt>
                <c:pt idx="5">
                  <c:v>0.94441325971073808</c:v>
                </c:pt>
                <c:pt idx="6">
                  <c:v>0.93223303207684893</c:v>
                </c:pt>
                <c:pt idx="7">
                  <c:v>0.9200528044429559</c:v>
                </c:pt>
                <c:pt idx="8">
                  <c:v>0.90787257680906297</c:v>
                </c:pt>
                <c:pt idx="9">
                  <c:v>0.89569234917517371</c:v>
                </c:pt>
                <c:pt idx="10">
                  <c:v>0.88351212154128078</c:v>
                </c:pt>
                <c:pt idx="11">
                  <c:v>0.87133189390738974</c:v>
                </c:pt>
                <c:pt idx="12">
                  <c:v>0.86634097136472277</c:v>
                </c:pt>
                <c:pt idx="13">
                  <c:v>0.86135004882205568</c:v>
                </c:pt>
                <c:pt idx="14">
                  <c:v>0.8563591262793866</c:v>
                </c:pt>
                <c:pt idx="15">
                  <c:v>0.85136820373671962</c:v>
                </c:pt>
                <c:pt idx="16">
                  <c:v>0.84637728119405242</c:v>
                </c:pt>
                <c:pt idx="17">
                  <c:v>0.84138635865138545</c:v>
                </c:pt>
                <c:pt idx="18">
                  <c:v>0.83639543610871636</c:v>
                </c:pt>
                <c:pt idx="19">
                  <c:v>0.83140451356604939</c:v>
                </c:pt>
                <c:pt idx="20">
                  <c:v>0.8264135910233823</c:v>
                </c:pt>
                <c:pt idx="21">
                  <c:v>0.82142266848071344</c:v>
                </c:pt>
                <c:pt idx="22">
                  <c:v>0.81518401530237861</c:v>
                </c:pt>
                <c:pt idx="23">
                  <c:v>0.80894536212404389</c:v>
                </c:pt>
                <c:pt idx="24">
                  <c:v>0.80270670894570906</c:v>
                </c:pt>
                <c:pt idx="25">
                  <c:v>0.79646805576737434</c:v>
                </c:pt>
                <c:pt idx="26">
                  <c:v>0.7902294025890414</c:v>
                </c:pt>
                <c:pt idx="27">
                  <c:v>0.78399074941070657</c:v>
                </c:pt>
                <c:pt idx="28">
                  <c:v>0.77775209623237185</c:v>
                </c:pt>
                <c:pt idx="29">
                  <c:v>0.77151344305403702</c:v>
                </c:pt>
                <c:pt idx="30">
                  <c:v>0.7652747898757023</c:v>
                </c:pt>
                <c:pt idx="31">
                  <c:v>0.75903613669736747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98-4833-A480-E2357455A574}"/>
            </c:ext>
          </c:extLst>
        </c:ser>
        <c:ser>
          <c:idx val="5"/>
          <c:order val="5"/>
          <c:tx>
            <c:strRef>
              <c:f>'BCDTRtSY-psgr'!$A$7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'BCDTRtSY-psgr'!$B$7:$AG$7</c:f>
              <c:numCache>
                <c:formatCode>0.00_);[Red]\(0.00\)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98-4833-A480-E2357455A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07904"/>
        <c:axId val="996491584"/>
      </c:scatterChart>
      <c:valAx>
        <c:axId val="99650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valAx>
        <c:axId val="99649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07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'BCDTRtSY-frgt'!$A$2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'BCDTRtSY-frgt'!$B$2:$AG$2</c:f>
              <c:numCache>
                <c:formatCode>0.00_);[Red]\(0.00\)</c:formatCode>
                <c:ptCount val="32"/>
                <c:pt idx="0">
                  <c:v>1</c:v>
                </c:pt>
                <c:pt idx="1">
                  <c:v>0.99463497564270287</c:v>
                </c:pt>
                <c:pt idx="2">
                  <c:v>1.0081286359625823</c:v>
                </c:pt>
                <c:pt idx="3">
                  <c:v>1.0198284530702946</c:v>
                </c:pt>
                <c:pt idx="4">
                  <c:v>0.96371266801345623</c:v>
                </c:pt>
                <c:pt idx="5">
                  <c:v>0.96311009518006685</c:v>
                </c:pt>
                <c:pt idx="6">
                  <c:v>0.9625075223466778</c:v>
                </c:pt>
                <c:pt idx="7">
                  <c:v>0.96393119964968954</c:v>
                </c:pt>
                <c:pt idx="8">
                  <c:v>0.96535487695270183</c:v>
                </c:pt>
                <c:pt idx="9">
                  <c:v>0.96677855425571413</c:v>
                </c:pt>
                <c:pt idx="10">
                  <c:v>0.96820223155872631</c:v>
                </c:pt>
                <c:pt idx="11">
                  <c:v>0.96962590886173827</c:v>
                </c:pt>
                <c:pt idx="12">
                  <c:v>0.97023355819442125</c:v>
                </c:pt>
                <c:pt idx="13">
                  <c:v>0.97084120752710412</c:v>
                </c:pt>
                <c:pt idx="14">
                  <c:v>0.97144885685978688</c:v>
                </c:pt>
                <c:pt idx="15">
                  <c:v>0.97205650619246975</c:v>
                </c:pt>
                <c:pt idx="16">
                  <c:v>0.97266415552515273</c:v>
                </c:pt>
                <c:pt idx="17">
                  <c:v>0.97094428364850649</c:v>
                </c:pt>
                <c:pt idx="18">
                  <c:v>0.96922441177186014</c:v>
                </c:pt>
                <c:pt idx="19">
                  <c:v>0.96750453989521357</c:v>
                </c:pt>
                <c:pt idx="20">
                  <c:v>0.96578466801856744</c:v>
                </c:pt>
                <c:pt idx="21">
                  <c:v>0.96406479614192031</c:v>
                </c:pt>
                <c:pt idx="22">
                  <c:v>0.95862640738484262</c:v>
                </c:pt>
                <c:pt idx="23">
                  <c:v>0.95318801862776636</c:v>
                </c:pt>
                <c:pt idx="24">
                  <c:v>0.94774962987068878</c:v>
                </c:pt>
                <c:pt idx="25">
                  <c:v>0.94231124111361109</c:v>
                </c:pt>
                <c:pt idx="26">
                  <c:v>0.9368728523565335</c:v>
                </c:pt>
                <c:pt idx="27">
                  <c:v>0.92992294629296646</c:v>
                </c:pt>
                <c:pt idx="28">
                  <c:v>0.9229730402293993</c:v>
                </c:pt>
                <c:pt idx="29">
                  <c:v>0.91602313416583225</c:v>
                </c:pt>
                <c:pt idx="30">
                  <c:v>0.90907322810226532</c:v>
                </c:pt>
                <c:pt idx="31">
                  <c:v>0.90212332203869827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86-46BE-9FB4-F098FF45A4B0}"/>
            </c:ext>
          </c:extLst>
        </c:ser>
        <c:ser>
          <c:idx val="1"/>
          <c:order val="1"/>
          <c:tx>
            <c:strRef>
              <c:f>'BCDTRtSY-frgt'!$A$3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'BCDTRtSY-frgt'!$B$3:$AG$3</c:f>
              <c:numCache>
                <c:formatCode>0.00_);[Red]\(0.00\)</c:formatCode>
                <c:ptCount val="32"/>
                <c:pt idx="0">
                  <c:v>1</c:v>
                </c:pt>
                <c:pt idx="1">
                  <c:v>1.0092703207023437</c:v>
                </c:pt>
                <c:pt idx="2">
                  <c:v>0.99940892581483798</c:v>
                </c:pt>
                <c:pt idx="3">
                  <c:v>1.0988934677977551</c:v>
                </c:pt>
                <c:pt idx="4">
                  <c:v>1.0400413365412289</c:v>
                </c:pt>
                <c:pt idx="5">
                  <c:v>1.0681712070457163</c:v>
                </c:pt>
                <c:pt idx="6">
                  <c:v>1.0963010775502038</c:v>
                </c:pt>
                <c:pt idx="7">
                  <c:v>1.1099568211935997</c:v>
                </c:pt>
                <c:pt idx="8">
                  <c:v>1.1236125648369957</c:v>
                </c:pt>
                <c:pt idx="9">
                  <c:v>1.1372683084803918</c:v>
                </c:pt>
                <c:pt idx="10">
                  <c:v>1.1509240521237878</c:v>
                </c:pt>
                <c:pt idx="11">
                  <c:v>1.1645797957671808</c:v>
                </c:pt>
                <c:pt idx="12">
                  <c:v>1.1673843299675699</c:v>
                </c:pt>
                <c:pt idx="13">
                  <c:v>1.1701888641679581</c:v>
                </c:pt>
                <c:pt idx="14">
                  <c:v>1.1729933983683472</c:v>
                </c:pt>
                <c:pt idx="15">
                  <c:v>1.1757979325687349</c:v>
                </c:pt>
                <c:pt idx="16">
                  <c:v>1.1786024667691237</c:v>
                </c:pt>
                <c:pt idx="17">
                  <c:v>1.1798044099978617</c:v>
                </c:pt>
                <c:pt idx="18">
                  <c:v>1.1810063532265993</c:v>
                </c:pt>
                <c:pt idx="19">
                  <c:v>1.1822082964553378</c:v>
                </c:pt>
                <c:pt idx="20">
                  <c:v>1.1834102396840758</c:v>
                </c:pt>
                <c:pt idx="21">
                  <c:v>1.1846121829128149</c:v>
                </c:pt>
                <c:pt idx="22">
                  <c:v>1.1896371964034267</c:v>
                </c:pt>
                <c:pt idx="23">
                  <c:v>1.1946622098940409</c:v>
                </c:pt>
                <c:pt idx="24">
                  <c:v>1.1996872233846527</c:v>
                </c:pt>
                <c:pt idx="25">
                  <c:v>1.2047122368752665</c:v>
                </c:pt>
                <c:pt idx="26">
                  <c:v>1.2097372503658788</c:v>
                </c:pt>
                <c:pt idx="27">
                  <c:v>1.2085352491335279</c:v>
                </c:pt>
                <c:pt idx="28">
                  <c:v>1.2073332479011769</c:v>
                </c:pt>
                <c:pt idx="29">
                  <c:v>1.2061312466688261</c:v>
                </c:pt>
                <c:pt idx="30">
                  <c:v>1.2049292454364751</c:v>
                </c:pt>
                <c:pt idx="31">
                  <c:v>1.2037272442041242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86-46BE-9FB4-F098FF45A4B0}"/>
            </c:ext>
          </c:extLst>
        </c:ser>
        <c:ser>
          <c:idx val="2"/>
          <c:order val="2"/>
          <c:tx>
            <c:strRef>
              <c:f>'BCDTRtSY-frgt'!$A$4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'BCDTRtSY-frgt'!$B$4:$AG$4</c:f>
              <c:numCache>
                <c:formatCode>0.00_);[Red]\(0.00\)</c:formatCode>
                <c:ptCount val="32"/>
                <c:pt idx="0">
                  <c:v>1</c:v>
                </c:pt>
                <c:pt idx="1">
                  <c:v>0.80411848132154251</c:v>
                </c:pt>
                <c:pt idx="2">
                  <c:v>0.88390065848754928</c:v>
                </c:pt>
                <c:pt idx="3">
                  <c:v>0.86663519955165724</c:v>
                </c:pt>
                <c:pt idx="4">
                  <c:v>0.94411554877302106</c:v>
                </c:pt>
                <c:pt idx="5">
                  <c:v>0.96709513499037358</c:v>
                </c:pt>
                <c:pt idx="6">
                  <c:v>0.99007472120772622</c:v>
                </c:pt>
                <c:pt idx="7">
                  <c:v>1.0130543074250788</c:v>
                </c:pt>
                <c:pt idx="8">
                  <c:v>1.0360338936424314</c:v>
                </c:pt>
                <c:pt idx="9">
                  <c:v>1.0590134798597766</c:v>
                </c:pt>
                <c:pt idx="10">
                  <c:v>1.0819930660771291</c:v>
                </c:pt>
                <c:pt idx="11">
                  <c:v>1.1049726522944872</c:v>
                </c:pt>
                <c:pt idx="12">
                  <c:v>1.1013980499940104</c:v>
                </c:pt>
                <c:pt idx="13">
                  <c:v>1.0978234476935331</c:v>
                </c:pt>
                <c:pt idx="14">
                  <c:v>1.0942488453930563</c:v>
                </c:pt>
                <c:pt idx="15">
                  <c:v>1.0906742430925793</c:v>
                </c:pt>
                <c:pt idx="16">
                  <c:v>1.0870996407921021</c:v>
                </c:pt>
                <c:pt idx="17">
                  <c:v>1.0835250384916253</c:v>
                </c:pt>
                <c:pt idx="18">
                  <c:v>1.0799504361911481</c:v>
                </c:pt>
                <c:pt idx="19">
                  <c:v>1.0763758338906713</c:v>
                </c:pt>
                <c:pt idx="20">
                  <c:v>1.072801231590194</c:v>
                </c:pt>
                <c:pt idx="21">
                  <c:v>1.0692266292897181</c:v>
                </c:pt>
                <c:pt idx="22">
                  <c:v>1.070803659716399</c:v>
                </c:pt>
                <c:pt idx="23">
                  <c:v>1.0723806901430801</c:v>
                </c:pt>
                <c:pt idx="24">
                  <c:v>1.0739577205697612</c:v>
                </c:pt>
                <c:pt idx="25">
                  <c:v>1.0755347509964419</c:v>
                </c:pt>
                <c:pt idx="26">
                  <c:v>1.0771117814231228</c:v>
                </c:pt>
                <c:pt idx="27">
                  <c:v>1.0786888118498041</c:v>
                </c:pt>
                <c:pt idx="28">
                  <c:v>1.080265842276485</c:v>
                </c:pt>
                <c:pt idx="29">
                  <c:v>1.0818428727031659</c:v>
                </c:pt>
                <c:pt idx="30">
                  <c:v>1.0834199031298473</c:v>
                </c:pt>
                <c:pt idx="31">
                  <c:v>1.0849969335565282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86-46BE-9FB4-F098FF45A4B0}"/>
            </c:ext>
          </c:extLst>
        </c:ser>
        <c:ser>
          <c:idx val="3"/>
          <c:order val="3"/>
          <c:tx>
            <c:strRef>
              <c:f>'BCDTRtSY-frgt'!$A$5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'BCDTRtSY-frgt'!$B$5:$AG$5</c:f>
              <c:numCache>
                <c:formatCode>0.00_);[Red]\(0.00\)</c:formatCode>
                <c:ptCount val="32"/>
                <c:pt idx="0">
                  <c:v>1</c:v>
                </c:pt>
                <c:pt idx="1">
                  <c:v>0.95914986038640171</c:v>
                </c:pt>
                <c:pt idx="2">
                  <c:v>0.91453366351748455</c:v>
                </c:pt>
                <c:pt idx="3">
                  <c:v>0.88393102617206043</c:v>
                </c:pt>
                <c:pt idx="4">
                  <c:v>0.85435243140686623</c:v>
                </c:pt>
                <c:pt idx="5">
                  <c:v>0.89158813059651343</c:v>
                </c:pt>
                <c:pt idx="6">
                  <c:v>0.92882382978616063</c:v>
                </c:pt>
                <c:pt idx="7">
                  <c:v>0.96605952897580771</c:v>
                </c:pt>
                <c:pt idx="8">
                  <c:v>1.003295228165455</c:v>
                </c:pt>
                <c:pt idx="9">
                  <c:v>1.0405309273551022</c:v>
                </c:pt>
                <c:pt idx="10">
                  <c:v>1.0777666265447492</c:v>
                </c:pt>
                <c:pt idx="11">
                  <c:v>1.1150023257343924</c:v>
                </c:pt>
                <c:pt idx="12">
                  <c:v>1.1187672686524568</c:v>
                </c:pt>
                <c:pt idx="13">
                  <c:v>1.1225322115705214</c:v>
                </c:pt>
                <c:pt idx="14">
                  <c:v>1.1262971544885858</c:v>
                </c:pt>
                <c:pt idx="15">
                  <c:v>1.1300620974066489</c:v>
                </c:pt>
                <c:pt idx="16">
                  <c:v>1.1338270403247133</c:v>
                </c:pt>
                <c:pt idx="17">
                  <c:v>1.1375919832427774</c:v>
                </c:pt>
                <c:pt idx="18">
                  <c:v>1.1413569261608421</c:v>
                </c:pt>
                <c:pt idx="19">
                  <c:v>1.1451218690789062</c:v>
                </c:pt>
                <c:pt idx="20">
                  <c:v>1.1488868119969708</c:v>
                </c:pt>
                <c:pt idx="21">
                  <c:v>1.1526517549150328</c:v>
                </c:pt>
                <c:pt idx="22">
                  <c:v>1.1483075900095738</c:v>
                </c:pt>
                <c:pt idx="23">
                  <c:v>1.1439634251041151</c:v>
                </c:pt>
                <c:pt idx="24">
                  <c:v>1.1396192601986561</c:v>
                </c:pt>
                <c:pt idx="25">
                  <c:v>1.1352750952931974</c:v>
                </c:pt>
                <c:pt idx="26">
                  <c:v>1.1309309303877397</c:v>
                </c:pt>
                <c:pt idx="27">
                  <c:v>1.126586765482281</c:v>
                </c:pt>
                <c:pt idx="28">
                  <c:v>1.122242600576822</c:v>
                </c:pt>
                <c:pt idx="29">
                  <c:v>1.1178984356713633</c:v>
                </c:pt>
                <c:pt idx="30">
                  <c:v>1.1135542707659043</c:v>
                </c:pt>
                <c:pt idx="31">
                  <c:v>1.1092101058604455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86-46BE-9FB4-F098FF45A4B0}"/>
            </c:ext>
          </c:extLst>
        </c:ser>
        <c:ser>
          <c:idx val="4"/>
          <c:order val="4"/>
          <c:tx>
            <c:strRef>
              <c:f>'BCDTRtSY-frgt'!$A$6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'BCDTRtSY-frgt'!$B$6:$AG$6</c:f>
              <c:numCache>
                <c:formatCode>0.00_);[Red]\(0.00\)</c:formatCode>
                <c:ptCount val="32"/>
                <c:pt idx="0">
                  <c:v>1</c:v>
                </c:pt>
                <c:pt idx="1">
                  <c:v>0.91534842984659492</c:v>
                </c:pt>
                <c:pt idx="2">
                  <c:v>0.95750723845510444</c:v>
                </c:pt>
                <c:pt idx="3">
                  <c:v>1.0016077832214909</c:v>
                </c:pt>
                <c:pt idx="4">
                  <c:v>1.0076174299208198</c:v>
                </c:pt>
                <c:pt idx="5">
                  <c:v>0.99478751854604974</c:v>
                </c:pt>
                <c:pt idx="6">
                  <c:v>0.98195760717128378</c:v>
                </c:pt>
                <c:pt idx="7">
                  <c:v>0.9691276957965137</c:v>
                </c:pt>
                <c:pt idx="8">
                  <c:v>0.95629778442174374</c:v>
                </c:pt>
                <c:pt idx="9">
                  <c:v>0.94346787304697766</c:v>
                </c:pt>
                <c:pt idx="10">
                  <c:v>0.93063796167220769</c:v>
                </c:pt>
                <c:pt idx="11">
                  <c:v>0.91780805029743984</c:v>
                </c:pt>
                <c:pt idx="12">
                  <c:v>0.91255091588046222</c:v>
                </c:pt>
                <c:pt idx="13">
                  <c:v>0.90729378146348461</c:v>
                </c:pt>
                <c:pt idx="14">
                  <c:v>0.90203664704650499</c:v>
                </c:pt>
                <c:pt idx="15">
                  <c:v>0.89677951262952738</c:v>
                </c:pt>
                <c:pt idx="16">
                  <c:v>0.89152237821254976</c:v>
                </c:pt>
                <c:pt idx="17">
                  <c:v>0.88626524379557226</c:v>
                </c:pt>
                <c:pt idx="18">
                  <c:v>0.88100810937859253</c:v>
                </c:pt>
                <c:pt idx="19">
                  <c:v>0.87575097496161503</c:v>
                </c:pt>
                <c:pt idx="20">
                  <c:v>0.87049384054463741</c:v>
                </c:pt>
                <c:pt idx="21">
                  <c:v>0.86523670612765802</c:v>
                </c:pt>
                <c:pt idx="22">
                  <c:v>0.85866528810643494</c:v>
                </c:pt>
                <c:pt idx="23">
                  <c:v>0.85209387008521198</c:v>
                </c:pt>
                <c:pt idx="24">
                  <c:v>0.84552245206398902</c:v>
                </c:pt>
                <c:pt idx="25">
                  <c:v>0.83895103404276605</c:v>
                </c:pt>
                <c:pt idx="26">
                  <c:v>0.83237961602154498</c:v>
                </c:pt>
                <c:pt idx="27">
                  <c:v>0.82580819800032201</c:v>
                </c:pt>
                <c:pt idx="28">
                  <c:v>0.81923677997909905</c:v>
                </c:pt>
                <c:pt idx="29">
                  <c:v>0.81266536195787598</c:v>
                </c:pt>
                <c:pt idx="30">
                  <c:v>0.80609394393665312</c:v>
                </c:pt>
                <c:pt idx="31">
                  <c:v>0.79952252591543005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86-46BE-9FB4-F098FF45A4B0}"/>
            </c:ext>
          </c:extLst>
        </c:ser>
        <c:ser>
          <c:idx val="5"/>
          <c:order val="5"/>
          <c:tx>
            <c:strRef>
              <c:f>'BCDTRtSY-frgt'!$A$7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'BCDTRtSY-frgt'!$B$7:$AG$7</c:f>
              <c:numCache>
                <c:formatCode>0.00_);[Red]\(0.00\)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86-46BE-9FB4-F098FF45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26624"/>
        <c:axId val="996527104"/>
      </c:scatterChart>
      <c:valAx>
        <c:axId val="99652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7104"/>
        <c:crosses val="autoZero"/>
        <c:crossBetween val="midCat"/>
      </c:valAx>
      <c:valAx>
        <c:axId val="99652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6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258536</xdr:colOff>
      <xdr:row>62</xdr:row>
      <xdr:rowOff>2</xdr:rowOff>
    </xdr:from>
    <xdr:to>
      <xdr:col>1</xdr:col>
      <xdr:colOff>1939418</xdr:colOff>
      <xdr:row>77</xdr:row>
      <xdr:rowOff>151520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C3A8A1-D1E3-ACB7-F148-7548EBCC3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536" y="8908678"/>
          <a:ext cx="2286000" cy="300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246529</xdr:colOff>
      <xdr:row>78</xdr:row>
      <xdr:rowOff>67235</xdr:rowOff>
    </xdr:from>
    <xdr:to>
      <xdr:col>1</xdr:col>
      <xdr:colOff>1927411</xdr:colOff>
      <xdr:row>94</xdr:row>
      <xdr:rowOff>106991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AA134A8-60ED-248F-B05F-209B2F7D5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12023911"/>
          <a:ext cx="2286000" cy="30877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268941</xdr:colOff>
      <xdr:row>95</xdr:row>
      <xdr:rowOff>44823</xdr:rowOff>
    </xdr:from>
    <xdr:to>
      <xdr:col>1</xdr:col>
      <xdr:colOff>1949823</xdr:colOff>
      <xdr:row>111</xdr:row>
      <xdr:rowOff>80265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C63F3BE-73C3-6540-9022-78008F8E3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8941" y="15239999"/>
          <a:ext cx="2286000" cy="30834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5</xdr:row>
      <xdr:rowOff>0</xdr:rowOff>
    </xdr:from>
    <xdr:to>
      <xdr:col>20</xdr:col>
      <xdr:colOff>336177</xdr:colOff>
      <xdr:row>16</xdr:row>
      <xdr:rowOff>233082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A65782-D837-4489-A946-D7796370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18</xdr:row>
      <xdr:rowOff>0</xdr:rowOff>
    </xdr:from>
    <xdr:to>
      <xdr:col>20</xdr:col>
      <xdr:colOff>336177</xdr:colOff>
      <xdr:row>32</xdr:row>
      <xdr:rowOff>20171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46C5496-8DD7-4FD8-8BCA-927CDD413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18</xdr:row>
      <xdr:rowOff>0</xdr:rowOff>
    </xdr:from>
    <xdr:to>
      <xdr:col>29</xdr:col>
      <xdr:colOff>336177</xdr:colOff>
      <xdr:row>32</xdr:row>
      <xdr:rowOff>20171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349E504-A7E8-4C21-A634-FA2F9C5D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526677</xdr:colOff>
      <xdr:row>42</xdr:row>
      <xdr:rowOff>180415</xdr:rowOff>
    </xdr:from>
    <xdr:to>
      <xdr:col>22</xdr:col>
      <xdr:colOff>257736</xdr:colOff>
      <xdr:row>57</xdr:row>
      <xdr:rowOff>66115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52592E4-0919-47BB-4EC0-4BC9C147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109537</xdr:colOff>
      <xdr:row>30</xdr:row>
      <xdr:rowOff>33337</xdr:rowOff>
    </xdr:from>
    <xdr:to>
      <xdr:col>42</xdr:col>
      <xdr:colOff>481012</xdr:colOff>
      <xdr:row>42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1DE23C-2FF9-E08F-7FEC-FAA7919F9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953258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223837</xdr:colOff>
      <xdr:row>8</xdr:row>
      <xdr:rowOff>157162</xdr:rowOff>
    </xdr:from>
    <xdr:to>
      <xdr:col>12</xdr:col>
      <xdr:colOff>528637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16748A-473D-5495-54B8-834BEBE82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204787</xdr:colOff>
      <xdr:row>9</xdr:row>
      <xdr:rowOff>138112</xdr:rowOff>
    </xdr:from>
    <xdr:to>
      <xdr:col>14</xdr:col>
      <xdr:colOff>509587</xdr:colOff>
      <xdr:row>24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D0B191-767A-5563-8405-5CC58559D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hyperlink" Target="https://jccr.re.kr/xml/39221/39221.pdf" TargetMode="External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workbookViewId="0">
      <selection activeCell="J19" sqref="J19"/>
    </sheetView>
  </sheetViews>
  <sheetFormatPr defaultColWidth="9" defaultRowHeight="1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  <c r="I3" s="73" t="s">
        <v>1011</v>
      </c>
      <c r="J3" s="73"/>
      <c r="K3" s="73"/>
      <c r="L3" s="73"/>
    </row>
    <row r="4" spans="1:15">
      <c r="B4" t="s">
        <v>3</v>
      </c>
      <c r="I4" t="s">
        <v>1012</v>
      </c>
    </row>
    <row r="5" spans="1:15">
      <c r="B5" t="s">
        <v>4</v>
      </c>
      <c r="I5">
        <v>2023</v>
      </c>
    </row>
    <row r="6" spans="1:15">
      <c r="B6" t="s">
        <v>5</v>
      </c>
      <c r="I6" t="s">
        <v>1014</v>
      </c>
    </row>
    <row r="7" spans="1:15">
      <c r="B7" s="65" t="s">
        <v>6</v>
      </c>
      <c r="I7" s="65" t="s">
        <v>1013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944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  <hyperlink ref="I7" r:id="rId13" xr:uid="{D71B819E-2152-4B2B-841A-E8A77B7EBE95}"/>
  </hyperlinks>
  <pageMargins left="0.7" right="0.7" top="0.75" bottom="0.75" header="0.3" footer="0.3"/>
  <pageSetup orientation="portrait" horizontalDpi="1200" verticalDpi="1200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D8C9-8722-45D3-A334-8D8AFAFDEB5B}">
  <sheetPr>
    <tabColor theme="5"/>
  </sheetPr>
  <dimension ref="A2:AD119"/>
  <sheetViews>
    <sheetView tabSelected="1" zoomScale="85" zoomScaleNormal="85" workbookViewId="0">
      <selection activeCell="B16" sqref="B16"/>
    </sheetView>
  </sheetViews>
  <sheetFormatPr defaultRowHeight="15"/>
  <cols>
    <col min="2" max="2" width="32.140625" bestFit="1" customWidth="1"/>
    <col min="5" max="5" width="13.5703125" bestFit="1" customWidth="1"/>
    <col min="7" max="7" width="12.28515625" bestFit="1" customWidth="1"/>
  </cols>
  <sheetData>
    <row r="2" spans="1:18">
      <c r="A2" s="191" t="s">
        <v>1002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</row>
    <row r="4" spans="1:18">
      <c r="B4" s="160"/>
      <c r="C4" s="205" t="s">
        <v>946</v>
      </c>
      <c r="D4" s="206"/>
      <c r="E4" s="206"/>
      <c r="F4" s="206"/>
      <c r="G4" s="206"/>
      <c r="H4" s="206"/>
      <c r="I4" s="206"/>
      <c r="J4" s="206"/>
      <c r="K4" s="206"/>
      <c r="L4" s="206"/>
    </row>
    <row r="5" spans="1:18">
      <c r="B5" s="160"/>
      <c r="C5" s="207" t="s">
        <v>947</v>
      </c>
      <c r="D5" s="207"/>
      <c r="E5" s="207"/>
      <c r="F5" s="207"/>
      <c r="G5" s="207"/>
      <c r="H5" s="207"/>
      <c r="I5" s="207"/>
      <c r="J5" s="207"/>
      <c r="K5" s="207"/>
      <c r="L5" s="207"/>
    </row>
    <row r="6" spans="1:18">
      <c r="B6" s="160"/>
      <c r="C6" s="161"/>
      <c r="D6" s="162"/>
      <c r="E6" s="162"/>
      <c r="F6" s="162"/>
      <c r="G6" s="162"/>
      <c r="H6" s="162"/>
      <c r="I6" s="208" t="s">
        <v>948</v>
      </c>
      <c r="J6" s="208"/>
      <c r="K6" s="208" t="s">
        <v>949</v>
      </c>
      <c r="L6" s="208"/>
    </row>
    <row r="7" spans="1:18">
      <c r="B7" s="160"/>
      <c r="C7" s="161"/>
      <c r="D7" s="163">
        <v>2000</v>
      </c>
      <c r="E7" s="163">
        <v>2023</v>
      </c>
      <c r="F7" s="163">
        <v>2030</v>
      </c>
      <c r="G7" s="163">
        <v>2040</v>
      </c>
      <c r="H7" s="163">
        <v>2050</v>
      </c>
      <c r="I7" s="164">
        <v>2023</v>
      </c>
      <c r="J7" s="164">
        <v>2050</v>
      </c>
      <c r="K7" s="164" t="s">
        <v>950</v>
      </c>
      <c r="L7" s="164" t="s">
        <v>951</v>
      </c>
    </row>
    <row r="8" spans="1:18">
      <c r="B8" s="165" t="s">
        <v>952</v>
      </c>
      <c r="C8" s="166" t="s">
        <v>953</v>
      </c>
      <c r="D8" s="167"/>
      <c r="E8" s="167"/>
      <c r="F8" s="168"/>
      <c r="G8" s="168"/>
      <c r="H8" s="168"/>
      <c r="I8" s="169"/>
      <c r="J8" s="169"/>
      <c r="K8" s="169"/>
      <c r="L8" s="169"/>
    </row>
    <row r="9" spans="1:18" ht="29.25">
      <c r="B9" s="165" t="s">
        <v>954</v>
      </c>
      <c r="C9" s="170" t="s">
        <v>955</v>
      </c>
      <c r="D9" s="171">
        <v>12.022</v>
      </c>
      <c r="E9" s="171">
        <v>25.811</v>
      </c>
      <c r="F9" s="172">
        <v>27.709</v>
      </c>
      <c r="G9" s="172">
        <v>28.603000000000002</v>
      </c>
      <c r="H9" s="172">
        <v>27.465</v>
      </c>
      <c r="I9" s="173">
        <v>100</v>
      </c>
      <c r="J9" s="173">
        <v>100</v>
      </c>
      <c r="K9" s="174">
        <v>3.38</v>
      </c>
      <c r="L9" s="174">
        <v>0.23</v>
      </c>
    </row>
    <row r="10" spans="1:18">
      <c r="B10" s="165" t="s">
        <v>956</v>
      </c>
      <c r="C10" s="175" t="s">
        <v>957</v>
      </c>
      <c r="D10" s="176">
        <v>8.0839999999999996</v>
      </c>
      <c r="E10" s="176">
        <v>21.39</v>
      </c>
      <c r="F10" s="177">
        <v>23.178000000000001</v>
      </c>
      <c r="G10" s="177">
        <v>24.062999999999999</v>
      </c>
      <c r="H10" s="177">
        <v>23.123000000000001</v>
      </c>
      <c r="I10" s="178">
        <v>82.87</v>
      </c>
      <c r="J10" s="178">
        <v>84.19</v>
      </c>
      <c r="K10" s="179">
        <v>4.32</v>
      </c>
      <c r="L10" s="179">
        <v>0.28999999999999998</v>
      </c>
    </row>
    <row r="11" spans="1:18">
      <c r="B11" s="165" t="s">
        <v>958</v>
      </c>
      <c r="C11" s="175" t="s">
        <v>959</v>
      </c>
      <c r="D11" s="176">
        <v>2.5110000000000001</v>
      </c>
      <c r="E11" s="176">
        <v>3.726</v>
      </c>
      <c r="F11" s="177">
        <v>3.8319999999999999</v>
      </c>
      <c r="G11" s="177">
        <v>3.8490000000000002</v>
      </c>
      <c r="H11" s="177">
        <v>3.6890000000000001</v>
      </c>
      <c r="I11" s="178">
        <v>14.44</v>
      </c>
      <c r="J11" s="178">
        <v>13.43</v>
      </c>
      <c r="K11" s="179">
        <v>1.73</v>
      </c>
      <c r="L11" s="179">
        <v>-0.04</v>
      </c>
    </row>
    <row r="12" spans="1:18">
      <c r="B12" s="165" t="s">
        <v>960</v>
      </c>
      <c r="C12" s="175" t="s">
        <v>961</v>
      </c>
      <c r="D12" s="176">
        <v>1.427</v>
      </c>
      <c r="E12" s="176">
        <v>0.69499999999999995</v>
      </c>
      <c r="F12" s="177">
        <v>0.69799999999999995</v>
      </c>
      <c r="G12" s="177">
        <v>0.69099999999999995</v>
      </c>
      <c r="H12" s="177">
        <v>0.65300000000000002</v>
      </c>
      <c r="I12" s="178">
        <v>2.69</v>
      </c>
      <c r="J12" s="178">
        <v>2.38</v>
      </c>
      <c r="K12" s="179">
        <v>-3.08</v>
      </c>
      <c r="L12" s="179">
        <v>-0.23</v>
      </c>
    </row>
    <row r="13" spans="1:18" ht="29.25">
      <c r="B13" s="165" t="s">
        <v>962</v>
      </c>
      <c r="C13" s="170" t="s">
        <v>963</v>
      </c>
      <c r="D13" s="171"/>
      <c r="E13" s="171"/>
      <c r="F13" s="172"/>
      <c r="G13" s="172"/>
      <c r="H13" s="172"/>
      <c r="I13" s="173"/>
      <c r="J13" s="173"/>
      <c r="K13" s="174"/>
      <c r="L13" s="174"/>
    </row>
    <row r="14" spans="1:18">
      <c r="B14" s="165" t="s">
        <v>964</v>
      </c>
      <c r="C14" s="175" t="s">
        <v>965</v>
      </c>
      <c r="D14" s="176">
        <v>7.2140000000000004</v>
      </c>
      <c r="E14" s="176">
        <v>13.792</v>
      </c>
      <c r="F14" s="177">
        <v>17.036000000000001</v>
      </c>
      <c r="G14" s="177">
        <v>17.081</v>
      </c>
      <c r="H14" s="177">
        <v>12.965</v>
      </c>
      <c r="I14" s="178">
        <v>53.43</v>
      </c>
      <c r="J14" s="178">
        <v>47.21</v>
      </c>
      <c r="K14" s="179">
        <v>2.86</v>
      </c>
      <c r="L14" s="179">
        <v>-0.23</v>
      </c>
    </row>
    <row r="15" spans="1:18">
      <c r="B15" s="165" t="s">
        <v>966</v>
      </c>
      <c r="C15" s="175" t="s">
        <v>967</v>
      </c>
      <c r="D15" s="176">
        <v>3.5579999999999998</v>
      </c>
      <c r="E15" s="176">
        <v>9.4269999999999996</v>
      </c>
      <c r="F15" s="177">
        <v>6.5019999999999998</v>
      </c>
      <c r="G15" s="177">
        <v>3.9870000000000001</v>
      </c>
      <c r="H15" s="177">
        <v>3.1829999999999998</v>
      </c>
      <c r="I15" s="178">
        <v>36.520000000000003</v>
      </c>
      <c r="J15" s="178">
        <v>11.59</v>
      </c>
      <c r="K15" s="179">
        <v>4.33</v>
      </c>
      <c r="L15" s="179">
        <v>-3.94</v>
      </c>
    </row>
    <row r="16" spans="1:18" ht="19.5">
      <c r="B16" s="165" t="s">
        <v>968</v>
      </c>
      <c r="C16" s="175" t="s">
        <v>969</v>
      </c>
      <c r="D16" s="176">
        <v>0</v>
      </c>
      <c r="E16" s="176">
        <v>0.57299999999999995</v>
      </c>
      <c r="F16" s="177">
        <v>2.1960000000000002</v>
      </c>
      <c r="G16" s="177">
        <v>5.2759999999999998</v>
      </c>
      <c r="H16" s="177">
        <v>8.1509999999999998</v>
      </c>
      <c r="I16" s="178">
        <v>2.2200000000000002</v>
      </c>
      <c r="J16" s="178">
        <v>29.68</v>
      </c>
      <c r="K16" s="179">
        <v>57.35</v>
      </c>
      <c r="L16" s="179">
        <v>10.33</v>
      </c>
    </row>
    <row r="17" spans="2:12" ht="19.5">
      <c r="B17" s="165" t="s">
        <v>970</v>
      </c>
      <c r="C17" s="175" t="s">
        <v>971</v>
      </c>
      <c r="D17" s="176">
        <v>0</v>
      </c>
      <c r="E17" s="176">
        <v>5.0000000000000001E-3</v>
      </c>
      <c r="F17" s="177">
        <v>9.2999999999999999E-2</v>
      </c>
      <c r="G17" s="177">
        <v>0.70099999999999996</v>
      </c>
      <c r="H17" s="177">
        <v>1.869</v>
      </c>
      <c r="I17" s="178">
        <v>0.02</v>
      </c>
      <c r="J17" s="178">
        <v>6.81</v>
      </c>
      <c r="K17" s="179" t="s">
        <v>549</v>
      </c>
      <c r="L17" s="179">
        <v>24.95</v>
      </c>
    </row>
    <row r="18" spans="2:12">
      <c r="B18" s="165" t="s">
        <v>972</v>
      </c>
      <c r="C18" s="175" t="s">
        <v>973</v>
      </c>
      <c r="D18" s="176">
        <v>1.2509999999999999</v>
      </c>
      <c r="E18" s="176">
        <v>2.0150000000000001</v>
      </c>
      <c r="F18" s="177">
        <v>1.8819999999999999</v>
      </c>
      <c r="G18" s="177">
        <v>1.5569999999999999</v>
      </c>
      <c r="H18" s="177">
        <v>1.2969999999999999</v>
      </c>
      <c r="I18" s="178">
        <v>7.8</v>
      </c>
      <c r="J18" s="178">
        <v>4.72</v>
      </c>
      <c r="K18" s="179">
        <v>2.09</v>
      </c>
      <c r="L18" s="179">
        <v>-1.62</v>
      </c>
    </row>
    <row r="19" spans="2:12">
      <c r="B19" s="180"/>
      <c r="C19" s="181"/>
      <c r="D19" s="182"/>
      <c r="E19" s="182"/>
      <c r="F19" s="183"/>
      <c r="G19" s="183"/>
      <c r="H19" s="183"/>
      <c r="I19" s="183"/>
      <c r="J19" s="183"/>
      <c r="K19" s="184"/>
      <c r="L19" s="184"/>
    </row>
    <row r="20" spans="2:12">
      <c r="B20" s="165" t="s">
        <v>974</v>
      </c>
      <c r="C20" s="166" t="s">
        <v>975</v>
      </c>
      <c r="D20" s="185">
        <v>25.007000000000001</v>
      </c>
      <c r="E20" s="185">
        <v>35.316000000000003</v>
      </c>
      <c r="F20" s="186">
        <v>31.248000000000001</v>
      </c>
      <c r="G20" s="186">
        <v>25.658000000000001</v>
      </c>
      <c r="H20" s="186">
        <v>19.901</v>
      </c>
      <c r="I20" s="173">
        <v>100.01</v>
      </c>
      <c r="J20" s="173">
        <v>100.01</v>
      </c>
      <c r="K20" s="174">
        <v>1.51</v>
      </c>
      <c r="L20" s="174">
        <v>-2.1</v>
      </c>
    </row>
    <row r="21" spans="2:12">
      <c r="B21" s="165" t="s">
        <v>964</v>
      </c>
      <c r="C21" s="170" t="s">
        <v>976</v>
      </c>
      <c r="D21" s="176">
        <v>7.8840000000000003</v>
      </c>
      <c r="E21" s="176">
        <v>10.961</v>
      </c>
      <c r="F21" s="177">
        <v>11.978</v>
      </c>
      <c r="G21" s="177">
        <v>10.731999999999999</v>
      </c>
      <c r="H21" s="177">
        <v>7.266</v>
      </c>
      <c r="I21" s="178">
        <v>31.04</v>
      </c>
      <c r="J21" s="178">
        <v>36.51</v>
      </c>
      <c r="K21" s="179">
        <v>1.44</v>
      </c>
      <c r="L21" s="179">
        <v>-1.51</v>
      </c>
    </row>
    <row r="22" spans="2:12">
      <c r="B22" s="165" t="s">
        <v>966</v>
      </c>
      <c r="C22" s="170" t="s">
        <v>977</v>
      </c>
      <c r="D22" s="176">
        <v>12.909000000000001</v>
      </c>
      <c r="E22" s="176">
        <v>18.244</v>
      </c>
      <c r="F22" s="177">
        <v>13.554</v>
      </c>
      <c r="G22" s="177">
        <v>9.4600000000000009</v>
      </c>
      <c r="H22" s="177">
        <v>7.1059999999999999</v>
      </c>
      <c r="I22" s="178">
        <v>51.66</v>
      </c>
      <c r="J22" s="178">
        <v>35.71</v>
      </c>
      <c r="K22" s="179">
        <v>1.52</v>
      </c>
      <c r="L22" s="179">
        <v>-3.43</v>
      </c>
    </row>
    <row r="23" spans="2:12">
      <c r="B23" s="165" t="s">
        <v>978</v>
      </c>
      <c r="C23" s="170" t="s">
        <v>979</v>
      </c>
      <c r="D23" s="176">
        <v>0.56999999999999995</v>
      </c>
      <c r="E23" s="176">
        <v>0.27400000000000002</v>
      </c>
      <c r="F23" s="177">
        <v>0.26500000000000001</v>
      </c>
      <c r="G23" s="177">
        <v>0.251</v>
      </c>
      <c r="H23" s="177">
        <v>0.23599999999999999</v>
      </c>
      <c r="I23" s="178">
        <v>0.78</v>
      </c>
      <c r="J23" s="178">
        <v>1.19</v>
      </c>
      <c r="K23" s="179">
        <v>-3.14</v>
      </c>
      <c r="L23" s="179">
        <v>-0.54</v>
      </c>
    </row>
    <row r="24" spans="2:12">
      <c r="B24" s="165" t="s">
        <v>980</v>
      </c>
      <c r="C24" s="170" t="s">
        <v>981</v>
      </c>
      <c r="D24" s="176">
        <v>8.9999999999999993E-3</v>
      </c>
      <c r="E24" s="176">
        <v>0.89300000000000002</v>
      </c>
      <c r="F24" s="177">
        <v>1.0449999999999999</v>
      </c>
      <c r="G24" s="177">
        <v>1.0109999999999999</v>
      </c>
      <c r="H24" s="177">
        <v>1.026</v>
      </c>
      <c r="I24" s="178">
        <v>2.5299999999999998</v>
      </c>
      <c r="J24" s="178">
        <v>5.15</v>
      </c>
      <c r="K24" s="179">
        <v>22.35</v>
      </c>
      <c r="L24" s="179">
        <v>0.52</v>
      </c>
    </row>
    <row r="25" spans="2:12">
      <c r="B25" s="165" t="s">
        <v>982</v>
      </c>
      <c r="C25" s="170" t="s">
        <v>983</v>
      </c>
      <c r="D25" s="176">
        <v>3.4460000000000002</v>
      </c>
      <c r="E25" s="176">
        <v>2.8530000000000002</v>
      </c>
      <c r="F25" s="177">
        <v>2.0179999999999998</v>
      </c>
      <c r="G25" s="177">
        <v>1.5129999999999999</v>
      </c>
      <c r="H25" s="177">
        <v>1.1379999999999999</v>
      </c>
      <c r="I25" s="178">
        <v>8.08</v>
      </c>
      <c r="J25" s="178">
        <v>5.72</v>
      </c>
      <c r="K25" s="179">
        <v>-0.82</v>
      </c>
      <c r="L25" s="179">
        <v>-3.35</v>
      </c>
    </row>
    <row r="26" spans="2:12">
      <c r="B26" s="165" t="s">
        <v>984</v>
      </c>
      <c r="C26" s="170" t="s">
        <v>985</v>
      </c>
      <c r="D26" s="176">
        <v>7.0000000000000001E-3</v>
      </c>
      <c r="E26" s="176">
        <v>2E-3</v>
      </c>
      <c r="F26" s="177">
        <v>2E-3</v>
      </c>
      <c r="G26" s="177">
        <v>2E-3</v>
      </c>
      <c r="H26" s="177">
        <v>2E-3</v>
      </c>
      <c r="I26" s="178">
        <v>0</v>
      </c>
      <c r="J26" s="178">
        <v>0.01</v>
      </c>
      <c r="K26" s="179">
        <v>-6.05</v>
      </c>
      <c r="L26" s="179">
        <v>-0.43</v>
      </c>
    </row>
    <row r="27" spans="2:12">
      <c r="B27" s="165" t="s">
        <v>986</v>
      </c>
      <c r="C27" s="170" t="s">
        <v>987</v>
      </c>
      <c r="D27" s="176">
        <v>0</v>
      </c>
      <c r="E27" s="176">
        <v>0.98799999999999999</v>
      </c>
      <c r="F27" s="177">
        <v>0.879</v>
      </c>
      <c r="G27" s="177">
        <v>0.39</v>
      </c>
      <c r="H27" s="177">
        <v>6.5000000000000002E-2</v>
      </c>
      <c r="I27" s="178">
        <v>2.8</v>
      </c>
      <c r="J27" s="178">
        <v>0.33</v>
      </c>
      <c r="K27" s="179" t="s">
        <v>549</v>
      </c>
      <c r="L27" s="179">
        <v>-9.59</v>
      </c>
    </row>
    <row r="28" spans="2:12">
      <c r="B28" s="165" t="s">
        <v>988</v>
      </c>
      <c r="C28" s="170" t="s">
        <v>989</v>
      </c>
      <c r="D28" s="176">
        <v>0.17499999999999999</v>
      </c>
      <c r="E28" s="176">
        <v>0.40600000000000003</v>
      </c>
      <c r="F28" s="177">
        <v>0.82099999999999995</v>
      </c>
      <c r="G28" s="177">
        <v>1.0580000000000001</v>
      </c>
      <c r="H28" s="177">
        <v>1.3160000000000001</v>
      </c>
      <c r="I28" s="178">
        <v>1.1499999999999999</v>
      </c>
      <c r="J28" s="178">
        <v>6.61</v>
      </c>
      <c r="K28" s="179">
        <v>3.72</v>
      </c>
      <c r="L28" s="179">
        <v>4.45</v>
      </c>
    </row>
    <row r="29" spans="2:12">
      <c r="B29" s="165" t="s">
        <v>990</v>
      </c>
      <c r="C29" s="170" t="s">
        <v>991</v>
      </c>
      <c r="D29" s="176">
        <v>0</v>
      </c>
      <c r="E29" s="176">
        <v>0.69599999999999995</v>
      </c>
      <c r="F29" s="177">
        <v>0.68500000000000005</v>
      </c>
      <c r="G29" s="177">
        <v>1.2410000000000001</v>
      </c>
      <c r="H29" s="177">
        <v>1.748</v>
      </c>
      <c r="I29" s="178">
        <v>1.97</v>
      </c>
      <c r="J29" s="178">
        <v>8.7799999999999994</v>
      </c>
      <c r="K29" s="179" t="s">
        <v>549</v>
      </c>
      <c r="L29" s="179">
        <v>3.47</v>
      </c>
    </row>
    <row r="30" spans="2:12">
      <c r="B30" s="180"/>
      <c r="C30" s="181"/>
      <c r="D30" s="182"/>
      <c r="E30" s="182"/>
      <c r="F30" s="183"/>
      <c r="G30" s="183"/>
      <c r="H30" s="183"/>
      <c r="I30" s="183"/>
      <c r="J30" s="183"/>
      <c r="K30" s="184"/>
      <c r="L30" s="184"/>
    </row>
    <row r="31" spans="2:12" ht="19.5">
      <c r="B31" s="165" t="s">
        <v>992</v>
      </c>
      <c r="C31" s="166" t="s">
        <v>993</v>
      </c>
      <c r="D31" s="176"/>
      <c r="E31" s="176"/>
      <c r="F31" s="186"/>
      <c r="G31" s="186"/>
      <c r="H31" s="186"/>
      <c r="I31" s="187"/>
      <c r="J31" s="187"/>
      <c r="K31" s="188"/>
      <c r="L31" s="188"/>
    </row>
    <row r="32" spans="2:12">
      <c r="B32" s="165" t="s">
        <v>994</v>
      </c>
      <c r="C32" s="170" t="s">
        <v>995</v>
      </c>
      <c r="D32" s="176">
        <v>23.548999999999999</v>
      </c>
      <c r="E32" s="176">
        <v>33.664000000000001</v>
      </c>
      <c r="F32" s="177">
        <v>29.393000000000001</v>
      </c>
      <c r="G32" s="177">
        <v>23.849</v>
      </c>
      <c r="H32" s="177">
        <v>18.12</v>
      </c>
      <c r="I32" s="178">
        <v>95.32</v>
      </c>
      <c r="J32" s="178">
        <v>91.05</v>
      </c>
      <c r="K32" s="179">
        <v>1.57</v>
      </c>
      <c r="L32" s="179">
        <v>-2.27</v>
      </c>
    </row>
    <row r="33" spans="1:30">
      <c r="B33" s="165" t="s">
        <v>996</v>
      </c>
      <c r="C33" s="170" t="s">
        <v>997</v>
      </c>
      <c r="D33" s="176">
        <v>0.51300000000000001</v>
      </c>
      <c r="E33" s="176">
        <v>0.29499999999999998</v>
      </c>
      <c r="F33" s="177">
        <v>0.38500000000000001</v>
      </c>
      <c r="G33" s="177">
        <v>0.39800000000000002</v>
      </c>
      <c r="H33" s="177">
        <v>0.38300000000000001</v>
      </c>
      <c r="I33" s="178">
        <v>0.84</v>
      </c>
      <c r="J33" s="178">
        <v>1.93</v>
      </c>
      <c r="K33" s="179">
        <v>-2.37</v>
      </c>
      <c r="L33" s="179">
        <v>0.97</v>
      </c>
    </row>
    <row r="34" spans="1:30">
      <c r="B34" s="165" t="s">
        <v>998</v>
      </c>
      <c r="C34" s="170" t="s">
        <v>999</v>
      </c>
      <c r="D34" s="176">
        <v>1.4999999999999999E-2</v>
      </c>
      <c r="E34" s="176">
        <v>0.89800000000000002</v>
      </c>
      <c r="F34" s="177">
        <v>1.0509999999999999</v>
      </c>
      <c r="G34" s="177">
        <v>1.0169999999999999</v>
      </c>
      <c r="H34" s="177">
        <v>1.032</v>
      </c>
      <c r="I34" s="178">
        <v>2.54</v>
      </c>
      <c r="J34" s="178">
        <v>5.18</v>
      </c>
      <c r="K34" s="179">
        <v>19.5</v>
      </c>
      <c r="L34" s="179">
        <v>0.52</v>
      </c>
      <c r="N34" s="198" t="s">
        <v>1015</v>
      </c>
    </row>
    <row r="35" spans="1:30">
      <c r="B35" s="189" t="s">
        <v>1000</v>
      </c>
      <c r="C35" s="170" t="s">
        <v>1001</v>
      </c>
      <c r="D35" s="176">
        <v>0.93</v>
      </c>
      <c r="E35" s="176">
        <v>0.46</v>
      </c>
      <c r="F35" s="177">
        <v>0.41899999999999998</v>
      </c>
      <c r="G35" s="177">
        <v>0.39500000000000002</v>
      </c>
      <c r="H35" s="177">
        <v>0.36499999999999999</v>
      </c>
      <c r="I35" s="178">
        <v>1.3</v>
      </c>
      <c r="J35" s="178">
        <v>1.84</v>
      </c>
      <c r="K35" s="179">
        <v>-3.02</v>
      </c>
      <c r="L35" s="179">
        <v>-0.85</v>
      </c>
    </row>
    <row r="37" spans="1:30">
      <c r="C37">
        <v>2023</v>
      </c>
      <c r="D37">
        <v>2024</v>
      </c>
      <c r="E37">
        <v>2025</v>
      </c>
      <c r="F37">
        <v>2026</v>
      </c>
      <c r="G37">
        <v>2027</v>
      </c>
      <c r="H37">
        <v>2028</v>
      </c>
      <c r="I37">
        <v>2029</v>
      </c>
      <c r="J37">
        <v>2030</v>
      </c>
      <c r="K37">
        <v>2031</v>
      </c>
      <c r="L37">
        <v>2032</v>
      </c>
      <c r="M37">
        <v>2033</v>
      </c>
      <c r="N37">
        <v>2034</v>
      </c>
      <c r="O37">
        <v>2035</v>
      </c>
      <c r="P37">
        <v>2036</v>
      </c>
      <c r="Q37">
        <v>2037</v>
      </c>
      <c r="R37">
        <v>2038</v>
      </c>
      <c r="S37">
        <v>2039</v>
      </c>
      <c r="T37">
        <v>2040</v>
      </c>
      <c r="U37">
        <v>2041</v>
      </c>
      <c r="V37">
        <v>2042</v>
      </c>
      <c r="W37">
        <v>2043</v>
      </c>
      <c r="X37">
        <v>2044</v>
      </c>
      <c r="Y37">
        <v>2045</v>
      </c>
      <c r="Z37">
        <v>2046</v>
      </c>
      <c r="AA37">
        <v>2047</v>
      </c>
      <c r="AB37">
        <v>2048</v>
      </c>
      <c r="AC37">
        <v>2049</v>
      </c>
      <c r="AD37">
        <v>2050</v>
      </c>
    </row>
    <row r="38" spans="1:30">
      <c r="A38" t="s">
        <v>1017</v>
      </c>
      <c r="B38" t="str">
        <f>B10</f>
        <v>Passenger Cars</v>
      </c>
      <c r="C38" cm="1">
        <f t="array" ref="C38">TREND($E$10:$F$10,$E$7:$F$7,C$37)</f>
        <v>21.389999999999986</v>
      </c>
      <c r="D38" cm="1">
        <f t="array" ref="D38">TREND($E$10:$F$10,$E$7:$F$7,D$37)</f>
        <v>21.645428571428511</v>
      </c>
      <c r="E38" cm="1">
        <f t="array" ref="E38">TREND($E$10:$F$10,$E$7:$F$7,E$37)</f>
        <v>21.900857142857035</v>
      </c>
      <c r="F38" cm="1">
        <f t="array" ref="F38">TREND($E$10:$F$10,$E$7:$F$7,F$37)</f>
        <v>22.156285714285673</v>
      </c>
      <c r="G38" cm="1">
        <f t="array" ref="G38">TREND($E$10:$F$10,$E$7:$F$7,G$37)</f>
        <v>22.411714285714197</v>
      </c>
      <c r="H38" cm="1">
        <f t="array" ref="H38">TREND($E$10:$F$10,$E$7:$F$7,H$37)</f>
        <v>22.667142857142835</v>
      </c>
      <c r="I38" cm="1">
        <f t="array" ref="I38">TREND($E$10:$F$10,$E$7:$F$7,I$37)</f>
        <v>22.922571428571359</v>
      </c>
      <c r="J38" cm="1">
        <f t="array" ref="J38">TREND($F$10:$G$10,$F$7:$G$7,J$37)</f>
        <v>23.177999999999997</v>
      </c>
      <c r="K38" cm="1">
        <f t="array" ref="K38">TREND($F$10:$G$10,$F$7:$G$7,K$37)</f>
        <v>23.266499999999979</v>
      </c>
      <c r="L38" cm="1">
        <f t="array" ref="L38">TREND($F$10:$G$10,$F$7:$G$7,L$37)</f>
        <v>23.35499999999999</v>
      </c>
      <c r="M38" cm="1">
        <f t="array" ref="M38">TREND($F$10:$G$10,$F$7:$G$7,M$37)</f>
        <v>23.4435</v>
      </c>
      <c r="N38" cm="1">
        <f t="array" ref="N38">TREND($F$10:$G$10,$F$7:$G$7,N$37)</f>
        <v>23.531999999999982</v>
      </c>
      <c r="O38" cm="1">
        <f t="array" ref="O38">TREND($F$10:$G$10,$F$7:$G$7,O$37)</f>
        <v>23.620499999999993</v>
      </c>
      <c r="P38" cm="1">
        <f t="array" ref="P38">TREND($F$10:$G$10,$F$7:$G$7,P$37)</f>
        <v>23.709000000000003</v>
      </c>
      <c r="Q38" cm="1">
        <f t="array" ref="Q38">TREND($F$10:$G$10,$F$7:$G$7,Q$37)</f>
        <v>23.797499999999985</v>
      </c>
      <c r="R38" cm="1">
        <f t="array" ref="R38">TREND($F$10:$G$10,$F$7:$G$7,R$37)</f>
        <v>23.885999999999996</v>
      </c>
      <c r="S38" cm="1">
        <f t="array" ref="S38">TREND($F$10:$G$10,$F$7:$G$7,S$37)</f>
        <v>23.974499999999978</v>
      </c>
      <c r="T38" cm="1">
        <f t="array" ref="T38">TREND($G$10:$H$10,$G$7:$H$7,T$37)</f>
        <v>24.062999999999988</v>
      </c>
      <c r="U38" cm="1">
        <f t="array" ref="U38">TREND($G$10:$H$10,$G$7:$H$7,U$37)</f>
        <v>23.968999999999966</v>
      </c>
      <c r="V38" cm="1">
        <f t="array" ref="V38">TREND($G$10:$H$10,$G$7:$H$7,V$37)</f>
        <v>23.874999999999972</v>
      </c>
      <c r="W38" cm="1">
        <f t="array" ref="W38">TREND($G$10:$H$10,$G$7:$H$7,W$37)</f>
        <v>23.780999999999977</v>
      </c>
      <c r="X38" cm="1">
        <f t="array" ref="X38">TREND($G$10:$H$10,$G$7:$H$7,X$37)</f>
        <v>23.686999999999983</v>
      </c>
      <c r="Y38" cm="1">
        <f t="array" ref="Y38">TREND($G$10:$H$10,$G$7:$H$7,Y$37)</f>
        <v>23.592999999999989</v>
      </c>
      <c r="Z38" cm="1">
        <f t="array" ref="Z38">TREND($G$10:$H$10,$G$7:$H$7,Z$37)</f>
        <v>23.498999999999967</v>
      </c>
      <c r="AA38" cm="1">
        <f t="array" ref="AA38">TREND($G$10:$H$10,$G$7:$H$7,AA$37)</f>
        <v>23.404999999999973</v>
      </c>
      <c r="AB38" cm="1">
        <f t="array" ref="AB38">TREND($G$10:$H$10,$G$7:$H$7,AB$37)</f>
        <v>23.310999999999979</v>
      </c>
      <c r="AC38" cm="1">
        <f t="array" ref="AC38">TREND($G$10:$H$10,$G$7:$H$7,AC$37)</f>
        <v>23.216999999999985</v>
      </c>
      <c r="AD38" cm="1">
        <f t="array" ref="AD38">TREND($G$10:$H$10,$G$7:$H$7,AD$37)</f>
        <v>23.12299999999999</v>
      </c>
    </row>
    <row r="39" spans="1:30">
      <c r="A39" t="s">
        <v>1017</v>
      </c>
      <c r="B39" t="str">
        <f>B11</f>
        <v>Trucks</v>
      </c>
      <c r="C39" cm="1">
        <f t="array" ref="C39">TREND($E$11:$F$11,$E$7:$F$7,C$37)</f>
        <v>3.7260000000000026</v>
      </c>
      <c r="D39" cm="1">
        <f t="array" ref="D39">TREND($E$11:$F$11,$E$7:$F$7,D$37)</f>
        <v>3.741142857142858</v>
      </c>
      <c r="E39" cm="1">
        <f t="array" ref="E39">TREND($E$11:$F$11,$E$7:$F$7,E$37)</f>
        <v>3.7562857142857169</v>
      </c>
      <c r="F39" cm="1">
        <f t="array" ref="F39">TREND($E$11:$F$11,$E$7:$F$7,F$37)</f>
        <v>3.7714285714285722</v>
      </c>
      <c r="G39" cm="1">
        <f t="array" ref="G39">TREND($E$11:$F$11,$E$7:$F$7,G$37)</f>
        <v>3.7865714285714311</v>
      </c>
      <c r="H39" cm="1">
        <f t="array" ref="H39">TREND($E$11:$F$11,$E$7:$F$7,H$37)</f>
        <v>3.8017142857142865</v>
      </c>
      <c r="I39" cm="1">
        <f t="array" ref="I39">TREND($E$11:$F$11,$E$7:$F$7,I$37)</f>
        <v>3.8168571428571454</v>
      </c>
      <c r="J39" cm="1">
        <f t="array" ref="J39">TREND($F$11:$G$11,$F$7:$G$7,J$37)</f>
        <v>3.8319999999999999</v>
      </c>
      <c r="K39" cm="1">
        <f t="array" ref="K39">TREND($F$11:$G$11,$F$7:$G$7,K$37)</f>
        <v>3.8336999999999999</v>
      </c>
      <c r="L39" cm="1">
        <f t="array" ref="L39">TREND($F$11:$G$11,$F$7:$G$7,L$37)</f>
        <v>3.8353999999999999</v>
      </c>
      <c r="M39" cm="1">
        <f t="array" ref="M39">TREND($F$11:$G$11,$F$7:$G$7,M$37)</f>
        <v>3.8371</v>
      </c>
      <c r="N39" cm="1">
        <f t="array" ref="N39">TREND($F$11:$G$11,$F$7:$G$7,N$37)</f>
        <v>3.8388</v>
      </c>
      <c r="O39" cm="1">
        <f t="array" ref="O39">TREND($F$11:$G$11,$F$7:$G$7,O$37)</f>
        <v>3.8405</v>
      </c>
      <c r="P39" cm="1">
        <f t="array" ref="P39">TREND($F$11:$G$11,$F$7:$G$7,P$37)</f>
        <v>3.8422000000000001</v>
      </c>
      <c r="Q39" cm="1">
        <f t="array" ref="Q39">TREND($F$11:$G$11,$F$7:$G$7,Q$37)</f>
        <v>3.8439000000000001</v>
      </c>
      <c r="R39" cm="1">
        <f t="array" ref="R39">TREND($F$11:$G$11,$F$7:$G$7,R$37)</f>
        <v>3.8456000000000001</v>
      </c>
      <c r="S39" cm="1">
        <f t="array" ref="S39">TREND($F$11:$G$11,$F$7:$G$7,S$37)</f>
        <v>3.8473000000000002</v>
      </c>
      <c r="T39" cm="1">
        <f t="array" ref="T39">TREND($G$11:$H$11,$G$7:$H$7,T$37)</f>
        <v>3.8489999999999966</v>
      </c>
      <c r="U39" cm="1">
        <f t="array" ref="U39">TREND($G$11:$H$11,$G$7:$H$7,U$37)</f>
        <v>3.8329999999999984</v>
      </c>
      <c r="V39" cm="1">
        <f t="array" ref="V39">TREND($G$11:$H$11,$G$7:$H$7,V$37)</f>
        <v>3.8169999999999931</v>
      </c>
      <c r="W39" cm="1">
        <f t="array" ref="W39">TREND($G$11:$H$11,$G$7:$H$7,W$37)</f>
        <v>3.8009999999999948</v>
      </c>
      <c r="X39" cm="1">
        <f t="array" ref="X39">TREND($G$11:$H$11,$G$7:$H$7,X$37)</f>
        <v>3.7849999999999966</v>
      </c>
      <c r="Y39" cm="1">
        <f t="array" ref="Y39">TREND($G$11:$H$11,$G$7:$H$7,Y$37)</f>
        <v>3.7689999999999984</v>
      </c>
      <c r="Z39" cm="1">
        <f t="array" ref="Z39">TREND($G$11:$H$11,$G$7:$H$7,Z$37)</f>
        <v>3.752999999999993</v>
      </c>
      <c r="AA39" cm="1">
        <f t="array" ref="AA39">TREND($G$11:$H$11,$G$7:$H$7,AA$37)</f>
        <v>3.7369999999999948</v>
      </c>
      <c r="AB39" cm="1">
        <f t="array" ref="AB39">TREND($G$11:$H$11,$G$7:$H$7,AB$37)</f>
        <v>3.7209999999999965</v>
      </c>
      <c r="AC39" cm="1">
        <f t="array" ref="AC39">TREND($G$11:$H$11,$G$7:$H$7,AC$37)</f>
        <v>3.7049999999999983</v>
      </c>
      <c r="AD39" cm="1">
        <f t="array" ref="AD39">TREND($G$11:$H$11,$G$7:$H$7,AD$37)</f>
        <v>3.6890000000000001</v>
      </c>
    </row>
    <row r="40" spans="1:30">
      <c r="A40" t="s">
        <v>1017</v>
      </c>
      <c r="B40" t="str">
        <f>B12</f>
        <v>Passenger Vehicles</v>
      </c>
      <c r="C40" cm="1">
        <f t="array" ref="C40">TREND($E12:$F12,$E$7:$F$7,C$37)</f>
        <v>0.69499999999999995</v>
      </c>
      <c r="D40" cm="1">
        <f t="array" ref="D40">TREND($E12:$F12,$E$7:$F$7,D$37)</f>
        <v>0.69542857142857128</v>
      </c>
      <c r="E40" cm="1">
        <f t="array" ref="E40">TREND($E12:$F12,$E$7:$F$7,E$37)</f>
        <v>0.69585714285714273</v>
      </c>
      <c r="F40" cm="1">
        <f t="array" ref="F40">TREND($E12:$F12,$E$7:$F$7,F$37)</f>
        <v>0.69628571428571417</v>
      </c>
      <c r="G40" cm="1">
        <f t="array" ref="G40">TREND($E12:$F12,$E$7:$F$7,G$37)</f>
        <v>0.69671428571428562</v>
      </c>
      <c r="H40" cm="1">
        <f t="array" ref="H40">TREND($E12:$F12,$E$7:$F$7,H$37)</f>
        <v>0.69714285714285706</v>
      </c>
      <c r="I40" cm="1">
        <f t="array" ref="I40">TREND($E12:$F12,$E$7:$F$7,I$37)</f>
        <v>0.69757142857142851</v>
      </c>
      <c r="J40" cm="1">
        <f t="array" ref="J40">TREND($E12:$F12,$E$7:$F$7,J$37)</f>
        <v>0.69799999999999995</v>
      </c>
      <c r="K40" cm="1">
        <f t="array" ref="K40">TREND($F12:$G12,$F$7:$G$7,K$37)</f>
        <v>0.69729999999999981</v>
      </c>
      <c r="L40" cm="1">
        <f t="array" ref="L40">TREND($F12:$G12,$F$7:$G$7,L$37)</f>
        <v>0.69659999999999989</v>
      </c>
      <c r="M40" cm="1">
        <f t="array" ref="M40">TREND($F12:$G12,$F$7:$G$7,M$37)</f>
        <v>0.69589999999999974</v>
      </c>
      <c r="N40" cm="1">
        <f t="array" ref="N40">TREND($F12:$G12,$F$7:$G$7,N$37)</f>
        <v>0.69519999999999982</v>
      </c>
      <c r="O40" cm="1">
        <f t="array" ref="O40">TREND($F12:$G12,$F$7:$G$7,O$37)</f>
        <v>0.6944999999999999</v>
      </c>
      <c r="P40" cm="1">
        <f t="array" ref="P40">TREND($F12:$G12,$F$7:$G$7,P$37)</f>
        <v>0.69379999999999975</v>
      </c>
      <c r="Q40" cm="1">
        <f t="array" ref="Q40">TREND($F12:$G12,$F$7:$G$7,Q$37)</f>
        <v>0.69309999999999983</v>
      </c>
      <c r="R40" cm="1">
        <f t="array" ref="R40">TREND($F12:$G12,$F$7:$G$7,R$37)</f>
        <v>0.6923999999999999</v>
      </c>
      <c r="S40" cm="1">
        <f t="array" ref="S40">TREND($F12:$G12,$F$7:$G$7,S$37)</f>
        <v>0.69169999999999976</v>
      </c>
      <c r="T40" cm="1">
        <f t="array" ref="T40">TREND($F12:$G12,$F$7:$G$7,T$37)</f>
        <v>0.69099999999999984</v>
      </c>
      <c r="U40" cm="1">
        <f t="array" ref="U40">TREND($G12:$H12,$G$7:$H$7,U$37)</f>
        <v>0.68719999999999981</v>
      </c>
      <c r="V40" cm="1">
        <f t="array" ref="V40">TREND($G12:$H12,$G$7:$H$7,V$37)</f>
        <v>0.68339999999999979</v>
      </c>
      <c r="W40" cm="1">
        <f t="array" ref="W40">TREND($G12:$H12,$G$7:$H$7,W$37)</f>
        <v>0.67959999999999976</v>
      </c>
      <c r="X40" cm="1">
        <f t="array" ref="X40">TREND($G12:$H12,$G$7:$H$7,X$37)</f>
        <v>0.67579999999999973</v>
      </c>
      <c r="Y40" cm="1">
        <f t="array" ref="Y40">TREND($G12:$H12,$G$7:$H$7,Y$37)</f>
        <v>0.67199999999999971</v>
      </c>
      <c r="Z40" cm="1">
        <f t="array" ref="Z40">TREND($G12:$H12,$G$7:$H$7,Z$37)</f>
        <v>0.66819999999999968</v>
      </c>
      <c r="AA40" cm="1">
        <f t="array" ref="AA40">TREND($G12:$H12,$G$7:$H$7,AA$37)</f>
        <v>0.66439999999999966</v>
      </c>
      <c r="AB40" cm="1">
        <f t="array" ref="AB40">TREND($G12:$H12,$G$7:$H$7,AB$37)</f>
        <v>0.66059999999999963</v>
      </c>
      <c r="AC40" cm="1">
        <f t="array" ref="AC40">TREND($G12:$H12,$G$7:$H$7,AC$37)</f>
        <v>0.65679999999999961</v>
      </c>
      <c r="AD40" cm="1">
        <f t="array" ref="AD40">TREND($G12:$H12,$G$7:$H$7,AD$37)</f>
        <v>0.65299999999999958</v>
      </c>
    </row>
    <row r="41" spans="1:30">
      <c r="A41" t="s">
        <v>1018</v>
      </c>
      <c r="B41" t="s">
        <v>996</v>
      </c>
      <c r="C41" cm="1">
        <f t="array" ref="C41">TREND($E33:$F33,$E$7:$F$7,C$37)</f>
        <v>0.29499999999999815</v>
      </c>
      <c r="D41" cm="1">
        <f t="array" ref="D41">TREND($E33:$F33,$E$7:$F$7,D$37)</f>
        <v>0.3078571428571415</v>
      </c>
      <c r="E41" cm="1">
        <f t="array" ref="E41">TREND($E33:$F33,$E$7:$F$7,E$37)</f>
        <v>0.32071428571428484</v>
      </c>
      <c r="F41" cm="1">
        <f t="array" ref="F41">TREND($E33:$F33,$E$7:$F$7,F$37)</f>
        <v>0.33357142857142819</v>
      </c>
      <c r="G41" cm="1">
        <f t="array" ref="G41">TREND($E33:$F33,$E$7:$F$7,G$37)</f>
        <v>0.34642857142857153</v>
      </c>
      <c r="H41" cm="1">
        <f t="array" ref="H41">TREND($E33:$F33,$E$7:$F$7,H$37)</f>
        <v>0.35928571428571487</v>
      </c>
      <c r="I41" cm="1">
        <f t="array" ref="I41">TREND($E33:$F33,$E$7:$F$7,I$37)</f>
        <v>0.37214285714285822</v>
      </c>
      <c r="J41" cm="1">
        <f t="array" ref="J41">TREND($F33:$G33,$F$7:$G$7,J$37)</f>
        <v>0.38500000000000023</v>
      </c>
      <c r="K41" cm="1">
        <f t="array" ref="K41">TREND($F33:$G33,$F$7:$G$7,K$37)</f>
        <v>0.38630000000000031</v>
      </c>
      <c r="L41" cm="1">
        <f t="array" ref="L41">TREND($F33:$G33,$F$7:$G$7,L$37)</f>
        <v>0.38760000000000039</v>
      </c>
      <c r="M41" cm="1">
        <f t="array" ref="M41">TREND($F33:$G33,$F$7:$G$7,M$37)</f>
        <v>0.38890000000000047</v>
      </c>
      <c r="N41" cm="1">
        <f t="array" ref="N41">TREND($F33:$G33,$F$7:$G$7,N$37)</f>
        <v>0.3902000000000001</v>
      </c>
      <c r="O41" cm="1">
        <f t="array" ref="O41">TREND($F33:$G33,$F$7:$G$7,O$37)</f>
        <v>0.39150000000000018</v>
      </c>
      <c r="P41" cm="1">
        <f t="array" ref="P41">TREND($F33:$G33,$F$7:$G$7,P$37)</f>
        <v>0.39280000000000026</v>
      </c>
      <c r="Q41" cm="1">
        <f t="array" ref="Q41">TREND($F33:$G33,$F$7:$G$7,Q$37)</f>
        <v>0.39410000000000034</v>
      </c>
      <c r="R41" cm="1">
        <f t="array" ref="R41">TREND($F33:$G33,$F$7:$G$7,R$37)</f>
        <v>0.39540000000000042</v>
      </c>
      <c r="S41" cm="1">
        <f t="array" ref="S41">TREND($F33:$G33,$F$7:$G$7,S$37)</f>
        <v>0.3967000000000005</v>
      </c>
      <c r="T41" cm="1">
        <f t="array" ref="T41">TREND($G33:$H33,$G$7:$H$7,T$37)</f>
        <v>0.39799999999999969</v>
      </c>
      <c r="U41" cm="1">
        <f t="array" ref="U41">TREND($G33:$H33,$G$7:$H$7,U$37)</f>
        <v>0.39649999999999963</v>
      </c>
      <c r="V41" cm="1">
        <f t="array" ref="V41">TREND($G33:$H33,$G$7:$H$7,V$37)</f>
        <v>0.39499999999999957</v>
      </c>
      <c r="W41" cm="1">
        <f t="array" ref="W41">TREND($G33:$H33,$G$7:$H$7,W$37)</f>
        <v>0.39349999999999952</v>
      </c>
      <c r="X41" cm="1">
        <f t="array" ref="X41">TREND($G33:$H33,$G$7:$H$7,X$37)</f>
        <v>0.39199999999999946</v>
      </c>
      <c r="Y41" cm="1">
        <f t="array" ref="Y41">TREND($G33:$H33,$G$7:$H$7,Y$37)</f>
        <v>0.39049999999999985</v>
      </c>
      <c r="Z41" cm="1">
        <f t="array" ref="Z41">TREND($G33:$H33,$G$7:$H$7,Z$37)</f>
        <v>0.38899999999999979</v>
      </c>
      <c r="AA41" cm="1">
        <f t="array" ref="AA41">TREND($G33:$H33,$G$7:$H$7,AA$37)</f>
        <v>0.38749999999999973</v>
      </c>
      <c r="AB41" cm="1">
        <f t="array" ref="AB41">TREND($G33:$H33,$G$7:$H$7,AB$37)</f>
        <v>0.38599999999999968</v>
      </c>
      <c r="AC41" cm="1">
        <f t="array" ref="AC41">TREND($G33:$H33,$G$7:$H$7,AC$37)</f>
        <v>0.38449999999999962</v>
      </c>
      <c r="AD41" cm="1">
        <f t="array" ref="AD41">TREND($G33:$H33,$G$7:$H$7,AD$37)</f>
        <v>0.38299999999999956</v>
      </c>
    </row>
    <row r="42" spans="1:30">
      <c r="A42" t="s">
        <v>1018</v>
      </c>
      <c r="B42" t="s">
        <v>998</v>
      </c>
      <c r="C42" cm="1">
        <f t="array" ref="C42">TREND($E34:$F34,$E$7:$F$7,C$37)</f>
        <v>0.89799999999999613</v>
      </c>
      <c r="D42" cm="1">
        <f t="array" ref="D42">TREND($E34:$F34,$E$7:$F$7,D$37)</f>
        <v>0.91985714285713982</v>
      </c>
      <c r="E42" cm="1">
        <f t="array" ref="E42">TREND($E34:$F34,$E$7:$F$7,E$37)</f>
        <v>0.94171428571428351</v>
      </c>
      <c r="F42" cm="1">
        <f t="array" ref="F42">TREND($E34:$F34,$E$7:$F$7,F$37)</f>
        <v>0.96357142857142719</v>
      </c>
      <c r="G42" cm="1">
        <f t="array" ref="G42">TREND($E34:$F34,$E$7:$F$7,G$37)</f>
        <v>0.98542857142857088</v>
      </c>
      <c r="H42" cm="1">
        <f t="array" ref="H42">TREND($E34:$F34,$E$7:$F$7,H$37)</f>
        <v>1.0072857142857075</v>
      </c>
      <c r="I42" cm="1">
        <f t="array" ref="I42">TREND($E34:$F34,$E$7:$F$7,I$37)</f>
        <v>1.0291428571428511</v>
      </c>
      <c r="J42" cm="1">
        <f t="array" ref="J42">TREND($F34:$G34,$F$7:$G$7,J$37)</f>
        <v>1.0510000000000002</v>
      </c>
      <c r="K42" cm="1">
        <f t="array" ref="K42">TREND($F34:$G34,$F$7:$G$7,K$37)</f>
        <v>1.0476000000000001</v>
      </c>
      <c r="L42" cm="1">
        <f t="array" ref="L42">TREND($F34:$G34,$F$7:$G$7,L$37)</f>
        <v>1.0442</v>
      </c>
      <c r="M42" cm="1">
        <f t="array" ref="M42">TREND($F34:$G34,$F$7:$G$7,M$37)</f>
        <v>1.0407999999999999</v>
      </c>
      <c r="N42" cm="1">
        <f t="array" ref="N42">TREND($F34:$G34,$F$7:$G$7,N$37)</f>
        <v>1.0373999999999999</v>
      </c>
      <c r="O42" cm="1">
        <f t="array" ref="O42">TREND($F34:$G34,$F$7:$G$7,O$37)</f>
        <v>1.0339999999999998</v>
      </c>
      <c r="P42" cm="1">
        <f t="array" ref="P42">TREND($F34:$G34,$F$7:$G$7,P$37)</f>
        <v>1.0305999999999997</v>
      </c>
      <c r="Q42" cm="1">
        <f t="array" ref="Q42">TREND($F34:$G34,$F$7:$G$7,Q$37)</f>
        <v>1.0271999999999997</v>
      </c>
      <c r="R42" cm="1">
        <f t="array" ref="R42">TREND($F34:$G34,$F$7:$G$7,R$37)</f>
        <v>1.0237999999999996</v>
      </c>
      <c r="S42" cm="1">
        <f t="array" ref="S42">TREND($F34:$G34,$F$7:$G$7,S$37)</f>
        <v>1.0203999999999995</v>
      </c>
      <c r="T42" cm="1">
        <f t="array" ref="T42">TREND($G34:$H34,$G$7:$H$7,T$37)</f>
        <v>1.0170000000000003</v>
      </c>
      <c r="U42" cm="1">
        <f t="array" ref="U42">TREND($G34:$H34,$G$7:$H$7,U$37)</f>
        <v>1.0185000000000004</v>
      </c>
      <c r="V42" cm="1">
        <f t="array" ref="V42">TREND($G34:$H34,$G$7:$H$7,V$37)</f>
        <v>1.0200000000000005</v>
      </c>
      <c r="W42" cm="1">
        <f t="array" ref="W42">TREND($G34:$H34,$G$7:$H$7,W$37)</f>
        <v>1.0215000000000005</v>
      </c>
      <c r="X42" cm="1">
        <f t="array" ref="X42">TREND($G34:$H34,$G$7:$H$7,X$37)</f>
        <v>1.0230000000000001</v>
      </c>
      <c r="Y42" cm="1">
        <f t="array" ref="Y42">TREND($G34:$H34,$G$7:$H$7,Y$37)</f>
        <v>1.0245000000000002</v>
      </c>
      <c r="Z42" cm="1">
        <f t="array" ref="Z42">TREND($G34:$H34,$G$7:$H$7,Z$37)</f>
        <v>1.0260000000000002</v>
      </c>
      <c r="AA42" cm="1">
        <f t="array" ref="AA42">TREND($G34:$H34,$G$7:$H$7,AA$37)</f>
        <v>1.0275000000000003</v>
      </c>
      <c r="AB42" cm="1">
        <f t="array" ref="AB42">TREND($G34:$H34,$G$7:$H$7,AB$37)</f>
        <v>1.0290000000000004</v>
      </c>
      <c r="AC42" cm="1">
        <f t="array" ref="AC42">TREND($G34:$H34,$G$7:$H$7,AC$37)</f>
        <v>1.0305000000000004</v>
      </c>
      <c r="AD42" cm="1">
        <f t="array" ref="AD42">TREND($G34:$H34,$G$7:$H$7,AD$37)</f>
        <v>1.0320000000000005</v>
      </c>
    </row>
    <row r="43" spans="1:30">
      <c r="A43" t="s">
        <v>1018</v>
      </c>
      <c r="B43" t="s">
        <v>1016</v>
      </c>
      <c r="C43" cm="1">
        <f t="array" ref="C43">TREND($E35:$F35,$E$7:$F$7,C$37)</f>
        <v>0.46000000000000085</v>
      </c>
      <c r="D43" cm="1">
        <f t="array" ref="D43">TREND($E35:$F35,$E$7:$F$7,D$37)</f>
        <v>0.45414285714285718</v>
      </c>
      <c r="E43" cm="1">
        <f t="array" ref="E43">TREND($E35:$F35,$E$7:$F$7,E$37)</f>
        <v>0.44828571428571529</v>
      </c>
      <c r="F43" cm="1">
        <f t="array" ref="F43">TREND($E35:$F35,$E$7:$F$7,F$37)</f>
        <v>0.44242857142857162</v>
      </c>
      <c r="G43" cm="1">
        <f t="array" ref="G43">TREND($E35:$F35,$E$7:$F$7,G$37)</f>
        <v>0.43657142857142794</v>
      </c>
      <c r="H43" cm="1">
        <f t="array" ref="H43">TREND($E35:$F35,$E$7:$F$7,H$37)</f>
        <v>0.43071428571428605</v>
      </c>
      <c r="I43" cm="1">
        <f t="array" ref="I43">TREND($E35:$F35,$E$7:$F$7,I$37)</f>
        <v>0.42485714285714238</v>
      </c>
      <c r="J43" cm="1">
        <f t="array" ref="J43">TREND($F35:$G35,$F$7:$G$7,J$37)</f>
        <v>0.41899999999999959</v>
      </c>
      <c r="K43" cm="1">
        <f t="array" ref="K43">TREND($F35:$G35,$F$7:$G$7,K$37)</f>
        <v>0.41659999999999986</v>
      </c>
      <c r="L43" cm="1">
        <f t="array" ref="L43">TREND($F35:$G35,$F$7:$G$7,L$37)</f>
        <v>0.41420000000000012</v>
      </c>
      <c r="M43" cm="1">
        <f t="array" ref="M43">TREND($F35:$G35,$F$7:$G$7,M$37)</f>
        <v>0.4117999999999995</v>
      </c>
      <c r="N43" cm="1">
        <f t="array" ref="N43">TREND($F35:$G35,$F$7:$G$7,N$37)</f>
        <v>0.40939999999999976</v>
      </c>
      <c r="O43" cm="1">
        <f t="array" ref="O43">TREND($F35:$G35,$F$7:$G$7,O$37)</f>
        <v>0.40700000000000003</v>
      </c>
      <c r="P43" cm="1">
        <f t="array" ref="P43">TREND($F35:$G35,$F$7:$G$7,P$37)</f>
        <v>0.40460000000000029</v>
      </c>
      <c r="Q43" cm="1">
        <f t="array" ref="Q43">TREND($F35:$G35,$F$7:$G$7,Q$37)</f>
        <v>0.40219999999999967</v>
      </c>
      <c r="R43" cm="1">
        <f t="array" ref="R43">TREND($F35:$G35,$F$7:$G$7,R$37)</f>
        <v>0.39979999999999993</v>
      </c>
      <c r="S43" cm="1">
        <f t="array" ref="S43">TREND($F35:$G35,$F$7:$G$7,S$37)</f>
        <v>0.3974000000000002</v>
      </c>
      <c r="T43" cm="1">
        <f t="array" ref="T43">TREND($G35:$H35,$G$7:$H$7,T$37)</f>
        <v>0.39499999999999957</v>
      </c>
      <c r="U43" cm="1">
        <f t="array" ref="U43">TREND($G35:$H35,$G$7:$H$7,U$37)</f>
        <v>0.39199999999999946</v>
      </c>
      <c r="V43" cm="1">
        <f t="array" ref="V43">TREND($G35:$H35,$G$7:$H$7,V$37)</f>
        <v>0.38899999999999935</v>
      </c>
      <c r="W43" cm="1">
        <f t="array" ref="W43">TREND($G35:$H35,$G$7:$H$7,W$37)</f>
        <v>0.38599999999999923</v>
      </c>
      <c r="X43" cm="1">
        <f t="array" ref="X43">TREND($G35:$H35,$G$7:$H$7,X$37)</f>
        <v>0.38299999999999912</v>
      </c>
      <c r="Y43" cm="1">
        <f t="array" ref="Y43">TREND($G35:$H35,$G$7:$H$7,Y$37)</f>
        <v>0.37999999999999989</v>
      </c>
      <c r="Z43" cm="1">
        <f t="array" ref="Z43">TREND($G35:$H35,$G$7:$H$7,Z$37)</f>
        <v>0.37699999999999978</v>
      </c>
      <c r="AA43" cm="1">
        <f t="array" ref="AA43">TREND($G35:$H35,$G$7:$H$7,AA$37)</f>
        <v>0.37399999999999967</v>
      </c>
      <c r="AB43" cm="1">
        <f t="array" ref="AB43">TREND($G35:$H35,$G$7:$H$7,AB$37)</f>
        <v>0.37099999999999955</v>
      </c>
      <c r="AC43" cm="1">
        <f t="array" ref="AC43">TREND($G35:$H35,$G$7:$H$7,AC$37)</f>
        <v>0.36799999999999944</v>
      </c>
      <c r="AD43" cm="1">
        <f t="array" ref="AD43">TREND($G35:$H35,$G$7:$H$7,AD$37)</f>
        <v>0.36499999999999932</v>
      </c>
    </row>
    <row r="45" spans="1:30">
      <c r="C45">
        <f t="shared" ref="C45:AD45" si="0">C37</f>
        <v>2023</v>
      </c>
      <c r="D45">
        <f t="shared" si="0"/>
        <v>2024</v>
      </c>
      <c r="E45">
        <f t="shared" si="0"/>
        <v>2025</v>
      </c>
      <c r="F45">
        <f t="shared" si="0"/>
        <v>2026</v>
      </c>
      <c r="G45">
        <f t="shared" si="0"/>
        <v>2027</v>
      </c>
      <c r="H45">
        <f t="shared" si="0"/>
        <v>2028</v>
      </c>
      <c r="I45">
        <f t="shared" si="0"/>
        <v>2029</v>
      </c>
      <c r="J45">
        <f t="shared" si="0"/>
        <v>2030</v>
      </c>
      <c r="K45">
        <f t="shared" si="0"/>
        <v>2031</v>
      </c>
      <c r="L45">
        <f t="shared" si="0"/>
        <v>2032</v>
      </c>
      <c r="M45">
        <f t="shared" si="0"/>
        <v>2033</v>
      </c>
      <c r="N45">
        <f t="shared" si="0"/>
        <v>2034</v>
      </c>
      <c r="O45">
        <f t="shared" si="0"/>
        <v>2035</v>
      </c>
      <c r="P45">
        <f t="shared" si="0"/>
        <v>2036</v>
      </c>
      <c r="Q45">
        <f t="shared" si="0"/>
        <v>2037</v>
      </c>
      <c r="R45">
        <f t="shared" si="0"/>
        <v>2038</v>
      </c>
      <c r="S45">
        <f t="shared" si="0"/>
        <v>2039</v>
      </c>
      <c r="T45">
        <f t="shared" si="0"/>
        <v>2040</v>
      </c>
      <c r="U45">
        <f t="shared" si="0"/>
        <v>2041</v>
      </c>
      <c r="V45">
        <f t="shared" si="0"/>
        <v>2042</v>
      </c>
      <c r="W45">
        <f t="shared" si="0"/>
        <v>2043</v>
      </c>
      <c r="X45">
        <f t="shared" si="0"/>
        <v>2044</v>
      </c>
      <c r="Y45">
        <f t="shared" si="0"/>
        <v>2045</v>
      </c>
      <c r="Z45">
        <f t="shared" si="0"/>
        <v>2046</v>
      </c>
      <c r="AA45">
        <f t="shared" si="0"/>
        <v>2047</v>
      </c>
      <c r="AB45">
        <f t="shared" si="0"/>
        <v>2048</v>
      </c>
      <c r="AC45">
        <f t="shared" si="0"/>
        <v>2049</v>
      </c>
      <c r="AD45">
        <f t="shared" si="0"/>
        <v>2050</v>
      </c>
    </row>
    <row r="46" spans="1:30">
      <c r="B46" t="str" cm="1">
        <f t="array" ref="B46:B51">B38:B43</f>
        <v>Passenger Cars</v>
      </c>
      <c r="C46">
        <f t="shared" ref="C46:AD46" si="1">C38*10^6</f>
        <v>21389999.999999985</v>
      </c>
      <c r="D46">
        <f t="shared" si="1"/>
        <v>21645428.571428511</v>
      </c>
      <c r="E46">
        <f t="shared" si="1"/>
        <v>21900857.142857034</v>
      </c>
      <c r="F46">
        <f t="shared" si="1"/>
        <v>22156285.714285672</v>
      </c>
      <c r="G46">
        <f t="shared" si="1"/>
        <v>22411714.285714198</v>
      </c>
      <c r="H46">
        <f t="shared" si="1"/>
        <v>22667142.857142836</v>
      </c>
      <c r="I46">
        <f t="shared" si="1"/>
        <v>22922571.428571358</v>
      </c>
      <c r="J46">
        <f t="shared" si="1"/>
        <v>23177999.999999996</v>
      </c>
      <c r="K46">
        <f t="shared" si="1"/>
        <v>23266499.999999978</v>
      </c>
      <c r="L46">
        <f t="shared" si="1"/>
        <v>23354999.999999989</v>
      </c>
      <c r="M46">
        <f t="shared" si="1"/>
        <v>23443500</v>
      </c>
      <c r="N46">
        <f t="shared" si="1"/>
        <v>23531999.999999981</v>
      </c>
      <c r="O46">
        <f t="shared" si="1"/>
        <v>23620499.999999993</v>
      </c>
      <c r="P46">
        <f t="shared" si="1"/>
        <v>23709000.000000004</v>
      </c>
      <c r="Q46">
        <f t="shared" si="1"/>
        <v>23797499.999999985</v>
      </c>
      <c r="R46">
        <f t="shared" si="1"/>
        <v>23885999.999999996</v>
      </c>
      <c r="S46">
        <f t="shared" si="1"/>
        <v>23974499.999999978</v>
      </c>
      <c r="T46">
        <f t="shared" si="1"/>
        <v>24062999.999999989</v>
      </c>
      <c r="U46">
        <f t="shared" si="1"/>
        <v>23968999.999999966</v>
      </c>
      <c r="V46">
        <f t="shared" si="1"/>
        <v>23874999.99999997</v>
      </c>
      <c r="W46">
        <f t="shared" si="1"/>
        <v>23780999.999999978</v>
      </c>
      <c r="X46">
        <f t="shared" si="1"/>
        <v>23686999.999999985</v>
      </c>
      <c r="Y46">
        <f t="shared" si="1"/>
        <v>23592999.999999989</v>
      </c>
      <c r="Z46">
        <f t="shared" si="1"/>
        <v>23498999.999999966</v>
      </c>
      <c r="AA46">
        <f t="shared" si="1"/>
        <v>23404999.999999974</v>
      </c>
      <c r="AB46">
        <f t="shared" si="1"/>
        <v>23310999.999999978</v>
      </c>
      <c r="AC46">
        <f t="shared" si="1"/>
        <v>23216999.999999985</v>
      </c>
      <c r="AD46">
        <f t="shared" si="1"/>
        <v>23122999.999999989</v>
      </c>
    </row>
    <row r="47" spans="1:30">
      <c r="B47" t="str">
        <v>Trucks</v>
      </c>
      <c r="C47">
        <f t="shared" ref="C47:AD47" si="2">C39*10^6</f>
        <v>3726000.0000000028</v>
      </c>
      <c r="D47">
        <f t="shared" si="2"/>
        <v>3741142.8571428582</v>
      </c>
      <c r="E47">
        <f t="shared" si="2"/>
        <v>3756285.7142857169</v>
      </c>
      <c r="F47">
        <f t="shared" si="2"/>
        <v>3771428.5714285723</v>
      </c>
      <c r="G47">
        <f t="shared" si="2"/>
        <v>3786571.428571431</v>
      </c>
      <c r="H47">
        <f t="shared" si="2"/>
        <v>3801714.2857142864</v>
      </c>
      <c r="I47">
        <f t="shared" si="2"/>
        <v>3816857.1428571455</v>
      </c>
      <c r="J47">
        <f t="shared" si="2"/>
        <v>3832000</v>
      </c>
      <c r="K47">
        <f t="shared" si="2"/>
        <v>3833700</v>
      </c>
      <c r="L47">
        <f t="shared" si="2"/>
        <v>3835400</v>
      </c>
      <c r="M47">
        <f t="shared" si="2"/>
        <v>3837100</v>
      </c>
      <c r="N47">
        <f t="shared" si="2"/>
        <v>3838800</v>
      </c>
      <c r="O47">
        <f t="shared" si="2"/>
        <v>3840500</v>
      </c>
      <c r="P47">
        <f t="shared" si="2"/>
        <v>3842200</v>
      </c>
      <c r="Q47">
        <f t="shared" si="2"/>
        <v>3843900</v>
      </c>
      <c r="R47">
        <f t="shared" si="2"/>
        <v>3845600</v>
      </c>
      <c r="S47">
        <f t="shared" si="2"/>
        <v>3847300</v>
      </c>
      <c r="T47">
        <f t="shared" si="2"/>
        <v>3848999.9999999967</v>
      </c>
      <c r="U47">
        <f t="shared" si="2"/>
        <v>3832999.9999999986</v>
      </c>
      <c r="V47">
        <f t="shared" si="2"/>
        <v>3816999.999999993</v>
      </c>
      <c r="W47">
        <f t="shared" si="2"/>
        <v>3800999.9999999949</v>
      </c>
      <c r="X47">
        <f t="shared" si="2"/>
        <v>3784999.9999999967</v>
      </c>
      <c r="Y47">
        <f t="shared" si="2"/>
        <v>3768999.9999999981</v>
      </c>
      <c r="Z47">
        <f t="shared" si="2"/>
        <v>3752999.999999993</v>
      </c>
      <c r="AA47">
        <f t="shared" si="2"/>
        <v>3736999.9999999949</v>
      </c>
      <c r="AB47">
        <f t="shared" si="2"/>
        <v>3720999.9999999967</v>
      </c>
      <c r="AC47">
        <f t="shared" si="2"/>
        <v>3704999.9999999981</v>
      </c>
      <c r="AD47">
        <f t="shared" si="2"/>
        <v>3689000</v>
      </c>
    </row>
    <row r="48" spans="1:30">
      <c r="B48" t="str">
        <v>Passenger Vehicles</v>
      </c>
      <c r="C48">
        <f t="shared" ref="C48:AD48" si="3">C40*10^6</f>
        <v>695000</v>
      </c>
      <c r="D48">
        <f t="shared" si="3"/>
        <v>695428.57142857125</v>
      </c>
      <c r="E48">
        <f t="shared" si="3"/>
        <v>695857.14285714272</v>
      </c>
      <c r="F48">
        <f t="shared" si="3"/>
        <v>696285.7142857142</v>
      </c>
      <c r="G48">
        <f t="shared" si="3"/>
        <v>696714.28571428556</v>
      </c>
      <c r="H48">
        <f t="shared" si="3"/>
        <v>697142.85714285704</v>
      </c>
      <c r="I48">
        <f t="shared" si="3"/>
        <v>697571.42857142852</v>
      </c>
      <c r="J48">
        <f t="shared" si="3"/>
        <v>698000</v>
      </c>
      <c r="K48">
        <f t="shared" si="3"/>
        <v>697299.99999999977</v>
      </c>
      <c r="L48">
        <f t="shared" si="3"/>
        <v>696599.99999999988</v>
      </c>
      <c r="M48">
        <f t="shared" si="3"/>
        <v>695899.99999999977</v>
      </c>
      <c r="N48">
        <f t="shared" si="3"/>
        <v>695199.99999999977</v>
      </c>
      <c r="O48">
        <f t="shared" si="3"/>
        <v>694499.99999999988</v>
      </c>
      <c r="P48">
        <f t="shared" si="3"/>
        <v>693799.99999999977</v>
      </c>
      <c r="Q48">
        <f t="shared" si="3"/>
        <v>693099.99999999988</v>
      </c>
      <c r="R48">
        <f t="shared" si="3"/>
        <v>692399.99999999988</v>
      </c>
      <c r="S48">
        <f t="shared" si="3"/>
        <v>691699.99999999977</v>
      </c>
      <c r="T48">
        <f t="shared" si="3"/>
        <v>690999.99999999988</v>
      </c>
      <c r="U48">
        <f t="shared" si="3"/>
        <v>687199.99999999977</v>
      </c>
      <c r="V48">
        <f t="shared" si="3"/>
        <v>683399.99999999977</v>
      </c>
      <c r="W48">
        <f t="shared" si="3"/>
        <v>679599.99999999977</v>
      </c>
      <c r="X48">
        <f t="shared" si="3"/>
        <v>675799.99999999977</v>
      </c>
      <c r="Y48">
        <f t="shared" si="3"/>
        <v>671999.99999999965</v>
      </c>
      <c r="Z48">
        <f t="shared" si="3"/>
        <v>668199.99999999965</v>
      </c>
      <c r="AA48">
        <f t="shared" si="3"/>
        <v>664399.99999999965</v>
      </c>
      <c r="AB48">
        <f t="shared" si="3"/>
        <v>660599.99999999965</v>
      </c>
      <c r="AC48">
        <f t="shared" si="3"/>
        <v>656799.99999999965</v>
      </c>
      <c r="AD48">
        <f t="shared" si="3"/>
        <v>652999.99999999953</v>
      </c>
    </row>
    <row r="49" spans="1:30">
      <c r="B49" t="str">
        <v>Rail</v>
      </c>
      <c r="C49">
        <f t="shared" ref="C49:AD49" si="4">C41*10^6</f>
        <v>294999.99999999814</v>
      </c>
      <c r="D49">
        <f t="shared" si="4"/>
        <v>307857.1428571415</v>
      </c>
      <c r="E49">
        <f t="shared" si="4"/>
        <v>320714.28571428487</v>
      </c>
      <c r="F49">
        <f t="shared" si="4"/>
        <v>333571.42857142817</v>
      </c>
      <c r="G49">
        <f t="shared" si="4"/>
        <v>346428.57142857154</v>
      </c>
      <c r="H49">
        <f t="shared" si="4"/>
        <v>359285.7142857149</v>
      </c>
      <c r="I49">
        <f t="shared" si="4"/>
        <v>372142.85714285821</v>
      </c>
      <c r="J49">
        <f t="shared" si="4"/>
        <v>385000.00000000023</v>
      </c>
      <c r="K49">
        <f t="shared" si="4"/>
        <v>386300.00000000029</v>
      </c>
      <c r="L49">
        <f t="shared" si="4"/>
        <v>387600.00000000041</v>
      </c>
      <c r="M49">
        <f t="shared" si="4"/>
        <v>388900.00000000047</v>
      </c>
      <c r="N49">
        <f t="shared" si="4"/>
        <v>390200.00000000012</v>
      </c>
      <c r="O49">
        <f t="shared" si="4"/>
        <v>391500.00000000017</v>
      </c>
      <c r="P49">
        <f t="shared" si="4"/>
        <v>392800.00000000023</v>
      </c>
      <c r="Q49">
        <f t="shared" si="4"/>
        <v>394100.00000000035</v>
      </c>
      <c r="R49">
        <f t="shared" si="4"/>
        <v>395400.00000000041</v>
      </c>
      <c r="S49">
        <f t="shared" si="4"/>
        <v>396700.00000000052</v>
      </c>
      <c r="T49">
        <f t="shared" si="4"/>
        <v>397999.99999999971</v>
      </c>
      <c r="U49">
        <f t="shared" si="4"/>
        <v>396499.99999999965</v>
      </c>
      <c r="V49">
        <f t="shared" si="4"/>
        <v>394999.99999999959</v>
      </c>
      <c r="W49">
        <f t="shared" si="4"/>
        <v>393499.99999999953</v>
      </c>
      <c r="X49">
        <f t="shared" si="4"/>
        <v>391999.99999999948</v>
      </c>
      <c r="Y49">
        <f t="shared" si="4"/>
        <v>390499.99999999983</v>
      </c>
      <c r="Z49">
        <f t="shared" si="4"/>
        <v>388999.99999999977</v>
      </c>
      <c r="AA49">
        <f t="shared" si="4"/>
        <v>387499.99999999971</v>
      </c>
      <c r="AB49">
        <f t="shared" si="4"/>
        <v>385999.99999999965</v>
      </c>
      <c r="AC49">
        <f t="shared" si="4"/>
        <v>384499.99999999959</v>
      </c>
      <c r="AD49">
        <f t="shared" si="4"/>
        <v>382999.99999999953</v>
      </c>
    </row>
    <row r="50" spans="1:30">
      <c r="B50" t="str">
        <v>Air</v>
      </c>
      <c r="C50">
        <f t="shared" ref="C50:AD50" si="5">C42*10^6</f>
        <v>897999.99999999616</v>
      </c>
      <c r="D50">
        <f t="shared" si="5"/>
        <v>919857.14285713981</v>
      </c>
      <c r="E50">
        <f t="shared" si="5"/>
        <v>941714.28571428347</v>
      </c>
      <c r="F50">
        <f t="shared" si="5"/>
        <v>963571.42857142724</v>
      </c>
      <c r="G50">
        <f t="shared" si="5"/>
        <v>985428.5714285709</v>
      </c>
      <c r="H50">
        <f t="shared" si="5"/>
        <v>1007285.7142857075</v>
      </c>
      <c r="I50">
        <f t="shared" si="5"/>
        <v>1029142.8571428511</v>
      </c>
      <c r="J50">
        <f t="shared" si="5"/>
        <v>1051000.0000000002</v>
      </c>
      <c r="K50">
        <f t="shared" si="5"/>
        <v>1047600.0000000001</v>
      </c>
      <c r="L50">
        <f t="shared" si="5"/>
        <v>1044200</v>
      </c>
      <c r="M50">
        <f t="shared" si="5"/>
        <v>1040800</v>
      </c>
      <c r="N50">
        <f t="shared" si="5"/>
        <v>1037399.9999999999</v>
      </c>
      <c r="O50">
        <f t="shared" si="5"/>
        <v>1033999.9999999998</v>
      </c>
      <c r="P50">
        <f t="shared" si="5"/>
        <v>1030599.9999999998</v>
      </c>
      <c r="Q50">
        <f t="shared" si="5"/>
        <v>1027199.9999999997</v>
      </c>
      <c r="R50">
        <f t="shared" si="5"/>
        <v>1023799.9999999997</v>
      </c>
      <c r="S50">
        <f t="shared" si="5"/>
        <v>1020399.9999999995</v>
      </c>
      <c r="T50">
        <f t="shared" si="5"/>
        <v>1017000.0000000003</v>
      </c>
      <c r="U50">
        <f t="shared" si="5"/>
        <v>1018500.0000000003</v>
      </c>
      <c r="V50">
        <f t="shared" si="5"/>
        <v>1020000.0000000005</v>
      </c>
      <c r="W50">
        <f t="shared" si="5"/>
        <v>1021500.0000000005</v>
      </c>
      <c r="X50">
        <f t="shared" si="5"/>
        <v>1023000.0000000001</v>
      </c>
      <c r="Y50">
        <f t="shared" si="5"/>
        <v>1024500.0000000002</v>
      </c>
      <c r="Z50">
        <f t="shared" si="5"/>
        <v>1026000.0000000002</v>
      </c>
      <c r="AA50">
        <f t="shared" si="5"/>
        <v>1027500.0000000003</v>
      </c>
      <c r="AB50">
        <f t="shared" si="5"/>
        <v>1029000.0000000003</v>
      </c>
      <c r="AC50">
        <f t="shared" si="5"/>
        <v>1030500.0000000005</v>
      </c>
      <c r="AD50">
        <f t="shared" si="5"/>
        <v>1032000.0000000005</v>
      </c>
    </row>
    <row r="51" spans="1:30">
      <c r="B51" t="str">
        <v>Shipping</v>
      </c>
      <c r="C51">
        <f t="shared" ref="C51:AD51" si="6">C43*10^6</f>
        <v>460000.00000000087</v>
      </c>
      <c r="D51">
        <f t="shared" si="6"/>
        <v>454142.85714285716</v>
      </c>
      <c r="E51">
        <f t="shared" si="6"/>
        <v>448285.71428571531</v>
      </c>
      <c r="F51">
        <f t="shared" si="6"/>
        <v>442428.57142857159</v>
      </c>
      <c r="G51">
        <f t="shared" si="6"/>
        <v>436571.42857142794</v>
      </c>
      <c r="H51">
        <f t="shared" si="6"/>
        <v>430714.28571428603</v>
      </c>
      <c r="I51">
        <f t="shared" si="6"/>
        <v>424857.14285714237</v>
      </c>
      <c r="J51">
        <f t="shared" si="6"/>
        <v>418999.99999999959</v>
      </c>
      <c r="K51">
        <f t="shared" si="6"/>
        <v>416599.99999999988</v>
      </c>
      <c r="L51">
        <f t="shared" si="6"/>
        <v>414200.00000000012</v>
      </c>
      <c r="M51">
        <f t="shared" si="6"/>
        <v>411799.99999999948</v>
      </c>
      <c r="N51">
        <f t="shared" si="6"/>
        <v>409399.99999999977</v>
      </c>
      <c r="O51">
        <f t="shared" si="6"/>
        <v>407000</v>
      </c>
      <c r="P51">
        <f t="shared" si="6"/>
        <v>404600.00000000029</v>
      </c>
      <c r="Q51">
        <f t="shared" si="6"/>
        <v>402199.99999999965</v>
      </c>
      <c r="R51">
        <f t="shared" si="6"/>
        <v>399799.99999999994</v>
      </c>
      <c r="S51">
        <f t="shared" si="6"/>
        <v>397400.00000000017</v>
      </c>
      <c r="T51">
        <f t="shared" si="6"/>
        <v>394999.99999999959</v>
      </c>
      <c r="U51">
        <f t="shared" si="6"/>
        <v>391999.99999999948</v>
      </c>
      <c r="V51">
        <f t="shared" si="6"/>
        <v>388999.99999999936</v>
      </c>
      <c r="W51">
        <f t="shared" si="6"/>
        <v>385999.99999999924</v>
      </c>
      <c r="X51">
        <f t="shared" si="6"/>
        <v>382999.99999999913</v>
      </c>
      <c r="Y51">
        <f t="shared" si="6"/>
        <v>379999.99999999988</v>
      </c>
      <c r="Z51">
        <f t="shared" si="6"/>
        <v>376999.99999999977</v>
      </c>
      <c r="AA51">
        <f t="shared" si="6"/>
        <v>373999.99999999965</v>
      </c>
      <c r="AB51">
        <f t="shared" si="6"/>
        <v>370999.99999999953</v>
      </c>
      <c r="AC51">
        <f t="shared" si="6"/>
        <v>367999.99999999942</v>
      </c>
      <c r="AD51">
        <f t="shared" si="6"/>
        <v>364999.9999999993</v>
      </c>
    </row>
    <row r="53" spans="1:30">
      <c r="C53" cm="1">
        <f t="array" ref="C53:AD53">C45:AD45</f>
        <v>2023</v>
      </c>
      <c r="D53">
        <v>2024</v>
      </c>
      <c r="E53">
        <v>2025</v>
      </c>
      <c r="F53">
        <v>2026</v>
      </c>
      <c r="G53">
        <v>2027</v>
      </c>
      <c r="H53">
        <v>2028</v>
      </c>
      <c r="I53">
        <v>2029</v>
      </c>
      <c r="J53">
        <v>2030</v>
      </c>
      <c r="K53">
        <v>2031</v>
      </c>
      <c r="L53">
        <v>2032</v>
      </c>
      <c r="M53">
        <v>2033</v>
      </c>
      <c r="N53">
        <v>2034</v>
      </c>
      <c r="O53">
        <v>2035</v>
      </c>
      <c r="P53">
        <v>2036</v>
      </c>
      <c r="Q53">
        <v>2037</v>
      </c>
      <c r="R53">
        <v>2038</v>
      </c>
      <c r="S53">
        <v>2039</v>
      </c>
      <c r="T53">
        <v>2040</v>
      </c>
      <c r="U53">
        <v>2041</v>
      </c>
      <c r="V53">
        <v>2042</v>
      </c>
      <c r="W53">
        <v>2043</v>
      </c>
      <c r="X53">
        <v>2044</v>
      </c>
      <c r="Y53">
        <v>2045</v>
      </c>
      <c r="Z53">
        <v>2046</v>
      </c>
      <c r="AA53">
        <v>2047</v>
      </c>
      <c r="AB53">
        <v>2048</v>
      </c>
      <c r="AC53">
        <v>2049</v>
      </c>
      <c r="AD53">
        <v>2050</v>
      </c>
    </row>
    <row r="54" spans="1:30">
      <c r="B54" t="str" cm="1">
        <f t="array" ref="B54:B59">_xlfn.ANCHORARRAY(B46)</f>
        <v>Passenger Cars</v>
      </c>
      <c r="C54">
        <v>1</v>
      </c>
      <c r="D54">
        <f>D46/$C46</f>
        <v>1.0119414946904406</v>
      </c>
      <c r="E54">
        <f t="shared" ref="E54:AD54" si="7">E46/$C46</f>
        <v>1.0238829893808812</v>
      </c>
      <c r="F54">
        <f t="shared" si="7"/>
        <v>1.0358244840713271</v>
      </c>
      <c r="G54">
        <f t="shared" si="7"/>
        <v>1.0477659787617679</v>
      </c>
      <c r="H54">
        <f t="shared" si="7"/>
        <v>1.0597074734522138</v>
      </c>
      <c r="I54">
        <f t="shared" si="7"/>
        <v>1.0716489681426542</v>
      </c>
      <c r="J54">
        <f t="shared" si="7"/>
        <v>1.0835904628331001</v>
      </c>
      <c r="K54">
        <f t="shared" si="7"/>
        <v>1.087727910238429</v>
      </c>
      <c r="L54">
        <f t="shared" si="7"/>
        <v>1.0918653576437589</v>
      </c>
      <c r="M54">
        <f t="shared" si="7"/>
        <v>1.0960028050490891</v>
      </c>
      <c r="N54">
        <f t="shared" si="7"/>
        <v>1.1001402524544179</v>
      </c>
      <c r="O54">
        <f t="shared" si="7"/>
        <v>1.1042776998597479</v>
      </c>
      <c r="P54">
        <f t="shared" si="7"/>
        <v>1.1084151472650781</v>
      </c>
      <c r="Q54">
        <f t="shared" si="7"/>
        <v>1.1125525946704069</v>
      </c>
      <c r="R54">
        <f t="shared" si="7"/>
        <v>1.1166900420757369</v>
      </c>
      <c r="S54">
        <f t="shared" si="7"/>
        <v>1.1208274894810657</v>
      </c>
      <c r="T54">
        <f t="shared" si="7"/>
        <v>1.1249649368863959</v>
      </c>
      <c r="U54">
        <f t="shared" si="7"/>
        <v>1.1205703599812988</v>
      </c>
      <c r="V54">
        <f t="shared" si="7"/>
        <v>1.1161757830762031</v>
      </c>
      <c r="W54">
        <f t="shared" si="7"/>
        <v>1.1117812061711076</v>
      </c>
      <c r="X54">
        <f t="shared" si="7"/>
        <v>1.1073866292660122</v>
      </c>
      <c r="Y54">
        <f t="shared" si="7"/>
        <v>1.1029920523609165</v>
      </c>
      <c r="Z54">
        <f t="shared" si="7"/>
        <v>1.0985974754558196</v>
      </c>
      <c r="AA54">
        <f t="shared" si="7"/>
        <v>1.0942028985507242</v>
      </c>
      <c r="AB54">
        <f t="shared" si="7"/>
        <v>1.0898083216456285</v>
      </c>
      <c r="AC54">
        <f t="shared" si="7"/>
        <v>1.085413744740533</v>
      </c>
      <c r="AD54">
        <f t="shared" si="7"/>
        <v>1.0810191678354373</v>
      </c>
    </row>
    <row r="55" spans="1:30">
      <c r="B55" t="str">
        <v>Trucks</v>
      </c>
      <c r="C55">
        <v>1</v>
      </c>
      <c r="D55">
        <f t="shared" ref="D55:AD55" si="8">D47/$C47</f>
        <v>1.0040641055133803</v>
      </c>
      <c r="E55">
        <f t="shared" si="8"/>
        <v>1.0081282110267618</v>
      </c>
      <c r="F55">
        <f t="shared" si="8"/>
        <v>1.0121923165401421</v>
      </c>
      <c r="G55">
        <f t="shared" si="8"/>
        <v>1.0162564220535233</v>
      </c>
      <c r="H55">
        <f t="shared" si="8"/>
        <v>1.0203205275669038</v>
      </c>
      <c r="I55">
        <f t="shared" si="8"/>
        <v>1.0243846330802853</v>
      </c>
      <c r="J55">
        <f t="shared" si="8"/>
        <v>1.0284487385936654</v>
      </c>
      <c r="K55">
        <f t="shared" si="8"/>
        <v>1.0289049919484694</v>
      </c>
      <c r="L55">
        <f t="shared" si="8"/>
        <v>1.0293612453032734</v>
      </c>
      <c r="M55">
        <f t="shared" si="8"/>
        <v>1.0298174986580777</v>
      </c>
      <c r="N55">
        <f t="shared" si="8"/>
        <v>1.0302737520128817</v>
      </c>
      <c r="O55">
        <f t="shared" si="8"/>
        <v>1.0307300053676858</v>
      </c>
      <c r="P55">
        <f t="shared" si="8"/>
        <v>1.0311862587224898</v>
      </c>
      <c r="Q55">
        <f t="shared" si="8"/>
        <v>1.0316425120772938</v>
      </c>
      <c r="R55">
        <f t="shared" si="8"/>
        <v>1.0320987654320979</v>
      </c>
      <c r="S55">
        <f t="shared" si="8"/>
        <v>1.0325550187869021</v>
      </c>
      <c r="T55">
        <f t="shared" si="8"/>
        <v>1.0330112721417053</v>
      </c>
      <c r="U55">
        <f t="shared" si="8"/>
        <v>1.0287171229200203</v>
      </c>
      <c r="V55">
        <f t="shared" si="8"/>
        <v>1.0244229736983335</v>
      </c>
      <c r="W55">
        <f t="shared" si="8"/>
        <v>1.0201288244766484</v>
      </c>
      <c r="X55">
        <f t="shared" si="8"/>
        <v>1.0158346752549634</v>
      </c>
      <c r="Y55">
        <f t="shared" si="8"/>
        <v>1.0115405260332784</v>
      </c>
      <c r="Z55">
        <f t="shared" si="8"/>
        <v>1.0072463768115916</v>
      </c>
      <c r="AA55">
        <f t="shared" si="8"/>
        <v>1.0029522275899065</v>
      </c>
      <c r="AB55">
        <f t="shared" si="8"/>
        <v>0.99865807836822162</v>
      </c>
      <c r="AC55">
        <f t="shared" si="8"/>
        <v>0.9943639291465366</v>
      </c>
      <c r="AD55">
        <f t="shared" si="8"/>
        <v>0.99006977992485168</v>
      </c>
    </row>
    <row r="56" spans="1:30">
      <c r="B56" t="str">
        <v>Passenger Vehicles</v>
      </c>
      <c r="C56">
        <v>1</v>
      </c>
      <c r="D56">
        <f t="shared" ref="D56:AD56" si="9">D48/$C48</f>
        <v>1.0006166495375126</v>
      </c>
      <c r="E56">
        <f t="shared" si="9"/>
        <v>1.0012332990750255</v>
      </c>
      <c r="F56">
        <f t="shared" si="9"/>
        <v>1.0018499486125385</v>
      </c>
      <c r="G56">
        <f t="shared" si="9"/>
        <v>1.0024665981500511</v>
      </c>
      <c r="H56">
        <f t="shared" si="9"/>
        <v>1.0030832476875642</v>
      </c>
      <c r="I56">
        <f t="shared" si="9"/>
        <v>1.003699897225077</v>
      </c>
      <c r="J56">
        <f t="shared" si="9"/>
        <v>1.0043165467625899</v>
      </c>
      <c r="K56">
        <f t="shared" si="9"/>
        <v>1.0033093525179853</v>
      </c>
      <c r="L56">
        <f t="shared" si="9"/>
        <v>1.0023021582733811</v>
      </c>
      <c r="M56">
        <f t="shared" si="9"/>
        <v>1.0012949640287767</v>
      </c>
      <c r="N56">
        <f t="shared" si="9"/>
        <v>1.0002877697841723</v>
      </c>
      <c r="O56">
        <f t="shared" si="9"/>
        <v>0.99928057553956817</v>
      </c>
      <c r="P56">
        <f t="shared" si="9"/>
        <v>0.99827338129496368</v>
      </c>
      <c r="Q56">
        <f t="shared" si="9"/>
        <v>0.99726618705035952</v>
      </c>
      <c r="R56">
        <f t="shared" si="9"/>
        <v>0.99625899280575525</v>
      </c>
      <c r="S56">
        <f t="shared" si="9"/>
        <v>0.99525179856115076</v>
      </c>
      <c r="T56">
        <f t="shared" si="9"/>
        <v>0.9942446043165466</v>
      </c>
      <c r="U56">
        <f t="shared" si="9"/>
        <v>0.98877697841726586</v>
      </c>
      <c r="V56">
        <f t="shared" si="9"/>
        <v>0.98330935251798524</v>
      </c>
      <c r="W56">
        <f t="shared" si="9"/>
        <v>0.97784172661870472</v>
      </c>
      <c r="X56">
        <f t="shared" si="9"/>
        <v>0.97237410071942409</v>
      </c>
      <c r="Y56">
        <f t="shared" si="9"/>
        <v>0.96690647482014336</v>
      </c>
      <c r="Z56">
        <f t="shared" si="9"/>
        <v>0.96143884892086284</v>
      </c>
      <c r="AA56">
        <f t="shared" si="9"/>
        <v>0.95597122302158222</v>
      </c>
      <c r="AB56">
        <f t="shared" si="9"/>
        <v>0.9505035971223017</v>
      </c>
      <c r="AC56">
        <f t="shared" si="9"/>
        <v>0.94503597122302108</v>
      </c>
      <c r="AD56">
        <f t="shared" si="9"/>
        <v>0.93956834532374034</v>
      </c>
    </row>
    <row r="57" spans="1:30">
      <c r="B57" t="str">
        <v>Rail</v>
      </c>
      <c r="C57">
        <v>1</v>
      </c>
      <c r="D57">
        <f t="shared" ref="D57:AD57" si="10">D49/$C49</f>
        <v>1.0435835351089608</v>
      </c>
      <c r="E57">
        <f t="shared" si="10"/>
        <v>1.0871670702179217</v>
      </c>
      <c r="F57">
        <f t="shared" si="10"/>
        <v>1.1307506053268823</v>
      </c>
      <c r="G57">
        <f t="shared" si="10"/>
        <v>1.1743341404358432</v>
      </c>
      <c r="H57">
        <f t="shared" si="10"/>
        <v>1.217917675544804</v>
      </c>
      <c r="I57">
        <f t="shared" si="10"/>
        <v>1.2615012106537646</v>
      </c>
      <c r="J57">
        <f t="shared" si="10"/>
        <v>1.3050847457627208</v>
      </c>
      <c r="K57">
        <f t="shared" si="10"/>
        <v>1.309491525423738</v>
      </c>
      <c r="L57">
        <f t="shared" si="10"/>
        <v>1.3138983050847555</v>
      </c>
      <c r="M57">
        <f t="shared" si="10"/>
        <v>1.3183050847457727</v>
      </c>
      <c r="N57">
        <f t="shared" si="10"/>
        <v>1.3227118644067883</v>
      </c>
      <c r="O57">
        <f t="shared" si="10"/>
        <v>1.3271186440678056</v>
      </c>
      <c r="P57">
        <f t="shared" si="10"/>
        <v>1.3315254237288228</v>
      </c>
      <c r="Q57">
        <f t="shared" si="10"/>
        <v>1.3359322033898402</v>
      </c>
      <c r="R57">
        <f t="shared" si="10"/>
        <v>1.3403389830508572</v>
      </c>
      <c r="S57">
        <f t="shared" si="10"/>
        <v>1.3447457627118746</v>
      </c>
      <c r="T57">
        <f t="shared" si="10"/>
        <v>1.349152542372889</v>
      </c>
      <c r="U57">
        <f t="shared" si="10"/>
        <v>1.3440677966101768</v>
      </c>
      <c r="V57">
        <f t="shared" si="10"/>
        <v>1.3389830508474647</v>
      </c>
      <c r="W57">
        <f t="shared" si="10"/>
        <v>1.3338983050847526</v>
      </c>
      <c r="X57">
        <f t="shared" si="10"/>
        <v>1.3288135593220405</v>
      </c>
      <c r="Y57">
        <f t="shared" si="10"/>
        <v>1.3237288135593297</v>
      </c>
      <c r="Z57">
        <f t="shared" si="10"/>
        <v>1.3186440677966178</v>
      </c>
      <c r="AA57">
        <f t="shared" si="10"/>
        <v>1.3135593220339057</v>
      </c>
      <c r="AB57">
        <f t="shared" si="10"/>
        <v>1.3084745762711936</v>
      </c>
      <c r="AC57">
        <f t="shared" si="10"/>
        <v>1.3033898305084815</v>
      </c>
      <c r="AD57">
        <f t="shared" si="10"/>
        <v>1.2983050847457693</v>
      </c>
    </row>
    <row r="58" spans="1:30">
      <c r="B58" t="str">
        <v>Air</v>
      </c>
      <c r="C58">
        <v>1</v>
      </c>
      <c r="D58">
        <f t="shared" ref="D58:AD58" si="11">D50/$C50</f>
        <v>1.0243398027362403</v>
      </c>
      <c r="E58">
        <f t="shared" si="11"/>
        <v>1.0486796054724805</v>
      </c>
      <c r="F58">
        <f t="shared" si="11"/>
        <v>1.073019408208721</v>
      </c>
      <c r="G58">
        <f t="shared" si="11"/>
        <v>1.0973592109449612</v>
      </c>
      <c r="H58">
        <f t="shared" si="11"/>
        <v>1.1216990136811935</v>
      </c>
      <c r="I58">
        <f t="shared" si="11"/>
        <v>1.1460388164174338</v>
      </c>
      <c r="J58">
        <f t="shared" si="11"/>
        <v>1.17037861915368</v>
      </c>
      <c r="K58">
        <f t="shared" si="11"/>
        <v>1.1665924276169317</v>
      </c>
      <c r="L58">
        <f t="shared" si="11"/>
        <v>1.1628062360801832</v>
      </c>
      <c r="M58">
        <f t="shared" si="11"/>
        <v>1.1590200445434349</v>
      </c>
      <c r="N58">
        <f t="shared" si="11"/>
        <v>1.1552338530066864</v>
      </c>
      <c r="O58">
        <f t="shared" si="11"/>
        <v>1.1514476614699378</v>
      </c>
      <c r="P58">
        <f t="shared" si="11"/>
        <v>1.1476614699331895</v>
      </c>
      <c r="Q58">
        <f t="shared" si="11"/>
        <v>1.143875278396441</v>
      </c>
      <c r="R58">
        <f t="shared" si="11"/>
        <v>1.1400890868596927</v>
      </c>
      <c r="S58">
        <f t="shared" si="11"/>
        <v>1.1363028953229442</v>
      </c>
      <c r="T58">
        <f t="shared" si="11"/>
        <v>1.1325167037861967</v>
      </c>
      <c r="U58">
        <f t="shared" si="11"/>
        <v>1.1341870824053504</v>
      </c>
      <c r="V58">
        <f t="shared" si="11"/>
        <v>1.1358574610245042</v>
      </c>
      <c r="W58">
        <f t="shared" si="11"/>
        <v>1.1375278396436579</v>
      </c>
      <c r="X58">
        <f t="shared" si="11"/>
        <v>1.1391982182628113</v>
      </c>
      <c r="Y58">
        <f t="shared" si="11"/>
        <v>1.140868596881965</v>
      </c>
      <c r="Z58">
        <f t="shared" si="11"/>
        <v>1.1425389755011188</v>
      </c>
      <c r="AA58">
        <f t="shared" si="11"/>
        <v>1.1442093541202725</v>
      </c>
      <c r="AB58">
        <f t="shared" si="11"/>
        <v>1.1458797327394261</v>
      </c>
      <c r="AC58">
        <f t="shared" si="11"/>
        <v>1.14755011135858</v>
      </c>
      <c r="AD58">
        <f t="shared" si="11"/>
        <v>1.1492204899777336</v>
      </c>
    </row>
    <row r="59" spans="1:30">
      <c r="B59" t="str">
        <v>Shipping</v>
      </c>
      <c r="C59">
        <v>1</v>
      </c>
      <c r="D59">
        <f t="shared" ref="D59:AD59" si="12">D51/$C51</f>
        <v>0.98726708074533975</v>
      </c>
      <c r="E59">
        <f t="shared" si="12"/>
        <v>0.97453416149068361</v>
      </c>
      <c r="F59">
        <f t="shared" si="12"/>
        <v>0.96180124223602337</v>
      </c>
      <c r="G59">
        <f t="shared" si="12"/>
        <v>0.94906832298136323</v>
      </c>
      <c r="H59">
        <f t="shared" si="12"/>
        <v>0.93633540372670698</v>
      </c>
      <c r="I59">
        <f t="shared" si="12"/>
        <v>0.92360248447204685</v>
      </c>
      <c r="J59">
        <f t="shared" si="12"/>
        <v>0.91086956521738871</v>
      </c>
      <c r="K59">
        <f t="shared" si="12"/>
        <v>0.90565217391304154</v>
      </c>
      <c r="L59">
        <f t="shared" si="12"/>
        <v>0.90043478260869425</v>
      </c>
      <c r="M59">
        <f t="shared" si="12"/>
        <v>0.89521739130434497</v>
      </c>
      <c r="N59">
        <f t="shared" si="12"/>
        <v>0.88999999999999779</v>
      </c>
      <c r="O59">
        <f t="shared" si="12"/>
        <v>0.88478260869565051</v>
      </c>
      <c r="P59">
        <f t="shared" si="12"/>
        <v>0.87956521739130333</v>
      </c>
      <c r="Q59">
        <f t="shared" si="12"/>
        <v>0.87434782608695405</v>
      </c>
      <c r="R59">
        <f t="shared" si="12"/>
        <v>0.86913043478260688</v>
      </c>
      <c r="S59">
        <f t="shared" si="12"/>
        <v>0.86391304347825959</v>
      </c>
      <c r="T59">
        <f t="shared" si="12"/>
        <v>0.85869565217391053</v>
      </c>
      <c r="U59">
        <f t="shared" si="12"/>
        <v>0.85217391304347545</v>
      </c>
      <c r="V59">
        <f t="shared" si="12"/>
        <v>0.84565217391304048</v>
      </c>
      <c r="W59">
        <f t="shared" si="12"/>
        <v>0.83913043478260541</v>
      </c>
      <c r="X59">
        <f t="shared" si="12"/>
        <v>0.83260869565217044</v>
      </c>
      <c r="Y59">
        <f t="shared" si="12"/>
        <v>0.82608695652173736</v>
      </c>
      <c r="Z59">
        <f t="shared" si="12"/>
        <v>0.81956521739130228</v>
      </c>
      <c r="AA59">
        <f t="shared" si="12"/>
        <v>0.81304347826086731</v>
      </c>
      <c r="AB59">
        <f t="shared" si="12"/>
        <v>0.80652173913043224</v>
      </c>
      <c r="AC59">
        <f t="shared" si="12"/>
        <v>0.79999999999999727</v>
      </c>
      <c r="AD59">
        <f t="shared" si="12"/>
        <v>0.79347826086956219</v>
      </c>
    </row>
    <row r="61" spans="1:30">
      <c r="A61" s="191" t="s">
        <v>1005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</row>
    <row r="63" spans="1:30">
      <c r="C63" t="s">
        <v>1003</v>
      </c>
      <c r="D63" t="s">
        <v>1004</v>
      </c>
    </row>
    <row r="64" spans="1:30">
      <c r="C64" s="192">
        <v>2020</v>
      </c>
      <c r="D64" s="192">
        <v>19786328.89511577</v>
      </c>
    </row>
    <row r="65" spans="2:30">
      <c r="C65" s="192">
        <v>2025</v>
      </c>
      <c r="D65" s="192">
        <v>21886424.420113798</v>
      </c>
    </row>
    <row r="66" spans="2:30">
      <c r="C66" s="192">
        <v>2030</v>
      </c>
      <c r="D66" s="192">
        <v>23087434.513481811</v>
      </c>
    </row>
    <row r="67" spans="2:30">
      <c r="C67" s="192">
        <v>2035</v>
      </c>
      <c r="D67" s="192">
        <v>23834596.436611731</v>
      </c>
    </row>
    <row r="68" spans="2:30">
      <c r="C68" s="192">
        <v>2040</v>
      </c>
      <c r="D68" s="192">
        <v>24011352.66822445</v>
      </c>
    </row>
    <row r="69" spans="2:30">
      <c r="C69" s="192">
        <v>2045</v>
      </c>
      <c r="D69" s="192">
        <v>23886185.211236279</v>
      </c>
    </row>
    <row r="70" spans="2:30">
      <c r="C70" s="192">
        <v>2050</v>
      </c>
      <c r="D70" s="192">
        <v>23329158.51861209</v>
      </c>
    </row>
    <row r="71" spans="2:30">
      <c r="B71" s="192"/>
      <c r="C71" s="192"/>
    </row>
    <row r="72" spans="2:30">
      <c r="B72" s="192"/>
      <c r="C72" s="2" t="s">
        <v>956</v>
      </c>
    </row>
    <row r="73" spans="2:30">
      <c r="B73" s="192"/>
      <c r="C73" s="192" cm="1">
        <f t="array" ref="C73:AD73">C37:AD37</f>
        <v>2023</v>
      </c>
      <c r="D73">
        <v>2024</v>
      </c>
      <c r="E73">
        <v>2025</v>
      </c>
      <c r="F73">
        <v>2026</v>
      </c>
      <c r="G73">
        <v>2027</v>
      </c>
      <c r="H73">
        <v>2028</v>
      </c>
      <c r="I73">
        <v>2029</v>
      </c>
      <c r="J73">
        <v>2030</v>
      </c>
      <c r="K73">
        <v>2031</v>
      </c>
      <c r="L73">
        <v>2032</v>
      </c>
      <c r="M73">
        <v>2033</v>
      </c>
      <c r="N73">
        <v>2034</v>
      </c>
      <c r="O73">
        <v>2035</v>
      </c>
      <c r="P73">
        <v>2036</v>
      </c>
      <c r="Q73">
        <v>2037</v>
      </c>
      <c r="R73">
        <v>2038</v>
      </c>
      <c r="S73">
        <v>2039</v>
      </c>
      <c r="T73">
        <v>2040</v>
      </c>
      <c r="U73">
        <v>2041</v>
      </c>
      <c r="V73">
        <v>2042</v>
      </c>
      <c r="W73">
        <v>2043</v>
      </c>
      <c r="X73">
        <v>2044</v>
      </c>
      <c r="Y73">
        <v>2045</v>
      </c>
      <c r="Z73">
        <v>2046</v>
      </c>
      <c r="AA73">
        <v>2047</v>
      </c>
      <c r="AB73">
        <v>2048</v>
      </c>
      <c r="AC73">
        <v>2049</v>
      </c>
      <c r="AD73">
        <v>2050</v>
      </c>
    </row>
    <row r="74" spans="2:30">
      <c r="B74" s="192"/>
      <c r="C74" cm="1">
        <f t="array" ref="C74">TREND($D$64:$D$65,$C$64:$C$65,C73)</f>
        <v>21046386.210114717</v>
      </c>
      <c r="D74" cm="1">
        <f t="array" ref="D74">TREND($D$64:$D$65,$C$64:$C$65,D73)</f>
        <v>21466405.31511426</v>
      </c>
      <c r="E74" s="146" cm="1">
        <f t="array" ref="E74">TREND($D$65:$D$66,$C$65:$C$66,E73)</f>
        <v>21886424.420113862</v>
      </c>
      <c r="F74" s="146" cm="1">
        <f t="array" ref="F74">TREND($D$65:$D$66,$C$65:$C$66,F73)</f>
        <v>22126626.43878746</v>
      </c>
      <c r="G74" s="146" cm="1">
        <f t="array" ref="G74">TREND($D$65:$D$66,$C$65:$C$66,G73)</f>
        <v>22366828.457461059</v>
      </c>
      <c r="H74" s="146" cm="1">
        <f t="array" ref="H74">TREND($D$65:$D$66,$C$65:$C$66,H73)</f>
        <v>22607030.476134658</v>
      </c>
      <c r="I74" s="146" cm="1">
        <f t="array" ref="I74">TREND($D$65:$D$66,$C$65:$C$66,I73)</f>
        <v>22847232.494808257</v>
      </c>
      <c r="J74" s="146" cm="1">
        <f t="array" ref="J74">TREND($D$66:$D$67,$C$66:$C$67,J73)</f>
        <v>23087434.513481796</v>
      </c>
      <c r="K74" s="146" cm="1">
        <f t="array" ref="K74">TREND($D$66:$D$67,$C$66:$C$67,K73)</f>
        <v>23236866.898107767</v>
      </c>
      <c r="L74" s="146" cm="1">
        <f t="array" ref="L74">TREND($D$66:$D$67,$C$66:$C$67,L73)</f>
        <v>23386299.282733798</v>
      </c>
      <c r="M74" s="146" cm="1">
        <f t="array" ref="M74">TREND($D$66:$D$67,$C$66:$C$67,M73)</f>
        <v>23535731.667359769</v>
      </c>
      <c r="N74" s="146" cm="1">
        <f t="array" ref="N74">TREND($D$66:$D$67,$C$66:$C$67,N73)</f>
        <v>23685164.051985741</v>
      </c>
      <c r="O74" s="146" cm="1">
        <f t="array" ref="O74">TREND($D$67:$D$68,$C$67:$C$68,O73)</f>
        <v>23834596.436611734</v>
      </c>
      <c r="P74" s="146" cm="1">
        <f t="array" ref="P74">TREND($D$67:$D$68,$C$67:$C$68,P73)</f>
        <v>23869947.682934277</v>
      </c>
      <c r="Q74" s="146" cm="1">
        <f t="array" ref="Q74">TREND($D$67:$D$68,$C$67:$C$68,Q73)</f>
        <v>23905298.929256819</v>
      </c>
      <c r="R74" s="146" cm="1">
        <f t="array" ref="R74">TREND($D$67:$D$68,$C$67:$C$68,R73)</f>
        <v>23940650.175579362</v>
      </c>
      <c r="S74" s="146" cm="1">
        <f t="array" ref="S74">TREND($D$67:$D$68,$C$67:$C$68,S73)</f>
        <v>23976001.421901904</v>
      </c>
      <c r="T74" s="146" cm="1">
        <f t="array" ref="T74">TREND($D$68:$D$69,$C$68:$C$69,T73)</f>
        <v>24011352.668224454</v>
      </c>
      <c r="U74" s="146" cm="1">
        <f t="array" ref="U74">TREND($D$68:$D$69,$C$68:$C$69,U73)</f>
        <v>23986319.17682682</v>
      </c>
      <c r="V74" s="146" cm="1">
        <f t="array" ref="V74">TREND($D$68:$D$69,$C$68:$C$69,V73)</f>
        <v>23961285.685429186</v>
      </c>
      <c r="W74" s="146" cm="1">
        <f t="array" ref="W74">TREND($D$68:$D$69,$C$68:$C$69,W73)</f>
        <v>23936252.194031551</v>
      </c>
      <c r="X74" s="146" cm="1">
        <f t="array" ref="X74">TREND($D$68:$D$69,$C$68:$C$69,X73)</f>
        <v>23911218.702633917</v>
      </c>
      <c r="Y74" s="146" cm="1">
        <f t="array" ref="Y74">TREND($D$69:$D$70,$C$69:$C$70,Y73)</f>
        <v>23886185.211236298</v>
      </c>
      <c r="Z74" s="146" cm="1">
        <f t="array" ref="Z74">TREND($D$69:$D$70,$C$69:$C$70,Z73)</f>
        <v>23774779.87271145</v>
      </c>
      <c r="AA74" s="146" cm="1">
        <f t="array" ref="AA74">TREND($D$69:$D$70,$C$69:$C$70,AA73)</f>
        <v>23663374.534186631</v>
      </c>
      <c r="AB74" s="146" cm="1">
        <f t="array" ref="AB74">TREND($D$69:$D$70,$C$69:$C$70,AB73)</f>
        <v>23551969.195661783</v>
      </c>
      <c r="AC74" s="146" cm="1">
        <f t="array" ref="AC74">TREND($D$69:$D$70,$C$69:$C$70,AC73)</f>
        <v>23440563.857136935</v>
      </c>
      <c r="AD74" s="146" cm="1">
        <f t="array" ref="AD74">TREND($D$69:$D$70,$C$69:$C$70,AD73)</f>
        <v>23329158.518612117</v>
      </c>
    </row>
    <row r="75" spans="2:30">
      <c r="B75" s="192"/>
      <c r="C75">
        <v>1</v>
      </c>
      <c r="D75">
        <f>D74/$C$74</f>
        <v>1.0199568277806137</v>
      </c>
      <c r="E75">
        <f t="shared" ref="E75:AD75" si="13">E74/$C$74</f>
        <v>1.0399136555612303</v>
      </c>
      <c r="F75">
        <f t="shared" si="13"/>
        <v>1.0513266371665073</v>
      </c>
      <c r="G75">
        <f t="shared" si="13"/>
        <v>1.0627396187717846</v>
      </c>
      <c r="H75">
        <f t="shared" si="13"/>
        <v>1.0741526003770618</v>
      </c>
      <c r="I75">
        <f t="shared" si="13"/>
        <v>1.0855655819823389</v>
      </c>
      <c r="J75">
        <f t="shared" si="13"/>
        <v>1.0969785635876133</v>
      </c>
      <c r="K75">
        <f t="shared" si="13"/>
        <v>1.1040787081508712</v>
      </c>
      <c r="L75">
        <f t="shared" si="13"/>
        <v>1.111178852714132</v>
      </c>
      <c r="M75">
        <f t="shared" si="13"/>
        <v>1.1182789972773897</v>
      </c>
      <c r="N75">
        <f t="shared" si="13"/>
        <v>1.1253791418406476</v>
      </c>
      <c r="O75">
        <f t="shared" si="13"/>
        <v>1.1324792864039066</v>
      </c>
      <c r="P75">
        <f t="shared" si="13"/>
        <v>1.1341589688904683</v>
      </c>
      <c r="Q75">
        <f t="shared" si="13"/>
        <v>1.1358386513770298</v>
      </c>
      <c r="R75">
        <f t="shared" si="13"/>
        <v>1.1375183338635915</v>
      </c>
      <c r="S75">
        <f t="shared" si="13"/>
        <v>1.1391980163501532</v>
      </c>
      <c r="T75">
        <f t="shared" si="13"/>
        <v>1.1408776988367151</v>
      </c>
      <c r="U75">
        <f t="shared" si="13"/>
        <v>1.1396882551408847</v>
      </c>
      <c r="V75">
        <f t="shared" si="13"/>
        <v>1.1384988114450543</v>
      </c>
      <c r="W75">
        <f t="shared" si="13"/>
        <v>1.1373093677492239</v>
      </c>
      <c r="X75">
        <f t="shared" si="13"/>
        <v>1.1361199240533932</v>
      </c>
      <c r="Y75">
        <f t="shared" si="13"/>
        <v>1.1349304803575635</v>
      </c>
      <c r="Z75">
        <f t="shared" si="13"/>
        <v>1.1296371564865368</v>
      </c>
      <c r="AA75">
        <f t="shared" si="13"/>
        <v>1.1243438326155115</v>
      </c>
      <c r="AB75">
        <f t="shared" si="13"/>
        <v>1.1190505087444849</v>
      </c>
      <c r="AC75">
        <f t="shared" si="13"/>
        <v>1.113757184873458</v>
      </c>
      <c r="AD75">
        <f t="shared" si="13"/>
        <v>1.1084638610024327</v>
      </c>
    </row>
    <row r="76" spans="2:30">
      <c r="B76" s="192"/>
    </row>
    <row r="77" spans="2:30">
      <c r="B77" s="192"/>
    </row>
    <row r="78" spans="2:30">
      <c r="B78" s="192"/>
    </row>
    <row r="79" spans="2:30">
      <c r="B79" s="192"/>
      <c r="D79" t="s">
        <v>1003</v>
      </c>
      <c r="G79" t="s">
        <v>1004</v>
      </c>
    </row>
    <row r="80" spans="2:30">
      <c r="D80">
        <v>2020</v>
      </c>
      <c r="F80">
        <v>130.44174745858399</v>
      </c>
      <c r="G80" s="192">
        <f>(E80+F80)*10^3</f>
        <v>130441.747458584</v>
      </c>
    </row>
    <row r="81" spans="3:30">
      <c r="D81">
        <v>2021</v>
      </c>
      <c r="F81">
        <v>127.87147613893001</v>
      </c>
      <c r="G81" s="192">
        <f t="shared" ref="G81:G89" si="14">(E81+F81)*10^3</f>
        <v>127871.47613893001</v>
      </c>
    </row>
    <row r="82" spans="3:30">
      <c r="D82">
        <v>2022</v>
      </c>
      <c r="F82">
        <v>127.87147613893001</v>
      </c>
      <c r="G82" s="192">
        <f t="shared" si="14"/>
        <v>127871.47613893001</v>
      </c>
    </row>
    <row r="83" spans="3:30">
      <c r="D83">
        <v>2023</v>
      </c>
      <c r="E83">
        <v>93.180071951328998</v>
      </c>
      <c r="F83">
        <v>129.156626506024</v>
      </c>
      <c r="G83" s="192">
        <f t="shared" si="14"/>
        <v>222336.69845735302</v>
      </c>
    </row>
    <row r="84" spans="3:30">
      <c r="D84">
        <v>2025</v>
      </c>
      <c r="E84">
        <v>91.340991491558896</v>
      </c>
      <c r="F84">
        <v>131.084337349397</v>
      </c>
      <c r="G84" s="192">
        <f t="shared" si="14"/>
        <v>222425.32884095589</v>
      </c>
    </row>
    <row r="85" spans="3:30">
      <c r="D85">
        <v>2030</v>
      </c>
      <c r="E85">
        <v>85.823750112248504</v>
      </c>
      <c r="F85">
        <v>135.58231951242399</v>
      </c>
      <c r="G85" s="192">
        <f t="shared" si="14"/>
        <v>221406.0696246725</v>
      </c>
    </row>
    <row r="86" spans="3:30">
      <c r="D86">
        <v>2035</v>
      </c>
      <c r="E86">
        <v>82.758620689655103</v>
      </c>
      <c r="F86">
        <v>138.152590832078</v>
      </c>
      <c r="G86" s="192">
        <f t="shared" si="14"/>
        <v>220911.21152173309</v>
      </c>
    </row>
    <row r="87" spans="3:30">
      <c r="D87">
        <v>2040</v>
      </c>
      <c r="E87">
        <v>79.693477235991296</v>
      </c>
      <c r="F87">
        <v>140.08030167545101</v>
      </c>
      <c r="G87" s="192">
        <f t="shared" si="14"/>
        <v>219773.77891144232</v>
      </c>
    </row>
    <row r="88" spans="3:30">
      <c r="D88">
        <v>2045</v>
      </c>
      <c r="E88">
        <v>76.628347813397895</v>
      </c>
      <c r="F88">
        <v>138.152590832078</v>
      </c>
      <c r="G88" s="192">
        <f t="shared" si="14"/>
        <v>214780.93864547589</v>
      </c>
    </row>
    <row r="89" spans="3:30">
      <c r="D89">
        <v>2050</v>
      </c>
      <c r="E89">
        <v>72.950186893857705</v>
      </c>
      <c r="F89">
        <v>135.58231951242399</v>
      </c>
      <c r="G89" s="192">
        <f t="shared" si="14"/>
        <v>208532.5064062817</v>
      </c>
    </row>
    <row r="91" spans="3:30">
      <c r="C91" s="2" t="s">
        <v>1008</v>
      </c>
    </row>
    <row r="92" spans="3:30">
      <c r="C92" s="192" cm="1">
        <f t="array" ref="C92:AD92">_xlfn.ANCHORARRAY(C73)</f>
        <v>2023</v>
      </c>
      <c r="D92">
        <v>2024</v>
      </c>
      <c r="E92">
        <v>2025</v>
      </c>
      <c r="F92">
        <v>2026</v>
      </c>
      <c r="G92">
        <v>2027</v>
      </c>
      <c r="H92">
        <v>2028</v>
      </c>
      <c r="I92">
        <v>2029</v>
      </c>
      <c r="J92">
        <v>2030</v>
      </c>
      <c r="K92">
        <v>2031</v>
      </c>
      <c r="L92">
        <v>2032</v>
      </c>
      <c r="M92">
        <v>2033</v>
      </c>
      <c r="N92">
        <v>2034</v>
      </c>
      <c r="O92">
        <v>2035</v>
      </c>
      <c r="P92">
        <v>2036</v>
      </c>
      <c r="Q92">
        <v>2037</v>
      </c>
      <c r="R92">
        <v>2038</v>
      </c>
      <c r="S92">
        <v>2039</v>
      </c>
      <c r="T92">
        <v>2040</v>
      </c>
      <c r="U92">
        <v>2041</v>
      </c>
      <c r="V92">
        <v>2042</v>
      </c>
      <c r="W92">
        <v>2043</v>
      </c>
      <c r="X92">
        <v>2044</v>
      </c>
      <c r="Y92">
        <v>2045</v>
      </c>
      <c r="Z92">
        <v>2046</v>
      </c>
      <c r="AA92">
        <v>2047</v>
      </c>
      <c r="AB92">
        <v>2048</v>
      </c>
      <c r="AC92">
        <v>2049</v>
      </c>
      <c r="AD92">
        <v>2050</v>
      </c>
    </row>
    <row r="93" spans="3:30">
      <c r="C93" s="192">
        <f>G83</f>
        <v>222336.69845735302</v>
      </c>
      <c r="D93" cm="1">
        <f t="array" ref="D93">TREND($G$83:$G$84,$D$83:$D$84,D92)</f>
        <v>222381.01364915445</v>
      </c>
      <c r="E93" cm="1">
        <f t="array" ref="E93">TREND($G$84:$G$85,$D$84:$D$85,E92)</f>
        <v>222425.32884095592</v>
      </c>
      <c r="F93" cm="1">
        <f t="array" ref="F93">TREND($G$84:$G$85,$D$84:$D$85,F92)</f>
        <v>222221.47699769924</v>
      </c>
      <c r="G93" cm="1">
        <f t="array" ref="G93">TREND($G$84:$G$85,$D$84:$D$85,G92)</f>
        <v>222017.62515444256</v>
      </c>
      <c r="H93" cm="1">
        <f t="array" ref="H93">TREND($G$84:$G$85,$D$84:$D$85,H92)</f>
        <v>221813.77331118588</v>
      </c>
      <c r="I93" cm="1">
        <f t="array" ref="I93">TREND($G$84:$G$85,$D$84:$D$85,I92)</f>
        <v>221609.92146792921</v>
      </c>
      <c r="J93" cm="1">
        <f t="array" ref="J93">TREND($G$85:$G$86,$D$85:$D$86,J92)</f>
        <v>221406.0696246725</v>
      </c>
      <c r="K93" cm="1">
        <f t="array" ref="K93">TREND($G$85:$G$86,$D$85:$D$86,K92)</f>
        <v>221307.0980040846</v>
      </c>
      <c r="L93" cm="1">
        <f t="array" ref="L93">TREND($G$85:$G$86,$D$85:$D$86,L92)</f>
        <v>221208.12638349674</v>
      </c>
      <c r="M93" cm="1">
        <f t="array" ref="M93">TREND($G$85:$G$86,$D$85:$D$86,M92)</f>
        <v>221109.15476290885</v>
      </c>
      <c r="N93" cm="1">
        <f t="array" ref="N93">TREND($G$85:$G$86,$D$85:$D$86,N92)</f>
        <v>221010.18314232095</v>
      </c>
      <c r="O93" cm="1">
        <f t="array" ref="O93">TREND($G$86:$G$87,$D$86:$D$87,O92)</f>
        <v>220911.21152173314</v>
      </c>
      <c r="P93" cm="1">
        <f t="array" ref="P93">TREND($G$86:$G$87,$D$86:$D$87,P92)</f>
        <v>220683.72499967495</v>
      </c>
      <c r="Q93" cm="1">
        <f t="array" ref="Q93">TREND($G$86:$G$87,$D$86:$D$87,Q92)</f>
        <v>220456.2384776168</v>
      </c>
      <c r="R93" cm="1">
        <f t="array" ref="R93">TREND($G$86:$G$87,$D$86:$D$87,R92)</f>
        <v>220228.75195555866</v>
      </c>
      <c r="S93" cm="1">
        <f t="array" ref="S93">TREND($G$86:$G$87,$D$86:$D$87,S92)</f>
        <v>220001.26543350052</v>
      </c>
      <c r="T93" cm="1">
        <f t="array" ref="T93">TREND($G$87:$G$88,$D$87:$D$88,T92)</f>
        <v>219773.77891144203</v>
      </c>
      <c r="U93" cm="1">
        <f t="array" ref="U93">TREND($G$87:$G$88,$D$87:$D$88,U92)</f>
        <v>218775.21085824887</v>
      </c>
      <c r="V93" cm="1">
        <f t="array" ref="V93">TREND($G$87:$G$88,$D$87:$D$88,V92)</f>
        <v>217776.64280505548</v>
      </c>
      <c r="W93" cm="1">
        <f t="array" ref="W93">TREND($G$87:$G$88,$D$87:$D$88,W92)</f>
        <v>216778.07475186232</v>
      </c>
      <c r="X93" cm="1">
        <f t="array" ref="X93">TREND($G$87:$G$88,$D$87:$D$88,X92)</f>
        <v>215779.50669866893</v>
      </c>
      <c r="Y93" cm="1">
        <f t="array" ref="Y93">TREND($G$88:$G$89,$D$88:$D$89,Y92)</f>
        <v>214780.93864547554</v>
      </c>
      <c r="Z93" cm="1">
        <f t="array" ref="Z93">TREND($G$88:$G$89,$D$88:$D$89,Z92)</f>
        <v>213531.25219763676</v>
      </c>
      <c r="AA93" cm="1">
        <f t="array" ref="AA93">TREND($G$88:$G$89,$D$88:$D$89,AA92)</f>
        <v>212281.56574979797</v>
      </c>
      <c r="AB93" cm="1">
        <f t="array" ref="AB93">TREND($G$88:$G$89,$D$88:$D$89,AB92)</f>
        <v>211031.87930195918</v>
      </c>
      <c r="AC93" cm="1">
        <f t="array" ref="AC93">TREND($G$88:$G$89,$D$88:$D$89,AC92)</f>
        <v>209782.1928541204</v>
      </c>
      <c r="AD93" cm="1">
        <f t="array" ref="AD93">TREND($G$88:$G$89,$D$88:$D$89,AD92)</f>
        <v>208532.50640628161</v>
      </c>
    </row>
    <row r="94" spans="3:30">
      <c r="C94">
        <v>1</v>
      </c>
      <c r="D94">
        <f>D93/$C$93</f>
        <v>1.0001993156870139</v>
      </c>
      <c r="E94">
        <f t="shared" ref="E94:AD94" si="15">E93/$C$93</f>
        <v>1.0003986313740281</v>
      </c>
      <c r="F94">
        <f t="shared" si="15"/>
        <v>0.99948177039394204</v>
      </c>
      <c r="G94">
        <f t="shared" si="15"/>
        <v>0.99856490941385612</v>
      </c>
      <c r="H94">
        <f t="shared" si="15"/>
        <v>0.9976480484337702</v>
      </c>
      <c r="I94">
        <f t="shared" si="15"/>
        <v>0.99673118745368428</v>
      </c>
      <c r="J94">
        <f t="shared" si="15"/>
        <v>0.99581432647359824</v>
      </c>
      <c r="K94">
        <f t="shared" si="15"/>
        <v>0.99536918349326886</v>
      </c>
      <c r="L94">
        <f t="shared" si="15"/>
        <v>0.99492404051293959</v>
      </c>
      <c r="M94">
        <f t="shared" si="15"/>
        <v>0.99447889753261032</v>
      </c>
      <c r="N94">
        <f t="shared" si="15"/>
        <v>0.99403375455228093</v>
      </c>
      <c r="O94">
        <f t="shared" si="15"/>
        <v>0.993588611571952</v>
      </c>
      <c r="P94">
        <f t="shared" si="15"/>
        <v>0.99256544929763302</v>
      </c>
      <c r="Q94">
        <f t="shared" si="15"/>
        <v>0.99154228702331426</v>
      </c>
      <c r="R94">
        <f t="shared" si="15"/>
        <v>0.99051912474899551</v>
      </c>
      <c r="S94">
        <f t="shared" si="15"/>
        <v>0.98949596247467686</v>
      </c>
      <c r="T94">
        <f t="shared" si="15"/>
        <v>0.98847280020035655</v>
      </c>
      <c r="U94">
        <f t="shared" si="15"/>
        <v>0.98398155759343842</v>
      </c>
      <c r="V94">
        <f t="shared" si="15"/>
        <v>0.97949031498651939</v>
      </c>
      <c r="W94">
        <f t="shared" si="15"/>
        <v>0.97499907237960126</v>
      </c>
      <c r="X94">
        <f t="shared" si="15"/>
        <v>0.97050782977268213</v>
      </c>
      <c r="Y94">
        <f t="shared" si="15"/>
        <v>0.96601658716576311</v>
      </c>
      <c r="Z94">
        <f t="shared" si="15"/>
        <v>0.96039589361175448</v>
      </c>
      <c r="AA94">
        <f t="shared" si="15"/>
        <v>0.95477520005774597</v>
      </c>
      <c r="AB94">
        <f t="shared" si="15"/>
        <v>0.94915450650373745</v>
      </c>
      <c r="AC94">
        <f t="shared" si="15"/>
        <v>0.94353381294972882</v>
      </c>
      <c r="AD94">
        <f t="shared" si="15"/>
        <v>0.93791311939572031</v>
      </c>
    </row>
    <row r="98" spans="3:10">
      <c r="F98" t="s">
        <v>1006</v>
      </c>
      <c r="G98">
        <v>2023</v>
      </c>
      <c r="H98" s="192">
        <v>2679652.9285503202</v>
      </c>
      <c r="I98" s="192">
        <v>109883.749339303</v>
      </c>
      <c r="J98" s="192">
        <f>I98+H98</f>
        <v>2789536.6778896232</v>
      </c>
    </row>
    <row r="99" spans="3:10">
      <c r="G99">
        <v>2025</v>
      </c>
      <c r="H99" s="192">
        <v>2679652.9285503202</v>
      </c>
      <c r="I99" s="192">
        <v>106395.36721954901</v>
      </c>
      <c r="J99" s="192">
        <f t="shared" ref="J99:J111" si="16">I99+H99</f>
        <v>2786048.2957698693</v>
      </c>
    </row>
    <row r="100" spans="3:10">
      <c r="G100">
        <v>2030</v>
      </c>
      <c r="H100" s="192">
        <v>2712466.90754272</v>
      </c>
      <c r="I100" s="192">
        <v>94186.0777059018</v>
      </c>
      <c r="J100" s="192">
        <f t="shared" si="16"/>
        <v>2806652.9852486216</v>
      </c>
    </row>
    <row r="101" spans="3:10">
      <c r="G101">
        <v>2035</v>
      </c>
      <c r="H101" s="192">
        <v>2734342.7433276302</v>
      </c>
      <c r="I101" s="192">
        <v>81104.668709569596</v>
      </c>
      <c r="J101" s="192">
        <f t="shared" si="16"/>
        <v>2815447.4120371998</v>
      </c>
    </row>
    <row r="102" spans="3:10">
      <c r="G102">
        <v>2040</v>
      </c>
      <c r="H102" s="192">
        <v>2723404.7503301702</v>
      </c>
      <c r="I102" s="192">
        <v>67151.188136045195</v>
      </c>
      <c r="J102" s="192">
        <f t="shared" si="16"/>
        <v>2790555.9384662155</v>
      </c>
    </row>
    <row r="103" spans="3:10">
      <c r="G103">
        <v>2045</v>
      </c>
      <c r="H103" s="192">
        <v>2657777.0927654002</v>
      </c>
      <c r="I103" s="192">
        <v>54069.7791397131</v>
      </c>
      <c r="J103" s="192">
        <f t="shared" si="16"/>
        <v>2711846.8719051131</v>
      </c>
    </row>
    <row r="104" spans="3:10">
      <c r="G104">
        <v>2050</v>
      </c>
      <c r="H104" s="192">
        <v>2570273.4492057101</v>
      </c>
      <c r="I104" s="192">
        <v>40988.370143380998</v>
      </c>
      <c r="J104" s="192">
        <f t="shared" si="16"/>
        <v>2611261.819349091</v>
      </c>
    </row>
    <row r="105" spans="3:10">
      <c r="F105" t="s">
        <v>1007</v>
      </c>
      <c r="G105">
        <v>2023</v>
      </c>
      <c r="H105" s="192">
        <v>306262.9026689399</v>
      </c>
      <c r="I105" s="192">
        <v>146511.59392749998</v>
      </c>
      <c r="J105" s="192">
        <f t="shared" si="16"/>
        <v>452774.49659643986</v>
      </c>
    </row>
    <row r="106" spans="3:10">
      <c r="G106">
        <v>2025</v>
      </c>
      <c r="H106" s="192">
        <v>328138.8886638796</v>
      </c>
      <c r="I106" s="192">
        <v>149127.880517315</v>
      </c>
      <c r="J106" s="192">
        <f t="shared" si="16"/>
        <v>477266.7691811946</v>
      </c>
    </row>
    <row r="107" spans="3:10">
      <c r="G107">
        <v>2030</v>
      </c>
      <c r="H107" s="192">
        <v>350014.72444878984</v>
      </c>
      <c r="I107" s="192">
        <v>156976.69238127017</v>
      </c>
      <c r="J107" s="192">
        <f t="shared" si="16"/>
        <v>506991.41683006001</v>
      </c>
    </row>
    <row r="108" spans="3:10">
      <c r="G108">
        <v>2035</v>
      </c>
      <c r="H108" s="192">
        <v>350014.72444878984</v>
      </c>
      <c r="I108" s="192">
        <v>163081.36109083937</v>
      </c>
      <c r="J108" s="192">
        <f t="shared" si="16"/>
        <v>513096.08553962922</v>
      </c>
    </row>
    <row r="109" spans="3:10">
      <c r="G109">
        <v>2040</v>
      </c>
      <c r="H109" s="192">
        <v>350014.72444878984</v>
      </c>
      <c r="I109" s="192">
        <v>165697.64768065483</v>
      </c>
      <c r="J109" s="192">
        <f t="shared" si="16"/>
        <v>515712.37212944467</v>
      </c>
    </row>
    <row r="110" spans="3:10">
      <c r="G110">
        <v>2045</v>
      </c>
      <c r="H110" s="192">
        <v>360952.71744625969</v>
      </c>
      <c r="I110" s="192">
        <v>165697.6716334009</v>
      </c>
      <c r="J110" s="192">
        <f t="shared" si="16"/>
        <v>526650.38907966064</v>
      </c>
    </row>
    <row r="111" spans="3:10">
      <c r="G111">
        <v>2050</v>
      </c>
      <c r="H111" s="192">
        <v>360952.56723624002</v>
      </c>
      <c r="I111" s="192">
        <v>163081.408996332</v>
      </c>
      <c r="J111" s="192">
        <f t="shared" si="16"/>
        <v>524033.97623257199</v>
      </c>
    </row>
    <row r="112" spans="3:10">
      <c r="C112" s="2" t="s">
        <v>1009</v>
      </c>
    </row>
    <row r="113" spans="2:30">
      <c r="C113" s="192" cm="1">
        <f t="array" ref="C113:AD113">_xlfn.ANCHORARRAY(C92)</f>
        <v>2023</v>
      </c>
      <c r="D113">
        <v>2024</v>
      </c>
      <c r="E113">
        <v>2025</v>
      </c>
      <c r="F113">
        <v>2026</v>
      </c>
      <c r="G113">
        <v>2027</v>
      </c>
      <c r="H113">
        <v>2028</v>
      </c>
      <c r="I113">
        <v>2029</v>
      </c>
      <c r="J113">
        <v>2030</v>
      </c>
      <c r="K113">
        <v>2031</v>
      </c>
      <c r="L113">
        <v>2032</v>
      </c>
      <c r="M113">
        <v>2033</v>
      </c>
      <c r="N113">
        <v>2034</v>
      </c>
      <c r="O113">
        <v>2035</v>
      </c>
      <c r="P113">
        <v>2036</v>
      </c>
      <c r="Q113">
        <v>2037</v>
      </c>
      <c r="R113">
        <v>2038</v>
      </c>
      <c r="S113">
        <v>2039</v>
      </c>
      <c r="T113">
        <v>2040</v>
      </c>
      <c r="U113">
        <v>2041</v>
      </c>
      <c r="V113">
        <v>2042</v>
      </c>
      <c r="W113">
        <v>2043</v>
      </c>
      <c r="X113">
        <v>2044</v>
      </c>
      <c r="Y113">
        <v>2045</v>
      </c>
      <c r="Z113">
        <v>2046</v>
      </c>
      <c r="AA113">
        <v>2047</v>
      </c>
      <c r="AB113">
        <v>2048</v>
      </c>
      <c r="AC113">
        <v>2049</v>
      </c>
      <c r="AD113">
        <v>2050</v>
      </c>
    </row>
    <row r="114" spans="2:30">
      <c r="B114" t="s">
        <v>1006</v>
      </c>
      <c r="C114" s="146" cm="1">
        <f t="array" ref="C114">TREND($J$98:$J$99,$G$98:$G$99,C113)</f>
        <v>2789536.6778896232</v>
      </c>
      <c r="D114" s="146" cm="1">
        <f t="array" ref="D114">TREND($J$98:$J$99,$G$98:$G$99,D113)</f>
        <v>2787792.486829746</v>
      </c>
      <c r="E114" s="146" cm="1">
        <f t="array" ref="E114">TREND($J$99:$J$100,$G$99:$G$100,E113)</f>
        <v>2786048.2957698693</v>
      </c>
      <c r="F114" s="146" cm="1">
        <f t="array" ref="F114">TREND($J$99:$J$100,$G$99:$G$100,F113)</f>
        <v>2790169.233665619</v>
      </c>
      <c r="G114" s="146" cm="1">
        <f t="array" ref="G114">TREND($J$99:$J$100,$G$99:$G$100,G113)</f>
        <v>2794290.1715613697</v>
      </c>
      <c r="H114" s="146" cm="1">
        <f t="array" ref="H114">TREND($J$99:$J$100,$G$99:$G$100,H113)</f>
        <v>2798411.1094571203</v>
      </c>
      <c r="I114" s="146" cm="1">
        <f t="array" ref="I114">TREND($J$99:$J$100,$G$99:$G$100,I113)</f>
        <v>2802532.0473528709</v>
      </c>
      <c r="J114" s="146" cm="1">
        <f t="array" ref="J114">TREND($J$100:$J$101,$G$100:$G$101,J113)</f>
        <v>2806652.9852486211</v>
      </c>
      <c r="K114" s="146" cm="1">
        <f t="array" ref="K114">TREND($J$100:$J$101,$G$100:$G$101,K113)</f>
        <v>2808411.8706063367</v>
      </c>
      <c r="L114" s="146" cm="1">
        <f t="array" ref="L114">TREND($J$100:$J$101,$G$100:$G$101,L113)</f>
        <v>2810170.7559640524</v>
      </c>
      <c r="M114" s="146" cm="1">
        <f t="array" ref="M114">TREND($J$100:$J$101,$G$100:$G$101,M113)</f>
        <v>2811929.6413217681</v>
      </c>
      <c r="N114" s="146" cm="1">
        <f t="array" ref="N114">TREND($J$100:$J$101,$G$100:$G$101,N113)</f>
        <v>2813688.5266794837</v>
      </c>
      <c r="O114" s="146" cm="1">
        <f t="array" ref="O114">TREND($J$101:$J$102,$G$101:$G$102,O113)</f>
        <v>2815447.4120371994</v>
      </c>
      <c r="P114" s="146" cm="1">
        <f t="array" ref="P114">TREND($J$101:$J$102,$G$101:$G$102,P113)</f>
        <v>2810469.1173230037</v>
      </c>
      <c r="Q114" s="146" cm="1">
        <f t="array" ref="Q114">TREND($J$101:$J$102,$G$101:$G$102,Q113)</f>
        <v>2805490.8226088062</v>
      </c>
      <c r="R114" s="146" cm="1">
        <f t="array" ref="R114">TREND($J$101:$J$102,$G$101:$G$102,R113)</f>
        <v>2800512.5278946087</v>
      </c>
      <c r="S114" s="146" cm="1">
        <f t="array" ref="S114">TREND($J$101:$J$102,$G$101:$G$102,S113)</f>
        <v>2795534.233180413</v>
      </c>
      <c r="T114" s="146" cm="1">
        <f t="array" ref="T114">TREND($J$102:$J$103,$G$102:$G$103,T113)</f>
        <v>2790555.9384662136</v>
      </c>
      <c r="U114" s="146" cm="1">
        <f t="array" ref="U114">TREND($J$102:$J$103,$G$102:$G$103,U113)</f>
        <v>2774814.1251539923</v>
      </c>
      <c r="V114" s="146" cm="1">
        <f t="array" ref="V114">TREND($J$102:$J$103,$G$102:$G$103,V113)</f>
        <v>2759072.3118417747</v>
      </c>
      <c r="W114" s="146" cm="1">
        <f t="array" ref="W114">TREND($J$102:$J$103,$G$102:$G$103,W113)</f>
        <v>2743330.4985295534</v>
      </c>
      <c r="X114" s="146" cm="1">
        <f t="array" ref="X114">TREND($J$102:$J$103,$G$102:$G$103,X113)</f>
        <v>2727588.6852173321</v>
      </c>
      <c r="Y114" s="146" cm="1">
        <f t="array" ref="Y114">TREND($J$103:$J$104,$G$103:$G$104,Y113)</f>
        <v>2711846.8719051108</v>
      </c>
      <c r="Z114" s="146" cm="1">
        <f t="array" ref="Z114">TREND($J$103:$J$104,$G$103:$G$104,Z113)</f>
        <v>2691729.8613939062</v>
      </c>
      <c r="AA114" s="146" cm="1">
        <f t="array" ref="AA114">TREND($J$103:$J$104,$G$103:$G$104,AA113)</f>
        <v>2671612.8508827016</v>
      </c>
      <c r="AB114" s="146" cm="1">
        <f t="array" ref="AB114">TREND($J$103:$J$104,$G$103:$G$104,AB113)</f>
        <v>2651495.840371497</v>
      </c>
      <c r="AC114" s="146" cm="1">
        <f t="array" ref="AC114">TREND($J$103:$J$104,$G$103:$G$104,AC113)</f>
        <v>2631378.8298602924</v>
      </c>
      <c r="AD114" s="146" cm="1">
        <f t="array" ref="AD114">TREND($J$103:$J$104,$G$103:$G$104,AD113)</f>
        <v>2611261.8193490878</v>
      </c>
    </row>
    <row r="115" spans="2:30">
      <c r="B115" t="s">
        <v>1007</v>
      </c>
      <c r="C115" s="146" cm="1">
        <f t="array" ref="C115">TREND($J$105:$J$106,$G$105:$G$106,C113)</f>
        <v>452774.49659643695</v>
      </c>
      <c r="D115" s="146" cm="1">
        <f t="array" ref="D115">TREND($J$105:$J$106,$G$105:$G$106,D113)</f>
        <v>465020.6328888163</v>
      </c>
      <c r="E115" s="146" cm="1">
        <f t="array" ref="E115">TREND($J$106:$J$107,$G$106:$G$107,E113)</f>
        <v>477266.76918119565</v>
      </c>
      <c r="F115" s="146" cm="1">
        <f t="array" ref="F115">TREND($J$106:$J$107,$G$106:$G$107,F113)</f>
        <v>483211.69871096872</v>
      </c>
      <c r="G115" s="146" cm="1">
        <f t="array" ref="G115">TREND($J$106:$J$107,$G$106:$G$107,G113)</f>
        <v>489156.62824074179</v>
      </c>
      <c r="H115" s="146" cm="1">
        <f t="array" ref="H115">TREND($J$106:$J$107,$G$106:$G$107,H113)</f>
        <v>495101.55777051486</v>
      </c>
      <c r="I115" s="146" cm="1">
        <f t="array" ref="I115">TREND($J$106:$J$107,$G$106:$G$107,I113)</f>
        <v>501046.48730028793</v>
      </c>
      <c r="J115" s="146" cm="1">
        <f t="array" ref="J115">TREND($J$107:$J$108,$G$107:$G$108,J113)</f>
        <v>506991.41683005984</v>
      </c>
      <c r="K115" s="146" cm="1">
        <f t="array" ref="K115">TREND($J$107:$J$108,$G$107:$G$108,K113)</f>
        <v>508212.35057197395</v>
      </c>
      <c r="L115" s="146" cm="1">
        <f t="array" ref="L115">TREND($J$107:$J$108,$G$107:$G$108,L113)</f>
        <v>509433.28431388759</v>
      </c>
      <c r="M115" s="146" cm="1">
        <f t="array" ref="M115">TREND($J$107:$J$108,$G$107:$G$108,M113)</f>
        <v>510654.2180558017</v>
      </c>
      <c r="N115" s="146" cm="1">
        <f t="array" ref="N115">TREND($J$107:$J$108,$G$107:$G$108,N113)</f>
        <v>511875.15179771534</v>
      </c>
      <c r="O115" s="146" cm="1">
        <f t="array" ref="O115">TREND($J$108:$J$109,$G$108:$G$109,O113)</f>
        <v>513096.08553962933</v>
      </c>
      <c r="P115" s="146" cm="1">
        <f t="array" ref="P115">TREND($J$108:$J$109,$G$108:$G$109,P113)</f>
        <v>513619.34285759239</v>
      </c>
      <c r="Q115" s="146" cm="1">
        <f t="array" ref="Q115">TREND($J$108:$J$109,$G$108:$G$109,Q113)</f>
        <v>514142.60017555545</v>
      </c>
      <c r="R115" s="146" cm="1">
        <f t="array" ref="R115">TREND($J$108:$J$109,$G$108:$G$109,R113)</f>
        <v>514665.85749351874</v>
      </c>
      <c r="S115" s="146" cm="1">
        <f t="array" ref="S115">TREND($J$108:$J$109,$G$108:$G$109,S113)</f>
        <v>515189.11481148179</v>
      </c>
      <c r="T115" s="146" cm="1">
        <f t="array" ref="T115">TREND($J$109:$J$110,$G$109:$G$110,T113)</f>
        <v>515712.37212944543</v>
      </c>
      <c r="U115" s="146" cm="1">
        <f t="array" ref="U115">TREND($J$109:$J$110,$G$109:$G$110,U113)</f>
        <v>517899.9755194881</v>
      </c>
      <c r="V115" s="146" cm="1">
        <f t="array" ref="V115">TREND($J$109:$J$110,$G$109:$G$110,V113)</f>
        <v>520087.5789095317</v>
      </c>
      <c r="W115" s="146" cm="1">
        <f t="array" ref="W115">TREND($J$109:$J$110,$G$109:$G$110,W113)</f>
        <v>522275.18229957437</v>
      </c>
      <c r="X115" s="146" cm="1">
        <f t="array" ref="X115">TREND($J$109:$J$110,$G$109:$G$110,X113)</f>
        <v>524462.78568961797</v>
      </c>
      <c r="Y115" s="146" cm="1">
        <f t="array" ref="Y115">TREND($J$110:$J$111,$G$110:$G$111,Y113)</f>
        <v>526650.38907966064</v>
      </c>
      <c r="Z115" s="146" cm="1">
        <f t="array" ref="Z115">TREND($J$110:$J$111,$G$110:$G$111,Z113)</f>
        <v>526127.10651024291</v>
      </c>
      <c r="AA115" s="146" cm="1">
        <f t="array" ref="AA115">TREND($J$110:$J$111,$G$110:$G$111,AA113)</f>
        <v>525603.82394082518</v>
      </c>
      <c r="AB115" s="146" cm="1">
        <f t="array" ref="AB115">TREND($J$110:$J$111,$G$110:$G$111,AB113)</f>
        <v>525080.54137140745</v>
      </c>
      <c r="AC115" s="146" cm="1">
        <f t="array" ref="AC115">TREND($J$110:$J$111,$G$110:$G$111,AC113)</f>
        <v>524557.25880198972</v>
      </c>
      <c r="AD115" s="146" cm="1">
        <f t="array" ref="AD115">TREND($J$110:$J$111,$G$110:$G$111,AD113)</f>
        <v>524033.97623257199</v>
      </c>
    </row>
    <row r="116" spans="2:30">
      <c r="C116" s="146">
        <f>SUM(C114:C115)</f>
        <v>3242311.1744860602</v>
      </c>
      <c r="D116" s="146">
        <f t="shared" ref="D116:AD116" si="17">SUM(D114:D115)</f>
        <v>3252813.1197185623</v>
      </c>
      <c r="E116" s="146">
        <f t="shared" si="17"/>
        <v>3263315.064951065</v>
      </c>
      <c r="F116" s="146">
        <f t="shared" si="17"/>
        <v>3273380.9323765878</v>
      </c>
      <c r="G116" s="146">
        <f t="shared" si="17"/>
        <v>3283446.7998021115</v>
      </c>
      <c r="H116" s="146">
        <f t="shared" si="17"/>
        <v>3293512.6672276352</v>
      </c>
      <c r="I116" s="146">
        <f t="shared" si="17"/>
        <v>3303578.5346531589</v>
      </c>
      <c r="J116" s="146">
        <f t="shared" si="17"/>
        <v>3313644.4020786807</v>
      </c>
      <c r="K116" s="146">
        <f t="shared" si="17"/>
        <v>3316624.2211783109</v>
      </c>
      <c r="L116" s="146">
        <f t="shared" si="17"/>
        <v>3319604.0402779402</v>
      </c>
      <c r="M116" s="146">
        <f t="shared" si="17"/>
        <v>3322583.8593775695</v>
      </c>
      <c r="N116" s="146">
        <f t="shared" si="17"/>
        <v>3325563.6784771988</v>
      </c>
      <c r="O116" s="146">
        <f t="shared" si="17"/>
        <v>3328543.4975768286</v>
      </c>
      <c r="P116" s="146">
        <f t="shared" si="17"/>
        <v>3324088.460180596</v>
      </c>
      <c r="Q116" s="146">
        <f t="shared" si="17"/>
        <v>3319633.4227843615</v>
      </c>
      <c r="R116" s="146">
        <f t="shared" si="17"/>
        <v>3315178.3853881275</v>
      </c>
      <c r="S116" s="146">
        <f t="shared" si="17"/>
        <v>3310723.3479918949</v>
      </c>
      <c r="T116" s="146">
        <f t="shared" si="17"/>
        <v>3306268.3105956591</v>
      </c>
      <c r="U116" s="146">
        <f t="shared" si="17"/>
        <v>3292714.1006734804</v>
      </c>
      <c r="V116" s="146">
        <f t="shared" si="17"/>
        <v>3279159.8907513064</v>
      </c>
      <c r="W116" s="146">
        <f t="shared" si="17"/>
        <v>3265605.6808291278</v>
      </c>
      <c r="X116" s="146">
        <f t="shared" si="17"/>
        <v>3252051.4709069501</v>
      </c>
      <c r="Y116" s="146">
        <f t="shared" si="17"/>
        <v>3238497.2609847714</v>
      </c>
      <c r="Z116" s="146">
        <f t="shared" si="17"/>
        <v>3217856.9679041491</v>
      </c>
      <c r="AA116" s="146">
        <f t="shared" si="17"/>
        <v>3197216.6748235268</v>
      </c>
      <c r="AB116" s="146">
        <f t="shared" si="17"/>
        <v>3176576.3817429044</v>
      </c>
      <c r="AC116" s="146">
        <f t="shared" si="17"/>
        <v>3155936.0886622821</v>
      </c>
      <c r="AD116" s="146">
        <f t="shared" si="17"/>
        <v>3135295.7955816598</v>
      </c>
    </row>
    <row r="118" spans="2:30">
      <c r="B118" t="s">
        <v>1006</v>
      </c>
      <c r="C118">
        <v>1</v>
      </c>
      <c r="D118" s="146">
        <f>D114/$C$114</f>
        <v>0.99937473807973132</v>
      </c>
      <c r="E118" s="146">
        <f t="shared" ref="E118:AD118" si="18">E114/$C$114</f>
        <v>0.99874947615946286</v>
      </c>
      <c r="F118" s="146">
        <f t="shared" si="18"/>
        <v>1.0002267601573442</v>
      </c>
      <c r="G118" s="146">
        <f t="shared" si="18"/>
        <v>1.0017040441552261</v>
      </c>
      <c r="H118" s="146">
        <f t="shared" si="18"/>
        <v>1.0031813281531079</v>
      </c>
      <c r="I118" s="146">
        <f t="shared" si="18"/>
        <v>1.0046586121509895</v>
      </c>
      <c r="J118" s="146">
        <f t="shared" si="18"/>
        <v>1.0061358961488711</v>
      </c>
      <c r="K118" s="146">
        <f t="shared" si="18"/>
        <v>1.0067664257173321</v>
      </c>
      <c r="L118" s="146">
        <f t="shared" si="18"/>
        <v>1.0073969552857931</v>
      </c>
      <c r="M118" s="146">
        <f t="shared" si="18"/>
        <v>1.0080274848542539</v>
      </c>
      <c r="N118" s="146">
        <f t="shared" si="18"/>
        <v>1.0086580144227149</v>
      </c>
      <c r="O118" s="146">
        <f t="shared" si="18"/>
        <v>1.0092885439911758</v>
      </c>
      <c r="P118" s="146">
        <f t="shared" si="18"/>
        <v>1.0075039126028686</v>
      </c>
      <c r="Q118" s="146">
        <f t="shared" si="18"/>
        <v>1.005719281214561</v>
      </c>
      <c r="R118" s="146">
        <f t="shared" si="18"/>
        <v>1.0039346498262534</v>
      </c>
      <c r="S118" s="146">
        <f t="shared" si="18"/>
        <v>1.0021500184379462</v>
      </c>
      <c r="T118" s="146">
        <f t="shared" si="18"/>
        <v>1.0003653870496378</v>
      </c>
      <c r="U118" s="146">
        <f t="shared" si="18"/>
        <v>0.9947222229224213</v>
      </c>
      <c r="V118" s="146">
        <f t="shared" si="18"/>
        <v>0.98907905879520619</v>
      </c>
      <c r="W118" s="146">
        <f t="shared" si="18"/>
        <v>0.98343589466798975</v>
      </c>
      <c r="X118" s="146">
        <f t="shared" si="18"/>
        <v>0.9777927305407732</v>
      </c>
      <c r="Y118" s="146">
        <f t="shared" si="18"/>
        <v>0.97214956641355676</v>
      </c>
      <c r="Z118" s="146">
        <f t="shared" si="18"/>
        <v>0.96493797078527355</v>
      </c>
      <c r="AA118" s="146">
        <f t="shared" si="18"/>
        <v>0.95772637515699022</v>
      </c>
      <c r="AB118" s="146">
        <f t="shared" si="18"/>
        <v>0.950514779528707</v>
      </c>
      <c r="AC118" s="146">
        <f t="shared" si="18"/>
        <v>0.94330318390042378</v>
      </c>
      <c r="AD118" s="146">
        <f t="shared" si="18"/>
        <v>0.93609158827214045</v>
      </c>
    </row>
    <row r="119" spans="2:30">
      <c r="B119" t="s">
        <v>1007</v>
      </c>
      <c r="C119">
        <v>1</v>
      </c>
      <c r="D119" s="146">
        <f>D115/$C$115</f>
        <v>1.0270468773847359</v>
      </c>
      <c r="E119" s="146">
        <f t="shared" ref="E119:AD119" si="19">E115/$C$115</f>
        <v>1.0540937547694718</v>
      </c>
      <c r="F119" s="146">
        <f t="shared" si="19"/>
        <v>1.0672237556296391</v>
      </c>
      <c r="G119" s="146">
        <f t="shared" si="19"/>
        <v>1.0803537564898065</v>
      </c>
      <c r="H119" s="146">
        <f t="shared" si="19"/>
        <v>1.0934837573499741</v>
      </c>
      <c r="I119" s="146">
        <f t="shared" si="19"/>
        <v>1.1066137582101414</v>
      </c>
      <c r="J119" s="146">
        <f t="shared" si="19"/>
        <v>1.1197437590703061</v>
      </c>
      <c r="K119" s="146">
        <f t="shared" si="19"/>
        <v>1.1224403193913755</v>
      </c>
      <c r="L119" s="146">
        <f t="shared" si="19"/>
        <v>1.1251368797124439</v>
      </c>
      <c r="M119" s="146">
        <f t="shared" si="19"/>
        <v>1.1278334400335133</v>
      </c>
      <c r="N119" s="146">
        <f t="shared" si="19"/>
        <v>1.1305300003545815</v>
      </c>
      <c r="O119" s="146">
        <f t="shared" si="19"/>
        <v>1.1332265606756506</v>
      </c>
      <c r="P119" s="146">
        <f t="shared" si="19"/>
        <v>1.1343822293846801</v>
      </c>
      <c r="Q119" s="146">
        <f t="shared" si="19"/>
        <v>1.1355378980937094</v>
      </c>
      <c r="R119" s="146">
        <f t="shared" si="19"/>
        <v>1.1366935668027394</v>
      </c>
      <c r="S119" s="146">
        <f t="shared" si="19"/>
        <v>1.1378492355117689</v>
      </c>
      <c r="T119" s="146">
        <f t="shared" si="19"/>
        <v>1.1390049042207997</v>
      </c>
      <c r="U119" s="146">
        <f t="shared" si="19"/>
        <v>1.1438364559236609</v>
      </c>
      <c r="V119" s="146">
        <f t="shared" si="19"/>
        <v>1.1486680076265243</v>
      </c>
      <c r="W119" s="146">
        <f t="shared" si="19"/>
        <v>1.1534995593293855</v>
      </c>
      <c r="X119" s="146">
        <f t="shared" si="19"/>
        <v>1.1583311110322487</v>
      </c>
      <c r="Y119" s="146">
        <f t="shared" si="19"/>
        <v>1.1631626627351102</v>
      </c>
      <c r="Z119" s="146">
        <f t="shared" si="19"/>
        <v>1.1620069382555926</v>
      </c>
      <c r="AA119" s="146">
        <f t="shared" si="19"/>
        <v>1.1608512137760749</v>
      </c>
      <c r="AB119" s="146">
        <f t="shared" si="19"/>
        <v>1.1596954892965574</v>
      </c>
      <c r="AC119" s="146">
        <f t="shared" si="19"/>
        <v>1.1585397648170399</v>
      </c>
      <c r="AD119" s="146">
        <f t="shared" si="19"/>
        <v>1.1573840403375224</v>
      </c>
    </row>
  </sheetData>
  <mergeCells count="4">
    <mergeCell ref="C4:L4"/>
    <mergeCell ref="C5:L5"/>
    <mergeCell ref="I6:J6"/>
    <mergeCell ref="K6:L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opLeftCell="A118" workbookViewId="0">
      <selection activeCell="A3" sqref="A3"/>
    </sheetView>
  </sheetViews>
  <sheetFormatPr defaultColWidth="9" defaultRowHeight="12.75"/>
  <cols>
    <col min="1" max="1" width="4" style="5" customWidth="1"/>
    <col min="2" max="2" width="3.42578125" style="5" customWidth="1"/>
    <col min="3" max="4" width="1.5703125" style="5" customWidth="1"/>
    <col min="5" max="5" width="23.28515625" style="5" customWidth="1"/>
    <col min="6" max="6" width="12.57031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945</v>
      </c>
      <c r="B2" s="7"/>
    </row>
    <row r="3" spans="1:6">
      <c r="A3" s="84"/>
      <c r="B3" s="84"/>
      <c r="C3" s="84"/>
      <c r="D3" s="84"/>
      <c r="E3" s="84" t="s">
        <v>55</v>
      </c>
      <c r="F3" s="85" t="s">
        <v>56</v>
      </c>
    </row>
    <row r="4" spans="1:6">
      <c r="A4" s="86" t="s">
        <v>57</v>
      </c>
      <c r="B4" s="86"/>
      <c r="C4" s="86"/>
      <c r="D4" s="86"/>
      <c r="E4" s="86"/>
      <c r="F4" s="83">
        <v>24365979</v>
      </c>
    </row>
    <row r="5" spans="1:6">
      <c r="A5" s="86"/>
      <c r="B5" s="86" t="s">
        <v>58</v>
      </c>
      <c r="C5" s="86"/>
      <c r="D5" s="86"/>
      <c r="E5" s="86"/>
      <c r="F5" s="83">
        <v>19860955</v>
      </c>
    </row>
    <row r="6" spans="1:6">
      <c r="A6" s="86"/>
      <c r="B6" s="86"/>
      <c r="C6" s="86" t="s">
        <v>59</v>
      </c>
      <c r="D6" s="86"/>
      <c r="E6" s="86"/>
      <c r="F6" s="83">
        <v>13627521</v>
      </c>
    </row>
    <row r="7" spans="1:6">
      <c r="A7" s="86"/>
      <c r="B7" s="86"/>
      <c r="C7" s="86"/>
      <c r="D7" s="86" t="s">
        <v>60</v>
      </c>
      <c r="E7" s="86"/>
      <c r="F7" s="83">
        <v>11689470</v>
      </c>
    </row>
    <row r="8" spans="1:6">
      <c r="A8" s="86"/>
      <c r="B8" s="86"/>
      <c r="C8" s="86"/>
      <c r="D8" s="86"/>
      <c r="E8" s="86" t="s">
        <v>61</v>
      </c>
      <c r="F8" s="83">
        <v>146185</v>
      </c>
    </row>
    <row r="9" spans="1:6">
      <c r="A9" s="86"/>
      <c r="B9" s="86"/>
      <c r="C9" s="86"/>
      <c r="D9" s="86"/>
      <c r="E9" s="86" t="s">
        <v>62</v>
      </c>
      <c r="F9" s="83">
        <v>1763118</v>
      </c>
    </row>
    <row r="10" spans="1:6">
      <c r="A10" s="86"/>
      <c r="B10" s="86"/>
      <c r="C10" s="86"/>
      <c r="D10" s="86"/>
      <c r="E10" s="86" t="s">
        <v>63</v>
      </c>
      <c r="F10" s="83">
        <v>705219</v>
      </c>
    </row>
    <row r="11" spans="1:6">
      <c r="A11" s="86"/>
      <c r="B11" s="86"/>
      <c r="C11" s="86"/>
      <c r="D11" s="86"/>
      <c r="E11" s="86" t="s">
        <v>64</v>
      </c>
      <c r="F11" s="83">
        <v>6114232</v>
      </c>
    </row>
    <row r="12" spans="1:6">
      <c r="A12" s="86"/>
      <c r="B12" s="86"/>
      <c r="C12" s="86"/>
      <c r="D12" s="86"/>
      <c r="E12" s="86" t="s">
        <v>65</v>
      </c>
      <c r="F12" s="83">
        <v>1146082</v>
      </c>
    </row>
    <row r="13" spans="1:6">
      <c r="A13" s="86"/>
      <c r="B13" s="86"/>
      <c r="C13" s="86"/>
      <c r="D13" s="86"/>
      <c r="E13" s="86" t="s">
        <v>66</v>
      </c>
      <c r="F13" s="83">
        <v>983921</v>
      </c>
    </row>
    <row r="14" spans="1:6">
      <c r="A14" s="86"/>
      <c r="B14" s="86"/>
      <c r="C14" s="86"/>
      <c r="D14" s="86"/>
      <c r="E14" s="86" t="s">
        <v>67</v>
      </c>
      <c r="F14" s="83">
        <v>561245</v>
      </c>
    </row>
    <row r="15" spans="1:6">
      <c r="A15" s="86"/>
      <c r="B15" s="86"/>
      <c r="C15" s="86"/>
      <c r="D15" s="86"/>
      <c r="E15" s="86" t="s">
        <v>68</v>
      </c>
      <c r="F15" s="83">
        <v>230840</v>
      </c>
    </row>
    <row r="16" spans="1:6">
      <c r="A16" s="86"/>
      <c r="B16" s="86"/>
      <c r="C16" s="86"/>
      <c r="D16" s="86"/>
      <c r="E16" s="86" t="s">
        <v>69</v>
      </c>
      <c r="F16" s="83">
        <v>2792</v>
      </c>
    </row>
    <row r="17" spans="1:6">
      <c r="A17" s="86"/>
      <c r="B17" s="86"/>
      <c r="C17" s="86"/>
      <c r="D17" s="86"/>
      <c r="E17" s="86" t="s">
        <v>70</v>
      </c>
      <c r="F17" s="83">
        <v>7003</v>
      </c>
    </row>
    <row r="18" spans="1:6">
      <c r="A18" s="86"/>
      <c r="B18" s="86"/>
      <c r="C18" s="86"/>
      <c r="D18" s="86"/>
      <c r="E18" s="86" t="s">
        <v>71</v>
      </c>
      <c r="F18" s="83">
        <v>18352</v>
      </c>
    </row>
    <row r="19" spans="1:6">
      <c r="A19" s="86"/>
      <c r="B19" s="86"/>
      <c r="C19" s="86"/>
      <c r="D19" s="86"/>
      <c r="E19" s="86" t="s">
        <v>72</v>
      </c>
      <c r="F19" s="83">
        <v>30</v>
      </c>
    </row>
    <row r="20" spans="1:6">
      <c r="A20" s="86"/>
      <c r="B20" s="86"/>
      <c r="C20" s="86"/>
      <c r="D20" s="86"/>
      <c r="E20" s="86" t="s">
        <v>73</v>
      </c>
      <c r="F20" s="83">
        <v>10451</v>
      </c>
    </row>
    <row r="21" spans="1:6">
      <c r="A21" s="86"/>
      <c r="B21" s="86"/>
      <c r="C21" s="86"/>
      <c r="D21" s="86" t="s">
        <v>74</v>
      </c>
      <c r="E21" s="86"/>
      <c r="F21" s="83">
        <v>1938051</v>
      </c>
    </row>
    <row r="22" spans="1:6">
      <c r="A22" s="86"/>
      <c r="B22" s="86"/>
      <c r="C22" s="86"/>
      <c r="D22" s="86"/>
      <c r="E22" s="86" t="s">
        <v>75</v>
      </c>
      <c r="F22" s="83">
        <v>2469</v>
      </c>
    </row>
    <row r="23" spans="1:6">
      <c r="A23" s="86"/>
      <c r="B23" s="86"/>
      <c r="C23" s="86"/>
      <c r="D23" s="86"/>
      <c r="E23" s="86" t="s">
        <v>76</v>
      </c>
      <c r="F23" s="83">
        <v>1963</v>
      </c>
    </row>
    <row r="24" spans="1:6">
      <c r="A24" s="86"/>
      <c r="B24" s="86"/>
      <c r="C24" s="86"/>
      <c r="D24" s="86"/>
      <c r="E24" s="86" t="s">
        <v>77</v>
      </c>
      <c r="F24" s="83">
        <v>149213</v>
      </c>
    </row>
    <row r="25" spans="1:6">
      <c r="A25" s="86"/>
      <c r="B25" s="86"/>
      <c r="C25" s="86"/>
      <c r="D25" s="86"/>
      <c r="E25" s="86" t="s">
        <v>78</v>
      </c>
      <c r="F25" s="83">
        <v>964949</v>
      </c>
    </row>
    <row r="26" spans="1:6">
      <c r="A26" s="86"/>
      <c r="B26" s="86"/>
      <c r="C26" s="86"/>
      <c r="D26" s="86"/>
      <c r="E26" s="86" t="s">
        <v>79</v>
      </c>
      <c r="F26" s="83">
        <v>280102</v>
      </c>
    </row>
    <row r="27" spans="1:6">
      <c r="A27" s="86"/>
      <c r="B27" s="86"/>
      <c r="C27" s="86"/>
      <c r="D27" s="86"/>
      <c r="E27" s="86" t="s">
        <v>80</v>
      </c>
      <c r="F27" s="83">
        <v>252821</v>
      </c>
    </row>
    <row r="28" spans="1:6">
      <c r="A28" s="86"/>
      <c r="B28" s="86"/>
      <c r="C28" s="86"/>
      <c r="D28" s="86"/>
      <c r="E28" s="86" t="s">
        <v>81</v>
      </c>
      <c r="F28" s="83">
        <v>128341</v>
      </c>
    </row>
    <row r="29" spans="1:6">
      <c r="A29" s="86"/>
      <c r="B29" s="86"/>
      <c r="C29" s="86"/>
      <c r="D29" s="86"/>
      <c r="E29" s="86" t="s">
        <v>82</v>
      </c>
      <c r="F29" s="83">
        <v>60285</v>
      </c>
    </row>
    <row r="30" spans="1:6">
      <c r="A30" s="86"/>
      <c r="B30" s="86"/>
      <c r="C30" s="86"/>
      <c r="D30" s="86"/>
      <c r="E30" s="86" t="s">
        <v>83</v>
      </c>
      <c r="F30" s="83">
        <v>19969</v>
      </c>
    </row>
    <row r="31" spans="1:6">
      <c r="A31" s="86"/>
      <c r="B31" s="86"/>
      <c r="C31" s="86"/>
      <c r="D31" s="86"/>
      <c r="E31" s="86" t="s">
        <v>84</v>
      </c>
      <c r="F31" s="83">
        <v>22420</v>
      </c>
    </row>
    <row r="32" spans="1:6">
      <c r="A32" s="86"/>
      <c r="B32" s="86"/>
      <c r="C32" s="86"/>
      <c r="D32" s="86"/>
      <c r="E32" s="86" t="s">
        <v>85</v>
      </c>
      <c r="F32" s="83">
        <v>26121</v>
      </c>
    </row>
    <row r="33" spans="1:6">
      <c r="A33" s="86"/>
      <c r="B33" s="86"/>
      <c r="C33" s="86"/>
      <c r="D33" s="86"/>
      <c r="E33" s="86" t="s">
        <v>86</v>
      </c>
      <c r="F33" s="83">
        <v>0</v>
      </c>
    </row>
    <row r="34" spans="1:6">
      <c r="A34" s="86"/>
      <c r="B34" s="86"/>
      <c r="C34" s="86"/>
      <c r="D34" s="86"/>
      <c r="E34" s="86" t="s">
        <v>87</v>
      </c>
      <c r="F34" s="83">
        <v>29398</v>
      </c>
    </row>
    <row r="35" spans="1:6">
      <c r="A35" s="86"/>
      <c r="B35" s="86"/>
      <c r="C35" s="86" t="s">
        <v>88</v>
      </c>
      <c r="D35" s="86"/>
      <c r="E35" s="86"/>
      <c r="F35" s="83">
        <v>76936</v>
      </c>
    </row>
    <row r="36" spans="1:6">
      <c r="A36" s="86"/>
      <c r="B36" s="86"/>
      <c r="C36" s="86"/>
      <c r="D36" s="86"/>
      <c r="E36" s="86" t="s">
        <v>89</v>
      </c>
      <c r="F36" s="83">
        <v>72950</v>
      </c>
    </row>
    <row r="37" spans="1:6">
      <c r="A37" s="86"/>
      <c r="B37" s="86"/>
      <c r="C37" s="86"/>
      <c r="D37" s="86"/>
      <c r="E37" s="86" t="s">
        <v>90</v>
      </c>
      <c r="F37" s="83">
        <v>43</v>
      </c>
    </row>
    <row r="38" spans="1:6">
      <c r="A38" s="86"/>
      <c r="B38" s="86"/>
      <c r="C38" s="86"/>
      <c r="D38" s="86"/>
      <c r="E38" s="86" t="s">
        <v>91</v>
      </c>
      <c r="F38" s="83">
        <v>3158</v>
      </c>
    </row>
    <row r="39" spans="1:6">
      <c r="A39" s="86"/>
      <c r="B39" s="86"/>
      <c r="C39" s="86"/>
      <c r="D39" s="86"/>
      <c r="E39" s="86" t="s">
        <v>92</v>
      </c>
      <c r="F39" s="83">
        <v>239</v>
      </c>
    </row>
    <row r="40" spans="1:6">
      <c r="A40" s="86"/>
      <c r="B40" s="86"/>
      <c r="C40" s="86"/>
      <c r="D40" s="86"/>
      <c r="E40" s="86" t="s">
        <v>93</v>
      </c>
      <c r="F40" s="83">
        <v>60</v>
      </c>
    </row>
    <row r="41" spans="1:6">
      <c r="A41" s="86"/>
      <c r="B41" s="86"/>
      <c r="C41" s="86"/>
      <c r="D41" s="86"/>
      <c r="E41" s="86" t="s">
        <v>94</v>
      </c>
      <c r="F41" s="83">
        <v>486</v>
      </c>
    </row>
    <row r="42" spans="1:6">
      <c r="A42" s="86"/>
      <c r="B42" s="86"/>
      <c r="C42" s="86"/>
      <c r="D42" s="86"/>
      <c r="E42" s="86" t="s">
        <v>95</v>
      </c>
      <c r="F42" s="83">
        <v>0</v>
      </c>
    </row>
    <row r="43" spans="1:6">
      <c r="A43" s="86"/>
      <c r="B43" s="86"/>
      <c r="C43" s="86"/>
      <c r="D43" s="86"/>
      <c r="E43" s="86" t="s">
        <v>96</v>
      </c>
      <c r="F43" s="83">
        <v>0</v>
      </c>
    </row>
    <row r="44" spans="1:6">
      <c r="A44" s="86"/>
      <c r="B44" s="86"/>
      <c r="C44" s="86" t="s">
        <v>97</v>
      </c>
      <c r="D44" s="86"/>
      <c r="E44" s="86"/>
      <c r="F44" s="83">
        <v>4927216</v>
      </c>
    </row>
    <row r="45" spans="1:6">
      <c r="A45" s="86"/>
      <c r="B45" s="86"/>
      <c r="C45" s="86"/>
      <c r="D45" s="86"/>
      <c r="E45" s="86" t="s">
        <v>98</v>
      </c>
      <c r="F45" s="83">
        <v>32827</v>
      </c>
    </row>
    <row r="46" spans="1:6">
      <c r="A46" s="86"/>
      <c r="B46" s="86"/>
      <c r="C46" s="86"/>
      <c r="D46" s="86"/>
      <c r="E46" s="86" t="s">
        <v>99</v>
      </c>
      <c r="F46" s="83">
        <v>3269202</v>
      </c>
    </row>
    <row r="47" spans="1:6">
      <c r="A47" s="86"/>
      <c r="B47" s="86"/>
      <c r="C47" s="86"/>
      <c r="D47" s="86"/>
      <c r="E47" s="86" t="s">
        <v>100</v>
      </c>
      <c r="F47" s="83">
        <v>971998</v>
      </c>
    </row>
    <row r="48" spans="1:6">
      <c r="A48" s="86"/>
      <c r="B48" s="86"/>
      <c r="C48" s="86"/>
      <c r="D48" s="86"/>
      <c r="E48" s="86" t="s">
        <v>101</v>
      </c>
      <c r="F48" s="83">
        <v>472657</v>
      </c>
    </row>
    <row r="49" spans="1:6">
      <c r="A49" s="86"/>
      <c r="B49" s="86"/>
      <c r="C49" s="86"/>
      <c r="D49" s="86"/>
      <c r="E49" s="86" t="s">
        <v>102</v>
      </c>
      <c r="F49" s="83">
        <v>46478</v>
      </c>
    </row>
    <row r="50" spans="1:6">
      <c r="A50" s="86"/>
      <c r="B50" s="86"/>
      <c r="C50" s="86"/>
      <c r="D50" s="86"/>
      <c r="E50" s="86" t="s">
        <v>103</v>
      </c>
      <c r="F50" s="83">
        <v>88510</v>
      </c>
    </row>
    <row r="51" spans="1:6">
      <c r="A51" s="86"/>
      <c r="B51" s="86"/>
      <c r="C51" s="86"/>
      <c r="D51" s="86"/>
      <c r="E51" s="86" t="s">
        <v>104</v>
      </c>
      <c r="F51" s="83">
        <v>3</v>
      </c>
    </row>
    <row r="52" spans="1:6">
      <c r="A52" s="86"/>
      <c r="B52" s="86"/>
      <c r="C52" s="86"/>
      <c r="D52" s="86"/>
      <c r="E52" s="86" t="s">
        <v>105</v>
      </c>
      <c r="F52" s="83">
        <v>45541</v>
      </c>
    </row>
    <row r="53" spans="1:6">
      <c r="A53" s="86"/>
      <c r="B53" s="86"/>
      <c r="C53" s="86" t="s">
        <v>106</v>
      </c>
      <c r="D53" s="86"/>
      <c r="E53" s="86"/>
      <c r="F53" s="83">
        <v>1229282</v>
      </c>
    </row>
    <row r="54" spans="1:6">
      <c r="A54" s="86"/>
      <c r="B54" s="86"/>
      <c r="C54" s="86"/>
      <c r="D54" s="86"/>
      <c r="E54" s="86" t="s">
        <v>107</v>
      </c>
      <c r="F54" s="83">
        <v>105816</v>
      </c>
    </row>
    <row r="55" spans="1:6">
      <c r="A55" s="86"/>
      <c r="B55" s="86"/>
      <c r="C55" s="86"/>
      <c r="D55" s="86"/>
      <c r="E55" s="86" t="s">
        <v>108</v>
      </c>
      <c r="F55" s="83">
        <v>572188</v>
      </c>
    </row>
    <row r="56" spans="1:6">
      <c r="A56" s="86"/>
      <c r="B56" s="86"/>
      <c r="C56" s="86"/>
      <c r="D56" s="86"/>
      <c r="E56" s="86" t="s">
        <v>109</v>
      </c>
      <c r="F56" s="83">
        <v>447550</v>
      </c>
    </row>
    <row r="57" spans="1:6">
      <c r="A57" s="86"/>
      <c r="B57" s="86"/>
      <c r="C57" s="86"/>
      <c r="D57" s="86"/>
      <c r="E57" s="86" t="s">
        <v>110</v>
      </c>
      <c r="F57" s="83">
        <v>47492</v>
      </c>
    </row>
    <row r="58" spans="1:6">
      <c r="A58" s="86"/>
      <c r="B58" s="86"/>
      <c r="C58" s="86"/>
      <c r="D58" s="86"/>
      <c r="E58" s="86" t="s">
        <v>111</v>
      </c>
      <c r="F58" s="83">
        <v>37226</v>
      </c>
    </row>
    <row r="59" spans="1:6">
      <c r="A59" s="86"/>
      <c r="B59" s="86"/>
      <c r="C59" s="86"/>
      <c r="D59" s="86"/>
      <c r="E59" s="86" t="s">
        <v>112</v>
      </c>
      <c r="F59" s="83">
        <v>2219</v>
      </c>
    </row>
    <row r="60" spans="1:6">
      <c r="A60" s="86"/>
      <c r="B60" s="86"/>
      <c r="C60" s="86"/>
      <c r="D60" s="86"/>
      <c r="E60" s="86" t="s">
        <v>113</v>
      </c>
      <c r="F60" s="83">
        <v>136</v>
      </c>
    </row>
    <row r="61" spans="1:6">
      <c r="A61" s="86"/>
      <c r="B61" s="86"/>
      <c r="C61" s="86"/>
      <c r="D61" s="86"/>
      <c r="E61" s="86" t="s">
        <v>114</v>
      </c>
      <c r="F61" s="83">
        <v>16655</v>
      </c>
    </row>
    <row r="62" spans="1:6">
      <c r="A62" s="86"/>
      <c r="B62" s="86" t="s">
        <v>115</v>
      </c>
      <c r="C62" s="86"/>
      <c r="D62" s="86"/>
      <c r="E62" s="86"/>
      <c r="F62" s="83">
        <v>783842</v>
      </c>
    </row>
    <row r="63" spans="1:6">
      <c r="A63" s="86"/>
      <c r="B63" s="86"/>
      <c r="C63" s="86" t="s">
        <v>116</v>
      </c>
      <c r="D63" s="86"/>
      <c r="E63" s="86"/>
      <c r="F63" s="83">
        <v>746870</v>
      </c>
    </row>
    <row r="64" spans="1:6">
      <c r="A64" s="86"/>
      <c r="B64" s="86"/>
      <c r="C64" s="86"/>
      <c r="D64" s="86" t="s">
        <v>117</v>
      </c>
      <c r="E64" s="86"/>
      <c r="F64" s="83">
        <v>42182</v>
      </c>
    </row>
    <row r="65" spans="1:6">
      <c r="A65" s="86"/>
      <c r="B65" s="86"/>
      <c r="C65" s="86"/>
      <c r="D65" s="86" t="s">
        <v>118</v>
      </c>
      <c r="E65" s="86"/>
      <c r="F65" s="83">
        <v>24283</v>
      </c>
    </row>
    <row r="66" spans="1:6">
      <c r="A66" s="86"/>
      <c r="B66" s="86"/>
      <c r="C66" s="86"/>
      <c r="D66" s="86" t="s">
        <v>119</v>
      </c>
      <c r="E66" s="86"/>
      <c r="F66" s="83">
        <v>40287</v>
      </c>
    </row>
    <row r="67" spans="1:6">
      <c r="A67" s="86"/>
      <c r="B67" s="86"/>
      <c r="C67" s="86"/>
      <c r="D67" s="86" t="s">
        <v>120</v>
      </c>
      <c r="E67" s="86"/>
      <c r="F67" s="83">
        <v>24</v>
      </c>
    </row>
    <row r="68" spans="1:6">
      <c r="A68" s="86"/>
      <c r="B68" s="86"/>
      <c r="C68" s="86"/>
      <c r="D68" s="86" t="s">
        <v>121</v>
      </c>
      <c r="E68" s="86"/>
      <c r="F68" s="83">
        <v>0</v>
      </c>
    </row>
    <row r="69" spans="1:6">
      <c r="A69" s="86"/>
      <c r="B69" s="86"/>
      <c r="C69" s="86"/>
      <c r="D69" s="86" t="s">
        <v>122</v>
      </c>
      <c r="E69" s="86"/>
      <c r="F69" s="83">
        <v>0</v>
      </c>
    </row>
    <row r="70" spans="1:6">
      <c r="A70" s="86"/>
      <c r="B70" s="86"/>
      <c r="C70" s="86"/>
      <c r="D70" s="86" t="s">
        <v>123</v>
      </c>
      <c r="E70" s="86"/>
      <c r="F70" s="83">
        <v>640094</v>
      </c>
    </row>
    <row r="71" spans="1:6">
      <c r="A71" s="86"/>
      <c r="B71" s="86"/>
      <c r="C71" s="86"/>
      <c r="D71" s="86"/>
      <c r="E71" s="86" t="s">
        <v>124</v>
      </c>
      <c r="F71" s="83">
        <v>593704</v>
      </c>
    </row>
    <row r="72" spans="1:6">
      <c r="A72" s="86"/>
      <c r="B72" s="86"/>
      <c r="C72" s="86"/>
      <c r="D72" s="86"/>
      <c r="E72" s="86" t="s">
        <v>125</v>
      </c>
      <c r="F72" s="83">
        <v>16313</v>
      </c>
    </row>
    <row r="73" spans="1:6">
      <c r="A73" s="86"/>
      <c r="B73" s="86"/>
      <c r="C73" s="86"/>
      <c r="D73" s="86"/>
      <c r="E73" s="86" t="s">
        <v>126</v>
      </c>
      <c r="F73" s="83">
        <v>10680</v>
      </c>
    </row>
    <row r="74" spans="1:6">
      <c r="A74" s="86"/>
      <c r="B74" s="86"/>
      <c r="C74" s="86"/>
      <c r="D74" s="86"/>
      <c r="E74" s="86" t="s">
        <v>127</v>
      </c>
      <c r="F74" s="83">
        <v>18642</v>
      </c>
    </row>
    <row r="75" spans="1:6">
      <c r="A75" s="86"/>
      <c r="B75" s="86"/>
      <c r="C75" s="86"/>
      <c r="D75" s="86"/>
      <c r="E75" s="86" t="s">
        <v>128</v>
      </c>
      <c r="F75" s="83">
        <v>755</v>
      </c>
    </row>
    <row r="76" spans="1:6">
      <c r="A76" s="86"/>
      <c r="B76" s="86"/>
      <c r="C76" s="86" t="s">
        <v>129</v>
      </c>
      <c r="D76" s="86"/>
      <c r="E76" s="86"/>
      <c r="F76" s="83">
        <v>36972</v>
      </c>
    </row>
    <row r="77" spans="1:6">
      <c r="A77" s="86"/>
      <c r="B77" s="86"/>
      <c r="C77" s="86"/>
      <c r="D77" s="86" t="s">
        <v>130</v>
      </c>
      <c r="E77" s="86"/>
      <c r="F77" s="83">
        <v>6287</v>
      </c>
    </row>
    <row r="78" spans="1:6">
      <c r="A78" s="86"/>
      <c r="B78" s="86"/>
      <c r="C78" s="86"/>
      <c r="D78" s="86" t="s">
        <v>131</v>
      </c>
      <c r="E78" s="86"/>
      <c r="F78" s="83">
        <v>428</v>
      </c>
    </row>
    <row r="79" spans="1:6">
      <c r="A79" s="86"/>
      <c r="B79" s="86"/>
      <c r="C79" s="86"/>
      <c r="D79" s="86" t="s">
        <v>132</v>
      </c>
      <c r="E79" s="86"/>
      <c r="F79" s="83">
        <v>10</v>
      </c>
    </row>
    <row r="80" spans="1:6">
      <c r="A80" s="86"/>
      <c r="B80" s="86"/>
      <c r="C80" s="86"/>
      <c r="D80" s="86" t="s">
        <v>133</v>
      </c>
      <c r="E80" s="86"/>
      <c r="F80" s="83">
        <v>69</v>
      </c>
    </row>
    <row r="81" spans="1:6">
      <c r="A81" s="86"/>
      <c r="B81" s="86"/>
      <c r="C81" s="86"/>
      <c r="D81" s="86" t="s">
        <v>134</v>
      </c>
      <c r="E81" s="86"/>
      <c r="F81" s="83">
        <v>15665</v>
      </c>
    </row>
    <row r="82" spans="1:6">
      <c r="A82" s="86"/>
      <c r="B82" s="86"/>
      <c r="C82" s="86"/>
      <c r="D82" s="86" t="s">
        <v>135</v>
      </c>
      <c r="E82" s="86"/>
      <c r="F82" s="83">
        <v>14513</v>
      </c>
    </row>
    <row r="83" spans="1:6">
      <c r="A83" s="86"/>
      <c r="B83" s="86" t="s">
        <v>136</v>
      </c>
      <c r="C83" s="86"/>
      <c r="D83" s="86"/>
      <c r="E83" s="86"/>
      <c r="F83" s="83">
        <v>3615245</v>
      </c>
    </row>
    <row r="84" spans="1:6">
      <c r="A84" s="86"/>
      <c r="B84" s="86"/>
      <c r="C84" s="86" t="s">
        <v>137</v>
      </c>
      <c r="D84" s="86"/>
      <c r="E84" s="86"/>
      <c r="F84" s="83">
        <v>2574857</v>
      </c>
    </row>
    <row r="85" spans="1:6">
      <c r="A85" s="86"/>
      <c r="B85" s="86"/>
      <c r="C85" s="86"/>
      <c r="D85" s="86" t="s">
        <v>138</v>
      </c>
      <c r="E85" s="86"/>
      <c r="F85" s="83">
        <v>333040</v>
      </c>
    </row>
    <row r="86" spans="1:6">
      <c r="A86" s="86"/>
      <c r="B86" s="86"/>
      <c r="C86" s="86"/>
      <c r="D86" s="86" t="s">
        <v>139</v>
      </c>
      <c r="E86" s="86"/>
      <c r="F86" s="83">
        <v>2241817</v>
      </c>
    </row>
    <row r="87" spans="1:6">
      <c r="A87" s="86"/>
      <c r="B87" s="86"/>
      <c r="C87" s="86"/>
      <c r="D87" s="86"/>
      <c r="E87" s="86" t="s">
        <v>140</v>
      </c>
      <c r="F87" s="83">
        <v>1787347</v>
      </c>
    </row>
    <row r="88" spans="1:6">
      <c r="A88" s="86"/>
      <c r="B88" s="86"/>
      <c r="C88" s="86"/>
      <c r="D88" s="86"/>
      <c r="E88" s="86" t="s">
        <v>141</v>
      </c>
      <c r="F88" s="83">
        <v>170571</v>
      </c>
    </row>
    <row r="89" spans="1:6">
      <c r="A89" s="86"/>
      <c r="B89" s="86"/>
      <c r="C89" s="86"/>
      <c r="D89" s="86"/>
      <c r="E89" s="86" t="s">
        <v>142</v>
      </c>
      <c r="F89" s="83">
        <v>130627</v>
      </c>
    </row>
    <row r="90" spans="1:6">
      <c r="A90" s="86"/>
      <c r="B90" s="86"/>
      <c r="C90" s="86"/>
      <c r="D90" s="86"/>
      <c r="E90" s="86" t="s">
        <v>143</v>
      </c>
      <c r="F90" s="83">
        <v>74425</v>
      </c>
    </row>
    <row r="91" spans="1:6">
      <c r="A91" s="86"/>
      <c r="B91" s="86"/>
      <c r="C91" s="86"/>
      <c r="D91" s="86"/>
      <c r="E91" s="86" t="s">
        <v>144</v>
      </c>
      <c r="F91" s="83">
        <v>14941</v>
      </c>
    </row>
    <row r="92" spans="1:6">
      <c r="A92" s="86"/>
      <c r="B92" s="86"/>
      <c r="C92" s="86"/>
      <c r="D92" s="86"/>
      <c r="E92" s="86" t="s">
        <v>145</v>
      </c>
      <c r="F92" s="83">
        <v>7354</v>
      </c>
    </row>
    <row r="93" spans="1:6">
      <c r="A93" s="86"/>
      <c r="B93" s="86"/>
      <c r="C93" s="86"/>
      <c r="D93" s="86"/>
      <c r="E93" s="86" t="s">
        <v>146</v>
      </c>
      <c r="F93" s="83">
        <v>56552</v>
      </c>
    </row>
    <row r="94" spans="1:6">
      <c r="A94" s="86"/>
      <c r="B94" s="86"/>
      <c r="C94" s="86" t="s">
        <v>147</v>
      </c>
      <c r="D94" s="86"/>
      <c r="E94" s="86"/>
      <c r="F94" s="83">
        <v>55089</v>
      </c>
    </row>
    <row r="95" spans="1:6">
      <c r="A95" s="86"/>
      <c r="B95" s="86"/>
      <c r="C95" s="86"/>
      <c r="D95" s="86"/>
      <c r="E95" s="86" t="s">
        <v>148</v>
      </c>
      <c r="F95" s="83">
        <v>32795</v>
      </c>
    </row>
    <row r="96" spans="1:6">
      <c r="A96" s="86"/>
      <c r="B96" s="86"/>
      <c r="C96" s="86"/>
      <c r="D96" s="86"/>
      <c r="E96" s="86" t="s">
        <v>149</v>
      </c>
      <c r="F96" s="83">
        <v>14871</v>
      </c>
    </row>
    <row r="97" spans="1:6">
      <c r="A97" s="86"/>
      <c r="B97" s="86"/>
      <c r="C97" s="86"/>
      <c r="D97" s="86"/>
      <c r="E97" s="86" t="s">
        <v>150</v>
      </c>
      <c r="F97" s="83">
        <v>7061</v>
      </c>
    </row>
    <row r="98" spans="1:6">
      <c r="A98" s="86"/>
      <c r="B98" s="86"/>
      <c r="C98" s="86"/>
      <c r="D98" s="86"/>
      <c r="E98" s="86" t="s">
        <v>151</v>
      </c>
      <c r="F98" s="83">
        <v>362</v>
      </c>
    </row>
    <row r="99" spans="1:6">
      <c r="A99" s="86"/>
      <c r="B99" s="86"/>
      <c r="C99" s="86" t="s">
        <v>152</v>
      </c>
      <c r="D99" s="86"/>
      <c r="E99" s="86"/>
      <c r="F99" s="83">
        <v>389491</v>
      </c>
    </row>
    <row r="100" spans="1:6">
      <c r="A100" s="86"/>
      <c r="B100" s="86"/>
      <c r="C100" s="86"/>
      <c r="D100" s="86"/>
      <c r="E100" s="86" t="s">
        <v>153</v>
      </c>
      <c r="F100" s="83">
        <v>384960</v>
      </c>
    </row>
    <row r="101" spans="1:6">
      <c r="A101" s="86"/>
      <c r="B101" s="86"/>
      <c r="C101" s="86"/>
      <c r="D101" s="86"/>
      <c r="E101" s="86" t="s">
        <v>154</v>
      </c>
      <c r="F101" s="83">
        <v>4337</v>
      </c>
    </row>
    <row r="102" spans="1:6">
      <c r="A102" s="86"/>
      <c r="B102" s="86"/>
      <c r="C102" s="86"/>
      <c r="D102" s="86"/>
      <c r="E102" s="86" t="s">
        <v>155</v>
      </c>
      <c r="F102" s="83">
        <v>194</v>
      </c>
    </row>
    <row r="103" spans="1:6">
      <c r="A103" s="86"/>
      <c r="B103" s="86"/>
      <c r="C103" s="86" t="s">
        <v>156</v>
      </c>
      <c r="D103" s="86"/>
      <c r="E103" s="86"/>
      <c r="F103" s="83">
        <v>595808</v>
      </c>
    </row>
    <row r="104" spans="1:6">
      <c r="A104" s="86"/>
      <c r="B104" s="86"/>
      <c r="C104" s="86"/>
      <c r="D104" s="86" t="s">
        <v>157</v>
      </c>
      <c r="E104" s="86"/>
      <c r="F104" s="83">
        <v>14595</v>
      </c>
    </row>
    <row r="105" spans="1:6">
      <c r="A105" s="86"/>
      <c r="B105" s="86"/>
      <c r="C105" s="86"/>
      <c r="D105" s="86" t="s">
        <v>158</v>
      </c>
      <c r="E105" s="86"/>
      <c r="F105" s="83">
        <v>2042</v>
      </c>
    </row>
    <row r="106" spans="1:6">
      <c r="A106" s="86"/>
      <c r="B106" s="86"/>
      <c r="C106" s="86"/>
      <c r="D106" s="86" t="s">
        <v>159</v>
      </c>
      <c r="E106" s="86"/>
      <c r="F106" s="83">
        <v>1330</v>
      </c>
    </row>
    <row r="107" spans="1:6">
      <c r="A107" s="86"/>
      <c r="B107" s="86"/>
      <c r="C107" s="86"/>
      <c r="D107" s="86" t="s">
        <v>160</v>
      </c>
      <c r="E107" s="86"/>
      <c r="F107" s="83">
        <v>4632</v>
      </c>
    </row>
    <row r="108" spans="1:6">
      <c r="A108" s="86"/>
      <c r="B108" s="86"/>
      <c r="C108" s="86"/>
      <c r="D108" s="86" t="s">
        <v>161</v>
      </c>
      <c r="E108" s="86"/>
      <c r="F108" s="83">
        <v>131150</v>
      </c>
    </row>
    <row r="109" spans="1:6">
      <c r="A109" s="86"/>
      <c r="B109" s="86"/>
      <c r="C109" s="86"/>
      <c r="D109" s="86" t="s">
        <v>162</v>
      </c>
      <c r="E109" s="86"/>
      <c r="F109" s="83">
        <v>2237</v>
      </c>
    </row>
    <row r="110" spans="1:6">
      <c r="A110" s="86"/>
      <c r="B110" s="86"/>
      <c r="C110" s="86"/>
      <c r="D110" s="86" t="s">
        <v>163</v>
      </c>
      <c r="E110" s="86"/>
      <c r="F110" s="83">
        <v>14480</v>
      </c>
    </row>
    <row r="111" spans="1:6">
      <c r="A111" s="86"/>
      <c r="B111" s="86"/>
      <c r="C111" s="86"/>
      <c r="D111" s="86"/>
      <c r="E111" s="86" t="s">
        <v>164</v>
      </c>
      <c r="F111" s="83">
        <v>294</v>
      </c>
    </row>
    <row r="112" spans="1:6">
      <c r="A112" s="86"/>
      <c r="B112" s="86"/>
      <c r="C112" s="86"/>
      <c r="D112" s="86"/>
      <c r="E112" s="86" t="s">
        <v>165</v>
      </c>
      <c r="F112" s="83">
        <v>87</v>
      </c>
    </row>
    <row r="113" spans="1:6">
      <c r="A113" s="86"/>
      <c r="B113" s="86"/>
      <c r="C113" s="86"/>
      <c r="D113" s="86"/>
      <c r="E113" s="86" t="s">
        <v>166</v>
      </c>
      <c r="F113" s="83">
        <v>12228</v>
      </c>
    </row>
    <row r="114" spans="1:6">
      <c r="A114" s="86"/>
      <c r="B114" s="86"/>
      <c r="C114" s="86"/>
      <c r="D114" s="86"/>
      <c r="E114" s="86" t="s">
        <v>167</v>
      </c>
      <c r="F114" s="83">
        <v>45</v>
      </c>
    </row>
    <row r="115" spans="1:6">
      <c r="A115" s="86"/>
      <c r="B115" s="86"/>
      <c r="C115" s="86"/>
      <c r="D115" s="86"/>
      <c r="E115" s="86" t="s">
        <v>168</v>
      </c>
      <c r="F115" s="83">
        <v>1826</v>
      </c>
    </row>
    <row r="116" spans="1:6">
      <c r="A116" s="86"/>
      <c r="B116" s="86"/>
      <c r="C116" s="86"/>
      <c r="D116" s="86" t="s">
        <v>169</v>
      </c>
      <c r="E116" s="86"/>
      <c r="F116" s="83">
        <v>9536</v>
      </c>
    </row>
    <row r="117" spans="1:6">
      <c r="A117" s="86"/>
      <c r="B117" s="86"/>
      <c r="C117" s="86"/>
      <c r="D117" s="86"/>
      <c r="E117" s="86" t="s">
        <v>170</v>
      </c>
      <c r="F117" s="83">
        <v>270</v>
      </c>
    </row>
    <row r="118" spans="1:6">
      <c r="A118" s="86"/>
      <c r="B118" s="86"/>
      <c r="C118" s="86"/>
      <c r="D118" s="86"/>
      <c r="E118" s="86" t="s">
        <v>171</v>
      </c>
      <c r="F118" s="83">
        <v>647</v>
      </c>
    </row>
    <row r="119" spans="1:6">
      <c r="A119" s="86"/>
      <c r="B119" s="86"/>
      <c r="C119" s="86"/>
      <c r="D119" s="86"/>
      <c r="E119" s="86" t="s">
        <v>172</v>
      </c>
      <c r="F119" s="83">
        <v>245</v>
      </c>
    </row>
    <row r="120" spans="1:6">
      <c r="A120" s="86"/>
      <c r="B120" s="86"/>
      <c r="C120" s="86"/>
      <c r="D120" s="86"/>
      <c r="E120" s="86" t="s">
        <v>173</v>
      </c>
      <c r="F120" s="83">
        <v>8374</v>
      </c>
    </row>
    <row r="121" spans="1:6">
      <c r="A121" s="86"/>
      <c r="B121" s="86"/>
      <c r="C121" s="86"/>
      <c r="D121" s="86" t="s">
        <v>174</v>
      </c>
      <c r="E121" s="86"/>
      <c r="F121" s="83">
        <v>104827</v>
      </c>
    </row>
    <row r="122" spans="1:6">
      <c r="A122" s="86"/>
      <c r="B122" s="86"/>
      <c r="C122" s="86"/>
      <c r="D122" s="86"/>
      <c r="E122" s="86" t="s">
        <v>175</v>
      </c>
      <c r="F122" s="83">
        <v>10701</v>
      </c>
    </row>
    <row r="123" spans="1:6">
      <c r="A123" s="86"/>
      <c r="B123" s="86"/>
      <c r="C123" s="86"/>
      <c r="D123" s="86"/>
      <c r="E123" s="86" t="s">
        <v>176</v>
      </c>
      <c r="F123" s="83">
        <v>4153</v>
      </c>
    </row>
    <row r="124" spans="1:6">
      <c r="A124" s="86"/>
      <c r="B124" s="86"/>
      <c r="C124" s="86"/>
      <c r="D124" s="86"/>
      <c r="E124" s="86" t="s">
        <v>177</v>
      </c>
      <c r="F124" s="83">
        <v>12951</v>
      </c>
    </row>
    <row r="125" spans="1:6">
      <c r="A125" s="86"/>
      <c r="B125" s="86"/>
      <c r="C125" s="86"/>
      <c r="D125" s="86"/>
      <c r="E125" s="86" t="s">
        <v>178</v>
      </c>
      <c r="F125" s="83">
        <v>32595</v>
      </c>
    </row>
    <row r="126" spans="1:6">
      <c r="A126" s="86"/>
      <c r="B126" s="86"/>
      <c r="C126" s="86"/>
      <c r="D126" s="86"/>
      <c r="E126" s="86" t="s">
        <v>179</v>
      </c>
      <c r="F126" s="83">
        <v>44427</v>
      </c>
    </row>
    <row r="127" spans="1:6">
      <c r="A127" s="86"/>
      <c r="B127" s="86"/>
      <c r="C127" s="86"/>
      <c r="D127" s="86" t="s">
        <v>180</v>
      </c>
      <c r="E127" s="86"/>
      <c r="F127" s="83">
        <v>310979</v>
      </c>
    </row>
    <row r="128" spans="1:6">
      <c r="A128" s="86"/>
      <c r="B128" s="86" t="s">
        <v>181</v>
      </c>
      <c r="C128" s="86"/>
      <c r="D128" s="86"/>
      <c r="E128" s="86"/>
      <c r="F128" s="83">
        <v>105937</v>
      </c>
    </row>
    <row r="129" spans="1:6">
      <c r="A129" s="86"/>
      <c r="B129" s="86"/>
      <c r="C129" s="86" t="s">
        <v>182</v>
      </c>
      <c r="D129" s="86"/>
      <c r="E129" s="86"/>
      <c r="F129" s="83">
        <v>11800</v>
      </c>
    </row>
    <row r="130" spans="1:6">
      <c r="A130" s="86"/>
      <c r="B130" s="86"/>
      <c r="C130" s="86"/>
      <c r="D130" s="86"/>
      <c r="E130" s="86" t="s">
        <v>183</v>
      </c>
      <c r="F130" s="83">
        <v>11258</v>
      </c>
    </row>
    <row r="131" spans="1:6">
      <c r="A131" s="86"/>
      <c r="B131" s="86"/>
      <c r="C131" s="86"/>
      <c r="D131" s="86"/>
      <c r="E131" s="86" t="s">
        <v>184</v>
      </c>
      <c r="F131" s="83">
        <v>325</v>
      </c>
    </row>
    <row r="132" spans="1:6">
      <c r="A132" s="86"/>
      <c r="B132" s="86"/>
      <c r="C132" s="86"/>
      <c r="D132" s="86"/>
      <c r="E132" s="86" t="s">
        <v>185</v>
      </c>
      <c r="F132" s="83">
        <v>217</v>
      </c>
    </row>
    <row r="133" spans="1:6">
      <c r="A133" s="86"/>
      <c r="B133" s="86"/>
      <c r="C133" s="86" t="s">
        <v>186</v>
      </c>
      <c r="D133" s="86"/>
      <c r="E133" s="86"/>
      <c r="F133" s="83">
        <v>39781</v>
      </c>
    </row>
    <row r="134" spans="1:6">
      <c r="A134" s="86"/>
      <c r="B134" s="86"/>
      <c r="C134" s="86"/>
      <c r="D134" s="86"/>
      <c r="E134" s="86" t="s">
        <v>187</v>
      </c>
      <c r="F134" s="83">
        <v>549</v>
      </c>
    </row>
    <row r="135" spans="1:6">
      <c r="A135" s="86"/>
      <c r="B135" s="86"/>
      <c r="C135" s="86"/>
      <c r="D135" s="86"/>
      <c r="E135" s="86" t="s">
        <v>188</v>
      </c>
      <c r="F135" s="83">
        <v>395</v>
      </c>
    </row>
    <row r="136" spans="1:6">
      <c r="A136" s="86"/>
      <c r="B136" s="86"/>
      <c r="C136" s="86"/>
      <c r="D136" s="86"/>
      <c r="E136" s="86" t="s">
        <v>189</v>
      </c>
      <c r="F136" s="83">
        <v>38837</v>
      </c>
    </row>
    <row r="137" spans="1:6">
      <c r="A137" s="86"/>
      <c r="B137" s="86"/>
      <c r="C137" s="86" t="s">
        <v>190</v>
      </c>
      <c r="D137" s="86"/>
      <c r="E137" s="86"/>
      <c r="F137" s="83">
        <v>54356</v>
      </c>
    </row>
    <row r="138" spans="1:6">
      <c r="A138" s="86"/>
      <c r="B138" s="86"/>
      <c r="C138" s="86"/>
      <c r="D138" s="86" t="s">
        <v>191</v>
      </c>
      <c r="E138" s="86"/>
      <c r="F138" s="83">
        <v>23969</v>
      </c>
    </row>
    <row r="139" spans="1:6">
      <c r="A139" s="86"/>
      <c r="B139" s="86"/>
      <c r="C139" s="86"/>
      <c r="D139" s="86" t="s">
        <v>192</v>
      </c>
      <c r="E139" s="86"/>
      <c r="F139" s="83">
        <v>1031</v>
      </c>
    </row>
    <row r="140" spans="1:6">
      <c r="A140" s="86"/>
      <c r="B140" s="86"/>
      <c r="C140" s="86"/>
      <c r="D140" s="86" t="s">
        <v>193</v>
      </c>
      <c r="E140" s="86"/>
      <c r="F140" s="83">
        <v>2</v>
      </c>
    </row>
    <row r="141" spans="1:6">
      <c r="A141" s="86"/>
      <c r="B141" s="86"/>
      <c r="C141" s="86"/>
      <c r="D141" s="86" t="s">
        <v>194</v>
      </c>
      <c r="E141" s="86"/>
      <c r="F141" s="83">
        <v>3804</v>
      </c>
    </row>
    <row r="142" spans="1:6">
      <c r="A142" s="86"/>
      <c r="B142" s="86"/>
      <c r="C142" s="86"/>
      <c r="D142" s="86" t="s">
        <v>195</v>
      </c>
      <c r="E142" s="86"/>
      <c r="F142" s="83">
        <v>25550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topLeftCell="B2" workbookViewId="0">
      <selection activeCell="G7" sqref="G7"/>
    </sheetView>
  </sheetViews>
  <sheetFormatPr defaultColWidth="9" defaultRowHeight="12.75"/>
  <cols>
    <col min="1" max="4" width="9" style="8"/>
    <col min="5" max="5" width="8" style="8" customWidth="1"/>
    <col min="6" max="6" width="10.85546875" style="8" bestFit="1" customWidth="1"/>
    <col min="7" max="7" width="19.5703125" style="8" bestFit="1" customWidth="1"/>
    <col min="8" max="16384" width="9" style="8"/>
  </cols>
  <sheetData>
    <row r="1" spans="1:8" ht="17.25" customHeight="1">
      <c r="A1" s="213" t="s">
        <v>196</v>
      </c>
      <c r="B1" s="213"/>
      <c r="C1" s="213"/>
      <c r="D1" s="213"/>
      <c r="E1" s="213"/>
    </row>
    <row r="2" spans="1:8" ht="25.5">
      <c r="A2" s="218" t="s">
        <v>197</v>
      </c>
      <c r="B2" s="218" t="s">
        <v>198</v>
      </c>
      <c r="C2" s="218" t="s">
        <v>199</v>
      </c>
      <c r="D2" s="218" t="s">
        <v>200</v>
      </c>
      <c r="E2" s="87" t="s">
        <v>201</v>
      </c>
      <c r="F2" s="209" t="s">
        <v>202</v>
      </c>
      <c r="G2" s="210"/>
    </row>
    <row r="3" spans="1:8" ht="32.25" customHeight="1" thickBot="1">
      <c r="A3" s="219"/>
      <c r="B3" s="220"/>
      <c r="C3" s="220"/>
      <c r="D3" s="220"/>
      <c r="E3" s="88" t="s">
        <v>203</v>
      </c>
      <c r="F3" s="89" t="s">
        <v>204</v>
      </c>
      <c r="G3" s="90" t="s">
        <v>205</v>
      </c>
      <c r="H3" s="20" t="s">
        <v>206</v>
      </c>
    </row>
    <row r="4" spans="1:8" ht="13.5" thickTop="1">
      <c r="A4" s="214" t="s">
        <v>207</v>
      </c>
      <c r="B4" s="19" t="s">
        <v>208</v>
      </c>
      <c r="C4" s="11" t="s">
        <v>208</v>
      </c>
      <c r="D4" s="11" t="s">
        <v>208</v>
      </c>
      <c r="E4" s="11">
        <v>37</v>
      </c>
      <c r="F4" s="12"/>
      <c r="G4" s="13"/>
    </row>
    <row r="5" spans="1:8">
      <c r="A5" s="215" t="s">
        <v>207</v>
      </c>
      <c r="B5" s="211" t="s">
        <v>209</v>
      </c>
      <c r="C5" s="91" t="s">
        <v>208</v>
      </c>
      <c r="D5" s="91" t="s">
        <v>208</v>
      </c>
      <c r="E5" s="91">
        <v>34</v>
      </c>
      <c r="F5" s="92"/>
      <c r="G5" s="14"/>
    </row>
    <row r="6" spans="1:8">
      <c r="A6" s="215" t="s">
        <v>207</v>
      </c>
      <c r="B6" s="211" t="s">
        <v>209</v>
      </c>
      <c r="C6" s="216" t="s">
        <v>210</v>
      </c>
      <c r="D6" s="91" t="s">
        <v>208</v>
      </c>
      <c r="E6" s="91">
        <v>32</v>
      </c>
      <c r="F6" s="92"/>
      <c r="G6" s="14"/>
    </row>
    <row r="7" spans="1:8">
      <c r="A7" s="215" t="s">
        <v>207</v>
      </c>
      <c r="B7" s="211" t="s">
        <v>209</v>
      </c>
      <c r="C7" s="216" t="s">
        <v>210</v>
      </c>
      <c r="D7" s="91" t="s">
        <v>211</v>
      </c>
      <c r="E7" s="93">
        <v>24</v>
      </c>
      <c r="F7" s="94">
        <f>SUM('SYVbT_DV-Regis'!F8:F9,'SYVbT_DV-Regis'!F22:F23,'SYVbT_DV-Regis'!F19:F20,'SYVbT_DV-Regis'!F33:F34)</f>
        <v>1953614</v>
      </c>
      <c r="G7" s="14">
        <f>SUMPRODUCT(E7:E10,F7:F10)/SUM(F7:F10)</f>
        <v>31.656949268402244</v>
      </c>
    </row>
    <row r="8" spans="1:8">
      <c r="A8" s="215" t="s">
        <v>207</v>
      </c>
      <c r="B8" s="211" t="s">
        <v>209</v>
      </c>
      <c r="C8" s="216" t="s">
        <v>210</v>
      </c>
      <c r="D8" s="91" t="s">
        <v>212</v>
      </c>
      <c r="E8" s="93">
        <v>20</v>
      </c>
      <c r="F8" s="94">
        <f>SUM('SYVbT_DV-Regis'!F10,'SYVbT_DV-Regis'!F24,'SYVbT_DV-Regis'!F36)</f>
        <v>927382</v>
      </c>
      <c r="G8" s="14"/>
    </row>
    <row r="9" spans="1:8">
      <c r="A9" s="215" t="s">
        <v>207</v>
      </c>
      <c r="B9" s="211" t="s">
        <v>209</v>
      </c>
      <c r="C9" s="216" t="s">
        <v>210</v>
      </c>
      <c r="D9" s="91" t="s">
        <v>213</v>
      </c>
      <c r="E9" s="93">
        <v>33</v>
      </c>
      <c r="F9" s="94">
        <f>SUM('SYVbT_DV-Regis'!F11,'SYVbT_DV-Regis'!F25,'SYVbT_DV-Regis'!F37)</f>
        <v>7079224</v>
      </c>
      <c r="G9" s="14"/>
    </row>
    <row r="10" spans="1:8">
      <c r="A10" s="215" t="s">
        <v>207</v>
      </c>
      <c r="B10" s="211" t="s">
        <v>209</v>
      </c>
      <c r="C10" s="216" t="s">
        <v>210</v>
      </c>
      <c r="D10" s="91" t="s">
        <v>214</v>
      </c>
      <c r="E10" s="95">
        <v>36</v>
      </c>
      <c r="F10" s="94">
        <f>SUM('SYVbT_DV-Regis'!F12:F18,'SYVbT_DV-Regis'!F26:F32,'SYVbT_DV-Regis'!F38:F41)</f>
        <v>3744237</v>
      </c>
      <c r="G10" s="14"/>
    </row>
    <row r="11" spans="1:8">
      <c r="A11" s="215" t="s">
        <v>207</v>
      </c>
      <c r="B11" s="211" t="s">
        <v>209</v>
      </c>
      <c r="C11" s="216" t="s">
        <v>215</v>
      </c>
      <c r="D11" s="91" t="s">
        <v>208</v>
      </c>
      <c r="E11" s="91">
        <v>39</v>
      </c>
      <c r="F11" s="94"/>
      <c r="G11" s="14"/>
    </row>
    <row r="12" spans="1:8">
      <c r="A12" s="215" t="s">
        <v>207</v>
      </c>
      <c r="B12" s="211" t="s">
        <v>209</v>
      </c>
      <c r="C12" s="216" t="s">
        <v>215</v>
      </c>
      <c r="D12" s="91" t="s">
        <v>213</v>
      </c>
      <c r="E12" s="93">
        <v>39</v>
      </c>
      <c r="F12" s="94">
        <f>SUM('SYVbT_DV-Regis'!F45:F46,'SYVbT_DV-Regis'!F51:F52)</f>
        <v>3347573</v>
      </c>
      <c r="G12" s="14">
        <f>SUMPRODUCT(E12:E13,F12:F13)/SUM(F12:F13)</f>
        <v>38.679404556244336</v>
      </c>
    </row>
    <row r="13" spans="1:8">
      <c r="A13" s="215" t="s">
        <v>207</v>
      </c>
      <c r="B13" s="211" t="s">
        <v>209</v>
      </c>
      <c r="C13" s="216" t="s">
        <v>215</v>
      </c>
      <c r="D13" s="91" t="s">
        <v>214</v>
      </c>
      <c r="E13" s="95">
        <v>38</v>
      </c>
      <c r="F13" s="94">
        <f>SUM('SYVbT_DV-Regis'!F47:F50)</f>
        <v>1579643</v>
      </c>
      <c r="G13" s="14"/>
    </row>
    <row r="14" spans="1:8">
      <c r="A14" s="215" t="s">
        <v>207</v>
      </c>
      <c r="B14" s="211" t="s">
        <v>209</v>
      </c>
      <c r="C14" s="91" t="s">
        <v>216</v>
      </c>
      <c r="D14" s="91" t="s">
        <v>208</v>
      </c>
      <c r="E14" s="95">
        <v>38</v>
      </c>
      <c r="F14" s="94">
        <f>'SYVbT_DV-Regis'!F53</f>
        <v>1229282</v>
      </c>
      <c r="G14" s="14"/>
      <c r="H14" s="8" t="s">
        <v>217</v>
      </c>
    </row>
    <row r="15" spans="1:8">
      <c r="A15" s="215" t="s">
        <v>207</v>
      </c>
      <c r="B15" s="211" t="s">
        <v>218</v>
      </c>
      <c r="C15" s="91" t="s">
        <v>208</v>
      </c>
      <c r="D15" s="91" t="s">
        <v>208</v>
      </c>
      <c r="E15" s="91">
        <v>55</v>
      </c>
      <c r="F15" s="94"/>
      <c r="G15" s="14"/>
    </row>
    <row r="16" spans="1:8">
      <c r="A16" s="215" t="s">
        <v>207</v>
      </c>
      <c r="B16" s="211" t="s">
        <v>218</v>
      </c>
      <c r="C16" s="216" t="s">
        <v>210</v>
      </c>
      <c r="D16" s="91" t="s">
        <v>208</v>
      </c>
      <c r="E16" s="91">
        <v>56</v>
      </c>
      <c r="F16" s="94"/>
      <c r="G16" s="14"/>
    </row>
    <row r="17" spans="1:8">
      <c r="A17" s="215" t="s">
        <v>207</v>
      </c>
      <c r="B17" s="211" t="s">
        <v>218</v>
      </c>
      <c r="C17" s="216" t="s">
        <v>210</v>
      </c>
      <c r="D17" s="91" t="s">
        <v>212</v>
      </c>
      <c r="E17" s="93">
        <v>35</v>
      </c>
      <c r="F17" s="94">
        <f>SUM('SYVbT_DV-Regis'!F71)</f>
        <v>593704</v>
      </c>
      <c r="G17" s="14">
        <f>SUMPRODUCT(E17:E19,F17:F19)/SUM(F17:F19)</f>
        <v>58.493832929425466</v>
      </c>
    </row>
    <row r="18" spans="1:8">
      <c r="A18" s="215" t="s">
        <v>207</v>
      </c>
      <c r="B18" s="211" t="s">
        <v>218</v>
      </c>
      <c r="C18" s="216" t="s">
        <v>210</v>
      </c>
      <c r="D18" s="91" t="s">
        <v>213</v>
      </c>
      <c r="E18" s="93">
        <v>40</v>
      </c>
      <c r="F18" s="94">
        <f>SUM('SYVbT_DV-Regis'!F72:F73)</f>
        <v>26993</v>
      </c>
      <c r="G18" s="14"/>
    </row>
    <row r="19" spans="1:8">
      <c r="A19" s="215" t="s">
        <v>207</v>
      </c>
      <c r="B19" s="211" t="s">
        <v>218</v>
      </c>
      <c r="C19" s="216" t="s">
        <v>210</v>
      </c>
      <c r="D19" s="91" t="s">
        <v>214</v>
      </c>
      <c r="E19" s="95">
        <v>173</v>
      </c>
      <c r="F19" s="94">
        <f>SUM('SYVbT_DV-Regis'!F64:F67,'SYVbT_DV-Regis'!F74:F75)</f>
        <v>126173</v>
      </c>
      <c r="G19" s="14"/>
    </row>
    <row r="20" spans="1:8" ht="13.5" thickBot="1">
      <c r="A20" s="215" t="s">
        <v>207</v>
      </c>
      <c r="B20" s="212" t="s">
        <v>218</v>
      </c>
      <c r="C20" s="15" t="s">
        <v>219</v>
      </c>
      <c r="D20" s="15" t="s">
        <v>208</v>
      </c>
      <c r="E20" s="53">
        <v>25</v>
      </c>
      <c r="F20" s="16">
        <f>'SYVbT_DV-Regis'!F76</f>
        <v>36972</v>
      </c>
      <c r="G20" s="17"/>
      <c r="H20" s="8" t="s">
        <v>220</v>
      </c>
    </row>
    <row r="21" spans="1:8">
      <c r="A21" s="215" t="s">
        <v>207</v>
      </c>
      <c r="B21" s="217" t="s">
        <v>221</v>
      </c>
      <c r="C21" s="11" t="s">
        <v>208</v>
      </c>
      <c r="D21" s="11" t="s">
        <v>208</v>
      </c>
      <c r="E21" s="11">
        <v>49</v>
      </c>
      <c r="F21" s="18"/>
      <c r="G21" s="13"/>
    </row>
    <row r="22" spans="1:8">
      <c r="A22" s="215" t="s">
        <v>207</v>
      </c>
      <c r="B22" s="211" t="s">
        <v>221</v>
      </c>
      <c r="C22" s="216" t="s">
        <v>210</v>
      </c>
      <c r="D22" s="91" t="s">
        <v>208</v>
      </c>
      <c r="E22" s="91">
        <v>48</v>
      </c>
      <c r="F22" s="94"/>
      <c r="G22" s="14"/>
    </row>
    <row r="23" spans="1:8">
      <c r="A23" s="215" t="s">
        <v>207</v>
      </c>
      <c r="B23" s="211" t="s">
        <v>221</v>
      </c>
      <c r="C23" s="216" t="s">
        <v>210</v>
      </c>
      <c r="D23" s="91" t="s">
        <v>212</v>
      </c>
      <c r="E23" s="96">
        <v>39</v>
      </c>
      <c r="F23" s="94">
        <f>SUM('SYVbT_DV-Regis'!F85,'SYVbT_DV-Regis'!F87)</f>
        <v>2120387</v>
      </c>
      <c r="G23" s="14">
        <f>SUMPRODUCT(E23:E25,F23:F25)/SUM(F23:F25)</f>
        <v>45.882225304162525</v>
      </c>
    </row>
    <row r="24" spans="1:8">
      <c r="A24" s="215" t="s">
        <v>207</v>
      </c>
      <c r="B24" s="211" t="s">
        <v>221</v>
      </c>
      <c r="C24" s="216" t="s">
        <v>210</v>
      </c>
      <c r="D24" s="91" t="s">
        <v>213</v>
      </c>
      <c r="E24" s="96">
        <v>50</v>
      </c>
      <c r="F24" s="94">
        <f>SUM('SYVbT_DV-Regis'!F88:F89)</f>
        <v>301198</v>
      </c>
      <c r="G24" s="14"/>
    </row>
    <row r="25" spans="1:8">
      <c r="A25" s="215" t="s">
        <v>207</v>
      </c>
      <c r="B25" s="211" t="s">
        <v>221</v>
      </c>
      <c r="C25" s="216" t="s">
        <v>210</v>
      </c>
      <c r="D25" s="91" t="s">
        <v>214</v>
      </c>
      <c r="E25" s="97">
        <v>133</v>
      </c>
      <c r="F25" s="94">
        <f>SUM('SYVbT_DV-Regis'!F90:F93)</f>
        <v>153272</v>
      </c>
      <c r="G25" s="14"/>
    </row>
    <row r="26" spans="1:8">
      <c r="A26" s="215" t="s">
        <v>207</v>
      </c>
      <c r="B26" s="211" t="s">
        <v>221</v>
      </c>
      <c r="C26" s="216" t="s">
        <v>222</v>
      </c>
      <c r="D26" s="91" t="s">
        <v>208</v>
      </c>
      <c r="E26" s="91">
        <v>18</v>
      </c>
      <c r="F26" s="94"/>
      <c r="G26" s="14"/>
    </row>
    <row r="27" spans="1:8">
      <c r="A27" s="215" t="s">
        <v>207</v>
      </c>
      <c r="B27" s="211" t="s">
        <v>221</v>
      </c>
      <c r="C27" s="216" t="s">
        <v>222</v>
      </c>
      <c r="D27" s="91" t="s">
        <v>212</v>
      </c>
      <c r="E27" s="96">
        <v>21</v>
      </c>
      <c r="F27" s="94">
        <f>'SYVbT_DV-Regis'!F95</f>
        <v>32795</v>
      </c>
      <c r="G27" s="14">
        <f>SUMPRODUCT(E27:E29,F27:F29)/SUM(F27:F29)</f>
        <v>18.840893826353717</v>
      </c>
    </row>
    <row r="28" spans="1:8">
      <c r="A28" s="215" t="s">
        <v>207</v>
      </c>
      <c r="B28" s="211" t="s">
        <v>221</v>
      </c>
      <c r="C28" s="216" t="s">
        <v>222</v>
      </c>
      <c r="D28" s="91" t="s">
        <v>213</v>
      </c>
      <c r="E28" s="96">
        <v>14</v>
      </c>
      <c r="F28" s="94">
        <f>'SYVbT_DV-Regis'!F96</f>
        <v>14871</v>
      </c>
      <c r="G28" s="14"/>
    </row>
    <row r="29" spans="1:8">
      <c r="A29" s="215" t="s">
        <v>207</v>
      </c>
      <c r="B29" s="211" t="s">
        <v>221</v>
      </c>
      <c r="C29" s="216" t="s">
        <v>222</v>
      </c>
      <c r="D29" s="91" t="s">
        <v>214</v>
      </c>
      <c r="E29" s="97">
        <v>19</v>
      </c>
      <c r="F29" s="94">
        <f>SUM('SYVbT_DV-Regis'!F97:F98)</f>
        <v>7423</v>
      </c>
      <c r="G29" s="14"/>
    </row>
    <row r="30" spans="1:8">
      <c r="A30" s="215" t="s">
        <v>207</v>
      </c>
      <c r="B30" s="211" t="s">
        <v>221</v>
      </c>
      <c r="C30" s="216" t="s">
        <v>223</v>
      </c>
      <c r="D30" s="91" t="s">
        <v>208</v>
      </c>
      <c r="E30" s="91">
        <v>40</v>
      </c>
      <c r="F30" s="94"/>
      <c r="G30" s="14"/>
    </row>
    <row r="31" spans="1:8">
      <c r="A31" s="215" t="s">
        <v>207</v>
      </c>
      <c r="B31" s="211" t="s">
        <v>221</v>
      </c>
      <c r="C31" s="216" t="s">
        <v>223</v>
      </c>
      <c r="D31" s="91" t="s">
        <v>212</v>
      </c>
      <c r="E31" s="96">
        <v>41</v>
      </c>
      <c r="F31" s="94">
        <f>'SYVbT_DV-Regis'!F100</f>
        <v>384960</v>
      </c>
      <c r="G31" s="14">
        <f>SUMPRODUCT(E31:E32,F31:F32)/SUM(F31:F32)</f>
        <v>40.82550302831131</v>
      </c>
      <c r="H31" s="8" t="s">
        <v>224</v>
      </c>
    </row>
    <row r="32" spans="1:8">
      <c r="A32" s="215" t="s">
        <v>207</v>
      </c>
      <c r="B32" s="211" t="s">
        <v>221</v>
      </c>
      <c r="C32" s="216" t="s">
        <v>223</v>
      </c>
      <c r="D32" s="91" t="s">
        <v>213</v>
      </c>
      <c r="E32" s="96">
        <v>26</v>
      </c>
      <c r="F32" s="94">
        <f>SUM('SYVbT_DV-Regis'!F101:F102)</f>
        <v>4531</v>
      </c>
      <c r="G32" s="14"/>
    </row>
    <row r="33" spans="1:8">
      <c r="A33" s="215" t="s">
        <v>207</v>
      </c>
      <c r="B33" s="211" t="s">
        <v>221</v>
      </c>
      <c r="C33" s="91" t="s">
        <v>219</v>
      </c>
      <c r="D33" s="91" t="s">
        <v>208</v>
      </c>
      <c r="E33" s="98">
        <v>64</v>
      </c>
      <c r="F33" s="94">
        <f>'SYVbT_DV-Regis'!F103</f>
        <v>595808</v>
      </c>
      <c r="G33" s="14"/>
      <c r="H33" s="8" t="s">
        <v>225</v>
      </c>
    </row>
    <row r="34" spans="1:8">
      <c r="A34" s="215" t="s">
        <v>207</v>
      </c>
      <c r="B34" s="211" t="s">
        <v>226</v>
      </c>
      <c r="C34" s="91" t="s">
        <v>208</v>
      </c>
      <c r="D34" s="91" t="s">
        <v>208</v>
      </c>
      <c r="E34" s="91">
        <v>108</v>
      </c>
      <c r="F34" s="94"/>
      <c r="G34" s="14"/>
    </row>
    <row r="35" spans="1:8">
      <c r="A35" s="215" t="s">
        <v>207</v>
      </c>
      <c r="B35" s="211" t="s">
        <v>226</v>
      </c>
      <c r="C35" s="91" t="s">
        <v>227</v>
      </c>
      <c r="D35" s="91" t="s">
        <v>208</v>
      </c>
      <c r="E35" s="97">
        <v>220</v>
      </c>
      <c r="F35" s="94">
        <f>SUM('SYVbT_DV-Regis'!F133)</f>
        <v>39781</v>
      </c>
      <c r="G35" s="14"/>
      <c r="H35" s="8" t="s">
        <v>228</v>
      </c>
    </row>
    <row r="36" spans="1:8">
      <c r="A36" s="215" t="s">
        <v>207</v>
      </c>
      <c r="B36" s="211" t="s">
        <v>226</v>
      </c>
      <c r="C36" s="91" t="s">
        <v>229</v>
      </c>
      <c r="D36" s="91" t="s">
        <v>208</v>
      </c>
      <c r="E36" s="96">
        <v>61</v>
      </c>
      <c r="F36" s="94">
        <f>SUM('SYVbT_DV-Regis'!F129)</f>
        <v>11800</v>
      </c>
      <c r="G36" s="14"/>
      <c r="H36" s="8" t="s">
        <v>230</v>
      </c>
    </row>
    <row r="37" spans="1:8" ht="13.5" thickBot="1">
      <c r="A37" s="215" t="s">
        <v>207</v>
      </c>
      <c r="B37" s="212" t="s">
        <v>226</v>
      </c>
      <c r="C37" s="15" t="s">
        <v>231</v>
      </c>
      <c r="D37" s="15" t="s">
        <v>208</v>
      </c>
      <c r="E37" s="52">
        <v>28</v>
      </c>
      <c r="F37" s="16">
        <f>SUM('SYVbT_DV-Regis'!F137)</f>
        <v>54356</v>
      </c>
      <c r="G37" s="17"/>
      <c r="H37" s="8" t="s">
        <v>228</v>
      </c>
    </row>
    <row r="40" spans="1:8">
      <c r="B40" s="9"/>
      <c r="C40" s="9"/>
    </row>
    <row r="41" spans="1:8">
      <c r="B41" s="10"/>
      <c r="C41" s="10"/>
    </row>
  </sheetData>
  <mergeCells count="17"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opLeftCell="AI26" zoomScale="85" zoomScaleNormal="85" workbookViewId="0">
      <selection activeCell="T48" sqref="T48:AZ48"/>
    </sheetView>
  </sheetViews>
  <sheetFormatPr defaultColWidth="9" defaultRowHeight="15"/>
  <cols>
    <col min="1" max="1" width="15.5703125" style="4" customWidth="1"/>
    <col min="2" max="2" width="11" style="4" customWidth="1"/>
    <col min="3" max="3" width="9.7109375" style="4" customWidth="1"/>
    <col min="4" max="4" width="13.28515625" style="4" customWidth="1"/>
    <col min="5" max="5" width="9" style="4" customWidth="1"/>
    <col min="6" max="6" width="12.140625" style="4" customWidth="1"/>
    <col min="7" max="13" width="9" style="4" customWidth="1"/>
    <col min="14" max="15" width="9.85546875" style="4" bestFit="1" customWidth="1"/>
    <col min="16" max="16" width="9" style="4"/>
    <col min="17" max="17" width="9.5703125" style="4" bestFit="1" customWidth="1"/>
    <col min="18" max="20" width="9" style="4"/>
    <col min="21" max="21" width="13" style="4" bestFit="1" customWidth="1"/>
    <col min="22" max="22" width="13.140625" style="4" bestFit="1" customWidth="1"/>
    <col min="23" max="25" width="13" style="4" bestFit="1" customWidth="1"/>
    <col min="26" max="26" width="18.42578125" style="4" bestFit="1" customWidth="1"/>
    <col min="27" max="33" width="16" style="4" bestFit="1" customWidth="1"/>
    <col min="34" max="34" width="10.5703125" style="4" customWidth="1"/>
    <col min="35" max="42" width="16" style="4" bestFit="1" customWidth="1"/>
    <col min="43" max="43" width="13.42578125" style="4" bestFit="1" customWidth="1"/>
    <col min="44" max="52" width="16" style="4" bestFit="1" customWidth="1"/>
    <col min="53" max="16384" width="9" style="4"/>
  </cols>
  <sheetData>
    <row r="1" spans="1:34" ht="20.100000000000001" customHeight="1" thickBot="1">
      <c r="A1" s="225" t="s">
        <v>797</v>
      </c>
      <c r="B1" s="227" t="s">
        <v>798</v>
      </c>
      <c r="C1" s="227" t="s">
        <v>781</v>
      </c>
      <c r="D1" s="147" t="s">
        <v>795</v>
      </c>
      <c r="E1" s="99" t="s">
        <v>233</v>
      </c>
      <c r="F1" s="99" t="s">
        <v>234</v>
      </c>
      <c r="G1" s="99" t="s">
        <v>235</v>
      </c>
      <c r="H1" s="99" t="s">
        <v>236</v>
      </c>
      <c r="I1" s="99" t="s">
        <v>237</v>
      </c>
      <c r="J1" s="99" t="s">
        <v>238</v>
      </c>
      <c r="K1" s="99" t="s">
        <v>239</v>
      </c>
      <c r="L1" s="99" t="s">
        <v>240</v>
      </c>
      <c r="M1" s="99" t="s">
        <v>241</v>
      </c>
      <c r="R1" s="148" t="s">
        <v>779</v>
      </c>
      <c r="S1" s="148" t="s">
        <v>780</v>
      </c>
      <c r="T1" s="148" t="s">
        <v>781</v>
      </c>
      <c r="U1" s="148" t="s">
        <v>782</v>
      </c>
      <c r="V1" s="229" t="s">
        <v>831</v>
      </c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4" t="s">
        <v>830</v>
      </c>
    </row>
    <row r="2" spans="1:34" ht="20.100000000000001" customHeight="1">
      <c r="A2" s="226" t="s">
        <v>232</v>
      </c>
      <c r="B2" s="226" t="s">
        <v>198</v>
      </c>
      <c r="C2" s="226" t="s">
        <v>199</v>
      </c>
      <c r="D2" s="99" t="s">
        <v>795</v>
      </c>
      <c r="E2" s="99" t="s">
        <v>828</v>
      </c>
      <c r="F2" s="99" t="s">
        <v>828</v>
      </c>
      <c r="G2" s="99" t="s">
        <v>828</v>
      </c>
      <c r="H2" s="99" t="s">
        <v>828</v>
      </c>
      <c r="I2" s="99" t="s">
        <v>828</v>
      </c>
      <c r="J2" s="99" t="s">
        <v>828</v>
      </c>
      <c r="K2" s="99" t="s">
        <v>828</v>
      </c>
      <c r="L2" s="99" t="s">
        <v>828</v>
      </c>
      <c r="M2" s="99" t="s">
        <v>828</v>
      </c>
      <c r="N2" s="221" t="s">
        <v>829</v>
      </c>
      <c r="R2" s="148"/>
      <c r="S2" s="148"/>
      <c r="T2" s="148"/>
      <c r="U2" s="148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226" t="s">
        <v>232</v>
      </c>
      <c r="B3" s="226" t="s">
        <v>198</v>
      </c>
      <c r="C3" s="226" t="s">
        <v>199</v>
      </c>
      <c r="D3" s="99" t="s">
        <v>795</v>
      </c>
      <c r="E3" s="99" t="s">
        <v>827</v>
      </c>
      <c r="F3" s="99" t="s">
        <v>827</v>
      </c>
      <c r="G3" s="99" t="s">
        <v>827</v>
      </c>
      <c r="H3" s="99" t="s">
        <v>827</v>
      </c>
      <c r="I3" s="99" t="s">
        <v>827</v>
      </c>
      <c r="J3" s="99" t="s">
        <v>827</v>
      </c>
      <c r="K3" s="99" t="s">
        <v>827</v>
      </c>
      <c r="L3" s="99" t="s">
        <v>827</v>
      </c>
      <c r="M3" s="99" t="s">
        <v>827</v>
      </c>
      <c r="N3" s="221"/>
      <c r="R3" s="230" t="s">
        <v>207</v>
      </c>
      <c r="S3" s="137" t="s">
        <v>323</v>
      </c>
      <c r="T3" s="137"/>
      <c r="U3" s="137"/>
      <c r="V3" s="138">
        <v>279522620</v>
      </c>
      <c r="W3" s="138">
        <v>277420070</v>
      </c>
      <c r="X3" s="138">
        <v>290008712</v>
      </c>
      <c r="Y3" s="138">
        <v>298322891</v>
      </c>
      <c r="Z3" s="138">
        <v>311236234</v>
      </c>
      <c r="AA3" s="138">
        <v>319870540</v>
      </c>
      <c r="AB3" s="138">
        <v>327072636</v>
      </c>
      <c r="AC3" s="138">
        <v>329553922</v>
      </c>
      <c r="AD3" s="138">
        <v>332023789</v>
      </c>
      <c r="AE3" s="138">
        <v>356371963</v>
      </c>
      <c r="AF3" s="138">
        <v>335630469</v>
      </c>
      <c r="AG3" s="138">
        <v>335459843</v>
      </c>
      <c r="AH3" s="4">
        <f>(AG3/V3)^(1/COUNT(V3:AG3))-1</f>
        <v>1.5317718222495058E-2</v>
      </c>
    </row>
    <row r="4" spans="1:34" ht="20.100000000000001" customHeight="1">
      <c r="A4" s="51" t="s">
        <v>323</v>
      </c>
      <c r="B4" s="51" t="s">
        <v>323</v>
      </c>
      <c r="C4" s="51" t="s">
        <v>323</v>
      </c>
      <c r="D4" s="51" t="s">
        <v>323</v>
      </c>
      <c r="E4" s="100">
        <v>41</v>
      </c>
      <c r="F4" s="100">
        <v>39.700000000000003</v>
      </c>
      <c r="G4" s="100">
        <v>40.200000000000003</v>
      </c>
      <c r="H4" s="100">
        <v>39.799999999999997</v>
      </c>
      <c r="I4" s="100">
        <v>39.700000000000003</v>
      </c>
      <c r="J4" s="100">
        <v>39.5</v>
      </c>
      <c r="K4" s="100">
        <v>39.200000000000003</v>
      </c>
      <c r="L4" s="100">
        <v>38.5</v>
      </c>
      <c r="M4" s="100">
        <v>37.9</v>
      </c>
      <c r="R4" s="230" t="s">
        <v>207</v>
      </c>
      <c r="S4" s="230" t="s">
        <v>819</v>
      </c>
      <c r="T4" s="137" t="s">
        <v>323</v>
      </c>
      <c r="U4" s="137"/>
      <c r="V4" s="138">
        <v>196405681</v>
      </c>
      <c r="W4" s="138">
        <v>195120900</v>
      </c>
      <c r="X4" s="138">
        <v>205518897</v>
      </c>
      <c r="Y4" s="138">
        <v>212722011</v>
      </c>
      <c r="Z4" s="138">
        <v>224023930</v>
      </c>
      <c r="AA4" s="138">
        <v>231274268</v>
      </c>
      <c r="AB4" s="138">
        <v>239853756</v>
      </c>
      <c r="AC4" s="138">
        <v>242695454</v>
      </c>
      <c r="AD4" s="138">
        <v>246980201</v>
      </c>
      <c r="AE4" s="138">
        <v>273294902</v>
      </c>
      <c r="AF4" s="138">
        <v>249049553</v>
      </c>
      <c r="AG4" s="138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243</v>
      </c>
      <c r="B5" s="51" t="s">
        <v>799</v>
      </c>
      <c r="C5" s="51" t="s">
        <v>323</v>
      </c>
      <c r="D5" s="51" t="s">
        <v>323</v>
      </c>
      <c r="E5" s="100">
        <v>37.5</v>
      </c>
      <c r="F5" s="100">
        <v>36</v>
      </c>
      <c r="G5" s="100">
        <v>36.5</v>
      </c>
      <c r="H5" s="100">
        <v>36.1</v>
      </c>
      <c r="I5" s="100">
        <v>36.1</v>
      </c>
      <c r="J5" s="100">
        <v>35.799999999999997</v>
      </c>
      <c r="K5" s="100">
        <v>35.799999999999997</v>
      </c>
      <c r="L5" s="100">
        <v>35.1</v>
      </c>
      <c r="M5" s="100">
        <v>34.700000000000003</v>
      </c>
      <c r="R5" s="230" t="s">
        <v>207</v>
      </c>
      <c r="S5" s="230" t="s">
        <v>209</v>
      </c>
      <c r="T5" s="230" t="s">
        <v>787</v>
      </c>
      <c r="U5" s="137" t="s">
        <v>323</v>
      </c>
      <c r="V5" s="138">
        <v>144234076</v>
      </c>
      <c r="W5" s="138">
        <v>142204857</v>
      </c>
      <c r="X5" s="138">
        <v>149772888</v>
      </c>
      <c r="Y5" s="138">
        <v>153773499</v>
      </c>
      <c r="Z5" s="138">
        <v>158604609</v>
      </c>
      <c r="AA5" s="138">
        <v>162012522</v>
      </c>
      <c r="AB5" s="138">
        <v>165063203</v>
      </c>
      <c r="AC5" s="138">
        <v>163646581</v>
      </c>
      <c r="AD5" s="138">
        <v>161758068</v>
      </c>
      <c r="AE5" s="138">
        <v>177295830</v>
      </c>
      <c r="AF5" s="138">
        <v>156079591</v>
      </c>
      <c r="AG5" s="138">
        <v>154334440</v>
      </c>
      <c r="AH5" s="4">
        <f t="shared" si="0"/>
        <v>5.6563058643044339E-3</v>
      </c>
    </row>
    <row r="6" spans="1:34" ht="20.100000000000001" customHeight="1">
      <c r="A6" s="49" t="s">
        <v>243</v>
      </c>
      <c r="B6" s="49" t="s">
        <v>243</v>
      </c>
      <c r="C6" s="149" t="s">
        <v>796</v>
      </c>
      <c r="D6" s="51" t="s">
        <v>323</v>
      </c>
      <c r="E6" s="100">
        <v>36.1</v>
      </c>
      <c r="F6" s="100">
        <v>34.700000000000003</v>
      </c>
      <c r="G6" s="100">
        <v>35.4</v>
      </c>
      <c r="H6" s="100">
        <v>35.1</v>
      </c>
      <c r="I6" s="100">
        <v>34.799999999999997</v>
      </c>
      <c r="J6" s="100">
        <v>34.5</v>
      </c>
      <c r="K6" s="100">
        <v>34.299999999999997</v>
      </c>
      <c r="L6" s="100">
        <v>33.6</v>
      </c>
      <c r="M6" s="100">
        <v>32.700000000000003</v>
      </c>
      <c r="R6" s="230" t="s">
        <v>207</v>
      </c>
      <c r="S6" s="230" t="s">
        <v>209</v>
      </c>
      <c r="T6" s="230" t="s">
        <v>210</v>
      </c>
      <c r="U6" s="137" t="s">
        <v>783</v>
      </c>
      <c r="V6" s="139">
        <v>12348088</v>
      </c>
      <c r="W6" s="139">
        <v>12619516</v>
      </c>
      <c r="X6" s="139">
        <v>13395420</v>
      </c>
      <c r="Y6" s="139">
        <v>14675459</v>
      </c>
      <c r="Z6" s="139">
        <v>16056977</v>
      </c>
      <c r="AA6" s="139">
        <v>16145739</v>
      </c>
      <c r="AB6" s="139">
        <v>16270699</v>
      </c>
      <c r="AC6" s="139">
        <v>17604753</v>
      </c>
      <c r="AD6" s="139">
        <v>17453996</v>
      </c>
      <c r="AE6" s="139">
        <v>18937624</v>
      </c>
      <c r="AF6" s="139">
        <v>16378931</v>
      </c>
      <c r="AG6" s="139">
        <v>16276937</v>
      </c>
      <c r="AH6" s="4">
        <f t="shared" si="0"/>
        <v>2.3287684258518127E-2</v>
      </c>
    </row>
    <row r="7" spans="1:34" ht="20.100000000000001" customHeight="1">
      <c r="A7" s="49" t="s">
        <v>243</v>
      </c>
      <c r="B7" s="49" t="s">
        <v>243</v>
      </c>
      <c r="C7" s="49" t="s">
        <v>243</v>
      </c>
      <c r="D7" s="51" t="s">
        <v>784</v>
      </c>
      <c r="E7" s="101">
        <v>25.8</v>
      </c>
      <c r="F7" s="101">
        <v>24.5</v>
      </c>
      <c r="G7" s="101">
        <v>24.2</v>
      </c>
      <c r="H7" s="101">
        <v>24.7</v>
      </c>
      <c r="I7" s="101">
        <v>25.5</v>
      </c>
      <c r="J7" s="101">
        <v>24.4</v>
      </c>
      <c r="K7" s="101">
        <v>23.7</v>
      </c>
      <c r="L7" s="101">
        <v>25</v>
      </c>
      <c r="M7" s="101">
        <v>24.2</v>
      </c>
      <c r="N7" s="30">
        <f>'BAADTbVT_DV-km'!F7</f>
        <v>1953614</v>
      </c>
      <c r="O7" s="30">
        <f>SUM(N7:N9)</f>
        <v>9960220</v>
      </c>
      <c r="R7" s="230" t="s">
        <v>207</v>
      </c>
      <c r="S7" s="230" t="s">
        <v>209</v>
      </c>
      <c r="T7" s="230" t="s">
        <v>210</v>
      </c>
      <c r="U7" s="137" t="s">
        <v>784</v>
      </c>
      <c r="V7" s="139">
        <v>10623011</v>
      </c>
      <c r="W7" s="139">
        <v>8098668</v>
      </c>
      <c r="X7" s="139">
        <v>7041951</v>
      </c>
      <c r="Y7" s="139">
        <v>5751244</v>
      </c>
      <c r="Z7" s="139">
        <v>5004545</v>
      </c>
      <c r="AA7" s="139">
        <v>4162197</v>
      </c>
      <c r="AB7" s="139">
        <v>3542304</v>
      </c>
      <c r="AC7" s="139">
        <v>2972117</v>
      </c>
      <c r="AD7" s="139">
        <v>2538140</v>
      </c>
      <c r="AE7" s="139">
        <v>2668498</v>
      </c>
      <c r="AF7" s="139">
        <v>1913212</v>
      </c>
      <c r="AG7" s="139">
        <v>1655372</v>
      </c>
      <c r="AH7" s="4">
        <f t="shared" si="0"/>
        <v>-0.14351321895380431</v>
      </c>
    </row>
    <row r="8" spans="1:34" ht="20.100000000000001" customHeight="1">
      <c r="A8" s="49" t="s">
        <v>243</v>
      </c>
      <c r="B8" s="49" t="s">
        <v>243</v>
      </c>
      <c r="C8" s="49" t="s">
        <v>243</v>
      </c>
      <c r="D8" s="51" t="s">
        <v>784</v>
      </c>
      <c r="E8" s="101">
        <v>24.7</v>
      </c>
      <c r="F8" s="101">
        <v>22.6</v>
      </c>
      <c r="G8" s="101">
        <v>23.1</v>
      </c>
      <c r="H8" s="101">
        <v>22.3</v>
      </c>
      <c r="I8" s="101">
        <v>22.7</v>
      </c>
      <c r="J8" s="101">
        <v>22</v>
      </c>
      <c r="K8" s="101">
        <v>21.6</v>
      </c>
      <c r="L8" s="101">
        <v>20.6</v>
      </c>
      <c r="M8" s="101">
        <v>20</v>
      </c>
      <c r="N8" s="30">
        <f>'BAADTbVT_DV-km'!F8</f>
        <v>927382</v>
      </c>
      <c r="O8" s="30"/>
      <c r="R8" s="230" t="s">
        <v>207</v>
      </c>
      <c r="S8" s="230" t="s">
        <v>209</v>
      </c>
      <c r="T8" s="230" t="s">
        <v>210</v>
      </c>
      <c r="U8" s="137" t="s">
        <v>785</v>
      </c>
      <c r="V8" s="139">
        <v>87673971</v>
      </c>
      <c r="W8" s="139">
        <v>87314819</v>
      </c>
      <c r="X8" s="139">
        <v>92337218</v>
      </c>
      <c r="Y8" s="139">
        <v>94487907</v>
      </c>
      <c r="Z8" s="139">
        <v>95272787</v>
      </c>
      <c r="AA8" s="139">
        <v>97122109</v>
      </c>
      <c r="AB8" s="139">
        <v>98302117</v>
      </c>
      <c r="AC8" s="139">
        <v>96591294</v>
      </c>
      <c r="AD8" s="139">
        <v>93395076</v>
      </c>
      <c r="AE8" s="139">
        <v>100839839</v>
      </c>
      <c r="AF8" s="139">
        <v>89337661</v>
      </c>
      <c r="AG8" s="139">
        <v>88690849</v>
      </c>
      <c r="AH8" s="4">
        <f t="shared" si="0"/>
        <v>9.6143326268527396E-4</v>
      </c>
    </row>
    <row r="9" spans="1:34" ht="20.100000000000001" customHeight="1">
      <c r="A9" s="49" t="s">
        <v>243</v>
      </c>
      <c r="B9" s="49" t="s">
        <v>243</v>
      </c>
      <c r="C9" s="49" t="s">
        <v>243</v>
      </c>
      <c r="D9" s="51" t="s">
        <v>785</v>
      </c>
      <c r="E9" s="101">
        <v>38.200000000000003</v>
      </c>
      <c r="F9" s="101">
        <v>36.700000000000003</v>
      </c>
      <c r="G9" s="101">
        <v>37.5</v>
      </c>
      <c r="H9" s="101">
        <v>37.1</v>
      </c>
      <c r="I9" s="101">
        <v>36.1</v>
      </c>
      <c r="J9" s="101">
        <v>35.9</v>
      </c>
      <c r="K9" s="101">
        <v>35.9</v>
      </c>
      <c r="L9" s="101">
        <v>35.1</v>
      </c>
      <c r="M9" s="101">
        <v>33.799999999999997</v>
      </c>
      <c r="N9" s="30">
        <f>'BAADTbVT_DV-km'!F9</f>
        <v>7079224</v>
      </c>
      <c r="O9" s="30"/>
      <c r="R9" s="230" t="s">
        <v>207</v>
      </c>
      <c r="S9" s="230" t="s">
        <v>209</v>
      </c>
      <c r="T9" s="230" t="s">
        <v>210</v>
      </c>
      <c r="U9" s="137" t="s">
        <v>786</v>
      </c>
      <c r="V9" s="139">
        <v>33589006</v>
      </c>
      <c r="W9" s="139">
        <v>34171853</v>
      </c>
      <c r="X9" s="139">
        <v>36998299</v>
      </c>
      <c r="Y9" s="139">
        <v>38858889</v>
      </c>
      <c r="Z9" s="139">
        <v>42270299</v>
      </c>
      <c r="AA9" s="139">
        <v>44582475</v>
      </c>
      <c r="AB9" s="139">
        <v>46948084</v>
      </c>
      <c r="AC9" s="139">
        <v>46478417</v>
      </c>
      <c r="AD9" s="139">
        <v>48370856</v>
      </c>
      <c r="AE9" s="139">
        <v>54849869</v>
      </c>
      <c r="AF9" s="139">
        <v>48449788</v>
      </c>
      <c r="AG9" s="139">
        <v>47711283</v>
      </c>
      <c r="AH9" s="4">
        <f t="shared" si="0"/>
        <v>2.9679331347456595E-2</v>
      </c>
    </row>
    <row r="10" spans="1:34" ht="20.100000000000001" customHeight="1">
      <c r="A10" s="49" t="s">
        <v>243</v>
      </c>
      <c r="B10" s="49" t="s">
        <v>243</v>
      </c>
      <c r="C10" s="49" t="s">
        <v>243</v>
      </c>
      <c r="D10" s="51" t="s">
        <v>786</v>
      </c>
      <c r="E10" s="102">
        <v>42.7</v>
      </c>
      <c r="F10" s="102">
        <v>40.299999999999997</v>
      </c>
      <c r="G10" s="102">
        <v>40.6</v>
      </c>
      <c r="H10" s="102">
        <v>39.5</v>
      </c>
      <c r="I10" s="102">
        <v>39.700000000000003</v>
      </c>
      <c r="J10" s="102">
        <v>38.9</v>
      </c>
      <c r="K10" s="102">
        <v>38.700000000000003</v>
      </c>
      <c r="L10" s="102">
        <v>36.6</v>
      </c>
      <c r="M10" s="102">
        <v>36.200000000000003</v>
      </c>
      <c r="N10" s="30">
        <f>'BAADTbVT_DV-km'!F10</f>
        <v>3744237</v>
      </c>
      <c r="O10" s="30">
        <f>N10</f>
        <v>3744237</v>
      </c>
      <c r="R10" s="230" t="s">
        <v>207</v>
      </c>
      <c r="S10" s="230" t="s">
        <v>209</v>
      </c>
      <c r="T10" s="230" t="s">
        <v>788</v>
      </c>
      <c r="U10" s="137" t="s">
        <v>323</v>
      </c>
      <c r="V10" s="138">
        <v>38586519</v>
      </c>
      <c r="W10" s="138">
        <v>40375396</v>
      </c>
      <c r="X10" s="138">
        <v>44084729</v>
      </c>
      <c r="Y10" s="138">
        <v>47377467</v>
      </c>
      <c r="Z10" s="138">
        <v>53066646</v>
      </c>
      <c r="AA10" s="138">
        <v>56186364</v>
      </c>
      <c r="AB10" s="138">
        <v>61233566</v>
      </c>
      <c r="AC10" s="138">
        <v>64124524</v>
      </c>
      <c r="AD10" s="138">
        <v>67780430</v>
      </c>
      <c r="AE10" s="138">
        <v>75674412</v>
      </c>
      <c r="AF10" s="138">
        <v>73320449</v>
      </c>
      <c r="AG10" s="138">
        <v>77369200</v>
      </c>
      <c r="AH10" s="4">
        <f t="shared" si="0"/>
        <v>5.9687249363133521E-2</v>
      </c>
    </row>
    <row r="11" spans="1:34" ht="20.100000000000001" customHeight="1">
      <c r="A11" s="49" t="s">
        <v>243</v>
      </c>
      <c r="B11" s="49" t="s">
        <v>243</v>
      </c>
      <c r="C11" s="149" t="s">
        <v>802</v>
      </c>
      <c r="D11" s="51" t="s">
        <v>784</v>
      </c>
      <c r="E11" s="100">
        <v>42.5</v>
      </c>
      <c r="F11" s="100">
        <v>40.9</v>
      </c>
      <c r="G11" s="100">
        <v>40.799999999999997</v>
      </c>
      <c r="H11" s="100">
        <v>39.9</v>
      </c>
      <c r="I11" s="100">
        <v>40.4</v>
      </c>
      <c r="J11" s="100">
        <v>40</v>
      </c>
      <c r="K11" s="100">
        <v>39.9</v>
      </c>
      <c r="L11" s="100">
        <v>39.1</v>
      </c>
      <c r="M11" s="100">
        <v>39.299999999999997</v>
      </c>
      <c r="N11" s="30"/>
      <c r="O11" s="30"/>
      <c r="R11" s="230" t="s">
        <v>207</v>
      </c>
      <c r="S11" s="230" t="s">
        <v>209</v>
      </c>
      <c r="T11" s="230" t="s">
        <v>215</v>
      </c>
      <c r="U11" s="137" t="s">
        <v>785</v>
      </c>
      <c r="V11" s="139">
        <v>21678728</v>
      </c>
      <c r="W11" s="139">
        <v>23775414</v>
      </c>
      <c r="X11" s="139">
        <v>27416045</v>
      </c>
      <c r="Y11" s="139">
        <v>30241896</v>
      </c>
      <c r="Z11" s="139">
        <v>35179354</v>
      </c>
      <c r="AA11" s="139">
        <v>37847636</v>
      </c>
      <c r="AB11" s="139">
        <v>42189170</v>
      </c>
      <c r="AC11" s="139">
        <v>44538327</v>
      </c>
      <c r="AD11" s="139">
        <v>47840800</v>
      </c>
      <c r="AE11" s="139">
        <v>50621401</v>
      </c>
      <c r="AF11" s="139">
        <v>49164957</v>
      </c>
      <c r="AG11" s="139">
        <v>52097664</v>
      </c>
      <c r="AH11" s="4">
        <f t="shared" si="0"/>
        <v>7.5801233347525976E-2</v>
      </c>
    </row>
    <row r="12" spans="1:34" ht="20.100000000000001" customHeight="1">
      <c r="A12" s="49" t="s">
        <v>243</v>
      </c>
      <c r="B12" s="49" t="s">
        <v>243</v>
      </c>
      <c r="C12" s="49" t="s">
        <v>243</v>
      </c>
      <c r="D12" s="51" t="s">
        <v>785</v>
      </c>
      <c r="E12" s="101">
        <v>42.4</v>
      </c>
      <c r="F12" s="101">
        <v>40.4</v>
      </c>
      <c r="G12" s="101">
        <v>40.700000000000003</v>
      </c>
      <c r="H12" s="101">
        <v>39.6</v>
      </c>
      <c r="I12" s="101">
        <v>40.6</v>
      </c>
      <c r="J12" s="101">
        <v>40.200000000000003</v>
      </c>
      <c r="K12" s="101">
        <v>40.299999999999997</v>
      </c>
      <c r="L12" s="101">
        <v>39.200000000000003</v>
      </c>
      <c r="M12" s="101">
        <v>39.799999999999997</v>
      </c>
      <c r="N12" s="30">
        <f>'BAADTbVT_DV-km'!F12</f>
        <v>3347573</v>
      </c>
      <c r="O12" s="30">
        <f>N12</f>
        <v>3347573</v>
      </c>
      <c r="R12" s="230" t="s">
        <v>207</v>
      </c>
      <c r="S12" s="230" t="s">
        <v>209</v>
      </c>
      <c r="T12" s="230" t="s">
        <v>215</v>
      </c>
      <c r="U12" s="137" t="s">
        <v>786</v>
      </c>
      <c r="V12" s="139">
        <v>16907791</v>
      </c>
      <c r="W12" s="139">
        <v>16599983</v>
      </c>
      <c r="X12" s="139">
        <v>16668684</v>
      </c>
      <c r="Y12" s="139">
        <v>17135571</v>
      </c>
      <c r="Z12" s="139">
        <v>17887292</v>
      </c>
      <c r="AA12" s="139">
        <v>18338728</v>
      </c>
      <c r="AB12" s="139">
        <v>19044396</v>
      </c>
      <c r="AC12" s="139">
        <v>19586197</v>
      </c>
      <c r="AD12" s="139">
        <v>19939630</v>
      </c>
      <c r="AE12" s="139">
        <v>25053011</v>
      </c>
      <c r="AF12" s="139">
        <v>24155492</v>
      </c>
      <c r="AG12" s="139">
        <v>25271536</v>
      </c>
      <c r="AH12" s="4">
        <f t="shared" si="0"/>
        <v>3.4059186857813284E-2</v>
      </c>
    </row>
    <row r="13" spans="1:34" ht="20.100000000000001" customHeight="1">
      <c r="A13" s="49" t="s">
        <v>243</v>
      </c>
      <c r="B13" s="49" t="s">
        <v>243</v>
      </c>
      <c r="C13" s="49" t="s">
        <v>243</v>
      </c>
      <c r="D13" s="51" t="s">
        <v>786</v>
      </c>
      <c r="E13" s="102">
        <v>42.7</v>
      </c>
      <c r="F13" s="102">
        <v>41.6</v>
      </c>
      <c r="G13" s="102">
        <v>40.799999999999997</v>
      </c>
      <c r="H13" s="102">
        <v>40.4</v>
      </c>
      <c r="I13" s="102">
        <v>39.9</v>
      </c>
      <c r="J13" s="102">
        <v>39.700000000000003</v>
      </c>
      <c r="K13" s="102">
        <v>39</v>
      </c>
      <c r="L13" s="102">
        <v>38.9</v>
      </c>
      <c r="M13" s="102">
        <v>38.1</v>
      </c>
      <c r="N13" s="30">
        <f>'BAADTbVT_DV-km'!F13</f>
        <v>1579643</v>
      </c>
      <c r="O13" s="30">
        <f>SUM(N13:N14)</f>
        <v>2808925</v>
      </c>
      <c r="R13" s="230" t="s">
        <v>207</v>
      </c>
      <c r="S13" s="230" t="s">
        <v>209</v>
      </c>
      <c r="T13" s="137" t="s">
        <v>330</v>
      </c>
      <c r="U13" s="137" t="s">
        <v>323</v>
      </c>
      <c r="V13" s="138">
        <v>13585086</v>
      </c>
      <c r="W13" s="138">
        <v>12540647</v>
      </c>
      <c r="X13" s="138">
        <v>11661280</v>
      </c>
      <c r="Y13" s="138">
        <v>11571045</v>
      </c>
      <c r="Z13" s="138">
        <v>12352675</v>
      </c>
      <c r="AA13" s="138">
        <v>13075381</v>
      </c>
      <c r="AB13" s="138">
        <v>13556987</v>
      </c>
      <c r="AC13" s="138">
        <v>14924349</v>
      </c>
      <c r="AD13" s="138">
        <v>17441704</v>
      </c>
      <c r="AE13" s="138">
        <v>20324659</v>
      </c>
      <c r="AF13" s="138">
        <v>19649513</v>
      </c>
      <c r="AG13" s="138">
        <v>21221332</v>
      </c>
      <c r="AH13" s="4">
        <f t="shared" si="0"/>
        <v>3.786895315167782E-2</v>
      </c>
    </row>
    <row r="14" spans="1:34" ht="20.100000000000001" customHeight="1">
      <c r="A14" s="49" t="s">
        <v>243</v>
      </c>
      <c r="B14" s="49" t="s">
        <v>243</v>
      </c>
      <c r="C14" s="51" t="s">
        <v>330</v>
      </c>
      <c r="D14" s="51" t="s">
        <v>323</v>
      </c>
      <c r="E14" s="102">
        <v>39.799999999999997</v>
      </c>
      <c r="F14" s="102">
        <v>38.1</v>
      </c>
      <c r="G14" s="102">
        <v>36.9</v>
      </c>
      <c r="H14" s="102">
        <v>36.299999999999997</v>
      </c>
      <c r="I14" s="102">
        <v>36.6</v>
      </c>
      <c r="J14" s="102">
        <v>36.6</v>
      </c>
      <c r="K14" s="102">
        <v>37.200000000000003</v>
      </c>
      <c r="L14" s="102">
        <v>37.700000000000003</v>
      </c>
      <c r="M14" s="102">
        <v>38.6</v>
      </c>
      <c r="N14" s="30">
        <f>'BAADTbVT_DV-km'!F14</f>
        <v>1229282</v>
      </c>
      <c r="O14" s="30"/>
      <c r="R14" s="230" t="s">
        <v>207</v>
      </c>
      <c r="S14" s="230" t="s">
        <v>789</v>
      </c>
      <c r="T14" s="137" t="s">
        <v>323</v>
      </c>
      <c r="U14" s="137"/>
      <c r="V14" s="138">
        <v>20738233</v>
      </c>
      <c r="W14" s="138">
        <v>19600278</v>
      </c>
      <c r="X14" s="138">
        <v>20736159</v>
      </c>
      <c r="Y14" s="138">
        <v>19817825</v>
      </c>
      <c r="Z14" s="138">
        <v>19857080</v>
      </c>
      <c r="AA14" s="138">
        <v>19318379</v>
      </c>
      <c r="AB14" s="138">
        <v>18645489</v>
      </c>
      <c r="AC14" s="138">
        <v>17904372</v>
      </c>
      <c r="AD14" s="138">
        <v>16065637</v>
      </c>
      <c r="AE14" s="138">
        <v>13797082</v>
      </c>
      <c r="AF14" s="138">
        <v>14132168</v>
      </c>
      <c r="AG14" s="138">
        <v>14029164</v>
      </c>
      <c r="AH14" s="4">
        <f t="shared" si="0"/>
        <v>-3.2045365489573041E-2</v>
      </c>
    </row>
    <row r="15" spans="1:34" ht="20.100000000000001" customHeight="1">
      <c r="A15" s="49" t="s">
        <v>243</v>
      </c>
      <c r="B15" s="51" t="s">
        <v>800</v>
      </c>
      <c r="C15" s="51" t="s">
        <v>323</v>
      </c>
      <c r="D15" s="51" t="s">
        <v>784</v>
      </c>
      <c r="E15" s="100">
        <v>56.7</v>
      </c>
      <c r="F15" s="100">
        <v>54.6</v>
      </c>
      <c r="G15" s="100">
        <v>59.2</v>
      </c>
      <c r="H15" s="100">
        <v>57.9</v>
      </c>
      <c r="I15" s="100">
        <v>59.9</v>
      </c>
      <c r="J15" s="100">
        <v>60.1</v>
      </c>
      <c r="K15" s="100">
        <v>59.8</v>
      </c>
      <c r="L15" s="100">
        <v>59.2</v>
      </c>
      <c r="M15" s="100">
        <v>55.1</v>
      </c>
      <c r="N15" s="30"/>
      <c r="O15" s="30"/>
      <c r="R15" s="230" t="s">
        <v>207</v>
      </c>
      <c r="S15" s="230" t="s">
        <v>218</v>
      </c>
      <c r="T15" s="230" t="s">
        <v>787</v>
      </c>
      <c r="U15" s="137" t="s">
        <v>323</v>
      </c>
      <c r="V15" s="138">
        <v>20495430</v>
      </c>
      <c r="W15" s="138">
        <v>19342905</v>
      </c>
      <c r="X15" s="138">
        <v>20448102</v>
      </c>
      <c r="Y15" s="138">
        <v>19499698</v>
      </c>
      <c r="Z15" s="138">
        <v>19505341</v>
      </c>
      <c r="AA15" s="138">
        <v>18954472</v>
      </c>
      <c r="AB15" s="138">
        <v>18293460</v>
      </c>
      <c r="AC15" s="138">
        <v>17564562</v>
      </c>
      <c r="AD15" s="138">
        <v>15733219</v>
      </c>
      <c r="AE15" s="138">
        <v>13483615</v>
      </c>
      <c r="AF15" s="138">
        <v>13772124</v>
      </c>
      <c r="AG15" s="138">
        <v>13637869</v>
      </c>
      <c r="AH15" s="4">
        <f t="shared" si="0"/>
        <v>-3.3376260904269262E-2</v>
      </c>
    </row>
    <row r="16" spans="1:34" ht="20.100000000000001" customHeight="1">
      <c r="A16" s="49" t="s">
        <v>243</v>
      </c>
      <c r="B16" s="49" t="s">
        <v>243</v>
      </c>
      <c r="C16" s="51" t="s">
        <v>803</v>
      </c>
      <c r="D16" s="51" t="s">
        <v>785</v>
      </c>
      <c r="E16" s="100">
        <v>57</v>
      </c>
      <c r="F16" s="100">
        <v>54.8</v>
      </c>
      <c r="G16" s="100">
        <v>59.5</v>
      </c>
      <c r="H16" s="100">
        <v>58.2</v>
      </c>
      <c r="I16" s="100">
        <v>60.3</v>
      </c>
      <c r="J16" s="100">
        <v>60.8</v>
      </c>
      <c r="K16" s="100">
        <v>60.7</v>
      </c>
      <c r="L16" s="100">
        <v>60.5</v>
      </c>
      <c r="M16" s="100">
        <v>56.5</v>
      </c>
      <c r="N16" s="30"/>
      <c r="O16" s="30"/>
      <c r="R16" s="230" t="s">
        <v>207</v>
      </c>
      <c r="S16" s="230" t="s">
        <v>218</v>
      </c>
      <c r="T16" s="230" t="s">
        <v>210</v>
      </c>
      <c r="U16" s="137" t="s">
        <v>784</v>
      </c>
      <c r="V16" s="140">
        <v>1537080</v>
      </c>
      <c r="W16" s="140">
        <v>1218499</v>
      </c>
      <c r="X16" s="140">
        <v>1241912</v>
      </c>
      <c r="Y16" s="140">
        <v>1045907</v>
      </c>
      <c r="Z16" s="140">
        <v>1027616</v>
      </c>
      <c r="AA16" s="140">
        <v>880050</v>
      </c>
      <c r="AB16" s="140">
        <v>842503</v>
      </c>
      <c r="AC16" s="140">
        <v>730917</v>
      </c>
      <c r="AD16" s="140">
        <v>717631</v>
      </c>
      <c r="AE16" s="140">
        <v>641623</v>
      </c>
      <c r="AF16" s="140">
        <v>611351</v>
      </c>
      <c r="AG16" s="140">
        <v>544728</v>
      </c>
      <c r="AH16" s="4">
        <f t="shared" si="0"/>
        <v>-8.2815016591837542E-2</v>
      </c>
    </row>
    <row r="17" spans="1:34" ht="20.100000000000001" customHeight="1">
      <c r="A17" s="49" t="s">
        <v>243</v>
      </c>
      <c r="B17" s="49" t="s">
        <v>243</v>
      </c>
      <c r="C17" s="49"/>
      <c r="D17" s="51" t="s">
        <v>786</v>
      </c>
      <c r="E17" s="101">
        <v>40.4</v>
      </c>
      <c r="F17" s="101">
        <v>35.299999999999997</v>
      </c>
      <c r="G17" s="101">
        <v>39.299999999999997</v>
      </c>
      <c r="H17" s="101">
        <v>36</v>
      </c>
      <c r="I17" s="101">
        <v>38.299999999999997</v>
      </c>
      <c r="J17" s="101">
        <v>35.700000000000003</v>
      </c>
      <c r="K17" s="101">
        <v>36.4</v>
      </c>
      <c r="L17" s="101">
        <v>34</v>
      </c>
      <c r="M17" s="101">
        <v>35</v>
      </c>
      <c r="N17" s="30">
        <f>'BAADTbVT_DV-km'!F17</f>
        <v>593704</v>
      </c>
      <c r="O17" s="30">
        <f>SUM(N17:N18)</f>
        <v>620697</v>
      </c>
      <c r="R17" s="230" t="s">
        <v>207</v>
      </c>
      <c r="S17" s="230" t="s">
        <v>218</v>
      </c>
      <c r="T17" s="230" t="s">
        <v>210</v>
      </c>
      <c r="U17" s="137" t="s">
        <v>785</v>
      </c>
      <c r="V17" s="140">
        <v>12765077</v>
      </c>
      <c r="W17" s="140">
        <v>11958995</v>
      </c>
      <c r="X17" s="140">
        <v>12866449</v>
      </c>
      <c r="Y17" s="140">
        <v>11952866</v>
      </c>
      <c r="Z17" s="140">
        <v>11776838</v>
      </c>
      <c r="AA17" s="140">
        <v>11233280</v>
      </c>
      <c r="AB17" s="140">
        <v>10654212</v>
      </c>
      <c r="AC17" s="140">
        <v>10144964</v>
      </c>
      <c r="AD17" s="140">
        <v>8980031</v>
      </c>
      <c r="AE17" s="140">
        <v>7866903</v>
      </c>
      <c r="AF17" s="140">
        <v>8128231</v>
      </c>
      <c r="AG17" s="140">
        <v>7500693</v>
      </c>
      <c r="AH17" s="4">
        <f t="shared" si="0"/>
        <v>-4.3342466248520672E-2</v>
      </c>
    </row>
    <row r="18" spans="1:34" ht="20.100000000000001" customHeight="1">
      <c r="A18" s="49" t="s">
        <v>243</v>
      </c>
      <c r="B18" s="49" t="s">
        <v>243</v>
      </c>
      <c r="C18" s="49" t="s">
        <v>243</v>
      </c>
      <c r="D18" s="51" t="s">
        <v>323</v>
      </c>
      <c r="E18" s="101">
        <v>43.9</v>
      </c>
      <c r="F18" s="101">
        <v>41.7</v>
      </c>
      <c r="G18" s="101">
        <v>46.1</v>
      </c>
      <c r="H18" s="101">
        <v>44</v>
      </c>
      <c r="I18" s="101">
        <v>45</v>
      </c>
      <c r="J18" s="101">
        <v>44.5</v>
      </c>
      <c r="K18" s="101">
        <v>43.9</v>
      </c>
      <c r="L18" s="101">
        <v>43.4</v>
      </c>
      <c r="M18" s="101">
        <v>40.200000000000003</v>
      </c>
      <c r="N18" s="30">
        <f>'BAADTbVT_DV-km'!F18</f>
        <v>26993</v>
      </c>
      <c r="O18" s="30"/>
      <c r="R18" s="230" t="s">
        <v>207</v>
      </c>
      <c r="S18" s="230" t="s">
        <v>218</v>
      </c>
      <c r="T18" s="230" t="s">
        <v>210</v>
      </c>
      <c r="U18" s="137" t="s">
        <v>786</v>
      </c>
      <c r="V18" s="140">
        <v>6193273</v>
      </c>
      <c r="W18" s="140">
        <v>6165410</v>
      </c>
      <c r="X18" s="140">
        <v>6339741</v>
      </c>
      <c r="Y18" s="140">
        <v>6500925</v>
      </c>
      <c r="Z18" s="140">
        <v>6700887</v>
      </c>
      <c r="AA18" s="140">
        <v>6841141</v>
      </c>
      <c r="AB18" s="140">
        <v>6796745</v>
      </c>
      <c r="AC18" s="140">
        <v>6688681</v>
      </c>
      <c r="AD18" s="140">
        <v>6035557</v>
      </c>
      <c r="AE18" s="140">
        <v>4975089</v>
      </c>
      <c r="AF18" s="140">
        <v>5032542</v>
      </c>
      <c r="AG18" s="140">
        <v>5592448</v>
      </c>
      <c r="AH18" s="4">
        <f t="shared" si="0"/>
        <v>-8.4678265071237435E-3</v>
      </c>
    </row>
    <row r="19" spans="1:34" ht="20.100000000000001" customHeight="1">
      <c r="A19" s="49" t="s">
        <v>243</v>
      </c>
      <c r="B19" s="49" t="s">
        <v>243</v>
      </c>
      <c r="C19" s="49" t="s">
        <v>243</v>
      </c>
      <c r="D19" s="51" t="s">
        <v>784</v>
      </c>
      <c r="E19" s="102">
        <v>201</v>
      </c>
      <c r="F19" s="102">
        <v>194.8</v>
      </c>
      <c r="G19" s="102">
        <v>193.1</v>
      </c>
      <c r="H19" s="102">
        <v>191.1</v>
      </c>
      <c r="I19" s="102">
        <v>193.1</v>
      </c>
      <c r="J19" s="102">
        <v>195</v>
      </c>
      <c r="K19" s="102">
        <v>193.3</v>
      </c>
      <c r="L19" s="102">
        <v>191.4</v>
      </c>
      <c r="M19" s="102">
        <v>173.9</v>
      </c>
      <c r="N19" s="30">
        <f>'BAADTbVT_DV-km'!F19</f>
        <v>126173</v>
      </c>
      <c r="O19" s="30">
        <f>SUM(N19:N20)</f>
        <v>163145</v>
      </c>
      <c r="R19" s="230" t="s">
        <v>207</v>
      </c>
      <c r="S19" s="230" t="s">
        <v>218</v>
      </c>
      <c r="T19" s="137" t="s">
        <v>788</v>
      </c>
      <c r="U19" s="137" t="s">
        <v>323</v>
      </c>
      <c r="V19" s="140">
        <v>242803</v>
      </c>
      <c r="W19" s="140">
        <v>257373</v>
      </c>
      <c r="X19" s="140">
        <v>288057</v>
      </c>
      <c r="Y19" s="140">
        <v>318127</v>
      </c>
      <c r="Z19" s="140">
        <v>351739</v>
      </c>
      <c r="AA19" s="140">
        <v>363907</v>
      </c>
      <c r="AB19" s="140">
        <v>352029</v>
      </c>
      <c r="AC19" s="140">
        <v>339810</v>
      </c>
      <c r="AD19" s="140">
        <v>332418</v>
      </c>
      <c r="AE19" s="140">
        <v>313467</v>
      </c>
      <c r="AF19" s="140">
        <v>360044</v>
      </c>
      <c r="AG19" s="140">
        <v>391295</v>
      </c>
      <c r="AH19" s="4">
        <f t="shared" si="0"/>
        <v>4.0568929688704625E-2</v>
      </c>
    </row>
    <row r="20" spans="1:34" ht="20.100000000000001" customHeight="1">
      <c r="A20" s="49" t="s">
        <v>243</v>
      </c>
      <c r="B20" s="49" t="s">
        <v>243</v>
      </c>
      <c r="C20" s="51" t="s">
        <v>804</v>
      </c>
      <c r="D20" s="51" t="s">
        <v>785</v>
      </c>
      <c r="E20" s="102">
        <v>42.4</v>
      </c>
      <c r="F20" s="102">
        <v>42.3</v>
      </c>
      <c r="G20" s="102">
        <v>43.1</v>
      </c>
      <c r="H20" s="102">
        <v>43.3</v>
      </c>
      <c r="I20" s="102">
        <v>42.7</v>
      </c>
      <c r="J20" s="102">
        <v>39.1</v>
      </c>
      <c r="K20" s="102">
        <v>33.1</v>
      </c>
      <c r="L20" s="102">
        <v>28.2</v>
      </c>
      <c r="M20" s="102">
        <v>25.2</v>
      </c>
      <c r="N20" s="30">
        <f>'BAADTbVT_DV-km'!F20</f>
        <v>36972</v>
      </c>
      <c r="O20" s="30"/>
      <c r="R20" s="230" t="s">
        <v>207</v>
      </c>
      <c r="S20" s="230" t="s">
        <v>790</v>
      </c>
      <c r="U20" s="137"/>
      <c r="V20" s="138">
        <v>59323777</v>
      </c>
      <c r="W20" s="138">
        <v>59586892</v>
      </c>
      <c r="X20" s="138">
        <v>60472558</v>
      </c>
      <c r="Y20" s="138">
        <v>62371335</v>
      </c>
      <c r="Z20" s="138">
        <v>63689270</v>
      </c>
      <c r="AA20" s="138">
        <v>65374340</v>
      </c>
      <c r="AB20" s="138">
        <v>64652723</v>
      </c>
      <c r="AC20" s="138">
        <v>64973932</v>
      </c>
      <c r="AD20" s="138">
        <v>65018813</v>
      </c>
      <c r="AE20" s="138">
        <v>65047326</v>
      </c>
      <c r="AF20" s="138">
        <v>68125917</v>
      </c>
      <c r="AG20" s="138">
        <v>64181226</v>
      </c>
      <c r="AH20" s="4">
        <f t="shared" si="0"/>
        <v>6.5799325257638319E-3</v>
      </c>
    </row>
    <row r="21" spans="1:34" ht="20.100000000000001" customHeight="1">
      <c r="A21" s="49" t="s">
        <v>243</v>
      </c>
      <c r="B21" s="51" t="s">
        <v>790</v>
      </c>
      <c r="C21" s="51" t="s">
        <v>323</v>
      </c>
      <c r="D21" s="51" t="s">
        <v>786</v>
      </c>
      <c r="E21" s="100">
        <v>50.2</v>
      </c>
      <c r="F21" s="100">
        <v>49.9</v>
      </c>
      <c r="G21" s="100">
        <v>49.8</v>
      </c>
      <c r="H21" s="100">
        <v>50.3</v>
      </c>
      <c r="I21" s="100">
        <v>50.2</v>
      </c>
      <c r="J21" s="100">
        <v>50.9</v>
      </c>
      <c r="K21" s="100">
        <v>49.7</v>
      </c>
      <c r="L21" s="100">
        <v>49.4</v>
      </c>
      <c r="M21" s="100">
        <v>49.4</v>
      </c>
      <c r="N21" s="30"/>
      <c r="O21" s="30"/>
      <c r="R21" s="230" t="s">
        <v>207</v>
      </c>
      <c r="S21" s="230" t="s">
        <v>221</v>
      </c>
      <c r="T21" s="230" t="s">
        <v>787</v>
      </c>
      <c r="U21" s="137" t="s">
        <v>323</v>
      </c>
      <c r="V21" s="138">
        <v>42624707</v>
      </c>
      <c r="W21" s="138">
        <v>42875461</v>
      </c>
      <c r="X21" s="138">
        <v>43554553</v>
      </c>
      <c r="Y21" s="138">
        <v>45349046</v>
      </c>
      <c r="Z21" s="138">
        <v>45841789</v>
      </c>
      <c r="AA21" s="138">
        <v>47399695</v>
      </c>
      <c r="AB21" s="138">
        <v>46796448</v>
      </c>
      <c r="AC21" s="138">
        <v>44912306</v>
      </c>
      <c r="AD21" s="138">
        <v>45038225</v>
      </c>
      <c r="AE21" s="138">
        <v>46627307</v>
      </c>
      <c r="AF21" s="138">
        <v>47192923</v>
      </c>
      <c r="AG21" s="138">
        <v>45421622</v>
      </c>
      <c r="AH21" s="4">
        <f t="shared" si="0"/>
        <v>5.3102316896584956E-3</v>
      </c>
    </row>
    <row r="22" spans="1:34" ht="20.100000000000001" customHeight="1">
      <c r="A22" s="49" t="s">
        <v>243</v>
      </c>
      <c r="B22" s="49" t="s">
        <v>243</v>
      </c>
      <c r="C22" s="51" t="s">
        <v>803</v>
      </c>
      <c r="D22" s="51" t="s">
        <v>323</v>
      </c>
      <c r="E22" s="100">
        <v>52.7</v>
      </c>
      <c r="F22" s="100">
        <v>52.3</v>
      </c>
      <c r="G22" s="100">
        <v>51.8</v>
      </c>
      <c r="H22" s="100">
        <v>52.5</v>
      </c>
      <c r="I22" s="100">
        <v>51.7</v>
      </c>
      <c r="J22" s="100">
        <v>52.6</v>
      </c>
      <c r="K22" s="100">
        <v>51.1</v>
      </c>
      <c r="L22" s="100">
        <v>48.3</v>
      </c>
      <c r="M22" s="100">
        <v>48.1</v>
      </c>
      <c r="N22" s="30"/>
      <c r="O22" s="30"/>
      <c r="R22" s="230" t="s">
        <v>207</v>
      </c>
      <c r="S22" s="230" t="s">
        <v>221</v>
      </c>
      <c r="T22" s="230" t="s">
        <v>210</v>
      </c>
      <c r="U22" s="137" t="s">
        <v>784</v>
      </c>
      <c r="V22" s="141">
        <v>24561995</v>
      </c>
      <c r="W22" s="141">
        <v>25136372</v>
      </c>
      <c r="X22" s="141">
        <v>25832045</v>
      </c>
      <c r="Y22" s="141">
        <v>27341597</v>
      </c>
      <c r="Z22" s="141">
        <v>27894196</v>
      </c>
      <c r="AA22" s="141">
        <v>29234415</v>
      </c>
      <c r="AB22" s="141">
        <v>29351912</v>
      </c>
      <c r="AC22" s="141">
        <v>28332591</v>
      </c>
      <c r="AD22" s="141">
        <v>28600525</v>
      </c>
      <c r="AE22" s="141">
        <v>30122120</v>
      </c>
      <c r="AF22" s="141">
        <v>30816989</v>
      </c>
      <c r="AG22" s="141">
        <v>28936686</v>
      </c>
      <c r="AH22" s="4">
        <f t="shared" si="0"/>
        <v>1.3752868483151603E-2</v>
      </c>
    </row>
    <row r="23" spans="1:34" ht="20.100000000000001" customHeight="1">
      <c r="A23" s="49" t="s">
        <v>243</v>
      </c>
      <c r="B23" s="49" t="s">
        <v>243</v>
      </c>
      <c r="C23" s="49" t="s">
        <v>243</v>
      </c>
      <c r="D23" s="51" t="s">
        <v>784</v>
      </c>
      <c r="E23" s="103">
        <v>43.7</v>
      </c>
      <c r="F23" s="103">
        <v>43.6</v>
      </c>
      <c r="G23" s="103">
        <v>43.2</v>
      </c>
      <c r="H23" s="103">
        <v>43.9</v>
      </c>
      <c r="I23" s="103">
        <v>43</v>
      </c>
      <c r="J23" s="103">
        <v>43.7</v>
      </c>
      <c r="K23" s="103">
        <v>42.6</v>
      </c>
      <c r="L23" s="103">
        <v>39.700000000000003</v>
      </c>
      <c r="M23" s="103">
        <v>39.200000000000003</v>
      </c>
      <c r="N23" s="30">
        <f>'BAADTbVT_DV-km'!F23</f>
        <v>2120387</v>
      </c>
      <c r="O23" s="30">
        <f>SUM(N23:N24)</f>
        <v>2421585</v>
      </c>
      <c r="R23" s="230" t="s">
        <v>207</v>
      </c>
      <c r="S23" s="230" t="s">
        <v>221</v>
      </c>
      <c r="T23" s="230" t="s">
        <v>210</v>
      </c>
      <c r="U23" s="137" t="s">
        <v>785</v>
      </c>
      <c r="V23" s="141">
        <v>9783723</v>
      </c>
      <c r="W23" s="141">
        <v>9308598</v>
      </c>
      <c r="X23" s="141">
        <v>8926124</v>
      </c>
      <c r="Y23" s="141">
        <v>8893382</v>
      </c>
      <c r="Z23" s="141">
        <v>8617056</v>
      </c>
      <c r="AA23" s="141">
        <v>8300131</v>
      </c>
      <c r="AB23" s="141">
        <v>7547996</v>
      </c>
      <c r="AC23" s="141">
        <v>6712613</v>
      </c>
      <c r="AD23" s="141">
        <v>6750838</v>
      </c>
      <c r="AE23" s="141">
        <v>6392232</v>
      </c>
      <c r="AF23" s="141">
        <v>6311866</v>
      </c>
      <c r="AG23" s="141">
        <v>6149557</v>
      </c>
      <c r="AH23" s="4">
        <f t="shared" si="0"/>
        <v>-3.7955915336251311E-2</v>
      </c>
    </row>
    <row r="24" spans="1:34" ht="20.100000000000001" customHeight="1">
      <c r="A24" s="49" t="s">
        <v>243</v>
      </c>
      <c r="B24" s="49" t="s">
        <v>243</v>
      </c>
      <c r="C24" s="49" t="s">
        <v>243</v>
      </c>
      <c r="D24" s="51" t="s">
        <v>785</v>
      </c>
      <c r="E24" s="103">
        <v>53.3</v>
      </c>
      <c r="F24" s="103">
        <v>51.8</v>
      </c>
      <c r="G24" s="103">
        <v>50.5</v>
      </c>
      <c r="H24" s="103">
        <v>51.4</v>
      </c>
      <c r="I24" s="103">
        <v>51.3</v>
      </c>
      <c r="J24" s="103">
        <v>51.7</v>
      </c>
      <c r="K24" s="103">
        <v>49.3</v>
      </c>
      <c r="L24" s="103">
        <v>46.5</v>
      </c>
      <c r="M24" s="103">
        <v>50.6</v>
      </c>
      <c r="N24" s="30">
        <f>'BAADTbVT_DV-km'!F24</f>
        <v>301198</v>
      </c>
      <c r="O24" s="30"/>
      <c r="R24" s="230" t="s">
        <v>207</v>
      </c>
      <c r="S24" s="230" t="s">
        <v>221</v>
      </c>
      <c r="T24" s="230" t="s">
        <v>210</v>
      </c>
      <c r="U24" s="137" t="s">
        <v>786</v>
      </c>
      <c r="V24" s="142">
        <v>8278988</v>
      </c>
      <c r="W24" s="142">
        <v>8430491</v>
      </c>
      <c r="X24" s="142">
        <v>8796384</v>
      </c>
      <c r="Y24" s="142">
        <v>9114066</v>
      </c>
      <c r="Z24" s="142">
        <v>9330537</v>
      </c>
      <c r="AA24" s="142">
        <v>9865148</v>
      </c>
      <c r="AB24" s="142">
        <v>9896539</v>
      </c>
      <c r="AC24" s="142">
        <v>9867102</v>
      </c>
      <c r="AD24" s="142">
        <v>9686862</v>
      </c>
      <c r="AE24" s="142">
        <v>10112955</v>
      </c>
      <c r="AF24" s="142">
        <v>10064069</v>
      </c>
      <c r="AG24" s="142">
        <v>10335379</v>
      </c>
      <c r="AH24" s="4">
        <f t="shared" si="0"/>
        <v>1.8659632256605052E-2</v>
      </c>
    </row>
    <row r="25" spans="1:34" ht="20.100000000000001" customHeight="1">
      <c r="A25" s="49" t="s">
        <v>243</v>
      </c>
      <c r="B25" s="49" t="s">
        <v>243</v>
      </c>
      <c r="C25" s="49" t="s">
        <v>243</v>
      </c>
      <c r="D25" s="51" t="s">
        <v>786</v>
      </c>
      <c r="E25" s="104">
        <v>130.9</v>
      </c>
      <c r="F25" s="104">
        <v>131</v>
      </c>
      <c r="G25" s="104">
        <v>133</v>
      </c>
      <c r="H25" s="104">
        <v>134.4</v>
      </c>
      <c r="I25" s="104">
        <v>134.5</v>
      </c>
      <c r="J25" s="104">
        <v>137.9</v>
      </c>
      <c r="K25" s="104">
        <v>135.69999999999999</v>
      </c>
      <c r="L25" s="104">
        <v>134.80000000000001</v>
      </c>
      <c r="M25" s="104">
        <v>133.1</v>
      </c>
      <c r="N25" s="30">
        <f>'BAADTbVT_DV-km'!F25</f>
        <v>153272</v>
      </c>
      <c r="O25" s="30">
        <f>N25</f>
        <v>153272</v>
      </c>
      <c r="R25" s="230" t="s">
        <v>207</v>
      </c>
      <c r="S25" s="230" t="s">
        <v>221</v>
      </c>
      <c r="T25" s="230" t="s">
        <v>794</v>
      </c>
      <c r="U25" s="137" t="s">
        <v>323</v>
      </c>
      <c r="V25" s="138">
        <v>355600</v>
      </c>
      <c r="W25" s="138">
        <v>350790</v>
      </c>
      <c r="X25" s="138">
        <v>349807</v>
      </c>
      <c r="Y25" s="138">
        <v>353691</v>
      </c>
      <c r="Z25" s="138">
        <v>367605</v>
      </c>
      <c r="AA25" s="138">
        <v>378248</v>
      </c>
      <c r="AB25" s="138">
        <v>376751</v>
      </c>
      <c r="AC25" s="138">
        <v>373440</v>
      </c>
      <c r="AD25" s="138">
        <v>374965</v>
      </c>
      <c r="AE25" s="138">
        <v>388079</v>
      </c>
      <c r="AF25" s="138">
        <v>368544</v>
      </c>
      <c r="AG25" s="138">
        <v>338210</v>
      </c>
      <c r="AH25" s="4">
        <f t="shared" si="0"/>
        <v>-4.1695746935809241E-3</v>
      </c>
    </row>
    <row r="26" spans="1:34" ht="20.100000000000001" customHeight="1">
      <c r="A26" s="49" t="s">
        <v>243</v>
      </c>
      <c r="B26" s="49" t="s">
        <v>243</v>
      </c>
      <c r="C26" s="51" t="s">
        <v>805</v>
      </c>
      <c r="D26" s="51" t="s">
        <v>323</v>
      </c>
      <c r="E26" s="100">
        <v>20.399999999999999</v>
      </c>
      <c r="F26" s="100">
        <v>19.8</v>
      </c>
      <c r="G26" s="100">
        <v>19.3</v>
      </c>
      <c r="H26" s="100">
        <v>19.100000000000001</v>
      </c>
      <c r="I26" s="100">
        <v>19.3</v>
      </c>
      <c r="J26" s="100">
        <v>19.399999999999999</v>
      </c>
      <c r="K26" s="100">
        <v>19</v>
      </c>
      <c r="L26" s="100">
        <v>18.5</v>
      </c>
      <c r="M26" s="100">
        <v>18.600000000000001</v>
      </c>
      <c r="N26" s="30"/>
      <c r="O26" s="30"/>
      <c r="R26" s="230" t="s">
        <v>207</v>
      </c>
      <c r="S26" s="230" t="s">
        <v>221</v>
      </c>
      <c r="T26" s="230" t="s">
        <v>222</v>
      </c>
      <c r="U26" s="137" t="s">
        <v>784</v>
      </c>
      <c r="V26" s="141">
        <v>119552</v>
      </c>
      <c r="W26" s="141">
        <v>131475</v>
      </c>
      <c r="X26" s="141">
        <v>143670</v>
      </c>
      <c r="Y26" s="141">
        <v>155424</v>
      </c>
      <c r="Z26" s="141">
        <v>169127</v>
      </c>
      <c r="AA26" s="141">
        <v>181003</v>
      </c>
      <c r="AB26" s="141">
        <v>193176</v>
      </c>
      <c r="AC26" s="141">
        <v>199040</v>
      </c>
      <c r="AD26" s="141">
        <v>206142</v>
      </c>
      <c r="AE26" s="141">
        <v>218172</v>
      </c>
      <c r="AF26" s="141">
        <v>211922</v>
      </c>
      <c r="AG26" s="141">
        <v>205355</v>
      </c>
      <c r="AH26" s="4">
        <f t="shared" si="0"/>
        <v>4.6114053157867207E-2</v>
      </c>
    </row>
    <row r="27" spans="1:34" ht="20.100000000000001" customHeight="1">
      <c r="A27" s="49" t="s">
        <v>243</v>
      </c>
      <c r="B27" s="49" t="s">
        <v>243</v>
      </c>
      <c r="C27" s="49" t="s">
        <v>243</v>
      </c>
      <c r="D27" s="51" t="s">
        <v>784</v>
      </c>
      <c r="E27" s="103">
        <v>19.899999999999999</v>
      </c>
      <c r="F27" s="103">
        <v>20.399999999999999</v>
      </c>
      <c r="G27" s="103">
        <v>20.9</v>
      </c>
      <c r="H27" s="103">
        <v>21</v>
      </c>
      <c r="I27" s="103">
        <v>21.3</v>
      </c>
      <c r="J27" s="103">
        <v>21.4</v>
      </c>
      <c r="K27" s="103">
        <v>21.7</v>
      </c>
      <c r="L27" s="103">
        <v>21.3</v>
      </c>
      <c r="M27" s="103">
        <v>21.4</v>
      </c>
      <c r="N27" s="30">
        <f>'BAADTbVT_DV-km'!F27</f>
        <v>32795</v>
      </c>
      <c r="O27" s="30">
        <f>SUM(N27:N28)</f>
        <v>47666</v>
      </c>
      <c r="R27" s="230" t="s">
        <v>207</v>
      </c>
      <c r="S27" s="230" t="s">
        <v>221</v>
      </c>
      <c r="T27" s="230" t="s">
        <v>222</v>
      </c>
      <c r="U27" s="137" t="s">
        <v>785</v>
      </c>
      <c r="V27" s="141">
        <v>172929</v>
      </c>
      <c r="W27" s="141">
        <v>160739</v>
      </c>
      <c r="X27" s="141">
        <v>148898</v>
      </c>
      <c r="Y27" s="141">
        <v>140335</v>
      </c>
      <c r="Z27" s="141">
        <v>136775</v>
      </c>
      <c r="AA27" s="141">
        <v>131813</v>
      </c>
      <c r="AB27" s="141">
        <v>120701</v>
      </c>
      <c r="AC27" s="141">
        <v>112016</v>
      </c>
      <c r="AD27" s="141">
        <v>104923</v>
      </c>
      <c r="AE27" s="141">
        <v>100432</v>
      </c>
      <c r="AF27" s="141">
        <v>91749</v>
      </c>
      <c r="AG27" s="141">
        <v>75648</v>
      </c>
      <c r="AH27" s="4">
        <f t="shared" si="0"/>
        <v>-6.6579212771151863E-2</v>
      </c>
    </row>
    <row r="28" spans="1:34" ht="20.100000000000001" customHeight="1">
      <c r="A28" s="49" t="s">
        <v>243</v>
      </c>
      <c r="B28" s="49" t="s">
        <v>243</v>
      </c>
      <c r="C28" s="49" t="s">
        <v>243</v>
      </c>
      <c r="D28" s="51" t="s">
        <v>785</v>
      </c>
      <c r="E28" s="103">
        <v>20.399999999999999</v>
      </c>
      <c r="F28" s="103">
        <v>19.3</v>
      </c>
      <c r="G28" s="103">
        <v>18.100000000000001</v>
      </c>
      <c r="H28" s="103">
        <v>17.3</v>
      </c>
      <c r="I28" s="103">
        <v>17</v>
      </c>
      <c r="J28" s="103">
        <v>16.7</v>
      </c>
      <c r="K28" s="103">
        <v>15.6</v>
      </c>
      <c r="L28" s="103">
        <v>14.8</v>
      </c>
      <c r="M28" s="103">
        <v>14.4</v>
      </c>
      <c r="N28" s="30">
        <f>'BAADTbVT_DV-km'!F28</f>
        <v>14871</v>
      </c>
      <c r="O28" s="30"/>
      <c r="R28" s="230" t="s">
        <v>207</v>
      </c>
      <c r="S28" s="230" t="s">
        <v>221</v>
      </c>
      <c r="T28" s="230" t="s">
        <v>222</v>
      </c>
      <c r="U28" s="137" t="s">
        <v>786</v>
      </c>
      <c r="V28" s="142">
        <v>63119</v>
      </c>
      <c r="W28" s="142">
        <v>58575</v>
      </c>
      <c r="X28" s="142">
        <v>57238</v>
      </c>
      <c r="Y28" s="142">
        <v>57933</v>
      </c>
      <c r="Z28" s="142">
        <v>61704</v>
      </c>
      <c r="AA28" s="142">
        <v>65431</v>
      </c>
      <c r="AB28" s="142">
        <v>62874</v>
      </c>
      <c r="AC28" s="142">
        <v>62384</v>
      </c>
      <c r="AD28" s="142">
        <v>63900</v>
      </c>
      <c r="AE28" s="142">
        <v>69474</v>
      </c>
      <c r="AF28" s="142">
        <v>64872</v>
      </c>
      <c r="AG28" s="142">
        <v>57208</v>
      </c>
      <c r="AH28" s="4">
        <f t="shared" si="0"/>
        <v>-8.1605276987979369E-3</v>
      </c>
    </row>
    <row r="29" spans="1:34" ht="20.100000000000001" customHeight="1">
      <c r="A29" s="49" t="s">
        <v>243</v>
      </c>
      <c r="B29" s="49" t="s">
        <v>243</v>
      </c>
      <c r="C29" s="49" t="s">
        <v>243</v>
      </c>
      <c r="D29" s="51" t="s">
        <v>786</v>
      </c>
      <c r="E29" s="104">
        <v>21.5</v>
      </c>
      <c r="F29" s="104">
        <v>19.8</v>
      </c>
      <c r="G29" s="104">
        <v>19.100000000000001</v>
      </c>
      <c r="H29" s="104">
        <v>19.3</v>
      </c>
      <c r="I29" s="104">
        <v>20.2</v>
      </c>
      <c r="J29" s="104">
        <v>20.9</v>
      </c>
      <c r="K29" s="104">
        <v>19.7</v>
      </c>
      <c r="L29" s="104">
        <v>19.3</v>
      </c>
      <c r="M29" s="104">
        <v>19.7</v>
      </c>
      <c r="N29" s="30">
        <f>'BAADTbVT_DV-km'!F29</f>
        <v>7423</v>
      </c>
      <c r="O29" s="30">
        <f>N29</f>
        <v>7423</v>
      </c>
      <c r="R29" s="230" t="s">
        <v>207</v>
      </c>
      <c r="S29" s="230" t="s">
        <v>221</v>
      </c>
      <c r="T29" s="230" t="s">
        <v>789</v>
      </c>
      <c r="U29" s="137" t="s">
        <v>323</v>
      </c>
      <c r="V29" s="138">
        <v>8945957</v>
      </c>
      <c r="W29" s="138">
        <v>8426321</v>
      </c>
      <c r="X29" s="138">
        <v>8271062</v>
      </c>
      <c r="Y29" s="138">
        <v>7806793</v>
      </c>
      <c r="Z29" s="138">
        <v>7690895</v>
      </c>
      <c r="AA29" s="138">
        <v>6951602</v>
      </c>
      <c r="AB29" s="138">
        <v>6775159</v>
      </c>
      <c r="AC29" s="138">
        <v>6417014</v>
      </c>
      <c r="AD29" s="138">
        <v>5890275</v>
      </c>
      <c r="AE29" s="138">
        <v>5284726</v>
      </c>
      <c r="AF29" s="138">
        <v>5186638</v>
      </c>
      <c r="AG29" s="138">
        <v>4891965</v>
      </c>
      <c r="AH29" s="4">
        <f t="shared" si="0"/>
        <v>-4.9056506573116554E-2</v>
      </c>
    </row>
    <row r="30" spans="1:34" ht="20.100000000000001" customHeight="1">
      <c r="A30" s="49" t="s">
        <v>243</v>
      </c>
      <c r="B30" s="49" t="s">
        <v>243</v>
      </c>
      <c r="C30" s="51" t="s">
        <v>789</v>
      </c>
      <c r="D30" s="51" t="s">
        <v>323</v>
      </c>
      <c r="E30" s="100">
        <v>39.6</v>
      </c>
      <c r="F30" s="100">
        <v>38.799999999999997</v>
      </c>
      <c r="G30" s="100">
        <v>39.6</v>
      </c>
      <c r="H30" s="100">
        <v>38.9</v>
      </c>
      <c r="I30" s="100">
        <v>39.9</v>
      </c>
      <c r="J30" s="100">
        <v>38.200000000000003</v>
      </c>
      <c r="K30" s="100">
        <v>39.4</v>
      </c>
      <c r="L30" s="100">
        <v>39.9</v>
      </c>
      <c r="M30" s="100">
        <v>40.1</v>
      </c>
      <c r="N30" s="30"/>
      <c r="O30" s="30"/>
      <c r="R30" s="230" t="s">
        <v>207</v>
      </c>
      <c r="S30" s="230" t="s">
        <v>221</v>
      </c>
      <c r="T30" s="230" t="s">
        <v>223</v>
      </c>
      <c r="U30" s="137" t="s">
        <v>784</v>
      </c>
      <c r="V30" s="141">
        <v>7029117</v>
      </c>
      <c r="W30" s="141">
        <v>6725071</v>
      </c>
      <c r="X30" s="141">
        <v>6755600</v>
      </c>
      <c r="Y30" s="141">
        <v>6497082</v>
      </c>
      <c r="Z30" s="141">
        <v>6567076</v>
      </c>
      <c r="AA30" s="141">
        <v>6090180</v>
      </c>
      <c r="AB30" s="141">
        <v>6037645</v>
      </c>
      <c r="AC30" s="141">
        <v>5862646</v>
      </c>
      <c r="AD30" s="141">
        <v>5488103</v>
      </c>
      <c r="AE30" s="141">
        <v>4994886</v>
      </c>
      <c r="AF30" s="141">
        <v>4971729</v>
      </c>
      <c r="AG30" s="141">
        <v>4743607</v>
      </c>
      <c r="AH30" s="4">
        <f t="shared" si="0"/>
        <v>-3.2240758129605362E-2</v>
      </c>
    </row>
    <row r="31" spans="1:34" ht="20.100000000000001" customHeight="1">
      <c r="A31" s="49" t="s">
        <v>243</v>
      </c>
      <c r="B31" s="49" t="s">
        <v>243</v>
      </c>
      <c r="C31" s="49" t="s">
        <v>243</v>
      </c>
      <c r="D31" s="51" t="s">
        <v>784</v>
      </c>
      <c r="E31" s="103">
        <v>39.299999999999997</v>
      </c>
      <c r="F31" s="103">
        <v>38.9</v>
      </c>
      <c r="G31" s="103">
        <v>40.299999999999997</v>
      </c>
      <c r="H31" s="103">
        <v>39.799999999999997</v>
      </c>
      <c r="I31" s="103">
        <v>41.3</v>
      </c>
      <c r="J31" s="103">
        <v>39.799999999999997</v>
      </c>
      <c r="K31" s="103">
        <v>40.9</v>
      </c>
      <c r="L31" s="103">
        <v>41.6</v>
      </c>
      <c r="M31" s="103">
        <v>41.7</v>
      </c>
      <c r="N31" s="30">
        <f>'BAADTbVT_DV-km'!F31</f>
        <v>384960</v>
      </c>
      <c r="O31" s="30">
        <f>SUM(N31:N32)</f>
        <v>389491</v>
      </c>
      <c r="R31" s="230" t="s">
        <v>207</v>
      </c>
      <c r="S31" s="230" t="s">
        <v>221</v>
      </c>
      <c r="T31" s="230" t="s">
        <v>223</v>
      </c>
      <c r="U31" s="137" t="s">
        <v>785</v>
      </c>
      <c r="V31" s="141">
        <v>1916840</v>
      </c>
      <c r="W31" s="141">
        <v>1701250</v>
      </c>
      <c r="X31" s="141">
        <v>1515462</v>
      </c>
      <c r="Y31" s="141">
        <v>1309711</v>
      </c>
      <c r="Z31" s="141">
        <v>1123819</v>
      </c>
      <c r="AA31" s="141">
        <v>861421</v>
      </c>
      <c r="AB31" s="141">
        <v>737514</v>
      </c>
      <c r="AC31" s="141">
        <v>554367</v>
      </c>
      <c r="AD31" s="141">
        <v>402172</v>
      </c>
      <c r="AE31" s="141">
        <v>289840</v>
      </c>
      <c r="AF31" s="141">
        <v>214909</v>
      </c>
      <c r="AG31" s="141">
        <v>148358</v>
      </c>
      <c r="AH31" s="4">
        <f t="shared" si="0"/>
        <v>-0.19203274747378496</v>
      </c>
    </row>
    <row r="32" spans="1:34" ht="20.100000000000001" customHeight="1">
      <c r="A32" s="49" t="s">
        <v>243</v>
      </c>
      <c r="B32" s="49" t="s">
        <v>243</v>
      </c>
      <c r="C32" s="49" t="s">
        <v>243</v>
      </c>
      <c r="D32" s="51" t="s">
        <v>785</v>
      </c>
      <c r="E32" s="103">
        <v>41.1</v>
      </c>
      <c r="F32" s="103">
        <v>38.700000000000003</v>
      </c>
      <c r="G32" s="103">
        <v>36.9</v>
      </c>
      <c r="H32" s="103">
        <v>34.799999999999997</v>
      </c>
      <c r="I32" s="103">
        <v>33.4</v>
      </c>
      <c r="J32" s="103">
        <v>29.9</v>
      </c>
      <c r="K32" s="103">
        <v>30.4</v>
      </c>
      <c r="L32" s="103">
        <v>28</v>
      </c>
      <c r="M32" s="103">
        <v>26.1</v>
      </c>
      <c r="N32" s="30">
        <f>'BAADTbVT_DV-km'!F32</f>
        <v>4531</v>
      </c>
      <c r="O32" s="30"/>
      <c r="R32" s="230" t="s">
        <v>207</v>
      </c>
      <c r="S32" s="230" t="s">
        <v>221</v>
      </c>
      <c r="T32" s="137" t="s">
        <v>788</v>
      </c>
      <c r="U32" s="137" t="s">
        <v>786</v>
      </c>
      <c r="V32" s="142">
        <v>7397513</v>
      </c>
      <c r="W32" s="142">
        <v>7934320</v>
      </c>
      <c r="X32" s="142">
        <v>8297137</v>
      </c>
      <c r="Y32" s="142">
        <v>8861805</v>
      </c>
      <c r="Z32" s="142">
        <v>9788981</v>
      </c>
      <c r="AA32" s="142">
        <v>10644794</v>
      </c>
      <c r="AB32" s="142">
        <v>10704365</v>
      </c>
      <c r="AC32" s="142">
        <v>13271172</v>
      </c>
      <c r="AD32" s="142">
        <v>13715348</v>
      </c>
      <c r="AE32" s="142">
        <v>12747214</v>
      </c>
      <c r="AF32" s="142">
        <v>15377813</v>
      </c>
      <c r="AG32" s="142">
        <v>13529429</v>
      </c>
      <c r="AH32" s="4">
        <f t="shared" si="0"/>
        <v>5.1597336796139093E-2</v>
      </c>
    </row>
    <row r="33" spans="1:52" ht="20.100000000000001" customHeight="1">
      <c r="A33" s="49"/>
      <c r="B33" s="49" t="s">
        <v>243</v>
      </c>
      <c r="C33" s="51" t="s">
        <v>804</v>
      </c>
      <c r="D33" s="51" t="s">
        <v>786</v>
      </c>
      <c r="E33" s="104">
        <v>56.7</v>
      </c>
      <c r="F33" s="104">
        <v>57.4</v>
      </c>
      <c r="G33" s="104">
        <v>56.4</v>
      </c>
      <c r="H33" s="104">
        <v>56.1</v>
      </c>
      <c r="I33" s="104">
        <v>57.4</v>
      </c>
      <c r="J33" s="104">
        <v>58.4</v>
      </c>
      <c r="K33" s="104">
        <v>55.2</v>
      </c>
      <c r="L33" s="104">
        <v>65.099999999999994</v>
      </c>
      <c r="M33" s="104">
        <v>64.599999999999994</v>
      </c>
      <c r="N33" s="30">
        <f>'BAADTbVT_DV-km'!F33</f>
        <v>595808</v>
      </c>
      <c r="O33" s="30">
        <f>N33</f>
        <v>595808</v>
      </c>
      <c r="R33" s="230" t="s">
        <v>207</v>
      </c>
      <c r="S33" s="230" t="s">
        <v>793</v>
      </c>
      <c r="T33" s="137" t="s">
        <v>323</v>
      </c>
      <c r="U33" s="137" t="s">
        <v>323</v>
      </c>
      <c r="V33" s="138">
        <v>3054929</v>
      </c>
      <c r="W33" s="138">
        <v>3112000</v>
      </c>
      <c r="X33" s="138">
        <v>3281098</v>
      </c>
      <c r="Y33" s="138">
        <v>3411719</v>
      </c>
      <c r="Z33" s="138">
        <v>3665954</v>
      </c>
      <c r="AA33" s="138">
        <v>3903551</v>
      </c>
      <c r="AB33" s="138">
        <v>3920668</v>
      </c>
      <c r="AC33" s="138">
        <v>3980166</v>
      </c>
      <c r="AD33" s="138">
        <v>3959137</v>
      </c>
      <c r="AE33" s="138">
        <v>4232654</v>
      </c>
      <c r="AF33" s="138">
        <v>4322830</v>
      </c>
      <c r="AG33" s="138">
        <v>4324481</v>
      </c>
      <c r="AH33" s="4">
        <f t="shared" si="0"/>
        <v>2.9384772076687993E-2</v>
      </c>
    </row>
    <row r="34" spans="1:52" ht="20.100000000000001" customHeight="1">
      <c r="A34" s="49" t="s">
        <v>243</v>
      </c>
      <c r="B34" s="51" t="s">
        <v>801</v>
      </c>
      <c r="C34" s="51" t="s">
        <v>323</v>
      </c>
      <c r="D34" s="51" t="s">
        <v>323</v>
      </c>
      <c r="E34" s="100">
        <v>137.30000000000001</v>
      </c>
      <c r="F34" s="100">
        <v>132.69999999999999</v>
      </c>
      <c r="G34" s="100">
        <v>132.5</v>
      </c>
      <c r="H34" s="100">
        <v>129.4</v>
      </c>
      <c r="I34" s="100">
        <v>128.69999999999999</v>
      </c>
      <c r="J34" s="100">
        <v>128</v>
      </c>
      <c r="K34" s="100">
        <v>121.5</v>
      </c>
      <c r="L34" s="100">
        <v>116.9</v>
      </c>
      <c r="M34" s="100">
        <v>108.7</v>
      </c>
      <c r="N34" s="30"/>
      <c r="O34" s="30"/>
      <c r="R34" s="230" t="s">
        <v>207</v>
      </c>
      <c r="S34" s="230" t="s">
        <v>226</v>
      </c>
      <c r="T34" s="137" t="s">
        <v>791</v>
      </c>
      <c r="U34" s="137" t="s">
        <v>784</v>
      </c>
      <c r="V34" s="142">
        <v>2638813</v>
      </c>
      <c r="W34" s="142">
        <v>2667608</v>
      </c>
      <c r="X34" s="142">
        <v>2819614</v>
      </c>
      <c r="Y34" s="142">
        <v>2896454</v>
      </c>
      <c r="Z34" s="142">
        <v>3071024</v>
      </c>
      <c r="AA34" s="142">
        <v>3259770</v>
      </c>
      <c r="AB34" s="142">
        <v>3223628</v>
      </c>
      <c r="AC34" s="142">
        <v>3248148</v>
      </c>
      <c r="AD34" s="142">
        <v>3184097</v>
      </c>
      <c r="AE34" s="142">
        <v>3357317</v>
      </c>
      <c r="AF34" s="142">
        <v>3389498</v>
      </c>
      <c r="AG34" s="142">
        <v>3320917</v>
      </c>
      <c r="AH34" s="4">
        <f t="shared" si="0"/>
        <v>1.9344030333672491E-2</v>
      </c>
    </row>
    <row r="35" spans="1:52" ht="20.100000000000001" customHeight="1">
      <c r="A35" s="49" t="s">
        <v>243</v>
      </c>
      <c r="B35" s="49" t="s">
        <v>243</v>
      </c>
      <c r="C35" s="51" t="s">
        <v>791</v>
      </c>
      <c r="D35" s="51" t="s">
        <v>784</v>
      </c>
      <c r="E35" s="104">
        <v>215.1</v>
      </c>
      <c r="F35" s="104">
        <v>210.9</v>
      </c>
      <c r="G35" s="104">
        <v>212.3</v>
      </c>
      <c r="H35" s="104">
        <v>216.7</v>
      </c>
      <c r="I35" s="104">
        <v>221.7</v>
      </c>
      <c r="J35" s="104">
        <v>228.4</v>
      </c>
      <c r="K35" s="104">
        <v>224.2</v>
      </c>
      <c r="L35" s="104">
        <v>225.3</v>
      </c>
      <c r="M35" s="104">
        <v>220.7</v>
      </c>
      <c r="N35" s="30">
        <f>'BAADTbVT_DV-km'!F35</f>
        <v>39781</v>
      </c>
      <c r="O35" s="30">
        <f>SUM(N35,N37)</f>
        <v>94137</v>
      </c>
      <c r="R35" s="230" t="s">
        <v>207</v>
      </c>
      <c r="S35" s="230" t="s">
        <v>226</v>
      </c>
      <c r="T35" s="137" t="s">
        <v>792</v>
      </c>
      <c r="U35" s="137" t="s">
        <v>785</v>
      </c>
      <c r="V35" s="141">
        <v>248142</v>
      </c>
      <c r="W35" s="141">
        <v>253734</v>
      </c>
      <c r="X35" s="141">
        <v>237812</v>
      </c>
      <c r="Y35" s="141">
        <v>255059</v>
      </c>
      <c r="Z35" s="141">
        <v>270813</v>
      </c>
      <c r="AA35" s="141">
        <v>275726</v>
      </c>
      <c r="AB35" s="141">
        <v>281752</v>
      </c>
      <c r="AC35" s="141">
        <v>273880</v>
      </c>
      <c r="AD35" s="141">
        <v>268866</v>
      </c>
      <c r="AE35" s="141">
        <v>271257</v>
      </c>
      <c r="AF35" s="141">
        <v>261719</v>
      </c>
      <c r="AG35" s="141">
        <v>262163</v>
      </c>
      <c r="AH35" s="4">
        <f t="shared" si="0"/>
        <v>4.5909466495832607E-3</v>
      </c>
    </row>
    <row r="36" spans="1:52" ht="20.100000000000001" customHeight="1">
      <c r="A36" s="49" t="s">
        <v>243</v>
      </c>
      <c r="B36" s="49" t="s">
        <v>243</v>
      </c>
      <c r="C36" s="51" t="s">
        <v>792</v>
      </c>
      <c r="D36" s="51" t="s">
        <v>785</v>
      </c>
      <c r="E36" s="103">
        <v>60</v>
      </c>
      <c r="F36" s="103">
        <v>60</v>
      </c>
      <c r="G36" s="103">
        <v>58.3</v>
      </c>
      <c r="H36" s="103">
        <v>57.4</v>
      </c>
      <c r="I36" s="103">
        <v>59.9</v>
      </c>
      <c r="J36" s="103">
        <v>60.3</v>
      </c>
      <c r="K36" s="103">
        <v>62.2</v>
      </c>
      <c r="L36" s="103">
        <v>60.9</v>
      </c>
      <c r="M36" s="103">
        <v>61.6</v>
      </c>
      <c r="N36" s="30">
        <f>'BAADTbVT_DV-km'!F36</f>
        <v>11800</v>
      </c>
      <c r="O36" s="30">
        <f>N36</f>
        <v>11800</v>
      </c>
      <c r="R36" s="230" t="s">
        <v>207</v>
      </c>
      <c r="S36" s="230" t="s">
        <v>226</v>
      </c>
      <c r="T36" s="137" t="s">
        <v>806</v>
      </c>
      <c r="U36" s="137" t="s">
        <v>323</v>
      </c>
      <c r="V36" s="142">
        <v>167974</v>
      </c>
      <c r="W36" s="142">
        <v>190658</v>
      </c>
      <c r="X36" s="142">
        <v>223673</v>
      </c>
      <c r="Y36" s="142">
        <v>260206</v>
      </c>
      <c r="Z36" s="142">
        <v>324117</v>
      </c>
      <c r="AA36" s="142">
        <v>368054</v>
      </c>
      <c r="AB36" s="142">
        <v>415288</v>
      </c>
      <c r="AC36" s="142">
        <v>458138</v>
      </c>
      <c r="AD36" s="142">
        <v>506173</v>
      </c>
      <c r="AE36" s="142">
        <v>604080</v>
      </c>
      <c r="AF36" s="142">
        <v>671613</v>
      </c>
      <c r="AG36" s="142">
        <v>741401</v>
      </c>
      <c r="AH36" s="4">
        <f t="shared" si="0"/>
        <v>0.13170766824755398</v>
      </c>
    </row>
    <row r="37" spans="1:52" ht="20.100000000000001" customHeight="1">
      <c r="A37" s="105" t="s">
        <v>243</v>
      </c>
      <c r="B37" s="105" t="s">
        <v>243</v>
      </c>
      <c r="C37" s="106" t="s">
        <v>806</v>
      </c>
      <c r="D37" s="106" t="s">
        <v>323</v>
      </c>
      <c r="E37" s="104">
        <v>28.7</v>
      </c>
      <c r="F37" s="104">
        <v>29</v>
      </c>
      <c r="G37" s="104">
        <v>30.2</v>
      </c>
      <c r="H37" s="104">
        <v>30.4</v>
      </c>
      <c r="I37" s="104">
        <v>32</v>
      </c>
      <c r="J37" s="104">
        <v>31.6</v>
      </c>
      <c r="K37" s="104">
        <v>31.1</v>
      </c>
      <c r="L37" s="104">
        <v>30.3</v>
      </c>
      <c r="M37" s="104">
        <v>28.7</v>
      </c>
      <c r="N37" s="30">
        <f>'BAADTbVT_DV-km'!F37</f>
        <v>54356</v>
      </c>
      <c r="O37" s="30"/>
    </row>
    <row r="39" spans="1:52">
      <c r="D39" s="4" t="s">
        <v>244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242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52">
      <c r="A40" s="4" t="s">
        <v>807</v>
      </c>
      <c r="C40" s="222" t="s">
        <v>245</v>
      </c>
      <c r="D40" s="222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2120387</v>
      </c>
      <c r="U40" s="4" t="s">
        <v>769</v>
      </c>
      <c r="V40" s="143">
        <f>SUM(V6:V9,V11:V12)</f>
        <v>182820595</v>
      </c>
      <c r="W40" s="143">
        <f t="shared" ref="W40:AG40" si="2">SUM(W6:W9,W11:W12)</f>
        <v>182580253</v>
      </c>
      <c r="X40" s="143">
        <f t="shared" si="2"/>
        <v>193857617</v>
      </c>
      <c r="Y40" s="143">
        <f t="shared" si="2"/>
        <v>201150966</v>
      </c>
      <c r="Z40" s="143">
        <f t="shared" si="2"/>
        <v>211671254</v>
      </c>
      <c r="AA40" s="143">
        <f t="shared" si="2"/>
        <v>218198884</v>
      </c>
      <c r="AB40" s="143">
        <f t="shared" si="2"/>
        <v>226296770</v>
      </c>
      <c r="AC40" s="143">
        <f t="shared" si="2"/>
        <v>227771105</v>
      </c>
      <c r="AD40" s="143">
        <f>SUM(AD6:AD9,AD11:AD12)</f>
        <v>229538498</v>
      </c>
      <c r="AE40" s="143">
        <f>SUM(AE6:AE9,AE11:AE12)</f>
        <v>252970242</v>
      </c>
      <c r="AF40" s="143">
        <f t="shared" si="2"/>
        <v>229400041</v>
      </c>
      <c r="AG40" s="143">
        <f t="shared" si="2"/>
        <v>231703641</v>
      </c>
      <c r="AH40" s="4">
        <f>(AG40/V40)^(1/COUNT(V40:AG40))-1</f>
        <v>1.9942397233560838E-2</v>
      </c>
    </row>
    <row r="41" spans="1:52">
      <c r="A41" s="4" t="s">
        <v>808</v>
      </c>
      <c r="C41" s="222"/>
      <c r="D41" s="222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301198</v>
      </c>
      <c r="U41" s="4" t="s">
        <v>770</v>
      </c>
      <c r="V41" s="143">
        <f>SUM(V16:V19)</f>
        <v>20738233</v>
      </c>
      <c r="W41" s="143">
        <f t="shared" ref="W41:AF41" si="3">SUM(W16:W19)</f>
        <v>19600277</v>
      </c>
      <c r="X41" s="143">
        <f t="shared" si="3"/>
        <v>20736159</v>
      </c>
      <c r="Y41" s="143">
        <f t="shared" si="3"/>
        <v>19817825</v>
      </c>
      <c r="Z41" s="143">
        <f t="shared" si="3"/>
        <v>19857080</v>
      </c>
      <c r="AA41" s="143">
        <f t="shared" si="3"/>
        <v>19318378</v>
      </c>
      <c r="AB41" s="143">
        <f t="shared" si="3"/>
        <v>18645489</v>
      </c>
      <c r="AC41" s="143">
        <f t="shared" si="3"/>
        <v>17904372</v>
      </c>
      <c r="AD41" s="143">
        <f t="shared" si="3"/>
        <v>16065637</v>
      </c>
      <c r="AE41" s="143">
        <f t="shared" si="3"/>
        <v>13797082</v>
      </c>
      <c r="AF41" s="143">
        <f t="shared" si="3"/>
        <v>14132168</v>
      </c>
      <c r="AG41" s="143">
        <f>SUM(AG16:AG19)</f>
        <v>14029164</v>
      </c>
      <c r="AH41" s="4">
        <f>(AG41/V41)^(1/COUNT(V41:AG41))-1</f>
        <v>-3.2045365489573041E-2</v>
      </c>
    </row>
    <row r="42" spans="1:52">
      <c r="A42" s="4" t="s">
        <v>809</v>
      </c>
      <c r="C42" s="222"/>
      <c r="D42" s="222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32795</v>
      </c>
      <c r="U42" s="4" t="s">
        <v>767</v>
      </c>
      <c r="V42" s="143">
        <f t="shared" ref="V42:AG42" si="5">SUM(V22:V23,V26:V27,V30:V31,V35)</f>
        <v>43832298</v>
      </c>
      <c r="W42" s="143">
        <f t="shared" si="5"/>
        <v>43417239</v>
      </c>
      <c r="X42" s="143">
        <f t="shared" si="5"/>
        <v>43559611</v>
      </c>
      <c r="Y42" s="143">
        <f t="shared" si="5"/>
        <v>44592590</v>
      </c>
      <c r="Z42" s="143">
        <f t="shared" si="5"/>
        <v>44778862</v>
      </c>
      <c r="AA42" s="143">
        <f t="shared" si="5"/>
        <v>45074689</v>
      </c>
      <c r="AB42" s="143">
        <f t="shared" si="5"/>
        <v>44270696</v>
      </c>
      <c r="AC42" s="143">
        <f t="shared" si="5"/>
        <v>42047153</v>
      </c>
      <c r="AD42" s="143">
        <f t="shared" si="5"/>
        <v>41821569</v>
      </c>
      <c r="AE42" s="143">
        <f t="shared" si="5"/>
        <v>42388939</v>
      </c>
      <c r="AF42" s="143">
        <f t="shared" si="5"/>
        <v>42880883</v>
      </c>
      <c r="AG42" s="143">
        <f t="shared" si="5"/>
        <v>40521374</v>
      </c>
      <c r="AH42" s="4">
        <f>(AG42/V42)^(1/COUNT(V42:AG42))-1</f>
        <v>-6.5237403119994264E-3</v>
      </c>
    </row>
    <row r="43" spans="1:52">
      <c r="A43" s="4" t="s">
        <v>810</v>
      </c>
      <c r="C43" s="222"/>
      <c r="D43" s="222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14871</v>
      </c>
      <c r="U43" s="4" t="s">
        <v>768</v>
      </c>
      <c r="V43" s="143">
        <f t="shared" ref="V43:AG43" si="6">SUM(V24,V28,V32,V34,V36)</f>
        <v>18546407</v>
      </c>
      <c r="W43" s="143">
        <f t="shared" si="6"/>
        <v>19281652</v>
      </c>
      <c r="X43" s="143">
        <f t="shared" si="6"/>
        <v>20194046</v>
      </c>
      <c r="Y43" s="143">
        <f t="shared" si="6"/>
        <v>21190464</v>
      </c>
      <c r="Z43" s="143">
        <f t="shared" si="6"/>
        <v>22576363</v>
      </c>
      <c r="AA43" s="143">
        <f t="shared" si="6"/>
        <v>24203197</v>
      </c>
      <c r="AB43" s="143">
        <f t="shared" si="6"/>
        <v>24302694</v>
      </c>
      <c r="AC43" s="143">
        <f t="shared" si="6"/>
        <v>26906944</v>
      </c>
      <c r="AD43" s="143">
        <f t="shared" si="6"/>
        <v>27156380</v>
      </c>
      <c r="AE43" s="143">
        <f t="shared" si="6"/>
        <v>26891040</v>
      </c>
      <c r="AF43" s="143">
        <f t="shared" si="6"/>
        <v>29567865</v>
      </c>
      <c r="AG43" s="143">
        <f t="shared" si="6"/>
        <v>27984334</v>
      </c>
      <c r="AH43" s="4">
        <f>(AG43/V43)^(1/COUNT(V43:AG43))-1</f>
        <v>3.4875087818156292E-2</v>
      </c>
    </row>
    <row r="44" spans="1:52">
      <c r="A44" s="4" t="s">
        <v>811</v>
      </c>
      <c r="C44" s="222"/>
      <c r="D44" s="222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384960</v>
      </c>
    </row>
    <row r="45" spans="1:52">
      <c r="A45" s="4" t="s">
        <v>812</v>
      </c>
      <c r="C45" s="222"/>
      <c r="D45" s="222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4531</v>
      </c>
    </row>
    <row r="46" spans="1:52">
      <c r="A46" s="4" t="s">
        <v>813</v>
      </c>
      <c r="C46" s="222"/>
      <c r="D46" s="222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11800</v>
      </c>
      <c r="U46" s="4">
        <v>2019</v>
      </c>
      <c r="V46" s="4">
        <v>2020</v>
      </c>
      <c r="W46" s="4">
        <v>2021</v>
      </c>
      <c r="X46" s="4">
        <v>2022</v>
      </c>
      <c r="Y46" s="4">
        <v>2023</v>
      </c>
      <c r="Z46" s="4">
        <v>2024</v>
      </c>
      <c r="AA46" s="4">
        <v>2025</v>
      </c>
      <c r="AB46" s="4">
        <v>2026</v>
      </c>
      <c r="AC46" s="4">
        <v>2027</v>
      </c>
      <c r="AD46" s="4">
        <v>2028</v>
      </c>
      <c r="AE46" s="4">
        <v>2029</v>
      </c>
      <c r="AF46" s="4">
        <v>2030</v>
      </c>
      <c r="AG46" s="4">
        <v>2031</v>
      </c>
      <c r="AH46" s="4">
        <v>2032</v>
      </c>
      <c r="AI46" s="4">
        <v>2033</v>
      </c>
      <c r="AJ46" s="4">
        <v>2034</v>
      </c>
      <c r="AK46" s="4">
        <v>2035</v>
      </c>
      <c r="AL46" s="4">
        <v>2036</v>
      </c>
      <c r="AM46" s="4">
        <v>2037</v>
      </c>
      <c r="AN46" s="4">
        <v>2038</v>
      </c>
      <c r="AO46" s="4">
        <v>2039</v>
      </c>
      <c r="AP46" s="4">
        <v>2040</v>
      </c>
      <c r="AQ46" s="4">
        <v>2041</v>
      </c>
      <c r="AR46" s="4">
        <v>2042</v>
      </c>
      <c r="AS46" s="4">
        <v>2043</v>
      </c>
      <c r="AT46" s="4">
        <v>2044</v>
      </c>
      <c r="AU46" s="4">
        <v>2045</v>
      </c>
      <c r="AV46" s="4">
        <v>2046</v>
      </c>
      <c r="AW46" s="4">
        <v>2047</v>
      </c>
      <c r="AX46" s="4">
        <v>2048</v>
      </c>
      <c r="AY46" s="4">
        <v>2049</v>
      </c>
      <c r="AZ46" s="4">
        <v>2050</v>
      </c>
    </row>
    <row r="47" spans="1:52">
      <c r="N47" s="22"/>
      <c r="T47" s="4" t="s">
        <v>769</v>
      </c>
      <c r="U47" s="193">
        <f>AC40</f>
        <v>227771105</v>
      </c>
      <c r="V47" s="194">
        <f t="shared" ref="V47:Y47" si="9">AD40</f>
        <v>229538498</v>
      </c>
      <c r="W47" s="194">
        <f>AE40</f>
        <v>252970242</v>
      </c>
      <c r="X47" s="194">
        <f>AF40</f>
        <v>229400041</v>
      </c>
      <c r="Y47" s="193">
        <f t="shared" si="9"/>
        <v>231703641</v>
      </c>
      <c r="Z47" s="196">
        <f>$Y$47*'fleet &amp; energy forecasts'!D75</f>
        <v>236327710.65957814</v>
      </c>
      <c r="AA47" s="196">
        <f>$Y$47*'fleet &amp; energy forecasts'!E75</f>
        <v>240951780.31915694</v>
      </c>
      <c r="AB47" s="196">
        <f>$Y$47*'fleet &amp; energy forecasts'!F75</f>
        <v>243596209.71176568</v>
      </c>
      <c r="AC47" s="196">
        <f>$Y$47*'fleet &amp; energy forecasts'!G75</f>
        <v>246240639.10437444</v>
      </c>
      <c r="AD47" s="196">
        <f>$Y$47*'fleet &amp; energy forecasts'!H75</f>
        <v>248885068.4969832</v>
      </c>
      <c r="AE47" s="196">
        <f>$Y$47*'fleet &amp; energy forecasts'!I75</f>
        <v>251529497.8895919</v>
      </c>
      <c r="AF47" s="196">
        <f>$Y$47*'fleet &amp; energy forecasts'!J75</f>
        <v>254173927.28220001</v>
      </c>
      <c r="AG47" s="196">
        <f>$Y$47*'fleet &amp; energy forecasts'!K75</f>
        <v>255819056.62913322</v>
      </c>
      <c r="AH47" s="196">
        <f>$Y$47*'fleet &amp; energy forecasts'!L75</f>
        <v>257464185.9760671</v>
      </c>
      <c r="AI47" s="196">
        <f>$Y$47*'fleet &amp; energy forecasts'!M75</f>
        <v>259109315.32300028</v>
      </c>
      <c r="AJ47" s="196">
        <f>$Y$47*'fleet &amp; energy forecasts'!N75</f>
        <v>260754444.6699335</v>
      </c>
      <c r="AK47" s="196">
        <f>$Y$47*'fleet &amp; energy forecasts'!O75</f>
        <v>262399574.01686695</v>
      </c>
      <c r="AL47" s="196">
        <f>$Y$47*'fleet &amp; energy forecasts'!P75</f>
        <v>262788762.56472725</v>
      </c>
      <c r="AM47" s="196">
        <f>$Y$47*'fleet &amp; energy forecasts'!Q75</f>
        <v>263177951.11258745</v>
      </c>
      <c r="AN47" s="196">
        <f>$Y$47*'fleet &amp; energy forecasts'!R75</f>
        <v>263567139.66044775</v>
      </c>
      <c r="AO47" s="196">
        <f>$Y$47*'fleet &amp; energy forecasts'!S75</f>
        <v>263956328.20830801</v>
      </c>
      <c r="AP47" s="196">
        <f>$Y$47*'fleet &amp; energy forecasts'!T75</f>
        <v>264345516.75616834</v>
      </c>
      <c r="AQ47" s="196">
        <f>$Y$47*'fleet &amp; energy forecasts'!U75</f>
        <v>264069918.32107994</v>
      </c>
      <c r="AR47" s="196">
        <f>$Y$47*'fleet &amp; energy forecasts'!V75</f>
        <v>263794319.88599154</v>
      </c>
      <c r="AS47" s="196">
        <f>$Y$47*'fleet &amp; energy forecasts'!W75</f>
        <v>263518721.45090315</v>
      </c>
      <c r="AT47" s="196">
        <f>$Y$47*'fleet &amp; energy forecasts'!X75</f>
        <v>263243123.01581469</v>
      </c>
      <c r="AU47" s="196">
        <f>$Y$47*'fleet &amp; energy forecasts'!Y75</f>
        <v>262967524.58072644</v>
      </c>
      <c r="AV47" s="196">
        <f>$Y$47*'fleet &amp; energy forecasts'!Z75</f>
        <v>261741042.16681737</v>
      </c>
      <c r="AW47" s="196">
        <f>$Y$47*'fleet &amp; energy forecasts'!AA75</f>
        <v>260514559.75290856</v>
      </c>
      <c r="AX47" s="196">
        <f>$Y$47*'fleet &amp; energy forecasts'!AB75</f>
        <v>259288077.33899948</v>
      </c>
      <c r="AY47" s="196">
        <f>$Y$47*'fleet &amp; energy forecasts'!AC75</f>
        <v>258061594.92509034</v>
      </c>
      <c r="AZ47" s="196">
        <f>$Y$47*'fleet &amp; energy forecasts'!AD75</f>
        <v>256835112.51118156</v>
      </c>
    </row>
    <row r="48" spans="1:52">
      <c r="A48" s="4" t="s">
        <v>814</v>
      </c>
      <c r="C48" s="222" t="s">
        <v>246</v>
      </c>
      <c r="D48" s="222"/>
      <c r="E48" s="50">
        <f t="shared" ref="E48:N48" si="10">E25</f>
        <v>130.9</v>
      </c>
      <c r="F48" s="50">
        <f t="shared" si="10"/>
        <v>131</v>
      </c>
      <c r="G48" s="50">
        <f t="shared" si="10"/>
        <v>133</v>
      </c>
      <c r="H48" s="50">
        <f t="shared" si="10"/>
        <v>134.4</v>
      </c>
      <c r="I48" s="50">
        <f t="shared" si="10"/>
        <v>134.5</v>
      </c>
      <c r="J48" s="50">
        <f t="shared" si="10"/>
        <v>137.9</v>
      </c>
      <c r="K48" s="50">
        <f t="shared" si="10"/>
        <v>135.69999999999999</v>
      </c>
      <c r="L48" s="50">
        <f t="shared" si="10"/>
        <v>134.80000000000001</v>
      </c>
      <c r="M48" s="50">
        <f t="shared" si="10"/>
        <v>133.1</v>
      </c>
      <c r="N48" s="22">
        <f t="shared" si="10"/>
        <v>153272</v>
      </c>
      <c r="T48" s="4" t="s">
        <v>770</v>
      </c>
      <c r="U48" s="193">
        <f t="shared" ref="U48:U50" si="11">AC41</f>
        <v>17904372</v>
      </c>
      <c r="V48" s="194">
        <f t="shared" ref="V48:V50" si="12">AD41</f>
        <v>16065637</v>
      </c>
      <c r="W48" s="194">
        <f t="shared" ref="W48:W50" si="13">AE41</f>
        <v>13797082</v>
      </c>
      <c r="X48" s="194">
        <f t="shared" ref="X48:X50" si="14">AF41</f>
        <v>14132168</v>
      </c>
      <c r="Y48" s="193">
        <f t="shared" ref="Y48:Y50" si="15">AG41</f>
        <v>14029164</v>
      </c>
      <c r="Z48" s="196">
        <f>$Y$48*'fleet &amp; energy forecasts'!D94</f>
        <v>14031960.232460892</v>
      </c>
      <c r="AA48" s="196">
        <f>$Y$48*'fleet &amp; energy forecasts'!E94</f>
        <v>14034756.464921786</v>
      </c>
      <c r="AB48" s="196">
        <f>$Y$48*'fleet &amp; energy forecasts'!F94</f>
        <v>14021893.671866957</v>
      </c>
      <c r="AC48" s="196">
        <f>$Y$48*'fleet &amp; energy forecasts'!G94</f>
        <v>14009030.878812131</v>
      </c>
      <c r="AD48" s="196">
        <f>$Y$48*'fleet &amp; energy forecasts'!H94</f>
        <v>13996168.085757306</v>
      </c>
      <c r="AE48" s="196">
        <f>$Y$48*'fleet &amp; energy forecasts'!I94</f>
        <v>13983305.292702479</v>
      </c>
      <c r="AF48" s="196">
        <f>$Y$48*'fleet &amp; energy forecasts'!J94</f>
        <v>13970442.499647651</v>
      </c>
      <c r="AG48" s="196">
        <f>$Y$48*'fleet &amp; energy forecasts'!K94</f>
        <v>13964197.515773162</v>
      </c>
      <c r="AH48" s="196">
        <f>$Y$48*'fleet &amp; energy forecasts'!L94</f>
        <v>13957952.531898674</v>
      </c>
      <c r="AI48" s="196">
        <f>$Y$48*'fleet &amp; energy forecasts'!M94</f>
        <v>13951707.548024185</v>
      </c>
      <c r="AJ48" s="196">
        <f>$Y$48*'fleet &amp; energy forecasts'!N94</f>
        <v>13945462.564149696</v>
      </c>
      <c r="AK48" s="196">
        <f>$Y$48*'fleet &amp; energy forecasts'!O94</f>
        <v>13939217.580275211</v>
      </c>
      <c r="AL48" s="196">
        <f>$Y$48*'fleet &amp; energy forecasts'!P94</f>
        <v>13924863.468930179</v>
      </c>
      <c r="AM48" s="196">
        <f>$Y$48*'fleet &amp; energy forecasts'!Q94</f>
        <v>13910509.357585147</v>
      </c>
      <c r="AN48" s="196">
        <f>$Y$48*'fleet &amp; energy forecasts'!R94</f>
        <v>13896155.246240117</v>
      </c>
      <c r="AO48" s="196">
        <f>$Y$48*'fleet &amp; energy forecasts'!S94</f>
        <v>13881801.134895088</v>
      </c>
      <c r="AP48" s="196">
        <f>$Y$48*'fleet &amp; energy forecasts'!T94</f>
        <v>13867447.023550035</v>
      </c>
      <c r="AQ48" s="196">
        <f>$Y$48*'fleet &amp; energy forecasts'!U94</f>
        <v>13804438.644453794</v>
      </c>
      <c r="AR48" s="196">
        <f>$Y$48*'fleet &amp; energy forecasts'!V94</f>
        <v>13741430.265357539</v>
      </c>
      <c r="AS48" s="196">
        <f>$Y$48*'fleet &amp; energy forecasts'!W94</f>
        <v>13678421.886261296</v>
      </c>
      <c r="AT48" s="196">
        <f>$Y$48*'fleet &amp; energy forecasts'!X94</f>
        <v>13615413.507165041</v>
      </c>
      <c r="AU48" s="196">
        <f>$Y$48*'fleet &amp; energy forecasts'!Y94</f>
        <v>13552405.128068786</v>
      </c>
      <c r="AV48" s="196">
        <f>$Y$48*'fleet &amp; energy forecasts'!Z94</f>
        <v>13473551.496405857</v>
      </c>
      <c r="AW48" s="196">
        <f>$Y$48*'fleet &amp; energy forecasts'!AA94</f>
        <v>13394697.864742927</v>
      </c>
      <c r="AX48" s="196">
        <f>$Y$48*'fleet &amp; energy forecasts'!AB94</f>
        <v>13315844.23308</v>
      </c>
      <c r="AY48" s="196">
        <f>$Y$48*'fleet &amp; energy forecasts'!AC94</f>
        <v>13236990.60141707</v>
      </c>
      <c r="AZ48" s="196">
        <f>$Y$48*'fleet &amp; energy forecasts'!AD94</f>
        <v>13158136.969754141</v>
      </c>
    </row>
    <row r="49" spans="1:52">
      <c r="A49" s="4" t="s">
        <v>815</v>
      </c>
      <c r="C49" s="222"/>
      <c r="D49" s="222"/>
      <c r="E49" s="50">
        <f t="shared" ref="E49:N49" si="16">E29</f>
        <v>21.5</v>
      </c>
      <c r="F49" s="50">
        <f t="shared" si="16"/>
        <v>19.8</v>
      </c>
      <c r="G49" s="50">
        <f t="shared" si="16"/>
        <v>19.100000000000001</v>
      </c>
      <c r="H49" s="50">
        <f t="shared" si="16"/>
        <v>19.3</v>
      </c>
      <c r="I49" s="50">
        <f t="shared" si="16"/>
        <v>20.2</v>
      </c>
      <c r="J49" s="50">
        <f t="shared" si="16"/>
        <v>20.9</v>
      </c>
      <c r="K49" s="50">
        <f t="shared" si="16"/>
        <v>19.7</v>
      </c>
      <c r="L49" s="50">
        <f t="shared" si="16"/>
        <v>19.3</v>
      </c>
      <c r="M49" s="50">
        <f t="shared" si="16"/>
        <v>19.7</v>
      </c>
      <c r="N49" s="22">
        <f t="shared" si="16"/>
        <v>7423</v>
      </c>
      <c r="T49" s="4" t="s">
        <v>767</v>
      </c>
      <c r="U49" s="193">
        <f t="shared" si="11"/>
        <v>42047153</v>
      </c>
      <c r="V49" s="195">
        <f t="shared" si="12"/>
        <v>41821569</v>
      </c>
      <c r="W49" s="195">
        <f t="shared" si="13"/>
        <v>42388939</v>
      </c>
      <c r="X49" s="195">
        <f t="shared" si="14"/>
        <v>42880883</v>
      </c>
      <c r="Y49" s="193">
        <f t="shared" si="15"/>
        <v>40521374</v>
      </c>
      <c r="Z49" s="196">
        <f>$Y$49*'fleet &amp; energy forecasts'!D118</f>
        <v>40496037.527880833</v>
      </c>
      <c r="AA49" s="196">
        <f>$Y$49*'fleet &amp; energy forecasts'!E118</f>
        <v>40470701.05576168</v>
      </c>
      <c r="AB49" s="196">
        <f>$Y$49*'fleet &amp; energy forecasts'!F118</f>
        <v>40530562.633144043</v>
      </c>
      <c r="AC49" s="196">
        <f>$Y$49*'fleet &amp; energy forecasts'!G118</f>
        <v>40590424.210526429</v>
      </c>
      <c r="AD49" s="196">
        <f>$Y$49*'fleet &amp; energy forecasts'!H118</f>
        <v>40650285.787908815</v>
      </c>
      <c r="AE49" s="196">
        <f>$Y$49*'fleet &amp; energy forecasts'!I118</f>
        <v>40710147.365291193</v>
      </c>
      <c r="AF49" s="196">
        <f>$Y$49*'fleet &amp; energy forecasts'!J118</f>
        <v>40770008.942673564</v>
      </c>
      <c r="AG49" s="196">
        <f>$Y$49*'fleet &amp; energy forecasts'!K118</f>
        <v>40795558.867135234</v>
      </c>
      <c r="AH49" s="196">
        <f>$Y$49*'fleet &amp; energy forecasts'!L118</f>
        <v>40821108.791596897</v>
      </c>
      <c r="AI49" s="196">
        <f>$Y$49*'fleet &amp; energy forecasts'!M118</f>
        <v>40846658.71605856</v>
      </c>
      <c r="AJ49" s="196">
        <f>$Y$49*'fleet &amp; energy forecasts'!N118</f>
        <v>40872208.640520222</v>
      </c>
      <c r="AK49" s="196">
        <f>$Y$49*'fleet &amp; energy forecasts'!O118</f>
        <v>40897758.564981893</v>
      </c>
      <c r="AL49" s="196">
        <f>$Y$49*'fleet &amp; energy forecasts'!P118</f>
        <v>40825442.849044152</v>
      </c>
      <c r="AM49" s="196">
        <f>$Y$49*'fleet &amp; energy forecasts'!Q118</f>
        <v>40753127.133106403</v>
      </c>
      <c r="AN49" s="196">
        <f>$Y$49*'fleet &amp; energy forecasts'!R118</f>
        <v>40680811.417168647</v>
      </c>
      <c r="AO49" s="196">
        <f>$Y$49*'fleet &amp; energy forecasts'!S118</f>
        <v>40608495.701230913</v>
      </c>
      <c r="AP49" s="196">
        <f>$Y$49*'fleet &amp; energy forecasts'!T118</f>
        <v>40536179.985293135</v>
      </c>
      <c r="AQ49" s="196">
        <f>$Y$49*'fleet &amp; energy forecasts'!U118</f>
        <v>40307511.221150808</v>
      </c>
      <c r="AR49" s="196">
        <f>$Y$49*'fleet &amp; energy forecasts'!V118</f>
        <v>40078842.457008541</v>
      </c>
      <c r="AS49" s="196">
        <f>$Y$49*'fleet &amp; energy forecasts'!W118</f>
        <v>39850173.692866221</v>
      </c>
      <c r="AT49" s="196">
        <f>$Y$49*'fleet &amp; energy forecasts'!X118</f>
        <v>39621504.928723894</v>
      </c>
      <c r="AU49" s="196">
        <f>$Y$49*'fleet &amp; energy forecasts'!Y118</f>
        <v>39392836.164581574</v>
      </c>
      <c r="AV49" s="196">
        <f>$Y$49*'fleet &amp; energy forecasts'!Z118</f>
        <v>39100612.400991142</v>
      </c>
      <c r="AW49" s="196">
        <f>$Y$49*'fleet &amp; energy forecasts'!AA118</f>
        <v>38808388.637400709</v>
      </c>
      <c r="AX49" s="196">
        <f>$Y$49*'fleet &amp; energy forecasts'!AB118</f>
        <v>38516164.873810276</v>
      </c>
      <c r="AY49" s="196">
        <f>$Y$49*'fleet &amp; energy forecasts'!AC118</f>
        <v>38223941.110219851</v>
      </c>
      <c r="AZ49" s="196">
        <f>$Y$49*'fleet &amp; energy forecasts'!AD118</f>
        <v>37931717.346629418</v>
      </c>
    </row>
    <row r="50" spans="1:52">
      <c r="A50" s="4" t="s">
        <v>816</v>
      </c>
      <c r="C50" s="222"/>
      <c r="D50" s="222"/>
      <c r="E50" s="50">
        <f t="shared" ref="E50:N50" si="17">E33</f>
        <v>56.7</v>
      </c>
      <c r="F50" s="50">
        <f t="shared" si="17"/>
        <v>57.4</v>
      </c>
      <c r="G50" s="50">
        <f t="shared" si="17"/>
        <v>56.4</v>
      </c>
      <c r="H50" s="50">
        <f t="shared" si="17"/>
        <v>56.1</v>
      </c>
      <c r="I50" s="50">
        <f t="shared" si="17"/>
        <v>57.4</v>
      </c>
      <c r="J50" s="50">
        <f t="shared" si="17"/>
        <v>58.4</v>
      </c>
      <c r="K50" s="50">
        <f t="shared" si="17"/>
        <v>55.2</v>
      </c>
      <c r="L50" s="50">
        <f t="shared" si="17"/>
        <v>65.099999999999994</v>
      </c>
      <c r="M50" s="50">
        <f t="shared" si="17"/>
        <v>64.599999999999994</v>
      </c>
      <c r="N50" s="22">
        <f t="shared" si="17"/>
        <v>595808</v>
      </c>
      <c r="T50" s="4" t="s">
        <v>768</v>
      </c>
      <c r="U50" s="193">
        <f t="shared" si="11"/>
        <v>26906944</v>
      </c>
      <c r="V50" s="195">
        <f t="shared" si="12"/>
        <v>27156380</v>
      </c>
      <c r="W50" s="195">
        <f t="shared" si="13"/>
        <v>26891040</v>
      </c>
      <c r="X50" s="195">
        <f t="shared" si="14"/>
        <v>29567865</v>
      </c>
      <c r="Y50" s="193">
        <f t="shared" si="15"/>
        <v>27984334</v>
      </c>
      <c r="Z50" s="196">
        <f>$Y$50*'fleet &amp; energy forecasts'!D119</f>
        <v>28741222.850391496</v>
      </c>
      <c r="AA50" s="196">
        <f>$Y$50*'fleet &amp; energy forecasts'!E119</f>
        <v>29498111.700782992</v>
      </c>
      <c r="AB50" s="196">
        <f>$Y$50*'fleet &amp; energy forecasts'!F119</f>
        <v>29865546.030274201</v>
      </c>
      <c r="AC50" s="196">
        <f>$Y$50*'fleet &amp; energy forecasts'!G119</f>
        <v>30232980.35976541</v>
      </c>
      <c r="AD50" s="196">
        <f>$Y$50*'fleet &amp; energy forecasts'!H119</f>
        <v>30600414.689256627</v>
      </c>
      <c r="AE50" s="196">
        <f>$Y$50*'fleet &amp; energy forecasts'!I119</f>
        <v>30967849.01874784</v>
      </c>
      <c r="AF50" s="196">
        <f>$Y$50*'fleet &amp; energy forecasts'!J119</f>
        <v>31335283.348238975</v>
      </c>
      <c r="AG50" s="196">
        <f>$Y$50*'fleet &amp; energy forecasts'!K119</f>
        <v>31410744.792914927</v>
      </c>
      <c r="AH50" s="196">
        <f>$Y$50*'fleet &amp; energy forecasts'!L119</f>
        <v>31486206.237590853</v>
      </c>
      <c r="AI50" s="196">
        <f>$Y$50*'fleet &amp; energy forecasts'!M119</f>
        <v>31561667.682266805</v>
      </c>
      <c r="AJ50" s="196">
        <f>$Y$50*'fleet &amp; energy forecasts'!N119</f>
        <v>31637129.126942728</v>
      </c>
      <c r="AK50" s="196">
        <f>$Y$50*'fleet &amp; energy forecasts'!O119</f>
        <v>31712590.571618672</v>
      </c>
      <c r="AL50" s="196">
        <f>$Y$50*'fleet &amp; energy forecasts'!P119</f>
        <v>31744931.190765504</v>
      </c>
      <c r="AM50" s="196">
        <f>$Y$50*'fleet &amp; energy forecasts'!Q119</f>
        <v>31777271.809912328</v>
      </c>
      <c r="AN50" s="196">
        <f>$Y$50*'fleet &amp; energy forecasts'!R119</f>
        <v>31809612.42905917</v>
      </c>
      <c r="AO50" s="196">
        <f>$Y$50*'fleet &amp; energy forecasts'!S119</f>
        <v>31841953.048206002</v>
      </c>
      <c r="AP50" s="196">
        <f>$Y$50*'fleet &amp; energy forecasts'!T119</f>
        <v>31874293.66735287</v>
      </c>
      <c r="AQ50" s="196">
        <f>$Y$50*'fleet &amp; energy forecasts'!U119</f>
        <v>32009501.423944004</v>
      </c>
      <c r="AR50" s="196">
        <f>$Y$50*'fleet &amp; energy forecasts'!V119</f>
        <v>32144709.180535205</v>
      </c>
      <c r="AS50" s="196">
        <f>$Y$50*'fleet &amp; energy forecasts'!W119</f>
        <v>32279916.937126342</v>
      </c>
      <c r="AT50" s="196">
        <f>$Y$50*'fleet &amp; energy forecasts'!X119</f>
        <v>32415124.693717532</v>
      </c>
      <c r="AU50" s="196">
        <f>$Y$50*'fleet &amp; energy forecasts'!Y119</f>
        <v>32550332.450308677</v>
      </c>
      <c r="AV50" s="196">
        <f>$Y$50*'fleet &amp; energy forecasts'!Z119</f>
        <v>32517990.270461883</v>
      </c>
      <c r="AW50" s="196">
        <f>$Y$50*'fleet &amp; energy forecasts'!AA119</f>
        <v>32485648.090615083</v>
      </c>
      <c r="AX50" s="196">
        <f>$Y$50*'fleet &amp; energy forecasts'!AB119</f>
        <v>32453305.910768289</v>
      </c>
      <c r="AY50" s="196">
        <f>$Y$50*'fleet &amp; energy forecasts'!AC119</f>
        <v>32420963.730921492</v>
      </c>
      <c r="AZ50" s="196">
        <f>$Y$50*'fleet &amp; energy forecasts'!AD119</f>
        <v>32388621.551074699</v>
      </c>
    </row>
    <row r="51" spans="1:52">
      <c r="A51" s="4" t="s">
        <v>817</v>
      </c>
      <c r="C51" s="222"/>
      <c r="D51" s="222"/>
      <c r="E51" s="50">
        <f t="shared" ref="E51:N51" si="18">E35</f>
        <v>215.1</v>
      </c>
      <c r="F51" s="50">
        <f t="shared" si="18"/>
        <v>210.9</v>
      </c>
      <c r="G51" s="50">
        <f t="shared" si="18"/>
        <v>212.3</v>
      </c>
      <c r="H51" s="50">
        <f t="shared" si="18"/>
        <v>216.7</v>
      </c>
      <c r="I51" s="50">
        <f t="shared" si="18"/>
        <v>221.7</v>
      </c>
      <c r="J51" s="50">
        <f t="shared" si="18"/>
        <v>228.4</v>
      </c>
      <c r="K51" s="50">
        <f t="shared" si="18"/>
        <v>224.2</v>
      </c>
      <c r="L51" s="50">
        <f t="shared" si="18"/>
        <v>225.3</v>
      </c>
      <c r="M51" s="50">
        <f t="shared" si="18"/>
        <v>220.7</v>
      </c>
      <c r="N51" s="22">
        <f t="shared" si="18"/>
        <v>39781</v>
      </c>
      <c r="Z51" s="197" t="s">
        <v>1010</v>
      </c>
    </row>
    <row r="52" spans="1:52">
      <c r="A52" s="4" t="s">
        <v>818</v>
      </c>
      <c r="C52" s="222"/>
      <c r="D52" s="222"/>
      <c r="E52" s="50">
        <f t="shared" ref="E52:N52" si="19">E37</f>
        <v>28.7</v>
      </c>
      <c r="F52" s="50">
        <f t="shared" si="19"/>
        <v>29</v>
      </c>
      <c r="G52" s="50">
        <f t="shared" si="19"/>
        <v>30.2</v>
      </c>
      <c r="H52" s="50">
        <f t="shared" si="19"/>
        <v>30.4</v>
      </c>
      <c r="I52" s="50">
        <f t="shared" si="19"/>
        <v>32</v>
      </c>
      <c r="J52" s="50">
        <f t="shared" si="19"/>
        <v>31.6</v>
      </c>
      <c r="K52" s="50">
        <f t="shared" si="19"/>
        <v>31.1</v>
      </c>
      <c r="L52" s="50">
        <f t="shared" si="19"/>
        <v>30.3</v>
      </c>
      <c r="M52" s="50">
        <f t="shared" si="19"/>
        <v>28.7</v>
      </c>
      <c r="N52" s="22">
        <f t="shared" si="19"/>
        <v>54356</v>
      </c>
    </row>
    <row r="54" spans="1:52">
      <c r="V54" s="4" t="s">
        <v>771</v>
      </c>
      <c r="W54" s="4">
        <v>2021</v>
      </c>
    </row>
    <row r="55" spans="1:52">
      <c r="V55" s="4" t="s">
        <v>772</v>
      </c>
      <c r="W55" s="145">
        <v>4076090000</v>
      </c>
      <c r="Y55" s="4">
        <f>W47/V47</f>
        <v>1.1020819784226348</v>
      </c>
    </row>
    <row r="56" spans="1:52">
      <c r="V56" s="4" t="s">
        <v>773</v>
      </c>
      <c r="W56" s="145">
        <v>195263000</v>
      </c>
      <c r="Y56" s="4">
        <f>W48/V48</f>
        <v>0.8587945812543879</v>
      </c>
    </row>
    <row r="57" spans="1:52">
      <c r="V57" s="4" t="s">
        <v>774</v>
      </c>
      <c r="W57" s="145">
        <v>93549000000</v>
      </c>
    </row>
    <row r="58" spans="1:52">
      <c r="E58" s="50"/>
      <c r="V58" s="4" t="s">
        <v>775</v>
      </c>
      <c r="W58" s="145">
        <v>43617500000</v>
      </c>
    </row>
    <row r="59" spans="1:52" ht="15.75" thickBot="1">
      <c r="D59" s="4" t="s">
        <v>244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247</v>
      </c>
      <c r="V59" s="4" t="s">
        <v>776</v>
      </c>
      <c r="W59" s="145">
        <v>15287300000</v>
      </c>
    </row>
    <row r="60" spans="1:52">
      <c r="A60" s="222" t="s">
        <v>248</v>
      </c>
      <c r="B60" s="54" t="s">
        <v>819</v>
      </c>
      <c r="C60" s="55" t="s">
        <v>820</v>
      </c>
      <c r="D60" s="55"/>
      <c r="E60" s="55">
        <f t="shared" ref="E60:M60" si="20">SUMPRODUCT(E7:E9,$N$7:$N$9)/SUM($N$7:$N$9)</f>
        <v>34.510877611137104</v>
      </c>
      <c r="F60" s="55">
        <f t="shared" si="20"/>
        <v>32.994240789862069</v>
      </c>
      <c r="G60" s="55">
        <f t="shared" si="20"/>
        <v>33.550552397437002</v>
      </c>
      <c r="H60" s="55">
        <f t="shared" si="20"/>
        <v>33.2898364493957</v>
      </c>
      <c r="I60" s="55">
        <f t="shared" si="20"/>
        <v>32.773243442413921</v>
      </c>
      <c r="J60" s="55">
        <f t="shared" si="20"/>
        <v>32.350161663095797</v>
      </c>
      <c r="K60" s="55">
        <f t="shared" si="20"/>
        <v>32.17561907267109</v>
      </c>
      <c r="L60" s="55">
        <f t="shared" si="20"/>
        <v>31.768894823608317</v>
      </c>
      <c r="M60" s="55">
        <f t="shared" si="20"/>
        <v>30.632141659521576</v>
      </c>
      <c r="N60" s="56">
        <f>O7</f>
        <v>9960220</v>
      </c>
      <c r="V60" s="4" t="s">
        <v>777</v>
      </c>
      <c r="W60" s="145">
        <v>12322500000</v>
      </c>
    </row>
    <row r="61" spans="1:52">
      <c r="A61" s="222"/>
      <c r="B61" s="57" t="s">
        <v>819</v>
      </c>
      <c r="C61" s="4" t="s">
        <v>821</v>
      </c>
      <c r="E61" s="50">
        <f t="shared" ref="E61:M61" si="21">E12</f>
        <v>42.4</v>
      </c>
      <c r="F61" s="50">
        <f t="shared" si="21"/>
        <v>40.4</v>
      </c>
      <c r="G61" s="50">
        <f t="shared" si="21"/>
        <v>40.700000000000003</v>
      </c>
      <c r="H61" s="50">
        <f t="shared" si="21"/>
        <v>39.6</v>
      </c>
      <c r="I61" s="50">
        <f t="shared" si="21"/>
        <v>40.6</v>
      </c>
      <c r="J61" s="50">
        <f t="shared" si="21"/>
        <v>40.200000000000003</v>
      </c>
      <c r="K61" s="50">
        <f t="shared" si="21"/>
        <v>40.299999999999997</v>
      </c>
      <c r="L61" s="50">
        <f t="shared" si="21"/>
        <v>39.200000000000003</v>
      </c>
      <c r="M61" s="50">
        <f t="shared" si="21"/>
        <v>39.799999999999997</v>
      </c>
      <c r="N61" s="58">
        <f>O12</f>
        <v>3347573</v>
      </c>
      <c r="V61" s="4" t="s">
        <v>778</v>
      </c>
      <c r="W61" s="145">
        <v>283605000</v>
      </c>
    </row>
    <row r="62" spans="1:52" ht="15.75" thickBot="1">
      <c r="A62" s="222"/>
      <c r="B62" s="59" t="s">
        <v>249</v>
      </c>
      <c r="C62" s="60" t="s">
        <v>822</v>
      </c>
      <c r="D62" s="60"/>
      <c r="E62" s="60">
        <f t="shared" ref="E62:M62" si="22">SUMPRODUCT(E17:E18,$N$17:$N$18)/SUM($N$17:$N$18)</f>
        <v>40.552208726641176</v>
      </c>
      <c r="F62" s="60">
        <f t="shared" si="22"/>
        <v>35.578324528715299</v>
      </c>
      <c r="G62" s="60">
        <f t="shared" si="22"/>
        <v>39.595719811760006</v>
      </c>
      <c r="H62" s="60">
        <f t="shared" si="22"/>
        <v>36.347905660894121</v>
      </c>
      <c r="I62" s="60">
        <f t="shared" si="22"/>
        <v>38.591370990998826</v>
      </c>
      <c r="J62" s="60">
        <f t="shared" si="22"/>
        <v>36.082696226983536</v>
      </c>
      <c r="K62" s="60">
        <f t="shared" si="22"/>
        <v>36.72616155708824</v>
      </c>
      <c r="L62" s="60">
        <f t="shared" si="22"/>
        <v>34.408789151550593</v>
      </c>
      <c r="M62" s="60">
        <f t="shared" si="22"/>
        <v>35.226138679581183</v>
      </c>
      <c r="N62" s="61">
        <f>O17</f>
        <v>620697</v>
      </c>
    </row>
    <row r="63" spans="1:52">
      <c r="A63" s="222" t="s">
        <v>250</v>
      </c>
      <c r="B63" s="54" t="s">
        <v>819</v>
      </c>
      <c r="C63" s="55" t="s">
        <v>823</v>
      </c>
      <c r="D63" s="55"/>
      <c r="E63" s="62">
        <f t="shared" ref="E63:M63" si="23">E10</f>
        <v>42.7</v>
      </c>
      <c r="F63" s="62">
        <f t="shared" si="23"/>
        <v>40.299999999999997</v>
      </c>
      <c r="G63" s="62">
        <f t="shared" si="23"/>
        <v>40.6</v>
      </c>
      <c r="H63" s="62">
        <f t="shared" si="23"/>
        <v>39.5</v>
      </c>
      <c r="I63" s="62">
        <f t="shared" si="23"/>
        <v>39.700000000000003</v>
      </c>
      <c r="J63" s="62">
        <f t="shared" si="23"/>
        <v>38.9</v>
      </c>
      <c r="K63" s="62">
        <f t="shared" si="23"/>
        <v>38.700000000000003</v>
      </c>
      <c r="L63" s="62">
        <f t="shared" si="23"/>
        <v>36.6</v>
      </c>
      <c r="M63" s="62">
        <f t="shared" si="23"/>
        <v>36.200000000000003</v>
      </c>
      <c r="N63" s="56">
        <f>O10</f>
        <v>3744237</v>
      </c>
    </row>
    <row r="64" spans="1:52">
      <c r="A64" s="222"/>
      <c r="B64" s="57" t="s">
        <v>819</v>
      </c>
      <c r="C64" s="4" t="s">
        <v>824</v>
      </c>
      <c r="E64" s="50">
        <f t="shared" ref="E64:M65" si="24">E13</f>
        <v>42.7</v>
      </c>
      <c r="F64" s="50">
        <f t="shared" si="24"/>
        <v>41.6</v>
      </c>
      <c r="G64" s="50">
        <f t="shared" si="24"/>
        <v>40.799999999999997</v>
      </c>
      <c r="H64" s="50">
        <f t="shared" si="24"/>
        <v>40.4</v>
      </c>
      <c r="I64" s="50">
        <f t="shared" si="24"/>
        <v>39.9</v>
      </c>
      <c r="J64" s="50">
        <f t="shared" si="24"/>
        <v>39.700000000000003</v>
      </c>
      <c r="K64" s="50">
        <f t="shared" si="24"/>
        <v>39</v>
      </c>
      <c r="L64" s="50">
        <f t="shared" si="24"/>
        <v>38.9</v>
      </c>
      <c r="M64" s="50">
        <f t="shared" si="24"/>
        <v>38.1</v>
      </c>
      <c r="N64" s="58">
        <f>N13</f>
        <v>1579643</v>
      </c>
    </row>
    <row r="65" spans="1:15">
      <c r="A65" s="222"/>
      <c r="B65" s="57" t="s">
        <v>819</v>
      </c>
      <c r="C65" s="4" t="s">
        <v>825</v>
      </c>
      <c r="E65" s="50">
        <f t="shared" si="24"/>
        <v>39.799999999999997</v>
      </c>
      <c r="F65" s="50">
        <f t="shared" si="24"/>
        <v>38.1</v>
      </c>
      <c r="G65" s="50">
        <f t="shared" si="24"/>
        <v>36.9</v>
      </c>
      <c r="H65" s="50">
        <f t="shared" si="24"/>
        <v>36.299999999999997</v>
      </c>
      <c r="I65" s="50">
        <f t="shared" si="24"/>
        <v>36.6</v>
      </c>
      <c r="J65" s="50">
        <f t="shared" si="24"/>
        <v>36.6</v>
      </c>
      <c r="K65" s="50">
        <f t="shared" si="24"/>
        <v>37.200000000000003</v>
      </c>
      <c r="L65" s="50">
        <f t="shared" si="24"/>
        <v>37.700000000000003</v>
      </c>
      <c r="M65" s="50">
        <f t="shared" si="24"/>
        <v>38.6</v>
      </c>
      <c r="N65" s="58">
        <f>N14</f>
        <v>1229282</v>
      </c>
    </row>
    <row r="66" spans="1:15">
      <c r="A66" s="222"/>
      <c r="B66" s="57" t="s">
        <v>249</v>
      </c>
      <c r="C66" s="4" t="s">
        <v>823</v>
      </c>
      <c r="E66" s="50">
        <f>E19</f>
        <v>201</v>
      </c>
      <c r="F66" s="50">
        <f t="shared" ref="F66:M67" si="25">F19</f>
        <v>194.8</v>
      </c>
      <c r="G66" s="50">
        <f t="shared" si="25"/>
        <v>193.1</v>
      </c>
      <c r="H66" s="50">
        <f t="shared" si="25"/>
        <v>191.1</v>
      </c>
      <c r="I66" s="50">
        <f t="shared" si="25"/>
        <v>193.1</v>
      </c>
      <c r="J66" s="50">
        <f t="shared" si="25"/>
        <v>195</v>
      </c>
      <c r="K66" s="50">
        <f t="shared" si="25"/>
        <v>193.3</v>
      </c>
      <c r="L66" s="50">
        <f t="shared" si="25"/>
        <v>191.4</v>
      </c>
      <c r="M66" s="50">
        <f t="shared" si="25"/>
        <v>173.9</v>
      </c>
      <c r="N66" s="58">
        <f>N19</f>
        <v>126173</v>
      </c>
    </row>
    <row r="67" spans="1:15" ht="15.75" thickBot="1">
      <c r="A67" s="222"/>
      <c r="B67" s="59" t="s">
        <v>249</v>
      </c>
      <c r="C67" s="60" t="s">
        <v>826</v>
      </c>
      <c r="D67" s="60"/>
      <c r="E67" s="63">
        <f>E20</f>
        <v>42.4</v>
      </c>
      <c r="F67" s="63">
        <f t="shared" si="25"/>
        <v>42.3</v>
      </c>
      <c r="G67" s="63">
        <f t="shared" si="25"/>
        <v>43.1</v>
      </c>
      <c r="H67" s="63">
        <f t="shared" si="25"/>
        <v>43.3</v>
      </c>
      <c r="I67" s="63">
        <f t="shared" si="25"/>
        <v>42.7</v>
      </c>
      <c r="J67" s="63">
        <f t="shared" si="25"/>
        <v>39.1</v>
      </c>
      <c r="K67" s="63">
        <f t="shared" si="25"/>
        <v>33.1</v>
      </c>
      <c r="L67" s="63">
        <f t="shared" si="25"/>
        <v>28.2</v>
      </c>
      <c r="M67" s="63">
        <f t="shared" si="25"/>
        <v>25.2</v>
      </c>
      <c r="N67" s="61">
        <f>N20</f>
        <v>36972</v>
      </c>
    </row>
    <row r="70" spans="1:15">
      <c r="B70" s="82" t="s">
        <v>251</v>
      </c>
    </row>
    <row r="71" spans="1:15" ht="15.75" thickBot="1"/>
    <row r="72" spans="1:15" ht="15.75" thickBot="1">
      <c r="B72" s="223" t="s">
        <v>252</v>
      </c>
      <c r="C72" s="55" t="s">
        <v>253</v>
      </c>
      <c r="D72" s="55"/>
      <c r="E72" s="55">
        <f>SUMPRODUCT(E60:E62,$N$60:$N$62)/SUM($N$60:$N$62)</f>
        <v>36.676169699658757</v>
      </c>
      <c r="F72" s="55">
        <f t="shared" ref="F72:M72" si="26">SUMPRODUCT(F60:F62,$N$60:$N$62)/SUM($N$60:$N$62)</f>
        <v>34.889295645113002</v>
      </c>
      <c r="G72" s="55">
        <f t="shared" si="26"/>
        <v>35.538242020491815</v>
      </c>
      <c r="H72" s="55">
        <f t="shared" si="26"/>
        <v>34.942698138850666</v>
      </c>
      <c r="I72" s="55">
        <f t="shared" si="26"/>
        <v>34.913599880532637</v>
      </c>
      <c r="J72" s="55">
        <f t="shared" si="26"/>
        <v>34.403125040833579</v>
      </c>
      <c r="K72" s="55">
        <f t="shared" si="26"/>
        <v>34.331018997752089</v>
      </c>
      <c r="L72" s="55">
        <f t="shared" si="26"/>
        <v>33.672528421961033</v>
      </c>
      <c r="M72" s="55">
        <f t="shared" si="26"/>
        <v>33.04026739438374</v>
      </c>
      <c r="N72" s="78">
        <f>(M72/E72)^(1/8)-1</f>
        <v>-1.2965239605864154E-2</v>
      </c>
    </row>
    <row r="73" spans="1:15" ht="15.75" thickBot="1">
      <c r="B73" s="224"/>
      <c r="C73" s="60" t="s">
        <v>254</v>
      </c>
      <c r="D73" s="60"/>
      <c r="E73" s="60">
        <f>SUMPRODUCT(E63:E67,$N$63:$N$67)/SUM($N$63:$N$67)</f>
        <v>45.141397705614118</v>
      </c>
      <c r="F73" s="60">
        <f t="shared" ref="F73:M73" si="27">SUMPRODUCT(F63:F67,$N$63:$N$67)/SUM($N$63:$N$67)</f>
        <v>43.116546057230565</v>
      </c>
      <c r="G73" s="60">
        <f t="shared" si="27"/>
        <v>42.848467453914786</v>
      </c>
      <c r="H73" s="60">
        <f t="shared" si="27"/>
        <v>41.994867596135791</v>
      </c>
      <c r="I73" s="60">
        <f t="shared" si="27"/>
        <v>42.0779449926872</v>
      </c>
      <c r="J73" s="60">
        <f t="shared" si="27"/>
        <v>41.600794573565494</v>
      </c>
      <c r="K73" s="60">
        <f t="shared" si="27"/>
        <v>41.369513543678089</v>
      </c>
      <c r="L73" s="60">
        <f t="shared" si="27"/>
        <v>40.204124215882324</v>
      </c>
      <c r="M73" s="60">
        <f t="shared" si="27"/>
        <v>39.612430164374565</v>
      </c>
      <c r="N73" s="78">
        <f>(M73/E73)^(1/8)-1</f>
        <v>-1.61994510012895E-2</v>
      </c>
    </row>
    <row r="74" spans="1:15" ht="15.75" thickBot="1">
      <c r="B74" s="228" t="s">
        <v>255</v>
      </c>
      <c r="C74" s="4" t="s">
        <v>253</v>
      </c>
      <c r="E74" s="4">
        <f t="shared" ref="E74:M74" si="28">SUMPRODUCT(E40:E46,$N$40:$N$46)/SUM($N$40:$N$46)</f>
        <v>43.787516887054785</v>
      </c>
      <c r="F74" s="4">
        <f t="shared" si="28"/>
        <v>43.498841542816649</v>
      </c>
      <c r="G74" s="4">
        <f t="shared" si="28"/>
        <v>43.244383778394464</v>
      </c>
      <c r="H74" s="4">
        <f t="shared" si="28"/>
        <v>43.778818285884682</v>
      </c>
      <c r="I74" s="4">
        <f t="shared" si="28"/>
        <v>43.314622221169387</v>
      </c>
      <c r="J74" s="4">
        <f t="shared" si="28"/>
        <v>43.668210428553216</v>
      </c>
      <c r="K74" s="4">
        <f t="shared" si="28"/>
        <v>42.75769283292145</v>
      </c>
      <c r="L74" s="4">
        <f t="shared" si="28"/>
        <v>40.397778259297375</v>
      </c>
      <c r="M74" s="4">
        <f t="shared" si="28"/>
        <v>40.471003629279771</v>
      </c>
      <c r="N74" s="78">
        <f>(M74/E74)^(1/8)-1</f>
        <v>-9.7970699721111609E-3</v>
      </c>
    </row>
    <row r="75" spans="1:15" ht="15.75" thickBot="1">
      <c r="B75" s="224"/>
      <c r="C75" s="60" t="s">
        <v>254</v>
      </c>
      <c r="D75" s="60"/>
      <c r="E75" s="60">
        <f t="shared" ref="E75:M75" si="29">SUMPRODUCT(E48:E52,$N$48:$N$52)/SUM($N$48:$N$52)</f>
        <v>75.381034515188574</v>
      </c>
      <c r="F75" s="60">
        <f t="shared" si="29"/>
        <v>75.697267351641102</v>
      </c>
      <c r="G75" s="60">
        <f t="shared" si="29"/>
        <v>75.493256841907268</v>
      </c>
      <c r="H75" s="60">
        <f t="shared" si="29"/>
        <v>75.755683485375712</v>
      </c>
      <c r="I75" s="60">
        <f t="shared" si="29"/>
        <v>77.028175844070347</v>
      </c>
      <c r="J75" s="60">
        <f t="shared" si="29"/>
        <v>78.635106155365364</v>
      </c>
      <c r="K75" s="60">
        <f t="shared" si="29"/>
        <v>75.758507594281951</v>
      </c>
      <c r="L75" s="60">
        <f t="shared" si="29"/>
        <v>82.52736339697168</v>
      </c>
      <c r="M75" s="60">
        <f t="shared" si="29"/>
        <v>81.556965343741183</v>
      </c>
      <c r="N75" s="79">
        <f>(M75/E75)^(1/8)-1</f>
        <v>9.8918573620419004E-3</v>
      </c>
    </row>
    <row r="76" spans="1:15" ht="15.75" thickBot="1"/>
    <row r="77" spans="1:15" ht="16.5" thickTop="1" thickBot="1">
      <c r="B77" s="223" t="s">
        <v>252</v>
      </c>
      <c r="C77" s="55" t="s">
        <v>253</v>
      </c>
      <c r="D77" s="55"/>
      <c r="E77" s="80">
        <v>1458</v>
      </c>
      <c r="F77" s="80">
        <v>1508</v>
      </c>
      <c r="G77" s="80">
        <v>1575</v>
      </c>
      <c r="H77" s="80">
        <v>1656</v>
      </c>
      <c r="I77" s="80">
        <v>1734</v>
      </c>
      <c r="J77" s="80">
        <v>1804</v>
      </c>
      <c r="K77" s="80">
        <v>1868</v>
      </c>
      <c r="L77" s="80">
        <v>1918</v>
      </c>
      <c r="M77" s="80">
        <v>1986</v>
      </c>
      <c r="N77" s="78">
        <f>(M77/E77)^(1/8)-1</f>
        <v>3.938803960192172E-2</v>
      </c>
      <c r="O77" s="25"/>
    </row>
    <row r="78" spans="1:15" ht="16.5" thickTop="1" thickBot="1">
      <c r="B78" s="224"/>
      <c r="C78" s="60" t="s">
        <v>254</v>
      </c>
      <c r="D78" s="55"/>
      <c r="E78" s="81">
        <v>99</v>
      </c>
      <c r="F78" s="81">
        <v>97</v>
      </c>
      <c r="G78" s="81">
        <v>95</v>
      </c>
      <c r="H78" s="81">
        <v>92</v>
      </c>
      <c r="I78" s="81">
        <v>89</v>
      </c>
      <c r="J78" s="81">
        <v>87</v>
      </c>
      <c r="K78" s="81">
        <v>84</v>
      </c>
      <c r="L78" s="81">
        <v>81</v>
      </c>
      <c r="M78" s="81">
        <v>78</v>
      </c>
      <c r="N78" s="78">
        <f>(M78/E78)^(1/8)-1</f>
        <v>-2.9361695407744359E-2</v>
      </c>
      <c r="O78" s="25"/>
    </row>
    <row r="79" spans="1:15" ht="16.5" thickTop="1" thickBot="1">
      <c r="B79" s="228" t="s">
        <v>255</v>
      </c>
      <c r="C79" s="4" t="s">
        <v>253</v>
      </c>
      <c r="D79" s="55"/>
      <c r="E79" s="81">
        <v>324</v>
      </c>
      <c r="F79" s="81">
        <v>329</v>
      </c>
      <c r="G79" s="81">
        <v>335</v>
      </c>
      <c r="H79" s="81">
        <v>343</v>
      </c>
      <c r="I79" s="81">
        <v>349</v>
      </c>
      <c r="J79" s="81">
        <v>354</v>
      </c>
      <c r="K79" s="81">
        <v>359</v>
      </c>
      <c r="L79" s="81">
        <v>359</v>
      </c>
      <c r="M79" s="81">
        <v>362</v>
      </c>
      <c r="N79" s="78">
        <f>(M79/E79)^(1/8)-1</f>
        <v>1.3959118205026488E-2</v>
      </c>
      <c r="O79" s="25"/>
    </row>
    <row r="80" spans="1:15" ht="16.5" thickTop="1" thickBot="1">
      <c r="B80" s="224"/>
      <c r="C80" s="60" t="s">
        <v>254</v>
      </c>
      <c r="D80" s="55"/>
      <c r="E80" s="81">
        <v>324</v>
      </c>
      <c r="F80" s="81">
        <v>329</v>
      </c>
      <c r="G80" s="81">
        <v>335</v>
      </c>
      <c r="H80" s="81">
        <v>343</v>
      </c>
      <c r="I80" s="81">
        <v>349</v>
      </c>
      <c r="J80" s="81">
        <v>354</v>
      </c>
      <c r="K80" s="81">
        <v>359</v>
      </c>
      <c r="L80" s="81">
        <v>359</v>
      </c>
      <c r="M80" s="81">
        <v>362</v>
      </c>
      <c r="N80" s="79">
        <f>(M80/E80)^(1/8)-1</f>
        <v>1.3959118205026488E-2</v>
      </c>
      <c r="O80" s="25"/>
    </row>
    <row r="81" spans="2:36" ht="15.7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256</v>
      </c>
    </row>
    <row r="82" spans="2:36" ht="16.5" thickTop="1" thickBot="1">
      <c r="B82" s="223" t="s">
        <v>252</v>
      </c>
      <c r="C82" s="55" t="s">
        <v>253</v>
      </c>
      <c r="D82" s="55"/>
      <c r="E82" s="80">
        <f>E72*E77</f>
        <v>53473.855422102468</v>
      </c>
      <c r="F82" s="80">
        <f t="shared" ref="F82:M82" si="30">F72*F77</f>
        <v>52613.057832830404</v>
      </c>
      <c r="G82" s="80">
        <f t="shared" si="30"/>
        <v>55972.731182274605</v>
      </c>
      <c r="H82" s="80">
        <f t="shared" si="30"/>
        <v>57865.108117936703</v>
      </c>
      <c r="I82" s="80">
        <f t="shared" si="30"/>
        <v>60540.182192843589</v>
      </c>
      <c r="J82" s="80">
        <f t="shared" si="30"/>
        <v>62063.237573663777</v>
      </c>
      <c r="K82" s="80">
        <f t="shared" si="30"/>
        <v>64130.343487800899</v>
      </c>
      <c r="L82" s="80">
        <f t="shared" si="30"/>
        <v>64583.909513321261</v>
      </c>
      <c r="M82" s="80">
        <f t="shared" si="30"/>
        <v>65617.9710452461</v>
      </c>
      <c r="N82" s="78">
        <f>(M82/E82)^(1/8)-1</f>
        <v>2.5912124625013355E-2</v>
      </c>
      <c r="O82" s="25">
        <f>(M82-E82)/8</f>
        <v>1518.0144528929541</v>
      </c>
    </row>
    <row r="83" spans="2:36" ht="16.5" thickTop="1" thickBot="1">
      <c r="B83" s="224"/>
      <c r="C83" s="60" t="s">
        <v>254</v>
      </c>
      <c r="D83" s="55"/>
      <c r="E83" s="80">
        <f t="shared" ref="E83:M85" si="31">E73*E78</f>
        <v>4468.9983728557972</v>
      </c>
      <c r="F83" s="80">
        <f t="shared" si="31"/>
        <v>4182.3049675513648</v>
      </c>
      <c r="G83" s="80">
        <f t="shared" si="31"/>
        <v>4070.6044081219047</v>
      </c>
      <c r="H83" s="80">
        <f t="shared" si="31"/>
        <v>3863.5278188444927</v>
      </c>
      <c r="I83" s="80">
        <f t="shared" si="31"/>
        <v>3744.937104349161</v>
      </c>
      <c r="J83" s="80">
        <f t="shared" si="31"/>
        <v>3619.2691279001979</v>
      </c>
      <c r="K83" s="80">
        <f t="shared" si="31"/>
        <v>3475.0391376689595</v>
      </c>
      <c r="L83" s="80">
        <f t="shared" si="31"/>
        <v>3256.5340614864681</v>
      </c>
      <c r="M83" s="80">
        <f t="shared" si="31"/>
        <v>3089.7695528212162</v>
      </c>
      <c r="N83" s="78">
        <f>(M83/E83)^(1/8)-1</f>
        <v>-4.508550306296133E-2</v>
      </c>
      <c r="O83" s="25">
        <f>(M83-E83)/8</f>
        <v>-172.40360250432263</v>
      </c>
    </row>
    <row r="84" spans="2:36" ht="16.5" thickTop="1" thickBot="1">
      <c r="B84" s="228" t="s">
        <v>255</v>
      </c>
      <c r="C84" s="4" t="s">
        <v>253</v>
      </c>
      <c r="D84" s="55"/>
      <c r="E84" s="80">
        <f t="shared" si="31"/>
        <v>14187.155471405751</v>
      </c>
      <c r="F84" s="80">
        <f t="shared" si="31"/>
        <v>14311.118867586678</v>
      </c>
      <c r="G84" s="80">
        <f t="shared" si="31"/>
        <v>14486.868565762146</v>
      </c>
      <c r="H84" s="80">
        <f t="shared" si="31"/>
        <v>15016.134672058446</v>
      </c>
      <c r="I84" s="80">
        <f t="shared" si="31"/>
        <v>15116.803155188116</v>
      </c>
      <c r="J84" s="80">
        <f t="shared" si="31"/>
        <v>15458.546491707839</v>
      </c>
      <c r="K84" s="80">
        <f t="shared" si="31"/>
        <v>15350.0117270188</v>
      </c>
      <c r="L84" s="80">
        <f t="shared" si="31"/>
        <v>14502.802395087758</v>
      </c>
      <c r="M84" s="80">
        <f t="shared" si="31"/>
        <v>14650.503313799278</v>
      </c>
      <c r="N84" s="78">
        <f>(M84/E84)^(1/8)-1</f>
        <v>4.025289775111629E-3</v>
      </c>
      <c r="O84" s="25">
        <f>(M84-E84)/8</f>
        <v>57.918480299190833</v>
      </c>
    </row>
    <row r="85" spans="2:36" ht="16.5" thickTop="1" thickBot="1">
      <c r="B85" s="224"/>
      <c r="C85" s="60" t="s">
        <v>254</v>
      </c>
      <c r="D85" s="55"/>
      <c r="E85" s="80">
        <f t="shared" si="31"/>
        <v>24423.455182921098</v>
      </c>
      <c r="F85" s="80">
        <f t="shared" si="31"/>
        <v>24904.400958689923</v>
      </c>
      <c r="G85" s="80">
        <f t="shared" si="31"/>
        <v>25290.241042038935</v>
      </c>
      <c r="H85" s="80">
        <f t="shared" si="31"/>
        <v>25984.199435483868</v>
      </c>
      <c r="I85" s="80">
        <f t="shared" si="31"/>
        <v>26882.833369580552</v>
      </c>
      <c r="J85" s="80">
        <f t="shared" si="31"/>
        <v>27836.827578999339</v>
      </c>
      <c r="K85" s="80">
        <f t="shared" si="31"/>
        <v>27197.30422634722</v>
      </c>
      <c r="L85" s="80">
        <f t="shared" si="31"/>
        <v>29627.323459512834</v>
      </c>
      <c r="M85" s="80">
        <f t="shared" si="31"/>
        <v>29523.621454434309</v>
      </c>
      <c r="N85" s="79">
        <f>(M85/E85)^(1/8)-1</f>
        <v>2.3989057173252171E-2</v>
      </c>
      <c r="O85" s="25">
        <f>(M85-E85)/8</f>
        <v>637.52078393915144</v>
      </c>
    </row>
    <row r="88" spans="2:36" ht="15.7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.75" thickBot="1">
      <c r="B89" s="223" t="s">
        <v>252</v>
      </c>
      <c r="C89" s="55" t="s">
        <v>253</v>
      </c>
      <c r="D89" s="55"/>
      <c r="E89" s="45">
        <f>L82</f>
        <v>64583.909513321261</v>
      </c>
      <c r="F89" s="45">
        <f>E89+$O82</f>
        <v>66101.923966214221</v>
      </c>
      <c r="G89" s="45">
        <f t="shared" ref="G89:AJ92" si="32">F89+$O82</f>
        <v>67619.938419107173</v>
      </c>
      <c r="H89" s="45">
        <f t="shared" si="32"/>
        <v>69137.952872000125</v>
      </c>
      <c r="I89" s="45">
        <f t="shared" si="32"/>
        <v>70655.967324893078</v>
      </c>
      <c r="J89" s="45">
        <f t="shared" si="32"/>
        <v>72173.98177778603</v>
      </c>
      <c r="K89" s="45">
        <f t="shared" si="32"/>
        <v>73691.996230678982</v>
      </c>
      <c r="L89" s="45">
        <f t="shared" si="32"/>
        <v>75210.010683571934</v>
      </c>
      <c r="M89" s="45">
        <f t="shared" si="32"/>
        <v>76728.025136464887</v>
      </c>
      <c r="N89" s="45">
        <f t="shared" si="32"/>
        <v>78246.039589357839</v>
      </c>
      <c r="O89" s="45">
        <f t="shared" si="32"/>
        <v>79764.054042250791</v>
      </c>
      <c r="P89" s="45">
        <f t="shared" si="32"/>
        <v>81282.068495143743</v>
      </c>
      <c r="Q89" s="45">
        <f t="shared" si="32"/>
        <v>82800.082948036696</v>
      </c>
      <c r="R89" s="45">
        <f t="shared" si="32"/>
        <v>84318.097400929648</v>
      </c>
      <c r="S89" s="45">
        <f t="shared" si="32"/>
        <v>85836.1118538226</v>
      </c>
      <c r="T89" s="45">
        <f t="shared" si="32"/>
        <v>87354.126306715552</v>
      </c>
      <c r="U89" s="45">
        <f t="shared" si="32"/>
        <v>88872.140759608505</v>
      </c>
      <c r="V89" s="45">
        <f t="shared" si="32"/>
        <v>90390.155212501457</v>
      </c>
      <c r="W89" s="45">
        <f t="shared" si="32"/>
        <v>91908.169665394409</v>
      </c>
      <c r="X89" s="45">
        <f t="shared" si="32"/>
        <v>93426.184118287361</v>
      </c>
      <c r="Y89" s="45">
        <f t="shared" si="32"/>
        <v>94944.198571180314</v>
      </c>
      <c r="Z89" s="45">
        <f t="shared" si="32"/>
        <v>96462.213024073266</v>
      </c>
      <c r="AA89" s="45">
        <f t="shared" si="32"/>
        <v>97980.227476966218</v>
      </c>
      <c r="AB89" s="45">
        <f t="shared" si="32"/>
        <v>99498.24192985917</v>
      </c>
      <c r="AC89" s="45">
        <f t="shared" si="32"/>
        <v>101016.25638275212</v>
      </c>
      <c r="AD89" s="45">
        <f t="shared" si="32"/>
        <v>102534.27083564507</v>
      </c>
      <c r="AE89" s="45">
        <f t="shared" si="32"/>
        <v>104052.28528853803</v>
      </c>
      <c r="AF89" s="45">
        <f t="shared" si="32"/>
        <v>105570.29974143098</v>
      </c>
      <c r="AG89" s="45">
        <f t="shared" si="32"/>
        <v>107088.31419432393</v>
      </c>
      <c r="AH89" s="45">
        <f t="shared" si="32"/>
        <v>108606.32864721688</v>
      </c>
      <c r="AI89" s="45">
        <f t="shared" si="32"/>
        <v>110124.34310010984</v>
      </c>
      <c r="AJ89" s="45">
        <f t="shared" si="32"/>
        <v>111642.35755300279</v>
      </c>
    </row>
    <row r="90" spans="2:36" ht="15.75" thickBot="1">
      <c r="B90" s="224"/>
      <c r="C90" s="60" t="s">
        <v>254</v>
      </c>
      <c r="D90" s="55"/>
      <c r="E90" s="45">
        <f>L83</f>
        <v>3256.5340614864681</v>
      </c>
      <c r="F90" s="45">
        <f>E90+$O83</f>
        <v>3084.1304589821457</v>
      </c>
      <c r="G90" s="45">
        <f t="shared" ref="G90:U90" si="33">F90+$O83</f>
        <v>2911.7268564778233</v>
      </c>
      <c r="H90" s="45">
        <f t="shared" si="33"/>
        <v>2739.3232539735009</v>
      </c>
      <c r="I90" s="45">
        <f t="shared" si="33"/>
        <v>2566.9196514691785</v>
      </c>
      <c r="J90" s="45">
        <f t="shared" si="33"/>
        <v>2394.5160489648561</v>
      </c>
      <c r="K90" s="45">
        <f t="shared" si="33"/>
        <v>2222.1124464605336</v>
      </c>
      <c r="L90" s="45">
        <f t="shared" si="33"/>
        <v>2049.7088439562112</v>
      </c>
      <c r="M90" s="45">
        <f t="shared" si="33"/>
        <v>1877.3052414518886</v>
      </c>
      <c r="N90" s="45">
        <f t="shared" si="33"/>
        <v>1704.901638947566</v>
      </c>
      <c r="O90" s="45">
        <f t="shared" si="33"/>
        <v>1532.4980364432433</v>
      </c>
      <c r="P90" s="45">
        <f t="shared" si="33"/>
        <v>1360.0944339389207</v>
      </c>
      <c r="Q90" s="45">
        <f t="shared" si="33"/>
        <v>1187.6908314345981</v>
      </c>
      <c r="R90" s="45">
        <f t="shared" si="33"/>
        <v>1015.2872289302754</v>
      </c>
      <c r="S90" s="45">
        <f t="shared" si="33"/>
        <v>842.8836264259528</v>
      </c>
      <c r="T90" s="45">
        <f t="shared" si="33"/>
        <v>670.48002392163016</v>
      </c>
      <c r="U90" s="45">
        <f t="shared" si="33"/>
        <v>498.07642141730753</v>
      </c>
      <c r="V90" s="45">
        <f t="shared" si="32"/>
        <v>325.67281891298489</v>
      </c>
      <c r="W90" s="45">
        <f t="shared" si="32"/>
        <v>153.26921640866226</v>
      </c>
      <c r="X90" s="45">
        <f t="shared" si="32"/>
        <v>-19.134386095660375</v>
      </c>
      <c r="Y90" s="45">
        <f t="shared" si="32"/>
        <v>-191.53798859998301</v>
      </c>
      <c r="Z90" s="45">
        <f t="shared" si="32"/>
        <v>-363.94159110430564</v>
      </c>
      <c r="AA90" s="45">
        <f t="shared" si="32"/>
        <v>-536.34519360862828</v>
      </c>
      <c r="AB90" s="45">
        <f t="shared" si="32"/>
        <v>-708.74879611295091</v>
      </c>
      <c r="AC90" s="45">
        <f t="shared" si="32"/>
        <v>-881.15239861727355</v>
      </c>
      <c r="AD90" s="45">
        <f t="shared" si="32"/>
        <v>-1053.5560011215962</v>
      </c>
      <c r="AE90" s="45">
        <f t="shared" si="32"/>
        <v>-1225.9596036259188</v>
      </c>
      <c r="AF90" s="45">
        <f t="shared" si="32"/>
        <v>-1398.3632061302415</v>
      </c>
      <c r="AG90" s="45">
        <f t="shared" si="32"/>
        <v>-1570.7668086345641</v>
      </c>
      <c r="AH90" s="45">
        <f t="shared" si="32"/>
        <v>-1743.1704111388867</v>
      </c>
      <c r="AI90" s="45">
        <f t="shared" si="32"/>
        <v>-1915.5740136432094</v>
      </c>
      <c r="AJ90" s="45">
        <f t="shared" si="32"/>
        <v>-2087.977616147532</v>
      </c>
    </row>
    <row r="91" spans="2:36" ht="15.75" thickBot="1">
      <c r="B91" s="228" t="s">
        <v>255</v>
      </c>
      <c r="C91" s="4" t="s">
        <v>253</v>
      </c>
      <c r="D91" s="55"/>
      <c r="E91" s="45">
        <f>L84</f>
        <v>14502.802395087758</v>
      </c>
      <c r="F91" s="45">
        <f>E91+$O84</f>
        <v>14560.720875386949</v>
      </c>
      <c r="G91" s="45">
        <f t="shared" si="32"/>
        <v>14618.63935568614</v>
      </c>
      <c r="H91" s="45">
        <f t="shared" si="32"/>
        <v>14676.557835985332</v>
      </c>
      <c r="I91" s="45">
        <f t="shared" si="32"/>
        <v>14734.476316284523</v>
      </c>
      <c r="J91" s="45">
        <f t="shared" si="32"/>
        <v>14792.394796583714</v>
      </c>
      <c r="K91" s="45">
        <f t="shared" si="32"/>
        <v>14850.313276882905</v>
      </c>
      <c r="L91" s="45">
        <f t="shared" si="32"/>
        <v>14908.231757182097</v>
      </c>
      <c r="M91" s="45">
        <f t="shared" si="32"/>
        <v>14966.150237481288</v>
      </c>
      <c r="N91" s="45">
        <f t="shared" si="32"/>
        <v>15024.068717780479</v>
      </c>
      <c r="O91" s="45">
        <f t="shared" si="32"/>
        <v>15081.987198079671</v>
      </c>
      <c r="P91" s="45">
        <f t="shared" si="32"/>
        <v>15139.905678378862</v>
      </c>
      <c r="Q91" s="45">
        <f t="shared" si="32"/>
        <v>15197.824158678053</v>
      </c>
      <c r="R91" s="45">
        <f t="shared" si="32"/>
        <v>15255.742638977244</v>
      </c>
      <c r="S91" s="45">
        <f t="shared" si="32"/>
        <v>15313.661119276436</v>
      </c>
      <c r="T91" s="45">
        <f t="shared" si="32"/>
        <v>15371.579599575627</v>
      </c>
      <c r="U91" s="45">
        <f t="shared" si="32"/>
        <v>15429.498079874818</v>
      </c>
      <c r="V91" s="45">
        <f t="shared" si="32"/>
        <v>15487.41656017401</v>
      </c>
      <c r="W91" s="45">
        <f t="shared" si="32"/>
        <v>15545.335040473201</v>
      </c>
      <c r="X91" s="45">
        <f t="shared" si="32"/>
        <v>15603.253520772392</v>
      </c>
      <c r="Y91" s="45">
        <f t="shared" si="32"/>
        <v>15661.172001071584</v>
      </c>
      <c r="Z91" s="45">
        <f t="shared" si="32"/>
        <v>15719.090481370775</v>
      </c>
      <c r="AA91" s="45">
        <f t="shared" si="32"/>
        <v>15777.008961669966</v>
      </c>
      <c r="AB91" s="45">
        <f t="shared" si="32"/>
        <v>15834.927441969157</v>
      </c>
      <c r="AC91" s="45">
        <f t="shared" si="32"/>
        <v>15892.845922268349</v>
      </c>
      <c r="AD91" s="45">
        <f t="shared" si="32"/>
        <v>15950.76440256754</v>
      </c>
      <c r="AE91" s="45">
        <f t="shared" si="32"/>
        <v>16008.682882866731</v>
      </c>
      <c r="AF91" s="45">
        <f t="shared" si="32"/>
        <v>16066.601363165923</v>
      </c>
      <c r="AG91" s="45">
        <f t="shared" si="32"/>
        <v>16124.519843465114</v>
      </c>
      <c r="AH91" s="45">
        <f t="shared" si="32"/>
        <v>16182.438323764305</v>
      </c>
      <c r="AI91" s="45">
        <f t="shared" si="32"/>
        <v>16240.356804063496</v>
      </c>
      <c r="AJ91" s="45">
        <f t="shared" si="32"/>
        <v>16298.275284362688</v>
      </c>
    </row>
    <row r="92" spans="2:36" ht="15.75" thickBot="1">
      <c r="B92" s="224"/>
      <c r="C92" s="60" t="s">
        <v>254</v>
      </c>
      <c r="D92" s="55"/>
      <c r="E92" s="45">
        <f>L85</f>
        <v>29627.323459512834</v>
      </c>
      <c r="F92" s="45">
        <f>E92+$O85</f>
        <v>30264.844243451986</v>
      </c>
      <c r="G92" s="45">
        <f t="shared" si="32"/>
        <v>30902.365027391137</v>
      </c>
      <c r="H92" s="45">
        <f t="shared" si="32"/>
        <v>31539.885811330289</v>
      </c>
      <c r="I92" s="45">
        <f t="shared" si="32"/>
        <v>32177.40659526944</v>
      </c>
      <c r="J92" s="45">
        <f t="shared" si="32"/>
        <v>32814.927379208588</v>
      </c>
      <c r="K92" s="45">
        <f t="shared" si="32"/>
        <v>33452.448163147739</v>
      </c>
      <c r="L92" s="45">
        <f t="shared" si="32"/>
        <v>34089.968947086891</v>
      </c>
      <c r="M92" s="45">
        <f t="shared" si="32"/>
        <v>34727.489731026042</v>
      </c>
      <c r="N92" s="45">
        <f t="shared" si="32"/>
        <v>35365.010514965194</v>
      </c>
      <c r="O92" s="45">
        <f t="shared" si="32"/>
        <v>36002.531298904345</v>
      </c>
      <c r="P92" s="45">
        <f t="shared" si="32"/>
        <v>36640.052082843496</v>
      </c>
      <c r="Q92" s="45">
        <f t="shared" si="32"/>
        <v>37277.572866782648</v>
      </c>
      <c r="R92" s="45">
        <f t="shared" si="32"/>
        <v>37915.093650721799</v>
      </c>
      <c r="S92" s="45">
        <f t="shared" si="32"/>
        <v>38552.614434660951</v>
      </c>
      <c r="T92" s="45">
        <f t="shared" si="32"/>
        <v>39190.135218600102</v>
      </c>
      <c r="U92" s="45">
        <f t="shared" si="32"/>
        <v>39827.656002539254</v>
      </c>
      <c r="V92" s="45">
        <f t="shared" si="32"/>
        <v>40465.176786478405</v>
      </c>
      <c r="W92" s="45">
        <f t="shared" si="32"/>
        <v>41102.697570417557</v>
      </c>
      <c r="X92" s="45">
        <f t="shared" si="32"/>
        <v>41740.218354356708</v>
      </c>
      <c r="Y92" s="45">
        <f t="shared" si="32"/>
        <v>42377.739138295859</v>
      </c>
      <c r="Z92" s="45">
        <f t="shared" si="32"/>
        <v>43015.259922235011</v>
      </c>
      <c r="AA92" s="45">
        <f t="shared" si="32"/>
        <v>43652.780706174162</v>
      </c>
      <c r="AB92" s="45">
        <f t="shared" si="32"/>
        <v>44290.301490113314</v>
      </c>
      <c r="AC92" s="45">
        <f t="shared" si="32"/>
        <v>44927.822274052465</v>
      </c>
      <c r="AD92" s="45">
        <f t="shared" si="32"/>
        <v>45565.343057991617</v>
      </c>
      <c r="AE92" s="45">
        <f t="shared" si="32"/>
        <v>46202.863841930768</v>
      </c>
      <c r="AF92" s="45">
        <f t="shared" si="32"/>
        <v>46840.38462586992</v>
      </c>
      <c r="AG92" s="45">
        <f t="shared" si="32"/>
        <v>47477.905409809071</v>
      </c>
      <c r="AH92" s="45">
        <f t="shared" si="32"/>
        <v>48115.426193748222</v>
      </c>
      <c r="AI92" s="45">
        <f t="shared" si="32"/>
        <v>48752.946977687374</v>
      </c>
      <c r="AJ92" s="45">
        <f t="shared" si="32"/>
        <v>49390.467761626525</v>
      </c>
    </row>
  </sheetData>
  <mergeCells count="28"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  <mergeCell ref="B79:B80"/>
    <mergeCell ref="B82:B83"/>
    <mergeCell ref="B84:B85"/>
    <mergeCell ref="B89:B90"/>
    <mergeCell ref="B91:B92"/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</mergeCells>
  <phoneticPr fontId="4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5"/>
  <cols>
    <col min="1" max="1" width="19" customWidth="1"/>
  </cols>
  <sheetData>
    <row r="1" spans="1:21">
      <c r="A1" s="231" t="s">
        <v>257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145966962</v>
      </c>
      <c r="C4" s="109">
        <v>24032703349.799999</v>
      </c>
      <c r="D4" s="109">
        <v>50676590</v>
      </c>
      <c r="E4" s="109">
        <v>2574826</v>
      </c>
      <c r="F4" s="109">
        <v>54953394</v>
      </c>
      <c r="G4" s="109">
        <v>98356</v>
      </c>
      <c r="H4" s="109">
        <v>2170961</v>
      </c>
      <c r="I4" s="109">
        <v>14397753</v>
      </c>
      <c r="J4" s="109">
        <v>8822135</v>
      </c>
      <c r="K4" s="109">
        <v>6055793</v>
      </c>
      <c r="L4" s="109">
        <v>5837108</v>
      </c>
      <c r="M4" s="109">
        <v>12516805081.700001</v>
      </c>
      <c r="N4" s="109">
        <v>277945321.5</v>
      </c>
      <c r="O4" s="109">
        <v>5142229708.6000004</v>
      </c>
      <c r="P4" s="109">
        <v>3599159.8</v>
      </c>
      <c r="Q4" s="109">
        <v>184719636.19999999</v>
      </c>
      <c r="R4" s="109">
        <v>3269489589.5</v>
      </c>
      <c r="S4" s="109">
        <v>1120628230</v>
      </c>
      <c r="T4" s="109">
        <v>437791017.39999998</v>
      </c>
      <c r="U4" s="109">
        <v>1074619275.0999999</v>
      </c>
    </row>
    <row r="5" spans="1:21">
      <c r="A5" s="108" t="s">
        <v>280</v>
      </c>
      <c r="B5" s="109">
        <v>12712280</v>
      </c>
      <c r="C5" s="109">
        <v>2103078249.2</v>
      </c>
      <c r="D5" s="109">
        <v>4559033</v>
      </c>
      <c r="E5" s="109">
        <v>203288</v>
      </c>
      <c r="F5" s="109">
        <v>4606108</v>
      </c>
      <c r="G5" s="109">
        <v>0</v>
      </c>
      <c r="H5" s="109">
        <v>190912</v>
      </c>
      <c r="I5" s="109">
        <v>1310086</v>
      </c>
      <c r="J5" s="109">
        <v>787485</v>
      </c>
      <c r="K5" s="109">
        <v>491991</v>
      </c>
      <c r="L5" s="109">
        <v>531912</v>
      </c>
      <c r="M5" s="109">
        <v>1122829600.4000001</v>
      </c>
      <c r="N5" s="109">
        <v>20689576.100000001</v>
      </c>
      <c r="O5" s="109">
        <v>423928885.69999999</v>
      </c>
      <c r="P5" s="109">
        <v>0</v>
      </c>
      <c r="Q5" s="109">
        <v>15778589.1</v>
      </c>
      <c r="R5" s="109">
        <v>288475791</v>
      </c>
      <c r="S5" s="109">
        <v>98438779.599999994</v>
      </c>
      <c r="T5" s="109">
        <v>35676501.899999999</v>
      </c>
      <c r="U5" s="109">
        <v>96853276.400000006</v>
      </c>
    </row>
    <row r="6" spans="1:21">
      <c r="A6" s="108" t="s">
        <v>281</v>
      </c>
      <c r="B6" s="109">
        <v>12283577</v>
      </c>
      <c r="C6" s="109">
        <v>2012396494.8</v>
      </c>
      <c r="D6" s="109">
        <v>4491635</v>
      </c>
      <c r="E6" s="109">
        <v>201229</v>
      </c>
      <c r="F6" s="109">
        <v>4412512</v>
      </c>
      <c r="G6" s="109">
        <v>0</v>
      </c>
      <c r="H6" s="109">
        <v>190421</v>
      </c>
      <c r="I6" s="109">
        <v>1218948</v>
      </c>
      <c r="J6" s="109">
        <v>791845</v>
      </c>
      <c r="K6" s="109">
        <v>501614</v>
      </c>
      <c r="L6" s="109">
        <v>452535</v>
      </c>
      <c r="M6" s="109">
        <v>1093657270.5</v>
      </c>
      <c r="N6" s="109">
        <v>21762718</v>
      </c>
      <c r="O6" s="109">
        <v>400700363.30000001</v>
      </c>
      <c r="P6" s="109">
        <v>0</v>
      </c>
      <c r="Q6" s="109">
        <v>15525968.4</v>
      </c>
      <c r="R6" s="109">
        <v>266113052.09999999</v>
      </c>
      <c r="S6" s="109">
        <v>97498622.400000006</v>
      </c>
      <c r="T6" s="109">
        <v>36376036.899999999</v>
      </c>
      <c r="U6" s="109">
        <v>80480124.200000003</v>
      </c>
    </row>
    <row r="7" spans="1:21">
      <c r="A7" s="108" t="s">
        <v>282</v>
      </c>
      <c r="B7" s="109">
        <v>12563757</v>
      </c>
      <c r="C7" s="109">
        <v>2051290651.8</v>
      </c>
      <c r="D7" s="109">
        <v>4412644</v>
      </c>
      <c r="E7" s="109">
        <v>222149</v>
      </c>
      <c r="F7" s="109">
        <v>4619113</v>
      </c>
      <c r="G7" s="109">
        <v>0</v>
      </c>
      <c r="H7" s="109">
        <v>199016</v>
      </c>
      <c r="I7" s="109">
        <v>1248712</v>
      </c>
      <c r="J7" s="109">
        <v>786100</v>
      </c>
      <c r="K7" s="109">
        <v>545794</v>
      </c>
      <c r="L7" s="109">
        <v>497597</v>
      </c>
      <c r="M7" s="109">
        <v>1084457401.7</v>
      </c>
      <c r="N7" s="109">
        <v>24737098.100000001</v>
      </c>
      <c r="O7" s="109">
        <v>423702445.39999998</v>
      </c>
      <c r="P7" s="109">
        <v>0</v>
      </c>
      <c r="Q7" s="109">
        <v>16248521</v>
      </c>
      <c r="R7" s="109">
        <v>276114924.30000001</v>
      </c>
      <c r="S7" s="109">
        <v>96222718.599999994</v>
      </c>
      <c r="T7" s="109">
        <v>39758413.399999999</v>
      </c>
      <c r="U7" s="109">
        <v>89639839.299999997</v>
      </c>
    </row>
    <row r="8" spans="1:21">
      <c r="A8" s="108" t="s">
        <v>283</v>
      </c>
      <c r="B8" s="109">
        <v>12133823</v>
      </c>
      <c r="C8" s="109">
        <v>1996316889.7</v>
      </c>
      <c r="D8" s="109">
        <v>4151026</v>
      </c>
      <c r="E8" s="109">
        <v>211730</v>
      </c>
      <c r="F8" s="109">
        <v>4612431</v>
      </c>
      <c r="G8" s="109">
        <v>0</v>
      </c>
      <c r="H8" s="109">
        <v>195275</v>
      </c>
      <c r="I8" s="109">
        <v>1237012</v>
      </c>
      <c r="J8" s="109">
        <v>736330</v>
      </c>
      <c r="K8" s="109">
        <v>499492</v>
      </c>
      <c r="L8" s="109">
        <v>461094</v>
      </c>
      <c r="M8" s="109">
        <v>1027408546.6</v>
      </c>
      <c r="N8" s="109">
        <v>24259617.600000001</v>
      </c>
      <c r="O8" s="109">
        <v>436476777.19999999</v>
      </c>
      <c r="P8" s="109">
        <v>0</v>
      </c>
      <c r="Q8" s="109">
        <v>16622442.1</v>
      </c>
      <c r="R8" s="109">
        <v>276899640.89999998</v>
      </c>
      <c r="S8" s="109">
        <v>95175596.200000003</v>
      </c>
      <c r="T8" s="109">
        <v>36389279.600000001</v>
      </c>
      <c r="U8" s="109">
        <v>82715844.5</v>
      </c>
    </row>
    <row r="9" spans="1:21">
      <c r="A9" s="108" t="s">
        <v>284</v>
      </c>
      <c r="B9" s="109">
        <v>12658841</v>
      </c>
      <c r="C9" s="109">
        <v>2141027875.2</v>
      </c>
      <c r="D9" s="109">
        <v>4317003</v>
      </c>
      <c r="E9" s="109">
        <v>224074</v>
      </c>
      <c r="F9" s="109">
        <v>4721313</v>
      </c>
      <c r="G9" s="109">
        <v>0</v>
      </c>
      <c r="H9" s="109">
        <v>190597</v>
      </c>
      <c r="I9" s="109">
        <v>1280732</v>
      </c>
      <c r="J9" s="109">
        <v>758602</v>
      </c>
      <c r="K9" s="109">
        <v>548014</v>
      </c>
      <c r="L9" s="109">
        <v>578787</v>
      </c>
      <c r="M9" s="109">
        <v>1102517515.7</v>
      </c>
      <c r="N9" s="109">
        <v>23964619.300000001</v>
      </c>
      <c r="O9" s="109">
        <v>458993003.39999998</v>
      </c>
      <c r="P9" s="109">
        <v>0</v>
      </c>
      <c r="Q9" s="109">
        <v>16373678</v>
      </c>
      <c r="R9" s="109">
        <v>290060068.80000001</v>
      </c>
      <c r="S9" s="109">
        <v>101028610.2</v>
      </c>
      <c r="T9" s="109">
        <v>39332539.899999999</v>
      </c>
      <c r="U9" s="109">
        <v>108227845.90000001</v>
      </c>
    </row>
    <row r="10" spans="1:21">
      <c r="A10" s="108" t="s">
        <v>285</v>
      </c>
      <c r="B10" s="109">
        <v>11807648</v>
      </c>
      <c r="C10" s="109">
        <v>1953652296.4000001</v>
      </c>
      <c r="D10" s="109">
        <v>3996755</v>
      </c>
      <c r="E10" s="109">
        <v>196214</v>
      </c>
      <c r="F10" s="109">
        <v>4444527</v>
      </c>
      <c r="G10" s="109">
        <v>0</v>
      </c>
      <c r="H10" s="109">
        <v>183810</v>
      </c>
      <c r="I10" s="109">
        <v>1229829</v>
      </c>
      <c r="J10" s="109">
        <v>684205</v>
      </c>
      <c r="K10" s="109">
        <v>497497</v>
      </c>
      <c r="L10" s="109">
        <v>538177</v>
      </c>
      <c r="M10" s="109">
        <v>1003178344.7</v>
      </c>
      <c r="N10" s="109">
        <v>20143596.5</v>
      </c>
      <c r="O10" s="109">
        <v>415624170.89999998</v>
      </c>
      <c r="P10" s="109">
        <v>0</v>
      </c>
      <c r="Q10" s="109">
        <v>15331081.800000001</v>
      </c>
      <c r="R10" s="109">
        <v>275887832.30000001</v>
      </c>
      <c r="S10" s="109">
        <v>87288306.400000006</v>
      </c>
      <c r="T10" s="109">
        <v>35180276.700000003</v>
      </c>
      <c r="U10" s="109">
        <v>100543934.09999999</v>
      </c>
    </row>
    <row r="11" spans="1:21">
      <c r="A11" s="108" t="s">
        <v>286</v>
      </c>
      <c r="B11" s="109">
        <v>12025237</v>
      </c>
      <c r="C11" s="109">
        <v>1973597164.9000001</v>
      </c>
      <c r="D11" s="109">
        <v>4118766</v>
      </c>
      <c r="E11" s="109">
        <v>217291</v>
      </c>
      <c r="F11" s="109">
        <v>4553979</v>
      </c>
      <c r="G11" s="109">
        <v>0</v>
      </c>
      <c r="H11" s="109">
        <v>181923</v>
      </c>
      <c r="I11" s="109">
        <v>1194953</v>
      </c>
      <c r="J11" s="109">
        <v>718449</v>
      </c>
      <c r="K11" s="109">
        <v>514638</v>
      </c>
      <c r="L11" s="109">
        <v>490892</v>
      </c>
      <c r="M11" s="109">
        <v>1022071663.3</v>
      </c>
      <c r="N11" s="109">
        <v>23184653.5</v>
      </c>
      <c r="O11" s="109">
        <v>422312939.80000001</v>
      </c>
      <c r="P11" s="109">
        <v>0</v>
      </c>
      <c r="Q11" s="109">
        <v>15367975.1</v>
      </c>
      <c r="R11" s="109">
        <v>271339900.60000002</v>
      </c>
      <c r="S11" s="109">
        <v>90876466.299999997</v>
      </c>
      <c r="T11" s="109">
        <v>37471521.700000003</v>
      </c>
      <c r="U11" s="109">
        <v>90537472.599999994</v>
      </c>
    </row>
    <row r="12" spans="1:21">
      <c r="A12" s="108" t="s">
        <v>287</v>
      </c>
      <c r="B12" s="109">
        <v>13025005</v>
      </c>
      <c r="C12" s="109">
        <v>2103477401.7</v>
      </c>
      <c r="D12" s="109">
        <v>4466485</v>
      </c>
      <c r="E12" s="109">
        <v>252620</v>
      </c>
      <c r="F12" s="109">
        <v>5024623</v>
      </c>
      <c r="G12" s="109">
        <v>0</v>
      </c>
      <c r="H12" s="109">
        <v>183485</v>
      </c>
      <c r="I12" s="109">
        <v>1211950</v>
      </c>
      <c r="J12" s="109">
        <v>773546</v>
      </c>
      <c r="K12" s="109">
        <v>551961</v>
      </c>
      <c r="L12" s="109">
        <v>529681</v>
      </c>
      <c r="M12" s="109">
        <v>1083778350.9000001</v>
      </c>
      <c r="N12" s="109">
        <v>27617235.300000001</v>
      </c>
      <c r="O12" s="109">
        <v>462210316.60000002</v>
      </c>
      <c r="P12" s="109">
        <v>0</v>
      </c>
      <c r="Q12" s="109">
        <v>15894235.800000001</v>
      </c>
      <c r="R12" s="109">
        <v>278921832.5</v>
      </c>
      <c r="S12" s="109">
        <v>97094973.799999997</v>
      </c>
      <c r="T12" s="109">
        <v>40110989.700000003</v>
      </c>
      <c r="U12" s="109">
        <v>97466959.099999994</v>
      </c>
    </row>
    <row r="13" spans="1:21">
      <c r="A13" s="108" t="s">
        <v>288</v>
      </c>
      <c r="B13" s="109">
        <v>11928672</v>
      </c>
      <c r="C13" s="109">
        <v>1930172000</v>
      </c>
      <c r="D13" s="109">
        <v>4164729</v>
      </c>
      <c r="E13" s="109">
        <v>227782</v>
      </c>
      <c r="F13" s="109">
        <v>4579232</v>
      </c>
      <c r="G13" s="109">
        <v>0</v>
      </c>
      <c r="H13" s="109">
        <v>167921</v>
      </c>
      <c r="I13" s="109">
        <v>1134905</v>
      </c>
      <c r="J13" s="109">
        <v>692920</v>
      </c>
      <c r="K13" s="109">
        <v>498286</v>
      </c>
      <c r="L13" s="109">
        <v>436268</v>
      </c>
      <c r="M13" s="109">
        <v>1008206360.9</v>
      </c>
      <c r="N13" s="109">
        <v>25044924.5</v>
      </c>
      <c r="O13" s="109">
        <v>415896355.30000001</v>
      </c>
      <c r="P13" s="109">
        <v>0</v>
      </c>
      <c r="Q13" s="109">
        <v>14478655</v>
      </c>
      <c r="R13" s="109">
        <v>264043264.30000001</v>
      </c>
      <c r="S13" s="109">
        <v>86021483.599999994</v>
      </c>
      <c r="T13" s="109">
        <v>35732022.299999997</v>
      </c>
      <c r="U13" s="109">
        <v>80413229.099999994</v>
      </c>
    </row>
    <row r="14" spans="1:21">
      <c r="A14" s="108" t="s">
        <v>289</v>
      </c>
      <c r="B14" s="109">
        <v>12140375</v>
      </c>
      <c r="C14" s="109">
        <v>1925427886.8</v>
      </c>
      <c r="D14" s="109">
        <v>4077024</v>
      </c>
      <c r="E14" s="109">
        <v>218062</v>
      </c>
      <c r="F14" s="109">
        <v>4799277</v>
      </c>
      <c r="G14" s="109">
        <v>40556</v>
      </c>
      <c r="H14" s="109">
        <v>174228</v>
      </c>
      <c r="I14" s="109">
        <v>1144556</v>
      </c>
      <c r="J14" s="109">
        <v>745936</v>
      </c>
      <c r="K14" s="109">
        <v>500043</v>
      </c>
      <c r="L14" s="109">
        <v>413936</v>
      </c>
      <c r="M14" s="109">
        <v>983008431.10000002</v>
      </c>
      <c r="N14" s="109">
        <v>22563556.800000001</v>
      </c>
      <c r="O14" s="109">
        <v>433150532.80000001</v>
      </c>
      <c r="P14" s="109">
        <v>1490969.6000000001</v>
      </c>
      <c r="Q14" s="109">
        <v>15000778.800000001</v>
      </c>
      <c r="R14" s="109">
        <v>265539544.90000001</v>
      </c>
      <c r="S14" s="109">
        <v>91735079.299999997</v>
      </c>
      <c r="T14" s="109">
        <v>36313439.100000001</v>
      </c>
      <c r="U14" s="109">
        <v>76286868.400000006</v>
      </c>
    </row>
    <row r="15" spans="1:21">
      <c r="A15" s="108" t="s">
        <v>290</v>
      </c>
      <c r="B15" s="109">
        <v>11440634</v>
      </c>
      <c r="C15" s="109">
        <v>1964384785.7</v>
      </c>
      <c r="D15" s="109">
        <v>4018154</v>
      </c>
      <c r="E15" s="109">
        <v>202175</v>
      </c>
      <c r="F15" s="109">
        <v>4313750</v>
      </c>
      <c r="G15" s="109">
        <v>28438</v>
      </c>
      <c r="H15" s="109">
        <v>156814</v>
      </c>
      <c r="I15" s="109">
        <v>1096801</v>
      </c>
      <c r="J15" s="109">
        <v>692534</v>
      </c>
      <c r="K15" s="109">
        <v>450117</v>
      </c>
      <c r="L15" s="109">
        <v>451959</v>
      </c>
      <c r="M15" s="109">
        <v>1017886439.1</v>
      </c>
      <c r="N15" s="109">
        <v>22317791.399999999</v>
      </c>
      <c r="O15" s="109">
        <v>436160959.80000001</v>
      </c>
      <c r="P15" s="109">
        <v>1036149.2</v>
      </c>
      <c r="Q15" s="109">
        <v>14341231.1</v>
      </c>
      <c r="R15" s="109">
        <v>258677873.59999999</v>
      </c>
      <c r="S15" s="109">
        <v>95577133.200000003</v>
      </c>
      <c r="T15" s="109">
        <v>32868552.800000001</v>
      </c>
      <c r="U15" s="109">
        <v>85133462.5</v>
      </c>
    </row>
    <row r="16" spans="1:21">
      <c r="A16" s="108" t="s">
        <v>291</v>
      </c>
      <c r="B16" s="109">
        <v>11247113</v>
      </c>
      <c r="C16" s="109">
        <v>1877881653.5999999</v>
      </c>
      <c r="D16" s="109">
        <v>3903336</v>
      </c>
      <c r="E16" s="109">
        <v>198212</v>
      </c>
      <c r="F16" s="109">
        <v>4266529</v>
      </c>
      <c r="G16" s="109">
        <v>29362</v>
      </c>
      <c r="H16" s="109">
        <v>156559</v>
      </c>
      <c r="I16" s="109">
        <v>1089269</v>
      </c>
      <c r="J16" s="109">
        <v>654183</v>
      </c>
      <c r="K16" s="109">
        <v>456346</v>
      </c>
      <c r="L16" s="109">
        <v>454270</v>
      </c>
      <c r="M16" s="109">
        <v>967805156.79999995</v>
      </c>
      <c r="N16" s="109">
        <v>21659934.399999999</v>
      </c>
      <c r="O16" s="109">
        <v>413072958.39999998</v>
      </c>
      <c r="P16" s="109">
        <v>1072041</v>
      </c>
      <c r="Q16" s="109">
        <v>13756480</v>
      </c>
      <c r="R16" s="109">
        <v>257415864.19999999</v>
      </c>
      <c r="S16" s="109">
        <v>83670460.400000006</v>
      </c>
      <c r="T16" s="109">
        <v>32581443.399999999</v>
      </c>
      <c r="U16" s="109">
        <v>86320419</v>
      </c>
    </row>
    <row r="18" spans="1:21">
      <c r="A18" s="233" t="s">
        <v>292</v>
      </c>
      <c r="B18" s="232"/>
      <c r="C18" s="232"/>
      <c r="D18" s="232"/>
      <c r="E18" s="232"/>
      <c r="F18" s="232"/>
      <c r="G18" s="232"/>
      <c r="H18" s="232"/>
      <c r="I18" s="232"/>
      <c r="J18" s="232"/>
      <c r="K18" s="232"/>
      <c r="L18" s="232"/>
      <c r="M18" s="232"/>
      <c r="N18" s="232"/>
      <c r="O18" s="232"/>
      <c r="P18" s="232"/>
      <c r="Q18" s="232"/>
      <c r="R18" s="232"/>
      <c r="S18" s="232"/>
      <c r="T18" s="232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5"/>
  <cols>
    <col min="1" max="1" width="19" customWidth="1"/>
  </cols>
  <sheetData>
    <row r="1" spans="1:21">
      <c r="A1" s="231" t="s">
        <v>257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89273008</v>
      </c>
      <c r="C4" s="109">
        <v>14078054915.200001</v>
      </c>
      <c r="D4" s="109">
        <v>29541047</v>
      </c>
      <c r="E4" s="109">
        <v>1279303</v>
      </c>
      <c r="F4" s="109">
        <v>33772319</v>
      </c>
      <c r="G4" s="109">
        <v>112056</v>
      </c>
      <c r="H4" s="109">
        <v>979721</v>
      </c>
      <c r="I4" s="109">
        <v>9838063</v>
      </c>
      <c r="J4" s="109">
        <v>5522650</v>
      </c>
      <c r="K4" s="109">
        <v>3876109</v>
      </c>
      <c r="L4" s="109">
        <v>4181270</v>
      </c>
      <c r="M4" s="109">
        <v>7042857647.3999996</v>
      </c>
      <c r="N4" s="109">
        <v>125521866.8</v>
      </c>
      <c r="O4" s="109">
        <v>2947627971.0999999</v>
      </c>
      <c r="P4" s="109">
        <v>1481025</v>
      </c>
      <c r="Q4" s="109">
        <v>86615548.299999997</v>
      </c>
      <c r="R4" s="109">
        <v>2168361019.9000001</v>
      </c>
      <c r="S4" s="109">
        <v>672684664.79999995</v>
      </c>
      <c r="T4" s="109">
        <v>272262613</v>
      </c>
      <c r="U4" s="109">
        <v>757759700.89999998</v>
      </c>
    </row>
    <row r="5" spans="1:21">
      <c r="A5" s="108" t="s">
        <v>293</v>
      </c>
      <c r="B5" s="109">
        <v>5506359</v>
      </c>
      <c r="C5" s="109">
        <v>823128516.5</v>
      </c>
      <c r="D5" s="109">
        <v>1854192</v>
      </c>
      <c r="E5" s="109">
        <v>71468</v>
      </c>
      <c r="F5" s="109">
        <v>2052036</v>
      </c>
      <c r="G5" s="109">
        <v>9124</v>
      </c>
      <c r="H5" s="109">
        <v>44824</v>
      </c>
      <c r="I5" s="109">
        <v>617532</v>
      </c>
      <c r="J5" s="109">
        <v>382599</v>
      </c>
      <c r="K5" s="109">
        <v>226418</v>
      </c>
      <c r="L5" s="109">
        <v>241894</v>
      </c>
      <c r="M5" s="109">
        <v>417780155.39999998</v>
      </c>
      <c r="N5" s="109">
        <v>6637197</v>
      </c>
      <c r="O5" s="109">
        <v>164389167.09999999</v>
      </c>
      <c r="P5" s="109">
        <v>118673</v>
      </c>
      <c r="Q5" s="109">
        <v>3805335.4</v>
      </c>
      <c r="R5" s="109">
        <v>129711575.5</v>
      </c>
      <c r="S5" s="109">
        <v>43288461.799999997</v>
      </c>
      <c r="T5" s="109">
        <v>15420101.4</v>
      </c>
      <c r="U5" s="109">
        <v>41858947.899999999</v>
      </c>
    </row>
    <row r="6" spans="1:21">
      <c r="A6" s="108" t="s">
        <v>294</v>
      </c>
      <c r="B6" s="109">
        <v>8454424</v>
      </c>
      <c r="C6" s="109">
        <v>1318819358.8</v>
      </c>
      <c r="D6" s="109">
        <v>2865735</v>
      </c>
      <c r="E6" s="109">
        <v>125805</v>
      </c>
      <c r="F6" s="109">
        <v>3151843</v>
      </c>
      <c r="G6" s="109">
        <v>11696</v>
      </c>
      <c r="H6" s="109">
        <v>75508</v>
      </c>
      <c r="I6" s="109">
        <v>939612</v>
      </c>
      <c r="J6" s="109">
        <v>537421</v>
      </c>
      <c r="K6" s="109">
        <v>351665</v>
      </c>
      <c r="L6" s="109">
        <v>387806</v>
      </c>
      <c r="M6" s="109">
        <v>669172199.5</v>
      </c>
      <c r="N6" s="109">
        <v>12136391.5</v>
      </c>
      <c r="O6" s="109">
        <v>266520477.19999999</v>
      </c>
      <c r="P6" s="109">
        <v>154521.4</v>
      </c>
      <c r="Q6" s="109">
        <v>6846132.7999999998</v>
      </c>
      <c r="R6" s="109">
        <v>204631554.40000001</v>
      </c>
      <c r="S6" s="109">
        <v>63955409.600000001</v>
      </c>
      <c r="T6" s="109">
        <v>24854951.800000001</v>
      </c>
      <c r="U6" s="109">
        <v>70408583.599999994</v>
      </c>
    </row>
    <row r="7" spans="1:21">
      <c r="A7" s="108" t="s">
        <v>295</v>
      </c>
      <c r="B7" s="109">
        <v>8264652</v>
      </c>
      <c r="C7" s="109">
        <v>1284842719.9000001</v>
      </c>
      <c r="D7" s="109">
        <v>2718686</v>
      </c>
      <c r="E7" s="109">
        <v>137014</v>
      </c>
      <c r="F7" s="109">
        <v>3111380</v>
      </c>
      <c r="G7" s="109">
        <v>11504</v>
      </c>
      <c r="H7" s="109">
        <v>87342</v>
      </c>
      <c r="I7" s="109">
        <v>899305</v>
      </c>
      <c r="J7" s="109">
        <v>533582</v>
      </c>
      <c r="K7" s="109">
        <v>365205</v>
      </c>
      <c r="L7" s="109">
        <v>389898</v>
      </c>
      <c r="M7" s="109">
        <v>637421390.70000005</v>
      </c>
      <c r="N7" s="109">
        <v>13526308.5</v>
      </c>
      <c r="O7" s="109">
        <v>267340234.19999999</v>
      </c>
      <c r="P7" s="109">
        <v>151812.6</v>
      </c>
      <c r="Q7" s="109">
        <v>8038032.2000000002</v>
      </c>
      <c r="R7" s="109">
        <v>197320885.59999999</v>
      </c>
      <c r="S7" s="109">
        <v>64146154.899999999</v>
      </c>
      <c r="T7" s="109">
        <v>26189217</v>
      </c>
      <c r="U7" s="109">
        <v>70505175.200000003</v>
      </c>
    </row>
    <row r="8" spans="1:21">
      <c r="A8" s="108" t="s">
        <v>296</v>
      </c>
      <c r="B8" s="109">
        <v>6066458</v>
      </c>
      <c r="C8" s="109">
        <v>898323839.5</v>
      </c>
      <c r="D8" s="109">
        <v>1917232</v>
      </c>
      <c r="E8" s="109">
        <v>83138</v>
      </c>
      <c r="F8" s="109">
        <v>2386562</v>
      </c>
      <c r="G8" s="109">
        <v>7925</v>
      </c>
      <c r="H8" s="109">
        <v>60784</v>
      </c>
      <c r="I8" s="109">
        <v>668446</v>
      </c>
      <c r="J8" s="109">
        <v>388059</v>
      </c>
      <c r="K8" s="109">
        <v>266241</v>
      </c>
      <c r="L8" s="109">
        <v>275633</v>
      </c>
      <c r="M8" s="109">
        <v>434046590.10000002</v>
      </c>
      <c r="N8" s="109">
        <v>7815729.0999999996</v>
      </c>
      <c r="O8" s="109">
        <v>197057005.80000001</v>
      </c>
      <c r="P8" s="109">
        <v>103619.4</v>
      </c>
      <c r="Q8" s="109">
        <v>5329507.8</v>
      </c>
      <c r="R8" s="109">
        <v>142394880.90000001</v>
      </c>
      <c r="S8" s="109">
        <v>44081850.5</v>
      </c>
      <c r="T8" s="109">
        <v>18377774.199999999</v>
      </c>
      <c r="U8" s="109">
        <v>48881072.700000003</v>
      </c>
    </row>
    <row r="9" spans="1:21">
      <c r="A9" s="108" t="s">
        <v>297</v>
      </c>
      <c r="B9" s="109">
        <v>7927771</v>
      </c>
      <c r="C9" s="109">
        <v>1310277042.2</v>
      </c>
      <c r="D9" s="109">
        <v>2739187</v>
      </c>
      <c r="E9" s="109">
        <v>116068</v>
      </c>
      <c r="F9" s="109">
        <v>2849407</v>
      </c>
      <c r="G9" s="109">
        <v>9001</v>
      </c>
      <c r="H9" s="109">
        <v>40192</v>
      </c>
      <c r="I9" s="109">
        <v>866693</v>
      </c>
      <c r="J9" s="109">
        <v>510458</v>
      </c>
      <c r="K9" s="109">
        <v>347491</v>
      </c>
      <c r="L9" s="109">
        <v>434118</v>
      </c>
      <c r="M9" s="109">
        <v>676744063.60000002</v>
      </c>
      <c r="N9" s="109">
        <v>11463296.9</v>
      </c>
      <c r="O9" s="109">
        <v>254377659.90000001</v>
      </c>
      <c r="P9" s="109">
        <v>120234.4</v>
      </c>
      <c r="Q9" s="109">
        <v>3097609.6</v>
      </c>
      <c r="R9" s="109">
        <v>193732096.69999999</v>
      </c>
      <c r="S9" s="109">
        <v>64754190.399999999</v>
      </c>
      <c r="T9" s="109">
        <v>24309270.399999999</v>
      </c>
      <c r="U9" s="109">
        <v>81391093.299999997</v>
      </c>
    </row>
    <row r="10" spans="1:21">
      <c r="A10" s="108" t="s">
        <v>298</v>
      </c>
      <c r="B10" s="109">
        <v>8633421</v>
      </c>
      <c r="C10" s="109">
        <v>1370059886</v>
      </c>
      <c r="D10" s="109">
        <v>2906385</v>
      </c>
      <c r="E10" s="109">
        <v>114202</v>
      </c>
      <c r="F10" s="109">
        <v>3204130</v>
      </c>
      <c r="G10" s="109">
        <v>8773</v>
      </c>
      <c r="H10" s="109">
        <v>83632</v>
      </c>
      <c r="I10" s="109">
        <v>932880</v>
      </c>
      <c r="J10" s="109">
        <v>517343</v>
      </c>
      <c r="K10" s="109">
        <v>405811</v>
      </c>
      <c r="L10" s="109">
        <v>446086</v>
      </c>
      <c r="M10" s="109">
        <v>697428862.60000002</v>
      </c>
      <c r="N10" s="109">
        <v>10630183.6</v>
      </c>
      <c r="O10" s="109">
        <v>275822761.19999999</v>
      </c>
      <c r="P10" s="109">
        <v>117394.6</v>
      </c>
      <c r="Q10" s="109">
        <v>7351801.7000000002</v>
      </c>
      <c r="R10" s="109">
        <v>205888779.90000001</v>
      </c>
      <c r="S10" s="109">
        <v>62032115.700000003</v>
      </c>
      <c r="T10" s="109">
        <v>28274685</v>
      </c>
      <c r="U10" s="109">
        <v>82244470.700000003</v>
      </c>
    </row>
    <row r="11" spans="1:21">
      <c r="A11" s="108" t="s">
        <v>299</v>
      </c>
      <c r="B11" s="109">
        <v>7812478</v>
      </c>
      <c r="C11" s="109">
        <v>1209413392.9000001</v>
      </c>
      <c r="D11" s="109">
        <v>2557280</v>
      </c>
      <c r="E11" s="109">
        <v>100344</v>
      </c>
      <c r="F11" s="109">
        <v>3008035</v>
      </c>
      <c r="G11" s="109">
        <v>10258</v>
      </c>
      <c r="H11" s="109">
        <v>81027</v>
      </c>
      <c r="I11" s="109">
        <v>866980</v>
      </c>
      <c r="J11" s="109">
        <v>468981</v>
      </c>
      <c r="K11" s="109">
        <v>330647</v>
      </c>
      <c r="L11" s="109">
        <v>375124</v>
      </c>
      <c r="M11" s="109">
        <v>599887827.29999995</v>
      </c>
      <c r="N11" s="109">
        <v>9167126.4000000004</v>
      </c>
      <c r="O11" s="109">
        <v>256266409.69999999</v>
      </c>
      <c r="P11" s="109">
        <v>135103.6</v>
      </c>
      <c r="Q11" s="109">
        <v>7152823.7999999998</v>
      </c>
      <c r="R11" s="109">
        <v>189693415.30000001</v>
      </c>
      <c r="S11" s="109">
        <v>55896072.5</v>
      </c>
      <c r="T11" s="109">
        <v>23108578.5</v>
      </c>
      <c r="U11" s="109">
        <v>67844595.799999997</v>
      </c>
    </row>
    <row r="12" spans="1:21">
      <c r="A12" s="108" t="s">
        <v>300</v>
      </c>
      <c r="B12" s="109">
        <v>7875367</v>
      </c>
      <c r="C12" s="109">
        <v>1242815064.8</v>
      </c>
      <c r="D12" s="109">
        <v>2502874</v>
      </c>
      <c r="E12" s="109">
        <v>104524</v>
      </c>
      <c r="F12" s="109">
        <v>3050766</v>
      </c>
      <c r="G12" s="109">
        <v>10329</v>
      </c>
      <c r="H12" s="109">
        <v>112783</v>
      </c>
      <c r="I12" s="109">
        <v>883859</v>
      </c>
      <c r="J12" s="109">
        <v>487143</v>
      </c>
      <c r="K12" s="109">
        <v>340474</v>
      </c>
      <c r="L12" s="109">
        <v>368350</v>
      </c>
      <c r="M12" s="109">
        <v>598864137.89999998</v>
      </c>
      <c r="N12" s="109">
        <v>9953657.5</v>
      </c>
      <c r="O12" s="109">
        <v>272243391.5</v>
      </c>
      <c r="P12" s="109">
        <v>136143.20000000001</v>
      </c>
      <c r="Q12" s="109">
        <v>10449289.9</v>
      </c>
      <c r="R12" s="109">
        <v>198522853.19999999</v>
      </c>
      <c r="S12" s="109">
        <v>60760661.899999999</v>
      </c>
      <c r="T12" s="109">
        <v>24400330.600000001</v>
      </c>
      <c r="U12" s="109">
        <v>67214742.099999994</v>
      </c>
    </row>
    <row r="13" spans="1:21">
      <c r="A13" s="108" t="s">
        <v>301</v>
      </c>
      <c r="B13" s="109">
        <v>5577505</v>
      </c>
      <c r="C13" s="109">
        <v>843809408.20000005</v>
      </c>
      <c r="D13" s="109">
        <v>1682897</v>
      </c>
      <c r="E13" s="109">
        <v>70916</v>
      </c>
      <c r="F13" s="109">
        <v>2238353</v>
      </c>
      <c r="G13" s="109">
        <v>7576</v>
      </c>
      <c r="H13" s="109">
        <v>94264</v>
      </c>
      <c r="I13" s="109">
        <v>621075</v>
      </c>
      <c r="J13" s="109">
        <v>326079</v>
      </c>
      <c r="K13" s="109">
        <v>260716</v>
      </c>
      <c r="L13" s="109">
        <v>256577</v>
      </c>
      <c r="M13" s="109">
        <v>395969481.69999999</v>
      </c>
      <c r="N13" s="109">
        <v>6498670.5999999996</v>
      </c>
      <c r="O13" s="109">
        <v>192857349.40000001</v>
      </c>
      <c r="P13" s="109">
        <v>98984.8</v>
      </c>
      <c r="Q13" s="109">
        <v>8228921.7000000002</v>
      </c>
      <c r="R13" s="109">
        <v>137083173</v>
      </c>
      <c r="S13" s="109">
        <v>38794949.899999999</v>
      </c>
      <c r="T13" s="109">
        <v>18223241.899999999</v>
      </c>
      <c r="U13" s="109">
        <v>45702127.200000003</v>
      </c>
    </row>
    <row r="14" spans="1:21">
      <c r="A14" s="108" t="s">
        <v>302</v>
      </c>
      <c r="B14" s="109">
        <v>4085433</v>
      </c>
      <c r="C14" s="109">
        <v>589485639.10000002</v>
      </c>
      <c r="D14" s="109">
        <v>1170072</v>
      </c>
      <c r="E14" s="109">
        <v>51355</v>
      </c>
      <c r="F14" s="109">
        <v>1675193</v>
      </c>
      <c r="G14" s="109">
        <v>6597</v>
      </c>
      <c r="H14" s="109">
        <v>69633</v>
      </c>
      <c r="I14" s="109">
        <v>462835</v>
      </c>
      <c r="J14" s="109">
        <v>228609</v>
      </c>
      <c r="K14" s="109">
        <v>222315</v>
      </c>
      <c r="L14" s="109">
        <v>194264</v>
      </c>
      <c r="M14" s="109">
        <v>265927665.59999999</v>
      </c>
      <c r="N14" s="109">
        <v>4499979.9000000004</v>
      </c>
      <c r="O14" s="109">
        <v>137681761.5</v>
      </c>
      <c r="P14" s="109">
        <v>86990</v>
      </c>
      <c r="Q14" s="109">
        <v>5766035</v>
      </c>
      <c r="R14" s="109">
        <v>100589936.59999999</v>
      </c>
      <c r="S14" s="109">
        <v>25611289.100000001</v>
      </c>
      <c r="T14" s="109">
        <v>14951865.4</v>
      </c>
      <c r="U14" s="109">
        <v>34318056</v>
      </c>
    </row>
    <row r="15" spans="1:21">
      <c r="A15" s="108" t="s">
        <v>303</v>
      </c>
      <c r="B15" s="109">
        <v>7039739</v>
      </c>
      <c r="C15" s="109">
        <v>1116088292</v>
      </c>
      <c r="D15" s="109">
        <v>2297164</v>
      </c>
      <c r="E15" s="109">
        <v>94712</v>
      </c>
      <c r="F15" s="109">
        <v>2722161</v>
      </c>
      <c r="G15" s="109">
        <v>8118</v>
      </c>
      <c r="H15" s="109">
        <v>83853</v>
      </c>
      <c r="I15" s="109">
        <v>809764</v>
      </c>
      <c r="J15" s="109">
        <v>405406</v>
      </c>
      <c r="K15" s="109">
        <v>306938</v>
      </c>
      <c r="L15" s="109">
        <v>295660</v>
      </c>
      <c r="M15" s="109">
        <v>556517437</v>
      </c>
      <c r="N15" s="109">
        <v>8956982</v>
      </c>
      <c r="O15" s="109">
        <v>238481076.90000001</v>
      </c>
      <c r="P15" s="109">
        <v>107405.2</v>
      </c>
      <c r="Q15" s="109">
        <v>7050772.0999999996</v>
      </c>
      <c r="R15" s="109">
        <v>182118038.40000001</v>
      </c>
      <c r="S15" s="109">
        <v>48666341</v>
      </c>
      <c r="T15" s="109">
        <v>21260278.600000001</v>
      </c>
      <c r="U15" s="109">
        <v>52719219.799999997</v>
      </c>
    </row>
    <row r="16" spans="1:21">
      <c r="A16" s="108" t="s">
        <v>304</v>
      </c>
      <c r="B16" s="109">
        <v>12029401</v>
      </c>
      <c r="C16" s="109">
        <v>2070991755.3</v>
      </c>
      <c r="D16" s="109">
        <v>4329343</v>
      </c>
      <c r="E16" s="109">
        <v>209757</v>
      </c>
      <c r="F16" s="109">
        <v>4322453</v>
      </c>
      <c r="G16" s="109">
        <v>11155</v>
      </c>
      <c r="H16" s="109">
        <v>145879</v>
      </c>
      <c r="I16" s="109">
        <v>1269082</v>
      </c>
      <c r="J16" s="109">
        <v>736970</v>
      </c>
      <c r="K16" s="109">
        <v>452188</v>
      </c>
      <c r="L16" s="109">
        <v>515860</v>
      </c>
      <c r="M16" s="109">
        <v>1093097836</v>
      </c>
      <c r="N16" s="109">
        <v>24236343.800000001</v>
      </c>
      <c r="O16" s="109">
        <v>424590676.69999999</v>
      </c>
      <c r="P16" s="109">
        <v>150142.79999999999</v>
      </c>
      <c r="Q16" s="109">
        <v>13499286.300000001</v>
      </c>
      <c r="R16" s="109">
        <v>286673830.39999998</v>
      </c>
      <c r="S16" s="109">
        <v>100697167.5</v>
      </c>
      <c r="T16" s="109">
        <v>32892318.199999999</v>
      </c>
      <c r="U16" s="109">
        <v>94671616.599999994</v>
      </c>
    </row>
    <row r="18" spans="1:21">
      <c r="A18" s="233" t="s">
        <v>292</v>
      </c>
      <c r="B18" s="232"/>
      <c r="C18" s="232"/>
      <c r="D18" s="232"/>
      <c r="E18" s="232"/>
      <c r="F18" s="232"/>
      <c r="G18" s="232"/>
      <c r="H18" s="232"/>
      <c r="I18" s="232"/>
      <c r="J18" s="232"/>
      <c r="K18" s="232"/>
      <c r="L18" s="232"/>
      <c r="M18" s="232"/>
      <c r="N18" s="232"/>
      <c r="O18" s="232"/>
      <c r="P18" s="232"/>
      <c r="Q18" s="232"/>
      <c r="R18" s="232"/>
      <c r="S18" s="232"/>
      <c r="T18" s="232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5"/>
  <cols>
    <col min="1" max="1" width="19" customWidth="1"/>
  </cols>
  <sheetData>
    <row r="1" spans="1:21">
      <c r="A1" s="231" t="s">
        <v>257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53490530</v>
      </c>
      <c r="C4" s="109">
        <v>8316622244.8000002</v>
      </c>
      <c r="D4" s="109">
        <v>17951420</v>
      </c>
      <c r="E4" s="109">
        <v>729978</v>
      </c>
      <c r="F4" s="109">
        <v>19600645</v>
      </c>
      <c r="G4" s="109">
        <v>82994</v>
      </c>
      <c r="H4" s="109">
        <v>302916</v>
      </c>
      <c r="I4" s="109">
        <v>5965781</v>
      </c>
      <c r="J4" s="109">
        <v>3267845</v>
      </c>
      <c r="K4" s="109">
        <v>2222522</v>
      </c>
      <c r="L4" s="109">
        <v>2629453</v>
      </c>
      <c r="M4" s="109">
        <v>4168533768.8000002</v>
      </c>
      <c r="N4" s="109">
        <v>69015688.799999997</v>
      </c>
      <c r="O4" s="109">
        <v>1649097565.4000001</v>
      </c>
      <c r="P4" s="109">
        <v>1092481.3999999999</v>
      </c>
      <c r="Q4" s="109">
        <v>20942675.800000001</v>
      </c>
      <c r="R4" s="109">
        <v>1282308430.9000001</v>
      </c>
      <c r="S4" s="109">
        <v>399974481.19999999</v>
      </c>
      <c r="T4" s="109">
        <v>157088856.80000001</v>
      </c>
      <c r="U4" s="109">
        <v>472057331.80000001</v>
      </c>
    </row>
    <row r="5" spans="1:21">
      <c r="A5" s="108" t="s">
        <v>305</v>
      </c>
      <c r="B5" s="109">
        <v>7666397</v>
      </c>
      <c r="C5" s="109">
        <v>1189495157.2</v>
      </c>
      <c r="D5" s="109">
        <v>2503479</v>
      </c>
      <c r="E5" s="109">
        <v>102179</v>
      </c>
      <c r="F5" s="109">
        <v>2839927</v>
      </c>
      <c r="G5" s="109">
        <v>11862</v>
      </c>
      <c r="H5" s="109">
        <v>44852</v>
      </c>
      <c r="I5" s="109">
        <v>878310</v>
      </c>
      <c r="J5" s="109">
        <v>446485</v>
      </c>
      <c r="K5" s="109">
        <v>321798</v>
      </c>
      <c r="L5" s="109">
        <v>409261</v>
      </c>
      <c r="M5" s="109">
        <v>581038162.60000002</v>
      </c>
      <c r="N5" s="109">
        <v>9622795.3000000007</v>
      </c>
      <c r="O5" s="109">
        <v>239428825.90000001</v>
      </c>
      <c r="P5" s="109">
        <v>157533.4</v>
      </c>
      <c r="Q5" s="109">
        <v>3012548.2</v>
      </c>
      <c r="R5" s="109">
        <v>189699079.69999999</v>
      </c>
      <c r="S5" s="109">
        <v>55491690</v>
      </c>
      <c r="T5" s="109">
        <v>22405068.600000001</v>
      </c>
      <c r="U5" s="109">
        <v>74371563.5</v>
      </c>
    </row>
    <row r="6" spans="1:21">
      <c r="A6" s="108" t="s">
        <v>306</v>
      </c>
      <c r="B6" s="109">
        <v>8575737</v>
      </c>
      <c r="C6" s="109">
        <v>1353595335</v>
      </c>
      <c r="D6" s="109">
        <v>2924568</v>
      </c>
      <c r="E6" s="109">
        <v>114429</v>
      </c>
      <c r="F6" s="109">
        <v>3070452</v>
      </c>
      <c r="G6" s="109">
        <v>13310</v>
      </c>
      <c r="H6" s="109">
        <v>51043</v>
      </c>
      <c r="I6" s="109">
        <v>968406</v>
      </c>
      <c r="J6" s="109">
        <v>507687</v>
      </c>
      <c r="K6" s="109">
        <v>359601</v>
      </c>
      <c r="L6" s="109">
        <v>441685</v>
      </c>
      <c r="M6" s="109">
        <v>684813834.10000002</v>
      </c>
      <c r="N6" s="109">
        <v>10784535.699999999</v>
      </c>
      <c r="O6" s="109">
        <v>259136216.69999999</v>
      </c>
      <c r="P6" s="109">
        <v>174602.6</v>
      </c>
      <c r="Q6" s="109">
        <v>3431781</v>
      </c>
      <c r="R6" s="109">
        <v>210082356.69999999</v>
      </c>
      <c r="S6" s="109">
        <v>63180581</v>
      </c>
      <c r="T6" s="109">
        <v>25382211</v>
      </c>
      <c r="U6" s="109">
        <v>80112573.900000006</v>
      </c>
    </row>
    <row r="7" spans="1:21">
      <c r="A7" s="108" t="s">
        <v>307</v>
      </c>
      <c r="B7" s="109">
        <v>8972979</v>
      </c>
      <c r="C7" s="109">
        <v>1411608122.9000001</v>
      </c>
      <c r="D7" s="109">
        <v>3016517</v>
      </c>
      <c r="E7" s="109">
        <v>122680</v>
      </c>
      <c r="F7" s="109">
        <v>3253476</v>
      </c>
      <c r="G7" s="109">
        <v>13674</v>
      </c>
      <c r="H7" s="109">
        <v>49106</v>
      </c>
      <c r="I7" s="109">
        <v>1001172</v>
      </c>
      <c r="J7" s="109">
        <v>555709</v>
      </c>
      <c r="K7" s="109">
        <v>385498</v>
      </c>
      <c r="L7" s="109">
        <v>444374</v>
      </c>
      <c r="M7" s="109">
        <v>705624309.10000002</v>
      </c>
      <c r="N7" s="109">
        <v>11666111.5</v>
      </c>
      <c r="O7" s="109">
        <v>278303358.80000001</v>
      </c>
      <c r="P7" s="109">
        <v>181274.6</v>
      </c>
      <c r="Q7" s="109">
        <v>3469731.8</v>
      </c>
      <c r="R7" s="109">
        <v>217237382</v>
      </c>
      <c r="S7" s="109">
        <v>69121438.400000006</v>
      </c>
      <c r="T7" s="109">
        <v>27979320</v>
      </c>
      <c r="U7" s="109">
        <v>80470850.200000003</v>
      </c>
    </row>
    <row r="8" spans="1:21">
      <c r="A8" s="108" t="s">
        <v>308</v>
      </c>
      <c r="B8" s="109">
        <v>8161437</v>
      </c>
      <c r="C8" s="109">
        <v>1253571981.7</v>
      </c>
      <c r="D8" s="109">
        <v>2700723</v>
      </c>
      <c r="E8" s="109">
        <v>109416</v>
      </c>
      <c r="F8" s="109">
        <v>3031443</v>
      </c>
      <c r="G8" s="109">
        <v>12842</v>
      </c>
      <c r="H8" s="109">
        <v>44660</v>
      </c>
      <c r="I8" s="109">
        <v>920809</v>
      </c>
      <c r="J8" s="109">
        <v>493479</v>
      </c>
      <c r="K8" s="109">
        <v>347599</v>
      </c>
      <c r="L8" s="109">
        <v>387838</v>
      </c>
      <c r="M8" s="109">
        <v>622178900.39999998</v>
      </c>
      <c r="N8" s="109">
        <v>10187504.800000001</v>
      </c>
      <c r="O8" s="109">
        <v>251314160.19999999</v>
      </c>
      <c r="P8" s="109">
        <v>169539</v>
      </c>
      <c r="Q8" s="109">
        <v>3143341</v>
      </c>
      <c r="R8" s="109">
        <v>198380877.40000001</v>
      </c>
      <c r="S8" s="109">
        <v>59346740.600000001</v>
      </c>
      <c r="T8" s="109">
        <v>24678070.399999999</v>
      </c>
      <c r="U8" s="109">
        <v>69209040.599999994</v>
      </c>
    </row>
    <row r="9" spans="1:21">
      <c r="A9" s="108" t="s">
        <v>309</v>
      </c>
      <c r="B9" s="109">
        <v>7992796</v>
      </c>
      <c r="C9" s="109">
        <v>1213670425.5</v>
      </c>
      <c r="D9" s="109">
        <v>2596938</v>
      </c>
      <c r="E9" s="109">
        <v>103384</v>
      </c>
      <c r="F9" s="109">
        <v>3044596</v>
      </c>
      <c r="G9" s="109">
        <v>11782</v>
      </c>
      <c r="H9" s="109">
        <v>46858</v>
      </c>
      <c r="I9" s="109">
        <v>900559</v>
      </c>
      <c r="J9" s="109">
        <v>487964</v>
      </c>
      <c r="K9" s="109">
        <v>329788</v>
      </c>
      <c r="L9" s="109">
        <v>365851</v>
      </c>
      <c r="M9" s="109">
        <v>595452882.60000002</v>
      </c>
      <c r="N9" s="109">
        <v>9581050.4000000004</v>
      </c>
      <c r="O9" s="109">
        <v>252005687.5</v>
      </c>
      <c r="P9" s="109">
        <v>154881.20000000001</v>
      </c>
      <c r="Q9" s="109">
        <v>3219424.5</v>
      </c>
      <c r="R9" s="109">
        <v>193002243.59999999</v>
      </c>
      <c r="S9" s="109">
        <v>58015486</v>
      </c>
      <c r="T9" s="109">
        <v>23320786</v>
      </c>
      <c r="U9" s="109">
        <v>65194438.799999997</v>
      </c>
    </row>
    <row r="10" spans="1:21">
      <c r="A10" s="108" t="s">
        <v>310</v>
      </c>
      <c r="B10" s="109">
        <v>6477296</v>
      </c>
      <c r="C10" s="109">
        <v>1027545275.2</v>
      </c>
      <c r="D10" s="109">
        <v>2220989</v>
      </c>
      <c r="E10" s="109">
        <v>96552</v>
      </c>
      <c r="F10" s="109">
        <v>2336534</v>
      </c>
      <c r="G10" s="109">
        <v>9600</v>
      </c>
      <c r="H10" s="109">
        <v>36016</v>
      </c>
      <c r="I10" s="109">
        <v>698394</v>
      </c>
      <c r="J10" s="109">
        <v>409771</v>
      </c>
      <c r="K10" s="109">
        <v>257366</v>
      </c>
      <c r="L10" s="109">
        <v>325304</v>
      </c>
      <c r="M10" s="109">
        <v>524065821.69999999</v>
      </c>
      <c r="N10" s="109">
        <v>9657590.9000000004</v>
      </c>
      <c r="O10" s="109">
        <v>202123883</v>
      </c>
      <c r="P10" s="109">
        <v>126433.4</v>
      </c>
      <c r="Q10" s="109">
        <v>2462893.9</v>
      </c>
      <c r="R10" s="109">
        <v>149863118.69999999</v>
      </c>
      <c r="S10" s="109">
        <v>51217318.299999997</v>
      </c>
      <c r="T10" s="109">
        <v>18139830.100000001</v>
      </c>
      <c r="U10" s="109">
        <v>58815380.200000003</v>
      </c>
    </row>
    <row r="11" spans="1:21">
      <c r="A11" s="108" t="s">
        <v>311</v>
      </c>
      <c r="B11" s="109">
        <v>5643888</v>
      </c>
      <c r="C11" s="109">
        <v>867135947.29999995</v>
      </c>
      <c r="D11" s="109">
        <v>1988206</v>
      </c>
      <c r="E11" s="109">
        <v>81338</v>
      </c>
      <c r="F11" s="109">
        <v>2024217</v>
      </c>
      <c r="G11" s="109">
        <v>9924</v>
      </c>
      <c r="H11" s="109">
        <v>30381</v>
      </c>
      <c r="I11" s="109">
        <v>598131</v>
      </c>
      <c r="J11" s="109">
        <v>366750</v>
      </c>
      <c r="K11" s="109">
        <v>220872</v>
      </c>
      <c r="L11" s="109">
        <v>255140</v>
      </c>
      <c r="M11" s="109">
        <v>455359858.30000001</v>
      </c>
      <c r="N11" s="109">
        <v>7516100.2000000002</v>
      </c>
      <c r="O11" s="109">
        <v>166785433.30000001</v>
      </c>
      <c r="P11" s="109">
        <v>128217.2</v>
      </c>
      <c r="Q11" s="109">
        <v>2202955.4</v>
      </c>
      <c r="R11" s="109">
        <v>124043372.8</v>
      </c>
      <c r="S11" s="109">
        <v>43601226.899999999</v>
      </c>
      <c r="T11" s="109">
        <v>15183570.699999999</v>
      </c>
      <c r="U11" s="109">
        <v>43883484.600000001</v>
      </c>
    </row>
    <row r="13" spans="1:21">
      <c r="A13" s="233" t="s">
        <v>292</v>
      </c>
      <c r="B13" s="232"/>
      <c r="C13" s="232"/>
      <c r="D13" s="232"/>
      <c r="E13" s="232"/>
      <c r="F13" s="232"/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2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5"/>
  <cols>
    <col min="1" max="1" width="19" customWidth="1"/>
  </cols>
  <sheetData>
    <row r="1" spans="1:11">
      <c r="A1" s="231" t="s">
        <v>312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28676683</v>
      </c>
      <c r="C5" s="109">
        <v>9473824</v>
      </c>
      <c r="D5" s="109">
        <v>11328900</v>
      </c>
      <c r="E5" s="109">
        <v>1589208</v>
      </c>
      <c r="F5" s="109">
        <v>165481</v>
      </c>
      <c r="G5" s="109">
        <v>1276326</v>
      </c>
      <c r="H5" s="109">
        <v>2516072</v>
      </c>
      <c r="I5" s="109">
        <v>1801165</v>
      </c>
      <c r="J5" s="109">
        <v>105958</v>
      </c>
      <c r="K5" s="109">
        <v>419749</v>
      </c>
    </row>
    <row r="6" spans="1:11">
      <c r="A6" s="110">
        <v>201912</v>
      </c>
      <c r="B6" s="109">
        <v>2484700</v>
      </c>
      <c r="C6" s="109">
        <v>826254</v>
      </c>
      <c r="D6" s="109">
        <v>984672</v>
      </c>
      <c r="E6" s="109">
        <v>136000</v>
      </c>
      <c r="F6" s="109">
        <v>17657</v>
      </c>
      <c r="G6" s="109">
        <v>106683</v>
      </c>
      <c r="H6" s="109">
        <v>209723</v>
      </c>
      <c r="I6" s="109">
        <v>166978</v>
      </c>
      <c r="J6" s="109">
        <v>10261</v>
      </c>
      <c r="K6" s="109">
        <v>26472</v>
      </c>
    </row>
    <row r="7" spans="1:11">
      <c r="A7" s="110">
        <v>201911</v>
      </c>
      <c r="B7" s="109">
        <v>2257740</v>
      </c>
      <c r="C7" s="109">
        <v>703115</v>
      </c>
      <c r="D7" s="109">
        <v>945919</v>
      </c>
      <c r="E7" s="109">
        <v>119523</v>
      </c>
      <c r="F7" s="109">
        <v>17693</v>
      </c>
      <c r="G7" s="109">
        <v>100887</v>
      </c>
      <c r="H7" s="109">
        <v>185026</v>
      </c>
      <c r="I7" s="109">
        <v>153249</v>
      </c>
      <c r="J7" s="109">
        <v>3054</v>
      </c>
      <c r="K7" s="109">
        <v>29274</v>
      </c>
    </row>
    <row r="8" spans="1:11">
      <c r="A8" s="110">
        <v>201910</v>
      </c>
      <c r="B8" s="109">
        <v>2407594</v>
      </c>
      <c r="C8" s="109">
        <v>784302</v>
      </c>
      <c r="D8" s="109">
        <v>1005132</v>
      </c>
      <c r="E8" s="109">
        <v>131930</v>
      </c>
      <c r="F8" s="109">
        <v>17191</v>
      </c>
      <c r="G8" s="109">
        <v>97046</v>
      </c>
      <c r="H8" s="109">
        <v>190313</v>
      </c>
      <c r="I8" s="109">
        <v>138054</v>
      </c>
      <c r="J8" s="109">
        <v>8536</v>
      </c>
      <c r="K8" s="109">
        <v>35090</v>
      </c>
    </row>
    <row r="9" spans="1:11">
      <c r="A9" s="110">
        <v>201909</v>
      </c>
      <c r="B9" s="109">
        <v>2111762</v>
      </c>
      <c r="C9" s="109">
        <v>736963</v>
      </c>
      <c r="D9" s="109">
        <v>778408</v>
      </c>
      <c r="E9" s="109">
        <v>134094</v>
      </c>
      <c r="F9" s="109">
        <v>11659</v>
      </c>
      <c r="G9" s="109">
        <v>95755</v>
      </c>
      <c r="H9" s="109">
        <v>190545</v>
      </c>
      <c r="I9" s="109">
        <v>129372</v>
      </c>
      <c r="J9" s="109">
        <v>4356</v>
      </c>
      <c r="K9" s="109">
        <v>30610</v>
      </c>
    </row>
    <row r="10" spans="1:11">
      <c r="A10" s="110">
        <v>201908</v>
      </c>
      <c r="B10" s="109">
        <v>2360683</v>
      </c>
      <c r="C10" s="109">
        <v>817198</v>
      </c>
      <c r="D10" s="109">
        <v>873099</v>
      </c>
      <c r="E10" s="109">
        <v>137913</v>
      </c>
      <c r="F10" s="109">
        <v>16585</v>
      </c>
      <c r="G10" s="109">
        <v>107445</v>
      </c>
      <c r="H10" s="109">
        <v>220886</v>
      </c>
      <c r="I10" s="109">
        <v>145407</v>
      </c>
      <c r="J10" s="109">
        <v>7722</v>
      </c>
      <c r="K10" s="109">
        <v>34428</v>
      </c>
    </row>
    <row r="11" spans="1:11">
      <c r="A11" s="110">
        <v>201907</v>
      </c>
      <c r="B11" s="109">
        <v>2491094</v>
      </c>
      <c r="C11" s="109">
        <v>829871</v>
      </c>
      <c r="D11" s="109">
        <v>977346</v>
      </c>
      <c r="E11" s="109">
        <v>114710</v>
      </c>
      <c r="F11" s="109">
        <v>16748</v>
      </c>
      <c r="G11" s="109">
        <v>108616</v>
      </c>
      <c r="H11" s="109">
        <v>228530</v>
      </c>
      <c r="I11" s="109">
        <v>155995</v>
      </c>
      <c r="J11" s="109">
        <v>15930</v>
      </c>
      <c r="K11" s="109">
        <v>43348</v>
      </c>
    </row>
    <row r="12" spans="1:11">
      <c r="A12" s="110">
        <v>201906</v>
      </c>
      <c r="B12" s="109">
        <v>2431144</v>
      </c>
      <c r="C12" s="109">
        <v>741986</v>
      </c>
      <c r="D12" s="109">
        <v>1043455</v>
      </c>
      <c r="E12" s="109">
        <v>108940</v>
      </c>
      <c r="F12" s="109">
        <v>13172</v>
      </c>
      <c r="G12" s="109">
        <v>104944</v>
      </c>
      <c r="H12" s="109">
        <v>216722</v>
      </c>
      <c r="I12" s="109">
        <v>147566</v>
      </c>
      <c r="J12" s="109">
        <v>13100</v>
      </c>
      <c r="K12" s="109">
        <v>41259</v>
      </c>
    </row>
    <row r="13" spans="1:11">
      <c r="A13" s="110">
        <v>201905</v>
      </c>
      <c r="B13" s="109">
        <v>2673002</v>
      </c>
      <c r="C13" s="109">
        <v>830892</v>
      </c>
      <c r="D13" s="109">
        <v>1122387</v>
      </c>
      <c r="E13" s="109">
        <v>149680</v>
      </c>
      <c r="F13" s="109">
        <v>9661</v>
      </c>
      <c r="G13" s="109">
        <v>112954</v>
      </c>
      <c r="H13" s="109">
        <v>229845</v>
      </c>
      <c r="I13" s="109">
        <v>164435</v>
      </c>
      <c r="J13" s="109">
        <v>8663</v>
      </c>
      <c r="K13" s="109">
        <v>44485</v>
      </c>
    </row>
    <row r="14" spans="1:11">
      <c r="A14" s="110">
        <v>201904</v>
      </c>
      <c r="B14" s="109">
        <v>2646958</v>
      </c>
      <c r="C14" s="109">
        <v>840934</v>
      </c>
      <c r="D14" s="109">
        <v>1108739</v>
      </c>
      <c r="E14" s="109">
        <v>154488</v>
      </c>
      <c r="F14" s="109">
        <v>8410</v>
      </c>
      <c r="G14" s="109">
        <v>119876</v>
      </c>
      <c r="H14" s="109">
        <v>215313</v>
      </c>
      <c r="I14" s="109">
        <v>141426</v>
      </c>
      <c r="J14" s="109">
        <v>12362</v>
      </c>
      <c r="K14" s="109">
        <v>45410</v>
      </c>
    </row>
    <row r="15" spans="1:11">
      <c r="A15" s="110">
        <v>201903</v>
      </c>
      <c r="B15" s="109">
        <v>2613538</v>
      </c>
      <c r="C15" s="109">
        <v>791898</v>
      </c>
      <c r="D15" s="109">
        <v>1111531</v>
      </c>
      <c r="E15" s="109">
        <v>148340</v>
      </c>
      <c r="F15" s="109">
        <v>10004</v>
      </c>
      <c r="G15" s="109">
        <v>118843</v>
      </c>
      <c r="H15" s="109">
        <v>219779</v>
      </c>
      <c r="I15" s="109">
        <v>168771</v>
      </c>
      <c r="J15" s="109">
        <v>5566</v>
      </c>
      <c r="K15" s="109">
        <v>38806</v>
      </c>
    </row>
    <row r="16" spans="1:11">
      <c r="A16" s="110">
        <v>201902</v>
      </c>
      <c r="B16" s="109">
        <v>1897115</v>
      </c>
      <c r="C16" s="109">
        <v>693111</v>
      </c>
      <c r="D16" s="109">
        <v>622372</v>
      </c>
      <c r="E16" s="109">
        <v>112477</v>
      </c>
      <c r="F16" s="109">
        <v>10519</v>
      </c>
      <c r="G16" s="109">
        <v>97974</v>
      </c>
      <c r="H16" s="109">
        <v>190630</v>
      </c>
      <c r="I16" s="109">
        <v>138752</v>
      </c>
      <c r="J16" s="109">
        <v>4896</v>
      </c>
      <c r="K16" s="109">
        <v>26384</v>
      </c>
    </row>
    <row r="17" spans="1:11">
      <c r="A17" s="110">
        <v>201901</v>
      </c>
      <c r="B17" s="109">
        <v>2301353</v>
      </c>
      <c r="C17" s="109">
        <v>877300</v>
      </c>
      <c r="D17" s="109">
        <v>755840</v>
      </c>
      <c r="E17" s="109">
        <v>141113</v>
      </c>
      <c r="F17" s="109">
        <v>16182</v>
      </c>
      <c r="G17" s="109">
        <v>105303</v>
      </c>
      <c r="H17" s="109">
        <v>218760</v>
      </c>
      <c r="I17" s="109">
        <v>151160</v>
      </c>
      <c r="J17" s="109">
        <v>11512</v>
      </c>
      <c r="K17" s="109">
        <v>24183</v>
      </c>
    </row>
    <row r="19" spans="1:11">
      <c r="A19" s="233" t="s">
        <v>292</v>
      </c>
      <c r="B19" s="232"/>
      <c r="C19" s="232"/>
      <c r="D19" s="232"/>
      <c r="E19" s="232"/>
      <c r="F19" s="232"/>
      <c r="G19" s="232"/>
      <c r="H19" s="232"/>
      <c r="I19" s="232"/>
      <c r="J19" s="232"/>
      <c r="K19" s="44">
        <v>44452.580671828706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I34" sqref="I34"/>
    </sheetView>
  </sheetViews>
  <sheetFormatPr defaultColWidth="19" defaultRowHeight="15"/>
  <cols>
    <col min="1" max="1" width="19" customWidth="1"/>
  </cols>
  <sheetData>
    <row r="1" spans="1:11">
      <c r="A1" s="231" t="s">
        <v>312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26302456</v>
      </c>
      <c r="C5" s="109">
        <v>8842071</v>
      </c>
      <c r="D5" s="109">
        <v>10256445</v>
      </c>
      <c r="E5" s="109">
        <v>1443733</v>
      </c>
      <c r="F5" s="109">
        <v>187842</v>
      </c>
      <c r="G5" s="109">
        <v>1116876</v>
      </c>
      <c r="H5" s="109">
        <v>2319610</v>
      </c>
      <c r="I5" s="109">
        <v>1648991</v>
      </c>
      <c r="J5" s="109">
        <v>58637</v>
      </c>
      <c r="K5" s="109">
        <v>428251</v>
      </c>
    </row>
    <row r="6" spans="1:11">
      <c r="A6" s="110">
        <v>202012</v>
      </c>
      <c r="B6" s="109">
        <v>2237539</v>
      </c>
      <c r="C6" s="109">
        <v>749798</v>
      </c>
      <c r="D6" s="109">
        <v>872098</v>
      </c>
      <c r="E6" s="109">
        <v>132480</v>
      </c>
      <c r="F6" s="109">
        <v>12614</v>
      </c>
      <c r="G6" s="109">
        <v>99823</v>
      </c>
      <c r="H6" s="109">
        <v>210859</v>
      </c>
      <c r="I6" s="109">
        <v>130138</v>
      </c>
      <c r="J6" s="109">
        <v>2943</v>
      </c>
      <c r="K6" s="109">
        <v>26786</v>
      </c>
    </row>
    <row r="7" spans="1:11">
      <c r="A7" s="110">
        <v>202011</v>
      </c>
      <c r="B7" s="109">
        <v>2480690</v>
      </c>
      <c r="C7" s="109">
        <v>790579</v>
      </c>
      <c r="D7" s="109">
        <v>1051693</v>
      </c>
      <c r="E7" s="109">
        <v>145650</v>
      </c>
      <c r="F7" s="109">
        <v>18398</v>
      </c>
      <c r="G7" s="109">
        <v>102406</v>
      </c>
      <c r="H7" s="109">
        <v>202017</v>
      </c>
      <c r="I7" s="109">
        <v>129778</v>
      </c>
      <c r="J7" s="109">
        <v>3344</v>
      </c>
      <c r="K7" s="109">
        <v>36825</v>
      </c>
    </row>
    <row r="8" spans="1:11">
      <c r="A8" s="110">
        <v>202010</v>
      </c>
      <c r="B8" s="109">
        <v>2325684</v>
      </c>
      <c r="C8" s="109">
        <v>745468</v>
      </c>
      <c r="D8" s="109">
        <v>962293</v>
      </c>
      <c r="E8" s="109">
        <v>109004</v>
      </c>
      <c r="F8" s="109">
        <v>17406</v>
      </c>
      <c r="G8" s="109">
        <v>102483</v>
      </c>
      <c r="H8" s="109">
        <v>194320</v>
      </c>
      <c r="I8" s="109">
        <v>145477</v>
      </c>
      <c r="J8" s="109">
        <v>13000</v>
      </c>
      <c r="K8" s="109">
        <v>36233</v>
      </c>
    </row>
    <row r="9" spans="1:11">
      <c r="A9" s="110">
        <v>202009</v>
      </c>
      <c r="B9" s="109">
        <v>2081644</v>
      </c>
      <c r="C9" s="109">
        <v>737643</v>
      </c>
      <c r="D9" s="109">
        <v>814897</v>
      </c>
      <c r="E9" s="109">
        <v>79669</v>
      </c>
      <c r="F9" s="109">
        <v>11461</v>
      </c>
      <c r="G9" s="109">
        <v>79440</v>
      </c>
      <c r="H9" s="109">
        <v>187635</v>
      </c>
      <c r="I9" s="109">
        <v>134471</v>
      </c>
      <c r="J9" s="109">
        <v>5226</v>
      </c>
      <c r="K9" s="109">
        <v>31202</v>
      </c>
    </row>
    <row r="10" spans="1:11">
      <c r="A10" s="110">
        <v>202008</v>
      </c>
      <c r="B10" s="109">
        <v>1504352</v>
      </c>
      <c r="C10" s="109">
        <v>635420</v>
      </c>
      <c r="D10" s="109">
        <v>404846</v>
      </c>
      <c r="E10" s="109">
        <v>82210</v>
      </c>
      <c r="F10" s="109">
        <v>6625</v>
      </c>
      <c r="G10" s="109">
        <v>47285</v>
      </c>
      <c r="H10" s="109">
        <v>168989</v>
      </c>
      <c r="I10" s="109">
        <v>117328</v>
      </c>
      <c r="J10" s="109">
        <v>3780</v>
      </c>
      <c r="K10" s="109">
        <v>37869</v>
      </c>
    </row>
    <row r="11" spans="1:11">
      <c r="A11" s="110">
        <v>202007</v>
      </c>
      <c r="B11" s="109">
        <v>2196514</v>
      </c>
      <c r="C11" s="109">
        <v>763818</v>
      </c>
      <c r="D11" s="109">
        <v>818343</v>
      </c>
      <c r="E11" s="109">
        <v>139303</v>
      </c>
      <c r="F11" s="109">
        <v>16372</v>
      </c>
      <c r="G11" s="109">
        <v>82175</v>
      </c>
      <c r="H11" s="109">
        <v>194648</v>
      </c>
      <c r="I11" s="109">
        <v>140315</v>
      </c>
      <c r="J11" s="109">
        <v>2200</v>
      </c>
      <c r="K11" s="109">
        <v>39340</v>
      </c>
    </row>
    <row r="12" spans="1:11">
      <c r="A12" s="110">
        <v>202006</v>
      </c>
      <c r="B12" s="109">
        <v>2173085</v>
      </c>
      <c r="C12" s="109">
        <v>636631</v>
      </c>
      <c r="D12" s="109">
        <v>960874</v>
      </c>
      <c r="E12" s="109">
        <v>142408</v>
      </c>
      <c r="F12" s="109">
        <v>18103</v>
      </c>
      <c r="G12" s="109">
        <v>88752</v>
      </c>
      <c r="H12" s="109">
        <v>158418</v>
      </c>
      <c r="I12" s="109">
        <v>118938</v>
      </c>
      <c r="J12" s="109">
        <v>2603</v>
      </c>
      <c r="K12" s="109">
        <v>46358</v>
      </c>
    </row>
    <row r="13" spans="1:11">
      <c r="A13" s="110">
        <v>202005</v>
      </c>
      <c r="B13" s="109">
        <v>2230384</v>
      </c>
      <c r="C13" s="109">
        <v>667064</v>
      </c>
      <c r="D13" s="109">
        <v>971775</v>
      </c>
      <c r="E13" s="109">
        <v>137036</v>
      </c>
      <c r="F13" s="109">
        <v>19092</v>
      </c>
      <c r="G13" s="109">
        <v>96109</v>
      </c>
      <c r="H13" s="109">
        <v>166867</v>
      </c>
      <c r="I13" s="109">
        <v>130123</v>
      </c>
      <c r="J13" s="109">
        <v>3374</v>
      </c>
      <c r="K13" s="109">
        <v>38944</v>
      </c>
    </row>
    <row r="14" spans="1:11">
      <c r="A14" s="110">
        <v>202004</v>
      </c>
      <c r="B14" s="109">
        <v>2394640</v>
      </c>
      <c r="C14" s="109">
        <v>726150</v>
      </c>
      <c r="D14" s="109">
        <v>1032291</v>
      </c>
      <c r="E14" s="109">
        <v>134187</v>
      </c>
      <c r="F14" s="109">
        <v>18201</v>
      </c>
      <c r="G14" s="109">
        <v>104162</v>
      </c>
      <c r="H14" s="109">
        <v>191414</v>
      </c>
      <c r="I14" s="109">
        <v>145963</v>
      </c>
      <c r="J14" s="109">
        <v>2729</v>
      </c>
      <c r="K14" s="109">
        <v>39543</v>
      </c>
    </row>
    <row r="15" spans="1:11">
      <c r="A15" s="110">
        <v>202003</v>
      </c>
      <c r="B15" s="109">
        <v>2484472</v>
      </c>
      <c r="C15" s="109">
        <v>818032</v>
      </c>
      <c r="D15" s="109">
        <v>989861</v>
      </c>
      <c r="E15" s="109">
        <v>121347</v>
      </c>
      <c r="F15" s="109">
        <v>19294</v>
      </c>
      <c r="G15" s="109">
        <v>106262</v>
      </c>
      <c r="H15" s="109">
        <v>218800</v>
      </c>
      <c r="I15" s="109">
        <v>163500</v>
      </c>
      <c r="J15" s="109">
        <v>3242</v>
      </c>
      <c r="K15" s="109">
        <v>44134</v>
      </c>
    </row>
    <row r="16" spans="1:11">
      <c r="A16" s="110">
        <v>202002</v>
      </c>
      <c r="B16" s="109">
        <v>2163356</v>
      </c>
      <c r="C16" s="109">
        <v>766715</v>
      </c>
      <c r="D16" s="109">
        <v>748314</v>
      </c>
      <c r="E16" s="109">
        <v>112754</v>
      </c>
      <c r="F16" s="109">
        <v>13272</v>
      </c>
      <c r="G16" s="109">
        <v>106351</v>
      </c>
      <c r="H16" s="109">
        <v>223045</v>
      </c>
      <c r="I16" s="109">
        <v>148937</v>
      </c>
      <c r="J16" s="109">
        <v>12774</v>
      </c>
      <c r="K16" s="109">
        <v>31194</v>
      </c>
    </row>
    <row r="17" spans="1:11">
      <c r="A17" s="110">
        <v>202001</v>
      </c>
      <c r="B17" s="109">
        <v>2030096</v>
      </c>
      <c r="C17" s="109">
        <v>804753</v>
      </c>
      <c r="D17" s="109">
        <v>629160</v>
      </c>
      <c r="E17" s="109">
        <v>107685</v>
      </c>
      <c r="F17" s="109">
        <v>17004</v>
      </c>
      <c r="G17" s="109">
        <v>101628</v>
      </c>
      <c r="H17" s="109">
        <v>202598</v>
      </c>
      <c r="I17" s="109">
        <v>144023</v>
      </c>
      <c r="J17" s="109">
        <v>3422</v>
      </c>
      <c r="K17" s="109">
        <v>19823</v>
      </c>
    </row>
    <row r="19" spans="1:11">
      <c r="A19" s="233" t="s">
        <v>292</v>
      </c>
      <c r="B19" s="232"/>
      <c r="C19" s="232"/>
      <c r="D19" s="232"/>
      <c r="E19" s="232"/>
      <c r="F19" s="232"/>
      <c r="G19" s="232"/>
      <c r="H19" s="232"/>
      <c r="I19" s="232"/>
      <c r="J19" s="232"/>
      <c r="K19" s="44">
        <v>44452.580602870381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5"/>
  <cols>
    <col min="1" max="1" width="19" customWidth="1"/>
  </cols>
  <sheetData>
    <row r="1" spans="1:11">
      <c r="A1" s="231" t="s">
        <v>312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8650541</v>
      </c>
      <c r="C5" s="109">
        <v>3097769</v>
      </c>
      <c r="D5" s="109">
        <v>3171883</v>
      </c>
      <c r="E5" s="109">
        <v>420072</v>
      </c>
      <c r="F5" s="109">
        <v>62689</v>
      </c>
      <c r="G5" s="109">
        <v>383915</v>
      </c>
      <c r="H5" s="109">
        <v>828559</v>
      </c>
      <c r="I5" s="109">
        <v>557710</v>
      </c>
      <c r="J5" s="109">
        <v>17721</v>
      </c>
      <c r="K5" s="109">
        <v>110223</v>
      </c>
    </row>
    <row r="6" spans="1:11">
      <c r="A6" s="110">
        <v>202104</v>
      </c>
      <c r="B6" s="109">
        <v>2381380</v>
      </c>
      <c r="C6" s="109">
        <v>816111</v>
      </c>
      <c r="D6" s="109">
        <v>953717</v>
      </c>
      <c r="E6" s="109">
        <v>115251</v>
      </c>
      <c r="F6" s="109">
        <v>10969</v>
      </c>
      <c r="G6" s="109">
        <v>101188</v>
      </c>
      <c r="H6" s="109">
        <v>194246</v>
      </c>
      <c r="I6" s="109">
        <v>146868</v>
      </c>
      <c r="J6" s="109">
        <v>4766</v>
      </c>
      <c r="K6" s="109">
        <v>38264</v>
      </c>
    </row>
    <row r="7" spans="1:11">
      <c r="A7" s="110">
        <v>202103</v>
      </c>
      <c r="B7" s="109">
        <v>2495179</v>
      </c>
      <c r="C7" s="109">
        <v>885725</v>
      </c>
      <c r="D7" s="109">
        <v>981805</v>
      </c>
      <c r="E7" s="109">
        <v>105492</v>
      </c>
      <c r="F7" s="109">
        <v>17519</v>
      </c>
      <c r="G7" s="109">
        <v>93706</v>
      </c>
      <c r="H7" s="109">
        <v>227441</v>
      </c>
      <c r="I7" s="109">
        <v>144340</v>
      </c>
      <c r="J7" s="109">
        <v>5541</v>
      </c>
      <c r="K7" s="109">
        <v>33610</v>
      </c>
    </row>
    <row r="8" spans="1:11">
      <c r="A8" s="110">
        <v>202102</v>
      </c>
      <c r="B8" s="109">
        <v>1772636</v>
      </c>
      <c r="C8" s="109">
        <v>665846</v>
      </c>
      <c r="D8" s="109">
        <v>573032</v>
      </c>
      <c r="E8" s="109">
        <v>85870</v>
      </c>
      <c r="F8" s="109">
        <v>14781</v>
      </c>
      <c r="G8" s="109">
        <v>91362</v>
      </c>
      <c r="H8" s="109">
        <v>193214</v>
      </c>
      <c r="I8" s="109">
        <v>123742</v>
      </c>
      <c r="J8" s="109">
        <v>3807</v>
      </c>
      <c r="K8" s="109">
        <v>20982</v>
      </c>
    </row>
    <row r="9" spans="1:11">
      <c r="A9" s="110">
        <v>202101</v>
      </c>
      <c r="B9" s="109">
        <v>2001346</v>
      </c>
      <c r="C9" s="109">
        <v>730087</v>
      </c>
      <c r="D9" s="109">
        <v>663329</v>
      </c>
      <c r="E9" s="109">
        <v>113459</v>
      </c>
      <c r="F9" s="109">
        <v>19420</v>
      </c>
      <c r="G9" s="109">
        <v>97659</v>
      </c>
      <c r="H9" s="109">
        <v>213658</v>
      </c>
      <c r="I9" s="109">
        <v>142760</v>
      </c>
      <c r="J9" s="109">
        <v>3607</v>
      </c>
      <c r="K9" s="109">
        <v>17367</v>
      </c>
    </row>
    <row r="11" spans="1:11">
      <c r="A11" s="233" t="s">
        <v>292</v>
      </c>
      <c r="B11" s="232"/>
      <c r="C11" s="232"/>
      <c r="D11" s="232"/>
      <c r="E11" s="232"/>
      <c r="F11" s="232"/>
      <c r="G11" s="232"/>
      <c r="H11" s="232"/>
      <c r="I11" s="232"/>
      <c r="J11" s="232"/>
      <c r="K11" s="44">
        <v>44452.580524965277</v>
      </c>
    </row>
    <row r="12" spans="1:11">
      <c r="A12" t="s">
        <v>332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K6" sqref="K6"/>
    </sheetView>
  </sheetViews>
  <sheetFormatPr defaultColWidth="9" defaultRowHeight="15"/>
  <cols>
    <col min="1" max="1" width="19.28515625" style="4" bestFit="1" customWidth="1"/>
    <col min="2" max="2" width="20.140625" style="4" bestFit="1" customWidth="1"/>
    <col min="3" max="3" width="15.42578125" style="4" bestFit="1" customWidth="1"/>
    <col min="4" max="4" width="15.42578125" style="4" customWidth="1"/>
    <col min="5" max="7" width="15.42578125" style="4" bestFit="1" customWidth="1"/>
    <col min="8" max="10" width="14.7109375" style="4" bestFit="1" customWidth="1"/>
    <col min="11" max="16384" width="9" style="4"/>
  </cols>
  <sheetData>
    <row r="1" spans="1:11" ht="15.75" thickBot="1">
      <c r="A1" s="25" t="s">
        <v>333</v>
      </c>
    </row>
    <row r="2" spans="1:11" ht="20.100000000000001" customHeight="1">
      <c r="A2" s="111" t="s">
        <v>334</v>
      </c>
      <c r="B2" s="111" t="s">
        <v>335</v>
      </c>
      <c r="C2" s="112">
        <v>2011</v>
      </c>
      <c r="D2" s="112">
        <v>2012</v>
      </c>
      <c r="E2" s="112">
        <v>2013</v>
      </c>
      <c r="F2" s="112">
        <v>2014</v>
      </c>
      <c r="G2" s="112">
        <v>2015</v>
      </c>
      <c r="H2" s="112">
        <v>2016</v>
      </c>
      <c r="I2" s="112">
        <v>2017</v>
      </c>
      <c r="J2" s="112">
        <v>2018</v>
      </c>
      <c r="K2" s="64" t="s">
        <v>336</v>
      </c>
    </row>
    <row r="3" spans="1:11" ht="20.100000000000001" customHeight="1">
      <c r="A3" s="51" t="s">
        <v>337</v>
      </c>
      <c r="B3" s="113" t="s">
        <v>338</v>
      </c>
      <c r="C3" s="114">
        <v>1118621000</v>
      </c>
      <c r="D3" s="114">
        <v>1149340000</v>
      </c>
      <c r="E3" s="114">
        <v>1224820000</v>
      </c>
      <c r="F3" s="114">
        <v>1263472000</v>
      </c>
      <c r="G3" s="114">
        <v>1269417000</v>
      </c>
      <c r="H3" s="114">
        <v>1449535000</v>
      </c>
      <c r="I3" s="114">
        <v>1490319000</v>
      </c>
      <c r="J3" s="114">
        <v>1521590000</v>
      </c>
      <c r="K3" s="115">
        <f>(J3/C3)^(1/7)-1</f>
        <v>4.4931475049839742E-2</v>
      </c>
    </row>
    <row r="4" spans="1:11" ht="20.100000000000001" customHeight="1">
      <c r="A4" s="49" t="s">
        <v>243</v>
      </c>
      <c r="B4" s="113" t="s">
        <v>339</v>
      </c>
      <c r="C4" s="114">
        <v>36784000000</v>
      </c>
      <c r="D4" s="114">
        <v>42493000000</v>
      </c>
      <c r="E4" s="114">
        <v>38531000000</v>
      </c>
      <c r="F4" s="114">
        <v>39500000000</v>
      </c>
      <c r="G4" s="114">
        <v>40343000000</v>
      </c>
      <c r="H4" s="114">
        <v>43384000000</v>
      </c>
      <c r="I4" s="114">
        <v>46295000000</v>
      </c>
      <c r="J4" s="114">
        <v>48027000000</v>
      </c>
      <c r="K4" s="116">
        <f>(J4/C4)^(1/7)-1</f>
        <v>3.8835168293443356E-2</v>
      </c>
    </row>
    <row r="5" spans="1:11" ht="20.100000000000001" customHeight="1">
      <c r="A5" s="51" t="s">
        <v>340</v>
      </c>
      <c r="B5" s="113" t="s">
        <v>341</v>
      </c>
      <c r="C5" s="114">
        <v>40011987</v>
      </c>
      <c r="D5" s="114">
        <v>40308928</v>
      </c>
      <c r="E5" s="114">
        <v>39822270</v>
      </c>
      <c r="F5" s="114">
        <v>37379168</v>
      </c>
      <c r="G5" s="114">
        <v>37093642</v>
      </c>
      <c r="H5" s="117">
        <v>32555441</v>
      </c>
      <c r="I5" s="117">
        <v>31669610</v>
      </c>
      <c r="J5" s="117">
        <v>30914733</v>
      </c>
      <c r="K5" s="115">
        <f>(J5/C5)^(1/7)-1</f>
        <v>-3.6178781626822532E-2</v>
      </c>
    </row>
    <row r="6" spans="1:11" ht="20.100000000000001" customHeight="1" thickBot="1">
      <c r="A6" s="105" t="s">
        <v>243</v>
      </c>
      <c r="B6" s="113" t="s">
        <v>342</v>
      </c>
      <c r="C6" s="114">
        <v>9996737509</v>
      </c>
      <c r="D6" s="114">
        <v>10458878979</v>
      </c>
      <c r="E6" s="114">
        <v>10458878979</v>
      </c>
      <c r="F6" s="114">
        <v>9563602650</v>
      </c>
      <c r="G6" s="114">
        <v>9479257421</v>
      </c>
      <c r="H6" s="117">
        <v>8414121799.3000002</v>
      </c>
      <c r="I6" s="117">
        <v>8229194875.5</v>
      </c>
      <c r="J6" s="117">
        <v>7877511771.6429996</v>
      </c>
      <c r="K6" s="118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E23"/>
  <sheetViews>
    <sheetView workbookViewId="0">
      <selection activeCell="N35" sqref="N35"/>
    </sheetView>
  </sheetViews>
  <sheetFormatPr defaultRowHeight="15"/>
  <cols>
    <col min="5" max="5" width="9.42578125" bestFit="1" customWidth="1"/>
    <col min="15" max="16" width="9.42578125" bestFit="1" customWidth="1"/>
    <col min="17" max="17" width="11.5703125" bestFit="1" customWidth="1"/>
  </cols>
  <sheetData>
    <row r="1" spans="1:5">
      <c r="A1" s="234" t="s">
        <v>343</v>
      </c>
      <c r="B1" s="234"/>
      <c r="C1" s="234"/>
      <c r="D1" s="234"/>
      <c r="E1" t="str">
        <f>_xlfn.TRANSLATE(A1,"ko","en")</f>
        <v>Passenger Transportation Performance</v>
      </c>
    </row>
    <row r="2" spans="1:5">
      <c r="A2" s="119"/>
      <c r="B2" s="119">
        <v>2019</v>
      </c>
      <c r="C2" s="119">
        <v>2020</v>
      </c>
      <c r="D2" s="119">
        <v>2021</v>
      </c>
    </row>
    <row r="3" spans="1:5">
      <c r="A3" s="119" t="s">
        <v>344</v>
      </c>
      <c r="B3" s="119">
        <f>SUM(B5:B11)</f>
        <v>83614684</v>
      </c>
      <c r="C3" s="119">
        <f>SUM(C5:C11)</f>
        <v>53053344</v>
      </c>
      <c r="D3" s="119">
        <f>SUM(D5:D11)</f>
        <v>53490530</v>
      </c>
    </row>
    <row r="4" spans="1:5">
      <c r="A4" s="119" t="s">
        <v>345</v>
      </c>
      <c r="B4" s="119"/>
      <c r="C4" s="120">
        <f>C3/$B$3</f>
        <v>0.63449793100934282</v>
      </c>
      <c r="D4" s="120">
        <f>D3/$B$3</f>
        <v>0.63972651023832128</v>
      </c>
    </row>
    <row r="5" spans="1:5">
      <c r="A5" s="119" t="s">
        <v>346</v>
      </c>
      <c r="B5" s="119">
        <f>'Rail2019-psgr'!B16</f>
        <v>11247113</v>
      </c>
      <c r="C5" s="119">
        <f>'Rail2020-psgr'!B16</f>
        <v>12029401</v>
      </c>
      <c r="D5" s="119">
        <f>'Rail2021-psgr'!B11</f>
        <v>5643888</v>
      </c>
    </row>
    <row r="6" spans="1:5">
      <c r="A6" s="119" t="s">
        <v>347</v>
      </c>
      <c r="B6" s="119">
        <f>'Rail2019-psgr'!B15</f>
        <v>11440634</v>
      </c>
      <c r="C6" s="119">
        <f>'Rail2020-psgr'!B15</f>
        <v>7039739</v>
      </c>
      <c r="D6" s="119">
        <f>'Rail2021-psgr'!B10</f>
        <v>6477296</v>
      </c>
    </row>
    <row r="7" spans="1:5">
      <c r="A7" s="119" t="s">
        <v>348</v>
      </c>
      <c r="B7" s="119">
        <f>'Rail2019-psgr'!B14</f>
        <v>12140375</v>
      </c>
      <c r="C7" s="119">
        <f>'Rail2020-psgr'!B14</f>
        <v>4085433</v>
      </c>
      <c r="D7" s="119">
        <f>'Rail2021-psgr'!B9</f>
        <v>7992796</v>
      </c>
    </row>
    <row r="8" spans="1:5">
      <c r="A8" s="119" t="s">
        <v>349</v>
      </c>
      <c r="B8" s="119">
        <f>'Rail2019-psgr'!B13</f>
        <v>11928672</v>
      </c>
      <c r="C8" s="119">
        <f>'Rail2020-psgr'!B13</f>
        <v>5577505</v>
      </c>
      <c r="D8" s="119">
        <f>'Rail2021-psgr'!B8</f>
        <v>8161437</v>
      </c>
    </row>
    <row r="9" spans="1:5">
      <c r="A9" s="119" t="s">
        <v>350</v>
      </c>
      <c r="B9" s="119">
        <f>'Rail2019-psgr'!B12</f>
        <v>13025005</v>
      </c>
      <c r="C9" s="119">
        <f>'Rail2020-psgr'!B12</f>
        <v>7875367</v>
      </c>
      <c r="D9" s="119">
        <f>'Rail2021-psgr'!B7</f>
        <v>8972979</v>
      </c>
    </row>
    <row r="10" spans="1:5">
      <c r="A10" s="119" t="s">
        <v>351</v>
      </c>
      <c r="B10" s="119">
        <f>'Rail2019-psgr'!B11</f>
        <v>12025237</v>
      </c>
      <c r="C10" s="119">
        <f>'Rail2020-psgr'!B11</f>
        <v>7812478</v>
      </c>
      <c r="D10" s="119">
        <f>'Rail2021-psgr'!B6</f>
        <v>8575737</v>
      </c>
    </row>
    <row r="11" spans="1:5">
      <c r="A11" s="119" t="s">
        <v>352</v>
      </c>
      <c r="B11" s="119">
        <f>'Rail2019-psgr'!B10</f>
        <v>11807648</v>
      </c>
      <c r="C11" s="119">
        <f>'Rail2020-psgr'!B10</f>
        <v>8633421</v>
      </c>
      <c r="D11" s="119">
        <f>'Rail2021-psgr'!B5</f>
        <v>7666397</v>
      </c>
    </row>
    <row r="13" spans="1:5">
      <c r="A13" s="234" t="s">
        <v>353</v>
      </c>
      <c r="B13" s="234"/>
      <c r="C13" s="234"/>
      <c r="D13" s="234"/>
      <c r="E13" t="str">
        <f>_xlfn.TRANSLATE(A13,"ko","en")</f>
        <v>Cargo transportation performance</v>
      </c>
    </row>
    <row r="14" spans="1:5">
      <c r="A14" s="119"/>
      <c r="B14" s="119">
        <v>2019</v>
      </c>
      <c r="C14" s="119">
        <v>2020</v>
      </c>
      <c r="D14" s="119">
        <v>2021</v>
      </c>
    </row>
    <row r="15" spans="1:5">
      <c r="A15" s="119" t="s">
        <v>354</v>
      </c>
      <c r="B15" s="119">
        <f>SUM(B17:B20)</f>
        <v>9458964</v>
      </c>
      <c r="C15" s="119">
        <f>SUM(C17:C20)</f>
        <v>9072564</v>
      </c>
      <c r="D15" s="119">
        <f>SUM(D17:D20)</f>
        <v>8650541</v>
      </c>
    </row>
    <row r="16" spans="1:5">
      <c r="A16" s="119" t="s">
        <v>345</v>
      </c>
      <c r="B16" s="119"/>
      <c r="C16" s="120">
        <f>C15/$B$15</f>
        <v>0.95914986038640171</v>
      </c>
      <c r="D16" s="120">
        <f>D15/$B$15</f>
        <v>0.91453366351748455</v>
      </c>
    </row>
    <row r="17" spans="1:4">
      <c r="A17" s="119" t="s">
        <v>346</v>
      </c>
      <c r="B17" s="119">
        <f>'Rail2019-freight'!B17</f>
        <v>2301353</v>
      </c>
      <c r="C17" s="119">
        <f>'Rail2020-freight'!B17</f>
        <v>2030096</v>
      </c>
      <c r="D17" s="119">
        <f>'Rail2021-freight'!B9</f>
        <v>2001346</v>
      </c>
    </row>
    <row r="18" spans="1:4">
      <c r="A18" s="119" t="s">
        <v>347</v>
      </c>
      <c r="B18" s="119">
        <f>'Rail2019-freight'!B16</f>
        <v>1897115</v>
      </c>
      <c r="C18" s="119">
        <f>'Rail2020-freight'!B16</f>
        <v>2163356</v>
      </c>
      <c r="D18" s="119">
        <f>'Rail2021-freight'!B8</f>
        <v>1772636</v>
      </c>
    </row>
    <row r="19" spans="1:4">
      <c r="A19" s="119" t="s">
        <v>348</v>
      </c>
      <c r="B19" s="119">
        <f>'Rail2019-freight'!B15</f>
        <v>2613538</v>
      </c>
      <c r="C19" s="119">
        <f>'Rail2020-freight'!B15</f>
        <v>2484472</v>
      </c>
      <c r="D19" s="119">
        <f>'Rail2021-freight'!B7</f>
        <v>2495179</v>
      </c>
    </row>
    <row r="20" spans="1:4">
      <c r="A20" s="119" t="s">
        <v>349</v>
      </c>
      <c r="B20" s="119">
        <f>'Rail2019-freight'!B14</f>
        <v>2646958</v>
      </c>
      <c r="C20" s="119">
        <f>'Rail2020-freight'!B14</f>
        <v>2394640</v>
      </c>
      <c r="D20" s="119">
        <f>'Rail2021-freight'!B6</f>
        <v>2381380</v>
      </c>
    </row>
    <row r="22" spans="1:4">
      <c r="A22" s="21" t="s">
        <v>355</v>
      </c>
    </row>
    <row r="23" spans="1:4">
      <c r="A23" t="s">
        <v>356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5"/>
  <cols>
    <col min="1" max="1" width="5" style="151" bestFit="1" customWidth="1"/>
    <col min="2" max="2" width="21" style="151" customWidth="1"/>
    <col min="3" max="3" width="10.42578125" style="151" bestFit="1" customWidth="1"/>
    <col min="4" max="4" width="8.42578125" style="151" bestFit="1" customWidth="1"/>
    <col min="5" max="5" width="10.42578125" style="151" bestFit="1" customWidth="1"/>
    <col min="6" max="6" width="8.42578125" style="151" bestFit="1" customWidth="1"/>
    <col min="7" max="16384" width="31" style="151"/>
  </cols>
  <sheetData>
    <row r="1" spans="1:6">
      <c r="A1" s="150" t="s">
        <v>833</v>
      </c>
      <c r="B1" s="150" t="s">
        <v>357</v>
      </c>
      <c r="C1" s="150" t="s">
        <v>358</v>
      </c>
      <c r="D1" s="150" t="s">
        <v>359</v>
      </c>
      <c r="E1" s="150" t="s">
        <v>360</v>
      </c>
      <c r="F1" s="150" t="s">
        <v>361</v>
      </c>
    </row>
    <row r="2" spans="1:6">
      <c r="A2" s="151">
        <v>0</v>
      </c>
      <c r="B2" s="151" t="s">
        <v>362</v>
      </c>
      <c r="C2" s="151">
        <v>186054312</v>
      </c>
      <c r="D2" s="151">
        <v>918941</v>
      </c>
      <c r="E2" s="151">
        <v>157673444</v>
      </c>
      <c r="F2" s="151">
        <v>4533446</v>
      </c>
    </row>
    <row r="3" spans="1:6">
      <c r="A3" s="151">
        <v>1</v>
      </c>
      <c r="B3" s="151" t="s">
        <v>834</v>
      </c>
      <c r="C3" s="151">
        <v>15616550</v>
      </c>
      <c r="D3" s="151">
        <v>77117</v>
      </c>
      <c r="E3" s="151">
        <v>13219221</v>
      </c>
      <c r="F3" s="151">
        <v>394679</v>
      </c>
    </row>
    <row r="4" spans="1:6">
      <c r="A4" s="151">
        <v>1</v>
      </c>
      <c r="B4" s="151" t="s">
        <v>835</v>
      </c>
      <c r="C4" s="151">
        <v>14920350</v>
      </c>
      <c r="D4" s="151">
        <v>73624</v>
      </c>
      <c r="E4" s="151">
        <v>12802171</v>
      </c>
      <c r="F4" s="151">
        <v>392205</v>
      </c>
    </row>
    <row r="5" spans="1:6">
      <c r="A5" s="151">
        <v>1</v>
      </c>
      <c r="B5" s="151" t="s">
        <v>836</v>
      </c>
      <c r="C5" s="151">
        <v>15714630</v>
      </c>
      <c r="D5" s="151">
        <v>76649</v>
      </c>
      <c r="E5" s="151">
        <v>13536971</v>
      </c>
      <c r="F5" s="151">
        <v>397611</v>
      </c>
    </row>
    <row r="6" spans="1:6">
      <c r="A6" s="151">
        <v>1</v>
      </c>
      <c r="B6" s="151" t="s">
        <v>837</v>
      </c>
      <c r="C6" s="151">
        <v>15131451</v>
      </c>
      <c r="D6" s="151">
        <v>73865</v>
      </c>
      <c r="E6" s="151">
        <v>12051697</v>
      </c>
      <c r="F6" s="151">
        <v>368181</v>
      </c>
    </row>
    <row r="7" spans="1:6">
      <c r="A7" s="151">
        <v>1</v>
      </c>
      <c r="B7" s="151" t="s">
        <v>838</v>
      </c>
      <c r="C7" s="151">
        <v>16551415</v>
      </c>
      <c r="D7" s="151">
        <v>81444</v>
      </c>
      <c r="E7" s="151">
        <v>14281476</v>
      </c>
      <c r="F7" s="151">
        <v>386244</v>
      </c>
    </row>
    <row r="8" spans="1:6">
      <c r="A8" s="151">
        <v>1</v>
      </c>
      <c r="B8" s="151" t="s">
        <v>839</v>
      </c>
      <c r="C8" s="151">
        <v>16180785</v>
      </c>
      <c r="D8" s="151">
        <v>80159</v>
      </c>
      <c r="E8" s="151">
        <v>13569860</v>
      </c>
      <c r="F8" s="151">
        <v>376640</v>
      </c>
    </row>
    <row r="9" spans="1:6">
      <c r="A9" s="151">
        <v>1</v>
      </c>
      <c r="B9" s="151" t="s">
        <v>840</v>
      </c>
      <c r="C9" s="151">
        <v>15682718</v>
      </c>
      <c r="D9" s="151">
        <v>77696</v>
      </c>
      <c r="E9" s="151">
        <v>13484287</v>
      </c>
      <c r="F9" s="151">
        <v>369680</v>
      </c>
    </row>
    <row r="10" spans="1:6">
      <c r="A10" s="151">
        <v>1</v>
      </c>
      <c r="B10" s="151" t="s">
        <v>841</v>
      </c>
      <c r="C10" s="151">
        <v>16029617</v>
      </c>
      <c r="D10" s="151">
        <v>79058</v>
      </c>
      <c r="E10" s="151">
        <v>13298391</v>
      </c>
      <c r="F10" s="151">
        <v>370085</v>
      </c>
    </row>
    <row r="11" spans="1:6">
      <c r="A11" s="151">
        <v>1</v>
      </c>
      <c r="B11" s="151" t="s">
        <v>842</v>
      </c>
      <c r="C11" s="151">
        <v>15252118</v>
      </c>
      <c r="D11" s="151">
        <v>75292</v>
      </c>
      <c r="E11" s="151">
        <v>13018518</v>
      </c>
      <c r="F11" s="151">
        <v>371192</v>
      </c>
    </row>
    <row r="12" spans="1:6">
      <c r="A12" s="151">
        <v>1</v>
      </c>
      <c r="B12" s="151" t="s">
        <v>843</v>
      </c>
      <c r="C12" s="151">
        <v>15318615</v>
      </c>
      <c r="D12" s="151">
        <v>76728</v>
      </c>
      <c r="E12" s="151">
        <v>12747086</v>
      </c>
      <c r="F12" s="151">
        <v>396068</v>
      </c>
    </row>
    <row r="13" spans="1:6">
      <c r="A13" s="151">
        <v>1</v>
      </c>
      <c r="B13" s="151" t="s">
        <v>844</v>
      </c>
      <c r="C13" s="151">
        <v>14144794</v>
      </c>
      <c r="D13" s="151">
        <v>70105</v>
      </c>
      <c r="E13" s="151">
        <v>12454255</v>
      </c>
      <c r="F13" s="151">
        <v>328546</v>
      </c>
    </row>
    <row r="14" spans="1:6">
      <c r="A14" s="151">
        <v>1</v>
      </c>
      <c r="B14" s="151" t="s">
        <v>845</v>
      </c>
      <c r="C14" s="151">
        <v>15511269</v>
      </c>
      <c r="D14" s="151">
        <v>77204</v>
      </c>
      <c r="E14" s="151">
        <v>13209511</v>
      </c>
      <c r="F14" s="151">
        <v>382316</v>
      </c>
    </row>
    <row r="15" spans="1:6" s="152" customFormat="1">
      <c r="A15" s="152">
        <v>2</v>
      </c>
      <c r="B15" s="152" t="s">
        <v>363</v>
      </c>
      <c r="C15" s="152">
        <v>148977763</v>
      </c>
      <c r="D15" s="152">
        <v>737460</v>
      </c>
      <c r="E15" s="152">
        <v>127631572</v>
      </c>
      <c r="F15" s="152">
        <v>3144023</v>
      </c>
    </row>
    <row r="16" spans="1:6">
      <c r="A16" s="151">
        <v>3</v>
      </c>
      <c r="B16" s="151" t="s">
        <v>364</v>
      </c>
      <c r="C16" s="151">
        <v>43334255</v>
      </c>
      <c r="D16" s="151">
        <v>213665</v>
      </c>
      <c r="E16" s="151">
        <v>35495253</v>
      </c>
      <c r="F16" s="151">
        <v>1694440</v>
      </c>
    </row>
    <row r="17" spans="1:6">
      <c r="A17" s="151">
        <v>4</v>
      </c>
      <c r="B17" s="151" t="s">
        <v>365</v>
      </c>
      <c r="C17" s="151">
        <v>31132992</v>
      </c>
      <c r="D17" s="151">
        <v>139456</v>
      </c>
      <c r="E17" s="151">
        <v>26749766</v>
      </c>
      <c r="F17" s="151">
        <v>984940</v>
      </c>
    </row>
    <row r="18" spans="1:6">
      <c r="A18" s="151">
        <v>5</v>
      </c>
      <c r="B18" s="151" t="s">
        <v>366</v>
      </c>
      <c r="C18" s="151">
        <v>20341692</v>
      </c>
      <c r="D18" s="151">
        <v>107661</v>
      </c>
      <c r="E18" s="151">
        <v>18277271</v>
      </c>
      <c r="F18" s="151">
        <v>120460</v>
      </c>
    </row>
    <row r="19" spans="1:6">
      <c r="A19" s="151">
        <v>6</v>
      </c>
      <c r="B19" s="151" t="s">
        <v>367</v>
      </c>
      <c r="C19" s="151">
        <v>13871478</v>
      </c>
      <c r="D19" s="151">
        <v>65029</v>
      </c>
      <c r="E19" s="151">
        <v>12376909</v>
      </c>
      <c r="F19" s="151">
        <v>107023</v>
      </c>
    </row>
    <row r="20" spans="1:6">
      <c r="A20" s="151">
        <v>7</v>
      </c>
      <c r="B20" s="151" t="s">
        <v>368</v>
      </c>
      <c r="C20" s="151">
        <v>14754252</v>
      </c>
      <c r="D20" s="151">
        <v>76887</v>
      </c>
      <c r="E20" s="151">
        <v>12253343</v>
      </c>
      <c r="F20" s="151">
        <v>73804</v>
      </c>
    </row>
    <row r="21" spans="1:6">
      <c r="A21" s="151">
        <v>8</v>
      </c>
      <c r="B21" s="151" t="s">
        <v>369</v>
      </c>
      <c r="C21" s="151">
        <v>10583625</v>
      </c>
      <c r="D21" s="151">
        <v>54851</v>
      </c>
      <c r="E21" s="151">
        <v>9360221</v>
      </c>
      <c r="F21" s="151">
        <v>55962</v>
      </c>
    </row>
    <row r="22" spans="1:6">
      <c r="A22" s="151">
        <v>9</v>
      </c>
      <c r="B22" s="151" t="s">
        <v>370</v>
      </c>
      <c r="C22" s="151">
        <v>12595707</v>
      </c>
      <c r="D22" s="151">
        <v>66711</v>
      </c>
      <c r="E22" s="151">
        <v>11065496</v>
      </c>
      <c r="F22" s="151">
        <v>72578</v>
      </c>
    </row>
    <row r="23" spans="1:6">
      <c r="A23" s="151">
        <v>10</v>
      </c>
      <c r="B23" s="151" t="s">
        <v>846</v>
      </c>
      <c r="C23" s="151">
        <v>0</v>
      </c>
      <c r="D23" s="151">
        <v>1268</v>
      </c>
      <c r="E23" s="151">
        <v>0</v>
      </c>
      <c r="F23" s="151">
        <v>17761</v>
      </c>
    </row>
    <row r="24" spans="1:6">
      <c r="A24" s="151">
        <v>11</v>
      </c>
      <c r="B24" s="151" t="s">
        <v>371</v>
      </c>
      <c r="C24" s="151">
        <v>2296802</v>
      </c>
      <c r="D24" s="151">
        <v>11572</v>
      </c>
      <c r="E24" s="151">
        <v>2008071</v>
      </c>
      <c r="F24" s="151">
        <v>16818</v>
      </c>
    </row>
    <row r="25" spans="1:6">
      <c r="A25" s="151">
        <v>14</v>
      </c>
      <c r="B25" s="151" t="s">
        <v>847</v>
      </c>
      <c r="C25" s="151">
        <v>66960</v>
      </c>
      <c r="D25" s="151">
        <v>360</v>
      </c>
      <c r="E25" s="151">
        <v>45242</v>
      </c>
      <c r="F25" s="151">
        <v>236</v>
      </c>
    </row>
    <row r="26" spans="1:6">
      <c r="A26" s="151">
        <v>99</v>
      </c>
      <c r="B26" s="151" t="s">
        <v>372</v>
      </c>
      <c r="C26" s="151">
        <v>37076549</v>
      </c>
      <c r="D26" s="151">
        <v>181481</v>
      </c>
      <c r="E26" s="151">
        <v>30041872</v>
      </c>
      <c r="F26" s="151">
        <v>1389423</v>
      </c>
    </row>
    <row r="27" spans="1:6">
      <c r="A27" s="151">
        <v>100</v>
      </c>
      <c r="B27" s="151" t="s">
        <v>848</v>
      </c>
      <c r="C27" s="151">
        <v>742</v>
      </c>
      <c r="D27" s="151">
        <v>7</v>
      </c>
      <c r="E27" s="151">
        <v>635</v>
      </c>
      <c r="F27" s="151">
        <v>7</v>
      </c>
    </row>
    <row r="28" spans="1:6">
      <c r="A28" s="151">
        <v>100</v>
      </c>
      <c r="B28" s="151" t="s">
        <v>471</v>
      </c>
      <c r="C28" s="151">
        <v>302678</v>
      </c>
      <c r="D28" s="151">
        <v>1410</v>
      </c>
      <c r="E28" s="151">
        <v>238516</v>
      </c>
      <c r="F28" s="151">
        <v>6687</v>
      </c>
    </row>
    <row r="29" spans="1:6">
      <c r="A29" s="151">
        <v>100</v>
      </c>
      <c r="B29" s="151" t="s">
        <v>470</v>
      </c>
      <c r="C29" s="151">
        <v>550192</v>
      </c>
      <c r="D29" s="151">
        <v>2557</v>
      </c>
      <c r="E29" s="151">
        <v>495972</v>
      </c>
      <c r="F29" s="151">
        <v>6640</v>
      </c>
    </row>
    <row r="30" spans="1:6">
      <c r="A30" s="151">
        <v>100</v>
      </c>
      <c r="B30" s="151" t="s">
        <v>498</v>
      </c>
      <c r="C30" s="151">
        <v>728</v>
      </c>
      <c r="D30" s="151">
        <v>2</v>
      </c>
      <c r="E30" s="151">
        <v>468</v>
      </c>
      <c r="F30" s="151">
        <v>8</v>
      </c>
    </row>
    <row r="31" spans="1:6">
      <c r="A31" s="151">
        <v>100</v>
      </c>
      <c r="B31" s="151" t="s">
        <v>469</v>
      </c>
      <c r="C31" s="151">
        <v>158344</v>
      </c>
      <c r="D31" s="151">
        <v>540</v>
      </c>
      <c r="E31" s="151">
        <v>132678</v>
      </c>
      <c r="F31" s="151">
        <v>6623</v>
      </c>
    </row>
    <row r="32" spans="1:6">
      <c r="A32" s="151">
        <v>100</v>
      </c>
      <c r="B32" s="151" t="s">
        <v>468</v>
      </c>
      <c r="C32" s="151">
        <v>967693</v>
      </c>
      <c r="D32" s="151">
        <v>4209</v>
      </c>
      <c r="E32" s="151">
        <v>800049</v>
      </c>
      <c r="F32" s="151">
        <v>17033</v>
      </c>
    </row>
    <row r="33" spans="1:6">
      <c r="A33" s="151">
        <v>100</v>
      </c>
      <c r="B33" s="151" t="s">
        <v>467</v>
      </c>
      <c r="C33" s="151">
        <v>815492</v>
      </c>
      <c r="D33" s="151">
        <v>4523</v>
      </c>
      <c r="E33" s="151">
        <v>651590</v>
      </c>
      <c r="F33" s="151">
        <v>6774</v>
      </c>
    </row>
    <row r="34" spans="1:6">
      <c r="A34" s="151">
        <v>100</v>
      </c>
      <c r="B34" s="151" t="s">
        <v>466</v>
      </c>
      <c r="C34" s="151">
        <v>247274</v>
      </c>
      <c r="D34" s="151">
        <v>724</v>
      </c>
      <c r="E34" s="151">
        <v>214986</v>
      </c>
      <c r="F34" s="151">
        <v>14850</v>
      </c>
    </row>
    <row r="35" spans="1:6">
      <c r="A35" s="151">
        <v>100</v>
      </c>
      <c r="B35" s="151" t="s">
        <v>465</v>
      </c>
      <c r="C35" s="151">
        <v>963900</v>
      </c>
      <c r="D35" s="151">
        <v>5355</v>
      </c>
      <c r="E35" s="151">
        <v>729457</v>
      </c>
      <c r="F35" s="151">
        <v>4654</v>
      </c>
    </row>
    <row r="36" spans="1:6">
      <c r="A36" s="151">
        <v>100</v>
      </c>
      <c r="B36" s="151" t="s">
        <v>464</v>
      </c>
      <c r="C36" s="151">
        <v>320368</v>
      </c>
      <c r="D36" s="151">
        <v>878</v>
      </c>
      <c r="E36" s="151">
        <v>283010</v>
      </c>
      <c r="F36" s="151">
        <v>18047</v>
      </c>
    </row>
    <row r="37" spans="1:6">
      <c r="A37" s="151">
        <v>100</v>
      </c>
      <c r="B37" s="151" t="s">
        <v>463</v>
      </c>
      <c r="C37" s="151">
        <v>170016</v>
      </c>
      <c r="D37" s="151">
        <v>610</v>
      </c>
      <c r="E37" s="151">
        <v>146066</v>
      </c>
      <c r="F37" s="151">
        <v>7409</v>
      </c>
    </row>
    <row r="38" spans="1:6">
      <c r="A38" s="151">
        <v>100</v>
      </c>
      <c r="B38" s="151" t="s">
        <v>462</v>
      </c>
      <c r="C38" s="151">
        <v>0</v>
      </c>
      <c r="D38" s="151">
        <v>3701</v>
      </c>
      <c r="E38" s="151">
        <v>0</v>
      </c>
      <c r="F38" s="151">
        <v>113206</v>
      </c>
    </row>
    <row r="39" spans="1:6">
      <c r="A39" s="151">
        <v>100</v>
      </c>
      <c r="B39" s="151" t="s">
        <v>461</v>
      </c>
      <c r="C39" s="151">
        <v>0</v>
      </c>
      <c r="D39" s="151">
        <v>2612</v>
      </c>
      <c r="E39" s="151">
        <v>0</v>
      </c>
      <c r="F39" s="151">
        <v>54374</v>
      </c>
    </row>
    <row r="40" spans="1:6">
      <c r="A40" s="151">
        <v>100</v>
      </c>
      <c r="B40" s="151" t="s">
        <v>460</v>
      </c>
      <c r="C40" s="151">
        <v>422100</v>
      </c>
      <c r="D40" s="151">
        <v>2347</v>
      </c>
      <c r="E40" s="151">
        <v>347079</v>
      </c>
      <c r="F40" s="151">
        <v>3552</v>
      </c>
    </row>
    <row r="41" spans="1:6">
      <c r="A41" s="151">
        <v>100</v>
      </c>
      <c r="B41" s="151" t="s">
        <v>459</v>
      </c>
      <c r="C41" s="151">
        <v>12528</v>
      </c>
      <c r="D41" s="151">
        <v>81</v>
      </c>
      <c r="E41" s="151">
        <v>9323</v>
      </c>
      <c r="F41" s="151">
        <v>103</v>
      </c>
    </row>
    <row r="42" spans="1:6">
      <c r="A42" s="151">
        <v>100</v>
      </c>
      <c r="B42" s="151" t="s">
        <v>458</v>
      </c>
      <c r="C42" s="151">
        <v>372562</v>
      </c>
      <c r="D42" s="151">
        <v>1336</v>
      </c>
      <c r="E42" s="151">
        <v>332162</v>
      </c>
      <c r="F42" s="151">
        <v>31113</v>
      </c>
    </row>
    <row r="43" spans="1:6">
      <c r="A43" s="151">
        <v>100</v>
      </c>
      <c r="B43" s="151" t="s">
        <v>457</v>
      </c>
      <c r="C43" s="151">
        <v>1384884</v>
      </c>
      <c r="D43" s="151">
        <v>4106</v>
      </c>
      <c r="E43" s="151">
        <v>1090558</v>
      </c>
      <c r="F43" s="151">
        <v>49118</v>
      </c>
    </row>
    <row r="44" spans="1:6">
      <c r="A44" s="151">
        <v>100</v>
      </c>
      <c r="B44" s="151" t="s">
        <v>456</v>
      </c>
      <c r="C44" s="151">
        <v>792196</v>
      </c>
      <c r="D44" s="151">
        <v>2108</v>
      </c>
      <c r="E44" s="151">
        <v>643534</v>
      </c>
      <c r="F44" s="151">
        <v>14548</v>
      </c>
    </row>
    <row r="45" spans="1:6">
      <c r="A45" s="151">
        <v>100</v>
      </c>
      <c r="B45" s="151" t="s">
        <v>455</v>
      </c>
      <c r="C45" s="151">
        <v>206280</v>
      </c>
      <c r="D45" s="151">
        <v>1146</v>
      </c>
      <c r="E45" s="151">
        <v>175961</v>
      </c>
      <c r="F45" s="151">
        <v>1734</v>
      </c>
    </row>
    <row r="46" spans="1:6">
      <c r="A46" s="151">
        <v>100</v>
      </c>
      <c r="B46" s="151" t="s">
        <v>454</v>
      </c>
      <c r="C46" s="151">
        <v>181170</v>
      </c>
      <c r="D46" s="151">
        <v>1053</v>
      </c>
      <c r="E46" s="151">
        <v>139899</v>
      </c>
      <c r="F46" s="151">
        <v>2233</v>
      </c>
    </row>
    <row r="47" spans="1:6">
      <c r="A47" s="151">
        <v>100</v>
      </c>
      <c r="B47" s="151" t="s">
        <v>453</v>
      </c>
      <c r="C47" s="151">
        <v>1241746</v>
      </c>
      <c r="D47" s="151">
        <v>4349</v>
      </c>
      <c r="E47" s="151">
        <v>1009940</v>
      </c>
      <c r="F47" s="151">
        <v>50425</v>
      </c>
    </row>
    <row r="48" spans="1:6">
      <c r="A48" s="151">
        <v>100</v>
      </c>
      <c r="B48" s="151" t="s">
        <v>452</v>
      </c>
      <c r="C48" s="151">
        <v>0</v>
      </c>
      <c r="D48" s="151">
        <v>137</v>
      </c>
      <c r="E48" s="151">
        <v>0</v>
      </c>
      <c r="F48" s="151">
        <v>3534</v>
      </c>
    </row>
    <row r="49" spans="1:6">
      <c r="A49" s="151">
        <v>100</v>
      </c>
      <c r="B49" s="151" t="s">
        <v>451</v>
      </c>
      <c r="C49" s="151">
        <v>279774</v>
      </c>
      <c r="D49" s="151">
        <v>1224</v>
      </c>
      <c r="E49" s="151">
        <v>230849</v>
      </c>
      <c r="F49" s="151">
        <v>59618</v>
      </c>
    </row>
    <row r="50" spans="1:6">
      <c r="A50" s="151">
        <v>100</v>
      </c>
      <c r="B50" s="151" t="s">
        <v>450</v>
      </c>
      <c r="C50" s="151">
        <v>0</v>
      </c>
      <c r="D50" s="151">
        <v>300</v>
      </c>
      <c r="E50" s="151">
        <v>0</v>
      </c>
      <c r="F50" s="151">
        <v>13945</v>
      </c>
    </row>
    <row r="51" spans="1:6">
      <c r="A51" s="151">
        <v>100</v>
      </c>
      <c r="B51" s="151" t="s">
        <v>449</v>
      </c>
      <c r="C51" s="151">
        <v>0</v>
      </c>
      <c r="D51" s="151">
        <v>90</v>
      </c>
      <c r="E51" s="151">
        <v>0</v>
      </c>
      <c r="F51" s="151">
        <v>2684</v>
      </c>
    </row>
    <row r="52" spans="1:6">
      <c r="A52" s="151">
        <v>100</v>
      </c>
      <c r="B52" s="151" t="s">
        <v>448</v>
      </c>
      <c r="C52" s="151">
        <v>117816</v>
      </c>
      <c r="D52" s="151">
        <v>744</v>
      </c>
      <c r="E52" s="151">
        <v>92864</v>
      </c>
      <c r="F52" s="151">
        <v>1639</v>
      </c>
    </row>
    <row r="53" spans="1:6">
      <c r="A53" s="151">
        <v>100</v>
      </c>
      <c r="B53" s="151" t="s">
        <v>447</v>
      </c>
      <c r="C53" s="151">
        <v>1056996</v>
      </c>
      <c r="D53" s="151">
        <v>5780</v>
      </c>
      <c r="E53" s="151">
        <v>909787</v>
      </c>
      <c r="F53" s="151">
        <v>9678</v>
      </c>
    </row>
    <row r="54" spans="1:6">
      <c r="A54" s="151">
        <v>100</v>
      </c>
      <c r="B54" s="151" t="s">
        <v>446</v>
      </c>
      <c r="C54" s="151">
        <v>105294</v>
      </c>
      <c r="D54" s="151">
        <v>381</v>
      </c>
      <c r="E54" s="151">
        <v>85188</v>
      </c>
      <c r="F54" s="151">
        <v>4585</v>
      </c>
    </row>
    <row r="55" spans="1:6">
      <c r="A55" s="151">
        <v>100</v>
      </c>
      <c r="B55" s="151" t="s">
        <v>445</v>
      </c>
      <c r="C55" s="151">
        <v>187042</v>
      </c>
      <c r="D55" s="151">
        <v>1054</v>
      </c>
      <c r="E55" s="151">
        <v>167696</v>
      </c>
      <c r="F55" s="151">
        <v>2002</v>
      </c>
    </row>
    <row r="56" spans="1:6">
      <c r="A56" s="151">
        <v>100</v>
      </c>
      <c r="B56" s="151" t="s">
        <v>444</v>
      </c>
      <c r="C56" s="151">
        <v>19944</v>
      </c>
      <c r="D56" s="151">
        <v>110</v>
      </c>
      <c r="E56" s="151">
        <v>14040</v>
      </c>
      <c r="F56" s="151">
        <v>133</v>
      </c>
    </row>
    <row r="57" spans="1:6">
      <c r="A57" s="151">
        <v>100</v>
      </c>
      <c r="B57" s="151" t="s">
        <v>443</v>
      </c>
      <c r="C57" s="151">
        <v>986211</v>
      </c>
      <c r="D57" s="151">
        <v>4174</v>
      </c>
      <c r="E57" s="151">
        <v>838334</v>
      </c>
      <c r="F57" s="151">
        <v>24318</v>
      </c>
    </row>
    <row r="58" spans="1:6">
      <c r="A58" s="151">
        <v>100</v>
      </c>
      <c r="B58" s="151" t="s">
        <v>442</v>
      </c>
      <c r="C58" s="151">
        <v>0</v>
      </c>
      <c r="D58" s="151">
        <v>544</v>
      </c>
      <c r="E58" s="151">
        <v>0</v>
      </c>
      <c r="F58" s="151">
        <v>30222</v>
      </c>
    </row>
    <row r="59" spans="1:6">
      <c r="A59" s="151">
        <v>100</v>
      </c>
      <c r="B59" s="151" t="s">
        <v>441</v>
      </c>
      <c r="C59" s="151">
        <v>125546</v>
      </c>
      <c r="D59" s="151">
        <v>730</v>
      </c>
      <c r="E59" s="151">
        <v>95589</v>
      </c>
      <c r="F59" s="151">
        <v>1746</v>
      </c>
    </row>
    <row r="60" spans="1:6">
      <c r="A60" s="151">
        <v>100</v>
      </c>
      <c r="B60" s="151" t="s">
        <v>440</v>
      </c>
      <c r="C60" s="151">
        <v>0</v>
      </c>
      <c r="D60" s="151">
        <v>186</v>
      </c>
      <c r="E60" s="151">
        <v>0</v>
      </c>
      <c r="F60" s="151">
        <v>1388</v>
      </c>
    </row>
    <row r="61" spans="1:6">
      <c r="A61" s="151">
        <v>100</v>
      </c>
      <c r="B61" s="151" t="s">
        <v>439</v>
      </c>
      <c r="C61" s="151">
        <v>212096</v>
      </c>
      <c r="D61" s="151">
        <v>1266</v>
      </c>
      <c r="E61" s="151">
        <v>159688</v>
      </c>
      <c r="F61" s="151">
        <v>3588</v>
      </c>
    </row>
    <row r="62" spans="1:6">
      <c r="A62" s="151">
        <v>100</v>
      </c>
      <c r="B62" s="151" t="s">
        <v>438</v>
      </c>
      <c r="C62" s="151">
        <v>0</v>
      </c>
      <c r="D62" s="151">
        <v>16</v>
      </c>
      <c r="E62" s="151">
        <v>0</v>
      </c>
      <c r="F62" s="151">
        <v>248</v>
      </c>
    </row>
    <row r="63" spans="1:6">
      <c r="A63" s="151">
        <v>100</v>
      </c>
      <c r="B63" s="151" t="s">
        <v>437</v>
      </c>
      <c r="C63" s="151">
        <v>27056</v>
      </c>
      <c r="D63" s="151">
        <v>160</v>
      </c>
      <c r="E63" s="151">
        <v>22522</v>
      </c>
      <c r="F63" s="151">
        <v>230</v>
      </c>
    </row>
    <row r="64" spans="1:6">
      <c r="A64" s="151">
        <v>100</v>
      </c>
      <c r="B64" s="151" t="s">
        <v>436</v>
      </c>
      <c r="C64" s="151">
        <v>3005784</v>
      </c>
      <c r="D64" s="151">
        <v>15621</v>
      </c>
      <c r="E64" s="151">
        <v>2380343</v>
      </c>
      <c r="F64" s="151">
        <v>47724</v>
      </c>
    </row>
    <row r="65" spans="1:6">
      <c r="A65" s="151">
        <v>100</v>
      </c>
      <c r="B65" s="151" t="s">
        <v>435</v>
      </c>
      <c r="C65" s="151">
        <v>2663952</v>
      </c>
      <c r="D65" s="151">
        <v>14981</v>
      </c>
      <c r="E65" s="151">
        <v>2142980</v>
      </c>
      <c r="F65" s="151">
        <v>43514</v>
      </c>
    </row>
    <row r="66" spans="1:6">
      <c r="A66" s="151">
        <v>100</v>
      </c>
      <c r="B66" s="151" t="s">
        <v>434</v>
      </c>
      <c r="C66" s="151">
        <v>234382</v>
      </c>
      <c r="D66" s="151">
        <v>1484</v>
      </c>
      <c r="E66" s="151">
        <v>215916</v>
      </c>
      <c r="F66" s="151">
        <v>3271</v>
      </c>
    </row>
    <row r="67" spans="1:6">
      <c r="A67" s="151">
        <v>100</v>
      </c>
      <c r="B67" s="151" t="s">
        <v>433</v>
      </c>
      <c r="C67" s="151">
        <v>1537421</v>
      </c>
      <c r="D67" s="151">
        <v>8065</v>
      </c>
      <c r="E67" s="151">
        <v>1250721</v>
      </c>
      <c r="F67" s="151">
        <v>30204</v>
      </c>
    </row>
    <row r="68" spans="1:6">
      <c r="A68" s="151">
        <v>100</v>
      </c>
      <c r="B68" s="151" t="s">
        <v>432</v>
      </c>
      <c r="C68" s="151">
        <v>35176</v>
      </c>
      <c r="D68" s="151">
        <v>195</v>
      </c>
      <c r="E68" s="151">
        <v>32015</v>
      </c>
      <c r="F68" s="151">
        <v>337</v>
      </c>
    </row>
    <row r="69" spans="1:6">
      <c r="A69" s="151">
        <v>100</v>
      </c>
      <c r="B69" s="151" t="s">
        <v>490</v>
      </c>
      <c r="C69" s="151">
        <v>6700</v>
      </c>
      <c r="D69" s="151">
        <v>20</v>
      </c>
      <c r="E69" s="151">
        <v>5851</v>
      </c>
      <c r="F69" s="151">
        <v>77</v>
      </c>
    </row>
    <row r="70" spans="1:6">
      <c r="A70" s="151">
        <v>100</v>
      </c>
      <c r="B70" s="151" t="s">
        <v>431</v>
      </c>
      <c r="C70" s="151">
        <v>520927</v>
      </c>
      <c r="D70" s="151">
        <v>2182</v>
      </c>
      <c r="E70" s="151">
        <v>414726</v>
      </c>
      <c r="F70" s="151">
        <v>8972</v>
      </c>
    </row>
    <row r="71" spans="1:6">
      <c r="A71" s="151">
        <v>100</v>
      </c>
      <c r="B71" s="151" t="s">
        <v>430</v>
      </c>
      <c r="C71" s="151">
        <v>821986</v>
      </c>
      <c r="D71" s="151">
        <v>3627</v>
      </c>
      <c r="E71" s="151">
        <v>676588</v>
      </c>
      <c r="F71" s="151">
        <v>15995</v>
      </c>
    </row>
    <row r="72" spans="1:6">
      <c r="A72" s="151">
        <v>100</v>
      </c>
      <c r="B72" s="151" t="s">
        <v>429</v>
      </c>
      <c r="C72" s="151">
        <v>105728</v>
      </c>
      <c r="D72" s="151">
        <v>414</v>
      </c>
      <c r="E72" s="151">
        <v>64727</v>
      </c>
      <c r="F72" s="151">
        <v>3926</v>
      </c>
    </row>
    <row r="73" spans="1:6">
      <c r="A73" s="151">
        <v>100</v>
      </c>
      <c r="B73" s="151" t="s">
        <v>428</v>
      </c>
      <c r="C73" s="151">
        <v>9238</v>
      </c>
      <c r="D73" s="151">
        <v>62</v>
      </c>
      <c r="E73" s="151">
        <v>5894</v>
      </c>
      <c r="F73" s="151">
        <v>77</v>
      </c>
    </row>
    <row r="74" spans="1:6">
      <c r="A74" s="151">
        <v>100</v>
      </c>
      <c r="B74" s="151" t="s">
        <v>427</v>
      </c>
      <c r="C74" s="151">
        <v>0</v>
      </c>
      <c r="D74" s="151">
        <v>3029</v>
      </c>
      <c r="E74" s="151">
        <v>0</v>
      </c>
      <c r="F74" s="151">
        <v>38203</v>
      </c>
    </row>
    <row r="75" spans="1:6">
      <c r="A75" s="151">
        <v>100</v>
      </c>
      <c r="B75" s="151" t="s">
        <v>426</v>
      </c>
      <c r="C75" s="151">
        <v>52992</v>
      </c>
      <c r="D75" s="151">
        <v>288</v>
      </c>
      <c r="E75" s="151">
        <v>47497</v>
      </c>
      <c r="F75" s="151">
        <v>811</v>
      </c>
    </row>
    <row r="76" spans="1:6">
      <c r="A76" s="151">
        <v>100</v>
      </c>
      <c r="B76" s="151" t="s">
        <v>425</v>
      </c>
      <c r="C76" s="151">
        <v>261739</v>
      </c>
      <c r="D76" s="151">
        <v>1008</v>
      </c>
      <c r="E76" s="151">
        <v>207146</v>
      </c>
      <c r="F76" s="151">
        <v>13340</v>
      </c>
    </row>
    <row r="77" spans="1:6">
      <c r="A77" s="151">
        <v>100</v>
      </c>
      <c r="B77" s="151" t="s">
        <v>424</v>
      </c>
      <c r="C77" s="151">
        <v>0</v>
      </c>
      <c r="D77" s="151">
        <v>28</v>
      </c>
      <c r="E77" s="151">
        <v>0</v>
      </c>
      <c r="F77" s="151">
        <v>1546</v>
      </c>
    </row>
    <row r="78" spans="1:6">
      <c r="A78" s="151">
        <v>100</v>
      </c>
      <c r="B78" s="151" t="s">
        <v>423</v>
      </c>
      <c r="C78" s="151">
        <v>33283</v>
      </c>
      <c r="D78" s="151">
        <v>199</v>
      </c>
      <c r="E78" s="151">
        <v>21847</v>
      </c>
      <c r="F78" s="151">
        <v>253</v>
      </c>
    </row>
    <row r="79" spans="1:6">
      <c r="A79" s="151">
        <v>100</v>
      </c>
      <c r="B79" s="151" t="s">
        <v>422</v>
      </c>
      <c r="C79" s="151">
        <v>181546</v>
      </c>
      <c r="D79" s="151">
        <v>782</v>
      </c>
      <c r="E79" s="151">
        <v>151232</v>
      </c>
      <c r="F79" s="151">
        <v>7771</v>
      </c>
    </row>
    <row r="80" spans="1:6">
      <c r="A80" s="151">
        <v>100</v>
      </c>
      <c r="B80" s="151" t="s">
        <v>421</v>
      </c>
      <c r="C80" s="151">
        <v>67918</v>
      </c>
      <c r="D80" s="151">
        <v>358</v>
      </c>
      <c r="E80" s="151">
        <v>61970</v>
      </c>
      <c r="F80" s="151">
        <v>648</v>
      </c>
    </row>
    <row r="81" spans="1:6">
      <c r="A81" s="151">
        <v>100</v>
      </c>
      <c r="B81" s="151" t="s">
        <v>420</v>
      </c>
      <c r="C81" s="151">
        <v>415032</v>
      </c>
      <c r="D81" s="151">
        <v>3217</v>
      </c>
      <c r="E81" s="151">
        <v>294241</v>
      </c>
      <c r="F81" s="151">
        <v>3814</v>
      </c>
    </row>
    <row r="82" spans="1:6">
      <c r="A82" s="151">
        <v>100</v>
      </c>
      <c r="B82" s="151" t="s">
        <v>419</v>
      </c>
      <c r="C82" s="151">
        <v>154312</v>
      </c>
      <c r="D82" s="151">
        <v>720</v>
      </c>
      <c r="E82" s="151">
        <v>135528</v>
      </c>
      <c r="F82" s="151">
        <v>8138</v>
      </c>
    </row>
    <row r="83" spans="1:6">
      <c r="A83" s="151">
        <v>100</v>
      </c>
      <c r="B83" s="151" t="s">
        <v>418</v>
      </c>
      <c r="C83" s="151">
        <v>300948</v>
      </c>
      <c r="D83" s="151">
        <v>732</v>
      </c>
      <c r="E83" s="151">
        <v>227736</v>
      </c>
      <c r="F83" s="151">
        <v>11899</v>
      </c>
    </row>
    <row r="84" spans="1:6">
      <c r="A84" s="151">
        <v>100</v>
      </c>
      <c r="B84" s="151" t="s">
        <v>417</v>
      </c>
      <c r="C84" s="151">
        <v>253236</v>
      </c>
      <c r="D84" s="151">
        <v>1078</v>
      </c>
      <c r="E84" s="151">
        <v>87683</v>
      </c>
      <c r="F84" s="151">
        <v>7102</v>
      </c>
    </row>
    <row r="85" spans="1:6">
      <c r="A85" s="151">
        <v>100</v>
      </c>
      <c r="B85" s="151" t="s">
        <v>416</v>
      </c>
      <c r="C85" s="151">
        <v>0</v>
      </c>
      <c r="D85" s="151">
        <v>618</v>
      </c>
      <c r="E85" s="151">
        <v>0</v>
      </c>
      <c r="F85" s="151">
        <v>20099</v>
      </c>
    </row>
    <row r="86" spans="1:6">
      <c r="A86" s="151">
        <v>100</v>
      </c>
      <c r="B86" s="151" t="s">
        <v>415</v>
      </c>
      <c r="C86" s="151">
        <v>439518</v>
      </c>
      <c r="D86" s="151">
        <v>1395</v>
      </c>
      <c r="E86" s="151">
        <v>390613</v>
      </c>
      <c r="F86" s="151">
        <v>23678</v>
      </c>
    </row>
    <row r="87" spans="1:6">
      <c r="A87" s="151">
        <v>100</v>
      </c>
      <c r="B87" s="151" t="s">
        <v>849</v>
      </c>
      <c r="C87" s="151">
        <v>0</v>
      </c>
      <c r="D87" s="151">
        <v>648</v>
      </c>
      <c r="E87" s="151">
        <v>0</v>
      </c>
      <c r="F87" s="151">
        <v>21536</v>
      </c>
    </row>
    <row r="88" spans="1:6">
      <c r="A88" s="151">
        <v>100</v>
      </c>
      <c r="B88" s="151" t="s">
        <v>414</v>
      </c>
      <c r="C88" s="151">
        <v>1079311</v>
      </c>
      <c r="D88" s="151">
        <v>2863</v>
      </c>
      <c r="E88" s="151">
        <v>833544</v>
      </c>
      <c r="F88" s="151">
        <v>21243</v>
      </c>
    </row>
    <row r="89" spans="1:6">
      <c r="A89" s="151">
        <v>100</v>
      </c>
      <c r="B89" s="151" t="s">
        <v>413</v>
      </c>
      <c r="C89" s="151">
        <v>153792</v>
      </c>
      <c r="D89" s="151">
        <v>754</v>
      </c>
      <c r="E89" s="151">
        <v>114009</v>
      </c>
      <c r="F89" s="151">
        <v>3060</v>
      </c>
    </row>
    <row r="90" spans="1:6">
      <c r="A90" s="151">
        <v>100</v>
      </c>
      <c r="B90" s="151" t="s">
        <v>412</v>
      </c>
      <c r="C90" s="151">
        <v>0</v>
      </c>
      <c r="D90" s="151">
        <v>756</v>
      </c>
      <c r="E90" s="151">
        <v>0</v>
      </c>
      <c r="F90" s="151">
        <v>28051</v>
      </c>
    </row>
    <row r="91" spans="1:6">
      <c r="A91" s="151">
        <v>100</v>
      </c>
      <c r="B91" s="151" t="s">
        <v>411</v>
      </c>
      <c r="C91" s="151">
        <v>241318</v>
      </c>
      <c r="D91" s="151">
        <v>1436</v>
      </c>
      <c r="E91" s="151">
        <v>201466</v>
      </c>
      <c r="F91" s="151">
        <v>3643</v>
      </c>
    </row>
    <row r="92" spans="1:6">
      <c r="A92" s="151">
        <v>100</v>
      </c>
      <c r="B92" s="151" t="s">
        <v>410</v>
      </c>
      <c r="C92" s="151">
        <v>0</v>
      </c>
      <c r="D92" s="151">
        <v>207</v>
      </c>
      <c r="E92" s="151">
        <v>0</v>
      </c>
      <c r="F92" s="151">
        <v>7451</v>
      </c>
    </row>
    <row r="93" spans="1:6">
      <c r="A93" s="151">
        <v>100</v>
      </c>
      <c r="B93" s="151" t="s">
        <v>409</v>
      </c>
      <c r="C93" s="151">
        <v>735115</v>
      </c>
      <c r="D93" s="151">
        <v>3130</v>
      </c>
      <c r="E93" s="151">
        <v>649555</v>
      </c>
      <c r="F93" s="151">
        <v>17974</v>
      </c>
    </row>
    <row r="94" spans="1:6">
      <c r="A94" s="151">
        <v>100</v>
      </c>
      <c r="B94" s="151" t="s">
        <v>408</v>
      </c>
      <c r="C94" s="151">
        <v>381446</v>
      </c>
      <c r="D94" s="151">
        <v>734</v>
      </c>
      <c r="E94" s="151">
        <v>322479</v>
      </c>
      <c r="F94" s="151">
        <v>14650</v>
      </c>
    </row>
    <row r="95" spans="1:6">
      <c r="A95" s="151">
        <v>100</v>
      </c>
      <c r="B95" s="151" t="s">
        <v>407</v>
      </c>
      <c r="C95" s="151">
        <v>37174</v>
      </c>
      <c r="D95" s="151">
        <v>284</v>
      </c>
      <c r="E95" s="151">
        <v>22573</v>
      </c>
      <c r="F95" s="151">
        <v>240</v>
      </c>
    </row>
    <row r="96" spans="1:6">
      <c r="A96" s="151">
        <v>100</v>
      </c>
      <c r="B96" s="151" t="s">
        <v>406</v>
      </c>
      <c r="C96" s="151">
        <v>6518</v>
      </c>
      <c r="D96" s="151">
        <v>33</v>
      </c>
      <c r="E96" s="151">
        <v>3341</v>
      </c>
      <c r="F96" s="151">
        <v>30</v>
      </c>
    </row>
    <row r="97" spans="1:6">
      <c r="A97" s="151">
        <v>100</v>
      </c>
      <c r="B97" s="151" t="s">
        <v>405</v>
      </c>
      <c r="C97" s="151">
        <v>102986</v>
      </c>
      <c r="D97" s="151">
        <v>412</v>
      </c>
      <c r="E97" s="151">
        <v>86166</v>
      </c>
      <c r="F97" s="151">
        <v>4135</v>
      </c>
    </row>
    <row r="98" spans="1:6">
      <c r="A98" s="151">
        <v>100</v>
      </c>
      <c r="B98" s="151" t="s">
        <v>404</v>
      </c>
      <c r="C98" s="151">
        <v>0</v>
      </c>
      <c r="D98" s="151">
        <v>3</v>
      </c>
      <c r="E98" s="151">
        <v>0</v>
      </c>
      <c r="F98" s="151">
        <v>188</v>
      </c>
    </row>
    <row r="99" spans="1:6">
      <c r="A99" s="151">
        <v>100</v>
      </c>
      <c r="B99" s="151" t="s">
        <v>403</v>
      </c>
      <c r="C99" s="151">
        <v>0</v>
      </c>
      <c r="D99" s="151">
        <v>1348</v>
      </c>
      <c r="E99" s="151">
        <v>0</v>
      </c>
      <c r="F99" s="151">
        <v>71912</v>
      </c>
    </row>
    <row r="100" spans="1:6">
      <c r="A100" s="151">
        <v>100</v>
      </c>
      <c r="B100" s="151" t="s">
        <v>484</v>
      </c>
      <c r="C100" s="151">
        <v>0</v>
      </c>
      <c r="D100" s="151">
        <v>1</v>
      </c>
      <c r="E100" s="151">
        <v>0</v>
      </c>
      <c r="F100" s="151">
        <v>8</v>
      </c>
    </row>
    <row r="101" spans="1:6">
      <c r="A101" s="151">
        <v>100</v>
      </c>
      <c r="B101" s="151" t="s">
        <v>402</v>
      </c>
      <c r="C101" s="151">
        <v>104309</v>
      </c>
      <c r="D101" s="151">
        <v>430</v>
      </c>
      <c r="E101" s="151">
        <v>85439</v>
      </c>
      <c r="F101" s="151">
        <v>4271</v>
      </c>
    </row>
    <row r="102" spans="1:6">
      <c r="A102" s="151">
        <v>100</v>
      </c>
      <c r="B102" s="151" t="s">
        <v>401</v>
      </c>
      <c r="C102" s="151">
        <v>0</v>
      </c>
      <c r="D102" s="151">
        <v>4</v>
      </c>
      <c r="E102" s="151">
        <v>0</v>
      </c>
      <c r="F102" s="151">
        <v>4</v>
      </c>
    </row>
    <row r="103" spans="1:6">
      <c r="A103" s="151">
        <v>100</v>
      </c>
      <c r="B103" s="151" t="s">
        <v>400</v>
      </c>
      <c r="C103" s="151">
        <v>208536</v>
      </c>
      <c r="D103" s="151">
        <v>732</v>
      </c>
      <c r="E103" s="151">
        <v>189433</v>
      </c>
      <c r="F103" s="151">
        <v>9189</v>
      </c>
    </row>
    <row r="104" spans="1:6">
      <c r="A104" s="151">
        <v>100</v>
      </c>
      <c r="B104" s="151" t="s">
        <v>399</v>
      </c>
      <c r="C104" s="151">
        <v>917468</v>
      </c>
      <c r="D104" s="151">
        <v>2994</v>
      </c>
      <c r="E104" s="151">
        <v>776072</v>
      </c>
      <c r="F104" s="151">
        <v>43269</v>
      </c>
    </row>
    <row r="105" spans="1:6">
      <c r="A105" s="151">
        <v>100</v>
      </c>
      <c r="B105" s="151" t="s">
        <v>398</v>
      </c>
      <c r="C105" s="151">
        <v>0</v>
      </c>
      <c r="D105" s="151">
        <v>304</v>
      </c>
      <c r="E105" s="151">
        <v>0</v>
      </c>
      <c r="F105" s="151">
        <v>17290</v>
      </c>
    </row>
    <row r="106" spans="1:6">
      <c r="A106" s="151">
        <v>100</v>
      </c>
      <c r="B106" s="151" t="s">
        <v>397</v>
      </c>
      <c r="C106" s="151">
        <v>33382</v>
      </c>
      <c r="D106" s="151">
        <v>207</v>
      </c>
      <c r="E106" s="151">
        <v>29076</v>
      </c>
      <c r="F106" s="151">
        <v>399</v>
      </c>
    </row>
    <row r="107" spans="1:6">
      <c r="A107" s="151">
        <v>100</v>
      </c>
      <c r="B107" s="151" t="s">
        <v>396</v>
      </c>
      <c r="C107" s="151">
        <v>262310</v>
      </c>
      <c r="D107" s="151">
        <v>1556</v>
      </c>
      <c r="E107" s="151">
        <v>221048</v>
      </c>
      <c r="F107" s="151">
        <v>2524</v>
      </c>
    </row>
    <row r="108" spans="1:6">
      <c r="A108" s="151">
        <v>100</v>
      </c>
      <c r="B108" s="151" t="s">
        <v>395</v>
      </c>
      <c r="C108" s="151">
        <v>114884</v>
      </c>
      <c r="D108" s="151">
        <v>312</v>
      </c>
      <c r="E108" s="151">
        <v>102774</v>
      </c>
      <c r="F108" s="151">
        <v>2706</v>
      </c>
    </row>
    <row r="109" spans="1:6">
      <c r="A109" s="151">
        <v>100</v>
      </c>
      <c r="B109" s="151" t="s">
        <v>394</v>
      </c>
      <c r="C109" s="151">
        <v>73156</v>
      </c>
      <c r="D109" s="151">
        <v>367</v>
      </c>
      <c r="E109" s="151">
        <v>62884</v>
      </c>
      <c r="F109" s="151">
        <v>629</v>
      </c>
    </row>
    <row r="110" spans="1:6">
      <c r="A110" s="151">
        <v>100</v>
      </c>
      <c r="B110" s="151" t="s">
        <v>393</v>
      </c>
      <c r="C110" s="151">
        <v>579424</v>
      </c>
      <c r="D110" s="151">
        <v>2177</v>
      </c>
      <c r="E110" s="151">
        <v>422453</v>
      </c>
      <c r="F110" s="151">
        <v>10461</v>
      </c>
    </row>
    <row r="111" spans="1:6">
      <c r="A111" s="151">
        <v>100</v>
      </c>
      <c r="B111" s="151" t="s">
        <v>392</v>
      </c>
      <c r="C111" s="151">
        <v>435024</v>
      </c>
      <c r="D111" s="151">
        <v>2371</v>
      </c>
      <c r="E111" s="151">
        <v>357416</v>
      </c>
      <c r="F111" s="151">
        <v>5960</v>
      </c>
    </row>
    <row r="112" spans="1:6">
      <c r="A112" s="151">
        <v>100</v>
      </c>
      <c r="B112" s="151" t="s">
        <v>391</v>
      </c>
      <c r="C112" s="151">
        <v>1185202</v>
      </c>
      <c r="D112" s="151">
        <v>6932</v>
      </c>
      <c r="E112" s="151">
        <v>939324</v>
      </c>
      <c r="F112" s="151">
        <v>16914</v>
      </c>
    </row>
    <row r="113" spans="1:6">
      <c r="A113" s="151">
        <v>100</v>
      </c>
      <c r="B113" s="151" t="s">
        <v>390</v>
      </c>
      <c r="C113" s="151">
        <v>81020</v>
      </c>
      <c r="D113" s="151">
        <v>421</v>
      </c>
      <c r="E113" s="151">
        <v>58352</v>
      </c>
      <c r="F113" s="151">
        <v>878</v>
      </c>
    </row>
    <row r="114" spans="1:6">
      <c r="A114" s="151">
        <v>100</v>
      </c>
      <c r="B114" s="151" t="s">
        <v>477</v>
      </c>
      <c r="C114" s="151">
        <v>0</v>
      </c>
      <c r="D114" s="151">
        <v>2</v>
      </c>
      <c r="E114" s="151">
        <v>0</v>
      </c>
      <c r="F114" s="151">
        <v>73</v>
      </c>
    </row>
    <row r="115" spans="1:6">
      <c r="A115" s="151">
        <v>100</v>
      </c>
      <c r="B115" s="151" t="s">
        <v>389</v>
      </c>
      <c r="C115" s="151">
        <v>2282472</v>
      </c>
      <c r="D115" s="151">
        <v>10418</v>
      </c>
      <c r="E115" s="151">
        <v>1797706</v>
      </c>
      <c r="F115" s="151">
        <v>21617</v>
      </c>
    </row>
    <row r="116" spans="1:6">
      <c r="A116" s="151">
        <v>100</v>
      </c>
      <c r="B116" s="151" t="s">
        <v>388</v>
      </c>
      <c r="C116" s="151">
        <v>63764</v>
      </c>
      <c r="D116" s="151">
        <v>406</v>
      </c>
      <c r="E116" s="151">
        <v>43975</v>
      </c>
      <c r="F116" s="151">
        <v>962</v>
      </c>
    </row>
    <row r="117" spans="1:6">
      <c r="A117" s="151">
        <v>100</v>
      </c>
      <c r="B117" s="151" t="s">
        <v>387</v>
      </c>
      <c r="C117" s="151">
        <v>63672</v>
      </c>
      <c r="D117" s="151">
        <v>344</v>
      </c>
      <c r="E117" s="151">
        <v>60227</v>
      </c>
      <c r="F117" s="151">
        <v>599</v>
      </c>
    </row>
    <row r="118" spans="1:6">
      <c r="A118" s="151">
        <v>100</v>
      </c>
      <c r="B118" s="151" t="s">
        <v>386</v>
      </c>
      <c r="C118" s="151">
        <v>0</v>
      </c>
      <c r="D118" s="151">
        <v>9</v>
      </c>
      <c r="E118" s="151">
        <v>0</v>
      </c>
      <c r="F118" s="151">
        <v>327</v>
      </c>
    </row>
    <row r="119" spans="1:6">
      <c r="A119" s="151">
        <v>100</v>
      </c>
      <c r="B119" s="151" t="s">
        <v>385</v>
      </c>
      <c r="C119" s="151">
        <v>1567860</v>
      </c>
      <c r="D119" s="151">
        <v>6211</v>
      </c>
      <c r="E119" s="151">
        <v>1310334</v>
      </c>
      <c r="F119" s="151">
        <v>50573</v>
      </c>
    </row>
    <row r="120" spans="1:6">
      <c r="A120" s="151">
        <v>100</v>
      </c>
      <c r="B120" s="151" t="s">
        <v>850</v>
      </c>
      <c r="C120" s="151">
        <v>47168</v>
      </c>
      <c r="D120" s="151">
        <v>240</v>
      </c>
      <c r="E120" s="151">
        <v>28307</v>
      </c>
      <c r="F120" s="151">
        <v>289</v>
      </c>
    </row>
    <row r="121" spans="1:6">
      <c r="A121" s="151">
        <v>100</v>
      </c>
      <c r="B121" s="151" t="s">
        <v>476</v>
      </c>
      <c r="C121" s="151">
        <v>4512</v>
      </c>
      <c r="D121" s="151">
        <v>32</v>
      </c>
      <c r="E121" s="151">
        <v>1273</v>
      </c>
      <c r="F121" s="151">
        <v>20</v>
      </c>
    </row>
    <row r="122" spans="1:6">
      <c r="A122" s="151">
        <v>100</v>
      </c>
      <c r="B122" s="151" t="s">
        <v>384</v>
      </c>
      <c r="C122" s="151">
        <v>0</v>
      </c>
      <c r="D122" s="151">
        <v>332</v>
      </c>
      <c r="E122" s="151">
        <v>0</v>
      </c>
      <c r="F122" s="151">
        <v>12895</v>
      </c>
    </row>
    <row r="123" spans="1:6">
      <c r="A123" s="151">
        <v>100</v>
      </c>
      <c r="B123" s="151" t="s">
        <v>383</v>
      </c>
      <c r="C123" s="151">
        <v>269068</v>
      </c>
      <c r="D123" s="151">
        <v>1182</v>
      </c>
      <c r="E123" s="151">
        <v>214067</v>
      </c>
      <c r="F123" s="151">
        <v>5566</v>
      </c>
    </row>
    <row r="124" spans="1:6">
      <c r="A124" s="151">
        <v>100</v>
      </c>
      <c r="B124" s="151" t="s">
        <v>382</v>
      </c>
      <c r="C124" s="151">
        <v>388400</v>
      </c>
      <c r="D124" s="151">
        <v>1228</v>
      </c>
      <c r="E124" s="151">
        <v>288073</v>
      </c>
      <c r="F124" s="151">
        <v>16425</v>
      </c>
    </row>
    <row r="125" spans="1:6">
      <c r="A125" s="151">
        <v>100</v>
      </c>
      <c r="B125" s="151" t="s">
        <v>381</v>
      </c>
      <c r="C125" s="151">
        <v>35670</v>
      </c>
      <c r="D125" s="151">
        <v>206</v>
      </c>
      <c r="E125" s="151">
        <v>25712</v>
      </c>
      <c r="F125" s="151">
        <v>266</v>
      </c>
    </row>
    <row r="126" spans="1:6">
      <c r="A126" s="151">
        <v>100</v>
      </c>
      <c r="B126" s="151" t="s">
        <v>380</v>
      </c>
      <c r="C126" s="151">
        <v>0</v>
      </c>
      <c r="D126" s="151">
        <v>836</v>
      </c>
      <c r="E126" s="151">
        <v>0</v>
      </c>
      <c r="F126" s="151">
        <v>17132</v>
      </c>
    </row>
    <row r="127" spans="1:6">
      <c r="A127" s="151">
        <v>100</v>
      </c>
      <c r="B127" s="151" t="s">
        <v>379</v>
      </c>
      <c r="C127" s="151">
        <v>449034</v>
      </c>
      <c r="D127" s="151">
        <v>1316</v>
      </c>
      <c r="E127" s="151">
        <v>400728</v>
      </c>
      <c r="F127" s="151">
        <v>19062</v>
      </c>
    </row>
    <row r="128" spans="1:6">
      <c r="A128" s="151">
        <v>100</v>
      </c>
      <c r="B128" s="151" t="s">
        <v>378</v>
      </c>
      <c r="C128" s="151">
        <v>340424</v>
      </c>
      <c r="D128" s="151">
        <v>972</v>
      </c>
      <c r="E128" s="151">
        <v>268405</v>
      </c>
      <c r="F128" s="151">
        <v>10551</v>
      </c>
    </row>
    <row r="129" spans="1:6">
      <c r="A129" s="151">
        <v>100</v>
      </c>
      <c r="B129" s="151" t="s">
        <v>508</v>
      </c>
      <c r="C129" s="151">
        <v>0</v>
      </c>
      <c r="D129" s="151">
        <v>10</v>
      </c>
      <c r="E129" s="151">
        <v>0</v>
      </c>
      <c r="F129" s="151">
        <v>453</v>
      </c>
    </row>
    <row r="130" spans="1:6">
      <c r="A130" s="151">
        <v>100</v>
      </c>
      <c r="B130" s="151" t="s">
        <v>377</v>
      </c>
      <c r="C130" s="151">
        <v>96166</v>
      </c>
      <c r="D130" s="151">
        <v>670</v>
      </c>
      <c r="E130" s="151">
        <v>61682</v>
      </c>
      <c r="F130" s="151">
        <v>1140</v>
      </c>
    </row>
    <row r="131" spans="1:6">
      <c r="A131" s="151">
        <v>100</v>
      </c>
      <c r="B131" s="151" t="s">
        <v>376</v>
      </c>
      <c r="C131" s="151">
        <v>761164</v>
      </c>
      <c r="D131" s="151">
        <v>2686</v>
      </c>
      <c r="E131" s="151">
        <v>680606</v>
      </c>
      <c r="F131" s="151">
        <v>29236</v>
      </c>
    </row>
    <row r="132" spans="1:6">
      <c r="A132" s="151">
        <v>100</v>
      </c>
      <c r="B132" s="151" t="s">
        <v>473</v>
      </c>
      <c r="C132" s="151">
        <v>11368</v>
      </c>
      <c r="D132" s="151">
        <v>38</v>
      </c>
      <c r="E132" s="151">
        <v>9460</v>
      </c>
      <c r="F132" s="151">
        <v>505</v>
      </c>
    </row>
    <row r="133" spans="1:6">
      <c r="A133" s="151">
        <v>100</v>
      </c>
      <c r="B133" s="151" t="s">
        <v>375</v>
      </c>
      <c r="C133" s="151">
        <v>224868</v>
      </c>
      <c r="D133" s="151">
        <v>726</v>
      </c>
      <c r="E133" s="151">
        <v>203903</v>
      </c>
      <c r="F133" s="151">
        <v>20001</v>
      </c>
    </row>
    <row r="134" spans="1:6">
      <c r="A134" s="151">
        <v>100</v>
      </c>
      <c r="B134" s="151" t="s">
        <v>374</v>
      </c>
      <c r="C134" s="151">
        <v>408078</v>
      </c>
      <c r="D134" s="151">
        <v>1390</v>
      </c>
      <c r="E134" s="151">
        <v>296316</v>
      </c>
      <c r="F134" s="151">
        <v>12425</v>
      </c>
    </row>
    <row r="135" spans="1:6">
      <c r="A135" s="151">
        <v>100</v>
      </c>
      <c r="B135" s="151" t="s">
        <v>373</v>
      </c>
      <c r="C135" s="151">
        <v>0</v>
      </c>
      <c r="D135" s="151">
        <v>158</v>
      </c>
      <c r="E135" s="151">
        <v>0</v>
      </c>
      <c r="F135" s="151">
        <v>595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5"/>
  <cols>
    <col min="1" max="1" width="5" style="154" bestFit="1" customWidth="1"/>
    <col min="2" max="2" width="31" style="154"/>
    <col min="3" max="3" width="9.42578125" style="154" bestFit="1" customWidth="1"/>
    <col min="4" max="4" width="8.42578125" style="154" bestFit="1" customWidth="1"/>
    <col min="5" max="5" width="9.42578125" style="154" bestFit="1" customWidth="1"/>
    <col min="6" max="6" width="8.42578125" style="154" bestFit="1" customWidth="1"/>
    <col min="7" max="16384" width="31" style="154"/>
  </cols>
  <sheetData>
    <row r="1" spans="1:6">
      <c r="A1" s="153" t="s">
        <v>833</v>
      </c>
      <c r="B1" s="153" t="s">
        <v>357</v>
      </c>
      <c r="C1" s="153" t="s">
        <v>358</v>
      </c>
      <c r="D1" s="153" t="s">
        <v>359</v>
      </c>
      <c r="E1" s="153" t="s">
        <v>360</v>
      </c>
      <c r="F1" s="153" t="s">
        <v>361</v>
      </c>
    </row>
    <row r="2" spans="1:6">
      <c r="A2" s="154">
        <v>0</v>
      </c>
      <c r="B2" s="154" t="s">
        <v>362</v>
      </c>
      <c r="C2" s="154">
        <v>89899739</v>
      </c>
      <c r="D2" s="154">
        <v>511980</v>
      </c>
      <c r="E2" s="154">
        <v>65027063</v>
      </c>
      <c r="F2" s="154">
        <v>3434562</v>
      </c>
    </row>
    <row r="3" spans="1:6">
      <c r="A3" s="154">
        <v>1</v>
      </c>
      <c r="B3" s="154" t="s">
        <v>851</v>
      </c>
      <c r="C3" s="154">
        <v>5882019</v>
      </c>
      <c r="D3" s="154">
        <v>37767</v>
      </c>
      <c r="E3" s="154">
        <v>3675700</v>
      </c>
      <c r="F3" s="154">
        <v>305282</v>
      </c>
    </row>
    <row r="4" spans="1:6">
      <c r="A4" s="154">
        <v>1</v>
      </c>
      <c r="B4" s="154" t="s">
        <v>852</v>
      </c>
      <c r="C4" s="154">
        <v>7815401</v>
      </c>
      <c r="D4" s="154">
        <v>46748</v>
      </c>
      <c r="E4" s="154">
        <v>6128194</v>
      </c>
      <c r="F4" s="154">
        <v>305938</v>
      </c>
    </row>
    <row r="5" spans="1:6">
      <c r="A5" s="154">
        <v>1</v>
      </c>
      <c r="B5" s="154" t="s">
        <v>853</v>
      </c>
      <c r="C5" s="154">
        <v>7674502</v>
      </c>
      <c r="D5" s="154">
        <v>45368</v>
      </c>
      <c r="E5" s="154">
        <v>5739856</v>
      </c>
      <c r="F5" s="154">
        <v>299110</v>
      </c>
    </row>
    <row r="6" spans="1:6">
      <c r="A6" s="154">
        <v>1</v>
      </c>
      <c r="B6" s="154" t="s">
        <v>854</v>
      </c>
      <c r="C6" s="154">
        <v>5623520</v>
      </c>
      <c r="D6" s="154">
        <v>34819</v>
      </c>
      <c r="E6" s="154">
        <v>3923569</v>
      </c>
      <c r="F6" s="154">
        <v>284825</v>
      </c>
    </row>
    <row r="7" spans="1:6">
      <c r="A7" s="154">
        <v>1</v>
      </c>
      <c r="B7" s="154" t="s">
        <v>855</v>
      </c>
      <c r="C7" s="154">
        <v>7864844</v>
      </c>
      <c r="D7" s="154">
        <v>44804</v>
      </c>
      <c r="E7" s="154">
        <v>5935376</v>
      </c>
      <c r="F7" s="154">
        <v>274504</v>
      </c>
    </row>
    <row r="8" spans="1:6">
      <c r="A8" s="154">
        <v>1</v>
      </c>
      <c r="B8" s="154" t="s">
        <v>856</v>
      </c>
      <c r="C8" s="154">
        <v>6963220</v>
      </c>
      <c r="D8" s="154">
        <v>41207</v>
      </c>
      <c r="E8" s="154">
        <v>5200429</v>
      </c>
      <c r="F8" s="154">
        <v>270994</v>
      </c>
    </row>
    <row r="9" spans="1:6">
      <c r="A9" s="154">
        <v>1</v>
      </c>
      <c r="B9" s="154" t="s">
        <v>857</v>
      </c>
      <c r="C9" s="154">
        <v>6063956</v>
      </c>
      <c r="D9" s="154">
        <v>37098</v>
      </c>
      <c r="E9" s="154">
        <v>4543203</v>
      </c>
      <c r="F9" s="154">
        <v>245336</v>
      </c>
    </row>
    <row r="10" spans="1:6">
      <c r="A10" s="154">
        <v>1</v>
      </c>
      <c r="B10" s="154" t="s">
        <v>858</v>
      </c>
      <c r="C10" s="154">
        <v>5557478</v>
      </c>
      <c r="D10" s="154">
        <v>34879</v>
      </c>
      <c r="E10" s="154">
        <v>3945339</v>
      </c>
      <c r="F10" s="154">
        <v>247623</v>
      </c>
    </row>
    <row r="11" spans="1:6">
      <c r="A11" s="154">
        <v>1</v>
      </c>
      <c r="B11" s="154" t="s">
        <v>859</v>
      </c>
      <c r="C11" s="154">
        <v>3948855</v>
      </c>
      <c r="D11" s="154">
        <v>25446</v>
      </c>
      <c r="E11" s="154">
        <v>2571085</v>
      </c>
      <c r="F11" s="154">
        <v>241004</v>
      </c>
    </row>
    <row r="12" spans="1:6">
      <c r="A12" s="154">
        <v>1</v>
      </c>
      <c r="B12" s="154" t="s">
        <v>860</v>
      </c>
      <c r="C12" s="154">
        <v>4586367</v>
      </c>
      <c r="D12" s="154">
        <v>26231</v>
      </c>
      <c r="E12" s="154">
        <v>2854062</v>
      </c>
      <c r="F12" s="154">
        <v>273377</v>
      </c>
    </row>
    <row r="13" spans="1:6">
      <c r="A13" s="154">
        <v>1</v>
      </c>
      <c r="B13" s="154" t="s">
        <v>861</v>
      </c>
      <c r="C13" s="154">
        <v>11830922</v>
      </c>
      <c r="D13" s="154">
        <v>58637</v>
      </c>
      <c r="E13" s="154">
        <v>7059948</v>
      </c>
      <c r="F13" s="154">
        <v>314883</v>
      </c>
    </row>
    <row r="14" spans="1:6">
      <c r="A14" s="154">
        <v>1</v>
      </c>
      <c r="B14" s="154" t="s">
        <v>862</v>
      </c>
      <c r="C14" s="154">
        <v>16088655</v>
      </c>
      <c r="D14" s="154">
        <v>78976</v>
      </c>
      <c r="E14" s="154">
        <v>13450302</v>
      </c>
      <c r="F14" s="154">
        <v>371685</v>
      </c>
    </row>
    <row r="15" spans="1:6" s="155" customFormat="1">
      <c r="A15" s="155">
        <v>2</v>
      </c>
      <c r="B15" s="155" t="s">
        <v>363</v>
      </c>
      <c r="C15" s="155">
        <v>81733099</v>
      </c>
      <c r="D15" s="155">
        <v>447751</v>
      </c>
      <c r="E15" s="155">
        <v>60307896</v>
      </c>
      <c r="F15" s="155">
        <v>2528167</v>
      </c>
    </row>
    <row r="16" spans="1:6">
      <c r="A16" s="154">
        <v>3</v>
      </c>
      <c r="B16" s="154" t="s">
        <v>364</v>
      </c>
      <c r="C16" s="154">
        <v>17590258</v>
      </c>
      <c r="D16" s="154">
        <v>112677</v>
      </c>
      <c r="E16" s="154">
        <v>11759020</v>
      </c>
      <c r="F16" s="154">
        <v>1503995</v>
      </c>
    </row>
    <row r="17" spans="1:6">
      <c r="A17" s="154">
        <v>4</v>
      </c>
      <c r="B17" s="154" t="s">
        <v>365</v>
      </c>
      <c r="C17" s="154">
        <v>16206884</v>
      </c>
      <c r="D17" s="154">
        <v>85125</v>
      </c>
      <c r="E17" s="154">
        <v>10999742</v>
      </c>
      <c r="F17" s="154">
        <v>815433</v>
      </c>
    </row>
    <row r="18" spans="1:6">
      <c r="A18" s="154">
        <v>5</v>
      </c>
      <c r="B18" s="154" t="s">
        <v>366</v>
      </c>
      <c r="C18" s="154">
        <v>12003201</v>
      </c>
      <c r="D18" s="154">
        <v>63560</v>
      </c>
      <c r="E18" s="154">
        <v>9843178</v>
      </c>
      <c r="F18" s="154">
        <v>47410</v>
      </c>
    </row>
    <row r="19" spans="1:6">
      <c r="A19" s="154">
        <v>6</v>
      </c>
      <c r="B19" s="154" t="s">
        <v>367</v>
      </c>
      <c r="C19" s="154">
        <v>10603233</v>
      </c>
      <c r="D19" s="154">
        <v>53580</v>
      </c>
      <c r="E19" s="154">
        <v>7972047</v>
      </c>
      <c r="F19" s="154">
        <v>49168</v>
      </c>
    </row>
    <row r="20" spans="1:6">
      <c r="A20" s="154">
        <v>7</v>
      </c>
      <c r="B20" s="154" t="s">
        <v>368</v>
      </c>
      <c r="C20" s="154">
        <v>9774630</v>
      </c>
      <c r="D20" s="154">
        <v>50208</v>
      </c>
      <c r="E20" s="154">
        <v>7187743</v>
      </c>
      <c r="F20" s="154">
        <v>38963</v>
      </c>
    </row>
    <row r="21" spans="1:6">
      <c r="A21" s="154">
        <v>8</v>
      </c>
      <c r="B21" s="154" t="s">
        <v>369</v>
      </c>
      <c r="C21" s="154">
        <v>1948425</v>
      </c>
      <c r="D21" s="154">
        <v>10122</v>
      </c>
      <c r="E21" s="154">
        <v>1555938</v>
      </c>
      <c r="F21" s="154">
        <v>8605</v>
      </c>
    </row>
    <row r="22" spans="1:6">
      <c r="A22" s="154">
        <v>9</v>
      </c>
      <c r="B22" s="154" t="s">
        <v>370</v>
      </c>
      <c r="C22" s="154">
        <v>10586273</v>
      </c>
      <c r="D22" s="154">
        <v>56083</v>
      </c>
      <c r="E22" s="154">
        <v>8578024</v>
      </c>
      <c r="F22" s="154">
        <v>41175</v>
      </c>
    </row>
    <row r="23" spans="1:6">
      <c r="A23" s="154">
        <v>10</v>
      </c>
      <c r="B23" s="154" t="s">
        <v>846</v>
      </c>
      <c r="C23" s="154">
        <v>0</v>
      </c>
      <c r="D23" s="154">
        <v>1381</v>
      </c>
      <c r="E23" s="154">
        <v>0</v>
      </c>
      <c r="F23" s="154">
        <v>12346</v>
      </c>
    </row>
    <row r="24" spans="1:6">
      <c r="A24" s="154">
        <v>11</v>
      </c>
      <c r="B24" s="154" t="s">
        <v>371</v>
      </c>
      <c r="C24" s="154">
        <v>2458475</v>
      </c>
      <c r="D24" s="154">
        <v>11991</v>
      </c>
      <c r="E24" s="154">
        <v>2111200</v>
      </c>
      <c r="F24" s="154">
        <v>9351</v>
      </c>
    </row>
    <row r="25" spans="1:6">
      <c r="A25" s="154">
        <v>14</v>
      </c>
      <c r="B25" s="154" t="s">
        <v>847</v>
      </c>
      <c r="C25" s="154">
        <v>561720</v>
      </c>
      <c r="D25" s="154">
        <v>3024</v>
      </c>
      <c r="E25" s="154">
        <v>301004</v>
      </c>
      <c r="F25" s="154">
        <v>1722</v>
      </c>
    </row>
    <row r="26" spans="1:6">
      <c r="A26" s="154">
        <v>99</v>
      </c>
      <c r="B26" s="154" t="s">
        <v>372</v>
      </c>
      <c r="C26" s="154">
        <v>8166640</v>
      </c>
      <c r="D26" s="154">
        <v>64229</v>
      </c>
      <c r="E26" s="154">
        <v>4719167</v>
      </c>
      <c r="F26" s="154">
        <v>906395</v>
      </c>
    </row>
    <row r="27" spans="1:6">
      <c r="A27" s="154">
        <v>100</v>
      </c>
      <c r="B27" s="154" t="s">
        <v>499</v>
      </c>
      <c r="C27" s="154">
        <v>0</v>
      </c>
      <c r="D27" s="154">
        <v>2</v>
      </c>
      <c r="E27" s="154">
        <v>0</v>
      </c>
      <c r="F27" s="154">
        <v>45</v>
      </c>
    </row>
    <row r="28" spans="1:6">
      <c r="A28" s="154">
        <v>100</v>
      </c>
      <c r="B28" s="154" t="s">
        <v>471</v>
      </c>
      <c r="C28" s="154">
        <v>24828</v>
      </c>
      <c r="D28" s="154">
        <v>102</v>
      </c>
      <c r="E28" s="154">
        <v>17037</v>
      </c>
      <c r="F28" s="154">
        <v>635</v>
      </c>
    </row>
    <row r="29" spans="1:6">
      <c r="A29" s="154">
        <v>100</v>
      </c>
      <c r="B29" s="154" t="s">
        <v>470</v>
      </c>
      <c r="C29" s="154">
        <v>64072</v>
      </c>
      <c r="D29" s="154">
        <v>312</v>
      </c>
      <c r="E29" s="154">
        <v>48116</v>
      </c>
      <c r="F29" s="154">
        <v>721</v>
      </c>
    </row>
    <row r="30" spans="1:6">
      <c r="A30" s="154">
        <v>100</v>
      </c>
      <c r="B30" s="154" t="s">
        <v>498</v>
      </c>
      <c r="C30" s="154">
        <v>0</v>
      </c>
      <c r="D30" s="154">
        <v>106</v>
      </c>
      <c r="E30" s="154">
        <v>0</v>
      </c>
      <c r="F30" s="154">
        <v>290</v>
      </c>
    </row>
    <row r="31" spans="1:6">
      <c r="A31" s="154">
        <v>100</v>
      </c>
      <c r="B31" s="154" t="s">
        <v>497</v>
      </c>
      <c r="C31" s="154">
        <v>669</v>
      </c>
      <c r="D31" s="154">
        <v>8</v>
      </c>
      <c r="E31" s="154">
        <v>391</v>
      </c>
      <c r="F31" s="154">
        <v>11</v>
      </c>
    </row>
    <row r="32" spans="1:6">
      <c r="A32" s="154">
        <v>100</v>
      </c>
      <c r="B32" s="154" t="s">
        <v>469</v>
      </c>
      <c r="C32" s="154">
        <v>29646</v>
      </c>
      <c r="D32" s="154">
        <v>405</v>
      </c>
      <c r="E32" s="154">
        <v>21688</v>
      </c>
      <c r="F32" s="154">
        <v>4513</v>
      </c>
    </row>
    <row r="33" spans="1:6">
      <c r="A33" s="154">
        <v>100</v>
      </c>
      <c r="B33" s="154" t="s">
        <v>468</v>
      </c>
      <c r="C33" s="154">
        <v>155612</v>
      </c>
      <c r="D33" s="154">
        <v>754</v>
      </c>
      <c r="E33" s="154">
        <v>105890</v>
      </c>
      <c r="F33" s="154">
        <v>3358</v>
      </c>
    </row>
    <row r="34" spans="1:6">
      <c r="A34" s="154">
        <v>100</v>
      </c>
      <c r="B34" s="154" t="s">
        <v>467</v>
      </c>
      <c r="C34" s="154">
        <v>160956</v>
      </c>
      <c r="D34" s="154">
        <v>896</v>
      </c>
      <c r="E34" s="154">
        <v>112616</v>
      </c>
      <c r="F34" s="154">
        <v>1181</v>
      </c>
    </row>
    <row r="35" spans="1:6">
      <c r="A35" s="154">
        <v>100</v>
      </c>
      <c r="B35" s="154" t="s">
        <v>466</v>
      </c>
      <c r="C35" s="154">
        <v>95110</v>
      </c>
      <c r="D35" s="154">
        <v>439</v>
      </c>
      <c r="E35" s="154">
        <v>41456</v>
      </c>
      <c r="F35" s="154">
        <v>9510</v>
      </c>
    </row>
    <row r="36" spans="1:6">
      <c r="A36" s="154">
        <v>100</v>
      </c>
      <c r="B36" s="154" t="s">
        <v>465</v>
      </c>
      <c r="C36" s="154">
        <v>128520</v>
      </c>
      <c r="D36" s="154">
        <v>714</v>
      </c>
      <c r="E36" s="154">
        <v>85034</v>
      </c>
      <c r="F36" s="154">
        <v>573</v>
      </c>
    </row>
    <row r="37" spans="1:6">
      <c r="A37" s="154">
        <v>100</v>
      </c>
      <c r="B37" s="154" t="s">
        <v>464</v>
      </c>
      <c r="C37" s="154">
        <v>104643</v>
      </c>
      <c r="D37" s="154">
        <v>297</v>
      </c>
      <c r="E37" s="154">
        <v>44795</v>
      </c>
      <c r="F37" s="154">
        <v>6682</v>
      </c>
    </row>
    <row r="38" spans="1:6">
      <c r="A38" s="154">
        <v>100</v>
      </c>
      <c r="B38" s="154" t="s">
        <v>463</v>
      </c>
      <c r="C38" s="154">
        <v>102900</v>
      </c>
      <c r="D38" s="154">
        <v>414</v>
      </c>
      <c r="E38" s="154">
        <v>58452</v>
      </c>
      <c r="F38" s="154">
        <v>5138</v>
      </c>
    </row>
    <row r="39" spans="1:6">
      <c r="A39" s="154">
        <v>100</v>
      </c>
      <c r="B39" s="154" t="s">
        <v>462</v>
      </c>
      <c r="C39" s="154">
        <v>0</v>
      </c>
      <c r="D39" s="154">
        <v>3421</v>
      </c>
      <c r="E39" s="154">
        <v>0</v>
      </c>
      <c r="F39" s="154">
        <v>95615</v>
      </c>
    </row>
    <row r="40" spans="1:6">
      <c r="A40" s="154">
        <v>100</v>
      </c>
      <c r="B40" s="154" t="s">
        <v>496</v>
      </c>
      <c r="C40" s="154">
        <v>0</v>
      </c>
      <c r="D40" s="154">
        <v>3</v>
      </c>
      <c r="E40" s="154">
        <v>0</v>
      </c>
      <c r="F40" s="154">
        <v>30</v>
      </c>
    </row>
    <row r="41" spans="1:6">
      <c r="A41" s="154">
        <v>100</v>
      </c>
      <c r="B41" s="154" t="s">
        <v>461</v>
      </c>
      <c r="C41" s="154">
        <v>0</v>
      </c>
      <c r="D41" s="154">
        <v>2943</v>
      </c>
      <c r="E41" s="154">
        <v>0</v>
      </c>
      <c r="F41" s="154">
        <v>59283</v>
      </c>
    </row>
    <row r="42" spans="1:6">
      <c r="A42" s="154">
        <v>100</v>
      </c>
      <c r="B42" s="154" t="s">
        <v>460</v>
      </c>
      <c r="C42" s="154">
        <v>80280</v>
      </c>
      <c r="D42" s="154">
        <v>446</v>
      </c>
      <c r="E42" s="154">
        <v>57991</v>
      </c>
      <c r="F42" s="154">
        <v>610</v>
      </c>
    </row>
    <row r="43" spans="1:6">
      <c r="A43" s="154">
        <v>100</v>
      </c>
      <c r="B43" s="154" t="s">
        <v>495</v>
      </c>
      <c r="C43" s="154">
        <v>620</v>
      </c>
      <c r="D43" s="154">
        <v>2</v>
      </c>
      <c r="E43" s="154">
        <v>284</v>
      </c>
      <c r="F43" s="154">
        <v>3</v>
      </c>
    </row>
    <row r="44" spans="1:6">
      <c r="A44" s="154">
        <v>100</v>
      </c>
      <c r="B44" s="154" t="s">
        <v>494</v>
      </c>
      <c r="C44" s="154">
        <v>0</v>
      </c>
      <c r="D44" s="154">
        <v>292</v>
      </c>
      <c r="E44" s="154">
        <v>0</v>
      </c>
      <c r="F44" s="154">
        <v>2732</v>
      </c>
    </row>
    <row r="45" spans="1:6">
      <c r="A45" s="154">
        <v>100</v>
      </c>
      <c r="B45" s="154" t="s">
        <v>458</v>
      </c>
      <c r="C45" s="154">
        <v>114914</v>
      </c>
      <c r="D45" s="154">
        <v>576</v>
      </c>
      <c r="E45" s="154">
        <v>67130</v>
      </c>
      <c r="F45" s="154">
        <v>21639</v>
      </c>
    </row>
    <row r="46" spans="1:6">
      <c r="A46" s="154">
        <v>100</v>
      </c>
      <c r="B46" s="154" t="s">
        <v>493</v>
      </c>
      <c r="C46" s="154">
        <v>432</v>
      </c>
      <c r="D46" s="154">
        <v>2</v>
      </c>
      <c r="E46" s="154">
        <v>186</v>
      </c>
      <c r="F46" s="154">
        <v>7</v>
      </c>
    </row>
    <row r="47" spans="1:6">
      <c r="A47" s="154">
        <v>100</v>
      </c>
      <c r="B47" s="154" t="s">
        <v>457</v>
      </c>
      <c r="C47" s="154">
        <v>247588</v>
      </c>
      <c r="D47" s="154">
        <v>837</v>
      </c>
      <c r="E47" s="154">
        <v>159036</v>
      </c>
      <c r="F47" s="154">
        <v>13271</v>
      </c>
    </row>
    <row r="48" spans="1:6">
      <c r="A48" s="154">
        <v>100</v>
      </c>
      <c r="B48" s="154" t="s">
        <v>456</v>
      </c>
      <c r="C48" s="154">
        <v>152619</v>
      </c>
      <c r="D48" s="154">
        <v>409</v>
      </c>
      <c r="E48" s="154">
        <v>98287</v>
      </c>
      <c r="F48" s="154">
        <v>2863</v>
      </c>
    </row>
    <row r="49" spans="1:6">
      <c r="A49" s="154">
        <v>100</v>
      </c>
      <c r="B49" s="154" t="s">
        <v>455</v>
      </c>
      <c r="C49" s="154">
        <v>39960</v>
      </c>
      <c r="D49" s="154">
        <v>226</v>
      </c>
      <c r="E49" s="154">
        <v>26310</v>
      </c>
      <c r="F49" s="154">
        <v>258</v>
      </c>
    </row>
    <row r="50" spans="1:6">
      <c r="A50" s="154">
        <v>100</v>
      </c>
      <c r="B50" s="154" t="s">
        <v>492</v>
      </c>
      <c r="C50" s="154">
        <v>600</v>
      </c>
      <c r="D50" s="154">
        <v>2</v>
      </c>
      <c r="E50" s="154">
        <v>332</v>
      </c>
      <c r="F50" s="154">
        <v>10</v>
      </c>
    </row>
    <row r="51" spans="1:6">
      <c r="A51" s="154">
        <v>100</v>
      </c>
      <c r="B51" s="154" t="s">
        <v>454</v>
      </c>
      <c r="C51" s="154">
        <v>18710</v>
      </c>
      <c r="D51" s="154">
        <v>110</v>
      </c>
      <c r="E51" s="154">
        <v>11144</v>
      </c>
      <c r="F51" s="154">
        <v>211</v>
      </c>
    </row>
    <row r="52" spans="1:6">
      <c r="A52" s="154">
        <v>100</v>
      </c>
      <c r="B52" s="154" t="s">
        <v>453</v>
      </c>
      <c r="C52" s="154">
        <v>149034</v>
      </c>
      <c r="D52" s="154">
        <v>888</v>
      </c>
      <c r="E52" s="154">
        <v>108428</v>
      </c>
      <c r="F52" s="154">
        <v>16520</v>
      </c>
    </row>
    <row r="53" spans="1:6">
      <c r="A53" s="154">
        <v>100</v>
      </c>
      <c r="B53" s="154" t="s">
        <v>452</v>
      </c>
      <c r="C53" s="154">
        <v>150</v>
      </c>
      <c r="D53" s="154">
        <v>1495</v>
      </c>
      <c r="E53" s="154">
        <v>123</v>
      </c>
      <c r="F53" s="154">
        <v>3963</v>
      </c>
    </row>
    <row r="54" spans="1:6">
      <c r="A54" s="154">
        <v>100</v>
      </c>
      <c r="B54" s="154" t="s">
        <v>451</v>
      </c>
      <c r="C54" s="154">
        <v>275849</v>
      </c>
      <c r="D54" s="154">
        <v>1183</v>
      </c>
      <c r="E54" s="154">
        <v>88571</v>
      </c>
      <c r="F54" s="154">
        <v>55190</v>
      </c>
    </row>
    <row r="55" spans="1:6">
      <c r="A55" s="154">
        <v>100</v>
      </c>
      <c r="B55" s="154" t="s">
        <v>450</v>
      </c>
      <c r="C55" s="154">
        <v>0</v>
      </c>
      <c r="D55" s="154">
        <v>308</v>
      </c>
      <c r="E55" s="154">
        <v>0</v>
      </c>
      <c r="F55" s="154">
        <v>17598</v>
      </c>
    </row>
    <row r="56" spans="1:6">
      <c r="A56" s="154">
        <v>100</v>
      </c>
      <c r="B56" s="154" t="s">
        <v>449</v>
      </c>
      <c r="C56" s="154">
        <v>0</v>
      </c>
      <c r="D56" s="154">
        <v>16</v>
      </c>
      <c r="E56" s="154">
        <v>0</v>
      </c>
      <c r="F56" s="154">
        <v>524</v>
      </c>
    </row>
    <row r="57" spans="1:6">
      <c r="A57" s="154">
        <v>100</v>
      </c>
      <c r="B57" s="154" t="s">
        <v>448</v>
      </c>
      <c r="C57" s="154">
        <v>44448</v>
      </c>
      <c r="D57" s="154">
        <v>276</v>
      </c>
      <c r="E57" s="154">
        <v>27706</v>
      </c>
      <c r="F57" s="154">
        <v>673</v>
      </c>
    </row>
    <row r="58" spans="1:6">
      <c r="A58" s="154">
        <v>100</v>
      </c>
      <c r="B58" s="154" t="s">
        <v>863</v>
      </c>
      <c r="C58" s="154">
        <v>189</v>
      </c>
      <c r="D58" s="154">
        <v>2</v>
      </c>
      <c r="E58" s="154">
        <v>136</v>
      </c>
      <c r="F58" s="154">
        <v>4</v>
      </c>
    </row>
    <row r="59" spans="1:6">
      <c r="A59" s="154">
        <v>100</v>
      </c>
      <c r="B59" s="154" t="s">
        <v>447</v>
      </c>
      <c r="C59" s="154">
        <v>152666</v>
      </c>
      <c r="D59" s="154">
        <v>854</v>
      </c>
      <c r="E59" s="154">
        <v>111925</v>
      </c>
      <c r="F59" s="154">
        <v>1158</v>
      </c>
    </row>
    <row r="60" spans="1:6">
      <c r="A60" s="154">
        <v>100</v>
      </c>
      <c r="B60" s="154" t="s">
        <v>446</v>
      </c>
      <c r="C60" s="154">
        <v>18216</v>
      </c>
      <c r="D60" s="154">
        <v>66</v>
      </c>
      <c r="E60" s="154">
        <v>13436</v>
      </c>
      <c r="F60" s="154">
        <v>788</v>
      </c>
    </row>
    <row r="61" spans="1:6">
      <c r="A61" s="154">
        <v>100</v>
      </c>
      <c r="B61" s="154" t="s">
        <v>445</v>
      </c>
      <c r="C61" s="154">
        <v>15972</v>
      </c>
      <c r="D61" s="154">
        <v>88</v>
      </c>
      <c r="E61" s="154">
        <v>11876</v>
      </c>
      <c r="F61" s="154">
        <v>140</v>
      </c>
    </row>
    <row r="62" spans="1:6">
      <c r="A62" s="154">
        <v>100</v>
      </c>
      <c r="B62" s="154" t="s">
        <v>491</v>
      </c>
      <c r="C62" s="154">
        <v>615</v>
      </c>
      <c r="D62" s="154">
        <v>4</v>
      </c>
      <c r="E62" s="154">
        <v>364</v>
      </c>
      <c r="F62" s="154">
        <v>10</v>
      </c>
    </row>
    <row r="63" spans="1:6">
      <c r="A63" s="154">
        <v>100</v>
      </c>
      <c r="B63" s="154" t="s">
        <v>443</v>
      </c>
      <c r="C63" s="154">
        <v>199558</v>
      </c>
      <c r="D63" s="154">
        <v>1557</v>
      </c>
      <c r="E63" s="154">
        <v>118980</v>
      </c>
      <c r="F63" s="154">
        <v>17347</v>
      </c>
    </row>
    <row r="64" spans="1:6">
      <c r="A64" s="154">
        <v>100</v>
      </c>
      <c r="B64" s="154" t="s">
        <v>442</v>
      </c>
      <c r="C64" s="154">
        <v>0</v>
      </c>
      <c r="D64" s="154">
        <v>542</v>
      </c>
      <c r="E64" s="154">
        <v>0</v>
      </c>
      <c r="F64" s="154">
        <v>36616</v>
      </c>
    </row>
    <row r="65" spans="1:6">
      <c r="A65" s="154">
        <v>100</v>
      </c>
      <c r="B65" s="154" t="s">
        <v>441</v>
      </c>
      <c r="C65" s="154">
        <v>46730</v>
      </c>
      <c r="D65" s="154">
        <v>211</v>
      </c>
      <c r="E65" s="154">
        <v>26409</v>
      </c>
      <c r="F65" s="154">
        <v>1150</v>
      </c>
    </row>
    <row r="66" spans="1:6">
      <c r="A66" s="154">
        <v>100</v>
      </c>
      <c r="B66" s="154" t="s">
        <v>440</v>
      </c>
      <c r="C66" s="154">
        <v>0</v>
      </c>
      <c r="D66" s="154">
        <v>430</v>
      </c>
      <c r="E66" s="154">
        <v>0</v>
      </c>
      <c r="F66" s="154">
        <v>4370</v>
      </c>
    </row>
    <row r="67" spans="1:6">
      <c r="A67" s="154">
        <v>100</v>
      </c>
      <c r="B67" s="154" t="s">
        <v>439</v>
      </c>
      <c r="C67" s="154">
        <v>33606</v>
      </c>
      <c r="D67" s="154">
        <v>202</v>
      </c>
      <c r="E67" s="154">
        <v>21045</v>
      </c>
      <c r="F67" s="154">
        <v>503</v>
      </c>
    </row>
    <row r="68" spans="1:6">
      <c r="A68" s="154">
        <v>100</v>
      </c>
      <c r="B68" s="154" t="s">
        <v>438</v>
      </c>
      <c r="C68" s="154">
        <v>0</v>
      </c>
      <c r="D68" s="154">
        <v>12</v>
      </c>
      <c r="E68" s="154">
        <v>0</v>
      </c>
      <c r="F68" s="154">
        <v>177</v>
      </c>
    </row>
    <row r="69" spans="1:6">
      <c r="A69" s="154">
        <v>100</v>
      </c>
      <c r="B69" s="154" t="s">
        <v>437</v>
      </c>
      <c r="C69" s="154">
        <v>4080</v>
      </c>
      <c r="D69" s="154">
        <v>24</v>
      </c>
      <c r="E69" s="154">
        <v>2317</v>
      </c>
      <c r="F69" s="154">
        <v>23</v>
      </c>
    </row>
    <row r="70" spans="1:6">
      <c r="A70" s="154">
        <v>100</v>
      </c>
      <c r="B70" s="154" t="s">
        <v>436</v>
      </c>
      <c r="C70" s="154">
        <v>378476</v>
      </c>
      <c r="D70" s="154">
        <v>2272</v>
      </c>
      <c r="E70" s="154">
        <v>241245</v>
      </c>
      <c r="F70" s="154">
        <v>7969</v>
      </c>
    </row>
    <row r="71" spans="1:6">
      <c r="A71" s="154">
        <v>100</v>
      </c>
      <c r="B71" s="154" t="s">
        <v>435</v>
      </c>
      <c r="C71" s="154">
        <v>385530</v>
      </c>
      <c r="D71" s="154">
        <v>2283</v>
      </c>
      <c r="E71" s="154">
        <v>246105</v>
      </c>
      <c r="F71" s="154">
        <v>7660</v>
      </c>
    </row>
    <row r="72" spans="1:6">
      <c r="A72" s="154">
        <v>100</v>
      </c>
      <c r="B72" s="154" t="s">
        <v>434</v>
      </c>
      <c r="C72" s="154">
        <v>29062</v>
      </c>
      <c r="D72" s="154">
        <v>184</v>
      </c>
      <c r="E72" s="154">
        <v>22365</v>
      </c>
      <c r="F72" s="154">
        <v>332</v>
      </c>
    </row>
    <row r="73" spans="1:6">
      <c r="A73" s="154">
        <v>100</v>
      </c>
      <c r="B73" s="154" t="s">
        <v>433</v>
      </c>
      <c r="C73" s="154">
        <v>259334</v>
      </c>
      <c r="D73" s="154">
        <v>1784</v>
      </c>
      <c r="E73" s="154">
        <v>168349</v>
      </c>
      <c r="F73" s="154">
        <v>11731</v>
      </c>
    </row>
    <row r="74" spans="1:6">
      <c r="A74" s="154">
        <v>100</v>
      </c>
      <c r="B74" s="154" t="s">
        <v>432</v>
      </c>
      <c r="C74" s="154">
        <v>17702</v>
      </c>
      <c r="D74" s="154">
        <v>98</v>
      </c>
      <c r="E74" s="154">
        <v>12538</v>
      </c>
      <c r="F74" s="154">
        <v>113</v>
      </c>
    </row>
    <row r="75" spans="1:6">
      <c r="A75" s="154">
        <v>100</v>
      </c>
      <c r="B75" s="154" t="s">
        <v>490</v>
      </c>
      <c r="C75" s="154">
        <v>19430</v>
      </c>
      <c r="D75" s="154">
        <v>58</v>
      </c>
      <c r="E75" s="154">
        <v>13722</v>
      </c>
      <c r="F75" s="154">
        <v>296</v>
      </c>
    </row>
    <row r="76" spans="1:6">
      <c r="A76" s="154">
        <v>100</v>
      </c>
      <c r="B76" s="154" t="s">
        <v>431</v>
      </c>
      <c r="C76" s="154">
        <v>97396</v>
      </c>
      <c r="D76" s="154">
        <v>407</v>
      </c>
      <c r="E76" s="154">
        <v>57653</v>
      </c>
      <c r="F76" s="154">
        <v>1971</v>
      </c>
    </row>
    <row r="77" spans="1:6">
      <c r="A77" s="154">
        <v>100</v>
      </c>
      <c r="B77" s="154" t="s">
        <v>430</v>
      </c>
      <c r="C77" s="154">
        <v>150044</v>
      </c>
      <c r="D77" s="154">
        <v>746</v>
      </c>
      <c r="E77" s="154">
        <v>98310</v>
      </c>
      <c r="F77" s="154">
        <v>3867</v>
      </c>
    </row>
    <row r="78" spans="1:6">
      <c r="A78" s="154">
        <v>100</v>
      </c>
      <c r="B78" s="154" t="s">
        <v>429</v>
      </c>
      <c r="C78" s="154">
        <v>20992</v>
      </c>
      <c r="D78" s="154">
        <v>136</v>
      </c>
      <c r="E78" s="154">
        <v>15074</v>
      </c>
      <c r="F78" s="154">
        <v>1632</v>
      </c>
    </row>
    <row r="79" spans="1:6">
      <c r="A79" s="154">
        <v>100</v>
      </c>
      <c r="B79" s="154" t="s">
        <v>489</v>
      </c>
      <c r="C79" s="154">
        <v>624</v>
      </c>
      <c r="D79" s="154">
        <v>2</v>
      </c>
      <c r="E79" s="154">
        <v>172</v>
      </c>
      <c r="F79" s="154">
        <v>5</v>
      </c>
    </row>
    <row r="80" spans="1:6">
      <c r="A80" s="154">
        <v>100</v>
      </c>
      <c r="B80" s="154" t="s">
        <v>427</v>
      </c>
      <c r="C80" s="154">
        <v>0</v>
      </c>
      <c r="D80" s="154">
        <v>3442</v>
      </c>
      <c r="E80" s="154">
        <v>0</v>
      </c>
      <c r="F80" s="154">
        <v>37726</v>
      </c>
    </row>
    <row r="81" spans="1:6">
      <c r="A81" s="154">
        <v>100</v>
      </c>
      <c r="B81" s="154" t="s">
        <v>426</v>
      </c>
      <c r="C81" s="154">
        <v>8832</v>
      </c>
      <c r="D81" s="154">
        <v>48</v>
      </c>
      <c r="E81" s="154">
        <v>6384</v>
      </c>
      <c r="F81" s="154">
        <v>128</v>
      </c>
    </row>
    <row r="82" spans="1:6">
      <c r="A82" s="154">
        <v>100</v>
      </c>
      <c r="B82" s="154" t="s">
        <v>425</v>
      </c>
      <c r="C82" s="154">
        <v>82993</v>
      </c>
      <c r="D82" s="154">
        <v>490</v>
      </c>
      <c r="E82" s="154">
        <v>41319</v>
      </c>
      <c r="F82" s="154">
        <v>6352</v>
      </c>
    </row>
    <row r="83" spans="1:6">
      <c r="A83" s="154">
        <v>100</v>
      </c>
      <c r="B83" s="154" t="s">
        <v>488</v>
      </c>
      <c r="C83" s="154">
        <v>1044</v>
      </c>
      <c r="D83" s="154">
        <v>4</v>
      </c>
      <c r="E83" s="154">
        <v>19</v>
      </c>
      <c r="F83" s="154">
        <v>47</v>
      </c>
    </row>
    <row r="84" spans="1:6">
      <c r="A84" s="154">
        <v>100</v>
      </c>
      <c r="B84" s="154" t="s">
        <v>424</v>
      </c>
      <c r="C84" s="154">
        <v>0</v>
      </c>
      <c r="D84" s="154">
        <v>11</v>
      </c>
      <c r="E84" s="154">
        <v>0</v>
      </c>
      <c r="F84" s="154">
        <v>138</v>
      </c>
    </row>
    <row r="85" spans="1:6">
      <c r="A85" s="154">
        <v>100</v>
      </c>
      <c r="B85" s="154" t="s">
        <v>422</v>
      </c>
      <c r="C85" s="154">
        <v>43312</v>
      </c>
      <c r="D85" s="154">
        <v>220</v>
      </c>
      <c r="E85" s="154">
        <v>29234</v>
      </c>
      <c r="F85" s="154">
        <v>2374</v>
      </c>
    </row>
    <row r="86" spans="1:6">
      <c r="A86" s="154">
        <v>100</v>
      </c>
      <c r="B86" s="154" t="s">
        <v>421</v>
      </c>
      <c r="C86" s="154">
        <v>6034</v>
      </c>
      <c r="D86" s="154">
        <v>62</v>
      </c>
      <c r="E86" s="154">
        <v>4807</v>
      </c>
      <c r="F86" s="154">
        <v>201</v>
      </c>
    </row>
    <row r="87" spans="1:6">
      <c r="A87" s="154">
        <v>100</v>
      </c>
      <c r="B87" s="154" t="s">
        <v>420</v>
      </c>
      <c r="C87" s="154">
        <v>96806</v>
      </c>
      <c r="D87" s="154">
        <v>756</v>
      </c>
      <c r="E87" s="154">
        <v>56093</v>
      </c>
      <c r="F87" s="154">
        <v>744</v>
      </c>
    </row>
    <row r="88" spans="1:6">
      <c r="A88" s="154">
        <v>100</v>
      </c>
      <c r="B88" s="154" t="s">
        <v>419</v>
      </c>
      <c r="C88" s="154">
        <v>36416</v>
      </c>
      <c r="D88" s="154">
        <v>300</v>
      </c>
      <c r="E88" s="154">
        <v>25489</v>
      </c>
      <c r="F88" s="154">
        <v>3044</v>
      </c>
    </row>
    <row r="89" spans="1:6">
      <c r="A89" s="154">
        <v>100</v>
      </c>
      <c r="B89" s="154" t="s">
        <v>487</v>
      </c>
      <c r="C89" s="154">
        <v>500</v>
      </c>
      <c r="D89" s="154">
        <v>4</v>
      </c>
      <c r="E89" s="154">
        <v>420</v>
      </c>
      <c r="F89" s="154">
        <v>23</v>
      </c>
    </row>
    <row r="90" spans="1:6">
      <c r="A90" s="154">
        <v>100</v>
      </c>
      <c r="B90" s="154" t="s">
        <v>418</v>
      </c>
      <c r="C90" s="154">
        <v>209912</v>
      </c>
      <c r="D90" s="154">
        <v>656</v>
      </c>
      <c r="E90" s="154">
        <v>60449</v>
      </c>
      <c r="F90" s="154">
        <v>12176</v>
      </c>
    </row>
    <row r="91" spans="1:6">
      <c r="A91" s="154">
        <v>100</v>
      </c>
      <c r="B91" s="154" t="s">
        <v>417</v>
      </c>
      <c r="C91" s="154">
        <v>129185</v>
      </c>
      <c r="D91" s="154">
        <v>790</v>
      </c>
      <c r="E91" s="154">
        <v>28393</v>
      </c>
      <c r="F91" s="154">
        <v>11398</v>
      </c>
    </row>
    <row r="92" spans="1:6">
      <c r="A92" s="154">
        <v>100</v>
      </c>
      <c r="B92" s="154" t="s">
        <v>416</v>
      </c>
      <c r="C92" s="154">
        <v>0</v>
      </c>
      <c r="D92" s="154">
        <v>636</v>
      </c>
      <c r="E92" s="154">
        <v>0</v>
      </c>
      <c r="F92" s="154">
        <v>21819</v>
      </c>
    </row>
    <row r="93" spans="1:6">
      <c r="A93" s="154">
        <v>100</v>
      </c>
      <c r="B93" s="154" t="s">
        <v>415</v>
      </c>
      <c r="C93" s="154">
        <v>176151</v>
      </c>
      <c r="D93" s="154">
        <v>693</v>
      </c>
      <c r="E93" s="154">
        <v>94116</v>
      </c>
      <c r="F93" s="154">
        <v>9903</v>
      </c>
    </row>
    <row r="94" spans="1:6">
      <c r="A94" s="154">
        <v>100</v>
      </c>
      <c r="B94" s="154" t="s">
        <v>849</v>
      </c>
      <c r="C94" s="154">
        <v>0</v>
      </c>
      <c r="D94" s="154">
        <v>510</v>
      </c>
      <c r="E94" s="154">
        <v>0</v>
      </c>
      <c r="F94" s="154">
        <v>16432</v>
      </c>
    </row>
    <row r="95" spans="1:6">
      <c r="A95" s="154">
        <v>100</v>
      </c>
      <c r="B95" s="154" t="s">
        <v>414</v>
      </c>
      <c r="C95" s="154">
        <v>214850</v>
      </c>
      <c r="D95" s="154">
        <v>574</v>
      </c>
      <c r="E95" s="154">
        <v>133871</v>
      </c>
      <c r="F95" s="154">
        <v>5291</v>
      </c>
    </row>
    <row r="96" spans="1:6">
      <c r="A96" s="154">
        <v>100</v>
      </c>
      <c r="B96" s="154" t="s">
        <v>413</v>
      </c>
      <c r="C96" s="154">
        <v>38672</v>
      </c>
      <c r="D96" s="154">
        <v>202</v>
      </c>
      <c r="E96" s="154">
        <v>28083</v>
      </c>
      <c r="F96" s="154">
        <v>956</v>
      </c>
    </row>
    <row r="97" spans="1:6">
      <c r="A97" s="154">
        <v>100</v>
      </c>
      <c r="B97" s="154" t="s">
        <v>486</v>
      </c>
      <c r="C97" s="154">
        <v>900</v>
      </c>
      <c r="D97" s="154">
        <v>10</v>
      </c>
      <c r="E97" s="154">
        <v>545</v>
      </c>
      <c r="F97" s="154">
        <v>18</v>
      </c>
    </row>
    <row r="98" spans="1:6">
      <c r="A98" s="154">
        <v>100</v>
      </c>
      <c r="B98" s="154" t="s">
        <v>412</v>
      </c>
      <c r="C98" s="154">
        <v>0</v>
      </c>
      <c r="D98" s="154">
        <v>719</v>
      </c>
      <c r="E98" s="154">
        <v>0</v>
      </c>
      <c r="F98" s="154">
        <v>26830</v>
      </c>
    </row>
    <row r="99" spans="1:6">
      <c r="A99" s="154">
        <v>100</v>
      </c>
      <c r="B99" s="154" t="s">
        <v>411</v>
      </c>
      <c r="C99" s="154">
        <v>27438</v>
      </c>
      <c r="D99" s="154">
        <v>158</v>
      </c>
      <c r="E99" s="154">
        <v>17836</v>
      </c>
      <c r="F99" s="154">
        <v>402</v>
      </c>
    </row>
    <row r="100" spans="1:6">
      <c r="A100" s="154">
        <v>100</v>
      </c>
      <c r="B100" s="154" t="s">
        <v>485</v>
      </c>
      <c r="C100" s="154">
        <v>0</v>
      </c>
      <c r="D100" s="154">
        <v>24</v>
      </c>
      <c r="E100" s="154">
        <v>0</v>
      </c>
      <c r="F100" s="154">
        <v>154</v>
      </c>
    </row>
    <row r="101" spans="1:6">
      <c r="A101" s="154">
        <v>100</v>
      </c>
      <c r="B101" s="154" t="s">
        <v>410</v>
      </c>
      <c r="C101" s="154">
        <v>0</v>
      </c>
      <c r="D101" s="154">
        <v>667</v>
      </c>
      <c r="E101" s="154">
        <v>0</v>
      </c>
      <c r="F101" s="154">
        <v>22551</v>
      </c>
    </row>
    <row r="102" spans="1:6">
      <c r="A102" s="154">
        <v>100</v>
      </c>
      <c r="B102" s="154" t="s">
        <v>409</v>
      </c>
      <c r="C102" s="154">
        <v>174334</v>
      </c>
      <c r="D102" s="154">
        <v>1103</v>
      </c>
      <c r="E102" s="154">
        <v>87138</v>
      </c>
      <c r="F102" s="154">
        <v>12664</v>
      </c>
    </row>
    <row r="103" spans="1:6">
      <c r="A103" s="154">
        <v>100</v>
      </c>
      <c r="B103" s="154" t="s">
        <v>408</v>
      </c>
      <c r="C103" s="154">
        <v>178440</v>
      </c>
      <c r="D103" s="154">
        <v>633</v>
      </c>
      <c r="E103" s="154">
        <v>85837</v>
      </c>
      <c r="F103" s="154">
        <v>12928</v>
      </c>
    </row>
    <row r="104" spans="1:6">
      <c r="A104" s="154">
        <v>100</v>
      </c>
      <c r="B104" s="154" t="s">
        <v>407</v>
      </c>
      <c r="C104" s="154">
        <v>5120</v>
      </c>
      <c r="D104" s="154">
        <v>34</v>
      </c>
      <c r="E104" s="154">
        <v>2192</v>
      </c>
      <c r="F104" s="154">
        <v>25</v>
      </c>
    </row>
    <row r="105" spans="1:6">
      <c r="A105" s="154">
        <v>100</v>
      </c>
      <c r="B105" s="154" t="s">
        <v>405</v>
      </c>
      <c r="C105" s="154">
        <v>19000</v>
      </c>
      <c r="D105" s="154">
        <v>96</v>
      </c>
      <c r="E105" s="154">
        <v>14396</v>
      </c>
      <c r="F105" s="154">
        <v>898</v>
      </c>
    </row>
    <row r="106" spans="1:6">
      <c r="A106" s="154">
        <v>100</v>
      </c>
      <c r="B106" s="154" t="s">
        <v>403</v>
      </c>
      <c r="C106" s="154">
        <v>0</v>
      </c>
      <c r="D106" s="154">
        <v>2335</v>
      </c>
      <c r="E106" s="154">
        <v>0</v>
      </c>
      <c r="F106" s="154">
        <v>59567</v>
      </c>
    </row>
    <row r="107" spans="1:6">
      <c r="A107" s="154">
        <v>100</v>
      </c>
      <c r="B107" s="154" t="s">
        <v>484</v>
      </c>
      <c r="C107" s="154">
        <v>0</v>
      </c>
      <c r="D107" s="154">
        <v>1</v>
      </c>
      <c r="E107" s="154">
        <v>0</v>
      </c>
      <c r="F107" s="154">
        <v>0</v>
      </c>
    </row>
    <row r="108" spans="1:6">
      <c r="A108" s="154">
        <v>100</v>
      </c>
      <c r="B108" s="154" t="s">
        <v>514</v>
      </c>
      <c r="C108" s="154">
        <v>0</v>
      </c>
      <c r="D108" s="154">
        <v>11</v>
      </c>
      <c r="E108" s="154">
        <v>0</v>
      </c>
      <c r="F108" s="154">
        <v>141</v>
      </c>
    </row>
    <row r="109" spans="1:6">
      <c r="A109" s="154">
        <v>100</v>
      </c>
      <c r="B109" s="154" t="s">
        <v>402</v>
      </c>
      <c r="C109" s="154">
        <v>60750</v>
      </c>
      <c r="D109" s="154">
        <v>251</v>
      </c>
      <c r="E109" s="154">
        <v>32862</v>
      </c>
      <c r="F109" s="154">
        <v>2353</v>
      </c>
    </row>
    <row r="110" spans="1:6">
      <c r="A110" s="154">
        <v>100</v>
      </c>
      <c r="B110" s="154" t="s">
        <v>483</v>
      </c>
      <c r="C110" s="154">
        <v>0</v>
      </c>
      <c r="D110" s="154">
        <v>2</v>
      </c>
      <c r="E110" s="154">
        <v>0</v>
      </c>
      <c r="F110" s="154">
        <v>24</v>
      </c>
    </row>
    <row r="111" spans="1:6">
      <c r="A111" s="154">
        <v>100</v>
      </c>
      <c r="B111" s="154" t="s">
        <v>401</v>
      </c>
      <c r="C111" s="154">
        <v>0</v>
      </c>
      <c r="D111" s="154">
        <v>1</v>
      </c>
      <c r="E111" s="154">
        <v>0</v>
      </c>
      <c r="F111" s="154">
        <v>4</v>
      </c>
    </row>
    <row r="112" spans="1:6">
      <c r="A112" s="154">
        <v>100</v>
      </c>
      <c r="B112" s="154" t="s">
        <v>400</v>
      </c>
      <c r="C112" s="154">
        <v>78814</v>
      </c>
      <c r="D112" s="154">
        <v>2052</v>
      </c>
      <c r="E112" s="154">
        <v>47753</v>
      </c>
      <c r="F112" s="154">
        <v>10520</v>
      </c>
    </row>
    <row r="113" spans="1:6">
      <c r="A113" s="154">
        <v>100</v>
      </c>
      <c r="B113" s="154" t="s">
        <v>399</v>
      </c>
      <c r="C113" s="154">
        <v>271932</v>
      </c>
      <c r="D113" s="154">
        <v>849</v>
      </c>
      <c r="E113" s="154">
        <v>119241</v>
      </c>
      <c r="F113" s="154">
        <v>12749</v>
      </c>
    </row>
    <row r="114" spans="1:6">
      <c r="A114" s="154">
        <v>100</v>
      </c>
      <c r="B114" s="154" t="s">
        <v>482</v>
      </c>
      <c r="C114" s="154">
        <v>0</v>
      </c>
      <c r="D114" s="154">
        <v>131</v>
      </c>
      <c r="E114" s="154">
        <v>0</v>
      </c>
      <c r="F114" s="154">
        <v>2575</v>
      </c>
    </row>
    <row r="115" spans="1:6">
      <c r="A115" s="154">
        <v>100</v>
      </c>
      <c r="B115" s="154" t="s">
        <v>398</v>
      </c>
      <c r="C115" s="154">
        <v>0</v>
      </c>
      <c r="D115" s="154">
        <v>357</v>
      </c>
      <c r="E115" s="154">
        <v>0</v>
      </c>
      <c r="F115" s="154">
        <v>24497</v>
      </c>
    </row>
    <row r="116" spans="1:6">
      <c r="A116" s="154">
        <v>100</v>
      </c>
      <c r="B116" s="154" t="s">
        <v>481</v>
      </c>
      <c r="C116" s="154">
        <v>194</v>
      </c>
      <c r="D116" s="154">
        <v>2</v>
      </c>
      <c r="E116" s="154">
        <v>110</v>
      </c>
      <c r="F116" s="154">
        <v>2</v>
      </c>
    </row>
    <row r="117" spans="1:6">
      <c r="A117" s="154">
        <v>100</v>
      </c>
      <c r="B117" s="154" t="s">
        <v>396</v>
      </c>
      <c r="C117" s="154">
        <v>59684</v>
      </c>
      <c r="D117" s="154">
        <v>348</v>
      </c>
      <c r="E117" s="154">
        <v>44794</v>
      </c>
      <c r="F117" s="154">
        <v>600</v>
      </c>
    </row>
    <row r="118" spans="1:6">
      <c r="A118" s="154">
        <v>100</v>
      </c>
      <c r="B118" s="154" t="s">
        <v>480</v>
      </c>
      <c r="C118" s="154">
        <v>378</v>
      </c>
      <c r="D118" s="154">
        <v>92</v>
      </c>
      <c r="E118" s="154">
        <v>103</v>
      </c>
      <c r="F118" s="154">
        <v>969</v>
      </c>
    </row>
    <row r="119" spans="1:6">
      <c r="A119" s="154">
        <v>100</v>
      </c>
      <c r="B119" s="154" t="s">
        <v>395</v>
      </c>
      <c r="C119" s="154">
        <v>42840</v>
      </c>
      <c r="D119" s="154">
        <v>130</v>
      </c>
      <c r="E119" s="154">
        <v>15178</v>
      </c>
      <c r="F119" s="154">
        <v>1204</v>
      </c>
    </row>
    <row r="120" spans="1:6">
      <c r="A120" s="154">
        <v>100</v>
      </c>
      <c r="B120" s="154" t="s">
        <v>479</v>
      </c>
      <c r="C120" s="154">
        <v>651</v>
      </c>
      <c r="D120" s="154">
        <v>7</v>
      </c>
      <c r="E120" s="154">
        <v>46</v>
      </c>
      <c r="F120" s="154">
        <v>32</v>
      </c>
    </row>
    <row r="121" spans="1:6">
      <c r="A121" s="154">
        <v>100</v>
      </c>
      <c r="B121" s="154" t="s">
        <v>394</v>
      </c>
      <c r="C121" s="154">
        <v>37036</v>
      </c>
      <c r="D121" s="154">
        <v>200</v>
      </c>
      <c r="E121" s="154">
        <v>25160</v>
      </c>
      <c r="F121" s="154">
        <v>256</v>
      </c>
    </row>
    <row r="122" spans="1:6">
      <c r="A122" s="154">
        <v>100</v>
      </c>
      <c r="B122" s="154" t="s">
        <v>478</v>
      </c>
      <c r="C122" s="154">
        <v>1726</v>
      </c>
      <c r="D122" s="154">
        <v>8</v>
      </c>
      <c r="E122" s="154">
        <v>868</v>
      </c>
      <c r="F122" s="154">
        <v>79</v>
      </c>
    </row>
    <row r="123" spans="1:6">
      <c r="A123" s="154">
        <v>100</v>
      </c>
      <c r="B123" s="154" t="s">
        <v>393</v>
      </c>
      <c r="C123" s="154">
        <v>114410</v>
      </c>
      <c r="D123" s="154">
        <v>465</v>
      </c>
      <c r="E123" s="154">
        <v>62976</v>
      </c>
      <c r="F123" s="154">
        <v>2789</v>
      </c>
    </row>
    <row r="124" spans="1:6">
      <c r="A124" s="154">
        <v>100</v>
      </c>
      <c r="B124" s="154" t="s">
        <v>392</v>
      </c>
      <c r="C124" s="154">
        <v>49036</v>
      </c>
      <c r="D124" s="154">
        <v>237</v>
      </c>
      <c r="E124" s="154">
        <v>31589</v>
      </c>
      <c r="F124" s="154">
        <v>612</v>
      </c>
    </row>
    <row r="125" spans="1:6">
      <c r="A125" s="154">
        <v>100</v>
      </c>
      <c r="B125" s="154" t="s">
        <v>391</v>
      </c>
      <c r="C125" s="154">
        <v>167270</v>
      </c>
      <c r="D125" s="154">
        <v>1767</v>
      </c>
      <c r="E125" s="154">
        <v>107318</v>
      </c>
      <c r="F125" s="154">
        <v>6146</v>
      </c>
    </row>
    <row r="126" spans="1:6">
      <c r="A126" s="154">
        <v>100</v>
      </c>
      <c r="B126" s="154" t="s">
        <v>390</v>
      </c>
      <c r="C126" s="154">
        <v>12624</v>
      </c>
      <c r="D126" s="154">
        <v>126</v>
      </c>
      <c r="E126" s="154">
        <v>6556</v>
      </c>
      <c r="F126" s="154">
        <v>455</v>
      </c>
    </row>
    <row r="127" spans="1:6">
      <c r="A127" s="154">
        <v>100</v>
      </c>
      <c r="B127" s="154" t="s">
        <v>477</v>
      </c>
      <c r="C127" s="154">
        <v>1967</v>
      </c>
      <c r="D127" s="154">
        <v>8</v>
      </c>
      <c r="E127" s="154">
        <v>922</v>
      </c>
      <c r="F127" s="154">
        <v>85</v>
      </c>
    </row>
    <row r="128" spans="1:6">
      <c r="A128" s="154">
        <v>100</v>
      </c>
      <c r="B128" s="154" t="s">
        <v>389</v>
      </c>
      <c r="C128" s="154">
        <v>428146</v>
      </c>
      <c r="D128" s="154">
        <v>2003</v>
      </c>
      <c r="E128" s="154">
        <v>291135</v>
      </c>
      <c r="F128" s="154">
        <v>3892</v>
      </c>
    </row>
    <row r="129" spans="1:6">
      <c r="A129" s="154">
        <v>100</v>
      </c>
      <c r="B129" s="154" t="s">
        <v>512</v>
      </c>
      <c r="C129" s="154">
        <v>18270</v>
      </c>
      <c r="D129" s="154">
        <v>180</v>
      </c>
      <c r="E129" s="154">
        <v>306</v>
      </c>
      <c r="F129" s="154">
        <v>1327</v>
      </c>
    </row>
    <row r="130" spans="1:6">
      <c r="A130" s="154">
        <v>100</v>
      </c>
      <c r="B130" s="154" t="s">
        <v>388</v>
      </c>
      <c r="C130" s="154">
        <v>11772</v>
      </c>
      <c r="D130" s="154">
        <v>74</v>
      </c>
      <c r="E130" s="154">
        <v>5850</v>
      </c>
      <c r="F130" s="154">
        <v>132</v>
      </c>
    </row>
    <row r="131" spans="1:6">
      <c r="A131" s="154">
        <v>100</v>
      </c>
      <c r="B131" s="154" t="s">
        <v>387</v>
      </c>
      <c r="C131" s="154">
        <v>5676</v>
      </c>
      <c r="D131" s="154">
        <v>32</v>
      </c>
      <c r="E131" s="154">
        <v>4494</v>
      </c>
      <c r="F131" s="154">
        <v>46</v>
      </c>
    </row>
    <row r="132" spans="1:6">
      <c r="A132" s="154">
        <v>100</v>
      </c>
      <c r="B132" s="154" t="s">
        <v>386</v>
      </c>
      <c r="C132" s="154">
        <v>0</v>
      </c>
      <c r="D132" s="154">
        <v>29</v>
      </c>
      <c r="E132" s="154">
        <v>0</v>
      </c>
      <c r="F132" s="154">
        <v>1138</v>
      </c>
    </row>
    <row r="133" spans="1:6">
      <c r="A133" s="154">
        <v>100</v>
      </c>
      <c r="B133" s="154" t="s">
        <v>385</v>
      </c>
      <c r="C133" s="154">
        <v>292130</v>
      </c>
      <c r="D133" s="154">
        <v>1302</v>
      </c>
      <c r="E133" s="154">
        <v>210113</v>
      </c>
      <c r="F133" s="154">
        <v>11442</v>
      </c>
    </row>
    <row r="134" spans="1:6">
      <c r="A134" s="154">
        <v>100</v>
      </c>
      <c r="B134" s="154" t="s">
        <v>850</v>
      </c>
      <c r="C134" s="154">
        <v>48400</v>
      </c>
      <c r="D134" s="154">
        <v>351</v>
      </c>
      <c r="E134" s="154">
        <v>23141</v>
      </c>
      <c r="F134" s="154">
        <v>2013</v>
      </c>
    </row>
    <row r="135" spans="1:6">
      <c r="A135" s="154">
        <v>100</v>
      </c>
      <c r="B135" s="154" t="s">
        <v>476</v>
      </c>
      <c r="C135" s="154">
        <v>30082</v>
      </c>
      <c r="D135" s="154">
        <v>240</v>
      </c>
      <c r="E135" s="154">
        <v>17964</v>
      </c>
      <c r="F135" s="154">
        <v>628</v>
      </c>
    </row>
    <row r="136" spans="1:6">
      <c r="A136" s="154">
        <v>100</v>
      </c>
      <c r="B136" s="154" t="s">
        <v>511</v>
      </c>
      <c r="C136" s="154">
        <v>3276</v>
      </c>
      <c r="D136" s="154">
        <v>28</v>
      </c>
      <c r="E136" s="154">
        <v>2641</v>
      </c>
      <c r="F136" s="154">
        <v>89</v>
      </c>
    </row>
    <row r="137" spans="1:6">
      <c r="A137" s="154">
        <v>100</v>
      </c>
      <c r="B137" s="154" t="s">
        <v>384</v>
      </c>
      <c r="C137" s="154">
        <v>0</v>
      </c>
      <c r="D137" s="154">
        <v>1440</v>
      </c>
      <c r="E137" s="154">
        <v>0</v>
      </c>
      <c r="F137" s="154">
        <v>48390</v>
      </c>
    </row>
    <row r="138" spans="1:6">
      <c r="A138" s="154">
        <v>100</v>
      </c>
      <c r="B138" s="154" t="s">
        <v>383</v>
      </c>
      <c r="C138" s="154">
        <v>50294</v>
      </c>
      <c r="D138" s="154">
        <v>244</v>
      </c>
      <c r="E138" s="154">
        <v>35448</v>
      </c>
      <c r="F138" s="154">
        <v>1951</v>
      </c>
    </row>
    <row r="139" spans="1:6">
      <c r="A139" s="154">
        <v>100</v>
      </c>
      <c r="B139" s="154" t="s">
        <v>382</v>
      </c>
      <c r="C139" s="154">
        <v>68964</v>
      </c>
      <c r="D139" s="154">
        <v>542</v>
      </c>
      <c r="E139" s="154">
        <v>44171</v>
      </c>
      <c r="F139" s="154">
        <v>9049</v>
      </c>
    </row>
    <row r="140" spans="1:6">
      <c r="A140" s="154">
        <v>100</v>
      </c>
      <c r="B140" s="154" t="s">
        <v>864</v>
      </c>
      <c r="C140" s="154">
        <v>0</v>
      </c>
      <c r="D140" s="154">
        <v>134</v>
      </c>
      <c r="E140" s="154">
        <v>0</v>
      </c>
      <c r="F140" s="154">
        <v>840</v>
      </c>
    </row>
    <row r="141" spans="1:6">
      <c r="A141" s="154">
        <v>100</v>
      </c>
      <c r="B141" s="154" t="s">
        <v>381</v>
      </c>
      <c r="C141" s="154">
        <v>15324</v>
      </c>
      <c r="D141" s="154">
        <v>96</v>
      </c>
      <c r="E141" s="154">
        <v>11660</v>
      </c>
      <c r="F141" s="154">
        <v>166</v>
      </c>
    </row>
    <row r="142" spans="1:6">
      <c r="A142" s="154">
        <v>100</v>
      </c>
      <c r="B142" s="154" t="s">
        <v>380</v>
      </c>
      <c r="C142" s="154">
        <v>0</v>
      </c>
      <c r="D142" s="154">
        <v>916</v>
      </c>
      <c r="E142" s="154">
        <v>0</v>
      </c>
      <c r="F142" s="154">
        <v>17738</v>
      </c>
    </row>
    <row r="143" spans="1:6">
      <c r="A143" s="154">
        <v>100</v>
      </c>
      <c r="B143" s="154" t="s">
        <v>379</v>
      </c>
      <c r="C143" s="154">
        <v>127405</v>
      </c>
      <c r="D143" s="154">
        <v>395</v>
      </c>
      <c r="E143" s="154">
        <v>73902</v>
      </c>
      <c r="F143" s="154">
        <v>5960</v>
      </c>
    </row>
    <row r="144" spans="1:6">
      <c r="A144" s="154">
        <v>100</v>
      </c>
      <c r="B144" s="154" t="s">
        <v>475</v>
      </c>
      <c r="C144" s="154">
        <v>0</v>
      </c>
      <c r="D144" s="154">
        <v>6</v>
      </c>
      <c r="E144" s="154">
        <v>0</v>
      </c>
      <c r="F144" s="154">
        <v>136</v>
      </c>
    </row>
    <row r="145" spans="1:6">
      <c r="A145" s="154">
        <v>100</v>
      </c>
      <c r="B145" s="154" t="s">
        <v>474</v>
      </c>
      <c r="C145" s="154">
        <v>470</v>
      </c>
      <c r="D145" s="154">
        <v>6</v>
      </c>
      <c r="E145" s="154">
        <v>95</v>
      </c>
      <c r="F145" s="154">
        <v>25</v>
      </c>
    </row>
    <row r="146" spans="1:6">
      <c r="A146" s="154">
        <v>100</v>
      </c>
      <c r="B146" s="154" t="s">
        <v>378</v>
      </c>
      <c r="C146" s="154">
        <v>54636</v>
      </c>
      <c r="D146" s="154">
        <v>192</v>
      </c>
      <c r="E146" s="154">
        <v>37128</v>
      </c>
      <c r="F146" s="154">
        <v>2193</v>
      </c>
    </row>
    <row r="147" spans="1:6">
      <c r="A147" s="154">
        <v>100</v>
      </c>
      <c r="B147" s="154" t="s">
        <v>508</v>
      </c>
      <c r="C147" s="154">
        <v>0</v>
      </c>
      <c r="D147" s="154">
        <v>8</v>
      </c>
      <c r="E147" s="154">
        <v>0</v>
      </c>
      <c r="F147" s="154">
        <v>205</v>
      </c>
    </row>
    <row r="148" spans="1:6">
      <c r="A148" s="154">
        <v>100</v>
      </c>
      <c r="B148" s="154" t="s">
        <v>377</v>
      </c>
      <c r="C148" s="154">
        <v>21224</v>
      </c>
      <c r="D148" s="154">
        <v>152</v>
      </c>
      <c r="E148" s="154">
        <v>14323</v>
      </c>
      <c r="F148" s="154">
        <v>309</v>
      </c>
    </row>
    <row r="149" spans="1:6">
      <c r="A149" s="154">
        <v>100</v>
      </c>
      <c r="B149" s="154" t="s">
        <v>376</v>
      </c>
      <c r="C149" s="154">
        <v>477117</v>
      </c>
      <c r="D149" s="154">
        <v>2122</v>
      </c>
      <c r="E149" s="154">
        <v>206684</v>
      </c>
      <c r="F149" s="154">
        <v>21114</v>
      </c>
    </row>
    <row r="150" spans="1:6">
      <c r="A150" s="154">
        <v>100</v>
      </c>
      <c r="B150" s="154" t="s">
        <v>473</v>
      </c>
      <c r="C150" s="154">
        <v>32373</v>
      </c>
      <c r="D150" s="154">
        <v>146</v>
      </c>
      <c r="E150" s="154">
        <v>21848</v>
      </c>
      <c r="F150" s="154">
        <v>1666</v>
      </c>
    </row>
    <row r="151" spans="1:6">
      <c r="A151" s="154">
        <v>100</v>
      </c>
      <c r="B151" s="154" t="s">
        <v>375</v>
      </c>
      <c r="C151" s="154">
        <v>167614</v>
      </c>
      <c r="D151" s="154">
        <v>522</v>
      </c>
      <c r="E151" s="154">
        <v>69173</v>
      </c>
      <c r="F151" s="154">
        <v>11880</v>
      </c>
    </row>
    <row r="152" spans="1:6">
      <c r="A152" s="154">
        <v>100</v>
      </c>
      <c r="B152" s="154" t="s">
        <v>472</v>
      </c>
      <c r="C152" s="154">
        <v>0</v>
      </c>
      <c r="D152" s="154">
        <v>14</v>
      </c>
      <c r="E152" s="154">
        <v>0</v>
      </c>
      <c r="F152" s="154">
        <v>149</v>
      </c>
    </row>
    <row r="153" spans="1:6">
      <c r="A153" s="154">
        <v>100</v>
      </c>
      <c r="B153" s="154" t="s">
        <v>374</v>
      </c>
      <c r="C153" s="154">
        <v>141834</v>
      </c>
      <c r="D153" s="154">
        <v>556</v>
      </c>
      <c r="E153" s="154">
        <v>73970</v>
      </c>
      <c r="F153" s="154">
        <v>7781</v>
      </c>
    </row>
    <row r="154" spans="1:6">
      <c r="A154" s="154">
        <v>100</v>
      </c>
      <c r="B154" s="154" t="s">
        <v>373</v>
      </c>
      <c r="C154" s="154">
        <v>0</v>
      </c>
      <c r="D154" s="154">
        <v>424</v>
      </c>
      <c r="E154" s="154">
        <v>0</v>
      </c>
      <c r="F154" s="154">
        <v>3664</v>
      </c>
    </row>
    <row r="155" spans="1:6">
      <c r="A155" s="154">
        <v>100</v>
      </c>
      <c r="B155" s="154" t="s">
        <v>865</v>
      </c>
      <c r="C155" s="154">
        <v>0</v>
      </c>
      <c r="D155" s="154">
        <v>2</v>
      </c>
      <c r="E155" s="154">
        <v>0</v>
      </c>
      <c r="F155" s="154">
        <v>21</v>
      </c>
    </row>
    <row r="156" spans="1:6">
      <c r="A156" s="154">
        <v>100</v>
      </c>
      <c r="B156" s="154" t="s">
        <v>504</v>
      </c>
      <c r="C156" s="154">
        <v>0</v>
      </c>
      <c r="D156" s="154">
        <v>2</v>
      </c>
      <c r="E156" s="154">
        <v>0</v>
      </c>
      <c r="F156" s="154">
        <v>32</v>
      </c>
    </row>
    <row r="157" spans="1:6">
      <c r="A157" s="154">
        <v>100</v>
      </c>
      <c r="B157" s="154" t="s">
        <v>866</v>
      </c>
      <c r="C157" s="154">
        <v>0</v>
      </c>
      <c r="D157" s="154">
        <v>3</v>
      </c>
      <c r="E157" s="154">
        <v>0</v>
      </c>
      <c r="F157" s="154">
        <v>21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5"/>
  <cols>
    <col min="1" max="1" width="5" style="154" bestFit="1" customWidth="1"/>
    <col min="2" max="2" width="38.42578125" style="154" bestFit="1" customWidth="1"/>
    <col min="3" max="3" width="9.42578125" style="154" bestFit="1" customWidth="1"/>
    <col min="4" max="4" width="8.42578125" style="154" bestFit="1" customWidth="1"/>
    <col min="5" max="5" width="9.42578125" style="154" bestFit="1" customWidth="1"/>
    <col min="6" max="6" width="8.42578125" style="154" bestFit="1" customWidth="1"/>
    <col min="7" max="16384" width="31" style="154"/>
  </cols>
  <sheetData>
    <row r="1" spans="1:6">
      <c r="A1" s="153" t="s">
        <v>833</v>
      </c>
      <c r="B1" s="153" t="s">
        <v>357</v>
      </c>
      <c r="C1" s="153" t="s">
        <v>358</v>
      </c>
      <c r="D1" s="153" t="s">
        <v>359</v>
      </c>
      <c r="E1" s="153" t="s">
        <v>360</v>
      </c>
      <c r="F1" s="153" t="s">
        <v>361</v>
      </c>
    </row>
    <row r="2" spans="1:6">
      <c r="A2" s="154">
        <v>0</v>
      </c>
      <c r="B2" s="154" t="s">
        <v>362</v>
      </c>
      <c r="C2" s="154">
        <v>91113062</v>
      </c>
      <c r="D2" s="154">
        <v>556828</v>
      </c>
      <c r="E2" s="154">
        <v>70003126</v>
      </c>
      <c r="F2" s="154">
        <v>3829409</v>
      </c>
    </row>
    <row r="3" spans="1:6">
      <c r="A3" s="154">
        <v>1</v>
      </c>
      <c r="B3" s="154" t="s">
        <v>867</v>
      </c>
      <c r="C3" s="154">
        <v>8383491</v>
      </c>
      <c r="D3" s="154">
        <v>50805</v>
      </c>
      <c r="E3" s="154">
        <v>6333784</v>
      </c>
      <c r="F3" s="154">
        <v>338624</v>
      </c>
    </row>
    <row r="4" spans="1:6">
      <c r="A4" s="154">
        <v>1</v>
      </c>
      <c r="B4" s="154" t="s">
        <v>868</v>
      </c>
      <c r="C4" s="154">
        <v>8162415</v>
      </c>
      <c r="D4" s="154">
        <v>50162</v>
      </c>
      <c r="E4" s="154">
        <v>6967216</v>
      </c>
      <c r="F4" s="154">
        <v>333780</v>
      </c>
    </row>
    <row r="5" spans="1:6">
      <c r="A5" s="154">
        <v>1</v>
      </c>
      <c r="B5" s="154" t="s">
        <v>869</v>
      </c>
      <c r="C5" s="154">
        <v>8591555</v>
      </c>
      <c r="D5" s="154">
        <v>51799</v>
      </c>
      <c r="E5" s="154">
        <v>6941412</v>
      </c>
      <c r="F5" s="154">
        <v>337273</v>
      </c>
    </row>
    <row r="6" spans="1:6">
      <c r="A6" s="154">
        <v>1</v>
      </c>
      <c r="B6" s="154" t="s">
        <v>870</v>
      </c>
      <c r="C6" s="154">
        <v>7358233</v>
      </c>
      <c r="D6" s="154">
        <v>45085</v>
      </c>
      <c r="E6" s="154">
        <v>5405895</v>
      </c>
      <c r="F6" s="154">
        <v>329432</v>
      </c>
    </row>
    <row r="7" spans="1:6">
      <c r="A7" s="154">
        <v>1</v>
      </c>
      <c r="B7" s="154" t="s">
        <v>871</v>
      </c>
      <c r="C7" s="154">
        <v>7759844</v>
      </c>
      <c r="D7" s="154">
        <v>46676</v>
      </c>
      <c r="E7" s="154">
        <v>5781112</v>
      </c>
      <c r="F7" s="154">
        <v>316233</v>
      </c>
    </row>
    <row r="8" spans="1:6">
      <c r="A8" s="154">
        <v>1</v>
      </c>
      <c r="B8" s="154" t="s">
        <v>872</v>
      </c>
      <c r="C8" s="154">
        <v>8386173</v>
      </c>
      <c r="D8" s="154">
        <v>49781</v>
      </c>
      <c r="E8" s="154">
        <v>6186936</v>
      </c>
      <c r="F8" s="154">
        <v>327380</v>
      </c>
    </row>
    <row r="9" spans="1:6">
      <c r="A9" s="154">
        <v>1</v>
      </c>
      <c r="B9" s="154" t="s">
        <v>873</v>
      </c>
      <c r="C9" s="154">
        <v>8006419</v>
      </c>
      <c r="D9" s="154">
        <v>48165</v>
      </c>
      <c r="E9" s="154">
        <v>6377291</v>
      </c>
      <c r="F9" s="154">
        <v>316819</v>
      </c>
    </row>
    <row r="10" spans="1:6">
      <c r="A10" s="154">
        <v>1</v>
      </c>
      <c r="B10" s="154" t="s">
        <v>874</v>
      </c>
      <c r="C10" s="154">
        <v>8435829</v>
      </c>
      <c r="D10" s="154">
        <v>50636</v>
      </c>
      <c r="E10" s="154">
        <v>6491440</v>
      </c>
      <c r="F10" s="154">
        <v>321616</v>
      </c>
    </row>
    <row r="11" spans="1:6">
      <c r="A11" s="154">
        <v>1</v>
      </c>
      <c r="B11" s="154" t="s">
        <v>875</v>
      </c>
      <c r="C11" s="154">
        <v>8083175</v>
      </c>
      <c r="D11" s="154">
        <v>49438</v>
      </c>
      <c r="E11" s="154">
        <v>6180787</v>
      </c>
      <c r="F11" s="154">
        <v>318845</v>
      </c>
    </row>
    <row r="12" spans="1:6">
      <c r="A12" s="154">
        <v>1</v>
      </c>
      <c r="B12" s="154" t="s">
        <v>876</v>
      </c>
      <c r="C12" s="154">
        <v>7198956</v>
      </c>
      <c r="D12" s="154">
        <v>45502</v>
      </c>
      <c r="E12" s="154">
        <v>5401925</v>
      </c>
      <c r="F12" s="154">
        <v>325946</v>
      </c>
    </row>
    <row r="13" spans="1:6">
      <c r="A13" s="154">
        <v>1</v>
      </c>
      <c r="B13" s="154" t="s">
        <v>877</v>
      </c>
      <c r="C13" s="154">
        <v>6325161</v>
      </c>
      <c r="D13" s="154">
        <v>39096</v>
      </c>
      <c r="E13" s="154">
        <v>4796571</v>
      </c>
      <c r="F13" s="154">
        <v>273906</v>
      </c>
    </row>
    <row r="14" spans="1:6">
      <c r="A14" s="154">
        <v>1</v>
      </c>
      <c r="B14" s="154" t="s">
        <v>878</v>
      </c>
      <c r="C14" s="154">
        <v>4421811</v>
      </c>
      <c r="D14" s="154">
        <v>29683</v>
      </c>
      <c r="E14" s="154">
        <v>3138757</v>
      </c>
      <c r="F14" s="154">
        <v>289556</v>
      </c>
    </row>
    <row r="15" spans="1:6" s="155" customFormat="1">
      <c r="A15" s="155">
        <v>2</v>
      </c>
      <c r="B15" s="155" t="s">
        <v>363</v>
      </c>
      <c r="C15" s="155">
        <v>87172330</v>
      </c>
      <c r="D15" s="155">
        <v>498205</v>
      </c>
      <c r="E15" s="155">
        <v>68628366</v>
      </c>
      <c r="F15" s="155">
        <v>2779004</v>
      </c>
    </row>
    <row r="16" spans="1:6">
      <c r="A16" s="154">
        <v>3</v>
      </c>
      <c r="B16" s="154" t="s">
        <v>364</v>
      </c>
      <c r="C16" s="154">
        <v>16047534</v>
      </c>
      <c r="D16" s="154">
        <v>115097</v>
      </c>
      <c r="E16" s="154">
        <v>10748954</v>
      </c>
      <c r="F16" s="154">
        <v>1737216</v>
      </c>
    </row>
    <row r="17" spans="1:6">
      <c r="A17" s="154">
        <v>4</v>
      </c>
      <c r="B17" s="154" t="s">
        <v>365</v>
      </c>
      <c r="C17" s="154">
        <v>13690597</v>
      </c>
      <c r="D17" s="154">
        <v>80680</v>
      </c>
      <c r="E17" s="154">
        <v>9673464</v>
      </c>
      <c r="F17" s="154">
        <v>808797</v>
      </c>
    </row>
    <row r="18" spans="1:6">
      <c r="A18" s="154">
        <v>5</v>
      </c>
      <c r="B18" s="154" t="s">
        <v>366</v>
      </c>
      <c r="C18" s="154">
        <v>14763357</v>
      </c>
      <c r="D18" s="154">
        <v>78587</v>
      </c>
      <c r="E18" s="154">
        <v>13056191</v>
      </c>
      <c r="F18" s="154">
        <v>51389</v>
      </c>
    </row>
    <row r="19" spans="1:6">
      <c r="A19" s="154">
        <v>6</v>
      </c>
      <c r="B19" s="154" t="s">
        <v>367</v>
      </c>
      <c r="C19" s="154">
        <v>14679946</v>
      </c>
      <c r="D19" s="154">
        <v>77488</v>
      </c>
      <c r="E19" s="154">
        <v>11731561</v>
      </c>
      <c r="F19" s="154">
        <v>54885</v>
      </c>
    </row>
    <row r="20" spans="1:6">
      <c r="A20" s="154">
        <v>7</v>
      </c>
      <c r="B20" s="154" t="s">
        <v>368</v>
      </c>
      <c r="C20" s="154">
        <v>11353279</v>
      </c>
      <c r="D20" s="154">
        <v>57286</v>
      </c>
      <c r="E20" s="154">
        <v>9009003</v>
      </c>
      <c r="F20" s="154">
        <v>41966</v>
      </c>
    </row>
    <row r="21" spans="1:6">
      <c r="A21" s="154">
        <v>9</v>
      </c>
      <c r="B21" s="154" t="s">
        <v>370</v>
      </c>
      <c r="C21" s="154">
        <v>11774889</v>
      </c>
      <c r="D21" s="154">
        <v>62672</v>
      </c>
      <c r="E21" s="154">
        <v>10321021</v>
      </c>
      <c r="F21" s="154">
        <v>44463</v>
      </c>
    </row>
    <row r="22" spans="1:6">
      <c r="A22" s="154">
        <v>10</v>
      </c>
      <c r="B22" s="154" t="s">
        <v>846</v>
      </c>
      <c r="C22" s="154">
        <v>0</v>
      </c>
      <c r="D22" s="154">
        <v>2384</v>
      </c>
      <c r="E22" s="154">
        <v>0</v>
      </c>
      <c r="F22" s="154">
        <v>26174</v>
      </c>
    </row>
    <row r="23" spans="1:6">
      <c r="A23" s="154">
        <v>11</v>
      </c>
      <c r="B23" s="154" t="s">
        <v>371</v>
      </c>
      <c r="C23" s="154">
        <v>3664990</v>
      </c>
      <c r="D23" s="154">
        <v>17922</v>
      </c>
      <c r="E23" s="154">
        <v>3378124</v>
      </c>
      <c r="F23" s="154">
        <v>10343</v>
      </c>
    </row>
    <row r="24" spans="1:6">
      <c r="A24" s="154">
        <v>12</v>
      </c>
      <c r="B24" s="154" t="s">
        <v>501</v>
      </c>
      <c r="C24" s="154">
        <v>202086</v>
      </c>
      <c r="D24" s="154">
        <v>657</v>
      </c>
      <c r="E24" s="154">
        <v>163554</v>
      </c>
      <c r="F24" s="154">
        <v>662</v>
      </c>
    </row>
    <row r="25" spans="1:6">
      <c r="A25" s="154">
        <v>13</v>
      </c>
      <c r="B25" s="154" t="s">
        <v>500</v>
      </c>
      <c r="C25" s="154">
        <v>510120</v>
      </c>
      <c r="D25" s="154">
        <v>2834</v>
      </c>
      <c r="E25" s="154">
        <v>272786</v>
      </c>
      <c r="F25" s="154">
        <v>1535</v>
      </c>
    </row>
    <row r="26" spans="1:6">
      <c r="A26" s="154">
        <v>14</v>
      </c>
      <c r="B26" s="154" t="s">
        <v>847</v>
      </c>
      <c r="C26" s="154">
        <v>485532</v>
      </c>
      <c r="D26" s="154">
        <v>2598</v>
      </c>
      <c r="E26" s="154">
        <v>273708</v>
      </c>
      <c r="F26" s="154">
        <v>1575</v>
      </c>
    </row>
    <row r="27" spans="1:6">
      <c r="A27" s="154">
        <v>99</v>
      </c>
      <c r="B27" s="154" t="s">
        <v>372</v>
      </c>
      <c r="C27" s="154">
        <v>3940732</v>
      </c>
      <c r="D27" s="154">
        <v>58623</v>
      </c>
      <c r="E27" s="154">
        <v>1374760</v>
      </c>
      <c r="F27" s="154">
        <v>1050405</v>
      </c>
    </row>
    <row r="28" spans="1:6">
      <c r="A28" s="154">
        <v>100</v>
      </c>
      <c r="B28" s="154" t="s">
        <v>471</v>
      </c>
      <c r="C28" s="154">
        <v>0</v>
      </c>
      <c r="D28" s="154">
        <v>200</v>
      </c>
      <c r="E28" s="154">
        <v>0</v>
      </c>
      <c r="F28" s="154">
        <v>3941</v>
      </c>
    </row>
    <row r="29" spans="1:6">
      <c r="A29" s="154">
        <v>100</v>
      </c>
      <c r="B29" s="154" t="s">
        <v>498</v>
      </c>
      <c r="C29" s="154">
        <v>0</v>
      </c>
      <c r="D29" s="154">
        <v>285</v>
      </c>
      <c r="E29" s="154">
        <v>0</v>
      </c>
      <c r="F29" s="154">
        <v>884</v>
      </c>
    </row>
    <row r="30" spans="1:6">
      <c r="A30" s="154">
        <v>100</v>
      </c>
      <c r="B30" s="154" t="s">
        <v>522</v>
      </c>
      <c r="C30" s="154">
        <v>0</v>
      </c>
      <c r="D30" s="154">
        <v>6</v>
      </c>
      <c r="E30" s="154">
        <v>0</v>
      </c>
      <c r="F30" s="154">
        <v>53</v>
      </c>
    </row>
    <row r="31" spans="1:6">
      <c r="A31" s="154">
        <v>100</v>
      </c>
      <c r="B31" s="154" t="s">
        <v>469</v>
      </c>
      <c r="C31" s="154">
        <v>66904</v>
      </c>
      <c r="D31" s="154">
        <v>398</v>
      </c>
      <c r="E31" s="154">
        <v>19731</v>
      </c>
      <c r="F31" s="154">
        <v>5637</v>
      </c>
    </row>
    <row r="32" spans="1:6">
      <c r="A32" s="154">
        <v>100</v>
      </c>
      <c r="B32" s="154" t="s">
        <v>468</v>
      </c>
      <c r="C32" s="154">
        <v>15977</v>
      </c>
      <c r="D32" s="154">
        <v>294</v>
      </c>
      <c r="E32" s="154">
        <v>3283</v>
      </c>
      <c r="F32" s="154">
        <v>3634</v>
      </c>
    </row>
    <row r="33" spans="1:6">
      <c r="A33" s="154">
        <v>100</v>
      </c>
      <c r="B33" s="154" t="s">
        <v>466</v>
      </c>
      <c r="C33" s="154">
        <v>114103</v>
      </c>
      <c r="D33" s="154">
        <v>585</v>
      </c>
      <c r="E33" s="154">
        <v>23116</v>
      </c>
      <c r="F33" s="154">
        <v>14817</v>
      </c>
    </row>
    <row r="34" spans="1:6">
      <c r="A34" s="154">
        <v>100</v>
      </c>
      <c r="B34" s="154" t="s">
        <v>464</v>
      </c>
      <c r="C34" s="154">
        <v>121715</v>
      </c>
      <c r="D34" s="154">
        <v>359</v>
      </c>
      <c r="E34" s="154">
        <v>31246</v>
      </c>
      <c r="F34" s="154">
        <v>9042</v>
      </c>
    </row>
    <row r="35" spans="1:6">
      <c r="A35" s="154">
        <v>100</v>
      </c>
      <c r="B35" s="154" t="s">
        <v>463</v>
      </c>
      <c r="C35" s="154">
        <v>106344</v>
      </c>
      <c r="D35" s="154">
        <v>431</v>
      </c>
      <c r="E35" s="154">
        <v>48870</v>
      </c>
      <c r="F35" s="154">
        <v>5464</v>
      </c>
    </row>
    <row r="36" spans="1:6">
      <c r="A36" s="154">
        <v>100</v>
      </c>
      <c r="B36" s="154" t="s">
        <v>462</v>
      </c>
      <c r="C36" s="154">
        <v>0</v>
      </c>
      <c r="D36" s="154">
        <v>3709</v>
      </c>
      <c r="E36" s="154">
        <v>0</v>
      </c>
      <c r="F36" s="154">
        <v>112073</v>
      </c>
    </row>
    <row r="37" spans="1:6">
      <c r="A37" s="154">
        <v>100</v>
      </c>
      <c r="B37" s="154" t="s">
        <v>461</v>
      </c>
      <c r="C37" s="154">
        <v>0</v>
      </c>
      <c r="D37" s="154">
        <v>2902</v>
      </c>
      <c r="E37" s="154">
        <v>0</v>
      </c>
      <c r="F37" s="154">
        <v>66689</v>
      </c>
    </row>
    <row r="38" spans="1:6">
      <c r="A38" s="154">
        <v>100</v>
      </c>
      <c r="B38" s="154" t="s">
        <v>494</v>
      </c>
      <c r="C38" s="154">
        <v>0</v>
      </c>
      <c r="D38" s="154">
        <v>1274</v>
      </c>
      <c r="E38" s="154">
        <v>0</v>
      </c>
      <c r="F38" s="154">
        <v>12484</v>
      </c>
    </row>
    <row r="39" spans="1:6">
      <c r="A39" s="154">
        <v>100</v>
      </c>
      <c r="B39" s="154" t="s">
        <v>458</v>
      </c>
      <c r="C39" s="154">
        <v>112029</v>
      </c>
      <c r="D39" s="154">
        <v>702</v>
      </c>
      <c r="E39" s="154">
        <v>47814</v>
      </c>
      <c r="F39" s="154">
        <v>26213</v>
      </c>
    </row>
    <row r="40" spans="1:6">
      <c r="A40" s="154">
        <v>100</v>
      </c>
      <c r="B40" s="154" t="s">
        <v>457</v>
      </c>
      <c r="C40" s="154">
        <v>88375</v>
      </c>
      <c r="D40" s="154">
        <v>538</v>
      </c>
      <c r="E40" s="154">
        <v>17560</v>
      </c>
      <c r="F40" s="154">
        <v>11860</v>
      </c>
    </row>
    <row r="41" spans="1:6">
      <c r="A41" s="154">
        <v>100</v>
      </c>
      <c r="B41" s="154" t="s">
        <v>456</v>
      </c>
      <c r="C41" s="154">
        <v>0</v>
      </c>
      <c r="D41" s="154">
        <v>56</v>
      </c>
      <c r="E41" s="154">
        <v>0</v>
      </c>
      <c r="F41" s="154">
        <v>1299</v>
      </c>
    </row>
    <row r="42" spans="1:6">
      <c r="A42" s="154">
        <v>100</v>
      </c>
      <c r="B42" s="154" t="s">
        <v>453</v>
      </c>
      <c r="C42" s="154">
        <v>24314</v>
      </c>
      <c r="D42" s="154">
        <v>628</v>
      </c>
      <c r="E42" s="154">
        <v>3723</v>
      </c>
      <c r="F42" s="154">
        <v>13877</v>
      </c>
    </row>
    <row r="43" spans="1:6">
      <c r="A43" s="154">
        <v>100</v>
      </c>
      <c r="B43" s="154" t="s">
        <v>521</v>
      </c>
      <c r="C43" s="154">
        <v>0</v>
      </c>
      <c r="D43" s="154">
        <v>28</v>
      </c>
      <c r="E43" s="154">
        <v>0</v>
      </c>
      <c r="F43" s="154">
        <v>118</v>
      </c>
    </row>
    <row r="44" spans="1:6">
      <c r="A44" s="154">
        <v>100</v>
      </c>
      <c r="B44" s="154" t="s">
        <v>452</v>
      </c>
      <c r="C44" s="154">
        <v>0</v>
      </c>
      <c r="D44" s="154">
        <v>3615</v>
      </c>
      <c r="E44" s="154">
        <v>0</v>
      </c>
      <c r="F44" s="154">
        <v>17764</v>
      </c>
    </row>
    <row r="45" spans="1:6">
      <c r="A45" s="154">
        <v>100</v>
      </c>
      <c r="B45" s="154" t="s">
        <v>451</v>
      </c>
      <c r="C45" s="154">
        <v>261208</v>
      </c>
      <c r="D45" s="154">
        <v>1240</v>
      </c>
      <c r="E45" s="154">
        <v>97216</v>
      </c>
      <c r="F45" s="154">
        <v>59743</v>
      </c>
    </row>
    <row r="46" spans="1:6">
      <c r="A46" s="154">
        <v>100</v>
      </c>
      <c r="B46" s="154" t="s">
        <v>450</v>
      </c>
      <c r="C46" s="154">
        <v>0</v>
      </c>
      <c r="D46" s="154">
        <v>404</v>
      </c>
      <c r="E46" s="154">
        <v>0</v>
      </c>
      <c r="F46" s="154">
        <v>21404</v>
      </c>
    </row>
    <row r="47" spans="1:6">
      <c r="A47" s="154">
        <v>100</v>
      </c>
      <c r="B47" s="154" t="s">
        <v>449</v>
      </c>
      <c r="C47" s="154">
        <v>0</v>
      </c>
      <c r="D47" s="154">
        <v>156</v>
      </c>
      <c r="E47" s="154">
        <v>0</v>
      </c>
      <c r="F47" s="154">
        <v>6231</v>
      </c>
    </row>
    <row r="48" spans="1:6">
      <c r="A48" s="154">
        <v>100</v>
      </c>
      <c r="B48" s="154" t="s">
        <v>448</v>
      </c>
      <c r="C48" s="154">
        <v>37580</v>
      </c>
      <c r="D48" s="154">
        <v>210</v>
      </c>
      <c r="E48" s="154">
        <v>17983</v>
      </c>
      <c r="F48" s="154">
        <v>552</v>
      </c>
    </row>
    <row r="49" spans="1:6">
      <c r="A49" s="154">
        <v>100</v>
      </c>
      <c r="B49" s="154" t="s">
        <v>447</v>
      </c>
      <c r="C49" s="154">
        <v>27628</v>
      </c>
      <c r="D49" s="154">
        <v>142</v>
      </c>
      <c r="E49" s="154">
        <v>16489</v>
      </c>
      <c r="F49" s="154">
        <v>365</v>
      </c>
    </row>
    <row r="50" spans="1:6">
      <c r="A50" s="154">
        <v>100</v>
      </c>
      <c r="B50" s="154" t="s">
        <v>520</v>
      </c>
      <c r="C50" s="154">
        <v>86130</v>
      </c>
      <c r="D50" s="154">
        <v>560</v>
      </c>
      <c r="E50" s="154">
        <v>6354</v>
      </c>
      <c r="F50" s="154">
        <v>6179</v>
      </c>
    </row>
    <row r="51" spans="1:6">
      <c r="A51" s="154">
        <v>100</v>
      </c>
      <c r="B51" s="154" t="s">
        <v>443</v>
      </c>
      <c r="C51" s="154">
        <v>15084</v>
      </c>
      <c r="D51" s="154">
        <v>1176</v>
      </c>
      <c r="E51" s="154">
        <v>763</v>
      </c>
      <c r="F51" s="154">
        <v>18191</v>
      </c>
    </row>
    <row r="52" spans="1:6">
      <c r="A52" s="154">
        <v>100</v>
      </c>
      <c r="B52" s="154" t="s">
        <v>442</v>
      </c>
      <c r="C52" s="154">
        <v>0</v>
      </c>
      <c r="D52" s="154">
        <v>570</v>
      </c>
      <c r="E52" s="154">
        <v>0</v>
      </c>
      <c r="F52" s="154">
        <v>42693</v>
      </c>
    </row>
    <row r="53" spans="1:6">
      <c r="A53" s="154">
        <v>100</v>
      </c>
      <c r="B53" s="154" t="s">
        <v>441</v>
      </c>
      <c r="C53" s="154">
        <v>32508</v>
      </c>
      <c r="D53" s="154">
        <v>174</v>
      </c>
      <c r="E53" s="154">
        <v>13028</v>
      </c>
      <c r="F53" s="154">
        <v>629</v>
      </c>
    </row>
    <row r="54" spans="1:6">
      <c r="A54" s="154">
        <v>100</v>
      </c>
      <c r="B54" s="154" t="s">
        <v>440</v>
      </c>
      <c r="C54" s="154">
        <v>0</v>
      </c>
      <c r="D54" s="154">
        <v>758</v>
      </c>
      <c r="E54" s="154">
        <v>0</v>
      </c>
      <c r="F54" s="154">
        <v>7340</v>
      </c>
    </row>
    <row r="55" spans="1:6">
      <c r="A55" s="154">
        <v>100</v>
      </c>
      <c r="B55" s="154" t="s">
        <v>439</v>
      </c>
      <c r="C55" s="154">
        <v>14522</v>
      </c>
      <c r="D55" s="154">
        <v>84</v>
      </c>
      <c r="E55" s="154">
        <v>7733</v>
      </c>
      <c r="F55" s="154">
        <v>274</v>
      </c>
    </row>
    <row r="56" spans="1:6">
      <c r="A56" s="154">
        <v>100</v>
      </c>
      <c r="B56" s="154" t="s">
        <v>438</v>
      </c>
      <c r="C56" s="154">
        <v>0</v>
      </c>
      <c r="D56" s="154">
        <v>2</v>
      </c>
      <c r="E56" s="154">
        <v>0</v>
      </c>
      <c r="F56" s="154">
        <v>8</v>
      </c>
    </row>
    <row r="57" spans="1:6">
      <c r="A57" s="154">
        <v>100</v>
      </c>
      <c r="B57" s="154" t="s">
        <v>436</v>
      </c>
      <c r="C57" s="154">
        <v>37920</v>
      </c>
      <c r="D57" s="154">
        <v>1058</v>
      </c>
      <c r="E57" s="154">
        <v>27060</v>
      </c>
      <c r="F57" s="154">
        <v>13051</v>
      </c>
    </row>
    <row r="58" spans="1:6">
      <c r="A58" s="154">
        <v>100</v>
      </c>
      <c r="B58" s="154" t="s">
        <v>435</v>
      </c>
      <c r="C58" s="154">
        <v>60028</v>
      </c>
      <c r="D58" s="154">
        <v>256</v>
      </c>
      <c r="E58" s="154">
        <v>35173</v>
      </c>
      <c r="F58" s="154">
        <v>2822</v>
      </c>
    </row>
    <row r="59" spans="1:6">
      <c r="A59" s="154">
        <v>100</v>
      </c>
      <c r="B59" s="154" t="s">
        <v>433</v>
      </c>
      <c r="C59" s="154">
        <v>43520</v>
      </c>
      <c r="D59" s="154">
        <v>528</v>
      </c>
      <c r="E59" s="154">
        <v>22295</v>
      </c>
      <c r="F59" s="154">
        <v>6143</v>
      </c>
    </row>
    <row r="60" spans="1:6">
      <c r="A60" s="154">
        <v>100</v>
      </c>
      <c r="B60" s="154" t="s">
        <v>432</v>
      </c>
      <c r="C60" s="154">
        <v>1302</v>
      </c>
      <c r="D60" s="154">
        <v>14</v>
      </c>
      <c r="E60" s="154">
        <v>1049</v>
      </c>
      <c r="F60" s="154">
        <v>37</v>
      </c>
    </row>
    <row r="61" spans="1:6">
      <c r="A61" s="154">
        <v>100</v>
      </c>
      <c r="B61" s="154" t="s">
        <v>431</v>
      </c>
      <c r="C61" s="154">
        <v>0</v>
      </c>
      <c r="D61" s="154">
        <v>532</v>
      </c>
      <c r="E61" s="154">
        <v>0</v>
      </c>
      <c r="F61" s="154">
        <v>17514</v>
      </c>
    </row>
    <row r="62" spans="1:6">
      <c r="A62" s="154">
        <v>100</v>
      </c>
      <c r="B62" s="154" t="s">
        <v>430</v>
      </c>
      <c r="C62" s="154">
        <v>0</v>
      </c>
      <c r="D62" s="154">
        <v>24</v>
      </c>
      <c r="E62" s="154">
        <v>0</v>
      </c>
      <c r="F62" s="154">
        <v>193</v>
      </c>
    </row>
    <row r="63" spans="1:6">
      <c r="A63" s="154">
        <v>100</v>
      </c>
      <c r="B63" s="154" t="s">
        <v>429</v>
      </c>
      <c r="C63" s="154">
        <v>3328</v>
      </c>
      <c r="D63" s="154">
        <v>141</v>
      </c>
      <c r="E63" s="154">
        <v>1908</v>
      </c>
      <c r="F63" s="154">
        <v>1232</v>
      </c>
    </row>
    <row r="64" spans="1:6">
      <c r="A64" s="154">
        <v>100</v>
      </c>
      <c r="B64" s="154" t="s">
        <v>427</v>
      </c>
      <c r="C64" s="154">
        <v>0</v>
      </c>
      <c r="D64" s="154">
        <v>4902</v>
      </c>
      <c r="E64" s="154">
        <v>0</v>
      </c>
      <c r="F64" s="154">
        <v>46804</v>
      </c>
    </row>
    <row r="65" spans="1:6">
      <c r="A65" s="154">
        <v>100</v>
      </c>
      <c r="B65" s="154" t="s">
        <v>425</v>
      </c>
      <c r="C65" s="154">
        <v>143954</v>
      </c>
      <c r="D65" s="154">
        <v>832</v>
      </c>
      <c r="E65" s="154">
        <v>59305</v>
      </c>
      <c r="F65" s="154">
        <v>13651</v>
      </c>
    </row>
    <row r="66" spans="1:6">
      <c r="A66" s="154">
        <v>100</v>
      </c>
      <c r="B66" s="154" t="s">
        <v>519</v>
      </c>
      <c r="C66" s="154">
        <v>0</v>
      </c>
      <c r="D66" s="154">
        <v>2</v>
      </c>
      <c r="E66" s="154">
        <v>0</v>
      </c>
      <c r="F66" s="154">
        <v>27</v>
      </c>
    </row>
    <row r="67" spans="1:6">
      <c r="A67" s="154">
        <v>100</v>
      </c>
      <c r="B67" s="154" t="s">
        <v>424</v>
      </c>
      <c r="C67" s="154">
        <v>0</v>
      </c>
      <c r="D67" s="154">
        <v>492</v>
      </c>
      <c r="E67" s="154">
        <v>0</v>
      </c>
      <c r="F67" s="154">
        <v>1470</v>
      </c>
    </row>
    <row r="68" spans="1:6">
      <c r="A68" s="154">
        <v>100</v>
      </c>
      <c r="B68" s="154" t="s">
        <v>518</v>
      </c>
      <c r="C68" s="154">
        <v>15317</v>
      </c>
      <c r="D68" s="154">
        <v>68</v>
      </c>
      <c r="E68" s="154">
        <v>5777</v>
      </c>
      <c r="F68" s="154">
        <v>774</v>
      </c>
    </row>
    <row r="69" spans="1:6">
      <c r="A69" s="154">
        <v>100</v>
      </c>
      <c r="B69" s="154" t="s">
        <v>517</v>
      </c>
      <c r="C69" s="154">
        <v>0</v>
      </c>
      <c r="D69" s="154">
        <v>1</v>
      </c>
      <c r="E69" s="154">
        <v>0</v>
      </c>
      <c r="F69" s="154">
        <v>21</v>
      </c>
    </row>
    <row r="70" spans="1:6">
      <c r="A70" s="154">
        <v>100</v>
      </c>
      <c r="B70" s="154" t="s">
        <v>422</v>
      </c>
      <c r="C70" s="154">
        <v>41544</v>
      </c>
      <c r="D70" s="154">
        <v>458</v>
      </c>
      <c r="E70" s="154">
        <v>21493</v>
      </c>
      <c r="F70" s="154">
        <v>6209</v>
      </c>
    </row>
    <row r="71" spans="1:6">
      <c r="A71" s="154">
        <v>100</v>
      </c>
      <c r="B71" s="154" t="s">
        <v>516</v>
      </c>
      <c r="C71" s="154">
        <v>0</v>
      </c>
      <c r="D71" s="154">
        <v>6</v>
      </c>
      <c r="E71" s="154">
        <v>0</v>
      </c>
      <c r="F71" s="154">
        <v>78</v>
      </c>
    </row>
    <row r="72" spans="1:6">
      <c r="A72" s="154">
        <v>100</v>
      </c>
      <c r="B72" s="154" t="s">
        <v>420</v>
      </c>
      <c r="C72" s="154">
        <v>28032</v>
      </c>
      <c r="D72" s="154">
        <v>219</v>
      </c>
      <c r="E72" s="154">
        <v>12418</v>
      </c>
      <c r="F72" s="154">
        <v>321</v>
      </c>
    </row>
    <row r="73" spans="1:6">
      <c r="A73" s="154">
        <v>100</v>
      </c>
      <c r="B73" s="154" t="s">
        <v>419</v>
      </c>
      <c r="C73" s="154">
        <v>0</v>
      </c>
      <c r="D73" s="154">
        <v>32</v>
      </c>
      <c r="E73" s="154">
        <v>0</v>
      </c>
      <c r="F73" s="154">
        <v>415</v>
      </c>
    </row>
    <row r="74" spans="1:6">
      <c r="A74" s="154">
        <v>100</v>
      </c>
      <c r="B74" s="154" t="s">
        <v>487</v>
      </c>
      <c r="C74" s="154">
        <v>0</v>
      </c>
      <c r="D74" s="154">
        <v>10</v>
      </c>
      <c r="E74" s="154">
        <v>0</v>
      </c>
      <c r="F74" s="154">
        <v>109</v>
      </c>
    </row>
    <row r="75" spans="1:6">
      <c r="A75" s="154">
        <v>100</v>
      </c>
      <c r="B75" s="154" t="s">
        <v>418</v>
      </c>
      <c r="C75" s="154">
        <v>218141</v>
      </c>
      <c r="D75" s="154">
        <v>774</v>
      </c>
      <c r="E75" s="154">
        <v>46723</v>
      </c>
      <c r="F75" s="154">
        <v>15296</v>
      </c>
    </row>
    <row r="76" spans="1:6">
      <c r="A76" s="154">
        <v>100</v>
      </c>
      <c r="B76" s="154" t="s">
        <v>417</v>
      </c>
      <c r="C76" s="154">
        <v>156750</v>
      </c>
      <c r="D76" s="154">
        <v>838</v>
      </c>
      <c r="E76" s="154">
        <v>18493</v>
      </c>
      <c r="F76" s="154">
        <v>15832</v>
      </c>
    </row>
    <row r="77" spans="1:6">
      <c r="A77" s="154">
        <v>100</v>
      </c>
      <c r="B77" s="154" t="s">
        <v>416</v>
      </c>
      <c r="C77" s="154">
        <v>0</v>
      </c>
      <c r="D77" s="154">
        <v>622</v>
      </c>
      <c r="E77" s="154">
        <v>0</v>
      </c>
      <c r="F77" s="154">
        <v>22766</v>
      </c>
    </row>
    <row r="78" spans="1:6">
      <c r="A78" s="154">
        <v>100</v>
      </c>
      <c r="B78" s="154" t="s">
        <v>415</v>
      </c>
      <c r="C78" s="154">
        <v>163716</v>
      </c>
      <c r="D78" s="154">
        <v>1054</v>
      </c>
      <c r="E78" s="154">
        <v>64684</v>
      </c>
      <c r="F78" s="154">
        <v>14409</v>
      </c>
    </row>
    <row r="79" spans="1:6">
      <c r="A79" s="154">
        <v>100</v>
      </c>
      <c r="B79" s="154" t="s">
        <v>849</v>
      </c>
      <c r="C79" s="154">
        <v>0</v>
      </c>
      <c r="D79" s="154">
        <v>98</v>
      </c>
      <c r="E79" s="154">
        <v>0</v>
      </c>
      <c r="F79" s="154">
        <v>3422</v>
      </c>
    </row>
    <row r="80" spans="1:6">
      <c r="A80" s="154">
        <v>100</v>
      </c>
      <c r="B80" s="154" t="s">
        <v>414</v>
      </c>
      <c r="C80" s="154">
        <v>0</v>
      </c>
      <c r="D80" s="154">
        <v>252</v>
      </c>
      <c r="E80" s="154">
        <v>0</v>
      </c>
      <c r="F80" s="154">
        <v>4808</v>
      </c>
    </row>
    <row r="81" spans="1:6">
      <c r="A81" s="154">
        <v>100</v>
      </c>
      <c r="B81" s="154" t="s">
        <v>413</v>
      </c>
      <c r="C81" s="154">
        <v>27274</v>
      </c>
      <c r="D81" s="154">
        <v>154</v>
      </c>
      <c r="E81" s="154">
        <v>17876</v>
      </c>
      <c r="F81" s="154">
        <v>779</v>
      </c>
    </row>
    <row r="82" spans="1:6">
      <c r="A82" s="154">
        <v>100</v>
      </c>
      <c r="B82" s="154" t="s">
        <v>486</v>
      </c>
      <c r="C82" s="154">
        <v>0</v>
      </c>
      <c r="D82" s="154">
        <v>4</v>
      </c>
      <c r="E82" s="154">
        <v>0</v>
      </c>
      <c r="F82" s="154">
        <v>19</v>
      </c>
    </row>
    <row r="83" spans="1:6">
      <c r="A83" s="154">
        <v>100</v>
      </c>
      <c r="B83" s="154" t="s">
        <v>412</v>
      </c>
      <c r="C83" s="154">
        <v>0</v>
      </c>
      <c r="D83" s="154">
        <v>873</v>
      </c>
      <c r="E83" s="154">
        <v>0</v>
      </c>
      <c r="F83" s="154">
        <v>41927</v>
      </c>
    </row>
    <row r="84" spans="1:6">
      <c r="A84" s="154">
        <v>100</v>
      </c>
      <c r="B84" s="154" t="s">
        <v>410</v>
      </c>
      <c r="C84" s="154">
        <v>0</v>
      </c>
      <c r="D84" s="154">
        <v>718</v>
      </c>
      <c r="E84" s="154">
        <v>0</v>
      </c>
      <c r="F84" s="154">
        <v>21617</v>
      </c>
    </row>
    <row r="85" spans="1:6">
      <c r="A85" s="154">
        <v>100</v>
      </c>
      <c r="B85" s="154" t="s">
        <v>409</v>
      </c>
      <c r="C85" s="154">
        <v>44154</v>
      </c>
      <c r="D85" s="154">
        <v>1001</v>
      </c>
      <c r="E85" s="154">
        <v>3125</v>
      </c>
      <c r="F85" s="154">
        <v>15018</v>
      </c>
    </row>
    <row r="86" spans="1:6">
      <c r="A86" s="154">
        <v>100</v>
      </c>
      <c r="B86" s="154" t="s">
        <v>408</v>
      </c>
      <c r="C86" s="154">
        <v>237910</v>
      </c>
      <c r="D86" s="154">
        <v>736</v>
      </c>
      <c r="E86" s="154">
        <v>99307</v>
      </c>
      <c r="F86" s="154">
        <v>18059</v>
      </c>
    </row>
    <row r="87" spans="1:6">
      <c r="A87" s="154">
        <v>100</v>
      </c>
      <c r="B87" s="154" t="s">
        <v>515</v>
      </c>
      <c r="C87" s="154">
        <v>0</v>
      </c>
      <c r="D87" s="154">
        <v>128</v>
      </c>
      <c r="E87" s="154">
        <v>0</v>
      </c>
      <c r="F87" s="154">
        <v>984</v>
      </c>
    </row>
    <row r="88" spans="1:6">
      <c r="A88" s="154">
        <v>100</v>
      </c>
      <c r="B88" s="154" t="s">
        <v>404</v>
      </c>
      <c r="C88" s="154">
        <v>0</v>
      </c>
      <c r="D88" s="154">
        <v>4</v>
      </c>
      <c r="E88" s="154">
        <v>0</v>
      </c>
      <c r="F88" s="154">
        <v>159</v>
      </c>
    </row>
    <row r="89" spans="1:6">
      <c r="A89" s="154">
        <v>100</v>
      </c>
      <c r="B89" s="154" t="s">
        <v>403</v>
      </c>
      <c r="C89" s="154">
        <v>0</v>
      </c>
      <c r="D89" s="154">
        <v>3667</v>
      </c>
      <c r="E89" s="154">
        <v>0</v>
      </c>
      <c r="F89" s="154">
        <v>62709</v>
      </c>
    </row>
    <row r="90" spans="1:6">
      <c r="A90" s="154">
        <v>100</v>
      </c>
      <c r="B90" s="154" t="s">
        <v>484</v>
      </c>
      <c r="C90" s="154">
        <v>0</v>
      </c>
      <c r="D90" s="154">
        <v>6</v>
      </c>
      <c r="E90" s="154">
        <v>0</v>
      </c>
      <c r="F90" s="154">
        <v>46</v>
      </c>
    </row>
    <row r="91" spans="1:6">
      <c r="A91" s="154">
        <v>100</v>
      </c>
      <c r="B91" s="154" t="s">
        <v>514</v>
      </c>
      <c r="C91" s="154">
        <v>0</v>
      </c>
      <c r="D91" s="154">
        <v>36</v>
      </c>
      <c r="E91" s="154">
        <v>0</v>
      </c>
      <c r="F91" s="154">
        <v>502</v>
      </c>
    </row>
    <row r="92" spans="1:6">
      <c r="A92" s="154">
        <v>100</v>
      </c>
      <c r="B92" s="154" t="s">
        <v>402</v>
      </c>
      <c r="C92" s="154">
        <v>51030</v>
      </c>
      <c r="D92" s="154">
        <v>210</v>
      </c>
      <c r="E92" s="154">
        <v>24246</v>
      </c>
      <c r="F92" s="154">
        <v>2373</v>
      </c>
    </row>
    <row r="93" spans="1:6">
      <c r="A93" s="154">
        <v>100</v>
      </c>
      <c r="B93" s="154" t="s">
        <v>401</v>
      </c>
      <c r="C93" s="154">
        <v>0</v>
      </c>
      <c r="D93" s="154">
        <v>7</v>
      </c>
      <c r="E93" s="154">
        <v>0</v>
      </c>
      <c r="F93" s="154">
        <v>47</v>
      </c>
    </row>
    <row r="94" spans="1:6">
      <c r="A94" s="154">
        <v>100</v>
      </c>
      <c r="B94" s="154" t="s">
        <v>400</v>
      </c>
      <c r="C94" s="154">
        <v>101726</v>
      </c>
      <c r="D94" s="154">
        <v>2835</v>
      </c>
      <c r="E94" s="154">
        <v>59028</v>
      </c>
      <c r="F94" s="154">
        <v>25445</v>
      </c>
    </row>
    <row r="95" spans="1:6">
      <c r="A95" s="154">
        <v>100</v>
      </c>
      <c r="B95" s="154" t="s">
        <v>399</v>
      </c>
      <c r="C95" s="154">
        <v>217422</v>
      </c>
      <c r="D95" s="154">
        <v>630</v>
      </c>
      <c r="E95" s="154">
        <v>51141</v>
      </c>
      <c r="F95" s="154">
        <v>11901</v>
      </c>
    </row>
    <row r="96" spans="1:6">
      <c r="A96" s="154">
        <v>100</v>
      </c>
      <c r="B96" s="154" t="s">
        <v>482</v>
      </c>
      <c r="C96" s="154">
        <v>0</v>
      </c>
      <c r="D96" s="154">
        <v>110</v>
      </c>
      <c r="E96" s="154">
        <v>0</v>
      </c>
      <c r="F96" s="154">
        <v>1646</v>
      </c>
    </row>
    <row r="97" spans="1:6">
      <c r="A97" s="154">
        <v>100</v>
      </c>
      <c r="B97" s="154" t="s">
        <v>398</v>
      </c>
      <c r="C97" s="154">
        <v>0</v>
      </c>
      <c r="D97" s="154">
        <v>376</v>
      </c>
      <c r="E97" s="154">
        <v>0</v>
      </c>
      <c r="F97" s="154">
        <v>24987</v>
      </c>
    </row>
    <row r="98" spans="1:6">
      <c r="A98" s="154">
        <v>100</v>
      </c>
      <c r="B98" s="154" t="s">
        <v>396</v>
      </c>
      <c r="C98" s="154">
        <v>31252</v>
      </c>
      <c r="D98" s="154">
        <v>180</v>
      </c>
      <c r="E98" s="154">
        <v>15173</v>
      </c>
      <c r="F98" s="154">
        <v>460</v>
      </c>
    </row>
    <row r="99" spans="1:6">
      <c r="A99" s="154">
        <v>100</v>
      </c>
      <c r="B99" s="154" t="s">
        <v>480</v>
      </c>
      <c r="C99" s="154">
        <v>0</v>
      </c>
      <c r="D99" s="154">
        <v>70</v>
      </c>
      <c r="E99" s="154">
        <v>0</v>
      </c>
      <c r="F99" s="154">
        <v>643</v>
      </c>
    </row>
    <row r="100" spans="1:6">
      <c r="A100" s="154">
        <v>100</v>
      </c>
      <c r="B100" s="154" t="s">
        <v>395</v>
      </c>
      <c r="C100" s="154">
        <v>33450</v>
      </c>
      <c r="D100" s="154">
        <v>100</v>
      </c>
      <c r="E100" s="154">
        <v>3583</v>
      </c>
      <c r="F100" s="154">
        <v>924</v>
      </c>
    </row>
    <row r="101" spans="1:6">
      <c r="A101" s="154">
        <v>100</v>
      </c>
      <c r="B101" s="154" t="s">
        <v>513</v>
      </c>
      <c r="C101" s="154">
        <v>0</v>
      </c>
      <c r="D101" s="154">
        <v>74</v>
      </c>
      <c r="E101" s="154">
        <v>0</v>
      </c>
      <c r="F101" s="154">
        <v>1666</v>
      </c>
    </row>
    <row r="102" spans="1:6">
      <c r="A102" s="154">
        <v>100</v>
      </c>
      <c r="B102" s="154" t="s">
        <v>478</v>
      </c>
      <c r="C102" s="154">
        <v>27450</v>
      </c>
      <c r="D102" s="154">
        <v>104</v>
      </c>
      <c r="E102" s="154">
        <v>5885</v>
      </c>
      <c r="F102" s="154">
        <v>1403</v>
      </c>
    </row>
    <row r="103" spans="1:6">
      <c r="A103" s="154">
        <v>100</v>
      </c>
      <c r="B103" s="154" t="s">
        <v>393</v>
      </c>
      <c r="C103" s="154">
        <v>79544</v>
      </c>
      <c r="D103" s="154">
        <v>276</v>
      </c>
      <c r="E103" s="154">
        <v>10602</v>
      </c>
      <c r="F103" s="154">
        <v>2870</v>
      </c>
    </row>
    <row r="104" spans="1:6">
      <c r="A104" s="154">
        <v>100</v>
      </c>
      <c r="B104" s="154" t="s">
        <v>391</v>
      </c>
      <c r="C104" s="154">
        <v>36480</v>
      </c>
      <c r="D104" s="154">
        <v>552</v>
      </c>
      <c r="E104" s="154">
        <v>23391</v>
      </c>
      <c r="F104" s="154">
        <v>2181</v>
      </c>
    </row>
    <row r="105" spans="1:6">
      <c r="A105" s="154">
        <v>100</v>
      </c>
      <c r="B105" s="154" t="s">
        <v>477</v>
      </c>
      <c r="C105" s="154">
        <v>0</v>
      </c>
      <c r="D105" s="154">
        <v>78</v>
      </c>
      <c r="E105" s="154">
        <v>0</v>
      </c>
      <c r="F105" s="154">
        <v>1030</v>
      </c>
    </row>
    <row r="106" spans="1:6">
      <c r="A106" s="154">
        <v>100</v>
      </c>
      <c r="B106" s="154" t="s">
        <v>389</v>
      </c>
      <c r="C106" s="154">
        <v>7940</v>
      </c>
      <c r="D106" s="154">
        <v>447</v>
      </c>
      <c r="E106" s="154">
        <v>6591</v>
      </c>
      <c r="F106" s="154">
        <v>4270</v>
      </c>
    </row>
    <row r="107" spans="1:6">
      <c r="A107" s="154">
        <v>100</v>
      </c>
      <c r="B107" s="154" t="s">
        <v>512</v>
      </c>
      <c r="C107" s="154">
        <v>7540</v>
      </c>
      <c r="D107" s="154">
        <v>52</v>
      </c>
      <c r="E107" s="154">
        <v>189</v>
      </c>
      <c r="F107" s="154">
        <v>443</v>
      </c>
    </row>
    <row r="108" spans="1:6">
      <c r="A108" s="154">
        <v>100</v>
      </c>
      <c r="B108" s="154" t="s">
        <v>386</v>
      </c>
      <c r="C108" s="154">
        <v>0</v>
      </c>
      <c r="D108" s="154">
        <v>33</v>
      </c>
      <c r="E108" s="154">
        <v>0</v>
      </c>
      <c r="F108" s="154">
        <v>1755</v>
      </c>
    </row>
    <row r="109" spans="1:6">
      <c r="A109" s="154">
        <v>100</v>
      </c>
      <c r="B109" s="154" t="s">
        <v>385</v>
      </c>
      <c r="C109" s="154">
        <v>24492</v>
      </c>
      <c r="D109" s="154">
        <v>456</v>
      </c>
      <c r="E109" s="154">
        <v>13767</v>
      </c>
      <c r="F109" s="154">
        <v>7493</v>
      </c>
    </row>
    <row r="110" spans="1:6">
      <c r="A110" s="154">
        <v>100</v>
      </c>
      <c r="B110" s="154" t="s">
        <v>850</v>
      </c>
      <c r="C110" s="154">
        <v>14792</v>
      </c>
      <c r="D110" s="154">
        <v>572</v>
      </c>
      <c r="E110" s="154">
        <v>13992</v>
      </c>
      <c r="F110" s="154">
        <v>9808</v>
      </c>
    </row>
    <row r="111" spans="1:6">
      <c r="A111" s="154">
        <v>100</v>
      </c>
      <c r="B111" s="154" t="s">
        <v>476</v>
      </c>
      <c r="C111" s="154">
        <v>36160</v>
      </c>
      <c r="D111" s="154">
        <v>262</v>
      </c>
      <c r="E111" s="154">
        <v>22676</v>
      </c>
      <c r="F111" s="154">
        <v>916</v>
      </c>
    </row>
    <row r="112" spans="1:6">
      <c r="A112" s="154">
        <v>100</v>
      </c>
      <c r="B112" s="154" t="s">
        <v>511</v>
      </c>
      <c r="C112" s="154">
        <v>10620</v>
      </c>
      <c r="D112" s="154">
        <v>101</v>
      </c>
      <c r="E112" s="154">
        <v>6461</v>
      </c>
      <c r="F112" s="154">
        <v>418</v>
      </c>
    </row>
    <row r="113" spans="1:6">
      <c r="A113" s="154">
        <v>100</v>
      </c>
      <c r="B113" s="154" t="s">
        <v>384</v>
      </c>
      <c r="C113" s="154">
        <v>0</v>
      </c>
      <c r="D113" s="154">
        <v>2120</v>
      </c>
      <c r="E113" s="154">
        <v>0</v>
      </c>
      <c r="F113" s="154">
        <v>33074</v>
      </c>
    </row>
    <row r="114" spans="1:6">
      <c r="A114" s="154">
        <v>100</v>
      </c>
      <c r="B114" s="154" t="s">
        <v>383</v>
      </c>
      <c r="C114" s="154">
        <v>34004</v>
      </c>
      <c r="D114" s="154">
        <v>400</v>
      </c>
      <c r="E114" s="154">
        <v>25022</v>
      </c>
      <c r="F114" s="154">
        <v>3746</v>
      </c>
    </row>
    <row r="115" spans="1:6">
      <c r="A115" s="154">
        <v>100</v>
      </c>
      <c r="B115" s="154" t="s">
        <v>510</v>
      </c>
      <c r="C115" s="154">
        <v>0</v>
      </c>
      <c r="D115" s="154">
        <v>2</v>
      </c>
      <c r="E115" s="154">
        <v>0</v>
      </c>
      <c r="F115" s="154">
        <v>26</v>
      </c>
    </row>
    <row r="116" spans="1:6">
      <c r="A116" s="154">
        <v>100</v>
      </c>
      <c r="B116" s="154" t="s">
        <v>382</v>
      </c>
      <c r="C116" s="154">
        <v>588</v>
      </c>
      <c r="D116" s="154">
        <v>656</v>
      </c>
      <c r="E116" s="154">
        <v>69</v>
      </c>
      <c r="F116" s="154">
        <v>11734</v>
      </c>
    </row>
    <row r="117" spans="1:6">
      <c r="A117" s="154">
        <v>100</v>
      </c>
      <c r="B117" s="154" t="s">
        <v>509</v>
      </c>
      <c r="C117" s="154">
        <v>0</v>
      </c>
      <c r="D117" s="154">
        <v>4</v>
      </c>
      <c r="E117" s="154">
        <v>0</v>
      </c>
      <c r="F117" s="154">
        <v>62</v>
      </c>
    </row>
    <row r="118" spans="1:6">
      <c r="A118" s="154">
        <v>100</v>
      </c>
      <c r="B118" s="154" t="s">
        <v>864</v>
      </c>
      <c r="C118" s="154">
        <v>0</v>
      </c>
      <c r="D118" s="154">
        <v>530</v>
      </c>
      <c r="E118" s="154">
        <v>0</v>
      </c>
      <c r="F118" s="154">
        <v>4505</v>
      </c>
    </row>
    <row r="119" spans="1:6">
      <c r="A119" s="154">
        <v>100</v>
      </c>
      <c r="B119" s="154" t="s">
        <v>381</v>
      </c>
      <c r="C119" s="154">
        <v>0</v>
      </c>
      <c r="D119" s="154">
        <v>138</v>
      </c>
      <c r="E119" s="154">
        <v>0</v>
      </c>
      <c r="F119" s="154">
        <v>557</v>
      </c>
    </row>
    <row r="120" spans="1:6">
      <c r="A120" s="154">
        <v>100</v>
      </c>
      <c r="B120" s="154" t="s">
        <v>380</v>
      </c>
      <c r="C120" s="154">
        <v>0</v>
      </c>
      <c r="D120" s="154">
        <v>1510</v>
      </c>
      <c r="E120" s="154">
        <v>0</v>
      </c>
      <c r="F120" s="154">
        <v>18877</v>
      </c>
    </row>
    <row r="121" spans="1:6">
      <c r="A121" s="154">
        <v>100</v>
      </c>
      <c r="B121" s="154" t="s">
        <v>379</v>
      </c>
      <c r="C121" s="154">
        <v>147413</v>
      </c>
      <c r="D121" s="154">
        <v>487</v>
      </c>
      <c r="E121" s="154">
        <v>65838</v>
      </c>
      <c r="F121" s="154">
        <v>7862</v>
      </c>
    </row>
    <row r="122" spans="1:6">
      <c r="A122" s="154">
        <v>100</v>
      </c>
      <c r="B122" s="154" t="s">
        <v>475</v>
      </c>
      <c r="C122" s="154">
        <v>0</v>
      </c>
      <c r="D122" s="154">
        <v>10</v>
      </c>
      <c r="E122" s="154">
        <v>0</v>
      </c>
      <c r="F122" s="154">
        <v>375</v>
      </c>
    </row>
    <row r="123" spans="1:6">
      <c r="A123" s="154">
        <v>100</v>
      </c>
      <c r="B123" s="154" t="s">
        <v>378</v>
      </c>
      <c r="C123" s="154">
        <v>35492</v>
      </c>
      <c r="D123" s="154">
        <v>104</v>
      </c>
      <c r="E123" s="154">
        <v>19436</v>
      </c>
      <c r="F123" s="154">
        <v>1871</v>
      </c>
    </row>
    <row r="124" spans="1:6">
      <c r="A124" s="154">
        <v>100</v>
      </c>
      <c r="B124" s="154" t="s">
        <v>508</v>
      </c>
      <c r="C124" s="154">
        <v>0</v>
      </c>
      <c r="D124" s="154">
        <v>2</v>
      </c>
      <c r="E124" s="154">
        <v>0</v>
      </c>
      <c r="F124" s="154">
        <v>52</v>
      </c>
    </row>
    <row r="125" spans="1:6">
      <c r="A125" s="154">
        <v>100</v>
      </c>
      <c r="B125" s="154" t="s">
        <v>507</v>
      </c>
      <c r="C125" s="154">
        <v>0</v>
      </c>
      <c r="D125" s="154">
        <v>2</v>
      </c>
      <c r="E125" s="154">
        <v>0</v>
      </c>
      <c r="F125" s="154">
        <v>4</v>
      </c>
    </row>
    <row r="126" spans="1:6">
      <c r="A126" s="154">
        <v>100</v>
      </c>
      <c r="B126" s="154" t="s">
        <v>377</v>
      </c>
      <c r="C126" s="154">
        <v>8126</v>
      </c>
      <c r="D126" s="154">
        <v>58</v>
      </c>
      <c r="E126" s="154">
        <v>5424</v>
      </c>
      <c r="F126" s="154">
        <v>176</v>
      </c>
    </row>
    <row r="127" spans="1:6">
      <c r="A127" s="154">
        <v>100</v>
      </c>
      <c r="B127" s="154" t="s">
        <v>506</v>
      </c>
      <c r="C127" s="154">
        <v>0</v>
      </c>
      <c r="D127" s="154">
        <v>2</v>
      </c>
      <c r="E127" s="154">
        <v>0</v>
      </c>
      <c r="F127" s="154">
        <v>71</v>
      </c>
    </row>
    <row r="128" spans="1:6">
      <c r="A128" s="154">
        <v>100</v>
      </c>
      <c r="B128" s="154" t="s">
        <v>376</v>
      </c>
      <c r="C128" s="154">
        <v>437651</v>
      </c>
      <c r="D128" s="154">
        <v>1480</v>
      </c>
      <c r="E128" s="154">
        <v>138096</v>
      </c>
      <c r="F128" s="154">
        <v>18954</v>
      </c>
    </row>
    <row r="129" spans="1:6">
      <c r="A129" s="154">
        <v>100</v>
      </c>
      <c r="B129" s="154" t="s">
        <v>473</v>
      </c>
      <c r="C129" s="154">
        <v>7194</v>
      </c>
      <c r="D129" s="154">
        <v>111</v>
      </c>
      <c r="E129" s="154">
        <v>970</v>
      </c>
      <c r="F129" s="154">
        <v>1731</v>
      </c>
    </row>
    <row r="130" spans="1:6">
      <c r="A130" s="154">
        <v>100</v>
      </c>
      <c r="B130" s="154" t="s">
        <v>375</v>
      </c>
      <c r="C130" s="154">
        <v>184596</v>
      </c>
      <c r="D130" s="154">
        <v>508</v>
      </c>
      <c r="E130" s="154">
        <v>56542</v>
      </c>
      <c r="F130" s="154">
        <v>12643</v>
      </c>
    </row>
    <row r="131" spans="1:6">
      <c r="A131" s="154">
        <v>100</v>
      </c>
      <c r="B131" s="154" t="s">
        <v>472</v>
      </c>
      <c r="C131" s="154">
        <v>0</v>
      </c>
      <c r="D131" s="154">
        <v>88</v>
      </c>
      <c r="E131" s="154">
        <v>0</v>
      </c>
      <c r="F131" s="154">
        <v>2496</v>
      </c>
    </row>
    <row r="132" spans="1:6">
      <c r="A132" s="154">
        <v>100</v>
      </c>
      <c r="B132" s="154" t="s">
        <v>374</v>
      </c>
      <c r="C132" s="154">
        <v>58459</v>
      </c>
      <c r="D132" s="154">
        <v>271</v>
      </c>
      <c r="E132" s="154">
        <v>15043</v>
      </c>
      <c r="F132" s="154">
        <v>5275</v>
      </c>
    </row>
    <row r="133" spans="1:6">
      <c r="A133" s="154">
        <v>100</v>
      </c>
      <c r="B133" s="154" t="s">
        <v>373</v>
      </c>
      <c r="C133" s="154">
        <v>0</v>
      </c>
      <c r="D133" s="154">
        <v>564</v>
      </c>
      <c r="E133" s="154">
        <v>0</v>
      </c>
      <c r="F133" s="154">
        <v>4815</v>
      </c>
    </row>
    <row r="134" spans="1:6">
      <c r="A134" s="154">
        <v>100</v>
      </c>
      <c r="B134" s="154" t="s">
        <v>505</v>
      </c>
      <c r="C134" s="154">
        <v>0</v>
      </c>
      <c r="D134" s="154">
        <v>2</v>
      </c>
      <c r="E134" s="154">
        <v>0</v>
      </c>
      <c r="F134" s="154">
        <v>26</v>
      </c>
    </row>
    <row r="135" spans="1:6">
      <c r="A135" s="154">
        <v>100</v>
      </c>
      <c r="B135" s="154" t="s">
        <v>504</v>
      </c>
      <c r="C135" s="154">
        <v>0</v>
      </c>
      <c r="D135" s="154">
        <v>2</v>
      </c>
      <c r="E135" s="154">
        <v>0</v>
      </c>
      <c r="F135" s="154">
        <v>32</v>
      </c>
    </row>
    <row r="136" spans="1:6">
      <c r="A136" s="154">
        <v>100</v>
      </c>
      <c r="B136" s="154" t="s">
        <v>503</v>
      </c>
      <c r="C136" s="154">
        <v>0</v>
      </c>
      <c r="D136" s="154">
        <v>16</v>
      </c>
      <c r="E136" s="154">
        <v>0</v>
      </c>
      <c r="F136" s="154">
        <v>51</v>
      </c>
    </row>
    <row r="137" spans="1:6">
      <c r="A137" s="154">
        <v>100</v>
      </c>
      <c r="B137" s="154" t="s">
        <v>502</v>
      </c>
      <c r="C137" s="154">
        <v>0</v>
      </c>
      <c r="D137" s="154">
        <v>4</v>
      </c>
      <c r="E137" s="154">
        <v>0</v>
      </c>
      <c r="F137" s="154">
        <v>22</v>
      </c>
    </row>
    <row r="138" spans="1:6">
      <c r="A138" s="154">
        <v>100</v>
      </c>
      <c r="B138" s="154" t="s">
        <v>879</v>
      </c>
      <c r="C138" s="154">
        <v>0</v>
      </c>
      <c r="D138" s="154">
        <v>1</v>
      </c>
      <c r="E138" s="154">
        <v>0</v>
      </c>
      <c r="F138" s="154">
        <v>9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5"/>
  <cols>
    <col min="1" max="1" width="5" style="154" bestFit="1" customWidth="1"/>
    <col min="2" max="2" width="38.42578125" style="154" bestFit="1" customWidth="1"/>
    <col min="3" max="3" width="10.42578125" style="154" bestFit="1" customWidth="1"/>
    <col min="4" max="4" width="8.42578125" style="154" bestFit="1" customWidth="1"/>
    <col min="5" max="5" width="9.42578125" style="154" bestFit="1" customWidth="1"/>
    <col min="6" max="6" width="8.42578125" style="154" bestFit="1" customWidth="1"/>
    <col min="7" max="16384" width="31" style="154"/>
  </cols>
  <sheetData>
    <row r="1" spans="1:6">
      <c r="A1" s="153" t="s">
        <v>833</v>
      </c>
      <c r="B1" s="153" t="s">
        <v>357</v>
      </c>
      <c r="C1" s="153" t="s">
        <v>358</v>
      </c>
      <c r="D1" s="153" t="s">
        <v>359</v>
      </c>
      <c r="E1" s="153" t="s">
        <v>360</v>
      </c>
      <c r="F1" s="153" t="s">
        <v>361</v>
      </c>
    </row>
    <row r="2" spans="1:6">
      <c r="A2" s="154">
        <v>0</v>
      </c>
      <c r="B2" s="154" t="s">
        <v>362</v>
      </c>
      <c r="C2" s="154">
        <v>109953321</v>
      </c>
      <c r="D2" s="154">
        <v>615652</v>
      </c>
      <c r="E2" s="154">
        <v>92839882</v>
      </c>
      <c r="F2" s="154">
        <v>3779147</v>
      </c>
    </row>
    <row r="3" spans="1:6">
      <c r="A3" s="154">
        <v>1</v>
      </c>
      <c r="B3" s="154" t="s">
        <v>880</v>
      </c>
      <c r="C3" s="154">
        <v>10644268</v>
      </c>
      <c r="D3" s="154">
        <v>55785</v>
      </c>
      <c r="E3" s="154">
        <v>9129055</v>
      </c>
      <c r="F3" s="154">
        <v>334595</v>
      </c>
    </row>
    <row r="4" spans="1:6">
      <c r="A4" s="154">
        <v>1</v>
      </c>
      <c r="B4" s="154" t="s">
        <v>881</v>
      </c>
      <c r="C4" s="154">
        <v>10271022</v>
      </c>
      <c r="D4" s="154">
        <v>55024</v>
      </c>
      <c r="E4" s="154">
        <v>8843993</v>
      </c>
      <c r="F4" s="154">
        <v>323525</v>
      </c>
    </row>
    <row r="5" spans="1:6">
      <c r="A5" s="154">
        <v>1</v>
      </c>
      <c r="B5" s="154" t="s">
        <v>882</v>
      </c>
      <c r="C5" s="154">
        <v>10447535</v>
      </c>
      <c r="D5" s="154">
        <v>55513</v>
      </c>
      <c r="E5" s="154">
        <v>9344317</v>
      </c>
      <c r="F5" s="154">
        <v>324240</v>
      </c>
    </row>
    <row r="6" spans="1:6">
      <c r="A6" s="154">
        <v>1</v>
      </c>
      <c r="B6" s="154" t="s">
        <v>883</v>
      </c>
      <c r="C6" s="154">
        <v>9351712</v>
      </c>
      <c r="D6" s="154">
        <v>50401</v>
      </c>
      <c r="E6" s="154">
        <v>7591039</v>
      </c>
      <c r="F6" s="154">
        <v>302629</v>
      </c>
    </row>
    <row r="7" spans="1:6">
      <c r="A7" s="154">
        <v>1</v>
      </c>
      <c r="B7" s="154" t="s">
        <v>884</v>
      </c>
      <c r="C7" s="154">
        <v>10133099</v>
      </c>
      <c r="D7" s="154">
        <v>54580</v>
      </c>
      <c r="E7" s="154">
        <v>8565460</v>
      </c>
      <c r="F7" s="154">
        <v>312252</v>
      </c>
    </row>
    <row r="8" spans="1:6">
      <c r="A8" s="154">
        <v>1</v>
      </c>
      <c r="B8" s="154" t="s">
        <v>885</v>
      </c>
      <c r="C8" s="154">
        <v>9763145</v>
      </c>
      <c r="D8" s="154">
        <v>53495</v>
      </c>
      <c r="E8" s="154">
        <v>8246091</v>
      </c>
      <c r="F8" s="154">
        <v>307036</v>
      </c>
    </row>
    <row r="9" spans="1:6">
      <c r="A9" s="154">
        <v>1</v>
      </c>
      <c r="B9" s="154" t="s">
        <v>886</v>
      </c>
      <c r="C9" s="154">
        <v>8863530</v>
      </c>
      <c r="D9" s="154">
        <v>50307</v>
      </c>
      <c r="E9" s="154">
        <v>8007402</v>
      </c>
      <c r="F9" s="154">
        <v>311124</v>
      </c>
    </row>
    <row r="10" spans="1:6">
      <c r="A10" s="154">
        <v>1</v>
      </c>
      <c r="B10" s="154" t="s">
        <v>887</v>
      </c>
      <c r="C10" s="154">
        <v>8881536</v>
      </c>
      <c r="D10" s="154">
        <v>51215</v>
      </c>
      <c r="E10" s="154">
        <v>7929739</v>
      </c>
      <c r="F10" s="154">
        <v>317957</v>
      </c>
    </row>
    <row r="11" spans="1:6">
      <c r="A11" s="154">
        <v>1</v>
      </c>
      <c r="B11" s="154" t="s">
        <v>888</v>
      </c>
      <c r="C11" s="154">
        <v>8095692</v>
      </c>
      <c r="D11" s="154">
        <v>47708</v>
      </c>
      <c r="E11" s="154">
        <v>7026204</v>
      </c>
      <c r="F11" s="154">
        <v>314295</v>
      </c>
    </row>
    <row r="12" spans="1:6">
      <c r="A12" s="154">
        <v>1</v>
      </c>
      <c r="B12" s="154" t="s">
        <v>889</v>
      </c>
      <c r="C12" s="154">
        <v>7528328</v>
      </c>
      <c r="D12" s="154">
        <v>46059</v>
      </c>
      <c r="E12" s="154">
        <v>5353872</v>
      </c>
      <c r="F12" s="154">
        <v>325947</v>
      </c>
    </row>
    <row r="13" spans="1:6">
      <c r="A13" s="154">
        <v>1</v>
      </c>
      <c r="B13" s="154" t="s">
        <v>890</v>
      </c>
      <c r="C13" s="154">
        <v>7791467</v>
      </c>
      <c r="D13" s="154">
        <v>46040</v>
      </c>
      <c r="E13" s="154">
        <v>6132411</v>
      </c>
      <c r="F13" s="154">
        <v>283267</v>
      </c>
    </row>
    <row r="14" spans="1:6">
      <c r="A14" s="154">
        <v>1</v>
      </c>
      <c r="B14" s="154" t="s">
        <v>891</v>
      </c>
      <c r="C14" s="154">
        <v>8181987</v>
      </c>
      <c r="D14" s="154">
        <v>49525</v>
      </c>
      <c r="E14" s="154">
        <v>6670299</v>
      </c>
      <c r="F14" s="154">
        <v>322281</v>
      </c>
    </row>
    <row r="15" spans="1:6" s="155" customFormat="1">
      <c r="A15" s="155">
        <v>2</v>
      </c>
      <c r="B15" s="155" t="s">
        <v>363</v>
      </c>
      <c r="C15" s="155">
        <v>100310666</v>
      </c>
      <c r="D15" s="155">
        <v>542408</v>
      </c>
      <c r="E15" s="155">
        <v>85817133</v>
      </c>
      <c r="F15" s="155">
        <v>2724721</v>
      </c>
    </row>
    <row r="16" spans="1:6">
      <c r="A16" s="154">
        <v>3</v>
      </c>
      <c r="B16" s="154" t="s">
        <v>364</v>
      </c>
      <c r="C16" s="154">
        <v>21588495</v>
      </c>
      <c r="D16" s="154">
        <v>131688</v>
      </c>
      <c r="E16" s="154">
        <v>17638503</v>
      </c>
      <c r="F16" s="154">
        <v>1615928</v>
      </c>
    </row>
    <row r="17" spans="1:6">
      <c r="A17" s="154">
        <v>4</v>
      </c>
      <c r="B17" s="154" t="s">
        <v>365</v>
      </c>
      <c r="C17" s="154">
        <v>16525831</v>
      </c>
      <c r="D17" s="154">
        <v>89486</v>
      </c>
      <c r="E17" s="154">
        <v>13457338</v>
      </c>
      <c r="F17" s="154">
        <v>773132</v>
      </c>
    </row>
    <row r="18" spans="1:6">
      <c r="A18" s="154">
        <v>5</v>
      </c>
      <c r="B18" s="154" t="s">
        <v>366</v>
      </c>
      <c r="C18" s="154">
        <v>15893859</v>
      </c>
      <c r="D18" s="154">
        <v>85160</v>
      </c>
      <c r="E18" s="154">
        <v>14533268</v>
      </c>
      <c r="F18" s="154">
        <v>78368</v>
      </c>
    </row>
    <row r="19" spans="1:6">
      <c r="A19" s="154">
        <v>6</v>
      </c>
      <c r="B19" s="154" t="s">
        <v>367</v>
      </c>
      <c r="C19" s="154">
        <v>15669237</v>
      </c>
      <c r="D19" s="154">
        <v>81461</v>
      </c>
      <c r="E19" s="154">
        <v>13168783</v>
      </c>
      <c r="F19" s="154">
        <v>72248</v>
      </c>
    </row>
    <row r="20" spans="1:6">
      <c r="A20" s="154">
        <v>7</v>
      </c>
      <c r="B20" s="154" t="s">
        <v>368</v>
      </c>
      <c r="C20" s="154">
        <v>12406221</v>
      </c>
      <c r="D20" s="154">
        <v>60409</v>
      </c>
      <c r="E20" s="154">
        <v>10668189</v>
      </c>
      <c r="F20" s="154">
        <v>54452</v>
      </c>
    </row>
    <row r="21" spans="1:6">
      <c r="A21" s="154">
        <v>9</v>
      </c>
      <c r="B21" s="154" t="s">
        <v>370</v>
      </c>
      <c r="C21" s="154">
        <v>12628351</v>
      </c>
      <c r="D21" s="154">
        <v>63088</v>
      </c>
      <c r="E21" s="154">
        <v>11344017</v>
      </c>
      <c r="F21" s="154">
        <v>62330</v>
      </c>
    </row>
    <row r="22" spans="1:6">
      <c r="A22" s="154">
        <v>10</v>
      </c>
      <c r="B22" s="154" t="s">
        <v>846</v>
      </c>
      <c r="C22" s="154">
        <v>0</v>
      </c>
      <c r="D22" s="154">
        <v>3337</v>
      </c>
      <c r="E22" s="154">
        <v>0</v>
      </c>
      <c r="F22" s="154">
        <v>37783</v>
      </c>
    </row>
    <row r="23" spans="1:6">
      <c r="A23" s="154">
        <v>11</v>
      </c>
      <c r="B23" s="154" t="s">
        <v>371</v>
      </c>
      <c r="C23" s="154">
        <v>3708940</v>
      </c>
      <c r="D23" s="154">
        <v>17574</v>
      </c>
      <c r="E23" s="154">
        <v>3455976</v>
      </c>
      <c r="F23" s="154">
        <v>13802</v>
      </c>
    </row>
    <row r="24" spans="1:6">
      <c r="A24" s="154">
        <v>12</v>
      </c>
      <c r="B24" s="154" t="s">
        <v>501</v>
      </c>
      <c r="C24" s="154">
        <v>133076</v>
      </c>
      <c r="D24" s="154">
        <v>680</v>
      </c>
      <c r="E24" s="154">
        <v>98788</v>
      </c>
      <c r="F24" s="154">
        <v>8341</v>
      </c>
    </row>
    <row r="25" spans="1:6">
      <c r="A25" s="154">
        <v>13</v>
      </c>
      <c r="B25" s="154" t="s">
        <v>500</v>
      </c>
      <c r="C25" s="154">
        <v>767520</v>
      </c>
      <c r="D25" s="154">
        <v>4264</v>
      </c>
      <c r="E25" s="154">
        <v>737614</v>
      </c>
      <c r="F25" s="154">
        <v>4413</v>
      </c>
    </row>
    <row r="26" spans="1:6">
      <c r="A26" s="154">
        <v>14</v>
      </c>
      <c r="B26" s="154" t="s">
        <v>847</v>
      </c>
      <c r="C26" s="154">
        <v>989136</v>
      </c>
      <c r="D26" s="154">
        <v>5261</v>
      </c>
      <c r="E26" s="154">
        <v>714657</v>
      </c>
      <c r="F26" s="154">
        <v>3922</v>
      </c>
    </row>
    <row r="27" spans="1:6">
      <c r="A27" s="154">
        <v>99</v>
      </c>
      <c r="B27" s="154" t="s">
        <v>372</v>
      </c>
      <c r="C27" s="154">
        <v>9642655</v>
      </c>
      <c r="D27" s="154">
        <v>73244</v>
      </c>
      <c r="E27" s="154">
        <v>7022749</v>
      </c>
      <c r="F27" s="154">
        <v>1054425</v>
      </c>
    </row>
    <row r="28" spans="1:6">
      <c r="A28" s="154">
        <v>100</v>
      </c>
      <c r="B28" s="154" t="s">
        <v>848</v>
      </c>
      <c r="C28" s="154">
        <v>2548</v>
      </c>
      <c r="D28" s="154">
        <v>26</v>
      </c>
      <c r="E28" s="154">
        <v>1868</v>
      </c>
      <c r="F28" s="154">
        <v>24</v>
      </c>
    </row>
    <row r="29" spans="1:6">
      <c r="A29" s="154">
        <v>100</v>
      </c>
      <c r="B29" s="154" t="s">
        <v>471</v>
      </c>
      <c r="C29" s="154">
        <v>34186</v>
      </c>
      <c r="D29" s="154">
        <v>246</v>
      </c>
      <c r="E29" s="154">
        <v>15413</v>
      </c>
      <c r="F29" s="154">
        <v>3110</v>
      </c>
    </row>
    <row r="30" spans="1:6">
      <c r="A30" s="154">
        <v>100</v>
      </c>
      <c r="B30" s="154" t="s">
        <v>470</v>
      </c>
      <c r="C30" s="154">
        <v>19552</v>
      </c>
      <c r="D30" s="154">
        <v>104</v>
      </c>
      <c r="E30" s="154">
        <v>16275</v>
      </c>
      <c r="F30" s="154">
        <v>206</v>
      </c>
    </row>
    <row r="31" spans="1:6">
      <c r="A31" s="154">
        <v>100</v>
      </c>
      <c r="B31" s="154" t="s">
        <v>498</v>
      </c>
      <c r="C31" s="154">
        <v>7722</v>
      </c>
      <c r="D31" s="154">
        <v>316</v>
      </c>
      <c r="E31" s="154">
        <v>7280</v>
      </c>
      <c r="F31" s="154">
        <v>1154</v>
      </c>
    </row>
    <row r="32" spans="1:6">
      <c r="A32" s="154">
        <v>100</v>
      </c>
      <c r="B32" s="154" t="s">
        <v>892</v>
      </c>
      <c r="C32" s="154">
        <v>514</v>
      </c>
      <c r="D32" s="154">
        <v>32</v>
      </c>
      <c r="E32" s="154">
        <v>204</v>
      </c>
      <c r="F32" s="154">
        <v>258</v>
      </c>
    </row>
    <row r="33" spans="1:6">
      <c r="A33" s="154">
        <v>100</v>
      </c>
      <c r="B33" s="154" t="s">
        <v>893</v>
      </c>
      <c r="C33" s="154">
        <v>7127</v>
      </c>
      <c r="D33" s="154">
        <v>28</v>
      </c>
      <c r="E33" s="154">
        <v>2993</v>
      </c>
      <c r="F33" s="154">
        <v>86</v>
      </c>
    </row>
    <row r="34" spans="1:6">
      <c r="A34" s="154">
        <v>100</v>
      </c>
      <c r="B34" s="154" t="s">
        <v>469</v>
      </c>
      <c r="C34" s="154">
        <v>132258</v>
      </c>
      <c r="D34" s="154">
        <v>466</v>
      </c>
      <c r="E34" s="154">
        <v>82261</v>
      </c>
      <c r="F34" s="154">
        <v>6424</v>
      </c>
    </row>
    <row r="35" spans="1:6">
      <c r="A35" s="154">
        <v>100</v>
      </c>
      <c r="B35" s="154" t="s">
        <v>468</v>
      </c>
      <c r="C35" s="154">
        <v>231915</v>
      </c>
      <c r="D35" s="154">
        <v>1070</v>
      </c>
      <c r="E35" s="154">
        <v>150670</v>
      </c>
      <c r="F35" s="154">
        <v>6401</v>
      </c>
    </row>
    <row r="36" spans="1:6">
      <c r="A36" s="154">
        <v>100</v>
      </c>
      <c r="B36" s="154" t="s">
        <v>467</v>
      </c>
      <c r="C36" s="154">
        <v>77148</v>
      </c>
      <c r="D36" s="154">
        <v>428</v>
      </c>
      <c r="E36" s="154">
        <v>51591</v>
      </c>
      <c r="F36" s="154">
        <v>617</v>
      </c>
    </row>
    <row r="37" spans="1:6">
      <c r="A37" s="154">
        <v>100</v>
      </c>
      <c r="B37" s="154" t="s">
        <v>466</v>
      </c>
      <c r="C37" s="154">
        <v>123152</v>
      </c>
      <c r="D37" s="154">
        <v>438</v>
      </c>
      <c r="E37" s="154">
        <v>78704</v>
      </c>
      <c r="F37" s="154">
        <v>9912</v>
      </c>
    </row>
    <row r="38" spans="1:6">
      <c r="A38" s="154">
        <v>100</v>
      </c>
      <c r="B38" s="154" t="s">
        <v>465</v>
      </c>
      <c r="C38" s="154">
        <v>87120</v>
      </c>
      <c r="D38" s="154">
        <v>484</v>
      </c>
      <c r="E38" s="154">
        <v>62334</v>
      </c>
      <c r="F38" s="154">
        <v>546</v>
      </c>
    </row>
    <row r="39" spans="1:6">
      <c r="A39" s="154">
        <v>100</v>
      </c>
      <c r="B39" s="154" t="s">
        <v>464</v>
      </c>
      <c r="C39" s="154">
        <v>164068</v>
      </c>
      <c r="D39" s="154">
        <v>434</v>
      </c>
      <c r="E39" s="154">
        <v>124583</v>
      </c>
      <c r="F39" s="154">
        <v>9144</v>
      </c>
    </row>
    <row r="40" spans="1:6">
      <c r="A40" s="154">
        <v>100</v>
      </c>
      <c r="B40" s="154" t="s">
        <v>463</v>
      </c>
      <c r="C40" s="154">
        <v>173796</v>
      </c>
      <c r="D40" s="154">
        <v>662</v>
      </c>
      <c r="E40" s="154">
        <v>143508</v>
      </c>
      <c r="F40" s="154">
        <v>9698</v>
      </c>
    </row>
    <row r="41" spans="1:6">
      <c r="A41" s="154">
        <v>100</v>
      </c>
      <c r="B41" s="154" t="s">
        <v>462</v>
      </c>
      <c r="C41" s="154">
        <v>0</v>
      </c>
      <c r="D41" s="154">
        <v>3433</v>
      </c>
      <c r="E41" s="154">
        <v>0</v>
      </c>
      <c r="F41" s="154">
        <v>112481</v>
      </c>
    </row>
    <row r="42" spans="1:6">
      <c r="A42" s="154">
        <v>100</v>
      </c>
      <c r="B42" s="154" t="s">
        <v>461</v>
      </c>
      <c r="C42" s="154">
        <v>0</v>
      </c>
      <c r="D42" s="154">
        <v>3303</v>
      </c>
      <c r="E42" s="154">
        <v>0</v>
      </c>
      <c r="F42" s="154">
        <v>71046</v>
      </c>
    </row>
    <row r="43" spans="1:6">
      <c r="A43" s="154">
        <v>100</v>
      </c>
      <c r="B43" s="154" t="s">
        <v>494</v>
      </c>
      <c r="C43" s="154">
        <v>0</v>
      </c>
      <c r="D43" s="154">
        <v>844</v>
      </c>
      <c r="E43" s="154">
        <v>0</v>
      </c>
      <c r="F43" s="154">
        <v>6665</v>
      </c>
    </row>
    <row r="44" spans="1:6">
      <c r="A44" s="154">
        <v>100</v>
      </c>
      <c r="B44" s="154" t="s">
        <v>458</v>
      </c>
      <c r="C44" s="154">
        <v>278740</v>
      </c>
      <c r="D44" s="154">
        <v>1034</v>
      </c>
      <c r="E44" s="154">
        <v>243227</v>
      </c>
      <c r="F44" s="154">
        <v>31330</v>
      </c>
    </row>
    <row r="45" spans="1:6">
      <c r="A45" s="154">
        <v>100</v>
      </c>
      <c r="B45" s="154" t="s">
        <v>457</v>
      </c>
      <c r="C45" s="154">
        <v>373079</v>
      </c>
      <c r="D45" s="154">
        <v>1264</v>
      </c>
      <c r="E45" s="154">
        <v>265503</v>
      </c>
      <c r="F45" s="154">
        <v>20203</v>
      </c>
    </row>
    <row r="46" spans="1:6">
      <c r="A46" s="154">
        <v>100</v>
      </c>
      <c r="B46" s="154" t="s">
        <v>456</v>
      </c>
      <c r="C46" s="154">
        <v>151776</v>
      </c>
      <c r="D46" s="154">
        <v>408</v>
      </c>
      <c r="E46" s="154">
        <v>125944</v>
      </c>
      <c r="F46" s="154">
        <v>3096</v>
      </c>
    </row>
    <row r="47" spans="1:6">
      <c r="A47" s="154">
        <v>100</v>
      </c>
      <c r="B47" s="154" t="s">
        <v>455</v>
      </c>
      <c r="C47" s="154">
        <v>31680</v>
      </c>
      <c r="D47" s="154">
        <v>176</v>
      </c>
      <c r="E47" s="154">
        <v>21467</v>
      </c>
      <c r="F47" s="154">
        <v>308</v>
      </c>
    </row>
    <row r="48" spans="1:6">
      <c r="A48" s="154">
        <v>100</v>
      </c>
      <c r="B48" s="154" t="s">
        <v>453</v>
      </c>
      <c r="C48" s="154">
        <v>116781</v>
      </c>
      <c r="D48" s="154">
        <v>882</v>
      </c>
      <c r="E48" s="154">
        <v>84258</v>
      </c>
      <c r="F48" s="154">
        <v>17073</v>
      </c>
    </row>
    <row r="49" spans="1:6">
      <c r="A49" s="154">
        <v>100</v>
      </c>
      <c r="B49" s="154" t="s">
        <v>521</v>
      </c>
      <c r="C49" s="154">
        <v>0</v>
      </c>
      <c r="D49" s="154">
        <v>8</v>
      </c>
      <c r="E49" s="154">
        <v>0</v>
      </c>
      <c r="F49" s="154">
        <v>29</v>
      </c>
    </row>
    <row r="50" spans="1:6">
      <c r="A50" s="154">
        <v>100</v>
      </c>
      <c r="B50" s="154" t="s">
        <v>452</v>
      </c>
      <c r="C50" s="154">
        <v>0</v>
      </c>
      <c r="D50" s="154">
        <v>3855</v>
      </c>
      <c r="E50" s="154">
        <v>0</v>
      </c>
      <c r="F50" s="154">
        <v>31004</v>
      </c>
    </row>
    <row r="51" spans="1:6">
      <c r="A51" s="154">
        <v>100</v>
      </c>
      <c r="B51" s="154" t="s">
        <v>451</v>
      </c>
      <c r="C51" s="154">
        <v>284464</v>
      </c>
      <c r="D51" s="154">
        <v>1148</v>
      </c>
      <c r="E51" s="154">
        <v>229606</v>
      </c>
      <c r="F51" s="154">
        <v>55556</v>
      </c>
    </row>
    <row r="52" spans="1:6">
      <c r="A52" s="154">
        <v>100</v>
      </c>
      <c r="B52" s="154" t="s">
        <v>450</v>
      </c>
      <c r="C52" s="154">
        <v>0</v>
      </c>
      <c r="D52" s="154">
        <v>337</v>
      </c>
      <c r="E52" s="154">
        <v>0</v>
      </c>
      <c r="F52" s="154">
        <v>22464</v>
      </c>
    </row>
    <row r="53" spans="1:6">
      <c r="A53" s="154">
        <v>100</v>
      </c>
      <c r="B53" s="154" t="s">
        <v>449</v>
      </c>
      <c r="C53" s="154">
        <v>0</v>
      </c>
      <c r="D53" s="154">
        <v>270</v>
      </c>
      <c r="E53" s="154">
        <v>0</v>
      </c>
      <c r="F53" s="154">
        <v>12076</v>
      </c>
    </row>
    <row r="54" spans="1:6">
      <c r="A54" s="154">
        <v>100</v>
      </c>
      <c r="B54" s="154" t="s">
        <v>448</v>
      </c>
      <c r="C54" s="154">
        <v>24300</v>
      </c>
      <c r="D54" s="154">
        <v>135</v>
      </c>
      <c r="E54" s="154">
        <v>15513</v>
      </c>
      <c r="F54" s="154">
        <v>448</v>
      </c>
    </row>
    <row r="55" spans="1:6">
      <c r="A55" s="154">
        <v>100</v>
      </c>
      <c r="B55" s="154" t="s">
        <v>447</v>
      </c>
      <c r="C55" s="154">
        <v>32432</v>
      </c>
      <c r="D55" s="154">
        <v>150</v>
      </c>
      <c r="E55" s="154">
        <v>21510</v>
      </c>
      <c r="F55" s="154">
        <v>500</v>
      </c>
    </row>
    <row r="56" spans="1:6">
      <c r="A56" s="154">
        <v>100</v>
      </c>
      <c r="B56" s="154" t="s">
        <v>520</v>
      </c>
      <c r="C56" s="154">
        <v>170230</v>
      </c>
      <c r="D56" s="154">
        <v>680</v>
      </c>
      <c r="E56" s="154">
        <v>86198</v>
      </c>
      <c r="F56" s="154">
        <v>7203</v>
      </c>
    </row>
    <row r="57" spans="1:6">
      <c r="A57" s="154">
        <v>100</v>
      </c>
      <c r="B57" s="154" t="s">
        <v>443</v>
      </c>
      <c r="C57" s="154">
        <v>198581</v>
      </c>
      <c r="D57" s="154">
        <v>1730</v>
      </c>
      <c r="E57" s="154">
        <v>74025</v>
      </c>
      <c r="F57" s="154">
        <v>23851</v>
      </c>
    </row>
    <row r="58" spans="1:6">
      <c r="A58" s="154">
        <v>100</v>
      </c>
      <c r="B58" s="154" t="s">
        <v>442</v>
      </c>
      <c r="C58" s="154">
        <v>0</v>
      </c>
      <c r="D58" s="154">
        <v>538</v>
      </c>
      <c r="E58" s="154">
        <v>0</v>
      </c>
      <c r="F58" s="154">
        <v>35332</v>
      </c>
    </row>
    <row r="59" spans="1:6">
      <c r="A59" s="154">
        <v>100</v>
      </c>
      <c r="B59" s="154" t="s">
        <v>441</v>
      </c>
      <c r="C59" s="154">
        <v>41536</v>
      </c>
      <c r="D59" s="154">
        <v>218</v>
      </c>
      <c r="E59" s="154">
        <v>25778</v>
      </c>
      <c r="F59" s="154">
        <v>965</v>
      </c>
    </row>
    <row r="60" spans="1:6">
      <c r="A60" s="154">
        <v>100</v>
      </c>
      <c r="B60" s="154" t="s">
        <v>440</v>
      </c>
      <c r="C60" s="154">
        <v>0</v>
      </c>
      <c r="D60" s="154">
        <v>598</v>
      </c>
      <c r="E60" s="154">
        <v>0</v>
      </c>
      <c r="F60" s="154">
        <v>5108</v>
      </c>
    </row>
    <row r="61" spans="1:6">
      <c r="A61" s="154">
        <v>100</v>
      </c>
      <c r="B61" s="154" t="s">
        <v>439</v>
      </c>
      <c r="C61" s="154">
        <v>24438</v>
      </c>
      <c r="D61" s="154">
        <v>106</v>
      </c>
      <c r="E61" s="154">
        <v>17632</v>
      </c>
      <c r="F61" s="154">
        <v>596</v>
      </c>
    </row>
    <row r="62" spans="1:6">
      <c r="A62" s="154">
        <v>100</v>
      </c>
      <c r="B62" s="154" t="s">
        <v>438</v>
      </c>
      <c r="C62" s="154">
        <v>0</v>
      </c>
      <c r="D62" s="154">
        <v>158</v>
      </c>
      <c r="E62" s="154">
        <v>0</v>
      </c>
      <c r="F62" s="154">
        <v>2199</v>
      </c>
    </row>
    <row r="63" spans="1:6">
      <c r="A63" s="154">
        <v>100</v>
      </c>
      <c r="B63" s="154" t="s">
        <v>436</v>
      </c>
      <c r="C63" s="154">
        <v>55994</v>
      </c>
      <c r="D63" s="154">
        <v>1220</v>
      </c>
      <c r="E63" s="154">
        <v>37070</v>
      </c>
      <c r="F63" s="154">
        <v>14445</v>
      </c>
    </row>
    <row r="64" spans="1:6">
      <c r="A64" s="154">
        <v>100</v>
      </c>
      <c r="B64" s="154" t="s">
        <v>435</v>
      </c>
      <c r="C64" s="154">
        <v>53250</v>
      </c>
      <c r="D64" s="154">
        <v>474</v>
      </c>
      <c r="E64" s="154">
        <v>30181</v>
      </c>
      <c r="F64" s="154">
        <v>2456</v>
      </c>
    </row>
    <row r="65" spans="1:6">
      <c r="A65" s="154">
        <v>100</v>
      </c>
      <c r="B65" s="154" t="s">
        <v>434</v>
      </c>
      <c r="C65" s="154">
        <v>10836</v>
      </c>
      <c r="D65" s="154">
        <v>42</v>
      </c>
      <c r="E65" s="154">
        <v>4928</v>
      </c>
      <c r="F65" s="154">
        <v>130</v>
      </c>
    </row>
    <row r="66" spans="1:6">
      <c r="A66" s="154">
        <v>100</v>
      </c>
      <c r="B66" s="154" t="s">
        <v>433</v>
      </c>
      <c r="C66" s="154">
        <v>43923</v>
      </c>
      <c r="D66" s="154">
        <v>186</v>
      </c>
      <c r="E66" s="154">
        <v>26909</v>
      </c>
      <c r="F66" s="154">
        <v>1049</v>
      </c>
    </row>
    <row r="67" spans="1:6">
      <c r="A67" s="154">
        <v>100</v>
      </c>
      <c r="B67" s="154" t="s">
        <v>432</v>
      </c>
      <c r="C67" s="154">
        <v>10788</v>
      </c>
      <c r="D67" s="154">
        <v>64</v>
      </c>
      <c r="E67" s="154">
        <v>8906</v>
      </c>
      <c r="F67" s="154">
        <v>141</v>
      </c>
    </row>
    <row r="68" spans="1:6">
      <c r="A68" s="154">
        <v>100</v>
      </c>
      <c r="B68" s="154" t="s">
        <v>490</v>
      </c>
      <c r="C68" s="154">
        <v>17085</v>
      </c>
      <c r="D68" s="154">
        <v>52</v>
      </c>
      <c r="E68" s="154">
        <v>15701</v>
      </c>
      <c r="F68" s="154">
        <v>368</v>
      </c>
    </row>
    <row r="69" spans="1:6">
      <c r="A69" s="154">
        <v>100</v>
      </c>
      <c r="B69" s="154" t="s">
        <v>431</v>
      </c>
      <c r="C69" s="154">
        <v>74924</v>
      </c>
      <c r="D69" s="154">
        <v>1040</v>
      </c>
      <c r="E69" s="154">
        <v>61677</v>
      </c>
      <c r="F69" s="154">
        <v>17965</v>
      </c>
    </row>
    <row r="70" spans="1:6">
      <c r="A70" s="154">
        <v>100</v>
      </c>
      <c r="B70" s="154" t="s">
        <v>430</v>
      </c>
      <c r="C70" s="154">
        <v>105656</v>
      </c>
      <c r="D70" s="154">
        <v>462</v>
      </c>
      <c r="E70" s="154">
        <v>72026</v>
      </c>
      <c r="F70" s="154">
        <v>2004</v>
      </c>
    </row>
    <row r="71" spans="1:6">
      <c r="A71" s="154">
        <v>100</v>
      </c>
      <c r="B71" s="154" t="s">
        <v>894</v>
      </c>
      <c r="C71" s="154">
        <v>0</v>
      </c>
      <c r="D71" s="154">
        <v>2</v>
      </c>
      <c r="E71" s="154">
        <v>0</v>
      </c>
      <c r="F71" s="154">
        <v>5</v>
      </c>
    </row>
    <row r="72" spans="1:6">
      <c r="A72" s="154">
        <v>100</v>
      </c>
      <c r="B72" s="154" t="s">
        <v>429</v>
      </c>
      <c r="C72" s="154">
        <v>53760</v>
      </c>
      <c r="D72" s="154">
        <v>210</v>
      </c>
      <c r="E72" s="154">
        <v>44632</v>
      </c>
      <c r="F72" s="154">
        <v>2235</v>
      </c>
    </row>
    <row r="73" spans="1:6">
      <c r="A73" s="154">
        <v>100</v>
      </c>
      <c r="B73" s="154" t="s">
        <v>428</v>
      </c>
      <c r="C73" s="154">
        <v>0</v>
      </c>
      <c r="D73" s="154">
        <v>8</v>
      </c>
      <c r="E73" s="154">
        <v>0</v>
      </c>
      <c r="F73" s="154">
        <v>114</v>
      </c>
    </row>
    <row r="74" spans="1:6">
      <c r="A74" s="154">
        <v>100</v>
      </c>
      <c r="B74" s="154" t="s">
        <v>427</v>
      </c>
      <c r="C74" s="154">
        <v>0</v>
      </c>
      <c r="D74" s="154">
        <v>5053</v>
      </c>
      <c r="E74" s="154">
        <v>0</v>
      </c>
      <c r="F74" s="154">
        <v>60222</v>
      </c>
    </row>
    <row r="75" spans="1:6">
      <c r="A75" s="154">
        <v>100</v>
      </c>
      <c r="B75" s="154" t="s">
        <v>425</v>
      </c>
      <c r="C75" s="154">
        <v>182093</v>
      </c>
      <c r="D75" s="154">
        <v>749</v>
      </c>
      <c r="E75" s="154">
        <v>150759</v>
      </c>
      <c r="F75" s="154">
        <v>13485</v>
      </c>
    </row>
    <row r="76" spans="1:6">
      <c r="A76" s="154">
        <v>100</v>
      </c>
      <c r="B76" s="154" t="s">
        <v>424</v>
      </c>
      <c r="C76" s="154">
        <v>0</v>
      </c>
      <c r="D76" s="154">
        <v>45</v>
      </c>
      <c r="E76" s="154">
        <v>0</v>
      </c>
      <c r="F76" s="154">
        <v>1</v>
      </c>
    </row>
    <row r="77" spans="1:6">
      <c r="A77" s="154">
        <v>100</v>
      </c>
      <c r="B77" s="154" t="s">
        <v>518</v>
      </c>
      <c r="C77" s="154">
        <v>4624</v>
      </c>
      <c r="D77" s="154">
        <v>18</v>
      </c>
      <c r="E77" s="154">
        <v>1399</v>
      </c>
      <c r="F77" s="154">
        <v>229</v>
      </c>
    </row>
    <row r="78" spans="1:6">
      <c r="A78" s="154">
        <v>100</v>
      </c>
      <c r="B78" s="154" t="s">
        <v>422</v>
      </c>
      <c r="C78" s="154">
        <v>105298</v>
      </c>
      <c r="D78" s="154">
        <v>716</v>
      </c>
      <c r="E78" s="154">
        <v>74125</v>
      </c>
      <c r="F78" s="154">
        <v>10513</v>
      </c>
    </row>
    <row r="79" spans="1:6">
      <c r="A79" s="154">
        <v>100</v>
      </c>
      <c r="B79" s="154" t="s">
        <v>421</v>
      </c>
      <c r="C79" s="154">
        <v>0</v>
      </c>
      <c r="D79" s="154">
        <v>12</v>
      </c>
      <c r="E79" s="154">
        <v>0</v>
      </c>
      <c r="F79" s="154">
        <v>34</v>
      </c>
    </row>
    <row r="80" spans="1:6">
      <c r="A80" s="154">
        <v>100</v>
      </c>
      <c r="B80" s="154" t="s">
        <v>420</v>
      </c>
      <c r="C80" s="154">
        <v>2560</v>
      </c>
      <c r="D80" s="154">
        <v>20</v>
      </c>
      <c r="E80" s="154">
        <v>1146</v>
      </c>
      <c r="F80" s="154">
        <v>37</v>
      </c>
    </row>
    <row r="81" spans="1:6">
      <c r="A81" s="154">
        <v>100</v>
      </c>
      <c r="B81" s="154" t="s">
        <v>487</v>
      </c>
      <c r="C81" s="154">
        <v>0</v>
      </c>
      <c r="D81" s="154">
        <v>4</v>
      </c>
      <c r="E81" s="154">
        <v>0</v>
      </c>
      <c r="F81" s="154">
        <v>38</v>
      </c>
    </row>
    <row r="82" spans="1:6">
      <c r="A82" s="154">
        <v>100</v>
      </c>
      <c r="B82" s="154" t="s">
        <v>418</v>
      </c>
      <c r="C82" s="154">
        <v>234427</v>
      </c>
      <c r="D82" s="154">
        <v>728</v>
      </c>
      <c r="E82" s="154">
        <v>174241</v>
      </c>
      <c r="F82" s="154">
        <v>13810</v>
      </c>
    </row>
    <row r="83" spans="1:6">
      <c r="A83" s="154">
        <v>100</v>
      </c>
      <c r="B83" s="154" t="s">
        <v>417</v>
      </c>
      <c r="C83" s="154">
        <v>147232</v>
      </c>
      <c r="D83" s="154">
        <v>985</v>
      </c>
      <c r="E83" s="154">
        <v>53349</v>
      </c>
      <c r="F83" s="154">
        <v>24664</v>
      </c>
    </row>
    <row r="84" spans="1:6">
      <c r="A84" s="154">
        <v>100</v>
      </c>
      <c r="B84" s="154" t="s">
        <v>416</v>
      </c>
      <c r="C84" s="154">
        <v>0</v>
      </c>
      <c r="D84" s="154">
        <v>624</v>
      </c>
      <c r="E84" s="154">
        <v>0</v>
      </c>
      <c r="F84" s="154">
        <v>22416</v>
      </c>
    </row>
    <row r="85" spans="1:6">
      <c r="A85" s="154">
        <v>100</v>
      </c>
      <c r="B85" s="154" t="s">
        <v>415</v>
      </c>
      <c r="C85" s="154">
        <v>305896</v>
      </c>
      <c r="D85" s="154">
        <v>1347</v>
      </c>
      <c r="E85" s="154">
        <v>261057</v>
      </c>
      <c r="F85" s="154">
        <v>19170</v>
      </c>
    </row>
    <row r="86" spans="1:6">
      <c r="A86" s="154">
        <v>100</v>
      </c>
      <c r="B86" s="154" t="s">
        <v>414</v>
      </c>
      <c r="C86" s="154">
        <v>94587</v>
      </c>
      <c r="D86" s="154">
        <v>332</v>
      </c>
      <c r="E86" s="154">
        <v>66766</v>
      </c>
      <c r="F86" s="154">
        <v>5286</v>
      </c>
    </row>
    <row r="87" spans="1:6">
      <c r="A87" s="154">
        <v>100</v>
      </c>
      <c r="B87" s="154" t="s">
        <v>413</v>
      </c>
      <c r="C87" s="154">
        <v>95136</v>
      </c>
      <c r="D87" s="154">
        <v>444</v>
      </c>
      <c r="E87" s="154">
        <v>77341</v>
      </c>
      <c r="F87" s="154">
        <v>2622</v>
      </c>
    </row>
    <row r="88" spans="1:6">
      <c r="A88" s="154">
        <v>100</v>
      </c>
      <c r="B88" s="154" t="s">
        <v>412</v>
      </c>
      <c r="C88" s="154">
        <v>0</v>
      </c>
      <c r="D88" s="154">
        <v>164</v>
      </c>
      <c r="E88" s="154">
        <v>0</v>
      </c>
      <c r="F88" s="154">
        <v>7706</v>
      </c>
    </row>
    <row r="89" spans="1:6">
      <c r="A89" s="154">
        <v>100</v>
      </c>
      <c r="B89" s="154" t="s">
        <v>410</v>
      </c>
      <c r="C89" s="154">
        <v>0</v>
      </c>
      <c r="D89" s="154">
        <v>1720</v>
      </c>
      <c r="E89" s="154">
        <v>0</v>
      </c>
      <c r="F89" s="154">
        <v>22328</v>
      </c>
    </row>
    <row r="90" spans="1:6">
      <c r="A90" s="154">
        <v>100</v>
      </c>
      <c r="B90" s="154" t="s">
        <v>409</v>
      </c>
      <c r="C90" s="154">
        <v>153333</v>
      </c>
      <c r="D90" s="154">
        <v>1298</v>
      </c>
      <c r="E90" s="154">
        <v>56526</v>
      </c>
      <c r="F90" s="154">
        <v>16826</v>
      </c>
    </row>
    <row r="91" spans="1:6">
      <c r="A91" s="154">
        <v>100</v>
      </c>
      <c r="B91" s="154" t="s">
        <v>408</v>
      </c>
      <c r="C91" s="154">
        <v>322206</v>
      </c>
      <c r="D91" s="154">
        <v>756</v>
      </c>
      <c r="E91" s="154">
        <v>272149</v>
      </c>
      <c r="F91" s="154">
        <v>17439</v>
      </c>
    </row>
    <row r="92" spans="1:6">
      <c r="A92" s="154">
        <v>100</v>
      </c>
      <c r="B92" s="154" t="s">
        <v>404</v>
      </c>
      <c r="C92" s="154">
        <v>0</v>
      </c>
      <c r="D92" s="154">
        <v>7</v>
      </c>
      <c r="E92" s="154">
        <v>0</v>
      </c>
      <c r="F92" s="154">
        <v>297</v>
      </c>
    </row>
    <row r="93" spans="1:6">
      <c r="A93" s="154">
        <v>100</v>
      </c>
      <c r="B93" s="154" t="s">
        <v>403</v>
      </c>
      <c r="C93" s="154">
        <v>0</v>
      </c>
      <c r="D93" s="154">
        <v>4965</v>
      </c>
      <c r="E93" s="154">
        <v>0</v>
      </c>
      <c r="F93" s="154">
        <v>64300</v>
      </c>
    </row>
    <row r="94" spans="1:6">
      <c r="A94" s="154">
        <v>100</v>
      </c>
      <c r="B94" s="154" t="s">
        <v>402</v>
      </c>
      <c r="C94" s="154">
        <v>20898</v>
      </c>
      <c r="D94" s="154">
        <v>86</v>
      </c>
      <c r="E94" s="154">
        <v>12091</v>
      </c>
      <c r="F94" s="154">
        <v>977</v>
      </c>
    </row>
    <row r="95" spans="1:6">
      <c r="A95" s="154">
        <v>100</v>
      </c>
      <c r="B95" s="154" t="s">
        <v>400</v>
      </c>
      <c r="C95" s="154">
        <v>170010</v>
      </c>
      <c r="D95" s="154">
        <v>1126</v>
      </c>
      <c r="E95" s="154">
        <v>144447</v>
      </c>
      <c r="F95" s="154">
        <v>11384</v>
      </c>
    </row>
    <row r="96" spans="1:6">
      <c r="A96" s="154">
        <v>100</v>
      </c>
      <c r="B96" s="154" t="s">
        <v>895</v>
      </c>
      <c r="C96" s="154">
        <v>0</v>
      </c>
      <c r="D96" s="154">
        <v>32</v>
      </c>
      <c r="E96" s="154">
        <v>0</v>
      </c>
      <c r="F96" s="154">
        <v>381</v>
      </c>
    </row>
    <row r="97" spans="1:6">
      <c r="A97" s="154">
        <v>100</v>
      </c>
      <c r="B97" s="154" t="s">
        <v>399</v>
      </c>
      <c r="C97" s="154">
        <v>408746</v>
      </c>
      <c r="D97" s="154">
        <v>1474</v>
      </c>
      <c r="E97" s="154">
        <v>351813</v>
      </c>
      <c r="F97" s="154">
        <v>20363</v>
      </c>
    </row>
    <row r="98" spans="1:6">
      <c r="A98" s="154">
        <v>100</v>
      </c>
      <c r="B98" s="154" t="s">
        <v>482</v>
      </c>
      <c r="C98" s="154">
        <v>0</v>
      </c>
      <c r="D98" s="154">
        <v>32</v>
      </c>
      <c r="E98" s="154">
        <v>0</v>
      </c>
      <c r="F98" s="154">
        <v>283</v>
      </c>
    </row>
    <row r="99" spans="1:6">
      <c r="A99" s="154">
        <v>100</v>
      </c>
      <c r="B99" s="154" t="s">
        <v>398</v>
      </c>
      <c r="C99" s="154">
        <v>0</v>
      </c>
      <c r="D99" s="154">
        <v>336</v>
      </c>
      <c r="E99" s="154">
        <v>0</v>
      </c>
      <c r="F99" s="154">
        <v>22113</v>
      </c>
    </row>
    <row r="100" spans="1:6">
      <c r="A100" s="154">
        <v>100</v>
      </c>
      <c r="B100" s="154" t="s">
        <v>396</v>
      </c>
      <c r="C100" s="154">
        <v>9646</v>
      </c>
      <c r="D100" s="154">
        <v>63</v>
      </c>
      <c r="E100" s="154">
        <v>3655</v>
      </c>
      <c r="F100" s="154">
        <v>111</v>
      </c>
    </row>
    <row r="101" spans="1:6">
      <c r="A101" s="154">
        <v>100</v>
      </c>
      <c r="B101" s="154" t="s">
        <v>395</v>
      </c>
      <c r="C101" s="154">
        <v>231152</v>
      </c>
      <c r="D101" s="154">
        <v>714</v>
      </c>
      <c r="E101" s="154">
        <v>174428</v>
      </c>
      <c r="F101" s="154">
        <v>3872</v>
      </c>
    </row>
    <row r="102" spans="1:6">
      <c r="A102" s="154">
        <v>100</v>
      </c>
      <c r="B102" s="154" t="s">
        <v>394</v>
      </c>
      <c r="C102" s="154">
        <v>32400</v>
      </c>
      <c r="D102" s="154">
        <v>171</v>
      </c>
      <c r="E102" s="154">
        <v>19698</v>
      </c>
      <c r="F102" s="154">
        <v>408</v>
      </c>
    </row>
    <row r="103" spans="1:6">
      <c r="A103" s="154">
        <v>100</v>
      </c>
      <c r="B103" s="154" t="s">
        <v>478</v>
      </c>
      <c r="C103" s="154">
        <v>35476</v>
      </c>
      <c r="D103" s="154">
        <v>128</v>
      </c>
      <c r="E103" s="154">
        <v>23931</v>
      </c>
      <c r="F103" s="154">
        <v>1854</v>
      </c>
    </row>
    <row r="104" spans="1:6">
      <c r="A104" s="154">
        <v>100</v>
      </c>
      <c r="B104" s="154" t="s">
        <v>393</v>
      </c>
      <c r="C104" s="154">
        <v>244198</v>
      </c>
      <c r="D104" s="154">
        <v>821</v>
      </c>
      <c r="E104" s="154">
        <v>125150</v>
      </c>
      <c r="F104" s="154">
        <v>5075</v>
      </c>
    </row>
    <row r="105" spans="1:6">
      <c r="A105" s="154">
        <v>100</v>
      </c>
      <c r="B105" s="154" t="s">
        <v>392</v>
      </c>
      <c r="C105" s="154">
        <v>14820</v>
      </c>
      <c r="D105" s="154">
        <v>52</v>
      </c>
      <c r="E105" s="154">
        <v>8417</v>
      </c>
      <c r="F105" s="154">
        <v>195</v>
      </c>
    </row>
    <row r="106" spans="1:6">
      <c r="A106" s="154">
        <v>100</v>
      </c>
      <c r="B106" s="154" t="s">
        <v>391</v>
      </c>
      <c r="C106" s="154">
        <v>25696</v>
      </c>
      <c r="D106" s="154">
        <v>146</v>
      </c>
      <c r="E106" s="154">
        <v>18738</v>
      </c>
      <c r="F106" s="154">
        <v>521</v>
      </c>
    </row>
    <row r="107" spans="1:6">
      <c r="A107" s="154">
        <v>100</v>
      </c>
      <c r="B107" s="154" t="s">
        <v>477</v>
      </c>
      <c r="C107" s="154">
        <v>35996</v>
      </c>
      <c r="D107" s="154">
        <v>192</v>
      </c>
      <c r="E107" s="154">
        <v>20161</v>
      </c>
      <c r="F107" s="154">
        <v>2410</v>
      </c>
    </row>
    <row r="108" spans="1:6">
      <c r="A108" s="154">
        <v>100</v>
      </c>
      <c r="B108" s="154" t="s">
        <v>389</v>
      </c>
      <c r="C108" s="154">
        <v>1297810</v>
      </c>
      <c r="D108" s="154">
        <v>5648</v>
      </c>
      <c r="E108" s="154">
        <v>947613</v>
      </c>
      <c r="F108" s="154">
        <v>14306</v>
      </c>
    </row>
    <row r="109" spans="1:6">
      <c r="A109" s="154">
        <v>100</v>
      </c>
      <c r="B109" s="154" t="s">
        <v>388</v>
      </c>
      <c r="C109" s="154">
        <v>4488</v>
      </c>
      <c r="D109" s="154">
        <v>28</v>
      </c>
      <c r="E109" s="154">
        <v>2346</v>
      </c>
      <c r="F109" s="154">
        <v>44</v>
      </c>
    </row>
    <row r="110" spans="1:6">
      <c r="A110" s="154">
        <v>100</v>
      </c>
      <c r="B110" s="154" t="s">
        <v>387</v>
      </c>
      <c r="C110" s="154">
        <v>174</v>
      </c>
      <c r="D110" s="154">
        <v>2</v>
      </c>
      <c r="E110" s="154">
        <v>36</v>
      </c>
      <c r="F110" s="154">
        <v>1</v>
      </c>
    </row>
    <row r="111" spans="1:6">
      <c r="A111" s="154">
        <v>100</v>
      </c>
      <c r="B111" s="154" t="s">
        <v>386</v>
      </c>
      <c r="C111" s="154">
        <v>0</v>
      </c>
      <c r="D111" s="154">
        <v>11</v>
      </c>
      <c r="E111" s="154">
        <v>0</v>
      </c>
      <c r="F111" s="154">
        <v>286</v>
      </c>
    </row>
    <row r="112" spans="1:6">
      <c r="A112" s="154">
        <v>100</v>
      </c>
      <c r="B112" s="154" t="s">
        <v>385</v>
      </c>
      <c r="C112" s="154">
        <v>666305</v>
      </c>
      <c r="D112" s="154">
        <v>2505</v>
      </c>
      <c r="E112" s="154">
        <v>509557</v>
      </c>
      <c r="F112" s="154">
        <v>24908</v>
      </c>
    </row>
    <row r="113" spans="1:6">
      <c r="A113" s="154">
        <v>100</v>
      </c>
      <c r="B113" s="154" t="s">
        <v>850</v>
      </c>
      <c r="C113" s="154">
        <v>98798</v>
      </c>
      <c r="D113" s="154">
        <v>644</v>
      </c>
      <c r="E113" s="154">
        <v>80402</v>
      </c>
      <c r="F113" s="154">
        <v>4235</v>
      </c>
    </row>
    <row r="114" spans="1:6">
      <c r="A114" s="154">
        <v>100</v>
      </c>
      <c r="B114" s="154" t="s">
        <v>476</v>
      </c>
      <c r="C114" s="154">
        <v>42498</v>
      </c>
      <c r="D114" s="154">
        <v>298</v>
      </c>
      <c r="E114" s="154">
        <v>24653</v>
      </c>
      <c r="F114" s="154">
        <v>991</v>
      </c>
    </row>
    <row r="115" spans="1:6">
      <c r="A115" s="154">
        <v>100</v>
      </c>
      <c r="B115" s="154" t="s">
        <v>511</v>
      </c>
      <c r="C115" s="154">
        <v>8820</v>
      </c>
      <c r="D115" s="154">
        <v>96</v>
      </c>
      <c r="E115" s="154">
        <v>5844</v>
      </c>
      <c r="F115" s="154">
        <v>293</v>
      </c>
    </row>
    <row r="116" spans="1:6">
      <c r="A116" s="154">
        <v>100</v>
      </c>
      <c r="B116" s="154" t="s">
        <v>383</v>
      </c>
      <c r="C116" s="154">
        <v>171524</v>
      </c>
      <c r="D116" s="154">
        <v>1024</v>
      </c>
      <c r="E116" s="154">
        <v>137052</v>
      </c>
      <c r="F116" s="154">
        <v>5405</v>
      </c>
    </row>
    <row r="117" spans="1:6">
      <c r="A117" s="154">
        <v>100</v>
      </c>
      <c r="B117" s="154" t="s">
        <v>896</v>
      </c>
      <c r="C117" s="154">
        <v>0</v>
      </c>
      <c r="D117" s="154">
        <v>4</v>
      </c>
      <c r="E117" s="154">
        <v>0</v>
      </c>
      <c r="F117" s="154">
        <v>1</v>
      </c>
    </row>
    <row r="118" spans="1:6">
      <c r="A118" s="154">
        <v>100</v>
      </c>
      <c r="B118" s="154" t="s">
        <v>382</v>
      </c>
      <c r="C118" s="154">
        <v>107296</v>
      </c>
      <c r="D118" s="154">
        <v>676</v>
      </c>
      <c r="E118" s="154">
        <v>76306</v>
      </c>
      <c r="F118" s="154">
        <v>11232</v>
      </c>
    </row>
    <row r="119" spans="1:6">
      <c r="A119" s="154">
        <v>100</v>
      </c>
      <c r="B119" s="154" t="s">
        <v>509</v>
      </c>
      <c r="C119" s="154">
        <v>0</v>
      </c>
      <c r="D119" s="154">
        <v>4</v>
      </c>
      <c r="E119" s="154">
        <v>0</v>
      </c>
      <c r="F119" s="154">
        <v>29</v>
      </c>
    </row>
    <row r="120" spans="1:6">
      <c r="A120" s="154">
        <v>100</v>
      </c>
      <c r="B120" s="154" t="s">
        <v>864</v>
      </c>
      <c r="C120" s="154">
        <v>0</v>
      </c>
      <c r="D120" s="154">
        <v>516</v>
      </c>
      <c r="E120" s="154">
        <v>0</v>
      </c>
      <c r="F120" s="154">
        <v>4708</v>
      </c>
    </row>
    <row r="121" spans="1:6">
      <c r="A121" s="154">
        <v>100</v>
      </c>
      <c r="B121" s="154" t="s">
        <v>380</v>
      </c>
      <c r="C121" s="154">
        <v>0</v>
      </c>
      <c r="D121" s="154">
        <v>1979</v>
      </c>
      <c r="E121" s="154">
        <v>0</v>
      </c>
      <c r="F121" s="154">
        <v>16596</v>
      </c>
    </row>
    <row r="122" spans="1:6">
      <c r="A122" s="154">
        <v>100</v>
      </c>
      <c r="B122" s="154" t="s">
        <v>379</v>
      </c>
      <c r="C122" s="154">
        <v>310608</v>
      </c>
      <c r="D122" s="154">
        <v>1000</v>
      </c>
      <c r="E122" s="154">
        <v>255339</v>
      </c>
      <c r="F122" s="154">
        <v>13808</v>
      </c>
    </row>
    <row r="123" spans="1:6">
      <c r="A123" s="154">
        <v>100</v>
      </c>
      <c r="B123" s="154" t="s">
        <v>378</v>
      </c>
      <c r="C123" s="154">
        <v>7638</v>
      </c>
      <c r="D123" s="154">
        <v>19</v>
      </c>
      <c r="E123" s="154">
        <v>3733</v>
      </c>
      <c r="F123" s="154">
        <v>403</v>
      </c>
    </row>
    <row r="124" spans="1:6">
      <c r="A124" s="154">
        <v>100</v>
      </c>
      <c r="B124" s="154" t="s">
        <v>377</v>
      </c>
      <c r="C124" s="154">
        <v>51432</v>
      </c>
      <c r="D124" s="154">
        <v>357</v>
      </c>
      <c r="E124" s="154">
        <v>36297</v>
      </c>
      <c r="F124" s="154">
        <v>859</v>
      </c>
    </row>
    <row r="125" spans="1:6">
      <c r="A125" s="154">
        <v>100</v>
      </c>
      <c r="B125" s="154" t="s">
        <v>506</v>
      </c>
      <c r="C125" s="154">
        <v>0</v>
      </c>
      <c r="D125" s="154">
        <v>3</v>
      </c>
      <c r="E125" s="154">
        <v>0</v>
      </c>
      <c r="F125" s="154">
        <v>49</v>
      </c>
    </row>
    <row r="126" spans="1:6">
      <c r="A126" s="154">
        <v>100</v>
      </c>
      <c r="B126" s="154" t="s">
        <v>376</v>
      </c>
      <c r="C126" s="154">
        <v>535926</v>
      </c>
      <c r="D126" s="154">
        <v>1833</v>
      </c>
      <c r="E126" s="154">
        <v>443536</v>
      </c>
      <c r="F126" s="154">
        <v>21141</v>
      </c>
    </row>
    <row r="127" spans="1:6">
      <c r="A127" s="154">
        <v>100</v>
      </c>
      <c r="B127" s="154" t="s">
        <v>473</v>
      </c>
      <c r="C127" s="154">
        <v>40414</v>
      </c>
      <c r="D127" s="154">
        <v>167</v>
      </c>
      <c r="E127" s="154">
        <v>32965</v>
      </c>
      <c r="F127" s="154">
        <v>2309</v>
      </c>
    </row>
    <row r="128" spans="1:6">
      <c r="A128" s="154">
        <v>100</v>
      </c>
      <c r="B128" s="154" t="s">
        <v>375</v>
      </c>
      <c r="C128" s="154">
        <v>133474</v>
      </c>
      <c r="D128" s="154">
        <v>741</v>
      </c>
      <c r="E128" s="154">
        <v>79906</v>
      </c>
      <c r="F128" s="154">
        <v>5836</v>
      </c>
    </row>
    <row r="129" spans="1:6">
      <c r="A129" s="154">
        <v>100</v>
      </c>
      <c r="B129" s="154" t="s">
        <v>472</v>
      </c>
      <c r="C129" s="154">
        <v>0</v>
      </c>
      <c r="D129" s="154">
        <v>45</v>
      </c>
      <c r="E129" s="154">
        <v>0</v>
      </c>
      <c r="F129" s="154">
        <v>1750</v>
      </c>
    </row>
    <row r="130" spans="1:6">
      <c r="A130" s="154">
        <v>100</v>
      </c>
      <c r="B130" s="154" t="s">
        <v>374</v>
      </c>
      <c r="C130" s="154">
        <v>65381</v>
      </c>
      <c r="D130" s="154">
        <v>245</v>
      </c>
      <c r="E130" s="154">
        <v>39346</v>
      </c>
      <c r="F130" s="154">
        <v>3815</v>
      </c>
    </row>
    <row r="131" spans="1:6">
      <c r="A131" s="154">
        <v>100</v>
      </c>
      <c r="B131" s="154" t="s">
        <v>373</v>
      </c>
      <c r="C131" s="154">
        <v>0</v>
      </c>
      <c r="D131" s="154">
        <v>168</v>
      </c>
      <c r="E131" s="154">
        <v>0</v>
      </c>
      <c r="F131" s="154">
        <v>1493</v>
      </c>
    </row>
    <row r="132" spans="1:6">
      <c r="A132" s="154">
        <v>100</v>
      </c>
      <c r="B132" s="154" t="s">
        <v>503</v>
      </c>
      <c r="C132" s="154">
        <v>8280</v>
      </c>
      <c r="D132" s="154">
        <v>48</v>
      </c>
      <c r="E132" s="154">
        <v>6056</v>
      </c>
      <c r="F132" s="154">
        <v>63</v>
      </c>
    </row>
    <row r="133" spans="1:6">
      <c r="A133" s="154">
        <v>100</v>
      </c>
      <c r="B133" s="154" t="s">
        <v>502</v>
      </c>
      <c r="C133" s="154">
        <v>0</v>
      </c>
      <c r="D133" s="154">
        <v>6</v>
      </c>
      <c r="E133" s="154">
        <v>0</v>
      </c>
      <c r="F133" s="154">
        <v>48</v>
      </c>
    </row>
    <row r="134" spans="1:6">
      <c r="A134" s="154">
        <v>100</v>
      </c>
      <c r="B134" s="154" t="s">
        <v>897</v>
      </c>
      <c r="C134" s="154">
        <v>0</v>
      </c>
      <c r="D134" s="154">
        <v>48</v>
      </c>
      <c r="E134" s="154">
        <v>0</v>
      </c>
      <c r="F134" s="154">
        <v>420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5"/>
  <cols>
    <col min="1" max="1" width="5" style="154" bestFit="1" customWidth="1"/>
    <col min="2" max="2" width="38.42578125" style="154" bestFit="1" customWidth="1"/>
    <col min="3" max="3" width="10.42578125" style="154" bestFit="1" customWidth="1"/>
    <col min="4" max="4" width="8.42578125" style="154" bestFit="1" customWidth="1"/>
    <col min="5" max="5" width="10.42578125" style="154" bestFit="1" customWidth="1"/>
    <col min="6" max="6" width="8.42578125" style="154" bestFit="1" customWidth="1"/>
    <col min="7" max="16384" width="31" style="154"/>
  </cols>
  <sheetData>
    <row r="1" spans="1:6">
      <c r="A1" s="153" t="s">
        <v>833</v>
      </c>
      <c r="B1" s="153" t="s">
        <v>357</v>
      </c>
      <c r="C1" s="153" t="s">
        <v>358</v>
      </c>
      <c r="D1" s="153" t="s">
        <v>359</v>
      </c>
      <c r="E1" s="153" t="s">
        <v>360</v>
      </c>
      <c r="F1" s="153" t="s">
        <v>361</v>
      </c>
    </row>
    <row r="2" spans="1:6">
      <c r="A2" s="154">
        <v>0</v>
      </c>
      <c r="B2" s="154" t="s">
        <v>362</v>
      </c>
      <c r="C2" s="154">
        <v>155852832</v>
      </c>
      <c r="D2" s="154">
        <v>793427</v>
      </c>
      <c r="E2" s="154">
        <v>133588039</v>
      </c>
      <c r="F2" s="154">
        <v>4166357</v>
      </c>
    </row>
    <row r="3" spans="1:6">
      <c r="A3" s="154">
        <v>1</v>
      </c>
      <c r="B3" s="154" t="s">
        <v>898</v>
      </c>
      <c r="C3" s="154">
        <v>14316433</v>
      </c>
      <c r="D3" s="154">
        <v>72639</v>
      </c>
      <c r="E3" s="154">
        <v>11948032</v>
      </c>
      <c r="F3" s="154">
        <v>381959</v>
      </c>
    </row>
    <row r="4" spans="1:6">
      <c r="A4" s="154">
        <v>1</v>
      </c>
      <c r="B4" s="154" t="s">
        <v>899</v>
      </c>
      <c r="C4" s="154">
        <v>13651641</v>
      </c>
      <c r="D4" s="154">
        <v>69565</v>
      </c>
      <c r="E4" s="154">
        <v>11570899</v>
      </c>
      <c r="F4" s="154">
        <v>370990</v>
      </c>
    </row>
    <row r="5" spans="1:6">
      <c r="A5" s="154">
        <v>1</v>
      </c>
      <c r="B5" s="154" t="s">
        <v>900</v>
      </c>
      <c r="C5" s="154">
        <v>14402461</v>
      </c>
      <c r="D5" s="154">
        <v>72753</v>
      </c>
      <c r="E5" s="154">
        <v>12497747</v>
      </c>
      <c r="F5" s="154">
        <v>370858</v>
      </c>
    </row>
    <row r="6" spans="1:6">
      <c r="A6" s="154">
        <v>1</v>
      </c>
      <c r="B6" s="154" t="s">
        <v>901</v>
      </c>
      <c r="C6" s="154">
        <v>13446807</v>
      </c>
      <c r="D6" s="154">
        <v>68494</v>
      </c>
      <c r="E6" s="154">
        <v>11200926</v>
      </c>
      <c r="F6" s="154">
        <v>352527</v>
      </c>
    </row>
    <row r="7" spans="1:6">
      <c r="A7" s="154">
        <v>1</v>
      </c>
      <c r="B7" s="154" t="s">
        <v>902</v>
      </c>
      <c r="C7" s="154">
        <v>13896983</v>
      </c>
      <c r="D7" s="154">
        <v>70343</v>
      </c>
      <c r="E7" s="154">
        <v>12222751</v>
      </c>
      <c r="F7" s="154">
        <v>360097</v>
      </c>
    </row>
    <row r="8" spans="1:6">
      <c r="A8" s="154">
        <v>1</v>
      </c>
      <c r="B8" s="154" t="s">
        <v>903</v>
      </c>
      <c r="C8" s="154">
        <v>13684976</v>
      </c>
      <c r="D8" s="154">
        <v>69339</v>
      </c>
      <c r="E8" s="154">
        <v>11643666</v>
      </c>
      <c r="F8" s="154">
        <v>357750</v>
      </c>
    </row>
    <row r="9" spans="1:6">
      <c r="A9" s="154">
        <v>1</v>
      </c>
      <c r="B9" s="154" t="s">
        <v>904</v>
      </c>
      <c r="C9" s="154">
        <v>12981028</v>
      </c>
      <c r="D9" s="154">
        <v>66072</v>
      </c>
      <c r="E9" s="154">
        <v>11247581</v>
      </c>
      <c r="F9" s="154">
        <v>341374</v>
      </c>
    </row>
    <row r="10" spans="1:6">
      <c r="A10" s="154">
        <v>1</v>
      </c>
      <c r="B10" s="154" t="s">
        <v>905</v>
      </c>
      <c r="C10" s="154">
        <v>13216558</v>
      </c>
      <c r="D10" s="154">
        <v>66845</v>
      </c>
      <c r="E10" s="154">
        <v>11072342</v>
      </c>
      <c r="F10" s="154">
        <v>328183</v>
      </c>
    </row>
    <row r="11" spans="1:6">
      <c r="A11" s="154">
        <v>1</v>
      </c>
      <c r="B11" s="154" t="s">
        <v>906</v>
      </c>
      <c r="C11" s="154">
        <v>12243293</v>
      </c>
      <c r="D11" s="154">
        <v>62430</v>
      </c>
      <c r="E11" s="154">
        <v>10458043</v>
      </c>
      <c r="F11" s="154">
        <v>329242</v>
      </c>
    </row>
    <row r="12" spans="1:6">
      <c r="A12" s="154">
        <v>1</v>
      </c>
      <c r="B12" s="154" t="s">
        <v>907</v>
      </c>
      <c r="C12" s="154">
        <v>11871844</v>
      </c>
      <c r="D12" s="154">
        <v>61182</v>
      </c>
      <c r="E12" s="154">
        <v>9982204</v>
      </c>
      <c r="F12" s="154">
        <v>344820</v>
      </c>
    </row>
    <row r="13" spans="1:6">
      <c r="A13" s="154">
        <v>1</v>
      </c>
      <c r="B13" s="154" t="s">
        <v>908</v>
      </c>
      <c r="C13" s="154">
        <v>10730314</v>
      </c>
      <c r="D13" s="154">
        <v>55121</v>
      </c>
      <c r="E13" s="154">
        <v>9770828</v>
      </c>
      <c r="F13" s="154">
        <v>312839</v>
      </c>
    </row>
    <row r="14" spans="1:6">
      <c r="A14" s="154">
        <v>1</v>
      </c>
      <c r="B14" s="154" t="s">
        <v>909</v>
      </c>
      <c r="C14" s="154">
        <v>11410494</v>
      </c>
      <c r="D14" s="154">
        <v>58644</v>
      </c>
      <c r="E14" s="154">
        <v>9973020</v>
      </c>
      <c r="F14" s="154">
        <v>315719</v>
      </c>
    </row>
    <row r="15" spans="1:6" s="155" customFormat="1">
      <c r="A15" s="155">
        <v>2</v>
      </c>
      <c r="B15" s="155" t="s">
        <v>363</v>
      </c>
      <c r="C15" s="155">
        <v>128552398</v>
      </c>
      <c r="D15" s="155">
        <v>652159</v>
      </c>
      <c r="E15" s="155">
        <v>112378126</v>
      </c>
      <c r="F15" s="155">
        <v>2968321</v>
      </c>
    </row>
    <row r="16" spans="1:6">
      <c r="A16" s="154">
        <v>3</v>
      </c>
      <c r="B16" s="154" t="s">
        <v>364</v>
      </c>
      <c r="C16" s="154">
        <v>31623215</v>
      </c>
      <c r="D16" s="154">
        <v>162366</v>
      </c>
      <c r="E16" s="154">
        <v>26549034</v>
      </c>
      <c r="F16" s="154">
        <v>1607667</v>
      </c>
    </row>
    <row r="17" spans="1:6">
      <c r="A17" s="154">
        <v>4</v>
      </c>
      <c r="B17" s="154" t="s">
        <v>365</v>
      </c>
      <c r="C17" s="154">
        <v>23348419</v>
      </c>
      <c r="D17" s="154">
        <v>110303</v>
      </c>
      <c r="E17" s="154">
        <v>19162423</v>
      </c>
      <c r="F17" s="154">
        <v>810298</v>
      </c>
    </row>
    <row r="18" spans="1:6">
      <c r="A18" s="154">
        <v>5</v>
      </c>
      <c r="B18" s="154" t="s">
        <v>366</v>
      </c>
      <c r="C18" s="154">
        <v>18909549</v>
      </c>
      <c r="D18" s="154">
        <v>101703</v>
      </c>
      <c r="E18" s="154">
        <v>17368133</v>
      </c>
      <c r="F18" s="154">
        <v>142723</v>
      </c>
    </row>
    <row r="19" spans="1:6">
      <c r="A19" s="154">
        <v>6</v>
      </c>
      <c r="B19" s="154" t="s">
        <v>367</v>
      </c>
      <c r="C19" s="154">
        <v>16624484</v>
      </c>
      <c r="D19" s="154">
        <v>82949</v>
      </c>
      <c r="E19" s="154">
        <v>14728863</v>
      </c>
      <c r="F19" s="154">
        <v>110755</v>
      </c>
    </row>
    <row r="20" spans="1:6">
      <c r="A20" s="154">
        <v>7</v>
      </c>
      <c r="B20" s="154" t="s">
        <v>368</v>
      </c>
      <c r="C20" s="154">
        <v>12860469</v>
      </c>
      <c r="D20" s="154">
        <v>64100</v>
      </c>
      <c r="E20" s="154">
        <v>11406451</v>
      </c>
      <c r="F20" s="154">
        <v>73898</v>
      </c>
    </row>
    <row r="21" spans="1:6">
      <c r="A21" s="154">
        <v>8</v>
      </c>
      <c r="B21" s="154" t="s">
        <v>369</v>
      </c>
      <c r="C21" s="154">
        <v>3986766</v>
      </c>
      <c r="D21" s="154">
        <v>21104</v>
      </c>
      <c r="E21" s="154">
        <v>3754624</v>
      </c>
      <c r="F21" s="154">
        <v>16902</v>
      </c>
    </row>
    <row r="22" spans="1:6">
      <c r="A22" s="154">
        <v>9</v>
      </c>
      <c r="B22" s="154" t="s">
        <v>370</v>
      </c>
      <c r="C22" s="154">
        <v>15698524</v>
      </c>
      <c r="D22" s="154">
        <v>80312</v>
      </c>
      <c r="E22" s="154">
        <v>14491778</v>
      </c>
      <c r="F22" s="154">
        <v>108685</v>
      </c>
    </row>
    <row r="23" spans="1:6">
      <c r="A23" s="154">
        <v>10</v>
      </c>
      <c r="B23" s="154" t="s">
        <v>846</v>
      </c>
      <c r="C23" s="154">
        <v>0</v>
      </c>
      <c r="D23" s="154">
        <v>3556</v>
      </c>
      <c r="E23" s="154">
        <v>0</v>
      </c>
      <c r="F23" s="154">
        <v>39323</v>
      </c>
    </row>
    <row r="24" spans="1:6">
      <c r="A24" s="154">
        <v>11</v>
      </c>
      <c r="B24" s="154" t="s">
        <v>371</v>
      </c>
      <c r="C24" s="154">
        <v>3247090</v>
      </c>
      <c r="D24" s="154">
        <v>15381</v>
      </c>
      <c r="E24" s="154">
        <v>3015076</v>
      </c>
      <c r="F24" s="154">
        <v>20046</v>
      </c>
    </row>
    <row r="25" spans="1:6">
      <c r="A25" s="154">
        <v>12</v>
      </c>
      <c r="B25" s="154" t="s">
        <v>501</v>
      </c>
      <c r="C25" s="154">
        <v>778141</v>
      </c>
      <c r="D25" s="154">
        <v>2432</v>
      </c>
      <c r="E25" s="154">
        <v>674547</v>
      </c>
      <c r="F25" s="154">
        <v>30228</v>
      </c>
    </row>
    <row r="26" spans="1:6">
      <c r="A26" s="154">
        <v>13</v>
      </c>
      <c r="B26" s="154" t="s">
        <v>500</v>
      </c>
      <c r="C26" s="154">
        <v>1107000</v>
      </c>
      <c r="D26" s="154">
        <v>6150</v>
      </c>
      <c r="E26" s="154">
        <v>970543</v>
      </c>
      <c r="F26" s="154">
        <v>5859</v>
      </c>
    </row>
    <row r="27" spans="1:6">
      <c r="A27" s="154">
        <v>14</v>
      </c>
      <c r="B27" s="154" t="s">
        <v>847</v>
      </c>
      <c r="C27" s="154">
        <v>368741</v>
      </c>
      <c r="D27" s="154">
        <v>1803</v>
      </c>
      <c r="E27" s="154">
        <v>256654</v>
      </c>
      <c r="F27" s="154">
        <v>1935</v>
      </c>
    </row>
    <row r="28" spans="1:6">
      <c r="A28" s="154">
        <v>99</v>
      </c>
      <c r="B28" s="154" t="s">
        <v>372</v>
      </c>
      <c r="C28" s="154">
        <v>27300434</v>
      </c>
      <c r="D28" s="154">
        <v>141268</v>
      </c>
      <c r="E28" s="154">
        <v>21209913</v>
      </c>
      <c r="F28" s="154">
        <v>1198037</v>
      </c>
    </row>
    <row r="29" spans="1:6">
      <c r="A29" s="154">
        <v>100</v>
      </c>
      <c r="B29" s="154" t="s">
        <v>848</v>
      </c>
      <c r="C29" s="154">
        <v>7642</v>
      </c>
      <c r="D29" s="154">
        <v>78</v>
      </c>
      <c r="E29" s="154">
        <v>6851</v>
      </c>
      <c r="F29" s="154">
        <v>88</v>
      </c>
    </row>
    <row r="30" spans="1:6">
      <c r="A30" s="154">
        <v>100</v>
      </c>
      <c r="B30" s="154" t="s">
        <v>471</v>
      </c>
      <c r="C30" s="154">
        <v>83444</v>
      </c>
      <c r="D30" s="154">
        <v>424</v>
      </c>
      <c r="E30" s="154">
        <v>69815</v>
      </c>
      <c r="F30" s="154">
        <v>1567</v>
      </c>
    </row>
    <row r="31" spans="1:6">
      <c r="A31" s="154">
        <v>100</v>
      </c>
      <c r="B31" s="154" t="s">
        <v>470</v>
      </c>
      <c r="C31" s="154">
        <v>435568</v>
      </c>
      <c r="D31" s="154">
        <v>2120</v>
      </c>
      <c r="E31" s="154">
        <v>370523</v>
      </c>
      <c r="F31" s="154">
        <v>4044</v>
      </c>
    </row>
    <row r="32" spans="1:6">
      <c r="A32" s="154">
        <v>100</v>
      </c>
      <c r="B32" s="154" t="s">
        <v>498</v>
      </c>
      <c r="C32" s="154">
        <v>108576</v>
      </c>
      <c r="D32" s="154">
        <v>424</v>
      </c>
      <c r="E32" s="154">
        <v>93299</v>
      </c>
      <c r="F32" s="154">
        <v>2800</v>
      </c>
    </row>
    <row r="33" spans="1:6">
      <c r="A33" s="154">
        <v>100</v>
      </c>
      <c r="B33" s="154" t="s">
        <v>892</v>
      </c>
      <c r="C33" s="154">
        <v>508</v>
      </c>
      <c r="D33" s="154">
        <v>2</v>
      </c>
      <c r="E33" s="154">
        <v>160</v>
      </c>
      <c r="F33" s="154">
        <v>5</v>
      </c>
    </row>
    <row r="34" spans="1:6">
      <c r="A34" s="154">
        <v>100</v>
      </c>
      <c r="B34" s="154" t="s">
        <v>893</v>
      </c>
      <c r="C34" s="154">
        <v>7008</v>
      </c>
      <c r="D34" s="154">
        <v>24</v>
      </c>
      <c r="E34" s="154">
        <v>4891</v>
      </c>
      <c r="F34" s="154">
        <v>155</v>
      </c>
    </row>
    <row r="35" spans="1:6">
      <c r="A35" s="154">
        <v>100</v>
      </c>
      <c r="B35" s="154" t="s">
        <v>469</v>
      </c>
      <c r="C35" s="154">
        <v>153768</v>
      </c>
      <c r="D35" s="154">
        <v>525</v>
      </c>
      <c r="E35" s="154">
        <v>128789</v>
      </c>
      <c r="F35" s="154">
        <v>8058</v>
      </c>
    </row>
    <row r="36" spans="1:6">
      <c r="A36" s="154">
        <v>100</v>
      </c>
      <c r="B36" s="154" t="s">
        <v>468</v>
      </c>
      <c r="C36" s="154">
        <v>824371</v>
      </c>
      <c r="D36" s="154">
        <v>3809</v>
      </c>
      <c r="E36" s="154">
        <v>649622</v>
      </c>
      <c r="F36" s="154">
        <v>12535</v>
      </c>
    </row>
    <row r="37" spans="1:6">
      <c r="A37" s="154">
        <v>100</v>
      </c>
      <c r="B37" s="154" t="s">
        <v>467</v>
      </c>
      <c r="C37" s="154">
        <v>314706</v>
      </c>
      <c r="D37" s="154">
        <v>1743</v>
      </c>
      <c r="E37" s="154">
        <v>232847</v>
      </c>
      <c r="F37" s="154">
        <v>2506</v>
      </c>
    </row>
    <row r="38" spans="1:6">
      <c r="A38" s="154">
        <v>100</v>
      </c>
      <c r="B38" s="154" t="s">
        <v>466</v>
      </c>
      <c r="C38" s="154">
        <v>238198</v>
      </c>
      <c r="D38" s="154">
        <v>716</v>
      </c>
      <c r="E38" s="154">
        <v>192578</v>
      </c>
      <c r="F38" s="154">
        <v>15180</v>
      </c>
    </row>
    <row r="39" spans="1:6">
      <c r="A39" s="154">
        <v>100</v>
      </c>
      <c r="B39" s="154" t="s">
        <v>465</v>
      </c>
      <c r="C39" s="154">
        <v>535976</v>
      </c>
      <c r="D39" s="154">
        <v>2856</v>
      </c>
      <c r="E39" s="154">
        <v>471831</v>
      </c>
      <c r="F39" s="154">
        <v>3837</v>
      </c>
    </row>
    <row r="40" spans="1:6">
      <c r="A40" s="154">
        <v>100</v>
      </c>
      <c r="B40" s="154" t="s">
        <v>464</v>
      </c>
      <c r="C40" s="154">
        <v>249344</v>
      </c>
      <c r="D40" s="154">
        <v>670</v>
      </c>
      <c r="E40" s="154">
        <v>213371</v>
      </c>
      <c r="F40" s="154">
        <v>12033</v>
      </c>
    </row>
    <row r="41" spans="1:6">
      <c r="A41" s="154">
        <v>100</v>
      </c>
      <c r="B41" s="154" t="s">
        <v>463</v>
      </c>
      <c r="C41" s="154">
        <v>240366</v>
      </c>
      <c r="D41" s="154">
        <v>855</v>
      </c>
      <c r="E41" s="154">
        <v>209171</v>
      </c>
      <c r="F41" s="154">
        <v>10988</v>
      </c>
    </row>
    <row r="42" spans="1:6">
      <c r="A42" s="154">
        <v>100</v>
      </c>
      <c r="B42" s="154" t="s">
        <v>462</v>
      </c>
      <c r="C42" s="154">
        <v>0</v>
      </c>
      <c r="D42" s="154">
        <v>2998</v>
      </c>
      <c r="E42" s="154">
        <v>0</v>
      </c>
      <c r="F42" s="154">
        <v>101252</v>
      </c>
    </row>
    <row r="43" spans="1:6">
      <c r="A43" s="154">
        <v>100</v>
      </c>
      <c r="B43" s="154" t="s">
        <v>461</v>
      </c>
      <c r="C43" s="154">
        <v>0</v>
      </c>
      <c r="D43" s="154">
        <v>3214</v>
      </c>
      <c r="E43" s="154">
        <v>0</v>
      </c>
      <c r="F43" s="154">
        <v>66356</v>
      </c>
    </row>
    <row r="44" spans="1:6">
      <c r="A44" s="154">
        <v>100</v>
      </c>
      <c r="B44" s="154" t="s">
        <v>910</v>
      </c>
      <c r="C44" s="154">
        <v>0</v>
      </c>
      <c r="D44" s="154">
        <v>62</v>
      </c>
      <c r="E44" s="154">
        <v>0</v>
      </c>
      <c r="F44" s="154">
        <v>1701</v>
      </c>
    </row>
    <row r="45" spans="1:6">
      <c r="A45" s="154">
        <v>100</v>
      </c>
      <c r="B45" s="154" t="s">
        <v>494</v>
      </c>
      <c r="C45" s="154">
        <v>0</v>
      </c>
      <c r="D45" s="154">
        <v>230</v>
      </c>
      <c r="E45" s="154">
        <v>0</v>
      </c>
      <c r="F45" s="154">
        <v>1060</v>
      </c>
    </row>
    <row r="46" spans="1:6">
      <c r="A46" s="154">
        <v>100</v>
      </c>
      <c r="B46" s="154" t="s">
        <v>458</v>
      </c>
      <c r="C46" s="154">
        <v>399954</v>
      </c>
      <c r="D46" s="154">
        <v>1348</v>
      </c>
      <c r="E46" s="154">
        <v>356815</v>
      </c>
      <c r="F46" s="154">
        <v>36473</v>
      </c>
    </row>
    <row r="47" spans="1:6">
      <c r="A47" s="154">
        <v>100</v>
      </c>
      <c r="B47" s="154" t="s">
        <v>457</v>
      </c>
      <c r="C47" s="154">
        <v>672068</v>
      </c>
      <c r="D47" s="154">
        <v>2174</v>
      </c>
      <c r="E47" s="154">
        <v>490875</v>
      </c>
      <c r="F47" s="154">
        <v>26664</v>
      </c>
    </row>
    <row r="48" spans="1:6">
      <c r="A48" s="154">
        <v>100</v>
      </c>
      <c r="B48" s="154" t="s">
        <v>456</v>
      </c>
      <c r="C48" s="154">
        <v>392386</v>
      </c>
      <c r="D48" s="154">
        <v>1050</v>
      </c>
      <c r="E48" s="154">
        <v>323776</v>
      </c>
      <c r="F48" s="154">
        <v>8445</v>
      </c>
    </row>
    <row r="49" spans="1:6">
      <c r="A49" s="154">
        <v>100</v>
      </c>
      <c r="B49" s="154" t="s">
        <v>455</v>
      </c>
      <c r="C49" s="154">
        <v>364500</v>
      </c>
      <c r="D49" s="154">
        <v>2025</v>
      </c>
      <c r="E49" s="154">
        <v>302830</v>
      </c>
      <c r="F49" s="154">
        <v>3548</v>
      </c>
    </row>
    <row r="50" spans="1:6">
      <c r="A50" s="154">
        <v>100</v>
      </c>
      <c r="B50" s="154" t="s">
        <v>453</v>
      </c>
      <c r="C50" s="154">
        <v>791536</v>
      </c>
      <c r="D50" s="154">
        <v>2787</v>
      </c>
      <c r="E50" s="154">
        <v>656753</v>
      </c>
      <c r="F50" s="154">
        <v>31695</v>
      </c>
    </row>
    <row r="51" spans="1:6">
      <c r="A51" s="154">
        <v>100</v>
      </c>
      <c r="B51" s="154" t="s">
        <v>452</v>
      </c>
      <c r="C51" s="154">
        <v>0</v>
      </c>
      <c r="D51" s="154">
        <v>1345</v>
      </c>
      <c r="E51" s="154">
        <v>0</v>
      </c>
      <c r="F51" s="154">
        <v>17372</v>
      </c>
    </row>
    <row r="52" spans="1:6">
      <c r="A52" s="154">
        <v>100</v>
      </c>
      <c r="B52" s="154" t="s">
        <v>451</v>
      </c>
      <c r="C52" s="154">
        <v>287862</v>
      </c>
      <c r="D52" s="154">
        <v>1133</v>
      </c>
      <c r="E52" s="154">
        <v>264570</v>
      </c>
      <c r="F52" s="154">
        <v>47271</v>
      </c>
    </row>
    <row r="53" spans="1:6">
      <c r="A53" s="154">
        <v>100</v>
      </c>
      <c r="B53" s="154" t="s">
        <v>450</v>
      </c>
      <c r="C53" s="154">
        <v>0</v>
      </c>
      <c r="D53" s="154">
        <v>311</v>
      </c>
      <c r="E53" s="154">
        <v>0</v>
      </c>
      <c r="F53" s="154">
        <v>18730</v>
      </c>
    </row>
    <row r="54" spans="1:6">
      <c r="A54" s="154">
        <v>100</v>
      </c>
      <c r="B54" s="154" t="s">
        <v>449</v>
      </c>
      <c r="C54" s="154">
        <v>0</v>
      </c>
      <c r="D54" s="154">
        <v>275</v>
      </c>
      <c r="E54" s="154">
        <v>0</v>
      </c>
      <c r="F54" s="154">
        <v>11161</v>
      </c>
    </row>
    <row r="55" spans="1:6">
      <c r="A55" s="154">
        <v>100</v>
      </c>
      <c r="B55" s="154" t="s">
        <v>448</v>
      </c>
      <c r="C55" s="154">
        <v>90184</v>
      </c>
      <c r="D55" s="154">
        <v>546</v>
      </c>
      <c r="E55" s="154">
        <v>49674</v>
      </c>
      <c r="F55" s="154">
        <v>739</v>
      </c>
    </row>
    <row r="56" spans="1:6">
      <c r="A56" s="154">
        <v>100</v>
      </c>
      <c r="B56" s="154" t="s">
        <v>447</v>
      </c>
      <c r="C56" s="154">
        <v>477218</v>
      </c>
      <c r="D56" s="154">
        <v>2565</v>
      </c>
      <c r="E56" s="154">
        <v>377388</v>
      </c>
      <c r="F56" s="154">
        <v>3373</v>
      </c>
    </row>
    <row r="57" spans="1:6">
      <c r="A57" s="154">
        <v>100</v>
      </c>
      <c r="B57" s="154" t="s">
        <v>445</v>
      </c>
      <c r="C57" s="154">
        <v>83808</v>
      </c>
      <c r="D57" s="154">
        <v>460</v>
      </c>
      <c r="E57" s="154">
        <v>50391</v>
      </c>
      <c r="F57" s="154">
        <v>664</v>
      </c>
    </row>
    <row r="58" spans="1:6">
      <c r="A58" s="154">
        <v>100</v>
      </c>
      <c r="B58" s="154" t="s">
        <v>444</v>
      </c>
      <c r="C58" s="154">
        <v>5928</v>
      </c>
      <c r="D58" s="154">
        <v>32</v>
      </c>
      <c r="E58" s="154">
        <v>1872</v>
      </c>
      <c r="F58" s="154">
        <v>17</v>
      </c>
    </row>
    <row r="59" spans="1:6">
      <c r="A59" s="154">
        <v>100</v>
      </c>
      <c r="B59" s="154" t="s">
        <v>520</v>
      </c>
      <c r="C59" s="154">
        <v>251926</v>
      </c>
      <c r="D59" s="154">
        <v>869</v>
      </c>
      <c r="E59" s="154">
        <v>184363</v>
      </c>
      <c r="F59" s="154">
        <v>8702</v>
      </c>
    </row>
    <row r="60" spans="1:6">
      <c r="A60" s="154">
        <v>100</v>
      </c>
      <c r="B60" s="154" t="s">
        <v>443</v>
      </c>
      <c r="C60" s="154">
        <v>746007</v>
      </c>
      <c r="D60" s="154">
        <v>3103</v>
      </c>
      <c r="E60" s="154">
        <v>594909</v>
      </c>
      <c r="F60" s="154">
        <v>21991</v>
      </c>
    </row>
    <row r="61" spans="1:6">
      <c r="A61" s="154">
        <v>100</v>
      </c>
      <c r="B61" s="154" t="s">
        <v>442</v>
      </c>
      <c r="C61" s="154">
        <v>0</v>
      </c>
      <c r="D61" s="154">
        <v>482</v>
      </c>
      <c r="E61" s="154">
        <v>0</v>
      </c>
      <c r="F61" s="154">
        <v>30858</v>
      </c>
    </row>
    <row r="62" spans="1:6">
      <c r="A62" s="154">
        <v>100</v>
      </c>
      <c r="B62" s="154" t="s">
        <v>441</v>
      </c>
      <c r="C62" s="154">
        <v>108824</v>
      </c>
      <c r="D62" s="154">
        <v>618</v>
      </c>
      <c r="E62" s="154">
        <v>87356</v>
      </c>
      <c r="F62" s="154">
        <v>1936</v>
      </c>
    </row>
    <row r="63" spans="1:6">
      <c r="A63" s="154">
        <v>100</v>
      </c>
      <c r="B63" s="154" t="s">
        <v>440</v>
      </c>
      <c r="C63" s="154">
        <v>0</v>
      </c>
      <c r="D63" s="154">
        <v>504</v>
      </c>
      <c r="E63" s="154">
        <v>0</v>
      </c>
      <c r="F63" s="154">
        <v>3218</v>
      </c>
    </row>
    <row r="64" spans="1:6">
      <c r="A64" s="154">
        <v>100</v>
      </c>
      <c r="B64" s="154" t="s">
        <v>439</v>
      </c>
      <c r="C64" s="154">
        <v>159130</v>
      </c>
      <c r="D64" s="154">
        <v>950</v>
      </c>
      <c r="E64" s="154">
        <v>110912</v>
      </c>
      <c r="F64" s="154">
        <v>2685</v>
      </c>
    </row>
    <row r="65" spans="1:6">
      <c r="A65" s="154">
        <v>100</v>
      </c>
      <c r="B65" s="154" t="s">
        <v>438</v>
      </c>
      <c r="C65" s="154">
        <v>0</v>
      </c>
      <c r="D65" s="154">
        <v>48</v>
      </c>
      <c r="E65" s="154">
        <v>0</v>
      </c>
      <c r="F65" s="154">
        <v>902</v>
      </c>
    </row>
    <row r="66" spans="1:6">
      <c r="A66" s="154">
        <v>100</v>
      </c>
      <c r="B66" s="154" t="s">
        <v>436</v>
      </c>
      <c r="C66" s="154">
        <v>1661634</v>
      </c>
      <c r="D66" s="154">
        <v>9025</v>
      </c>
      <c r="E66" s="154">
        <v>1092936</v>
      </c>
      <c r="F66" s="154">
        <v>28304</v>
      </c>
    </row>
    <row r="67" spans="1:6">
      <c r="A67" s="154">
        <v>100</v>
      </c>
      <c r="B67" s="154" t="s">
        <v>435</v>
      </c>
      <c r="C67" s="154">
        <v>1325620</v>
      </c>
      <c r="D67" s="154">
        <v>7200</v>
      </c>
      <c r="E67" s="154">
        <v>936998</v>
      </c>
      <c r="F67" s="154">
        <v>18670</v>
      </c>
    </row>
    <row r="68" spans="1:6">
      <c r="A68" s="154">
        <v>100</v>
      </c>
      <c r="B68" s="154" t="s">
        <v>434</v>
      </c>
      <c r="C68" s="154">
        <v>198894</v>
      </c>
      <c r="D68" s="154">
        <v>1146</v>
      </c>
      <c r="E68" s="154">
        <v>142289</v>
      </c>
      <c r="F68" s="154">
        <v>1673</v>
      </c>
    </row>
    <row r="69" spans="1:6">
      <c r="A69" s="154">
        <v>100</v>
      </c>
      <c r="B69" s="154" t="s">
        <v>433</v>
      </c>
      <c r="C69" s="154">
        <v>817288</v>
      </c>
      <c r="D69" s="154">
        <v>4618</v>
      </c>
      <c r="E69" s="154">
        <v>491205</v>
      </c>
      <c r="F69" s="154">
        <v>8427</v>
      </c>
    </row>
    <row r="70" spans="1:6">
      <c r="A70" s="154">
        <v>100</v>
      </c>
      <c r="B70" s="154" t="s">
        <v>432</v>
      </c>
      <c r="C70" s="154">
        <v>74586</v>
      </c>
      <c r="D70" s="154">
        <v>401</v>
      </c>
      <c r="E70" s="154">
        <v>59840</v>
      </c>
      <c r="F70" s="154">
        <v>801</v>
      </c>
    </row>
    <row r="71" spans="1:6">
      <c r="A71" s="154">
        <v>100</v>
      </c>
      <c r="B71" s="154" t="s">
        <v>490</v>
      </c>
      <c r="C71" s="154">
        <v>110215</v>
      </c>
      <c r="D71" s="154">
        <v>329</v>
      </c>
      <c r="E71" s="154">
        <v>95671</v>
      </c>
      <c r="F71" s="154">
        <v>2368</v>
      </c>
    </row>
    <row r="72" spans="1:6">
      <c r="A72" s="154">
        <v>100</v>
      </c>
      <c r="B72" s="154" t="s">
        <v>431</v>
      </c>
      <c r="C72" s="154">
        <v>386357</v>
      </c>
      <c r="D72" s="154">
        <v>2630</v>
      </c>
      <c r="E72" s="154">
        <v>338865</v>
      </c>
      <c r="F72" s="154">
        <v>21764</v>
      </c>
    </row>
    <row r="73" spans="1:6">
      <c r="A73" s="154">
        <v>100</v>
      </c>
      <c r="B73" s="154" t="s">
        <v>430</v>
      </c>
      <c r="C73" s="154">
        <v>423884</v>
      </c>
      <c r="D73" s="154">
        <v>2191</v>
      </c>
      <c r="E73" s="154">
        <v>363682</v>
      </c>
      <c r="F73" s="154">
        <v>7722</v>
      </c>
    </row>
    <row r="74" spans="1:6">
      <c r="A74" s="154">
        <v>100</v>
      </c>
      <c r="B74" s="154" t="s">
        <v>894</v>
      </c>
      <c r="C74" s="154">
        <v>0</v>
      </c>
      <c r="D74" s="154">
        <v>4</v>
      </c>
      <c r="E74" s="154">
        <v>0</v>
      </c>
      <c r="F74" s="154">
        <v>11</v>
      </c>
    </row>
    <row r="75" spans="1:6">
      <c r="A75" s="154">
        <v>100</v>
      </c>
      <c r="B75" s="154" t="s">
        <v>429</v>
      </c>
      <c r="C75" s="154">
        <v>95744</v>
      </c>
      <c r="D75" s="154">
        <v>376</v>
      </c>
      <c r="E75" s="154">
        <v>73372</v>
      </c>
      <c r="F75" s="154">
        <v>4233</v>
      </c>
    </row>
    <row r="76" spans="1:6">
      <c r="A76" s="154">
        <v>100</v>
      </c>
      <c r="B76" s="154" t="s">
        <v>428</v>
      </c>
      <c r="C76" s="154">
        <v>0</v>
      </c>
      <c r="D76" s="154">
        <v>5</v>
      </c>
      <c r="E76" s="154">
        <v>0</v>
      </c>
      <c r="F76" s="154">
        <v>65</v>
      </c>
    </row>
    <row r="77" spans="1:6">
      <c r="A77" s="154">
        <v>100</v>
      </c>
      <c r="B77" s="154" t="s">
        <v>427</v>
      </c>
      <c r="C77" s="154">
        <v>0</v>
      </c>
      <c r="D77" s="154">
        <v>2808</v>
      </c>
      <c r="E77" s="154">
        <v>0</v>
      </c>
      <c r="F77" s="154">
        <v>47342</v>
      </c>
    </row>
    <row r="78" spans="1:6">
      <c r="A78" s="154">
        <v>100</v>
      </c>
      <c r="B78" s="154" t="s">
        <v>425</v>
      </c>
      <c r="C78" s="154">
        <v>284049</v>
      </c>
      <c r="D78" s="154">
        <v>1080</v>
      </c>
      <c r="E78" s="154">
        <v>260611</v>
      </c>
      <c r="F78" s="154">
        <v>18479</v>
      </c>
    </row>
    <row r="79" spans="1:6">
      <c r="A79" s="154">
        <v>100</v>
      </c>
      <c r="B79" s="154" t="s">
        <v>422</v>
      </c>
      <c r="C79" s="154">
        <v>179304</v>
      </c>
      <c r="D79" s="154">
        <v>804</v>
      </c>
      <c r="E79" s="154">
        <v>141410</v>
      </c>
      <c r="F79" s="154">
        <v>7689</v>
      </c>
    </row>
    <row r="80" spans="1:6">
      <c r="A80" s="154">
        <v>100</v>
      </c>
      <c r="B80" s="154" t="s">
        <v>418</v>
      </c>
      <c r="C80" s="154">
        <v>240334</v>
      </c>
      <c r="D80" s="154">
        <v>754</v>
      </c>
      <c r="E80" s="154">
        <v>206002</v>
      </c>
      <c r="F80" s="154">
        <v>13502</v>
      </c>
    </row>
    <row r="81" spans="1:6">
      <c r="A81" s="154">
        <v>100</v>
      </c>
      <c r="B81" s="154" t="s">
        <v>417</v>
      </c>
      <c r="C81" s="154">
        <v>257842</v>
      </c>
      <c r="D81" s="154">
        <v>1295</v>
      </c>
      <c r="E81" s="154">
        <v>101752</v>
      </c>
      <c r="F81" s="154">
        <v>18427</v>
      </c>
    </row>
    <row r="82" spans="1:6">
      <c r="A82" s="154">
        <v>100</v>
      </c>
      <c r="B82" s="154" t="s">
        <v>416</v>
      </c>
      <c r="C82" s="154">
        <v>0</v>
      </c>
      <c r="D82" s="154">
        <v>610</v>
      </c>
      <c r="E82" s="154">
        <v>0</v>
      </c>
      <c r="F82" s="154">
        <v>24429</v>
      </c>
    </row>
    <row r="83" spans="1:6">
      <c r="A83" s="154">
        <v>100</v>
      </c>
      <c r="B83" s="154" t="s">
        <v>415</v>
      </c>
      <c r="C83" s="154">
        <v>406990</v>
      </c>
      <c r="D83" s="154">
        <v>1368</v>
      </c>
      <c r="E83" s="154">
        <v>398592</v>
      </c>
      <c r="F83" s="154">
        <v>24118</v>
      </c>
    </row>
    <row r="84" spans="1:6">
      <c r="A84" s="154">
        <v>100</v>
      </c>
      <c r="B84" s="154" t="s">
        <v>414</v>
      </c>
      <c r="C84" s="154">
        <v>478890</v>
      </c>
      <c r="D84" s="154">
        <v>1318</v>
      </c>
      <c r="E84" s="154">
        <v>356820</v>
      </c>
      <c r="F84" s="154">
        <v>11220</v>
      </c>
    </row>
    <row r="85" spans="1:6">
      <c r="A85" s="154">
        <v>100</v>
      </c>
      <c r="B85" s="154" t="s">
        <v>413</v>
      </c>
      <c r="C85" s="154">
        <v>130512</v>
      </c>
      <c r="D85" s="154">
        <v>642</v>
      </c>
      <c r="E85" s="154">
        <v>106031</v>
      </c>
      <c r="F85" s="154">
        <v>3104</v>
      </c>
    </row>
    <row r="86" spans="1:6">
      <c r="A86" s="154">
        <v>100</v>
      </c>
      <c r="B86" s="154" t="s">
        <v>411</v>
      </c>
      <c r="C86" s="154">
        <v>96654</v>
      </c>
      <c r="D86" s="154">
        <v>552</v>
      </c>
      <c r="E86" s="154">
        <v>70000</v>
      </c>
      <c r="F86" s="154">
        <v>980</v>
      </c>
    </row>
    <row r="87" spans="1:6">
      <c r="A87" s="154">
        <v>100</v>
      </c>
      <c r="B87" s="154" t="s">
        <v>410</v>
      </c>
      <c r="C87" s="154">
        <v>0</v>
      </c>
      <c r="D87" s="154">
        <v>919</v>
      </c>
      <c r="E87" s="154">
        <v>0</v>
      </c>
      <c r="F87" s="154">
        <v>21229</v>
      </c>
    </row>
    <row r="88" spans="1:6">
      <c r="A88" s="154">
        <v>100</v>
      </c>
      <c r="B88" s="154" t="s">
        <v>911</v>
      </c>
      <c r="C88" s="154">
        <v>23287</v>
      </c>
      <c r="D88" s="154">
        <v>165</v>
      </c>
      <c r="E88" s="154">
        <v>11411</v>
      </c>
      <c r="F88" s="154">
        <v>209</v>
      </c>
    </row>
    <row r="89" spans="1:6">
      <c r="A89" s="154">
        <v>100</v>
      </c>
      <c r="B89" s="154" t="s">
        <v>409</v>
      </c>
      <c r="C89" s="154">
        <v>588938</v>
      </c>
      <c r="D89" s="154">
        <v>2156</v>
      </c>
      <c r="E89" s="154">
        <v>456999</v>
      </c>
      <c r="F89" s="154">
        <v>17855</v>
      </c>
    </row>
    <row r="90" spans="1:6">
      <c r="A90" s="154">
        <v>100</v>
      </c>
      <c r="B90" s="154" t="s">
        <v>408</v>
      </c>
      <c r="C90" s="154">
        <v>367755</v>
      </c>
      <c r="D90" s="154">
        <v>731</v>
      </c>
      <c r="E90" s="154">
        <v>336018</v>
      </c>
      <c r="F90" s="154">
        <v>14783</v>
      </c>
    </row>
    <row r="91" spans="1:6">
      <c r="A91" s="154">
        <v>100</v>
      </c>
      <c r="B91" s="154" t="s">
        <v>912</v>
      </c>
      <c r="C91" s="154">
        <v>0</v>
      </c>
      <c r="D91" s="154">
        <v>12</v>
      </c>
      <c r="E91" s="154">
        <v>0</v>
      </c>
      <c r="F91" s="154">
        <v>566</v>
      </c>
    </row>
    <row r="92" spans="1:6">
      <c r="A92" s="154">
        <v>100</v>
      </c>
      <c r="B92" s="154" t="s">
        <v>404</v>
      </c>
      <c r="C92" s="154">
        <v>0</v>
      </c>
      <c r="D92" s="154">
        <v>4</v>
      </c>
      <c r="E92" s="154">
        <v>0</v>
      </c>
      <c r="F92" s="154">
        <v>154</v>
      </c>
    </row>
    <row r="93" spans="1:6">
      <c r="A93" s="154">
        <v>100</v>
      </c>
      <c r="B93" s="154" t="s">
        <v>403</v>
      </c>
      <c r="C93" s="154">
        <v>378</v>
      </c>
      <c r="D93" s="154">
        <v>3812</v>
      </c>
      <c r="E93" s="154">
        <v>262</v>
      </c>
      <c r="F93" s="154">
        <v>40345</v>
      </c>
    </row>
    <row r="94" spans="1:6">
      <c r="A94" s="154">
        <v>100</v>
      </c>
      <c r="B94" s="154" t="s">
        <v>400</v>
      </c>
      <c r="C94" s="154">
        <v>200660</v>
      </c>
      <c r="D94" s="154">
        <v>730</v>
      </c>
      <c r="E94" s="154">
        <v>189483</v>
      </c>
      <c r="F94" s="154">
        <v>7996</v>
      </c>
    </row>
    <row r="95" spans="1:6">
      <c r="A95" s="154">
        <v>100</v>
      </c>
      <c r="B95" s="154" t="s">
        <v>895</v>
      </c>
      <c r="C95" s="154">
        <v>0</v>
      </c>
      <c r="D95" s="154">
        <v>480</v>
      </c>
      <c r="E95" s="154">
        <v>0</v>
      </c>
      <c r="F95" s="154">
        <v>4265</v>
      </c>
    </row>
    <row r="96" spans="1:6">
      <c r="A96" s="154">
        <v>100</v>
      </c>
      <c r="B96" s="154" t="s">
        <v>399</v>
      </c>
      <c r="C96" s="154">
        <v>895132</v>
      </c>
      <c r="D96" s="154">
        <v>3300</v>
      </c>
      <c r="E96" s="154">
        <v>764625</v>
      </c>
      <c r="F96" s="154">
        <v>45439</v>
      </c>
    </row>
    <row r="97" spans="1:6">
      <c r="A97" s="154">
        <v>100</v>
      </c>
      <c r="B97" s="154" t="s">
        <v>398</v>
      </c>
      <c r="C97" s="154">
        <v>0</v>
      </c>
      <c r="D97" s="154">
        <v>277</v>
      </c>
      <c r="E97" s="154">
        <v>0</v>
      </c>
      <c r="F97" s="154">
        <v>18668</v>
      </c>
    </row>
    <row r="98" spans="1:6">
      <c r="A98" s="154">
        <v>100</v>
      </c>
      <c r="B98" s="154" t="s">
        <v>913</v>
      </c>
      <c r="C98" s="154">
        <v>13650</v>
      </c>
      <c r="D98" s="154">
        <v>91</v>
      </c>
      <c r="E98" s="154">
        <v>8567</v>
      </c>
      <c r="F98" s="154">
        <v>79</v>
      </c>
    </row>
    <row r="99" spans="1:6">
      <c r="A99" s="154">
        <v>100</v>
      </c>
      <c r="B99" s="154" t="s">
        <v>395</v>
      </c>
      <c r="C99" s="154">
        <v>475355</v>
      </c>
      <c r="D99" s="154">
        <v>1478</v>
      </c>
      <c r="E99" s="154">
        <v>413275</v>
      </c>
      <c r="F99" s="154">
        <v>6256</v>
      </c>
    </row>
    <row r="100" spans="1:6">
      <c r="A100" s="154">
        <v>100</v>
      </c>
      <c r="B100" s="154" t="s">
        <v>394</v>
      </c>
      <c r="C100" s="154">
        <v>108218</v>
      </c>
      <c r="D100" s="154">
        <v>594</v>
      </c>
      <c r="E100" s="154">
        <v>86832</v>
      </c>
      <c r="F100" s="154">
        <v>1250</v>
      </c>
    </row>
    <row r="101" spans="1:6">
      <c r="A101" s="154">
        <v>100</v>
      </c>
      <c r="B101" s="154" t="s">
        <v>914</v>
      </c>
      <c r="C101" s="154">
        <v>164</v>
      </c>
      <c r="D101" s="154">
        <v>2</v>
      </c>
      <c r="E101" s="154">
        <v>143</v>
      </c>
      <c r="F101" s="154">
        <v>3</v>
      </c>
    </row>
    <row r="102" spans="1:6">
      <c r="A102" s="154">
        <v>100</v>
      </c>
      <c r="B102" s="154" t="s">
        <v>478</v>
      </c>
      <c r="C102" s="154">
        <v>59916</v>
      </c>
      <c r="D102" s="154">
        <v>210</v>
      </c>
      <c r="E102" s="154">
        <v>40501</v>
      </c>
      <c r="F102" s="154">
        <v>2805</v>
      </c>
    </row>
    <row r="103" spans="1:6">
      <c r="A103" s="154">
        <v>100</v>
      </c>
      <c r="B103" s="154" t="s">
        <v>915</v>
      </c>
      <c r="C103" s="154">
        <v>0</v>
      </c>
      <c r="D103" s="154">
        <v>8</v>
      </c>
      <c r="E103" s="154">
        <v>0</v>
      </c>
      <c r="F103" s="154">
        <v>219</v>
      </c>
    </row>
    <row r="104" spans="1:6">
      <c r="A104" s="154">
        <v>100</v>
      </c>
      <c r="B104" s="154" t="s">
        <v>916</v>
      </c>
      <c r="C104" s="154">
        <v>0</v>
      </c>
      <c r="D104" s="154">
        <v>1290</v>
      </c>
      <c r="E104" s="154">
        <v>0</v>
      </c>
      <c r="F104" s="154">
        <v>10548</v>
      </c>
    </row>
    <row r="105" spans="1:6">
      <c r="A105" s="154">
        <v>100</v>
      </c>
      <c r="B105" s="154" t="s">
        <v>393</v>
      </c>
      <c r="C105" s="154">
        <v>501454</v>
      </c>
      <c r="D105" s="154">
        <v>2336</v>
      </c>
      <c r="E105" s="154">
        <v>364265</v>
      </c>
      <c r="F105" s="154">
        <v>4846</v>
      </c>
    </row>
    <row r="106" spans="1:6">
      <c r="A106" s="154">
        <v>100</v>
      </c>
      <c r="B106" s="154" t="s">
        <v>392</v>
      </c>
      <c r="C106" s="154">
        <v>227566</v>
      </c>
      <c r="D106" s="154">
        <v>1008</v>
      </c>
      <c r="E106" s="154">
        <v>153151</v>
      </c>
      <c r="F106" s="154">
        <v>2429</v>
      </c>
    </row>
    <row r="107" spans="1:6">
      <c r="A107" s="154">
        <v>100</v>
      </c>
      <c r="B107" s="154" t="s">
        <v>391</v>
      </c>
      <c r="C107" s="154">
        <v>600636</v>
      </c>
      <c r="D107" s="154">
        <v>3478</v>
      </c>
      <c r="E107" s="154">
        <v>367215</v>
      </c>
      <c r="F107" s="154">
        <v>7001</v>
      </c>
    </row>
    <row r="108" spans="1:6">
      <c r="A108" s="154">
        <v>100</v>
      </c>
      <c r="B108" s="154" t="s">
        <v>390</v>
      </c>
      <c r="C108" s="154">
        <v>96903</v>
      </c>
      <c r="D108" s="154">
        <v>521</v>
      </c>
      <c r="E108" s="154">
        <v>58482</v>
      </c>
      <c r="F108" s="154">
        <v>756</v>
      </c>
    </row>
    <row r="109" spans="1:6">
      <c r="A109" s="154">
        <v>100</v>
      </c>
      <c r="B109" s="154" t="s">
        <v>477</v>
      </c>
      <c r="C109" s="154">
        <v>120356</v>
      </c>
      <c r="D109" s="154">
        <v>392</v>
      </c>
      <c r="E109" s="154">
        <v>70069</v>
      </c>
      <c r="F109" s="154">
        <v>4213</v>
      </c>
    </row>
    <row r="110" spans="1:6">
      <c r="A110" s="154">
        <v>100</v>
      </c>
      <c r="B110" s="154" t="s">
        <v>917</v>
      </c>
      <c r="C110" s="154">
        <v>16060</v>
      </c>
      <c r="D110" s="154">
        <v>73</v>
      </c>
      <c r="E110" s="154">
        <v>12927</v>
      </c>
      <c r="F110" s="154">
        <v>133</v>
      </c>
    </row>
    <row r="111" spans="1:6">
      <c r="A111" s="154">
        <v>100</v>
      </c>
      <c r="B111" s="154" t="s">
        <v>389</v>
      </c>
      <c r="C111" s="154">
        <v>3352154</v>
      </c>
      <c r="D111" s="154">
        <v>14569</v>
      </c>
      <c r="E111" s="154">
        <v>2611776</v>
      </c>
      <c r="F111" s="154">
        <v>35658</v>
      </c>
    </row>
    <row r="112" spans="1:6">
      <c r="A112" s="154">
        <v>100</v>
      </c>
      <c r="B112" s="154" t="s">
        <v>388</v>
      </c>
      <c r="C112" s="154">
        <v>42672</v>
      </c>
      <c r="D112" s="154">
        <v>280</v>
      </c>
      <c r="E112" s="154">
        <v>23029</v>
      </c>
      <c r="F112" s="154">
        <v>436</v>
      </c>
    </row>
    <row r="113" spans="1:6">
      <c r="A113" s="154">
        <v>100</v>
      </c>
      <c r="B113" s="154" t="s">
        <v>387</v>
      </c>
      <c r="C113" s="154">
        <v>4944</v>
      </c>
      <c r="D113" s="154">
        <v>28</v>
      </c>
      <c r="E113" s="154">
        <v>2592</v>
      </c>
      <c r="F113" s="154">
        <v>31</v>
      </c>
    </row>
    <row r="114" spans="1:6">
      <c r="A114" s="154">
        <v>100</v>
      </c>
      <c r="B114" s="154" t="s">
        <v>385</v>
      </c>
      <c r="C114" s="154">
        <v>1581590</v>
      </c>
      <c r="D114" s="154">
        <v>5955</v>
      </c>
      <c r="E114" s="154">
        <v>1245107</v>
      </c>
      <c r="F114" s="154">
        <v>45138</v>
      </c>
    </row>
    <row r="115" spans="1:6">
      <c r="A115" s="154">
        <v>100</v>
      </c>
      <c r="B115" s="154" t="s">
        <v>850</v>
      </c>
      <c r="C115" s="154">
        <v>118626</v>
      </c>
      <c r="D115" s="154">
        <v>598</v>
      </c>
      <c r="E115" s="154">
        <v>99056</v>
      </c>
      <c r="F115" s="154">
        <v>2044</v>
      </c>
    </row>
    <row r="116" spans="1:6">
      <c r="A116" s="154">
        <v>100</v>
      </c>
      <c r="B116" s="154" t="s">
        <v>476</v>
      </c>
      <c r="C116" s="154">
        <v>47824</v>
      </c>
      <c r="D116" s="154">
        <v>332</v>
      </c>
      <c r="E116" s="154">
        <v>30110</v>
      </c>
      <c r="F116" s="154">
        <v>951</v>
      </c>
    </row>
    <row r="117" spans="1:6">
      <c r="A117" s="154">
        <v>100</v>
      </c>
      <c r="B117" s="154" t="s">
        <v>511</v>
      </c>
      <c r="C117" s="154">
        <v>12128</v>
      </c>
      <c r="D117" s="154">
        <v>102</v>
      </c>
      <c r="E117" s="154">
        <v>7501</v>
      </c>
      <c r="F117" s="154">
        <v>230</v>
      </c>
    </row>
    <row r="118" spans="1:6">
      <c r="A118" s="154">
        <v>100</v>
      </c>
      <c r="B118" s="154" t="s">
        <v>383</v>
      </c>
      <c r="C118" s="154">
        <v>329942</v>
      </c>
      <c r="D118" s="154">
        <v>1826</v>
      </c>
      <c r="E118" s="154">
        <v>272076</v>
      </c>
      <c r="F118" s="154">
        <v>7405</v>
      </c>
    </row>
    <row r="119" spans="1:6">
      <c r="A119" s="154">
        <v>100</v>
      </c>
      <c r="B119" s="154" t="s">
        <v>896</v>
      </c>
      <c r="C119" s="154">
        <v>0</v>
      </c>
      <c r="D119" s="154">
        <v>2</v>
      </c>
      <c r="E119" s="154">
        <v>0</v>
      </c>
      <c r="F119" s="154">
        <v>2</v>
      </c>
    </row>
    <row r="120" spans="1:6">
      <c r="A120" s="154">
        <v>100</v>
      </c>
      <c r="B120" s="154" t="s">
        <v>918</v>
      </c>
      <c r="C120" s="154">
        <v>62316</v>
      </c>
      <c r="D120" s="154">
        <v>344</v>
      </c>
      <c r="E120" s="154">
        <v>44374</v>
      </c>
      <c r="F120" s="154">
        <v>605</v>
      </c>
    </row>
    <row r="121" spans="1:6">
      <c r="A121" s="154">
        <v>100</v>
      </c>
      <c r="B121" s="154" t="s">
        <v>382</v>
      </c>
      <c r="C121" s="154">
        <v>202876</v>
      </c>
      <c r="D121" s="154">
        <v>702</v>
      </c>
      <c r="E121" s="154">
        <v>148630</v>
      </c>
      <c r="F121" s="154">
        <v>9789</v>
      </c>
    </row>
    <row r="122" spans="1:6">
      <c r="A122" s="154">
        <v>100</v>
      </c>
      <c r="B122" s="154" t="s">
        <v>864</v>
      </c>
      <c r="C122" s="154">
        <v>0</v>
      </c>
      <c r="D122" s="154">
        <v>352</v>
      </c>
      <c r="E122" s="154">
        <v>0</v>
      </c>
      <c r="F122" s="154">
        <v>3021</v>
      </c>
    </row>
    <row r="123" spans="1:6">
      <c r="A123" s="154">
        <v>100</v>
      </c>
      <c r="B123" s="154" t="s">
        <v>381</v>
      </c>
      <c r="C123" s="154">
        <v>48240</v>
      </c>
      <c r="D123" s="154">
        <v>276</v>
      </c>
      <c r="E123" s="154">
        <v>39764</v>
      </c>
      <c r="F123" s="154">
        <v>405</v>
      </c>
    </row>
    <row r="124" spans="1:6">
      <c r="A124" s="154">
        <v>100</v>
      </c>
      <c r="B124" s="154" t="s">
        <v>380</v>
      </c>
      <c r="C124" s="154">
        <v>0</v>
      </c>
      <c r="D124" s="154">
        <v>924</v>
      </c>
      <c r="E124" s="154">
        <v>0</v>
      </c>
      <c r="F124" s="154">
        <v>19310</v>
      </c>
    </row>
    <row r="125" spans="1:6">
      <c r="A125" s="154">
        <v>100</v>
      </c>
      <c r="B125" s="154" t="s">
        <v>379</v>
      </c>
      <c r="C125" s="154">
        <v>420067</v>
      </c>
      <c r="D125" s="154">
        <v>1245</v>
      </c>
      <c r="E125" s="154">
        <v>358377</v>
      </c>
      <c r="F125" s="154">
        <v>16317</v>
      </c>
    </row>
    <row r="126" spans="1:6">
      <c r="A126" s="154">
        <v>100</v>
      </c>
      <c r="B126" s="154" t="s">
        <v>377</v>
      </c>
      <c r="C126" s="154">
        <v>106006</v>
      </c>
      <c r="D126" s="154">
        <v>734</v>
      </c>
      <c r="E126" s="154">
        <v>88276</v>
      </c>
      <c r="F126" s="154">
        <v>1493</v>
      </c>
    </row>
    <row r="127" spans="1:6">
      <c r="A127" s="154">
        <v>100</v>
      </c>
      <c r="B127" s="154" t="s">
        <v>376</v>
      </c>
      <c r="C127" s="154">
        <v>888098</v>
      </c>
      <c r="D127" s="154">
        <v>2988</v>
      </c>
      <c r="E127" s="154">
        <v>783770</v>
      </c>
      <c r="F127" s="154">
        <v>34551</v>
      </c>
    </row>
    <row r="128" spans="1:6">
      <c r="A128" s="154">
        <v>100</v>
      </c>
      <c r="B128" s="154" t="s">
        <v>473</v>
      </c>
      <c r="C128" s="154">
        <v>91484</v>
      </c>
      <c r="D128" s="154">
        <v>304</v>
      </c>
      <c r="E128" s="154">
        <v>67730</v>
      </c>
      <c r="F128" s="154">
        <v>3786</v>
      </c>
    </row>
    <row r="129" spans="1:6">
      <c r="A129" s="154">
        <v>100</v>
      </c>
      <c r="B129" s="154" t="s">
        <v>375</v>
      </c>
      <c r="C129" s="154">
        <v>207534</v>
      </c>
      <c r="D129" s="154">
        <v>1182</v>
      </c>
      <c r="E129" s="154">
        <v>123123</v>
      </c>
      <c r="F129" s="154">
        <v>7130</v>
      </c>
    </row>
    <row r="130" spans="1:6">
      <c r="A130" s="154">
        <v>100</v>
      </c>
      <c r="B130" s="154" t="s">
        <v>472</v>
      </c>
      <c r="C130" s="154">
        <v>0</v>
      </c>
      <c r="D130" s="154">
        <v>34</v>
      </c>
      <c r="E130" s="154">
        <v>0</v>
      </c>
      <c r="F130" s="154">
        <v>1213</v>
      </c>
    </row>
    <row r="131" spans="1:6">
      <c r="A131" s="154">
        <v>100</v>
      </c>
      <c r="B131" s="154" t="s">
        <v>919</v>
      </c>
      <c r="C131" s="154">
        <v>90</v>
      </c>
      <c r="D131" s="154">
        <v>6</v>
      </c>
      <c r="E131" s="154">
        <v>12</v>
      </c>
      <c r="F131" s="154">
        <v>0</v>
      </c>
    </row>
    <row r="132" spans="1:6">
      <c r="A132" s="154">
        <v>100</v>
      </c>
      <c r="B132" s="154" t="s">
        <v>920</v>
      </c>
      <c r="C132" s="154">
        <v>89208</v>
      </c>
      <c r="D132" s="154">
        <v>472</v>
      </c>
      <c r="E132" s="154">
        <v>53587</v>
      </c>
      <c r="F132" s="154">
        <v>762</v>
      </c>
    </row>
    <row r="133" spans="1:6">
      <c r="A133" s="154">
        <v>100</v>
      </c>
      <c r="B133" s="154" t="s">
        <v>374</v>
      </c>
      <c r="C133" s="154">
        <v>148234</v>
      </c>
      <c r="D133" s="154">
        <v>546</v>
      </c>
      <c r="E133" s="154">
        <v>102783</v>
      </c>
      <c r="F133" s="154">
        <v>4756</v>
      </c>
    </row>
    <row r="134" spans="1:6">
      <c r="A134" s="154">
        <v>100</v>
      </c>
      <c r="B134" s="154" t="s">
        <v>373</v>
      </c>
      <c r="C134" s="154">
        <v>0</v>
      </c>
      <c r="D134" s="154">
        <v>302</v>
      </c>
      <c r="E134" s="154">
        <v>0</v>
      </c>
      <c r="F134" s="154">
        <v>4252</v>
      </c>
    </row>
    <row r="135" spans="1:6">
      <c r="A135" s="154">
        <v>100</v>
      </c>
      <c r="B135" s="154" t="s">
        <v>503</v>
      </c>
      <c r="C135" s="154">
        <v>50370</v>
      </c>
      <c r="D135" s="154">
        <v>286</v>
      </c>
      <c r="E135" s="154">
        <v>41707</v>
      </c>
      <c r="F135" s="154">
        <v>463</v>
      </c>
    </row>
    <row r="136" spans="1:6">
      <c r="A136" s="154">
        <v>100</v>
      </c>
      <c r="B136" s="154" t="s">
        <v>921</v>
      </c>
      <c r="C136" s="154">
        <v>0</v>
      </c>
      <c r="D136" s="154">
        <v>1</v>
      </c>
      <c r="E136" s="154">
        <v>0</v>
      </c>
      <c r="F136" s="154">
        <v>0</v>
      </c>
    </row>
    <row r="137" spans="1:6">
      <c r="A137" s="154">
        <v>100</v>
      </c>
      <c r="B137" s="154" t="s">
        <v>897</v>
      </c>
      <c r="C137" s="154">
        <v>0</v>
      </c>
      <c r="D137" s="154">
        <v>280</v>
      </c>
      <c r="E137" s="154">
        <v>0</v>
      </c>
      <c r="F137" s="154">
        <v>2307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5"/>
  <cols>
    <col min="1" max="1" width="5" style="154" bestFit="1" customWidth="1"/>
    <col min="2" max="2" width="38.42578125" style="154" bestFit="1" customWidth="1"/>
    <col min="3" max="3" width="10.42578125" style="154" bestFit="1" customWidth="1"/>
    <col min="4" max="4" width="8.42578125" style="154" bestFit="1" customWidth="1"/>
    <col min="5" max="5" width="10.42578125" style="154" bestFit="1" customWidth="1"/>
    <col min="6" max="6" width="8.42578125" style="154" bestFit="1" customWidth="1"/>
    <col min="7" max="16384" width="31" style="154"/>
  </cols>
  <sheetData>
    <row r="1" spans="1:6">
      <c r="A1" s="153" t="s">
        <v>833</v>
      </c>
      <c r="B1" s="153" t="s">
        <v>357</v>
      </c>
      <c r="C1" s="153" t="s">
        <v>358</v>
      </c>
      <c r="D1" s="153" t="s">
        <v>359</v>
      </c>
      <c r="E1" s="153" t="s">
        <v>360</v>
      </c>
      <c r="F1" s="153" t="s">
        <v>361</v>
      </c>
    </row>
    <row r="2" spans="1:6">
      <c r="A2" s="154">
        <v>0</v>
      </c>
      <c r="B2" s="154" t="s">
        <v>362</v>
      </c>
      <c r="C2" s="154">
        <v>176031539</v>
      </c>
      <c r="D2" s="154">
        <v>892653</v>
      </c>
      <c r="E2" s="154">
        <v>152131118</v>
      </c>
      <c r="F2" s="154">
        <v>4599107</v>
      </c>
    </row>
    <row r="3" spans="1:6">
      <c r="A3" s="154">
        <v>1</v>
      </c>
      <c r="B3" s="154" t="s">
        <v>922</v>
      </c>
      <c r="C3" s="154">
        <v>15048649</v>
      </c>
      <c r="D3" s="154">
        <v>76393</v>
      </c>
      <c r="E3" s="154">
        <v>13038715</v>
      </c>
      <c r="F3" s="154">
        <v>407470</v>
      </c>
    </row>
    <row r="4" spans="1:6">
      <c r="A4" s="154">
        <v>1</v>
      </c>
      <c r="B4" s="154" t="s">
        <v>923</v>
      </c>
      <c r="C4" s="154">
        <v>14148248</v>
      </c>
      <c r="D4" s="154">
        <v>71914</v>
      </c>
      <c r="E4" s="154">
        <v>12548930</v>
      </c>
      <c r="F4" s="154">
        <v>396649</v>
      </c>
    </row>
    <row r="5" spans="1:6">
      <c r="A5" s="154">
        <v>1</v>
      </c>
      <c r="B5" s="154" t="s">
        <v>924</v>
      </c>
      <c r="C5" s="154">
        <v>15269336</v>
      </c>
      <c r="D5" s="154">
        <v>77562</v>
      </c>
      <c r="E5" s="154">
        <v>13319275</v>
      </c>
      <c r="F5" s="154">
        <v>399436</v>
      </c>
    </row>
    <row r="6" spans="1:6">
      <c r="A6" s="154">
        <v>1</v>
      </c>
      <c r="B6" s="154" t="s">
        <v>925</v>
      </c>
      <c r="C6" s="154">
        <v>14765096</v>
      </c>
      <c r="D6" s="154">
        <v>74693</v>
      </c>
      <c r="E6" s="154">
        <v>12429249</v>
      </c>
      <c r="F6" s="154">
        <v>370305</v>
      </c>
    </row>
    <row r="7" spans="1:6">
      <c r="A7" s="154">
        <v>1</v>
      </c>
      <c r="B7" s="154" t="s">
        <v>926</v>
      </c>
      <c r="C7" s="154">
        <v>15495284</v>
      </c>
      <c r="D7" s="154">
        <v>78253</v>
      </c>
      <c r="E7" s="154">
        <v>13571149</v>
      </c>
      <c r="F7" s="154">
        <v>386376</v>
      </c>
    </row>
    <row r="8" spans="1:6">
      <c r="A8" s="154">
        <v>1</v>
      </c>
      <c r="B8" s="154" t="s">
        <v>927</v>
      </c>
      <c r="C8" s="154">
        <v>15165837</v>
      </c>
      <c r="D8" s="154">
        <v>77138</v>
      </c>
      <c r="E8" s="154">
        <v>12891593</v>
      </c>
      <c r="F8" s="154">
        <v>385956</v>
      </c>
    </row>
    <row r="9" spans="1:6">
      <c r="A9" s="154">
        <v>1</v>
      </c>
      <c r="B9" s="154" t="s">
        <v>928</v>
      </c>
      <c r="C9" s="154">
        <v>14487976</v>
      </c>
      <c r="D9" s="154">
        <v>73705</v>
      </c>
      <c r="E9" s="154">
        <v>12583679</v>
      </c>
      <c r="F9" s="154">
        <v>384391</v>
      </c>
    </row>
    <row r="10" spans="1:6">
      <c r="A10" s="154">
        <v>1</v>
      </c>
      <c r="B10" s="154" t="s">
        <v>929</v>
      </c>
      <c r="C10" s="154">
        <v>14773774</v>
      </c>
      <c r="D10" s="154">
        <v>74922</v>
      </c>
      <c r="E10" s="154">
        <v>12702734</v>
      </c>
      <c r="F10" s="154">
        <v>384700</v>
      </c>
    </row>
    <row r="11" spans="1:6">
      <c r="A11" s="154">
        <v>1</v>
      </c>
      <c r="B11" s="154" t="s">
        <v>930</v>
      </c>
      <c r="C11" s="154">
        <v>14095114</v>
      </c>
      <c r="D11" s="154">
        <v>71699</v>
      </c>
      <c r="E11" s="154">
        <v>12322315</v>
      </c>
      <c r="F11" s="154">
        <v>374114</v>
      </c>
    </row>
    <row r="12" spans="1:6">
      <c r="A12" s="154">
        <v>1</v>
      </c>
      <c r="B12" s="154" t="s">
        <v>931</v>
      </c>
      <c r="C12" s="154">
        <v>14426559</v>
      </c>
      <c r="D12" s="154">
        <v>73307</v>
      </c>
      <c r="E12" s="154">
        <v>12185698</v>
      </c>
      <c r="F12" s="154">
        <v>393539</v>
      </c>
    </row>
    <row r="13" spans="1:6">
      <c r="A13" s="154">
        <v>1</v>
      </c>
      <c r="B13" s="154" t="s">
        <v>932</v>
      </c>
      <c r="C13" s="154">
        <v>13809397</v>
      </c>
      <c r="D13" s="154">
        <v>69498</v>
      </c>
      <c r="E13" s="154">
        <v>12104088</v>
      </c>
      <c r="F13" s="154">
        <v>349258</v>
      </c>
    </row>
    <row r="14" spans="1:6">
      <c r="A14" s="154">
        <v>1</v>
      </c>
      <c r="B14" s="154" t="s">
        <v>933</v>
      </c>
      <c r="C14" s="154">
        <v>14546269</v>
      </c>
      <c r="D14" s="154">
        <v>73569</v>
      </c>
      <c r="E14" s="154">
        <v>12433693</v>
      </c>
      <c r="F14" s="154">
        <v>366913</v>
      </c>
    </row>
    <row r="15" spans="1:6" s="155" customFormat="1">
      <c r="A15" s="155">
        <v>2</v>
      </c>
      <c r="B15" s="155" t="s">
        <v>363</v>
      </c>
      <c r="C15" s="155">
        <v>141563277</v>
      </c>
      <c r="D15" s="155">
        <v>713450</v>
      </c>
      <c r="E15" s="155">
        <v>124320320</v>
      </c>
      <c r="F15" s="155">
        <v>3240482</v>
      </c>
    </row>
    <row r="16" spans="1:6">
      <c r="A16" s="154">
        <v>3</v>
      </c>
      <c r="B16" s="154" t="s">
        <v>364</v>
      </c>
      <c r="C16" s="154">
        <v>36286228</v>
      </c>
      <c r="D16" s="154">
        <v>185452</v>
      </c>
      <c r="E16" s="154">
        <v>30530690</v>
      </c>
      <c r="F16" s="154">
        <v>1745015</v>
      </c>
    </row>
    <row r="17" spans="1:6">
      <c r="A17" s="154">
        <v>4</v>
      </c>
      <c r="B17" s="154" t="s">
        <v>365</v>
      </c>
      <c r="C17" s="154">
        <v>24973968</v>
      </c>
      <c r="D17" s="154">
        <v>114343</v>
      </c>
      <c r="E17" s="154">
        <v>21396275</v>
      </c>
      <c r="F17" s="154">
        <v>862638</v>
      </c>
    </row>
    <row r="18" spans="1:6">
      <c r="A18" s="154">
        <v>5</v>
      </c>
      <c r="B18" s="154" t="s">
        <v>366</v>
      </c>
      <c r="C18" s="154">
        <v>20035341</v>
      </c>
      <c r="D18" s="154">
        <v>108152</v>
      </c>
      <c r="E18" s="154">
        <v>18264159</v>
      </c>
      <c r="F18" s="154">
        <v>157198</v>
      </c>
    </row>
    <row r="19" spans="1:6">
      <c r="A19" s="154">
        <v>6</v>
      </c>
      <c r="B19" s="154" t="s">
        <v>367</v>
      </c>
      <c r="C19" s="154">
        <v>17831337</v>
      </c>
      <c r="D19" s="154">
        <v>88549</v>
      </c>
      <c r="E19" s="154">
        <v>15666040</v>
      </c>
      <c r="F19" s="154">
        <v>127553</v>
      </c>
    </row>
    <row r="20" spans="1:6">
      <c r="A20" s="154">
        <v>7</v>
      </c>
      <c r="B20" s="154" t="s">
        <v>368</v>
      </c>
      <c r="C20" s="154">
        <v>13118579</v>
      </c>
      <c r="D20" s="154">
        <v>64532</v>
      </c>
      <c r="E20" s="154">
        <v>11777980</v>
      </c>
      <c r="F20" s="154">
        <v>80531</v>
      </c>
    </row>
    <row r="21" spans="1:6">
      <c r="A21" s="154">
        <v>8</v>
      </c>
      <c r="B21" s="154" t="s">
        <v>369</v>
      </c>
      <c r="C21" s="154">
        <v>7835094</v>
      </c>
      <c r="D21" s="154">
        <v>41550</v>
      </c>
      <c r="E21" s="154">
        <v>7203869</v>
      </c>
      <c r="F21" s="154">
        <v>39424</v>
      </c>
    </row>
    <row r="22" spans="1:6">
      <c r="A22" s="154">
        <v>9</v>
      </c>
      <c r="B22" s="154" t="s">
        <v>370</v>
      </c>
      <c r="C22" s="154">
        <v>15839769</v>
      </c>
      <c r="D22" s="154">
        <v>80664</v>
      </c>
      <c r="E22" s="154">
        <v>14442218</v>
      </c>
      <c r="F22" s="154">
        <v>120004</v>
      </c>
    </row>
    <row r="23" spans="1:6">
      <c r="A23" s="154">
        <v>10</v>
      </c>
      <c r="B23" s="154" t="s">
        <v>846</v>
      </c>
      <c r="C23" s="154">
        <v>0</v>
      </c>
      <c r="D23" s="154">
        <v>3384</v>
      </c>
      <c r="E23" s="154">
        <v>0</v>
      </c>
      <c r="F23" s="154">
        <v>39929</v>
      </c>
    </row>
    <row r="24" spans="1:6">
      <c r="A24" s="154">
        <v>11</v>
      </c>
      <c r="B24" s="154" t="s">
        <v>371</v>
      </c>
      <c r="C24" s="154">
        <v>2965850</v>
      </c>
      <c r="D24" s="154">
        <v>14108</v>
      </c>
      <c r="E24" s="154">
        <v>2738015</v>
      </c>
      <c r="F24" s="154">
        <v>20652</v>
      </c>
    </row>
    <row r="25" spans="1:6">
      <c r="A25" s="154">
        <v>12</v>
      </c>
      <c r="B25" s="154" t="s">
        <v>501</v>
      </c>
      <c r="C25" s="154">
        <v>889531</v>
      </c>
      <c r="D25" s="154">
        <v>2783</v>
      </c>
      <c r="E25" s="154">
        <v>769156</v>
      </c>
      <c r="F25" s="154">
        <v>37422</v>
      </c>
    </row>
    <row r="26" spans="1:6">
      <c r="A26" s="154">
        <v>13</v>
      </c>
      <c r="B26" s="154" t="s">
        <v>500</v>
      </c>
      <c r="C26" s="154">
        <v>1787580</v>
      </c>
      <c r="D26" s="154">
        <v>9933</v>
      </c>
      <c r="E26" s="154">
        <v>1531918</v>
      </c>
      <c r="F26" s="154">
        <v>10117</v>
      </c>
    </row>
    <row r="27" spans="1:6">
      <c r="A27" s="154">
        <v>99</v>
      </c>
      <c r="B27" s="154" t="s">
        <v>372</v>
      </c>
      <c r="C27" s="154">
        <v>34468262</v>
      </c>
      <c r="D27" s="154">
        <v>179203</v>
      </c>
      <c r="E27" s="154">
        <v>27810798</v>
      </c>
      <c r="F27" s="154">
        <v>1358624</v>
      </c>
    </row>
    <row r="28" spans="1:6">
      <c r="A28" s="154">
        <v>100</v>
      </c>
      <c r="B28" s="154" t="s">
        <v>848</v>
      </c>
      <c r="C28" s="154">
        <v>9642</v>
      </c>
      <c r="D28" s="154">
        <v>99</v>
      </c>
      <c r="E28" s="154">
        <v>8059</v>
      </c>
      <c r="F28" s="154">
        <v>101</v>
      </c>
    </row>
    <row r="29" spans="1:6">
      <c r="A29" s="154">
        <v>100</v>
      </c>
      <c r="B29" s="154" t="s">
        <v>471</v>
      </c>
      <c r="C29" s="154">
        <v>143932</v>
      </c>
      <c r="D29" s="154">
        <v>660</v>
      </c>
      <c r="E29" s="154">
        <v>114278</v>
      </c>
      <c r="F29" s="154">
        <v>3260</v>
      </c>
    </row>
    <row r="30" spans="1:6">
      <c r="A30" s="154">
        <v>100</v>
      </c>
      <c r="B30" s="154" t="s">
        <v>470</v>
      </c>
      <c r="C30" s="154">
        <v>670648</v>
      </c>
      <c r="D30" s="154">
        <v>3154</v>
      </c>
      <c r="E30" s="154">
        <v>544650</v>
      </c>
      <c r="F30" s="154">
        <v>5776</v>
      </c>
    </row>
    <row r="31" spans="1:6">
      <c r="A31" s="154">
        <v>100</v>
      </c>
      <c r="B31" s="154" t="s">
        <v>498</v>
      </c>
      <c r="C31" s="154">
        <v>108904</v>
      </c>
      <c r="D31" s="154">
        <v>370</v>
      </c>
      <c r="E31" s="154">
        <v>94132</v>
      </c>
      <c r="F31" s="154">
        <v>3199</v>
      </c>
    </row>
    <row r="32" spans="1:6">
      <c r="A32" s="154">
        <v>100</v>
      </c>
      <c r="B32" s="154" t="s">
        <v>893</v>
      </c>
      <c r="C32" s="154">
        <v>6778</v>
      </c>
      <c r="D32" s="154">
        <v>36</v>
      </c>
      <c r="E32" s="154">
        <v>3586</v>
      </c>
      <c r="F32" s="154">
        <v>77</v>
      </c>
    </row>
    <row r="33" spans="1:6">
      <c r="A33" s="154">
        <v>100</v>
      </c>
      <c r="B33" s="154" t="s">
        <v>469</v>
      </c>
      <c r="C33" s="154">
        <v>153148</v>
      </c>
      <c r="D33" s="154">
        <v>522</v>
      </c>
      <c r="E33" s="154">
        <v>122625</v>
      </c>
      <c r="F33" s="154">
        <v>7486</v>
      </c>
    </row>
    <row r="34" spans="1:6">
      <c r="A34" s="154">
        <v>100</v>
      </c>
      <c r="B34" s="154" t="s">
        <v>468</v>
      </c>
      <c r="C34" s="154">
        <v>715506</v>
      </c>
      <c r="D34" s="154">
        <v>3277</v>
      </c>
      <c r="E34" s="154">
        <v>603132</v>
      </c>
      <c r="F34" s="154">
        <v>11462</v>
      </c>
    </row>
    <row r="35" spans="1:6">
      <c r="A35" s="154">
        <v>100</v>
      </c>
      <c r="B35" s="154" t="s">
        <v>467</v>
      </c>
      <c r="C35" s="154">
        <v>224952</v>
      </c>
      <c r="D35" s="154">
        <v>1248</v>
      </c>
      <c r="E35" s="154">
        <v>182437</v>
      </c>
      <c r="F35" s="154">
        <v>2197</v>
      </c>
    </row>
    <row r="36" spans="1:6">
      <c r="A36" s="154">
        <v>100</v>
      </c>
      <c r="B36" s="154" t="s">
        <v>466</v>
      </c>
      <c r="C36" s="154">
        <v>233214</v>
      </c>
      <c r="D36" s="154">
        <v>708</v>
      </c>
      <c r="E36" s="154">
        <v>185742</v>
      </c>
      <c r="F36" s="154">
        <v>15427</v>
      </c>
    </row>
    <row r="37" spans="1:6">
      <c r="A37" s="154">
        <v>100</v>
      </c>
      <c r="B37" s="154" t="s">
        <v>465</v>
      </c>
      <c r="C37" s="154">
        <v>663880</v>
      </c>
      <c r="D37" s="154">
        <v>3657</v>
      </c>
      <c r="E37" s="154">
        <v>594630</v>
      </c>
      <c r="F37" s="154">
        <v>4818</v>
      </c>
    </row>
    <row r="38" spans="1:6">
      <c r="A38" s="154">
        <v>100</v>
      </c>
      <c r="B38" s="154" t="s">
        <v>464</v>
      </c>
      <c r="C38" s="154">
        <v>263174</v>
      </c>
      <c r="D38" s="154">
        <v>702</v>
      </c>
      <c r="E38" s="154">
        <v>218279</v>
      </c>
      <c r="F38" s="154">
        <v>13178</v>
      </c>
    </row>
    <row r="39" spans="1:6">
      <c r="A39" s="154">
        <v>100</v>
      </c>
      <c r="B39" s="154" t="s">
        <v>463</v>
      </c>
      <c r="C39" s="154">
        <v>241374</v>
      </c>
      <c r="D39" s="154">
        <v>871</v>
      </c>
      <c r="E39" s="154">
        <v>190945</v>
      </c>
      <c r="F39" s="154">
        <v>9952</v>
      </c>
    </row>
    <row r="40" spans="1:6">
      <c r="A40" s="154">
        <v>100</v>
      </c>
      <c r="B40" s="154" t="s">
        <v>462</v>
      </c>
      <c r="C40" s="154">
        <v>0</v>
      </c>
      <c r="D40" s="154">
        <v>1507</v>
      </c>
      <c r="E40" s="154">
        <v>0</v>
      </c>
      <c r="F40" s="154">
        <v>52100</v>
      </c>
    </row>
    <row r="41" spans="1:6">
      <c r="A41" s="154">
        <v>100</v>
      </c>
      <c r="B41" s="154" t="s">
        <v>461</v>
      </c>
      <c r="C41" s="154">
        <v>0</v>
      </c>
      <c r="D41" s="154">
        <v>3613</v>
      </c>
      <c r="E41" s="154">
        <v>0</v>
      </c>
      <c r="F41" s="154">
        <v>70479</v>
      </c>
    </row>
    <row r="42" spans="1:6">
      <c r="A42" s="154">
        <v>100</v>
      </c>
      <c r="B42" s="154" t="s">
        <v>910</v>
      </c>
      <c r="C42" s="154">
        <v>0</v>
      </c>
      <c r="D42" s="154">
        <v>100</v>
      </c>
      <c r="E42" s="154">
        <v>0</v>
      </c>
      <c r="F42" s="154">
        <v>3050</v>
      </c>
    </row>
    <row r="43" spans="1:6">
      <c r="A43" s="154">
        <v>100</v>
      </c>
      <c r="B43" s="154" t="s">
        <v>494</v>
      </c>
      <c r="C43" s="154">
        <v>0</v>
      </c>
      <c r="D43" s="154">
        <v>446</v>
      </c>
      <c r="E43" s="154">
        <v>0</v>
      </c>
      <c r="F43" s="154">
        <v>3258</v>
      </c>
    </row>
    <row r="44" spans="1:6">
      <c r="A44" s="154">
        <v>100</v>
      </c>
      <c r="B44" s="154" t="s">
        <v>458</v>
      </c>
      <c r="C44" s="154">
        <v>400652</v>
      </c>
      <c r="D44" s="154">
        <v>1352</v>
      </c>
      <c r="E44" s="154">
        <v>343200</v>
      </c>
      <c r="F44" s="154">
        <v>40404</v>
      </c>
    </row>
    <row r="45" spans="1:6">
      <c r="A45" s="154">
        <v>100</v>
      </c>
      <c r="B45" s="154" t="s">
        <v>457</v>
      </c>
      <c r="C45" s="154">
        <v>713681</v>
      </c>
      <c r="D45" s="154">
        <v>2191</v>
      </c>
      <c r="E45" s="154">
        <v>501053</v>
      </c>
      <c r="F45" s="154">
        <v>30464</v>
      </c>
    </row>
    <row r="46" spans="1:6">
      <c r="A46" s="154">
        <v>100</v>
      </c>
      <c r="B46" s="154" t="s">
        <v>456</v>
      </c>
      <c r="C46" s="154">
        <v>453825</v>
      </c>
      <c r="D46" s="154">
        <v>1231</v>
      </c>
      <c r="E46" s="154">
        <v>365496</v>
      </c>
      <c r="F46" s="154">
        <v>9628</v>
      </c>
    </row>
    <row r="47" spans="1:6">
      <c r="A47" s="154">
        <v>100</v>
      </c>
      <c r="B47" s="154" t="s">
        <v>455</v>
      </c>
      <c r="C47" s="154">
        <v>450540</v>
      </c>
      <c r="D47" s="154">
        <v>2503</v>
      </c>
      <c r="E47" s="154">
        <v>357661</v>
      </c>
      <c r="F47" s="154">
        <v>4066</v>
      </c>
    </row>
    <row r="48" spans="1:6">
      <c r="A48" s="154">
        <v>100</v>
      </c>
      <c r="B48" s="154" t="s">
        <v>453</v>
      </c>
      <c r="C48" s="154">
        <v>854007</v>
      </c>
      <c r="D48" s="154">
        <v>3020</v>
      </c>
      <c r="E48" s="154">
        <v>697037</v>
      </c>
      <c r="F48" s="154">
        <v>35016</v>
      </c>
    </row>
    <row r="49" spans="1:6">
      <c r="A49" s="154">
        <v>100</v>
      </c>
      <c r="B49" s="154" t="s">
        <v>452</v>
      </c>
      <c r="C49" s="154">
        <v>0</v>
      </c>
      <c r="D49" s="154">
        <v>2110</v>
      </c>
      <c r="E49" s="154">
        <v>0</v>
      </c>
      <c r="F49" s="154">
        <v>35086</v>
      </c>
    </row>
    <row r="50" spans="1:6">
      <c r="A50" s="154">
        <v>100</v>
      </c>
      <c r="B50" s="154" t="s">
        <v>451</v>
      </c>
      <c r="C50" s="154">
        <v>310310</v>
      </c>
      <c r="D50" s="154">
        <v>1214</v>
      </c>
      <c r="E50" s="154">
        <v>277004</v>
      </c>
      <c r="F50" s="154">
        <v>46155</v>
      </c>
    </row>
    <row r="51" spans="1:6">
      <c r="A51" s="154">
        <v>100</v>
      </c>
      <c r="B51" s="154" t="s">
        <v>934</v>
      </c>
      <c r="C51" s="154">
        <v>23028</v>
      </c>
      <c r="D51" s="154">
        <v>114</v>
      </c>
      <c r="E51" s="154">
        <v>13373</v>
      </c>
      <c r="F51" s="154">
        <v>363</v>
      </c>
    </row>
    <row r="52" spans="1:6">
      <c r="A52" s="154">
        <v>100</v>
      </c>
      <c r="B52" s="154" t="s">
        <v>450</v>
      </c>
      <c r="C52" s="154">
        <v>0</v>
      </c>
      <c r="D52" s="154">
        <v>312</v>
      </c>
      <c r="E52" s="154">
        <v>0</v>
      </c>
      <c r="F52" s="154">
        <v>17244</v>
      </c>
    </row>
    <row r="53" spans="1:6">
      <c r="A53" s="154">
        <v>100</v>
      </c>
      <c r="B53" s="154" t="s">
        <v>449</v>
      </c>
      <c r="C53" s="154">
        <v>0</v>
      </c>
      <c r="D53" s="154">
        <v>304</v>
      </c>
      <c r="E53" s="154">
        <v>0</v>
      </c>
      <c r="F53" s="154">
        <v>14913</v>
      </c>
    </row>
    <row r="54" spans="1:6">
      <c r="A54" s="154">
        <v>100</v>
      </c>
      <c r="B54" s="154" t="s">
        <v>448</v>
      </c>
      <c r="C54" s="154">
        <v>147574</v>
      </c>
      <c r="D54" s="154">
        <v>870</v>
      </c>
      <c r="E54" s="154">
        <v>103193</v>
      </c>
      <c r="F54" s="154">
        <v>1516</v>
      </c>
    </row>
    <row r="55" spans="1:6">
      <c r="A55" s="154">
        <v>100</v>
      </c>
      <c r="B55" s="154" t="s">
        <v>447</v>
      </c>
      <c r="C55" s="154">
        <v>1081048</v>
      </c>
      <c r="D55" s="154">
        <v>5830</v>
      </c>
      <c r="E55" s="154">
        <v>923075</v>
      </c>
      <c r="F55" s="154">
        <v>7687</v>
      </c>
    </row>
    <row r="56" spans="1:6">
      <c r="A56" s="154">
        <v>100</v>
      </c>
      <c r="B56" s="154" t="s">
        <v>445</v>
      </c>
      <c r="C56" s="154">
        <v>104458</v>
      </c>
      <c r="D56" s="154">
        <v>616</v>
      </c>
      <c r="E56" s="154">
        <v>67996</v>
      </c>
      <c r="F56" s="154">
        <v>867</v>
      </c>
    </row>
    <row r="57" spans="1:6">
      <c r="A57" s="154">
        <v>100</v>
      </c>
      <c r="B57" s="154" t="s">
        <v>444</v>
      </c>
      <c r="C57" s="154">
        <v>29964</v>
      </c>
      <c r="D57" s="154">
        <v>162</v>
      </c>
      <c r="E57" s="154">
        <v>21772</v>
      </c>
      <c r="F57" s="154">
        <v>195</v>
      </c>
    </row>
    <row r="58" spans="1:6">
      <c r="A58" s="154">
        <v>100</v>
      </c>
      <c r="B58" s="154" t="s">
        <v>520</v>
      </c>
      <c r="C58" s="154">
        <v>211700</v>
      </c>
      <c r="D58" s="154">
        <v>730</v>
      </c>
      <c r="E58" s="154">
        <v>177140</v>
      </c>
      <c r="F58" s="154">
        <v>6688</v>
      </c>
    </row>
    <row r="59" spans="1:6">
      <c r="A59" s="154">
        <v>100</v>
      </c>
      <c r="B59" s="154" t="s">
        <v>443</v>
      </c>
      <c r="C59" s="154">
        <v>931256</v>
      </c>
      <c r="D59" s="154">
        <v>4200</v>
      </c>
      <c r="E59" s="154">
        <v>786461</v>
      </c>
      <c r="F59" s="154">
        <v>23994</v>
      </c>
    </row>
    <row r="60" spans="1:6">
      <c r="A60" s="154">
        <v>100</v>
      </c>
      <c r="B60" s="154" t="s">
        <v>442</v>
      </c>
      <c r="C60" s="154">
        <v>0</v>
      </c>
      <c r="D60" s="154">
        <v>272</v>
      </c>
      <c r="E60" s="154">
        <v>0</v>
      </c>
      <c r="F60" s="154">
        <v>18563</v>
      </c>
    </row>
    <row r="61" spans="1:6">
      <c r="A61" s="154">
        <v>100</v>
      </c>
      <c r="B61" s="154" t="s">
        <v>441</v>
      </c>
      <c r="C61" s="154">
        <v>237706</v>
      </c>
      <c r="D61" s="154">
        <v>1482</v>
      </c>
      <c r="E61" s="154">
        <v>164242</v>
      </c>
      <c r="F61" s="154">
        <v>2768</v>
      </c>
    </row>
    <row r="62" spans="1:6">
      <c r="A62" s="154">
        <v>100</v>
      </c>
      <c r="B62" s="154" t="s">
        <v>440</v>
      </c>
      <c r="C62" s="154">
        <v>0</v>
      </c>
      <c r="D62" s="154">
        <v>516</v>
      </c>
      <c r="E62" s="154">
        <v>0</v>
      </c>
      <c r="F62" s="154">
        <v>4581</v>
      </c>
    </row>
    <row r="63" spans="1:6">
      <c r="A63" s="154">
        <v>100</v>
      </c>
      <c r="B63" s="154" t="s">
        <v>935</v>
      </c>
      <c r="C63" s="154">
        <v>39060</v>
      </c>
      <c r="D63" s="154">
        <v>211</v>
      </c>
      <c r="E63" s="154">
        <v>24418</v>
      </c>
      <c r="F63" s="154">
        <v>250</v>
      </c>
    </row>
    <row r="64" spans="1:6">
      <c r="A64" s="154">
        <v>100</v>
      </c>
      <c r="B64" s="154" t="s">
        <v>439</v>
      </c>
      <c r="C64" s="154">
        <v>273148</v>
      </c>
      <c r="D64" s="154">
        <v>1670</v>
      </c>
      <c r="E64" s="154">
        <v>215685</v>
      </c>
      <c r="F64" s="154">
        <v>3593</v>
      </c>
    </row>
    <row r="65" spans="1:6">
      <c r="A65" s="154">
        <v>100</v>
      </c>
      <c r="B65" s="154" t="s">
        <v>438</v>
      </c>
      <c r="C65" s="154">
        <v>0</v>
      </c>
      <c r="D65" s="154">
        <v>163</v>
      </c>
      <c r="E65" s="154">
        <v>0</v>
      </c>
      <c r="F65" s="154">
        <v>1577</v>
      </c>
    </row>
    <row r="66" spans="1:6">
      <c r="A66" s="154">
        <v>100</v>
      </c>
      <c r="B66" s="154" t="s">
        <v>437</v>
      </c>
      <c r="C66" s="154">
        <v>7160</v>
      </c>
      <c r="D66" s="154">
        <v>42</v>
      </c>
      <c r="E66" s="154">
        <v>3165</v>
      </c>
      <c r="F66" s="154">
        <v>28</v>
      </c>
    </row>
    <row r="67" spans="1:6">
      <c r="A67" s="154">
        <v>100</v>
      </c>
      <c r="B67" s="154" t="s">
        <v>436</v>
      </c>
      <c r="C67" s="154">
        <v>2867934</v>
      </c>
      <c r="D67" s="154">
        <v>16456</v>
      </c>
      <c r="E67" s="154">
        <v>2196692</v>
      </c>
      <c r="F67" s="154">
        <v>49085</v>
      </c>
    </row>
    <row r="68" spans="1:6">
      <c r="A68" s="154">
        <v>100</v>
      </c>
      <c r="B68" s="154" t="s">
        <v>435</v>
      </c>
      <c r="C68" s="154">
        <v>2137142</v>
      </c>
      <c r="D68" s="154">
        <v>12230</v>
      </c>
      <c r="E68" s="154">
        <v>1647915</v>
      </c>
      <c r="F68" s="154">
        <v>30072</v>
      </c>
    </row>
    <row r="69" spans="1:6">
      <c r="A69" s="154">
        <v>100</v>
      </c>
      <c r="B69" s="154" t="s">
        <v>434</v>
      </c>
      <c r="C69" s="154">
        <v>319628</v>
      </c>
      <c r="D69" s="154">
        <v>1788</v>
      </c>
      <c r="E69" s="154">
        <v>250379</v>
      </c>
      <c r="F69" s="154">
        <v>2535</v>
      </c>
    </row>
    <row r="70" spans="1:6">
      <c r="A70" s="154">
        <v>100</v>
      </c>
      <c r="B70" s="154" t="s">
        <v>433</v>
      </c>
      <c r="C70" s="154">
        <v>1369247</v>
      </c>
      <c r="D70" s="154">
        <v>7550</v>
      </c>
      <c r="E70" s="154">
        <v>1025611</v>
      </c>
      <c r="F70" s="154">
        <v>18637</v>
      </c>
    </row>
    <row r="71" spans="1:6">
      <c r="A71" s="154">
        <v>100</v>
      </c>
      <c r="B71" s="154" t="s">
        <v>432</v>
      </c>
      <c r="C71" s="154">
        <v>22506</v>
      </c>
      <c r="D71" s="154">
        <v>121</v>
      </c>
      <c r="E71" s="154">
        <v>20123</v>
      </c>
      <c r="F71" s="154">
        <v>281</v>
      </c>
    </row>
    <row r="72" spans="1:6">
      <c r="A72" s="154">
        <v>100</v>
      </c>
      <c r="B72" s="154" t="s">
        <v>490</v>
      </c>
      <c r="C72" s="154">
        <v>232490</v>
      </c>
      <c r="D72" s="154">
        <v>695</v>
      </c>
      <c r="E72" s="154">
        <v>198355</v>
      </c>
      <c r="F72" s="154">
        <v>5702</v>
      </c>
    </row>
    <row r="73" spans="1:6">
      <c r="A73" s="154">
        <v>100</v>
      </c>
      <c r="B73" s="154" t="s">
        <v>431</v>
      </c>
      <c r="C73" s="154">
        <v>452934</v>
      </c>
      <c r="D73" s="154">
        <v>2708</v>
      </c>
      <c r="E73" s="154">
        <v>398730</v>
      </c>
      <c r="F73" s="154">
        <v>23553</v>
      </c>
    </row>
    <row r="74" spans="1:6">
      <c r="A74" s="154">
        <v>100</v>
      </c>
      <c r="B74" s="154" t="s">
        <v>936</v>
      </c>
      <c r="C74" s="154">
        <v>0</v>
      </c>
      <c r="D74" s="154">
        <v>222</v>
      </c>
      <c r="E74" s="154">
        <v>0</v>
      </c>
      <c r="F74" s="154">
        <v>1888</v>
      </c>
    </row>
    <row r="75" spans="1:6">
      <c r="A75" s="154">
        <v>100</v>
      </c>
      <c r="B75" s="154" t="s">
        <v>937</v>
      </c>
      <c r="C75" s="154">
        <v>5152</v>
      </c>
      <c r="D75" s="154">
        <v>28</v>
      </c>
      <c r="E75" s="154">
        <v>3942</v>
      </c>
      <c r="F75" s="154">
        <v>28</v>
      </c>
    </row>
    <row r="76" spans="1:6">
      <c r="A76" s="154">
        <v>100</v>
      </c>
      <c r="B76" s="154" t="s">
        <v>430</v>
      </c>
      <c r="C76" s="154">
        <v>477249</v>
      </c>
      <c r="D76" s="154">
        <v>2630</v>
      </c>
      <c r="E76" s="154">
        <v>428683</v>
      </c>
      <c r="F76" s="154">
        <v>19254</v>
      </c>
    </row>
    <row r="77" spans="1:6">
      <c r="A77" s="154">
        <v>100</v>
      </c>
      <c r="B77" s="154" t="s">
        <v>894</v>
      </c>
      <c r="C77" s="154">
        <v>0</v>
      </c>
      <c r="D77" s="154">
        <v>4</v>
      </c>
      <c r="E77" s="154">
        <v>0</v>
      </c>
      <c r="F77" s="154">
        <v>7</v>
      </c>
    </row>
    <row r="78" spans="1:6">
      <c r="A78" s="154">
        <v>100</v>
      </c>
      <c r="B78" s="154" t="s">
        <v>429</v>
      </c>
      <c r="C78" s="154">
        <v>105984</v>
      </c>
      <c r="D78" s="154">
        <v>414</v>
      </c>
      <c r="E78" s="154">
        <v>86811</v>
      </c>
      <c r="F78" s="154">
        <v>5478</v>
      </c>
    </row>
    <row r="79" spans="1:6">
      <c r="A79" s="154">
        <v>100</v>
      </c>
      <c r="B79" s="154" t="s">
        <v>427</v>
      </c>
      <c r="C79" s="154">
        <v>0</v>
      </c>
      <c r="D79" s="154">
        <v>2872</v>
      </c>
      <c r="E79" s="154">
        <v>0</v>
      </c>
      <c r="F79" s="154">
        <v>47332</v>
      </c>
    </row>
    <row r="80" spans="1:6">
      <c r="A80" s="154">
        <v>100</v>
      </c>
      <c r="B80" s="154" t="s">
        <v>425</v>
      </c>
      <c r="C80" s="154">
        <v>339223</v>
      </c>
      <c r="D80" s="154">
        <v>1274</v>
      </c>
      <c r="E80" s="154">
        <v>288030</v>
      </c>
      <c r="F80" s="154">
        <v>19904</v>
      </c>
    </row>
    <row r="81" spans="1:6">
      <c r="A81" s="154">
        <v>100</v>
      </c>
      <c r="B81" s="154" t="s">
        <v>938</v>
      </c>
      <c r="C81" s="154">
        <v>46080</v>
      </c>
      <c r="D81" s="154">
        <v>144</v>
      </c>
      <c r="E81" s="154">
        <v>44691</v>
      </c>
      <c r="F81" s="154">
        <v>1899</v>
      </c>
    </row>
    <row r="82" spans="1:6">
      <c r="A82" s="154">
        <v>100</v>
      </c>
      <c r="B82" s="154" t="s">
        <v>422</v>
      </c>
      <c r="C82" s="154">
        <v>180614</v>
      </c>
      <c r="D82" s="154">
        <v>726</v>
      </c>
      <c r="E82" s="154">
        <v>160480</v>
      </c>
      <c r="F82" s="154">
        <v>6840</v>
      </c>
    </row>
    <row r="83" spans="1:6">
      <c r="A83" s="154">
        <v>100</v>
      </c>
      <c r="B83" s="154" t="s">
        <v>421</v>
      </c>
      <c r="C83" s="154">
        <v>9450</v>
      </c>
      <c r="D83" s="154">
        <v>50</v>
      </c>
      <c r="E83" s="154">
        <v>7299</v>
      </c>
      <c r="F83" s="154">
        <v>67</v>
      </c>
    </row>
    <row r="84" spans="1:6">
      <c r="A84" s="154">
        <v>100</v>
      </c>
      <c r="B84" s="154" t="s">
        <v>418</v>
      </c>
      <c r="C84" s="154">
        <v>302161</v>
      </c>
      <c r="D84" s="154">
        <v>1012</v>
      </c>
      <c r="E84" s="154">
        <v>240980</v>
      </c>
      <c r="F84" s="154">
        <v>17532</v>
      </c>
    </row>
    <row r="85" spans="1:6">
      <c r="A85" s="154">
        <v>100</v>
      </c>
      <c r="B85" s="154" t="s">
        <v>417</v>
      </c>
      <c r="C85" s="154">
        <v>282858</v>
      </c>
      <c r="D85" s="154">
        <v>1548</v>
      </c>
      <c r="E85" s="154">
        <v>117594</v>
      </c>
      <c r="F85" s="154">
        <v>19751</v>
      </c>
    </row>
    <row r="86" spans="1:6">
      <c r="A86" s="154">
        <v>100</v>
      </c>
      <c r="B86" s="154" t="s">
        <v>416</v>
      </c>
      <c r="C86" s="154">
        <v>0</v>
      </c>
      <c r="D86" s="154">
        <v>614</v>
      </c>
      <c r="E86" s="154">
        <v>0</v>
      </c>
      <c r="F86" s="154">
        <v>26261</v>
      </c>
    </row>
    <row r="87" spans="1:6">
      <c r="A87" s="154">
        <v>100</v>
      </c>
      <c r="B87" s="154" t="s">
        <v>415</v>
      </c>
      <c r="C87" s="154">
        <v>506334</v>
      </c>
      <c r="D87" s="154">
        <v>1594</v>
      </c>
      <c r="E87" s="154">
        <v>490889</v>
      </c>
      <c r="F87" s="154">
        <v>25913</v>
      </c>
    </row>
    <row r="88" spans="1:6">
      <c r="A88" s="154">
        <v>100</v>
      </c>
      <c r="B88" s="154" t="s">
        <v>849</v>
      </c>
      <c r="C88" s="154">
        <v>188892</v>
      </c>
      <c r="D88" s="154">
        <v>584</v>
      </c>
      <c r="E88" s="154">
        <v>125354</v>
      </c>
      <c r="F88" s="154">
        <v>3570</v>
      </c>
    </row>
    <row r="89" spans="1:6">
      <c r="A89" s="154">
        <v>100</v>
      </c>
      <c r="B89" s="154" t="s">
        <v>414</v>
      </c>
      <c r="C89" s="154">
        <v>437374</v>
      </c>
      <c r="D89" s="154">
        <v>1182</v>
      </c>
      <c r="E89" s="154">
        <v>350400</v>
      </c>
      <c r="F89" s="154">
        <v>11566</v>
      </c>
    </row>
    <row r="90" spans="1:6">
      <c r="A90" s="154">
        <v>100</v>
      </c>
      <c r="B90" s="154" t="s">
        <v>939</v>
      </c>
      <c r="C90" s="154">
        <v>107322</v>
      </c>
      <c r="D90" s="154">
        <v>578</v>
      </c>
      <c r="E90" s="154">
        <v>82716</v>
      </c>
      <c r="F90" s="154">
        <v>596</v>
      </c>
    </row>
    <row r="91" spans="1:6">
      <c r="A91" s="154">
        <v>100</v>
      </c>
      <c r="B91" s="154" t="s">
        <v>413</v>
      </c>
      <c r="C91" s="154">
        <v>147330</v>
      </c>
      <c r="D91" s="154">
        <v>744</v>
      </c>
      <c r="E91" s="154">
        <v>114372</v>
      </c>
      <c r="F91" s="154">
        <v>3502</v>
      </c>
    </row>
    <row r="92" spans="1:6">
      <c r="A92" s="154">
        <v>100</v>
      </c>
      <c r="B92" s="154" t="s">
        <v>411</v>
      </c>
      <c r="C92" s="154">
        <v>217184</v>
      </c>
      <c r="D92" s="154">
        <v>1281</v>
      </c>
      <c r="E92" s="154">
        <v>162137</v>
      </c>
      <c r="F92" s="154">
        <v>2585</v>
      </c>
    </row>
    <row r="93" spans="1:6">
      <c r="A93" s="154">
        <v>100</v>
      </c>
      <c r="B93" s="154" t="s">
        <v>410</v>
      </c>
      <c r="C93" s="154">
        <v>0</v>
      </c>
      <c r="D93" s="154">
        <v>1012</v>
      </c>
      <c r="E93" s="154">
        <v>0</v>
      </c>
      <c r="F93" s="154">
        <v>29460</v>
      </c>
    </row>
    <row r="94" spans="1:6">
      <c r="A94" s="154">
        <v>100</v>
      </c>
      <c r="B94" s="154" t="s">
        <v>911</v>
      </c>
      <c r="C94" s="154">
        <v>71115</v>
      </c>
      <c r="D94" s="154">
        <v>501</v>
      </c>
      <c r="E94" s="154">
        <v>48948</v>
      </c>
      <c r="F94" s="154">
        <v>890</v>
      </c>
    </row>
    <row r="95" spans="1:6">
      <c r="A95" s="154">
        <v>100</v>
      </c>
      <c r="B95" s="154" t="s">
        <v>409</v>
      </c>
      <c r="C95" s="154">
        <v>614478</v>
      </c>
      <c r="D95" s="154">
        <v>2450</v>
      </c>
      <c r="E95" s="154">
        <v>537231</v>
      </c>
      <c r="F95" s="154">
        <v>20087</v>
      </c>
    </row>
    <row r="96" spans="1:6">
      <c r="A96" s="154">
        <v>100</v>
      </c>
      <c r="B96" s="154" t="s">
        <v>408</v>
      </c>
      <c r="C96" s="154">
        <v>474198</v>
      </c>
      <c r="D96" s="154">
        <v>1004</v>
      </c>
      <c r="E96" s="154">
        <v>384237</v>
      </c>
      <c r="F96" s="154">
        <v>19864</v>
      </c>
    </row>
    <row r="97" spans="1:6">
      <c r="A97" s="154">
        <v>100</v>
      </c>
      <c r="B97" s="154" t="s">
        <v>404</v>
      </c>
      <c r="C97" s="154">
        <v>0</v>
      </c>
      <c r="D97" s="154">
        <v>2</v>
      </c>
      <c r="E97" s="154">
        <v>0</v>
      </c>
      <c r="F97" s="154">
        <v>83</v>
      </c>
    </row>
    <row r="98" spans="1:6">
      <c r="A98" s="154">
        <v>100</v>
      </c>
      <c r="B98" s="154" t="s">
        <v>403</v>
      </c>
      <c r="C98" s="154">
        <v>756</v>
      </c>
      <c r="D98" s="154">
        <v>4294</v>
      </c>
      <c r="E98" s="154">
        <v>634</v>
      </c>
      <c r="F98" s="154">
        <v>40144</v>
      </c>
    </row>
    <row r="99" spans="1:6">
      <c r="A99" s="154">
        <v>100</v>
      </c>
      <c r="B99" s="154" t="s">
        <v>402</v>
      </c>
      <c r="C99" s="154">
        <v>73332</v>
      </c>
      <c r="D99" s="154">
        <v>300</v>
      </c>
      <c r="E99" s="154">
        <v>61873</v>
      </c>
      <c r="F99" s="154">
        <v>2612</v>
      </c>
    </row>
    <row r="100" spans="1:6">
      <c r="A100" s="154">
        <v>100</v>
      </c>
      <c r="B100" s="154" t="s">
        <v>400</v>
      </c>
      <c r="C100" s="154">
        <v>206912</v>
      </c>
      <c r="D100" s="154">
        <v>732</v>
      </c>
      <c r="E100" s="154">
        <v>188809</v>
      </c>
      <c r="F100" s="154">
        <v>8455</v>
      </c>
    </row>
    <row r="101" spans="1:6">
      <c r="A101" s="154">
        <v>100</v>
      </c>
      <c r="B101" s="154" t="s">
        <v>895</v>
      </c>
      <c r="C101" s="154">
        <v>0</v>
      </c>
      <c r="D101" s="154">
        <v>138</v>
      </c>
      <c r="E101" s="154">
        <v>0</v>
      </c>
      <c r="F101" s="154">
        <v>1850</v>
      </c>
    </row>
    <row r="102" spans="1:6">
      <c r="A102" s="154">
        <v>100</v>
      </c>
      <c r="B102" s="154" t="s">
        <v>399</v>
      </c>
      <c r="C102" s="154">
        <v>1016812</v>
      </c>
      <c r="D102" s="154">
        <v>3938</v>
      </c>
      <c r="E102" s="154">
        <v>856161</v>
      </c>
      <c r="F102" s="154">
        <v>53693</v>
      </c>
    </row>
    <row r="103" spans="1:6">
      <c r="A103" s="154">
        <v>100</v>
      </c>
      <c r="B103" s="154" t="s">
        <v>398</v>
      </c>
      <c r="C103" s="154">
        <v>0</v>
      </c>
      <c r="D103" s="154">
        <v>242</v>
      </c>
      <c r="E103" s="154">
        <v>0</v>
      </c>
      <c r="F103" s="154">
        <v>20152</v>
      </c>
    </row>
    <row r="104" spans="1:6">
      <c r="A104" s="154">
        <v>100</v>
      </c>
      <c r="B104" s="154" t="s">
        <v>940</v>
      </c>
      <c r="C104" s="154">
        <v>0</v>
      </c>
      <c r="D104" s="154">
        <v>10</v>
      </c>
      <c r="E104" s="154">
        <v>0</v>
      </c>
      <c r="F104" s="154">
        <v>49</v>
      </c>
    </row>
    <row r="105" spans="1:6">
      <c r="A105" s="154">
        <v>100</v>
      </c>
      <c r="B105" s="154" t="s">
        <v>913</v>
      </c>
      <c r="C105" s="154">
        <v>16050</v>
      </c>
      <c r="D105" s="154">
        <v>107</v>
      </c>
      <c r="E105" s="154">
        <v>10748</v>
      </c>
      <c r="F105" s="154">
        <v>102</v>
      </c>
    </row>
    <row r="106" spans="1:6">
      <c r="A106" s="154">
        <v>100</v>
      </c>
      <c r="B106" s="154" t="s">
        <v>395</v>
      </c>
      <c r="C106" s="154">
        <v>427318</v>
      </c>
      <c r="D106" s="154">
        <v>1340</v>
      </c>
      <c r="E106" s="154">
        <v>365627</v>
      </c>
      <c r="F106" s="154">
        <v>7357</v>
      </c>
    </row>
    <row r="107" spans="1:6">
      <c r="A107" s="154">
        <v>100</v>
      </c>
      <c r="B107" s="154" t="s">
        <v>394</v>
      </c>
      <c r="C107" s="154">
        <v>139472</v>
      </c>
      <c r="D107" s="154">
        <v>697</v>
      </c>
      <c r="E107" s="154">
        <v>105653</v>
      </c>
      <c r="F107" s="154">
        <v>1418</v>
      </c>
    </row>
    <row r="108" spans="1:6">
      <c r="A108" s="154">
        <v>100</v>
      </c>
      <c r="B108" s="154" t="s">
        <v>513</v>
      </c>
      <c r="C108" s="154">
        <v>30960</v>
      </c>
      <c r="D108" s="154">
        <v>144</v>
      </c>
      <c r="E108" s="154">
        <v>29208</v>
      </c>
      <c r="F108" s="154">
        <v>2182</v>
      </c>
    </row>
    <row r="109" spans="1:6">
      <c r="A109" s="154">
        <v>100</v>
      </c>
      <c r="B109" s="154" t="s">
        <v>478</v>
      </c>
      <c r="C109" s="154">
        <v>62652</v>
      </c>
      <c r="D109" s="154">
        <v>215</v>
      </c>
      <c r="E109" s="154">
        <v>39505</v>
      </c>
      <c r="F109" s="154">
        <v>3508</v>
      </c>
    </row>
    <row r="110" spans="1:6">
      <c r="A110" s="154">
        <v>100</v>
      </c>
      <c r="B110" s="154" t="s">
        <v>915</v>
      </c>
      <c r="C110" s="154">
        <v>0</v>
      </c>
      <c r="D110" s="154">
        <v>41</v>
      </c>
      <c r="E110" s="154">
        <v>0</v>
      </c>
      <c r="F110" s="154">
        <v>784</v>
      </c>
    </row>
    <row r="111" spans="1:6">
      <c r="A111" s="154">
        <v>100</v>
      </c>
      <c r="B111" s="154" t="s">
        <v>916</v>
      </c>
      <c r="C111" s="154">
        <v>0</v>
      </c>
      <c r="D111" s="154">
        <v>922</v>
      </c>
      <c r="E111" s="154">
        <v>0</v>
      </c>
      <c r="F111" s="154">
        <v>8486</v>
      </c>
    </row>
    <row r="112" spans="1:6">
      <c r="A112" s="154">
        <v>100</v>
      </c>
      <c r="B112" s="154" t="s">
        <v>393</v>
      </c>
      <c r="C112" s="154">
        <v>540848</v>
      </c>
      <c r="D112" s="154">
        <v>2098</v>
      </c>
      <c r="E112" s="154">
        <v>426491</v>
      </c>
      <c r="F112" s="154">
        <v>8620</v>
      </c>
    </row>
    <row r="113" spans="1:6">
      <c r="A113" s="154">
        <v>100</v>
      </c>
      <c r="B113" s="154" t="s">
        <v>392</v>
      </c>
      <c r="C113" s="154">
        <v>444805</v>
      </c>
      <c r="D113" s="154">
        <v>2170</v>
      </c>
      <c r="E113" s="154">
        <v>359409</v>
      </c>
      <c r="F113" s="154">
        <v>6689</v>
      </c>
    </row>
    <row r="114" spans="1:6">
      <c r="A114" s="154">
        <v>100</v>
      </c>
      <c r="B114" s="154" t="s">
        <v>391</v>
      </c>
      <c r="C114" s="154">
        <v>1175416</v>
      </c>
      <c r="D114" s="154">
        <v>6793</v>
      </c>
      <c r="E114" s="154">
        <v>868801</v>
      </c>
      <c r="F114" s="154">
        <v>16223</v>
      </c>
    </row>
    <row r="115" spans="1:6">
      <c r="A115" s="154">
        <v>100</v>
      </c>
      <c r="B115" s="154" t="s">
        <v>390</v>
      </c>
      <c r="C115" s="154">
        <v>147844</v>
      </c>
      <c r="D115" s="154">
        <v>810</v>
      </c>
      <c r="E115" s="154">
        <v>123413</v>
      </c>
      <c r="F115" s="154">
        <v>1663</v>
      </c>
    </row>
    <row r="116" spans="1:6">
      <c r="A116" s="154">
        <v>100</v>
      </c>
      <c r="B116" s="154" t="s">
        <v>477</v>
      </c>
      <c r="C116" s="154">
        <v>47674</v>
      </c>
      <c r="D116" s="154">
        <v>158</v>
      </c>
      <c r="E116" s="154">
        <v>20812</v>
      </c>
      <c r="F116" s="154">
        <v>1641</v>
      </c>
    </row>
    <row r="117" spans="1:6">
      <c r="A117" s="154">
        <v>100</v>
      </c>
      <c r="B117" s="154" t="s">
        <v>917</v>
      </c>
      <c r="C117" s="154">
        <v>2420</v>
      </c>
      <c r="D117" s="154">
        <v>11</v>
      </c>
      <c r="E117" s="154">
        <v>2181</v>
      </c>
      <c r="F117" s="154">
        <v>23</v>
      </c>
    </row>
    <row r="118" spans="1:6">
      <c r="A118" s="154">
        <v>100</v>
      </c>
      <c r="B118" s="154" t="s">
        <v>389</v>
      </c>
      <c r="C118" s="154">
        <v>3519130</v>
      </c>
      <c r="D118" s="154">
        <v>15724</v>
      </c>
      <c r="E118" s="154">
        <v>2937873</v>
      </c>
      <c r="F118" s="154">
        <v>39837</v>
      </c>
    </row>
    <row r="119" spans="1:6">
      <c r="A119" s="154">
        <v>100</v>
      </c>
      <c r="B119" s="154" t="s">
        <v>388</v>
      </c>
      <c r="C119" s="154">
        <v>47100</v>
      </c>
      <c r="D119" s="154">
        <v>314</v>
      </c>
      <c r="E119" s="154">
        <v>28088</v>
      </c>
      <c r="F119" s="154">
        <v>593</v>
      </c>
    </row>
    <row r="120" spans="1:6">
      <c r="A120" s="154">
        <v>100</v>
      </c>
      <c r="B120" s="154" t="s">
        <v>387</v>
      </c>
      <c r="C120" s="154">
        <v>39190</v>
      </c>
      <c r="D120" s="154">
        <v>220</v>
      </c>
      <c r="E120" s="154">
        <v>27606</v>
      </c>
      <c r="F120" s="154">
        <v>266</v>
      </c>
    </row>
    <row r="121" spans="1:6">
      <c r="A121" s="154">
        <v>100</v>
      </c>
      <c r="B121" s="154" t="s">
        <v>385</v>
      </c>
      <c r="C121" s="154">
        <v>1649230</v>
      </c>
      <c r="D121" s="154">
        <v>6052</v>
      </c>
      <c r="E121" s="154">
        <v>1375734</v>
      </c>
      <c r="F121" s="154">
        <v>54435</v>
      </c>
    </row>
    <row r="122" spans="1:6">
      <c r="A122" s="154">
        <v>100</v>
      </c>
      <c r="B122" s="154" t="s">
        <v>850</v>
      </c>
      <c r="C122" s="154">
        <v>33984</v>
      </c>
      <c r="D122" s="154">
        <v>178</v>
      </c>
      <c r="E122" s="154">
        <v>30759</v>
      </c>
      <c r="F122" s="154">
        <v>334</v>
      </c>
    </row>
    <row r="123" spans="1:6">
      <c r="A123" s="154">
        <v>100</v>
      </c>
      <c r="B123" s="154" t="s">
        <v>476</v>
      </c>
      <c r="C123" s="154">
        <v>50160</v>
      </c>
      <c r="D123" s="154">
        <v>352</v>
      </c>
      <c r="E123" s="154">
        <v>33341</v>
      </c>
      <c r="F123" s="154">
        <v>898</v>
      </c>
    </row>
    <row r="124" spans="1:6">
      <c r="A124" s="154">
        <v>100</v>
      </c>
      <c r="B124" s="154" t="s">
        <v>511</v>
      </c>
      <c r="C124" s="154">
        <v>17352</v>
      </c>
      <c r="D124" s="154">
        <v>100</v>
      </c>
      <c r="E124" s="154">
        <v>7698</v>
      </c>
      <c r="F124" s="154">
        <v>247</v>
      </c>
    </row>
    <row r="125" spans="1:6">
      <c r="A125" s="154">
        <v>100</v>
      </c>
      <c r="B125" s="154" t="s">
        <v>383</v>
      </c>
      <c r="C125" s="154">
        <v>372306</v>
      </c>
      <c r="D125" s="154">
        <v>1775</v>
      </c>
      <c r="E125" s="154">
        <v>305780</v>
      </c>
      <c r="F125" s="154">
        <v>9012</v>
      </c>
    </row>
    <row r="126" spans="1:6">
      <c r="A126" s="154">
        <v>100</v>
      </c>
      <c r="B126" s="154" t="s">
        <v>918</v>
      </c>
      <c r="C126" s="154">
        <v>129420</v>
      </c>
      <c r="D126" s="154">
        <v>710</v>
      </c>
      <c r="E126" s="154">
        <v>101288</v>
      </c>
      <c r="F126" s="154">
        <v>1523</v>
      </c>
    </row>
    <row r="127" spans="1:6">
      <c r="A127" s="154">
        <v>100</v>
      </c>
      <c r="B127" s="154" t="s">
        <v>382</v>
      </c>
      <c r="C127" s="154">
        <v>250394</v>
      </c>
      <c r="D127" s="154">
        <v>870</v>
      </c>
      <c r="E127" s="154">
        <v>182443</v>
      </c>
      <c r="F127" s="154">
        <v>12662</v>
      </c>
    </row>
    <row r="128" spans="1:6">
      <c r="A128" s="154">
        <v>100</v>
      </c>
      <c r="B128" s="154" t="s">
        <v>864</v>
      </c>
      <c r="C128" s="154">
        <v>0</v>
      </c>
      <c r="D128" s="154">
        <v>810</v>
      </c>
      <c r="E128" s="154">
        <v>0</v>
      </c>
      <c r="F128" s="154">
        <v>8681</v>
      </c>
    </row>
    <row r="129" spans="1:6">
      <c r="A129" s="154">
        <v>100</v>
      </c>
      <c r="B129" s="154" t="s">
        <v>381</v>
      </c>
      <c r="C129" s="154">
        <v>137604</v>
      </c>
      <c r="D129" s="154">
        <v>790</v>
      </c>
      <c r="E129" s="154">
        <v>116958</v>
      </c>
      <c r="F129" s="154">
        <v>1159</v>
      </c>
    </row>
    <row r="130" spans="1:6">
      <c r="A130" s="154">
        <v>100</v>
      </c>
      <c r="B130" s="154" t="s">
        <v>380</v>
      </c>
      <c r="C130" s="154">
        <v>0</v>
      </c>
      <c r="D130" s="154">
        <v>616</v>
      </c>
      <c r="E130" s="154">
        <v>0</v>
      </c>
      <c r="F130" s="154">
        <v>14642</v>
      </c>
    </row>
    <row r="131" spans="1:6">
      <c r="A131" s="154">
        <v>100</v>
      </c>
      <c r="B131" s="154" t="s">
        <v>379</v>
      </c>
      <c r="C131" s="154">
        <v>419586</v>
      </c>
      <c r="D131" s="154">
        <v>1244</v>
      </c>
      <c r="E131" s="154">
        <v>363745</v>
      </c>
      <c r="F131" s="154">
        <v>17865</v>
      </c>
    </row>
    <row r="132" spans="1:6">
      <c r="A132" s="154">
        <v>100</v>
      </c>
      <c r="B132" s="154" t="s">
        <v>941</v>
      </c>
      <c r="C132" s="154">
        <v>12272</v>
      </c>
      <c r="D132" s="154">
        <v>66</v>
      </c>
      <c r="E132" s="154">
        <v>7962</v>
      </c>
      <c r="F132" s="154">
        <v>70</v>
      </c>
    </row>
    <row r="133" spans="1:6">
      <c r="A133" s="154">
        <v>100</v>
      </c>
      <c r="B133" s="154" t="s">
        <v>942</v>
      </c>
      <c r="C133" s="154">
        <v>8556</v>
      </c>
      <c r="D133" s="154">
        <v>46</v>
      </c>
      <c r="E133" s="154">
        <v>4200</v>
      </c>
      <c r="F133" s="154">
        <v>46</v>
      </c>
    </row>
    <row r="134" spans="1:6">
      <c r="A134" s="154">
        <v>100</v>
      </c>
      <c r="B134" s="154" t="s">
        <v>377</v>
      </c>
      <c r="C134" s="154">
        <v>116520</v>
      </c>
      <c r="D134" s="154">
        <v>801</v>
      </c>
      <c r="E134" s="154">
        <v>88839</v>
      </c>
      <c r="F134" s="154">
        <v>1514</v>
      </c>
    </row>
    <row r="135" spans="1:6">
      <c r="A135" s="154">
        <v>100</v>
      </c>
      <c r="B135" s="154" t="s">
        <v>376</v>
      </c>
      <c r="C135" s="154">
        <v>1018979</v>
      </c>
      <c r="D135" s="154">
        <v>3436</v>
      </c>
      <c r="E135" s="154">
        <v>881581</v>
      </c>
      <c r="F135" s="154">
        <v>39733</v>
      </c>
    </row>
    <row r="136" spans="1:6">
      <c r="A136" s="154">
        <v>100</v>
      </c>
      <c r="B136" s="154" t="s">
        <v>473</v>
      </c>
      <c r="C136" s="154">
        <v>38548</v>
      </c>
      <c r="D136" s="154">
        <v>128</v>
      </c>
      <c r="E136" s="154">
        <v>30803</v>
      </c>
      <c r="F136" s="154">
        <v>1543</v>
      </c>
    </row>
    <row r="137" spans="1:6">
      <c r="A137" s="154">
        <v>100</v>
      </c>
      <c r="B137" s="154" t="s">
        <v>375</v>
      </c>
      <c r="C137" s="154">
        <v>204432</v>
      </c>
      <c r="D137" s="154">
        <v>585</v>
      </c>
      <c r="E137" s="154">
        <v>181793</v>
      </c>
      <c r="F137" s="154">
        <v>11616</v>
      </c>
    </row>
    <row r="138" spans="1:6">
      <c r="A138" s="154">
        <v>100</v>
      </c>
      <c r="B138" s="154" t="s">
        <v>472</v>
      </c>
      <c r="C138" s="154">
        <v>0</v>
      </c>
      <c r="D138" s="154">
        <v>50</v>
      </c>
      <c r="E138" s="154">
        <v>0</v>
      </c>
      <c r="F138" s="154">
        <v>2550</v>
      </c>
    </row>
    <row r="139" spans="1:6">
      <c r="A139" s="154">
        <v>100</v>
      </c>
      <c r="B139" s="154" t="s">
        <v>919</v>
      </c>
      <c r="C139" s="154">
        <v>30</v>
      </c>
      <c r="D139" s="154">
        <v>2</v>
      </c>
      <c r="E139" s="154">
        <v>5</v>
      </c>
      <c r="F139" s="154">
        <v>0</v>
      </c>
    </row>
    <row r="140" spans="1:6">
      <c r="A140" s="154">
        <v>100</v>
      </c>
      <c r="B140" s="154" t="s">
        <v>920</v>
      </c>
      <c r="C140" s="154">
        <v>141156</v>
      </c>
      <c r="D140" s="154">
        <v>756</v>
      </c>
      <c r="E140" s="154">
        <v>98409</v>
      </c>
      <c r="F140" s="154">
        <v>1423</v>
      </c>
    </row>
    <row r="141" spans="1:6">
      <c r="A141" s="154">
        <v>100</v>
      </c>
      <c r="B141" s="154" t="s">
        <v>374</v>
      </c>
      <c r="C141" s="154">
        <v>291204</v>
      </c>
      <c r="D141" s="154">
        <v>1068</v>
      </c>
      <c r="E141" s="154">
        <v>217940</v>
      </c>
      <c r="F141" s="154">
        <v>9401</v>
      </c>
    </row>
    <row r="142" spans="1:6">
      <c r="A142" s="154">
        <v>100</v>
      </c>
      <c r="B142" s="154" t="s">
        <v>373</v>
      </c>
      <c r="C142" s="154">
        <v>0</v>
      </c>
      <c r="D142" s="154">
        <v>1130</v>
      </c>
      <c r="E142" s="154">
        <v>0</v>
      </c>
      <c r="F142" s="154">
        <v>17077</v>
      </c>
    </row>
    <row r="143" spans="1:6">
      <c r="A143" s="154">
        <v>100</v>
      </c>
      <c r="B143" s="154" t="s">
        <v>503</v>
      </c>
      <c r="C143" s="154">
        <v>18690</v>
      </c>
      <c r="D143" s="154">
        <v>112</v>
      </c>
      <c r="E143" s="154">
        <v>11563</v>
      </c>
      <c r="F143" s="154">
        <v>141</v>
      </c>
    </row>
    <row r="144" spans="1:6">
      <c r="A144" s="154">
        <v>100</v>
      </c>
      <c r="B144" s="154" t="s">
        <v>921</v>
      </c>
      <c r="C144" s="154">
        <v>0</v>
      </c>
      <c r="D144" s="154">
        <v>1</v>
      </c>
      <c r="E144" s="154">
        <v>0</v>
      </c>
      <c r="F144" s="154">
        <v>7</v>
      </c>
    </row>
    <row r="145" spans="1:6">
      <c r="A145" s="154">
        <v>100</v>
      </c>
      <c r="B145" s="154" t="s">
        <v>897</v>
      </c>
      <c r="C145" s="154">
        <v>0</v>
      </c>
      <c r="D145" s="154">
        <v>4</v>
      </c>
      <c r="E145" s="154">
        <v>0</v>
      </c>
      <c r="F145" s="154">
        <v>8</v>
      </c>
    </row>
  </sheetData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G17"/>
  <sheetViews>
    <sheetView workbookViewId="0">
      <selection activeCell="A18" sqref="A18"/>
    </sheetView>
  </sheetViews>
  <sheetFormatPr defaultColWidth="9" defaultRowHeight="15"/>
  <cols>
    <col min="1" max="1" width="9" style="154"/>
    <col min="2" max="2" width="13" style="154" bestFit="1" customWidth="1"/>
    <col min="3" max="4" width="11.85546875" style="154" bestFit="1" customWidth="1"/>
    <col min="5" max="7" width="13" style="154" bestFit="1" customWidth="1"/>
    <col min="8" max="16384" width="9" style="154"/>
  </cols>
  <sheetData>
    <row r="1" spans="1:7">
      <c r="A1" s="156" t="s">
        <v>530</v>
      </c>
    </row>
    <row r="2" spans="1:7">
      <c r="A2" s="157" t="s">
        <v>532</v>
      </c>
      <c r="B2" s="157">
        <v>2019</v>
      </c>
      <c r="C2" s="157">
        <v>2020</v>
      </c>
      <c r="D2" s="157">
        <v>2021</v>
      </c>
      <c r="E2" s="157">
        <v>2022</v>
      </c>
      <c r="F2" s="157">
        <v>2023</v>
      </c>
      <c r="G2" s="157">
        <v>2024</v>
      </c>
    </row>
    <row r="3" spans="1:7">
      <c r="A3" s="158" t="s">
        <v>533</v>
      </c>
      <c r="B3" s="159">
        <f>'AIR2019'!C15</f>
        <v>148977763</v>
      </c>
      <c r="C3" s="159">
        <f>'AIR2020'!C15</f>
        <v>81733099</v>
      </c>
      <c r="D3" s="159">
        <f>'AIR2021'!C15</f>
        <v>87172330</v>
      </c>
      <c r="E3" s="159">
        <f>'AIR2022'!C15</f>
        <v>100310666</v>
      </c>
      <c r="F3" s="159">
        <f>'AIR2023'!C15</f>
        <v>128552398</v>
      </c>
      <c r="G3" s="159">
        <f>'AIR2024'!C15</f>
        <v>141563277</v>
      </c>
    </row>
    <row r="4" spans="1:7">
      <c r="A4" s="158" t="s">
        <v>534</v>
      </c>
      <c r="B4" s="159">
        <f>'AIR2019'!D15</f>
        <v>737460</v>
      </c>
      <c r="C4" s="159">
        <f>'AIR2020'!D15</f>
        <v>447751</v>
      </c>
      <c r="D4" s="159">
        <f>'AIR2021'!D15</f>
        <v>498205</v>
      </c>
      <c r="E4" s="159">
        <f>'AIR2022'!D15</f>
        <v>542408</v>
      </c>
      <c r="F4" s="159">
        <f>'AIR2023'!D15</f>
        <v>652159</v>
      </c>
      <c r="G4" s="159">
        <f>'AIR2024'!D15</f>
        <v>713450</v>
      </c>
    </row>
    <row r="5" spans="1:7">
      <c r="A5" s="158" t="s">
        <v>535</v>
      </c>
      <c r="B5" s="159">
        <f>'AIR2019'!E15</f>
        <v>127631572</v>
      </c>
      <c r="C5" s="159">
        <f>'AIR2020'!E15</f>
        <v>60307896</v>
      </c>
      <c r="D5" s="159">
        <f>'AIR2021'!E15</f>
        <v>68628366</v>
      </c>
      <c r="E5" s="159">
        <f>'AIR2022'!E15</f>
        <v>85817133</v>
      </c>
      <c r="F5" s="159">
        <f>'AIR2023'!E15</f>
        <v>112378126</v>
      </c>
      <c r="G5" s="159">
        <f>'AIR2024'!E15</f>
        <v>124320320</v>
      </c>
    </row>
    <row r="6" spans="1:7">
      <c r="A6" s="158" t="s">
        <v>536</v>
      </c>
      <c r="B6" s="159">
        <f>'AIR2019'!F15</f>
        <v>3144023</v>
      </c>
      <c r="C6" s="159">
        <f>'AIR2020'!F15</f>
        <v>2528167</v>
      </c>
      <c r="D6" s="159">
        <f>'AIR2021'!F15</f>
        <v>2779004</v>
      </c>
      <c r="E6" s="159">
        <f>'AIR2022'!F15</f>
        <v>2724721</v>
      </c>
      <c r="F6" s="159">
        <f>'AIR2023'!F15</f>
        <v>2968321</v>
      </c>
      <c r="G6" s="159">
        <f>'AIR2024'!F15</f>
        <v>3240482</v>
      </c>
    </row>
    <row r="7" spans="1:7">
      <c r="A7" s="158" t="s">
        <v>538</v>
      </c>
      <c r="B7" s="154">
        <f>B5/$B$5</f>
        <v>1</v>
      </c>
      <c r="C7" s="154">
        <f t="shared" ref="C7:G7" si="0">C5/$B$5</f>
        <v>0.47251549953486432</v>
      </c>
      <c r="D7" s="154">
        <f t="shared" si="0"/>
        <v>0.53770681442362867</v>
      </c>
      <c r="E7" s="154">
        <f t="shared" si="0"/>
        <v>0.67238169721830265</v>
      </c>
      <c r="F7" s="154">
        <f t="shared" si="0"/>
        <v>0.88048845782452634</v>
      </c>
      <c r="G7" s="154">
        <f t="shared" si="0"/>
        <v>0.97405616848470689</v>
      </c>
    </row>
    <row r="8" spans="1:7">
      <c r="A8" s="158" t="s">
        <v>539</v>
      </c>
      <c r="B8" s="154">
        <f>B6/$B$6</f>
        <v>1</v>
      </c>
      <c r="C8" s="154">
        <f>C6/$B$6</f>
        <v>0.80411848132154251</v>
      </c>
      <c r="D8" s="154">
        <f t="shared" ref="D8:G8" si="1">D6/$B$6</f>
        <v>0.88390065848754928</v>
      </c>
      <c r="E8" s="154">
        <f t="shared" si="1"/>
        <v>0.86663519955165724</v>
      </c>
      <c r="F8" s="154">
        <f t="shared" si="1"/>
        <v>0.94411554877302106</v>
      </c>
      <c r="G8" s="154">
        <f t="shared" si="1"/>
        <v>1.0306801190703758</v>
      </c>
    </row>
    <row r="10" spans="1:7">
      <c r="A10" s="158" t="s">
        <v>355</v>
      </c>
    </row>
    <row r="17" spans="1:1">
      <c r="A17" s="154" t="s">
        <v>943</v>
      </c>
    </row>
  </sheetData>
  <phoneticPr fontId="43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0" workbookViewId="0">
      <selection activeCell="I56" sqref="I56"/>
    </sheetView>
  </sheetViews>
  <sheetFormatPr defaultColWidth="9" defaultRowHeight="15"/>
  <cols>
    <col min="1" max="1" width="9" style="4"/>
    <col min="2" max="2" width="12.140625" style="4" bestFit="1" customWidth="1"/>
    <col min="3" max="3" width="15.85546875" style="4" bestFit="1" customWidth="1"/>
    <col min="4" max="4" width="10.28515625" style="4" bestFit="1" customWidth="1"/>
    <col min="5" max="5" width="14.7109375" style="4" bestFit="1" customWidth="1"/>
    <col min="6" max="6" width="9.140625" style="4" bestFit="1" customWidth="1"/>
    <col min="7" max="7" width="13.5703125" style="4" bestFit="1" customWidth="1"/>
    <col min="8" max="8" width="12.7109375" style="4" bestFit="1" customWidth="1"/>
    <col min="9" max="9" width="11" style="4" customWidth="1"/>
    <col min="10" max="10" width="12.28515625" style="4" bestFit="1" customWidth="1"/>
    <col min="11" max="11" width="15.85546875" style="4" bestFit="1" customWidth="1"/>
    <col min="12" max="12" width="9.140625" style="4" bestFit="1" customWidth="1"/>
    <col min="13" max="13" width="15.85546875" style="4" bestFit="1" customWidth="1"/>
    <col min="14" max="14" width="17.7109375" style="4" bestFit="1" customWidth="1"/>
    <col min="15" max="15" width="12.7109375" style="4" bestFit="1" customWidth="1"/>
    <col min="16" max="16384" width="9" style="4"/>
  </cols>
  <sheetData>
    <row r="1" spans="1:7">
      <c r="A1" s="25" t="s">
        <v>523</v>
      </c>
    </row>
    <row r="2" spans="1:7">
      <c r="A2" s="37" t="s">
        <v>524</v>
      </c>
      <c r="B2" s="37" t="s">
        <v>360</v>
      </c>
      <c r="C2" s="37" t="s">
        <v>525</v>
      </c>
      <c r="D2" s="37" t="s">
        <v>361</v>
      </c>
      <c r="E2" s="37" t="s">
        <v>526</v>
      </c>
      <c r="F2" s="37" t="s">
        <v>527</v>
      </c>
      <c r="G2" s="37" t="s">
        <v>528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529</v>
      </c>
    </row>
    <row r="37" spans="1:7">
      <c r="A37" s="25" t="s">
        <v>530</v>
      </c>
      <c r="F37" s="222" t="s">
        <v>531</v>
      </c>
      <c r="G37" s="222"/>
    </row>
    <row r="38" spans="1:7">
      <c r="A38" s="37" t="s">
        <v>532</v>
      </c>
      <c r="B38" s="25" t="s">
        <v>533</v>
      </c>
      <c r="C38" s="25" t="s">
        <v>534</v>
      </c>
      <c r="D38" s="25" t="s">
        <v>535</v>
      </c>
      <c r="E38" s="25" t="s">
        <v>536</v>
      </c>
      <c r="F38" s="25" t="s">
        <v>535</v>
      </c>
      <c r="G38" s="25" t="s">
        <v>536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355</v>
      </c>
      <c r="B52" s="4" t="s">
        <v>832</v>
      </c>
    </row>
    <row r="53" spans="1:10">
      <c r="I53" s="222" t="s">
        <v>537</v>
      </c>
      <c r="J53" s="222"/>
    </row>
    <row r="54" spans="1:10">
      <c r="I54" s="25" t="s">
        <v>535</v>
      </c>
      <c r="J54" s="25" t="s">
        <v>536</v>
      </c>
    </row>
    <row r="55" spans="1:10">
      <c r="I55" s="4" t="str">
        <f>_xlfn.TRANSLATE(I54,"ko","en")</f>
        <v>Passengers</v>
      </c>
      <c r="J55" s="4" t="str">
        <f>_xlfn.TRANSLATE(J54,"ko","en")</f>
        <v>Cargo (tons)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topLeftCell="A21" zoomScale="70" zoomScaleNormal="70" workbookViewId="0">
      <selection activeCell="A66" sqref="A66"/>
    </sheetView>
  </sheetViews>
  <sheetFormatPr defaultColWidth="9" defaultRowHeight="15"/>
  <cols>
    <col min="1" max="1" width="9.7109375" style="4" bestFit="1" customWidth="1"/>
    <col min="2" max="2" width="13.85546875" style="4" bestFit="1" customWidth="1"/>
    <col min="3" max="3" width="15.140625" style="4" bestFit="1" customWidth="1"/>
    <col min="4" max="4" width="18.42578125" style="4" bestFit="1" customWidth="1"/>
    <col min="5" max="5" width="15.140625" style="4" bestFit="1" customWidth="1"/>
    <col min="6" max="6" width="15.85546875" style="4" bestFit="1" customWidth="1"/>
    <col min="7" max="7" width="14" style="4" bestFit="1" customWidth="1"/>
    <col min="8" max="8" width="12.7109375" style="4" bestFit="1" customWidth="1"/>
    <col min="9" max="11" width="11.28515625" style="4" bestFit="1" customWidth="1"/>
    <col min="12" max="12" width="15.7109375" style="4" customWidth="1"/>
    <col min="13" max="13" width="11.28515625" style="4" bestFit="1" customWidth="1"/>
    <col min="14" max="15" width="13.42578125" style="4" bestFit="1" customWidth="1"/>
    <col min="16" max="16" width="12.85546875" style="4" customWidth="1"/>
    <col min="17" max="17" width="13.42578125" style="4" bestFit="1" customWidth="1"/>
    <col min="18" max="18" width="21.5703125" style="4" bestFit="1" customWidth="1"/>
    <col min="19" max="19" width="18.42578125" style="4" bestFit="1" customWidth="1"/>
    <col min="20" max="20" width="19.7109375" style="4" customWidth="1"/>
    <col min="21" max="22" width="15.140625" style="4" bestFit="1" customWidth="1"/>
    <col min="23" max="23" width="15.7109375" style="4" bestFit="1" customWidth="1"/>
    <col min="24" max="25" width="15.140625" style="4" bestFit="1" customWidth="1"/>
    <col min="26" max="26" width="9.42578125" style="4" bestFit="1" customWidth="1"/>
    <col min="27" max="28" width="11" style="4" customWidth="1"/>
    <col min="29" max="29" width="15.85546875" style="4" bestFit="1" customWidth="1"/>
    <col min="30" max="16384" width="9" style="4"/>
  </cols>
  <sheetData>
    <row r="1" spans="1:157">
      <c r="A1" s="25" t="s">
        <v>540</v>
      </c>
    </row>
    <row r="2" spans="1:157" ht="20.100000000000001" customHeight="1">
      <c r="A2" s="111" t="s">
        <v>541</v>
      </c>
      <c r="B2" s="111" t="s">
        <v>542</v>
      </c>
      <c r="C2" s="121" t="s">
        <v>237</v>
      </c>
      <c r="D2" s="121" t="s">
        <v>238</v>
      </c>
      <c r="E2" s="121" t="s">
        <v>239</v>
      </c>
    </row>
    <row r="3" spans="1:157" ht="20.100000000000001" customHeight="1">
      <c r="A3" s="122" t="s">
        <v>543</v>
      </c>
      <c r="B3" s="122" t="s">
        <v>544</v>
      </c>
      <c r="C3" s="123">
        <v>15422957</v>
      </c>
      <c r="D3" s="123">
        <v>16909861</v>
      </c>
      <c r="E3" s="123">
        <v>14625484</v>
      </c>
    </row>
    <row r="4" spans="1:157" ht="20.100000000000001" customHeight="1">
      <c r="A4" s="23" t="s">
        <v>243</v>
      </c>
      <c r="B4" s="122" t="s">
        <v>545</v>
      </c>
      <c r="C4" s="123">
        <v>30912922</v>
      </c>
      <c r="D4" s="123">
        <v>32406255</v>
      </c>
      <c r="E4" s="123">
        <v>31600610</v>
      </c>
    </row>
    <row r="5" spans="1:157" ht="20.100000000000001" customHeight="1">
      <c r="A5" s="23" t="s">
        <v>243</v>
      </c>
      <c r="B5" s="122" t="s">
        <v>546</v>
      </c>
      <c r="C5" s="123">
        <v>839080084</v>
      </c>
      <c r="D5" s="123">
        <v>915668809</v>
      </c>
      <c r="E5" s="123">
        <v>822233607</v>
      </c>
    </row>
    <row r="6" spans="1:157" ht="20.100000000000001" customHeight="1">
      <c r="A6" s="23" t="s">
        <v>243</v>
      </c>
      <c r="B6" s="122" t="s">
        <v>547</v>
      </c>
      <c r="C6" s="123">
        <v>11819784935</v>
      </c>
      <c r="D6" s="123">
        <v>12243233861</v>
      </c>
      <c r="E6" s="123">
        <v>11882156510</v>
      </c>
    </row>
    <row r="7" spans="1:157" ht="20.100000000000001" customHeight="1">
      <c r="A7" s="122" t="s">
        <v>548</v>
      </c>
      <c r="B7" s="122" t="s">
        <v>544</v>
      </c>
      <c r="C7" s="123">
        <v>2776696</v>
      </c>
      <c r="D7" s="123">
        <v>2728147</v>
      </c>
      <c r="E7" s="123" t="s">
        <v>549</v>
      </c>
    </row>
    <row r="8" spans="1:157" ht="20.100000000000001" customHeight="1">
      <c r="A8" s="23" t="s">
        <v>243</v>
      </c>
      <c r="B8" s="122" t="s">
        <v>545</v>
      </c>
      <c r="C8" s="123">
        <v>73000810</v>
      </c>
      <c r="D8" s="123">
        <v>76955719</v>
      </c>
      <c r="E8" s="123">
        <v>85925288</v>
      </c>
    </row>
    <row r="9" spans="1:157" ht="20.100000000000001" customHeight="1">
      <c r="A9" s="23" t="s">
        <v>243</v>
      </c>
      <c r="B9" s="122" t="s">
        <v>546</v>
      </c>
      <c r="C9" s="123" t="s">
        <v>549</v>
      </c>
      <c r="D9" s="123" t="s">
        <v>549</v>
      </c>
      <c r="E9" s="123" t="s">
        <v>549</v>
      </c>
    </row>
    <row r="10" spans="1:157" ht="20.100000000000001" customHeight="1">
      <c r="A10" s="124" t="s">
        <v>243</v>
      </c>
      <c r="B10" s="125" t="s">
        <v>547</v>
      </c>
      <c r="C10" s="123">
        <v>212261253909</v>
      </c>
      <c r="D10" s="123">
        <v>231398037659</v>
      </c>
      <c r="E10" s="123">
        <v>251747144593</v>
      </c>
    </row>
    <row r="11" spans="1:157">
      <c r="A11" s="25" t="s">
        <v>550</v>
      </c>
    </row>
    <row r="12" spans="1:157" ht="20.100000000000001" customHeight="1">
      <c r="A12" s="111" t="s">
        <v>551</v>
      </c>
      <c r="B12" s="111" t="s">
        <v>552</v>
      </c>
      <c r="C12" s="121" t="s">
        <v>553</v>
      </c>
      <c r="D12" s="121" t="s">
        <v>554</v>
      </c>
      <c r="E12" s="121" t="s">
        <v>555</v>
      </c>
      <c r="F12" s="121" t="s">
        <v>556</v>
      </c>
      <c r="G12" s="121" t="s">
        <v>557</v>
      </c>
      <c r="H12" s="121" t="s">
        <v>558</v>
      </c>
      <c r="I12" s="121" t="s">
        <v>559</v>
      </c>
      <c r="J12" s="121" t="s">
        <v>560</v>
      </c>
      <c r="K12" s="121" t="s">
        <v>561</v>
      </c>
      <c r="L12" s="121" t="s">
        <v>562</v>
      </c>
      <c r="M12" s="121" t="s">
        <v>563</v>
      </c>
      <c r="N12" s="121" t="s">
        <v>564</v>
      </c>
      <c r="O12" s="121" t="s">
        <v>565</v>
      </c>
      <c r="P12" s="121" t="s">
        <v>566</v>
      </c>
      <c r="Q12" s="121" t="s">
        <v>567</v>
      </c>
      <c r="R12" s="121" t="s">
        <v>568</v>
      </c>
      <c r="S12" s="121" t="s">
        <v>569</v>
      </c>
      <c r="T12" s="121" t="s">
        <v>570</v>
      </c>
      <c r="U12" s="121" t="s">
        <v>571</v>
      </c>
      <c r="V12" s="121" t="s">
        <v>572</v>
      </c>
      <c r="W12" s="121" t="s">
        <v>573</v>
      </c>
      <c r="X12" s="121" t="s">
        <v>574</v>
      </c>
      <c r="Y12" s="121" t="s">
        <v>575</v>
      </c>
      <c r="Z12" s="121" t="s">
        <v>576</v>
      </c>
      <c r="AA12" s="121" t="s">
        <v>577</v>
      </c>
      <c r="AB12" s="121" t="s">
        <v>578</v>
      </c>
      <c r="AC12" s="121" t="s">
        <v>579</v>
      </c>
      <c r="AD12" s="121" t="s">
        <v>580</v>
      </c>
      <c r="AE12" s="121" t="s">
        <v>581</v>
      </c>
      <c r="AF12" s="121" t="s">
        <v>582</v>
      </c>
      <c r="AG12" s="121" t="s">
        <v>583</v>
      </c>
      <c r="AH12" s="121" t="s">
        <v>584</v>
      </c>
      <c r="AI12" s="121" t="s">
        <v>585</v>
      </c>
      <c r="AJ12" s="121" t="s">
        <v>586</v>
      </c>
      <c r="AK12" s="121" t="s">
        <v>587</v>
      </c>
      <c r="AL12" s="121" t="s">
        <v>588</v>
      </c>
      <c r="AM12" s="121" t="s">
        <v>589</v>
      </c>
      <c r="AN12" s="121" t="s">
        <v>590</v>
      </c>
      <c r="AO12" s="121" t="s">
        <v>591</v>
      </c>
      <c r="AP12" s="121" t="s">
        <v>592</v>
      </c>
      <c r="AQ12" s="121" t="s">
        <v>593</v>
      </c>
      <c r="AR12" s="121" t="s">
        <v>594</v>
      </c>
      <c r="AS12" s="121" t="s">
        <v>595</v>
      </c>
      <c r="AT12" s="121" t="s">
        <v>596</v>
      </c>
      <c r="AU12" s="121" t="s">
        <v>597</v>
      </c>
      <c r="AV12" s="121" t="s">
        <v>598</v>
      </c>
      <c r="AW12" s="121" t="s">
        <v>599</v>
      </c>
      <c r="AX12" s="121" t="s">
        <v>600</v>
      </c>
      <c r="AY12" s="121" t="s">
        <v>601</v>
      </c>
      <c r="AZ12" s="121" t="s">
        <v>602</v>
      </c>
      <c r="BA12" s="121" t="s">
        <v>603</v>
      </c>
      <c r="BB12" s="121" t="s">
        <v>604</v>
      </c>
      <c r="BC12" s="121" t="s">
        <v>605</v>
      </c>
      <c r="BD12" s="121" t="s">
        <v>606</v>
      </c>
      <c r="BE12" s="121" t="s">
        <v>607</v>
      </c>
      <c r="BF12" s="121" t="s">
        <v>608</v>
      </c>
      <c r="BG12" s="121" t="s">
        <v>609</v>
      </c>
      <c r="BH12" s="121" t="s">
        <v>610</v>
      </c>
      <c r="BI12" s="121" t="s">
        <v>611</v>
      </c>
      <c r="BJ12" s="121" t="s">
        <v>612</v>
      </c>
      <c r="BK12" s="121" t="s">
        <v>613</v>
      </c>
      <c r="BL12" s="121" t="s">
        <v>614</v>
      </c>
      <c r="BM12" s="121" t="s">
        <v>615</v>
      </c>
      <c r="BN12" s="121" t="s">
        <v>616</v>
      </c>
      <c r="BO12" s="121" t="s">
        <v>617</v>
      </c>
      <c r="BP12" s="121" t="s">
        <v>618</v>
      </c>
      <c r="BQ12" s="121" t="s">
        <v>619</v>
      </c>
      <c r="BR12" s="121" t="s">
        <v>620</v>
      </c>
      <c r="BS12" s="121" t="s">
        <v>621</v>
      </c>
      <c r="BT12" s="121" t="s">
        <v>622</v>
      </c>
      <c r="BU12" s="121" t="s">
        <v>623</v>
      </c>
      <c r="BV12" s="121" t="s">
        <v>624</v>
      </c>
      <c r="BW12" s="121" t="s">
        <v>625</v>
      </c>
      <c r="BX12" s="121" t="s">
        <v>626</v>
      </c>
      <c r="BY12" s="121" t="s">
        <v>627</v>
      </c>
      <c r="BZ12" s="121" t="s">
        <v>628</v>
      </c>
      <c r="CA12" s="121" t="s">
        <v>629</v>
      </c>
      <c r="CB12" s="121" t="s">
        <v>630</v>
      </c>
      <c r="CC12" s="121" t="s">
        <v>631</v>
      </c>
      <c r="CD12" s="121" t="s">
        <v>632</v>
      </c>
      <c r="CE12" s="121" t="s">
        <v>633</v>
      </c>
      <c r="CF12" s="121" t="s">
        <v>634</v>
      </c>
      <c r="CG12" s="121" t="s">
        <v>635</v>
      </c>
      <c r="CH12" s="121" t="s">
        <v>636</v>
      </c>
      <c r="CI12" s="121" t="s">
        <v>637</v>
      </c>
      <c r="CJ12" s="121" t="s">
        <v>638</v>
      </c>
      <c r="CK12" s="121" t="s">
        <v>639</v>
      </c>
      <c r="CL12" s="121" t="s">
        <v>640</v>
      </c>
      <c r="CM12" s="121" t="s">
        <v>641</v>
      </c>
      <c r="CN12" s="121" t="s">
        <v>642</v>
      </c>
      <c r="CO12" s="121" t="s">
        <v>643</v>
      </c>
      <c r="CP12" s="121" t="s">
        <v>644</v>
      </c>
      <c r="CQ12" s="121" t="s">
        <v>645</v>
      </c>
      <c r="CR12" s="121" t="s">
        <v>646</v>
      </c>
      <c r="CS12" s="121" t="s">
        <v>647</v>
      </c>
      <c r="CT12" s="121" t="s">
        <v>648</v>
      </c>
      <c r="CU12" s="121" t="s">
        <v>649</v>
      </c>
      <c r="CV12" s="121" t="s">
        <v>650</v>
      </c>
      <c r="CW12" s="121" t="s">
        <v>651</v>
      </c>
      <c r="CX12" s="121" t="s">
        <v>652</v>
      </c>
      <c r="CY12" s="121" t="s">
        <v>653</v>
      </c>
      <c r="CZ12" s="121" t="s">
        <v>654</v>
      </c>
      <c r="DA12" s="121" t="s">
        <v>655</v>
      </c>
      <c r="DB12" s="121" t="s">
        <v>656</v>
      </c>
      <c r="DC12" s="121" t="s">
        <v>657</v>
      </c>
      <c r="DD12" s="121" t="s">
        <v>658</v>
      </c>
      <c r="DE12" s="121" t="s">
        <v>659</v>
      </c>
      <c r="DF12" s="121" t="s">
        <v>660</v>
      </c>
      <c r="DG12" s="121" t="s">
        <v>661</v>
      </c>
      <c r="DH12" s="121" t="s">
        <v>662</v>
      </c>
      <c r="DI12" s="121" t="s">
        <v>663</v>
      </c>
      <c r="DJ12" s="121" t="s">
        <v>664</v>
      </c>
      <c r="DK12" s="121" t="s">
        <v>665</v>
      </c>
      <c r="DL12" s="121" t="s">
        <v>666</v>
      </c>
      <c r="DM12" s="121" t="s">
        <v>667</v>
      </c>
      <c r="DN12" s="121" t="s">
        <v>668</v>
      </c>
      <c r="DO12" s="121" t="s">
        <v>669</v>
      </c>
      <c r="DP12" s="121" t="s">
        <v>670</v>
      </c>
      <c r="DQ12" s="121" t="s">
        <v>671</v>
      </c>
      <c r="DR12" s="121" t="s">
        <v>672</v>
      </c>
      <c r="DS12" s="121" t="s">
        <v>673</v>
      </c>
      <c r="DT12" s="121" t="s">
        <v>674</v>
      </c>
      <c r="DU12" s="121" t="s">
        <v>675</v>
      </c>
      <c r="DV12" s="121" t="s">
        <v>676</v>
      </c>
      <c r="DW12" s="121" t="s">
        <v>677</v>
      </c>
      <c r="DX12" s="121" t="s">
        <v>678</v>
      </c>
      <c r="DY12" s="121" t="s">
        <v>679</v>
      </c>
      <c r="DZ12" s="121" t="s">
        <v>680</v>
      </c>
      <c r="EA12" s="121" t="s">
        <v>681</v>
      </c>
      <c r="EB12" s="121" t="s">
        <v>682</v>
      </c>
      <c r="EC12" s="121" t="s">
        <v>683</v>
      </c>
      <c r="ED12" s="121" t="s">
        <v>684</v>
      </c>
      <c r="EE12" s="121" t="s">
        <v>685</v>
      </c>
      <c r="EF12" s="121" t="s">
        <v>686</v>
      </c>
      <c r="EG12" s="121" t="s">
        <v>687</v>
      </c>
      <c r="EH12" s="121" t="s">
        <v>688</v>
      </c>
      <c r="EI12" s="121" t="s">
        <v>689</v>
      </c>
      <c r="EJ12" s="121" t="s">
        <v>690</v>
      </c>
      <c r="EK12" s="121" t="s">
        <v>691</v>
      </c>
      <c r="EL12" s="121" t="s">
        <v>692</v>
      </c>
      <c r="EM12" s="121" t="s">
        <v>693</v>
      </c>
      <c r="EN12" s="121" t="s">
        <v>694</v>
      </c>
      <c r="EO12" s="121" t="s">
        <v>695</v>
      </c>
      <c r="EP12" s="121" t="s">
        <v>696</v>
      </c>
      <c r="EQ12" s="121" t="s">
        <v>697</v>
      </c>
      <c r="ER12" s="121" t="s">
        <v>698</v>
      </c>
      <c r="ES12" s="121" t="s">
        <v>699</v>
      </c>
      <c r="ET12" s="121" t="s">
        <v>700</v>
      </c>
      <c r="EU12" s="121" t="s">
        <v>701</v>
      </c>
      <c r="EV12" s="121" t="s">
        <v>702</v>
      </c>
      <c r="EW12" s="121" t="s">
        <v>703</v>
      </c>
      <c r="EX12" s="121" t="s">
        <v>704</v>
      </c>
      <c r="EY12" s="121" t="s">
        <v>705</v>
      </c>
      <c r="EZ12" s="121" t="s">
        <v>706</v>
      </c>
      <c r="FA12" s="121" t="s">
        <v>707</v>
      </c>
    </row>
    <row r="13" spans="1:157" ht="20.100000000000001" customHeight="1">
      <c r="A13" s="122" t="s">
        <v>543</v>
      </c>
      <c r="B13" s="122" t="s">
        <v>56</v>
      </c>
      <c r="C13" s="123">
        <v>595272320</v>
      </c>
      <c r="D13" s="123">
        <v>621239664</v>
      </c>
      <c r="E13" s="123">
        <v>700344184</v>
      </c>
      <c r="F13" s="123">
        <v>567023195</v>
      </c>
      <c r="G13" s="123">
        <v>567344200</v>
      </c>
      <c r="H13" s="123">
        <v>676315453</v>
      </c>
      <c r="I13" s="123">
        <v>721822691</v>
      </c>
      <c r="J13" s="123">
        <v>772444316</v>
      </c>
      <c r="K13" s="123">
        <v>758315596</v>
      </c>
      <c r="L13" s="123">
        <v>679412965</v>
      </c>
      <c r="M13" s="123">
        <v>687451212</v>
      </c>
      <c r="N13" s="123">
        <v>56080572</v>
      </c>
      <c r="O13" s="123">
        <v>54825756</v>
      </c>
      <c r="P13" s="123">
        <v>57161659</v>
      </c>
      <c r="Q13" s="123">
        <v>58392931</v>
      </c>
      <c r="R13" s="123">
        <v>59763150</v>
      </c>
      <c r="S13" s="123">
        <v>58231499</v>
      </c>
      <c r="T13" s="123">
        <v>56572624</v>
      </c>
      <c r="U13" s="123">
        <v>56112587</v>
      </c>
      <c r="V13" s="123">
        <v>58516121</v>
      </c>
      <c r="W13" s="123">
        <v>60695990</v>
      </c>
      <c r="X13" s="123">
        <v>57461547</v>
      </c>
      <c r="Y13" s="123">
        <v>56964040</v>
      </c>
      <c r="Z13" s="123">
        <v>57950364</v>
      </c>
      <c r="AA13" s="123">
        <v>56843979</v>
      </c>
      <c r="AB13" s="123">
        <v>59369471</v>
      </c>
      <c r="AC13" s="123">
        <v>59748875</v>
      </c>
      <c r="AD13" s="123">
        <v>60576452</v>
      </c>
      <c r="AE13" s="123">
        <v>60353498</v>
      </c>
      <c r="AF13" s="123">
        <v>58712222</v>
      </c>
      <c r="AG13" s="123">
        <v>58989227</v>
      </c>
      <c r="AH13" s="123">
        <v>59909506</v>
      </c>
      <c r="AI13" s="123">
        <v>61361275</v>
      </c>
      <c r="AJ13" s="123">
        <v>60401219</v>
      </c>
      <c r="AK13" s="123">
        <v>61005759</v>
      </c>
      <c r="AL13" s="123">
        <v>59137520</v>
      </c>
      <c r="AM13" s="123">
        <v>57871646</v>
      </c>
      <c r="AN13" s="123">
        <v>61509159</v>
      </c>
      <c r="AO13" s="123">
        <v>61243019</v>
      </c>
      <c r="AP13" s="123">
        <v>61659465</v>
      </c>
      <c r="AQ13" s="123">
        <v>60761327</v>
      </c>
      <c r="AR13" s="123">
        <v>61119952</v>
      </c>
      <c r="AS13" s="123">
        <v>60613441</v>
      </c>
      <c r="AT13" s="123">
        <v>61386242</v>
      </c>
      <c r="AU13" s="123">
        <v>63231326</v>
      </c>
      <c r="AV13" s="123">
        <v>61043684</v>
      </c>
      <c r="AW13" s="123">
        <v>60248745</v>
      </c>
      <c r="AX13" s="123">
        <v>60376458</v>
      </c>
      <c r="AY13" s="123">
        <v>60263022</v>
      </c>
      <c r="AZ13" s="123">
        <v>63981588</v>
      </c>
      <c r="BA13" s="123">
        <v>64934061</v>
      </c>
      <c r="BB13" s="123">
        <v>64980430</v>
      </c>
      <c r="BC13" s="123">
        <v>63467496</v>
      </c>
      <c r="BD13" s="123">
        <v>64075052</v>
      </c>
      <c r="BE13" s="123">
        <v>63653300</v>
      </c>
      <c r="BF13" s="123">
        <v>65302883</v>
      </c>
      <c r="BG13" s="123">
        <v>66251299</v>
      </c>
      <c r="BH13" s="123">
        <v>65174664</v>
      </c>
      <c r="BI13" s="123">
        <v>64218363</v>
      </c>
      <c r="BJ13" s="123">
        <v>63186365</v>
      </c>
      <c r="BK13" s="123">
        <v>61698492</v>
      </c>
      <c r="BL13" s="123">
        <v>66151489</v>
      </c>
      <c r="BM13" s="123">
        <v>66261054</v>
      </c>
      <c r="BN13" s="123">
        <v>66599215</v>
      </c>
      <c r="BO13" s="123">
        <v>65608968</v>
      </c>
      <c r="BP13" s="123">
        <v>64398781</v>
      </c>
      <c r="BQ13" s="123">
        <v>63039418</v>
      </c>
      <c r="BR13" s="123">
        <v>63092034</v>
      </c>
      <c r="BS13" s="123">
        <v>64569496</v>
      </c>
      <c r="BT13" s="123">
        <v>67948877</v>
      </c>
      <c r="BU13" s="123">
        <v>65476342</v>
      </c>
      <c r="BV13" s="123">
        <v>62449195</v>
      </c>
      <c r="BW13" s="123">
        <v>61414084</v>
      </c>
      <c r="BX13" s="123">
        <v>66930418</v>
      </c>
      <c r="BY13" s="123">
        <v>66790386</v>
      </c>
      <c r="BZ13" s="123">
        <v>66599215</v>
      </c>
      <c r="CA13" s="123">
        <v>65945949</v>
      </c>
      <c r="CB13" s="123">
        <v>64398781</v>
      </c>
      <c r="CC13" s="123">
        <v>64218520</v>
      </c>
      <c r="CD13" s="123">
        <v>64814588</v>
      </c>
      <c r="CE13" s="123">
        <v>67411275</v>
      </c>
      <c r="CF13" s="123">
        <v>67948877</v>
      </c>
      <c r="CG13" s="123">
        <v>65839355</v>
      </c>
      <c r="CH13" s="123">
        <v>73499611</v>
      </c>
      <c r="CI13" s="123">
        <v>70705774</v>
      </c>
      <c r="CJ13" s="123">
        <v>76095011</v>
      </c>
      <c r="CK13" s="123">
        <v>75129468</v>
      </c>
      <c r="CL13" s="123">
        <v>75656868</v>
      </c>
      <c r="CM13" s="123">
        <v>75000303</v>
      </c>
      <c r="CN13" s="123">
        <v>75662591</v>
      </c>
      <c r="CO13" s="123">
        <v>70169560</v>
      </c>
      <c r="CP13" s="123">
        <v>74179930</v>
      </c>
      <c r="CQ13" s="123">
        <v>77235033</v>
      </c>
      <c r="CR13" s="123">
        <v>75518286</v>
      </c>
      <c r="CS13" s="123">
        <v>73697996</v>
      </c>
      <c r="CT13" s="123">
        <v>71911186</v>
      </c>
      <c r="CU13" s="123">
        <v>68666202</v>
      </c>
      <c r="CV13" s="123">
        <v>75157956</v>
      </c>
      <c r="CW13" s="123">
        <v>73568520</v>
      </c>
      <c r="CX13" s="123">
        <v>74040388</v>
      </c>
      <c r="CY13" s="123">
        <v>75119275</v>
      </c>
      <c r="CZ13" s="123">
        <v>72126529</v>
      </c>
      <c r="DA13" s="123">
        <v>72852462</v>
      </c>
      <c r="DB13" s="123">
        <v>72402080</v>
      </c>
      <c r="DC13" s="123">
        <v>75075197</v>
      </c>
      <c r="DD13" s="123">
        <v>75000710</v>
      </c>
      <c r="DE13" s="123">
        <v>73391281</v>
      </c>
      <c r="DF13" s="123">
        <v>63388271</v>
      </c>
      <c r="DG13" s="123">
        <v>60760139</v>
      </c>
      <c r="DH13" s="123">
        <v>65784262</v>
      </c>
      <c r="DI13" s="123">
        <v>65547050</v>
      </c>
      <c r="DJ13" s="123">
        <v>65998059</v>
      </c>
      <c r="DK13" s="123">
        <v>66001586</v>
      </c>
      <c r="DL13" s="123">
        <v>65240808</v>
      </c>
      <c r="DM13" s="123">
        <v>63564047</v>
      </c>
      <c r="DN13" s="123">
        <v>64859702</v>
      </c>
      <c r="DO13" s="123">
        <v>77642564</v>
      </c>
      <c r="DP13" s="123">
        <v>76890838</v>
      </c>
      <c r="DQ13" s="123">
        <v>74950685</v>
      </c>
      <c r="DR13" s="123" t="s">
        <v>549</v>
      </c>
      <c r="DS13" s="123" t="s">
        <v>549</v>
      </c>
      <c r="DT13" s="123" t="s">
        <v>549</v>
      </c>
      <c r="DU13" s="123" t="s">
        <v>549</v>
      </c>
      <c r="DV13" s="123" t="s">
        <v>549</v>
      </c>
      <c r="DW13" s="123" t="s">
        <v>549</v>
      </c>
      <c r="DX13" s="123" t="s">
        <v>549</v>
      </c>
      <c r="DY13" s="123" t="s">
        <v>549</v>
      </c>
      <c r="DZ13" s="123" t="s">
        <v>549</v>
      </c>
      <c r="EA13" s="123" t="s">
        <v>549</v>
      </c>
      <c r="EB13" s="123" t="s">
        <v>549</v>
      </c>
      <c r="EC13" s="123" t="s">
        <v>549</v>
      </c>
      <c r="ED13" s="123" t="s">
        <v>549</v>
      </c>
      <c r="EE13" s="123" t="s">
        <v>549</v>
      </c>
      <c r="EF13" s="123" t="s">
        <v>549</v>
      </c>
      <c r="EG13" s="123" t="s">
        <v>549</v>
      </c>
      <c r="EH13" s="123" t="s">
        <v>549</v>
      </c>
      <c r="EI13" s="123" t="s">
        <v>549</v>
      </c>
      <c r="EJ13" s="123" t="s">
        <v>549</v>
      </c>
      <c r="EK13" s="123" t="s">
        <v>549</v>
      </c>
      <c r="EL13" s="123" t="s">
        <v>549</v>
      </c>
      <c r="EM13" s="123" t="s">
        <v>549</v>
      </c>
      <c r="EN13" s="123" t="s">
        <v>549</v>
      </c>
      <c r="EO13" s="123" t="s">
        <v>549</v>
      </c>
      <c r="EP13" s="123" t="s">
        <v>549</v>
      </c>
      <c r="EQ13" s="123" t="s">
        <v>549</v>
      </c>
      <c r="ER13" s="123" t="s">
        <v>549</v>
      </c>
      <c r="ES13" s="123" t="s">
        <v>549</v>
      </c>
      <c r="ET13" s="123" t="s">
        <v>549</v>
      </c>
      <c r="EU13" s="123" t="s">
        <v>549</v>
      </c>
      <c r="EV13" s="123" t="s">
        <v>549</v>
      </c>
      <c r="EW13" s="123" t="s">
        <v>549</v>
      </c>
      <c r="EX13" s="123" t="s">
        <v>549</v>
      </c>
      <c r="EY13" s="123" t="s">
        <v>549</v>
      </c>
      <c r="EZ13" s="123" t="s">
        <v>549</v>
      </c>
      <c r="FA13" s="123" t="s">
        <v>549</v>
      </c>
    </row>
    <row r="14" spans="1:157" ht="20.100000000000001" customHeight="1">
      <c r="A14" s="23" t="s">
        <v>243</v>
      </c>
      <c r="B14" s="122" t="s">
        <v>708</v>
      </c>
      <c r="C14" s="123">
        <v>57469339</v>
      </c>
      <c r="D14" s="123">
        <v>53526971</v>
      </c>
      <c r="E14" s="123">
        <v>53827826</v>
      </c>
      <c r="F14" s="123">
        <v>43344820</v>
      </c>
      <c r="G14" s="123">
        <v>42080967</v>
      </c>
      <c r="H14" s="123">
        <v>45239839</v>
      </c>
      <c r="I14" s="123">
        <v>45122332</v>
      </c>
      <c r="J14" s="123">
        <v>45732629</v>
      </c>
      <c r="K14" s="123">
        <v>47109970</v>
      </c>
      <c r="L14" s="123">
        <v>44512467</v>
      </c>
      <c r="M14" s="123">
        <v>41668802</v>
      </c>
      <c r="N14" s="123">
        <v>3000989</v>
      </c>
      <c r="O14" s="123">
        <v>3058861</v>
      </c>
      <c r="P14" s="123">
        <v>3632421</v>
      </c>
      <c r="Q14" s="123">
        <v>3874998</v>
      </c>
      <c r="R14" s="123">
        <v>3908205</v>
      </c>
      <c r="S14" s="123">
        <v>3723069</v>
      </c>
      <c r="T14" s="123">
        <v>3035281</v>
      </c>
      <c r="U14" s="123">
        <v>3582249</v>
      </c>
      <c r="V14" s="123">
        <v>3865430</v>
      </c>
      <c r="W14" s="123">
        <v>3663709</v>
      </c>
      <c r="X14" s="123">
        <v>4060887</v>
      </c>
      <c r="Y14" s="123">
        <v>3934481</v>
      </c>
      <c r="Z14" s="123">
        <v>3319263</v>
      </c>
      <c r="AA14" s="123">
        <v>2974849</v>
      </c>
      <c r="AB14" s="123">
        <v>3914912</v>
      </c>
      <c r="AC14" s="123">
        <v>3924455</v>
      </c>
      <c r="AD14" s="123">
        <v>3895774</v>
      </c>
      <c r="AE14" s="123">
        <v>3703086</v>
      </c>
      <c r="AF14" s="123">
        <v>3476431</v>
      </c>
      <c r="AG14" s="123">
        <v>3444103</v>
      </c>
      <c r="AH14" s="123">
        <v>3235934</v>
      </c>
      <c r="AI14" s="123">
        <v>4309512</v>
      </c>
      <c r="AJ14" s="123">
        <v>4230336</v>
      </c>
      <c r="AK14" s="123">
        <v>4133124</v>
      </c>
      <c r="AL14" s="123">
        <v>3419470</v>
      </c>
      <c r="AM14" s="123">
        <v>3070669</v>
      </c>
      <c r="AN14" s="123">
        <v>4048396</v>
      </c>
      <c r="AO14" s="123">
        <v>4239781</v>
      </c>
      <c r="AP14" s="123">
        <v>4417651</v>
      </c>
      <c r="AQ14" s="123">
        <v>4193394</v>
      </c>
      <c r="AR14" s="123">
        <v>4096204</v>
      </c>
      <c r="AS14" s="123">
        <v>3809148</v>
      </c>
      <c r="AT14" s="123">
        <v>3863128</v>
      </c>
      <c r="AU14" s="123">
        <v>4322695</v>
      </c>
      <c r="AV14" s="123">
        <v>3876609</v>
      </c>
      <c r="AW14" s="123">
        <v>3448543</v>
      </c>
      <c r="AX14" s="123">
        <v>2346643</v>
      </c>
      <c r="AY14" s="123">
        <v>2621495</v>
      </c>
      <c r="AZ14" s="123">
        <v>3438099</v>
      </c>
      <c r="BA14" s="123">
        <v>3572112</v>
      </c>
      <c r="BB14" s="123">
        <v>3666841</v>
      </c>
      <c r="BC14" s="123">
        <v>3591244</v>
      </c>
      <c r="BD14" s="123">
        <v>3280017</v>
      </c>
      <c r="BE14" s="123">
        <v>3288796</v>
      </c>
      <c r="BF14" s="123">
        <v>3463755</v>
      </c>
      <c r="BG14" s="123">
        <v>3426784</v>
      </c>
      <c r="BH14" s="123">
        <v>2994640</v>
      </c>
      <c r="BI14" s="123">
        <v>3207278</v>
      </c>
      <c r="BJ14" s="123">
        <v>2588834</v>
      </c>
      <c r="BK14" s="123">
        <v>2590708</v>
      </c>
      <c r="BL14" s="123">
        <v>3510581</v>
      </c>
      <c r="BM14" s="123">
        <v>3754282</v>
      </c>
      <c r="BN14" s="123">
        <v>3674631</v>
      </c>
      <c r="BO14" s="123">
        <v>3651789</v>
      </c>
      <c r="BP14" s="123">
        <v>3360575</v>
      </c>
      <c r="BQ14" s="123">
        <v>3058764</v>
      </c>
      <c r="BR14" s="123">
        <v>2759690</v>
      </c>
      <c r="BS14" s="123">
        <v>3460098</v>
      </c>
      <c r="BT14" s="123">
        <v>3542581</v>
      </c>
      <c r="BU14" s="123">
        <v>3264912</v>
      </c>
      <c r="BV14" s="123">
        <v>2567788</v>
      </c>
      <c r="BW14" s="123">
        <v>2470106</v>
      </c>
      <c r="BX14" s="123">
        <v>3675088</v>
      </c>
      <c r="BY14" s="123">
        <v>3757325</v>
      </c>
      <c r="BZ14" s="123">
        <v>3674631</v>
      </c>
      <c r="CA14" s="123">
        <v>3605712</v>
      </c>
      <c r="CB14" s="123">
        <v>3360575</v>
      </c>
      <c r="CC14" s="123">
        <v>3227277</v>
      </c>
      <c r="CD14" s="123">
        <v>3298026</v>
      </c>
      <c r="CE14" s="123">
        <v>3635453</v>
      </c>
      <c r="CF14" s="123">
        <v>3542581</v>
      </c>
      <c r="CG14" s="123">
        <v>3469153</v>
      </c>
      <c r="CH14" s="123">
        <v>2689011</v>
      </c>
      <c r="CI14" s="123">
        <v>2933099</v>
      </c>
      <c r="CJ14" s="123">
        <v>3605834</v>
      </c>
      <c r="CK14" s="123">
        <v>3557410</v>
      </c>
      <c r="CL14" s="123">
        <v>3807425</v>
      </c>
      <c r="CM14" s="123">
        <v>3731815</v>
      </c>
      <c r="CN14" s="123">
        <v>3506984</v>
      </c>
      <c r="CO14" s="123">
        <v>3046520</v>
      </c>
      <c r="CP14" s="123">
        <v>3080181</v>
      </c>
      <c r="CQ14" s="123">
        <v>3592844</v>
      </c>
      <c r="CR14" s="123">
        <v>3592416</v>
      </c>
      <c r="CS14" s="123">
        <v>3165389</v>
      </c>
      <c r="CT14" s="123">
        <v>2909186</v>
      </c>
      <c r="CU14" s="123">
        <v>2717781</v>
      </c>
      <c r="CV14" s="123">
        <v>3639589</v>
      </c>
      <c r="CW14" s="123">
        <v>3807309</v>
      </c>
      <c r="CX14" s="123">
        <v>3984681</v>
      </c>
      <c r="CY14" s="123">
        <v>3565386</v>
      </c>
      <c r="CZ14" s="123">
        <v>3437362</v>
      </c>
      <c r="DA14" s="123">
        <v>3313811</v>
      </c>
      <c r="DB14" s="123">
        <v>3026376</v>
      </c>
      <c r="DC14" s="123">
        <v>3689731</v>
      </c>
      <c r="DD14" s="123">
        <v>3587288</v>
      </c>
      <c r="DE14" s="123">
        <v>2143770</v>
      </c>
      <c r="DF14" s="123">
        <v>2534655</v>
      </c>
      <c r="DG14" s="123">
        <v>2602407</v>
      </c>
      <c r="DH14" s="123">
        <v>3382487</v>
      </c>
      <c r="DI14" s="123">
        <v>3450747</v>
      </c>
      <c r="DJ14" s="123">
        <v>3362860</v>
      </c>
      <c r="DK14" s="123">
        <v>3210007</v>
      </c>
      <c r="DL14" s="123">
        <v>3314427</v>
      </c>
      <c r="DM14" s="123">
        <v>3008351</v>
      </c>
      <c r="DN14" s="123">
        <v>2892065</v>
      </c>
      <c r="DO14" s="123">
        <v>3346101</v>
      </c>
      <c r="DP14" s="123">
        <v>3224812</v>
      </c>
      <c r="DQ14" s="123">
        <v>3050249</v>
      </c>
      <c r="DR14" s="123">
        <v>2734664</v>
      </c>
      <c r="DS14" s="123">
        <v>2344967</v>
      </c>
      <c r="DT14" s="123">
        <v>3251254</v>
      </c>
      <c r="DU14" s="123">
        <v>3250163</v>
      </c>
      <c r="DV14" s="123">
        <v>3217001</v>
      </c>
      <c r="DW14" s="123">
        <v>3287290</v>
      </c>
      <c r="DX14" s="123">
        <v>3274352</v>
      </c>
      <c r="DY14" s="123">
        <v>3014957</v>
      </c>
      <c r="DZ14" s="123">
        <v>2907906</v>
      </c>
      <c r="EA14" s="123">
        <v>3409564</v>
      </c>
      <c r="EB14" s="123">
        <v>3167879</v>
      </c>
      <c r="EC14" s="123">
        <v>3233645</v>
      </c>
      <c r="ED14" s="123">
        <v>2622245</v>
      </c>
      <c r="EE14" s="123">
        <v>2471111</v>
      </c>
      <c r="EF14" s="123">
        <v>3286290</v>
      </c>
      <c r="EG14" s="123">
        <v>3118350</v>
      </c>
      <c r="EH14" s="123">
        <v>3188390</v>
      </c>
      <c r="EI14" s="123">
        <v>3105722</v>
      </c>
      <c r="EJ14" s="123">
        <v>3009458</v>
      </c>
      <c r="EK14" s="123">
        <v>3024435</v>
      </c>
      <c r="EL14" s="123">
        <v>2527637</v>
      </c>
      <c r="EM14" s="123">
        <v>1883222</v>
      </c>
      <c r="EN14" s="123">
        <v>1898447</v>
      </c>
      <c r="EO14" s="123">
        <v>2420134</v>
      </c>
      <c r="EP14" s="123">
        <v>2151665</v>
      </c>
      <c r="EQ14" s="123">
        <v>2402359</v>
      </c>
      <c r="ER14" s="123">
        <v>2905635</v>
      </c>
      <c r="ES14" s="123">
        <v>2868040</v>
      </c>
      <c r="ET14" s="123">
        <v>2890323</v>
      </c>
      <c r="EU14" s="123">
        <v>2775104</v>
      </c>
      <c r="EV14" s="123">
        <v>2525432</v>
      </c>
      <c r="EW14" s="123">
        <v>2505020</v>
      </c>
      <c r="EX14" s="123">
        <v>2783365</v>
      </c>
      <c r="EY14" s="123">
        <v>2429279</v>
      </c>
      <c r="EZ14" s="123">
        <v>2860412</v>
      </c>
      <c r="FA14" s="123">
        <v>2572976</v>
      </c>
    </row>
    <row r="15" spans="1:157" ht="20.100000000000001" customHeight="1">
      <c r="A15" s="23" t="s">
        <v>243</v>
      </c>
      <c r="B15" s="122" t="s">
        <v>709</v>
      </c>
      <c r="C15" s="123">
        <v>408368372</v>
      </c>
      <c r="D15" s="123">
        <v>426413788</v>
      </c>
      <c r="E15" s="123">
        <v>499083185</v>
      </c>
      <c r="F15" s="123">
        <v>408136000</v>
      </c>
      <c r="G15" s="123">
        <v>401177000</v>
      </c>
      <c r="H15" s="123">
        <v>496174000</v>
      </c>
      <c r="I15" s="123">
        <v>535725000</v>
      </c>
      <c r="J15" s="123">
        <v>584573000</v>
      </c>
      <c r="K15" s="123">
        <v>565456252</v>
      </c>
      <c r="L15" s="123">
        <v>518855708</v>
      </c>
      <c r="M15" s="123">
        <v>526000147</v>
      </c>
      <c r="N15" s="123">
        <v>43309017</v>
      </c>
      <c r="O15" s="123">
        <v>42999385</v>
      </c>
      <c r="P15" s="123">
        <v>43331211</v>
      </c>
      <c r="Q15" s="123">
        <v>44167415</v>
      </c>
      <c r="R15" s="123">
        <v>44953006</v>
      </c>
      <c r="S15" s="123">
        <v>44307841</v>
      </c>
      <c r="T15" s="123">
        <v>44590048</v>
      </c>
      <c r="U15" s="123">
        <v>42994062</v>
      </c>
      <c r="V15" s="123">
        <v>44998500</v>
      </c>
      <c r="W15" s="123">
        <v>46923771</v>
      </c>
      <c r="X15" s="123">
        <v>43894486</v>
      </c>
      <c r="Y15" s="123">
        <v>42809129</v>
      </c>
      <c r="Z15" s="123">
        <v>44917100</v>
      </c>
      <c r="AA15" s="123">
        <v>45536597</v>
      </c>
      <c r="AB15" s="123">
        <v>45393591</v>
      </c>
      <c r="AC15" s="123">
        <v>45896203</v>
      </c>
      <c r="AD15" s="123">
        <v>45883342</v>
      </c>
      <c r="AE15" s="123">
        <v>45791504</v>
      </c>
      <c r="AF15" s="123">
        <v>45166795</v>
      </c>
      <c r="AG15" s="123">
        <v>45996175</v>
      </c>
      <c r="AH15" s="123">
        <v>46793231</v>
      </c>
      <c r="AI15" s="123">
        <v>46658698</v>
      </c>
      <c r="AJ15" s="123">
        <v>45879483</v>
      </c>
      <c r="AK15" s="123">
        <v>46351752</v>
      </c>
      <c r="AL15" s="123">
        <v>45005689</v>
      </c>
      <c r="AM15" s="123">
        <v>45383050</v>
      </c>
      <c r="AN15" s="123">
        <v>46158592</v>
      </c>
      <c r="AO15" s="123">
        <v>46365508</v>
      </c>
      <c r="AP15" s="123">
        <v>46236132</v>
      </c>
      <c r="AQ15" s="123">
        <v>46508927</v>
      </c>
      <c r="AR15" s="123">
        <v>46595820</v>
      </c>
      <c r="AS15" s="123">
        <v>46217048</v>
      </c>
      <c r="AT15" s="123">
        <v>47109328</v>
      </c>
      <c r="AU15" s="123">
        <v>47749743</v>
      </c>
      <c r="AV15" s="123">
        <v>46588269</v>
      </c>
      <c r="AW15" s="123">
        <v>45883239</v>
      </c>
      <c r="AX15" s="123">
        <v>49031750</v>
      </c>
      <c r="AY15" s="123">
        <v>48637977</v>
      </c>
      <c r="AZ15" s="123">
        <v>50507890</v>
      </c>
      <c r="BA15" s="123">
        <v>50561749</v>
      </c>
      <c r="BB15" s="123">
        <v>50283974</v>
      </c>
      <c r="BC15" s="123">
        <v>50536333</v>
      </c>
      <c r="BD15" s="123">
        <v>50545724</v>
      </c>
      <c r="BE15" s="123">
        <v>50508637</v>
      </c>
      <c r="BF15" s="123">
        <v>51113078</v>
      </c>
      <c r="BG15" s="123">
        <v>52749720</v>
      </c>
      <c r="BH15" s="123">
        <v>51842183</v>
      </c>
      <c r="BI15" s="123">
        <v>51161310</v>
      </c>
      <c r="BJ15" s="123">
        <v>51144826</v>
      </c>
      <c r="BK15" s="123">
        <v>50764398</v>
      </c>
      <c r="BL15" s="123">
        <v>52494343</v>
      </c>
      <c r="BM15" s="123">
        <v>51933773</v>
      </c>
      <c r="BN15" s="123">
        <v>51570955</v>
      </c>
      <c r="BO15" s="123">
        <v>51673455</v>
      </c>
      <c r="BP15" s="123">
        <v>51564008</v>
      </c>
      <c r="BQ15" s="123">
        <v>50778956</v>
      </c>
      <c r="BR15" s="123">
        <v>51643833</v>
      </c>
      <c r="BS15" s="123">
        <v>50654485</v>
      </c>
      <c r="BT15" s="123">
        <v>53367764</v>
      </c>
      <c r="BU15" s="123">
        <v>51938851</v>
      </c>
      <c r="BV15" s="123">
        <v>51385569</v>
      </c>
      <c r="BW15" s="123">
        <v>51228249</v>
      </c>
      <c r="BX15" s="123">
        <v>53250737</v>
      </c>
      <c r="BY15" s="123">
        <v>53084007</v>
      </c>
      <c r="BZ15" s="123">
        <v>51570955</v>
      </c>
      <c r="CA15" s="123">
        <v>52801732</v>
      </c>
      <c r="CB15" s="123">
        <v>51564008</v>
      </c>
      <c r="CC15" s="123">
        <v>52036861</v>
      </c>
      <c r="CD15" s="123">
        <v>53242152</v>
      </c>
      <c r="CE15" s="123">
        <v>54581252</v>
      </c>
      <c r="CF15" s="123">
        <v>53367764</v>
      </c>
      <c r="CG15" s="123">
        <v>53061782</v>
      </c>
      <c r="CH15" s="123">
        <v>60713663</v>
      </c>
      <c r="CI15" s="123">
        <v>58612836</v>
      </c>
      <c r="CJ15" s="123">
        <v>62357794</v>
      </c>
      <c r="CK15" s="123">
        <v>61080942</v>
      </c>
      <c r="CL15" s="123">
        <v>61000089</v>
      </c>
      <c r="CM15" s="123">
        <v>60632011</v>
      </c>
      <c r="CN15" s="123">
        <v>61612048</v>
      </c>
      <c r="CO15" s="123">
        <v>58311599</v>
      </c>
      <c r="CP15" s="123">
        <v>61772727</v>
      </c>
      <c r="CQ15" s="123">
        <v>63544929</v>
      </c>
      <c r="CR15" s="123">
        <v>61876148</v>
      </c>
      <c r="CS15" s="123">
        <v>61404133</v>
      </c>
      <c r="CT15" s="123">
        <v>60029250</v>
      </c>
      <c r="CU15" s="123">
        <v>57908135</v>
      </c>
      <c r="CV15" s="123">
        <v>61166814</v>
      </c>
      <c r="CW15" s="123">
        <v>59638979</v>
      </c>
      <c r="CX15" s="123">
        <v>59697842</v>
      </c>
      <c r="CY15" s="123">
        <v>60980828</v>
      </c>
      <c r="CZ15" s="123">
        <v>58956901</v>
      </c>
      <c r="DA15" s="123">
        <v>59527635</v>
      </c>
      <c r="DB15" s="123">
        <v>60060883</v>
      </c>
      <c r="DC15" s="123">
        <v>61429400</v>
      </c>
      <c r="DD15" s="123">
        <v>60949738</v>
      </c>
      <c r="DE15" s="123">
        <v>61030314</v>
      </c>
      <c r="DF15" s="123">
        <v>50748466</v>
      </c>
      <c r="DG15" s="123">
        <v>49637621</v>
      </c>
      <c r="DH15" s="123">
        <v>51867701</v>
      </c>
      <c r="DI15" s="123">
        <v>51806931</v>
      </c>
      <c r="DJ15" s="123">
        <v>52512074</v>
      </c>
      <c r="DK15" s="123">
        <v>52459071</v>
      </c>
      <c r="DL15" s="123">
        <v>52125555</v>
      </c>
      <c r="DM15" s="123">
        <v>51221834</v>
      </c>
      <c r="DN15" s="123">
        <v>53274948</v>
      </c>
      <c r="DO15" s="123">
        <v>63839968</v>
      </c>
      <c r="DP15" s="123">
        <v>63077511</v>
      </c>
      <c r="DQ15" s="123">
        <v>62473956</v>
      </c>
      <c r="DR15" s="123" t="s">
        <v>549</v>
      </c>
      <c r="DS15" s="123" t="s">
        <v>549</v>
      </c>
      <c r="DT15" s="123" t="s">
        <v>549</v>
      </c>
      <c r="DU15" s="123" t="s">
        <v>549</v>
      </c>
      <c r="DV15" s="123" t="s">
        <v>549</v>
      </c>
      <c r="DW15" s="123" t="s">
        <v>549</v>
      </c>
      <c r="DX15" s="123" t="s">
        <v>549</v>
      </c>
      <c r="DY15" s="123" t="s">
        <v>549</v>
      </c>
      <c r="DZ15" s="123" t="s">
        <v>549</v>
      </c>
      <c r="EA15" s="123" t="s">
        <v>549</v>
      </c>
      <c r="EB15" s="123" t="s">
        <v>549</v>
      </c>
      <c r="EC15" s="123" t="s">
        <v>549</v>
      </c>
      <c r="ED15" s="123" t="s">
        <v>549</v>
      </c>
      <c r="EE15" s="123" t="s">
        <v>549</v>
      </c>
      <c r="EF15" s="123" t="s">
        <v>549</v>
      </c>
      <c r="EG15" s="123" t="s">
        <v>549</v>
      </c>
      <c r="EH15" s="123" t="s">
        <v>549</v>
      </c>
      <c r="EI15" s="123" t="s">
        <v>549</v>
      </c>
      <c r="EJ15" s="123" t="s">
        <v>549</v>
      </c>
      <c r="EK15" s="123" t="s">
        <v>549</v>
      </c>
      <c r="EL15" s="123" t="s">
        <v>549</v>
      </c>
      <c r="EM15" s="123" t="s">
        <v>549</v>
      </c>
      <c r="EN15" s="123" t="s">
        <v>549</v>
      </c>
      <c r="EO15" s="123" t="s">
        <v>549</v>
      </c>
      <c r="EP15" s="123" t="s">
        <v>549</v>
      </c>
      <c r="EQ15" s="123" t="s">
        <v>549</v>
      </c>
      <c r="ER15" s="123" t="s">
        <v>549</v>
      </c>
      <c r="ES15" s="123" t="s">
        <v>549</v>
      </c>
      <c r="ET15" s="123" t="s">
        <v>549</v>
      </c>
      <c r="EU15" s="123" t="s">
        <v>549</v>
      </c>
      <c r="EV15" s="123" t="s">
        <v>549</v>
      </c>
      <c r="EW15" s="123" t="s">
        <v>549</v>
      </c>
      <c r="EX15" s="123" t="s">
        <v>549</v>
      </c>
      <c r="EY15" s="123" t="s">
        <v>549</v>
      </c>
      <c r="EZ15" s="123" t="s">
        <v>549</v>
      </c>
      <c r="FA15" s="123" t="s">
        <v>549</v>
      </c>
    </row>
    <row r="16" spans="1:157" ht="20.100000000000001" customHeight="1">
      <c r="A16" s="23" t="s">
        <v>243</v>
      </c>
      <c r="B16" s="122" t="s">
        <v>710</v>
      </c>
      <c r="C16" s="123">
        <v>129111889</v>
      </c>
      <c r="D16" s="123">
        <v>140947542</v>
      </c>
      <c r="E16" s="123">
        <v>147045854</v>
      </c>
      <c r="F16" s="123">
        <v>115178828</v>
      </c>
      <c r="G16" s="123">
        <v>123692958</v>
      </c>
      <c r="H16" s="123">
        <v>134467386</v>
      </c>
      <c r="I16" s="123">
        <v>140544327</v>
      </c>
      <c r="J16" s="123">
        <v>141705985</v>
      </c>
      <c r="K16" s="123">
        <v>145326809</v>
      </c>
      <c r="L16" s="123">
        <v>115635806</v>
      </c>
      <c r="M16" s="123">
        <v>119409878</v>
      </c>
      <c r="N16" s="123">
        <v>9738061</v>
      </c>
      <c r="O16" s="123">
        <v>8736249</v>
      </c>
      <c r="P16" s="123">
        <v>10159869</v>
      </c>
      <c r="Q16" s="123">
        <v>10318433</v>
      </c>
      <c r="R16" s="123">
        <v>10875542</v>
      </c>
      <c r="S16" s="123">
        <v>10176447</v>
      </c>
      <c r="T16" s="123">
        <v>8922508</v>
      </c>
      <c r="U16" s="123">
        <v>9508569</v>
      </c>
      <c r="V16" s="123">
        <v>9623495</v>
      </c>
      <c r="W16" s="123">
        <v>10080784</v>
      </c>
      <c r="X16" s="123">
        <v>9476104</v>
      </c>
      <c r="Y16" s="123">
        <v>10188715</v>
      </c>
      <c r="Z16" s="123">
        <v>9683037</v>
      </c>
      <c r="AA16" s="123">
        <v>8303819</v>
      </c>
      <c r="AB16" s="123">
        <v>10030594</v>
      </c>
      <c r="AC16" s="123">
        <v>9901094</v>
      </c>
      <c r="AD16" s="123">
        <v>10773610</v>
      </c>
      <c r="AE16" s="123">
        <v>10836921</v>
      </c>
      <c r="AF16" s="123">
        <v>10045722</v>
      </c>
      <c r="AG16" s="123">
        <v>9523785</v>
      </c>
      <c r="AH16" s="123">
        <v>9855583</v>
      </c>
      <c r="AI16" s="123">
        <v>10364414</v>
      </c>
      <c r="AJ16" s="123">
        <v>10264772</v>
      </c>
      <c r="AK16" s="123">
        <v>10495848</v>
      </c>
      <c r="AL16" s="123">
        <v>10688920</v>
      </c>
      <c r="AM16" s="123">
        <v>9393702</v>
      </c>
      <c r="AN16" s="123">
        <v>11280292</v>
      </c>
      <c r="AO16" s="123">
        <v>10617605</v>
      </c>
      <c r="AP16" s="123">
        <v>10986885</v>
      </c>
      <c r="AQ16" s="123">
        <v>10042801</v>
      </c>
      <c r="AR16" s="123">
        <v>10412026</v>
      </c>
      <c r="AS16" s="123">
        <v>10565833</v>
      </c>
      <c r="AT16" s="123">
        <v>10392834</v>
      </c>
      <c r="AU16" s="123">
        <v>11133933</v>
      </c>
      <c r="AV16" s="123">
        <v>10555440</v>
      </c>
      <c r="AW16" s="123">
        <v>10893983</v>
      </c>
      <c r="AX16" s="123">
        <v>8974859</v>
      </c>
      <c r="AY16" s="123">
        <v>8981640</v>
      </c>
      <c r="AZ16" s="123">
        <v>10011138</v>
      </c>
      <c r="BA16" s="123">
        <v>10778696</v>
      </c>
      <c r="BB16" s="123">
        <v>11010533</v>
      </c>
      <c r="BC16" s="123">
        <v>9320761</v>
      </c>
      <c r="BD16" s="123">
        <v>10229614</v>
      </c>
      <c r="BE16" s="123">
        <v>9832618</v>
      </c>
      <c r="BF16" s="123">
        <v>10702641</v>
      </c>
      <c r="BG16" s="123">
        <v>10051092</v>
      </c>
      <c r="BH16" s="123">
        <v>10313579</v>
      </c>
      <c r="BI16" s="123">
        <v>9824739</v>
      </c>
      <c r="BJ16" s="123">
        <v>9430070</v>
      </c>
      <c r="BK16" s="123">
        <v>8320019</v>
      </c>
      <c r="BL16" s="123">
        <v>10121805</v>
      </c>
      <c r="BM16" s="123">
        <v>10549394</v>
      </c>
      <c r="BN16" s="123">
        <v>11332909</v>
      </c>
      <c r="BO16" s="123">
        <v>10265194</v>
      </c>
      <c r="BP16" s="123">
        <v>9454720</v>
      </c>
      <c r="BQ16" s="123">
        <v>9179380</v>
      </c>
      <c r="BR16" s="123">
        <v>8666415</v>
      </c>
      <c r="BS16" s="123">
        <v>10431587</v>
      </c>
      <c r="BT16" s="123">
        <v>11017860</v>
      </c>
      <c r="BU16" s="123">
        <v>10252227</v>
      </c>
      <c r="BV16" s="123">
        <v>8476082</v>
      </c>
      <c r="BW16" s="123">
        <v>7694920</v>
      </c>
      <c r="BX16" s="123">
        <v>9977314</v>
      </c>
      <c r="BY16" s="123">
        <v>9924708</v>
      </c>
      <c r="BZ16" s="123">
        <v>11332909</v>
      </c>
      <c r="CA16" s="123">
        <v>9518360</v>
      </c>
      <c r="CB16" s="123">
        <v>9454720</v>
      </c>
      <c r="CC16" s="123">
        <v>8930073</v>
      </c>
      <c r="CD16" s="123">
        <v>8250502</v>
      </c>
      <c r="CE16" s="123">
        <v>9168212</v>
      </c>
      <c r="CF16" s="123">
        <v>11017860</v>
      </c>
      <c r="CG16" s="123">
        <v>9282482</v>
      </c>
      <c r="CH16" s="123">
        <v>10071298</v>
      </c>
      <c r="CI16" s="123">
        <v>9136628</v>
      </c>
      <c r="CJ16" s="123">
        <v>10105857</v>
      </c>
      <c r="CK16" s="123">
        <v>10466553</v>
      </c>
      <c r="CL16" s="123">
        <v>10826504</v>
      </c>
      <c r="CM16" s="123">
        <v>10615448</v>
      </c>
      <c r="CN16" s="123">
        <v>10522564</v>
      </c>
      <c r="CO16" s="123">
        <v>8789748</v>
      </c>
      <c r="CP16" s="123">
        <v>9307097</v>
      </c>
      <c r="CQ16" s="123">
        <v>10075289</v>
      </c>
      <c r="CR16" s="123">
        <v>10030050</v>
      </c>
      <c r="CS16" s="123">
        <v>9110271</v>
      </c>
      <c r="CT16" s="123">
        <v>8952710</v>
      </c>
      <c r="CU16" s="123">
        <v>8020408</v>
      </c>
      <c r="CV16" s="123">
        <v>10328866</v>
      </c>
      <c r="CW16" s="123">
        <v>10099682</v>
      </c>
      <c r="CX16" s="123">
        <v>10338088</v>
      </c>
      <c r="CY16" s="123">
        <v>10554611</v>
      </c>
      <c r="CZ16" s="123">
        <v>9712420</v>
      </c>
      <c r="DA16" s="123">
        <v>9989191</v>
      </c>
      <c r="DB16" s="123">
        <v>9293279</v>
      </c>
      <c r="DC16" s="123">
        <v>9933424</v>
      </c>
      <c r="DD16" s="123">
        <v>10441517</v>
      </c>
      <c r="DE16" s="123">
        <v>10195914</v>
      </c>
      <c r="DF16" s="123">
        <v>10082417</v>
      </c>
      <c r="DG16" s="123">
        <v>8498818</v>
      </c>
      <c r="DH16" s="123">
        <v>10511377</v>
      </c>
      <c r="DI16" s="123">
        <v>10266192</v>
      </c>
      <c r="DJ16" s="123">
        <v>10102259</v>
      </c>
      <c r="DK16" s="123">
        <v>10311627</v>
      </c>
      <c r="DL16" s="123">
        <v>9776873</v>
      </c>
      <c r="DM16" s="123">
        <v>9307408</v>
      </c>
      <c r="DN16" s="123">
        <v>8666943</v>
      </c>
      <c r="DO16" s="123">
        <v>10430332</v>
      </c>
      <c r="DP16" s="123">
        <v>10564679</v>
      </c>
      <c r="DQ16" s="123">
        <v>9401163</v>
      </c>
      <c r="DR16" s="123">
        <v>9634525</v>
      </c>
      <c r="DS16" s="123">
        <v>8554106</v>
      </c>
      <c r="DT16" s="123">
        <v>10026694</v>
      </c>
      <c r="DU16" s="123">
        <v>10476782</v>
      </c>
      <c r="DV16" s="123">
        <v>10655900</v>
      </c>
      <c r="DW16" s="123">
        <v>10763392</v>
      </c>
      <c r="DX16" s="123">
        <v>10480933</v>
      </c>
      <c r="DY16" s="123">
        <v>10933588</v>
      </c>
      <c r="DZ16" s="123">
        <v>10979171</v>
      </c>
      <c r="EA16" s="123">
        <v>12016779</v>
      </c>
      <c r="EB16" s="123">
        <v>11687739</v>
      </c>
      <c r="EC16" s="123">
        <v>12401621</v>
      </c>
      <c r="ED16" s="123">
        <v>12107753</v>
      </c>
      <c r="EE16" s="123">
        <v>10375643</v>
      </c>
      <c r="EF16" s="123">
        <v>12883162</v>
      </c>
      <c r="EG16" s="123">
        <v>12080222</v>
      </c>
      <c r="EH16" s="123">
        <v>12258058</v>
      </c>
      <c r="EI16" s="123">
        <v>12188677</v>
      </c>
      <c r="EJ16" s="123">
        <v>11901355</v>
      </c>
      <c r="EK16" s="123">
        <v>11685562</v>
      </c>
      <c r="EL16" s="123">
        <v>10862620</v>
      </c>
      <c r="EM16" s="123">
        <v>12544187</v>
      </c>
      <c r="EN16" s="123">
        <v>12229103</v>
      </c>
      <c r="EO16" s="123">
        <v>12111006</v>
      </c>
      <c r="EP16" s="123">
        <v>15872211</v>
      </c>
      <c r="EQ16" s="123">
        <v>13216846</v>
      </c>
      <c r="ER16" s="123">
        <v>12398437</v>
      </c>
      <c r="ES16" s="123">
        <v>12014717</v>
      </c>
      <c r="ET16" s="123">
        <v>12453431</v>
      </c>
      <c r="EU16" s="123">
        <v>11960941</v>
      </c>
      <c r="EV16" s="123">
        <v>10973679</v>
      </c>
      <c r="EW16" s="123">
        <v>11180290</v>
      </c>
      <c r="EX16" s="123">
        <v>10516491</v>
      </c>
      <c r="EY16" s="123">
        <v>9820041</v>
      </c>
      <c r="EZ16" s="123">
        <v>11024011</v>
      </c>
      <c r="FA16" s="123">
        <v>11156212</v>
      </c>
    </row>
    <row r="17" spans="1:157" ht="20.100000000000001" customHeight="1">
      <c r="A17" s="23" t="s">
        <v>243</v>
      </c>
      <c r="B17" s="122" t="s">
        <v>711</v>
      </c>
      <c r="C17" s="123">
        <v>322720</v>
      </c>
      <c r="D17" s="123">
        <v>351363</v>
      </c>
      <c r="E17" s="123">
        <v>387319</v>
      </c>
      <c r="F17" s="123">
        <v>363547</v>
      </c>
      <c r="G17" s="123">
        <v>393275</v>
      </c>
      <c r="H17" s="123">
        <v>434228</v>
      </c>
      <c r="I17" s="123">
        <v>431032</v>
      </c>
      <c r="J17" s="123">
        <v>432702</v>
      </c>
      <c r="K17" s="123">
        <v>422565</v>
      </c>
      <c r="L17" s="123">
        <v>408984</v>
      </c>
      <c r="M17" s="123">
        <v>372385</v>
      </c>
      <c r="N17" s="123">
        <v>32505</v>
      </c>
      <c r="O17" s="123">
        <v>31261</v>
      </c>
      <c r="P17" s="123">
        <v>38158</v>
      </c>
      <c r="Q17" s="123">
        <v>32085</v>
      </c>
      <c r="R17" s="123">
        <v>26397</v>
      </c>
      <c r="S17" s="123">
        <v>24142</v>
      </c>
      <c r="T17" s="123">
        <v>24787</v>
      </c>
      <c r="U17" s="123">
        <v>27707</v>
      </c>
      <c r="V17" s="123">
        <v>28696</v>
      </c>
      <c r="W17" s="123">
        <v>27726</v>
      </c>
      <c r="X17" s="123">
        <v>30070</v>
      </c>
      <c r="Y17" s="123">
        <v>31715</v>
      </c>
      <c r="Z17" s="123">
        <v>30964</v>
      </c>
      <c r="AA17" s="123">
        <v>28714</v>
      </c>
      <c r="AB17" s="123">
        <v>30374</v>
      </c>
      <c r="AC17" s="123">
        <v>27123</v>
      </c>
      <c r="AD17" s="123">
        <v>23726</v>
      </c>
      <c r="AE17" s="123">
        <v>21987</v>
      </c>
      <c r="AF17" s="123">
        <v>23274</v>
      </c>
      <c r="AG17" s="123">
        <v>25164</v>
      </c>
      <c r="AH17" s="123">
        <v>24758</v>
      </c>
      <c r="AI17" s="123">
        <v>28651</v>
      </c>
      <c r="AJ17" s="123">
        <v>26628</v>
      </c>
      <c r="AK17" s="123">
        <v>25035</v>
      </c>
      <c r="AL17" s="123">
        <v>23441</v>
      </c>
      <c r="AM17" s="123">
        <v>24225</v>
      </c>
      <c r="AN17" s="123">
        <v>21879</v>
      </c>
      <c r="AO17" s="123">
        <v>20125</v>
      </c>
      <c r="AP17" s="123">
        <v>18797</v>
      </c>
      <c r="AQ17" s="123">
        <v>16205</v>
      </c>
      <c r="AR17" s="123">
        <v>15902</v>
      </c>
      <c r="AS17" s="123">
        <v>21412</v>
      </c>
      <c r="AT17" s="123">
        <v>20952</v>
      </c>
      <c r="AU17" s="123">
        <v>24955</v>
      </c>
      <c r="AV17" s="123">
        <v>23366</v>
      </c>
      <c r="AW17" s="123">
        <v>22980</v>
      </c>
      <c r="AX17" s="123">
        <v>23206</v>
      </c>
      <c r="AY17" s="123">
        <v>21910</v>
      </c>
      <c r="AZ17" s="123">
        <v>24461</v>
      </c>
      <c r="BA17" s="123">
        <v>21504</v>
      </c>
      <c r="BB17" s="123">
        <v>19082</v>
      </c>
      <c r="BC17" s="123">
        <v>19158</v>
      </c>
      <c r="BD17" s="123">
        <v>19697</v>
      </c>
      <c r="BE17" s="123">
        <v>23249</v>
      </c>
      <c r="BF17" s="123">
        <v>23409</v>
      </c>
      <c r="BG17" s="123">
        <v>23703</v>
      </c>
      <c r="BH17" s="123">
        <v>24262</v>
      </c>
      <c r="BI17" s="123">
        <v>25036</v>
      </c>
      <c r="BJ17" s="123">
        <v>22635</v>
      </c>
      <c r="BK17" s="123">
        <v>23367</v>
      </c>
      <c r="BL17" s="123">
        <v>24760</v>
      </c>
      <c r="BM17" s="123">
        <v>23605</v>
      </c>
      <c r="BN17" s="123">
        <v>20720</v>
      </c>
      <c r="BO17" s="123">
        <v>18530</v>
      </c>
      <c r="BP17" s="123">
        <v>19478</v>
      </c>
      <c r="BQ17" s="123">
        <v>22318</v>
      </c>
      <c r="BR17" s="123">
        <v>22096</v>
      </c>
      <c r="BS17" s="123">
        <v>23326</v>
      </c>
      <c r="BT17" s="123">
        <v>20672</v>
      </c>
      <c r="BU17" s="123">
        <v>20352</v>
      </c>
      <c r="BV17" s="123">
        <v>19756</v>
      </c>
      <c r="BW17" s="123">
        <v>20809</v>
      </c>
      <c r="BX17" s="123">
        <v>27279</v>
      </c>
      <c r="BY17" s="123">
        <v>24346</v>
      </c>
      <c r="BZ17" s="123">
        <v>20720</v>
      </c>
      <c r="CA17" s="123">
        <v>20145</v>
      </c>
      <c r="CB17" s="123">
        <v>19478</v>
      </c>
      <c r="CC17" s="123">
        <v>24309</v>
      </c>
      <c r="CD17" s="123">
        <v>23908</v>
      </c>
      <c r="CE17" s="123">
        <v>26358</v>
      </c>
      <c r="CF17" s="123">
        <v>20672</v>
      </c>
      <c r="CG17" s="123">
        <v>25938</v>
      </c>
      <c r="CH17" s="123">
        <v>25639</v>
      </c>
      <c r="CI17" s="123">
        <v>23211</v>
      </c>
      <c r="CJ17" s="123">
        <v>25526</v>
      </c>
      <c r="CK17" s="123">
        <v>24563</v>
      </c>
      <c r="CL17" s="123">
        <v>22850</v>
      </c>
      <c r="CM17" s="123">
        <v>21029</v>
      </c>
      <c r="CN17" s="123">
        <v>20995</v>
      </c>
      <c r="CO17" s="123">
        <v>21693</v>
      </c>
      <c r="CP17" s="123">
        <v>19925</v>
      </c>
      <c r="CQ17" s="123">
        <v>21971</v>
      </c>
      <c r="CR17" s="123">
        <v>19672</v>
      </c>
      <c r="CS17" s="123">
        <v>18203</v>
      </c>
      <c r="CT17" s="123">
        <v>20040</v>
      </c>
      <c r="CU17" s="123">
        <v>19878</v>
      </c>
      <c r="CV17" s="123">
        <v>22687</v>
      </c>
      <c r="CW17" s="123">
        <v>22550</v>
      </c>
      <c r="CX17" s="123">
        <v>19777</v>
      </c>
      <c r="CY17" s="123">
        <v>18450</v>
      </c>
      <c r="CZ17" s="123">
        <v>19846</v>
      </c>
      <c r="DA17" s="123">
        <v>21825</v>
      </c>
      <c r="DB17" s="123">
        <v>21542</v>
      </c>
      <c r="DC17" s="123">
        <v>22642</v>
      </c>
      <c r="DD17" s="123">
        <v>22167</v>
      </c>
      <c r="DE17" s="123">
        <v>21283</v>
      </c>
      <c r="DF17" s="123">
        <v>22733</v>
      </c>
      <c r="DG17" s="123">
        <v>21293</v>
      </c>
      <c r="DH17" s="123">
        <v>22697</v>
      </c>
      <c r="DI17" s="123">
        <v>23180</v>
      </c>
      <c r="DJ17" s="123">
        <v>20866</v>
      </c>
      <c r="DK17" s="123">
        <v>20881</v>
      </c>
      <c r="DL17" s="123">
        <v>23953</v>
      </c>
      <c r="DM17" s="123">
        <v>26454</v>
      </c>
      <c r="DN17" s="123">
        <v>25746</v>
      </c>
      <c r="DO17" s="123">
        <v>26163</v>
      </c>
      <c r="DP17" s="123">
        <v>23836</v>
      </c>
      <c r="DQ17" s="123">
        <v>25317</v>
      </c>
      <c r="DR17" s="123">
        <v>24502</v>
      </c>
      <c r="DS17" s="123">
        <v>25316</v>
      </c>
      <c r="DT17" s="123">
        <v>25026</v>
      </c>
      <c r="DU17" s="123">
        <v>24622</v>
      </c>
      <c r="DV17" s="123">
        <v>23458</v>
      </c>
      <c r="DW17" s="123">
        <v>18814</v>
      </c>
      <c r="DX17" s="123">
        <v>21312</v>
      </c>
      <c r="DY17" s="123">
        <v>25130</v>
      </c>
      <c r="DZ17" s="123">
        <v>24803</v>
      </c>
      <c r="EA17" s="123">
        <v>25921</v>
      </c>
      <c r="EB17" s="123">
        <v>23847</v>
      </c>
      <c r="EC17" s="123">
        <v>25031</v>
      </c>
      <c r="ED17" s="123">
        <v>24933</v>
      </c>
      <c r="EE17" s="123">
        <v>24549</v>
      </c>
      <c r="EF17" s="123">
        <v>24435</v>
      </c>
      <c r="EG17" s="123">
        <v>23540</v>
      </c>
      <c r="EH17" s="123">
        <v>22778</v>
      </c>
      <c r="EI17" s="123">
        <v>22597</v>
      </c>
      <c r="EJ17" s="123">
        <v>25134</v>
      </c>
      <c r="EK17" s="123">
        <v>25654</v>
      </c>
      <c r="EL17" s="123">
        <v>25674</v>
      </c>
      <c r="EM17" s="123">
        <v>26830</v>
      </c>
      <c r="EN17" s="123">
        <v>23002</v>
      </c>
      <c r="EO17" s="123">
        <v>23758</v>
      </c>
      <c r="EP17" s="123">
        <v>26368</v>
      </c>
      <c r="EQ17" s="123">
        <v>23154</v>
      </c>
      <c r="ER17" s="123">
        <v>24160</v>
      </c>
      <c r="ES17" s="123">
        <v>23379</v>
      </c>
      <c r="ET17" s="123">
        <v>23574</v>
      </c>
      <c r="EU17" s="123">
        <v>22570</v>
      </c>
      <c r="EV17" s="123">
        <v>24120</v>
      </c>
      <c r="EW17" s="123">
        <v>26200</v>
      </c>
      <c r="EX17" s="123">
        <v>26053</v>
      </c>
      <c r="EY17" s="123">
        <v>25548</v>
      </c>
      <c r="EZ17" s="123">
        <v>22547</v>
      </c>
      <c r="FA17" s="123">
        <v>22454</v>
      </c>
    </row>
    <row r="18" spans="1:157" ht="20.100000000000001" customHeight="1">
      <c r="A18" s="122" t="s">
        <v>548</v>
      </c>
      <c r="B18" s="122" t="s">
        <v>56</v>
      </c>
      <c r="C18" s="123">
        <v>405714274</v>
      </c>
      <c r="D18" s="123">
        <v>442551230</v>
      </c>
      <c r="E18" s="123">
        <v>486661311</v>
      </c>
      <c r="F18" s="123">
        <v>476222728</v>
      </c>
      <c r="G18" s="123">
        <v>533902560</v>
      </c>
      <c r="H18" s="123">
        <v>571548755</v>
      </c>
      <c r="I18" s="123">
        <v>612773903</v>
      </c>
      <c r="J18" s="123">
        <v>637622077</v>
      </c>
      <c r="K18" s="123">
        <v>669816827</v>
      </c>
      <c r="L18" s="123">
        <v>735946247</v>
      </c>
      <c r="M18" s="123">
        <v>757553023</v>
      </c>
      <c r="N18" s="123">
        <v>71712480</v>
      </c>
      <c r="O18" s="123">
        <v>60371386</v>
      </c>
      <c r="P18" s="123">
        <v>69621029</v>
      </c>
      <c r="Q18" s="123">
        <v>66572995</v>
      </c>
      <c r="R18" s="123">
        <v>69341698</v>
      </c>
      <c r="S18" s="123">
        <v>65346873</v>
      </c>
      <c r="T18" s="123">
        <v>67351512</v>
      </c>
      <c r="U18" s="123">
        <v>66247601</v>
      </c>
      <c r="V18" s="123">
        <v>68907654</v>
      </c>
      <c r="W18" s="123">
        <v>66330190</v>
      </c>
      <c r="X18" s="123">
        <v>67877209</v>
      </c>
      <c r="Y18" s="123">
        <v>73002511</v>
      </c>
      <c r="Z18" s="123">
        <v>69823227</v>
      </c>
      <c r="AA18" s="123">
        <v>64765263</v>
      </c>
      <c r="AB18" s="123">
        <v>72893625</v>
      </c>
      <c r="AC18" s="123">
        <v>73768125</v>
      </c>
      <c r="AD18" s="123">
        <v>76886281</v>
      </c>
      <c r="AE18" s="123">
        <v>71823800</v>
      </c>
      <c r="AF18" s="123">
        <v>74787624</v>
      </c>
      <c r="AG18" s="123">
        <v>70166140</v>
      </c>
      <c r="AH18" s="123">
        <v>69525067</v>
      </c>
      <c r="AI18" s="123">
        <v>73019869</v>
      </c>
      <c r="AJ18" s="123">
        <v>69080081</v>
      </c>
      <c r="AK18" s="123">
        <v>79122341</v>
      </c>
      <c r="AL18" s="123">
        <v>76217972</v>
      </c>
      <c r="AM18" s="123">
        <v>68383491</v>
      </c>
      <c r="AN18" s="123">
        <v>80098146</v>
      </c>
      <c r="AO18" s="123">
        <v>75323826</v>
      </c>
      <c r="AP18" s="123">
        <v>78086486</v>
      </c>
      <c r="AQ18" s="123">
        <v>71914259</v>
      </c>
      <c r="AR18" s="123">
        <v>81232962</v>
      </c>
      <c r="AS18" s="123">
        <v>75588855</v>
      </c>
      <c r="AT18" s="123">
        <v>74979218</v>
      </c>
      <c r="AU18" s="123">
        <v>75772750</v>
      </c>
      <c r="AV18" s="123">
        <v>71295784</v>
      </c>
      <c r="AW18" s="123">
        <v>67040000</v>
      </c>
      <c r="AX18" s="123">
        <v>65569343</v>
      </c>
      <c r="AY18" s="123">
        <v>61834770</v>
      </c>
      <c r="AZ18" s="123">
        <v>70424452</v>
      </c>
      <c r="BA18" s="123">
        <v>65689263</v>
      </c>
      <c r="BB18" s="123">
        <v>70037813</v>
      </c>
      <c r="BC18" s="123">
        <v>67870082</v>
      </c>
      <c r="BD18" s="123">
        <v>72048511</v>
      </c>
      <c r="BE18" s="123">
        <v>71855645</v>
      </c>
      <c r="BF18" s="123">
        <v>73407082</v>
      </c>
      <c r="BG18" s="123">
        <v>80797905</v>
      </c>
      <c r="BH18" s="123">
        <v>74599247</v>
      </c>
      <c r="BI18" s="123">
        <v>77037000</v>
      </c>
      <c r="BJ18" s="123">
        <v>79753982</v>
      </c>
      <c r="BK18" s="123">
        <v>70655920</v>
      </c>
      <c r="BL18" s="123">
        <v>83172463</v>
      </c>
      <c r="BM18" s="123">
        <v>79083912</v>
      </c>
      <c r="BN18" s="123">
        <v>84226201</v>
      </c>
      <c r="BO18" s="123">
        <v>80146202</v>
      </c>
      <c r="BP18" s="123">
        <v>82414666</v>
      </c>
      <c r="BQ18" s="123">
        <v>79967287</v>
      </c>
      <c r="BR18" s="123">
        <v>78656024</v>
      </c>
      <c r="BS18" s="123">
        <v>82449817</v>
      </c>
      <c r="BT18" s="123">
        <v>86266955</v>
      </c>
      <c r="BU18" s="123">
        <v>82726797</v>
      </c>
      <c r="BV18" s="123">
        <v>89570617</v>
      </c>
      <c r="BW18" s="123">
        <v>78587466</v>
      </c>
      <c r="BX18" s="123">
        <v>92243362</v>
      </c>
      <c r="BY18" s="123">
        <v>89599038</v>
      </c>
      <c r="BZ18" s="123">
        <v>84226201</v>
      </c>
      <c r="CA18" s="123">
        <v>85373450</v>
      </c>
      <c r="CB18" s="123">
        <v>82414666</v>
      </c>
      <c r="CC18" s="123">
        <v>88260910</v>
      </c>
      <c r="CD18" s="123">
        <v>85833636</v>
      </c>
      <c r="CE18" s="123">
        <v>92305861</v>
      </c>
      <c r="CF18" s="123">
        <v>86266955</v>
      </c>
      <c r="CG18" s="123">
        <v>96588328</v>
      </c>
      <c r="CH18" s="123">
        <v>95141585</v>
      </c>
      <c r="CI18" s="123">
        <v>86679451</v>
      </c>
      <c r="CJ18" s="123">
        <v>95604137</v>
      </c>
      <c r="CK18" s="123">
        <v>92108043</v>
      </c>
      <c r="CL18" s="123">
        <v>95001421</v>
      </c>
      <c r="CM18" s="123">
        <v>90663146</v>
      </c>
      <c r="CN18" s="123">
        <v>94259481</v>
      </c>
      <c r="CO18" s="123">
        <v>84101404</v>
      </c>
      <c r="CP18" s="123">
        <v>96606494</v>
      </c>
      <c r="CQ18" s="123">
        <v>94290831</v>
      </c>
      <c r="CR18" s="123">
        <v>93160394</v>
      </c>
      <c r="CS18" s="123">
        <v>94130663</v>
      </c>
      <c r="CT18" s="123">
        <v>98476563</v>
      </c>
      <c r="CU18" s="123">
        <v>84993652</v>
      </c>
      <c r="CV18" s="123">
        <v>99928409</v>
      </c>
      <c r="CW18" s="123">
        <v>92464787</v>
      </c>
      <c r="CX18" s="123">
        <v>91080175</v>
      </c>
      <c r="CY18" s="123">
        <v>93047685</v>
      </c>
      <c r="CZ18" s="123">
        <v>94901896</v>
      </c>
      <c r="DA18" s="123">
        <v>91665688</v>
      </c>
      <c r="DB18" s="123">
        <v>90190630</v>
      </c>
      <c r="DC18" s="123">
        <v>93990009</v>
      </c>
      <c r="DD18" s="123">
        <v>94976891</v>
      </c>
      <c r="DE18" s="123">
        <v>100734923</v>
      </c>
      <c r="DF18" s="123">
        <v>104668191</v>
      </c>
      <c r="DG18" s="123">
        <v>88531214</v>
      </c>
      <c r="DH18" s="123">
        <v>105712440</v>
      </c>
      <c r="DI18" s="123">
        <v>98444070</v>
      </c>
      <c r="DJ18" s="123">
        <v>97944495</v>
      </c>
      <c r="DK18" s="123">
        <v>96424428</v>
      </c>
      <c r="DL18" s="123">
        <v>99657093</v>
      </c>
      <c r="DM18" s="123">
        <v>97870590</v>
      </c>
      <c r="DN18" s="123">
        <v>95267783</v>
      </c>
      <c r="DO18" s="123">
        <v>101918922</v>
      </c>
      <c r="DP18" s="123">
        <v>99645838</v>
      </c>
      <c r="DQ18" s="123">
        <v>101966872</v>
      </c>
      <c r="DR18" s="123">
        <v>106393448</v>
      </c>
      <c r="DS18" s="123">
        <v>95823656</v>
      </c>
      <c r="DT18" s="123">
        <v>104300962</v>
      </c>
      <c r="DU18" s="123">
        <v>100643276</v>
      </c>
      <c r="DV18" s="123">
        <v>102262911</v>
      </c>
      <c r="DW18" s="123">
        <v>100526977</v>
      </c>
      <c r="DX18" s="123">
        <v>101861350</v>
      </c>
      <c r="DY18" s="123">
        <v>101383136</v>
      </c>
      <c r="DZ18" s="123">
        <v>99204577</v>
      </c>
      <c r="EA18" s="123">
        <v>102969388</v>
      </c>
      <c r="EB18" s="123">
        <v>98207343</v>
      </c>
      <c r="EC18" s="123">
        <v>106723474</v>
      </c>
      <c r="ED18" s="123">
        <v>105610122</v>
      </c>
      <c r="EE18" s="123">
        <v>96221146</v>
      </c>
      <c r="EF18" s="123">
        <v>108494284</v>
      </c>
      <c r="EG18" s="123">
        <v>99251751</v>
      </c>
      <c r="EH18" s="123">
        <v>106800199</v>
      </c>
      <c r="EI18" s="123">
        <v>100979850</v>
      </c>
      <c r="EJ18" s="123">
        <v>105802676</v>
      </c>
      <c r="EK18" s="123">
        <v>98031206</v>
      </c>
      <c r="EL18" s="123">
        <v>102167608</v>
      </c>
      <c r="EM18" s="123">
        <v>108983802</v>
      </c>
      <c r="EN18" s="123">
        <v>103444358</v>
      </c>
      <c r="EO18" s="123">
        <v>110590967</v>
      </c>
      <c r="EP18" s="123">
        <v>109874598</v>
      </c>
      <c r="EQ18" s="123">
        <v>95966406</v>
      </c>
      <c r="ER18" s="123">
        <v>115933464</v>
      </c>
      <c r="ES18" s="123">
        <v>109383174</v>
      </c>
      <c r="ET18" s="123">
        <v>108440461</v>
      </c>
      <c r="EU18" s="123">
        <v>114766282</v>
      </c>
      <c r="EV18" s="123">
        <v>114130689</v>
      </c>
      <c r="EW18" s="123">
        <v>108142899</v>
      </c>
      <c r="EX18" s="123">
        <v>106043438</v>
      </c>
      <c r="EY18" s="123">
        <v>107899248</v>
      </c>
      <c r="EZ18" s="123">
        <v>110895591</v>
      </c>
      <c r="FA18" s="123">
        <v>115044738</v>
      </c>
    </row>
    <row r="19" spans="1:157" ht="20.100000000000001" customHeight="1">
      <c r="A19" s="23" t="s">
        <v>243</v>
      </c>
      <c r="B19" s="122" t="s">
        <v>710</v>
      </c>
      <c r="C19" s="123">
        <v>404423525</v>
      </c>
      <c r="D19" s="123">
        <v>441120256</v>
      </c>
      <c r="E19" s="123">
        <v>485030237</v>
      </c>
      <c r="F19" s="123">
        <v>474751966</v>
      </c>
      <c r="G19" s="123">
        <v>532183132</v>
      </c>
      <c r="H19" s="123">
        <v>569599403</v>
      </c>
      <c r="I19" s="123">
        <v>610910071</v>
      </c>
      <c r="J19" s="123">
        <v>635545272</v>
      </c>
      <c r="K19" s="123">
        <v>667608033</v>
      </c>
      <c r="L19" s="123">
        <v>733377114</v>
      </c>
      <c r="M19" s="123">
        <v>754936409</v>
      </c>
      <c r="N19" s="123">
        <v>71498130</v>
      </c>
      <c r="O19" s="123">
        <v>60166069</v>
      </c>
      <c r="P19" s="123">
        <v>69374069</v>
      </c>
      <c r="Q19" s="123">
        <v>66339706</v>
      </c>
      <c r="R19" s="123">
        <v>69117840</v>
      </c>
      <c r="S19" s="123">
        <v>65117487</v>
      </c>
      <c r="T19" s="123">
        <v>67115143</v>
      </c>
      <c r="U19" s="123">
        <v>66003023</v>
      </c>
      <c r="V19" s="123">
        <v>68654939</v>
      </c>
      <c r="W19" s="123">
        <v>66074528</v>
      </c>
      <c r="X19" s="123">
        <v>67618421</v>
      </c>
      <c r="Y19" s="123">
        <v>72750249</v>
      </c>
      <c r="Z19" s="123">
        <v>69590357</v>
      </c>
      <c r="AA19" s="123">
        <v>64537815</v>
      </c>
      <c r="AB19" s="123">
        <v>72622148</v>
      </c>
      <c r="AC19" s="123">
        <v>73509257</v>
      </c>
      <c r="AD19" s="123">
        <v>76631162</v>
      </c>
      <c r="AE19" s="123">
        <v>71565233</v>
      </c>
      <c r="AF19" s="123">
        <v>74523211</v>
      </c>
      <c r="AG19" s="123">
        <v>69898301</v>
      </c>
      <c r="AH19" s="123">
        <v>69256753</v>
      </c>
      <c r="AI19" s="123">
        <v>72739050</v>
      </c>
      <c r="AJ19" s="123">
        <v>68798775</v>
      </c>
      <c r="AK19" s="123">
        <v>78851416</v>
      </c>
      <c r="AL19" s="123">
        <v>75959392</v>
      </c>
      <c r="AM19" s="123">
        <v>68140334</v>
      </c>
      <c r="AN19" s="123">
        <v>79822102</v>
      </c>
      <c r="AO19" s="123">
        <v>75061658</v>
      </c>
      <c r="AP19" s="123">
        <v>77827643</v>
      </c>
      <c r="AQ19" s="123">
        <v>71656309</v>
      </c>
      <c r="AR19" s="123">
        <v>80974587</v>
      </c>
      <c r="AS19" s="123">
        <v>75332082</v>
      </c>
      <c r="AT19" s="123">
        <v>74737590</v>
      </c>
      <c r="AU19" s="123">
        <v>75520078</v>
      </c>
      <c r="AV19" s="123">
        <v>71068306</v>
      </c>
      <c r="AW19" s="123">
        <v>66836301</v>
      </c>
      <c r="AX19" s="123">
        <v>65372953</v>
      </c>
      <c r="AY19" s="123">
        <v>61631352</v>
      </c>
      <c r="AZ19" s="123">
        <v>70188547</v>
      </c>
      <c r="BA19" s="123">
        <v>65463381</v>
      </c>
      <c r="BB19" s="123">
        <v>69809347</v>
      </c>
      <c r="BC19" s="123">
        <v>67640916</v>
      </c>
      <c r="BD19" s="123">
        <v>71802669</v>
      </c>
      <c r="BE19" s="123">
        <v>71606954</v>
      </c>
      <c r="BF19" s="123">
        <v>73154152</v>
      </c>
      <c r="BG19" s="123">
        <v>80532236</v>
      </c>
      <c r="BH19" s="123">
        <v>74325677</v>
      </c>
      <c r="BI19" s="123">
        <v>76770460</v>
      </c>
      <c r="BJ19" s="123">
        <v>79496585</v>
      </c>
      <c r="BK19" s="123">
        <v>70408567</v>
      </c>
      <c r="BL19" s="123">
        <v>82877407</v>
      </c>
      <c r="BM19" s="123">
        <v>78804243</v>
      </c>
      <c r="BN19" s="123">
        <v>83933977</v>
      </c>
      <c r="BO19" s="123">
        <v>79870634</v>
      </c>
      <c r="BP19" s="123">
        <v>82128859</v>
      </c>
      <c r="BQ19" s="123">
        <v>79693904</v>
      </c>
      <c r="BR19" s="123">
        <v>78388759</v>
      </c>
      <c r="BS19" s="123">
        <v>82156187</v>
      </c>
      <c r="BT19" s="123">
        <v>85987952</v>
      </c>
      <c r="BU19" s="123">
        <v>82446268</v>
      </c>
      <c r="BV19" s="123">
        <v>89299706</v>
      </c>
      <c r="BW19" s="123">
        <v>78345814</v>
      </c>
      <c r="BX19" s="123">
        <v>91950050</v>
      </c>
      <c r="BY19" s="123">
        <v>89330061</v>
      </c>
      <c r="BZ19" s="123">
        <v>83933977</v>
      </c>
      <c r="CA19" s="123">
        <v>85107490</v>
      </c>
      <c r="CB19" s="123">
        <v>82128859</v>
      </c>
      <c r="CC19" s="123">
        <v>87989584</v>
      </c>
      <c r="CD19" s="123">
        <v>85571617</v>
      </c>
      <c r="CE19" s="123">
        <v>92026295</v>
      </c>
      <c r="CF19" s="123">
        <v>85987952</v>
      </c>
      <c r="CG19" s="123">
        <v>96314793</v>
      </c>
      <c r="CH19" s="123">
        <v>94896714</v>
      </c>
      <c r="CI19" s="123">
        <v>86421173</v>
      </c>
      <c r="CJ19" s="123">
        <v>95324695</v>
      </c>
      <c r="CK19" s="123">
        <v>91848315</v>
      </c>
      <c r="CL19" s="123">
        <v>94739877</v>
      </c>
      <c r="CM19" s="123">
        <v>90395008</v>
      </c>
      <c r="CN19" s="123">
        <v>93986459</v>
      </c>
      <c r="CO19" s="123">
        <v>83830349</v>
      </c>
      <c r="CP19" s="123">
        <v>96334454</v>
      </c>
      <c r="CQ19" s="123">
        <v>94013869</v>
      </c>
      <c r="CR19" s="123">
        <v>92884917</v>
      </c>
      <c r="CS19" s="123">
        <v>93862440</v>
      </c>
      <c r="CT19" s="123">
        <v>98223778</v>
      </c>
      <c r="CU19" s="123">
        <v>84760248</v>
      </c>
      <c r="CV19" s="123">
        <v>99639144</v>
      </c>
      <c r="CW19" s="123">
        <v>92195514</v>
      </c>
      <c r="CX19" s="123">
        <v>90811456</v>
      </c>
      <c r="CY19" s="123">
        <v>92780740</v>
      </c>
      <c r="CZ19" s="123">
        <v>94631597</v>
      </c>
      <c r="DA19" s="123">
        <v>91391060</v>
      </c>
      <c r="DB19" s="123">
        <v>89923450</v>
      </c>
      <c r="DC19" s="123">
        <v>93702614</v>
      </c>
      <c r="DD19" s="123">
        <v>94690782</v>
      </c>
      <c r="DE19" s="123">
        <v>100454672</v>
      </c>
      <c r="DF19" s="123">
        <v>104396105</v>
      </c>
      <c r="DG19" s="123">
        <v>88282914</v>
      </c>
      <c r="DH19" s="123">
        <v>105411161</v>
      </c>
      <c r="DI19" s="123">
        <v>98161977</v>
      </c>
      <c r="DJ19" s="123">
        <v>97666692</v>
      </c>
      <c r="DK19" s="123">
        <v>96148308</v>
      </c>
      <c r="DL19" s="123">
        <v>99369439</v>
      </c>
      <c r="DM19" s="123">
        <v>97579420</v>
      </c>
      <c r="DN19" s="123">
        <v>94990644</v>
      </c>
      <c r="DO19" s="123">
        <v>101618359</v>
      </c>
      <c r="DP19" s="123">
        <v>99343048</v>
      </c>
      <c r="DQ19" s="123">
        <v>101673127</v>
      </c>
      <c r="DR19" s="123">
        <v>106111429</v>
      </c>
      <c r="DS19" s="123">
        <v>95552893</v>
      </c>
      <c r="DT19" s="123">
        <v>103983109</v>
      </c>
      <c r="DU19" s="123">
        <v>100344125</v>
      </c>
      <c r="DV19" s="123">
        <v>101967710</v>
      </c>
      <c r="DW19" s="123">
        <v>100255921</v>
      </c>
      <c r="DX19" s="123">
        <v>101580882</v>
      </c>
      <c r="DY19" s="123">
        <v>101090659</v>
      </c>
      <c r="DZ19" s="123">
        <v>98915618</v>
      </c>
      <c r="EA19" s="123">
        <v>102656683</v>
      </c>
      <c r="EB19" s="123">
        <v>97901217</v>
      </c>
      <c r="EC19" s="123">
        <v>106421480</v>
      </c>
      <c r="ED19" s="123">
        <v>105315336</v>
      </c>
      <c r="EE19" s="123">
        <v>95956187</v>
      </c>
      <c r="EF19" s="123">
        <v>108177404</v>
      </c>
      <c r="EG19" s="123">
        <v>98943999</v>
      </c>
      <c r="EH19" s="123">
        <v>106497406</v>
      </c>
      <c r="EI19" s="123">
        <v>100665074</v>
      </c>
      <c r="EJ19" s="123">
        <v>105480287</v>
      </c>
      <c r="EK19" s="123">
        <v>97716091</v>
      </c>
      <c r="EL19" s="123">
        <v>101849677</v>
      </c>
      <c r="EM19" s="123">
        <v>108638653</v>
      </c>
      <c r="EN19" s="123">
        <v>103108914</v>
      </c>
      <c r="EO19" s="123">
        <v>110248033</v>
      </c>
      <c r="EP19" s="123">
        <v>109551763</v>
      </c>
      <c r="EQ19" s="123">
        <v>95660622</v>
      </c>
      <c r="ER19" s="123">
        <v>115581807</v>
      </c>
      <c r="ES19" s="123">
        <v>109053490</v>
      </c>
      <c r="ET19" s="123">
        <v>108120113</v>
      </c>
      <c r="EU19" s="123">
        <v>114441570</v>
      </c>
      <c r="EV19" s="123">
        <v>113793969</v>
      </c>
      <c r="EW19" s="123">
        <v>107805399</v>
      </c>
      <c r="EX19" s="123">
        <v>105698271</v>
      </c>
      <c r="EY19" s="123">
        <v>107560077</v>
      </c>
      <c r="EZ19" s="123">
        <v>110537249</v>
      </c>
      <c r="FA19" s="123">
        <v>114685144</v>
      </c>
    </row>
    <row r="20" spans="1:157" ht="20.100000000000001" customHeight="1">
      <c r="A20" s="124" t="s">
        <v>243</v>
      </c>
      <c r="B20" s="125" t="s">
        <v>711</v>
      </c>
      <c r="C20" s="123">
        <v>1290749</v>
      </c>
      <c r="D20" s="123">
        <v>1430974</v>
      </c>
      <c r="E20" s="123">
        <v>1631074</v>
      </c>
      <c r="F20" s="123">
        <v>1470762</v>
      </c>
      <c r="G20" s="123">
        <v>1719428</v>
      </c>
      <c r="H20" s="123">
        <v>1949352</v>
      </c>
      <c r="I20" s="123">
        <v>1863832</v>
      </c>
      <c r="J20" s="123">
        <v>2076805</v>
      </c>
      <c r="K20" s="123">
        <v>2208794</v>
      </c>
      <c r="L20" s="123">
        <v>2569133</v>
      </c>
      <c r="M20" s="123">
        <v>2616614</v>
      </c>
      <c r="N20" s="123">
        <v>214350</v>
      </c>
      <c r="O20" s="123">
        <v>205317</v>
      </c>
      <c r="P20" s="123">
        <v>246960</v>
      </c>
      <c r="Q20" s="123">
        <v>233289</v>
      </c>
      <c r="R20" s="123">
        <v>223858</v>
      </c>
      <c r="S20" s="123">
        <v>229386</v>
      </c>
      <c r="T20" s="123">
        <v>236369</v>
      </c>
      <c r="U20" s="123">
        <v>244578</v>
      </c>
      <c r="V20" s="123">
        <v>252715</v>
      </c>
      <c r="W20" s="123">
        <v>255662</v>
      </c>
      <c r="X20" s="123">
        <v>258788</v>
      </c>
      <c r="Y20" s="123">
        <v>252262</v>
      </c>
      <c r="Z20" s="123">
        <v>232870</v>
      </c>
      <c r="AA20" s="123">
        <v>227448</v>
      </c>
      <c r="AB20" s="123">
        <v>271477</v>
      </c>
      <c r="AC20" s="123">
        <v>258868</v>
      </c>
      <c r="AD20" s="123">
        <v>255119</v>
      </c>
      <c r="AE20" s="123">
        <v>258567</v>
      </c>
      <c r="AF20" s="123">
        <v>264413</v>
      </c>
      <c r="AG20" s="123">
        <v>267839</v>
      </c>
      <c r="AH20" s="123">
        <v>268314</v>
      </c>
      <c r="AI20" s="123">
        <v>280819</v>
      </c>
      <c r="AJ20" s="123">
        <v>281306</v>
      </c>
      <c r="AK20" s="123">
        <v>270925</v>
      </c>
      <c r="AL20" s="123">
        <v>258580</v>
      </c>
      <c r="AM20" s="123">
        <v>243157</v>
      </c>
      <c r="AN20" s="123">
        <v>276044</v>
      </c>
      <c r="AO20" s="123">
        <v>262168</v>
      </c>
      <c r="AP20" s="123">
        <v>258843</v>
      </c>
      <c r="AQ20" s="123">
        <v>257950</v>
      </c>
      <c r="AR20" s="123">
        <v>258375</v>
      </c>
      <c r="AS20" s="123">
        <v>256773</v>
      </c>
      <c r="AT20" s="123">
        <v>241628</v>
      </c>
      <c r="AU20" s="123">
        <v>252672</v>
      </c>
      <c r="AV20" s="123">
        <v>227478</v>
      </c>
      <c r="AW20" s="123">
        <v>203699</v>
      </c>
      <c r="AX20" s="123">
        <v>196390</v>
      </c>
      <c r="AY20" s="123">
        <v>203418</v>
      </c>
      <c r="AZ20" s="123">
        <v>235905</v>
      </c>
      <c r="BA20" s="123">
        <v>225882</v>
      </c>
      <c r="BB20" s="123">
        <v>228466</v>
      </c>
      <c r="BC20" s="123">
        <v>229166</v>
      </c>
      <c r="BD20" s="123">
        <v>245842</v>
      </c>
      <c r="BE20" s="123">
        <v>248691</v>
      </c>
      <c r="BF20" s="123">
        <v>252930</v>
      </c>
      <c r="BG20" s="123">
        <v>265669</v>
      </c>
      <c r="BH20" s="123">
        <v>273570</v>
      </c>
      <c r="BI20" s="123">
        <v>266540</v>
      </c>
      <c r="BJ20" s="123">
        <v>257397</v>
      </c>
      <c r="BK20" s="123">
        <v>247353</v>
      </c>
      <c r="BL20" s="123">
        <v>295056</v>
      </c>
      <c r="BM20" s="123">
        <v>279669</v>
      </c>
      <c r="BN20" s="123">
        <v>292224</v>
      </c>
      <c r="BO20" s="123">
        <v>275568</v>
      </c>
      <c r="BP20" s="123">
        <v>285807</v>
      </c>
      <c r="BQ20" s="123">
        <v>273383</v>
      </c>
      <c r="BR20" s="123">
        <v>267265</v>
      </c>
      <c r="BS20" s="123">
        <v>293630</v>
      </c>
      <c r="BT20" s="123">
        <v>279003</v>
      </c>
      <c r="BU20" s="123">
        <v>280529</v>
      </c>
      <c r="BV20" s="123">
        <v>270911</v>
      </c>
      <c r="BW20" s="123">
        <v>241652</v>
      </c>
      <c r="BX20" s="123">
        <v>293312</v>
      </c>
      <c r="BY20" s="123">
        <v>268977</v>
      </c>
      <c r="BZ20" s="123">
        <v>292224</v>
      </c>
      <c r="CA20" s="123">
        <v>265960</v>
      </c>
      <c r="CB20" s="123">
        <v>285807</v>
      </c>
      <c r="CC20" s="123">
        <v>271326</v>
      </c>
      <c r="CD20" s="123">
        <v>262019</v>
      </c>
      <c r="CE20" s="123">
        <v>279566</v>
      </c>
      <c r="CF20" s="123">
        <v>279003</v>
      </c>
      <c r="CG20" s="123">
        <v>273535</v>
      </c>
      <c r="CH20" s="123">
        <v>244871</v>
      </c>
      <c r="CI20" s="123">
        <v>258278</v>
      </c>
      <c r="CJ20" s="123">
        <v>279442</v>
      </c>
      <c r="CK20" s="123">
        <v>259728</v>
      </c>
      <c r="CL20" s="123">
        <v>261544</v>
      </c>
      <c r="CM20" s="123">
        <v>268138</v>
      </c>
      <c r="CN20" s="123">
        <v>273022</v>
      </c>
      <c r="CO20" s="123">
        <v>271055</v>
      </c>
      <c r="CP20" s="123">
        <v>272040</v>
      </c>
      <c r="CQ20" s="123">
        <v>276962</v>
      </c>
      <c r="CR20" s="123">
        <v>275477</v>
      </c>
      <c r="CS20" s="123">
        <v>268223</v>
      </c>
      <c r="CT20" s="123">
        <v>252785</v>
      </c>
      <c r="CU20" s="123">
        <v>233404</v>
      </c>
      <c r="CV20" s="123">
        <v>289265</v>
      </c>
      <c r="CW20" s="123">
        <v>269273</v>
      </c>
      <c r="CX20" s="123">
        <v>268719</v>
      </c>
      <c r="CY20" s="123">
        <v>266945</v>
      </c>
      <c r="CZ20" s="123">
        <v>270299</v>
      </c>
      <c r="DA20" s="123">
        <v>274628</v>
      </c>
      <c r="DB20" s="123">
        <v>267180</v>
      </c>
      <c r="DC20" s="123">
        <v>287395</v>
      </c>
      <c r="DD20" s="123">
        <v>286109</v>
      </c>
      <c r="DE20" s="123">
        <v>280251</v>
      </c>
      <c r="DF20" s="123">
        <v>272086</v>
      </c>
      <c r="DG20" s="123">
        <v>248300</v>
      </c>
      <c r="DH20" s="123">
        <v>301279</v>
      </c>
      <c r="DI20" s="123">
        <v>282093</v>
      </c>
      <c r="DJ20" s="123">
        <v>277803</v>
      </c>
      <c r="DK20" s="123">
        <v>276120</v>
      </c>
      <c r="DL20" s="123">
        <v>287654</v>
      </c>
      <c r="DM20" s="123">
        <v>291170</v>
      </c>
      <c r="DN20" s="123">
        <v>277139</v>
      </c>
      <c r="DO20" s="123">
        <v>300563</v>
      </c>
      <c r="DP20" s="123">
        <v>302790</v>
      </c>
      <c r="DQ20" s="123">
        <v>293745</v>
      </c>
      <c r="DR20" s="123">
        <v>282019</v>
      </c>
      <c r="DS20" s="123">
        <v>270763</v>
      </c>
      <c r="DT20" s="123">
        <v>317853</v>
      </c>
      <c r="DU20" s="123">
        <v>299151</v>
      </c>
      <c r="DV20" s="123">
        <v>295201</v>
      </c>
      <c r="DW20" s="123">
        <v>271056</v>
      </c>
      <c r="DX20" s="123">
        <v>280468</v>
      </c>
      <c r="DY20" s="123">
        <v>292477</v>
      </c>
      <c r="DZ20" s="123">
        <v>288959</v>
      </c>
      <c r="EA20" s="123">
        <v>312705</v>
      </c>
      <c r="EB20" s="123">
        <v>306126</v>
      </c>
      <c r="EC20" s="123">
        <v>301994</v>
      </c>
      <c r="ED20" s="123">
        <v>294786</v>
      </c>
      <c r="EE20" s="123">
        <v>264959</v>
      </c>
      <c r="EF20" s="123">
        <v>316880</v>
      </c>
      <c r="EG20" s="123">
        <v>307752</v>
      </c>
      <c r="EH20" s="123">
        <v>302793</v>
      </c>
      <c r="EI20" s="123">
        <v>314776</v>
      </c>
      <c r="EJ20" s="123">
        <v>322389</v>
      </c>
      <c r="EK20" s="123">
        <v>315115</v>
      </c>
      <c r="EL20" s="123">
        <v>317931</v>
      </c>
      <c r="EM20" s="123">
        <v>345149</v>
      </c>
      <c r="EN20" s="123">
        <v>335444</v>
      </c>
      <c r="EO20" s="123">
        <v>342934</v>
      </c>
      <c r="EP20" s="123">
        <v>322835</v>
      </c>
      <c r="EQ20" s="123">
        <v>305784</v>
      </c>
      <c r="ER20" s="123">
        <v>351657</v>
      </c>
      <c r="ES20" s="123">
        <v>329684</v>
      </c>
      <c r="ET20" s="123">
        <v>320348</v>
      </c>
      <c r="EU20" s="123">
        <v>324712</v>
      </c>
      <c r="EV20" s="123">
        <v>336720</v>
      </c>
      <c r="EW20" s="123">
        <v>337500</v>
      </c>
      <c r="EX20" s="123">
        <v>345167</v>
      </c>
      <c r="EY20" s="123">
        <v>339171</v>
      </c>
      <c r="EZ20" s="123">
        <v>358342</v>
      </c>
      <c r="FA20" s="123">
        <v>359594</v>
      </c>
    </row>
    <row r="21" spans="1:157" ht="20.100000000000001" customHeight="1">
      <c r="A21" s="25" t="s">
        <v>712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6" t="s">
        <v>551</v>
      </c>
      <c r="B22" s="126" t="s">
        <v>552</v>
      </c>
      <c r="C22" s="127">
        <v>1995</v>
      </c>
      <c r="D22" s="127">
        <v>1996</v>
      </c>
      <c r="E22" s="127">
        <v>1997</v>
      </c>
      <c r="F22" s="127">
        <v>1998</v>
      </c>
      <c r="G22" s="127">
        <v>1999</v>
      </c>
      <c r="H22" s="127">
        <v>2000</v>
      </c>
      <c r="I22" s="127">
        <v>2001</v>
      </c>
      <c r="J22" s="127">
        <v>2002</v>
      </c>
      <c r="K22" s="127">
        <v>2003</v>
      </c>
      <c r="L22" s="127">
        <v>2004</v>
      </c>
      <c r="M22" s="127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236" t="s">
        <v>543</v>
      </c>
      <c r="B23" s="122" t="s">
        <v>56</v>
      </c>
      <c r="C23" s="123">
        <v>595272320</v>
      </c>
      <c r="D23" s="123">
        <v>621239664</v>
      </c>
      <c r="E23" s="123">
        <v>700344184</v>
      </c>
      <c r="F23" s="123">
        <v>567023195</v>
      </c>
      <c r="G23" s="123">
        <v>567344200</v>
      </c>
      <c r="H23" s="123">
        <v>676315453</v>
      </c>
      <c r="I23" s="123">
        <v>721822691</v>
      </c>
      <c r="J23" s="123">
        <v>772444316</v>
      </c>
      <c r="K23" s="123">
        <v>758315596</v>
      </c>
      <c r="L23" s="123">
        <v>679412965</v>
      </c>
      <c r="M23" s="123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237"/>
      <c r="B24" s="122" t="s">
        <v>708</v>
      </c>
      <c r="C24" s="123">
        <v>57469339</v>
      </c>
      <c r="D24" s="123">
        <v>53526971</v>
      </c>
      <c r="E24" s="123">
        <v>53827826</v>
      </c>
      <c r="F24" s="123">
        <v>43344820</v>
      </c>
      <c r="G24" s="123">
        <v>42080967</v>
      </c>
      <c r="H24" s="123">
        <v>45239839</v>
      </c>
      <c r="I24" s="123">
        <v>45122332</v>
      </c>
      <c r="J24" s="123">
        <v>45732629</v>
      </c>
      <c r="K24" s="123">
        <v>47109970</v>
      </c>
      <c r="L24" s="123">
        <v>44512467</v>
      </c>
      <c r="M24" s="123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237"/>
      <c r="B25" s="122" t="s">
        <v>709</v>
      </c>
      <c r="C25" s="123">
        <v>408368372</v>
      </c>
      <c r="D25" s="123">
        <v>426413788</v>
      </c>
      <c r="E25" s="123">
        <v>499083185</v>
      </c>
      <c r="F25" s="123">
        <v>408136000</v>
      </c>
      <c r="G25" s="123">
        <v>401177000</v>
      </c>
      <c r="H25" s="123">
        <v>496174000</v>
      </c>
      <c r="I25" s="123">
        <v>535725000</v>
      </c>
      <c r="J25" s="123">
        <v>584573000</v>
      </c>
      <c r="K25" s="123">
        <v>565456252</v>
      </c>
      <c r="L25" s="123">
        <v>518855708</v>
      </c>
      <c r="M25" s="123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237"/>
      <c r="B26" s="122" t="s">
        <v>710</v>
      </c>
      <c r="C26" s="123">
        <v>129111889</v>
      </c>
      <c r="D26" s="123">
        <v>140947542</v>
      </c>
      <c r="E26" s="123">
        <v>147045854</v>
      </c>
      <c r="F26" s="123">
        <v>115178828</v>
      </c>
      <c r="G26" s="123">
        <v>123692958</v>
      </c>
      <c r="H26" s="123">
        <v>134467386</v>
      </c>
      <c r="I26" s="123">
        <v>140544327</v>
      </c>
      <c r="J26" s="123">
        <v>141705985</v>
      </c>
      <c r="K26" s="123">
        <v>145326809</v>
      </c>
      <c r="L26" s="123">
        <v>115635806</v>
      </c>
      <c r="M26" s="123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238"/>
      <c r="B27" s="122" t="s">
        <v>711</v>
      </c>
      <c r="C27" s="123">
        <v>322720</v>
      </c>
      <c r="D27" s="123">
        <v>351363</v>
      </c>
      <c r="E27" s="123">
        <v>387319</v>
      </c>
      <c r="F27" s="123">
        <v>363547</v>
      </c>
      <c r="G27" s="123">
        <v>393275</v>
      </c>
      <c r="H27" s="123">
        <v>434228</v>
      </c>
      <c r="I27" s="123">
        <v>431032</v>
      </c>
      <c r="J27" s="123">
        <v>432702</v>
      </c>
      <c r="K27" s="123">
        <v>422565</v>
      </c>
      <c r="L27" s="123">
        <v>408984</v>
      </c>
      <c r="M27" s="123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236" t="s">
        <v>548</v>
      </c>
      <c r="B28" s="122" t="s">
        <v>56</v>
      </c>
      <c r="C28" s="123">
        <v>405714274</v>
      </c>
      <c r="D28" s="123">
        <v>442551230</v>
      </c>
      <c r="E28" s="123">
        <v>486661311</v>
      </c>
      <c r="F28" s="123">
        <v>476222728</v>
      </c>
      <c r="G28" s="123">
        <v>533902560</v>
      </c>
      <c r="H28" s="123">
        <v>571548755</v>
      </c>
      <c r="I28" s="123">
        <v>612773903</v>
      </c>
      <c r="J28" s="123">
        <v>637622077</v>
      </c>
      <c r="K28" s="123">
        <v>669816827</v>
      </c>
      <c r="L28" s="123">
        <v>735946247</v>
      </c>
      <c r="M28" s="123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237"/>
      <c r="B29" s="122" t="s">
        <v>710</v>
      </c>
      <c r="C29" s="123">
        <v>404423525</v>
      </c>
      <c r="D29" s="123">
        <v>441120256</v>
      </c>
      <c r="E29" s="123">
        <v>485030237</v>
      </c>
      <c r="F29" s="123">
        <v>474751966</v>
      </c>
      <c r="G29" s="123">
        <v>532183132</v>
      </c>
      <c r="H29" s="123">
        <v>569599403</v>
      </c>
      <c r="I29" s="123">
        <v>610910071</v>
      </c>
      <c r="J29" s="123">
        <v>635545272</v>
      </c>
      <c r="K29" s="123">
        <v>667608033</v>
      </c>
      <c r="L29" s="123">
        <v>733377114</v>
      </c>
      <c r="M29" s="123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238"/>
      <c r="B30" s="125" t="s">
        <v>711</v>
      </c>
      <c r="C30" s="123">
        <v>1290749</v>
      </c>
      <c r="D30" s="123">
        <v>1430974</v>
      </c>
      <c r="E30" s="123">
        <v>1631074</v>
      </c>
      <c r="F30" s="123">
        <v>1470762</v>
      </c>
      <c r="G30" s="123">
        <v>1719428</v>
      </c>
      <c r="H30" s="123">
        <v>1949352</v>
      </c>
      <c r="I30" s="123">
        <v>1863832</v>
      </c>
      <c r="J30" s="123">
        <v>2076805</v>
      </c>
      <c r="K30" s="123">
        <v>2208794</v>
      </c>
      <c r="L30" s="123">
        <v>2569133</v>
      </c>
      <c r="M30" s="123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235" t="s">
        <v>713</v>
      </c>
      <c r="B31" s="125" t="s">
        <v>714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235"/>
      <c r="B32" s="125" t="s">
        <v>715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716</v>
      </c>
      <c r="K33" s="25" t="s">
        <v>717</v>
      </c>
    </row>
    <row r="34" spans="1:21">
      <c r="A34" s="32" t="s">
        <v>538</v>
      </c>
      <c r="B34" s="239" t="s">
        <v>718</v>
      </c>
      <c r="C34" s="239"/>
      <c r="D34" s="239" t="s">
        <v>719</v>
      </c>
      <c r="E34" s="239"/>
      <c r="F34" s="239" t="s">
        <v>713</v>
      </c>
      <c r="G34" s="239"/>
      <c r="I34" s="32" t="s">
        <v>539</v>
      </c>
      <c r="J34" s="240" t="s">
        <v>718</v>
      </c>
      <c r="K34" s="240"/>
      <c r="L34" s="239" t="s">
        <v>719</v>
      </c>
      <c r="M34" s="239"/>
      <c r="N34" s="239" t="s">
        <v>713</v>
      </c>
      <c r="O34" s="239"/>
      <c r="P34" s="25"/>
      <c r="Q34" s="25"/>
      <c r="T34" s="25"/>
      <c r="U34" s="25"/>
    </row>
    <row r="35" spans="1:21">
      <c r="A35" s="37" t="s">
        <v>720</v>
      </c>
      <c r="B35" s="25" t="s">
        <v>721</v>
      </c>
      <c r="C35" s="25" t="s">
        <v>722</v>
      </c>
      <c r="D35" s="25" t="s">
        <v>721</v>
      </c>
      <c r="E35" s="25" t="s">
        <v>722</v>
      </c>
      <c r="F35" s="25" t="s">
        <v>721</v>
      </c>
      <c r="G35" s="25" t="s">
        <v>722</v>
      </c>
      <c r="I35" s="37" t="s">
        <v>720</v>
      </c>
      <c r="J35" s="37" t="s">
        <v>723</v>
      </c>
      <c r="K35" s="37" t="s">
        <v>724</v>
      </c>
      <c r="L35" s="37" t="s">
        <v>723</v>
      </c>
      <c r="M35" s="37" t="s">
        <v>724</v>
      </c>
      <c r="N35" s="37" t="s">
        <v>723</v>
      </c>
      <c r="O35" s="37" t="s">
        <v>724</v>
      </c>
      <c r="P35" s="37" t="s">
        <v>725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726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topLeftCell="A15" zoomScale="70" zoomScaleNormal="70" workbookViewId="0">
      <selection activeCell="I45" sqref="I45"/>
    </sheetView>
  </sheetViews>
  <sheetFormatPr defaultColWidth="9" defaultRowHeight="15"/>
  <cols>
    <col min="1" max="1" width="9" style="4"/>
    <col min="2" max="2" width="11.28515625" style="4" bestFit="1" customWidth="1"/>
    <col min="3" max="5" width="11.85546875" style="4" bestFit="1" customWidth="1"/>
    <col min="6" max="7" width="11" style="4" bestFit="1" customWidth="1"/>
    <col min="8" max="13" width="11.85546875" style="4" bestFit="1" customWidth="1"/>
    <col min="14" max="17" width="10.28515625" style="4" bestFit="1" customWidth="1"/>
    <col min="18" max="19" width="11" style="4" bestFit="1" customWidth="1"/>
    <col min="20" max="20" width="10.28515625" style="4" bestFit="1" customWidth="1"/>
    <col min="21" max="22" width="11" style="4" bestFit="1" customWidth="1"/>
    <col min="23" max="16384" width="9" style="4"/>
  </cols>
  <sheetData>
    <row r="1" spans="1:22">
      <c r="A1" s="25" t="s">
        <v>727</v>
      </c>
    </row>
    <row r="2" spans="1:22">
      <c r="A2" s="241" t="s">
        <v>243</v>
      </c>
      <c r="B2" s="241"/>
      <c r="C2" s="241" t="s">
        <v>57</v>
      </c>
      <c r="D2" s="241"/>
      <c r="E2" s="241"/>
      <c r="F2" s="241"/>
      <c r="G2" s="241"/>
      <c r="H2" s="241" t="s">
        <v>728</v>
      </c>
      <c r="I2" s="241"/>
      <c r="J2" s="241"/>
      <c r="K2" s="241"/>
      <c r="L2" s="241"/>
      <c r="M2" s="241"/>
      <c r="N2" s="241"/>
      <c r="O2" s="241"/>
      <c r="P2" s="241"/>
      <c r="Q2" s="241" t="s">
        <v>729</v>
      </c>
      <c r="R2" s="241"/>
      <c r="S2" s="241"/>
      <c r="T2" s="241"/>
      <c r="U2" s="241"/>
      <c r="V2" s="241"/>
    </row>
    <row r="3" spans="1:22">
      <c r="A3" s="241"/>
      <c r="B3" s="241"/>
      <c r="C3" s="241" t="s">
        <v>243</v>
      </c>
      <c r="D3" s="241"/>
      <c r="E3" s="241"/>
      <c r="F3" s="241"/>
      <c r="G3" s="241"/>
      <c r="H3" s="241" t="s">
        <v>56</v>
      </c>
      <c r="I3" s="241"/>
      <c r="J3" s="241"/>
      <c r="K3" s="241" t="s">
        <v>730</v>
      </c>
      <c r="L3" s="241"/>
      <c r="M3" s="241"/>
      <c r="N3" s="241" t="s">
        <v>731</v>
      </c>
      <c r="O3" s="241"/>
      <c r="P3" s="241"/>
      <c r="Q3" s="241" t="s">
        <v>56</v>
      </c>
      <c r="R3" s="241"/>
      <c r="S3" s="241"/>
      <c r="T3" s="241" t="s">
        <v>732</v>
      </c>
      <c r="U3" s="241"/>
      <c r="V3" s="241"/>
    </row>
    <row r="4" spans="1:22">
      <c r="A4" s="128" t="s">
        <v>733</v>
      </c>
      <c r="B4" s="128" t="s">
        <v>734</v>
      </c>
      <c r="C4" s="128" t="s">
        <v>208</v>
      </c>
      <c r="D4" s="128" t="s">
        <v>735</v>
      </c>
      <c r="E4" s="128" t="s">
        <v>736</v>
      </c>
      <c r="F4" s="128" t="s">
        <v>737</v>
      </c>
      <c r="G4" s="128" t="s">
        <v>738</v>
      </c>
      <c r="H4" s="128" t="s">
        <v>208</v>
      </c>
      <c r="I4" s="128" t="s">
        <v>735</v>
      </c>
      <c r="J4" s="128" t="s">
        <v>736</v>
      </c>
      <c r="K4" s="128" t="s">
        <v>208</v>
      </c>
      <c r="L4" s="128" t="s">
        <v>736</v>
      </c>
      <c r="M4" s="128" t="s">
        <v>735</v>
      </c>
      <c r="N4" s="128" t="s">
        <v>208</v>
      </c>
      <c r="O4" s="128" t="s">
        <v>735</v>
      </c>
      <c r="P4" s="128" t="s">
        <v>736</v>
      </c>
      <c r="Q4" s="128" t="s">
        <v>208</v>
      </c>
      <c r="R4" s="128" t="s">
        <v>737</v>
      </c>
      <c r="S4" s="128" t="s">
        <v>738</v>
      </c>
      <c r="T4" s="128" t="s">
        <v>208</v>
      </c>
      <c r="U4" s="128" t="s">
        <v>737</v>
      </c>
      <c r="V4" s="128" t="s">
        <v>738</v>
      </c>
    </row>
    <row r="5" spans="1:22">
      <c r="A5" s="241" t="s">
        <v>56</v>
      </c>
      <c r="B5" s="241"/>
      <c r="C5" s="129">
        <v>4080872227.8000002</v>
      </c>
      <c r="D5" s="129">
        <v>1202471060</v>
      </c>
      <c r="E5" s="129">
        <v>2288324061</v>
      </c>
      <c r="F5" s="129">
        <v>567174054</v>
      </c>
      <c r="G5" s="129">
        <v>22903052.799999997</v>
      </c>
      <c r="H5" s="129">
        <v>3490795121</v>
      </c>
      <c r="I5" s="129">
        <v>1202471060</v>
      </c>
      <c r="J5" s="129">
        <v>2288324061</v>
      </c>
      <c r="K5" s="129">
        <v>3119141853</v>
      </c>
      <c r="L5" s="129">
        <v>2070251346</v>
      </c>
      <c r="M5" s="129">
        <v>1048890507</v>
      </c>
      <c r="N5" s="129">
        <v>371653268</v>
      </c>
      <c r="O5" s="129">
        <v>153580553</v>
      </c>
      <c r="P5" s="129">
        <v>218072715</v>
      </c>
      <c r="Q5" s="129">
        <v>590077106.79999995</v>
      </c>
      <c r="R5" s="129">
        <v>567174054</v>
      </c>
      <c r="S5" s="129">
        <v>22903052.799999997</v>
      </c>
      <c r="T5" s="129">
        <v>590077106.79999995</v>
      </c>
      <c r="U5" s="129">
        <v>567174054</v>
      </c>
      <c r="V5" s="129">
        <v>22903052.799999997</v>
      </c>
    </row>
    <row r="6" spans="1:22" ht="15.75" thickBot="1">
      <c r="A6" s="241" t="s">
        <v>739</v>
      </c>
      <c r="B6" s="241"/>
      <c r="C6" s="130">
        <v>1655997518</v>
      </c>
      <c r="D6" s="129">
        <v>501303813</v>
      </c>
      <c r="E6" s="129">
        <v>927845761</v>
      </c>
      <c r="F6" s="129">
        <v>214816744</v>
      </c>
      <c r="G6" s="129">
        <v>12031199.999999998</v>
      </c>
      <c r="H6" s="129">
        <v>1429149574</v>
      </c>
      <c r="I6" s="129">
        <v>501303813</v>
      </c>
      <c r="J6" s="129">
        <v>927845761</v>
      </c>
      <c r="K6" s="129">
        <v>1287227799</v>
      </c>
      <c r="L6" s="129">
        <v>848994050</v>
      </c>
      <c r="M6" s="129">
        <v>438233749</v>
      </c>
      <c r="N6" s="129">
        <v>141921775</v>
      </c>
      <c r="O6" s="129">
        <v>63070064</v>
      </c>
      <c r="P6" s="129">
        <v>78851711</v>
      </c>
      <c r="Q6" s="129">
        <v>226847944.00000006</v>
      </c>
      <c r="R6" s="129">
        <v>214816744</v>
      </c>
      <c r="S6" s="129">
        <v>12031200</v>
      </c>
      <c r="T6" s="129">
        <v>226847944</v>
      </c>
      <c r="U6" s="129">
        <v>214816744</v>
      </c>
      <c r="V6" s="129">
        <v>12031200</v>
      </c>
    </row>
    <row r="7" spans="1:22">
      <c r="A7" s="241" t="s">
        <v>240</v>
      </c>
      <c r="B7" s="131" t="s">
        <v>740</v>
      </c>
      <c r="C7" s="48">
        <v>141879802.19999999</v>
      </c>
      <c r="D7" s="132">
        <v>40206142</v>
      </c>
      <c r="E7" s="133">
        <v>81746229</v>
      </c>
      <c r="F7" s="133">
        <v>18920074</v>
      </c>
      <c r="G7" s="133">
        <v>1007357.2</v>
      </c>
      <c r="H7" s="133">
        <v>121952371</v>
      </c>
      <c r="I7" s="133">
        <v>40206142</v>
      </c>
      <c r="J7" s="133">
        <v>81746229</v>
      </c>
      <c r="K7" s="133">
        <v>110775808</v>
      </c>
      <c r="L7" s="133">
        <v>75603191</v>
      </c>
      <c r="M7" s="133">
        <v>35172617</v>
      </c>
      <c r="N7" s="133">
        <v>11176563</v>
      </c>
      <c r="O7" s="133">
        <v>5033525</v>
      </c>
      <c r="P7" s="133">
        <v>6143038</v>
      </c>
      <c r="Q7" s="133">
        <v>19927431.199999999</v>
      </c>
      <c r="R7" s="133">
        <v>18920074</v>
      </c>
      <c r="S7" s="133">
        <v>1007357.2</v>
      </c>
      <c r="T7" s="133">
        <v>19927431.199999999</v>
      </c>
      <c r="U7" s="133">
        <v>18920074</v>
      </c>
      <c r="V7" s="133">
        <v>1007357.2</v>
      </c>
    </row>
    <row r="8" spans="1:22">
      <c r="A8" s="241"/>
      <c r="B8" s="131" t="s">
        <v>741</v>
      </c>
      <c r="C8" s="134">
        <v>122901029.2</v>
      </c>
      <c r="D8" s="132">
        <v>39342779</v>
      </c>
      <c r="E8" s="133">
        <v>67179791</v>
      </c>
      <c r="F8" s="133">
        <v>15309700</v>
      </c>
      <c r="G8" s="133">
        <v>1068759.2</v>
      </c>
      <c r="H8" s="133">
        <v>106522570</v>
      </c>
      <c r="I8" s="133">
        <v>39342779</v>
      </c>
      <c r="J8" s="133">
        <v>67179791</v>
      </c>
      <c r="K8" s="133">
        <v>96535010</v>
      </c>
      <c r="L8" s="133">
        <v>61932308</v>
      </c>
      <c r="M8" s="133">
        <v>34602702</v>
      </c>
      <c r="N8" s="133">
        <v>9987560</v>
      </c>
      <c r="O8" s="133">
        <v>4740077</v>
      </c>
      <c r="P8" s="133">
        <v>5247483</v>
      </c>
      <c r="Q8" s="133">
        <v>16378459.199999999</v>
      </c>
      <c r="R8" s="133">
        <v>15309700</v>
      </c>
      <c r="S8" s="133">
        <v>1068759.2</v>
      </c>
      <c r="T8" s="133">
        <v>16378459.199999999</v>
      </c>
      <c r="U8" s="133">
        <v>15309700</v>
      </c>
      <c r="V8" s="133">
        <v>1068759.2</v>
      </c>
    </row>
    <row r="9" spans="1:22">
      <c r="A9" s="241"/>
      <c r="B9" s="131" t="s">
        <v>742</v>
      </c>
      <c r="C9" s="134">
        <v>137462172.90000001</v>
      </c>
      <c r="D9" s="132">
        <v>43941974</v>
      </c>
      <c r="E9" s="133">
        <v>75823870</v>
      </c>
      <c r="F9" s="133">
        <v>16519256</v>
      </c>
      <c r="G9" s="133">
        <v>1177072.8999999999</v>
      </c>
      <c r="H9" s="133">
        <v>119765844</v>
      </c>
      <c r="I9" s="133">
        <v>43941974</v>
      </c>
      <c r="J9" s="133">
        <v>75823870</v>
      </c>
      <c r="K9" s="133">
        <v>107257057</v>
      </c>
      <c r="L9" s="133">
        <v>69359797</v>
      </c>
      <c r="M9" s="133">
        <v>37897260</v>
      </c>
      <c r="N9" s="133">
        <v>12508787</v>
      </c>
      <c r="O9" s="133">
        <v>6044714</v>
      </c>
      <c r="P9" s="133">
        <v>6464073</v>
      </c>
      <c r="Q9" s="133">
        <v>17696328.899999999</v>
      </c>
      <c r="R9" s="133">
        <v>16519256</v>
      </c>
      <c r="S9" s="133">
        <v>1177072.8999999999</v>
      </c>
      <c r="T9" s="133">
        <v>17696328.899999999</v>
      </c>
      <c r="U9" s="133">
        <v>16519256</v>
      </c>
      <c r="V9" s="133">
        <v>1177072.8999999999</v>
      </c>
    </row>
    <row r="10" spans="1:22">
      <c r="A10" s="241"/>
      <c r="B10" s="131" t="s">
        <v>743</v>
      </c>
      <c r="C10" s="134">
        <v>134906133.80000001</v>
      </c>
      <c r="D10" s="132">
        <v>40584940</v>
      </c>
      <c r="E10" s="133">
        <v>76407179</v>
      </c>
      <c r="F10" s="133">
        <v>16771920</v>
      </c>
      <c r="G10" s="133">
        <v>1142094.8</v>
      </c>
      <c r="H10" s="133">
        <v>116992119</v>
      </c>
      <c r="I10" s="133">
        <v>40584940</v>
      </c>
      <c r="J10" s="133">
        <v>76407179</v>
      </c>
      <c r="K10" s="133">
        <v>105463822</v>
      </c>
      <c r="L10" s="133">
        <v>69703937</v>
      </c>
      <c r="M10" s="133">
        <v>35759885</v>
      </c>
      <c r="N10" s="133">
        <v>11528297</v>
      </c>
      <c r="O10" s="133">
        <v>4825055</v>
      </c>
      <c r="P10" s="133">
        <v>6703242</v>
      </c>
      <c r="Q10" s="133">
        <v>17914014.800000001</v>
      </c>
      <c r="R10" s="133">
        <v>16771920</v>
      </c>
      <c r="S10" s="133">
        <v>1142094.8</v>
      </c>
      <c r="T10" s="133">
        <v>17914014.800000001</v>
      </c>
      <c r="U10" s="133">
        <v>16771920</v>
      </c>
      <c r="V10" s="133">
        <v>1142094.8</v>
      </c>
    </row>
    <row r="11" spans="1:22">
      <c r="A11" s="241"/>
      <c r="B11" s="131" t="s">
        <v>744</v>
      </c>
      <c r="C11" s="134">
        <v>135909559.30000001</v>
      </c>
      <c r="D11" s="132">
        <v>42314187</v>
      </c>
      <c r="E11" s="133">
        <v>74341806</v>
      </c>
      <c r="F11" s="133">
        <v>18325816</v>
      </c>
      <c r="G11" s="133">
        <v>927750.3</v>
      </c>
      <c r="H11" s="133">
        <v>116655993</v>
      </c>
      <c r="I11" s="133">
        <v>42314187</v>
      </c>
      <c r="J11" s="133">
        <v>74341806</v>
      </c>
      <c r="K11" s="133">
        <v>105413524</v>
      </c>
      <c r="L11" s="133">
        <v>67983285</v>
      </c>
      <c r="M11" s="133">
        <v>37430239</v>
      </c>
      <c r="N11" s="133">
        <v>11242469</v>
      </c>
      <c r="O11" s="133">
        <v>4883948</v>
      </c>
      <c r="P11" s="133">
        <v>6358521</v>
      </c>
      <c r="Q11" s="133">
        <v>19253566.300000001</v>
      </c>
      <c r="R11" s="133">
        <v>18325816</v>
      </c>
      <c r="S11" s="133">
        <v>927750.3</v>
      </c>
      <c r="T11" s="133">
        <v>19253566.300000001</v>
      </c>
      <c r="U11" s="133">
        <v>18325816</v>
      </c>
      <c r="V11" s="133">
        <v>927750.3</v>
      </c>
    </row>
    <row r="12" spans="1:22">
      <c r="A12" s="241"/>
      <c r="B12" s="131" t="s">
        <v>745</v>
      </c>
      <c r="C12" s="134">
        <v>140568903.90000001</v>
      </c>
      <c r="D12" s="132">
        <v>45054426</v>
      </c>
      <c r="E12" s="133">
        <v>76594470</v>
      </c>
      <c r="F12" s="133">
        <v>18081540</v>
      </c>
      <c r="G12" s="133">
        <v>838467.9</v>
      </c>
      <c r="H12" s="133">
        <v>121648896</v>
      </c>
      <c r="I12" s="133">
        <v>45054426</v>
      </c>
      <c r="J12" s="133">
        <v>76594470</v>
      </c>
      <c r="K12" s="133">
        <v>110416441</v>
      </c>
      <c r="L12" s="133">
        <v>70773809</v>
      </c>
      <c r="M12" s="133">
        <v>39642632</v>
      </c>
      <c r="N12" s="133">
        <v>11232455</v>
      </c>
      <c r="O12" s="133">
        <v>5411794</v>
      </c>
      <c r="P12" s="133">
        <v>5820661</v>
      </c>
      <c r="Q12" s="133">
        <v>18920007.899999999</v>
      </c>
      <c r="R12" s="133">
        <v>18081540</v>
      </c>
      <c r="S12" s="133">
        <v>838467.9</v>
      </c>
      <c r="T12" s="133">
        <v>18920007.899999999</v>
      </c>
      <c r="U12" s="133">
        <v>18081540</v>
      </c>
      <c r="V12" s="133">
        <v>838467.9</v>
      </c>
    </row>
    <row r="13" spans="1:22" ht="15.75" thickBot="1">
      <c r="A13" s="241"/>
      <c r="B13" s="131" t="s">
        <v>746</v>
      </c>
      <c r="C13" s="135">
        <v>141716895.59999999</v>
      </c>
      <c r="D13" s="132">
        <v>44021099</v>
      </c>
      <c r="E13" s="133">
        <v>79641797</v>
      </c>
      <c r="F13" s="133">
        <v>17242094</v>
      </c>
      <c r="G13" s="133">
        <v>811905.6</v>
      </c>
      <c r="H13" s="133">
        <v>123662896</v>
      </c>
      <c r="I13" s="133">
        <v>44021099</v>
      </c>
      <c r="J13" s="133">
        <v>79641797</v>
      </c>
      <c r="K13" s="133">
        <v>111724995</v>
      </c>
      <c r="L13" s="133">
        <v>72974163</v>
      </c>
      <c r="M13" s="133">
        <v>38750832</v>
      </c>
      <c r="N13" s="133">
        <v>11937901</v>
      </c>
      <c r="O13" s="133">
        <v>5270267</v>
      </c>
      <c r="P13" s="133">
        <v>6667634</v>
      </c>
      <c r="Q13" s="133">
        <v>18053999.600000001</v>
      </c>
      <c r="R13" s="133">
        <v>17242094</v>
      </c>
      <c r="S13" s="133">
        <v>811905.6</v>
      </c>
      <c r="T13" s="133">
        <v>18053999.600000001</v>
      </c>
      <c r="U13" s="133">
        <v>17242094</v>
      </c>
      <c r="V13" s="133">
        <v>811905.6</v>
      </c>
    </row>
    <row r="14" spans="1:22">
      <c r="A14" s="241"/>
      <c r="B14" s="128" t="s">
        <v>747</v>
      </c>
      <c r="C14" s="136">
        <v>144636616.90000001</v>
      </c>
      <c r="D14" s="133">
        <v>42000091</v>
      </c>
      <c r="E14" s="133">
        <v>83597003</v>
      </c>
      <c r="F14" s="133">
        <v>17829324</v>
      </c>
      <c r="G14" s="133">
        <v>1210198.8999999999</v>
      </c>
      <c r="H14" s="133">
        <v>125597094</v>
      </c>
      <c r="I14" s="133">
        <v>42000091</v>
      </c>
      <c r="J14" s="133">
        <v>83597003</v>
      </c>
      <c r="K14" s="133">
        <v>112804299</v>
      </c>
      <c r="L14" s="133">
        <v>76377281</v>
      </c>
      <c r="M14" s="133">
        <v>36427018</v>
      </c>
      <c r="N14" s="133">
        <v>12792795</v>
      </c>
      <c r="O14" s="133">
        <v>5573073</v>
      </c>
      <c r="P14" s="133">
        <v>7219722</v>
      </c>
      <c r="Q14" s="133">
        <v>19039522.899999999</v>
      </c>
      <c r="R14" s="133">
        <v>17829324</v>
      </c>
      <c r="S14" s="133">
        <v>1210198.8999999999</v>
      </c>
      <c r="T14" s="133">
        <v>19039522.899999999</v>
      </c>
      <c r="U14" s="133">
        <v>17829324</v>
      </c>
      <c r="V14" s="133">
        <v>1210198.8999999999</v>
      </c>
    </row>
    <row r="15" spans="1:22">
      <c r="A15" s="241"/>
      <c r="B15" s="128" t="s">
        <v>748</v>
      </c>
      <c r="C15" s="133">
        <v>128724363.09999999</v>
      </c>
      <c r="D15" s="133">
        <v>38320959</v>
      </c>
      <c r="E15" s="133">
        <v>74183485</v>
      </c>
      <c r="F15" s="133">
        <v>15388082</v>
      </c>
      <c r="G15" s="133">
        <v>831837.1</v>
      </c>
      <c r="H15" s="133">
        <v>112504444</v>
      </c>
      <c r="I15" s="133">
        <v>38320959</v>
      </c>
      <c r="J15" s="133">
        <v>74183485</v>
      </c>
      <c r="K15" s="133">
        <v>100937710</v>
      </c>
      <c r="L15" s="133">
        <v>67125532</v>
      </c>
      <c r="M15" s="133">
        <v>33812178</v>
      </c>
      <c r="N15" s="133">
        <v>11566734</v>
      </c>
      <c r="O15" s="133">
        <v>4508781</v>
      </c>
      <c r="P15" s="133">
        <v>7057953</v>
      </c>
      <c r="Q15" s="133">
        <v>16219919.1</v>
      </c>
      <c r="R15" s="133">
        <v>15388082</v>
      </c>
      <c r="S15" s="133">
        <v>831837.1</v>
      </c>
      <c r="T15" s="133">
        <v>16219919.1</v>
      </c>
      <c r="U15" s="133">
        <v>15388082</v>
      </c>
      <c r="V15" s="133">
        <v>831837.1</v>
      </c>
    </row>
    <row r="16" spans="1:22">
      <c r="A16" s="241"/>
      <c r="B16" s="128" t="s">
        <v>749</v>
      </c>
      <c r="C16" s="133">
        <v>142059677</v>
      </c>
      <c r="D16" s="133">
        <v>42250195</v>
      </c>
      <c r="E16" s="133">
        <v>78656951</v>
      </c>
      <c r="F16" s="133">
        <v>20125314</v>
      </c>
      <c r="G16" s="133">
        <v>1027217</v>
      </c>
      <c r="H16" s="133">
        <v>120907146</v>
      </c>
      <c r="I16" s="133">
        <v>42250195</v>
      </c>
      <c r="J16" s="133">
        <v>78656951</v>
      </c>
      <c r="K16" s="133">
        <v>108798595</v>
      </c>
      <c r="L16" s="133">
        <v>71690379</v>
      </c>
      <c r="M16" s="133">
        <v>37108216</v>
      </c>
      <c r="N16" s="133">
        <v>12108551</v>
      </c>
      <c r="O16" s="133">
        <v>5141979</v>
      </c>
      <c r="P16" s="133">
        <v>6966572</v>
      </c>
      <c r="Q16" s="133">
        <v>21152531</v>
      </c>
      <c r="R16" s="133">
        <v>20125314</v>
      </c>
      <c r="S16" s="133">
        <v>1027217</v>
      </c>
      <c r="T16" s="133">
        <v>21152531</v>
      </c>
      <c r="U16" s="133">
        <v>20125314</v>
      </c>
      <c r="V16" s="133">
        <v>1027217</v>
      </c>
    </row>
    <row r="17" spans="1:22">
      <c r="A17" s="241"/>
      <c r="B17" s="128" t="s">
        <v>750</v>
      </c>
      <c r="C17" s="133">
        <v>135528745.90000001</v>
      </c>
      <c r="D17" s="133">
        <v>39333375</v>
      </c>
      <c r="E17" s="133">
        <v>75010749</v>
      </c>
      <c r="F17" s="133">
        <v>20213098</v>
      </c>
      <c r="G17" s="133">
        <v>971523.9</v>
      </c>
      <c r="H17" s="133">
        <v>114344124</v>
      </c>
      <c r="I17" s="133">
        <v>39333375</v>
      </c>
      <c r="J17" s="133">
        <v>75010749</v>
      </c>
      <c r="K17" s="133">
        <v>101576994</v>
      </c>
      <c r="L17" s="133">
        <v>67475115</v>
      </c>
      <c r="M17" s="133">
        <v>34101879</v>
      </c>
      <c r="N17" s="133">
        <v>12767130</v>
      </c>
      <c r="O17" s="133">
        <v>5231496</v>
      </c>
      <c r="P17" s="133">
        <v>7535634</v>
      </c>
      <c r="Q17" s="133">
        <v>21184621.899999999</v>
      </c>
      <c r="R17" s="133">
        <v>20213098</v>
      </c>
      <c r="S17" s="133">
        <v>971523.9</v>
      </c>
      <c r="T17" s="133">
        <v>21184621.899999999</v>
      </c>
      <c r="U17" s="133">
        <v>20213098</v>
      </c>
      <c r="V17" s="133">
        <v>971523.9</v>
      </c>
    </row>
    <row r="18" spans="1:22">
      <c r="A18" s="241"/>
      <c r="B18" s="128" t="s">
        <v>751</v>
      </c>
      <c r="C18" s="133">
        <v>149703618.19999999</v>
      </c>
      <c r="D18" s="133">
        <v>43933646</v>
      </c>
      <c r="E18" s="133">
        <v>84662431</v>
      </c>
      <c r="F18" s="133">
        <v>20090526</v>
      </c>
      <c r="G18" s="133">
        <v>1017015.2</v>
      </c>
      <c r="H18" s="133">
        <v>128596077</v>
      </c>
      <c r="I18" s="133">
        <v>43933646</v>
      </c>
      <c r="J18" s="133">
        <v>84662431</v>
      </c>
      <c r="K18" s="133">
        <v>115523544</v>
      </c>
      <c r="L18" s="133">
        <v>77995253</v>
      </c>
      <c r="M18" s="133">
        <v>37528291</v>
      </c>
      <c r="N18" s="133">
        <v>13072533</v>
      </c>
      <c r="O18" s="133">
        <v>6405355</v>
      </c>
      <c r="P18" s="133">
        <v>6667178</v>
      </c>
      <c r="Q18" s="133">
        <v>21107541.199999999</v>
      </c>
      <c r="R18" s="133">
        <v>20090526</v>
      </c>
      <c r="S18" s="133">
        <v>1017015.2</v>
      </c>
      <c r="T18" s="133">
        <v>21107541.199999999</v>
      </c>
      <c r="U18" s="133">
        <v>20090526</v>
      </c>
      <c r="V18" s="133">
        <v>1017015.2</v>
      </c>
    </row>
    <row r="19" spans="1:22" ht="15.75" thickBot="1">
      <c r="A19" s="241" t="s">
        <v>752</v>
      </c>
      <c r="B19" s="241"/>
      <c r="C19" s="130">
        <v>1510125438.8</v>
      </c>
      <c r="D19" s="129">
        <v>431786143</v>
      </c>
      <c r="E19" s="129">
        <v>844441495</v>
      </c>
      <c r="F19" s="129">
        <v>223025948</v>
      </c>
      <c r="G19" s="129">
        <v>10871852.800000001</v>
      </c>
      <c r="H19" s="129">
        <v>1276227638</v>
      </c>
      <c r="I19" s="129">
        <v>431786143</v>
      </c>
      <c r="J19" s="129">
        <v>844441495</v>
      </c>
      <c r="K19" s="129">
        <v>1137843309</v>
      </c>
      <c r="L19" s="129">
        <v>759067449</v>
      </c>
      <c r="M19" s="129">
        <v>378775860</v>
      </c>
      <c r="N19" s="129">
        <v>138384329</v>
      </c>
      <c r="O19" s="129">
        <v>53010283</v>
      </c>
      <c r="P19" s="129">
        <v>85374046</v>
      </c>
      <c r="Q19" s="129">
        <v>233897800.80000001</v>
      </c>
      <c r="R19" s="129">
        <v>223025948</v>
      </c>
      <c r="S19" s="129">
        <v>10871852.799999999</v>
      </c>
      <c r="T19" s="129">
        <v>233897800.80000001</v>
      </c>
      <c r="U19" s="129">
        <v>223025948</v>
      </c>
      <c r="V19" s="129">
        <v>10871852.799999999</v>
      </c>
    </row>
    <row r="20" spans="1:22">
      <c r="A20" s="241" t="s">
        <v>241</v>
      </c>
      <c r="B20" s="131" t="s">
        <v>740</v>
      </c>
      <c r="C20" s="48">
        <v>131982794.09999999</v>
      </c>
      <c r="D20" s="132">
        <v>35998113</v>
      </c>
      <c r="E20" s="133">
        <v>76334956</v>
      </c>
      <c r="F20" s="133">
        <v>18712742</v>
      </c>
      <c r="G20" s="133">
        <v>936983.1</v>
      </c>
      <c r="H20" s="133">
        <v>112333069</v>
      </c>
      <c r="I20" s="133">
        <v>35998113</v>
      </c>
      <c r="J20" s="133">
        <v>76334956</v>
      </c>
      <c r="K20" s="133">
        <v>101067323</v>
      </c>
      <c r="L20" s="133">
        <v>69641720</v>
      </c>
      <c r="M20" s="133">
        <v>31425603</v>
      </c>
      <c r="N20" s="133">
        <v>11265746</v>
      </c>
      <c r="O20" s="133">
        <v>4572510</v>
      </c>
      <c r="P20" s="133">
        <v>6693236</v>
      </c>
      <c r="Q20" s="133">
        <v>19649725.100000001</v>
      </c>
      <c r="R20" s="133">
        <v>18712742</v>
      </c>
      <c r="S20" s="133">
        <v>936983.1</v>
      </c>
      <c r="T20" s="133">
        <v>19649725.100000001</v>
      </c>
      <c r="U20" s="133">
        <v>18712742</v>
      </c>
      <c r="V20" s="133">
        <v>936983.1</v>
      </c>
    </row>
    <row r="21" spans="1:22">
      <c r="A21" s="241"/>
      <c r="B21" s="131" t="s">
        <v>741</v>
      </c>
      <c r="C21" s="134">
        <v>121910527.2</v>
      </c>
      <c r="D21" s="132">
        <v>36779988</v>
      </c>
      <c r="E21" s="133">
        <v>65574161</v>
      </c>
      <c r="F21" s="133">
        <v>18759508</v>
      </c>
      <c r="G21" s="133">
        <v>796870.2</v>
      </c>
      <c r="H21" s="133">
        <v>102354149</v>
      </c>
      <c r="I21" s="133">
        <v>36779988</v>
      </c>
      <c r="J21" s="133">
        <v>65574161</v>
      </c>
      <c r="K21" s="133">
        <v>92087289</v>
      </c>
      <c r="L21" s="133">
        <v>59114975</v>
      </c>
      <c r="M21" s="133">
        <v>32972314</v>
      </c>
      <c r="N21" s="133">
        <v>10266860</v>
      </c>
      <c r="O21" s="133">
        <v>3807674</v>
      </c>
      <c r="P21" s="133">
        <v>6459186</v>
      </c>
      <c r="Q21" s="133">
        <v>19556378.199999999</v>
      </c>
      <c r="R21" s="133">
        <v>18759508</v>
      </c>
      <c r="S21" s="133">
        <v>796870.2</v>
      </c>
      <c r="T21" s="133">
        <v>19556378.199999999</v>
      </c>
      <c r="U21" s="133">
        <v>18759508</v>
      </c>
      <c r="V21" s="133">
        <v>796870.2</v>
      </c>
    </row>
    <row r="22" spans="1:22">
      <c r="A22" s="241"/>
      <c r="B22" s="131" t="s">
        <v>742</v>
      </c>
      <c r="C22" s="134">
        <v>135028283.80000001</v>
      </c>
      <c r="D22" s="132">
        <v>39110498</v>
      </c>
      <c r="E22" s="133">
        <v>75567972</v>
      </c>
      <c r="F22" s="133">
        <v>19456076</v>
      </c>
      <c r="G22" s="133">
        <v>893737.8</v>
      </c>
      <c r="H22" s="133">
        <v>114678470</v>
      </c>
      <c r="I22" s="133">
        <v>39110498</v>
      </c>
      <c r="J22" s="133">
        <v>75567972</v>
      </c>
      <c r="K22" s="133">
        <v>103304094</v>
      </c>
      <c r="L22" s="133">
        <v>68429458</v>
      </c>
      <c r="M22" s="133">
        <v>34874636</v>
      </c>
      <c r="N22" s="133">
        <v>11374376</v>
      </c>
      <c r="O22" s="133">
        <v>4235862</v>
      </c>
      <c r="P22" s="133">
        <v>7138514</v>
      </c>
      <c r="Q22" s="133">
        <v>20349813.800000001</v>
      </c>
      <c r="R22" s="133">
        <v>19456076</v>
      </c>
      <c r="S22" s="133">
        <v>893737.8</v>
      </c>
      <c r="T22" s="133">
        <v>20349813.800000001</v>
      </c>
      <c r="U22" s="133">
        <v>19456076</v>
      </c>
      <c r="V22" s="133">
        <v>893737.8</v>
      </c>
    </row>
    <row r="23" spans="1:22">
      <c r="A23" s="241"/>
      <c r="B23" s="131" t="s">
        <v>743</v>
      </c>
      <c r="C23" s="134">
        <v>123685442.3</v>
      </c>
      <c r="D23" s="132">
        <v>33797397</v>
      </c>
      <c r="E23" s="133">
        <v>70190298</v>
      </c>
      <c r="F23" s="133">
        <v>18787186</v>
      </c>
      <c r="G23" s="133">
        <v>910561.3</v>
      </c>
      <c r="H23" s="133">
        <v>103987695</v>
      </c>
      <c r="I23" s="133">
        <v>33797397</v>
      </c>
      <c r="J23" s="133">
        <v>70190298</v>
      </c>
      <c r="K23" s="133">
        <v>92664568</v>
      </c>
      <c r="L23" s="133">
        <v>63051420</v>
      </c>
      <c r="M23" s="133">
        <v>29613148</v>
      </c>
      <c r="N23" s="133">
        <v>11323127</v>
      </c>
      <c r="O23" s="133">
        <v>4184249</v>
      </c>
      <c r="P23" s="133">
        <v>7138878</v>
      </c>
      <c r="Q23" s="133">
        <v>19697747.300000001</v>
      </c>
      <c r="R23" s="133">
        <v>18787186</v>
      </c>
      <c r="S23" s="133">
        <v>910561.3</v>
      </c>
      <c r="T23" s="133">
        <v>19697747.300000001</v>
      </c>
      <c r="U23" s="133">
        <v>18787186</v>
      </c>
      <c r="V23" s="133">
        <v>910561.3</v>
      </c>
    </row>
    <row r="24" spans="1:22">
      <c r="A24" s="241"/>
      <c r="B24" s="131" t="s">
        <v>744</v>
      </c>
      <c r="C24" s="134">
        <v>122490207.7</v>
      </c>
      <c r="D24" s="132">
        <v>32485853</v>
      </c>
      <c r="E24" s="133">
        <v>69988868</v>
      </c>
      <c r="F24" s="133">
        <v>19050512</v>
      </c>
      <c r="G24" s="133">
        <v>964974.7</v>
      </c>
      <c r="H24" s="133">
        <v>102474721</v>
      </c>
      <c r="I24" s="133">
        <v>32485853</v>
      </c>
      <c r="J24" s="133">
        <v>69988868</v>
      </c>
      <c r="K24" s="133">
        <v>90798396</v>
      </c>
      <c r="L24" s="133">
        <v>62835647</v>
      </c>
      <c r="M24" s="133">
        <v>27962749</v>
      </c>
      <c r="N24" s="133">
        <v>11676325</v>
      </c>
      <c r="O24" s="133">
        <v>4523104</v>
      </c>
      <c r="P24" s="133">
        <v>7153221</v>
      </c>
      <c r="Q24" s="133">
        <v>20015486.699999999</v>
      </c>
      <c r="R24" s="133">
        <v>19050512</v>
      </c>
      <c r="S24" s="133">
        <v>964974.7</v>
      </c>
      <c r="T24" s="133">
        <v>20015486.699999999</v>
      </c>
      <c r="U24" s="133">
        <v>19050512</v>
      </c>
      <c r="V24" s="133">
        <v>964974.7</v>
      </c>
    </row>
    <row r="25" spans="1:22">
      <c r="A25" s="241"/>
      <c r="B25" s="131" t="s">
        <v>745</v>
      </c>
      <c r="C25" s="134">
        <v>116998895.7</v>
      </c>
      <c r="D25" s="132">
        <v>33207306</v>
      </c>
      <c r="E25" s="133">
        <v>64955743</v>
      </c>
      <c r="F25" s="133">
        <v>17986582</v>
      </c>
      <c r="G25" s="133">
        <v>849264.7</v>
      </c>
      <c r="H25" s="133">
        <v>98163049</v>
      </c>
      <c r="I25" s="133">
        <v>33207306</v>
      </c>
      <c r="J25" s="133">
        <v>64955743</v>
      </c>
      <c r="K25" s="133">
        <v>87925918</v>
      </c>
      <c r="L25" s="133">
        <v>58928586</v>
      </c>
      <c r="M25" s="133">
        <v>28997332</v>
      </c>
      <c r="N25" s="133">
        <v>10237131</v>
      </c>
      <c r="O25" s="133">
        <v>4209974</v>
      </c>
      <c r="P25" s="133">
        <v>6027157</v>
      </c>
      <c r="Q25" s="133">
        <v>18835846.699999999</v>
      </c>
      <c r="R25" s="133">
        <v>17986582</v>
      </c>
      <c r="S25" s="133">
        <v>849264.7</v>
      </c>
      <c r="T25" s="133">
        <v>18835846.699999999</v>
      </c>
      <c r="U25" s="133">
        <v>17986582</v>
      </c>
      <c r="V25" s="133">
        <v>849264.7</v>
      </c>
    </row>
    <row r="26" spans="1:22" ht="15.75" thickBot="1">
      <c r="A26" s="241"/>
      <c r="B26" s="131" t="s">
        <v>746</v>
      </c>
      <c r="C26" s="135">
        <v>122376934.40000001</v>
      </c>
      <c r="D26" s="132">
        <v>35578559</v>
      </c>
      <c r="E26" s="133">
        <v>68226669</v>
      </c>
      <c r="F26" s="133">
        <v>17678414</v>
      </c>
      <c r="G26" s="133">
        <v>893292.4</v>
      </c>
      <c r="H26" s="133">
        <v>103805228</v>
      </c>
      <c r="I26" s="133">
        <v>35578559</v>
      </c>
      <c r="J26" s="133">
        <v>68226669</v>
      </c>
      <c r="K26" s="133">
        <v>92283923</v>
      </c>
      <c r="L26" s="133">
        <v>61048238</v>
      </c>
      <c r="M26" s="133">
        <v>31235685</v>
      </c>
      <c r="N26" s="133">
        <v>11521305</v>
      </c>
      <c r="O26" s="133">
        <v>4342874</v>
      </c>
      <c r="P26" s="133">
        <v>7178431</v>
      </c>
      <c r="Q26" s="133">
        <v>18571706.399999999</v>
      </c>
      <c r="R26" s="133">
        <v>17678414</v>
      </c>
      <c r="S26" s="133">
        <v>893292.4</v>
      </c>
      <c r="T26" s="133">
        <v>18571706.399999999</v>
      </c>
      <c r="U26" s="133">
        <v>17678414</v>
      </c>
      <c r="V26" s="133">
        <v>893292.4</v>
      </c>
    </row>
    <row r="27" spans="1:22">
      <c r="A27" s="241"/>
      <c r="B27" s="128" t="s">
        <v>747</v>
      </c>
      <c r="C27" s="136">
        <v>119246018.3</v>
      </c>
      <c r="D27" s="133">
        <v>34501324</v>
      </c>
      <c r="E27" s="133">
        <v>67122767</v>
      </c>
      <c r="F27" s="133">
        <v>16709346</v>
      </c>
      <c r="G27" s="133">
        <v>912581.3</v>
      </c>
      <c r="H27" s="133">
        <v>101624091</v>
      </c>
      <c r="I27" s="133">
        <v>34501324</v>
      </c>
      <c r="J27" s="133">
        <v>67122767</v>
      </c>
      <c r="K27" s="133">
        <v>90943317</v>
      </c>
      <c r="L27" s="133">
        <v>60577924</v>
      </c>
      <c r="M27" s="133">
        <v>30365393</v>
      </c>
      <c r="N27" s="133">
        <v>10680774</v>
      </c>
      <c r="O27" s="133">
        <v>4135931</v>
      </c>
      <c r="P27" s="133">
        <v>6544843</v>
      </c>
      <c r="Q27" s="133">
        <v>17621927.300000001</v>
      </c>
      <c r="R27" s="133">
        <v>16709346</v>
      </c>
      <c r="S27" s="133">
        <v>912581.3</v>
      </c>
      <c r="T27" s="133">
        <v>17621927.300000001</v>
      </c>
      <c r="U27" s="133">
        <v>16709346</v>
      </c>
      <c r="V27" s="133">
        <v>912581.3</v>
      </c>
    </row>
    <row r="28" spans="1:22">
      <c r="A28" s="241"/>
      <c r="B28" s="128" t="s">
        <v>748</v>
      </c>
      <c r="C28" s="133">
        <v>124574771.7</v>
      </c>
      <c r="D28" s="133">
        <v>37493792</v>
      </c>
      <c r="E28" s="133">
        <v>69231908</v>
      </c>
      <c r="F28" s="133">
        <v>16986568</v>
      </c>
      <c r="G28" s="133">
        <v>862503.7</v>
      </c>
      <c r="H28" s="133">
        <v>106725700</v>
      </c>
      <c r="I28" s="133">
        <v>37493792</v>
      </c>
      <c r="J28" s="133">
        <v>69231908</v>
      </c>
      <c r="K28" s="133">
        <v>95818634</v>
      </c>
      <c r="L28" s="133">
        <v>62741329</v>
      </c>
      <c r="M28" s="133">
        <v>33077305</v>
      </c>
      <c r="N28" s="133">
        <v>10907066</v>
      </c>
      <c r="O28" s="133">
        <v>4416487</v>
      </c>
      <c r="P28" s="133">
        <v>6490579</v>
      </c>
      <c r="Q28" s="133">
        <v>17849071.699999999</v>
      </c>
      <c r="R28" s="133">
        <v>16986568</v>
      </c>
      <c r="S28" s="133">
        <v>862503.7</v>
      </c>
      <c r="T28" s="133">
        <v>17849071.699999999</v>
      </c>
      <c r="U28" s="133">
        <v>16986568</v>
      </c>
      <c r="V28" s="133">
        <v>862503.7</v>
      </c>
    </row>
    <row r="29" spans="1:22">
      <c r="A29" s="241"/>
      <c r="B29" s="128" t="s">
        <v>749</v>
      </c>
      <c r="C29" s="133">
        <v>129858628.90000001</v>
      </c>
      <c r="D29" s="133">
        <v>37169750</v>
      </c>
      <c r="E29" s="133">
        <v>72595976</v>
      </c>
      <c r="F29" s="133">
        <v>19096224</v>
      </c>
      <c r="G29" s="133">
        <v>996678.9</v>
      </c>
      <c r="H29" s="133">
        <v>109765726</v>
      </c>
      <c r="I29" s="133">
        <v>37169750</v>
      </c>
      <c r="J29" s="133">
        <v>72595976</v>
      </c>
      <c r="K29" s="133">
        <v>96470806</v>
      </c>
      <c r="L29" s="133">
        <v>64372189</v>
      </c>
      <c r="M29" s="133">
        <v>32098617</v>
      </c>
      <c r="N29" s="133">
        <v>13294920</v>
      </c>
      <c r="O29" s="133">
        <v>5071133</v>
      </c>
      <c r="P29" s="133">
        <v>8223787</v>
      </c>
      <c r="Q29" s="133">
        <v>20092902.899999999</v>
      </c>
      <c r="R29" s="133">
        <v>19096224</v>
      </c>
      <c r="S29" s="133">
        <v>996678.9</v>
      </c>
      <c r="T29" s="133">
        <v>20092902.899999999</v>
      </c>
      <c r="U29" s="133">
        <v>19096224</v>
      </c>
      <c r="V29" s="133">
        <v>996678.9</v>
      </c>
    </row>
    <row r="30" spans="1:22">
      <c r="A30" s="241"/>
      <c r="B30" s="128" t="s">
        <v>750</v>
      </c>
      <c r="C30" s="133">
        <v>131895940.40000001</v>
      </c>
      <c r="D30" s="133">
        <v>38503322</v>
      </c>
      <c r="E30" s="133">
        <v>72558784</v>
      </c>
      <c r="F30" s="133">
        <v>19910252</v>
      </c>
      <c r="G30" s="133">
        <v>923582.4</v>
      </c>
      <c r="H30" s="133">
        <v>111062106</v>
      </c>
      <c r="I30" s="133">
        <v>38503322</v>
      </c>
      <c r="J30" s="133">
        <v>72558784</v>
      </c>
      <c r="K30" s="133">
        <v>98394261</v>
      </c>
      <c r="L30" s="133">
        <v>64693273</v>
      </c>
      <c r="M30" s="133">
        <v>33700988</v>
      </c>
      <c r="N30" s="133">
        <v>12667845</v>
      </c>
      <c r="O30" s="133">
        <v>4802334</v>
      </c>
      <c r="P30" s="133">
        <v>7865511</v>
      </c>
      <c r="Q30" s="133">
        <v>20833834.399999999</v>
      </c>
      <c r="R30" s="133">
        <v>19910252</v>
      </c>
      <c r="S30" s="133">
        <v>923582.4</v>
      </c>
      <c r="T30" s="133">
        <v>20833834.399999999</v>
      </c>
      <c r="U30" s="133">
        <v>19910252</v>
      </c>
      <c r="V30" s="133">
        <v>923582.4</v>
      </c>
    </row>
    <row r="31" spans="1:22">
      <c r="A31" s="241"/>
      <c r="B31" s="128" t="s">
        <v>751</v>
      </c>
      <c r="C31" s="133">
        <v>130076994.3</v>
      </c>
      <c r="D31" s="133">
        <v>37160241</v>
      </c>
      <c r="E31" s="133">
        <v>72093393</v>
      </c>
      <c r="F31" s="133">
        <v>19892538</v>
      </c>
      <c r="G31" s="133">
        <v>930822.3</v>
      </c>
      <c r="H31" s="133">
        <v>109253634</v>
      </c>
      <c r="I31" s="133">
        <v>37160241</v>
      </c>
      <c r="J31" s="133">
        <v>72093393</v>
      </c>
      <c r="K31" s="133">
        <v>96084780</v>
      </c>
      <c r="L31" s="133">
        <v>63632690</v>
      </c>
      <c r="M31" s="133">
        <v>32452090</v>
      </c>
      <c r="N31" s="133">
        <v>13168854</v>
      </c>
      <c r="O31" s="133">
        <v>4708151</v>
      </c>
      <c r="P31" s="133">
        <v>8460703</v>
      </c>
      <c r="Q31" s="133">
        <v>20823360.300000001</v>
      </c>
      <c r="R31" s="133">
        <v>19892538</v>
      </c>
      <c r="S31" s="133">
        <v>930822.3</v>
      </c>
      <c r="T31" s="133">
        <v>20823360.300000001</v>
      </c>
      <c r="U31" s="133">
        <v>19892538</v>
      </c>
      <c r="V31" s="133">
        <v>930822.3</v>
      </c>
    </row>
    <row r="32" spans="1:22" ht="15.75" thickBot="1">
      <c r="A32" s="241" t="s">
        <v>753</v>
      </c>
      <c r="B32" s="241"/>
      <c r="C32" s="130">
        <v>914749271</v>
      </c>
      <c r="D32" s="129">
        <v>269381104</v>
      </c>
      <c r="E32" s="129">
        <v>516036805</v>
      </c>
      <c r="F32" s="129">
        <v>129331362</v>
      </c>
      <c r="G32" s="129">
        <v>0</v>
      </c>
      <c r="H32" s="129">
        <v>785417909</v>
      </c>
      <c r="I32" s="129">
        <v>269381104</v>
      </c>
      <c r="J32" s="129">
        <v>516036805</v>
      </c>
      <c r="K32" s="129">
        <v>694070745</v>
      </c>
      <c r="L32" s="129">
        <v>462189847</v>
      </c>
      <c r="M32" s="129">
        <v>231880898</v>
      </c>
      <c r="N32" s="129">
        <v>91347164</v>
      </c>
      <c r="O32" s="129">
        <v>37500206</v>
      </c>
      <c r="P32" s="129">
        <v>53846958</v>
      </c>
      <c r="Q32" s="129">
        <v>129331362</v>
      </c>
      <c r="R32" s="129">
        <v>129331362</v>
      </c>
      <c r="S32" s="129">
        <v>0</v>
      </c>
      <c r="T32" s="129">
        <v>129331362</v>
      </c>
      <c r="U32" s="129">
        <v>129331362</v>
      </c>
      <c r="V32" s="129">
        <v>0</v>
      </c>
    </row>
    <row r="33" spans="1:22">
      <c r="A33" s="241" t="s">
        <v>754</v>
      </c>
      <c r="B33" s="131" t="s">
        <v>740</v>
      </c>
      <c r="C33" s="48">
        <v>129950859</v>
      </c>
      <c r="D33" s="132">
        <v>37267495</v>
      </c>
      <c r="E33" s="133">
        <v>74656662</v>
      </c>
      <c r="F33" s="133">
        <v>18026702</v>
      </c>
      <c r="G33" s="133">
        <v>0</v>
      </c>
      <c r="H33" s="133">
        <v>111924157</v>
      </c>
      <c r="I33" s="133">
        <v>37267495</v>
      </c>
      <c r="J33" s="133">
        <v>74656662</v>
      </c>
      <c r="K33" s="133">
        <v>99060696</v>
      </c>
      <c r="L33" s="133">
        <v>67045905</v>
      </c>
      <c r="M33" s="133">
        <v>32014791</v>
      </c>
      <c r="N33" s="133">
        <v>12863461</v>
      </c>
      <c r="O33" s="133">
        <v>5252704</v>
      </c>
      <c r="P33" s="133">
        <v>7610757</v>
      </c>
      <c r="Q33" s="133">
        <v>18026702</v>
      </c>
      <c r="R33" s="133">
        <v>18026702</v>
      </c>
      <c r="S33" s="133">
        <v>0</v>
      </c>
      <c r="T33" s="133">
        <v>18026702</v>
      </c>
      <c r="U33" s="133">
        <v>18026702</v>
      </c>
      <c r="V33" s="133">
        <v>0</v>
      </c>
    </row>
    <row r="34" spans="1:22">
      <c r="A34" s="241"/>
      <c r="B34" s="131" t="s">
        <v>741</v>
      </c>
      <c r="C34" s="134">
        <v>119329884</v>
      </c>
      <c r="D34" s="132">
        <v>34298389</v>
      </c>
      <c r="E34" s="133">
        <v>69387301</v>
      </c>
      <c r="F34" s="133">
        <v>15644194</v>
      </c>
      <c r="G34" s="133">
        <v>0</v>
      </c>
      <c r="H34" s="133">
        <v>103685690</v>
      </c>
      <c r="I34" s="133">
        <v>34298389</v>
      </c>
      <c r="J34" s="133">
        <v>69387301</v>
      </c>
      <c r="K34" s="133">
        <v>92060501</v>
      </c>
      <c r="L34" s="133">
        <v>62644295</v>
      </c>
      <c r="M34" s="133">
        <v>29416206</v>
      </c>
      <c r="N34" s="133">
        <v>11625189</v>
      </c>
      <c r="O34" s="133">
        <v>4882183</v>
      </c>
      <c r="P34" s="133">
        <v>6743006</v>
      </c>
      <c r="Q34" s="133">
        <v>15644194</v>
      </c>
      <c r="R34" s="133">
        <v>15644194</v>
      </c>
      <c r="S34" s="133">
        <v>0</v>
      </c>
      <c r="T34" s="133">
        <v>15644194</v>
      </c>
      <c r="U34" s="133">
        <v>15644194</v>
      </c>
      <c r="V34" s="133">
        <v>0</v>
      </c>
    </row>
    <row r="35" spans="1:22">
      <c r="A35" s="241"/>
      <c r="B35" s="131" t="s">
        <v>742</v>
      </c>
      <c r="C35" s="134">
        <v>137236582</v>
      </c>
      <c r="D35" s="132">
        <v>41392368</v>
      </c>
      <c r="E35" s="133">
        <v>76544300</v>
      </c>
      <c r="F35" s="133">
        <v>19299914</v>
      </c>
      <c r="G35" s="133">
        <v>0</v>
      </c>
      <c r="H35" s="133">
        <v>117936668</v>
      </c>
      <c r="I35" s="133">
        <v>41392368</v>
      </c>
      <c r="J35" s="133">
        <v>76544300</v>
      </c>
      <c r="K35" s="133">
        <v>103184226</v>
      </c>
      <c r="L35" s="133">
        <v>67093792</v>
      </c>
      <c r="M35" s="133">
        <v>36090434</v>
      </c>
      <c r="N35" s="133">
        <v>14752442</v>
      </c>
      <c r="O35" s="133">
        <v>5301934</v>
      </c>
      <c r="P35" s="133">
        <v>9450508</v>
      </c>
      <c r="Q35" s="133">
        <v>19299914</v>
      </c>
      <c r="R35" s="133">
        <v>19299914</v>
      </c>
      <c r="S35" s="133">
        <v>0</v>
      </c>
      <c r="T35" s="133">
        <v>19299914</v>
      </c>
      <c r="U35" s="133">
        <v>19299914</v>
      </c>
      <c r="V35" s="133">
        <v>0</v>
      </c>
    </row>
    <row r="36" spans="1:22">
      <c r="A36" s="241"/>
      <c r="B36" s="131" t="s">
        <v>743</v>
      </c>
      <c r="C36" s="134">
        <v>130919972</v>
      </c>
      <c r="D36" s="132">
        <v>39344962</v>
      </c>
      <c r="E36" s="133">
        <v>72321368</v>
      </c>
      <c r="F36" s="133">
        <v>19253642</v>
      </c>
      <c r="G36" s="133">
        <v>0</v>
      </c>
      <c r="H36" s="133">
        <v>111666330</v>
      </c>
      <c r="I36" s="133">
        <v>39344962</v>
      </c>
      <c r="J36" s="133">
        <v>72321368</v>
      </c>
      <c r="K36" s="133">
        <v>98865889</v>
      </c>
      <c r="L36" s="133">
        <v>65390509</v>
      </c>
      <c r="M36" s="133">
        <v>33475380</v>
      </c>
      <c r="N36" s="133">
        <v>12800441</v>
      </c>
      <c r="O36" s="133">
        <v>5869582</v>
      </c>
      <c r="P36" s="133">
        <v>6930859</v>
      </c>
      <c r="Q36" s="133">
        <v>19253642</v>
      </c>
      <c r="R36" s="133">
        <v>19253642</v>
      </c>
      <c r="S36" s="133">
        <v>0</v>
      </c>
      <c r="T36" s="133">
        <v>19253642</v>
      </c>
      <c r="U36" s="133">
        <v>19253642</v>
      </c>
      <c r="V36" s="133">
        <v>0</v>
      </c>
    </row>
    <row r="37" spans="1:22">
      <c r="A37" s="241"/>
      <c r="B37" s="131" t="s">
        <v>744</v>
      </c>
      <c r="C37" s="134">
        <v>131095350</v>
      </c>
      <c r="D37" s="132">
        <v>40068557</v>
      </c>
      <c r="E37" s="133">
        <v>71532317</v>
      </c>
      <c r="F37" s="133">
        <v>19494476</v>
      </c>
      <c r="G37" s="133">
        <v>0</v>
      </c>
      <c r="H37" s="133">
        <v>111600874</v>
      </c>
      <c r="I37" s="133">
        <v>40068557</v>
      </c>
      <c r="J37" s="133">
        <v>71532317</v>
      </c>
      <c r="K37" s="133">
        <v>98609204</v>
      </c>
      <c r="L37" s="133">
        <v>64038210</v>
      </c>
      <c r="M37" s="133">
        <v>34570994</v>
      </c>
      <c r="N37" s="133">
        <v>12991670</v>
      </c>
      <c r="O37" s="133">
        <v>5497563</v>
      </c>
      <c r="P37" s="133">
        <v>7494107</v>
      </c>
      <c r="Q37" s="133">
        <v>19494476</v>
      </c>
      <c r="R37" s="133">
        <v>19494476</v>
      </c>
      <c r="S37" s="133">
        <v>0</v>
      </c>
      <c r="T37" s="133">
        <v>19494476</v>
      </c>
      <c r="U37" s="133">
        <v>19494476</v>
      </c>
      <c r="V37" s="133">
        <v>0</v>
      </c>
    </row>
    <row r="38" spans="1:22">
      <c r="A38" s="241"/>
      <c r="B38" s="131" t="s">
        <v>745</v>
      </c>
      <c r="C38" s="134">
        <v>129028649</v>
      </c>
      <c r="D38" s="132">
        <v>37720168</v>
      </c>
      <c r="E38" s="133">
        <v>72586655</v>
      </c>
      <c r="F38" s="133">
        <v>18721826</v>
      </c>
      <c r="G38" s="133">
        <v>0</v>
      </c>
      <c r="H38" s="133">
        <v>110306823</v>
      </c>
      <c r="I38" s="133">
        <v>37720168</v>
      </c>
      <c r="J38" s="133">
        <v>72586655</v>
      </c>
      <c r="K38" s="133">
        <v>97963787</v>
      </c>
      <c r="L38" s="133">
        <v>65092001</v>
      </c>
      <c r="M38" s="133">
        <v>32871786</v>
      </c>
      <c r="N38" s="133">
        <v>12343036</v>
      </c>
      <c r="O38" s="133">
        <v>4848382</v>
      </c>
      <c r="P38" s="133">
        <v>7494654</v>
      </c>
      <c r="Q38" s="133">
        <v>18721826</v>
      </c>
      <c r="R38" s="133">
        <v>18721826</v>
      </c>
      <c r="S38" s="133">
        <v>0</v>
      </c>
      <c r="T38" s="133">
        <v>18721826</v>
      </c>
      <c r="U38" s="133">
        <v>18721826</v>
      </c>
      <c r="V38" s="133">
        <v>0</v>
      </c>
    </row>
    <row r="39" spans="1:22" ht="15.75" thickBot="1">
      <c r="A39" s="241"/>
      <c r="B39" s="131" t="s">
        <v>746</v>
      </c>
      <c r="C39" s="135">
        <v>137187975</v>
      </c>
      <c r="D39" s="132">
        <v>39289165</v>
      </c>
      <c r="E39" s="133">
        <v>79008202</v>
      </c>
      <c r="F39" s="133">
        <v>18890608</v>
      </c>
      <c r="G39" s="133">
        <v>0</v>
      </c>
      <c r="H39" s="133">
        <v>118297367</v>
      </c>
      <c r="I39" s="133">
        <v>39289165</v>
      </c>
      <c r="J39" s="133">
        <v>79008202</v>
      </c>
      <c r="K39" s="133">
        <v>104326442</v>
      </c>
      <c r="L39" s="133">
        <v>70885135</v>
      </c>
      <c r="M39" s="133">
        <v>33441307</v>
      </c>
      <c r="N39" s="133">
        <v>13970925</v>
      </c>
      <c r="O39" s="133">
        <v>5847858</v>
      </c>
      <c r="P39" s="133">
        <v>8123067</v>
      </c>
      <c r="Q39" s="133">
        <v>18890608</v>
      </c>
      <c r="R39" s="133">
        <v>18890608</v>
      </c>
      <c r="S39" s="133">
        <v>0</v>
      </c>
      <c r="T39" s="133">
        <v>18890608</v>
      </c>
      <c r="U39" s="133">
        <v>18890608</v>
      </c>
      <c r="V39" s="133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755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355</v>
      </c>
    </row>
    <row r="46" spans="1:22">
      <c r="A46" s="29" t="s">
        <v>756</v>
      </c>
    </row>
    <row r="47" spans="1:22">
      <c r="A47" s="29"/>
    </row>
    <row r="48" spans="1:22">
      <c r="A48" s="4" t="s">
        <v>757</v>
      </c>
    </row>
    <row r="49" spans="1:2">
      <c r="A49" s="4" t="s">
        <v>758</v>
      </c>
    </row>
    <row r="50" spans="1:2">
      <c r="A50" s="47">
        <v>6.0000000000000001E-3</v>
      </c>
      <c r="B50" s="4" t="s">
        <v>759</v>
      </c>
    </row>
  </sheetData>
  <mergeCells count="17">
    <mergeCell ref="A33:A39"/>
    <mergeCell ref="A5:B5"/>
    <mergeCell ref="A6:B6"/>
    <mergeCell ref="A7:A18"/>
    <mergeCell ref="A19:B19"/>
    <mergeCell ref="A20:A31"/>
    <mergeCell ref="A32:B32"/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16"/>
  <sheetViews>
    <sheetView workbookViewId="0">
      <selection activeCell="N19" sqref="N19"/>
    </sheetView>
  </sheetViews>
  <sheetFormatPr defaultColWidth="9.140625" defaultRowHeight="15"/>
  <cols>
    <col min="1" max="1" width="16.5703125" customWidth="1"/>
    <col min="2" max="2" width="10.42578125" bestFit="1" customWidth="1"/>
  </cols>
  <sheetData>
    <row r="1" spans="1:33" ht="75">
      <c r="A1" s="3" t="s">
        <v>760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761</v>
      </c>
      <c r="B2" s="144">
        <f>'DV-CAGR_mod'!U47/'DV-CAGR_mod'!$U47</f>
        <v>1</v>
      </c>
      <c r="C2" s="144">
        <f>'DV-CAGR_mod'!V47/'DV-CAGR_mod'!$U47</f>
        <v>1.0077595136573623</v>
      </c>
      <c r="D2" s="144">
        <f>'DV-CAGR_mod'!W47/'DV-CAGR_mod'!$U47</f>
        <v>1.1106335985857381</v>
      </c>
      <c r="E2" s="144">
        <f>'DV-CAGR_mod'!X47/'DV-CAGR_mod'!$U47</f>
        <v>1.0071516358495078</v>
      </c>
      <c r="F2" s="144">
        <f>'DV-CAGR_mod'!Y47/'DV-CAGR_mod'!$U47</f>
        <v>1.0172652979841319</v>
      </c>
      <c r="G2" s="144">
        <f>'DV-CAGR_mod'!Z47/'DV-CAGR_mod'!$U47</f>
        <v>1.0375666863431958</v>
      </c>
      <c r="H2" s="144">
        <f>'DV-CAGR_mod'!AA47/'DV-CAGR_mod'!$U47</f>
        <v>1.0578680747022629</v>
      </c>
      <c r="I2" s="144">
        <f>'DV-CAGR_mod'!AB47/'DV-CAGR_mod'!$U47</f>
        <v>1.0694781048358424</v>
      </c>
      <c r="J2" s="144">
        <f>'DV-CAGR_mod'!AC47/'DV-CAGR_mod'!$U47</f>
        <v>1.0810881349694221</v>
      </c>
      <c r="K2" s="144">
        <f>'DV-CAGR_mod'!AD47/'DV-CAGR_mod'!$U47</f>
        <v>1.0926981651030019</v>
      </c>
      <c r="L2" s="144">
        <f>'DV-CAGR_mod'!AE47/'DV-CAGR_mod'!$U47</f>
        <v>1.1043081952365814</v>
      </c>
      <c r="M2" s="144">
        <f>'DV-CAGR_mod'!AF47/'DV-CAGR_mod'!$U47</f>
        <v>1.1159182253701583</v>
      </c>
      <c r="N2" s="144">
        <f>'DV-CAGR_mod'!AG47/'DV-CAGR_mod'!$U47</f>
        <v>1.1231409560450314</v>
      </c>
      <c r="O2" s="144">
        <f>'DV-CAGR_mod'!AH47/'DV-CAGR_mod'!$U47</f>
        <v>1.1303636867199072</v>
      </c>
      <c r="P2" s="144">
        <f>'DV-CAGR_mod'!AI47/'DV-CAGR_mod'!$U47</f>
        <v>1.1375864173947801</v>
      </c>
      <c r="Q2" s="144">
        <f>'DV-CAGR_mod'!AJ47/'DV-CAGR_mod'!$U47</f>
        <v>1.1448091480696532</v>
      </c>
      <c r="R2" s="144">
        <f>'DV-CAGR_mod'!AK47/'DV-CAGR_mod'!$U47</f>
        <v>1.1520318787445272</v>
      </c>
      <c r="S2" s="144">
        <f>'DV-CAGR_mod'!AL47/'DV-CAGR_mod'!$U47</f>
        <v>1.153740561449738</v>
      </c>
      <c r="T2" s="144">
        <f>'DV-CAGR_mod'!AM47/'DV-CAGR_mod'!$U47</f>
        <v>1.1554492441549487</v>
      </c>
      <c r="U2" s="144">
        <f>'DV-CAGR_mod'!AN47/'DV-CAGR_mod'!$U47</f>
        <v>1.1571579268601597</v>
      </c>
      <c r="V2" s="144">
        <f>'DV-CAGR_mod'!AO47/'DV-CAGR_mod'!$U47</f>
        <v>1.1588666095653706</v>
      </c>
      <c r="W2" s="144">
        <f>'DV-CAGR_mod'!AP47/'DV-CAGR_mod'!$U47</f>
        <v>1.1605752922705816</v>
      </c>
      <c r="X2" s="144">
        <f>'DV-CAGR_mod'!AQ47/'DV-CAGR_mod'!$U47</f>
        <v>1.1593653124749075</v>
      </c>
      <c r="Y2" s="144">
        <f>'DV-CAGR_mod'!AR47/'DV-CAGR_mod'!$U47</f>
        <v>1.1581553326792331</v>
      </c>
      <c r="Z2" s="144">
        <f>'DV-CAGR_mod'!AS47/'DV-CAGR_mod'!$U47</f>
        <v>1.1569453528835589</v>
      </c>
      <c r="AA2" s="144">
        <f>'DV-CAGR_mod'!AT47/'DV-CAGR_mod'!$U47</f>
        <v>1.1557353730878843</v>
      </c>
      <c r="AB2" s="144">
        <f>'DV-CAGR_mod'!AU47/'DV-CAGR_mod'!$U47</f>
        <v>1.1545253932922108</v>
      </c>
      <c r="AC2" s="144">
        <f>'DV-CAGR_mod'!AV47/'DV-CAGR_mod'!$U47</f>
        <v>1.1491406786072245</v>
      </c>
      <c r="AD2" s="144">
        <f>'DV-CAGR_mod'!AW47/'DV-CAGR_mod'!$U47</f>
        <v>1.1437559639222392</v>
      </c>
      <c r="AE2" s="144">
        <f>'DV-CAGR_mod'!AX47/'DV-CAGR_mod'!$U47</f>
        <v>1.1383712492372529</v>
      </c>
      <c r="AF2" s="144">
        <f>'DV-CAGR_mod'!AY47/'DV-CAGR_mod'!$U47</f>
        <v>1.1329865345522661</v>
      </c>
      <c r="AG2" s="144">
        <f>'DV-CAGR_mod'!AZ47/'DV-CAGR_mod'!$U47</f>
        <v>1.127601819867281</v>
      </c>
    </row>
    <row r="3" spans="1:33" s="46" customFormat="1">
      <c r="A3" t="s">
        <v>762</v>
      </c>
      <c r="B3" s="144">
        <f>'DV-CAGR_mod'!U48/'DV-CAGR_mod'!$U48</f>
        <v>1</v>
      </c>
      <c r="C3" s="144">
        <f>'DV-CAGR_mod'!V48/'DV-CAGR_mod'!$U48</f>
        <v>0.89730245774607453</v>
      </c>
      <c r="D3" s="144">
        <f>'DV-CAGR_mod'!W48/'DV-CAGR_mod'!$U48</f>
        <v>0.77059848845857315</v>
      </c>
      <c r="E3" s="144">
        <f>'DV-CAGR_mod'!X48/'DV-CAGR_mod'!$U48</f>
        <v>0.7893138055889366</v>
      </c>
      <c r="F3" s="144">
        <f>'DV-CAGR_mod'!Y48/'DV-CAGR_mod'!$U48</f>
        <v>0.78356079732927797</v>
      </c>
      <c r="G3" s="144">
        <f>'DV-CAGR_mod'!Z48/'DV-CAGR_mod'!$U48</f>
        <v>0.7837169732879149</v>
      </c>
      <c r="H3" s="144">
        <f>'DV-CAGR_mod'!AA48/'DV-CAGR_mod'!$U48</f>
        <v>0.78387314924655194</v>
      </c>
      <c r="I3" s="144">
        <f>'DV-CAGR_mod'!AB48/'DV-CAGR_mod'!$U48</f>
        <v>0.78315473292595561</v>
      </c>
      <c r="J3" s="144">
        <f>'DV-CAGR_mod'!AC48/'DV-CAGR_mod'!$U48</f>
        <v>0.78243631660535928</v>
      </c>
      <c r="K3" s="144">
        <f>'DV-CAGR_mod'!AD48/'DV-CAGR_mod'!$U48</f>
        <v>0.78171790028476318</v>
      </c>
      <c r="L3" s="144">
        <f>'DV-CAGR_mod'!AE48/'DV-CAGR_mod'!$U48</f>
        <v>0.78099948396416696</v>
      </c>
      <c r="M3" s="144">
        <f>'DV-CAGR_mod'!AF48/'DV-CAGR_mod'!$U48</f>
        <v>0.78028106764357053</v>
      </c>
      <c r="N3" s="144">
        <f>'DV-CAGR_mod'!AG48/'DV-CAGR_mod'!$U48</f>
        <v>0.7799322710549782</v>
      </c>
      <c r="O3" s="144">
        <f>'DV-CAGR_mod'!AH48/'DV-CAGR_mod'!$U48</f>
        <v>0.77958347446638587</v>
      </c>
      <c r="P3" s="144">
        <f>'DV-CAGR_mod'!AI48/'DV-CAGR_mod'!$U48</f>
        <v>0.77923467787779344</v>
      </c>
      <c r="Q3" s="144">
        <f>'DV-CAGR_mod'!AJ48/'DV-CAGR_mod'!$U48</f>
        <v>0.77888588128920111</v>
      </c>
      <c r="R3" s="144">
        <f>'DV-CAGR_mod'!AK48/'DV-CAGR_mod'!$U48</f>
        <v>0.77853708470060901</v>
      </c>
      <c r="S3" s="144">
        <f>'DV-CAGR_mod'!AL48/'DV-CAGR_mod'!$U48</f>
        <v>0.77773537485314648</v>
      </c>
      <c r="T3" s="144">
        <f>'DV-CAGR_mod'!AM48/'DV-CAGR_mod'!$U48</f>
        <v>0.77693366500568395</v>
      </c>
      <c r="U3" s="144">
        <f>'DV-CAGR_mod'!AN48/'DV-CAGR_mod'!$U48</f>
        <v>0.77613195515822153</v>
      </c>
      <c r="V3" s="144">
        <f>'DV-CAGR_mod'!AO48/'DV-CAGR_mod'!$U48</f>
        <v>0.77533024531075923</v>
      </c>
      <c r="W3" s="144">
        <f>'DV-CAGR_mod'!AP48/'DV-CAGR_mod'!$U48</f>
        <v>0.77452853546329548</v>
      </c>
      <c r="X3" s="144">
        <f>'DV-CAGR_mod'!AQ48/'DV-CAGR_mod'!$U48</f>
        <v>0.7710093738252195</v>
      </c>
      <c r="Y3" s="144">
        <f>'DV-CAGR_mod'!AR48/'DV-CAGR_mod'!$U48</f>
        <v>0.76749021218714286</v>
      </c>
      <c r="Z3" s="144">
        <f>'DV-CAGR_mod'!AS48/'DV-CAGR_mod'!$U48</f>
        <v>0.76397105054906678</v>
      </c>
      <c r="AA3" s="144">
        <f>'DV-CAGR_mod'!AT48/'DV-CAGR_mod'!$U48</f>
        <v>0.76045188891099003</v>
      </c>
      <c r="AB3" s="144">
        <f>'DV-CAGR_mod'!AU48/'DV-CAGR_mod'!$U48</f>
        <v>0.75693272727291339</v>
      </c>
      <c r="AC3" s="144">
        <f>'DV-CAGR_mod'!AV48/'DV-CAGR_mod'!$U48</f>
        <v>0.75252857215019087</v>
      </c>
      <c r="AD3" s="144">
        <f>'DV-CAGR_mod'!AW48/'DV-CAGR_mod'!$U48</f>
        <v>0.74812441702746835</v>
      </c>
      <c r="AE3" s="144">
        <f>'DV-CAGR_mod'!AX48/'DV-CAGR_mod'!$U48</f>
        <v>0.74372026190474594</v>
      </c>
      <c r="AF3" s="144">
        <f>'DV-CAGR_mod'!AY48/'DV-CAGR_mod'!$U48</f>
        <v>0.73931610678202342</v>
      </c>
      <c r="AG3" s="144">
        <f>'DV-CAGR_mod'!AZ48/'DV-CAGR_mod'!$U48</f>
        <v>0.7349119516593009</v>
      </c>
    </row>
    <row r="4" spans="1:33" s="46" customFormat="1">
      <c r="A4" t="s">
        <v>763</v>
      </c>
      <c r="B4" s="46">
        <f>'AIR-Cal'!B7</f>
        <v>1</v>
      </c>
      <c r="C4" s="204">
        <f>'AIR-Cal'!C7</f>
        <v>0.47251549953486432</v>
      </c>
      <c r="D4" s="204">
        <f>'AIR-Cal'!D7</f>
        <v>0.53770681442362867</v>
      </c>
      <c r="E4" s="204">
        <f>'AIR-Cal'!E7</f>
        <v>0.67238169721830265</v>
      </c>
      <c r="F4" s="204">
        <f>'AIR-Cal'!F7</f>
        <v>0.88048845782452634</v>
      </c>
      <c r="G4" s="204">
        <f>'AIR-Cal'!G7</f>
        <v>0.97405616848470689</v>
      </c>
      <c r="H4" s="202">
        <f>$G$4*'fleet &amp; energy forecasts'!E58/'fleet &amp; energy forecasts'!$D$58</f>
        <v>0.99720115897673445</v>
      </c>
      <c r="I4" s="202">
        <f>$G$4*'fleet &amp; energy forecasts'!F58/'fleet &amp; energy forecasts'!$D$58</f>
        <v>1.0203461494687625</v>
      </c>
      <c r="J4" s="202">
        <f>$G$4*'fleet &amp; energy forecasts'!G58/'fleet &amp; energy forecasts'!$D$58</f>
        <v>1.04349113996079</v>
      </c>
      <c r="K4" s="202">
        <f>$G$4*'fleet &amp; energy forecasts'!H58/'fleet &amp; energy forecasts'!$D$58</f>
        <v>1.06663613045281</v>
      </c>
      <c r="L4" s="202">
        <f>$G$4*'fleet &amp; energy forecasts'!I58/'fleet &amp; energy forecasts'!$D$58</f>
        <v>1.0897811209448378</v>
      </c>
      <c r="M4" s="202">
        <f>$G$4*'fleet &amp; energy forecasts'!J58/'fleet &amp; energy forecasts'!$D$58</f>
        <v>1.1129261114368711</v>
      </c>
      <c r="N4" s="202">
        <f>$G$4*'fleet &amp; energy forecasts'!K58/'fleet &amp; energy forecasts'!$D$58</f>
        <v>1.109325779582556</v>
      </c>
      <c r="O4" s="202">
        <f>$G$4*'fleet &amp; energy forecasts'!L58/'fleet &amp; energy forecasts'!$D$58</f>
        <v>1.1057254477282406</v>
      </c>
      <c r="P4" s="202">
        <f>$G$4*'fleet &amp; energy forecasts'!M58/'fleet &amp; energy forecasts'!$D$58</f>
        <v>1.1021251158739251</v>
      </c>
      <c r="Q4" s="202">
        <f>$G$4*'fleet &amp; energy forecasts'!N58/'fleet &amp; energy forecasts'!$D$58</f>
        <v>1.09852478401961</v>
      </c>
      <c r="R4" s="202">
        <f>$G$4*'fleet &amp; energy forecasts'!O58/'fleet &amp; energy forecasts'!$D$58</f>
        <v>1.0949244521652943</v>
      </c>
      <c r="S4" s="202">
        <f>$G$4*'fleet &amp; energy forecasts'!P58/'fleet &amp; energy forecasts'!$D$58</f>
        <v>1.0913241203109791</v>
      </c>
      <c r="T4" s="202">
        <f>$G$4*'fleet &amp; energy forecasts'!Q58/'fleet &amp; energy forecasts'!$D$58</f>
        <v>1.0877237884566635</v>
      </c>
      <c r="U4" s="202">
        <f>$G$4*'fleet &amp; energy forecasts'!R58/'fleet &amp; energy forecasts'!$D$58</f>
        <v>1.0841234566023485</v>
      </c>
      <c r="V4" s="202">
        <f>$G$4*'fleet &amp; energy forecasts'!S58/'fleet &amp; energy forecasts'!$D$58</f>
        <v>1.0805231247480329</v>
      </c>
      <c r="W4" s="202">
        <f>$G$4*'fleet &amp; energy forecasts'!T58/'fleet &amp; energy forecasts'!$D$58</f>
        <v>1.0769227928937184</v>
      </c>
      <c r="X4" s="202">
        <f>$G$4*'fleet &amp; energy forecasts'!U58/'fleet &amp; energy forecasts'!$D$58</f>
        <v>1.0785111745941516</v>
      </c>
      <c r="Y4" s="202">
        <f>$G$4*'fleet &amp; energy forecasts'!V58/'fleet &amp; energy forecasts'!$D$58</f>
        <v>1.0800995562945852</v>
      </c>
      <c r="Z4" s="202">
        <f>$G$4*'fleet &amp; energy forecasts'!W58/'fleet &amp; energy forecasts'!$D$58</f>
        <v>1.0816879379950182</v>
      </c>
      <c r="AA4" s="202">
        <f>$G$4*'fleet &amp; energy forecasts'!X58/'fleet &amp; energy forecasts'!$D$58</f>
        <v>1.0832763196954511</v>
      </c>
      <c r="AB4" s="202">
        <f>$G$4*'fleet &amp; energy forecasts'!Y58/'fleet &amp; energy forecasts'!$D$58</f>
        <v>1.0848647013958843</v>
      </c>
      <c r="AC4" s="202">
        <f>$G$4*'fleet &amp; energy forecasts'!Z58/'fleet &amp; energy forecasts'!$D$58</f>
        <v>1.0864530830963179</v>
      </c>
      <c r="AD4" s="202">
        <f>$G$4*'fleet &amp; energy forecasts'!AA58/'fleet &amp; energy forecasts'!$D$58</f>
        <v>1.0880414647967509</v>
      </c>
      <c r="AE4" s="202">
        <f>$G$4*'fleet &amp; energy forecasts'!AB58/'fleet &amp; energy forecasts'!$D$58</f>
        <v>1.0896298464971841</v>
      </c>
      <c r="AF4" s="202">
        <f>$G$4*'fleet &amp; energy forecasts'!AC58/'fleet &amp; energy forecasts'!$D$58</f>
        <v>1.0912182281976175</v>
      </c>
      <c r="AG4" s="202">
        <f>$G$4*'fleet &amp; energy forecasts'!AD58/'fleet &amp; energy forecasts'!$D$58</f>
        <v>1.0928066098980507</v>
      </c>
    </row>
    <row r="5" spans="1:33" s="46" customFormat="1">
      <c r="A5" t="s">
        <v>764</v>
      </c>
      <c r="B5" s="46">
        <v>1</v>
      </c>
      <c r="C5" s="203">
        <f>'Rail-Cal'!C4</f>
        <v>0.63449793100934282</v>
      </c>
      <c r="D5" s="203">
        <f>'Rail-Cal'!D4</f>
        <v>0.63972651023832128</v>
      </c>
      <c r="E5" s="201">
        <f>D5*(1+'BAADTbVT_Rail-CAGR'!$K$4)</f>
        <v>0.6645703969252037</v>
      </c>
      <c r="F5" s="201">
        <f>E5*(1+'BAADTbVT_Rail-CAGR'!$K$4)</f>
        <v>0.69037910013263448</v>
      </c>
      <c r="G5" s="202">
        <f>$F$5*'fleet &amp; energy forecasts'!D57</f>
        <v>0.72046826188175794</v>
      </c>
      <c r="H5" s="202">
        <f>$F$5*'fleet &amp; energy forecasts'!E57</f>
        <v>0.7505574236308814</v>
      </c>
      <c r="I5" s="202">
        <f>$F$5*'fleet &amp; energy forecasts'!F57</f>
        <v>0.78064658538000475</v>
      </c>
      <c r="J5" s="202">
        <f>$F$5*'fleet &amp; energy forecasts'!G57</f>
        <v>0.81073574712912821</v>
      </c>
      <c r="K5" s="202">
        <f>$F$5*'fleet &amp; energy forecasts'!H57</f>
        <v>0.84082490887825168</v>
      </c>
      <c r="L5" s="202">
        <f>$F$5*'fleet &amp; energy forecasts'!I57</f>
        <v>0.87091407062737503</v>
      </c>
      <c r="M5" s="202">
        <f>$F$5*'fleet &amp; energy forecasts'!J57</f>
        <v>0.90100323237649527</v>
      </c>
      <c r="N5" s="202">
        <f>$F$5*'fleet &amp; energy forecasts'!K57</f>
        <v>0.90404558095335108</v>
      </c>
      <c r="O5" s="202">
        <f>$F$5*'fleet &amp; energy forecasts'!L57</f>
        <v>0.90708792953020712</v>
      </c>
      <c r="P5" s="202">
        <f>$F$5*'fleet &amp; energy forecasts'!M57</f>
        <v>0.91013027810706304</v>
      </c>
      <c r="Q5" s="202">
        <f>$F$5*'fleet &amp; energy forecasts'!N57</f>
        <v>0.91317262668391774</v>
      </c>
      <c r="R5" s="202">
        <f>$F$5*'fleet &amp; energy forecasts'!O57</f>
        <v>0.91621497526077367</v>
      </c>
      <c r="S5" s="202">
        <f>$F$5*'fleet &amp; energy forecasts'!P57</f>
        <v>0.91925732383762948</v>
      </c>
      <c r="T5" s="202">
        <f>$F$5*'fleet &amp; energy forecasts'!Q57</f>
        <v>0.92229967241448552</v>
      </c>
      <c r="U5" s="202">
        <f>$F$5*'fleet &amp; energy forecasts'!R57</f>
        <v>0.92534202099134122</v>
      </c>
      <c r="V5" s="202">
        <f>$F$5*'fleet &amp; energy forecasts'!S57</f>
        <v>0.92838436956819725</v>
      </c>
      <c r="W5" s="202">
        <f>$F$5*'fleet &amp; energy forecasts'!T57</f>
        <v>0.93142671814505107</v>
      </c>
      <c r="X5" s="202">
        <f>$F$5*'fleet &amp; energy forecasts'!U57</f>
        <v>0.92791631594098667</v>
      </c>
      <c r="Y5" s="202">
        <f>$F$5*'fleet &amp; energy forecasts'!V57</f>
        <v>0.92440591373692227</v>
      </c>
      <c r="Z5" s="202">
        <f>$F$5*'fleet &amp; energy forecasts'!W57</f>
        <v>0.92089551153285787</v>
      </c>
      <c r="AA5" s="202">
        <f>$F$5*'fleet &amp; energy forecasts'!X57</f>
        <v>0.91738510932879347</v>
      </c>
      <c r="AB5" s="202">
        <f>$F$5*'fleet &amp; energy forecasts'!Y57</f>
        <v>0.91387470712472996</v>
      </c>
      <c r="AC5" s="202">
        <f>$F$5*'fleet &amp; energy forecasts'!Z57</f>
        <v>0.91036430492066567</v>
      </c>
      <c r="AD5" s="202">
        <f>$F$5*'fleet &amp; energy forecasts'!AA57</f>
        <v>0.90685390271660127</v>
      </c>
      <c r="AE5" s="202">
        <f>$F$5*'fleet &amp; energy forecasts'!AB57</f>
        <v>0.90334350051253687</v>
      </c>
      <c r="AF5" s="202">
        <f>$F$5*'fleet &amp; energy forecasts'!AC57</f>
        <v>0.89983309830847236</v>
      </c>
      <c r="AG5" s="202">
        <f>$F$5*'fleet &amp; energy forecasts'!AD57</f>
        <v>0.89632269610440796</v>
      </c>
    </row>
    <row r="6" spans="1:33" s="46" customFormat="1">
      <c r="A6" t="s">
        <v>765</v>
      </c>
      <c r="B6" s="46">
        <v>1</v>
      </c>
      <c r="C6" s="200">
        <f>B6*(1+'BAADTbVT_Ships-Cal psgr CAGR'!$C$66)</f>
        <v>0.98896712459176861</v>
      </c>
      <c r="D6" s="200">
        <f>C6*(1+'BAADTbVT_Ships-Cal psgr CAGR'!$C$66)</f>
        <v>0.97805597352331075</v>
      </c>
      <c r="E6" s="200">
        <f>D6*(1+'BAADTbVT_Ships-Cal psgr CAGR'!$C$66)</f>
        <v>0.96726520382515158</v>
      </c>
      <c r="F6" s="200">
        <f>E6*(1+'BAADTbVT_Ships-Cal psgr CAGR'!$C$66)</f>
        <v>0.95659348734463112</v>
      </c>
      <c r="G6" s="202">
        <f>$F$6*'fleet &amp; energy forecasts'!D59</f>
        <v>0.94441325971073808</v>
      </c>
      <c r="H6" s="202">
        <f>$F$6*'fleet &amp; energy forecasts'!E59</f>
        <v>0.93223303207684893</v>
      </c>
      <c r="I6" s="202">
        <f>$F$6*'fleet &amp; energy forecasts'!F59</f>
        <v>0.9200528044429559</v>
      </c>
      <c r="J6" s="202">
        <f>$F$6*'fleet &amp; energy forecasts'!G59</f>
        <v>0.90787257680906297</v>
      </c>
      <c r="K6" s="202">
        <f>$F$6*'fleet &amp; energy forecasts'!H59</f>
        <v>0.89569234917517371</v>
      </c>
      <c r="L6" s="202">
        <f>$F$6*'fleet &amp; energy forecasts'!I59</f>
        <v>0.88351212154128078</v>
      </c>
      <c r="M6" s="202">
        <f>$F$6*'fleet &amp; energy forecasts'!J59</f>
        <v>0.87133189390738974</v>
      </c>
      <c r="N6" s="202">
        <f>$F$6*'fleet &amp; energy forecasts'!K59</f>
        <v>0.86634097136472277</v>
      </c>
      <c r="O6" s="202">
        <f>$F$6*'fleet &amp; energy forecasts'!L59</f>
        <v>0.86135004882205568</v>
      </c>
      <c r="P6" s="202">
        <f>$F$6*'fleet &amp; energy forecasts'!M59</f>
        <v>0.8563591262793866</v>
      </c>
      <c r="Q6" s="202">
        <f>$F$6*'fleet &amp; energy forecasts'!N59</f>
        <v>0.85136820373671962</v>
      </c>
      <c r="R6" s="202">
        <f>$F$6*'fleet &amp; energy forecasts'!O59</f>
        <v>0.84637728119405242</v>
      </c>
      <c r="S6" s="202">
        <f>$F$6*'fleet &amp; energy forecasts'!P59</f>
        <v>0.84138635865138545</v>
      </c>
      <c r="T6" s="202">
        <f>$F$6*'fleet &amp; energy forecasts'!Q59</f>
        <v>0.83639543610871636</v>
      </c>
      <c r="U6" s="202">
        <f>$F$6*'fleet &amp; energy forecasts'!R59</f>
        <v>0.83140451356604939</v>
      </c>
      <c r="V6" s="202">
        <f>$F$6*'fleet &amp; energy forecasts'!S59</f>
        <v>0.8264135910233823</v>
      </c>
      <c r="W6" s="202">
        <f>$F$6*'fleet &amp; energy forecasts'!T59</f>
        <v>0.82142266848071344</v>
      </c>
      <c r="X6" s="202">
        <f>$F$6*'fleet &amp; energy forecasts'!U59</f>
        <v>0.81518401530237861</v>
      </c>
      <c r="Y6" s="202">
        <f>$F$6*'fleet &amp; energy forecasts'!V59</f>
        <v>0.80894536212404389</v>
      </c>
      <c r="Z6" s="202">
        <f>$F$6*'fleet &amp; energy forecasts'!W59</f>
        <v>0.80270670894570906</v>
      </c>
      <c r="AA6" s="202">
        <f>$F$6*'fleet &amp; energy forecasts'!X59</f>
        <v>0.79646805576737434</v>
      </c>
      <c r="AB6" s="202">
        <f>$F$6*'fleet &amp; energy forecasts'!Y59</f>
        <v>0.7902294025890414</v>
      </c>
      <c r="AC6" s="202">
        <f>$F$6*'fleet &amp; energy forecasts'!Z59</f>
        <v>0.78399074941070657</v>
      </c>
      <c r="AD6" s="202">
        <f>$F$6*'fleet &amp; energy forecasts'!AA59</f>
        <v>0.77775209623237185</v>
      </c>
      <c r="AE6" s="202">
        <f>$F$6*'fleet &amp; energy forecasts'!AB59</f>
        <v>0.77151344305403702</v>
      </c>
      <c r="AF6" s="202">
        <f>$F$6*'fleet &amp; energy forecasts'!AC59</f>
        <v>0.7652747898757023</v>
      </c>
      <c r="AG6" s="202">
        <f>$F$6*'fleet &amp; energy forecasts'!AD59</f>
        <v>0.75903613669736747</v>
      </c>
    </row>
    <row r="7" spans="1:33" s="46" customFormat="1">
      <c r="A7" t="s">
        <v>766</v>
      </c>
      <c r="B7" s="199">
        <v>1</v>
      </c>
      <c r="C7" s="199">
        <v>1</v>
      </c>
      <c r="D7" s="199">
        <v>1</v>
      </c>
      <c r="E7" s="199">
        <v>1</v>
      </c>
      <c r="F7" s="199">
        <v>1</v>
      </c>
      <c r="G7" s="199">
        <v>1</v>
      </c>
      <c r="H7" s="199">
        <v>1</v>
      </c>
      <c r="I7" s="199">
        <v>1</v>
      </c>
      <c r="J7" s="199">
        <v>1</v>
      </c>
      <c r="K7" s="199">
        <v>1</v>
      </c>
      <c r="L7" s="199">
        <v>1</v>
      </c>
      <c r="M7" s="199">
        <v>1</v>
      </c>
      <c r="N7" s="199">
        <v>1</v>
      </c>
      <c r="O7" s="199">
        <v>1</v>
      </c>
      <c r="P7" s="199">
        <v>1</v>
      </c>
      <c r="Q7" s="199">
        <v>1</v>
      </c>
      <c r="R7" s="199">
        <v>1</v>
      </c>
      <c r="S7" s="199">
        <v>1</v>
      </c>
      <c r="T7" s="199">
        <v>1</v>
      </c>
      <c r="U7" s="199">
        <v>1</v>
      </c>
      <c r="V7" s="199">
        <v>1</v>
      </c>
      <c r="W7" s="199">
        <v>1</v>
      </c>
      <c r="X7" s="199">
        <v>1</v>
      </c>
      <c r="Y7" s="199">
        <v>1</v>
      </c>
      <c r="Z7" s="199">
        <v>1</v>
      </c>
      <c r="AA7" s="199">
        <v>1</v>
      </c>
      <c r="AB7" s="199">
        <v>1</v>
      </c>
      <c r="AC7" s="199">
        <v>1</v>
      </c>
      <c r="AD7" s="199">
        <v>1</v>
      </c>
      <c r="AE7" s="199">
        <v>1</v>
      </c>
      <c r="AF7" s="199">
        <v>1</v>
      </c>
      <c r="AG7" s="199">
        <v>1</v>
      </c>
    </row>
    <row r="15" spans="1:33">
      <c r="B15" s="146"/>
      <c r="C15" s="146"/>
      <c r="D15" s="146"/>
      <c r="E15" s="146"/>
      <c r="F15" s="146"/>
      <c r="G15" s="146"/>
      <c r="H15" s="146"/>
    </row>
    <row r="16" spans="1:33">
      <c r="C16" s="146"/>
      <c r="D16" s="146"/>
      <c r="E16" s="146"/>
      <c r="F16" s="146"/>
      <c r="G16" s="146"/>
      <c r="H16" s="146"/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S18" sqref="S18"/>
    </sheetView>
  </sheetViews>
  <sheetFormatPr defaultColWidth="9.140625" defaultRowHeight="15"/>
  <cols>
    <col min="1" max="1" width="16.5703125" customWidth="1"/>
    <col min="3" max="3" width="9.42578125" bestFit="1" customWidth="1"/>
  </cols>
  <sheetData>
    <row r="1" spans="1:33" ht="75">
      <c r="A1" s="3" t="s">
        <v>760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761</v>
      </c>
      <c r="B2" s="144">
        <f>'DV-CAGR_mod'!U49/'DV-CAGR_mod'!$U49</f>
        <v>1</v>
      </c>
      <c r="C2" s="144">
        <f>'DV-CAGR_mod'!V49/'DV-CAGR_mod'!$U49</f>
        <v>0.99463497564270287</v>
      </c>
      <c r="D2" s="144">
        <f>'DV-CAGR_mod'!W49/'DV-CAGR_mod'!$U49</f>
        <v>1.0081286359625823</v>
      </c>
      <c r="E2" s="144">
        <f>'DV-CAGR_mod'!X49/'DV-CAGR_mod'!$U49</f>
        <v>1.0198284530702946</v>
      </c>
      <c r="F2" s="144">
        <f>'DV-CAGR_mod'!Y49/'DV-CAGR_mod'!$U49</f>
        <v>0.96371266801345623</v>
      </c>
      <c r="G2" s="144">
        <f>'DV-CAGR_mod'!Z49/'DV-CAGR_mod'!$U49</f>
        <v>0.96311009518006685</v>
      </c>
      <c r="H2" s="144">
        <f>'DV-CAGR_mod'!AA49/'DV-CAGR_mod'!$U49</f>
        <v>0.9625075223466778</v>
      </c>
      <c r="I2" s="144">
        <f>'DV-CAGR_mod'!AB49/'DV-CAGR_mod'!$U49</f>
        <v>0.96393119964968954</v>
      </c>
      <c r="J2" s="144">
        <f>'DV-CAGR_mod'!AC49/'DV-CAGR_mod'!$U49</f>
        <v>0.96535487695270183</v>
      </c>
      <c r="K2" s="144">
        <f>'DV-CAGR_mod'!AD49/'DV-CAGR_mod'!$U49</f>
        <v>0.96677855425571413</v>
      </c>
      <c r="L2" s="144">
        <f>'DV-CAGR_mod'!AE49/'DV-CAGR_mod'!$U49</f>
        <v>0.96820223155872631</v>
      </c>
      <c r="M2" s="144">
        <f>'DV-CAGR_mod'!AF49/'DV-CAGR_mod'!$U49</f>
        <v>0.96962590886173827</v>
      </c>
      <c r="N2" s="144">
        <f>'DV-CAGR_mod'!AG49/'DV-CAGR_mod'!$U49</f>
        <v>0.97023355819442125</v>
      </c>
      <c r="O2" s="144">
        <f>'DV-CAGR_mod'!AH49/'DV-CAGR_mod'!$U49</f>
        <v>0.97084120752710412</v>
      </c>
      <c r="P2" s="144">
        <f>'DV-CAGR_mod'!AI49/'DV-CAGR_mod'!$U49</f>
        <v>0.97144885685978688</v>
      </c>
      <c r="Q2" s="144">
        <f>'DV-CAGR_mod'!AJ49/'DV-CAGR_mod'!$U49</f>
        <v>0.97205650619246975</v>
      </c>
      <c r="R2" s="144">
        <f>'DV-CAGR_mod'!AK49/'DV-CAGR_mod'!$U49</f>
        <v>0.97266415552515273</v>
      </c>
      <c r="S2" s="144">
        <f>'DV-CAGR_mod'!AL49/'DV-CAGR_mod'!$U49</f>
        <v>0.97094428364850649</v>
      </c>
      <c r="T2" s="144">
        <f>'DV-CAGR_mod'!AM49/'DV-CAGR_mod'!$U49</f>
        <v>0.96922441177186014</v>
      </c>
      <c r="U2" s="144">
        <f>'DV-CAGR_mod'!AN49/'DV-CAGR_mod'!$U49</f>
        <v>0.96750453989521357</v>
      </c>
      <c r="V2" s="144">
        <f>'DV-CAGR_mod'!AO49/'DV-CAGR_mod'!$U49</f>
        <v>0.96578466801856744</v>
      </c>
      <c r="W2" s="144">
        <f>'DV-CAGR_mod'!AP49/'DV-CAGR_mod'!$U49</f>
        <v>0.96406479614192031</v>
      </c>
      <c r="X2" s="144">
        <f>'DV-CAGR_mod'!AQ49/'DV-CAGR_mod'!$U49</f>
        <v>0.95862640738484262</v>
      </c>
      <c r="Y2" s="144">
        <f>'DV-CAGR_mod'!AR49/'DV-CAGR_mod'!$U49</f>
        <v>0.95318801862776636</v>
      </c>
      <c r="Z2" s="144">
        <f>'DV-CAGR_mod'!AS49/'DV-CAGR_mod'!$U49</f>
        <v>0.94774962987068878</v>
      </c>
      <c r="AA2" s="144">
        <f>'DV-CAGR_mod'!AT49/'DV-CAGR_mod'!$U49</f>
        <v>0.94231124111361109</v>
      </c>
      <c r="AB2" s="144">
        <f>'DV-CAGR_mod'!AU49/'DV-CAGR_mod'!$U49</f>
        <v>0.9368728523565335</v>
      </c>
      <c r="AC2" s="144">
        <f>'DV-CAGR_mod'!AV49/'DV-CAGR_mod'!$U49</f>
        <v>0.92992294629296646</v>
      </c>
      <c r="AD2" s="144">
        <f>'DV-CAGR_mod'!AW49/'DV-CAGR_mod'!$U49</f>
        <v>0.9229730402293993</v>
      </c>
      <c r="AE2" s="144">
        <f>'DV-CAGR_mod'!AX49/'DV-CAGR_mod'!$U49</f>
        <v>0.91602313416583225</v>
      </c>
      <c r="AF2" s="144">
        <f>'DV-CAGR_mod'!AY49/'DV-CAGR_mod'!$U49</f>
        <v>0.90907322810226532</v>
      </c>
      <c r="AG2" s="144">
        <f>'DV-CAGR_mod'!AZ49/'DV-CAGR_mod'!$U49</f>
        <v>0.90212332203869827</v>
      </c>
    </row>
    <row r="3" spans="1:33" s="46" customFormat="1">
      <c r="A3" t="s">
        <v>762</v>
      </c>
      <c r="B3" s="144">
        <f>'DV-CAGR_mod'!U50/'DV-CAGR_mod'!$U50</f>
        <v>1</v>
      </c>
      <c r="C3" s="144">
        <f>'DV-CAGR_mod'!V50/'DV-CAGR_mod'!$U50</f>
        <v>1.0092703207023437</v>
      </c>
      <c r="D3" s="144">
        <f>'DV-CAGR_mod'!W50/'DV-CAGR_mod'!$U50</f>
        <v>0.99940892581483798</v>
      </c>
      <c r="E3" s="144">
        <f>'DV-CAGR_mod'!X50/'DV-CAGR_mod'!$U50</f>
        <v>1.0988934677977551</v>
      </c>
      <c r="F3" s="144">
        <f>'DV-CAGR_mod'!Y50/'DV-CAGR_mod'!$U50</f>
        <v>1.0400413365412289</v>
      </c>
      <c r="G3" s="144">
        <f>'DV-CAGR_mod'!Z50/'DV-CAGR_mod'!$U50</f>
        <v>1.0681712070457163</v>
      </c>
      <c r="H3" s="144">
        <f>'DV-CAGR_mod'!AA50/'DV-CAGR_mod'!$U50</f>
        <v>1.0963010775502038</v>
      </c>
      <c r="I3" s="144">
        <f>'DV-CAGR_mod'!AB50/'DV-CAGR_mod'!$U50</f>
        <v>1.1099568211935997</v>
      </c>
      <c r="J3" s="144">
        <f>'DV-CAGR_mod'!AC50/'DV-CAGR_mod'!$U50</f>
        <v>1.1236125648369957</v>
      </c>
      <c r="K3" s="144">
        <f>'DV-CAGR_mod'!AD50/'DV-CAGR_mod'!$U50</f>
        <v>1.1372683084803918</v>
      </c>
      <c r="L3" s="144">
        <f>'DV-CAGR_mod'!AE50/'DV-CAGR_mod'!$U50</f>
        <v>1.1509240521237878</v>
      </c>
      <c r="M3" s="144">
        <f>'DV-CAGR_mod'!AF50/'DV-CAGR_mod'!$U50</f>
        <v>1.1645797957671808</v>
      </c>
      <c r="N3" s="144">
        <f>'DV-CAGR_mod'!AG50/'DV-CAGR_mod'!$U50</f>
        <v>1.1673843299675699</v>
      </c>
      <c r="O3" s="144">
        <f>'DV-CAGR_mod'!AH50/'DV-CAGR_mod'!$U50</f>
        <v>1.1701888641679581</v>
      </c>
      <c r="P3" s="144">
        <f>'DV-CAGR_mod'!AI50/'DV-CAGR_mod'!$U50</f>
        <v>1.1729933983683472</v>
      </c>
      <c r="Q3" s="144">
        <f>'DV-CAGR_mod'!AJ50/'DV-CAGR_mod'!$U50</f>
        <v>1.1757979325687349</v>
      </c>
      <c r="R3" s="144">
        <f>'DV-CAGR_mod'!AK50/'DV-CAGR_mod'!$U50</f>
        <v>1.1786024667691237</v>
      </c>
      <c r="S3" s="144">
        <f>'DV-CAGR_mod'!AL50/'DV-CAGR_mod'!$U50</f>
        <v>1.1798044099978617</v>
      </c>
      <c r="T3" s="144">
        <f>'DV-CAGR_mod'!AM50/'DV-CAGR_mod'!$U50</f>
        <v>1.1810063532265993</v>
      </c>
      <c r="U3" s="144">
        <f>'DV-CAGR_mod'!AN50/'DV-CAGR_mod'!$U50</f>
        <v>1.1822082964553378</v>
      </c>
      <c r="V3" s="144">
        <f>'DV-CAGR_mod'!AO50/'DV-CAGR_mod'!$U50</f>
        <v>1.1834102396840758</v>
      </c>
      <c r="W3" s="144">
        <f>'DV-CAGR_mod'!AP50/'DV-CAGR_mod'!$U50</f>
        <v>1.1846121829128149</v>
      </c>
      <c r="X3" s="144">
        <f>'DV-CAGR_mod'!AQ50/'DV-CAGR_mod'!$U50</f>
        <v>1.1896371964034267</v>
      </c>
      <c r="Y3" s="144">
        <f>'DV-CAGR_mod'!AR50/'DV-CAGR_mod'!$U50</f>
        <v>1.1946622098940409</v>
      </c>
      <c r="Z3" s="144">
        <f>'DV-CAGR_mod'!AS50/'DV-CAGR_mod'!$U50</f>
        <v>1.1996872233846527</v>
      </c>
      <c r="AA3" s="144">
        <f>'DV-CAGR_mod'!AT50/'DV-CAGR_mod'!$U50</f>
        <v>1.2047122368752665</v>
      </c>
      <c r="AB3" s="144">
        <f>'DV-CAGR_mod'!AU50/'DV-CAGR_mod'!$U50</f>
        <v>1.2097372503658788</v>
      </c>
      <c r="AC3" s="144">
        <f>'DV-CAGR_mod'!AV50/'DV-CAGR_mod'!$U50</f>
        <v>1.2085352491335279</v>
      </c>
      <c r="AD3" s="144">
        <f>'DV-CAGR_mod'!AW50/'DV-CAGR_mod'!$U50</f>
        <v>1.2073332479011769</v>
      </c>
      <c r="AE3" s="144">
        <f>'DV-CAGR_mod'!AX50/'DV-CAGR_mod'!$U50</f>
        <v>1.2061312466688261</v>
      </c>
      <c r="AF3" s="144">
        <f>'DV-CAGR_mod'!AY50/'DV-CAGR_mod'!$U50</f>
        <v>1.2049292454364751</v>
      </c>
      <c r="AG3" s="144">
        <f>'DV-CAGR_mod'!AZ50/'DV-CAGR_mod'!$U50</f>
        <v>1.2037272442041242</v>
      </c>
    </row>
    <row r="4" spans="1:33" s="46" customFormat="1">
      <c r="A4" t="s">
        <v>763</v>
      </c>
      <c r="B4" s="46">
        <f>'AIR-Cal'!B8</f>
        <v>1</v>
      </c>
      <c r="C4" s="46">
        <f>'AIR-Cal'!C8</f>
        <v>0.80411848132154251</v>
      </c>
      <c r="D4" s="46">
        <f>'AIR-Cal'!D8</f>
        <v>0.88390065848754928</v>
      </c>
      <c r="E4" s="46">
        <f>'AIR-Cal'!E8</f>
        <v>0.86663519955165724</v>
      </c>
      <c r="F4" s="46">
        <f>'AIR-Cal'!F8</f>
        <v>0.94411554877302106</v>
      </c>
      <c r="G4" s="200">
        <f>$F$4*'fleet &amp; energy forecasts'!D58/'fleet &amp; energy forecasts'!$C$58</f>
        <v>0.96709513499037358</v>
      </c>
      <c r="H4" s="200">
        <f>$F$4*'fleet &amp; energy forecasts'!E58/'fleet &amp; energy forecasts'!$C$58</f>
        <v>0.99007472120772622</v>
      </c>
      <c r="I4" s="200">
        <f>$F$4*'fleet &amp; energy forecasts'!F58/'fleet &amp; energy forecasts'!$C$58</f>
        <v>1.0130543074250788</v>
      </c>
      <c r="J4" s="200">
        <f>$F$4*'fleet &amp; energy forecasts'!G58/'fleet &amp; energy forecasts'!$C$58</f>
        <v>1.0360338936424314</v>
      </c>
      <c r="K4" s="200">
        <f>$F$4*'fleet &amp; energy forecasts'!H58/'fleet &amp; energy forecasts'!$C$58</f>
        <v>1.0590134798597766</v>
      </c>
      <c r="L4" s="200">
        <f>$F$4*'fleet &amp; energy forecasts'!I58/'fleet &amp; energy forecasts'!$C$58</f>
        <v>1.0819930660771291</v>
      </c>
      <c r="M4" s="200">
        <f>$F$4*'fleet &amp; energy forecasts'!J58/'fleet &amp; energy forecasts'!$C$58</f>
        <v>1.1049726522944872</v>
      </c>
      <c r="N4" s="200">
        <f>$F$4*'fleet &amp; energy forecasts'!K58/'fleet &amp; energy forecasts'!$C$58</f>
        <v>1.1013980499940104</v>
      </c>
      <c r="O4" s="200">
        <f>$F$4*'fleet &amp; energy forecasts'!L58/'fleet &amp; energy forecasts'!$C$58</f>
        <v>1.0978234476935331</v>
      </c>
      <c r="P4" s="200">
        <f>$F$4*'fleet &amp; energy forecasts'!M58/'fleet &amp; energy forecasts'!$C$58</f>
        <v>1.0942488453930563</v>
      </c>
      <c r="Q4" s="200">
        <f>$F$4*'fleet &amp; energy forecasts'!N58/'fleet &amp; energy forecasts'!$C$58</f>
        <v>1.0906742430925793</v>
      </c>
      <c r="R4" s="200">
        <f>$F$4*'fleet &amp; energy forecasts'!O58/'fleet &amp; energy forecasts'!$C$58</f>
        <v>1.0870996407921021</v>
      </c>
      <c r="S4" s="200">
        <f>$F$4*'fleet &amp; energy forecasts'!P58/'fleet &amp; energy forecasts'!$C$58</f>
        <v>1.0835250384916253</v>
      </c>
      <c r="T4" s="200">
        <f>$F$4*'fleet &amp; energy forecasts'!Q58/'fleet &amp; energy forecasts'!$C$58</f>
        <v>1.0799504361911481</v>
      </c>
      <c r="U4" s="200">
        <f>$F$4*'fleet &amp; energy forecasts'!R58/'fleet &amp; energy forecasts'!$C$58</f>
        <v>1.0763758338906713</v>
      </c>
      <c r="V4" s="200">
        <f>$F$4*'fleet &amp; energy forecasts'!S58/'fleet &amp; energy forecasts'!$C$58</f>
        <v>1.072801231590194</v>
      </c>
      <c r="W4" s="200">
        <f>$F$4*'fleet &amp; energy forecasts'!T58/'fleet &amp; energy forecasts'!$C$58</f>
        <v>1.0692266292897181</v>
      </c>
      <c r="X4" s="200">
        <f>$F$4*'fleet &amp; energy forecasts'!U58/'fleet &amp; energy forecasts'!$C$58</f>
        <v>1.070803659716399</v>
      </c>
      <c r="Y4" s="200">
        <f>$F$4*'fleet &amp; energy forecasts'!V58/'fleet &amp; energy forecasts'!$C$58</f>
        <v>1.0723806901430801</v>
      </c>
      <c r="Z4" s="200">
        <f>$F$4*'fleet &amp; energy forecasts'!W58/'fleet &amp; energy forecasts'!$C$58</f>
        <v>1.0739577205697612</v>
      </c>
      <c r="AA4" s="200">
        <f>$F$4*'fleet &amp; energy forecasts'!X58/'fleet &amp; energy forecasts'!$C$58</f>
        <v>1.0755347509964419</v>
      </c>
      <c r="AB4" s="200">
        <f>$F$4*'fleet &amp; energy forecasts'!Y58/'fleet &amp; energy forecasts'!$C$58</f>
        <v>1.0771117814231228</v>
      </c>
      <c r="AC4" s="200">
        <f>$F$4*'fleet &amp; energy forecasts'!Z58/'fleet &amp; energy forecasts'!$C$58</f>
        <v>1.0786888118498041</v>
      </c>
      <c r="AD4" s="200">
        <f>$F$4*'fleet &amp; energy forecasts'!AA58/'fleet &amp; energy forecasts'!$C$58</f>
        <v>1.080265842276485</v>
      </c>
      <c r="AE4" s="200">
        <f>$F$4*'fleet &amp; energy forecasts'!AB58/'fleet &amp; energy forecasts'!$C$58</f>
        <v>1.0818428727031659</v>
      </c>
      <c r="AF4" s="200">
        <f>$F$4*'fleet &amp; energy forecasts'!AC58/'fleet &amp; energy forecasts'!$C$58</f>
        <v>1.0834199031298473</v>
      </c>
      <c r="AG4" s="200">
        <f>$F$4*'fleet &amp; energy forecasts'!AD58/'fleet &amp; energy forecasts'!$C$58</f>
        <v>1.0849969335565282</v>
      </c>
    </row>
    <row r="5" spans="1:33" s="46" customFormat="1">
      <c r="A5" t="s">
        <v>764</v>
      </c>
      <c r="B5" s="46">
        <v>1</v>
      </c>
      <c r="C5" s="46">
        <f>'Rail-Cal'!C16</f>
        <v>0.95914986038640171</v>
      </c>
      <c r="D5" s="46">
        <f>'Rail-Cal'!D16</f>
        <v>0.91453366351748455</v>
      </c>
      <c r="E5" s="202">
        <f>D5*(1+'BAADTbVT_Rail-CAGR'!$K$6)</f>
        <v>0.88393102617206043</v>
      </c>
      <c r="F5" s="202">
        <f>E5*(1+'BAADTbVT_Rail-CAGR'!$K$6)</f>
        <v>0.85435243140686623</v>
      </c>
      <c r="G5" s="200">
        <f>$F$5*'fleet &amp; energy forecasts'!D57</f>
        <v>0.89158813059651343</v>
      </c>
      <c r="H5" s="200">
        <f>$F$5*'fleet &amp; energy forecasts'!E57</f>
        <v>0.92882382978616063</v>
      </c>
      <c r="I5" s="200">
        <f>$F$5*'fleet &amp; energy forecasts'!F57</f>
        <v>0.96605952897580771</v>
      </c>
      <c r="J5" s="200">
        <f>$F$5*'fleet &amp; energy forecasts'!G57</f>
        <v>1.003295228165455</v>
      </c>
      <c r="K5" s="200">
        <f>$F$5*'fleet &amp; energy forecasts'!H57</f>
        <v>1.0405309273551022</v>
      </c>
      <c r="L5" s="200">
        <f>$F$5*'fleet &amp; energy forecasts'!I57</f>
        <v>1.0777666265447492</v>
      </c>
      <c r="M5" s="200">
        <f>$F$5*'fleet &amp; energy forecasts'!J57</f>
        <v>1.1150023257343924</v>
      </c>
      <c r="N5" s="200">
        <f>$F$5*'fleet &amp; energy forecasts'!K57</f>
        <v>1.1187672686524568</v>
      </c>
      <c r="O5" s="200">
        <f>$F$5*'fleet &amp; energy forecasts'!L57</f>
        <v>1.1225322115705214</v>
      </c>
      <c r="P5" s="200">
        <f>$F$5*'fleet &amp; energy forecasts'!M57</f>
        <v>1.1262971544885858</v>
      </c>
      <c r="Q5" s="200">
        <f>$F$5*'fleet &amp; energy forecasts'!N57</f>
        <v>1.1300620974066489</v>
      </c>
      <c r="R5" s="200">
        <f>$F$5*'fleet &amp; energy forecasts'!O57</f>
        <v>1.1338270403247133</v>
      </c>
      <c r="S5" s="200">
        <f>$F$5*'fleet &amp; energy forecasts'!P57</f>
        <v>1.1375919832427774</v>
      </c>
      <c r="T5" s="200">
        <f>$F$5*'fleet &amp; energy forecasts'!Q57</f>
        <v>1.1413569261608421</v>
      </c>
      <c r="U5" s="200">
        <f>$F$5*'fleet &amp; energy forecasts'!R57</f>
        <v>1.1451218690789062</v>
      </c>
      <c r="V5" s="200">
        <f>$F$5*'fleet &amp; energy forecasts'!S57</f>
        <v>1.1488868119969708</v>
      </c>
      <c r="W5" s="200">
        <f>$F$5*'fleet &amp; energy forecasts'!T57</f>
        <v>1.1526517549150328</v>
      </c>
      <c r="X5" s="200">
        <f>$F$5*'fleet &amp; energy forecasts'!U57</f>
        <v>1.1483075900095738</v>
      </c>
      <c r="Y5" s="200">
        <f>$F$5*'fleet &amp; energy forecasts'!V57</f>
        <v>1.1439634251041151</v>
      </c>
      <c r="Z5" s="200">
        <f>$F$5*'fleet &amp; energy forecasts'!W57</f>
        <v>1.1396192601986561</v>
      </c>
      <c r="AA5" s="200">
        <f>$F$5*'fleet &amp; energy forecasts'!X57</f>
        <v>1.1352750952931974</v>
      </c>
      <c r="AB5" s="200">
        <f>$F$5*'fleet &amp; energy forecasts'!Y57</f>
        <v>1.1309309303877397</v>
      </c>
      <c r="AC5" s="200">
        <f>$F$5*'fleet &amp; energy forecasts'!Z57</f>
        <v>1.126586765482281</v>
      </c>
      <c r="AD5" s="200">
        <f>$F$5*'fleet &amp; energy forecasts'!AA57</f>
        <v>1.122242600576822</v>
      </c>
      <c r="AE5" s="200">
        <f>$F$5*'fleet &amp; energy forecasts'!AB57</f>
        <v>1.1178984356713633</v>
      </c>
      <c r="AF5" s="200">
        <f>$F$5*'fleet &amp; energy forecasts'!AC57</f>
        <v>1.1135542707659043</v>
      </c>
      <c r="AG5" s="200">
        <f>$F$5*'fleet &amp; energy forecasts'!AD57</f>
        <v>1.1092101058604455</v>
      </c>
    </row>
    <row r="6" spans="1:33" s="46" customFormat="1">
      <c r="A6" t="s">
        <v>765</v>
      </c>
      <c r="B6" s="46">
        <v>1</v>
      </c>
      <c r="C6" s="203">
        <f>B6*(1+'Ships-freight CAGR'!$C$43)</f>
        <v>0.91534842984659492</v>
      </c>
      <c r="D6" s="203">
        <f>C6*(1+'Ships-freight CAGR'!$D$43)</f>
        <v>0.95750723845510444</v>
      </c>
      <c r="E6" s="203">
        <f>D6*(1+'Ships-freight CAGR'!$D$43)</f>
        <v>1.0016077832214909</v>
      </c>
      <c r="F6" s="203">
        <f>E6*(1+'Ships-freight CAGR'!$A$50)</f>
        <v>1.0076174299208198</v>
      </c>
      <c r="G6" s="200">
        <f>$F$6*'fleet &amp; energy forecasts'!D59</f>
        <v>0.99478751854604974</v>
      </c>
      <c r="H6" s="200">
        <f>$F$6*'fleet &amp; energy forecasts'!E59</f>
        <v>0.98195760717128378</v>
      </c>
      <c r="I6" s="200">
        <f>$F$6*'fleet &amp; energy forecasts'!F59</f>
        <v>0.9691276957965137</v>
      </c>
      <c r="J6" s="200">
        <f>$F$6*'fleet &amp; energy forecasts'!G59</f>
        <v>0.95629778442174374</v>
      </c>
      <c r="K6" s="200">
        <f>$F$6*'fleet &amp; energy forecasts'!H59</f>
        <v>0.94346787304697766</v>
      </c>
      <c r="L6" s="200">
        <f>$F$6*'fleet &amp; energy forecasts'!I59</f>
        <v>0.93063796167220769</v>
      </c>
      <c r="M6" s="200">
        <f>$F$6*'fleet &amp; energy forecasts'!J59</f>
        <v>0.91780805029743984</v>
      </c>
      <c r="N6" s="200">
        <f>$F$6*'fleet &amp; energy forecasts'!K59</f>
        <v>0.91255091588046222</v>
      </c>
      <c r="O6" s="200">
        <f>$F$6*'fleet &amp; energy forecasts'!L59</f>
        <v>0.90729378146348461</v>
      </c>
      <c r="P6" s="200">
        <f>$F$6*'fleet &amp; energy forecasts'!M59</f>
        <v>0.90203664704650499</v>
      </c>
      <c r="Q6" s="200">
        <f>$F$6*'fleet &amp; energy forecasts'!N59</f>
        <v>0.89677951262952738</v>
      </c>
      <c r="R6" s="200">
        <f>$F$6*'fleet &amp; energy forecasts'!O59</f>
        <v>0.89152237821254976</v>
      </c>
      <c r="S6" s="200">
        <f>$F$6*'fleet &amp; energy forecasts'!P59</f>
        <v>0.88626524379557226</v>
      </c>
      <c r="T6" s="200">
        <f>$F$6*'fleet &amp; energy forecasts'!Q59</f>
        <v>0.88100810937859253</v>
      </c>
      <c r="U6" s="200">
        <f>$F$6*'fleet &amp; energy forecasts'!R59</f>
        <v>0.87575097496161503</v>
      </c>
      <c r="V6" s="200">
        <f>$F$6*'fleet &amp; energy forecasts'!S59</f>
        <v>0.87049384054463741</v>
      </c>
      <c r="W6" s="200">
        <f>$F$6*'fleet &amp; energy forecasts'!T59</f>
        <v>0.86523670612765802</v>
      </c>
      <c r="X6" s="200">
        <f>$F$6*'fleet &amp; energy forecasts'!U59</f>
        <v>0.85866528810643494</v>
      </c>
      <c r="Y6" s="200">
        <f>$F$6*'fleet &amp; energy forecasts'!V59</f>
        <v>0.85209387008521198</v>
      </c>
      <c r="Z6" s="200">
        <f>$F$6*'fleet &amp; energy forecasts'!W59</f>
        <v>0.84552245206398902</v>
      </c>
      <c r="AA6" s="200">
        <f>$F$6*'fleet &amp; energy forecasts'!X59</f>
        <v>0.83895103404276605</v>
      </c>
      <c r="AB6" s="200">
        <f>$F$6*'fleet &amp; energy forecasts'!Y59</f>
        <v>0.83237961602154498</v>
      </c>
      <c r="AC6" s="200">
        <f>$F$6*'fleet &amp; energy forecasts'!Z59</f>
        <v>0.82580819800032201</v>
      </c>
      <c r="AD6" s="200">
        <f>$F$6*'fleet &amp; energy forecasts'!AA59</f>
        <v>0.81923677997909905</v>
      </c>
      <c r="AE6" s="200">
        <f>$F$6*'fleet &amp; energy forecasts'!AB59</f>
        <v>0.81266536195787598</v>
      </c>
      <c r="AF6" s="200">
        <f>$F$6*'fleet &amp; energy forecasts'!AC59</f>
        <v>0.80609394393665312</v>
      </c>
      <c r="AG6" s="200">
        <f>$F$6*'fleet &amp; energy forecasts'!AD59</f>
        <v>0.79952252591543005</v>
      </c>
    </row>
    <row r="7" spans="1:33" s="46" customFormat="1">
      <c r="A7" t="s">
        <v>766</v>
      </c>
      <c r="B7" s="201">
        <v>1</v>
      </c>
      <c r="C7" s="201">
        <f>B7</f>
        <v>1</v>
      </c>
      <c r="D7" s="201">
        <f t="shared" ref="D7:AG7" si="0">C7</f>
        <v>1</v>
      </c>
      <c r="E7" s="201">
        <f t="shared" si="0"/>
        <v>1</v>
      </c>
      <c r="F7" s="201">
        <f t="shared" si="0"/>
        <v>1</v>
      </c>
      <c r="G7" s="201">
        <f t="shared" si="0"/>
        <v>1</v>
      </c>
      <c r="H7" s="201">
        <f t="shared" si="0"/>
        <v>1</v>
      </c>
      <c r="I7" s="201">
        <f t="shared" si="0"/>
        <v>1</v>
      </c>
      <c r="J7" s="201">
        <f t="shared" si="0"/>
        <v>1</v>
      </c>
      <c r="K7" s="201">
        <f t="shared" si="0"/>
        <v>1</v>
      </c>
      <c r="L7" s="201">
        <f t="shared" si="0"/>
        <v>1</v>
      </c>
      <c r="M7" s="201">
        <f t="shared" si="0"/>
        <v>1</v>
      </c>
      <c r="N7" s="201">
        <f t="shared" si="0"/>
        <v>1</v>
      </c>
      <c r="O7" s="201">
        <f t="shared" si="0"/>
        <v>1</v>
      </c>
      <c r="P7" s="201">
        <f t="shared" si="0"/>
        <v>1</v>
      </c>
      <c r="Q7" s="201">
        <f t="shared" si="0"/>
        <v>1</v>
      </c>
      <c r="R7" s="201">
        <f t="shared" si="0"/>
        <v>1</v>
      </c>
      <c r="S7" s="201">
        <f t="shared" si="0"/>
        <v>1</v>
      </c>
      <c r="T7" s="201">
        <f t="shared" si="0"/>
        <v>1</v>
      </c>
      <c r="U7" s="201">
        <f t="shared" si="0"/>
        <v>1</v>
      </c>
      <c r="V7" s="201">
        <f t="shared" si="0"/>
        <v>1</v>
      </c>
      <c r="W7" s="201">
        <f t="shared" si="0"/>
        <v>1</v>
      </c>
      <c r="X7" s="201">
        <f t="shared" si="0"/>
        <v>1</v>
      </c>
      <c r="Y7" s="201">
        <f t="shared" si="0"/>
        <v>1</v>
      </c>
      <c r="Z7" s="201">
        <f t="shared" si="0"/>
        <v>1</v>
      </c>
      <c r="AA7" s="201">
        <f t="shared" si="0"/>
        <v>1</v>
      </c>
      <c r="AB7" s="201">
        <f t="shared" si="0"/>
        <v>1</v>
      </c>
      <c r="AC7" s="201">
        <f t="shared" si="0"/>
        <v>1</v>
      </c>
      <c r="AD7" s="201">
        <f t="shared" si="0"/>
        <v>1</v>
      </c>
      <c r="AE7" s="201">
        <f t="shared" si="0"/>
        <v>1</v>
      </c>
      <c r="AF7" s="201">
        <f t="shared" si="0"/>
        <v>1</v>
      </c>
      <c r="AG7" s="201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customXml/itemProps3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fleet &amp; energy forecasts</vt:lpstr>
      <vt:lpstr>SYVbT_DV-Regis</vt:lpstr>
      <vt:lpstr>BAADTbVT_DV-km</vt:lpstr>
      <vt:lpstr>DV-CAGR_mod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2026-03-18T17:04:34Z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