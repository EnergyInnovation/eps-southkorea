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hel Goldstein\Desktop\EPS Models\SouthKorea EPS\InputData\trans\BCDTRtSY\"/>
    </mc:Choice>
  </mc:AlternateContent>
  <xr:revisionPtr revIDLastSave="0" documentId="13_ncr:1_{2C6D1DE9-8943-4399-AE06-A5F3E021EC57}" xr6:coauthVersionLast="47" xr6:coauthVersionMax="47" xr10:uidLastSave="{00000000-0000-0000-0000-000000000000}"/>
  <bookViews>
    <workbookView xWindow="31425" yWindow="1890" windowWidth="18480" windowHeight="12900" firstSheet="19" activeTab="20" xr2:uid="{00000000-000D-0000-FFFF-FFFF00000000}"/>
  </bookViews>
  <sheets>
    <sheet name="About" sheetId="1" r:id="rId1"/>
    <sheet name="SYVbT_DV-Regis" sheetId="35" r:id="rId2"/>
    <sheet name="BAADTbVT_DV-km" sheetId="37" r:id="rId3"/>
    <sheet name="DV-CAGR_mod" sheetId="70" r:id="rId4"/>
    <sheet name="DV-CAGR" sheetId="69" r:id="rId5"/>
    <sheet name="Rail2019-psgr" sheetId="62" r:id="rId6"/>
    <sheet name="Rail2020-psgr" sheetId="61" r:id="rId7"/>
    <sheet name="Rail2021-psgr" sheetId="60" r:id="rId8"/>
    <sheet name="Rail2019-freight" sheetId="58" r:id="rId9"/>
    <sheet name="Rail2020-freight" sheetId="59" r:id="rId10"/>
    <sheet name="Rail2021-freight" sheetId="57" r:id="rId11"/>
    <sheet name="BAADTbVT_Rail-CAGR" sheetId="68" r:id="rId12"/>
    <sheet name="Rail-Cal" sheetId="56" r:id="rId13"/>
    <sheet name="Air2019" sheetId="65" r:id="rId14"/>
    <sheet name="Air2020" sheetId="64" r:id="rId15"/>
    <sheet name="Air2021" sheetId="63" r:id="rId16"/>
    <sheet name="Air-CAGR" sheetId="67" r:id="rId17"/>
    <sheet name="Air-Cal" sheetId="50" r:id="rId18"/>
    <sheet name="BAADTbVT_Ships-Cal psgr CAGR" sheetId="49" r:id="rId19"/>
    <sheet name="Ships-freight CAGR" sheetId="55" r:id="rId20"/>
    <sheet name="BCDTRtSY-psgr" sheetId="6" r:id="rId21"/>
    <sheet name="BCDTRtSY-frgt" sheetId="12" r:id="rId22"/>
  </sheets>
  <externalReferences>
    <externalReference r:id="rId23"/>
  </externalReferences>
  <definedNames>
    <definedName name="Eno_TM" localSheetId="3">'[1]1997  Table 1a Modified'!#REF!</definedName>
    <definedName name="Eno_TM">'[1]1997  Table 1a Modified'!#REF!</definedName>
    <definedName name="Eno_Tons" localSheetId="3">'[1]1997  Table 1a Modified'!#REF!</definedName>
    <definedName name="Eno_Tons">'[1]1997  Table 1a Modified'!#REF!</definedName>
    <definedName name="Sum_T2" localSheetId="3">'[1]1997  Table 1a Modified'!#REF!</definedName>
    <definedName name="Sum_T2">'[1]1997  Table 1a Modified'!#REF!</definedName>
    <definedName name="Sum_TTM" localSheetId="3">'[1]1997  Table 1a Modified'!#REF!</definedName>
    <definedName name="Sum_TTM">'[1]1997  Table 1a Modified'!#REF!</definedName>
    <definedName name="ti_tbl_50" localSheetId="3">#REF!</definedName>
    <definedName name="ti_tbl_50">#REF!</definedName>
    <definedName name="ti_tbl_69" localSheetId="3">#REF!</definedName>
    <definedName name="ti_tbl_6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0" i="70" l="1"/>
  <c r="AE40" i="70"/>
  <c r="Y56" i="70"/>
  <c r="D16" i="6"/>
  <c r="E16" i="6"/>
  <c r="F16" i="6"/>
  <c r="G16" i="6"/>
  <c r="H16" i="6"/>
  <c r="C16" i="6"/>
  <c r="W42" i="70" l="1"/>
  <c r="X42" i="70"/>
  <c r="Y42" i="70"/>
  <c r="Z42" i="70"/>
  <c r="AA42" i="70"/>
  <c r="AB42" i="70"/>
  <c r="AC42" i="70"/>
  <c r="U49" i="70" s="1"/>
  <c r="AD42" i="70"/>
  <c r="V49" i="70" s="1"/>
  <c r="C2" i="12" s="1"/>
  <c r="AE42" i="70"/>
  <c r="W49" i="70" s="1"/>
  <c r="D2" i="12" s="1"/>
  <c r="AF42" i="70"/>
  <c r="X49" i="70" s="1"/>
  <c r="E2" i="12" s="1"/>
  <c r="AG42" i="70"/>
  <c r="Y49" i="70" s="1"/>
  <c r="W43" i="70"/>
  <c r="X43" i="70"/>
  <c r="Y43" i="70"/>
  <c r="Z43" i="70"/>
  <c r="AA43" i="70"/>
  <c r="AB43" i="70"/>
  <c r="AC43" i="70"/>
  <c r="U50" i="70" s="1"/>
  <c r="B3" i="12" s="1"/>
  <c r="AD43" i="70"/>
  <c r="V50" i="70" s="1"/>
  <c r="C3" i="12" s="1"/>
  <c r="AE43" i="70"/>
  <c r="W50" i="70" s="1"/>
  <c r="D3" i="12" s="1"/>
  <c r="AF43" i="70"/>
  <c r="X50" i="70" s="1"/>
  <c r="E3" i="12" s="1"/>
  <c r="AG43" i="70"/>
  <c r="Y50" i="70" s="1"/>
  <c r="V43" i="70"/>
  <c r="V42" i="70"/>
  <c r="W41" i="70"/>
  <c r="X41" i="70"/>
  <c r="Y41" i="70"/>
  <c r="Z41" i="70"/>
  <c r="AA41" i="70"/>
  <c r="AB41" i="70"/>
  <c r="AC41" i="70"/>
  <c r="U48" i="70" s="1"/>
  <c r="AD41" i="70"/>
  <c r="V48" i="70" s="1"/>
  <c r="C3" i="6" s="1"/>
  <c r="AE41" i="70"/>
  <c r="W48" i="70" s="1"/>
  <c r="D3" i="6" s="1"/>
  <c r="AF41" i="70"/>
  <c r="X48" i="70" s="1"/>
  <c r="E3" i="6" s="1"/>
  <c r="AG41" i="70"/>
  <c r="Y48" i="70" s="1"/>
  <c r="V41" i="70"/>
  <c r="W40" i="70"/>
  <c r="X40" i="70"/>
  <c r="Y40" i="70"/>
  <c r="Z40" i="70"/>
  <c r="AA40" i="70"/>
  <c r="AB40" i="70"/>
  <c r="AC40" i="70"/>
  <c r="U47" i="70" s="1"/>
  <c r="AD40" i="70"/>
  <c r="V47" i="70" s="1"/>
  <c r="C2" i="6" s="1"/>
  <c r="W47" i="70"/>
  <c r="X47" i="70"/>
  <c r="E2" i="6" s="1"/>
  <c r="AG40" i="70"/>
  <c r="Y47" i="70" s="1"/>
  <c r="V40" i="70"/>
  <c r="AH4" i="70"/>
  <c r="AH5" i="70"/>
  <c r="AH6" i="70"/>
  <c r="AH7" i="70"/>
  <c r="AH8" i="70"/>
  <c r="AH9" i="70"/>
  <c r="AH10" i="70"/>
  <c r="AH11" i="70"/>
  <c r="AH12" i="70"/>
  <c r="AH13" i="70"/>
  <c r="AH14" i="70"/>
  <c r="AH15" i="70"/>
  <c r="AH16" i="70"/>
  <c r="AH17" i="70"/>
  <c r="AH18" i="70"/>
  <c r="AH19" i="70"/>
  <c r="AH20" i="70"/>
  <c r="AH21" i="70"/>
  <c r="AH22" i="70"/>
  <c r="AH23" i="70"/>
  <c r="AH24" i="70"/>
  <c r="AH25" i="70"/>
  <c r="AH26" i="70"/>
  <c r="AH27" i="70"/>
  <c r="AH28" i="70"/>
  <c r="AH29" i="70"/>
  <c r="AH30" i="70"/>
  <c r="AH31" i="70"/>
  <c r="AH32" i="70"/>
  <c r="AH33" i="70"/>
  <c r="AH34" i="70"/>
  <c r="AH35" i="70"/>
  <c r="AH36" i="70"/>
  <c r="AH3" i="70"/>
  <c r="D2" i="6" l="1"/>
  <c r="Y55" i="70"/>
  <c r="F2" i="12"/>
  <c r="AH42" i="70"/>
  <c r="Z49" i="70" s="1"/>
  <c r="B2" i="6"/>
  <c r="B3" i="6"/>
  <c r="B2" i="12"/>
  <c r="F2" i="6"/>
  <c r="AH43" i="70"/>
  <c r="Z50" i="70" s="1"/>
  <c r="AH41" i="70"/>
  <c r="F3" i="6"/>
  <c r="Z48" i="70"/>
  <c r="F3" i="12"/>
  <c r="AH40" i="70"/>
  <c r="Z47" i="70" s="1"/>
  <c r="N80" i="70"/>
  <c r="N79" i="70"/>
  <c r="N78" i="70"/>
  <c r="N77" i="70"/>
  <c r="M67" i="70"/>
  <c r="L67" i="70"/>
  <c r="K67" i="70"/>
  <c r="J67" i="70"/>
  <c r="I67" i="70"/>
  <c r="H67" i="70"/>
  <c r="G67" i="70"/>
  <c r="F67" i="70"/>
  <c r="E67" i="70"/>
  <c r="M66" i="70"/>
  <c r="L66" i="70"/>
  <c r="K66" i="70"/>
  <c r="J66" i="70"/>
  <c r="I66" i="70"/>
  <c r="H66" i="70"/>
  <c r="G66" i="70"/>
  <c r="F66" i="70"/>
  <c r="E66" i="70"/>
  <c r="M65" i="70"/>
  <c r="L65" i="70"/>
  <c r="K65" i="70"/>
  <c r="J65" i="70"/>
  <c r="I65" i="70"/>
  <c r="H65" i="70"/>
  <c r="G65" i="70"/>
  <c r="F65" i="70"/>
  <c r="E65" i="70"/>
  <c r="M64" i="70"/>
  <c r="L64" i="70"/>
  <c r="K64" i="70"/>
  <c r="J64" i="70"/>
  <c r="I64" i="70"/>
  <c r="H64" i="70"/>
  <c r="G64" i="70"/>
  <c r="F64" i="70"/>
  <c r="E64" i="70"/>
  <c r="M63" i="70"/>
  <c r="L63" i="70"/>
  <c r="K63" i="70"/>
  <c r="J63" i="70"/>
  <c r="I63" i="70"/>
  <c r="H63" i="70"/>
  <c r="G63" i="70"/>
  <c r="F63" i="70"/>
  <c r="E63" i="70"/>
  <c r="M61" i="70"/>
  <c r="L61" i="70"/>
  <c r="K61" i="70"/>
  <c r="J61" i="70"/>
  <c r="I61" i="70"/>
  <c r="H61" i="70"/>
  <c r="G61" i="70"/>
  <c r="F61" i="70"/>
  <c r="E61" i="70"/>
  <c r="M52" i="70"/>
  <c r="L52" i="70"/>
  <c r="K52" i="70"/>
  <c r="J52" i="70"/>
  <c r="I52" i="70"/>
  <c r="H52" i="70"/>
  <c r="G52" i="70"/>
  <c r="F52" i="70"/>
  <c r="E52" i="70"/>
  <c r="M51" i="70"/>
  <c r="L51" i="70"/>
  <c r="K51" i="70"/>
  <c r="J51" i="70"/>
  <c r="I51" i="70"/>
  <c r="H51" i="70"/>
  <c r="G51" i="70"/>
  <c r="F51" i="70"/>
  <c r="E51" i="70"/>
  <c r="M50" i="70"/>
  <c r="L50" i="70"/>
  <c r="K50" i="70"/>
  <c r="J50" i="70"/>
  <c r="I50" i="70"/>
  <c r="H50" i="70"/>
  <c r="G50" i="70"/>
  <c r="F50" i="70"/>
  <c r="E50" i="70"/>
  <c r="M49" i="70"/>
  <c r="L49" i="70"/>
  <c r="K49" i="70"/>
  <c r="J49" i="70"/>
  <c r="I49" i="70"/>
  <c r="H49" i="70"/>
  <c r="G49" i="70"/>
  <c r="F49" i="70"/>
  <c r="E49" i="70"/>
  <c r="M48" i="70"/>
  <c r="L48" i="70"/>
  <c r="K48" i="70"/>
  <c r="J48" i="70"/>
  <c r="I48" i="70"/>
  <c r="H48" i="70"/>
  <c r="G48" i="70"/>
  <c r="F48" i="70"/>
  <c r="E48" i="70"/>
  <c r="M46" i="70"/>
  <c r="L46" i="70"/>
  <c r="K46" i="70"/>
  <c r="J46" i="70"/>
  <c r="I46" i="70"/>
  <c r="H46" i="70"/>
  <c r="G46" i="70"/>
  <c r="F46" i="70"/>
  <c r="E46" i="70"/>
  <c r="M45" i="70"/>
  <c r="L45" i="70"/>
  <c r="K45" i="70"/>
  <c r="J45" i="70"/>
  <c r="I45" i="70"/>
  <c r="H45" i="70"/>
  <c r="G45" i="70"/>
  <c r="F45" i="70"/>
  <c r="E45" i="70"/>
  <c r="M44" i="70"/>
  <c r="L44" i="70"/>
  <c r="K44" i="70"/>
  <c r="J44" i="70"/>
  <c r="I44" i="70"/>
  <c r="H44" i="70"/>
  <c r="G44" i="70"/>
  <c r="F44" i="70"/>
  <c r="E44" i="70"/>
  <c r="M43" i="70"/>
  <c r="L43" i="70"/>
  <c r="K43" i="70"/>
  <c r="J43" i="70"/>
  <c r="I43" i="70"/>
  <c r="H43" i="70"/>
  <c r="G43" i="70"/>
  <c r="F43" i="70"/>
  <c r="E43" i="70"/>
  <c r="M42" i="70"/>
  <c r="L42" i="70"/>
  <c r="K42" i="70"/>
  <c r="J42" i="70"/>
  <c r="I42" i="70"/>
  <c r="H42" i="70"/>
  <c r="G42" i="70"/>
  <c r="F42" i="70"/>
  <c r="E42" i="70"/>
  <c r="M41" i="70"/>
  <c r="L41" i="70"/>
  <c r="K41" i="70"/>
  <c r="J41" i="70"/>
  <c r="I41" i="70"/>
  <c r="H41" i="70"/>
  <c r="G41" i="70"/>
  <c r="F41" i="70"/>
  <c r="E41" i="70"/>
  <c r="M40" i="70"/>
  <c r="L40" i="70"/>
  <c r="K40" i="70"/>
  <c r="J40" i="70"/>
  <c r="I40" i="70"/>
  <c r="H40" i="70"/>
  <c r="G40" i="70"/>
  <c r="F40" i="70"/>
  <c r="E40" i="70"/>
  <c r="AA50" i="70" l="1"/>
  <c r="G3" i="12"/>
  <c r="AA49" i="70"/>
  <c r="G2" i="12"/>
  <c r="AA48" i="70"/>
  <c r="G3" i="6"/>
  <c r="AA47" i="70"/>
  <c r="G2" i="6"/>
  <c r="N80" i="69"/>
  <c r="N79" i="69"/>
  <c r="N78" i="69"/>
  <c r="N77" i="69"/>
  <c r="AB47" i="70" l="1"/>
  <c r="H2" i="6"/>
  <c r="AB48" i="70"/>
  <c r="H3" i="6"/>
  <c r="AB49" i="70"/>
  <c r="H2" i="12"/>
  <c r="AB50" i="70"/>
  <c r="H3" i="12"/>
  <c r="F23" i="37"/>
  <c r="N23" i="70" s="1"/>
  <c r="N40" i="70" l="1"/>
  <c r="AC49" i="70"/>
  <c r="I2" i="12"/>
  <c r="AC50" i="70"/>
  <c r="I3" i="12"/>
  <c r="I3" i="6"/>
  <c r="AC48" i="70"/>
  <c r="AC47" i="70"/>
  <c r="I2" i="6"/>
  <c r="M63" i="69"/>
  <c r="M64" i="69"/>
  <c r="M65" i="69"/>
  <c r="M66" i="69"/>
  <c r="M67" i="69"/>
  <c r="M61" i="69"/>
  <c r="M40" i="69"/>
  <c r="M41" i="69"/>
  <c r="M42" i="69"/>
  <c r="M43" i="69"/>
  <c r="M44" i="69"/>
  <c r="M45" i="69"/>
  <c r="M46" i="69"/>
  <c r="M48" i="69"/>
  <c r="M49" i="69"/>
  <c r="M50" i="69"/>
  <c r="M51" i="69"/>
  <c r="M52" i="69"/>
  <c r="J3" i="6" l="1"/>
  <c r="AD48" i="70"/>
  <c r="AD50" i="70"/>
  <c r="J3" i="12"/>
  <c r="AD49" i="70"/>
  <c r="J2" i="12"/>
  <c r="AD47" i="70"/>
  <c r="J2" i="6"/>
  <c r="C7" i="12"/>
  <c r="D7" i="12" s="1"/>
  <c r="E7" i="12" s="1"/>
  <c r="F7" i="12" s="1"/>
  <c r="G7" i="12" s="1"/>
  <c r="H7" i="12" s="1"/>
  <c r="I7" i="12" s="1"/>
  <c r="J7" i="12" s="1"/>
  <c r="K7" i="12" s="1"/>
  <c r="L7" i="12" s="1"/>
  <c r="M7" i="12" s="1"/>
  <c r="N7" i="12" s="1"/>
  <c r="O7" i="12" s="1"/>
  <c r="P7" i="12" s="1"/>
  <c r="Q7" i="12" s="1"/>
  <c r="R7" i="12" s="1"/>
  <c r="S7" i="12" s="1"/>
  <c r="T7" i="12" s="1"/>
  <c r="U7" i="12" s="1"/>
  <c r="V7" i="12" s="1"/>
  <c r="W7" i="12" s="1"/>
  <c r="X7" i="12" s="1"/>
  <c r="Y7" i="12" s="1"/>
  <c r="Z7" i="12" s="1"/>
  <c r="AA7" i="12" s="1"/>
  <c r="AB7" i="12" s="1"/>
  <c r="AC7" i="12" s="1"/>
  <c r="AD7" i="12" s="1"/>
  <c r="AE7" i="12" s="1"/>
  <c r="AF7" i="12" s="1"/>
  <c r="AG7" i="12" s="1"/>
  <c r="K2" i="12" l="1"/>
  <c r="AE49" i="70"/>
  <c r="K2" i="6"/>
  <c r="AE47" i="70"/>
  <c r="AE50" i="70"/>
  <c r="K3" i="12"/>
  <c r="AE48" i="70"/>
  <c r="K3" i="6"/>
  <c r="K6" i="68"/>
  <c r="K5" i="68"/>
  <c r="K4" i="68"/>
  <c r="K3" i="68"/>
  <c r="L3" i="6" l="1"/>
  <c r="AF48" i="70"/>
  <c r="AF50" i="70"/>
  <c r="L3" i="12"/>
  <c r="AF47" i="70"/>
  <c r="L2" i="6"/>
  <c r="AF49" i="70"/>
  <c r="L2" i="12"/>
  <c r="F65" i="69"/>
  <c r="G65" i="69"/>
  <c r="H65" i="69"/>
  <c r="I65" i="69"/>
  <c r="J65" i="69"/>
  <c r="K65" i="69"/>
  <c r="L65" i="69"/>
  <c r="F66" i="69"/>
  <c r="G66" i="69"/>
  <c r="H66" i="69"/>
  <c r="I66" i="69"/>
  <c r="J66" i="69"/>
  <c r="K66" i="69"/>
  <c r="L66" i="69"/>
  <c r="F67" i="69"/>
  <c r="G67" i="69"/>
  <c r="H67" i="69"/>
  <c r="I67" i="69"/>
  <c r="J67" i="69"/>
  <c r="K67" i="69"/>
  <c r="L67" i="69"/>
  <c r="F48" i="69"/>
  <c r="G48" i="69"/>
  <c r="H48" i="69"/>
  <c r="I48" i="69"/>
  <c r="J48" i="69"/>
  <c r="K48" i="69"/>
  <c r="L48" i="69"/>
  <c r="F49" i="69"/>
  <c r="G49" i="69"/>
  <c r="H49" i="69"/>
  <c r="I49" i="69"/>
  <c r="J49" i="69"/>
  <c r="K49" i="69"/>
  <c r="L49" i="69"/>
  <c r="F50" i="69"/>
  <c r="G50" i="69"/>
  <c r="H50" i="69"/>
  <c r="I50" i="69"/>
  <c r="J50" i="69"/>
  <c r="K50" i="69"/>
  <c r="L50" i="69"/>
  <c r="F51" i="69"/>
  <c r="G51" i="69"/>
  <c r="H51" i="69"/>
  <c r="I51" i="69"/>
  <c r="J51" i="69"/>
  <c r="K51" i="69"/>
  <c r="L51" i="69"/>
  <c r="F52" i="69"/>
  <c r="G52" i="69"/>
  <c r="H52" i="69"/>
  <c r="I52" i="69"/>
  <c r="J52" i="69"/>
  <c r="K52" i="69"/>
  <c r="L52" i="69"/>
  <c r="F40" i="69"/>
  <c r="G40" i="69"/>
  <c r="H40" i="69"/>
  <c r="I40" i="69"/>
  <c r="J40" i="69"/>
  <c r="K40" i="69"/>
  <c r="L40" i="69"/>
  <c r="F41" i="69"/>
  <c r="G41" i="69"/>
  <c r="H41" i="69"/>
  <c r="I41" i="69"/>
  <c r="J41" i="69"/>
  <c r="K41" i="69"/>
  <c r="L41" i="69"/>
  <c r="F42" i="69"/>
  <c r="G42" i="69"/>
  <c r="H42" i="69"/>
  <c r="I42" i="69"/>
  <c r="J42" i="69"/>
  <c r="K42" i="69"/>
  <c r="L42" i="69"/>
  <c r="F43" i="69"/>
  <c r="G43" i="69"/>
  <c r="H43" i="69"/>
  <c r="I43" i="69"/>
  <c r="J43" i="69"/>
  <c r="K43" i="69"/>
  <c r="L43" i="69"/>
  <c r="F44" i="69"/>
  <c r="G44" i="69"/>
  <c r="H44" i="69"/>
  <c r="I44" i="69"/>
  <c r="J44" i="69"/>
  <c r="K44" i="69"/>
  <c r="L44" i="69"/>
  <c r="F45" i="69"/>
  <c r="G45" i="69"/>
  <c r="H45" i="69"/>
  <c r="I45" i="69"/>
  <c r="J45" i="69"/>
  <c r="K45" i="69"/>
  <c r="L45" i="69"/>
  <c r="F46" i="69"/>
  <c r="G46" i="69"/>
  <c r="H46" i="69"/>
  <c r="I46" i="69"/>
  <c r="J46" i="69"/>
  <c r="K46" i="69"/>
  <c r="L46" i="69"/>
  <c r="E52" i="69"/>
  <c r="E51" i="69"/>
  <c r="E50" i="69"/>
  <c r="E49" i="69"/>
  <c r="E48" i="69"/>
  <c r="E46" i="69"/>
  <c r="E45" i="69"/>
  <c r="E44" i="69"/>
  <c r="E43" i="69"/>
  <c r="E42" i="69"/>
  <c r="E41" i="69"/>
  <c r="E40" i="69"/>
  <c r="E67" i="69"/>
  <c r="E66" i="69"/>
  <c r="E65" i="69"/>
  <c r="F64" i="69"/>
  <c r="G64" i="69"/>
  <c r="H64" i="69"/>
  <c r="I64" i="69"/>
  <c r="J64" i="69"/>
  <c r="K64" i="69"/>
  <c r="L64" i="69"/>
  <c r="E64" i="69"/>
  <c r="F61" i="69"/>
  <c r="G61" i="69"/>
  <c r="H61" i="69"/>
  <c r="I61" i="69"/>
  <c r="J61" i="69"/>
  <c r="K61" i="69"/>
  <c r="L61" i="69"/>
  <c r="E61" i="69"/>
  <c r="F63" i="69"/>
  <c r="G63" i="69"/>
  <c r="H63" i="69"/>
  <c r="I63" i="69"/>
  <c r="J63" i="69"/>
  <c r="K63" i="69"/>
  <c r="L63" i="69"/>
  <c r="E63" i="69"/>
  <c r="F13" i="37"/>
  <c r="AG49" i="70" l="1"/>
  <c r="M2" i="12"/>
  <c r="AG47" i="70"/>
  <c r="M2" i="6"/>
  <c r="N13" i="69"/>
  <c r="N64" i="69" s="1"/>
  <c r="N13" i="70"/>
  <c r="AG50" i="70"/>
  <c r="M3" i="12"/>
  <c r="M3" i="6"/>
  <c r="AG48" i="70"/>
  <c r="D42" i="55"/>
  <c r="C42" i="55"/>
  <c r="B42" i="55"/>
  <c r="N64" i="70" l="1"/>
  <c r="AH50" i="70"/>
  <c r="N3" i="12"/>
  <c r="AH47" i="70"/>
  <c r="N2" i="6"/>
  <c r="AH48" i="70"/>
  <c r="N3" i="6"/>
  <c r="N2" i="12"/>
  <c r="AH49" i="70"/>
  <c r="D43" i="55"/>
  <c r="C43" i="55"/>
  <c r="C6" i="12" s="1"/>
  <c r="D6" i="12" s="1"/>
  <c r="E6" i="12" s="1"/>
  <c r="F6" i="12" s="1"/>
  <c r="G6" i="12" s="1"/>
  <c r="H6" i="12" s="1"/>
  <c r="I6" i="12" s="1"/>
  <c r="J6" i="12" s="1"/>
  <c r="K6" i="12" s="1"/>
  <c r="L6" i="12" s="1"/>
  <c r="M6" i="12" s="1"/>
  <c r="N6" i="12" s="1"/>
  <c r="O6" i="12" s="1"/>
  <c r="P6" i="12" s="1"/>
  <c r="Q6" i="12" s="1"/>
  <c r="R6" i="12" s="1"/>
  <c r="S6" i="12" s="1"/>
  <c r="T6" i="12" s="1"/>
  <c r="U6" i="12" s="1"/>
  <c r="V6" i="12" s="1"/>
  <c r="W6" i="12" s="1"/>
  <c r="X6" i="12" s="1"/>
  <c r="Y6" i="12" s="1"/>
  <c r="Z6" i="12" s="1"/>
  <c r="AA6" i="12" s="1"/>
  <c r="AB6" i="12" s="1"/>
  <c r="AC6" i="12" s="1"/>
  <c r="AD6" i="12" s="1"/>
  <c r="AE6" i="12" s="1"/>
  <c r="AF6" i="12" s="1"/>
  <c r="AG6" i="12" s="1"/>
  <c r="G41" i="67"/>
  <c r="G42" i="67"/>
  <c r="G43" i="67"/>
  <c r="G44" i="67"/>
  <c r="G45" i="67"/>
  <c r="G46" i="67"/>
  <c r="G47" i="67"/>
  <c r="G48" i="67"/>
  <c r="G49" i="67"/>
  <c r="G40" i="67"/>
  <c r="F41" i="67"/>
  <c r="F42" i="67"/>
  <c r="F43" i="67"/>
  <c r="F44" i="67"/>
  <c r="F45" i="67"/>
  <c r="F46" i="67"/>
  <c r="F47" i="67"/>
  <c r="F48" i="67"/>
  <c r="F49" i="67"/>
  <c r="F40" i="67"/>
  <c r="AI47" i="70" l="1"/>
  <c r="O2" i="6"/>
  <c r="O3" i="6"/>
  <c r="AI48" i="70"/>
  <c r="AI50" i="70"/>
  <c r="O3" i="12"/>
  <c r="O2" i="12"/>
  <c r="AI49" i="70"/>
  <c r="D4" i="50"/>
  <c r="D5" i="50"/>
  <c r="D6" i="50"/>
  <c r="D3" i="50"/>
  <c r="C4" i="50"/>
  <c r="C5" i="50"/>
  <c r="C6" i="50"/>
  <c r="C3" i="50"/>
  <c r="B4" i="50"/>
  <c r="B5" i="50"/>
  <c r="B7" i="50" s="1"/>
  <c r="B6" i="50"/>
  <c r="B8" i="50" s="1"/>
  <c r="B3" i="50"/>
  <c r="P2" i="12" l="1"/>
  <c r="AJ49" i="70"/>
  <c r="AJ50" i="70"/>
  <c r="P3" i="12"/>
  <c r="AJ48" i="70"/>
  <c r="P3" i="6"/>
  <c r="AJ47" i="70"/>
  <c r="P2" i="6"/>
  <c r="D8" i="50"/>
  <c r="D4" i="12" s="1"/>
  <c r="E4" i="12" s="1"/>
  <c r="F4" i="12" s="1"/>
  <c r="G4" i="12" s="1"/>
  <c r="H4" i="12" s="1"/>
  <c r="I4" i="12" s="1"/>
  <c r="J4" i="12" s="1"/>
  <c r="K4" i="12" s="1"/>
  <c r="L4" i="12" s="1"/>
  <c r="M4" i="12" s="1"/>
  <c r="N4" i="12" s="1"/>
  <c r="O4" i="12" s="1"/>
  <c r="P4" i="12" s="1"/>
  <c r="Q4" i="12" s="1"/>
  <c r="R4" i="12" s="1"/>
  <c r="S4" i="12" s="1"/>
  <c r="T4" i="12" s="1"/>
  <c r="U4" i="12" s="1"/>
  <c r="V4" i="12" s="1"/>
  <c r="W4" i="12" s="1"/>
  <c r="X4" i="12" s="1"/>
  <c r="Y4" i="12" s="1"/>
  <c r="Z4" i="12" s="1"/>
  <c r="AA4" i="12" s="1"/>
  <c r="AB4" i="12" s="1"/>
  <c r="AC4" i="12" s="1"/>
  <c r="AD4" i="12" s="1"/>
  <c r="AE4" i="12" s="1"/>
  <c r="D7" i="50"/>
  <c r="D4" i="6" s="1"/>
  <c r="E4" i="6" s="1"/>
  <c r="C7" i="50"/>
  <c r="C4" i="6" s="1"/>
  <c r="C8" i="50"/>
  <c r="C4" i="12" s="1"/>
  <c r="D11" i="56"/>
  <c r="D10" i="56"/>
  <c r="D9" i="56"/>
  <c r="C11" i="56"/>
  <c r="C10" i="56"/>
  <c r="C9" i="56"/>
  <c r="B11" i="56"/>
  <c r="B10" i="56"/>
  <c r="B9" i="56"/>
  <c r="D8" i="56"/>
  <c r="D7" i="56"/>
  <c r="D6" i="56"/>
  <c r="D5" i="56"/>
  <c r="C8" i="56"/>
  <c r="C7" i="56"/>
  <c r="C5" i="56"/>
  <c r="C6" i="56"/>
  <c r="B8" i="56"/>
  <c r="B7" i="56"/>
  <c r="B6" i="56"/>
  <c r="B5" i="56"/>
  <c r="AK48" i="70" l="1"/>
  <c r="Q3" i="6"/>
  <c r="AK50" i="70"/>
  <c r="Q3" i="12"/>
  <c r="F4" i="6"/>
  <c r="C17" i="6"/>
  <c r="AK49" i="70"/>
  <c r="Q2" i="12"/>
  <c r="AK47" i="70"/>
  <c r="Q2" i="6"/>
  <c r="B3" i="56"/>
  <c r="D4" i="56" s="1"/>
  <c r="D5" i="6" s="1"/>
  <c r="E5" i="6" s="1"/>
  <c r="F5" i="6" s="1"/>
  <c r="G5" i="6" s="1"/>
  <c r="H5" i="6" s="1"/>
  <c r="I5" i="6" s="1"/>
  <c r="J5" i="6" s="1"/>
  <c r="K5" i="6" s="1"/>
  <c r="L5" i="6" s="1"/>
  <c r="M5" i="6" s="1"/>
  <c r="N5" i="6" s="1"/>
  <c r="O5" i="6" s="1"/>
  <c r="P5" i="6" s="1"/>
  <c r="Q5" i="6" s="1"/>
  <c r="R5" i="6" s="1"/>
  <c r="S5" i="6" s="1"/>
  <c r="T5" i="6" s="1"/>
  <c r="U5" i="6" s="1"/>
  <c r="V5" i="6" s="1"/>
  <c r="W5" i="6" s="1"/>
  <c r="X5" i="6" s="1"/>
  <c r="Y5" i="6" s="1"/>
  <c r="Z5" i="6" s="1"/>
  <c r="AA5" i="6" s="1"/>
  <c r="AB5" i="6" s="1"/>
  <c r="AC5" i="6" s="1"/>
  <c r="AD5" i="6" s="1"/>
  <c r="AE5" i="6" s="1"/>
  <c r="AF5" i="6" s="1"/>
  <c r="AG5" i="6" s="1"/>
  <c r="D3" i="56"/>
  <c r="AG4" i="12"/>
  <c r="AF4" i="12"/>
  <c r="C3" i="56"/>
  <c r="D20" i="56"/>
  <c r="D19" i="56"/>
  <c r="D18" i="56"/>
  <c r="D17" i="56"/>
  <c r="C20" i="56"/>
  <c r="C19" i="56"/>
  <c r="C17" i="56"/>
  <c r="C18" i="56"/>
  <c r="B20" i="56"/>
  <c r="B19" i="56"/>
  <c r="B18" i="56"/>
  <c r="B17" i="56"/>
  <c r="R2" i="6" l="1"/>
  <c r="AL47" i="70"/>
  <c r="G4" i="6"/>
  <c r="D17" i="6"/>
  <c r="AL50" i="70"/>
  <c r="R3" i="12"/>
  <c r="R2" i="12"/>
  <c r="AL49" i="70"/>
  <c r="AL48" i="70"/>
  <c r="R3" i="6"/>
  <c r="C4" i="56"/>
  <c r="C5" i="6" s="1"/>
  <c r="C15" i="56"/>
  <c r="D15" i="56"/>
  <c r="B15" i="56"/>
  <c r="K65" i="49"/>
  <c r="J64" i="49"/>
  <c r="J65" i="49" s="1"/>
  <c r="E60" i="49"/>
  <c r="G60" i="49" s="1"/>
  <c r="E59" i="49"/>
  <c r="G59" i="49" s="1"/>
  <c r="L48" i="49"/>
  <c r="L49" i="49"/>
  <c r="L50" i="49"/>
  <c r="L51" i="49"/>
  <c r="L47" i="49"/>
  <c r="D31" i="49"/>
  <c r="E31" i="49"/>
  <c r="F31" i="49"/>
  <c r="G31" i="49"/>
  <c r="H31" i="49"/>
  <c r="I31" i="49"/>
  <c r="J31" i="49"/>
  <c r="K31" i="49"/>
  <c r="L31" i="49"/>
  <c r="M31" i="49"/>
  <c r="D32" i="49"/>
  <c r="E32" i="49"/>
  <c r="F32" i="49"/>
  <c r="G32" i="49"/>
  <c r="H32" i="49"/>
  <c r="I32" i="49"/>
  <c r="J32" i="49"/>
  <c r="K32" i="49"/>
  <c r="L32" i="49"/>
  <c r="M32" i="49"/>
  <c r="C32" i="49"/>
  <c r="C31" i="49"/>
  <c r="P24" i="49"/>
  <c r="Q24" i="49"/>
  <c r="R24" i="49"/>
  <c r="S24" i="49"/>
  <c r="T24" i="49"/>
  <c r="U24" i="49"/>
  <c r="V24" i="49"/>
  <c r="W24" i="49"/>
  <c r="X24" i="49"/>
  <c r="Y24" i="49"/>
  <c r="P25" i="49"/>
  <c r="Q25" i="49"/>
  <c r="R25" i="49"/>
  <c r="S25" i="49"/>
  <c r="T25" i="49"/>
  <c r="U25" i="49"/>
  <c r="V25" i="49"/>
  <c r="W25" i="49"/>
  <c r="X25" i="49"/>
  <c r="Y25" i="49"/>
  <c r="P26" i="49"/>
  <c r="Q26" i="49"/>
  <c r="R26" i="49"/>
  <c r="S26" i="49"/>
  <c r="T26" i="49"/>
  <c r="U26" i="49"/>
  <c r="V26" i="49"/>
  <c r="W26" i="49"/>
  <c r="X26" i="49"/>
  <c r="Y26" i="49"/>
  <c r="P27" i="49"/>
  <c r="Q27" i="49"/>
  <c r="R27" i="49"/>
  <c r="S27" i="49"/>
  <c r="T27" i="49"/>
  <c r="U27" i="49"/>
  <c r="V27" i="49"/>
  <c r="W27" i="49"/>
  <c r="X27" i="49"/>
  <c r="Y27" i="49"/>
  <c r="P28" i="49"/>
  <c r="Q28" i="49"/>
  <c r="R28" i="49"/>
  <c r="S28" i="49"/>
  <c r="T28" i="49"/>
  <c r="U28" i="49"/>
  <c r="V28" i="49"/>
  <c r="W28" i="49"/>
  <c r="X28" i="49"/>
  <c r="Y28" i="49"/>
  <c r="P29" i="49"/>
  <c r="L54" i="49" s="1"/>
  <c r="Q29" i="49"/>
  <c r="L55" i="49" s="1"/>
  <c r="R29" i="49"/>
  <c r="L56" i="49" s="1"/>
  <c r="S29" i="49"/>
  <c r="T29" i="49"/>
  <c r="U29" i="49"/>
  <c r="L59" i="49" s="1"/>
  <c r="V29" i="49"/>
  <c r="L60" i="49" s="1"/>
  <c r="W29" i="49"/>
  <c r="L61" i="49" s="1"/>
  <c r="X29" i="49"/>
  <c r="L62" i="49" s="1"/>
  <c r="Y29" i="49"/>
  <c r="L63" i="49" s="1"/>
  <c r="P30" i="49"/>
  <c r="Q30" i="49"/>
  <c r="R30" i="49"/>
  <c r="S30" i="49"/>
  <c r="T30" i="49"/>
  <c r="U30" i="49"/>
  <c r="V30" i="49"/>
  <c r="W30" i="49"/>
  <c r="X30" i="49"/>
  <c r="Y30" i="49"/>
  <c r="Y23" i="49"/>
  <c r="X23" i="49"/>
  <c r="W23" i="49"/>
  <c r="V23" i="49"/>
  <c r="U23" i="49"/>
  <c r="T23" i="49"/>
  <c r="S23" i="49"/>
  <c r="R23" i="49"/>
  <c r="Q23" i="49"/>
  <c r="P23" i="49"/>
  <c r="O24" i="49"/>
  <c r="O25" i="49"/>
  <c r="O26" i="49"/>
  <c r="O27" i="49"/>
  <c r="O28" i="49"/>
  <c r="O29" i="49"/>
  <c r="L53" i="49" s="1"/>
  <c r="O30" i="49"/>
  <c r="O23" i="49"/>
  <c r="N23" i="49"/>
  <c r="N24" i="49"/>
  <c r="N25" i="49"/>
  <c r="N26" i="49"/>
  <c r="N27" i="49"/>
  <c r="N28" i="49"/>
  <c r="N29" i="49"/>
  <c r="L52" i="49" s="1"/>
  <c r="N30" i="49"/>
  <c r="F37" i="49"/>
  <c r="G37" i="49"/>
  <c r="F38" i="49"/>
  <c r="G38" i="49"/>
  <c r="F39" i="49"/>
  <c r="G39" i="49"/>
  <c r="F40" i="49"/>
  <c r="G40" i="49"/>
  <c r="F41" i="49"/>
  <c r="G41" i="49"/>
  <c r="F42" i="49"/>
  <c r="G42" i="49"/>
  <c r="F43" i="49"/>
  <c r="G43" i="49"/>
  <c r="F44" i="49"/>
  <c r="G44" i="49"/>
  <c r="F45" i="49"/>
  <c r="G45" i="49"/>
  <c r="F46" i="49"/>
  <c r="G46" i="49"/>
  <c r="F47" i="49"/>
  <c r="G47" i="49"/>
  <c r="F48" i="49"/>
  <c r="G48" i="49"/>
  <c r="F49" i="49"/>
  <c r="G49" i="49"/>
  <c r="F50" i="49"/>
  <c r="G50" i="49"/>
  <c r="F51" i="49"/>
  <c r="G51" i="49"/>
  <c r="F52" i="49"/>
  <c r="G52" i="49"/>
  <c r="F53" i="49"/>
  <c r="G53" i="49"/>
  <c r="F54" i="49"/>
  <c r="G54" i="49"/>
  <c r="F55" i="49"/>
  <c r="G55" i="49"/>
  <c r="F56" i="49"/>
  <c r="G56" i="49"/>
  <c r="F57" i="49"/>
  <c r="G57" i="49"/>
  <c r="F58" i="49"/>
  <c r="G58" i="49"/>
  <c r="F59" i="49"/>
  <c r="F60" i="49"/>
  <c r="F61" i="49"/>
  <c r="F62" i="49"/>
  <c r="G36" i="49"/>
  <c r="F36" i="49"/>
  <c r="D63" i="49"/>
  <c r="D65" i="49" s="1"/>
  <c r="C64" i="49"/>
  <c r="C63" i="49"/>
  <c r="B64" i="49"/>
  <c r="B63" i="49"/>
  <c r="N37" i="49"/>
  <c r="O37" i="49"/>
  <c r="N38" i="49"/>
  <c r="O38" i="49"/>
  <c r="N39" i="49"/>
  <c r="O39" i="49"/>
  <c r="N40" i="49"/>
  <c r="O40" i="49"/>
  <c r="N41" i="49"/>
  <c r="O41" i="49"/>
  <c r="N42" i="49"/>
  <c r="O42" i="49"/>
  <c r="N43" i="49"/>
  <c r="O43" i="49"/>
  <c r="N44" i="49"/>
  <c r="O44" i="49"/>
  <c r="N45" i="49"/>
  <c r="O45" i="49"/>
  <c r="N46" i="49"/>
  <c r="O46" i="49"/>
  <c r="O36" i="49"/>
  <c r="N36" i="49"/>
  <c r="AM48" i="70" l="1"/>
  <c r="S3" i="6"/>
  <c r="S2" i="12"/>
  <c r="AM49" i="70"/>
  <c r="AM50" i="70"/>
  <c r="S3" i="12"/>
  <c r="H4" i="6"/>
  <c r="E17" i="6"/>
  <c r="S2" i="6"/>
  <c r="AM47" i="70"/>
  <c r="E62" i="49"/>
  <c r="G62" i="49" s="1"/>
  <c r="C16" i="56"/>
  <c r="C5" i="12" s="1"/>
  <c r="O31" i="49"/>
  <c r="D16" i="56"/>
  <c r="D5" i="12" s="1"/>
  <c r="E5" i="12" s="1"/>
  <c r="F5" i="12" s="1"/>
  <c r="G5" i="12" s="1"/>
  <c r="H5" i="12" s="1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AG5" i="12" s="1"/>
  <c r="L65" i="49"/>
  <c r="E61" i="49"/>
  <c r="G61" i="49" s="1"/>
  <c r="E65" i="49"/>
  <c r="E64" i="49"/>
  <c r="G64" i="49" s="1"/>
  <c r="E63" i="49"/>
  <c r="G63" i="49" s="1"/>
  <c r="N32" i="49"/>
  <c r="Q31" i="49"/>
  <c r="O32" i="49"/>
  <c r="X32" i="49"/>
  <c r="R32" i="49"/>
  <c r="P31" i="49"/>
  <c r="S32" i="49"/>
  <c r="Y32" i="49"/>
  <c r="V32" i="49"/>
  <c r="T31" i="49"/>
  <c r="N31" i="49"/>
  <c r="Q32" i="49"/>
  <c r="P32" i="49"/>
  <c r="U32" i="49"/>
  <c r="S31" i="49"/>
  <c r="Y31" i="49"/>
  <c r="T32" i="49"/>
  <c r="R31" i="49"/>
  <c r="X31" i="49"/>
  <c r="W32" i="49"/>
  <c r="U31" i="49"/>
  <c r="V31" i="49"/>
  <c r="L58" i="49"/>
  <c r="W31" i="49"/>
  <c r="L57" i="49"/>
  <c r="B65" i="49"/>
  <c r="F65" i="49" s="1"/>
  <c r="F63" i="49"/>
  <c r="D64" i="49"/>
  <c r="F64" i="49" s="1"/>
  <c r="AN47" i="70" l="1"/>
  <c r="T2" i="6"/>
  <c r="I4" i="6"/>
  <c r="F17" i="6"/>
  <c r="AN50" i="70"/>
  <c r="T3" i="12"/>
  <c r="AN49" i="70"/>
  <c r="T2" i="12"/>
  <c r="AN48" i="70"/>
  <c r="T3" i="6"/>
  <c r="C65" i="49"/>
  <c r="AO50" i="70" l="1"/>
  <c r="U3" i="12"/>
  <c r="AO48" i="70"/>
  <c r="U3" i="6"/>
  <c r="AO49" i="70"/>
  <c r="U2" i="12"/>
  <c r="J4" i="6"/>
  <c r="G17" i="6"/>
  <c r="AO47" i="70"/>
  <c r="U2" i="6"/>
  <c r="G65" i="49"/>
  <c r="C66" i="49"/>
  <c r="C6" i="6" s="1"/>
  <c r="D6" i="6" s="1"/>
  <c r="E6" i="6" s="1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P36" i="49"/>
  <c r="P37" i="49"/>
  <c r="P38" i="49"/>
  <c r="P39" i="49"/>
  <c r="P40" i="49"/>
  <c r="P41" i="49"/>
  <c r="P42" i="49"/>
  <c r="P43" i="49"/>
  <c r="P44" i="49"/>
  <c r="P45" i="49"/>
  <c r="P46" i="49"/>
  <c r="V2" i="12" l="1"/>
  <c r="AP49" i="70"/>
  <c r="AP47" i="70"/>
  <c r="V2" i="6"/>
  <c r="AP48" i="70"/>
  <c r="V3" i="6"/>
  <c r="K4" i="6"/>
  <c r="L4" i="6" s="1"/>
  <c r="M4" i="6" s="1"/>
  <c r="N4" i="6" s="1"/>
  <c r="O4" i="6" s="1"/>
  <c r="P4" i="6" s="1"/>
  <c r="Q4" i="6" s="1"/>
  <c r="R4" i="6" s="1"/>
  <c r="S4" i="6" s="1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H17" i="6"/>
  <c r="AP50" i="70"/>
  <c r="V3" i="12"/>
  <c r="P48" i="49"/>
  <c r="P60" i="49"/>
  <c r="P49" i="49"/>
  <c r="P61" i="49"/>
  <c r="P50" i="49"/>
  <c r="P62" i="49"/>
  <c r="P58" i="49"/>
  <c r="P51" i="49"/>
  <c r="P63" i="49"/>
  <c r="P52" i="49"/>
  <c r="P64" i="49"/>
  <c r="P53" i="49"/>
  <c r="P65" i="49"/>
  <c r="P54" i="49"/>
  <c r="P47" i="49"/>
  <c r="P55" i="49"/>
  <c r="P56" i="49"/>
  <c r="P57" i="49"/>
  <c r="P59" i="49"/>
  <c r="AG4" i="6" l="1"/>
  <c r="AF4" i="6"/>
  <c r="AQ50" i="70"/>
  <c r="W3" i="12"/>
  <c r="AQ48" i="70"/>
  <c r="W3" i="6"/>
  <c r="AQ47" i="70"/>
  <c r="W2" i="6"/>
  <c r="AQ49" i="70"/>
  <c r="W2" i="12"/>
  <c r="N63" i="49"/>
  <c r="AR49" i="70" l="1"/>
  <c r="X2" i="12"/>
  <c r="AR50" i="70"/>
  <c r="X3" i="12"/>
  <c r="AR47" i="70"/>
  <c r="X2" i="6"/>
  <c r="AR48" i="70"/>
  <c r="X3" i="6"/>
  <c r="N47" i="49"/>
  <c r="M47" i="49"/>
  <c r="O47" i="49" s="1"/>
  <c r="AS50" i="70" l="1"/>
  <c r="Y3" i="12"/>
  <c r="Y2" i="6"/>
  <c r="AS47" i="70"/>
  <c r="AS48" i="70"/>
  <c r="Y3" i="6"/>
  <c r="AS49" i="70"/>
  <c r="Y2" i="12"/>
  <c r="M64" i="49"/>
  <c r="O64" i="49" s="1"/>
  <c r="N64" i="49"/>
  <c r="N48" i="49"/>
  <c r="M48" i="49"/>
  <c r="O48" i="49" s="1"/>
  <c r="Z2" i="12" l="1"/>
  <c r="AT49" i="70"/>
  <c r="AT48" i="70"/>
  <c r="Z3" i="6"/>
  <c r="AT47" i="70"/>
  <c r="Z2" i="6"/>
  <c r="AT50" i="70"/>
  <c r="Z3" i="12"/>
  <c r="N49" i="49"/>
  <c r="M49" i="49"/>
  <c r="O49" i="49" s="1"/>
  <c r="N65" i="49"/>
  <c r="M65" i="49"/>
  <c r="O65" i="49" s="1"/>
  <c r="AU50" i="70" l="1"/>
  <c r="AA3" i="12"/>
  <c r="AU48" i="70"/>
  <c r="AA3" i="6"/>
  <c r="AA2" i="12"/>
  <c r="AU49" i="70"/>
  <c r="AU47" i="70"/>
  <c r="AA2" i="6"/>
  <c r="N50" i="49"/>
  <c r="M50" i="49"/>
  <c r="O50" i="49" s="1"/>
  <c r="AV47" i="70" l="1"/>
  <c r="AB2" i="6"/>
  <c r="AV48" i="70"/>
  <c r="AB3" i="6"/>
  <c r="AV49" i="70"/>
  <c r="AB2" i="12"/>
  <c r="AV50" i="70"/>
  <c r="AB3" i="12"/>
  <c r="N51" i="49"/>
  <c r="M51" i="49"/>
  <c r="O51" i="49" s="1"/>
  <c r="AW50" i="70" l="1"/>
  <c r="AC3" i="12"/>
  <c r="AW48" i="70"/>
  <c r="AC3" i="6"/>
  <c r="AC2" i="12"/>
  <c r="AW49" i="70"/>
  <c r="AW47" i="70"/>
  <c r="AC2" i="6"/>
  <c r="N52" i="49"/>
  <c r="M52" i="49"/>
  <c r="O52" i="49" s="1"/>
  <c r="F37" i="37"/>
  <c r="F35" i="37"/>
  <c r="F36" i="37"/>
  <c r="F33" i="37"/>
  <c r="F29" i="37"/>
  <c r="F25" i="37"/>
  <c r="N23" i="69"/>
  <c r="N40" i="69" s="1"/>
  <c r="F24" i="37"/>
  <c r="F32" i="37"/>
  <c r="F28" i="37"/>
  <c r="F31" i="37"/>
  <c r="F27" i="37"/>
  <c r="F17" i="37"/>
  <c r="F19" i="37"/>
  <c r="F20" i="37"/>
  <c r="F18" i="37"/>
  <c r="F12" i="37"/>
  <c r="F10" i="37"/>
  <c r="F7" i="37"/>
  <c r="F9" i="37"/>
  <c r="F14" i="37"/>
  <c r="F8" i="37"/>
  <c r="N7" i="69" l="1"/>
  <c r="N7" i="70"/>
  <c r="AX47" i="70"/>
  <c r="AD2" i="6"/>
  <c r="N24" i="69"/>
  <c r="N41" i="69" s="1"/>
  <c r="N24" i="70"/>
  <c r="AX49" i="70"/>
  <c r="AD2" i="12"/>
  <c r="N27" i="69"/>
  <c r="N42" i="69" s="1"/>
  <c r="M74" i="69" s="1"/>
  <c r="M84" i="69" s="1"/>
  <c r="N27" i="70"/>
  <c r="N12" i="69"/>
  <c r="O12" i="69" s="1"/>
  <c r="N61" i="69" s="1"/>
  <c r="N12" i="70"/>
  <c r="O12" i="70" s="1"/>
  <c r="N61" i="70" s="1"/>
  <c r="N9" i="69"/>
  <c r="N9" i="70"/>
  <c r="N33" i="69"/>
  <c r="N50" i="69" s="1"/>
  <c r="N33" i="70"/>
  <c r="N28" i="69"/>
  <c r="N43" i="69" s="1"/>
  <c r="N28" i="70"/>
  <c r="N43" i="70" s="1"/>
  <c r="N36" i="69"/>
  <c r="N46" i="69" s="1"/>
  <c r="N36" i="70"/>
  <c r="AD3" i="6"/>
  <c r="AX48" i="70"/>
  <c r="N14" i="69"/>
  <c r="N65" i="69" s="1"/>
  <c r="E73" i="69" s="1"/>
  <c r="N14" i="70"/>
  <c r="N29" i="69"/>
  <c r="N49" i="69" s="1"/>
  <c r="N29" i="70"/>
  <c r="N20" i="69"/>
  <c r="N67" i="69" s="1"/>
  <c r="N20" i="70"/>
  <c r="N67" i="70" s="1"/>
  <c r="N35" i="69"/>
  <c r="N51" i="69" s="1"/>
  <c r="N35" i="70"/>
  <c r="N31" i="69"/>
  <c r="N44" i="69" s="1"/>
  <c r="N31" i="70"/>
  <c r="N8" i="69"/>
  <c r="J60" i="69" s="1"/>
  <c r="N8" i="70"/>
  <c r="N32" i="69"/>
  <c r="N45" i="69" s="1"/>
  <c r="N32" i="70"/>
  <c r="N45" i="70" s="1"/>
  <c r="N10" i="69"/>
  <c r="O10" i="69" s="1"/>
  <c r="N63" i="69" s="1"/>
  <c r="N10" i="70"/>
  <c r="O10" i="70" s="1"/>
  <c r="N63" i="70" s="1"/>
  <c r="N25" i="69"/>
  <c r="N48" i="69" s="1"/>
  <c r="N25" i="70"/>
  <c r="N18" i="69"/>
  <c r="N18" i="70"/>
  <c r="N19" i="69"/>
  <c r="N66" i="69" s="1"/>
  <c r="N19" i="70"/>
  <c r="N17" i="69"/>
  <c r="J62" i="69" s="1"/>
  <c r="N17" i="70"/>
  <c r="N37" i="69"/>
  <c r="N52" i="69" s="1"/>
  <c r="M75" i="69" s="1"/>
  <c r="M85" i="69" s="1"/>
  <c r="N37" i="70"/>
  <c r="N52" i="70" s="1"/>
  <c r="AX50" i="70"/>
  <c r="AD3" i="12"/>
  <c r="K60" i="69"/>
  <c r="G60" i="69"/>
  <c r="O7" i="69"/>
  <c r="N60" i="69" s="1"/>
  <c r="H60" i="69"/>
  <c r="O23" i="69"/>
  <c r="O35" i="69"/>
  <c r="O25" i="69"/>
  <c r="O29" i="69"/>
  <c r="O33" i="69"/>
  <c r="G62" i="69"/>
  <c r="K62" i="69"/>
  <c r="F62" i="69"/>
  <c r="L62" i="69"/>
  <c r="N53" i="49"/>
  <c r="M53" i="49"/>
  <c r="O53" i="49" s="1"/>
  <c r="G23" i="37"/>
  <c r="G17" i="37"/>
  <c r="G27" i="37"/>
  <c r="G31" i="37"/>
  <c r="G7" i="37"/>
  <c r="G12" i="37"/>
  <c r="N66" i="70" l="1"/>
  <c r="O19" i="70"/>
  <c r="O31" i="70"/>
  <c r="N44" i="70"/>
  <c r="O36" i="70"/>
  <c r="N46" i="70"/>
  <c r="AY49" i="70"/>
  <c r="AE2" i="12"/>
  <c r="I60" i="69"/>
  <c r="H62" i="69"/>
  <c r="N51" i="70"/>
  <c r="O35" i="70"/>
  <c r="N41" i="70"/>
  <c r="O23" i="70"/>
  <c r="E62" i="69"/>
  <c r="M73" i="69"/>
  <c r="M83" i="69" s="1"/>
  <c r="N65" i="70"/>
  <c r="G73" i="70" s="1"/>
  <c r="G83" i="70" s="1"/>
  <c r="O13" i="70"/>
  <c r="O27" i="70"/>
  <c r="N42" i="70"/>
  <c r="O17" i="69"/>
  <c r="N62" i="69" s="1"/>
  <c r="F72" i="69" s="1"/>
  <c r="F82" i="69" s="1"/>
  <c r="M60" i="69"/>
  <c r="M72" i="69" s="1"/>
  <c r="M82" i="69" s="1"/>
  <c r="N48" i="70"/>
  <c r="O25" i="70"/>
  <c r="O33" i="70"/>
  <c r="N50" i="70"/>
  <c r="H73" i="69"/>
  <c r="H83" i="69" s="1"/>
  <c r="L73" i="69"/>
  <c r="L83" i="69" s="1"/>
  <c r="E90" i="69" s="1"/>
  <c r="I73" i="69"/>
  <c r="I83" i="69" s="1"/>
  <c r="O19" i="69"/>
  <c r="F60" i="69"/>
  <c r="AY47" i="70"/>
  <c r="AE2" i="6"/>
  <c r="H62" i="70"/>
  <c r="L62" i="70"/>
  <c r="K62" i="70"/>
  <c r="J62" i="70"/>
  <c r="I62" i="70"/>
  <c r="M62" i="70"/>
  <c r="G62" i="70"/>
  <c r="E62" i="70"/>
  <c r="O17" i="70"/>
  <c r="N62" i="70" s="1"/>
  <c r="F62" i="70"/>
  <c r="M62" i="69"/>
  <c r="I62" i="69"/>
  <c r="O36" i="69"/>
  <c r="E60" i="69"/>
  <c r="E72" i="69" s="1"/>
  <c r="O31" i="69"/>
  <c r="L60" i="69"/>
  <c r="I73" i="70"/>
  <c r="I83" i="70" s="1"/>
  <c r="F73" i="70"/>
  <c r="F83" i="70" s="1"/>
  <c r="L73" i="70"/>
  <c r="L83" i="70" s="1"/>
  <c r="E90" i="70" s="1"/>
  <c r="E73" i="70"/>
  <c r="E83" i="70" s="1"/>
  <c r="J73" i="70"/>
  <c r="J83" i="70" s="1"/>
  <c r="H73" i="70"/>
  <c r="H83" i="70" s="1"/>
  <c r="M73" i="70"/>
  <c r="K73" i="70"/>
  <c r="K83" i="70" s="1"/>
  <c r="N49" i="70"/>
  <c r="O29" i="70"/>
  <c r="L60" i="70"/>
  <c r="O7" i="70"/>
  <c r="N60" i="70" s="1"/>
  <c r="M60" i="70"/>
  <c r="G60" i="70"/>
  <c r="I60" i="70"/>
  <c r="J60" i="70"/>
  <c r="K60" i="70"/>
  <c r="F60" i="70"/>
  <c r="H60" i="70"/>
  <c r="E60" i="70"/>
  <c r="E72" i="70" s="1"/>
  <c r="E82" i="70" s="1"/>
  <c r="AY48" i="70"/>
  <c r="AE3" i="6"/>
  <c r="O13" i="69"/>
  <c r="O27" i="69"/>
  <c r="AY50" i="70"/>
  <c r="AE3" i="12"/>
  <c r="N73" i="69"/>
  <c r="E83" i="69"/>
  <c r="O83" i="69" s="1"/>
  <c r="F90" i="69" s="1"/>
  <c r="G90" i="69" s="1"/>
  <c r="H90" i="69" s="1"/>
  <c r="I90" i="69" s="1"/>
  <c r="J90" i="69" s="1"/>
  <c r="K90" i="69" s="1"/>
  <c r="L90" i="69" s="1"/>
  <c r="M90" i="69" s="1"/>
  <c r="N90" i="69" s="1"/>
  <c r="O90" i="69" s="1"/>
  <c r="P90" i="69" s="1"/>
  <c r="Q90" i="69" s="1"/>
  <c r="R90" i="69" s="1"/>
  <c r="S90" i="69" s="1"/>
  <c r="T90" i="69" s="1"/>
  <c r="U90" i="69" s="1"/>
  <c r="V90" i="69" s="1"/>
  <c r="W90" i="69" s="1"/>
  <c r="X90" i="69" s="1"/>
  <c r="Y90" i="69" s="1"/>
  <c r="Z90" i="69" s="1"/>
  <c r="AA90" i="69" s="1"/>
  <c r="AB90" i="69" s="1"/>
  <c r="AC90" i="69" s="1"/>
  <c r="AD90" i="69" s="1"/>
  <c r="AE90" i="69" s="1"/>
  <c r="AF90" i="69" s="1"/>
  <c r="AG90" i="69" s="1"/>
  <c r="AH90" i="69" s="1"/>
  <c r="AI90" i="69" s="1"/>
  <c r="AJ90" i="69" s="1"/>
  <c r="G73" i="69"/>
  <c r="G83" i="69" s="1"/>
  <c r="F73" i="69"/>
  <c r="F83" i="69" s="1"/>
  <c r="J74" i="69"/>
  <c r="J84" i="69" s="1"/>
  <c r="G74" i="69"/>
  <c r="G84" i="69" s="1"/>
  <c r="K74" i="69"/>
  <c r="K84" i="69" s="1"/>
  <c r="L74" i="69"/>
  <c r="L84" i="69" s="1"/>
  <c r="E91" i="69" s="1"/>
  <c r="E74" i="69"/>
  <c r="E84" i="69" s="1"/>
  <c r="O84" i="69" s="1"/>
  <c r="I74" i="69"/>
  <c r="I84" i="69" s="1"/>
  <c r="F74" i="69"/>
  <c r="F84" i="69" s="1"/>
  <c r="H74" i="69"/>
  <c r="H84" i="69" s="1"/>
  <c r="K73" i="69"/>
  <c r="K83" i="69" s="1"/>
  <c r="J73" i="69"/>
  <c r="J83" i="69" s="1"/>
  <c r="J72" i="69"/>
  <c r="J82" i="69" s="1"/>
  <c r="H72" i="69"/>
  <c r="H82" i="69" s="1"/>
  <c r="F75" i="69"/>
  <c r="F85" i="69" s="1"/>
  <c r="K75" i="69"/>
  <c r="K85" i="69" s="1"/>
  <c r="G75" i="69"/>
  <c r="G85" i="69" s="1"/>
  <c r="H75" i="69"/>
  <c r="H85" i="69" s="1"/>
  <c r="L75" i="69"/>
  <c r="L85" i="69" s="1"/>
  <c r="E92" i="69" s="1"/>
  <c r="E75" i="69"/>
  <c r="I75" i="69"/>
  <c r="I85" i="69" s="1"/>
  <c r="J75" i="69"/>
  <c r="J85" i="69" s="1"/>
  <c r="I72" i="69"/>
  <c r="I82" i="69" s="1"/>
  <c r="K72" i="69"/>
  <c r="K82" i="69" s="1"/>
  <c r="N54" i="49"/>
  <c r="M54" i="49"/>
  <c r="O54" i="49" s="1"/>
  <c r="G72" i="69" l="1"/>
  <c r="G82" i="69" s="1"/>
  <c r="L72" i="69"/>
  <c r="L82" i="69" s="1"/>
  <c r="E89" i="69" s="1"/>
  <c r="AF2" i="6"/>
  <c r="AZ47" i="70"/>
  <c r="AG2" i="6" s="1"/>
  <c r="AZ48" i="70"/>
  <c r="AG3" i="6" s="1"/>
  <c r="AF3" i="6"/>
  <c r="E75" i="70"/>
  <c r="E85" i="70" s="1"/>
  <c r="G75" i="70"/>
  <c r="G85" i="70" s="1"/>
  <c r="J75" i="70"/>
  <c r="J85" i="70" s="1"/>
  <c r="K75" i="70"/>
  <c r="K85" i="70" s="1"/>
  <c r="M75" i="70"/>
  <c r="L75" i="70"/>
  <c r="L85" i="70" s="1"/>
  <c r="E92" i="70" s="1"/>
  <c r="H75" i="70"/>
  <c r="H85" i="70" s="1"/>
  <c r="I75" i="70"/>
  <c r="I85" i="70" s="1"/>
  <c r="F75" i="70"/>
  <c r="F85" i="70" s="1"/>
  <c r="K72" i="70"/>
  <c r="K82" i="70" s="1"/>
  <c r="AZ49" i="70"/>
  <c r="AG2" i="12" s="1"/>
  <c r="AF2" i="12"/>
  <c r="M72" i="70"/>
  <c r="G72" i="70"/>
  <c r="G82" i="70" s="1"/>
  <c r="AZ50" i="70"/>
  <c r="AG3" i="12" s="1"/>
  <c r="AF3" i="12"/>
  <c r="I72" i="70"/>
  <c r="I82" i="70" s="1"/>
  <c r="L72" i="70"/>
  <c r="L82" i="70" s="1"/>
  <c r="E89" i="70" s="1"/>
  <c r="H72" i="70"/>
  <c r="H82" i="70" s="1"/>
  <c r="F72" i="70"/>
  <c r="F82" i="70" s="1"/>
  <c r="J72" i="70"/>
  <c r="J82" i="70" s="1"/>
  <c r="N73" i="70"/>
  <c r="M83" i="70"/>
  <c r="G74" i="70"/>
  <c r="G84" i="70" s="1"/>
  <c r="M74" i="70"/>
  <c r="F74" i="70"/>
  <c r="F84" i="70" s="1"/>
  <c r="K74" i="70"/>
  <c r="K84" i="70" s="1"/>
  <c r="J74" i="70"/>
  <c r="J84" i="70" s="1"/>
  <c r="E74" i="70"/>
  <c r="E84" i="70" s="1"/>
  <c r="L74" i="70"/>
  <c r="L84" i="70" s="1"/>
  <c r="E91" i="70" s="1"/>
  <c r="I74" i="70"/>
  <c r="I84" i="70" s="1"/>
  <c r="H74" i="70"/>
  <c r="H84" i="70" s="1"/>
  <c r="N83" i="69"/>
  <c r="F91" i="69"/>
  <c r="N84" i="69"/>
  <c r="N72" i="69"/>
  <c r="E82" i="69"/>
  <c r="N82" i="69" s="1"/>
  <c r="N75" i="69"/>
  <c r="E85" i="69"/>
  <c r="N74" i="69"/>
  <c r="N55" i="49"/>
  <c r="M55" i="49"/>
  <c r="O55" i="49" s="1"/>
  <c r="M85" i="70" l="1"/>
  <c r="N75" i="70"/>
  <c r="O83" i="70"/>
  <c r="F90" i="70" s="1"/>
  <c r="G90" i="70" s="1"/>
  <c r="H90" i="70" s="1"/>
  <c r="I90" i="70" s="1"/>
  <c r="J90" i="70" s="1"/>
  <c r="K90" i="70" s="1"/>
  <c r="L90" i="70" s="1"/>
  <c r="M90" i="70" s="1"/>
  <c r="N90" i="70" s="1"/>
  <c r="O90" i="70" s="1"/>
  <c r="P90" i="70" s="1"/>
  <c r="Q90" i="70" s="1"/>
  <c r="R90" i="70" s="1"/>
  <c r="S90" i="70" s="1"/>
  <c r="T90" i="70" s="1"/>
  <c r="U90" i="70" s="1"/>
  <c r="V90" i="70" s="1"/>
  <c r="W90" i="70" s="1"/>
  <c r="X90" i="70" s="1"/>
  <c r="Y90" i="70" s="1"/>
  <c r="Z90" i="70" s="1"/>
  <c r="AA90" i="70" s="1"/>
  <c r="AB90" i="70" s="1"/>
  <c r="AC90" i="70" s="1"/>
  <c r="AD90" i="70" s="1"/>
  <c r="AE90" i="70" s="1"/>
  <c r="AF90" i="70" s="1"/>
  <c r="AG90" i="70" s="1"/>
  <c r="AH90" i="70" s="1"/>
  <c r="AI90" i="70" s="1"/>
  <c r="AJ90" i="70" s="1"/>
  <c r="N83" i="70"/>
  <c r="M84" i="70"/>
  <c r="N74" i="70"/>
  <c r="N72" i="70"/>
  <c r="M82" i="70"/>
  <c r="G91" i="69"/>
  <c r="O82" i="69"/>
  <c r="F89" i="69" s="1"/>
  <c r="O85" i="69"/>
  <c r="F92" i="69" s="1"/>
  <c r="N85" i="69"/>
  <c r="N56" i="49"/>
  <c r="M56" i="49"/>
  <c r="O56" i="49" s="1"/>
  <c r="O82" i="70" l="1"/>
  <c r="F89" i="70" s="1"/>
  <c r="G89" i="70" s="1"/>
  <c r="H89" i="70" s="1"/>
  <c r="I89" i="70" s="1"/>
  <c r="J89" i="70" s="1"/>
  <c r="K89" i="70" s="1"/>
  <c r="L89" i="70" s="1"/>
  <c r="M89" i="70" s="1"/>
  <c r="N89" i="70" s="1"/>
  <c r="O89" i="70" s="1"/>
  <c r="P89" i="70" s="1"/>
  <c r="Q89" i="70" s="1"/>
  <c r="R89" i="70" s="1"/>
  <c r="S89" i="70" s="1"/>
  <c r="T89" i="70" s="1"/>
  <c r="U89" i="70" s="1"/>
  <c r="V89" i="70" s="1"/>
  <c r="W89" i="70" s="1"/>
  <c r="X89" i="70" s="1"/>
  <c r="Y89" i="70" s="1"/>
  <c r="Z89" i="70" s="1"/>
  <c r="AA89" i="70" s="1"/>
  <c r="AB89" i="70" s="1"/>
  <c r="AC89" i="70" s="1"/>
  <c r="AD89" i="70" s="1"/>
  <c r="AE89" i="70" s="1"/>
  <c r="AF89" i="70" s="1"/>
  <c r="AG89" i="70" s="1"/>
  <c r="AH89" i="70" s="1"/>
  <c r="AI89" i="70" s="1"/>
  <c r="AJ89" i="70" s="1"/>
  <c r="N82" i="70"/>
  <c r="O84" i="70"/>
  <c r="F91" i="70" s="1"/>
  <c r="G91" i="70" s="1"/>
  <c r="H91" i="70" s="1"/>
  <c r="I91" i="70" s="1"/>
  <c r="J91" i="70" s="1"/>
  <c r="K91" i="70" s="1"/>
  <c r="L91" i="70" s="1"/>
  <c r="M91" i="70" s="1"/>
  <c r="N91" i="70" s="1"/>
  <c r="O91" i="70" s="1"/>
  <c r="P91" i="70" s="1"/>
  <c r="Q91" i="70" s="1"/>
  <c r="R91" i="70" s="1"/>
  <c r="S91" i="70" s="1"/>
  <c r="T91" i="70" s="1"/>
  <c r="U91" i="70" s="1"/>
  <c r="V91" i="70" s="1"/>
  <c r="W91" i="70" s="1"/>
  <c r="X91" i="70" s="1"/>
  <c r="Y91" i="70" s="1"/>
  <c r="Z91" i="70" s="1"/>
  <c r="AA91" i="70" s="1"/>
  <c r="AB91" i="70" s="1"/>
  <c r="AC91" i="70" s="1"/>
  <c r="AD91" i="70" s="1"/>
  <c r="AE91" i="70" s="1"/>
  <c r="AF91" i="70" s="1"/>
  <c r="AG91" i="70" s="1"/>
  <c r="AH91" i="70" s="1"/>
  <c r="AI91" i="70" s="1"/>
  <c r="AJ91" i="70" s="1"/>
  <c r="N84" i="70"/>
  <c r="O85" i="70"/>
  <c r="F92" i="70" s="1"/>
  <c r="G92" i="70" s="1"/>
  <c r="H92" i="70" s="1"/>
  <c r="I92" i="70" s="1"/>
  <c r="J92" i="70" s="1"/>
  <c r="K92" i="70" s="1"/>
  <c r="L92" i="70" s="1"/>
  <c r="M92" i="70" s="1"/>
  <c r="N92" i="70" s="1"/>
  <c r="O92" i="70" s="1"/>
  <c r="P92" i="70" s="1"/>
  <c r="Q92" i="70" s="1"/>
  <c r="R92" i="70" s="1"/>
  <c r="S92" i="70" s="1"/>
  <c r="T92" i="70" s="1"/>
  <c r="U92" i="70" s="1"/>
  <c r="V92" i="70" s="1"/>
  <c r="W92" i="70" s="1"/>
  <c r="X92" i="70" s="1"/>
  <c r="Y92" i="70" s="1"/>
  <c r="Z92" i="70" s="1"/>
  <c r="AA92" i="70" s="1"/>
  <c r="AB92" i="70" s="1"/>
  <c r="AC92" i="70" s="1"/>
  <c r="AD92" i="70" s="1"/>
  <c r="AE92" i="70" s="1"/>
  <c r="AF92" i="70" s="1"/>
  <c r="AG92" i="70" s="1"/>
  <c r="AH92" i="70" s="1"/>
  <c r="AI92" i="70" s="1"/>
  <c r="AJ92" i="70" s="1"/>
  <c r="N85" i="70"/>
  <c r="G92" i="69"/>
  <c r="G89" i="69"/>
  <c r="H91" i="69"/>
  <c r="N57" i="49"/>
  <c r="M57" i="49"/>
  <c r="O57" i="49" s="1"/>
  <c r="M63" i="49"/>
  <c r="O63" i="49" s="1"/>
  <c r="H89" i="69" l="1"/>
  <c r="I91" i="69"/>
  <c r="H92" i="69"/>
  <c r="N58" i="49"/>
  <c r="M58" i="49"/>
  <c r="O58" i="49" s="1"/>
  <c r="J91" i="69" l="1"/>
  <c r="I92" i="69"/>
  <c r="I89" i="69"/>
  <c r="N59" i="49"/>
  <c r="M59" i="49"/>
  <c r="O59" i="49" s="1"/>
  <c r="J89" i="69" l="1"/>
  <c r="J92" i="69"/>
  <c r="K91" i="69"/>
  <c r="N60" i="49"/>
  <c r="M60" i="49"/>
  <c r="O60" i="49" s="1"/>
  <c r="L91" i="69" l="1"/>
  <c r="K92" i="69"/>
  <c r="K89" i="69"/>
  <c r="N61" i="49"/>
  <c r="M61" i="49"/>
  <c r="O61" i="49" s="1"/>
  <c r="L89" i="69" l="1"/>
  <c r="L92" i="69"/>
  <c r="M91" i="69"/>
  <c r="N62" i="49"/>
  <c r="M62" i="49"/>
  <c r="O62" i="49" s="1"/>
  <c r="N91" i="69" l="1"/>
  <c r="M92" i="69"/>
  <c r="M89" i="69"/>
  <c r="N89" i="69" l="1"/>
  <c r="N92" i="69"/>
  <c r="O91" i="69"/>
  <c r="P91" i="69" l="1"/>
  <c r="O92" i="69"/>
  <c r="O89" i="69"/>
  <c r="P89" i="69" l="1"/>
  <c r="P92" i="69"/>
  <c r="Q91" i="69"/>
  <c r="R91" i="69" l="1"/>
  <c r="Q92" i="69"/>
  <c r="Q89" i="69"/>
  <c r="R89" i="69" l="1"/>
  <c r="R92" i="69"/>
  <c r="S91" i="69"/>
  <c r="T91" i="69" l="1"/>
  <c r="S92" i="69"/>
  <c r="S89" i="69"/>
  <c r="T89" i="69" l="1"/>
  <c r="T92" i="69"/>
  <c r="U91" i="69"/>
  <c r="U92" i="69" l="1"/>
  <c r="V91" i="69"/>
  <c r="U89" i="69"/>
  <c r="V89" i="69" l="1"/>
  <c r="W91" i="69"/>
  <c r="V92" i="69"/>
  <c r="W92" i="69" l="1"/>
  <c r="X91" i="69"/>
  <c r="W89" i="69"/>
  <c r="Y91" i="69" l="1"/>
  <c r="X89" i="69"/>
  <c r="X92" i="69"/>
  <c r="Y92" i="69" l="1"/>
  <c r="Y89" i="69"/>
  <c r="Z91" i="69"/>
  <c r="AA91" i="69" l="1"/>
  <c r="Z89" i="69"/>
  <c r="Z92" i="69"/>
  <c r="AA92" i="69" l="1"/>
  <c r="AA89" i="69"/>
  <c r="AB91" i="69"/>
  <c r="AC91" i="69" l="1"/>
  <c r="AB89" i="69"/>
  <c r="AB92" i="69"/>
  <c r="AC92" i="69" l="1"/>
  <c r="AC89" i="69"/>
  <c r="AD91" i="69"/>
  <c r="AE91" i="69" l="1"/>
  <c r="AD89" i="69"/>
  <c r="AD92" i="69"/>
  <c r="AE92" i="69" l="1"/>
  <c r="AE89" i="69"/>
  <c r="AF91" i="69"/>
  <c r="AG91" i="69" l="1"/>
  <c r="AF89" i="69"/>
  <c r="AF92" i="69"/>
  <c r="AG89" i="69" l="1"/>
  <c r="AG92" i="69"/>
  <c r="AH91" i="69"/>
  <c r="AI91" i="69" l="1"/>
  <c r="AH92" i="69"/>
  <c r="AH89" i="69"/>
  <c r="AI89" i="69" l="1"/>
  <c r="AI92" i="69"/>
  <c r="AJ91" i="69"/>
  <c r="AJ92" i="69" l="1"/>
  <c r="AJ89" i="6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tc={82B9F4F3-698D-49EB-89D7-EF466F2D2750}</author>
  </authors>
  <commentList>
    <comment ref="AE2" authorId="0" shapeId="0" xr:uid="{82B9F4F3-698D-49EB-89D7-EF466F2D275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 - source data shows a spike in 2021 across nearly all vehicle types. This will be apparent in the start year for EPS outputs</t>
      </text>
    </comment>
  </commentList>
</comments>
</file>

<file path=xl/sharedStrings.xml><?xml version="1.0" encoding="utf-8"?>
<sst xmlns="http://schemas.openxmlformats.org/spreadsheetml/2006/main" count="2015" uniqueCount="866">
  <si>
    <t>BAADTbVT BAU Average Annual Dist Traveled by Vehicle Type</t>
  </si>
  <si>
    <t>Source:</t>
  </si>
  <si>
    <t>Vehicle Mileage</t>
    <phoneticPr fontId="43" type="noConversion"/>
  </si>
  <si>
    <t>KOSIS</t>
    <phoneticPr fontId="43" type="noConversion"/>
  </si>
  <si>
    <t>2012 - 2019</t>
    <phoneticPr fontId="43" type="noConversion"/>
  </si>
  <si>
    <t>Estimate CAGR based on annual vehicle mileage</t>
    <phoneticPr fontId="43" type="noConversion"/>
  </si>
  <si>
    <t>https://kosis.kr/statHtml/statHtml.do?orgId=426&amp;tblId=DT_42601_N002&amp;conn_path=I3</t>
    <phoneticPr fontId="43" type="noConversion"/>
  </si>
  <si>
    <t>Railway passenger transport by type</t>
    <phoneticPr fontId="43" type="noConversion"/>
  </si>
  <si>
    <t>2019 - 2021.07</t>
    <phoneticPr fontId="43" type="noConversion"/>
  </si>
  <si>
    <t>http://www.kric.go.kr/jsp/industry/rss/railcarkindpassList.jsp?q_fdate=2019</t>
    <phoneticPr fontId="43" type="noConversion"/>
  </si>
  <si>
    <t>http://www.kric.go.kr/jsp/industry/rss/railcarkindpassList.jsp?q_fdate=2020</t>
    <phoneticPr fontId="43" type="noConversion"/>
  </si>
  <si>
    <t>http://www.kric.go.kr/jsp/industry/rss/railcarkindpassList.jsp?q_fdate=2021</t>
    <phoneticPr fontId="43" type="noConversion"/>
  </si>
  <si>
    <t>Annual and montly railway cargo transport</t>
    <phoneticPr fontId="43" type="noConversion"/>
  </si>
  <si>
    <t>2019 - 2021.04</t>
    <phoneticPr fontId="43" type="noConversion"/>
  </si>
  <si>
    <t>http://www.kric.go.kr/jsp/industry/rss/railcargoitemList.jsp?q_fdate=2019</t>
    <phoneticPr fontId="43" type="noConversion"/>
  </si>
  <si>
    <t>http://www.kric.go.kr/jsp/industry/rss/railcargoitemList.jsp?q_fdate=2020</t>
    <phoneticPr fontId="43" type="noConversion"/>
  </si>
  <si>
    <t>http://www.kric.go.kr/jsp/industry/rss/railcargoitemList.jsp?q_fdate=2021</t>
    <phoneticPr fontId="43" type="noConversion"/>
  </si>
  <si>
    <t>Air passengers and freight transport by airline</t>
    <phoneticPr fontId="43" type="noConversion"/>
  </si>
  <si>
    <t>AirPortal</t>
    <phoneticPr fontId="43" type="noConversion"/>
  </si>
  <si>
    <t>2019 - 2021.08</t>
    <phoneticPr fontId="43" type="noConversion"/>
  </si>
  <si>
    <t>Passenger (person), cargo (ton) data</t>
    <phoneticPr fontId="43" type="noConversion"/>
  </si>
  <si>
    <t>https://www.airportal.go.kr/knowledge/statsnew/air/airline.jsp</t>
    <phoneticPr fontId="43" type="noConversion"/>
  </si>
  <si>
    <t>Air Freight Transportation Outlook in 2018-2048 in Asia</t>
    <phoneticPr fontId="43" type="noConversion"/>
  </si>
  <si>
    <t>ICAO</t>
    <phoneticPr fontId="43" type="noConversion"/>
  </si>
  <si>
    <t>2018 - 2048 CAGR</t>
    <phoneticPr fontId="43" type="noConversion"/>
  </si>
  <si>
    <t>https://www.icao.int/sustainability/pages/eap-fp-forecast-scheduled-passenger-traffic.aspx</t>
    <phoneticPr fontId="43" type="noConversion"/>
  </si>
  <si>
    <t>Prospect of domestic air transportation industry</t>
    <phoneticPr fontId="43" type="noConversion"/>
  </si>
  <si>
    <t>KOTI</t>
    <phoneticPr fontId="43" type="noConversion"/>
  </si>
  <si>
    <t>Recovery of the air transportation industry from Covid 19</t>
    <phoneticPr fontId="43" type="noConversion"/>
  </si>
  <si>
    <t>https://www.koti.re.kr/component/file/ND_fileDownload.do?q_fileSn=300566&amp;q_fileId=a5ad1a58-bf4e-400b-907e-251373ddb349</t>
    <phoneticPr fontId="43" type="noConversion"/>
  </si>
  <si>
    <t xml:space="preserve">Page 8, IATA Recovery Outlook </t>
    <phoneticPr fontId="43" type="noConversion"/>
  </si>
  <si>
    <t>Cargo statistics of ports</t>
    <phoneticPr fontId="43" type="noConversion"/>
  </si>
  <si>
    <t>Ministry of Oceans and Fisheries, PORT-MIS</t>
    <phoneticPr fontId="43" type="noConversion"/>
  </si>
  <si>
    <t>Port Logistics Statistics&gt; Vessel Arrival/Departure (by port)</t>
    <phoneticPr fontId="43" type="noConversion"/>
  </si>
  <si>
    <t>https://new.portmis.go.kr/portmis/websquare/websquare.jsp?w2xPath=/portmis/w2/main/intro.xml</t>
    <phoneticPr fontId="43" type="noConversion"/>
  </si>
  <si>
    <t>Domestic Shipping Cargo Outlook</t>
    <phoneticPr fontId="43" type="noConversion"/>
  </si>
  <si>
    <t>Asia-Pacific Journal of Busines</t>
    <phoneticPr fontId="43" type="noConversion"/>
  </si>
  <si>
    <t>https://www.koreascience.or.kr/article/JAKO201823965854203.pdf</t>
    <phoneticPr fontId="43" type="noConversion"/>
  </si>
  <si>
    <t>Page 7</t>
    <phoneticPr fontId="43" type="noConversion"/>
  </si>
  <si>
    <t>Notes</t>
  </si>
  <si>
    <t>Aircraft passenger transport recovers from Covid 19 impacts to the 2019 levels by 2024</t>
    <phoneticPr fontId="43" type="noConversion"/>
  </si>
  <si>
    <t>All other transport types (Road, Rail, Ships, Motorbikes) recover by 2022</t>
    <phoneticPr fontId="43" type="noConversion"/>
  </si>
  <si>
    <t>Estimated based on Vehicle, Rail, Ships psgr 2012-2019 CAGR</t>
    <phoneticPr fontId="43" type="noConversion"/>
  </si>
  <si>
    <t>For aircrft, we used estimated CAGR of ICAO</t>
    <phoneticPr fontId="43" type="noConversion"/>
  </si>
  <si>
    <t>For ships freight, we used CAGR of the international shipping industry</t>
    <phoneticPr fontId="43" type="noConversion"/>
  </si>
  <si>
    <t>Motorbikes = 1, as there is no data in Korea</t>
    <phoneticPr fontId="43" type="noConversion"/>
  </si>
  <si>
    <t>Start Year</t>
  </si>
  <si>
    <t>1km</t>
    <phoneticPr fontId="43" type="noConversion"/>
  </si>
  <si>
    <t>miles</t>
    <phoneticPr fontId="43" type="noConversion"/>
  </si>
  <si>
    <t>1year</t>
    <phoneticPr fontId="43" type="noConversion"/>
  </si>
  <si>
    <t>days</t>
    <phoneticPr fontId="43" type="noConversion"/>
  </si>
  <si>
    <t xml:space="preserve">Based on some basic curve fitting, we determined that extrapolating </t>
  </si>
  <si>
    <t>passenger LDV, freight LDV, and freight HDV growth with a linear trend</t>
  </si>
  <si>
    <t>was most fitting. However, for passenger HDVs we determined that</t>
  </si>
  <si>
    <t xml:space="preserve">an exponential trend was most fitting. </t>
  </si>
  <si>
    <t>&lt; 자동차 등록현황(총 계) &gt;</t>
    <phoneticPr fontId="47" type="noConversion"/>
  </si>
  <si>
    <t>조회년월: 2024.12</t>
    <phoneticPr fontId="43" type="noConversion"/>
  </si>
  <si>
    <t>차 종 별</t>
  </si>
  <si>
    <t>합계</t>
  </si>
  <si>
    <t>총계</t>
  </si>
  <si>
    <t>승용차합계</t>
  </si>
  <si>
    <t>승용일반형 계</t>
  </si>
  <si>
    <t>승용일반형 국산 소계</t>
  </si>
  <si>
    <t>승용일반형 국산 800CC미만</t>
  </si>
  <si>
    <t>승용일반형 국산 1000CC미만</t>
  </si>
  <si>
    <t>승용일반형 국산 1500CC미만</t>
  </si>
  <si>
    <t>승용일반형 국산 2000CC미만</t>
  </si>
  <si>
    <t>승용일반형 국산 2500CC미만</t>
  </si>
  <si>
    <t>승용일반형 국산 3000CC미만</t>
  </si>
  <si>
    <t>승용일반형 국산 3500CC미만</t>
  </si>
  <si>
    <t>승용일반형 국산 4000CC미만</t>
  </si>
  <si>
    <t>승용일반형 국산 4500CC미만</t>
  </si>
  <si>
    <t>승용일반형 국산 5000CC미만</t>
  </si>
  <si>
    <t>승용일반형 국산 5000CC이상</t>
  </si>
  <si>
    <t>승용일반형 국산 저속전기</t>
  </si>
  <si>
    <t>승용일반형 국산 전기</t>
  </si>
  <si>
    <t>승용일반형 외산 소계</t>
  </si>
  <si>
    <t>승용일반형 외산 800CC미만</t>
  </si>
  <si>
    <t>승용일반형 외산 1000CC미만</t>
  </si>
  <si>
    <t>승용일반형 외산 1500CC미만</t>
  </si>
  <si>
    <t>승용일반형 외산 2000CC미만</t>
  </si>
  <si>
    <t>승용일반형 외산 2500CC미만</t>
  </si>
  <si>
    <t>승용일반형 외산 3000CC미만</t>
  </si>
  <si>
    <t>승용일반형 외산 3500CC미만</t>
  </si>
  <si>
    <t>승용일반형 외산 4000CC미만</t>
  </si>
  <si>
    <t>승용일반형 외산 4500CC미만</t>
  </si>
  <si>
    <t>승용일반형 외산 5000CC미만</t>
  </si>
  <si>
    <t>승용일반형 외산 5000CC이상</t>
  </si>
  <si>
    <t>승용일반형 외산 저속전기</t>
  </si>
  <si>
    <t>승용일반형 외산 전기</t>
  </si>
  <si>
    <t>승용겸 화물 계</t>
  </si>
  <si>
    <t>승용겸 화물 1500CC미만</t>
  </si>
  <si>
    <t>승용겸 화물 2000CC미만</t>
  </si>
  <si>
    <t>승용겸 화물 2500CC미만</t>
  </si>
  <si>
    <t>승용겸 화물 3000CC미만</t>
  </si>
  <si>
    <t>승용겸 화물 3500CC미만</t>
  </si>
  <si>
    <t>승용겸 화물 3500CC이상</t>
  </si>
  <si>
    <t>승용겸 화물 저속전기</t>
  </si>
  <si>
    <t>승용겸 화물 전기</t>
  </si>
  <si>
    <t>승용다목적형 계</t>
  </si>
  <si>
    <t>승용다목적형 1500CC미만</t>
  </si>
  <si>
    <t>승용다목적형 2000CC미만</t>
  </si>
  <si>
    <t>승용다목적형 2500CC미만</t>
  </si>
  <si>
    <t>승용다목적형 3000CC미만</t>
  </si>
  <si>
    <t>승용다목적형 3500CC미만</t>
  </si>
  <si>
    <t>승용다목적형 3500CC이상</t>
  </si>
  <si>
    <t>승용다목적형 저속전기</t>
  </si>
  <si>
    <t>승용다목적형 전기</t>
  </si>
  <si>
    <t>승용기타형 계</t>
  </si>
  <si>
    <t>승용기타형 1500CC미만</t>
  </si>
  <si>
    <t>승용기타형 2000CC미만</t>
  </si>
  <si>
    <t>승용기타형 2500CC미만</t>
  </si>
  <si>
    <t>승용기타형 3000CC미만</t>
  </si>
  <si>
    <t>승용기타형 3500CC미만</t>
  </si>
  <si>
    <t>승용기타형 3500CC이상</t>
  </si>
  <si>
    <t>승용기타형 저속전기</t>
  </si>
  <si>
    <t>승용기타형 전기</t>
  </si>
  <si>
    <t>승합차 합계</t>
  </si>
  <si>
    <t>승합일반형 계</t>
  </si>
  <si>
    <t>시내버스</t>
  </si>
  <si>
    <t>시외버스</t>
  </si>
  <si>
    <t>전세버스</t>
  </si>
  <si>
    <t>고속버스</t>
  </si>
  <si>
    <t>농어촌버스</t>
  </si>
  <si>
    <t>마을버스</t>
  </si>
  <si>
    <t>승합일반기타형 계</t>
  </si>
  <si>
    <t>승합일반 15인 이하</t>
  </si>
  <si>
    <t>승합일반 25인 이하</t>
  </si>
  <si>
    <t>승합일반 35인 이하</t>
  </si>
  <si>
    <t>승합일반 50인 이하</t>
  </si>
  <si>
    <t>승합일반 51인 이상</t>
  </si>
  <si>
    <t>승합특수형 계</t>
  </si>
  <si>
    <t>구급차</t>
  </si>
  <si>
    <t>장의차</t>
  </si>
  <si>
    <t>헌혈, 채혈차</t>
  </si>
  <si>
    <t>방송, 보도용차</t>
  </si>
  <si>
    <t>승합피견인형</t>
  </si>
  <si>
    <t>승합특수형 기타</t>
  </si>
  <si>
    <t>화물자동차 합계</t>
  </si>
  <si>
    <t>화물일반형 계</t>
  </si>
  <si>
    <t>화물 픽업형</t>
  </si>
  <si>
    <t>화물카고형 계</t>
  </si>
  <si>
    <t>화물카고형 1톤 이하</t>
  </si>
  <si>
    <t>화물카고형 3톤 이하</t>
  </si>
  <si>
    <t>화물카고형 5톤 미만</t>
  </si>
  <si>
    <t>화물카고형 8톤 미만</t>
  </si>
  <si>
    <t>화물카고형 10톤 미만</t>
  </si>
  <si>
    <t>화물카고형 12톤 미만</t>
  </si>
  <si>
    <t>화물카고형 12톤 이상</t>
  </si>
  <si>
    <t>화물덤프형 계</t>
  </si>
  <si>
    <t>화물덤프형 1톤 이하</t>
  </si>
  <si>
    <t>화물덤프형 5톤 미만</t>
  </si>
  <si>
    <t>화물덤프형 12톤 미만</t>
  </si>
  <si>
    <t>화물덤프형 12톤 이상</t>
  </si>
  <si>
    <t>화물 밴형 계</t>
  </si>
  <si>
    <t>화물밴형 1톤 이하</t>
  </si>
  <si>
    <t>화물밴형 5톤 미만</t>
  </si>
  <si>
    <t>화물밴형 5톤 이상</t>
  </si>
  <si>
    <t>화물특수용도형 계</t>
  </si>
  <si>
    <t>화물특수용도형(청소자)</t>
  </si>
  <si>
    <t>화물특수용도형(노면청소차)</t>
  </si>
  <si>
    <t>화물특수용도형(살수차)</t>
  </si>
  <si>
    <t>화물특수용도형(소방차)</t>
  </si>
  <si>
    <t>화물특수용도형(냉장,냉동차)</t>
  </si>
  <si>
    <t>화물특수용도형(곡물,사료운반)</t>
  </si>
  <si>
    <t>유조차 소계</t>
  </si>
  <si>
    <t>유조차(항공유)</t>
  </si>
  <si>
    <t>유조차(휘발유)</t>
  </si>
  <si>
    <t>유조차(등유, 경유)</t>
  </si>
  <si>
    <t>유조차(방카C유)</t>
  </si>
  <si>
    <t>유조차(기타)</t>
  </si>
  <si>
    <t>탱크로리 소계</t>
  </si>
  <si>
    <t>탱크로리(식수, 음료)</t>
  </si>
  <si>
    <t>탱크로리(압축가스)</t>
  </si>
  <si>
    <t>탱크로리(화공약품)</t>
  </si>
  <si>
    <t>탱크로리(기타)</t>
  </si>
  <si>
    <t>피견인차 소계</t>
  </si>
  <si>
    <t>피견인차(적재함형)</t>
  </si>
  <si>
    <t>피견인차(저상형)</t>
  </si>
  <si>
    <t>피견인차(평판형)</t>
  </si>
  <si>
    <t>피견인차(콘테이너샤시)</t>
  </si>
  <si>
    <t>피견인차(기타)</t>
  </si>
  <si>
    <t>화물특수용도형(기타)</t>
  </si>
  <si>
    <t>특수자동차 합계</t>
  </si>
  <si>
    <t>구난차 계</t>
  </si>
  <si>
    <t>구난차 5톤 이하</t>
  </si>
  <si>
    <t>구난차 10톤 미만</t>
  </si>
  <si>
    <t>구난차 10톤 이상</t>
  </si>
  <si>
    <t>견인차 계</t>
  </si>
  <si>
    <t>견인차 5톤 이하</t>
  </si>
  <si>
    <t>견인차 10톤 미만</t>
  </si>
  <si>
    <t>견인차 10톤 이상</t>
  </si>
  <si>
    <t>특수작업형 계</t>
  </si>
  <si>
    <t>특수작업형(고소작업차)</t>
  </si>
  <si>
    <t>특수작업형(고가사다리소방차)</t>
  </si>
  <si>
    <t>특수작업형(오가크레인)</t>
  </si>
  <si>
    <t>특수작업형(피견인형)</t>
  </si>
  <si>
    <t>특수작업형(기타)</t>
  </si>
  <si>
    <t>규모별주행거리_1일주행거리현황(km/대)</t>
  </si>
  <si>
    <t>용도별</t>
  </si>
  <si>
    <t>차종별</t>
  </si>
  <si>
    <t>유형별</t>
  </si>
  <si>
    <t>규모별</t>
  </si>
  <si>
    <t>주행거리(km)</t>
    <phoneticPr fontId="43" type="noConversion"/>
  </si>
  <si>
    <t>Cal</t>
    <phoneticPr fontId="43" type="noConversion"/>
  </si>
  <si>
    <t>전국</t>
  </si>
  <si>
    <t>규모별 대수</t>
    <phoneticPr fontId="43" type="noConversion"/>
  </si>
  <si>
    <t>주행거리
(가중평균)</t>
    <phoneticPr fontId="43" type="noConversion"/>
  </si>
  <si>
    <t>비고</t>
    <phoneticPr fontId="43" type="noConversion"/>
  </si>
  <si>
    <t>전체</t>
  </si>
  <si>
    <t>계</t>
  </si>
  <si>
    <t>승용차</t>
  </si>
  <si>
    <t>일반형</t>
  </si>
  <si>
    <t>경형</t>
  </si>
  <si>
    <t>소형</t>
  </si>
  <si>
    <t>중형</t>
  </si>
  <si>
    <t>대형</t>
  </si>
  <si>
    <t>다목적형</t>
  </si>
  <si>
    <t>기타형</t>
  </si>
  <si>
    <t>LDV,HDV 합쳐져있음</t>
    <phoneticPr fontId="43" type="noConversion"/>
  </si>
  <si>
    <t>승합차</t>
  </si>
  <si>
    <t>특수용도형</t>
  </si>
  <si>
    <t>LDV,HDV 합쳐져있음: 구급, 장의차를 SYVbT에서는 LDV로 분류(오차 6523대)</t>
    <phoneticPr fontId="43" type="noConversion"/>
  </si>
  <si>
    <t>화물차</t>
  </si>
  <si>
    <t>덤프형</t>
  </si>
  <si>
    <t>밴형</t>
  </si>
  <si>
    <t>모두 LDVs(오차 210대)</t>
  </si>
  <si>
    <t>모두 HDV</t>
    <phoneticPr fontId="43" type="noConversion"/>
  </si>
  <si>
    <t>특수차</t>
  </si>
  <si>
    <t>견인형</t>
  </si>
  <si>
    <t>모두 HDVs</t>
    <phoneticPr fontId="43" type="noConversion"/>
  </si>
  <si>
    <t>구난형</t>
  </si>
  <si>
    <t>모두 LDVs(오차 200대)</t>
    <phoneticPr fontId="43" type="noConversion"/>
  </si>
  <si>
    <t>특수작업형</t>
  </si>
  <si>
    <t>자동차등록용도별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</si>
  <si>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</si>
  <si>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</si>
  <si>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</si>
  <si>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</si>
  <si>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</si>
  <si>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</si>
  <si>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</si>
  <si>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</si>
  <si>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</si>
  <si>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1일 평균주행거리 (㎞/대)</t>
  </si>
  <si>
    <t>규모별 대수(2019)</t>
    <phoneticPr fontId="43" type="noConversion"/>
  </si>
  <si>
    <t/>
  </si>
  <si>
    <t>year</t>
    <phoneticPr fontId="43" type="noConversion"/>
  </si>
  <si>
    <t>freight-LDVs</t>
    <phoneticPr fontId="43" type="noConversion"/>
  </si>
  <si>
    <t>freight-HDVs</t>
    <phoneticPr fontId="43" type="noConversion"/>
  </si>
  <si>
    <t>차종별 차량 대수(2019)</t>
    <phoneticPr fontId="43" type="noConversion"/>
  </si>
  <si>
    <t>passenger-LDVs</t>
    <phoneticPr fontId="43" type="noConversion"/>
  </si>
  <si>
    <t>승용</t>
    <phoneticPr fontId="43" type="noConversion"/>
  </si>
  <si>
    <t>일반(경,소,중)</t>
    <phoneticPr fontId="43" type="noConversion"/>
  </si>
  <si>
    <t>다목적(중)</t>
    <phoneticPr fontId="43" type="noConversion"/>
  </si>
  <si>
    <t>승합</t>
    <phoneticPr fontId="43" type="noConversion"/>
  </si>
  <si>
    <t>일반(소,중)</t>
    <phoneticPr fontId="43" type="noConversion"/>
  </si>
  <si>
    <t>passenger-HDVs</t>
    <phoneticPr fontId="43" type="noConversion"/>
  </si>
  <si>
    <t>일반(대)</t>
    <phoneticPr fontId="43" type="noConversion"/>
  </si>
  <si>
    <t>다목적(대)</t>
    <phoneticPr fontId="43" type="noConversion"/>
  </si>
  <si>
    <t>기타(대)</t>
    <phoneticPr fontId="43" type="noConversion"/>
  </si>
  <si>
    <t>특수용</t>
    <phoneticPr fontId="43" type="noConversion"/>
  </si>
  <si>
    <t>CAGR</t>
  </si>
  <si>
    <t>psgr</t>
    <phoneticPr fontId="43" type="noConversion"/>
  </si>
  <si>
    <t>LDVs</t>
    <phoneticPr fontId="43" type="noConversion"/>
  </si>
  <si>
    <t>HDVs</t>
    <phoneticPr fontId="43" type="noConversion"/>
  </si>
  <si>
    <t>frgt</t>
    <phoneticPr fontId="43" type="noConversion"/>
  </si>
  <si>
    <t>Average Annual Growth</t>
  </si>
  <si>
    <t>차종별 여객수송실적(월)</t>
  </si>
  <si>
    <t>연월/열차종별</t>
  </si>
  <si>
    <t>합계_수송인원(명)</t>
  </si>
  <si>
    <t>합계_인키로(km)</t>
  </si>
  <si>
    <t>KTX_수송인원(명)</t>
  </si>
  <si>
    <t>새마을_수송인원(명)</t>
  </si>
  <si>
    <t>무궁화_수송인원(명)</t>
  </si>
  <si>
    <t>통근열차_수송인원(명)</t>
  </si>
  <si>
    <t>누리로_수송인원(명)</t>
  </si>
  <si>
    <t>KTX산천_수송인원(명)</t>
  </si>
  <si>
    <t>ITX새마을_수송인원(명)</t>
  </si>
  <si>
    <t>ITX청춘열차_수송인원(명)</t>
  </si>
  <si>
    <t>KTX호남_수송인원(명)</t>
  </si>
  <si>
    <t>KTX_인키로(km)</t>
  </si>
  <si>
    <t>새마을_인키로(km)</t>
  </si>
  <si>
    <t>무궁화_인키로(km)</t>
  </si>
  <si>
    <t>통근열차_인키로(km)</t>
  </si>
  <si>
    <t>누리로_인키로(km)</t>
  </si>
  <si>
    <t>KTX산천_인키로(km)</t>
  </si>
  <si>
    <t>ITX새마을_인키로(km)</t>
  </si>
  <si>
    <t>ITX청춘열차_인키로(km)</t>
  </si>
  <si>
    <t>KTX호남_인키로(km)</t>
  </si>
  <si>
    <t>합 계</t>
  </si>
  <si>
    <t>2019-12</t>
  </si>
  <si>
    <t>2019-11</t>
  </si>
  <si>
    <t>2019-10</t>
  </si>
  <si>
    <t>2019-09</t>
  </si>
  <si>
    <t>2019-08</t>
  </si>
  <si>
    <t>2019-07</t>
  </si>
  <si>
    <t>2019-06</t>
  </si>
  <si>
    <t>2019-05</t>
  </si>
  <si>
    <t>2019-04</t>
  </si>
  <si>
    <t>2019-03</t>
  </si>
  <si>
    <t>2019-02</t>
  </si>
  <si>
    <t>2019-01</t>
  </si>
  <si>
    <t>Copyright ⓒ KRIC All Right Reserved.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</si>
  <si>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</si>
  <si>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</si>
  <si>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</si>
  <si>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</si>
  <si>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</si>
  <si>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</si>
  <si>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</si>
  <si>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</si>
  <si>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2020-04</t>
  </si>
  <si>
    <t>2020-03</t>
  </si>
  <si>
    <t>2020-02</t>
  </si>
  <si>
    <t>2020-01</t>
  </si>
  <si>
    <t>2021-07</t>
  </si>
  <si>
    <t>2021-06</t>
  </si>
  <si>
    <t>2021-05</t>
  </si>
  <si>
    <t>2021-04</t>
  </si>
  <si>
    <t>2021-03</t>
  </si>
  <si>
    <t>2021-02</t>
  </si>
  <si>
    <t>2021-01</t>
  </si>
  <si>
    <t>연도별 화물수송실적(월)</t>
  </si>
  <si>
    <t>연월</t>
  </si>
  <si>
    <t>컨테이너</t>
  </si>
  <si>
    <t>시멘트</t>
  </si>
  <si>
    <t>석탄</t>
  </si>
  <si>
    <t>유류</t>
  </si>
  <si>
    <t>광석</t>
  </si>
  <si>
    <t>철강</t>
  </si>
  <si>
    <t>일반기타</t>
  </si>
  <si>
    <t>건설</t>
  </si>
  <si>
    <t>사업용 (순수사업용, 위수탁사업용)</t>
  </si>
  <si>
    <t>Total</t>
  </si>
  <si>
    <t>Container</t>
  </si>
  <si>
    <t>Cement</t>
  </si>
  <si>
    <t>Coal</t>
  </si>
  <si>
    <t>Oil</t>
  </si>
  <si>
    <t>Ore</t>
  </si>
  <si>
    <t>Steel</t>
  </si>
  <si>
    <t>Other</t>
  </si>
  <si>
    <t>Business</t>
  </si>
  <si>
    <t>ton</t>
    <phoneticPr fontId="43" type="noConversion"/>
  </si>
  <si>
    <t>철도총괄지표</t>
    <phoneticPr fontId="43" type="noConversion"/>
  </si>
  <si>
    <t>지표별(1)</t>
  </si>
  <si>
    <t>지표별(2)</t>
  </si>
  <si>
    <t>CAGR</t>
    <phoneticPr fontId="43" type="noConversion"/>
  </si>
  <si>
    <t>여객수송실적</t>
  </si>
  <si>
    <t>인원 (명)</t>
  </si>
  <si>
    <t>인키로 (인/킬로미터)</t>
  </si>
  <si>
    <t>화물수송실적</t>
  </si>
  <si>
    <t>톤수 (톤)</t>
  </si>
  <si>
    <t>톤키로 (톤/킬로미터)</t>
  </si>
  <si>
    <t>승객수송실적</t>
    <phoneticPr fontId="43" type="noConversion"/>
  </si>
  <si>
    <t>1월-7월</t>
    <phoneticPr fontId="43" type="noConversion"/>
  </si>
  <si>
    <t>2019 대비</t>
    <phoneticPr fontId="43" type="noConversion"/>
  </si>
  <si>
    <t>1월</t>
    <phoneticPr fontId="43" type="noConversion"/>
  </si>
  <si>
    <t>2월</t>
    <phoneticPr fontId="43" type="noConversion"/>
  </si>
  <si>
    <t>3월</t>
    <phoneticPr fontId="43" type="noConversion"/>
  </si>
  <si>
    <t>4월</t>
    <phoneticPr fontId="43" type="noConversion"/>
  </si>
  <si>
    <t>5월</t>
  </si>
  <si>
    <t>6월</t>
  </si>
  <si>
    <t>7월</t>
  </si>
  <si>
    <t>화물수송실적</t>
    <phoneticPr fontId="43" type="noConversion"/>
  </si>
  <si>
    <t>1월-4월</t>
    <phoneticPr fontId="43" type="noConversion"/>
  </si>
  <si>
    <t>Notes</t>
    <phoneticPr fontId="43" type="noConversion"/>
  </si>
  <si>
    <t>2022년 이후 변화는 'BAADTbVT_Rail-CAGR'이용</t>
    <phoneticPr fontId="43" type="noConversion"/>
  </si>
  <si>
    <t>조회기간 : 2019.01 ~ 2019.08, 여객 : 전체, 화물 : 전체, 항공사 : 전체, 운항 : 전체, 노선 : 전체, 여객화물 : 전체</t>
  </si>
  <si>
    <t>항공사명</t>
  </si>
  <si>
    <t>공급(석)</t>
  </si>
  <si>
    <t>운항(편)</t>
  </si>
  <si>
    <t>여객(명)</t>
  </si>
  <si>
    <t>화물(톤)</t>
  </si>
  <si>
    <t>전체 합계</t>
  </si>
  <si>
    <t>국적사 계</t>
  </si>
  <si>
    <t>대한항공(KAL)</t>
  </si>
  <si>
    <t>아시아나항공(AAR)</t>
  </si>
  <si>
    <t>제주항공(JJA)</t>
  </si>
  <si>
    <t>진에어(JNA)</t>
  </si>
  <si>
    <t>에어부산(ABL)</t>
  </si>
  <si>
    <t>이스타항공(ESR)</t>
  </si>
  <si>
    <t>티웨이항공(TWB)</t>
  </si>
  <si>
    <t>에어인천(AIH)</t>
  </si>
  <si>
    <t>에어서울(ASV)</t>
  </si>
  <si>
    <t>외항사 계</t>
  </si>
  <si>
    <t>YTO 화물 항공사(HYT)</t>
  </si>
  <si>
    <t>가루다인도네시아(GIA)</t>
  </si>
  <si>
    <t>네덜란드항공(KLM)</t>
  </si>
  <si>
    <t>델타항공(DAL)</t>
  </si>
  <si>
    <t>라오항공(LAO)</t>
  </si>
  <si>
    <t>러시아항공(AFL)</t>
  </si>
  <si>
    <t>루프트한자항공(독일항공)(DLH)</t>
  </si>
  <si>
    <t>루프트한자화물항공(독일화물항공)(GEC)</t>
  </si>
  <si>
    <t>룽에어(CDC)</t>
  </si>
  <si>
    <t>말레이시아항공(MAS)</t>
  </si>
  <si>
    <t>몽골리안항공(MML)</t>
  </si>
  <si>
    <t>몽골항공(MGL)</t>
  </si>
  <si>
    <t>미국남부항공(SOO)</t>
  </si>
  <si>
    <t>배이에비에이션(BAV)</t>
  </si>
  <si>
    <t>베트남항공(HVN)</t>
  </si>
  <si>
    <t>볼가화물항공(VDA)</t>
  </si>
  <si>
    <t>북경수도항공(CBJ)</t>
  </si>
  <si>
    <t>브루나이항공(RBA)</t>
  </si>
  <si>
    <t>비엣젯항공(VJC)</t>
  </si>
  <si>
    <t>사천항공(CSC)</t>
  </si>
  <si>
    <t>산동항공(CDG)</t>
  </si>
  <si>
    <t>상해항공(CSH)</t>
  </si>
  <si>
    <t>세부퍼시픽항공(CEB)</t>
  </si>
  <si>
    <t>스카이앙코르항공(SWM)</t>
  </si>
  <si>
    <t>스쿠트타이거항공(TGW)</t>
  </si>
  <si>
    <t>시베리아항공(SBI)</t>
  </si>
  <si>
    <t>실크에어(SLK)</t>
  </si>
  <si>
    <t>실크웨이웨스트(AZG)</t>
  </si>
  <si>
    <t>싱가폴항공(SIA)</t>
  </si>
  <si>
    <t>아메리칸항공(AAL)</t>
  </si>
  <si>
    <t>아비아스타-투 화물항공(TUP)</t>
  </si>
  <si>
    <t>아에로멕시코(AMX)</t>
  </si>
  <si>
    <t>아틀라스화물항공(GTI)</t>
  </si>
  <si>
    <t>안토노프항공(ADB)</t>
  </si>
  <si>
    <t>알이탈리아항공(AZA)</t>
  </si>
  <si>
    <t>알틴항공(LYN)</t>
  </si>
  <si>
    <t>야쿠티아항공(SYL)</t>
  </si>
  <si>
    <t>에미레이트항공(UAE)</t>
  </si>
  <si>
    <t>에바항공(장영항공)(EVA)</t>
  </si>
  <si>
    <t>에어로로직(BOX)</t>
  </si>
  <si>
    <t>에어마카오(AMU)</t>
  </si>
  <si>
    <t>에어브리지화물항공(ABW)</t>
  </si>
  <si>
    <t>에어아스타나항공(KZR)</t>
  </si>
  <si>
    <t>에어아시아엑스(XAX)</t>
  </si>
  <si>
    <t>에어재팬화물항공(AJX)</t>
  </si>
  <si>
    <t>에어캐나다(ACA)</t>
  </si>
  <si>
    <t>에어홍콩화물항공(AHK)</t>
  </si>
  <si>
    <t>에티오피안항공(ETH)</t>
  </si>
  <si>
    <t>에티하드항공(ETD)</t>
  </si>
  <si>
    <t>영국항공(BAW)</t>
  </si>
  <si>
    <t>오로라항공(SHU)</t>
  </si>
  <si>
    <t>오케이항공(OKA)</t>
  </si>
  <si>
    <t>우즈베키스탄항공(UZB)</t>
  </si>
  <si>
    <t>원동항공(FEA)</t>
  </si>
  <si>
    <t>웨스턴글로벌항공(WGN)</t>
  </si>
  <si>
    <t>유나이티드항공(UAL)</t>
  </si>
  <si>
    <t>유니항공(UIA)</t>
  </si>
  <si>
    <t>유피에스화물항공(UPS)</t>
  </si>
  <si>
    <t>이지니스항공(EZA)</t>
  </si>
  <si>
    <t>인도항공(AIC)</t>
  </si>
  <si>
    <t>일본항공(JAL)</t>
  </si>
  <si>
    <t>전일본항공(ANA)</t>
  </si>
  <si>
    <t>젯스타퍼시픽항공(PIC)</t>
  </si>
  <si>
    <t>중국국제항공(CCA)</t>
  </si>
  <si>
    <t>중국길상항공(준야오항공)(DKH)</t>
  </si>
  <si>
    <t>중국남방항공(CSN)</t>
  </si>
  <si>
    <t>중국동방항공(CES)</t>
  </si>
  <si>
    <t>중국동하이항공(EPA)</t>
  </si>
  <si>
    <t>중국순풍항공(CSS)</t>
  </si>
  <si>
    <t>중국심천항공(CSZ)</t>
  </si>
  <si>
    <t>중국우정항공(CYZ)</t>
  </si>
  <si>
    <t>중국하문항공(CXA)</t>
  </si>
  <si>
    <t>중국화물항공(CKK)</t>
  </si>
  <si>
    <t>중화항공(CAL)</t>
  </si>
  <si>
    <t>차이나 웨스트 에어(CHB)</t>
  </si>
  <si>
    <t>천진항공(GCR)</t>
  </si>
  <si>
    <t>체코항공(CSA)</t>
  </si>
  <si>
    <t>춘추항공(CQH)</t>
  </si>
  <si>
    <t>칭다오항공(QDA)</t>
  </si>
  <si>
    <t>카고룩스 이탈리아(ICV)</t>
  </si>
  <si>
    <t>카고룩스화물항공(CLX)</t>
  </si>
  <si>
    <t>카타르항공(QTR)</t>
  </si>
  <si>
    <t>칼리타화물항공(CKS)</t>
  </si>
  <si>
    <t>캐세이퍼시픽항공(CPA)</t>
  </si>
  <si>
    <t>케세이드래곤항공(HDA)</t>
  </si>
  <si>
    <t>타이거에어 대만(TTW)</t>
  </si>
  <si>
    <t>타이에어아시아엑스(TAX)</t>
  </si>
  <si>
    <t>타이항공(THA)</t>
  </si>
  <si>
    <t>터키항공(THY)</t>
  </si>
  <si>
    <t>팔 익스프레스(GAP)</t>
  </si>
  <si>
    <t>팬퍼시픽항공(AAV)</t>
  </si>
  <si>
    <t>페덱스화물항공(FDX)</t>
  </si>
  <si>
    <t>폴라에어카고(PAC)</t>
  </si>
  <si>
    <t>폴란드항공(LOT)</t>
  </si>
  <si>
    <t>프랑스항공(AFR)</t>
  </si>
  <si>
    <t>피치항공(APJ)</t>
  </si>
  <si>
    <t>핀란드항공(FIN)</t>
  </si>
  <si>
    <t>필리핀에어아시아(APG)</t>
  </si>
  <si>
    <t>필리핀항공(PAL)</t>
  </si>
  <si>
    <t>하와이안항공(HAL)</t>
  </si>
  <si>
    <t>홍콩익스프레스(HKE)</t>
  </si>
  <si>
    <t>홍콩항공(CRK)</t>
  </si>
  <si>
    <t>조회기간 : 2020.01 ~ 2020.08, 여객 : 전체, 화물 : 전체, 항공사 : 전체, 운항 : 전체, 노선 : 전체, 여객화물 : 전체</t>
  </si>
  <si>
    <t>플라이강원(FGW)</t>
  </si>
  <si>
    <t>내셔널항공(NCR)</t>
  </si>
  <si>
    <t>뉴질랜드항공(ANZ)</t>
  </si>
  <si>
    <t>로열 에어 모로코(RAM)</t>
  </si>
  <si>
    <t>루비스타(RSB)</t>
  </si>
  <si>
    <t>미얀마국제항공(MMA)</t>
  </si>
  <si>
    <t>사우디항공(SVA)</t>
  </si>
  <si>
    <t>스리랑카항공(ALK)</t>
  </si>
  <si>
    <t>스카이업항공(SQP)</t>
  </si>
  <si>
    <t>스파이스제트(SEJ)</t>
  </si>
  <si>
    <t>시티링크(CTV)</t>
  </si>
  <si>
    <t>싱가포르항공화물(SQC)</t>
  </si>
  <si>
    <t>아비아콘 지토트랜스(AZS)</t>
  </si>
  <si>
    <t>아이택항공(IKA)</t>
  </si>
  <si>
    <t>아트란화물항공(VAS)</t>
  </si>
  <si>
    <t>에어링구스(EIN)</t>
  </si>
  <si>
    <t>에어비쉬켁(EAA)</t>
  </si>
  <si>
    <t>엘알이스라엘화물항공(ELY)</t>
  </si>
  <si>
    <t>유고슬라비아항공(JAT)</t>
  </si>
  <si>
    <t>이집트항공(MSR)</t>
  </si>
  <si>
    <t>제트스타(JST)</t>
  </si>
  <si>
    <t>차이나익스프레스항공(HXA)</t>
  </si>
  <si>
    <t>쿠웨이트항공(KAC)</t>
  </si>
  <si>
    <t>타지크 에어(TJK)</t>
  </si>
  <si>
    <t>톈진화물항공(CTJ)</t>
  </si>
  <si>
    <t>파키스탄항공(PIA)</t>
  </si>
  <si>
    <t>페루비안항공(PVN)</t>
  </si>
  <si>
    <t>허베이항공(HBH)</t>
  </si>
  <si>
    <t>호주항공(콴타스항공)(QFA)</t>
  </si>
  <si>
    <t>홍콩화물항공(HKC)</t>
  </si>
  <si>
    <t>조회기간 : 2021.01 ~ 2021.08, 여객 : 전체, 화물 : 전체, 항공사 : 전체, 운항 : 전체, 노선 : 전체, 여객화물 : 전체</t>
  </si>
  <si>
    <t>에어로케이(EOK)</t>
  </si>
  <si>
    <t>에어프레미아(APZ)</t>
  </si>
  <si>
    <t>JetAvia(ZAV)</t>
  </si>
  <si>
    <t>Royal Air Philippines(RYL)</t>
  </si>
  <si>
    <t>TUI 에어웨이스(TOM)</t>
  </si>
  <si>
    <t>TUI 플라이 네덜란드(TFL)</t>
  </si>
  <si>
    <t>라다항공(RDA)</t>
  </si>
  <si>
    <t>러시아 우랄항공(SVR)</t>
  </si>
  <si>
    <t>러시아피닉스항공(PHG)</t>
  </si>
  <si>
    <t>말레스 항공(MLT)</t>
  </si>
  <si>
    <t>메가몰디브항공(MEG)</t>
  </si>
  <si>
    <t>미얀마 항공(UBA)</t>
  </si>
  <si>
    <t>버진 애틀란틱항공(VS)</t>
  </si>
  <si>
    <t>비바 마카오(VVM)</t>
  </si>
  <si>
    <t>스위스항공(SWR)</t>
  </si>
  <si>
    <t>아에로플로트 카고(RCF)</t>
  </si>
  <si>
    <t>양쯔강항공(수파르나항공)(YZR)</t>
  </si>
  <si>
    <t>와모스 항공(PLM)</t>
  </si>
  <si>
    <t>우크라이나국제항공(AUI)</t>
  </si>
  <si>
    <t>우크라이나에어라인(UKL)</t>
  </si>
  <si>
    <t>윈드로즈 항공(WRC)</t>
  </si>
  <si>
    <t>집에어 도쿄(TZP)</t>
  </si>
  <si>
    <t>캄보디아앙코르항공(KHV)</t>
  </si>
  <si>
    <t>하이플라이(HFY)</t>
  </si>
  <si>
    <t>국토교통부_연도별 국내국제항공수송실적</t>
    <phoneticPr fontId="43" type="noConversion"/>
  </si>
  <si>
    <t>항공통계 항공사별 여객, 공급, 운항, 화물 데이터 정리</t>
    <phoneticPr fontId="43" type="noConversion"/>
  </si>
  <si>
    <t>국적사</t>
    <phoneticPr fontId="43" type="noConversion"/>
  </si>
  <si>
    <t>공급(석)</t>
    <phoneticPr fontId="43" type="noConversion"/>
  </si>
  <si>
    <t>운항(편)</t>
    <phoneticPr fontId="43" type="noConversion"/>
  </si>
  <si>
    <t>여객(명)</t>
    <phoneticPr fontId="43" type="noConversion"/>
  </si>
  <si>
    <t>화물(톤)</t>
    <phoneticPr fontId="43" type="noConversion"/>
  </si>
  <si>
    <t>2018-2048 CAGR</t>
    <phoneticPr fontId="43" type="noConversion"/>
  </si>
  <si>
    <t>여객</t>
    <phoneticPr fontId="43" type="noConversion"/>
  </si>
  <si>
    <t>화물</t>
    <phoneticPr fontId="43" type="noConversion"/>
  </si>
  <si>
    <t>2024, 2019 대비 1 설정 후 'BAADTbVT_Aircraft-Cal'의 CAGR 적용</t>
    <phoneticPr fontId="43" type="noConversion"/>
  </si>
  <si>
    <r>
      <t>국내</t>
    </r>
    <r>
      <rPr>
        <b/>
        <sz val="11"/>
        <color theme="1"/>
        <rFont val="MS Gothic"/>
        <family val="3"/>
        <charset val="128"/>
      </rPr>
      <t>・</t>
    </r>
    <r>
      <rPr>
        <b/>
        <sz val="11"/>
        <color theme="1"/>
        <rFont val="Calibri"/>
        <family val="3"/>
        <charset val="129"/>
        <scheme val="minor"/>
      </rPr>
      <t>국제</t>
    </r>
    <r>
      <rPr>
        <b/>
        <sz val="11"/>
        <color rgb="FFFF0000"/>
        <rFont val="Calibri"/>
        <family val="3"/>
        <charset val="129"/>
        <scheme val="minor"/>
      </rPr>
      <t>여객</t>
    </r>
    <r>
      <rPr>
        <b/>
        <sz val="11"/>
        <color theme="1"/>
        <rFont val="Calibri"/>
        <family val="3"/>
        <charset val="129"/>
        <scheme val="minor"/>
      </rPr>
      <t xml:space="preserve"> </t>
    </r>
    <r>
      <rPr>
        <b/>
        <sz val="11"/>
        <color rgb="FFFF0000"/>
        <rFont val="Calibri"/>
        <family val="3"/>
        <charset val="129"/>
        <scheme val="minor"/>
      </rPr>
      <t>연도별</t>
    </r>
    <r>
      <rPr>
        <b/>
        <sz val="11"/>
        <color theme="1"/>
        <rFont val="Calibri"/>
        <family val="3"/>
        <charset val="129"/>
        <scheme val="minor"/>
      </rPr>
      <t xml:space="preserve"> 수송수단별</t>
    </r>
    <phoneticPr fontId="43" type="noConversion"/>
  </si>
  <si>
    <t>구분(1)(1)</t>
  </si>
  <si>
    <t>구분(2)(1)</t>
  </si>
  <si>
    <t>국내</t>
  </si>
  <si>
    <t>해운 (인)</t>
  </si>
  <si>
    <t>항공 (인)</t>
  </si>
  <si>
    <t>해운 (인-키로)</t>
  </si>
  <si>
    <t>항공 (인-키로)</t>
  </si>
  <si>
    <t>국제</t>
  </si>
  <si>
    <t>-</t>
  </si>
  <si>
    <r>
      <t xml:space="preserve">2017 </t>
    </r>
    <r>
      <rPr>
        <b/>
        <sz val="11"/>
        <color rgb="FFFF0000"/>
        <rFont val="Calibri"/>
        <family val="3"/>
        <charset val="129"/>
        <scheme val="minor"/>
      </rPr>
      <t>화물수(ton)</t>
    </r>
    <r>
      <rPr>
        <b/>
        <sz val="11"/>
        <color theme="1"/>
        <rFont val="Calibri"/>
        <family val="3"/>
        <charset val="129"/>
        <scheme val="minor"/>
      </rPr>
      <t xml:space="preserve"> 국내</t>
    </r>
    <r>
      <rPr>
        <b/>
        <sz val="11"/>
        <color theme="1"/>
        <rFont val="MS Gothic"/>
        <family val="3"/>
        <charset val="128"/>
      </rPr>
      <t>・</t>
    </r>
    <r>
      <rPr>
        <b/>
        <sz val="11"/>
        <color theme="1"/>
        <rFont val="Calibri"/>
        <family val="3"/>
        <charset val="129"/>
        <scheme val="minor"/>
      </rPr>
      <t xml:space="preserve">국제화물 </t>
    </r>
    <r>
      <rPr>
        <b/>
        <sz val="11"/>
        <color rgb="FFFF0000"/>
        <rFont val="Calibri"/>
        <family val="3"/>
        <charset val="129"/>
        <scheme val="minor"/>
      </rPr>
      <t>월별</t>
    </r>
    <r>
      <rPr>
        <b/>
        <sz val="11"/>
        <color theme="1"/>
        <rFont val="Calibri"/>
        <family val="3"/>
        <charset val="129"/>
        <scheme val="minor"/>
      </rPr>
      <t xml:space="preserve"> 수송수단별</t>
    </r>
    <phoneticPr fontId="43" type="noConversion"/>
  </si>
  <si>
    <t>국내/국제(1)</t>
  </si>
  <si>
    <t>수단별(1)</t>
  </si>
  <si>
    <t>1995. 12</t>
  </si>
  <si>
    <t>1996. 12</t>
  </si>
  <si>
    <t>1997. 12</t>
  </si>
  <si>
    <t>1998. 12</t>
  </si>
  <si>
    <t>1999. 12</t>
  </si>
  <si>
    <t>2000. 12</t>
  </si>
  <si>
    <t>2001. 12</t>
  </si>
  <si>
    <t>2002. 12</t>
  </si>
  <si>
    <t>2003. 12</t>
  </si>
  <si>
    <t>2004. 12</t>
  </si>
  <si>
    <t>2005. 12</t>
  </si>
  <si>
    <t>2006. 01</t>
  </si>
  <si>
    <t>2006. 02</t>
  </si>
  <si>
    <t>2006. 03</t>
  </si>
  <si>
    <t>2006. 04</t>
  </si>
  <si>
    <t>2006. 05</t>
  </si>
  <si>
    <t>2006. 06</t>
  </si>
  <si>
    <t>2006. 07</t>
  </si>
  <si>
    <t>2006. 08</t>
  </si>
  <si>
    <t>2006. 09</t>
  </si>
  <si>
    <t>2006. 10</t>
  </si>
  <si>
    <t>2006. 11</t>
  </si>
  <si>
    <t>2006. 12</t>
  </si>
  <si>
    <t>2007. 01</t>
  </si>
  <si>
    <t>2007. 02</t>
  </si>
  <si>
    <t>2007. 03</t>
  </si>
  <si>
    <t>2007. 04</t>
  </si>
  <si>
    <t>2007. 05</t>
  </si>
  <si>
    <t>2007. 06</t>
  </si>
  <si>
    <t>2007. 07</t>
  </si>
  <si>
    <t>2007. 08</t>
  </si>
  <si>
    <t>2007. 09</t>
  </si>
  <si>
    <t>2007. 10</t>
  </si>
  <si>
    <t>2007. 11</t>
  </si>
  <si>
    <t>2007. 12</t>
  </si>
  <si>
    <t>2008. 01</t>
  </si>
  <si>
    <t>2008. 02</t>
  </si>
  <si>
    <t>2008. 03</t>
  </si>
  <si>
    <t>2008. 04</t>
  </si>
  <si>
    <t>2008. 05</t>
  </si>
  <si>
    <t>2008. 06</t>
  </si>
  <si>
    <t>2008. 07</t>
  </si>
  <si>
    <t>2008. 08</t>
  </si>
  <si>
    <t>2008. 09</t>
  </si>
  <si>
    <t>2008. 10</t>
  </si>
  <si>
    <t>2008. 11</t>
  </si>
  <si>
    <t>2008. 12</t>
  </si>
  <si>
    <t>2009. 01</t>
  </si>
  <si>
    <t>2009. 02</t>
  </si>
  <si>
    <t>2009. 03</t>
  </si>
  <si>
    <t>2009. 04</t>
  </si>
  <si>
    <t>2009. 05</t>
  </si>
  <si>
    <t>2009. 06</t>
  </si>
  <si>
    <t>2009. 07</t>
  </si>
  <si>
    <t>2009. 08</t>
  </si>
  <si>
    <t>2009. 09</t>
  </si>
  <si>
    <t>2009. 10</t>
  </si>
  <si>
    <t>2009. 11</t>
  </si>
  <si>
    <t>2009. 12</t>
  </si>
  <si>
    <t>2010. 01</t>
  </si>
  <si>
    <t>2010. 02</t>
  </si>
  <si>
    <t>2010. 03</t>
  </si>
  <si>
    <t>2010. 04</t>
  </si>
  <si>
    <t>2010. 05</t>
  </si>
  <si>
    <t>2010. 06</t>
  </si>
  <si>
    <t>2010. 07</t>
  </si>
  <si>
    <t>2010. 08</t>
  </si>
  <si>
    <t>2010. 09</t>
  </si>
  <si>
    <t>2010. 10</t>
  </si>
  <si>
    <t>2010. 11</t>
  </si>
  <si>
    <t>2010. 12</t>
  </si>
  <si>
    <t>2011. 01</t>
  </si>
  <si>
    <t>2011. 02</t>
  </si>
  <si>
    <t>2011. 03</t>
  </si>
  <si>
    <t>2011. 04</t>
  </si>
  <si>
    <t>2011. 05</t>
  </si>
  <si>
    <t>2011. 06</t>
  </si>
  <si>
    <t>2011. 07</t>
  </si>
  <si>
    <t>2011. 08</t>
  </si>
  <si>
    <t>2011. 09</t>
  </si>
  <si>
    <t>2011. 10</t>
  </si>
  <si>
    <t>2011. 11</t>
  </si>
  <si>
    <t>2011. 12</t>
  </si>
  <si>
    <t>2012. 01</t>
  </si>
  <si>
    <t>2012. 02</t>
  </si>
  <si>
    <t>2012. 03</t>
  </si>
  <si>
    <t>2012. 04</t>
  </si>
  <si>
    <t>2012. 05</t>
  </si>
  <si>
    <t>2012. 06</t>
  </si>
  <si>
    <t>2012. 07</t>
  </si>
  <si>
    <t>2012. 08</t>
  </si>
  <si>
    <t>2012. 09</t>
  </si>
  <si>
    <t>2012. 10</t>
  </si>
  <si>
    <t>2012. 11</t>
  </si>
  <si>
    <t>2012. 12</t>
  </si>
  <si>
    <t>2013. 01</t>
  </si>
  <si>
    <t>2013. 02</t>
  </si>
  <si>
    <t>2013. 03</t>
  </si>
  <si>
    <t>2013. 04</t>
  </si>
  <si>
    <t>2013. 05</t>
  </si>
  <si>
    <t>2013. 06</t>
  </si>
  <si>
    <t>2013. 07</t>
  </si>
  <si>
    <t>2013. 08</t>
  </si>
  <si>
    <t>2013. 09</t>
  </si>
  <si>
    <t>2013. 10</t>
  </si>
  <si>
    <t>2013. 11</t>
  </si>
  <si>
    <t>2013. 12</t>
  </si>
  <si>
    <t>2014. 01</t>
  </si>
  <si>
    <t>2014. 02</t>
  </si>
  <si>
    <t>2014. 03</t>
  </si>
  <si>
    <t>2014. 04</t>
  </si>
  <si>
    <t>2014. 05</t>
  </si>
  <si>
    <t>2014. 06</t>
  </si>
  <si>
    <t>2014. 07</t>
  </si>
  <si>
    <t>2014. 08</t>
  </si>
  <si>
    <t>2014. 09</t>
  </si>
  <si>
    <t>2014. 10</t>
  </si>
  <si>
    <t>2014. 11</t>
  </si>
  <si>
    <t>2014. 12</t>
  </si>
  <si>
    <t>2015. 01</t>
  </si>
  <si>
    <t>2015. 02</t>
  </si>
  <si>
    <t>2015. 03</t>
  </si>
  <si>
    <t>2015. 04</t>
  </si>
  <si>
    <t>2015. 05</t>
  </si>
  <si>
    <t>2015. 06</t>
  </si>
  <si>
    <t>2015. 07</t>
  </si>
  <si>
    <t>2015. 08</t>
  </si>
  <si>
    <t>2015. 09</t>
  </si>
  <si>
    <t>2015. 10</t>
  </si>
  <si>
    <t>2015. 11</t>
  </si>
  <si>
    <t>2015. 12</t>
  </si>
  <si>
    <t>2016. 01</t>
  </si>
  <si>
    <t>2016. 02</t>
  </si>
  <si>
    <t>2016. 03</t>
  </si>
  <si>
    <t>2016. 04</t>
  </si>
  <si>
    <t>2016. 05</t>
  </si>
  <si>
    <t>2016. 06</t>
  </si>
  <si>
    <t>2016. 07</t>
  </si>
  <si>
    <t>2016. 08</t>
  </si>
  <si>
    <t>2016. 09</t>
  </si>
  <si>
    <t>2016. 10</t>
  </si>
  <si>
    <t>2016. 11</t>
  </si>
  <si>
    <t>2016. 12</t>
  </si>
  <si>
    <t>2017. 01</t>
  </si>
  <si>
    <t>2017. 02</t>
  </si>
  <si>
    <t>2017. 03</t>
  </si>
  <si>
    <t>2017. 04</t>
  </si>
  <si>
    <t>2017. 05</t>
  </si>
  <si>
    <t>2017. 06</t>
  </si>
  <si>
    <t>2017. 07</t>
  </si>
  <si>
    <t>2017. 08</t>
  </si>
  <si>
    <t>2017. 09</t>
  </si>
  <si>
    <t>2017. 10</t>
  </si>
  <si>
    <t>2017. 11</t>
  </si>
  <si>
    <t>2017. 12</t>
  </si>
  <si>
    <t>철도</t>
  </si>
  <si>
    <t>공로</t>
  </si>
  <si>
    <t>해운</t>
  </si>
  <si>
    <t>항공</t>
  </si>
  <si>
    <r>
      <t xml:space="preserve">2017 </t>
    </r>
    <r>
      <rPr>
        <b/>
        <sz val="11"/>
        <color rgb="FFFF0000"/>
        <rFont val="Calibri"/>
        <family val="3"/>
        <charset val="129"/>
        <scheme val="minor"/>
      </rPr>
      <t>화물수(ton)</t>
    </r>
    <r>
      <rPr>
        <b/>
        <sz val="11"/>
        <color theme="1"/>
        <rFont val="Calibri"/>
        <family val="3"/>
        <charset val="129"/>
        <scheme val="minor"/>
      </rPr>
      <t xml:space="preserve"> 국내</t>
    </r>
    <r>
      <rPr>
        <b/>
        <sz val="11"/>
        <color theme="1"/>
        <rFont val="MS Gothic"/>
        <family val="3"/>
        <charset val="128"/>
      </rPr>
      <t>・</t>
    </r>
    <r>
      <rPr>
        <b/>
        <sz val="11"/>
        <color theme="1"/>
        <rFont val="Calibri"/>
        <family val="3"/>
        <charset val="129"/>
        <scheme val="minor"/>
      </rPr>
      <t xml:space="preserve">국제화물 </t>
    </r>
    <r>
      <rPr>
        <b/>
        <sz val="11"/>
        <color rgb="FFFF0000"/>
        <rFont val="Calibri"/>
        <family val="3"/>
        <charset val="129"/>
        <scheme val="minor"/>
      </rPr>
      <t>연간</t>
    </r>
    <r>
      <rPr>
        <b/>
        <sz val="11"/>
        <color theme="1"/>
        <rFont val="Calibri"/>
        <family val="3"/>
        <charset val="129"/>
        <scheme val="minor"/>
      </rPr>
      <t xml:space="preserve"> 수송수단별</t>
    </r>
    <phoneticPr fontId="43" type="noConversion"/>
  </si>
  <si>
    <t>합계</t>
    <phoneticPr fontId="43" type="noConversion"/>
  </si>
  <si>
    <t>해운</t>
    <phoneticPr fontId="43" type="noConversion"/>
  </si>
  <si>
    <t>항공</t>
    <phoneticPr fontId="43" type="noConversion"/>
  </si>
  <si>
    <t>1000 ton</t>
    <phoneticPr fontId="43" type="noConversion"/>
  </si>
  <si>
    <t>million ton killo</t>
    <phoneticPr fontId="43" type="noConversion"/>
  </si>
  <si>
    <t>국내</t>
    <phoneticPr fontId="43" type="noConversion"/>
  </si>
  <si>
    <t>국제</t>
    <phoneticPr fontId="43" type="noConversion"/>
  </si>
  <si>
    <t>구분</t>
    <phoneticPr fontId="43" type="noConversion"/>
  </si>
  <si>
    <t>여객(1000인)</t>
    <phoneticPr fontId="43" type="noConversion"/>
  </si>
  <si>
    <t>백만인킬로</t>
    <phoneticPr fontId="43" type="noConversion"/>
  </si>
  <si>
    <t>해운톤</t>
    <phoneticPr fontId="43" type="noConversion"/>
  </si>
  <si>
    <t>해운톤킬로</t>
    <phoneticPr fontId="43" type="noConversion"/>
  </si>
  <si>
    <t>해운톤킬로/해운톤</t>
    <phoneticPr fontId="43" type="noConversion"/>
  </si>
  <si>
    <t>파란글씨는 추정치</t>
    <phoneticPr fontId="43" type="noConversion"/>
  </si>
  <si>
    <t>항만 화물처리 실적 총계</t>
    <phoneticPr fontId="43" type="noConversion"/>
  </si>
  <si>
    <t>외항</t>
  </si>
  <si>
    <t>내항</t>
  </si>
  <si>
    <t>외국선</t>
  </si>
  <si>
    <t>국적선</t>
  </si>
  <si>
    <t>내항선</t>
  </si>
  <si>
    <t>조회년도</t>
  </si>
  <si>
    <t>조회월</t>
  </si>
  <si>
    <t>출항</t>
  </si>
  <si>
    <t>입항</t>
  </si>
  <si>
    <t>연안화물선</t>
  </si>
  <si>
    <t>연안여객선</t>
  </si>
  <si>
    <t>2019소계</t>
  </si>
  <si>
    <t>1 월</t>
  </si>
  <si>
    <t>2 월</t>
  </si>
  <si>
    <t>3 월</t>
  </si>
  <si>
    <t>4 월</t>
  </si>
  <si>
    <t>5 월</t>
  </si>
  <si>
    <t>6 월</t>
  </si>
  <si>
    <t>7 월</t>
  </si>
  <si>
    <t>8 월</t>
  </si>
  <si>
    <t>9 월</t>
  </si>
  <si>
    <t>10 월</t>
  </si>
  <si>
    <t>11 월</t>
  </si>
  <si>
    <t>12 월</t>
  </si>
  <si>
    <t>2020소계</t>
  </si>
  <si>
    <t>2021소계</t>
  </si>
  <si>
    <t>2021</t>
  </si>
  <si>
    <t>전년대비</t>
    <phoneticPr fontId="43" type="noConversion"/>
  </si>
  <si>
    <t>2021자료와 비교를 위해 각 년도의 1월-7월 자료만 사용했다.</t>
    <phoneticPr fontId="43" type="noConversion"/>
  </si>
  <si>
    <t>2020년 항만처리 물량은 코로나로 인해 감소한 수치로 추정된다. 이에 2019년 물량까지 회복되는 증가율은 비교적 가파르게 설정하였다.</t>
    <phoneticPr fontId="43" type="noConversion"/>
  </si>
  <si>
    <t>증가율은 2020-&gt;2021 물량증가율인 약4.6%를 사용했으며, 2019년의 물량에 도달한 이후 기존 CAGR인 0.6%를 이용하여 2050년까지 데이터를 추정했다.</t>
    <phoneticPr fontId="43" type="noConversion"/>
  </si>
  <si>
    <t>고정</t>
    <phoneticPr fontId="43" type="noConversion"/>
  </si>
  <si>
    <t>Cargo Dist Transported Relative to Start Year (dimensionless)</t>
  </si>
  <si>
    <t>LDVs</t>
  </si>
  <si>
    <t>HDVs</t>
  </si>
  <si>
    <t>aircraft</t>
  </si>
  <si>
    <t>rail</t>
  </si>
  <si>
    <t>ships</t>
  </si>
  <si>
    <t>motorbikes</t>
  </si>
  <si>
    <t>freight-LDVs</t>
    <phoneticPr fontId="43" type="noConversion"/>
  </si>
  <si>
    <t>freight-HDVs</t>
    <phoneticPr fontId="43" type="noConversion"/>
  </si>
  <si>
    <t>passenger-LDVs</t>
    <phoneticPr fontId="43" type="noConversion"/>
  </si>
  <si>
    <t>passenger-HDVs</t>
    <phoneticPr fontId="43" type="noConversion"/>
  </si>
  <si>
    <t>Time (Year)</t>
  </si>
  <si>
    <t>Start Year Cargo Dist Transported[LDVs,passenger,battery electric vehicle] : test</t>
  </si>
  <si>
    <t>Start Year Cargo Dist Transported[LDVs,passenger,natural gas vehicle] : test</t>
  </si>
  <si>
    <t>Start Year Cargo Dist Transported[LDVs,passenger,gasoline vehicle] : test</t>
  </si>
  <si>
    <t>Start Year Cargo Dist Transported[LDVs,passenger,diesel vehicle] : test</t>
  </si>
  <si>
    <t>Start Year Cargo Dist Transported[LDVs,passenger,plugin hybrid vehicle] : test</t>
  </si>
  <si>
    <t>Start Year Cargo Dist Transported[LDVs,passenger,LPG vehicle] : test</t>
  </si>
  <si>
    <t>Start Year Cargo Dist Transported[LDVs,passenger,hydrogen vehicle] : test</t>
  </si>
  <si>
    <t>BAU Cargo Dist Transported[aircraft,passenger] : test</t>
  </si>
  <si>
    <t>By Use</t>
  </si>
  <si>
    <t>By vehicle type</t>
  </si>
  <si>
    <t>By type</t>
  </si>
  <si>
    <t>By size</t>
  </si>
  <si>
    <t>Light</t>
  </si>
  <si>
    <t>Small</t>
  </si>
  <si>
    <t>Medium</t>
  </si>
  <si>
    <t>Large</t>
  </si>
  <si>
    <t>General</t>
  </si>
  <si>
    <t>Multipurpose</t>
  </si>
  <si>
    <t>Van</t>
  </si>
  <si>
    <t>Truck</t>
  </si>
  <si>
    <t>Towing</t>
  </si>
  <si>
    <t>Rescue</t>
  </si>
  <si>
    <t>Special vehicle</t>
  </si>
  <si>
    <t>Dump Truck</t>
  </si>
  <si>
    <t>By Size</t>
  </si>
  <si>
    <t xml:space="preserve">
Normal type</t>
  </si>
  <si>
    <t xml:space="preserve">
By vehicle registration purpose</t>
  </si>
  <si>
    <t>By car type</t>
  </si>
  <si>
    <t>passenger car</t>
  </si>
  <si>
    <t>van</t>
  </si>
  <si>
    <t>special car</t>
  </si>
  <si>
    <t xml:space="preserve">
Multi-purpose</t>
  </si>
  <si>
    <t>Normal</t>
  </si>
  <si>
    <t>Special Purpose</t>
  </si>
  <si>
    <t>Dump</t>
  </si>
  <si>
    <t>Special Operations</t>
  </si>
  <si>
    <t>General Small</t>
  </si>
  <si>
    <t>General Medium</t>
  </si>
  <si>
    <t>Small Dump Truck</t>
  </si>
  <si>
    <t>Medium Dump Truck</t>
  </si>
  <si>
    <t>Small Van</t>
  </si>
  <si>
    <t>Medium Van</t>
  </si>
  <si>
    <t>Specialized Recovery Vehicle</t>
  </si>
  <si>
    <t>General Large</t>
  </si>
  <si>
    <t>Large Dump Truck</t>
  </si>
  <si>
    <t>Special Purpose Vehicle</t>
  </si>
  <si>
    <t>Specialized Towing Vehicle</t>
  </si>
  <si>
    <t>Specialized Operation Vehicle</t>
  </si>
  <si>
    <t>Passenger car</t>
  </si>
  <si>
    <t>General (Light, Small, Medium)</t>
  </si>
  <si>
    <t>Multipurpose (Medium)</t>
  </si>
  <si>
    <t>General (Small, Medium)</t>
  </si>
  <si>
    <t>General (Large)</t>
  </si>
  <si>
    <t>Multipurpose (Large)</t>
  </si>
  <si>
    <t>Other (Large)</t>
  </si>
  <si>
    <t>Special</t>
  </si>
  <si>
    <t>nationwide</t>
  </si>
  <si>
    <t>Average daily driving distance (km/vehicle)</t>
  </si>
  <si>
    <t>Logarithms by size (2019)</t>
  </si>
  <si>
    <t>NOTE: The data from 2019 to 2023 are based on officially published statistics, and the spike in 2021 seems to reflect an actual increase in traffic volume following COVID-19</t>
  </si>
  <si>
    <t>Nationwide</t>
  </si>
  <si>
    <t>passengers</t>
  </si>
  <si>
    <t>cargo</t>
  </si>
  <si>
    <t>Ministry of Land, Infrastructure and Transport_Domestic and International Air Transport Performance by Year</t>
  </si>
  <si>
    <t>Year</t>
  </si>
  <si>
    <t xml:space="preserve">Passengers (persons) </t>
  </si>
  <si>
    <t xml:space="preserve">Passenger kilometers (Km) </t>
  </si>
  <si>
    <t xml:space="preserve">Cargo (tons) </t>
  </si>
  <si>
    <t>Cargo ton kilometers (Km)</t>
  </si>
  <si>
    <t xml:space="preserve">Operations (times) </t>
  </si>
  <si>
    <t>Operation kilometers (Km)</t>
  </si>
  <si>
    <t>National + Foreign Airlines figures</t>
  </si>
  <si>
    <t>Aviation Statistics: Compilation of passenger, supply, operation, and cargo data by airline.</t>
  </si>
  <si>
    <t>Year-on-year change rate excluding 2020</t>
  </si>
  <si>
    <t>Supply (seats)</t>
  </si>
  <si>
    <t>Flights (flights)</t>
  </si>
  <si>
    <t>Passengers (persons)</t>
  </si>
  <si>
    <t>Cargo (ton)</t>
  </si>
  <si>
    <t>^ need a source for 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</si>
</sst>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###0.00_)"/>
    <numFmt numFmtId="166" formatCode="#,##0_)"/>
    <numFmt numFmtId="167" formatCode="#,##0_ "/>
    <numFmt numFmtId="168" formatCode="#,##0.000_ "/>
    <numFmt numFmtId="169" formatCode="0.00_);[Red]\(0.00\)"/>
    <numFmt numFmtId="170" formatCode="#,##0.0"/>
  </numFmts>
  <fonts count="12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theme="1"/>
      <name val="Calibri"/>
      <family val="3"/>
      <charset val="129"/>
      <scheme val="minor"/>
    </font>
    <font>
      <sz val="8"/>
      <name val="돋움"/>
      <family val="3"/>
      <charset val="129"/>
    </font>
    <font>
      <sz val="10"/>
      <name val="Calibri"/>
      <family val="3"/>
      <charset val="129"/>
      <scheme val="minor"/>
    </font>
    <font>
      <sz val="10"/>
      <color indexed="8"/>
      <name val="Calibri"/>
      <family val="3"/>
      <charset val="129"/>
      <scheme val="minor"/>
    </font>
    <font>
      <sz val="10"/>
      <color theme="1"/>
      <name val="Calibri"/>
      <family val="3"/>
      <charset val="129"/>
      <scheme val="minor"/>
    </font>
    <font>
      <b/>
      <sz val="10"/>
      <color rgb="FF333333"/>
      <name val="Calibri"/>
      <family val="3"/>
      <charset val="129"/>
      <scheme val="minor"/>
    </font>
    <font>
      <sz val="10"/>
      <color rgb="FF31393F"/>
      <name val="Calibri"/>
      <family val="3"/>
      <charset val="129"/>
      <scheme val="minor"/>
    </font>
    <font>
      <b/>
      <sz val="10"/>
      <color theme="1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b/>
      <sz val="10"/>
      <color rgb="FF000000"/>
      <name val="Calibri"/>
      <family val="3"/>
      <charset val="129"/>
      <scheme val="minor"/>
    </font>
    <font>
      <b/>
      <sz val="10"/>
      <name val="Calibri"/>
      <family val="3"/>
      <charset val="129"/>
      <scheme val="minor"/>
    </font>
    <font>
      <b/>
      <sz val="10"/>
      <color indexed="8"/>
      <name val="Calibri"/>
      <family val="3"/>
      <charset val="129"/>
      <scheme val="minor"/>
    </font>
    <font>
      <b/>
      <sz val="11"/>
      <color rgb="FFFF0000"/>
      <name val="Calibri"/>
      <family val="3"/>
      <charset val="129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3"/>
      <charset val="129"/>
      <scheme val="minor"/>
    </font>
    <font>
      <b/>
      <sz val="11"/>
      <color theme="1"/>
      <name val="MS Gothic"/>
      <family val="3"/>
      <charset val="128"/>
    </font>
    <font>
      <b/>
      <sz val="10"/>
      <color indexed="9"/>
      <name val="굴림체"/>
      <family val="3"/>
      <charset val="129"/>
    </font>
    <font>
      <sz val="11"/>
      <name val="굴림체"/>
      <family val="3"/>
      <charset val="129"/>
    </font>
    <font>
      <b/>
      <sz val="9"/>
      <color indexed="9"/>
      <name val="굴림체"/>
      <family val="3"/>
      <charset val="129"/>
    </font>
    <font>
      <sz val="10"/>
      <name val="맑은 고딕"/>
      <family val="3"/>
      <charset val="129"/>
    </font>
    <font>
      <sz val="11"/>
      <name val="Calibri"/>
      <family val="2"/>
    </font>
    <font>
      <sz val="14"/>
      <color rgb="FF202124"/>
      <name val="Inherit"/>
      <family val="2"/>
    </font>
    <font>
      <sz val="6"/>
      <color rgb="FF444444"/>
      <name val="돋움"/>
      <family val="3"/>
      <charset val="129"/>
    </font>
    <font>
      <b/>
      <sz val="15"/>
      <color theme="3"/>
      <name val="Calibri"/>
      <family val="2"/>
      <charset val="129"/>
      <scheme val="minor"/>
    </font>
    <font>
      <b/>
      <sz val="13"/>
      <color theme="3"/>
      <name val="Calibri"/>
      <family val="2"/>
      <charset val="129"/>
      <scheme val="minor"/>
    </font>
    <font>
      <b/>
      <sz val="11"/>
      <color theme="3"/>
      <name val="Calibri"/>
      <family val="2"/>
      <charset val="129"/>
      <scheme val="minor"/>
    </font>
    <font>
      <sz val="11"/>
      <color rgb="FF006100"/>
      <name val="Calibri"/>
      <family val="2"/>
      <charset val="129"/>
      <scheme val="minor"/>
    </font>
    <font>
      <sz val="11"/>
      <color rgb="FF9C0006"/>
      <name val="Calibri"/>
      <family val="2"/>
      <charset val="129"/>
      <scheme val="minor"/>
    </font>
    <font>
      <sz val="11"/>
      <color rgb="FF3F3F76"/>
      <name val="Calibri"/>
      <family val="2"/>
      <charset val="129"/>
      <scheme val="minor"/>
    </font>
    <font>
      <b/>
      <sz val="11"/>
      <color rgb="FF3F3F3F"/>
      <name val="Calibri"/>
      <family val="2"/>
      <charset val="129"/>
      <scheme val="minor"/>
    </font>
    <font>
      <b/>
      <sz val="11"/>
      <color rgb="FFFA7D00"/>
      <name val="Calibri"/>
      <family val="2"/>
      <charset val="129"/>
      <scheme val="minor"/>
    </font>
    <font>
      <sz val="11"/>
      <color rgb="FFFA7D00"/>
      <name val="Calibri"/>
      <family val="2"/>
      <charset val="129"/>
      <scheme val="minor"/>
    </font>
    <font>
      <b/>
      <sz val="11"/>
      <color theme="0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i/>
      <sz val="11"/>
      <color rgb="FF7F7F7F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name val="돋움"/>
      <family val="3"/>
      <charset val="129"/>
    </font>
    <font>
      <sz val="11"/>
      <color theme="0"/>
      <name val="Calibri"/>
      <family val="3"/>
      <charset val="129"/>
      <scheme val="minor"/>
    </font>
    <font>
      <sz val="11"/>
      <color rgb="FFFF0000"/>
      <name val="Calibri"/>
      <family val="3"/>
      <charset val="129"/>
      <scheme val="minor"/>
    </font>
    <font>
      <b/>
      <sz val="11"/>
      <color rgb="FFFA7D00"/>
      <name val="Calibri"/>
      <family val="3"/>
      <charset val="129"/>
      <scheme val="minor"/>
    </font>
    <font>
      <sz val="11"/>
      <color rgb="FF9C0006"/>
      <name val="Calibri"/>
      <family val="3"/>
      <charset val="129"/>
      <scheme val="minor"/>
    </font>
    <font>
      <sz val="11"/>
      <color rgb="FF9C6500"/>
      <name val="Calibri"/>
      <family val="3"/>
      <charset val="129"/>
      <scheme val="minor"/>
    </font>
    <font>
      <i/>
      <sz val="11"/>
      <color rgb="FF7F7F7F"/>
      <name val="Calibri"/>
      <family val="3"/>
      <charset val="129"/>
      <scheme val="minor"/>
    </font>
    <font>
      <b/>
      <sz val="11"/>
      <color theme="0"/>
      <name val="Calibri"/>
      <family val="3"/>
      <charset val="129"/>
      <scheme val="minor"/>
    </font>
    <font>
      <sz val="11"/>
      <color rgb="FFFA7D00"/>
      <name val="Calibri"/>
      <family val="3"/>
      <charset val="129"/>
      <scheme val="minor"/>
    </font>
    <font>
      <sz val="11"/>
      <color rgb="FF3F3F76"/>
      <name val="Calibri"/>
      <family val="3"/>
      <charset val="129"/>
      <scheme val="minor"/>
    </font>
    <font>
      <b/>
      <sz val="18"/>
      <color theme="3"/>
      <name val="Cambria"/>
      <family val="3"/>
      <charset val="129"/>
      <scheme val="major"/>
    </font>
    <font>
      <b/>
      <sz val="15"/>
      <color theme="3"/>
      <name val="Calibri"/>
      <family val="3"/>
      <charset val="129"/>
      <scheme val="minor"/>
    </font>
    <font>
      <b/>
      <sz val="13"/>
      <color theme="3"/>
      <name val="Calibri"/>
      <family val="3"/>
      <charset val="129"/>
      <scheme val="minor"/>
    </font>
    <font>
      <b/>
      <sz val="11"/>
      <color theme="3"/>
      <name val="Calibri"/>
      <family val="3"/>
      <charset val="129"/>
      <scheme val="minor"/>
    </font>
    <font>
      <sz val="11"/>
      <color rgb="FF006100"/>
      <name val="Calibri"/>
      <family val="3"/>
      <charset val="129"/>
      <scheme val="minor"/>
    </font>
    <font>
      <b/>
      <sz val="11"/>
      <color rgb="FF3F3F3F"/>
      <name val="Calibri"/>
      <family val="3"/>
      <charset val="129"/>
      <scheme val="minor"/>
    </font>
    <font>
      <b/>
      <sz val="18"/>
      <color theme="3"/>
      <name val="Cambria"/>
      <family val="2"/>
      <charset val="129"/>
      <scheme val="major"/>
    </font>
    <font>
      <sz val="11"/>
      <color rgb="FF9C6500"/>
      <name val="Calibri"/>
      <family val="2"/>
      <charset val="129"/>
      <scheme val="minor"/>
    </font>
    <font>
      <sz val="10"/>
      <color indexed="8"/>
      <name val="굴림"/>
      <family val="3"/>
      <charset val="129"/>
    </font>
    <font>
      <b/>
      <sz val="15"/>
      <color theme="3"/>
      <name val="굴림체"/>
      <family val="2"/>
      <charset val="129"/>
    </font>
    <font>
      <b/>
      <sz val="13"/>
      <color theme="3"/>
      <name val="굴림체"/>
      <family val="2"/>
      <charset val="129"/>
    </font>
    <font>
      <b/>
      <sz val="11"/>
      <color theme="3"/>
      <name val="굴림체"/>
      <family val="2"/>
      <charset val="129"/>
    </font>
    <font>
      <sz val="11"/>
      <color rgb="FF006100"/>
      <name val="굴림체"/>
      <family val="2"/>
      <charset val="129"/>
    </font>
    <font>
      <sz val="11"/>
      <color rgb="FF9C0006"/>
      <name val="굴림체"/>
      <family val="2"/>
      <charset val="129"/>
    </font>
    <font>
      <sz val="11"/>
      <color rgb="FF9C6500"/>
      <name val="굴림체"/>
      <family val="2"/>
      <charset val="129"/>
    </font>
    <font>
      <sz val="11"/>
      <color rgb="FF3F3F76"/>
      <name val="굴림체"/>
      <family val="2"/>
      <charset val="129"/>
    </font>
    <font>
      <b/>
      <sz val="11"/>
      <color rgb="FF3F3F3F"/>
      <name val="굴림체"/>
      <family val="2"/>
      <charset val="129"/>
    </font>
    <font>
      <b/>
      <sz val="11"/>
      <color rgb="FFFA7D00"/>
      <name val="굴림체"/>
      <family val="2"/>
      <charset val="129"/>
    </font>
    <font>
      <sz val="11"/>
      <color rgb="FFFA7D00"/>
      <name val="굴림체"/>
      <family val="2"/>
      <charset val="129"/>
    </font>
    <font>
      <b/>
      <sz val="11"/>
      <color theme="0"/>
      <name val="굴림체"/>
      <family val="2"/>
      <charset val="129"/>
    </font>
    <font>
      <sz val="11"/>
      <color rgb="FFFF0000"/>
      <name val="굴림체"/>
      <family val="2"/>
      <charset val="129"/>
    </font>
    <font>
      <i/>
      <sz val="11"/>
      <color rgb="FF7F7F7F"/>
      <name val="굴림체"/>
      <family val="2"/>
      <charset val="129"/>
    </font>
    <font>
      <b/>
      <sz val="11"/>
      <color theme="1"/>
      <name val="굴림체"/>
      <family val="2"/>
      <charset val="129"/>
    </font>
    <font>
      <sz val="11"/>
      <color theme="0"/>
      <name val="굴림체"/>
      <family val="2"/>
      <charset val="129"/>
    </font>
    <font>
      <sz val="10"/>
      <color rgb="FFFF0000"/>
      <name val="굴림"/>
      <family val="3"/>
      <charset val="129"/>
    </font>
    <font>
      <sz val="12"/>
      <color rgb="FF000000"/>
      <name val="굴림"/>
      <family val="3"/>
      <charset val="129"/>
    </font>
    <font>
      <b/>
      <sz val="9"/>
      <color rgb="FF333333"/>
      <name val="Noto Sans"/>
      <family val="3"/>
      <charset val="129"/>
    </font>
    <font>
      <sz val="9"/>
      <color rgb="FF31393F"/>
      <name val="굴림"/>
      <family val="3"/>
      <charset val="129"/>
    </font>
    <font>
      <sz val="9"/>
      <color theme="1"/>
      <name val="Calibri"/>
      <family val="2"/>
      <scheme val="minor"/>
    </font>
    <font>
      <sz val="9"/>
      <color theme="1"/>
      <name val="굴림"/>
      <family val="3"/>
      <charset val="129"/>
    </font>
    <font>
      <sz val="11"/>
      <color rgb="FFFF0000"/>
      <name val="Calibri"/>
      <family val="2"/>
      <scheme val="minor"/>
    </font>
    <font>
      <sz val="14"/>
      <color rgb="FF1F1F1F"/>
      <name val="Arial"/>
      <family val="2"/>
    </font>
    <font>
      <sz val="12"/>
      <color rgb="FF1F1F1F"/>
      <name val="Inherit"/>
    </font>
  </fonts>
  <fills count="7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</patternFill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7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3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B3B3B3"/>
      </left>
      <right style="medium">
        <color rgb="FFB3B3B3"/>
      </right>
      <top style="thick">
        <color rgb="FFB3B3B3"/>
      </top>
      <bottom style="medium">
        <color rgb="FF252525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thin">
        <color indexed="63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rgb="FFEAEAEA"/>
      </left>
      <right style="thin">
        <color rgb="FFEAEAEA"/>
      </right>
      <top style="medium">
        <color rgb="FF555555"/>
      </top>
      <bottom style="thin">
        <color rgb="FF999999"/>
      </bottom>
      <diagonal/>
    </border>
    <border>
      <left style="thin">
        <color rgb="FFEAEAEA"/>
      </left>
      <right style="thin">
        <color rgb="FFEAEAEA"/>
      </right>
      <top style="thin">
        <color rgb="FFCCCCCC"/>
      </top>
      <bottom style="thin">
        <color rgb="FFCCCCCC"/>
      </bottom>
      <diagonal/>
    </border>
    <border>
      <left style="thin">
        <color rgb="FFEAEAEA"/>
      </left>
      <right/>
      <top/>
      <bottom/>
      <diagonal/>
    </border>
  </borders>
  <cellStyleXfs count="4709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5" fillId="0" borderId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20" borderId="0" applyNumberFormat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ont="0" applyProtection="0">
      <alignment wrapText="1"/>
    </xf>
    <xf numFmtId="0" fontId="10" fillId="0" borderId="3" applyNumberFormat="0" applyFont="0" applyProtection="0">
      <alignment wrapText="1"/>
    </xf>
    <xf numFmtId="0" fontId="11" fillId="21" borderId="4" applyNumberFormat="0" applyAlignment="0" applyProtection="0"/>
    <xf numFmtId="0" fontId="12" fillId="22" borderId="5" applyNumberFormat="0" applyAlignment="0" applyProtection="0"/>
    <xf numFmtId="0" fontId="13" fillId="0" borderId="0">
      <alignment horizontal="center" vertical="center" wrapText="1"/>
    </xf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4" fillId="0" borderId="0">
      <alignment horizontal="left" vertical="center" wrapText="1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165" fontId="15" fillId="0" borderId="6" applyNumberFormat="0" applyFill="0">
      <alignment horizontal="right"/>
    </xf>
    <xf numFmtId="165" fontId="16" fillId="0" borderId="6" applyNumberFormat="0" applyFill="0">
      <alignment horizontal="right"/>
    </xf>
    <xf numFmtId="166" fontId="17" fillId="0" borderId="6">
      <alignment horizontal="right" vertical="center"/>
    </xf>
    <xf numFmtId="49" fontId="18" fillId="0" borderId="6">
      <alignment horizontal="left" vertical="center"/>
    </xf>
    <xf numFmtId="165" fontId="15" fillId="0" borderId="6" applyNumberFormat="0" applyFill="0">
      <alignment horizontal="right"/>
    </xf>
    <xf numFmtId="0" fontId="1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7" applyNumberFormat="0" applyProtection="0">
      <alignment wrapText="1"/>
    </xf>
    <xf numFmtId="0" fontId="10" fillId="0" borderId="7" applyNumberFormat="0" applyProtection="0">
      <alignment wrapText="1"/>
    </xf>
    <xf numFmtId="0" fontId="20" fillId="5" borderId="0" applyNumberFormat="0" applyBorder="0" applyAlignment="0" applyProtection="0"/>
    <xf numFmtId="0" fontId="21" fillId="0" borderId="8" applyNumberFormat="0" applyProtection="0">
      <alignment wrapText="1"/>
    </xf>
    <xf numFmtId="0" fontId="21" fillId="0" borderId="8" applyNumberFormat="0" applyProtection="0">
      <alignment wrapText="1"/>
    </xf>
    <xf numFmtId="0" fontId="22" fillId="0" borderId="9" applyNumberFormat="0" applyFill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6">
      <alignment horizontal="left"/>
    </xf>
    <xf numFmtId="0" fontId="26" fillId="0" borderId="6">
      <alignment horizontal="left"/>
    </xf>
    <xf numFmtId="0" fontId="27" fillId="0" borderId="12">
      <alignment horizontal="right" vertical="center"/>
    </xf>
    <xf numFmtId="0" fontId="28" fillId="0" borderId="6">
      <alignment horizontal="left" vertical="center"/>
    </xf>
    <xf numFmtId="0" fontId="15" fillId="0" borderId="6">
      <alignment horizontal="left" vertical="center"/>
    </xf>
    <xf numFmtId="0" fontId="25" fillId="0" borderId="6">
      <alignment horizontal="left"/>
    </xf>
    <xf numFmtId="0" fontId="25" fillId="23" borderId="0">
      <alignment horizontal="centerContinuous" wrapText="1"/>
    </xf>
    <xf numFmtId="49" fontId="25" fillId="23" borderId="1">
      <alignment horizontal="left" vertical="center"/>
    </xf>
    <xf numFmtId="0" fontId="25" fillId="23" borderId="0">
      <alignment horizontal="centerContinuous" vertical="center" wrapText="1"/>
    </xf>
    <xf numFmtId="0" fontId="29" fillId="0" borderId="0" applyNumberFormat="0" applyFill="0" applyBorder="0" applyAlignment="0" applyProtection="0">
      <alignment vertical="top"/>
      <protection locked="0"/>
    </xf>
    <xf numFmtId="0" fontId="30" fillId="8" borderId="4" applyNumberFormat="0" applyAlignment="0" applyProtection="0"/>
    <xf numFmtId="0" fontId="31" fillId="0" borderId="13" applyNumberFormat="0" applyFill="0" applyAlignment="0" applyProtection="0"/>
    <xf numFmtId="0" fontId="32" fillId="24" borderId="0" applyNumberFormat="0" applyBorder="0" applyAlignment="0" applyProtection="0"/>
    <xf numFmtId="0" fontId="6" fillId="0" borderId="0"/>
    <xf numFmtId="0" fontId="6" fillId="0" borderId="0"/>
    <xf numFmtId="0" fontId="4" fillId="0" borderId="0"/>
    <xf numFmtId="0" fontId="33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2" borderId="2" applyNumberFormat="0" applyFont="0" applyAlignment="0" applyProtection="0"/>
    <xf numFmtId="0" fontId="4" fillId="25" borderId="14" applyNumberFormat="0" applyFont="0" applyAlignment="0" applyProtection="0"/>
    <xf numFmtId="0" fontId="34" fillId="21" borderId="15" applyNumberFormat="0" applyAlignment="0" applyProtection="0"/>
    <xf numFmtId="0" fontId="21" fillId="0" borderId="16" applyNumberFormat="0" applyProtection="0">
      <alignment wrapText="1"/>
    </xf>
    <xf numFmtId="0" fontId="21" fillId="0" borderId="16" applyNumberFormat="0" applyProtection="0">
      <alignment wrapText="1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3" fontId="17" fillId="0" borderId="0">
      <alignment horizontal="left" vertical="center"/>
    </xf>
    <xf numFmtId="0" fontId="13" fillId="0" borderId="0">
      <alignment horizontal="left" vertical="center"/>
    </xf>
    <xf numFmtId="0" fontId="35" fillId="0" borderId="0">
      <alignment horizontal="right"/>
    </xf>
    <xf numFmtId="49" fontId="35" fillId="0" borderId="0">
      <alignment horizontal="center"/>
    </xf>
    <xf numFmtId="0" fontId="18" fillId="0" borderId="0">
      <alignment horizontal="right"/>
    </xf>
    <xf numFmtId="0" fontId="36" fillId="0" borderId="0">
      <alignment horizontal="right"/>
    </xf>
    <xf numFmtId="0" fontId="35" fillId="0" borderId="0">
      <alignment horizontal="left"/>
    </xf>
    <xf numFmtId="0" fontId="37" fillId="0" borderId="0">
      <alignment horizontal="left"/>
    </xf>
    <xf numFmtId="49" fontId="17" fillId="0" borderId="0">
      <alignment horizontal="left" vertical="center"/>
    </xf>
    <xf numFmtId="49" fontId="18" fillId="0" borderId="6">
      <alignment horizontal="left"/>
    </xf>
    <xf numFmtId="165" fontId="17" fillId="0" borderId="0" applyNumberFormat="0">
      <alignment horizontal="right"/>
    </xf>
    <xf numFmtId="0" fontId="27" fillId="26" borderId="0">
      <alignment horizontal="centerContinuous" vertical="center" wrapText="1"/>
    </xf>
    <xf numFmtId="0" fontId="27" fillId="0" borderId="17">
      <alignment horizontal="left" vertical="center"/>
    </xf>
    <xf numFmtId="0" fontId="38" fillId="0" borderId="0" applyNumberFormat="0" applyProtection="0">
      <alignment horizontal="left"/>
    </xf>
    <xf numFmtId="0" fontId="38" fillId="0" borderId="0" applyNumberFormat="0" applyProtection="0">
      <alignment horizontal="left"/>
    </xf>
    <xf numFmtId="0" fontId="39" fillId="0" borderId="0" applyNumberFormat="0" applyFill="0" applyBorder="0" applyAlignment="0" applyProtection="0"/>
    <xf numFmtId="0" fontId="25" fillId="0" borderId="0">
      <alignment horizontal="left"/>
    </xf>
    <xf numFmtId="0" fontId="14" fillId="0" borderId="0">
      <alignment horizontal="left"/>
    </xf>
    <xf numFmtId="0" fontId="15" fillId="0" borderId="0">
      <alignment horizontal="left"/>
    </xf>
    <xf numFmtId="0" fontId="40" fillId="0" borderId="0">
      <alignment horizontal="left" vertical="top"/>
    </xf>
    <xf numFmtId="0" fontId="14" fillId="0" borderId="0">
      <alignment horizontal="left"/>
    </xf>
    <xf numFmtId="0" fontId="15" fillId="0" borderId="0">
      <alignment horizontal="left"/>
    </xf>
    <xf numFmtId="0" fontId="41" fillId="0" borderId="18" applyNumberFormat="0" applyFill="0" applyAlignment="0" applyProtection="0"/>
    <xf numFmtId="0" fontId="42" fillId="0" borderId="0" applyNumberFormat="0" applyFill="0" applyBorder="0" applyAlignment="0" applyProtection="0"/>
    <xf numFmtId="49" fontId="17" fillId="0" borderId="6">
      <alignment horizontal="left"/>
    </xf>
    <xf numFmtId="0" fontId="27" fillId="0" borderId="12">
      <alignment horizontal="left"/>
    </xf>
    <xf numFmtId="0" fontId="25" fillId="0" borderId="0">
      <alignment horizontal="left" vertical="center"/>
    </xf>
    <xf numFmtId="49" fontId="35" fillId="0" borderId="6">
      <alignment horizontal="left"/>
    </xf>
    <xf numFmtId="164" fontId="45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0" fontId="92" fillId="46" borderId="53" applyNumberFormat="0" applyAlignment="0" applyProtection="0">
      <alignment vertical="center"/>
    </xf>
    <xf numFmtId="164" fontId="45" fillId="0" borderId="0" applyFont="0" applyFill="0" applyBorder="0" applyAlignment="0" applyProtection="0">
      <alignment vertical="center"/>
    </xf>
    <xf numFmtId="164" fontId="85" fillId="0" borderId="0" applyFont="0" applyFill="0" applyBorder="0" applyAlignment="0" applyProtection="0">
      <alignment vertical="center"/>
    </xf>
    <xf numFmtId="164" fontId="45" fillId="0" borderId="0" applyFont="0" applyFill="0" applyBorder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44" fillId="0" borderId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01" fillId="0" borderId="0" applyNumberFormat="0" applyFill="0" applyBorder="0" applyAlignment="0" applyProtection="0">
      <alignment vertical="center"/>
    </xf>
    <xf numFmtId="0" fontId="70" fillId="0" borderId="47" applyNumberFormat="0" applyFill="0" applyAlignment="0" applyProtection="0">
      <alignment vertical="center"/>
    </xf>
    <xf numFmtId="0" fontId="71" fillId="0" borderId="48" applyNumberFormat="0" applyFill="0" applyAlignment="0" applyProtection="0">
      <alignment vertical="center"/>
    </xf>
    <xf numFmtId="0" fontId="72" fillId="0" borderId="49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41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102" fillId="43" borderId="0" applyNumberFormat="0" applyBorder="0" applyAlignment="0" applyProtection="0">
      <alignment vertical="center"/>
    </xf>
    <xf numFmtId="0" fontId="75" fillId="44" borderId="50" applyNumberFormat="0" applyAlignment="0" applyProtection="0">
      <alignment vertical="center"/>
    </xf>
    <xf numFmtId="0" fontId="76" fillId="45" borderId="51" applyNumberFormat="0" applyAlignment="0" applyProtection="0">
      <alignment vertical="center"/>
    </xf>
    <xf numFmtId="0" fontId="77" fillId="45" borderId="50" applyNumberFormat="0" applyAlignment="0" applyProtection="0">
      <alignment vertical="center"/>
    </xf>
    <xf numFmtId="0" fontId="78" fillId="0" borderId="52" applyNumberFormat="0" applyFill="0" applyAlignment="0" applyProtection="0">
      <alignment vertical="center"/>
    </xf>
    <xf numFmtId="0" fontId="79" fillId="46" borderId="53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54" applyNumberFormat="0" applyFill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83" fillId="50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83" fillId="62" borderId="0" applyNumberFormat="0" applyBorder="0" applyAlignment="0" applyProtection="0">
      <alignment vertical="center"/>
    </xf>
    <xf numFmtId="0" fontId="83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83" fillId="66" borderId="0" applyNumberFormat="0" applyBorder="0" applyAlignment="0" applyProtection="0">
      <alignment vertical="center"/>
    </xf>
    <xf numFmtId="0" fontId="83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9" borderId="0" applyNumberFormat="0" applyBorder="0" applyAlignment="0" applyProtection="0">
      <alignment vertical="center"/>
    </xf>
    <xf numFmtId="0" fontId="83" fillId="70" borderId="0" applyNumberFormat="0" applyBorder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9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104" fillId="0" borderId="47" applyNumberFormat="0" applyFill="0" applyAlignment="0" applyProtection="0">
      <alignment vertical="center"/>
    </xf>
    <xf numFmtId="0" fontId="105" fillId="0" borderId="48" applyNumberFormat="0" applyFill="0" applyAlignment="0" applyProtection="0">
      <alignment vertical="center"/>
    </xf>
    <xf numFmtId="0" fontId="106" fillId="0" borderId="49" applyNumberFormat="0" applyFill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41" borderId="0" applyNumberFormat="0" applyBorder="0" applyAlignment="0" applyProtection="0">
      <alignment vertical="center"/>
    </xf>
    <xf numFmtId="0" fontId="108" fillId="42" borderId="0" applyNumberFormat="0" applyBorder="0" applyAlignment="0" applyProtection="0">
      <alignment vertical="center"/>
    </xf>
    <xf numFmtId="0" fontId="109" fillId="43" borderId="0" applyNumberFormat="0" applyBorder="0" applyAlignment="0" applyProtection="0">
      <alignment vertical="center"/>
    </xf>
    <xf numFmtId="0" fontId="110" fillId="44" borderId="50" applyNumberFormat="0" applyAlignment="0" applyProtection="0">
      <alignment vertical="center"/>
    </xf>
    <xf numFmtId="0" fontId="111" fillId="45" borderId="51" applyNumberFormat="0" applyAlignment="0" applyProtection="0">
      <alignment vertical="center"/>
    </xf>
    <xf numFmtId="0" fontId="112" fillId="45" borderId="50" applyNumberFormat="0" applyAlignment="0" applyProtection="0">
      <alignment vertical="center"/>
    </xf>
    <xf numFmtId="0" fontId="113" fillId="0" borderId="52" applyNumberFormat="0" applyFill="0" applyAlignment="0" applyProtection="0">
      <alignment vertical="center"/>
    </xf>
    <xf numFmtId="0" fontId="114" fillId="46" borderId="53" applyNumberFormat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84" fillId="2" borderId="2" applyNumberFormat="0" applyFon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7" fillId="0" borderId="54" applyNumberFormat="0" applyFill="0" applyAlignment="0" applyProtection="0">
      <alignment vertical="center"/>
    </xf>
    <xf numFmtId="0" fontId="118" fillId="47" borderId="0" applyNumberFormat="0" applyBorder="0" applyAlignment="0" applyProtection="0">
      <alignment vertical="center"/>
    </xf>
    <xf numFmtId="0" fontId="84" fillId="48" borderId="0" applyNumberFormat="0" applyBorder="0" applyAlignment="0" applyProtection="0">
      <alignment vertical="center"/>
    </xf>
    <xf numFmtId="0" fontId="84" fillId="49" borderId="0" applyNumberFormat="0" applyBorder="0" applyAlignment="0" applyProtection="0">
      <alignment vertical="center"/>
    </xf>
    <xf numFmtId="0" fontId="118" fillId="50" borderId="0" applyNumberFormat="0" applyBorder="0" applyAlignment="0" applyProtection="0">
      <alignment vertical="center"/>
    </xf>
    <xf numFmtId="0" fontId="118" fillId="51" borderId="0" applyNumberFormat="0" applyBorder="0" applyAlignment="0" applyProtection="0">
      <alignment vertical="center"/>
    </xf>
    <xf numFmtId="0" fontId="84" fillId="52" borderId="0" applyNumberFormat="0" applyBorder="0" applyAlignment="0" applyProtection="0">
      <alignment vertical="center"/>
    </xf>
    <xf numFmtId="0" fontId="84" fillId="53" borderId="0" applyNumberFormat="0" applyBorder="0" applyAlignment="0" applyProtection="0">
      <alignment vertical="center"/>
    </xf>
    <xf numFmtId="0" fontId="118" fillId="54" borderId="0" applyNumberFormat="0" applyBorder="0" applyAlignment="0" applyProtection="0">
      <alignment vertical="center"/>
    </xf>
    <xf numFmtId="0" fontId="118" fillId="55" borderId="0" applyNumberFormat="0" applyBorder="0" applyAlignment="0" applyProtection="0">
      <alignment vertical="center"/>
    </xf>
    <xf numFmtId="0" fontId="84" fillId="56" borderId="0" applyNumberFormat="0" applyBorder="0" applyAlignment="0" applyProtection="0">
      <alignment vertical="center"/>
    </xf>
    <xf numFmtId="0" fontId="84" fillId="57" borderId="0" applyNumberFormat="0" applyBorder="0" applyAlignment="0" applyProtection="0">
      <alignment vertical="center"/>
    </xf>
    <xf numFmtId="0" fontId="118" fillId="58" borderId="0" applyNumberFormat="0" applyBorder="0" applyAlignment="0" applyProtection="0">
      <alignment vertical="center"/>
    </xf>
    <xf numFmtId="0" fontId="118" fillId="59" borderId="0" applyNumberFormat="0" applyBorder="0" applyAlignment="0" applyProtection="0">
      <alignment vertical="center"/>
    </xf>
    <xf numFmtId="0" fontId="84" fillId="60" borderId="0" applyNumberFormat="0" applyBorder="0" applyAlignment="0" applyProtection="0">
      <alignment vertical="center"/>
    </xf>
    <xf numFmtId="0" fontId="84" fillId="61" borderId="0" applyNumberFormat="0" applyBorder="0" applyAlignment="0" applyProtection="0">
      <alignment vertical="center"/>
    </xf>
    <xf numFmtId="0" fontId="118" fillId="62" borderId="0" applyNumberFormat="0" applyBorder="0" applyAlignment="0" applyProtection="0">
      <alignment vertical="center"/>
    </xf>
    <xf numFmtId="0" fontId="118" fillId="63" borderId="0" applyNumberFormat="0" applyBorder="0" applyAlignment="0" applyProtection="0">
      <alignment vertical="center"/>
    </xf>
    <xf numFmtId="0" fontId="84" fillId="64" borderId="0" applyNumberFormat="0" applyBorder="0" applyAlignment="0" applyProtection="0">
      <alignment vertical="center"/>
    </xf>
    <xf numFmtId="0" fontId="84" fillId="65" borderId="0" applyNumberFormat="0" applyBorder="0" applyAlignment="0" applyProtection="0">
      <alignment vertical="center"/>
    </xf>
    <xf numFmtId="0" fontId="118" fillId="66" borderId="0" applyNumberFormat="0" applyBorder="0" applyAlignment="0" applyProtection="0">
      <alignment vertical="center"/>
    </xf>
    <xf numFmtId="0" fontId="118" fillId="67" borderId="0" applyNumberFormat="0" applyBorder="0" applyAlignment="0" applyProtection="0">
      <alignment vertical="center"/>
    </xf>
    <xf numFmtId="0" fontId="84" fillId="68" borderId="0" applyNumberFormat="0" applyBorder="0" applyAlignment="0" applyProtection="0">
      <alignment vertical="center"/>
    </xf>
    <xf numFmtId="0" fontId="84" fillId="69" borderId="0" applyNumberFormat="0" applyBorder="0" applyAlignment="0" applyProtection="0">
      <alignment vertical="center"/>
    </xf>
    <xf numFmtId="0" fontId="118" fillId="70" borderId="0" applyNumberFormat="0" applyBorder="0" applyAlignment="0" applyProtection="0">
      <alignment vertical="center"/>
    </xf>
    <xf numFmtId="0" fontId="103" fillId="0" borderId="0"/>
    <xf numFmtId="0" fontId="84" fillId="0" borderId="0">
      <alignment vertical="center"/>
    </xf>
    <xf numFmtId="0" fontId="84" fillId="2" borderId="2" applyNumberFormat="0" applyFont="0" applyAlignment="0" applyProtection="0">
      <alignment vertical="center"/>
    </xf>
    <xf numFmtId="0" fontId="84" fillId="48" borderId="0" applyNumberFormat="0" applyBorder="0" applyAlignment="0" applyProtection="0">
      <alignment vertical="center"/>
    </xf>
    <xf numFmtId="0" fontId="84" fillId="49" borderId="0" applyNumberFormat="0" applyBorder="0" applyAlignment="0" applyProtection="0">
      <alignment vertical="center"/>
    </xf>
    <xf numFmtId="0" fontId="84" fillId="52" borderId="0" applyNumberFormat="0" applyBorder="0" applyAlignment="0" applyProtection="0">
      <alignment vertical="center"/>
    </xf>
    <xf numFmtId="0" fontId="84" fillId="53" borderId="0" applyNumberFormat="0" applyBorder="0" applyAlignment="0" applyProtection="0">
      <alignment vertical="center"/>
    </xf>
    <xf numFmtId="0" fontId="84" fillId="56" borderId="0" applyNumberFormat="0" applyBorder="0" applyAlignment="0" applyProtection="0">
      <alignment vertical="center"/>
    </xf>
    <xf numFmtId="0" fontId="84" fillId="57" borderId="0" applyNumberFormat="0" applyBorder="0" applyAlignment="0" applyProtection="0">
      <alignment vertical="center"/>
    </xf>
    <xf numFmtId="0" fontId="84" fillId="60" borderId="0" applyNumberFormat="0" applyBorder="0" applyAlignment="0" applyProtection="0">
      <alignment vertical="center"/>
    </xf>
    <xf numFmtId="0" fontId="84" fillId="61" borderId="0" applyNumberFormat="0" applyBorder="0" applyAlignment="0" applyProtection="0">
      <alignment vertical="center"/>
    </xf>
    <xf numFmtId="0" fontId="84" fillId="64" borderId="0" applyNumberFormat="0" applyBorder="0" applyAlignment="0" applyProtection="0">
      <alignment vertical="center"/>
    </xf>
    <xf numFmtId="0" fontId="84" fillId="65" borderId="0" applyNumberFormat="0" applyBorder="0" applyAlignment="0" applyProtection="0">
      <alignment vertical="center"/>
    </xf>
    <xf numFmtId="0" fontId="84" fillId="68" borderId="0" applyNumberFormat="0" applyBorder="0" applyAlignment="0" applyProtection="0">
      <alignment vertical="center"/>
    </xf>
    <xf numFmtId="0" fontId="84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9" borderId="0" applyNumberFormat="0" applyBorder="0" applyAlignment="0" applyProtection="0">
      <alignment vertical="center"/>
    </xf>
    <xf numFmtId="0" fontId="4" fillId="0" borderId="0"/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9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44" fillId="0" borderId="0">
      <alignment vertical="center"/>
    </xf>
    <xf numFmtId="0" fontId="44" fillId="48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46" borderId="53" applyNumberFormat="0" applyAlignment="0" applyProtection="0">
      <alignment vertical="center"/>
    </xf>
    <xf numFmtId="164" fontId="45" fillId="0" borderId="0" applyFont="0" applyFill="0" applyBorder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9" borderId="0" applyNumberFormat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9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2" borderId="2" applyNumberFormat="0" applyFont="0" applyAlignment="0" applyProtection="0">
      <alignment vertical="center"/>
    </xf>
    <xf numFmtId="0" fontId="84" fillId="48" borderId="0" applyNumberFormat="0" applyBorder="0" applyAlignment="0" applyProtection="0">
      <alignment vertical="center"/>
    </xf>
    <xf numFmtId="0" fontId="84" fillId="49" borderId="0" applyNumberFormat="0" applyBorder="0" applyAlignment="0" applyProtection="0">
      <alignment vertical="center"/>
    </xf>
    <xf numFmtId="0" fontId="84" fillId="52" borderId="0" applyNumberFormat="0" applyBorder="0" applyAlignment="0" applyProtection="0">
      <alignment vertical="center"/>
    </xf>
    <xf numFmtId="0" fontId="84" fillId="53" borderId="0" applyNumberFormat="0" applyBorder="0" applyAlignment="0" applyProtection="0">
      <alignment vertical="center"/>
    </xf>
    <xf numFmtId="0" fontId="84" fillId="56" borderId="0" applyNumberFormat="0" applyBorder="0" applyAlignment="0" applyProtection="0">
      <alignment vertical="center"/>
    </xf>
    <xf numFmtId="0" fontId="84" fillId="57" borderId="0" applyNumberFormat="0" applyBorder="0" applyAlignment="0" applyProtection="0">
      <alignment vertical="center"/>
    </xf>
    <xf numFmtId="0" fontId="84" fillId="60" borderId="0" applyNumberFormat="0" applyBorder="0" applyAlignment="0" applyProtection="0">
      <alignment vertical="center"/>
    </xf>
    <xf numFmtId="0" fontId="84" fillId="61" borderId="0" applyNumberFormat="0" applyBorder="0" applyAlignment="0" applyProtection="0">
      <alignment vertical="center"/>
    </xf>
    <xf numFmtId="0" fontId="84" fillId="64" borderId="0" applyNumberFormat="0" applyBorder="0" applyAlignment="0" applyProtection="0">
      <alignment vertical="center"/>
    </xf>
    <xf numFmtId="0" fontId="84" fillId="65" borderId="0" applyNumberFormat="0" applyBorder="0" applyAlignment="0" applyProtection="0">
      <alignment vertical="center"/>
    </xf>
    <xf numFmtId="0" fontId="84" fillId="68" borderId="0" applyNumberFormat="0" applyBorder="0" applyAlignment="0" applyProtection="0">
      <alignment vertical="center"/>
    </xf>
    <xf numFmtId="0" fontId="84" fillId="69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2" borderId="2" applyNumberFormat="0" applyFont="0" applyAlignment="0" applyProtection="0">
      <alignment vertical="center"/>
    </xf>
    <xf numFmtId="0" fontId="84" fillId="48" borderId="0" applyNumberFormat="0" applyBorder="0" applyAlignment="0" applyProtection="0">
      <alignment vertical="center"/>
    </xf>
    <xf numFmtId="0" fontId="84" fillId="49" borderId="0" applyNumberFormat="0" applyBorder="0" applyAlignment="0" applyProtection="0">
      <alignment vertical="center"/>
    </xf>
    <xf numFmtId="0" fontId="84" fillId="52" borderId="0" applyNumberFormat="0" applyBorder="0" applyAlignment="0" applyProtection="0">
      <alignment vertical="center"/>
    </xf>
    <xf numFmtId="0" fontId="84" fillId="53" borderId="0" applyNumberFormat="0" applyBorder="0" applyAlignment="0" applyProtection="0">
      <alignment vertical="center"/>
    </xf>
    <xf numFmtId="0" fontId="84" fillId="56" borderId="0" applyNumberFormat="0" applyBorder="0" applyAlignment="0" applyProtection="0">
      <alignment vertical="center"/>
    </xf>
    <xf numFmtId="0" fontId="84" fillId="57" borderId="0" applyNumberFormat="0" applyBorder="0" applyAlignment="0" applyProtection="0">
      <alignment vertical="center"/>
    </xf>
    <xf numFmtId="0" fontId="84" fillId="60" borderId="0" applyNumberFormat="0" applyBorder="0" applyAlignment="0" applyProtection="0">
      <alignment vertical="center"/>
    </xf>
    <xf numFmtId="0" fontId="84" fillId="61" borderId="0" applyNumberFormat="0" applyBorder="0" applyAlignment="0" applyProtection="0">
      <alignment vertical="center"/>
    </xf>
    <xf numFmtId="0" fontId="84" fillId="64" borderId="0" applyNumberFormat="0" applyBorder="0" applyAlignment="0" applyProtection="0">
      <alignment vertical="center"/>
    </xf>
    <xf numFmtId="0" fontId="84" fillId="65" borderId="0" applyNumberFormat="0" applyBorder="0" applyAlignment="0" applyProtection="0">
      <alignment vertical="center"/>
    </xf>
    <xf numFmtId="0" fontId="84" fillId="68" borderId="0" applyNumberFormat="0" applyBorder="0" applyAlignment="0" applyProtection="0">
      <alignment vertical="center"/>
    </xf>
    <xf numFmtId="0" fontId="84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9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>
      <alignment vertical="center"/>
    </xf>
    <xf numFmtId="0" fontId="44" fillId="48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6" borderId="0" applyNumberFormat="0" applyBorder="0" applyAlignment="0" applyProtection="0">
      <alignment vertical="center"/>
    </xf>
    <xf numFmtId="0" fontId="86" fillId="70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45" borderId="50" applyNumberFormat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46" borderId="53" applyNumberFormat="0" applyAlignment="0" applyProtection="0">
      <alignment vertical="center"/>
    </xf>
    <xf numFmtId="164" fontId="45" fillId="0" borderId="0" applyFont="0" applyFill="0" applyBorder="0" applyAlignment="0" applyProtection="0">
      <alignment vertical="center"/>
    </xf>
    <xf numFmtId="0" fontId="93" fillId="0" borderId="52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94" fillId="44" borderId="50" applyNumberFormat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0" borderId="47" applyNumberFormat="0" applyFill="0" applyAlignment="0" applyProtection="0">
      <alignment vertical="center"/>
    </xf>
    <xf numFmtId="0" fontId="97" fillId="0" borderId="48" applyNumberFormat="0" applyFill="0" applyAlignment="0" applyProtection="0">
      <alignment vertical="center"/>
    </xf>
    <xf numFmtId="0" fontId="98" fillId="0" borderId="49" applyNumberFormat="0" applyFill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100" fillId="45" borderId="51" applyNumberFormat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9" borderId="0" applyNumberFormat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9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2" borderId="2" applyNumberFormat="0" applyFont="0" applyAlignment="0" applyProtection="0">
      <alignment vertical="center"/>
    </xf>
    <xf numFmtId="0" fontId="84" fillId="48" borderId="0" applyNumberFormat="0" applyBorder="0" applyAlignment="0" applyProtection="0">
      <alignment vertical="center"/>
    </xf>
    <xf numFmtId="0" fontId="84" fillId="49" borderId="0" applyNumberFormat="0" applyBorder="0" applyAlignment="0" applyProtection="0">
      <alignment vertical="center"/>
    </xf>
    <xf numFmtId="0" fontId="84" fillId="52" borderId="0" applyNumberFormat="0" applyBorder="0" applyAlignment="0" applyProtection="0">
      <alignment vertical="center"/>
    </xf>
    <xf numFmtId="0" fontId="84" fillId="53" borderId="0" applyNumberFormat="0" applyBorder="0" applyAlignment="0" applyProtection="0">
      <alignment vertical="center"/>
    </xf>
    <xf numFmtId="0" fontId="84" fillId="56" borderId="0" applyNumberFormat="0" applyBorder="0" applyAlignment="0" applyProtection="0">
      <alignment vertical="center"/>
    </xf>
    <xf numFmtId="0" fontId="84" fillId="57" borderId="0" applyNumberFormat="0" applyBorder="0" applyAlignment="0" applyProtection="0">
      <alignment vertical="center"/>
    </xf>
    <xf numFmtId="0" fontId="84" fillId="60" borderId="0" applyNumberFormat="0" applyBorder="0" applyAlignment="0" applyProtection="0">
      <alignment vertical="center"/>
    </xf>
    <xf numFmtId="0" fontId="84" fillId="61" borderId="0" applyNumberFormat="0" applyBorder="0" applyAlignment="0" applyProtection="0">
      <alignment vertical="center"/>
    </xf>
    <xf numFmtId="0" fontId="84" fillId="64" borderId="0" applyNumberFormat="0" applyBorder="0" applyAlignment="0" applyProtection="0">
      <alignment vertical="center"/>
    </xf>
    <xf numFmtId="0" fontId="84" fillId="65" borderId="0" applyNumberFormat="0" applyBorder="0" applyAlignment="0" applyProtection="0">
      <alignment vertical="center"/>
    </xf>
    <xf numFmtId="0" fontId="84" fillId="68" borderId="0" applyNumberFormat="0" applyBorder="0" applyAlignment="0" applyProtection="0">
      <alignment vertical="center"/>
    </xf>
    <xf numFmtId="0" fontId="84" fillId="69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2" borderId="2" applyNumberFormat="0" applyFont="0" applyAlignment="0" applyProtection="0">
      <alignment vertical="center"/>
    </xf>
    <xf numFmtId="0" fontId="84" fillId="48" borderId="0" applyNumberFormat="0" applyBorder="0" applyAlignment="0" applyProtection="0">
      <alignment vertical="center"/>
    </xf>
    <xf numFmtId="0" fontId="84" fillId="49" borderId="0" applyNumberFormat="0" applyBorder="0" applyAlignment="0" applyProtection="0">
      <alignment vertical="center"/>
    </xf>
    <xf numFmtId="0" fontId="84" fillId="52" borderId="0" applyNumberFormat="0" applyBorder="0" applyAlignment="0" applyProtection="0">
      <alignment vertical="center"/>
    </xf>
    <xf numFmtId="0" fontId="84" fillId="53" borderId="0" applyNumberFormat="0" applyBorder="0" applyAlignment="0" applyProtection="0">
      <alignment vertical="center"/>
    </xf>
    <xf numFmtId="0" fontId="84" fillId="56" borderId="0" applyNumberFormat="0" applyBorder="0" applyAlignment="0" applyProtection="0">
      <alignment vertical="center"/>
    </xf>
    <xf numFmtId="0" fontId="84" fillId="57" borderId="0" applyNumberFormat="0" applyBorder="0" applyAlignment="0" applyProtection="0">
      <alignment vertical="center"/>
    </xf>
    <xf numFmtId="0" fontId="84" fillId="60" borderId="0" applyNumberFormat="0" applyBorder="0" applyAlignment="0" applyProtection="0">
      <alignment vertical="center"/>
    </xf>
    <xf numFmtId="0" fontId="84" fillId="61" borderId="0" applyNumberFormat="0" applyBorder="0" applyAlignment="0" applyProtection="0">
      <alignment vertical="center"/>
    </xf>
    <xf numFmtId="0" fontId="84" fillId="64" borderId="0" applyNumberFormat="0" applyBorder="0" applyAlignment="0" applyProtection="0">
      <alignment vertical="center"/>
    </xf>
    <xf numFmtId="0" fontId="84" fillId="65" borderId="0" applyNumberFormat="0" applyBorder="0" applyAlignment="0" applyProtection="0">
      <alignment vertical="center"/>
    </xf>
    <xf numFmtId="0" fontId="84" fillId="68" borderId="0" applyNumberFormat="0" applyBorder="0" applyAlignment="0" applyProtection="0">
      <alignment vertical="center"/>
    </xf>
    <xf numFmtId="0" fontId="84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9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9" borderId="0" applyNumberFormat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9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2" borderId="2" applyNumberFormat="0" applyFont="0" applyAlignment="0" applyProtection="0">
      <alignment vertical="center"/>
    </xf>
    <xf numFmtId="0" fontId="84" fillId="48" borderId="0" applyNumberFormat="0" applyBorder="0" applyAlignment="0" applyProtection="0">
      <alignment vertical="center"/>
    </xf>
    <xf numFmtId="0" fontId="84" fillId="49" borderId="0" applyNumberFormat="0" applyBorder="0" applyAlignment="0" applyProtection="0">
      <alignment vertical="center"/>
    </xf>
    <xf numFmtId="0" fontId="84" fillId="52" borderId="0" applyNumberFormat="0" applyBorder="0" applyAlignment="0" applyProtection="0">
      <alignment vertical="center"/>
    </xf>
    <xf numFmtId="0" fontId="84" fillId="53" borderId="0" applyNumberFormat="0" applyBorder="0" applyAlignment="0" applyProtection="0">
      <alignment vertical="center"/>
    </xf>
    <xf numFmtId="0" fontId="84" fillId="56" borderId="0" applyNumberFormat="0" applyBorder="0" applyAlignment="0" applyProtection="0">
      <alignment vertical="center"/>
    </xf>
    <xf numFmtId="0" fontId="84" fillId="57" borderId="0" applyNumberFormat="0" applyBorder="0" applyAlignment="0" applyProtection="0">
      <alignment vertical="center"/>
    </xf>
    <xf numFmtId="0" fontId="84" fillId="60" borderId="0" applyNumberFormat="0" applyBorder="0" applyAlignment="0" applyProtection="0">
      <alignment vertical="center"/>
    </xf>
    <xf numFmtId="0" fontId="84" fillId="61" borderId="0" applyNumberFormat="0" applyBorder="0" applyAlignment="0" applyProtection="0">
      <alignment vertical="center"/>
    </xf>
    <xf numFmtId="0" fontId="84" fillId="64" borderId="0" applyNumberFormat="0" applyBorder="0" applyAlignment="0" applyProtection="0">
      <alignment vertical="center"/>
    </xf>
    <xf numFmtId="0" fontId="84" fillId="65" borderId="0" applyNumberFormat="0" applyBorder="0" applyAlignment="0" applyProtection="0">
      <alignment vertical="center"/>
    </xf>
    <xf numFmtId="0" fontId="84" fillId="68" borderId="0" applyNumberFormat="0" applyBorder="0" applyAlignment="0" applyProtection="0">
      <alignment vertical="center"/>
    </xf>
    <xf numFmtId="0" fontId="84" fillId="69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2" borderId="2" applyNumberFormat="0" applyFont="0" applyAlignment="0" applyProtection="0">
      <alignment vertical="center"/>
    </xf>
    <xf numFmtId="0" fontId="84" fillId="48" borderId="0" applyNumberFormat="0" applyBorder="0" applyAlignment="0" applyProtection="0">
      <alignment vertical="center"/>
    </xf>
    <xf numFmtId="0" fontId="84" fillId="49" borderId="0" applyNumberFormat="0" applyBorder="0" applyAlignment="0" applyProtection="0">
      <alignment vertical="center"/>
    </xf>
    <xf numFmtId="0" fontId="84" fillId="52" borderId="0" applyNumberFormat="0" applyBorder="0" applyAlignment="0" applyProtection="0">
      <alignment vertical="center"/>
    </xf>
    <xf numFmtId="0" fontId="84" fillId="53" borderId="0" applyNumberFormat="0" applyBorder="0" applyAlignment="0" applyProtection="0">
      <alignment vertical="center"/>
    </xf>
    <xf numFmtId="0" fontId="84" fillId="56" borderId="0" applyNumberFormat="0" applyBorder="0" applyAlignment="0" applyProtection="0">
      <alignment vertical="center"/>
    </xf>
    <xf numFmtId="0" fontId="84" fillId="57" borderId="0" applyNumberFormat="0" applyBorder="0" applyAlignment="0" applyProtection="0">
      <alignment vertical="center"/>
    </xf>
    <xf numFmtId="0" fontId="84" fillId="60" borderId="0" applyNumberFormat="0" applyBorder="0" applyAlignment="0" applyProtection="0">
      <alignment vertical="center"/>
    </xf>
    <xf numFmtId="0" fontId="84" fillId="61" borderId="0" applyNumberFormat="0" applyBorder="0" applyAlignment="0" applyProtection="0">
      <alignment vertical="center"/>
    </xf>
    <xf numFmtId="0" fontId="84" fillId="64" borderId="0" applyNumberFormat="0" applyBorder="0" applyAlignment="0" applyProtection="0">
      <alignment vertical="center"/>
    </xf>
    <xf numFmtId="0" fontId="84" fillId="65" borderId="0" applyNumberFormat="0" applyBorder="0" applyAlignment="0" applyProtection="0">
      <alignment vertical="center"/>
    </xf>
    <xf numFmtId="0" fontId="84" fillId="68" borderId="0" applyNumberFormat="0" applyBorder="0" applyAlignment="0" applyProtection="0">
      <alignment vertical="center"/>
    </xf>
    <xf numFmtId="0" fontId="84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9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0" fillId="0" borderId="0">
      <alignment vertical="center"/>
    </xf>
    <xf numFmtId="164" fontId="6" fillId="0" borderId="0" applyFont="0" applyFill="0" applyBorder="0" applyAlignment="0" applyProtection="0">
      <alignment vertical="center"/>
    </xf>
  </cellStyleXfs>
  <cellXfs count="198">
    <xf numFmtId="0" fontId="0" fillId="0" borderId="0" xfId="0"/>
    <xf numFmtId="3" fontId="0" fillId="0" borderId="0" xfId="0" applyNumberFormat="1" applyAlignment="1">
      <alignment horizontal="left"/>
    </xf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vertical="center"/>
    </xf>
    <xf numFmtId="0" fontId="49" fillId="0" borderId="0" xfId="0" applyFont="1" applyAlignment="1">
      <alignment vertical="center"/>
    </xf>
    <xf numFmtId="49" fontId="48" fillId="0" borderId="0" xfId="0" applyNumberFormat="1" applyFont="1" applyAlignment="1">
      <alignment horizontal="left"/>
    </xf>
    <xf numFmtId="0" fontId="49" fillId="0" borderId="0" xfId="0" quotePrefix="1" applyFont="1" applyAlignment="1">
      <alignment vertical="center"/>
    </xf>
    <xf numFmtId="0" fontId="50" fillId="0" borderId="0" xfId="0" applyFont="1" applyAlignment="1">
      <alignment vertical="center"/>
    </xf>
    <xf numFmtId="0" fontId="53" fillId="0" borderId="0" xfId="0" applyFont="1" applyAlignment="1">
      <alignment horizontal="left" vertical="center"/>
    </xf>
    <xf numFmtId="0" fontId="50" fillId="0" borderId="0" xfId="0" applyFont="1" applyAlignment="1">
      <alignment horizontal="right" vertical="center"/>
    </xf>
    <xf numFmtId="0" fontId="52" fillId="0" borderId="22" xfId="0" applyFont="1" applyBorder="1" applyAlignment="1">
      <alignment horizontal="center" vertical="center"/>
    </xf>
    <xf numFmtId="0" fontId="50" fillId="0" borderId="22" xfId="0" applyFont="1" applyBorder="1" applyAlignment="1">
      <alignment vertical="center"/>
    </xf>
    <xf numFmtId="0" fontId="50" fillId="0" borderId="23" xfId="0" applyFont="1" applyBorder="1" applyAlignment="1">
      <alignment vertical="center"/>
    </xf>
    <xf numFmtId="0" fontId="50" fillId="0" borderId="24" xfId="0" applyFont="1" applyBorder="1" applyAlignment="1">
      <alignment vertical="center"/>
    </xf>
    <xf numFmtId="0" fontId="52" fillId="0" borderId="25" xfId="0" applyFont="1" applyBorder="1" applyAlignment="1">
      <alignment horizontal="center" vertical="center"/>
    </xf>
    <xf numFmtId="167" fontId="50" fillId="0" borderId="25" xfId="0" applyNumberFormat="1" applyFont="1" applyBorder="1" applyAlignment="1">
      <alignment vertical="center"/>
    </xf>
    <xf numFmtId="0" fontId="50" fillId="0" borderId="26" xfId="0" applyFont="1" applyBorder="1" applyAlignment="1">
      <alignment vertical="center"/>
    </xf>
    <xf numFmtId="167" fontId="50" fillId="0" borderId="22" xfId="0" applyNumberFormat="1" applyFont="1" applyBorder="1" applyAlignment="1">
      <alignment vertical="center"/>
    </xf>
    <xf numFmtId="0" fontId="52" fillId="0" borderId="27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46" fillId="0" borderId="0" xfId="0" applyFont="1"/>
    <xf numFmtId="167" fontId="0" fillId="0" borderId="0" xfId="0" applyNumberFormat="1" applyAlignment="1">
      <alignment vertical="center"/>
    </xf>
    <xf numFmtId="0" fontId="0" fillId="36" borderId="32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46" fillId="0" borderId="0" xfId="0" applyFont="1" applyAlignment="1">
      <alignment vertical="center"/>
    </xf>
    <xf numFmtId="0" fontId="3" fillId="0" borderId="0" xfId="1" applyAlignment="1">
      <alignment vertical="center"/>
    </xf>
    <xf numFmtId="0" fontId="56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38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0" fontId="58" fillId="0" borderId="0" xfId="0" applyFont="1" applyAlignment="1">
      <alignment horizontal="center" vertical="center"/>
    </xf>
    <xf numFmtId="38" fontId="60" fillId="0" borderId="0" xfId="0" applyNumberFormat="1" applyFont="1" applyAlignment="1">
      <alignment vertical="center"/>
    </xf>
    <xf numFmtId="10" fontId="60" fillId="0" borderId="0" xfId="0" applyNumberFormat="1" applyFont="1" applyAlignment="1">
      <alignment vertical="center"/>
    </xf>
    <xf numFmtId="38" fontId="59" fillId="0" borderId="0" xfId="0" applyNumberFormat="1" applyFont="1" applyAlignment="1">
      <alignment vertical="center"/>
    </xf>
    <xf numFmtId="0" fontId="60" fillId="0" borderId="0" xfId="0" applyFont="1" applyAlignment="1">
      <alignment vertical="center"/>
    </xf>
    <xf numFmtId="0" fontId="46" fillId="0" borderId="0" xfId="0" applyFont="1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3" fontId="46" fillId="0" borderId="0" xfId="0" applyNumberFormat="1" applyFont="1" applyAlignment="1">
      <alignment horizontal="right" vertical="center"/>
    </xf>
    <xf numFmtId="0" fontId="0" fillId="37" borderId="0" xfId="0" applyFill="1"/>
    <xf numFmtId="0" fontId="46" fillId="37" borderId="0" xfId="0" applyFont="1" applyFill="1" applyAlignment="1">
      <alignment horizontal="left"/>
    </xf>
    <xf numFmtId="0" fontId="44" fillId="0" borderId="0" xfId="0" applyFont="1" applyAlignment="1">
      <alignment horizontal="left" vertical="center"/>
    </xf>
    <xf numFmtId="22" fontId="65" fillId="22" borderId="0" xfId="0" applyNumberFormat="1" applyFont="1" applyFill="1" applyAlignment="1">
      <alignment horizontal="right"/>
    </xf>
    <xf numFmtId="3" fontId="0" fillId="0" borderId="0" xfId="0" applyNumberFormat="1" applyAlignment="1">
      <alignment vertical="center"/>
    </xf>
    <xf numFmtId="169" fontId="0" fillId="0" borderId="0" xfId="0" applyNumberFormat="1"/>
    <xf numFmtId="0" fontId="0" fillId="30" borderId="0" xfId="0" applyFill="1" applyAlignment="1">
      <alignment vertical="center"/>
    </xf>
    <xf numFmtId="3" fontId="67" fillId="0" borderId="33" xfId="0" applyNumberFormat="1" applyFont="1" applyBorder="1" applyAlignment="1">
      <alignment horizontal="right" vertical="center"/>
    </xf>
    <xf numFmtId="0" fontId="0" fillId="36" borderId="32" xfId="0" applyFill="1" applyBorder="1"/>
    <xf numFmtId="170" fontId="0" fillId="0" borderId="0" xfId="0" applyNumberFormat="1" applyAlignment="1">
      <alignment vertical="center"/>
    </xf>
    <xf numFmtId="0" fontId="0" fillId="36" borderId="34" xfId="0" applyFill="1" applyBorder="1"/>
    <xf numFmtId="0" fontId="52" fillId="29" borderId="25" xfId="0" applyFont="1" applyFill="1" applyBorder="1" applyAlignment="1">
      <alignment horizontal="center" vertical="center"/>
    </xf>
    <xf numFmtId="0" fontId="52" fillId="30" borderId="25" xfId="0" applyFont="1" applyFill="1" applyBorder="1" applyAlignment="1">
      <alignment horizontal="center"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42" xfId="0" applyBorder="1" applyAlignment="1">
      <alignment vertical="center"/>
    </xf>
    <xf numFmtId="170" fontId="0" fillId="0" borderId="37" xfId="0" applyNumberFormat="1" applyBorder="1" applyAlignment="1">
      <alignment vertical="center"/>
    </xf>
    <xf numFmtId="170" fontId="0" fillId="0" borderId="30" xfId="0" applyNumberFormat="1" applyBorder="1" applyAlignment="1">
      <alignment vertical="center"/>
    </xf>
    <xf numFmtId="0" fontId="46" fillId="0" borderId="43" xfId="0" applyFont="1" applyBorder="1" applyAlignment="1">
      <alignment vertical="center"/>
    </xf>
    <xf numFmtId="0" fontId="3" fillId="0" borderId="0" xfId="1" applyFill="1"/>
    <xf numFmtId="0" fontId="0" fillId="0" borderId="0" xfId="0" applyAlignment="1">
      <alignment horizontal="left"/>
    </xf>
    <xf numFmtId="0" fontId="3" fillId="0" borderId="0" xfId="1" applyFill="1" applyAlignment="1">
      <alignment horizontal="left"/>
    </xf>
    <xf numFmtId="0" fontId="44" fillId="0" borderId="0" xfId="0" applyFont="1"/>
    <xf numFmtId="168" fontId="44" fillId="0" borderId="0" xfId="0" applyNumberFormat="1" applyFont="1" applyAlignment="1">
      <alignment horizontal="right" vertical="center"/>
    </xf>
    <xf numFmtId="167" fontId="44" fillId="0" borderId="0" xfId="0" applyNumberFormat="1" applyFont="1" applyAlignment="1">
      <alignment vertical="center"/>
    </xf>
    <xf numFmtId="38" fontId="44" fillId="0" borderId="0" xfId="0" applyNumberFormat="1" applyFont="1" applyAlignment="1">
      <alignment horizontal="left" vertical="center"/>
    </xf>
    <xf numFmtId="38" fontId="44" fillId="0" borderId="0" xfId="0" applyNumberFormat="1" applyFont="1" applyAlignment="1">
      <alignment vertical="center"/>
    </xf>
    <xf numFmtId="0" fontId="46" fillId="37" borderId="0" xfId="0" applyFont="1" applyFill="1"/>
    <xf numFmtId="0" fontId="54" fillId="0" borderId="0" xfId="1" applyFont="1" applyFill="1" applyAlignment="1">
      <alignment horizontal="left"/>
    </xf>
    <xf numFmtId="0" fontId="61" fillId="37" borderId="0" xfId="1" applyFont="1" applyFill="1" applyAlignment="1">
      <alignment horizontal="left"/>
    </xf>
    <xf numFmtId="169" fontId="59" fillId="0" borderId="0" xfId="0" applyNumberFormat="1" applyFont="1"/>
    <xf numFmtId="0" fontId="68" fillId="0" borderId="0" xfId="0" applyFont="1" applyAlignment="1">
      <alignment horizontal="left" vertical="center"/>
    </xf>
    <xf numFmtId="0" fontId="2" fillId="0" borderId="0" xfId="0" applyFont="1" applyAlignment="1">
      <alignment horizontal="right"/>
    </xf>
    <xf numFmtId="0" fontId="0" fillId="30" borderId="45" xfId="0" applyFill="1" applyBorder="1" applyAlignment="1">
      <alignment vertical="center"/>
    </xf>
    <xf numFmtId="0" fontId="0" fillId="30" borderId="44" xfId="0" applyFill="1" applyBorder="1" applyAlignment="1">
      <alignment vertical="center"/>
    </xf>
    <xf numFmtId="169" fontId="0" fillId="29" borderId="0" xfId="0" applyNumberFormat="1" applyFill="1"/>
    <xf numFmtId="3" fontId="69" fillId="40" borderId="46" xfId="0" applyNumberFormat="1" applyFont="1" applyFill="1" applyBorder="1" applyAlignment="1">
      <alignment horizontal="right" vertical="center"/>
    </xf>
    <xf numFmtId="0" fontId="69" fillId="40" borderId="46" xfId="0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164" fontId="119" fillId="0" borderId="35" xfId="3009" applyFont="1" applyBorder="1">
      <alignment vertical="center"/>
    </xf>
    <xf numFmtId="0" fontId="49" fillId="27" borderId="35" xfId="0" applyFont="1" applyFill="1" applyBorder="1" applyAlignment="1">
      <alignment vertical="center"/>
    </xf>
    <xf numFmtId="0" fontId="49" fillId="28" borderId="35" xfId="0" applyFont="1" applyFill="1" applyBorder="1" applyAlignment="1">
      <alignment horizontal="center" vertical="center"/>
    </xf>
    <xf numFmtId="0" fontId="49" fillId="0" borderId="35" xfId="0" applyFont="1" applyBorder="1" applyAlignment="1">
      <alignment vertical="center"/>
    </xf>
    <xf numFmtId="0" fontId="51" fillId="33" borderId="35" xfId="0" applyFont="1" applyFill="1" applyBorder="1" applyAlignment="1">
      <alignment horizontal="center" vertical="center" wrapText="1"/>
    </xf>
    <xf numFmtId="0" fontId="51" fillId="0" borderId="34" xfId="0" applyFont="1" applyBorder="1" applyAlignment="1">
      <alignment horizontal="center" vertical="center" wrapText="1"/>
    </xf>
    <xf numFmtId="0" fontId="50" fillId="0" borderId="34" xfId="0" applyFont="1" applyBorder="1" applyAlignment="1">
      <alignment horizontal="center" vertical="center"/>
    </xf>
    <xf numFmtId="0" fontId="50" fillId="0" borderId="34" xfId="0" applyFont="1" applyBorder="1" applyAlignment="1">
      <alignment horizontal="center" vertical="center" wrapText="1"/>
    </xf>
    <xf numFmtId="0" fontId="52" fillId="0" borderId="56" xfId="0" applyFont="1" applyBorder="1" applyAlignment="1">
      <alignment horizontal="center" vertical="center"/>
    </xf>
    <xf numFmtId="0" fontId="50" fillId="0" borderId="56" xfId="0" applyFont="1" applyBorder="1" applyAlignment="1">
      <alignment vertical="center"/>
    </xf>
    <xf numFmtId="0" fontId="52" fillId="31" borderId="56" xfId="0" applyFont="1" applyFill="1" applyBorder="1" applyAlignment="1">
      <alignment horizontal="center" vertical="center"/>
    </xf>
    <xf numFmtId="167" fontId="50" fillId="0" borderId="56" xfId="0" applyNumberFormat="1" applyFont="1" applyBorder="1" applyAlignment="1">
      <alignment vertical="center"/>
    </xf>
    <xf numFmtId="0" fontId="52" fillId="30" borderId="56" xfId="0" applyFont="1" applyFill="1" applyBorder="1" applyAlignment="1">
      <alignment horizontal="center" vertical="center"/>
    </xf>
    <xf numFmtId="0" fontId="52" fillId="32" borderId="56" xfId="0" applyFont="1" applyFill="1" applyBorder="1" applyAlignment="1">
      <alignment horizontal="center" vertical="center"/>
    </xf>
    <xf numFmtId="0" fontId="52" fillId="29" borderId="56" xfId="0" applyFont="1" applyFill="1" applyBorder="1" applyAlignment="1">
      <alignment horizontal="center" vertical="center"/>
    </xf>
    <xf numFmtId="0" fontId="48" fillId="29" borderId="56" xfId="0" applyFont="1" applyFill="1" applyBorder="1" applyAlignment="1">
      <alignment horizontal="center" vertical="center"/>
    </xf>
    <xf numFmtId="0" fontId="0" fillId="35" borderId="56" xfId="0" applyFill="1" applyBorder="1"/>
    <xf numFmtId="170" fontId="0" fillId="0" borderId="56" xfId="0" applyNumberFormat="1" applyBorder="1" applyAlignment="1">
      <alignment horizontal="right"/>
    </xf>
    <xf numFmtId="170" fontId="0" fillId="31" borderId="56" xfId="0" applyNumberFormat="1" applyFill="1" applyBorder="1" applyAlignment="1">
      <alignment horizontal="right"/>
    </xf>
    <xf numFmtId="170" fontId="0" fillId="30" borderId="56" xfId="0" applyNumberFormat="1" applyFill="1" applyBorder="1" applyAlignment="1">
      <alignment horizontal="right"/>
    </xf>
    <xf numFmtId="170" fontId="0" fillId="32" borderId="56" xfId="0" applyNumberFormat="1" applyFill="1" applyBorder="1" applyAlignment="1">
      <alignment horizontal="right"/>
    </xf>
    <xf numFmtId="170" fontId="0" fillId="29" borderId="56" xfId="0" applyNumberFormat="1" applyFill="1" applyBorder="1" applyAlignment="1">
      <alignment horizontal="right"/>
    </xf>
    <xf numFmtId="0" fontId="0" fillId="36" borderId="57" xfId="0" applyFill="1" applyBorder="1"/>
    <xf numFmtId="0" fontId="0" fillId="36" borderId="56" xfId="0" applyFill="1" applyBorder="1"/>
    <xf numFmtId="0" fontId="64" fillId="8" borderId="58" xfId="0" applyFont="1" applyFill="1" applyBorder="1" applyAlignment="1">
      <alignment horizontal="center" vertical="center"/>
    </xf>
    <xf numFmtId="49" fontId="64" fillId="0" borderId="58" xfId="0" applyNumberFormat="1" applyFont="1" applyBorder="1" applyAlignment="1">
      <alignment horizontal="center"/>
    </xf>
    <xf numFmtId="0" fontId="64" fillId="0" borderId="58" xfId="0" applyFont="1" applyBorder="1" applyAlignment="1">
      <alignment horizontal="right"/>
    </xf>
    <xf numFmtId="0" fontId="64" fillId="0" borderId="58" xfId="0" applyFont="1" applyBorder="1" applyAlignment="1">
      <alignment horizontal="center"/>
    </xf>
    <xf numFmtId="0" fontId="0" fillId="34" borderId="59" xfId="0" applyFill="1" applyBorder="1" applyAlignment="1">
      <alignment vertical="center"/>
    </xf>
    <xf numFmtId="0" fontId="0" fillId="39" borderId="59" xfId="0" applyFill="1" applyBorder="1" applyAlignment="1">
      <alignment horizontal="center"/>
    </xf>
    <xf numFmtId="0" fontId="0" fillId="36" borderId="59" xfId="0" applyFill="1" applyBorder="1"/>
    <xf numFmtId="38" fontId="0" fillId="0" borderId="59" xfId="0" applyNumberFormat="1" applyBorder="1" applyAlignment="1">
      <alignment horizontal="right"/>
    </xf>
    <xf numFmtId="0" fontId="0" fillId="0" borderId="60" xfId="0" applyBorder="1" applyAlignment="1">
      <alignment vertical="center"/>
    </xf>
    <xf numFmtId="0" fontId="0" fillId="30" borderId="60" xfId="0" applyFill="1" applyBorder="1" applyAlignment="1">
      <alignment vertical="center"/>
    </xf>
    <xf numFmtId="38" fontId="0" fillId="0" borderId="59" xfId="0" applyNumberFormat="1" applyBorder="1" applyAlignment="1">
      <alignment vertical="center"/>
    </xf>
    <xf numFmtId="0" fontId="0" fillId="30" borderId="61" xfId="0" applyFill="1" applyBorder="1" applyAlignment="1">
      <alignment vertical="center"/>
    </xf>
    <xf numFmtId="0" fontId="0" fillId="0" borderId="59" xfId="0" applyBorder="1"/>
    <xf numFmtId="0" fontId="0" fillId="30" borderId="59" xfId="0" applyFill="1" applyBorder="1"/>
    <xf numFmtId="49" fontId="66" fillId="38" borderId="62" xfId="0" applyNumberFormat="1" applyFont="1" applyFill="1" applyBorder="1" applyAlignment="1">
      <alignment horizontal="center" vertical="center" wrapText="1"/>
    </xf>
    <xf numFmtId="0" fontId="66" fillId="0" borderId="62" xfId="0" applyFont="1" applyBorder="1" applyAlignment="1">
      <alignment horizontal="left" vertical="center" wrapText="1"/>
    </xf>
    <xf numFmtId="3" fontId="66" fillId="0" borderId="62" xfId="0" applyNumberFormat="1" applyFont="1" applyBorder="1" applyAlignment="1">
      <alignment horizontal="right" vertical="center" wrapText="1"/>
    </xf>
    <xf numFmtId="0" fontId="0" fillId="35" borderId="59" xfId="0" applyFill="1" applyBorder="1" applyAlignment="1">
      <alignment vertical="center"/>
    </xf>
    <xf numFmtId="0" fontId="0" fillId="36" borderId="34" xfId="0" applyFill="1" applyBorder="1" applyAlignment="1">
      <alignment vertical="center"/>
    </xf>
    <xf numFmtId="3" fontId="0" fillId="0" borderId="59" xfId="0" applyNumberFormat="1" applyBorder="1" applyAlignment="1">
      <alignment horizontal="right" vertical="center"/>
    </xf>
    <xf numFmtId="0" fontId="0" fillId="36" borderId="57" xfId="0" applyFill="1" applyBorder="1" applyAlignment="1">
      <alignment vertical="center"/>
    </xf>
    <xf numFmtId="0" fontId="0" fillId="36" borderId="59" xfId="0" applyFill="1" applyBorder="1" applyAlignment="1">
      <alignment vertical="center"/>
    </xf>
    <xf numFmtId="0" fontId="46" fillId="34" borderId="59" xfId="0" applyFont="1" applyFill="1" applyBorder="1" applyAlignment="1">
      <alignment vertical="center"/>
    </xf>
    <xf numFmtId="0" fontId="46" fillId="35" borderId="59" xfId="0" applyFont="1" applyFill="1" applyBorder="1" applyAlignment="1">
      <alignment vertical="center"/>
    </xf>
    <xf numFmtId="0" fontId="67" fillId="9" borderId="63" xfId="0" applyFont="1" applyFill="1" applyBorder="1" applyAlignment="1">
      <alignment horizontal="left" vertical="center"/>
    </xf>
    <xf numFmtId="3" fontId="67" fillId="21" borderId="63" xfId="0" applyNumberFormat="1" applyFont="1" applyFill="1" applyBorder="1" applyAlignment="1">
      <alignment horizontal="right" vertical="center"/>
    </xf>
    <xf numFmtId="3" fontId="67" fillId="21" borderId="64" xfId="0" applyNumberFormat="1" applyFont="1" applyFill="1" applyBorder="1" applyAlignment="1">
      <alignment horizontal="right" vertical="center"/>
    </xf>
    <xf numFmtId="0" fontId="67" fillId="9" borderId="65" xfId="0" applyFont="1" applyFill="1" applyBorder="1" applyAlignment="1">
      <alignment horizontal="left" vertical="center"/>
    </xf>
    <xf numFmtId="3" fontId="67" fillId="0" borderId="66" xfId="0" applyNumberFormat="1" applyFont="1" applyBorder="1" applyAlignment="1">
      <alignment horizontal="right" vertical="center"/>
    </xf>
    <xf numFmtId="3" fontId="67" fillId="0" borderId="63" xfId="0" applyNumberFormat="1" applyFont="1" applyBorder="1" applyAlignment="1">
      <alignment horizontal="right" vertical="center"/>
    </xf>
    <xf numFmtId="3" fontId="67" fillId="0" borderId="67" xfId="0" applyNumberFormat="1" applyFont="1" applyBorder="1" applyAlignment="1">
      <alignment horizontal="right" vertical="center"/>
    </xf>
    <xf numFmtId="3" fontId="67" fillId="0" borderId="68" xfId="0" applyNumberFormat="1" applyFont="1" applyBorder="1" applyAlignment="1">
      <alignment horizontal="right" vertical="center"/>
    </xf>
    <xf numFmtId="3" fontId="67" fillId="0" borderId="69" xfId="0" applyNumberFormat="1" applyFont="1" applyBorder="1" applyAlignment="1">
      <alignment horizontal="right" vertical="center"/>
    </xf>
    <xf numFmtId="0" fontId="122" fillId="0" borderId="71" xfId="4707" applyFont="1" applyBorder="1" applyAlignment="1">
      <alignment horizontal="center" vertical="center"/>
    </xf>
    <xf numFmtId="170" fontId="122" fillId="0" borderId="71" xfId="4707" applyNumberFormat="1" applyFont="1" applyBorder="1" applyAlignment="1">
      <alignment horizontal="center" vertical="center"/>
    </xf>
    <xf numFmtId="170" fontId="124" fillId="31" borderId="56" xfId="0" applyNumberFormat="1" applyFont="1" applyFill="1" applyBorder="1" applyAlignment="1">
      <alignment horizontal="right"/>
    </xf>
    <xf numFmtId="170" fontId="124" fillId="30" borderId="56" xfId="0" applyNumberFormat="1" applyFont="1" applyFill="1" applyBorder="1" applyAlignment="1">
      <alignment horizontal="right"/>
    </xf>
    <xf numFmtId="170" fontId="124" fillId="32" borderId="56" xfId="0" applyNumberFormat="1" applyFont="1" applyFill="1" applyBorder="1" applyAlignment="1">
      <alignment horizontal="right"/>
    </xf>
    <xf numFmtId="170" fontId="124" fillId="29" borderId="56" xfId="0" applyNumberFormat="1" applyFont="1" applyFill="1" applyBorder="1" applyAlignment="1">
      <alignment horizontal="right"/>
    </xf>
    <xf numFmtId="170" fontId="123" fillId="0" borderId="0" xfId="0" applyNumberFormat="1" applyFont="1" applyAlignment="1">
      <alignment vertical="center"/>
    </xf>
    <xf numFmtId="169" fontId="125" fillId="0" borderId="0" xfId="0" applyNumberFormat="1" applyFont="1"/>
    <xf numFmtId="11" fontId="0" fillId="0" borderId="0" xfId="0" applyNumberFormat="1" applyAlignment="1">
      <alignment vertical="center"/>
    </xf>
    <xf numFmtId="11" fontId="0" fillId="0" borderId="0" xfId="0" applyNumberFormat="1"/>
    <xf numFmtId="38" fontId="0" fillId="0" borderId="38" xfId="0" applyNumberFormat="1" applyBorder="1" applyAlignment="1">
      <alignment vertical="center"/>
    </xf>
    <xf numFmtId="0" fontId="0" fillId="34" borderId="56" xfId="0" applyFill="1" applyBorder="1" applyAlignment="1">
      <alignment vertical="center"/>
    </xf>
    <xf numFmtId="164" fontId="0" fillId="0" borderId="0" xfId="4708" applyFont="1" applyAlignment="1">
      <alignment vertical="center"/>
    </xf>
    <xf numFmtId="0" fontId="121" fillId="33" borderId="70" xfId="4707" applyFont="1" applyFill="1" applyBorder="1" applyAlignment="1">
      <alignment vertical="center" wrapText="1"/>
    </xf>
    <xf numFmtId="0" fontId="0" fillId="36" borderId="34" xfId="0" applyFill="1" applyBorder="1" applyAlignment="1">
      <alignment wrapText="1"/>
    </xf>
    <xf numFmtId="164" fontId="0" fillId="29" borderId="0" xfId="4708" applyFont="1" applyFill="1" applyAlignment="1">
      <alignment vertical="center"/>
    </xf>
    <xf numFmtId="169" fontId="125" fillId="29" borderId="0" xfId="0" applyNumberFormat="1" applyFont="1" applyFill="1"/>
    <xf numFmtId="164" fontId="0" fillId="0" borderId="0" xfId="4708" applyFont="1" applyFill="1" applyAlignment="1">
      <alignment vertical="center"/>
    </xf>
    <xf numFmtId="0" fontId="126" fillId="0" borderId="0" xfId="0" applyFont="1"/>
    <xf numFmtId="0" fontId="127" fillId="0" borderId="0" xfId="0" applyFont="1" applyAlignment="1">
      <alignment horizontal="left" vertical="center"/>
    </xf>
    <xf numFmtId="0" fontId="50" fillId="0" borderId="19" xfId="0" applyFont="1" applyBorder="1" applyAlignment="1">
      <alignment horizontal="center" vertical="center"/>
    </xf>
    <xf numFmtId="0" fontId="50" fillId="0" borderId="20" xfId="0" applyFont="1" applyBorder="1" applyAlignment="1">
      <alignment horizontal="center" vertical="center"/>
    </xf>
    <xf numFmtId="0" fontId="52" fillId="0" borderId="28" xfId="0" applyFont="1" applyBorder="1" applyAlignment="1">
      <alignment horizontal="center" vertical="center"/>
    </xf>
    <xf numFmtId="0" fontId="52" fillId="0" borderId="29" xfId="0" applyFont="1" applyBorder="1" applyAlignment="1">
      <alignment horizontal="center" vertical="center"/>
    </xf>
    <xf numFmtId="0" fontId="55" fillId="33" borderId="0" xfId="0" applyFont="1" applyFill="1" applyAlignment="1">
      <alignment horizontal="left" vertical="center" wrapText="1"/>
    </xf>
    <xf numFmtId="0" fontId="52" fillId="0" borderId="55" xfId="0" applyFont="1" applyBorder="1" applyAlignment="1">
      <alignment horizontal="center" vertical="center"/>
    </xf>
    <xf numFmtId="0" fontId="52" fillId="0" borderId="19" xfId="0" applyFont="1" applyBorder="1" applyAlignment="1">
      <alignment horizontal="center" vertical="center"/>
    </xf>
    <xf numFmtId="0" fontId="52" fillId="0" borderId="56" xfId="0" applyFont="1" applyBorder="1" applyAlignment="1">
      <alignment horizontal="center" vertical="center"/>
    </xf>
    <xf numFmtId="0" fontId="52" fillId="0" borderId="27" xfId="0" applyFont="1" applyBorder="1" applyAlignment="1">
      <alignment horizontal="center" vertical="center"/>
    </xf>
    <xf numFmtId="0" fontId="51" fillId="33" borderId="35" xfId="0" applyFont="1" applyFill="1" applyBorder="1" applyAlignment="1">
      <alignment horizontal="center" vertical="center" wrapText="1"/>
    </xf>
    <xf numFmtId="0" fontId="51" fillId="33" borderId="31" xfId="0" applyFont="1" applyFill="1" applyBorder="1" applyAlignment="1">
      <alignment horizontal="center" vertical="center" wrapText="1"/>
    </xf>
    <xf numFmtId="0" fontId="51" fillId="33" borderId="34" xfId="0" applyFont="1" applyFill="1" applyBorder="1" applyAlignment="1">
      <alignment horizontal="center" vertical="center" wrapText="1"/>
    </xf>
    <xf numFmtId="0" fontId="0" fillId="0" borderId="7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2" fillId="0" borderId="71" xfId="4707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34" borderId="56" xfId="0" applyFill="1" applyBorder="1" applyAlignment="1">
      <alignment vertical="center" wrapText="1"/>
    </xf>
    <xf numFmtId="0" fontId="0" fillId="35" borderId="56" xfId="0" applyFill="1" applyBorder="1"/>
    <xf numFmtId="0" fontId="0" fillId="34" borderId="56" xfId="0" applyFill="1" applyBorder="1" applyAlignment="1">
      <alignment vertical="center"/>
    </xf>
    <xf numFmtId="0" fontId="0" fillId="0" borderId="40" xfId="0" applyBorder="1" applyAlignment="1">
      <alignment horizontal="center" vertical="center"/>
    </xf>
    <xf numFmtId="0" fontId="63" fillId="22" borderId="0" xfId="0" applyFont="1" applyFill="1" applyAlignment="1">
      <alignment horizontal="center"/>
    </xf>
    <xf numFmtId="0" fontId="0" fillId="0" borderId="0" xfId="0"/>
    <xf numFmtId="0" fontId="65" fillId="22" borderId="0" xfId="0" applyFont="1" applyFill="1" applyAlignment="1">
      <alignment horizontal="left"/>
    </xf>
    <xf numFmtId="0" fontId="46" fillId="0" borderId="0" xfId="0" applyFont="1" applyAlignment="1">
      <alignment horizontal="center"/>
    </xf>
    <xf numFmtId="0" fontId="66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0" fillId="36" borderId="59" xfId="0" applyFill="1" applyBorder="1" applyAlignment="1">
      <alignment horizontal="center" vertical="center"/>
    </xf>
    <xf numFmtId="0" fontId="0" fillId="36" borderId="34" xfId="0" applyFill="1" applyBorder="1" applyAlignment="1">
      <alignment horizontal="center" vertical="center"/>
    </xf>
    <xf numFmtId="0" fontId="0" fillId="36" borderId="32" xfId="0" applyFill="1" applyBorder="1" applyAlignment="1">
      <alignment horizontal="center" vertical="center"/>
    </xf>
    <xf numFmtId="0" fontId="0" fillId="36" borderId="57" xfId="0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7" fillId="9" borderId="63" xfId="0" applyFont="1" applyFill="1" applyBorder="1" applyAlignment="1">
      <alignment horizontal="left" vertical="center"/>
    </xf>
  </cellXfs>
  <cellStyles count="4709">
    <cellStyle name="20% - Accent1 2" xfId="4" xr:uid="{00000000-0005-0000-0000-000000000000}"/>
    <cellStyle name="20% - Accent2 2" xfId="5" xr:uid="{00000000-0005-0000-0000-000001000000}"/>
    <cellStyle name="20% - Accent3 2" xfId="6" xr:uid="{00000000-0005-0000-0000-000002000000}"/>
    <cellStyle name="20% - Accent4 2" xfId="7" xr:uid="{00000000-0005-0000-0000-000003000000}"/>
    <cellStyle name="20% - Accent5 2" xfId="8" xr:uid="{00000000-0005-0000-0000-000004000000}"/>
    <cellStyle name="20% - Accent6 2" xfId="9" xr:uid="{00000000-0005-0000-0000-000005000000}"/>
    <cellStyle name="20% - 강조색1 10" xfId="157" xr:uid="{F4BFF082-ED27-4794-91D1-6DBEA61E163A}"/>
    <cellStyle name="20% - 강조색1 10 2" xfId="158" xr:uid="{45A8BE9F-3CF7-4DDF-BEED-1FA2F7C31790}"/>
    <cellStyle name="20% - 강조색1 11" xfId="159" xr:uid="{0B3C05A4-4E03-4679-9F2A-916CC9F8BC0C}"/>
    <cellStyle name="20% - 강조색1 11 2" xfId="160" xr:uid="{C5D40DC2-B896-48DF-B819-86CA48C0D1DE}"/>
    <cellStyle name="20% - 강조색1 12" xfId="161" xr:uid="{E015102E-6C63-49C0-A40E-F47C7D2A1A6F}"/>
    <cellStyle name="20% - 강조색1 12 2" xfId="162" xr:uid="{703EE8F9-76F2-4FAD-87F9-F92F581781DE}"/>
    <cellStyle name="20% - 강조색1 13" xfId="163" xr:uid="{9D5A06E5-E4C4-48A2-B9F8-FEE6C28584B8}"/>
    <cellStyle name="20% - 강조색1 13 2" xfId="164" xr:uid="{546D003E-5C52-4C4F-9BC0-B5BA60FCDF2D}"/>
    <cellStyle name="20% - 강조색1 14" xfId="165" xr:uid="{C70B52CB-2037-4ADA-842E-54434E88AA15}"/>
    <cellStyle name="20% - 강조색1 14 2" xfId="166" xr:uid="{1FD7163C-3E14-4654-942B-80D0128CE91E}"/>
    <cellStyle name="20% - 강조색1 15" xfId="167" xr:uid="{96E685D8-E408-4E3E-807B-B2DA06BC0ED2}"/>
    <cellStyle name="20% - 강조색1 15 2" xfId="168" xr:uid="{0B8E74CD-337F-48CF-A00E-AD9D62D38F06}"/>
    <cellStyle name="20% - 강조색1 16" xfId="169" xr:uid="{D51EA761-FE06-4F4D-97A3-F4C1397F472A}"/>
    <cellStyle name="20% - 강조색1 16 2" xfId="170" xr:uid="{DA8D6584-B481-469F-88D4-A6E4BD971125}"/>
    <cellStyle name="20% - 강조색1 17" xfId="171" xr:uid="{05FF74C1-59CA-4A99-8446-3A8A96A09787}"/>
    <cellStyle name="20% - 강조색1 17 2" xfId="172" xr:uid="{3C0451DC-87FC-4490-B63B-D2482580A38B}"/>
    <cellStyle name="20% - 강조색1 18" xfId="173" xr:uid="{CC115E00-D10F-46D1-9D5F-DB0D04A3DDEA}"/>
    <cellStyle name="20% - 강조색1 18 2" xfId="174" xr:uid="{32279E39-365B-41B5-8033-80396A09A2F1}"/>
    <cellStyle name="20% - 강조색1 19" xfId="175" xr:uid="{B5734312-8458-4D63-8689-E57795C924F9}"/>
    <cellStyle name="20% - 강조색1 19 2" xfId="176" xr:uid="{1E738847-5D72-49CA-B027-B18A3794750F}"/>
    <cellStyle name="20% - 강조색1 2" xfId="177" xr:uid="{C8FC34DD-320E-4790-9BE9-0F414F4B7834}"/>
    <cellStyle name="20% - 강조색1 2 2" xfId="178" xr:uid="{532A1F7F-B41A-46B3-A51C-3EDBCB6038CD}"/>
    <cellStyle name="20% - 강조색1 20" xfId="179" xr:uid="{8518BBDA-832D-4128-B36E-706FF824EF5E}"/>
    <cellStyle name="20% - 강조색1 20 2" xfId="180" xr:uid="{F8D8D640-57AE-4053-AC2F-400F1AEAE5EE}"/>
    <cellStyle name="20% - 강조색1 21" xfId="181" xr:uid="{9024EBE6-0A1A-42E4-A29E-93FAD7EC13E7}"/>
    <cellStyle name="20% - 강조색1 21 2" xfId="182" xr:uid="{3FC1632A-D93A-48FC-8D74-0DB71E93F721}"/>
    <cellStyle name="20% - 강조색1 22" xfId="183" xr:uid="{DC942A7A-1740-4A77-ACCA-BFB5F92F7AE7}"/>
    <cellStyle name="20% - 강조색1 22 2" xfId="184" xr:uid="{815A4F36-5AB5-4FBC-AB93-73D703AFEEFB}"/>
    <cellStyle name="20% - 강조색1 23" xfId="185" xr:uid="{46200C8B-8D20-491F-9365-0DF1ED0FBEE6}"/>
    <cellStyle name="20% - 강조색1 23 2" xfId="186" xr:uid="{5C61DC14-F770-400D-8A3C-BD321BB17737}"/>
    <cellStyle name="20% - 강조색1 24" xfId="187" xr:uid="{B698BEA5-279D-43CA-8B23-7A1EDD8DB4B8}"/>
    <cellStyle name="20% - 강조색1 24 2" xfId="188" xr:uid="{7A0C091C-5B1F-4FC6-88C7-9FC41DBA94CC}"/>
    <cellStyle name="20% - 강조색1 25" xfId="189" xr:uid="{2DC1CDBB-F38A-4907-8FE6-D197B4007B9C}"/>
    <cellStyle name="20% - 강조색1 25 2" xfId="190" xr:uid="{07BE1398-A740-4EFD-ADD8-B7313269FA04}"/>
    <cellStyle name="20% - 강조색1 26" xfId="191" xr:uid="{56F09D00-64ED-46B7-BCAD-6C9AAE8B84E1}"/>
    <cellStyle name="20% - 강조색1 26 2" xfId="192" xr:uid="{850943BB-5C70-4DB8-938A-36A5E100B03E}"/>
    <cellStyle name="20% - 강조색1 27" xfId="193" xr:uid="{D578974D-241D-47AD-93B3-447F40B36F82}"/>
    <cellStyle name="20% - 강조색1 27 2" xfId="194" xr:uid="{F21FA341-5A6A-4DE7-8F10-91EB55B36F20}"/>
    <cellStyle name="20% - 강조색1 28" xfId="195" xr:uid="{DD797A83-0A37-4306-80FF-2461378AD818}"/>
    <cellStyle name="20% - 강조색1 28 2" xfId="196" xr:uid="{457DFD42-E047-4FCD-9413-3D16E264EE9D}"/>
    <cellStyle name="20% - 강조색1 29" xfId="197" xr:uid="{A95FE6BC-ADBE-4105-AE9F-7B4FFAE6AD15}"/>
    <cellStyle name="20% - 강조색1 29 2" xfId="198" xr:uid="{88D1F2B6-5FAB-402A-A5FA-150417FC618B}"/>
    <cellStyle name="20% - 강조색1 3" xfId="199" xr:uid="{30F0BB1B-FB26-4666-8354-3F039C90D3D9}"/>
    <cellStyle name="20% - 강조색1 3 2" xfId="200" xr:uid="{5F9E8F02-EB1D-4313-8EC3-A1CD7DD15626}"/>
    <cellStyle name="20% - 강조색1 30" xfId="201" xr:uid="{BEEF8AA2-59B5-40BA-8FE3-992DB082A59F}"/>
    <cellStyle name="20% - 강조색1 30 2" xfId="202" xr:uid="{8912B390-A2FF-415A-85F6-181F12F1E0CE}"/>
    <cellStyle name="20% - 강조색1 31" xfId="203" xr:uid="{DE355089-E03E-4163-A4C4-EAD359525B95}"/>
    <cellStyle name="20% - 강조색1 31 2" xfId="204" xr:uid="{6F3E09C4-E315-41E0-AF8E-A49AEF544FFB}"/>
    <cellStyle name="20% - 강조색1 32" xfId="205" xr:uid="{7E75CF3B-3CC8-4EA0-98FB-F4A0E435665A}"/>
    <cellStyle name="20% - 강조색1 32 2" xfId="206" xr:uid="{EF078569-7FD0-4896-ACA8-891F5BBC2BE3}"/>
    <cellStyle name="20% - 강조색1 33" xfId="207" xr:uid="{93CCDD44-FCB2-4FF0-8A74-31AD4F2C36F8}"/>
    <cellStyle name="20% - 강조색1 33 2" xfId="208" xr:uid="{D8E72AFF-B8C1-41C9-BFE9-795F0A9DF755}"/>
    <cellStyle name="20% - 강조색1 34" xfId="209" xr:uid="{6971DCE4-C1FA-452F-A0E2-CA121FC05E03}"/>
    <cellStyle name="20% - 강조색1 34 2" xfId="210" xr:uid="{F3986242-49F1-4CAF-AFC8-FD1451735D81}"/>
    <cellStyle name="20% - 강조색1 35" xfId="211" xr:uid="{981B4787-0D40-43B4-8F08-142F63F8881F}"/>
    <cellStyle name="20% - 강조색1 35 2" xfId="212" xr:uid="{7357462C-36C8-46F0-AE08-4E3EA1E6099A}"/>
    <cellStyle name="20% - 강조색1 36" xfId="213" xr:uid="{A233DF54-5819-45F3-96E7-20E00FEDA4DE}"/>
    <cellStyle name="20% - 강조색1 36 2" xfId="214" xr:uid="{0D137B24-05D3-452B-8D7D-D56D8A5EA0F3}"/>
    <cellStyle name="20% - 강조색1 37" xfId="215" xr:uid="{D0F36322-CB0A-4F7A-A137-6352A898346F}"/>
    <cellStyle name="20% - 강조색1 37 2" xfId="216" xr:uid="{72F1B3A9-4477-4C1F-B216-8F3B0790C0F5}"/>
    <cellStyle name="20% - 강조색1 38" xfId="217" xr:uid="{D68008E2-D39D-400D-A7AB-7749F92C8C90}"/>
    <cellStyle name="20% - 강조색1 38 2" xfId="218" xr:uid="{BA37FFBA-B99A-4BAA-81AA-EFDF5CF3B5A2}"/>
    <cellStyle name="20% - 강조색1 39" xfId="219" xr:uid="{A3EDDC2A-D17D-4C31-B987-09F80BF342D1}"/>
    <cellStyle name="20% - 강조색1 39 2" xfId="220" xr:uid="{08C5F348-0BD6-41AE-B82A-CF8CE5D0259D}"/>
    <cellStyle name="20% - 강조색1 4" xfId="221" xr:uid="{4A38BE11-0ED0-43D2-AD1A-3E45EFFDE1A0}"/>
    <cellStyle name="20% - 강조색1 4 2" xfId="222" xr:uid="{A9450ADD-8C6E-45F5-9D10-6A22140DDA3C}"/>
    <cellStyle name="20% - 강조색1 40" xfId="223" xr:uid="{685D7FE7-7063-47C7-B356-A317256D3B7B}"/>
    <cellStyle name="20% - 강조색1 40 2" xfId="224" xr:uid="{D0FF1F2F-5F58-4C1D-9F54-72D937DA584A}"/>
    <cellStyle name="20% - 강조색1 41" xfId="225" xr:uid="{09766504-5D6C-49B7-BA2B-B09DB25660C2}"/>
    <cellStyle name="20% - 강조색1 41 2" xfId="226" xr:uid="{69A42CB2-D295-4B47-A0C1-70CE4268BFCF}"/>
    <cellStyle name="20% - 강조색1 42" xfId="227" xr:uid="{9838AA84-5EDC-449E-A14A-956EBC56F7AB}"/>
    <cellStyle name="20% - 강조색1 42 2" xfId="228" xr:uid="{59FB5AF8-B55A-45F7-A963-4824B2CB0E0B}"/>
    <cellStyle name="20% - 강조색1 43" xfId="229" xr:uid="{5BD7FE54-5EB2-4478-BB01-C3E516280814}"/>
    <cellStyle name="20% - 강조색1 43 2" xfId="230" xr:uid="{E2086315-CEB4-4015-AF5D-3EBD5FD811FC}"/>
    <cellStyle name="20% - 강조색1 44" xfId="231" xr:uid="{2C5FBF49-E518-4A91-B803-2BA01D8A0887}"/>
    <cellStyle name="20% - 강조색1 45" xfId="232" xr:uid="{7C95AB25-5A23-4153-AA8E-0F555D6D4976}"/>
    <cellStyle name="20% - 강조색1 46" xfId="233" xr:uid="{CD94E664-DD5D-4AF7-99E7-80B5C34AEB90}"/>
    <cellStyle name="20% - 강조색1 47" xfId="234" xr:uid="{2A8CC9AF-B598-4B56-A163-FD2138515FA9}"/>
    <cellStyle name="20% - 강조색1 48" xfId="235" xr:uid="{F21A729E-BADF-46D7-B592-86DA1921E3C3}"/>
    <cellStyle name="20% - 강조색1 49" xfId="236" xr:uid="{CC6547F3-44EA-40E4-BB33-33DFFF19D6DB}"/>
    <cellStyle name="20% - 강조색1 5" xfId="237" xr:uid="{B32230EE-247B-4C74-9FBA-53402584A9DD}"/>
    <cellStyle name="20% - 강조색1 5 2" xfId="238" xr:uid="{5F783B9E-53C9-41E6-9ED3-0BC2104B8082}"/>
    <cellStyle name="20% - 강조색1 50" xfId="239" xr:uid="{13BE902A-B802-4E45-AF49-558C3539D0AD}"/>
    <cellStyle name="20% - 강조색1 51" xfId="3959" xr:uid="{63674425-799F-4AB7-B8B1-2E9CFCC2F46A}"/>
    <cellStyle name="20% - 강조색1 51 2" xfId="4074" xr:uid="{2B904B20-CA17-4314-B025-57EB24E734EB}"/>
    <cellStyle name="20% - 강조색1 51 2 2" xfId="4278" xr:uid="{98B216B5-7A4A-4D7C-BFD6-32FD02144901}"/>
    <cellStyle name="20% - 강조색1 51 2 2 2" xfId="4582" xr:uid="{1E9C9032-EFA0-4B21-A0B1-9AE391B584BD}"/>
    <cellStyle name="20% - 강조색1 51 2 3" xfId="4450" xr:uid="{0244DCA6-AB62-45FE-BCD0-CB81C11E9326}"/>
    <cellStyle name="20% - 강조색1 51 3" xfId="4265" xr:uid="{503316E3-B299-4ECC-805B-BBAC9EEE2011}"/>
    <cellStyle name="20% - 강조색1 51 3 2" xfId="4569" xr:uid="{B826FE0C-8677-40CC-A3BA-A741601AA385}"/>
    <cellStyle name="20% - 강조색1 51 4" xfId="4437" xr:uid="{F9B8418F-D658-4C9A-B528-448EF057C736}"/>
    <cellStyle name="20% - 강조색1 52" xfId="4091" xr:uid="{2E38D4FB-C92B-4E4C-B783-11FE2E4D43DA}"/>
    <cellStyle name="20% - 강조색1 52 2" xfId="4295" xr:uid="{F99E5630-A80B-4719-83F3-4A1062241F86}"/>
    <cellStyle name="20% - 강조색1 52 2 2" xfId="4599" xr:uid="{566F297D-2B40-427E-B86E-E2B8864565FC}"/>
    <cellStyle name="20% - 강조색1 52 3" xfId="4467" xr:uid="{E27A7FEB-73A8-4CC9-A39E-640E207AC30B}"/>
    <cellStyle name="20% - 강조색1 53" xfId="4123" xr:uid="{AB4402AE-71D3-4D71-B634-CBD97DF80219}"/>
    <cellStyle name="20% - 강조색1 53 2" xfId="4311" xr:uid="{87A78E52-F673-456B-979A-FC555371594C}"/>
    <cellStyle name="20% - 강조색1 53 2 2" xfId="4615" xr:uid="{1B2AA2EC-5433-416F-96CC-6317EC4F6385}"/>
    <cellStyle name="20% - 강조색1 53 3" xfId="4483" xr:uid="{4E40DEB9-29B9-43A0-A883-5D733F1793B3}"/>
    <cellStyle name="20% - 강조색1 54" xfId="4149" xr:uid="{E1492690-3F5E-466E-B731-66B644CDBD4B}"/>
    <cellStyle name="20% - 강조색1 54 2" xfId="4325" xr:uid="{38421EA6-81C5-4E5E-9CC9-D663BF00193A}"/>
    <cellStyle name="20% - 강조색1 54 2 2" xfId="4629" xr:uid="{1D80779B-C766-4B0B-925B-A87542AC1EE1}"/>
    <cellStyle name="20% - 강조색1 54 3" xfId="4497" xr:uid="{EBC46CE9-8A9B-4F1A-9833-2305BE39236D}"/>
    <cellStyle name="20% - 강조색1 55" xfId="4163" xr:uid="{777767B3-1A98-49EE-BCD0-93B4CF24940E}"/>
    <cellStyle name="20% - 강조색1 55 2" xfId="4339" xr:uid="{50BDBBC5-9763-4E0C-99A0-2D02194035B5}"/>
    <cellStyle name="20% - 강조색1 55 2 2" xfId="4643" xr:uid="{CBAF2DE1-FE19-4BA7-868F-1711FA313A58}"/>
    <cellStyle name="20% - 강조색1 55 3" xfId="4511" xr:uid="{DB1CC481-8AEE-46BF-B509-7A9DFACCF14A}"/>
    <cellStyle name="20% - 강조색1 56" xfId="4177" xr:uid="{0C1DD51E-F167-46C8-ABAC-133E6DDB7039}"/>
    <cellStyle name="20% - 강조색1 56 2" xfId="4353" xr:uid="{BD901932-72F9-48DA-8B39-22B0385C4EB7}"/>
    <cellStyle name="20% - 강조색1 56 2 2" xfId="4657" xr:uid="{E97B4A89-84B4-4EB9-AA31-C508A4435BC0}"/>
    <cellStyle name="20% - 강조색1 56 3" xfId="4525" xr:uid="{148C4B8E-D8AB-401C-9DA4-3D37E8119462}"/>
    <cellStyle name="20% - 강조색1 57" xfId="4192" xr:uid="{76B5D752-487E-4ED4-86C6-4AD1F5DF5B47}"/>
    <cellStyle name="20% - 강조색1 57 2" xfId="4367" xr:uid="{A04BF995-4D01-4218-BEC7-E6F8C83E51A9}"/>
    <cellStyle name="20% - 강조색1 57 2 2" xfId="4671" xr:uid="{9775832F-7B99-4893-AA77-EE825079CC99}"/>
    <cellStyle name="20% - 강조색1 57 3" xfId="4539" xr:uid="{40162352-8366-48B9-9053-254C9DDE2A34}"/>
    <cellStyle name="20% - 강조색1 58" xfId="4206" xr:uid="{4D05F599-D621-44D4-A1BF-F281CBD9176F}"/>
    <cellStyle name="20% - 강조색1 58 2" xfId="4553" xr:uid="{03D8FB56-2B00-4B54-9B7E-3ECE09CADF3E}"/>
    <cellStyle name="20% - 강조색1 59" xfId="4222" xr:uid="{B360B1AB-1D83-45C9-944A-540EB0FB36E1}"/>
    <cellStyle name="20% - 강조색1 6" xfId="240" xr:uid="{23A6CD35-52E3-4D39-BBB9-EB9E53D0345E}"/>
    <cellStyle name="20% - 강조색1 6 2" xfId="241" xr:uid="{0C4FDC97-2D28-4FDD-B4F6-AFFD1B6C6A77}"/>
    <cellStyle name="20% - 강조색1 60" xfId="4394" xr:uid="{F5F1989C-DA8C-4C6F-AC7F-7503822FE597}"/>
    <cellStyle name="20% - 강조색1 61" xfId="156" xr:uid="{CCB3D17B-D8CD-4B77-9E03-CE26EF420A45}"/>
    <cellStyle name="20% - 강조색1 7" xfId="242" xr:uid="{0AD751EF-F5E3-43CF-87E1-992A8FBBB3AC}"/>
    <cellStyle name="20% - 강조색1 7 2" xfId="243" xr:uid="{52765AE9-5907-4CB5-81F5-85855BE4F3F5}"/>
    <cellStyle name="20% - 강조색1 8" xfId="244" xr:uid="{868EBB50-0537-4F9D-B70E-D5192F40B3FD}"/>
    <cellStyle name="20% - 강조색1 8 2" xfId="245" xr:uid="{FA89A8E1-BBAB-4BEC-AAD7-98BAEA0DC3B2}"/>
    <cellStyle name="20% - 강조색1 9" xfId="246" xr:uid="{27D1C8CF-6DCB-4A3A-9809-18AE09DA78F5}"/>
    <cellStyle name="20% - 강조색1 9 2" xfId="247" xr:uid="{957ABE35-1F93-45B2-BBDC-EC03C6B3A3CC}"/>
    <cellStyle name="20% - 강조색2 10" xfId="249" xr:uid="{298880A9-FA32-4B8A-99CF-DCA592F52D62}"/>
    <cellStyle name="20% - 강조색2 10 2" xfId="250" xr:uid="{FE3606EF-4F41-4358-86DB-D9BD17C368A6}"/>
    <cellStyle name="20% - 강조색2 11" xfId="251" xr:uid="{C46ABE2B-ED5D-43B5-8052-B87912A10372}"/>
    <cellStyle name="20% - 강조색2 11 2" xfId="252" xr:uid="{DB54FF28-1780-4AC5-AA01-B52B10AD1360}"/>
    <cellStyle name="20% - 강조색2 12" xfId="253" xr:uid="{9F1F0328-058A-49A5-A709-0C202E245C63}"/>
    <cellStyle name="20% - 강조색2 12 2" xfId="254" xr:uid="{C834A082-C294-4819-883D-88B4FB7A108F}"/>
    <cellStyle name="20% - 강조색2 13" xfId="255" xr:uid="{91A90898-0259-4803-9609-4F88125C9583}"/>
    <cellStyle name="20% - 강조색2 13 2" xfId="256" xr:uid="{DC938510-A110-47EA-9FFE-2472AC0B543E}"/>
    <cellStyle name="20% - 강조색2 14" xfId="257" xr:uid="{60F42BFA-06B8-410E-A1B5-B05B827C9B0D}"/>
    <cellStyle name="20% - 강조색2 14 2" xfId="258" xr:uid="{9F45A9ED-15F1-43FD-8650-6D8618BC6020}"/>
    <cellStyle name="20% - 강조색2 15" xfId="259" xr:uid="{C7DBEEC1-9FEE-4C5C-927C-69AA2F95EAE4}"/>
    <cellStyle name="20% - 강조색2 15 2" xfId="260" xr:uid="{45F9FE3D-7660-4191-8E4F-2E2E9AF0494A}"/>
    <cellStyle name="20% - 강조색2 16" xfId="261" xr:uid="{E6A57156-4512-435E-A196-ECC3D3A09C6B}"/>
    <cellStyle name="20% - 강조색2 16 2" xfId="262" xr:uid="{91BCF82D-A985-4802-8135-711FD1CEF8C9}"/>
    <cellStyle name="20% - 강조색2 17" xfId="263" xr:uid="{D4072F9D-0B19-4C97-8AE3-F5BB1FF92342}"/>
    <cellStyle name="20% - 강조색2 17 2" xfId="264" xr:uid="{3FA12B3D-292C-4755-BAD7-FEBF748A48C2}"/>
    <cellStyle name="20% - 강조색2 18" xfId="265" xr:uid="{FB8D6819-B196-4AE7-BBD7-7B9E7CD4F385}"/>
    <cellStyle name="20% - 강조색2 18 2" xfId="266" xr:uid="{EDB26E5E-9F0D-4BD1-932D-89E710EB1F3D}"/>
    <cellStyle name="20% - 강조색2 19" xfId="267" xr:uid="{BCF20378-D2E7-4A17-BB22-07FF2D119BF7}"/>
    <cellStyle name="20% - 강조색2 19 2" xfId="268" xr:uid="{658DDB38-D4FB-42C3-B6B0-9C7B107E7C78}"/>
    <cellStyle name="20% - 강조색2 2" xfId="269" xr:uid="{4773439F-0566-4194-B873-96F8B816887A}"/>
    <cellStyle name="20% - 강조색2 2 2" xfId="270" xr:uid="{AEC480C4-7B9E-43DD-8616-BE77F57644A0}"/>
    <cellStyle name="20% - 강조색2 20" xfId="271" xr:uid="{9B8B7091-E4CA-4E81-A456-67B558C7AEEB}"/>
    <cellStyle name="20% - 강조색2 20 2" xfId="272" xr:uid="{FEB289A8-62F5-4AD9-AAE8-ADFC9F413F2E}"/>
    <cellStyle name="20% - 강조색2 21" xfId="273" xr:uid="{2F44F888-AD24-4C97-B1FE-88DC46D0871D}"/>
    <cellStyle name="20% - 강조색2 21 2" xfId="274" xr:uid="{60F0F5B9-56C3-4BE6-BEF6-3CCD0BEA00E4}"/>
    <cellStyle name="20% - 강조색2 22" xfId="275" xr:uid="{8059D874-77F1-4D81-AC0A-87BEB9556F70}"/>
    <cellStyle name="20% - 강조색2 22 2" xfId="276" xr:uid="{DD04F57A-11D3-490D-ADAC-F1DAD0A69F2B}"/>
    <cellStyle name="20% - 강조색2 23" xfId="277" xr:uid="{2743BDFD-6648-4983-B87C-F09F48068B1F}"/>
    <cellStyle name="20% - 강조색2 23 2" xfId="278" xr:uid="{7240DC10-75C9-4392-9ED4-08D0F1939438}"/>
    <cellStyle name="20% - 강조색2 24" xfId="279" xr:uid="{75808FB3-A6F9-4B78-9A54-707092BD88ED}"/>
    <cellStyle name="20% - 강조색2 24 2" xfId="280" xr:uid="{EBBE6399-8D17-4568-BD3A-8ADF35359A5C}"/>
    <cellStyle name="20% - 강조색2 25" xfId="281" xr:uid="{BFD62D18-19CC-4FE2-A635-B45633401E9C}"/>
    <cellStyle name="20% - 강조색2 25 2" xfId="282" xr:uid="{FCDBBE3D-CA41-4F2A-AACE-C672E33B588F}"/>
    <cellStyle name="20% - 강조색2 26" xfId="283" xr:uid="{03F7F112-7E95-4C9C-82A2-2A04B2D0A9FB}"/>
    <cellStyle name="20% - 강조색2 26 2" xfId="284" xr:uid="{F14769F1-7F2D-4E93-8BBD-CF58FEF347E2}"/>
    <cellStyle name="20% - 강조색2 27" xfId="285" xr:uid="{53B6F630-D8C9-4558-A5B4-D3CB47CFA927}"/>
    <cellStyle name="20% - 강조색2 27 2" xfId="286" xr:uid="{6857B73F-DB17-4861-83F8-B3C1516E67C3}"/>
    <cellStyle name="20% - 강조색2 28" xfId="287" xr:uid="{1690A847-C0A7-49F9-94A0-A7C28D5B1387}"/>
    <cellStyle name="20% - 강조색2 28 2" xfId="288" xr:uid="{D71A1B96-5B66-4411-9783-4D19D0C2D5DB}"/>
    <cellStyle name="20% - 강조색2 29" xfId="289" xr:uid="{102B5E35-CCFE-4201-8514-25280B171578}"/>
    <cellStyle name="20% - 강조색2 29 2" xfId="290" xr:uid="{CE2F81E9-24DF-4694-8FBB-1BDDA7F72B0A}"/>
    <cellStyle name="20% - 강조색2 3" xfId="291" xr:uid="{4C69DEF4-82E4-432B-A370-0275A2679A3E}"/>
    <cellStyle name="20% - 강조색2 3 2" xfId="292" xr:uid="{29A97B85-AB7B-4B10-BB19-D4AB3A3B78A9}"/>
    <cellStyle name="20% - 강조색2 30" xfId="293" xr:uid="{E40A83FD-D5B8-4B15-95FC-327F173A8AC9}"/>
    <cellStyle name="20% - 강조색2 30 2" xfId="294" xr:uid="{246D7C6A-503E-4061-A8B5-D9C5D2D2238C}"/>
    <cellStyle name="20% - 강조색2 31" xfId="295" xr:uid="{5DA48870-8F88-44D1-A972-C1D301C5CB94}"/>
    <cellStyle name="20% - 강조색2 31 2" xfId="296" xr:uid="{48BD6F7F-0660-423B-8717-90A9E3CEE1C0}"/>
    <cellStyle name="20% - 강조색2 32" xfId="297" xr:uid="{0AE1CBB5-76B6-4BF5-B65F-BE85DE9E11F8}"/>
    <cellStyle name="20% - 강조색2 32 2" xfId="298" xr:uid="{6BA9B293-1D16-4F9F-A2AD-356AB49CE2A3}"/>
    <cellStyle name="20% - 강조색2 33" xfId="299" xr:uid="{7FD011EA-15BE-45D5-A55E-D9F65D018878}"/>
    <cellStyle name="20% - 강조색2 33 2" xfId="300" xr:uid="{6866BDFB-5B1C-4F3D-9FED-CBF5FD2327CF}"/>
    <cellStyle name="20% - 강조색2 34" xfId="301" xr:uid="{9A5A5111-ABEA-4A4D-9B13-952BB78E4F13}"/>
    <cellStyle name="20% - 강조색2 34 2" xfId="302" xr:uid="{33BDEEE6-DA01-4EEB-8ADF-B34BD27FA380}"/>
    <cellStyle name="20% - 강조색2 35" xfId="303" xr:uid="{27302D77-7EE5-4569-94AF-9B7FE0CA3910}"/>
    <cellStyle name="20% - 강조색2 35 2" xfId="304" xr:uid="{CD1035E9-1A98-47AD-A050-FD6DCE8AA9EB}"/>
    <cellStyle name="20% - 강조색2 36" xfId="305" xr:uid="{3CEC8A71-F9D1-4415-A69A-EDDD48569D22}"/>
    <cellStyle name="20% - 강조색2 36 2" xfId="306" xr:uid="{700A1F0E-2310-4D70-875F-54DC49274E9E}"/>
    <cellStyle name="20% - 강조색2 37" xfId="307" xr:uid="{D0BCE523-4103-4FED-87BA-91E23ADAE3EC}"/>
    <cellStyle name="20% - 강조색2 37 2" xfId="308" xr:uid="{35946BD1-A56B-4E54-BF50-FCFF4443ADDB}"/>
    <cellStyle name="20% - 강조색2 38" xfId="309" xr:uid="{1A291EF0-1B01-491A-A2D8-2251DE67E6C2}"/>
    <cellStyle name="20% - 강조색2 38 2" xfId="310" xr:uid="{A3C90FD5-5E75-48F5-99BC-5B5AC823EA36}"/>
    <cellStyle name="20% - 강조색2 39" xfId="311" xr:uid="{EABBCD23-2124-481F-83F0-69162F861752}"/>
    <cellStyle name="20% - 강조색2 39 2" xfId="312" xr:uid="{F7A7F333-6A3B-4F29-885B-1C02664FCF5B}"/>
    <cellStyle name="20% - 강조색2 4" xfId="313" xr:uid="{8FFFE955-E14B-4AEB-A44E-5A52E0D18519}"/>
    <cellStyle name="20% - 강조색2 4 2" xfId="314" xr:uid="{946EDE75-16AF-49F4-9C82-B72D225FE241}"/>
    <cellStyle name="20% - 강조색2 40" xfId="315" xr:uid="{A5A0CF7B-0DEC-4B3A-B8BC-BDD4952BB5B2}"/>
    <cellStyle name="20% - 강조색2 40 2" xfId="316" xr:uid="{663F9111-DF74-42D3-84D8-061536568436}"/>
    <cellStyle name="20% - 강조색2 41" xfId="317" xr:uid="{096C533E-350F-40AE-A648-4706288CD662}"/>
    <cellStyle name="20% - 강조색2 41 2" xfId="318" xr:uid="{30FBE5C6-C3F1-4E3A-9A61-7B22759BFBB7}"/>
    <cellStyle name="20% - 강조색2 42" xfId="319" xr:uid="{D52DA2E5-8BA8-48CE-844C-9289D6882AE5}"/>
    <cellStyle name="20% - 강조색2 42 2" xfId="320" xr:uid="{66047359-7707-4571-94F3-3DE88681896D}"/>
    <cellStyle name="20% - 강조색2 43" xfId="321" xr:uid="{225FCD27-221C-4A66-9725-032F8F9C6788}"/>
    <cellStyle name="20% - 강조색2 43 2" xfId="322" xr:uid="{4E4C9CC0-148F-4F6B-A9CD-26A921095974}"/>
    <cellStyle name="20% - 강조색2 44" xfId="323" xr:uid="{29915CFD-2B2F-415C-B16C-EC08B81D0D23}"/>
    <cellStyle name="20% - 강조색2 45" xfId="324" xr:uid="{06959366-B45A-488B-BCA6-C423F91D5B5D}"/>
    <cellStyle name="20% - 강조색2 46" xfId="325" xr:uid="{565F2F77-9EBE-43FD-A366-CA0DF4C97046}"/>
    <cellStyle name="20% - 강조색2 47" xfId="326" xr:uid="{7AA99AA2-AB47-444A-BBDE-EC699C4DEFC0}"/>
    <cellStyle name="20% - 강조색2 48" xfId="327" xr:uid="{726033DB-E33B-474A-912C-43645290B615}"/>
    <cellStyle name="20% - 강조색2 49" xfId="328" xr:uid="{87DA7196-3A1B-41D2-8EA8-F913B43B5F6B}"/>
    <cellStyle name="20% - 강조색2 5" xfId="329" xr:uid="{FE59312B-6270-4B2A-818F-EF0F61498A5F}"/>
    <cellStyle name="20% - 강조색2 5 2" xfId="330" xr:uid="{D39D35E8-8F67-4455-86E4-80803D3632B1}"/>
    <cellStyle name="20% - 강조색2 50" xfId="331" xr:uid="{A8FEE932-C00A-4838-B361-3FF865668443}"/>
    <cellStyle name="20% - 강조색2 51" xfId="3963" xr:uid="{8660A80D-BE13-4BB7-BA13-33DDE9A3C9E8}"/>
    <cellStyle name="20% - 강조색2 51 2" xfId="4076" xr:uid="{0597B875-5E61-4A04-A5E7-7E27FA4B9827}"/>
    <cellStyle name="20% - 강조색2 51 2 2" xfId="4280" xr:uid="{704D740D-1F1E-4899-AE07-A59ECB9243A0}"/>
    <cellStyle name="20% - 강조색2 51 2 2 2" xfId="4584" xr:uid="{EBE9A5B5-0FBE-45CB-A508-E324414206D2}"/>
    <cellStyle name="20% - 강조색2 51 2 3" xfId="4452" xr:uid="{4470E3A2-D969-48E3-9BDB-09AA742701C6}"/>
    <cellStyle name="20% - 강조색2 51 3" xfId="4267" xr:uid="{3921E777-B6E6-485B-BEC8-329142356146}"/>
    <cellStyle name="20% - 강조색2 51 3 2" xfId="4571" xr:uid="{02AF9623-5F21-4898-8D14-6FD277777429}"/>
    <cellStyle name="20% - 강조색2 51 4" xfId="4439" xr:uid="{B9B47DED-8C93-4838-8B43-B10E3D9F89E0}"/>
    <cellStyle name="20% - 강조색2 52" xfId="4093" xr:uid="{E78B8995-B3DB-4678-8EED-09F065BC5759}"/>
    <cellStyle name="20% - 강조색2 52 2" xfId="4297" xr:uid="{0D04CCE8-0404-4871-9E42-28D7FEB1E439}"/>
    <cellStyle name="20% - 강조색2 52 2 2" xfId="4601" xr:uid="{548857D9-5D0D-43A5-9BED-7D983E6314B3}"/>
    <cellStyle name="20% - 강조색2 52 3" xfId="4469" xr:uid="{A32AC4D9-A66E-4BC7-AB24-86712233DF68}"/>
    <cellStyle name="20% - 강조색2 53" xfId="4127" xr:uid="{2C38948C-F227-42E5-A380-4088C0A159AB}"/>
    <cellStyle name="20% - 강조색2 53 2" xfId="4313" xr:uid="{35116C46-5D98-4D43-9BBB-904DA5CBB0CD}"/>
    <cellStyle name="20% - 강조색2 53 2 2" xfId="4617" xr:uid="{78DFED82-7260-4195-81EF-2FDDDE04853E}"/>
    <cellStyle name="20% - 강조색2 53 3" xfId="4485" xr:uid="{18132CD7-2E16-46F7-A26F-B04CAF25D439}"/>
    <cellStyle name="20% - 강조색2 54" xfId="4151" xr:uid="{F51BC487-D623-40C3-9D1C-609BBF8E9B7A}"/>
    <cellStyle name="20% - 강조색2 54 2" xfId="4327" xr:uid="{993B4941-CF7B-4576-BB92-301DE320AFD6}"/>
    <cellStyle name="20% - 강조색2 54 2 2" xfId="4631" xr:uid="{65C0CA5F-DCAA-45A2-A62B-932D09347E85}"/>
    <cellStyle name="20% - 강조색2 54 3" xfId="4499" xr:uid="{4EDFE892-E433-42FE-B6AB-CA5C4E40F2A4}"/>
    <cellStyle name="20% - 강조색2 55" xfId="4165" xr:uid="{625884B1-10E2-4969-9829-4A007EB553A1}"/>
    <cellStyle name="20% - 강조색2 55 2" xfId="4341" xr:uid="{C4B50468-9AB3-41B7-8DA3-D701EE8A28ED}"/>
    <cellStyle name="20% - 강조색2 55 2 2" xfId="4645" xr:uid="{C637E077-95BE-44AA-892A-C4E138082984}"/>
    <cellStyle name="20% - 강조색2 55 3" xfId="4513" xr:uid="{5AF2D0DB-7CA8-4080-A428-43EEDF5374C7}"/>
    <cellStyle name="20% - 강조색2 56" xfId="4179" xr:uid="{41572C23-A816-4FED-AF4A-569419DD0ACC}"/>
    <cellStyle name="20% - 강조색2 56 2" xfId="4355" xr:uid="{D2939DFA-EF09-41D4-96CB-CE3996768ECF}"/>
    <cellStyle name="20% - 강조색2 56 2 2" xfId="4659" xr:uid="{A2E6F2E1-F995-4E1D-A844-CF9CA731525B}"/>
    <cellStyle name="20% - 강조색2 56 3" xfId="4527" xr:uid="{75E50373-13EF-4E69-BFC2-2C4A4D407627}"/>
    <cellStyle name="20% - 강조색2 57" xfId="4194" xr:uid="{7EECC123-ED72-43ED-B57D-E0128A908898}"/>
    <cellStyle name="20% - 강조색2 57 2" xfId="4369" xr:uid="{C2B7DF45-7C68-460A-A4F8-3D958F3DA0D4}"/>
    <cellStyle name="20% - 강조색2 57 2 2" xfId="4673" xr:uid="{A3AB78C7-7219-4269-B0DC-2EB7BC8F7098}"/>
    <cellStyle name="20% - 강조색2 57 3" xfId="4541" xr:uid="{7C80A1A3-D7C5-4618-B264-85151AACF65D}"/>
    <cellStyle name="20% - 강조색2 58" xfId="4208" xr:uid="{0F5F21F3-59E3-47D7-BE55-5C6AC467A288}"/>
    <cellStyle name="20% - 강조색2 58 2" xfId="4555" xr:uid="{B49F3E8D-FF5E-4FCA-9310-DB274D61DEDA}"/>
    <cellStyle name="20% - 강조색2 59" xfId="4223" xr:uid="{ACB716AE-6FA9-43C3-B1DF-8555D76E8414}"/>
    <cellStyle name="20% - 강조색2 6" xfId="332" xr:uid="{7D1B85A7-058F-4DB8-8072-57BB995F0BE4}"/>
    <cellStyle name="20% - 강조색2 6 2" xfId="333" xr:uid="{B505E191-AA8E-4669-9CE9-017AA2D0A64E}"/>
    <cellStyle name="20% - 강조색2 60" xfId="4395" xr:uid="{CF92AD0F-F0B8-4307-991B-10D4E32DCB78}"/>
    <cellStyle name="20% - 강조색2 61" xfId="248" xr:uid="{B01C51F0-72C8-436A-ADB0-F9C97265E5D3}"/>
    <cellStyle name="20% - 강조색2 7" xfId="334" xr:uid="{633B84BE-508C-4C55-950B-BFA77B6EEA38}"/>
    <cellStyle name="20% - 강조색2 7 2" xfId="335" xr:uid="{F518EBDF-ED18-41D2-A37E-4A1C798FC0A2}"/>
    <cellStyle name="20% - 강조색2 8" xfId="336" xr:uid="{1ED6DBFD-04AF-4C8D-8815-92A9EBF87EA0}"/>
    <cellStyle name="20% - 강조색2 8 2" xfId="337" xr:uid="{E5EB10D1-2735-4F3F-8E21-1D9A7674B32C}"/>
    <cellStyle name="20% - 강조색2 9" xfId="338" xr:uid="{F70BD469-294D-455A-8334-9B06CAC6D0CD}"/>
    <cellStyle name="20% - 강조색2 9 2" xfId="339" xr:uid="{773DD627-B6FF-4BBF-92E5-D4978FC9585B}"/>
    <cellStyle name="20% - 강조색3 10" xfId="341" xr:uid="{99F6F8A9-352D-4B86-A7BF-117408ABFBB0}"/>
    <cellStyle name="20% - 강조색3 10 2" xfId="342" xr:uid="{9E834F49-3865-4AB3-81DB-42F53EAFE4A3}"/>
    <cellStyle name="20% - 강조색3 11" xfId="343" xr:uid="{F211D61A-D97F-4ECB-BDB7-6B4D1CC0C4A6}"/>
    <cellStyle name="20% - 강조색3 11 2" xfId="344" xr:uid="{97BB5507-1621-4BF1-9272-BFB3D820B4E7}"/>
    <cellStyle name="20% - 강조색3 12" xfId="345" xr:uid="{9FE05A29-59B3-4E51-BF2D-4DC546B09A5A}"/>
    <cellStyle name="20% - 강조색3 12 2" xfId="346" xr:uid="{CD1D1AA9-3657-49CB-8927-AA09F0EC3851}"/>
    <cellStyle name="20% - 강조색3 13" xfId="347" xr:uid="{304B1938-8190-4396-8161-CC69E9B33693}"/>
    <cellStyle name="20% - 강조색3 13 2" xfId="348" xr:uid="{CD40B075-82FC-4185-BED7-6BDC0E07B412}"/>
    <cellStyle name="20% - 강조색3 14" xfId="349" xr:uid="{F3CB2097-6A52-44AC-BEBF-F75BE715DD32}"/>
    <cellStyle name="20% - 강조색3 14 2" xfId="350" xr:uid="{FB506F9A-1F25-4479-A571-8148299F1034}"/>
    <cellStyle name="20% - 강조색3 15" xfId="351" xr:uid="{3681BE13-5F09-434F-91E3-F41392C0E1C4}"/>
    <cellStyle name="20% - 강조색3 15 2" xfId="352" xr:uid="{D7C60694-6229-41DF-8962-3BF715C41CED}"/>
    <cellStyle name="20% - 강조색3 16" xfId="353" xr:uid="{936C2404-64AC-4561-A2B5-0782E2816A72}"/>
    <cellStyle name="20% - 강조색3 16 2" xfId="354" xr:uid="{DBAC279B-97FD-41AD-A13A-33A781AD88ED}"/>
    <cellStyle name="20% - 강조색3 17" xfId="355" xr:uid="{5FC50ACC-894E-46F5-A611-8F0A9FFD420F}"/>
    <cellStyle name="20% - 강조색3 17 2" xfId="356" xr:uid="{FAC36A0E-693C-4A20-97E4-6F722A5956B2}"/>
    <cellStyle name="20% - 강조색3 18" xfId="357" xr:uid="{E4ED3888-3661-40D4-96AF-BD0DB4E3A056}"/>
    <cellStyle name="20% - 강조색3 18 2" xfId="358" xr:uid="{AD7269B1-5EC3-4659-948C-9C9D97A5FECC}"/>
    <cellStyle name="20% - 강조색3 19" xfId="359" xr:uid="{59B2B1E7-E951-4C14-BDB7-4CB4EEE2580A}"/>
    <cellStyle name="20% - 강조색3 19 2" xfId="360" xr:uid="{C7733D18-09D0-4E56-A6A7-99A30D99FFAA}"/>
    <cellStyle name="20% - 강조색3 2" xfId="361" xr:uid="{0E9BBB55-9282-4057-A2BA-51ACF52E3C7C}"/>
    <cellStyle name="20% - 강조색3 2 2" xfId="362" xr:uid="{393A4B4E-14E5-4490-9F5E-485A15DBA436}"/>
    <cellStyle name="20% - 강조색3 20" xfId="363" xr:uid="{12BC4EBB-2F9C-4CEE-AA1D-8C4C2C329B2B}"/>
    <cellStyle name="20% - 강조색3 20 2" xfId="364" xr:uid="{0316F799-0DBD-429B-A88E-E955694DE158}"/>
    <cellStyle name="20% - 강조색3 21" xfId="365" xr:uid="{8476C764-3C9A-4ED4-BED8-0F5027779F51}"/>
    <cellStyle name="20% - 강조색3 21 2" xfId="366" xr:uid="{CE9BD632-DE08-4E09-B19A-DDFCE699C1CB}"/>
    <cellStyle name="20% - 강조색3 22" xfId="367" xr:uid="{D8202F13-18DD-4DC9-8E2A-3D9B75529E5C}"/>
    <cellStyle name="20% - 강조색3 22 2" xfId="368" xr:uid="{BA82DC42-EE9B-4FE2-A28E-B31DB1C2BD59}"/>
    <cellStyle name="20% - 강조색3 23" xfId="369" xr:uid="{D40C5F7E-4BFA-4CC9-AF46-32E7D2D75113}"/>
    <cellStyle name="20% - 강조색3 23 2" xfId="370" xr:uid="{B2F691CB-F3D6-4B36-99D7-C92B72C9B74F}"/>
    <cellStyle name="20% - 강조색3 24" xfId="371" xr:uid="{32218BE9-893C-4236-9B22-01E2C0A491E5}"/>
    <cellStyle name="20% - 강조색3 24 2" xfId="372" xr:uid="{4D287246-68A5-4CAD-9C3D-EC8D2B502EDD}"/>
    <cellStyle name="20% - 강조색3 25" xfId="373" xr:uid="{CE3DE3BD-B760-419D-9522-6455A9C76B33}"/>
    <cellStyle name="20% - 강조색3 25 2" xfId="374" xr:uid="{75BF8319-B00E-4E2E-A582-2138EF5CBFFB}"/>
    <cellStyle name="20% - 강조색3 26" xfId="375" xr:uid="{40008A0B-FA3E-4EC6-BBB9-64F2A8FD566D}"/>
    <cellStyle name="20% - 강조색3 26 2" xfId="376" xr:uid="{CBEF52CF-C23D-46CE-B42E-7562349A9552}"/>
    <cellStyle name="20% - 강조색3 27" xfId="377" xr:uid="{042FB03A-4111-42C7-B2C7-5755C8E381EA}"/>
    <cellStyle name="20% - 강조색3 27 2" xfId="378" xr:uid="{0AF5B36B-B7C3-49AA-842F-7E8C0D889D11}"/>
    <cellStyle name="20% - 강조색3 28" xfId="379" xr:uid="{4966781B-B63C-4199-952C-490AAAD56C99}"/>
    <cellStyle name="20% - 강조색3 28 2" xfId="380" xr:uid="{FF30CCBE-EB9F-4B80-8E19-E8EED52BDE5D}"/>
    <cellStyle name="20% - 강조색3 29" xfId="381" xr:uid="{0C1EC0A7-0C1A-4E32-96E7-C27AA5C05A3F}"/>
    <cellStyle name="20% - 강조색3 29 2" xfId="382" xr:uid="{16CF1D0C-547B-4FA4-BF70-069B71C07374}"/>
    <cellStyle name="20% - 강조색3 3" xfId="383" xr:uid="{AAA75C09-FA9E-44D8-B4A8-3F3A9DA8F83A}"/>
    <cellStyle name="20% - 강조색3 3 2" xfId="384" xr:uid="{116B29EA-FF18-4869-A4E4-44D24547F71D}"/>
    <cellStyle name="20% - 강조색3 30" xfId="385" xr:uid="{90125417-FD7F-4BCC-ACEE-3677F6FAF99E}"/>
    <cellStyle name="20% - 강조색3 30 2" xfId="386" xr:uid="{6509FAA5-0467-4DAA-9E64-47E1F6D3BDD7}"/>
    <cellStyle name="20% - 강조색3 31" xfId="387" xr:uid="{6F2D77B7-4527-480F-BA67-B30ADB3250D9}"/>
    <cellStyle name="20% - 강조색3 31 2" xfId="388" xr:uid="{B8E99785-FBF6-46F2-8718-B1024439BE22}"/>
    <cellStyle name="20% - 강조색3 32" xfId="389" xr:uid="{072ADF35-C014-4DE8-AF6B-4DF39F6C6544}"/>
    <cellStyle name="20% - 강조색3 32 2" xfId="390" xr:uid="{9CA04A09-D7AE-41C6-99C6-CBF75B0EBFA1}"/>
    <cellStyle name="20% - 강조색3 33" xfId="391" xr:uid="{9E40756A-486C-489E-908D-691FCF87A865}"/>
    <cellStyle name="20% - 강조색3 33 2" xfId="392" xr:uid="{B311EBA9-8EB5-4A46-8B21-7588081609E0}"/>
    <cellStyle name="20% - 강조색3 34" xfId="393" xr:uid="{8335A615-F059-449E-A866-B3757A1563EB}"/>
    <cellStyle name="20% - 강조색3 34 2" xfId="394" xr:uid="{3B1A9629-B453-4C9C-B5B3-B1047BF25EA7}"/>
    <cellStyle name="20% - 강조색3 35" xfId="395" xr:uid="{27465220-8B1B-49BD-8A35-B81AAB93F01D}"/>
    <cellStyle name="20% - 강조색3 35 2" xfId="396" xr:uid="{89CF78D7-4711-445E-BBA1-504541981150}"/>
    <cellStyle name="20% - 강조색3 36" xfId="397" xr:uid="{723F4282-6BFB-45F6-8957-208EFD7880F8}"/>
    <cellStyle name="20% - 강조색3 36 2" xfId="398" xr:uid="{21FE1D5D-6E12-4BDA-9D69-6D942B9C2547}"/>
    <cellStyle name="20% - 강조색3 37" xfId="399" xr:uid="{0C1F700F-437E-4751-882C-ECCBE489392D}"/>
    <cellStyle name="20% - 강조색3 37 2" xfId="400" xr:uid="{C9228239-955A-433E-8657-8DCB433A6554}"/>
    <cellStyle name="20% - 강조색3 38" xfId="401" xr:uid="{55BCEA0F-A0A0-4C9F-B5DD-6F15FB80A61C}"/>
    <cellStyle name="20% - 강조색3 38 2" xfId="402" xr:uid="{CA9F6418-35E7-4AC4-9B0D-5883D9BA1182}"/>
    <cellStyle name="20% - 강조색3 39" xfId="403" xr:uid="{753F3CC2-2A02-4EA5-9125-433E8FC23EBC}"/>
    <cellStyle name="20% - 강조색3 39 2" xfId="404" xr:uid="{C1BD6DB2-C364-42B4-B950-09BA522B6923}"/>
    <cellStyle name="20% - 강조색3 4" xfId="405" xr:uid="{98AD2EE9-57EA-4895-BA29-D1FEF8F35874}"/>
    <cellStyle name="20% - 강조색3 4 2" xfId="406" xr:uid="{DAD628A4-6FCE-417D-8BE2-6028A210EFFF}"/>
    <cellStyle name="20% - 강조색3 40" xfId="407" xr:uid="{1FDD09AA-5BC9-4B0A-B72D-D0A21B9FEFFB}"/>
    <cellStyle name="20% - 강조색3 40 2" xfId="408" xr:uid="{73C20A98-3B18-4165-8B6F-3C5BBA8A906D}"/>
    <cellStyle name="20% - 강조색3 41" xfId="409" xr:uid="{8C3600B7-227B-4656-B24B-22E1263A4E2A}"/>
    <cellStyle name="20% - 강조색3 41 2" xfId="410" xr:uid="{ED26DCAF-AAEF-4787-BDDD-61CA0A807ED8}"/>
    <cellStyle name="20% - 강조색3 42" xfId="411" xr:uid="{EA80D1A8-DC4A-419C-BD14-DA23E63D2432}"/>
    <cellStyle name="20% - 강조색3 42 2" xfId="412" xr:uid="{F97264D0-4B3C-4346-A186-E697186B7EAB}"/>
    <cellStyle name="20% - 강조색3 43" xfId="413" xr:uid="{E727FA98-9C2C-4F4F-9EF6-E9D02E4F2017}"/>
    <cellStyle name="20% - 강조색3 43 2" xfId="414" xr:uid="{7E2915E9-8C3C-48E9-A86A-A0D21BF8C9EE}"/>
    <cellStyle name="20% - 강조색3 44" xfId="415" xr:uid="{08A5BE22-BC77-4E36-B94D-220DE848894F}"/>
    <cellStyle name="20% - 강조색3 45" xfId="416" xr:uid="{8A70D530-4F37-41A6-9FCF-B0674D42D79A}"/>
    <cellStyle name="20% - 강조색3 46" xfId="417" xr:uid="{65D8C552-8DD1-485A-B567-687E073DB36C}"/>
    <cellStyle name="20% - 강조색3 47" xfId="418" xr:uid="{F0B32E5B-04A7-44D3-A089-20E2FE572AE8}"/>
    <cellStyle name="20% - 강조색3 48" xfId="419" xr:uid="{028C2143-79EC-4E7D-915E-E963F7EBD264}"/>
    <cellStyle name="20% - 강조색3 49" xfId="420" xr:uid="{F5196C36-16E3-4AC6-A60A-9DA18F4BBB7F}"/>
    <cellStyle name="20% - 강조색3 5" xfId="421" xr:uid="{3CEC0395-C11C-4690-B210-1D7C082D633E}"/>
    <cellStyle name="20% - 강조색3 5 2" xfId="422" xr:uid="{630D8962-9C82-4663-8C0D-73591D94A7EB}"/>
    <cellStyle name="20% - 강조색3 50" xfId="423" xr:uid="{80FCB5D4-CEC9-424C-A48F-B84093CFC723}"/>
    <cellStyle name="20% - 강조색3 51" xfId="3967" xr:uid="{AC0CE6EE-DFCD-4F58-8206-DED0A66C0C3F}"/>
    <cellStyle name="20% - 강조색3 51 2" xfId="4078" xr:uid="{96FA7EB8-21D9-4329-A399-FCCC755C699F}"/>
    <cellStyle name="20% - 강조색3 51 2 2" xfId="4282" xr:uid="{17DE3EA5-9A88-4838-896A-ED4EFE1842DC}"/>
    <cellStyle name="20% - 강조색3 51 2 2 2" xfId="4586" xr:uid="{AD8C9E97-E46A-4C12-BEFD-EF5FD450D3D9}"/>
    <cellStyle name="20% - 강조색3 51 2 3" xfId="4454" xr:uid="{8F9F55B9-9B30-4E19-8FB0-98298A064AD8}"/>
    <cellStyle name="20% - 강조색3 51 3" xfId="4269" xr:uid="{F2967D00-3D14-4B6A-BA66-F9C826A1647B}"/>
    <cellStyle name="20% - 강조색3 51 3 2" xfId="4573" xr:uid="{28AA036A-F520-4E86-87BE-5216C19462BE}"/>
    <cellStyle name="20% - 강조색3 51 4" xfId="4441" xr:uid="{C52F7694-4BB3-444B-89C3-BC0D2A797D8B}"/>
    <cellStyle name="20% - 강조색3 52" xfId="4095" xr:uid="{C01E2179-1357-40FC-A4C3-3AD39F600C6C}"/>
    <cellStyle name="20% - 강조색3 52 2" xfId="4299" xr:uid="{B839C8F8-7E4F-411E-9B45-81AB3B030B12}"/>
    <cellStyle name="20% - 강조색3 52 2 2" xfId="4603" xr:uid="{8B0225C6-F3CC-4969-AE0E-00CADEFA7ECA}"/>
    <cellStyle name="20% - 강조색3 52 3" xfId="4471" xr:uid="{0AEBBB3B-5693-4560-88AF-E03D251DC8CB}"/>
    <cellStyle name="20% - 강조색3 53" xfId="4131" xr:uid="{6FDBF97B-589E-4B2E-A8E9-BEBBC3E29F01}"/>
    <cellStyle name="20% - 강조색3 53 2" xfId="4315" xr:uid="{C915D832-26C9-48A8-A1B1-8E8050AD6995}"/>
    <cellStyle name="20% - 강조색3 53 2 2" xfId="4619" xr:uid="{BD12DE27-F68A-40A3-810A-21B057D915AC}"/>
    <cellStyle name="20% - 강조색3 53 3" xfId="4487" xr:uid="{E80CE187-A953-4974-AA1E-A83DEF2B1D5F}"/>
    <cellStyle name="20% - 강조색3 54" xfId="4153" xr:uid="{1C19233F-D464-452E-84D8-70670C4B34A0}"/>
    <cellStyle name="20% - 강조색3 54 2" xfId="4329" xr:uid="{0A2B64BF-5F04-4C03-B5A5-9853F72C2874}"/>
    <cellStyle name="20% - 강조색3 54 2 2" xfId="4633" xr:uid="{2E8D98A9-E1E3-416C-8D4E-A6EB6E26FE80}"/>
    <cellStyle name="20% - 강조색3 54 3" xfId="4501" xr:uid="{30DA8CB4-4E18-41C2-A44B-C62805F32D1D}"/>
    <cellStyle name="20% - 강조색3 55" xfId="4167" xr:uid="{8945D963-98AC-42BB-BCD5-038FBF6A7ACD}"/>
    <cellStyle name="20% - 강조색3 55 2" xfId="4343" xr:uid="{AD501E4F-6096-4142-87DE-A20C40819D1D}"/>
    <cellStyle name="20% - 강조색3 55 2 2" xfId="4647" xr:uid="{92A9FF95-C33E-4B50-BD0B-CB5EEE3F8E7D}"/>
    <cellStyle name="20% - 강조색3 55 3" xfId="4515" xr:uid="{DB80B1E1-C258-4930-8945-0413846AFB29}"/>
    <cellStyle name="20% - 강조색3 56" xfId="4181" xr:uid="{86294647-A017-48AA-9933-66781DD888E4}"/>
    <cellStyle name="20% - 강조색3 56 2" xfId="4357" xr:uid="{69AD75AE-9E95-48E3-AA45-10CBC8494DE1}"/>
    <cellStyle name="20% - 강조색3 56 2 2" xfId="4661" xr:uid="{09A1CBD1-E3D8-421B-B0AA-6B0EC0B58427}"/>
    <cellStyle name="20% - 강조색3 56 3" xfId="4529" xr:uid="{AB8373D7-FA91-4CD4-B9B2-A8C4F78927F6}"/>
    <cellStyle name="20% - 강조색3 57" xfId="4196" xr:uid="{EFC1BB26-3785-43AB-9DAA-73A3BCA68A34}"/>
    <cellStyle name="20% - 강조색3 57 2" xfId="4371" xr:uid="{EA47BA26-91BA-4A84-8652-309B09B2556D}"/>
    <cellStyle name="20% - 강조색3 57 2 2" xfId="4675" xr:uid="{1D87DF19-92C0-4814-B4C7-D86B07E8228B}"/>
    <cellStyle name="20% - 강조색3 57 3" xfId="4543" xr:uid="{03305384-8EDF-4AEF-864E-617A81FF0545}"/>
    <cellStyle name="20% - 강조색3 58" xfId="4210" xr:uid="{CAA34D12-11CC-4CEB-A87C-53DB430DF5D2}"/>
    <cellStyle name="20% - 강조색3 58 2" xfId="4557" xr:uid="{29EDD180-4D54-4688-AB49-2937FACE3C55}"/>
    <cellStyle name="20% - 강조색3 59" xfId="4224" xr:uid="{2884E54E-F6DD-4335-968E-533B6AA8FDB5}"/>
    <cellStyle name="20% - 강조색3 6" xfId="424" xr:uid="{246F33C6-5F19-4CFC-915B-AB0C5B64BB3B}"/>
    <cellStyle name="20% - 강조색3 6 2" xfId="425" xr:uid="{57EC183B-1B71-43DB-B98C-3E58CD05F9B9}"/>
    <cellStyle name="20% - 강조색3 60" xfId="4396" xr:uid="{D5B9816B-9C52-44AA-A667-6649D958DDF6}"/>
    <cellStyle name="20% - 강조색3 61" xfId="340" xr:uid="{37D1206D-4CFB-4196-90E6-F74B790B1FC7}"/>
    <cellStyle name="20% - 강조색3 7" xfId="426" xr:uid="{82520F2D-8476-4B9F-A678-B7872D218CEF}"/>
    <cellStyle name="20% - 강조색3 7 2" xfId="427" xr:uid="{5CF46DDA-7F1D-4784-A8CF-D62581E959AA}"/>
    <cellStyle name="20% - 강조색3 8" xfId="428" xr:uid="{94D3B2CA-F185-4F38-BB84-7E398C08CA72}"/>
    <cellStyle name="20% - 강조색3 8 2" xfId="429" xr:uid="{D8FF23DB-5EC8-4D87-9E84-FE71D26E4C3A}"/>
    <cellStyle name="20% - 강조색3 9" xfId="430" xr:uid="{BEDD5CE6-4055-40B2-8AA3-7B9AE1CA9D0F}"/>
    <cellStyle name="20% - 강조색3 9 2" xfId="431" xr:uid="{C7585123-C914-4FA8-B973-B4B26FC714B5}"/>
    <cellStyle name="20% - 강조색4 10" xfId="433" xr:uid="{FE9C66C9-30A4-40BF-83F2-C8A2000662AF}"/>
    <cellStyle name="20% - 강조색4 10 2" xfId="434" xr:uid="{C7AE7728-861A-4196-B5F9-93FD6DD6C20D}"/>
    <cellStyle name="20% - 강조색4 11" xfId="435" xr:uid="{65A0160B-CF28-4939-84AA-AA1023D8AF82}"/>
    <cellStyle name="20% - 강조색4 11 2" xfId="436" xr:uid="{944D2506-9055-470D-9FF8-E2001429DC39}"/>
    <cellStyle name="20% - 강조색4 12" xfId="437" xr:uid="{203B23CF-B4CD-485F-A5ED-2ACB6D464001}"/>
    <cellStyle name="20% - 강조색4 12 2" xfId="438" xr:uid="{E018F11A-6C9B-41E8-B437-811E63C62A4B}"/>
    <cellStyle name="20% - 강조색4 13" xfId="439" xr:uid="{88DA75CD-40B4-43BF-A19C-1C94DD132EC2}"/>
    <cellStyle name="20% - 강조색4 13 2" xfId="440" xr:uid="{2A388BC4-0FC5-49DD-BF8C-A59971A7A5A6}"/>
    <cellStyle name="20% - 강조색4 14" xfId="441" xr:uid="{21C3EE07-A4BF-470D-9628-7D4F5296EEC8}"/>
    <cellStyle name="20% - 강조색4 14 2" xfId="442" xr:uid="{F38900D8-53AE-4571-9EAA-55EB20047F17}"/>
    <cellStyle name="20% - 강조색4 15" xfId="443" xr:uid="{261AE2F5-2438-4306-8EEF-7E22B157A8F4}"/>
    <cellStyle name="20% - 강조색4 15 2" xfId="444" xr:uid="{52A9D9DB-964D-4280-9836-7CACBB15DEFC}"/>
    <cellStyle name="20% - 강조색4 16" xfId="445" xr:uid="{4AC4503D-A7A7-4A6A-9190-60BCAA0C386B}"/>
    <cellStyle name="20% - 강조색4 16 2" xfId="446" xr:uid="{4AF6C817-1544-40A6-94F3-DDD3A4954335}"/>
    <cellStyle name="20% - 강조색4 17" xfId="447" xr:uid="{100BED10-396D-4111-B715-C92034CD8C64}"/>
    <cellStyle name="20% - 강조색4 17 2" xfId="448" xr:uid="{C05AE890-C8C0-4C13-8FC4-E880B65AC292}"/>
    <cellStyle name="20% - 강조색4 18" xfId="449" xr:uid="{BAAB743D-7EA1-468B-B786-1F59C3546C6E}"/>
    <cellStyle name="20% - 강조색4 18 2" xfId="450" xr:uid="{F7E2E293-CDE4-4F18-85FA-1BB2C7F16D43}"/>
    <cellStyle name="20% - 강조색4 19" xfId="451" xr:uid="{9AAF3DB8-FB3F-4BBC-8B15-5E136F2D92A7}"/>
    <cellStyle name="20% - 강조색4 19 2" xfId="452" xr:uid="{0695CDEF-4509-4731-BC49-EF13B5D1AC9D}"/>
    <cellStyle name="20% - 강조색4 2" xfId="453" xr:uid="{982685F9-4B8F-4232-AED7-A90241D33AAE}"/>
    <cellStyle name="20% - 강조색4 2 2" xfId="454" xr:uid="{814D6F73-1687-4893-A609-10599798CE67}"/>
    <cellStyle name="20% - 강조색4 20" xfId="455" xr:uid="{1962E4CE-47B1-43D3-811E-987B980A0105}"/>
    <cellStyle name="20% - 강조색4 20 2" xfId="456" xr:uid="{D6DE6529-53A3-437B-BF86-854B73B18B24}"/>
    <cellStyle name="20% - 강조색4 21" xfId="457" xr:uid="{7CD03024-D230-4B18-B0F6-232BFFD942B9}"/>
    <cellStyle name="20% - 강조색4 21 2" xfId="458" xr:uid="{86DC2E49-E43B-45C8-A035-8C3454DB3976}"/>
    <cellStyle name="20% - 강조색4 22" xfId="459" xr:uid="{8BECB8E0-E441-42DB-835E-BD0876D62FA0}"/>
    <cellStyle name="20% - 강조색4 22 2" xfId="460" xr:uid="{BC323DE6-E6F2-4F43-B6E1-53AEA2AE5B75}"/>
    <cellStyle name="20% - 강조색4 23" xfId="461" xr:uid="{28F2FE93-C4B2-49CD-A7DA-C87DF46CDC5E}"/>
    <cellStyle name="20% - 강조색4 23 2" xfId="462" xr:uid="{C29B4399-C9D3-4568-B1A3-3896319759CF}"/>
    <cellStyle name="20% - 강조색4 24" xfId="463" xr:uid="{D679CA88-D695-4420-80DD-AC4AF8553461}"/>
    <cellStyle name="20% - 강조색4 24 2" xfId="464" xr:uid="{352D57CB-1687-4012-94AF-55107EDBC395}"/>
    <cellStyle name="20% - 강조색4 25" xfId="465" xr:uid="{E9FA4E19-A098-48B1-8A4E-DB69B08E762D}"/>
    <cellStyle name="20% - 강조색4 25 2" xfId="466" xr:uid="{D9988864-17C5-4E1E-B65A-923CDB84C10F}"/>
    <cellStyle name="20% - 강조색4 26" xfId="467" xr:uid="{EAD77E90-B660-42BF-AFBE-7DF97C9853EB}"/>
    <cellStyle name="20% - 강조색4 26 2" xfId="468" xr:uid="{E8A1C78F-E86D-44A7-8625-D1D2DD5D1B39}"/>
    <cellStyle name="20% - 강조색4 27" xfId="469" xr:uid="{A91E1CA6-00C9-4375-8803-56111770E7DB}"/>
    <cellStyle name="20% - 강조색4 27 2" xfId="470" xr:uid="{45D600D0-03D7-4924-AF77-DE3AA2271CBD}"/>
    <cellStyle name="20% - 강조색4 28" xfId="471" xr:uid="{889D5B03-093A-4443-B739-2B7368650195}"/>
    <cellStyle name="20% - 강조색4 28 2" xfId="472" xr:uid="{E63658E1-00A2-433A-8686-536F44FF1129}"/>
    <cellStyle name="20% - 강조색4 29" xfId="473" xr:uid="{9034B1F0-1BF0-4D67-A31F-1C7D2E5CB49E}"/>
    <cellStyle name="20% - 강조색4 29 2" xfId="474" xr:uid="{89C9BAFE-1970-4843-899B-B2170AA63443}"/>
    <cellStyle name="20% - 강조색4 3" xfId="475" xr:uid="{148056CF-ACD6-45C2-A7CA-2D8CFA0E39A0}"/>
    <cellStyle name="20% - 강조색4 3 2" xfId="476" xr:uid="{6F69A21C-FD79-4CC5-8FB2-1B71AF0322ED}"/>
    <cellStyle name="20% - 강조색4 30" xfId="477" xr:uid="{FD8E8136-E951-4BAC-A268-D94724C7678A}"/>
    <cellStyle name="20% - 강조색4 30 2" xfId="478" xr:uid="{AFBEAB8B-8381-4482-A25C-DEE335547270}"/>
    <cellStyle name="20% - 강조색4 31" xfId="479" xr:uid="{19D2CD95-753D-4831-AE4A-4DC30ED2C3B9}"/>
    <cellStyle name="20% - 강조색4 31 2" xfId="480" xr:uid="{287FB71F-B0C8-47A3-A122-67BD359A958F}"/>
    <cellStyle name="20% - 강조색4 32" xfId="481" xr:uid="{27445214-D51D-4D2F-B451-672D1DC9B662}"/>
    <cellStyle name="20% - 강조색4 32 2" xfId="482" xr:uid="{93FA58D0-9B62-454C-BFC0-A6CD9800DD68}"/>
    <cellStyle name="20% - 강조색4 33" xfId="483" xr:uid="{DF69D8BB-42E6-417A-97D3-35162A79488B}"/>
    <cellStyle name="20% - 강조색4 33 2" xfId="484" xr:uid="{879D5A2C-3D21-42AA-BA1F-6153456EB36F}"/>
    <cellStyle name="20% - 강조색4 34" xfId="485" xr:uid="{34D38CD7-BD4B-47C4-9497-6CC7F05CC192}"/>
    <cellStyle name="20% - 강조색4 34 2" xfId="486" xr:uid="{362580A0-10F0-4F8B-A863-26A315186711}"/>
    <cellStyle name="20% - 강조색4 35" xfId="487" xr:uid="{29724BCB-4C36-4C19-87B7-DC57EDF17498}"/>
    <cellStyle name="20% - 강조색4 35 2" xfId="488" xr:uid="{AB3DA137-F385-4E9D-8A87-7C4F43C427F3}"/>
    <cellStyle name="20% - 강조색4 36" xfId="489" xr:uid="{F20D6CEF-707A-42EF-A1DF-448B802FBB45}"/>
    <cellStyle name="20% - 강조색4 36 2" xfId="490" xr:uid="{CB8C2EFF-133D-422A-A9A2-0D0549AE144B}"/>
    <cellStyle name="20% - 강조색4 37" xfId="491" xr:uid="{3D089BAD-AD6A-40AE-B61B-1216AB48D71E}"/>
    <cellStyle name="20% - 강조색4 37 2" xfId="492" xr:uid="{F522CCC7-E800-4BBB-B9A6-A06320BD580B}"/>
    <cellStyle name="20% - 강조색4 38" xfId="493" xr:uid="{189152B6-2596-47DE-B53E-2510E71236CB}"/>
    <cellStyle name="20% - 강조색4 38 2" xfId="494" xr:uid="{C366541C-97B5-4C4A-A117-B2B10C8A59C8}"/>
    <cellStyle name="20% - 강조색4 39" xfId="495" xr:uid="{C9E4637C-EC6A-482A-B560-DE63A5048C22}"/>
    <cellStyle name="20% - 강조색4 39 2" xfId="496" xr:uid="{3FADC11B-25D2-4362-8714-800C578202AF}"/>
    <cellStyle name="20% - 강조색4 4" xfId="497" xr:uid="{1EF6B9D1-F045-4F41-B3C4-4F9741D7BE6D}"/>
    <cellStyle name="20% - 강조색4 4 2" xfId="498" xr:uid="{D30BDBA7-CCA9-48B7-98E1-18B43C3861C2}"/>
    <cellStyle name="20% - 강조색4 40" xfId="499" xr:uid="{0CC5B8DD-0B97-4082-967E-25E23E43A451}"/>
    <cellStyle name="20% - 강조색4 40 2" xfId="500" xr:uid="{384186F8-AF57-412C-A383-ADFF0C84BFDF}"/>
    <cellStyle name="20% - 강조색4 41" xfId="501" xr:uid="{93DF4B20-3D9B-4607-BE87-8DB164C2855F}"/>
    <cellStyle name="20% - 강조색4 41 2" xfId="502" xr:uid="{BBF1596A-5B94-4EC7-9552-E7018B8E2425}"/>
    <cellStyle name="20% - 강조색4 42" xfId="503" xr:uid="{5B667957-442A-4122-87C9-F3C3BFCFEBF2}"/>
    <cellStyle name="20% - 강조색4 42 2" xfId="504" xr:uid="{E5F7E3BB-4534-4781-AD17-B4A104E3EA17}"/>
    <cellStyle name="20% - 강조색4 43" xfId="505" xr:uid="{496D2899-E3CC-411C-A612-88BB1AFA9B08}"/>
    <cellStyle name="20% - 강조색4 43 2" xfId="506" xr:uid="{0E43DEF1-E478-4FFC-9D41-4AE59E904F90}"/>
    <cellStyle name="20% - 강조색4 44" xfId="507" xr:uid="{652D74F0-A45C-4EB9-8CD8-2D891D0DDDAB}"/>
    <cellStyle name="20% - 강조색4 45" xfId="508" xr:uid="{29837117-EC81-46DE-B426-56FAEC7551CD}"/>
    <cellStyle name="20% - 강조색4 46" xfId="509" xr:uid="{B21BFCBD-DB3F-4965-890B-2459FE9E2913}"/>
    <cellStyle name="20% - 강조색4 47" xfId="510" xr:uid="{0D59FC4E-C34C-4242-A591-99275EE9D0A5}"/>
    <cellStyle name="20% - 강조색4 48" xfId="511" xr:uid="{309A6AFB-CAD4-4B18-B668-00384D9A3E00}"/>
    <cellStyle name="20% - 강조색4 49" xfId="512" xr:uid="{31A82A70-0586-4B19-AF43-1B8EDBB417EA}"/>
    <cellStyle name="20% - 강조색4 5" xfId="513" xr:uid="{C37DE7B3-40E2-4179-AF32-78BE3A613FF7}"/>
    <cellStyle name="20% - 강조색4 5 2" xfId="514" xr:uid="{910E5425-B06C-41BD-822A-E0410930CB77}"/>
    <cellStyle name="20% - 강조색4 50" xfId="515" xr:uid="{407CC4B9-C53C-4984-80A6-C51B0A235348}"/>
    <cellStyle name="20% - 강조색4 51" xfId="3971" xr:uid="{24C87A04-2FC5-4758-9F1B-7364534E136D}"/>
    <cellStyle name="20% - 강조색4 51 2" xfId="4080" xr:uid="{5F6DDDCD-19D8-430C-9FCE-1905C653AD33}"/>
    <cellStyle name="20% - 강조색4 51 2 2" xfId="4284" xr:uid="{24DD7868-3027-4B6B-ADE1-5A2B4602B235}"/>
    <cellStyle name="20% - 강조색4 51 2 2 2" xfId="4588" xr:uid="{F2414CD4-FE3C-43D0-91E5-D62B13F3A7BD}"/>
    <cellStyle name="20% - 강조색4 51 2 3" xfId="4456" xr:uid="{4CE8512B-2A3D-4E54-9BDA-B94770E6815D}"/>
    <cellStyle name="20% - 강조색4 51 3" xfId="4271" xr:uid="{E5CE5DE2-031E-48D3-9E7D-88C063271A24}"/>
    <cellStyle name="20% - 강조색4 51 3 2" xfId="4575" xr:uid="{B9EDBD99-DB68-4307-976B-A1CF96A778E2}"/>
    <cellStyle name="20% - 강조색4 51 4" xfId="4443" xr:uid="{FE444758-DC1A-4232-ACCD-9CB121C28170}"/>
    <cellStyle name="20% - 강조색4 52" xfId="4097" xr:uid="{A6C66664-01EB-4CCF-B7EC-73009E71F2E7}"/>
    <cellStyle name="20% - 강조색4 52 2" xfId="4301" xr:uid="{F1289494-38E9-4071-873B-81E5B1B6551D}"/>
    <cellStyle name="20% - 강조색4 52 2 2" xfId="4605" xr:uid="{890116F3-9C74-4823-B495-86808C231886}"/>
    <cellStyle name="20% - 강조색4 52 3" xfId="4473" xr:uid="{D773D2F7-92B5-4E46-88FC-E667431A16B2}"/>
    <cellStyle name="20% - 강조색4 53" xfId="4135" xr:uid="{AC8FE6E8-6E43-4BF2-A668-3CDB82B65640}"/>
    <cellStyle name="20% - 강조색4 53 2" xfId="4317" xr:uid="{C9B2F848-A39F-4F64-9EF8-D0ECA2BAE125}"/>
    <cellStyle name="20% - 강조색4 53 2 2" xfId="4621" xr:uid="{D3E55AB9-D985-4945-81BC-808DD8432AF6}"/>
    <cellStyle name="20% - 강조색4 53 3" xfId="4489" xr:uid="{E1A95EBB-1431-4136-BDD8-C964092EFF11}"/>
    <cellStyle name="20% - 강조색4 54" xfId="4155" xr:uid="{AB71AF4B-DAB9-41CE-B183-2F491B7175F2}"/>
    <cellStyle name="20% - 강조색4 54 2" xfId="4331" xr:uid="{127671E4-522D-4938-9305-E8500CD71F8F}"/>
    <cellStyle name="20% - 강조색4 54 2 2" xfId="4635" xr:uid="{3CA6D381-7974-4EB6-9EA5-5E1BBC8B1749}"/>
    <cellStyle name="20% - 강조색4 54 3" xfId="4503" xr:uid="{9F28F593-D6CA-4108-AD0E-6C620CBC095D}"/>
    <cellStyle name="20% - 강조색4 55" xfId="4169" xr:uid="{EE512F18-1F32-4A32-BA2C-B3FD9B382F1C}"/>
    <cellStyle name="20% - 강조색4 55 2" xfId="4345" xr:uid="{6D7DB188-4581-429F-93EB-1F5DA8DB2DAB}"/>
    <cellStyle name="20% - 강조색4 55 2 2" xfId="4649" xr:uid="{89ECB458-4956-4553-9576-FD14C1E9BDE2}"/>
    <cellStyle name="20% - 강조색4 55 3" xfId="4517" xr:uid="{EC6E759D-BCA1-4C24-BAD4-0845B7CA0D29}"/>
    <cellStyle name="20% - 강조색4 56" xfId="4183" xr:uid="{FE4F6BA7-9166-45A4-BF74-CAA69BE0883A}"/>
    <cellStyle name="20% - 강조색4 56 2" xfId="4359" xr:uid="{A88E817D-CEAA-4428-B152-AD5C62C7BE6D}"/>
    <cellStyle name="20% - 강조색4 56 2 2" xfId="4663" xr:uid="{6E38E231-D1D8-4721-BB51-0D6BBE9A477E}"/>
    <cellStyle name="20% - 강조색4 56 3" xfId="4531" xr:uid="{58AAA01F-8918-49C5-9098-5DAF47C1643C}"/>
    <cellStyle name="20% - 강조색4 57" xfId="4198" xr:uid="{00FA776A-056C-4296-B410-925EB4C81CC9}"/>
    <cellStyle name="20% - 강조색4 57 2" xfId="4373" xr:uid="{A55AE2DB-E24F-4E65-858D-8761D5A0F93C}"/>
    <cellStyle name="20% - 강조색4 57 2 2" xfId="4677" xr:uid="{3E80394D-9A43-4B82-BB60-C0A2B8876B3B}"/>
    <cellStyle name="20% - 강조색4 57 3" xfId="4545" xr:uid="{88D74370-9054-4463-AC53-CA6EBC46DFD9}"/>
    <cellStyle name="20% - 강조색4 58" xfId="4212" xr:uid="{D2D2C685-80C3-4463-BE7F-E860267AEB6F}"/>
    <cellStyle name="20% - 강조색4 58 2" xfId="4559" xr:uid="{AC76DB4B-CCA6-4F16-801E-DDFCEB52E4DD}"/>
    <cellStyle name="20% - 강조색4 59" xfId="4225" xr:uid="{E5D4F352-4E24-4C04-B05B-FF6A234C874B}"/>
    <cellStyle name="20% - 강조색4 6" xfId="516" xr:uid="{4D374398-EAF7-4DB9-8EE0-1B1CE9207FD5}"/>
    <cellStyle name="20% - 강조색4 6 2" xfId="517" xr:uid="{ED8B6ACB-A5E6-48B1-A8A5-D111E3456A4E}"/>
    <cellStyle name="20% - 강조색4 60" xfId="4397" xr:uid="{14C221B1-0F5B-4EBC-A0DC-6D91FB6560BB}"/>
    <cellStyle name="20% - 강조색4 61" xfId="432" xr:uid="{620FB53E-569F-4EA8-9744-4A2680C3BE21}"/>
    <cellStyle name="20% - 강조색4 7" xfId="518" xr:uid="{C448B8E2-7238-41E8-9DD5-CD9FC51BC4E7}"/>
    <cellStyle name="20% - 강조색4 7 2" xfId="519" xr:uid="{B3850FF3-2E0E-44E5-8B43-12E8D0671F01}"/>
    <cellStyle name="20% - 강조색4 8" xfId="520" xr:uid="{4D087C5A-906C-46C9-8CC0-9A90F1D16990}"/>
    <cellStyle name="20% - 강조색4 8 2" xfId="521" xr:uid="{E0583B20-6FAE-46F5-8ED9-3C3C16A353F1}"/>
    <cellStyle name="20% - 강조색4 9" xfId="522" xr:uid="{78720D01-B7DC-42B7-A28B-CABC3F13C8D1}"/>
    <cellStyle name="20% - 강조색4 9 2" xfId="523" xr:uid="{06EAB499-F8B4-4C10-B3D2-5121FC36E8B0}"/>
    <cellStyle name="20% - 강조색5 10" xfId="525" xr:uid="{12482F53-5D67-47E8-8130-59881DFB5088}"/>
    <cellStyle name="20% - 강조색5 10 2" xfId="526" xr:uid="{DDFA5FD6-631F-4289-822C-14F5508D363F}"/>
    <cellStyle name="20% - 강조색5 11" xfId="527" xr:uid="{4C6F9045-A31E-4CA7-A0B4-0617C770ED57}"/>
    <cellStyle name="20% - 강조색5 11 2" xfId="528" xr:uid="{2612F2D0-B557-4154-BB0D-AF985BB12E93}"/>
    <cellStyle name="20% - 강조색5 12" xfId="529" xr:uid="{75C636D8-06B0-4C4A-A92A-9D21F63EA2D3}"/>
    <cellStyle name="20% - 강조색5 12 2" xfId="530" xr:uid="{A6706257-D35D-450E-BE20-C48ECEF21CFC}"/>
    <cellStyle name="20% - 강조색5 13" xfId="531" xr:uid="{F8928778-C655-46B4-8106-C8DD1410A4D7}"/>
    <cellStyle name="20% - 강조색5 13 2" xfId="532" xr:uid="{199D7E84-C304-471D-98A6-D0FFABF38B6E}"/>
    <cellStyle name="20% - 강조색5 14" xfId="533" xr:uid="{421F42F7-E4BC-4410-8FEA-D97E8B587EE6}"/>
    <cellStyle name="20% - 강조색5 14 2" xfId="534" xr:uid="{A7113ED5-2624-4946-9ECB-BA13541802C5}"/>
    <cellStyle name="20% - 강조색5 15" xfId="535" xr:uid="{AB4FE216-47AB-4AE8-9B0E-BF293118D8EB}"/>
    <cellStyle name="20% - 강조색5 15 2" xfId="536" xr:uid="{12A964D5-5A8A-4A8B-835B-8AB03B534F93}"/>
    <cellStyle name="20% - 강조색5 16" xfId="537" xr:uid="{036F225F-A755-4C52-861B-B8AA46E863B7}"/>
    <cellStyle name="20% - 강조색5 16 2" xfId="538" xr:uid="{3810E121-DF1B-4D95-920B-D7B2C81BAE64}"/>
    <cellStyle name="20% - 강조색5 17" xfId="539" xr:uid="{D5F0B30F-E3D5-47F2-B939-FB14E1A38F7A}"/>
    <cellStyle name="20% - 강조색5 17 2" xfId="540" xr:uid="{BD7D9179-0006-4E4A-88E3-33381E67A23F}"/>
    <cellStyle name="20% - 강조색5 18" xfId="541" xr:uid="{426D6363-5162-49ED-A291-42BA1FFCC74C}"/>
    <cellStyle name="20% - 강조색5 18 2" xfId="542" xr:uid="{73AB0901-17E7-431B-A6F5-36759E71D7FE}"/>
    <cellStyle name="20% - 강조색5 19" xfId="543" xr:uid="{D04FF1E1-A57E-481E-83CE-90A160D63746}"/>
    <cellStyle name="20% - 강조색5 19 2" xfId="544" xr:uid="{18D0E84E-7100-4A74-9B7F-10E061ED8DA3}"/>
    <cellStyle name="20% - 강조색5 2" xfId="545" xr:uid="{3036F848-64DE-4D1F-BBC2-4ACD243E4463}"/>
    <cellStyle name="20% - 강조색5 2 2" xfId="546" xr:uid="{BD59BF92-C14A-4BF8-B2F2-FA050C1EF60F}"/>
    <cellStyle name="20% - 강조색5 20" xfId="547" xr:uid="{2988ED3F-7CD9-49D5-83C0-6C23B6BEC4D8}"/>
    <cellStyle name="20% - 강조색5 20 2" xfId="548" xr:uid="{B8FF5288-D265-465E-AE68-B51295154ECC}"/>
    <cellStyle name="20% - 강조색5 21" xfId="549" xr:uid="{B37DC3B4-4837-4F36-9626-B09D76C342BF}"/>
    <cellStyle name="20% - 강조색5 21 2" xfId="550" xr:uid="{3E713FB7-15D0-494D-A396-FEE9B65126AF}"/>
    <cellStyle name="20% - 강조색5 22" xfId="551" xr:uid="{0F4B6432-DFF9-41B3-9BB6-BD2CEC7CE49E}"/>
    <cellStyle name="20% - 강조색5 22 2" xfId="552" xr:uid="{CC942A00-7D5E-4673-8D14-328189F9844E}"/>
    <cellStyle name="20% - 강조색5 23" xfId="553" xr:uid="{6A75B4E4-F248-442C-9532-40F15739E76B}"/>
    <cellStyle name="20% - 강조색5 23 2" xfId="554" xr:uid="{5C6BB6EE-EEF7-402E-A9E9-7CC43D2D43BF}"/>
    <cellStyle name="20% - 강조색5 24" xfId="555" xr:uid="{860E8BB0-9660-4900-AD80-D53AE46A70C7}"/>
    <cellStyle name="20% - 강조색5 24 2" xfId="556" xr:uid="{A9E6DF2A-AFAD-42B5-810B-888C3BFDEA8C}"/>
    <cellStyle name="20% - 강조색5 25" xfId="557" xr:uid="{FA265BA9-0D37-4BDE-A855-10D5DE2E4A76}"/>
    <cellStyle name="20% - 강조색5 25 2" xfId="558" xr:uid="{1D283C62-2BF2-4CA9-BC15-30F9793A9A7B}"/>
    <cellStyle name="20% - 강조색5 26" xfId="559" xr:uid="{31D94BE3-6FBA-474D-B206-0A8031A3E3D4}"/>
    <cellStyle name="20% - 강조색5 26 2" xfId="560" xr:uid="{F67C7CBD-1828-4A50-956C-542181C5B2D5}"/>
    <cellStyle name="20% - 강조색5 27" xfId="561" xr:uid="{BCB33FC9-38B4-498B-B253-129796237AF1}"/>
    <cellStyle name="20% - 강조색5 27 2" xfId="562" xr:uid="{B36D81C5-BD46-4B8A-B355-B5E070A1C1C6}"/>
    <cellStyle name="20% - 강조색5 28" xfId="563" xr:uid="{349EAED1-FB9C-438A-8C82-B53D2FBC1579}"/>
    <cellStyle name="20% - 강조색5 28 2" xfId="564" xr:uid="{8159AF44-1C4A-428D-A0AE-44E4E2AA9B67}"/>
    <cellStyle name="20% - 강조색5 29" xfId="565" xr:uid="{CDBCC423-326E-41F7-BB57-94747DB0B62B}"/>
    <cellStyle name="20% - 강조색5 29 2" xfId="566" xr:uid="{6397CC4A-8393-40BB-95F0-83359A451341}"/>
    <cellStyle name="20% - 강조색5 3" xfId="567" xr:uid="{53CED9AC-C0B6-4C01-A5D1-ECB1864A7A0E}"/>
    <cellStyle name="20% - 강조색5 3 2" xfId="568" xr:uid="{3E63E97F-8A3E-4806-892A-E21993F89EED}"/>
    <cellStyle name="20% - 강조색5 30" xfId="569" xr:uid="{61260D2C-3CB3-44EE-ACA8-48E51E036DB7}"/>
    <cellStyle name="20% - 강조색5 30 2" xfId="570" xr:uid="{264853AA-E43B-4B6C-A465-768AB19D7235}"/>
    <cellStyle name="20% - 강조색5 31" xfId="571" xr:uid="{0CBD1234-F474-4D4E-9476-D7F487461C06}"/>
    <cellStyle name="20% - 강조색5 31 2" xfId="572" xr:uid="{C3E94887-E653-4AF2-A2A1-2131A93076A8}"/>
    <cellStyle name="20% - 강조색5 32" xfId="573" xr:uid="{AFF07716-DFBA-4F26-A0F9-9EF1FC675351}"/>
    <cellStyle name="20% - 강조색5 32 2" xfId="574" xr:uid="{96452018-F178-41DA-8D26-061DD142F568}"/>
    <cellStyle name="20% - 강조색5 33" xfId="575" xr:uid="{ED4D8548-3309-4939-B58D-5B2FC5FB6CB1}"/>
    <cellStyle name="20% - 강조색5 33 2" xfId="576" xr:uid="{37EE30BF-B32A-429E-AFE0-3B751D7AB423}"/>
    <cellStyle name="20% - 강조색5 34" xfId="577" xr:uid="{1FCE8243-01B7-4452-9FD8-557E0AC5EAA3}"/>
    <cellStyle name="20% - 강조색5 34 2" xfId="578" xr:uid="{20DD4B81-2023-4EA1-A05A-84DDF4EF40B7}"/>
    <cellStyle name="20% - 강조색5 35" xfId="579" xr:uid="{8490EC67-86BB-44D4-9E43-1B9B72FB805B}"/>
    <cellStyle name="20% - 강조색5 35 2" xfId="580" xr:uid="{DD2CCF0B-49CE-4C6A-ACA7-45107FB4D110}"/>
    <cellStyle name="20% - 강조색5 36" xfId="581" xr:uid="{4821974E-1D3F-46DE-92FF-3F7663FCA534}"/>
    <cellStyle name="20% - 강조색5 36 2" xfId="582" xr:uid="{2CA67C04-8623-481B-8F02-8A72482C0644}"/>
    <cellStyle name="20% - 강조색5 37" xfId="583" xr:uid="{0FBC2F34-2522-4E36-BB37-F2A26394146A}"/>
    <cellStyle name="20% - 강조색5 37 2" xfId="584" xr:uid="{4454A9C7-4599-40E0-A600-8F3559391CDA}"/>
    <cellStyle name="20% - 강조색5 38" xfId="585" xr:uid="{E05B97B0-228E-4D0F-84FB-F9BB54C37FDC}"/>
    <cellStyle name="20% - 강조색5 38 2" xfId="586" xr:uid="{84CC359B-B79A-469C-84D9-29AE0AE46AB8}"/>
    <cellStyle name="20% - 강조색5 39" xfId="587" xr:uid="{A0397AA9-D469-4945-8DC6-82C15543BBFA}"/>
    <cellStyle name="20% - 강조색5 39 2" xfId="588" xr:uid="{C41F9A07-BD59-44B0-BAE4-6F7142990E2C}"/>
    <cellStyle name="20% - 강조색5 4" xfId="589" xr:uid="{7A2D6554-7A8E-45CA-B892-202BD7463209}"/>
    <cellStyle name="20% - 강조색5 4 2" xfId="590" xr:uid="{C38E2847-394D-4C07-9CDE-C107E1C38C9F}"/>
    <cellStyle name="20% - 강조색5 40" xfId="591" xr:uid="{17F21755-5F0E-4A54-8381-C9B51AD16016}"/>
    <cellStyle name="20% - 강조색5 40 2" xfId="592" xr:uid="{5239542D-1ACA-4C1B-A2E6-FC2D4AC6E6E0}"/>
    <cellStyle name="20% - 강조색5 41" xfId="593" xr:uid="{38A5F975-8C7C-4F23-B7D3-03F7AAD66107}"/>
    <cellStyle name="20% - 강조색5 41 2" xfId="594" xr:uid="{CB25AC46-B0A9-4409-ABA2-4D7392441365}"/>
    <cellStyle name="20% - 강조색5 42" xfId="595" xr:uid="{8306AA6B-3DE8-4B52-B834-4DAEE2E25F95}"/>
    <cellStyle name="20% - 강조색5 42 2" xfId="596" xr:uid="{B9AF8A15-55B1-4B54-95D3-F1CA43BE6057}"/>
    <cellStyle name="20% - 강조색5 43" xfId="597" xr:uid="{701B07F3-04E0-45CB-A984-8AC0AB4DBC0A}"/>
    <cellStyle name="20% - 강조색5 43 2" xfId="598" xr:uid="{20FFCA22-DD25-43EE-8155-D403FDF5EC50}"/>
    <cellStyle name="20% - 강조색5 44" xfId="599" xr:uid="{4B18C670-42D1-4F33-8E11-767F6C5BD612}"/>
    <cellStyle name="20% - 강조색5 45" xfId="600" xr:uid="{4995232A-C15B-41A8-9AEA-A9762C7869FB}"/>
    <cellStyle name="20% - 강조색5 46" xfId="601" xr:uid="{FA59E13D-A299-43BF-9D5E-63F557C876CF}"/>
    <cellStyle name="20% - 강조색5 47" xfId="602" xr:uid="{0CC1DC3C-90C8-4F03-9517-CFCDE26E130F}"/>
    <cellStyle name="20% - 강조색5 48" xfId="603" xr:uid="{C6D16210-08C5-4EFD-A6CF-17A8C699D1C0}"/>
    <cellStyle name="20% - 강조색5 49" xfId="604" xr:uid="{B26308C8-1B10-4E88-9C0E-756184248400}"/>
    <cellStyle name="20% - 강조색5 5" xfId="605" xr:uid="{E756B254-375D-4BE4-92C2-F3C3A44FD16E}"/>
    <cellStyle name="20% - 강조색5 5 2" xfId="606" xr:uid="{B0CB08CC-2406-4BAE-827D-16B11D80FAB9}"/>
    <cellStyle name="20% - 강조색5 50" xfId="607" xr:uid="{3D51F3F5-3419-473A-9BEA-88B24792FDB5}"/>
    <cellStyle name="20% - 강조색5 51" xfId="3975" xr:uid="{4CA748CC-0D3B-4389-A96E-AAA23436B2D4}"/>
    <cellStyle name="20% - 강조색5 51 2" xfId="4082" xr:uid="{359C5D89-1DD6-4033-8DD2-894473C7BCA9}"/>
    <cellStyle name="20% - 강조색5 51 2 2" xfId="4286" xr:uid="{970777FF-B657-442C-8C60-A21081CE0244}"/>
    <cellStyle name="20% - 강조색5 51 2 2 2" xfId="4590" xr:uid="{6DEA2EED-6377-4E17-A072-C157799F88E8}"/>
    <cellStyle name="20% - 강조색5 51 2 3" xfId="4458" xr:uid="{C899F0D1-FA23-4A20-A4B6-83491DB5B4CA}"/>
    <cellStyle name="20% - 강조색5 51 3" xfId="4273" xr:uid="{295BB5B6-856E-4867-AF6C-2F7FA6C73605}"/>
    <cellStyle name="20% - 강조색5 51 3 2" xfId="4577" xr:uid="{5777ACC1-7BF1-4943-BE6C-B93F52FFAA35}"/>
    <cellStyle name="20% - 강조색5 51 4" xfId="4445" xr:uid="{D0DB7017-2479-4BB4-87C7-5055985E0A91}"/>
    <cellStyle name="20% - 강조색5 52" xfId="4099" xr:uid="{23E651E4-4D46-4F67-AB5A-A4E87A77AD6A}"/>
    <cellStyle name="20% - 강조색5 52 2" xfId="4303" xr:uid="{612C34F7-7C3F-41EA-B21D-003E805BCF40}"/>
    <cellStyle name="20% - 강조색5 52 2 2" xfId="4607" xr:uid="{680ADDDE-9740-4EB5-90CA-561DA6BAB013}"/>
    <cellStyle name="20% - 강조색5 52 3" xfId="4475" xr:uid="{9662D63C-8D2B-4B3F-AFE6-A8162349E70A}"/>
    <cellStyle name="20% - 강조색5 53" xfId="4139" xr:uid="{5C5A0108-9875-4CEE-A56E-7D95EA932EAA}"/>
    <cellStyle name="20% - 강조색5 53 2" xfId="4319" xr:uid="{F5160549-AEF4-429D-98CF-8D34BA0E243D}"/>
    <cellStyle name="20% - 강조색5 53 2 2" xfId="4623" xr:uid="{0B847949-153D-4039-96A6-F5FB9940C3F6}"/>
    <cellStyle name="20% - 강조색5 53 3" xfId="4491" xr:uid="{2F443A65-C822-4F33-AF53-431981B2EAD3}"/>
    <cellStyle name="20% - 강조색5 54" xfId="4157" xr:uid="{B24C8AE5-0F1C-49F0-998B-3D21C9FA33AA}"/>
    <cellStyle name="20% - 강조색5 54 2" xfId="4333" xr:uid="{F1994CDF-2AC2-4E01-BF09-05B5FF47ABA7}"/>
    <cellStyle name="20% - 강조색5 54 2 2" xfId="4637" xr:uid="{255D3D67-8C74-4671-9AE4-0543A5DFDF1E}"/>
    <cellStyle name="20% - 강조색5 54 3" xfId="4505" xr:uid="{CF74D4D4-D4CB-4754-AAD1-786EFCF0E1AE}"/>
    <cellStyle name="20% - 강조색5 55" xfId="4171" xr:uid="{792BA8F7-8519-4E1F-B7E2-F794B943833D}"/>
    <cellStyle name="20% - 강조색5 55 2" xfId="4347" xr:uid="{D94697CE-8205-4C4C-BE6C-554589122182}"/>
    <cellStyle name="20% - 강조색5 55 2 2" xfId="4651" xr:uid="{5D73CB8C-1CCA-4B6F-9B3D-C62A019196FA}"/>
    <cellStyle name="20% - 강조색5 55 3" xfId="4519" xr:uid="{0FFBFFCE-0F4A-407E-AF71-EA7809F752EA}"/>
    <cellStyle name="20% - 강조색5 56" xfId="4185" xr:uid="{849C0C76-AE7D-440D-9864-5AF0E9ED4A16}"/>
    <cellStyle name="20% - 강조색5 56 2" xfId="4361" xr:uid="{19082EA1-133D-4E66-A32F-B51D30EC4791}"/>
    <cellStyle name="20% - 강조색5 56 2 2" xfId="4665" xr:uid="{2DDF1165-5DB7-41DE-BD19-9F49A97F4DF6}"/>
    <cellStyle name="20% - 강조색5 56 3" xfId="4533" xr:uid="{81A891AE-8264-48CA-A4AA-12B0533847FD}"/>
    <cellStyle name="20% - 강조색5 57" xfId="4200" xr:uid="{73577E72-8E93-4B14-BE96-180A4609AF96}"/>
    <cellStyle name="20% - 강조색5 57 2" xfId="4375" xr:uid="{90505145-7CBB-4E63-B01F-097BF97E2B54}"/>
    <cellStyle name="20% - 강조색5 57 2 2" xfId="4679" xr:uid="{39478630-9AED-43D9-9C81-3B4E8389AAF2}"/>
    <cellStyle name="20% - 강조색5 57 3" xfId="4547" xr:uid="{761FFA31-5504-48DA-9549-890EF6470F10}"/>
    <cellStyle name="20% - 강조색5 58" xfId="4214" xr:uid="{2D2EDDE3-EAE9-4D38-8F67-4112404DA255}"/>
    <cellStyle name="20% - 강조색5 58 2" xfId="4561" xr:uid="{40A0D55D-F56F-4194-8225-3AA353BFCA17}"/>
    <cellStyle name="20% - 강조색5 59" xfId="4226" xr:uid="{1BF16C89-F1FC-41ED-B571-B30BCD0ECB1D}"/>
    <cellStyle name="20% - 강조색5 6" xfId="608" xr:uid="{02B47599-562E-4274-99CE-8C2BEB05E6A1}"/>
    <cellStyle name="20% - 강조색5 6 2" xfId="609" xr:uid="{C2284323-36D2-4A9A-A192-8EEA469CA341}"/>
    <cellStyle name="20% - 강조색5 60" xfId="4398" xr:uid="{04857C81-75F8-4E21-B3A8-DE01F9FDF882}"/>
    <cellStyle name="20% - 강조색5 61" xfId="524" xr:uid="{1997BCBA-E44A-415E-A634-44E98A97A3A6}"/>
    <cellStyle name="20% - 강조색5 7" xfId="610" xr:uid="{4AAF99C6-55FE-44A9-BA6E-609A2559C003}"/>
    <cellStyle name="20% - 강조색5 7 2" xfId="611" xr:uid="{97B76630-5FF6-487F-8A95-6CE92B130CB6}"/>
    <cellStyle name="20% - 강조색5 8" xfId="612" xr:uid="{2015DFBE-A1CD-482F-96E2-AC6C289BFD6E}"/>
    <cellStyle name="20% - 강조색5 8 2" xfId="613" xr:uid="{43C3DB46-3A27-433C-A61B-D9AD6CC3C1F5}"/>
    <cellStyle name="20% - 강조색5 9" xfId="614" xr:uid="{B14F7065-5DCF-4FE9-84FF-EDE29BE83F31}"/>
    <cellStyle name="20% - 강조색5 9 2" xfId="615" xr:uid="{5B65330D-85BE-4F7E-8F58-9EE14FB3B079}"/>
    <cellStyle name="20% - 강조색6 10" xfId="617" xr:uid="{A3F795CC-F732-4B4F-BCC2-0B4559E2EDE7}"/>
    <cellStyle name="20% - 강조색6 10 2" xfId="618" xr:uid="{5C67D744-14DB-45F7-A87A-7CCC4A928475}"/>
    <cellStyle name="20% - 강조색6 11" xfId="619" xr:uid="{FBE5D673-A8C1-443A-8B16-B7C46F52DD62}"/>
    <cellStyle name="20% - 강조색6 11 2" xfId="620" xr:uid="{A2DE0DB1-8AF7-4A30-8C6A-1D6560512595}"/>
    <cellStyle name="20% - 강조색6 12" xfId="621" xr:uid="{990DC9C2-3F5B-44BE-9E84-175DFA866C6F}"/>
    <cellStyle name="20% - 강조색6 12 2" xfId="622" xr:uid="{1EC03390-8267-48FD-B038-5DA1619F37D0}"/>
    <cellStyle name="20% - 강조색6 13" xfId="623" xr:uid="{8DBE2378-7164-4E15-ACDA-058713FA4480}"/>
    <cellStyle name="20% - 강조색6 13 2" xfId="624" xr:uid="{38B8BDA4-3BCD-4D21-9B29-76E7ED8C6AFA}"/>
    <cellStyle name="20% - 강조색6 14" xfId="625" xr:uid="{97FB0247-0716-48D5-83F2-5EAE1026DCB8}"/>
    <cellStyle name="20% - 강조색6 14 2" xfId="626" xr:uid="{51B53E09-A9F2-4CBE-AAC4-F4E6DCCB93E9}"/>
    <cellStyle name="20% - 강조색6 15" xfId="627" xr:uid="{96426006-0574-4346-B002-F4E138F4158C}"/>
    <cellStyle name="20% - 강조색6 15 2" xfId="628" xr:uid="{62494107-C245-4EDA-AA6C-4B1112625BDC}"/>
    <cellStyle name="20% - 강조색6 16" xfId="629" xr:uid="{67CCF13A-3B64-42E8-AB10-26DE419B0063}"/>
    <cellStyle name="20% - 강조색6 16 2" xfId="630" xr:uid="{6704AA80-C062-4C94-9AE2-72C0ECE116A1}"/>
    <cellStyle name="20% - 강조색6 17" xfId="631" xr:uid="{A6676885-C005-450C-836E-5E64B4A7684D}"/>
    <cellStyle name="20% - 강조색6 17 2" xfId="632" xr:uid="{287F7343-B02F-43C8-8B82-76A4B89D168A}"/>
    <cellStyle name="20% - 강조색6 18" xfId="633" xr:uid="{ADEDC284-01D8-40AA-99D5-F27745F2F2A8}"/>
    <cellStyle name="20% - 강조색6 18 2" xfId="634" xr:uid="{F26E782D-F39D-4904-BA21-E84728938D55}"/>
    <cellStyle name="20% - 강조색6 19" xfId="635" xr:uid="{74E82B22-FAAD-4B82-9825-1E02FA30E5EC}"/>
    <cellStyle name="20% - 강조색6 19 2" xfId="636" xr:uid="{9FBC32BF-A6FA-4CF9-9150-0A5545A090A3}"/>
    <cellStyle name="20% - 강조색6 2" xfId="637" xr:uid="{2758F297-372F-44D9-9FC1-857ED07FAF01}"/>
    <cellStyle name="20% - 강조색6 2 2" xfId="638" xr:uid="{541F74D5-A919-494D-97FC-EF8B00FFF5A4}"/>
    <cellStyle name="20% - 강조색6 20" xfId="639" xr:uid="{E88B4653-C131-4FDC-8882-BE0EB0D99332}"/>
    <cellStyle name="20% - 강조색6 20 2" xfId="640" xr:uid="{469600F5-C017-4357-BF51-AB202CACE014}"/>
    <cellStyle name="20% - 강조색6 21" xfId="641" xr:uid="{5E1ACF32-A50C-47A5-8D3A-D1015DDAF610}"/>
    <cellStyle name="20% - 강조색6 21 2" xfId="642" xr:uid="{4E045500-2DA9-4360-9098-376FF99327FE}"/>
    <cellStyle name="20% - 강조색6 22" xfId="643" xr:uid="{3C9BEE58-8C3E-4FB0-BB29-699EF7DB2EE3}"/>
    <cellStyle name="20% - 강조색6 22 2" xfId="644" xr:uid="{9A7F6C02-6496-4431-9076-4F548C51750A}"/>
    <cellStyle name="20% - 강조색6 23" xfId="645" xr:uid="{4D1F9240-06DF-40D5-932E-0189BB5685B5}"/>
    <cellStyle name="20% - 강조색6 23 2" xfId="646" xr:uid="{85D297D9-D0C7-4253-9A0F-DC0423EBA9ED}"/>
    <cellStyle name="20% - 강조색6 24" xfId="647" xr:uid="{313284C2-7586-4D8A-B30B-6295B89E4C40}"/>
    <cellStyle name="20% - 강조색6 24 2" xfId="648" xr:uid="{0316A00A-BF83-48FA-A67E-C02E5F37D65B}"/>
    <cellStyle name="20% - 강조색6 25" xfId="649" xr:uid="{9B895CC1-6A05-41EF-A61C-7026DE638883}"/>
    <cellStyle name="20% - 강조색6 25 2" xfId="650" xr:uid="{A7A167D7-EF72-4DAE-93EF-6AFF9369EDCC}"/>
    <cellStyle name="20% - 강조색6 26" xfId="651" xr:uid="{10C350D6-6A6E-4B43-83CF-A74D1F4C7CBA}"/>
    <cellStyle name="20% - 강조색6 26 2" xfId="652" xr:uid="{5461F831-588E-4A06-BD0C-B691089B34CC}"/>
    <cellStyle name="20% - 강조색6 27" xfId="653" xr:uid="{3053B3C8-171F-4438-AD83-C75CE2B92CC2}"/>
    <cellStyle name="20% - 강조색6 27 2" xfId="654" xr:uid="{13009F4B-818E-47AB-A534-D426D17E0777}"/>
    <cellStyle name="20% - 강조색6 28" xfId="655" xr:uid="{9B4B44EF-53CE-492D-A413-2FFB6AB2E3EB}"/>
    <cellStyle name="20% - 강조색6 28 2" xfId="656" xr:uid="{4CF17225-D98E-443D-9AA6-873CCBD1DE48}"/>
    <cellStyle name="20% - 강조색6 29" xfId="657" xr:uid="{AEDD7D11-E793-4C3E-93AA-A6ACD921DBB5}"/>
    <cellStyle name="20% - 강조색6 29 2" xfId="658" xr:uid="{8EE00B4B-494A-4AA6-94A4-D24E2A6EC0E8}"/>
    <cellStyle name="20% - 강조색6 3" xfId="659" xr:uid="{23EDC371-55A2-4B0B-BDBF-F9C1011EE8E9}"/>
    <cellStyle name="20% - 강조색6 3 2" xfId="660" xr:uid="{27C174F5-4AD1-4D72-9623-B8BD365F32FB}"/>
    <cellStyle name="20% - 강조색6 30" xfId="661" xr:uid="{82153B48-9DDB-4599-9B57-2E037C975AAC}"/>
    <cellStyle name="20% - 강조색6 30 2" xfId="662" xr:uid="{618B43D2-259B-4F95-BCB1-853206E455DC}"/>
    <cellStyle name="20% - 강조색6 31" xfId="663" xr:uid="{7053A03F-DCA7-4166-A6CA-DF61665AB3E3}"/>
    <cellStyle name="20% - 강조색6 31 2" xfId="664" xr:uid="{E6123BA6-982C-49CD-A60F-41B22835E6B2}"/>
    <cellStyle name="20% - 강조색6 32" xfId="665" xr:uid="{74ED5E36-1B6C-40FD-88D6-B09442E1B7F8}"/>
    <cellStyle name="20% - 강조색6 32 2" xfId="666" xr:uid="{CDF9696F-FCF7-41B2-A0D4-8F3C119FAEE6}"/>
    <cellStyle name="20% - 강조색6 33" xfId="667" xr:uid="{FBFBABC1-0B5A-4022-84ED-419150CA8D0D}"/>
    <cellStyle name="20% - 강조색6 33 2" xfId="668" xr:uid="{4BB07600-745D-49ED-A89A-D84F834DCDB1}"/>
    <cellStyle name="20% - 강조색6 34" xfId="669" xr:uid="{4DF6CA9A-BA1E-495C-A0D3-83304F2D901F}"/>
    <cellStyle name="20% - 강조색6 34 2" xfId="670" xr:uid="{B9A8B69C-495C-4294-A430-C161D1017BC7}"/>
    <cellStyle name="20% - 강조색6 35" xfId="671" xr:uid="{C4F4369F-16C5-46F7-B4EB-46E6B7C159ED}"/>
    <cellStyle name="20% - 강조색6 35 2" xfId="672" xr:uid="{91ED1888-C09D-43C6-99B2-4F37522E5CB2}"/>
    <cellStyle name="20% - 강조색6 36" xfId="673" xr:uid="{F0B17B56-0019-4C0D-AB03-D447F8CC5D9D}"/>
    <cellStyle name="20% - 강조색6 36 2" xfId="674" xr:uid="{BED72ABE-584C-4EB4-9F90-48EB8A9048E5}"/>
    <cellStyle name="20% - 강조색6 37" xfId="675" xr:uid="{9B90E943-92DD-4852-8292-56F5BE733CE1}"/>
    <cellStyle name="20% - 강조색6 37 2" xfId="676" xr:uid="{706EEB11-F857-4D74-AF21-0FACE208DEAF}"/>
    <cellStyle name="20% - 강조색6 38" xfId="677" xr:uid="{4DD569B1-B87A-4407-8EAB-7FA2E1CDAB0A}"/>
    <cellStyle name="20% - 강조색6 38 2" xfId="678" xr:uid="{8AD03EB3-504A-4DED-B516-F8C8D40ADF40}"/>
    <cellStyle name="20% - 강조색6 39" xfId="679" xr:uid="{4E770DD3-9DDD-4D26-BDD3-CD3CF1CD7591}"/>
    <cellStyle name="20% - 강조색6 39 2" xfId="680" xr:uid="{1181E72F-9DD2-471B-9A6B-705AFC31B098}"/>
    <cellStyle name="20% - 강조색6 4" xfId="681" xr:uid="{4FCD3EFD-AA18-4B98-BE3B-27FCCF6800EA}"/>
    <cellStyle name="20% - 강조색6 4 2" xfId="682" xr:uid="{5D41D371-A161-4A5C-A841-00D82ED13E64}"/>
    <cellStyle name="20% - 강조색6 40" xfId="683" xr:uid="{A65B62B4-4D4C-4860-AD0D-5B9F3245BBD4}"/>
    <cellStyle name="20% - 강조색6 40 2" xfId="684" xr:uid="{1F731381-73B9-4C53-B338-3D59D2B1F5E0}"/>
    <cellStyle name="20% - 강조색6 41" xfId="685" xr:uid="{3796A9AA-70B1-4682-9616-56A200D28EB3}"/>
    <cellStyle name="20% - 강조색6 41 2" xfId="686" xr:uid="{900DC504-BC7B-4877-9790-EB1460316CEC}"/>
    <cellStyle name="20% - 강조색6 42" xfId="687" xr:uid="{21217CD2-06D0-452D-9137-245110C0BF3B}"/>
    <cellStyle name="20% - 강조색6 42 2" xfId="688" xr:uid="{00ABE60C-F212-4439-B46E-58577E2D6FE1}"/>
    <cellStyle name="20% - 강조색6 43" xfId="689" xr:uid="{29FE35A3-36CA-49E5-9753-1A9BC8EC126E}"/>
    <cellStyle name="20% - 강조색6 43 2" xfId="690" xr:uid="{40DF897D-1D54-4910-A29E-8762E5508A17}"/>
    <cellStyle name="20% - 강조색6 44" xfId="691" xr:uid="{CA5F2A62-C64B-4547-9BCD-B3C75D9653AA}"/>
    <cellStyle name="20% - 강조색6 45" xfId="692" xr:uid="{12ACD956-7AD9-49AD-B6B0-2853163F9CF7}"/>
    <cellStyle name="20% - 강조색6 46" xfId="693" xr:uid="{FDADA972-2B02-4E33-BE3B-90A186AD3047}"/>
    <cellStyle name="20% - 강조색6 47" xfId="694" xr:uid="{A186E24E-CE2E-4A97-B3BF-8B90218F1D3F}"/>
    <cellStyle name="20% - 강조색6 48" xfId="695" xr:uid="{2A412E99-44D2-40A3-AC50-77E71502BCB4}"/>
    <cellStyle name="20% - 강조색6 49" xfId="696" xr:uid="{7DD72796-6D1F-43D9-B2B4-EEBB419AE223}"/>
    <cellStyle name="20% - 강조색6 5" xfId="697" xr:uid="{C150E506-BE35-453D-A5AB-528682CE341C}"/>
    <cellStyle name="20% - 강조색6 5 2" xfId="698" xr:uid="{85203784-E4E1-45AA-9CC8-FDA24B32F942}"/>
    <cellStyle name="20% - 강조색6 50" xfId="699" xr:uid="{9711668B-05FA-4DA3-816A-801D1E186078}"/>
    <cellStyle name="20% - 강조색6 51" xfId="3979" xr:uid="{600F6097-20A9-4F14-82FA-801B79E0341F}"/>
    <cellStyle name="20% - 강조색6 51 2" xfId="4084" xr:uid="{7080F467-75BC-4F9E-950D-3F0C2EA062CD}"/>
    <cellStyle name="20% - 강조색6 51 2 2" xfId="4288" xr:uid="{12EBE5A0-387B-4A26-B6D9-EA47F3D847FE}"/>
    <cellStyle name="20% - 강조색6 51 2 2 2" xfId="4592" xr:uid="{83482401-3D82-4785-8E62-E3D852BFAF87}"/>
    <cellStyle name="20% - 강조색6 51 2 3" xfId="4460" xr:uid="{4B81B229-178E-4D21-8470-F06208822050}"/>
    <cellStyle name="20% - 강조색6 51 3" xfId="4275" xr:uid="{B5389BDE-063F-4C0E-B0B0-F3BB649F123B}"/>
    <cellStyle name="20% - 강조색6 51 3 2" xfId="4579" xr:uid="{A175B67E-0BE5-4D99-B4DA-D05A07D296E2}"/>
    <cellStyle name="20% - 강조색6 51 4" xfId="4447" xr:uid="{F1EE0799-14F3-4C4C-82A0-33E008DA803C}"/>
    <cellStyle name="20% - 강조색6 52" xfId="4101" xr:uid="{A9CA0F86-78EC-4E81-9647-4A5B3834B03F}"/>
    <cellStyle name="20% - 강조색6 52 2" xfId="4305" xr:uid="{1D6E31F3-3D2B-4DB0-B5DD-B4A1FE066A23}"/>
    <cellStyle name="20% - 강조색6 52 2 2" xfId="4609" xr:uid="{4609F3F6-467C-47F2-8111-3D4081FFE7DB}"/>
    <cellStyle name="20% - 강조색6 52 3" xfId="4477" xr:uid="{7D0794CC-8D24-4FD2-9247-3E022B6D3843}"/>
    <cellStyle name="20% - 강조색6 53" xfId="4143" xr:uid="{6EFD7BAD-9507-4478-BF4E-8F14193AF763}"/>
    <cellStyle name="20% - 강조색6 53 2" xfId="4321" xr:uid="{4F794F58-2EBD-4B92-9308-45B2975B7009}"/>
    <cellStyle name="20% - 강조색6 53 2 2" xfId="4625" xr:uid="{2E4876CC-DB1B-45FE-A6A2-3A5DD79B33AE}"/>
    <cellStyle name="20% - 강조색6 53 3" xfId="4493" xr:uid="{CEA45800-FA1C-451A-B402-3DA391F5E026}"/>
    <cellStyle name="20% - 강조색6 54" xfId="4159" xr:uid="{07A6515B-2B08-435F-9E4D-483EF00BEFC8}"/>
    <cellStyle name="20% - 강조색6 54 2" xfId="4335" xr:uid="{FDFA840C-AC37-45CD-993C-5E5624AC2F6C}"/>
    <cellStyle name="20% - 강조색6 54 2 2" xfId="4639" xr:uid="{56B6DBE0-D510-462C-8E87-B484E7B60676}"/>
    <cellStyle name="20% - 강조색6 54 3" xfId="4507" xr:uid="{D04ED55F-E29E-469D-9286-C90B6C02BC5F}"/>
    <cellStyle name="20% - 강조색6 55" xfId="4173" xr:uid="{AC01F9D5-0CAA-4553-96F4-9B74DBE142E2}"/>
    <cellStyle name="20% - 강조색6 55 2" xfId="4349" xr:uid="{96F43BFC-AF28-408C-BFAE-E06C153DE66D}"/>
    <cellStyle name="20% - 강조색6 55 2 2" xfId="4653" xr:uid="{DAA65B71-238E-43A8-B6BF-11B1183B870B}"/>
    <cellStyle name="20% - 강조색6 55 3" xfId="4521" xr:uid="{ADCA4188-6E40-4D43-B2FF-411ABFD13315}"/>
    <cellStyle name="20% - 강조색6 56" xfId="4187" xr:uid="{3CE06960-7BEF-4EC1-B463-C6F3A77918C9}"/>
    <cellStyle name="20% - 강조색6 56 2" xfId="4363" xr:uid="{DB0371FE-0EA2-48C3-BE35-5441E2DF7C07}"/>
    <cellStyle name="20% - 강조색6 56 2 2" xfId="4667" xr:uid="{F257C83B-C0EF-4AB3-81EE-497C7BABE095}"/>
    <cellStyle name="20% - 강조색6 56 3" xfId="4535" xr:uid="{D539828F-68D8-47B4-B820-E7523034C4AE}"/>
    <cellStyle name="20% - 강조색6 57" xfId="4202" xr:uid="{66B0C36B-E370-462D-922C-C72853A396FC}"/>
    <cellStyle name="20% - 강조색6 57 2" xfId="4377" xr:uid="{EE95527A-D9DF-4EBD-9DEC-F43954758B9B}"/>
    <cellStyle name="20% - 강조색6 57 2 2" xfId="4681" xr:uid="{B80A8B10-67A9-4DDD-BC14-7AF7933A9B3F}"/>
    <cellStyle name="20% - 강조색6 57 3" xfId="4549" xr:uid="{2F12F6B6-3A42-4989-98AA-E6A2EEB97E29}"/>
    <cellStyle name="20% - 강조색6 58" xfId="4216" xr:uid="{5559F01B-745F-4068-9901-6416D427ABCD}"/>
    <cellStyle name="20% - 강조색6 58 2" xfId="4563" xr:uid="{8AF35C27-FC0F-4F80-B732-1A3AC88231C4}"/>
    <cellStyle name="20% - 강조색6 59" xfId="4227" xr:uid="{2C8E3526-0D08-4E5A-9845-1118CC77511E}"/>
    <cellStyle name="20% - 강조색6 6" xfId="700" xr:uid="{009B1757-057C-4335-A89A-1E36CE266F24}"/>
    <cellStyle name="20% - 강조색6 6 2" xfId="701" xr:uid="{67052205-E76B-4399-B6F4-17FCC1D01050}"/>
    <cellStyle name="20% - 강조색6 60" xfId="4399" xr:uid="{E4102B4F-D95A-42E0-968E-FAFE87C1EEFB}"/>
    <cellStyle name="20% - 강조색6 61" xfId="616" xr:uid="{46BE23A7-9FA7-4C03-B7A3-1063F07CBB6F}"/>
    <cellStyle name="20% - 강조색6 7" xfId="702" xr:uid="{EADA1741-3551-4D31-9816-7E8284CA561C}"/>
    <cellStyle name="20% - 강조색6 7 2" xfId="703" xr:uid="{D4971B2A-184D-4B6F-B1CD-CCD5B795BAC0}"/>
    <cellStyle name="20% - 강조색6 8" xfId="704" xr:uid="{4F67267A-DE42-4156-B19A-554674DA7B9D}"/>
    <cellStyle name="20% - 강조색6 8 2" xfId="705" xr:uid="{E2731C00-6B46-4216-A558-E410C652E06B}"/>
    <cellStyle name="20% - 강조색6 9" xfId="706" xr:uid="{F8E53B62-3B61-4E23-AE48-3B40EC015796}"/>
    <cellStyle name="20% - 강조색6 9 2" xfId="707" xr:uid="{4FA85583-602E-4F63-9590-0535CE536703}"/>
    <cellStyle name="40% - Accent1 2" xfId="10" xr:uid="{00000000-0005-0000-0000-000006000000}"/>
    <cellStyle name="40% - Accent2 2" xfId="11" xr:uid="{00000000-0005-0000-0000-000007000000}"/>
    <cellStyle name="40% - Accent3 2" xfId="12" xr:uid="{00000000-0005-0000-0000-000008000000}"/>
    <cellStyle name="40% - Accent4 2" xfId="13" xr:uid="{00000000-0005-0000-0000-000009000000}"/>
    <cellStyle name="40% - Accent5 2" xfId="14" xr:uid="{00000000-0005-0000-0000-00000A000000}"/>
    <cellStyle name="40% - Accent6 2" xfId="15" xr:uid="{00000000-0005-0000-0000-00000B000000}"/>
    <cellStyle name="40% - 강조색1 10" xfId="709" xr:uid="{D935A950-D41F-4B2B-946A-8AFDF7511D12}"/>
    <cellStyle name="40% - 강조색1 10 2" xfId="710" xr:uid="{BA08FBD7-FFAA-4B55-ADF0-A9BDFD8A129F}"/>
    <cellStyle name="40% - 강조색1 11" xfId="711" xr:uid="{B7C19C83-800B-4950-9971-3E2E0CA0F1CF}"/>
    <cellStyle name="40% - 강조색1 11 2" xfId="712" xr:uid="{2ED21432-D9D9-4DF8-AE10-9A3ED1F9A8F3}"/>
    <cellStyle name="40% - 강조색1 12" xfId="713" xr:uid="{4D39E164-6956-4740-9668-F05481DEEEE7}"/>
    <cellStyle name="40% - 강조색1 12 2" xfId="714" xr:uid="{8DD456E6-41DA-4AD5-A58C-7C5727CBEF42}"/>
    <cellStyle name="40% - 강조색1 13" xfId="715" xr:uid="{D4823BF0-901B-43EE-A96E-A6FFB13534FE}"/>
    <cellStyle name="40% - 강조색1 13 2" xfId="716" xr:uid="{1374A463-F8BD-4C21-8FE7-6BE88F593AB0}"/>
    <cellStyle name="40% - 강조색1 14" xfId="717" xr:uid="{83EB5123-A931-4FC7-B035-4EFD20E243EC}"/>
    <cellStyle name="40% - 강조색1 14 2" xfId="718" xr:uid="{C099C180-0D03-46A9-BF5F-328247CB245F}"/>
    <cellStyle name="40% - 강조색1 15" xfId="719" xr:uid="{5B9BA503-6DAE-4F57-BCAC-B160A79F88E0}"/>
    <cellStyle name="40% - 강조색1 15 2" xfId="720" xr:uid="{DA47F10A-6C8E-4EB7-845A-9EB17EBB8B9C}"/>
    <cellStyle name="40% - 강조색1 16" xfId="721" xr:uid="{0E1DCA08-EE11-4B8A-AA85-EF5CDFB1DB84}"/>
    <cellStyle name="40% - 강조색1 16 2" xfId="722" xr:uid="{4235E62B-A3AD-4AA2-BA33-378A2C10026C}"/>
    <cellStyle name="40% - 강조색1 17" xfId="723" xr:uid="{8E5A4201-A83B-4417-9E92-9D01267ECFA4}"/>
    <cellStyle name="40% - 강조색1 17 2" xfId="724" xr:uid="{22B9E62D-20EB-455D-8EA4-092974BD9C82}"/>
    <cellStyle name="40% - 강조색1 18" xfId="725" xr:uid="{CCE1A10B-D141-42C7-969A-08B6AEA63283}"/>
    <cellStyle name="40% - 강조색1 18 2" xfId="726" xr:uid="{4A09D7FD-CD18-4EB7-8BCA-44648098CCAA}"/>
    <cellStyle name="40% - 강조색1 19" xfId="727" xr:uid="{D91451D6-9D75-4426-9B9A-53843D28F60E}"/>
    <cellStyle name="40% - 강조색1 19 2" xfId="728" xr:uid="{A198584C-7577-4FC8-9637-AACC71CE1F68}"/>
    <cellStyle name="40% - 강조색1 2" xfId="729" xr:uid="{0006AA57-347F-4455-B591-F53DA6AEC8AC}"/>
    <cellStyle name="40% - 강조색1 2 2" xfId="730" xr:uid="{34488CDE-6D36-4C1E-8F67-E8D028451819}"/>
    <cellStyle name="40% - 강조색1 20" xfId="731" xr:uid="{0B2A21AA-F0F5-4C3D-9B7A-13DAC4A44E75}"/>
    <cellStyle name="40% - 강조색1 20 2" xfId="732" xr:uid="{F8CDBE26-E7CA-4E02-82DB-2D4959B8F229}"/>
    <cellStyle name="40% - 강조색1 21" xfId="733" xr:uid="{3B1079B9-6852-4723-81D1-87E18D752394}"/>
    <cellStyle name="40% - 강조색1 21 2" xfId="734" xr:uid="{7E57564D-2804-444A-A70E-144CDEBE830B}"/>
    <cellStyle name="40% - 강조색1 22" xfId="735" xr:uid="{3514ECFC-05F0-464E-8E28-743F8A9AF3C8}"/>
    <cellStyle name="40% - 강조색1 22 2" xfId="736" xr:uid="{E9875AD3-99B1-4F6B-8332-1E215CFA261B}"/>
    <cellStyle name="40% - 강조색1 23" xfId="737" xr:uid="{9515803C-EA55-4274-B969-66FD7D2DE596}"/>
    <cellStyle name="40% - 강조색1 23 2" xfId="738" xr:uid="{2BC7129A-7167-46FB-90E4-B80E31880559}"/>
    <cellStyle name="40% - 강조색1 24" xfId="739" xr:uid="{EDC1375D-124F-4B04-9C3C-15771F38599F}"/>
    <cellStyle name="40% - 강조색1 24 2" xfId="740" xr:uid="{9E135593-19CC-4408-8EA8-02D7EA734478}"/>
    <cellStyle name="40% - 강조색1 25" xfId="741" xr:uid="{DB799F6D-6D0D-46C0-A3EE-A6D1AB76904C}"/>
    <cellStyle name="40% - 강조색1 25 2" xfId="742" xr:uid="{B68202CF-B2F9-4FDD-8ADB-B22CD21FE2D5}"/>
    <cellStyle name="40% - 강조색1 26" xfId="743" xr:uid="{C448596E-B480-49B5-842D-21D6CF4757DB}"/>
    <cellStyle name="40% - 강조색1 26 2" xfId="744" xr:uid="{E53F926D-B8EC-4ADD-A205-67B0A035A2FC}"/>
    <cellStyle name="40% - 강조색1 27" xfId="745" xr:uid="{1511C74F-CFC4-4811-A010-1793FBF3AD4B}"/>
    <cellStyle name="40% - 강조색1 27 2" xfId="746" xr:uid="{DCBA6D0F-C864-4B2C-93C2-D58FA3F784A5}"/>
    <cellStyle name="40% - 강조색1 28" xfId="747" xr:uid="{1F693B5E-56C5-4848-A84E-7A2A61BD7A98}"/>
    <cellStyle name="40% - 강조색1 28 2" xfId="748" xr:uid="{157DD336-5A07-491F-90E5-7AD786361750}"/>
    <cellStyle name="40% - 강조색1 29" xfId="749" xr:uid="{9994F139-EFFC-4DFF-BAFE-E98076CC4BA5}"/>
    <cellStyle name="40% - 강조색1 29 2" xfId="750" xr:uid="{C82C9239-3340-4D93-982D-BC3BA10958B4}"/>
    <cellStyle name="40% - 강조색1 3" xfId="751" xr:uid="{98523FDA-80EF-4D3A-AD80-52212C9DDB06}"/>
    <cellStyle name="40% - 강조색1 3 2" xfId="752" xr:uid="{01C55089-2BCA-4F7A-AA6F-05E2325AE817}"/>
    <cellStyle name="40% - 강조색1 30" xfId="753" xr:uid="{DC280508-C26F-47F9-8D41-E7716F8D7331}"/>
    <cellStyle name="40% - 강조색1 30 2" xfId="754" xr:uid="{70BA3A54-1EFC-4EC7-ACED-BC07B60DED2D}"/>
    <cellStyle name="40% - 강조색1 31" xfId="755" xr:uid="{E82301E0-2DF4-4966-B8B7-562BAA76A84E}"/>
    <cellStyle name="40% - 강조색1 31 2" xfId="756" xr:uid="{CDF37BEB-B512-4D2E-A1B3-56AE818711C4}"/>
    <cellStyle name="40% - 강조색1 32" xfId="757" xr:uid="{A395973E-DD55-47EB-9842-3652EBECA0F9}"/>
    <cellStyle name="40% - 강조색1 32 2" xfId="758" xr:uid="{59A9C3FC-DD16-46B3-95C0-5E18B8641E65}"/>
    <cellStyle name="40% - 강조색1 33" xfId="759" xr:uid="{F44F2B0D-9C6E-4D28-8FA4-7011F0EE4F4A}"/>
    <cellStyle name="40% - 강조색1 33 2" xfId="760" xr:uid="{C85E8AFA-CF4B-4A54-B9E1-1D09C8712B25}"/>
    <cellStyle name="40% - 강조색1 34" xfId="761" xr:uid="{5F61C3FA-9237-47A4-91E5-5E1DD8130645}"/>
    <cellStyle name="40% - 강조색1 34 2" xfId="762" xr:uid="{0E50CEB5-F8E6-4A19-A697-AC16992A6A90}"/>
    <cellStyle name="40% - 강조색1 35" xfId="763" xr:uid="{8179EFC7-F013-4FA1-BEF6-37DEB7488132}"/>
    <cellStyle name="40% - 강조색1 35 2" xfId="764" xr:uid="{7C73EFD5-97D9-48FE-BD1C-4D37C193031C}"/>
    <cellStyle name="40% - 강조색1 36" xfId="765" xr:uid="{AD072079-C0F6-4942-9AE7-36F81BAF3365}"/>
    <cellStyle name="40% - 강조색1 36 2" xfId="766" xr:uid="{B85DCC4A-F7C8-49AE-B6E9-63B45016B370}"/>
    <cellStyle name="40% - 강조색1 37" xfId="767" xr:uid="{32AA081C-79B6-4346-AE57-083A790D49FC}"/>
    <cellStyle name="40% - 강조색1 37 2" xfId="768" xr:uid="{5E8EF488-4ACC-417F-8D13-CD3DC2D674E8}"/>
    <cellStyle name="40% - 강조색1 38" xfId="769" xr:uid="{F90FD04B-E06D-42C4-B853-191B225F0C3F}"/>
    <cellStyle name="40% - 강조색1 38 2" xfId="770" xr:uid="{E0D0A76A-C1AF-4B86-8C05-9363647D445D}"/>
    <cellStyle name="40% - 강조색1 39" xfId="771" xr:uid="{9A077B17-ADC2-4C98-A37D-4E385FB5F190}"/>
    <cellStyle name="40% - 강조색1 39 2" xfId="772" xr:uid="{1E2DD779-1FD3-45E9-973F-18DFEFF66F87}"/>
    <cellStyle name="40% - 강조색1 4" xfId="773" xr:uid="{7CFDE69F-D5DB-407D-BD7D-D711B1F2FC75}"/>
    <cellStyle name="40% - 강조색1 4 2" xfId="774" xr:uid="{C41F0F76-29FC-469B-96C8-45B2251EFF28}"/>
    <cellStyle name="40% - 강조색1 40" xfId="775" xr:uid="{2861DC6E-F840-443A-A26C-6B9BC83A3917}"/>
    <cellStyle name="40% - 강조색1 40 2" xfId="776" xr:uid="{5C2466F8-1CBD-4C66-AC66-7DEB513FA69D}"/>
    <cellStyle name="40% - 강조색1 41" xfId="777" xr:uid="{307D5C81-3314-4A4F-8A14-460656FEAED8}"/>
    <cellStyle name="40% - 강조색1 41 2" xfId="778" xr:uid="{20BB9FED-E133-48DD-BAC9-13FFBA3FCD7D}"/>
    <cellStyle name="40% - 강조색1 42" xfId="779" xr:uid="{F0775E7D-9214-4C62-BE6A-05F6178F1BC3}"/>
    <cellStyle name="40% - 강조색1 42 2" xfId="780" xr:uid="{A06CB966-478A-41CE-A2F3-8CCCD1D5E4D0}"/>
    <cellStyle name="40% - 강조색1 43" xfId="781" xr:uid="{3E658CB1-6447-499C-82A9-E76E84FE2634}"/>
    <cellStyle name="40% - 강조색1 43 2" xfId="782" xr:uid="{D1AA3E84-C188-40D2-861B-4523B370ADC0}"/>
    <cellStyle name="40% - 강조색1 44" xfId="783" xr:uid="{923CF779-42D5-48FD-8ECC-6294D050B1D7}"/>
    <cellStyle name="40% - 강조색1 45" xfId="784" xr:uid="{77B83132-B461-4FE0-9AF2-4B629139D473}"/>
    <cellStyle name="40% - 강조색1 46" xfId="785" xr:uid="{435721D1-6F3A-435F-B1AA-BBBAA44B4B11}"/>
    <cellStyle name="40% - 강조색1 47" xfId="786" xr:uid="{2DCAD794-0C22-4E20-AB75-5EF544187A33}"/>
    <cellStyle name="40% - 강조색1 48" xfId="787" xr:uid="{FDA54B16-3FFA-4AC5-AB32-6B15DEC5823E}"/>
    <cellStyle name="40% - 강조색1 49" xfId="788" xr:uid="{76A462CC-8EF5-48F4-8D8B-6852054FDA2C}"/>
    <cellStyle name="40% - 강조색1 5" xfId="789" xr:uid="{60550DD8-9D0F-4596-B95D-1223ABCF67BF}"/>
    <cellStyle name="40% - 강조색1 5 2" xfId="790" xr:uid="{725F63B8-B605-4B44-858E-B1C5465236AF}"/>
    <cellStyle name="40% - 강조색1 50" xfId="791" xr:uid="{6BCEDFDC-CCE3-4A7D-9EB5-CEDD41A503CE}"/>
    <cellStyle name="40% - 강조색1 51" xfId="3960" xr:uid="{ECCBF15C-F494-4B5E-AC66-41914DE495CD}"/>
    <cellStyle name="40% - 강조색1 51 2" xfId="4075" xr:uid="{F9093A44-F9EE-44FC-8947-3EDF7B0C08F4}"/>
    <cellStyle name="40% - 강조색1 51 2 2" xfId="4279" xr:uid="{80DF9B16-58D6-4E45-8255-C22A2B9F569C}"/>
    <cellStyle name="40% - 강조색1 51 2 2 2" xfId="4583" xr:uid="{228A4E53-9A52-491F-BBD3-54B60064B9B0}"/>
    <cellStyle name="40% - 강조색1 51 2 3" xfId="4451" xr:uid="{0302756D-1ADB-4100-A165-DD4E46F19B31}"/>
    <cellStyle name="40% - 강조색1 51 3" xfId="4266" xr:uid="{E3E54830-BE5F-482E-8A22-F0010A41846C}"/>
    <cellStyle name="40% - 강조색1 51 3 2" xfId="4570" xr:uid="{C234FE1D-8BD2-4CAE-A8C9-031464C17D56}"/>
    <cellStyle name="40% - 강조색1 51 4" xfId="4438" xr:uid="{2D8AA100-C25E-44D0-9549-87209230E159}"/>
    <cellStyle name="40% - 강조색1 52" xfId="4092" xr:uid="{BAD0EDF5-52BC-47F7-ACBC-F2A67BA89D36}"/>
    <cellStyle name="40% - 강조색1 52 2" xfId="4296" xr:uid="{1D140620-6A80-459B-B1F3-08691198DD55}"/>
    <cellStyle name="40% - 강조색1 52 2 2" xfId="4600" xr:uid="{D6B635B0-E82C-4AEB-B2F2-C64375499CF5}"/>
    <cellStyle name="40% - 강조색1 52 3" xfId="4468" xr:uid="{6E17F557-A6D4-4E67-AD03-09C86734BA2C}"/>
    <cellStyle name="40% - 강조색1 53" xfId="4124" xr:uid="{E2053A98-4F81-4A99-86AF-76AFFC67BE61}"/>
    <cellStyle name="40% - 강조색1 53 2" xfId="4312" xr:uid="{F33A733E-4DC6-4D8A-901D-787A70DB2AAE}"/>
    <cellStyle name="40% - 강조색1 53 2 2" xfId="4616" xr:uid="{B3AFFA1B-68C2-4D7E-923C-1B3BBD3D3E0D}"/>
    <cellStyle name="40% - 강조색1 53 3" xfId="4484" xr:uid="{2D0A0874-7502-47E5-B6A7-738F5DBB7456}"/>
    <cellStyle name="40% - 강조색1 54" xfId="4150" xr:uid="{117689F9-0E64-4FC1-8471-B61920E7EF0D}"/>
    <cellStyle name="40% - 강조색1 54 2" xfId="4326" xr:uid="{47DAE109-3EF6-4805-B1F4-A605D1D286E2}"/>
    <cellStyle name="40% - 강조색1 54 2 2" xfId="4630" xr:uid="{CB0FC522-CA35-4BA8-A623-359D091B2A62}"/>
    <cellStyle name="40% - 강조색1 54 3" xfId="4498" xr:uid="{3B5043CD-43B2-482A-B2BE-B9E73BC51B84}"/>
    <cellStyle name="40% - 강조색1 55" xfId="4164" xr:uid="{E038567D-8BC3-4DCD-BE25-138B8545EF16}"/>
    <cellStyle name="40% - 강조색1 55 2" xfId="4340" xr:uid="{1DA7E5FF-6A6E-4DCB-BBCA-51BC2BFEFF1F}"/>
    <cellStyle name="40% - 강조색1 55 2 2" xfId="4644" xr:uid="{BF264FAC-A7C0-4891-866F-A188B657F6A2}"/>
    <cellStyle name="40% - 강조색1 55 3" xfId="4512" xr:uid="{DFB5276F-C664-4252-A554-45DE4471BA9E}"/>
    <cellStyle name="40% - 강조색1 56" xfId="4178" xr:uid="{574837BF-6784-4AF7-B877-9E181C63A1C9}"/>
    <cellStyle name="40% - 강조색1 56 2" xfId="4354" xr:uid="{CEAAFFCC-E294-457F-B9DB-5E79BA4AEC04}"/>
    <cellStyle name="40% - 강조색1 56 2 2" xfId="4658" xr:uid="{619E47F1-E4C7-4925-BB58-BBC9D9EB3A6B}"/>
    <cellStyle name="40% - 강조색1 56 3" xfId="4526" xr:uid="{19653D04-49C3-40D2-A8B2-27DA584DFCB7}"/>
    <cellStyle name="40% - 강조색1 57" xfId="4193" xr:uid="{278E29A0-1576-40DE-817A-DBB07EF639C1}"/>
    <cellStyle name="40% - 강조색1 57 2" xfId="4368" xr:uid="{B67ADC15-A441-4C49-AC54-AFB7A5914300}"/>
    <cellStyle name="40% - 강조색1 57 2 2" xfId="4672" xr:uid="{888BD126-2F1A-4704-81C3-E3DC21D2303A}"/>
    <cellStyle name="40% - 강조색1 57 3" xfId="4540" xr:uid="{97B2035F-BFDC-48BD-A8EF-AE40CE011FC5}"/>
    <cellStyle name="40% - 강조색1 58" xfId="4207" xr:uid="{46EA1AAF-6036-4FFB-88BC-B11484B48778}"/>
    <cellStyle name="40% - 강조색1 58 2" xfId="4554" xr:uid="{2ED49A8D-16D1-4829-927C-903637DF3918}"/>
    <cellStyle name="40% - 강조색1 59" xfId="4228" xr:uid="{93070483-0A27-432A-83F1-5E1D84C8C8B3}"/>
    <cellStyle name="40% - 강조색1 6" xfId="792" xr:uid="{926BCE9D-8E55-4214-B927-B2CA0B72C027}"/>
    <cellStyle name="40% - 강조색1 6 2" xfId="793" xr:uid="{CE760195-2403-4011-8D60-E6265CF43DFF}"/>
    <cellStyle name="40% - 강조색1 60" xfId="4400" xr:uid="{A25F66B3-59D8-4846-8B0C-3EB72676360C}"/>
    <cellStyle name="40% - 강조색1 61" xfId="708" xr:uid="{0FA9CC58-5618-4311-BE7D-066442A257E9}"/>
    <cellStyle name="40% - 강조색1 7" xfId="794" xr:uid="{3803E06D-76B3-4071-889F-9FB200573FFD}"/>
    <cellStyle name="40% - 강조색1 7 2" xfId="795" xr:uid="{62F93346-0E02-48F4-B84A-77A1CEFC20A2}"/>
    <cellStyle name="40% - 강조색1 8" xfId="796" xr:uid="{73254585-412C-4A49-9C26-BADB634C2E47}"/>
    <cellStyle name="40% - 강조색1 8 2" xfId="797" xr:uid="{199FADB3-21AB-4C54-898D-E5D510CA240A}"/>
    <cellStyle name="40% - 강조색1 9" xfId="798" xr:uid="{17ED66B6-9947-414A-A5A0-E768D0F35333}"/>
    <cellStyle name="40% - 강조색1 9 2" xfId="799" xr:uid="{8353637D-4F1E-472A-9F01-034DE9811756}"/>
    <cellStyle name="40% - 강조색2 10" xfId="801" xr:uid="{1E803002-0949-45FE-9E96-BCB58A566BB2}"/>
    <cellStyle name="40% - 강조색2 10 2" xfId="802" xr:uid="{DF3F3573-48C1-4DD8-A6CD-050E6BC25DAE}"/>
    <cellStyle name="40% - 강조색2 11" xfId="803" xr:uid="{FBD4A0CF-5A73-4F72-9ED6-1B2835B84166}"/>
    <cellStyle name="40% - 강조색2 11 2" xfId="804" xr:uid="{E3A27006-C96F-405B-A7A7-D1D049A1819B}"/>
    <cellStyle name="40% - 강조색2 12" xfId="805" xr:uid="{623C370A-BEBC-4EC5-B6D8-385B6AA05E62}"/>
    <cellStyle name="40% - 강조색2 12 2" xfId="806" xr:uid="{D3F3F41D-A7FA-434F-B40B-838EEAC79A3E}"/>
    <cellStyle name="40% - 강조색2 13" xfId="807" xr:uid="{3BEC4D90-1312-49CF-B80F-E77632A4D9D5}"/>
    <cellStyle name="40% - 강조색2 13 2" xfId="808" xr:uid="{F7EE442B-C754-4D88-BB82-0714DBA4FCBF}"/>
    <cellStyle name="40% - 강조색2 14" xfId="809" xr:uid="{786295B4-53A4-4E3C-8C53-8A919C423C8C}"/>
    <cellStyle name="40% - 강조색2 14 2" xfId="810" xr:uid="{2EAAC017-204F-4C72-895B-65C652E48320}"/>
    <cellStyle name="40% - 강조색2 15" xfId="811" xr:uid="{02617BDD-69EE-4005-B0EC-3ECE9E9C7D80}"/>
    <cellStyle name="40% - 강조색2 15 2" xfId="812" xr:uid="{ECAC2553-7BB3-456B-8124-22544A002BFD}"/>
    <cellStyle name="40% - 강조색2 16" xfId="813" xr:uid="{9468CBDD-6249-4B0B-AD5A-8B8E9B44227C}"/>
    <cellStyle name="40% - 강조색2 16 2" xfId="814" xr:uid="{C3B34130-923F-48D3-BD02-C601F8D9F0A2}"/>
    <cellStyle name="40% - 강조색2 17" xfId="815" xr:uid="{1387FDF1-96BC-49A2-B336-FCAFCD2DB9F7}"/>
    <cellStyle name="40% - 강조색2 17 2" xfId="816" xr:uid="{35699379-D137-4A78-A665-CA5577951FAF}"/>
    <cellStyle name="40% - 강조색2 18" xfId="817" xr:uid="{7A8A0FA5-A038-4A9B-B81B-804592105687}"/>
    <cellStyle name="40% - 강조색2 18 2" xfId="818" xr:uid="{C5A4238C-7D99-40E5-82A8-95EDDF999B77}"/>
    <cellStyle name="40% - 강조색2 19" xfId="819" xr:uid="{1295CD70-7D82-4FB6-838E-4E5B2CFEEEC9}"/>
    <cellStyle name="40% - 강조색2 19 2" xfId="820" xr:uid="{D326D989-3B83-48DB-A697-533E65CD1C28}"/>
    <cellStyle name="40% - 강조색2 2" xfId="821" xr:uid="{1A9274D2-4189-47BD-A9FA-AE4104EE5034}"/>
    <cellStyle name="40% - 강조색2 2 2" xfId="822" xr:uid="{B6A7CB7E-03D2-459E-BEEE-2EA92337732E}"/>
    <cellStyle name="40% - 강조색2 20" xfId="823" xr:uid="{30D6D691-BEA7-4C4F-8A81-0E8B01092EBB}"/>
    <cellStyle name="40% - 강조색2 20 2" xfId="824" xr:uid="{10BC7AA4-62D9-4003-9F6E-38B152D37394}"/>
    <cellStyle name="40% - 강조색2 21" xfId="825" xr:uid="{C40884E1-2ED0-4B9F-AE3C-52DBF355A7F2}"/>
    <cellStyle name="40% - 강조색2 21 2" xfId="826" xr:uid="{F17561F6-9034-4B5A-9418-A1556928C354}"/>
    <cellStyle name="40% - 강조색2 22" xfId="827" xr:uid="{B08D50C4-2E7E-481F-94D3-C1D51A9DE11B}"/>
    <cellStyle name="40% - 강조색2 22 2" xfId="828" xr:uid="{480B8D21-D43D-49B8-A14B-E4E0E8262E23}"/>
    <cellStyle name="40% - 강조색2 23" xfId="829" xr:uid="{0184CD87-19C0-4381-9244-1D7928B4C8EE}"/>
    <cellStyle name="40% - 강조색2 23 2" xfId="830" xr:uid="{5BF96A64-FDFB-4050-96A8-F5EFE677D960}"/>
    <cellStyle name="40% - 강조색2 24" xfId="831" xr:uid="{39875A26-0EAD-47CC-8195-4E2674EBA383}"/>
    <cellStyle name="40% - 강조색2 24 2" xfId="832" xr:uid="{3F8393D2-FFD7-49AD-9F89-CEEE58FD05EF}"/>
    <cellStyle name="40% - 강조색2 25" xfId="833" xr:uid="{AE5A1A0B-2EEB-44E1-932A-B7C1EBE7E03A}"/>
    <cellStyle name="40% - 강조색2 25 2" xfId="834" xr:uid="{9ABCB6B7-E33A-41B7-A33E-560F4345386E}"/>
    <cellStyle name="40% - 강조색2 26" xfId="835" xr:uid="{CFBCF78A-431D-4E13-BB31-C191C8565DF1}"/>
    <cellStyle name="40% - 강조색2 26 2" xfId="836" xr:uid="{73FD3F58-5BCB-41E1-B48F-E6250E0FA8EE}"/>
    <cellStyle name="40% - 강조색2 27" xfId="837" xr:uid="{2C0CE3F7-FC4F-45D5-BB87-1F7B8EE92D4A}"/>
    <cellStyle name="40% - 강조색2 27 2" xfId="838" xr:uid="{32508DBB-117C-4E3C-8BA9-6B8CB620FC95}"/>
    <cellStyle name="40% - 강조색2 28" xfId="839" xr:uid="{452BCE2F-8038-4F7E-9D96-B44581DFE040}"/>
    <cellStyle name="40% - 강조색2 28 2" xfId="840" xr:uid="{8212485A-B60E-4028-873C-5C340AD2438C}"/>
    <cellStyle name="40% - 강조색2 29" xfId="841" xr:uid="{0001E2EA-9917-4439-B1C8-530156EA7B95}"/>
    <cellStyle name="40% - 강조색2 29 2" xfId="842" xr:uid="{ADA0E103-500F-4739-A64E-A135F4BEAF8E}"/>
    <cellStyle name="40% - 강조색2 3" xfId="843" xr:uid="{EEC30486-69E6-4367-B498-BA6103632EAE}"/>
    <cellStyle name="40% - 강조색2 3 2" xfId="844" xr:uid="{A2636B04-6741-4350-B954-AE5E93D56576}"/>
    <cellStyle name="40% - 강조색2 30" xfId="845" xr:uid="{28644042-95C7-43B3-A630-35686304BBED}"/>
    <cellStyle name="40% - 강조색2 30 2" xfId="846" xr:uid="{409D85B1-DA8E-4F08-9B7F-1B3EECD9E14D}"/>
    <cellStyle name="40% - 강조색2 31" xfId="847" xr:uid="{449DA15B-088C-4684-A2A3-BBB2A591B47B}"/>
    <cellStyle name="40% - 강조색2 31 2" xfId="848" xr:uid="{B67B7EEE-7F2D-4F19-B522-2D509AF32CD5}"/>
    <cellStyle name="40% - 강조색2 32" xfId="849" xr:uid="{DEA24B44-1C8F-47BC-B0A9-2FCC63DFC9A9}"/>
    <cellStyle name="40% - 강조색2 32 2" xfId="850" xr:uid="{7BBE91D8-263B-4A3B-A192-C9F97208261D}"/>
    <cellStyle name="40% - 강조색2 33" xfId="851" xr:uid="{B328779F-105D-4661-9E14-3B13CF1C04FE}"/>
    <cellStyle name="40% - 강조색2 33 2" xfId="852" xr:uid="{17B1A324-C4CE-40C3-94DD-C788ADC57ABD}"/>
    <cellStyle name="40% - 강조색2 34" xfId="853" xr:uid="{ABBB7BA8-5E69-4EB6-95AF-54D33AE1DD09}"/>
    <cellStyle name="40% - 강조색2 34 2" xfId="854" xr:uid="{E5B79603-C4B0-4E7E-9995-DA89779D75C2}"/>
    <cellStyle name="40% - 강조색2 35" xfId="855" xr:uid="{869DAEE5-3E71-4C1C-BB7B-2EE8EDB4B8F5}"/>
    <cellStyle name="40% - 강조색2 35 2" xfId="856" xr:uid="{B98065F1-6159-4201-9E7D-5F1CC2B786AF}"/>
    <cellStyle name="40% - 강조색2 36" xfId="857" xr:uid="{E130A475-7A7C-4F3E-A84F-7FEE8F48BDC2}"/>
    <cellStyle name="40% - 강조색2 36 2" xfId="858" xr:uid="{E115F607-7800-4BFC-BBB9-44E6C46C9BE6}"/>
    <cellStyle name="40% - 강조색2 37" xfId="859" xr:uid="{E0587C30-2191-4501-BBCB-925DA2B56B6A}"/>
    <cellStyle name="40% - 강조색2 37 2" xfId="860" xr:uid="{53401BEF-8602-4F09-9F96-B3DC8E8437D7}"/>
    <cellStyle name="40% - 강조색2 38" xfId="861" xr:uid="{3EFF45AE-8D26-4704-80CE-565B449D7A3E}"/>
    <cellStyle name="40% - 강조색2 38 2" xfId="862" xr:uid="{19CC2A58-6504-4029-B891-0740467F38C5}"/>
    <cellStyle name="40% - 강조색2 39" xfId="863" xr:uid="{6B442D63-6D9E-48DC-8D71-D0B4D32C4A98}"/>
    <cellStyle name="40% - 강조색2 39 2" xfId="864" xr:uid="{AF31DB26-5734-4F7E-9DF1-68F7F1AE3600}"/>
    <cellStyle name="40% - 강조색2 4" xfId="865" xr:uid="{6955B3B0-7974-4A8A-8734-76C7CEB021F4}"/>
    <cellStyle name="40% - 강조색2 4 2" xfId="866" xr:uid="{1806A34B-9761-40AD-9736-B3D4D58F59AD}"/>
    <cellStyle name="40% - 강조색2 40" xfId="867" xr:uid="{38A56EC7-EA19-4C87-91D5-DAEABB9B6BD9}"/>
    <cellStyle name="40% - 강조색2 40 2" xfId="868" xr:uid="{4D3AA8A4-2724-4B17-8DA5-A515C52A2152}"/>
    <cellStyle name="40% - 강조색2 41" xfId="869" xr:uid="{A29F5D44-1A81-40DB-8A56-69D3F1A836AE}"/>
    <cellStyle name="40% - 강조색2 41 2" xfId="870" xr:uid="{C47B0C2D-A811-4BA1-B3A3-E3D8010E5FE3}"/>
    <cellStyle name="40% - 강조색2 42" xfId="871" xr:uid="{C7A5E525-B6E7-46F9-9EED-5E6A06278C28}"/>
    <cellStyle name="40% - 강조색2 42 2" xfId="872" xr:uid="{37C6B5BC-E9F6-42F1-A856-179F871D9098}"/>
    <cellStyle name="40% - 강조색2 43" xfId="873" xr:uid="{FDEBB0A2-0EAA-482D-B508-C90214DC326A}"/>
    <cellStyle name="40% - 강조색2 43 2" xfId="874" xr:uid="{83C18714-9415-4B32-86B9-8AFD8178BD27}"/>
    <cellStyle name="40% - 강조색2 44" xfId="875" xr:uid="{232F4720-880D-4787-BBF8-F8DFB8A53A7F}"/>
    <cellStyle name="40% - 강조색2 45" xfId="876" xr:uid="{CA76573D-B2B1-47E1-96CE-118F1655103E}"/>
    <cellStyle name="40% - 강조색2 46" xfId="877" xr:uid="{8ED1FED6-B16E-4F7D-A86E-871FD78512A4}"/>
    <cellStyle name="40% - 강조색2 47" xfId="878" xr:uid="{F6B10573-E7B3-42B1-A174-E84A7442D9EF}"/>
    <cellStyle name="40% - 강조색2 48" xfId="879" xr:uid="{C2174DF8-A1B7-4521-A37C-4BFA000217BE}"/>
    <cellStyle name="40% - 강조색2 49" xfId="880" xr:uid="{04EF0098-9357-4D90-B5E4-6B918D11E8B7}"/>
    <cellStyle name="40% - 강조색2 5" xfId="881" xr:uid="{AF693D51-9CF6-42FC-97F4-46CAECC81A5F}"/>
    <cellStyle name="40% - 강조색2 5 2" xfId="882" xr:uid="{C01987BA-C04B-41FA-B9DC-0A69D862F6F0}"/>
    <cellStyle name="40% - 강조색2 50" xfId="883" xr:uid="{7F64C87E-695E-4EC6-8554-F22CB5A02B4B}"/>
    <cellStyle name="40% - 강조색2 51" xfId="3964" xr:uid="{0F1D5FDB-161C-4070-A6FE-DCEBEC649489}"/>
    <cellStyle name="40% - 강조색2 51 2" xfId="4077" xr:uid="{DA4B51E5-43FA-45D1-B490-8060754FCA8A}"/>
    <cellStyle name="40% - 강조색2 51 2 2" xfId="4281" xr:uid="{E1C2409A-ED2A-4801-BF54-F191B7C11CFD}"/>
    <cellStyle name="40% - 강조색2 51 2 2 2" xfId="4585" xr:uid="{F94A7076-5890-4016-83BC-A5C6F2A17778}"/>
    <cellStyle name="40% - 강조색2 51 2 3" xfId="4453" xr:uid="{D792546D-81CC-4A2B-A034-3459F818C995}"/>
    <cellStyle name="40% - 강조색2 51 3" xfId="4268" xr:uid="{83520D07-4F3B-46E5-A34C-CAE21E9D0EC2}"/>
    <cellStyle name="40% - 강조색2 51 3 2" xfId="4572" xr:uid="{4A1626DE-7626-46E2-BCBD-CD6C24BD6C1F}"/>
    <cellStyle name="40% - 강조색2 51 4" xfId="4440" xr:uid="{C27B050C-B4A6-4BB6-9C50-675503818F64}"/>
    <cellStyle name="40% - 강조색2 52" xfId="4094" xr:uid="{93C60C55-B5AF-4BCA-9532-AF90729DB74D}"/>
    <cellStyle name="40% - 강조색2 52 2" xfId="4298" xr:uid="{AAE62C57-DED7-4E79-B591-A13B7BCF7E82}"/>
    <cellStyle name="40% - 강조색2 52 2 2" xfId="4602" xr:uid="{B1098262-4D0A-48EC-8176-A1C18D869D81}"/>
    <cellStyle name="40% - 강조색2 52 3" xfId="4470" xr:uid="{55F6F933-ADD8-48C7-8F3E-BC2FA7AC44FE}"/>
    <cellStyle name="40% - 강조색2 53" xfId="4128" xr:uid="{2BE88917-AB48-46E6-BEE7-F1EB84B191EA}"/>
    <cellStyle name="40% - 강조색2 53 2" xfId="4314" xr:uid="{C534481A-881F-4B39-B781-B8F52CE6E158}"/>
    <cellStyle name="40% - 강조색2 53 2 2" xfId="4618" xr:uid="{C0CF8281-E89D-4799-B42D-311A66C671DC}"/>
    <cellStyle name="40% - 강조색2 53 3" xfId="4486" xr:uid="{A369DBD5-61FC-4943-991C-0A3D5D6F7560}"/>
    <cellStyle name="40% - 강조색2 54" xfId="4152" xr:uid="{59956087-EB22-4F0E-8DE9-6490B6D63C34}"/>
    <cellStyle name="40% - 강조색2 54 2" xfId="4328" xr:uid="{84B5979D-58DF-45D7-B4FF-1F30793F094E}"/>
    <cellStyle name="40% - 강조색2 54 2 2" xfId="4632" xr:uid="{3413BD12-3D3F-4969-918F-8DA80AF5973C}"/>
    <cellStyle name="40% - 강조색2 54 3" xfId="4500" xr:uid="{1C4F7504-F63E-40C0-A840-A928E120EB04}"/>
    <cellStyle name="40% - 강조색2 55" xfId="4166" xr:uid="{2BDF7803-5475-4B4A-86E6-4746E759F098}"/>
    <cellStyle name="40% - 강조색2 55 2" xfId="4342" xr:uid="{001695FD-5C55-4791-AFA8-04DFEC7766CB}"/>
    <cellStyle name="40% - 강조색2 55 2 2" xfId="4646" xr:uid="{E5C4D74F-8104-4D74-9D0A-6916BC8D0CE5}"/>
    <cellStyle name="40% - 강조색2 55 3" xfId="4514" xr:uid="{CECEEF35-A491-4A63-89E0-A54E8A1756FF}"/>
    <cellStyle name="40% - 강조색2 56" xfId="4180" xr:uid="{BAD802D3-76F1-4B29-9D67-97529B2EAAEA}"/>
    <cellStyle name="40% - 강조색2 56 2" xfId="4356" xr:uid="{E05E86DB-8961-4EE1-8E4A-C18BEB52C867}"/>
    <cellStyle name="40% - 강조색2 56 2 2" xfId="4660" xr:uid="{518EEABD-BC42-4CE8-A626-C02D08F60F9F}"/>
    <cellStyle name="40% - 강조색2 56 3" xfId="4528" xr:uid="{84C22040-9BF3-4A74-9319-E77E9ECB27B2}"/>
    <cellStyle name="40% - 강조색2 57" xfId="4195" xr:uid="{888EAB1E-5558-4D90-9B87-E3B3B19CFD8E}"/>
    <cellStyle name="40% - 강조색2 57 2" xfId="4370" xr:uid="{3DCE7BE0-0E72-44A2-94BD-E35EA16221F3}"/>
    <cellStyle name="40% - 강조색2 57 2 2" xfId="4674" xr:uid="{91CDA26F-E22C-48C2-8F35-D80F2A3AE310}"/>
    <cellStyle name="40% - 강조색2 57 3" xfId="4542" xr:uid="{697CCAC8-49F7-494D-BCA3-8C46AAC4C7BE}"/>
    <cellStyle name="40% - 강조색2 58" xfId="4209" xr:uid="{2E0A9C20-0EFC-47AA-BB8E-703804E07767}"/>
    <cellStyle name="40% - 강조색2 58 2" xfId="4556" xr:uid="{12836B35-D00F-413E-884F-E80B5321BCE7}"/>
    <cellStyle name="40% - 강조색2 59" xfId="4229" xr:uid="{E1426361-68E3-4ACD-A367-01A963A84143}"/>
    <cellStyle name="40% - 강조색2 6" xfId="884" xr:uid="{62F7766B-90FA-4470-8FE5-785CA462A173}"/>
    <cellStyle name="40% - 강조색2 6 2" xfId="885" xr:uid="{03811174-775E-46B0-B5A2-DC12B9828078}"/>
    <cellStyle name="40% - 강조색2 60" xfId="4401" xr:uid="{36A391E5-7335-4713-802D-E30683DE49A7}"/>
    <cellStyle name="40% - 강조색2 61" xfId="800" xr:uid="{D252CAF9-BB0D-45F6-AF94-BBF9FEE0A610}"/>
    <cellStyle name="40% - 강조색2 7" xfId="886" xr:uid="{380D58D1-9898-480D-8FA4-EBCCA7F2678A}"/>
    <cellStyle name="40% - 강조색2 7 2" xfId="887" xr:uid="{DD77DC9E-9557-4E86-A5AF-6EE7CA45333E}"/>
    <cellStyle name="40% - 강조색2 8" xfId="888" xr:uid="{02F98440-6472-4FB2-9425-ECB22643AC81}"/>
    <cellStyle name="40% - 강조색2 8 2" xfId="889" xr:uid="{18A755A0-418A-468A-B4DF-EDE318ED053B}"/>
    <cellStyle name="40% - 강조색2 9" xfId="890" xr:uid="{603A2ECE-11FA-4D3E-B75F-6CF6EE8010C6}"/>
    <cellStyle name="40% - 강조색2 9 2" xfId="891" xr:uid="{3E66AC26-F5E0-456D-BBA9-F43431431B50}"/>
    <cellStyle name="40% - 강조색3 10" xfId="893" xr:uid="{592F27F4-3BF3-4DFC-A421-283814268D56}"/>
    <cellStyle name="40% - 강조색3 10 2" xfId="894" xr:uid="{953B1228-484C-49DA-B54D-BC3000342FA6}"/>
    <cellStyle name="40% - 강조색3 11" xfId="895" xr:uid="{7DC9A590-BCC5-4844-B7EF-6D8C345326FC}"/>
    <cellStyle name="40% - 강조색3 11 2" xfId="896" xr:uid="{DADB39E5-A681-4907-B3AF-AC0041E7E7D7}"/>
    <cellStyle name="40% - 강조색3 12" xfId="897" xr:uid="{8EEC3BB6-2EA8-498C-A342-851DECFF6292}"/>
    <cellStyle name="40% - 강조색3 12 2" xfId="898" xr:uid="{CD12379B-3949-4E1D-8DBF-E4F7022D1761}"/>
    <cellStyle name="40% - 강조색3 13" xfId="899" xr:uid="{9F602F82-8DD5-47BD-AF83-4B9DB3EFCF9A}"/>
    <cellStyle name="40% - 강조색3 13 2" xfId="900" xr:uid="{961DE66F-47D8-430C-8C2B-CBB5C004484C}"/>
    <cellStyle name="40% - 강조색3 14" xfId="901" xr:uid="{C08C5016-FEED-4AAE-8B0A-DF87785CCD11}"/>
    <cellStyle name="40% - 강조색3 14 2" xfId="902" xr:uid="{6F247D28-0539-48A1-A0DB-6026ADEC8575}"/>
    <cellStyle name="40% - 강조색3 15" xfId="903" xr:uid="{A41B9F3E-F64F-4695-BEDD-531031A592C5}"/>
    <cellStyle name="40% - 강조색3 15 2" xfId="904" xr:uid="{748C5CE4-E018-48CD-B6EA-394A5A4F15EF}"/>
    <cellStyle name="40% - 강조색3 16" xfId="905" xr:uid="{110C3477-8084-42FC-A8E0-0CE424759CEE}"/>
    <cellStyle name="40% - 강조색3 16 2" xfId="906" xr:uid="{87328F0B-CA12-4590-80EF-6FFB3D0618B9}"/>
    <cellStyle name="40% - 강조색3 17" xfId="907" xr:uid="{33E0CA36-9A44-449B-890B-BD8FA54C23E1}"/>
    <cellStyle name="40% - 강조색3 17 2" xfId="908" xr:uid="{9CFF67F9-D9F1-4BE5-BB74-E1004E5C5031}"/>
    <cellStyle name="40% - 강조색3 18" xfId="909" xr:uid="{3DD1879B-1DBE-4A55-A88E-22D9265B2EB6}"/>
    <cellStyle name="40% - 강조색3 18 2" xfId="910" xr:uid="{FB947BB3-FB32-4AC1-B284-8C4465822DEE}"/>
    <cellStyle name="40% - 강조색3 19" xfId="911" xr:uid="{64426A1B-3364-422D-95FF-AF7F42D74C67}"/>
    <cellStyle name="40% - 강조색3 19 2" xfId="912" xr:uid="{0B7BEC8F-5F5C-4D76-8A17-37917B938615}"/>
    <cellStyle name="40% - 강조색3 2" xfId="913" xr:uid="{236D5F82-1743-4495-8A06-0706799107F7}"/>
    <cellStyle name="40% - 강조색3 2 2" xfId="914" xr:uid="{379AA34C-D79F-49F8-BD6E-8282F53C2721}"/>
    <cellStyle name="40% - 강조색3 20" xfId="915" xr:uid="{C9B41090-DF3B-4FD7-8B8F-8B4E2EF370BA}"/>
    <cellStyle name="40% - 강조색3 20 2" xfId="916" xr:uid="{6E2BF56A-2097-4425-A2F7-B5448197D25A}"/>
    <cellStyle name="40% - 강조색3 21" xfId="917" xr:uid="{47F99275-487F-43DD-9908-E03087AC67F5}"/>
    <cellStyle name="40% - 강조색3 21 2" xfId="918" xr:uid="{CF183E0D-2597-423C-A851-4AE5EBBAAAE8}"/>
    <cellStyle name="40% - 강조색3 22" xfId="919" xr:uid="{825BA4E8-E934-4E03-8F8E-4760D3D572DF}"/>
    <cellStyle name="40% - 강조색3 22 2" xfId="920" xr:uid="{35094752-FCCA-4760-9168-7E8DD22E6787}"/>
    <cellStyle name="40% - 강조색3 23" xfId="921" xr:uid="{7BFCE147-FCFC-4AD9-B54E-D28017277515}"/>
    <cellStyle name="40% - 강조색3 23 2" xfId="922" xr:uid="{F34198F3-D294-46F6-BEBB-FD4FB2CE3A07}"/>
    <cellStyle name="40% - 강조색3 24" xfId="923" xr:uid="{C4F7EA08-D709-4F50-BFAF-407BB8CDDD17}"/>
    <cellStyle name="40% - 강조색3 24 2" xfId="924" xr:uid="{8912E7E8-9022-42CA-9043-6297CA7B803B}"/>
    <cellStyle name="40% - 강조색3 25" xfId="925" xr:uid="{E6D3C254-A131-42A6-B3F5-C26B728FA0BC}"/>
    <cellStyle name="40% - 강조색3 25 2" xfId="926" xr:uid="{A98A98D3-2EC0-4656-B52E-F08A8CF3BC47}"/>
    <cellStyle name="40% - 강조색3 26" xfId="927" xr:uid="{FCAE10F9-AC61-46C1-BA8F-F201C214A211}"/>
    <cellStyle name="40% - 강조색3 26 2" xfId="928" xr:uid="{3DE0B40F-38CD-41D7-873E-FDB49BB9F52D}"/>
    <cellStyle name="40% - 강조색3 27" xfId="929" xr:uid="{BA26A889-F241-4C14-A85C-E83029019DF6}"/>
    <cellStyle name="40% - 강조색3 27 2" xfId="930" xr:uid="{EDC791B1-B0BF-4C8E-A3E1-DE042FAC22A6}"/>
    <cellStyle name="40% - 강조색3 28" xfId="931" xr:uid="{933B147E-CC31-4FE7-88ED-45CA4E594110}"/>
    <cellStyle name="40% - 강조색3 28 2" xfId="932" xr:uid="{26785AE4-32B3-4669-BAFB-6A84AB8851BD}"/>
    <cellStyle name="40% - 강조색3 29" xfId="933" xr:uid="{2F2B199C-8B1C-4071-8876-F0805D2313F1}"/>
    <cellStyle name="40% - 강조색3 29 2" xfId="934" xr:uid="{EE93062E-5839-4407-8C4C-E7162E017913}"/>
    <cellStyle name="40% - 강조색3 3" xfId="935" xr:uid="{03B574B5-A32E-412A-BA57-C2C483A7FD41}"/>
    <cellStyle name="40% - 강조색3 3 2" xfId="936" xr:uid="{C7F80D2C-ACA9-4477-91CB-07B117F0EF86}"/>
    <cellStyle name="40% - 강조색3 30" xfId="937" xr:uid="{1B6564FA-B130-4402-9662-217398E96370}"/>
    <cellStyle name="40% - 강조색3 30 2" xfId="938" xr:uid="{8C641F39-EBD0-4DAE-BC6E-7020C1E352D1}"/>
    <cellStyle name="40% - 강조색3 31" xfId="939" xr:uid="{F3FAE532-CCA8-4432-A1D2-89465332FDD0}"/>
    <cellStyle name="40% - 강조색3 31 2" xfId="940" xr:uid="{11CB18F2-FB33-43AB-A23D-938339EABF8D}"/>
    <cellStyle name="40% - 강조색3 32" xfId="941" xr:uid="{13F81209-669F-43B6-AD45-85B58F2BAA3C}"/>
    <cellStyle name="40% - 강조색3 32 2" xfId="942" xr:uid="{B7204862-49D1-4EB3-B78B-4DC520BD351D}"/>
    <cellStyle name="40% - 강조색3 33" xfId="943" xr:uid="{4028BA3B-7DB3-4FC6-8FB4-AF8738607E81}"/>
    <cellStyle name="40% - 강조색3 33 2" xfId="944" xr:uid="{54FCE496-484F-4E90-9873-FC179E8059D3}"/>
    <cellStyle name="40% - 강조색3 34" xfId="945" xr:uid="{8B363B8A-5D5C-486A-93A0-77E9CD29A594}"/>
    <cellStyle name="40% - 강조색3 34 2" xfId="946" xr:uid="{B53E5B6A-1B3B-4EF9-B938-DA81C5125FB6}"/>
    <cellStyle name="40% - 강조색3 35" xfId="947" xr:uid="{F9BB6F10-EA33-43A1-8DAF-FBFD1AD54F20}"/>
    <cellStyle name="40% - 강조색3 35 2" xfId="948" xr:uid="{E62E9AC6-7317-420C-9D04-5F1285C9CEB5}"/>
    <cellStyle name="40% - 강조색3 36" xfId="949" xr:uid="{F141E7A0-3C00-4A41-BFF0-677B32D3A800}"/>
    <cellStyle name="40% - 강조색3 36 2" xfId="950" xr:uid="{571F0840-CDB4-4D99-B7FA-F89A8EE65068}"/>
    <cellStyle name="40% - 강조색3 37" xfId="951" xr:uid="{1B20DAEE-1783-4F3A-901F-AF7AEAD103A5}"/>
    <cellStyle name="40% - 강조색3 37 2" xfId="952" xr:uid="{271B49B6-92EB-416C-8F21-DB678922B1C8}"/>
    <cellStyle name="40% - 강조색3 38" xfId="953" xr:uid="{688A51B8-36F4-4837-B7B9-857B0A297A91}"/>
    <cellStyle name="40% - 강조색3 38 2" xfId="954" xr:uid="{849BB2B2-C83D-4E69-9C36-587A09C2DB8D}"/>
    <cellStyle name="40% - 강조색3 39" xfId="955" xr:uid="{FC284705-9553-4A45-BA8D-66CD46082644}"/>
    <cellStyle name="40% - 강조색3 39 2" xfId="956" xr:uid="{A212AF61-E4FE-4EE1-93F4-06D88C5784B1}"/>
    <cellStyle name="40% - 강조색3 4" xfId="957" xr:uid="{B2D29E6F-B279-40CE-AEA5-CDAC200836CB}"/>
    <cellStyle name="40% - 강조색3 4 2" xfId="958" xr:uid="{2DFE5A57-F691-42F4-834D-86097FADDC0D}"/>
    <cellStyle name="40% - 강조색3 40" xfId="959" xr:uid="{3866E8F6-89E8-4CA1-8307-3C6567F20F66}"/>
    <cellStyle name="40% - 강조색3 40 2" xfId="960" xr:uid="{BD351F8A-597B-4C72-926C-9B2BA77BFF35}"/>
    <cellStyle name="40% - 강조색3 41" xfId="961" xr:uid="{66A9BF33-7EDB-4A36-BA96-FA9C47EF510C}"/>
    <cellStyle name="40% - 강조색3 41 2" xfId="962" xr:uid="{A5AAB568-4FD1-4232-91D7-CC593FA8C9F3}"/>
    <cellStyle name="40% - 강조색3 42" xfId="963" xr:uid="{16C86365-A86E-44AB-BB28-05A95902AC6E}"/>
    <cellStyle name="40% - 강조색3 42 2" xfId="964" xr:uid="{E54EFE93-8EED-48DE-A9DA-CA304BFA5E53}"/>
    <cellStyle name="40% - 강조색3 43" xfId="965" xr:uid="{ABCA0845-43BD-4496-95DE-2E493A788FC2}"/>
    <cellStyle name="40% - 강조색3 43 2" xfId="966" xr:uid="{4955D6FD-507B-43DA-8F69-2D38A28F32A5}"/>
    <cellStyle name="40% - 강조색3 44" xfId="967" xr:uid="{B895015A-A048-4207-A696-DC5DC07E8268}"/>
    <cellStyle name="40% - 강조색3 45" xfId="968" xr:uid="{73A6B417-27B8-45CA-8AB3-B71FF4A4CA1A}"/>
    <cellStyle name="40% - 강조색3 46" xfId="969" xr:uid="{249E3785-A73E-4D1F-8E00-E9450133891E}"/>
    <cellStyle name="40% - 강조색3 47" xfId="970" xr:uid="{44B3B58B-37A3-43D2-A6C4-D914A4AB8119}"/>
    <cellStyle name="40% - 강조색3 48" xfId="971" xr:uid="{8D58F0C3-D260-4B6E-BD48-F7897BBAB2F5}"/>
    <cellStyle name="40% - 강조색3 49" xfId="972" xr:uid="{183AD18A-5F5F-4484-B3E7-FD9C45120578}"/>
    <cellStyle name="40% - 강조색3 5" xfId="973" xr:uid="{5B55A1D9-9AEF-4B74-A9AF-CC3E445D8171}"/>
    <cellStyle name="40% - 강조색3 5 2" xfId="974" xr:uid="{5EFF61FE-0A49-49C2-806D-45DD4CCDD30B}"/>
    <cellStyle name="40% - 강조색3 50" xfId="975" xr:uid="{22DD0DF3-D950-4283-A30A-2BE0532CF63B}"/>
    <cellStyle name="40% - 강조색3 51" xfId="3968" xr:uid="{BA161FE8-6FE2-49C0-8DC8-5C01F8533FA1}"/>
    <cellStyle name="40% - 강조색3 51 2" xfId="4079" xr:uid="{2285B833-CF34-43FA-B85D-98A2E9E445DC}"/>
    <cellStyle name="40% - 강조색3 51 2 2" xfId="4283" xr:uid="{ECB4DF6E-75F7-4B7D-A781-26F98B2D9951}"/>
    <cellStyle name="40% - 강조색3 51 2 2 2" xfId="4587" xr:uid="{44889411-CC05-4248-87A7-52053BB6554B}"/>
    <cellStyle name="40% - 강조색3 51 2 3" xfId="4455" xr:uid="{25627BEB-6B76-4A7D-A99C-F2172A16B068}"/>
    <cellStyle name="40% - 강조색3 51 3" xfId="4270" xr:uid="{36629180-1806-4F28-AA48-F9C8E7A1CFC9}"/>
    <cellStyle name="40% - 강조색3 51 3 2" xfId="4574" xr:uid="{7F25389B-6432-4B95-9F6D-80FF03A93E0A}"/>
    <cellStyle name="40% - 강조색3 51 4" xfId="4442" xr:uid="{1CED86A2-ED81-4D34-B697-92E3868D5D2F}"/>
    <cellStyle name="40% - 강조색3 52" xfId="4096" xr:uid="{08B27BD1-3847-4364-B910-6CEEF662C438}"/>
    <cellStyle name="40% - 강조색3 52 2" xfId="4300" xr:uid="{C734197B-0FBD-4C94-A500-B2A2C1A41BD1}"/>
    <cellStyle name="40% - 강조색3 52 2 2" xfId="4604" xr:uid="{919522FC-E55E-42D3-A5F8-7EB55491ACC0}"/>
    <cellStyle name="40% - 강조색3 52 3" xfId="4472" xr:uid="{ECDEED1D-3F58-4691-A13F-3AC4A2B27E05}"/>
    <cellStyle name="40% - 강조색3 53" xfId="4132" xr:uid="{598631A2-A03A-4B46-A564-F93A6080B18A}"/>
    <cellStyle name="40% - 강조색3 53 2" xfId="4316" xr:uid="{43F9300F-18AC-443F-A6B1-6852DCAA13F2}"/>
    <cellStyle name="40% - 강조색3 53 2 2" xfId="4620" xr:uid="{A0776C89-12EF-435D-A413-0BCB910A9043}"/>
    <cellStyle name="40% - 강조색3 53 3" xfId="4488" xr:uid="{26E77CEC-A1F3-4F07-BBA6-0F63DB8F1145}"/>
    <cellStyle name="40% - 강조색3 54" xfId="4154" xr:uid="{DB3BF9BE-DBA8-45C9-9812-08B3B6557EE6}"/>
    <cellStyle name="40% - 강조색3 54 2" xfId="4330" xr:uid="{B1711902-F7ED-45FA-819D-4F78BEDA798B}"/>
    <cellStyle name="40% - 강조색3 54 2 2" xfId="4634" xr:uid="{1EC3E847-0BCF-47AA-A38C-BF2BC6B66B4D}"/>
    <cellStyle name="40% - 강조색3 54 3" xfId="4502" xr:uid="{989427D2-112C-4CF6-8360-4FF0CD83CD1D}"/>
    <cellStyle name="40% - 강조색3 55" xfId="4168" xr:uid="{EBD63C3F-06A8-4F5A-8B2D-7A9691258DF3}"/>
    <cellStyle name="40% - 강조색3 55 2" xfId="4344" xr:uid="{7C886B90-665A-46D6-9143-A06A392BAC13}"/>
    <cellStyle name="40% - 강조색3 55 2 2" xfId="4648" xr:uid="{15CA772B-06AF-4097-82E6-A5CA2EB0A2D2}"/>
    <cellStyle name="40% - 강조색3 55 3" xfId="4516" xr:uid="{EE15915F-00E9-4C23-AEBC-1C99243FC6CD}"/>
    <cellStyle name="40% - 강조색3 56" xfId="4182" xr:uid="{FAE85038-E836-4A0C-99D5-74E5B380E2E4}"/>
    <cellStyle name="40% - 강조색3 56 2" xfId="4358" xr:uid="{DD39A096-9845-450F-8D45-210C3E23C5A1}"/>
    <cellStyle name="40% - 강조색3 56 2 2" xfId="4662" xr:uid="{873B5EB0-496B-4BCF-BC8C-C9E82013D26D}"/>
    <cellStyle name="40% - 강조색3 56 3" xfId="4530" xr:uid="{EFDCF393-E693-4D52-92A5-E9FF9F93EDB4}"/>
    <cellStyle name="40% - 강조색3 57" xfId="4197" xr:uid="{7C3E0631-6D30-4C6A-8105-7CD0188E2F7B}"/>
    <cellStyle name="40% - 강조색3 57 2" xfId="4372" xr:uid="{072B0A46-7FC9-489C-B5EF-BD2B8CF8A69D}"/>
    <cellStyle name="40% - 강조색3 57 2 2" xfId="4676" xr:uid="{09D2C8EE-2C64-40F1-BE42-C0D39CBAF5D5}"/>
    <cellStyle name="40% - 강조색3 57 3" xfId="4544" xr:uid="{10FD6BEB-B51B-4ED6-AFEE-2C7627077189}"/>
    <cellStyle name="40% - 강조색3 58" xfId="4211" xr:uid="{08B4C552-B528-45F3-BE5C-90C14BFCE53B}"/>
    <cellStyle name="40% - 강조색3 58 2" xfId="4558" xr:uid="{17E028E3-38DF-47EF-B1F9-4911637B45C2}"/>
    <cellStyle name="40% - 강조색3 59" xfId="4230" xr:uid="{643962A5-3265-4A39-A6BA-53B39A8EBB89}"/>
    <cellStyle name="40% - 강조색3 6" xfId="976" xr:uid="{1A9C0F6B-A655-450E-9205-48DE0F910480}"/>
    <cellStyle name="40% - 강조색3 6 2" xfId="977" xr:uid="{C29C083E-8D91-437F-815F-09EA24EE3FA3}"/>
    <cellStyle name="40% - 강조색3 60" xfId="4402" xr:uid="{01A6A49A-4E88-44ED-A28D-AACFE6FDD86D}"/>
    <cellStyle name="40% - 강조색3 61" xfId="892" xr:uid="{12652BF2-CCD1-4628-9143-61044CE43A4E}"/>
    <cellStyle name="40% - 강조색3 7" xfId="978" xr:uid="{8D25AD39-9C8A-4275-881A-FEE39DFAEDB0}"/>
    <cellStyle name="40% - 강조색3 7 2" xfId="979" xr:uid="{FD3A62A8-267F-48D4-9A7A-3B5D20895EA0}"/>
    <cellStyle name="40% - 강조색3 8" xfId="980" xr:uid="{D652E9F4-138D-4727-B63E-297310E7F0D7}"/>
    <cellStyle name="40% - 강조색3 8 2" xfId="981" xr:uid="{4B359F23-AF95-41FD-B054-B9ED57D17D61}"/>
    <cellStyle name="40% - 강조색3 9" xfId="982" xr:uid="{6EEC46F8-F4D5-48F8-B3AB-CE08EA9952ED}"/>
    <cellStyle name="40% - 강조색3 9 2" xfId="983" xr:uid="{FE481FA7-16B4-4284-8FFD-AB43116917B9}"/>
    <cellStyle name="40% - 강조색4 10" xfId="985" xr:uid="{CE5471CF-85B3-4C6A-8E76-67F41A5A7A2D}"/>
    <cellStyle name="40% - 강조색4 10 2" xfId="986" xr:uid="{4D547628-0438-4AB0-8CD6-5A32146F0F19}"/>
    <cellStyle name="40% - 강조색4 11" xfId="987" xr:uid="{25B55D88-5658-4FA7-BBFC-AD8AAF48336E}"/>
    <cellStyle name="40% - 강조색4 11 2" xfId="988" xr:uid="{443518D2-ADD3-4A26-A3F1-8C14A765FA0D}"/>
    <cellStyle name="40% - 강조색4 12" xfId="989" xr:uid="{A3931D09-E522-4BE0-A464-03A23EB90FA6}"/>
    <cellStyle name="40% - 강조색4 12 2" xfId="990" xr:uid="{1C0C806B-39F0-438A-AC54-A329C0D534A4}"/>
    <cellStyle name="40% - 강조색4 13" xfId="991" xr:uid="{8ED7ABD5-0829-4C69-AB1D-3015B1034A1A}"/>
    <cellStyle name="40% - 강조색4 13 2" xfId="992" xr:uid="{EFAB3CF2-519E-4629-AFB8-376EB22BF322}"/>
    <cellStyle name="40% - 강조색4 14" xfId="993" xr:uid="{0523487A-8951-44E3-BF53-D5A6EC1F05D1}"/>
    <cellStyle name="40% - 강조색4 14 2" xfId="994" xr:uid="{B82850A1-0FAB-4EE0-BF31-4B0CA3350995}"/>
    <cellStyle name="40% - 강조색4 15" xfId="995" xr:uid="{791A8F55-E2E9-4AFA-BB67-AB9D91D682E2}"/>
    <cellStyle name="40% - 강조색4 15 2" xfId="996" xr:uid="{80357825-7343-45F4-807C-E92D7B79C26A}"/>
    <cellStyle name="40% - 강조색4 16" xfId="997" xr:uid="{57686F4A-4930-4103-9234-1621FD4FB6EE}"/>
    <cellStyle name="40% - 강조색4 16 2" xfId="998" xr:uid="{619F665F-2A06-4356-B4C2-CC97B1710436}"/>
    <cellStyle name="40% - 강조색4 17" xfId="999" xr:uid="{5F5DC4DD-5E5C-4624-85CC-250296B48C85}"/>
    <cellStyle name="40% - 강조색4 17 2" xfId="1000" xr:uid="{A79A2AF2-B494-411C-ACC3-C453445187AF}"/>
    <cellStyle name="40% - 강조색4 18" xfId="1001" xr:uid="{36AE3A6E-A4AF-44FE-86C4-B9DEB4CEB0F4}"/>
    <cellStyle name="40% - 강조색4 18 2" xfId="1002" xr:uid="{AFC1224A-EF23-4DE4-994D-5AD8B1723BA2}"/>
    <cellStyle name="40% - 강조색4 19" xfId="1003" xr:uid="{F25F98EF-30F6-4465-BDB3-F5682077587A}"/>
    <cellStyle name="40% - 강조색4 19 2" xfId="1004" xr:uid="{BEDAD48F-F037-4EE5-9AAF-8A4C061FDE63}"/>
    <cellStyle name="40% - 강조색4 2" xfId="1005" xr:uid="{8E1E901F-A8DD-4077-9133-31BB3E2F22D2}"/>
    <cellStyle name="40% - 강조색4 2 2" xfId="1006" xr:uid="{7B8D3224-DD31-48FE-8E11-50F07597151E}"/>
    <cellStyle name="40% - 강조색4 20" xfId="1007" xr:uid="{CA28C928-0477-40F9-81BF-1250D1803D8B}"/>
    <cellStyle name="40% - 강조색4 20 2" xfId="1008" xr:uid="{F1821EB2-884A-40B5-80CD-CE644534EE74}"/>
    <cellStyle name="40% - 강조색4 21" xfId="1009" xr:uid="{1EAC12E2-4E87-4D54-984E-04DC48897DE5}"/>
    <cellStyle name="40% - 강조색4 21 2" xfId="1010" xr:uid="{6535263D-1EFB-4316-9914-BB3324513550}"/>
    <cellStyle name="40% - 강조색4 22" xfId="1011" xr:uid="{09161A0D-C973-4611-8E99-11C094EE9728}"/>
    <cellStyle name="40% - 강조색4 22 2" xfId="1012" xr:uid="{554B79F6-1C41-435E-A524-221C314C9098}"/>
    <cellStyle name="40% - 강조색4 23" xfId="1013" xr:uid="{4FA29AF6-0EEE-47EB-9580-31E7FFFA7C88}"/>
    <cellStyle name="40% - 강조색4 23 2" xfId="1014" xr:uid="{7A817E09-097F-4184-BE95-73361D686185}"/>
    <cellStyle name="40% - 강조색4 24" xfId="1015" xr:uid="{2B08DFDB-CDC5-4ABB-A745-C89631FB951C}"/>
    <cellStyle name="40% - 강조색4 24 2" xfId="1016" xr:uid="{F4094F58-D871-48C5-85CC-91733B15A19F}"/>
    <cellStyle name="40% - 강조색4 25" xfId="1017" xr:uid="{AB07C7BA-915D-459F-A494-45A2762141AC}"/>
    <cellStyle name="40% - 강조색4 25 2" xfId="1018" xr:uid="{D0B7E30B-AF9F-4721-A9D7-B02ABDF89133}"/>
    <cellStyle name="40% - 강조색4 26" xfId="1019" xr:uid="{A0E9F112-57DD-463B-8F18-5F8979C3F565}"/>
    <cellStyle name="40% - 강조색4 26 2" xfId="1020" xr:uid="{9A3243CF-3CA3-4888-9462-F9BD15D6B7AA}"/>
    <cellStyle name="40% - 강조색4 27" xfId="1021" xr:uid="{E2C17487-EE3D-45D3-BE17-5E1EA8CCA1EA}"/>
    <cellStyle name="40% - 강조색4 27 2" xfId="1022" xr:uid="{A2605487-B808-4745-8839-7ECBD32B20A2}"/>
    <cellStyle name="40% - 강조색4 28" xfId="1023" xr:uid="{4E187467-03F5-472E-BE5C-08917742D5CF}"/>
    <cellStyle name="40% - 강조색4 28 2" xfId="1024" xr:uid="{67438843-3746-4001-B744-BE92BC0BBA41}"/>
    <cellStyle name="40% - 강조색4 29" xfId="1025" xr:uid="{C5E0F638-E25F-48D5-A34D-D9345BFABEE3}"/>
    <cellStyle name="40% - 강조색4 29 2" xfId="1026" xr:uid="{F6AB1136-CEFD-4362-AC62-D7E698093B4C}"/>
    <cellStyle name="40% - 강조색4 3" xfId="1027" xr:uid="{8117CBB2-5189-481A-B7AF-B6ACBE94129C}"/>
    <cellStyle name="40% - 강조색4 3 2" xfId="1028" xr:uid="{E8E1C8B1-B334-41A6-B488-6C55010E6600}"/>
    <cellStyle name="40% - 강조색4 30" xfId="1029" xr:uid="{55B817F5-A513-4039-8ECB-813255D3129D}"/>
    <cellStyle name="40% - 강조색4 30 2" xfId="1030" xr:uid="{ED17E203-4A39-4AD5-8862-DA0047E47BDD}"/>
    <cellStyle name="40% - 강조색4 31" xfId="1031" xr:uid="{06E9F922-CFD3-4236-AB88-169D0D40CD7C}"/>
    <cellStyle name="40% - 강조색4 31 2" xfId="1032" xr:uid="{55FAFF93-2543-4172-BDD5-EC67984A9CEE}"/>
    <cellStyle name="40% - 강조색4 32" xfId="1033" xr:uid="{3863B9BB-A44F-41ED-9239-1D162EE51C7C}"/>
    <cellStyle name="40% - 강조색4 32 2" xfId="1034" xr:uid="{FFBEED14-D98A-4921-B61E-E187519E9986}"/>
    <cellStyle name="40% - 강조색4 33" xfId="1035" xr:uid="{50E2CB99-62D1-4254-92F2-FEBE9F19A167}"/>
    <cellStyle name="40% - 강조색4 33 2" xfId="1036" xr:uid="{B815A48A-2997-49B2-80C5-26C2EB91D77B}"/>
    <cellStyle name="40% - 강조색4 34" xfId="1037" xr:uid="{8E4563E3-A3AD-4B02-AA10-648BC18BFF5A}"/>
    <cellStyle name="40% - 강조색4 34 2" xfId="1038" xr:uid="{71FB62C2-A73B-4F16-B04F-9F09DEC8FA0A}"/>
    <cellStyle name="40% - 강조색4 35" xfId="1039" xr:uid="{E135F6F1-BF90-485A-BD1F-7F2AFF8B8497}"/>
    <cellStyle name="40% - 강조색4 35 2" xfId="1040" xr:uid="{133CBCA8-3D3E-45E3-AD5C-E1DA9546B826}"/>
    <cellStyle name="40% - 강조색4 36" xfId="1041" xr:uid="{FC03EB85-0525-4D7B-990B-B076B71CA10C}"/>
    <cellStyle name="40% - 강조색4 36 2" xfId="1042" xr:uid="{DEDCA525-1589-4DCD-A2E7-08CFEAE62E64}"/>
    <cellStyle name="40% - 강조색4 37" xfId="1043" xr:uid="{52E41875-FE55-44B0-B0B1-7A09A0A5D08A}"/>
    <cellStyle name="40% - 강조색4 37 2" xfId="1044" xr:uid="{3B29AD3D-B946-4413-BB6F-789BB43B3498}"/>
    <cellStyle name="40% - 강조색4 38" xfId="1045" xr:uid="{D8ED693A-441D-4198-88E8-9A68EB18B64D}"/>
    <cellStyle name="40% - 강조색4 38 2" xfId="1046" xr:uid="{4058346C-22C6-47A0-97D4-53B9D0FDE945}"/>
    <cellStyle name="40% - 강조색4 39" xfId="1047" xr:uid="{82030B57-8B1E-4426-8104-DB93F2839F30}"/>
    <cellStyle name="40% - 강조색4 39 2" xfId="1048" xr:uid="{91935610-6ECA-48B5-8021-9208DE82A4EB}"/>
    <cellStyle name="40% - 강조색4 4" xfId="1049" xr:uid="{B234757F-39A5-4873-AA6B-B978B91C526B}"/>
    <cellStyle name="40% - 강조색4 4 2" xfId="1050" xr:uid="{72A98EF2-C1ED-4FB6-8372-EB2444647DDE}"/>
    <cellStyle name="40% - 강조색4 40" xfId="1051" xr:uid="{35056109-FBB4-42D6-8607-A42D744719BE}"/>
    <cellStyle name="40% - 강조색4 40 2" xfId="1052" xr:uid="{76034E77-FD4D-4C87-9CBC-883A6AE6F5C8}"/>
    <cellStyle name="40% - 강조색4 41" xfId="1053" xr:uid="{AF578BF3-4B9A-44DA-B159-4C980DBAE0D3}"/>
    <cellStyle name="40% - 강조색4 41 2" xfId="1054" xr:uid="{71AD5467-2771-4F0A-A404-866F22972F36}"/>
    <cellStyle name="40% - 강조색4 42" xfId="1055" xr:uid="{35ECBABA-D951-48DA-B4A4-64A3C01FFC61}"/>
    <cellStyle name="40% - 강조색4 42 2" xfId="1056" xr:uid="{2A47C953-861E-43C6-A63E-B011E8D49225}"/>
    <cellStyle name="40% - 강조색4 43" xfId="1057" xr:uid="{3483FE89-9B82-424B-8856-63BFF52E2979}"/>
    <cellStyle name="40% - 강조색4 43 2" xfId="1058" xr:uid="{4335B1A9-4C47-425D-8B05-F3E6B797A260}"/>
    <cellStyle name="40% - 강조색4 44" xfId="1059" xr:uid="{C2436735-5193-425B-994D-2967BA745CB5}"/>
    <cellStyle name="40% - 강조색4 45" xfId="1060" xr:uid="{36697694-661C-4677-A08C-7D7F3D575EDF}"/>
    <cellStyle name="40% - 강조색4 46" xfId="1061" xr:uid="{D2D4AE07-8FFE-4DA4-A852-C4D679D3A1AC}"/>
    <cellStyle name="40% - 강조색4 47" xfId="1062" xr:uid="{A0B2E6BD-CB88-4BCF-AD41-1A33B485E3CF}"/>
    <cellStyle name="40% - 강조색4 48" xfId="1063" xr:uid="{6D46652A-45B2-4E1B-98D9-A5FAD6F8E3A1}"/>
    <cellStyle name="40% - 강조색4 49" xfId="1064" xr:uid="{DECE8EB4-BAED-4AAA-8E75-70FB006B931A}"/>
    <cellStyle name="40% - 강조색4 5" xfId="1065" xr:uid="{75D0C539-B173-4A24-A922-48E510A4F172}"/>
    <cellStyle name="40% - 강조색4 5 2" xfId="1066" xr:uid="{4D09A2E5-5AC6-4999-9F01-2D16D4136B78}"/>
    <cellStyle name="40% - 강조색4 50" xfId="1067" xr:uid="{A8973952-282A-4CFE-A6A4-1262398686DA}"/>
    <cellStyle name="40% - 강조색4 51" xfId="3972" xr:uid="{4040B005-469D-4CD0-BC9D-9B13F5F25A51}"/>
    <cellStyle name="40% - 강조색4 51 2" xfId="4081" xr:uid="{034B62AF-005F-4935-B207-13197AE8E1AD}"/>
    <cellStyle name="40% - 강조색4 51 2 2" xfId="4285" xr:uid="{14C22528-8155-455D-A2AF-26829A4FBE38}"/>
    <cellStyle name="40% - 강조색4 51 2 2 2" xfId="4589" xr:uid="{6CAFF927-2F98-4D01-9254-A441979754D5}"/>
    <cellStyle name="40% - 강조색4 51 2 3" xfId="4457" xr:uid="{A4B4110D-7EF4-476B-BC84-26771A266133}"/>
    <cellStyle name="40% - 강조색4 51 3" xfId="4272" xr:uid="{6831BA67-DB93-47E3-9D11-730D03209B81}"/>
    <cellStyle name="40% - 강조색4 51 3 2" xfId="4576" xr:uid="{ACB1D861-9826-4510-8D9E-1BFCA787F8A4}"/>
    <cellStyle name="40% - 강조색4 51 4" xfId="4444" xr:uid="{CCE165CC-D29B-45F5-9B64-DB567C65827D}"/>
    <cellStyle name="40% - 강조색4 52" xfId="4098" xr:uid="{2EADE6C2-910B-40DB-88FC-1FE2742F66DA}"/>
    <cellStyle name="40% - 강조색4 52 2" xfId="4302" xr:uid="{B70D7ECE-149A-4836-8080-E965255AF321}"/>
    <cellStyle name="40% - 강조색4 52 2 2" xfId="4606" xr:uid="{4C9B13AA-6022-415F-AD2C-1F994B6073A1}"/>
    <cellStyle name="40% - 강조색4 52 3" xfId="4474" xr:uid="{1A441B0C-1445-4F66-AB12-D86968ECA80F}"/>
    <cellStyle name="40% - 강조색4 53" xfId="4136" xr:uid="{7AFA7CA6-F3B4-42D8-AED2-716CE7B489C6}"/>
    <cellStyle name="40% - 강조색4 53 2" xfId="4318" xr:uid="{64AD570F-D3C3-402C-8FA3-57D53D2AD1D0}"/>
    <cellStyle name="40% - 강조색4 53 2 2" xfId="4622" xr:uid="{340D104F-BEF8-4404-83F0-7CAAFDDCA24B}"/>
    <cellStyle name="40% - 강조색4 53 3" xfId="4490" xr:uid="{A06375E1-2B3A-443D-A7AC-0085E167C547}"/>
    <cellStyle name="40% - 강조색4 54" xfId="4156" xr:uid="{3B628CFE-A195-49CF-8903-FCEE801DB646}"/>
    <cellStyle name="40% - 강조색4 54 2" xfId="4332" xr:uid="{558C43B2-2250-4F3C-9A1E-778DA1B1A0CF}"/>
    <cellStyle name="40% - 강조색4 54 2 2" xfId="4636" xr:uid="{708FE151-F9FA-4094-8FDB-0991742FECBD}"/>
    <cellStyle name="40% - 강조색4 54 3" xfId="4504" xr:uid="{60E15579-1E4C-48F1-901E-671C018FC6AB}"/>
    <cellStyle name="40% - 강조색4 55" xfId="4170" xr:uid="{EE91A63A-9881-4668-BB38-7AD1491BD4E6}"/>
    <cellStyle name="40% - 강조색4 55 2" xfId="4346" xr:uid="{042103B4-0180-4F75-BFCE-70837445F749}"/>
    <cellStyle name="40% - 강조색4 55 2 2" xfId="4650" xr:uid="{FBA6ABFE-A80A-4A51-A435-4093F071019B}"/>
    <cellStyle name="40% - 강조색4 55 3" xfId="4518" xr:uid="{C028CB66-728E-418A-987B-03DF1A973F5C}"/>
    <cellStyle name="40% - 강조색4 56" xfId="4184" xr:uid="{51C71FBE-BE4E-4B3E-95C3-A8DD5C94A3E9}"/>
    <cellStyle name="40% - 강조색4 56 2" xfId="4360" xr:uid="{4810698B-8E91-4C09-84F6-DDFE5CC9B358}"/>
    <cellStyle name="40% - 강조색4 56 2 2" xfId="4664" xr:uid="{E306DB49-ECFE-4E65-9DCF-33359066D750}"/>
    <cellStyle name="40% - 강조색4 56 3" xfId="4532" xr:uid="{F14CD445-AD08-45C7-85F2-FD46158AB005}"/>
    <cellStyle name="40% - 강조색4 57" xfId="4199" xr:uid="{E8737B41-C843-4D04-B228-2771B8CFAA1B}"/>
    <cellStyle name="40% - 강조색4 57 2" xfId="4374" xr:uid="{A46EF8D3-095A-4419-B22B-B1DF906ABE76}"/>
    <cellStyle name="40% - 강조색4 57 2 2" xfId="4678" xr:uid="{3161137B-0CC6-40C2-ADEE-64BD6051DAB8}"/>
    <cellStyle name="40% - 강조색4 57 3" xfId="4546" xr:uid="{D5F875AE-736D-4B17-A039-DE8A9DE57E66}"/>
    <cellStyle name="40% - 강조색4 58" xfId="4213" xr:uid="{7A26D10F-2814-4B15-928A-8D2225B5158E}"/>
    <cellStyle name="40% - 강조색4 58 2" xfId="4560" xr:uid="{E8ECBB12-8422-4528-84ED-493CE1243469}"/>
    <cellStyle name="40% - 강조색4 59" xfId="4231" xr:uid="{FD5163BC-16AF-4154-8573-7F92FC646A95}"/>
    <cellStyle name="40% - 강조색4 6" xfId="1068" xr:uid="{6BB4AC84-E6B1-44C1-9854-0ECF997E307C}"/>
    <cellStyle name="40% - 강조색4 6 2" xfId="1069" xr:uid="{F73C15A9-E986-40D6-8A58-21E36002E854}"/>
    <cellStyle name="40% - 강조색4 60" xfId="4403" xr:uid="{9BDC7087-7551-4096-AD27-FCE0A6707CCB}"/>
    <cellStyle name="40% - 강조색4 61" xfId="984" xr:uid="{A1EA3B9A-73B2-4132-BF23-C401D2F2B6AF}"/>
    <cellStyle name="40% - 강조색4 7" xfId="1070" xr:uid="{25B3334B-CD58-484A-87A9-1ED675C76AB1}"/>
    <cellStyle name="40% - 강조색4 7 2" xfId="1071" xr:uid="{BC2AC02E-3429-4DD8-A094-1AC150238990}"/>
    <cellStyle name="40% - 강조색4 8" xfId="1072" xr:uid="{C7E9FBEE-CFFA-4F4F-947B-687E9EB1D42C}"/>
    <cellStyle name="40% - 강조색4 8 2" xfId="1073" xr:uid="{CF5E891D-5A39-43A7-8A4A-BBF7F419EE8F}"/>
    <cellStyle name="40% - 강조색4 9" xfId="1074" xr:uid="{858F5589-84B7-457C-9200-C268628F58D8}"/>
    <cellStyle name="40% - 강조색4 9 2" xfId="1075" xr:uid="{710E85E9-DC04-434B-B8BE-449D9C055091}"/>
    <cellStyle name="40% - 강조색5 10" xfId="1077" xr:uid="{C3311E90-0A95-4705-BCBD-6E54A98C407B}"/>
    <cellStyle name="40% - 강조색5 10 2" xfId="1078" xr:uid="{9E1DF564-9116-428F-9E79-E8664C27DEF0}"/>
    <cellStyle name="40% - 강조색5 11" xfId="1079" xr:uid="{C2C71F98-8E23-46A1-BB16-9AC5CBCDFBC1}"/>
    <cellStyle name="40% - 강조색5 11 2" xfId="1080" xr:uid="{81FAEB01-3EA7-46A4-BBD9-62359B3E6986}"/>
    <cellStyle name="40% - 강조색5 12" xfId="1081" xr:uid="{76A7F9A0-D2AC-4C1B-8568-A4527ADF205A}"/>
    <cellStyle name="40% - 강조색5 12 2" xfId="1082" xr:uid="{2D08487E-E002-44C1-A918-2C00A0116A5C}"/>
    <cellStyle name="40% - 강조색5 13" xfId="1083" xr:uid="{3D5D4843-227F-40AE-8EA7-234CAFC5D3E5}"/>
    <cellStyle name="40% - 강조색5 13 2" xfId="1084" xr:uid="{3635D78E-E3A5-421D-AB9D-A52A823E6241}"/>
    <cellStyle name="40% - 강조색5 14" xfId="1085" xr:uid="{DD3B4EAB-4CFA-4327-85E0-97D745C13BB1}"/>
    <cellStyle name="40% - 강조색5 14 2" xfId="1086" xr:uid="{77FED5DE-E72A-4019-8684-64A677427157}"/>
    <cellStyle name="40% - 강조색5 15" xfId="1087" xr:uid="{C9647D46-B63A-406E-A94F-2FDDE47ACFE9}"/>
    <cellStyle name="40% - 강조색5 15 2" xfId="1088" xr:uid="{29828A67-DA33-409D-9739-2EA693CD66DD}"/>
    <cellStyle name="40% - 강조색5 16" xfId="1089" xr:uid="{F8864FFA-3CFF-476E-9AB9-BB96DEADBE0E}"/>
    <cellStyle name="40% - 강조색5 16 2" xfId="1090" xr:uid="{99C1E615-E63B-4CC7-8BB8-D685D7D5CCBC}"/>
    <cellStyle name="40% - 강조색5 17" xfId="1091" xr:uid="{8123C8D9-BE43-455B-A8EB-EBB84AB812E0}"/>
    <cellStyle name="40% - 강조색5 17 2" xfId="1092" xr:uid="{1FF85DFF-3150-4381-BD15-442CA1950CA2}"/>
    <cellStyle name="40% - 강조색5 18" xfId="1093" xr:uid="{8F24AA5F-D206-47F2-8553-F43F0F185177}"/>
    <cellStyle name="40% - 강조색5 18 2" xfId="1094" xr:uid="{21BA1DAE-D8AC-4A92-A960-73E1F5B04AA9}"/>
    <cellStyle name="40% - 강조색5 19" xfId="1095" xr:uid="{6EBDC44B-F963-4468-86B1-BDE9B0106150}"/>
    <cellStyle name="40% - 강조색5 19 2" xfId="1096" xr:uid="{3F007E54-B2B1-471D-9CDA-EF9BFED6406E}"/>
    <cellStyle name="40% - 강조색5 2" xfId="1097" xr:uid="{DF01CA7F-9BC5-4D4F-B291-15E8317144EE}"/>
    <cellStyle name="40% - 강조색5 2 2" xfId="1098" xr:uid="{D3BD0BB0-D352-4502-B1DB-C1218E5C4156}"/>
    <cellStyle name="40% - 강조색5 20" xfId="1099" xr:uid="{28587B48-DCA1-4F35-BE6D-FCC947D49B0B}"/>
    <cellStyle name="40% - 강조색5 20 2" xfId="1100" xr:uid="{8AF330B2-4C49-472F-BE7A-E4D6B80CA042}"/>
    <cellStyle name="40% - 강조색5 21" xfId="1101" xr:uid="{503B0124-5AAF-48F1-A1A9-6095317A2115}"/>
    <cellStyle name="40% - 강조색5 21 2" xfId="1102" xr:uid="{F781D2E2-C40E-45DC-9F4A-1A3DCCABAD56}"/>
    <cellStyle name="40% - 강조색5 22" xfId="1103" xr:uid="{3EFF49F2-BB1A-4CCA-A6AD-F8AA600ADBE4}"/>
    <cellStyle name="40% - 강조색5 22 2" xfId="1104" xr:uid="{F5639F19-AF66-471F-A2C9-3082781F50DF}"/>
    <cellStyle name="40% - 강조색5 23" xfId="1105" xr:uid="{93319309-1FA0-47CC-AC66-2302549C50F0}"/>
    <cellStyle name="40% - 강조색5 23 2" xfId="1106" xr:uid="{7637EC9B-BC74-4652-826F-03810952D64F}"/>
    <cellStyle name="40% - 강조색5 24" xfId="1107" xr:uid="{B856DDC0-10BF-4A73-B34B-7E45FE21CE3E}"/>
    <cellStyle name="40% - 강조색5 24 2" xfId="1108" xr:uid="{B860CB24-7222-450A-91CD-34C559161B1F}"/>
    <cellStyle name="40% - 강조색5 25" xfId="1109" xr:uid="{E90C6A48-A64B-4F17-8907-E707C57D4CE5}"/>
    <cellStyle name="40% - 강조색5 25 2" xfId="1110" xr:uid="{FE11C204-E27D-4B86-BEDD-D944CA5D1C1A}"/>
    <cellStyle name="40% - 강조색5 26" xfId="1111" xr:uid="{95EBD6D2-789D-4298-B641-703408561BBE}"/>
    <cellStyle name="40% - 강조색5 26 2" xfId="1112" xr:uid="{0746CDDD-058D-4D6C-8A2A-A136E986DAE1}"/>
    <cellStyle name="40% - 강조색5 27" xfId="1113" xr:uid="{518A2772-5FA3-4317-8904-67DC3991DEDB}"/>
    <cellStyle name="40% - 강조색5 27 2" xfId="1114" xr:uid="{20E851BA-CD21-484F-AF72-F396AEBAAB7B}"/>
    <cellStyle name="40% - 강조색5 28" xfId="1115" xr:uid="{53EE1E13-CE96-46EA-8E03-558F19695A5E}"/>
    <cellStyle name="40% - 강조색5 28 2" xfId="1116" xr:uid="{5C046189-0D91-42F9-9B6A-0708D24FF267}"/>
    <cellStyle name="40% - 강조색5 29" xfId="1117" xr:uid="{B33EE747-BED7-4D55-8B3A-18D539BF404F}"/>
    <cellStyle name="40% - 강조색5 29 2" xfId="1118" xr:uid="{C7F9FF7E-BC72-4F8F-84CE-FEEC6CA38332}"/>
    <cellStyle name="40% - 강조색5 3" xfId="1119" xr:uid="{D4F91203-D0FB-4852-B3C1-3448BFAD2CDC}"/>
    <cellStyle name="40% - 강조색5 3 2" xfId="1120" xr:uid="{C2B7F8C3-343B-483B-B917-77150E59F291}"/>
    <cellStyle name="40% - 강조색5 30" xfId="1121" xr:uid="{0E037E4C-01C6-4E66-8990-571E8C0668E0}"/>
    <cellStyle name="40% - 강조색5 30 2" xfId="1122" xr:uid="{8628451A-F1A0-40AF-9962-41CB08D43484}"/>
    <cellStyle name="40% - 강조색5 31" xfId="1123" xr:uid="{CCBD4073-1A72-41C2-AC7B-1141FCB1247C}"/>
    <cellStyle name="40% - 강조색5 31 2" xfId="1124" xr:uid="{EAC7D103-3FA8-4929-A29F-0B85244F52D8}"/>
    <cellStyle name="40% - 강조색5 32" xfId="1125" xr:uid="{F143AACD-FE10-44EA-9062-2DFC13BD4753}"/>
    <cellStyle name="40% - 강조색5 32 2" xfId="1126" xr:uid="{1C3E9943-F081-43D7-858C-7A3A5736DD46}"/>
    <cellStyle name="40% - 강조색5 33" xfId="1127" xr:uid="{7AB70E24-28BD-4DB6-BC42-F44DD56B9A6F}"/>
    <cellStyle name="40% - 강조색5 33 2" xfId="1128" xr:uid="{1389A657-3DE3-4E74-8D01-840E48EA0ADD}"/>
    <cellStyle name="40% - 강조색5 34" xfId="1129" xr:uid="{D9184287-7382-483C-960A-7EA88A482BF2}"/>
    <cellStyle name="40% - 강조색5 34 2" xfId="1130" xr:uid="{53B724C9-0AB2-4769-A4E9-3A589FCF763B}"/>
    <cellStyle name="40% - 강조색5 35" xfId="1131" xr:uid="{671212FD-8E8E-443F-AFD3-F682C44864F1}"/>
    <cellStyle name="40% - 강조색5 35 2" xfId="1132" xr:uid="{954C40C0-B327-4040-93FD-C4527880FE56}"/>
    <cellStyle name="40% - 강조색5 36" xfId="1133" xr:uid="{784A33D3-B93B-4D45-BEB6-549DFC58A09E}"/>
    <cellStyle name="40% - 강조색5 36 2" xfId="1134" xr:uid="{F950B390-8134-4293-A231-94F2E14EFAE5}"/>
    <cellStyle name="40% - 강조색5 37" xfId="1135" xr:uid="{79A24FDA-A654-4299-970D-20901D32A418}"/>
    <cellStyle name="40% - 강조색5 37 2" xfId="1136" xr:uid="{78DD5132-84AA-40A1-B099-443EC5FFBE3B}"/>
    <cellStyle name="40% - 강조색5 38" xfId="1137" xr:uid="{1DEF0912-8E1B-47E8-A4FD-3655B094FC76}"/>
    <cellStyle name="40% - 강조색5 38 2" xfId="1138" xr:uid="{E2BE43AF-251D-433C-9324-AF9E0616F483}"/>
    <cellStyle name="40% - 강조색5 39" xfId="1139" xr:uid="{0E11EB9B-8B64-4D90-8756-2357F37D6838}"/>
    <cellStyle name="40% - 강조색5 39 2" xfId="1140" xr:uid="{B1AB2FD7-2136-4B0A-BBB0-24135B4C3268}"/>
    <cellStyle name="40% - 강조색5 4" xfId="1141" xr:uid="{7DF2BF07-D371-46C6-9642-572219143C9F}"/>
    <cellStyle name="40% - 강조색5 4 2" xfId="1142" xr:uid="{6C1ADF1E-6719-40B2-90E0-827430957A5D}"/>
    <cellStyle name="40% - 강조색5 40" xfId="1143" xr:uid="{0A5EEE75-759F-4E87-A496-A1A8174E6409}"/>
    <cellStyle name="40% - 강조색5 40 2" xfId="1144" xr:uid="{F6210B7C-F550-42F4-9506-065F93ED353D}"/>
    <cellStyle name="40% - 강조색5 41" xfId="1145" xr:uid="{BF872586-D3BD-4BA0-B3DA-47A0A9B5F0CA}"/>
    <cellStyle name="40% - 강조색5 41 2" xfId="1146" xr:uid="{CF62363E-B727-4A8C-A599-425B96BC8828}"/>
    <cellStyle name="40% - 강조색5 42" xfId="1147" xr:uid="{F77F0A6F-A63B-465E-993B-1AB54EB4ECDF}"/>
    <cellStyle name="40% - 강조색5 42 2" xfId="1148" xr:uid="{47AE4DB1-71AA-41F7-9E0E-CF23F78658B2}"/>
    <cellStyle name="40% - 강조색5 43" xfId="1149" xr:uid="{B8EFB9DB-132A-43FE-80F8-927D45A90BC7}"/>
    <cellStyle name="40% - 강조색5 43 2" xfId="1150" xr:uid="{829E211F-201B-4D86-9A24-A35B64F93FA7}"/>
    <cellStyle name="40% - 강조색5 44" xfId="1151" xr:uid="{D0F80D2A-A90D-4AE2-B874-30347268D564}"/>
    <cellStyle name="40% - 강조색5 45" xfId="1152" xr:uid="{DD6818CC-BC45-49C5-8AEF-83AA7E41AC7B}"/>
    <cellStyle name="40% - 강조색5 46" xfId="1153" xr:uid="{969DF3F3-AE85-42CF-B4AA-BEAF3FB77FAD}"/>
    <cellStyle name="40% - 강조색5 47" xfId="1154" xr:uid="{CCCC40F5-2E71-4DE3-8065-7212D4D14A8E}"/>
    <cellStyle name="40% - 강조색5 48" xfId="1155" xr:uid="{65CDE8D9-89D4-4B90-A9A6-A01762EABE53}"/>
    <cellStyle name="40% - 강조색5 49" xfId="1156" xr:uid="{95970DEE-3321-4400-AEFA-6836017DB0AC}"/>
    <cellStyle name="40% - 강조색5 5" xfId="1157" xr:uid="{3DE00A60-7BD4-4118-B769-82EEBE3ACF06}"/>
    <cellStyle name="40% - 강조색5 5 2" xfId="1158" xr:uid="{6775D12C-90C3-4314-92E6-1624F3E3CB33}"/>
    <cellStyle name="40% - 강조색5 50" xfId="1159" xr:uid="{C028F410-40EE-499C-A68E-7B9DC1159DD1}"/>
    <cellStyle name="40% - 강조색5 51" xfId="3976" xr:uid="{0C1E96CC-2008-4656-85B2-4CA7A3C392AD}"/>
    <cellStyle name="40% - 강조색5 51 2" xfId="4083" xr:uid="{1FE47F99-7362-4B39-86AB-2049B3391C40}"/>
    <cellStyle name="40% - 강조색5 51 2 2" xfId="4287" xr:uid="{7C7AE88B-9D4A-465A-A877-4B99D76CA0A7}"/>
    <cellStyle name="40% - 강조색5 51 2 2 2" xfId="4591" xr:uid="{9683DF89-36DC-444C-826A-6641586A2B2B}"/>
    <cellStyle name="40% - 강조색5 51 2 3" xfId="4459" xr:uid="{F729A660-22BE-4B7B-B356-59CAE689E465}"/>
    <cellStyle name="40% - 강조색5 51 3" xfId="4274" xr:uid="{F4AE6D23-054D-447D-8E8C-CEA234C28D13}"/>
    <cellStyle name="40% - 강조색5 51 3 2" xfId="4578" xr:uid="{3409B778-921D-40E5-BCA9-EABA5C8C7A84}"/>
    <cellStyle name="40% - 강조색5 51 4" xfId="4446" xr:uid="{10EB00D5-BD9E-4C11-87AB-9E045FC3048A}"/>
    <cellStyle name="40% - 강조색5 52" xfId="4100" xr:uid="{B718FEEF-D784-43BC-B795-2DCD2F943BFC}"/>
    <cellStyle name="40% - 강조색5 52 2" xfId="4304" xr:uid="{0591F6C2-D902-4640-A0DF-5DD291FE865B}"/>
    <cellStyle name="40% - 강조색5 52 2 2" xfId="4608" xr:uid="{E444A858-04A3-4EE9-A866-C8D51F4337BF}"/>
    <cellStyle name="40% - 강조색5 52 3" xfId="4476" xr:uid="{6852C44D-3FF8-4158-92A2-C62C5DD14E86}"/>
    <cellStyle name="40% - 강조색5 53" xfId="4140" xr:uid="{6D986BF8-E581-43B0-93C4-ED045F1721D7}"/>
    <cellStyle name="40% - 강조색5 53 2" xfId="4320" xr:uid="{1154D66B-E354-45AE-931D-B85CC86B6829}"/>
    <cellStyle name="40% - 강조색5 53 2 2" xfId="4624" xr:uid="{7AF5AC71-CEC8-47FF-8FDE-75E971CA7160}"/>
    <cellStyle name="40% - 강조색5 53 3" xfId="4492" xr:uid="{BC540DC7-12E8-44EE-BC49-D134C1A6FA76}"/>
    <cellStyle name="40% - 강조색5 54" xfId="4158" xr:uid="{477F5C2A-C462-4962-86D9-1D3C64A46F97}"/>
    <cellStyle name="40% - 강조색5 54 2" xfId="4334" xr:uid="{355C100F-D513-4324-84AC-F1DCB6681729}"/>
    <cellStyle name="40% - 강조색5 54 2 2" xfId="4638" xr:uid="{A88FB0C7-17D4-4782-8C4B-ED661842633F}"/>
    <cellStyle name="40% - 강조색5 54 3" xfId="4506" xr:uid="{3F4EEF5B-9EF6-4109-BD76-A1BA4BDB8744}"/>
    <cellStyle name="40% - 강조색5 55" xfId="4172" xr:uid="{320E23D0-FB13-49CD-A58C-A948504B4543}"/>
    <cellStyle name="40% - 강조색5 55 2" xfId="4348" xr:uid="{D9C117F6-FEED-4E9A-A932-A137A37178D9}"/>
    <cellStyle name="40% - 강조색5 55 2 2" xfId="4652" xr:uid="{ECF27B03-36D3-4A8C-B898-1D55B30709BC}"/>
    <cellStyle name="40% - 강조색5 55 3" xfId="4520" xr:uid="{9C97A405-E34E-4B09-81E0-AAF0DB1EE66A}"/>
    <cellStyle name="40% - 강조색5 56" xfId="4186" xr:uid="{DDAB3798-3FFF-4E1C-9318-C9909429AACC}"/>
    <cellStyle name="40% - 강조색5 56 2" xfId="4362" xr:uid="{A21AAC89-8676-490D-97DB-4C66961ED7AA}"/>
    <cellStyle name="40% - 강조색5 56 2 2" xfId="4666" xr:uid="{D3BB4A3E-B4FE-4D94-BD25-7B4906E3CF16}"/>
    <cellStyle name="40% - 강조색5 56 3" xfId="4534" xr:uid="{8A02B499-8706-4C2B-8A2B-0FAF27F25FD1}"/>
    <cellStyle name="40% - 강조색5 57" xfId="4201" xr:uid="{0A97DAD6-F678-459F-8237-B00621F3307C}"/>
    <cellStyle name="40% - 강조색5 57 2" xfId="4376" xr:uid="{C2D4F87A-CD45-4EF9-ACC5-1208D59D5280}"/>
    <cellStyle name="40% - 강조색5 57 2 2" xfId="4680" xr:uid="{5BAA41C5-DE0F-4B02-9FBC-476D755CA4AC}"/>
    <cellStyle name="40% - 강조색5 57 3" xfId="4548" xr:uid="{DC056D48-7577-4433-96B8-9435EC596CE5}"/>
    <cellStyle name="40% - 강조색5 58" xfId="4215" xr:uid="{BBD08F95-6F84-4803-9B7B-A7C07C54520D}"/>
    <cellStyle name="40% - 강조색5 58 2" xfId="4562" xr:uid="{735B1821-0745-4B7A-836B-2F95788F7AA7}"/>
    <cellStyle name="40% - 강조색5 59" xfId="4232" xr:uid="{DBD5F6D7-6C5B-4A0A-AA23-2C4587E80827}"/>
    <cellStyle name="40% - 강조색5 6" xfId="1160" xr:uid="{4C4021AA-8382-4338-81DD-1F0F8584E8C4}"/>
    <cellStyle name="40% - 강조색5 6 2" xfId="1161" xr:uid="{4D9B7B12-CAF9-4C13-8F67-155B4B069B22}"/>
    <cellStyle name="40% - 강조색5 60" xfId="4404" xr:uid="{2FC7B273-0B71-4609-A3AC-9A821560C7F3}"/>
    <cellStyle name="40% - 강조색5 61" xfId="1076" xr:uid="{742FF3CA-1921-4B7C-82DC-76609F1FA889}"/>
    <cellStyle name="40% - 강조색5 7" xfId="1162" xr:uid="{39AAF6C2-1FF2-459F-BF6D-FCE3A81CA5AE}"/>
    <cellStyle name="40% - 강조색5 7 2" xfId="1163" xr:uid="{D64068F3-ECD4-45FE-A2F4-B44BECD39AD9}"/>
    <cellStyle name="40% - 강조색5 8" xfId="1164" xr:uid="{FBCE58C1-D7E6-44A7-914A-A87E75AEB711}"/>
    <cellStyle name="40% - 강조색5 8 2" xfId="1165" xr:uid="{D4678143-131E-456C-B3B4-39024674C99B}"/>
    <cellStyle name="40% - 강조색5 9" xfId="1166" xr:uid="{AA145D8D-A56B-40DA-8B5B-16D1C004B2C6}"/>
    <cellStyle name="40% - 강조색5 9 2" xfId="1167" xr:uid="{C8295C41-F1FB-42D8-8034-B4D22C8913ED}"/>
    <cellStyle name="40% - 강조색6 10" xfId="1169" xr:uid="{05A97FBC-0CEC-44F7-B07C-AF0AE4D22FA3}"/>
    <cellStyle name="40% - 강조색6 10 2" xfId="1170" xr:uid="{4D2C5018-F574-4C87-8253-22C038D007B2}"/>
    <cellStyle name="40% - 강조색6 11" xfId="1171" xr:uid="{21DC5F92-6DA2-470E-8C41-BE536E034C7A}"/>
    <cellStyle name="40% - 강조색6 11 2" xfId="1172" xr:uid="{D255965F-E7FE-4A54-96D5-936F00F6C4CB}"/>
    <cellStyle name="40% - 강조색6 12" xfId="1173" xr:uid="{0B55CF03-E7A1-4B3A-8D52-2ADEA4BFE1F4}"/>
    <cellStyle name="40% - 강조색6 12 2" xfId="1174" xr:uid="{2862E20A-EB94-4A84-A9CA-E7B8067F65C3}"/>
    <cellStyle name="40% - 강조색6 13" xfId="1175" xr:uid="{DA9F995D-496A-4BA4-A997-8AA34A13D377}"/>
    <cellStyle name="40% - 강조색6 13 2" xfId="1176" xr:uid="{095F30A6-33E7-46A8-814C-CD050AF54459}"/>
    <cellStyle name="40% - 강조색6 14" xfId="1177" xr:uid="{834DD273-B8D1-43E2-8435-FD50FC0D1589}"/>
    <cellStyle name="40% - 강조색6 14 2" xfId="1178" xr:uid="{1F2098EF-8B69-465C-B39E-C894ECB751F0}"/>
    <cellStyle name="40% - 강조색6 15" xfId="1179" xr:uid="{F1FDC30C-4EF0-4FB1-B43E-FF0BA4EDD0EB}"/>
    <cellStyle name="40% - 강조색6 15 2" xfId="1180" xr:uid="{2A7AF4BC-DDBF-4789-832F-37A979FC5626}"/>
    <cellStyle name="40% - 강조색6 16" xfId="1181" xr:uid="{EF07D359-BA73-4027-A8BA-A2AA18EAE8B0}"/>
    <cellStyle name="40% - 강조색6 16 2" xfId="1182" xr:uid="{B01F865F-00A2-4EF5-B48F-D3CE982564E6}"/>
    <cellStyle name="40% - 강조색6 17" xfId="1183" xr:uid="{6C04C403-AFB2-47E3-BF74-993964E5CB5F}"/>
    <cellStyle name="40% - 강조색6 17 2" xfId="1184" xr:uid="{C598450E-F2F9-4080-946C-4EE78B3F67D7}"/>
    <cellStyle name="40% - 강조색6 18" xfId="1185" xr:uid="{AE3A0426-C585-4EE7-A82B-4CF24E792129}"/>
    <cellStyle name="40% - 강조색6 18 2" xfId="1186" xr:uid="{42681AAE-6D29-42A0-BCEB-7ECC8AD3CA2D}"/>
    <cellStyle name="40% - 강조색6 19" xfId="1187" xr:uid="{757CB50A-B85B-407F-947D-84D7166B32F9}"/>
    <cellStyle name="40% - 강조색6 19 2" xfId="1188" xr:uid="{B02A8E8D-22B0-4839-932C-186F7F5A30B0}"/>
    <cellStyle name="40% - 강조색6 2" xfId="1189" xr:uid="{B4C180A6-FD04-453A-9749-0FFEAA9130F1}"/>
    <cellStyle name="40% - 강조색6 2 2" xfId="1190" xr:uid="{4DD33490-FDD9-4B5D-A943-EEAB61F0624B}"/>
    <cellStyle name="40% - 강조색6 20" xfId="1191" xr:uid="{D470362D-DED3-4018-AF96-85697EAC58CF}"/>
    <cellStyle name="40% - 강조색6 20 2" xfId="1192" xr:uid="{072A8D33-746E-40CE-9B1F-8744D0487AE3}"/>
    <cellStyle name="40% - 강조색6 21" xfId="1193" xr:uid="{D617BF9D-236F-48B7-B663-2D9FE3F736A4}"/>
    <cellStyle name="40% - 강조색6 21 2" xfId="1194" xr:uid="{6E797219-E451-4B06-AADF-718A53D7372B}"/>
    <cellStyle name="40% - 강조색6 22" xfId="1195" xr:uid="{E6A58B0E-2519-4E91-8D7E-9C0C74FC0278}"/>
    <cellStyle name="40% - 강조색6 22 2" xfId="1196" xr:uid="{806CAAF7-A8D1-4811-ADAE-A5CEDF0E85DD}"/>
    <cellStyle name="40% - 강조색6 23" xfId="1197" xr:uid="{5FA6B4D9-05E4-4688-8ED4-32FD06C818AA}"/>
    <cellStyle name="40% - 강조색6 23 2" xfId="1198" xr:uid="{A0C7F055-BE9B-4C77-8E59-E445B00FE042}"/>
    <cellStyle name="40% - 강조색6 24" xfId="1199" xr:uid="{725D4A25-DF39-4CA0-B57E-CA5E8416DE5E}"/>
    <cellStyle name="40% - 강조색6 24 2" xfId="1200" xr:uid="{923D2A8C-F5C7-4735-9E9E-BEB3AADF301B}"/>
    <cellStyle name="40% - 강조색6 25" xfId="1201" xr:uid="{4B4F27C2-8C77-40D8-AE8D-42F31CD354EF}"/>
    <cellStyle name="40% - 강조색6 25 2" xfId="1202" xr:uid="{D7D959B3-5705-4F42-96A9-52E50E11B724}"/>
    <cellStyle name="40% - 강조색6 26" xfId="1203" xr:uid="{B1506CF4-F3EE-4FFE-8FEF-4940981F250A}"/>
    <cellStyle name="40% - 강조색6 26 2" xfId="1204" xr:uid="{CEE2F5F2-ABA9-46EA-8ED8-F874503A373C}"/>
    <cellStyle name="40% - 강조색6 27" xfId="1205" xr:uid="{20D9EDC6-8FD6-403F-B674-24799952E10F}"/>
    <cellStyle name="40% - 강조색6 27 2" xfId="1206" xr:uid="{6B7B4BA2-E6FE-40C1-A258-775ADE362E47}"/>
    <cellStyle name="40% - 강조색6 28" xfId="1207" xr:uid="{74F05D07-2A1B-4329-ACFE-1D9270FB3DFC}"/>
    <cellStyle name="40% - 강조색6 28 2" xfId="1208" xr:uid="{E9777EB3-6143-4B40-901F-83E519A8996C}"/>
    <cellStyle name="40% - 강조색6 29" xfId="1209" xr:uid="{28428FBF-6858-447B-B7F5-5AF905E9F79D}"/>
    <cellStyle name="40% - 강조색6 29 2" xfId="1210" xr:uid="{88F5EFA8-3D37-48FB-A35E-86F56E1438FC}"/>
    <cellStyle name="40% - 강조색6 3" xfId="1211" xr:uid="{3E19D7F8-0DAD-4464-B99C-1163FD927EF3}"/>
    <cellStyle name="40% - 강조색6 3 2" xfId="1212" xr:uid="{72A38106-59B7-449C-B658-FB7B81935528}"/>
    <cellStyle name="40% - 강조색6 30" xfId="1213" xr:uid="{A1E76DC3-C209-411E-9E9F-0FBC3CCBF26C}"/>
    <cellStyle name="40% - 강조색6 30 2" xfId="1214" xr:uid="{397BAA62-A86D-41B4-B424-B29F6119F80E}"/>
    <cellStyle name="40% - 강조색6 31" xfId="1215" xr:uid="{F890D9FE-C8EF-40CD-92CD-4EC7AA5C98FC}"/>
    <cellStyle name="40% - 강조색6 31 2" xfId="1216" xr:uid="{F0C1C7BD-694D-42A2-887F-0DF8EE578504}"/>
    <cellStyle name="40% - 강조색6 32" xfId="1217" xr:uid="{49998E2E-7CF3-4A91-A68D-3DE5A3C5FCA5}"/>
    <cellStyle name="40% - 강조색6 32 2" xfId="1218" xr:uid="{F8032328-89A2-4B24-9179-97184BB5C7CE}"/>
    <cellStyle name="40% - 강조색6 33" xfId="1219" xr:uid="{F962510F-7941-4544-BA96-0629D49669D7}"/>
    <cellStyle name="40% - 강조색6 33 2" xfId="1220" xr:uid="{7E52C58B-205A-44E5-8359-000416911DFE}"/>
    <cellStyle name="40% - 강조색6 34" xfId="1221" xr:uid="{43AABA89-6247-43E8-8D52-7030010CA442}"/>
    <cellStyle name="40% - 강조색6 34 2" xfId="1222" xr:uid="{30F7BED3-BCD0-49FE-ADFF-0F88E6BA157A}"/>
    <cellStyle name="40% - 강조색6 35" xfId="1223" xr:uid="{6AEF7421-F819-4933-877A-20FB06A57C9D}"/>
    <cellStyle name="40% - 강조색6 35 2" xfId="1224" xr:uid="{71213ED9-A2EC-4B0F-B491-4A125EDF39EE}"/>
    <cellStyle name="40% - 강조색6 36" xfId="1225" xr:uid="{A089F9FB-F58E-40C2-94FF-5F9B2D431623}"/>
    <cellStyle name="40% - 강조색6 36 2" xfId="1226" xr:uid="{BF34A198-22CB-4CDB-9580-6A7855F642DC}"/>
    <cellStyle name="40% - 강조색6 37" xfId="1227" xr:uid="{F5AEF5F0-A40A-4329-88EC-FD74DF9C7447}"/>
    <cellStyle name="40% - 강조색6 37 2" xfId="1228" xr:uid="{556493B2-C498-4475-A60D-829B1CD97BD6}"/>
    <cellStyle name="40% - 강조색6 38" xfId="1229" xr:uid="{453023FE-5958-4CD5-9A54-0559DA7C1282}"/>
    <cellStyle name="40% - 강조색6 38 2" xfId="1230" xr:uid="{BC5872E6-927E-4B96-BF23-DCE63618178B}"/>
    <cellStyle name="40% - 강조색6 39" xfId="1231" xr:uid="{EA146DCF-FE49-4A0C-AC60-67E670FFA4C4}"/>
    <cellStyle name="40% - 강조색6 39 2" xfId="1232" xr:uid="{0921E191-D888-48AA-A5A9-DBA21BE85DC0}"/>
    <cellStyle name="40% - 강조색6 4" xfId="1233" xr:uid="{74BA8315-EDB2-4AFD-8426-21F00CB54775}"/>
    <cellStyle name="40% - 강조색6 4 2" xfId="1234" xr:uid="{EA9F57A1-65BF-4A68-969F-63686150960A}"/>
    <cellStyle name="40% - 강조색6 40" xfId="1235" xr:uid="{35C9F721-6D2E-4605-8A1A-DE86D63FAAFA}"/>
    <cellStyle name="40% - 강조색6 40 2" xfId="1236" xr:uid="{5B246A48-1E49-4D06-9A00-13E8A806993A}"/>
    <cellStyle name="40% - 강조색6 41" xfId="1237" xr:uid="{BB101F13-D1D6-42CE-A456-AE00DF0C3903}"/>
    <cellStyle name="40% - 강조색6 41 2" xfId="1238" xr:uid="{10B14FDF-96E0-4F42-A237-E549862A7EB0}"/>
    <cellStyle name="40% - 강조색6 42" xfId="1239" xr:uid="{F235B470-7444-4497-8555-B1C50DBEB92C}"/>
    <cellStyle name="40% - 강조색6 42 2" xfId="1240" xr:uid="{2866FB46-2610-44F5-BFF9-41EDA152A3EA}"/>
    <cellStyle name="40% - 강조색6 43" xfId="1241" xr:uid="{77CACEE5-4C65-4B11-A0DA-5E1695617D6C}"/>
    <cellStyle name="40% - 강조색6 43 2" xfId="1242" xr:uid="{70D9C067-0A49-4EA9-99A8-D79445B6FB1A}"/>
    <cellStyle name="40% - 강조색6 44" xfId="1243" xr:uid="{02895DE1-B8F5-4F64-BB24-DBA18C3ED2B2}"/>
    <cellStyle name="40% - 강조색6 45" xfId="1244" xr:uid="{11D5582D-B7BC-43F2-A030-F237BCD8F329}"/>
    <cellStyle name="40% - 강조색6 46" xfId="1245" xr:uid="{AEEEA453-5913-4665-B909-844210069849}"/>
    <cellStyle name="40% - 강조색6 47" xfId="1246" xr:uid="{121A808C-15F2-4D51-8F4F-B786D9092F0D}"/>
    <cellStyle name="40% - 강조색6 48" xfId="1247" xr:uid="{F312A94D-6483-45D3-A715-E2763AC83E26}"/>
    <cellStyle name="40% - 강조색6 49" xfId="1248" xr:uid="{8DE372EF-37EB-4E65-97A5-5F264ABBF1A7}"/>
    <cellStyle name="40% - 강조색6 5" xfId="1249" xr:uid="{9369924A-E5DF-471F-8132-0779AAE5A274}"/>
    <cellStyle name="40% - 강조색6 5 2" xfId="1250" xr:uid="{41C8EAAC-7991-4C30-B0C9-619031A9A9A1}"/>
    <cellStyle name="40% - 강조색6 50" xfId="1251" xr:uid="{010DF451-70C4-4DDB-9909-2F1AF0D3FC6F}"/>
    <cellStyle name="40% - 강조색6 51" xfId="3980" xr:uid="{C65423DD-C380-43E0-84A5-E0CBD4A2DDE1}"/>
    <cellStyle name="40% - 강조색6 51 2" xfId="4085" xr:uid="{356FF5AD-F5D9-41E9-9BAA-7F470D1C4072}"/>
    <cellStyle name="40% - 강조색6 51 2 2" xfId="4289" xr:uid="{BC60CA40-0EB7-4B24-81DA-D4EC4AD9A53E}"/>
    <cellStyle name="40% - 강조색6 51 2 2 2" xfId="4593" xr:uid="{3F3C6939-ED11-48B1-8941-FB16157284E7}"/>
    <cellStyle name="40% - 강조색6 51 2 3" xfId="4461" xr:uid="{6654D570-2C81-4AD2-9EC4-24F04FBF899C}"/>
    <cellStyle name="40% - 강조색6 51 3" xfId="4276" xr:uid="{D588DB30-18A0-4997-B3D2-5E644ABFF5CD}"/>
    <cellStyle name="40% - 강조색6 51 3 2" xfId="4580" xr:uid="{1E7535C9-E3C1-4F48-B8B0-E9426D4E2D5F}"/>
    <cellStyle name="40% - 강조색6 51 4" xfId="4448" xr:uid="{EB816A21-80DB-4D1A-9D2B-4B792AC5B835}"/>
    <cellStyle name="40% - 강조색6 52" xfId="4102" xr:uid="{2DD0D3FD-B70A-4CE2-98BD-A0B332D93A83}"/>
    <cellStyle name="40% - 강조색6 52 2" xfId="4306" xr:uid="{0E756FDA-C18E-455D-926B-68916CBC64F2}"/>
    <cellStyle name="40% - 강조색6 52 2 2" xfId="4610" xr:uid="{476E5298-1C5A-4098-BF1C-423EC263F334}"/>
    <cellStyle name="40% - 강조색6 52 3" xfId="4478" xr:uid="{6C510ED2-FB91-4BF6-A69E-9487FE14DAA1}"/>
    <cellStyle name="40% - 강조색6 53" xfId="4144" xr:uid="{2E6B567D-2962-4C90-94DD-B463D5D3F80D}"/>
    <cellStyle name="40% - 강조색6 53 2" xfId="4322" xr:uid="{12FC1DBD-4BB9-423D-9540-D6B025072D6C}"/>
    <cellStyle name="40% - 강조색6 53 2 2" xfId="4626" xr:uid="{9097AF4E-7BD0-480F-B555-EC5332F26D11}"/>
    <cellStyle name="40% - 강조색6 53 3" xfId="4494" xr:uid="{A342C37E-AE28-4C84-B249-4FFA6A5FD67F}"/>
    <cellStyle name="40% - 강조색6 54" xfId="4160" xr:uid="{CAB9AD83-2C61-402B-844B-B9951507F7FE}"/>
    <cellStyle name="40% - 강조색6 54 2" xfId="4336" xr:uid="{B807C2A1-3B80-43D9-B709-48745B9AF0D9}"/>
    <cellStyle name="40% - 강조색6 54 2 2" xfId="4640" xr:uid="{28EA279C-5F1B-499D-9BE1-D1BBD9D51F30}"/>
    <cellStyle name="40% - 강조색6 54 3" xfId="4508" xr:uid="{3AE4183A-77C3-4180-BCED-D837668530B5}"/>
    <cellStyle name="40% - 강조색6 55" xfId="4174" xr:uid="{00942ACA-F1CA-42AB-A5D4-BBEEB09B6446}"/>
    <cellStyle name="40% - 강조색6 55 2" xfId="4350" xr:uid="{84A158DC-3C40-4029-B3E6-1597D3A8EA22}"/>
    <cellStyle name="40% - 강조색6 55 2 2" xfId="4654" xr:uid="{CFBF5F5A-C2A0-4EF1-B9DB-EED119494654}"/>
    <cellStyle name="40% - 강조색6 55 3" xfId="4522" xr:uid="{751B8BD8-EF4E-4F17-9FE7-FF7D3C997740}"/>
    <cellStyle name="40% - 강조색6 56" xfId="4188" xr:uid="{090C5EC5-AA67-4BDD-AA89-9081905F1673}"/>
    <cellStyle name="40% - 강조색6 56 2" xfId="4364" xr:uid="{A2BCE47C-2ECF-413B-8026-839E0DAB68B4}"/>
    <cellStyle name="40% - 강조색6 56 2 2" xfId="4668" xr:uid="{4E02E7D8-C8C9-4B29-9CDB-6E0D2CC33525}"/>
    <cellStyle name="40% - 강조색6 56 3" xfId="4536" xr:uid="{70CC56F8-A69B-4A5D-A915-D85599671C4F}"/>
    <cellStyle name="40% - 강조색6 57" xfId="4203" xr:uid="{7C6D0C45-391E-41EE-8DE2-47DA81A7CC82}"/>
    <cellStyle name="40% - 강조색6 57 2" xfId="4378" xr:uid="{2E60631C-E73F-46C1-9F9B-E63D190A8879}"/>
    <cellStyle name="40% - 강조색6 57 2 2" xfId="4682" xr:uid="{1F54F9F4-4873-43FB-A4B8-DE53E53F99EF}"/>
    <cellStyle name="40% - 강조색6 57 3" xfId="4550" xr:uid="{FE823ADD-1ADA-4506-80CC-A99C71346C67}"/>
    <cellStyle name="40% - 강조색6 58" xfId="4217" xr:uid="{D02E344C-AB6E-440F-B221-05BA654C3CDC}"/>
    <cellStyle name="40% - 강조색6 58 2" xfId="4564" xr:uid="{6C4419F3-4AD3-42AB-A561-39FE1AF2F7EC}"/>
    <cellStyle name="40% - 강조색6 59" xfId="4233" xr:uid="{4D169E74-AB52-4DCD-9D0E-0DD8C8DBA17A}"/>
    <cellStyle name="40% - 강조색6 6" xfId="1252" xr:uid="{1D3C46C7-E321-4687-8E03-7638E29D11A6}"/>
    <cellStyle name="40% - 강조색6 6 2" xfId="1253" xr:uid="{83283715-1914-44DF-A49A-43BDDFE2CA22}"/>
    <cellStyle name="40% - 강조색6 60" xfId="4405" xr:uid="{58FAEA0E-1053-4F77-800D-5FCA6E2BBAE0}"/>
    <cellStyle name="40% - 강조색6 61" xfId="1168" xr:uid="{53CE3BFF-4FA3-4086-AA99-BED3D450CA92}"/>
    <cellStyle name="40% - 강조색6 7" xfId="1254" xr:uid="{F7EE2591-0630-420B-BB23-DEC8667F69E9}"/>
    <cellStyle name="40% - 강조색6 7 2" xfId="1255" xr:uid="{35084981-886A-4891-B702-FD2A20BB58A4}"/>
    <cellStyle name="40% - 강조색6 8" xfId="1256" xr:uid="{88FE7A50-E7C4-4636-AE08-B526FFF421A3}"/>
    <cellStyle name="40% - 강조색6 8 2" xfId="1257" xr:uid="{18E69B3C-5B1B-4F65-8805-7B5ED8952E9B}"/>
    <cellStyle name="40% - 강조색6 9" xfId="1258" xr:uid="{D292F1CF-A92C-43F0-B46D-E56A83DBB871}"/>
    <cellStyle name="40% - 강조색6 9 2" xfId="1259" xr:uid="{55680A99-CE0C-4BAB-BCBC-B592D40C5DCB}"/>
    <cellStyle name="60% - Accent1 2" xfId="16" xr:uid="{00000000-0005-0000-0000-00000C000000}"/>
    <cellStyle name="60% - Accent2 2" xfId="17" xr:uid="{00000000-0005-0000-0000-00000D000000}"/>
    <cellStyle name="60% - Accent3 2" xfId="18" xr:uid="{00000000-0005-0000-0000-00000E000000}"/>
    <cellStyle name="60% - Accent4 2" xfId="19" xr:uid="{00000000-0005-0000-0000-00000F000000}"/>
    <cellStyle name="60% - Accent5 2" xfId="20" xr:uid="{00000000-0005-0000-0000-000010000000}"/>
    <cellStyle name="60% - Accent6 2" xfId="21" xr:uid="{00000000-0005-0000-0000-000011000000}"/>
    <cellStyle name="60% - 강조색1 10" xfId="1261" xr:uid="{50615802-F507-47C3-B0E2-AD9E977B488C}"/>
    <cellStyle name="60% - 강조색1 10 2" xfId="1262" xr:uid="{9F44D313-6009-4DCA-9BF6-0C12ABFBAEEE}"/>
    <cellStyle name="60% - 강조색1 11" xfId="1263" xr:uid="{43649E35-8AAD-461A-9704-D93060C9C4FD}"/>
    <cellStyle name="60% - 강조색1 11 2" xfId="1264" xr:uid="{F67D4D79-AF27-4A72-AACD-781B60298AF7}"/>
    <cellStyle name="60% - 강조색1 12" xfId="1265" xr:uid="{B4EFAE35-EAAC-4455-9036-92E2242CBA79}"/>
    <cellStyle name="60% - 강조색1 12 2" xfId="1266" xr:uid="{73451B7C-0F7B-40BD-BBD3-86A72C7E6B8E}"/>
    <cellStyle name="60% - 강조색1 13" xfId="1267" xr:uid="{884736E2-5AA0-4E8B-A169-43B6E496873E}"/>
    <cellStyle name="60% - 강조색1 13 2" xfId="1268" xr:uid="{EB910089-FF09-4FD3-8354-16B05498666A}"/>
    <cellStyle name="60% - 강조색1 14" xfId="1269" xr:uid="{852E626D-1D5A-48B3-ABFD-A3966E997DE2}"/>
    <cellStyle name="60% - 강조색1 14 2" xfId="1270" xr:uid="{E806F9E1-72ED-4BF4-946D-A41CDCFD03E6}"/>
    <cellStyle name="60% - 강조색1 15" xfId="1271" xr:uid="{FD00E319-AE26-460D-8317-21686C4AD075}"/>
    <cellStyle name="60% - 강조색1 15 2" xfId="1272" xr:uid="{98387883-B944-40DE-9981-95DCA9DF1F4A}"/>
    <cellStyle name="60% - 강조색1 16" xfId="1273" xr:uid="{040E844D-87F5-49C8-8FE4-C4D376A2A975}"/>
    <cellStyle name="60% - 강조색1 16 2" xfId="1274" xr:uid="{8B796180-FC3A-472D-8DE0-3F32DB382274}"/>
    <cellStyle name="60% - 강조색1 17" xfId="1275" xr:uid="{B4089B39-0361-4217-A6E5-D3625EE19244}"/>
    <cellStyle name="60% - 강조색1 17 2" xfId="1276" xr:uid="{C61E94A4-F711-4559-B23B-B41DD67000EC}"/>
    <cellStyle name="60% - 강조색1 18" xfId="1277" xr:uid="{858A5C5B-071B-4210-B519-FDE8C8DF6E64}"/>
    <cellStyle name="60% - 강조색1 18 2" xfId="1278" xr:uid="{846DBBED-48E2-47E5-81F7-5F9EE208E0BA}"/>
    <cellStyle name="60% - 강조색1 19" xfId="1279" xr:uid="{8F4C8229-AD8D-4B8D-9B5F-953E0DF2A656}"/>
    <cellStyle name="60% - 강조색1 19 2" xfId="1280" xr:uid="{AD90EFCC-A46B-4116-AE10-7BBAF00AE21F}"/>
    <cellStyle name="60% - 강조색1 2" xfId="1281" xr:uid="{C977DD0E-EC7F-46DE-9D26-B8B624F90351}"/>
    <cellStyle name="60% - 강조색1 2 2" xfId="1282" xr:uid="{CE074C39-AB3A-4C2F-818A-3379EAD42CBA}"/>
    <cellStyle name="60% - 강조색1 20" xfId="1283" xr:uid="{9E3B626D-A8FD-4BAC-BAC4-08FF366975F7}"/>
    <cellStyle name="60% - 강조색1 20 2" xfId="1284" xr:uid="{A813CE8E-104D-48F7-9415-86758894637D}"/>
    <cellStyle name="60% - 강조색1 21" xfId="1285" xr:uid="{D3113FA6-C6A9-47F5-8D1F-231C6D1B135F}"/>
    <cellStyle name="60% - 강조색1 21 2" xfId="1286" xr:uid="{48C8D324-B74B-4EC4-BD41-D5C1B441ADC0}"/>
    <cellStyle name="60% - 강조색1 22" xfId="1287" xr:uid="{7BDBA88E-0EF3-416F-A840-872884A417C8}"/>
    <cellStyle name="60% - 강조색1 22 2" xfId="1288" xr:uid="{4879A528-2A0D-471A-9F28-FCA3C721EE7D}"/>
    <cellStyle name="60% - 강조색1 23" xfId="1289" xr:uid="{B75606A5-7D4F-4712-BCD8-65A474C39FF2}"/>
    <cellStyle name="60% - 강조색1 23 2" xfId="1290" xr:uid="{53588367-5F1B-4DE2-A107-A133E1CB0367}"/>
    <cellStyle name="60% - 강조색1 24" xfId="1291" xr:uid="{4EA7CA48-1B27-4960-81B0-CA6887901784}"/>
    <cellStyle name="60% - 강조색1 24 2" xfId="1292" xr:uid="{CAEA0A9D-70DB-4CA0-A2C5-D5ED56B59CDB}"/>
    <cellStyle name="60% - 강조색1 25" xfId="1293" xr:uid="{1586A2A3-889A-4411-9923-BD7432A28722}"/>
    <cellStyle name="60% - 강조색1 25 2" xfId="1294" xr:uid="{7DF3DCF9-B129-42DF-BCD1-B0B5D099B576}"/>
    <cellStyle name="60% - 강조색1 26" xfId="1295" xr:uid="{AB0D1527-15B2-4D0A-98CD-3CF6FE965521}"/>
    <cellStyle name="60% - 강조색1 26 2" xfId="1296" xr:uid="{B07A9F57-09C0-464B-A311-19EA986B6F59}"/>
    <cellStyle name="60% - 강조색1 27" xfId="1297" xr:uid="{3A8BF297-6CBF-41D2-9DDC-97150514B696}"/>
    <cellStyle name="60% - 강조색1 27 2" xfId="1298" xr:uid="{4118009D-36A9-435A-B716-F6E74C4A6977}"/>
    <cellStyle name="60% - 강조색1 28" xfId="1299" xr:uid="{A18932B7-D4E5-44DA-A7E7-96E0A72ED1D1}"/>
    <cellStyle name="60% - 강조색1 28 2" xfId="1300" xr:uid="{D2E9548E-29B0-450F-8A5C-A47C921CD90F}"/>
    <cellStyle name="60% - 강조색1 29" xfId="1301" xr:uid="{4BB4EBF8-C8FE-465A-8FCF-A58336741025}"/>
    <cellStyle name="60% - 강조색1 29 2" xfId="1302" xr:uid="{C136596C-B54C-44EB-BC10-955A3BA78593}"/>
    <cellStyle name="60% - 강조색1 3" xfId="1303" xr:uid="{D59E7060-71E7-49FA-856A-E6BCC03C55D3}"/>
    <cellStyle name="60% - 강조색1 3 2" xfId="1304" xr:uid="{AFEC2CA2-5E4A-42A8-9F47-12F2327DEF2F}"/>
    <cellStyle name="60% - 강조색1 30" xfId="1305" xr:uid="{AE0D91C7-265B-48EB-8A4C-3E3A8E4C1613}"/>
    <cellStyle name="60% - 강조색1 30 2" xfId="1306" xr:uid="{6CDA7F5B-E904-4DFA-80F7-7C6241AE41E8}"/>
    <cellStyle name="60% - 강조색1 31" xfId="1307" xr:uid="{64A1FB20-4F42-4FDF-A9B1-18D8F764D03A}"/>
    <cellStyle name="60% - 강조색1 31 2" xfId="1308" xr:uid="{AA952EFC-A85A-456B-AAF1-DDFD50D27CAC}"/>
    <cellStyle name="60% - 강조색1 32" xfId="1309" xr:uid="{A2703079-565B-4ACE-B276-F1DCFDDEC599}"/>
    <cellStyle name="60% - 강조색1 32 2" xfId="1310" xr:uid="{2099B8B7-9924-40C0-B099-11105650C890}"/>
    <cellStyle name="60% - 강조색1 33" xfId="1311" xr:uid="{A73F5622-E6F8-4C1D-ADE8-767CF905F04C}"/>
    <cellStyle name="60% - 강조색1 33 2" xfId="1312" xr:uid="{6B7CF5A5-90B9-4388-AF5C-0AB59F369667}"/>
    <cellStyle name="60% - 강조색1 34" xfId="1313" xr:uid="{132F26F1-39BF-4579-860D-BE20E970DBBB}"/>
    <cellStyle name="60% - 강조색1 34 2" xfId="1314" xr:uid="{33DF2C71-CAFB-485C-A0D8-E418C10E3DFD}"/>
    <cellStyle name="60% - 강조색1 35" xfId="1315" xr:uid="{F785FFEC-CBA3-4857-96B5-8F330C7BE46F}"/>
    <cellStyle name="60% - 강조색1 35 2" xfId="1316" xr:uid="{731772A0-F720-4DB4-A1F7-4D44EEBAB0A7}"/>
    <cellStyle name="60% - 강조색1 36" xfId="1317" xr:uid="{709AE2C3-8445-4D54-AF13-5B6C2C00F293}"/>
    <cellStyle name="60% - 강조색1 36 2" xfId="1318" xr:uid="{A524F8E5-0DFC-4131-8D01-7DB52CD7D4CC}"/>
    <cellStyle name="60% - 강조색1 37" xfId="1319" xr:uid="{5D344E50-ED80-48D6-985A-7C6DA62E5B42}"/>
    <cellStyle name="60% - 강조색1 37 2" xfId="1320" xr:uid="{FC3A0A83-D0C7-41A9-AF59-B2A905D0B0E6}"/>
    <cellStyle name="60% - 강조색1 38" xfId="1321" xr:uid="{41959538-2641-4304-B2BF-54EDDD60DEB6}"/>
    <cellStyle name="60% - 강조색1 38 2" xfId="1322" xr:uid="{83B500FB-0F3E-494A-BE99-6B9BE17F6A27}"/>
    <cellStyle name="60% - 강조색1 39" xfId="1323" xr:uid="{4F34C896-F568-41B3-8894-375D1B37FCC8}"/>
    <cellStyle name="60% - 강조색1 39 2" xfId="1324" xr:uid="{3C6CB120-9944-4596-AB04-5567B5D801EA}"/>
    <cellStyle name="60% - 강조색1 4" xfId="1325" xr:uid="{47F3680D-8BCE-43D5-A503-99D61566877C}"/>
    <cellStyle name="60% - 강조색1 4 2" xfId="1326" xr:uid="{3EF83555-0B98-4A76-B079-1A2575ECF31F}"/>
    <cellStyle name="60% - 강조색1 40" xfId="1327" xr:uid="{842DC1DF-45DA-4E80-8D59-B0766E52823E}"/>
    <cellStyle name="60% - 강조색1 40 2" xfId="1328" xr:uid="{4217B858-D086-448D-A7FA-2473A5DEEDD3}"/>
    <cellStyle name="60% - 강조색1 41" xfId="1329" xr:uid="{07CE2CEC-96AF-44E4-8E22-4A32D8BD5965}"/>
    <cellStyle name="60% - 강조색1 41 2" xfId="1330" xr:uid="{1C121DDE-C83F-43A4-93A9-7348266EB5F1}"/>
    <cellStyle name="60% - 강조색1 42" xfId="1331" xr:uid="{B7ACDDB6-0E2B-42E4-9B71-93A24B046974}"/>
    <cellStyle name="60% - 강조색1 42 2" xfId="1332" xr:uid="{85E497CC-FA3D-4E24-8ACF-3886747F55DF}"/>
    <cellStyle name="60% - 강조색1 43" xfId="1333" xr:uid="{625979C7-9FE6-44A9-A725-7A1876141F38}"/>
    <cellStyle name="60% - 강조색1 43 2" xfId="1334" xr:uid="{652D72CB-84C6-4E9A-BEC5-58BBD6DE9356}"/>
    <cellStyle name="60% - 강조색1 44" xfId="1335" xr:uid="{8E071182-2DC4-4FFD-8ED8-D02D8C789E05}"/>
    <cellStyle name="60% - 강조색1 45" xfId="1336" xr:uid="{656DC030-4B48-46BF-987D-B9FBF755BEF1}"/>
    <cellStyle name="60% - 강조색1 46" xfId="1337" xr:uid="{D553B93D-7DA4-40B6-BD72-73EAF5B7F47F}"/>
    <cellStyle name="60% - 강조색1 47" xfId="1338" xr:uid="{40B0C2D7-9B73-460A-994C-08D54646CD35}"/>
    <cellStyle name="60% - 강조색1 48" xfId="1339" xr:uid="{55C12243-CF36-468B-9CA1-26E64A3ECA1E}"/>
    <cellStyle name="60% - 강조색1 49" xfId="1340" xr:uid="{8FA96639-9DE0-4D5F-9B13-5B1B8CA3A13A}"/>
    <cellStyle name="60% - 강조색1 5" xfId="1341" xr:uid="{55A81E38-75BD-4C2E-AE27-2201EAEBD404}"/>
    <cellStyle name="60% - 강조색1 5 2" xfId="1342" xr:uid="{A637BB99-5C90-4E26-B9C1-38E249FA8D60}"/>
    <cellStyle name="60% - 강조색1 50" xfId="1343" xr:uid="{996FD75C-FC61-48C6-894C-B587D378ABE4}"/>
    <cellStyle name="60% - 강조색1 51" xfId="3961" xr:uid="{B1B5B7F7-611F-401F-8444-80BE6312AD8A}"/>
    <cellStyle name="60% - 강조색1 52" xfId="4125" xr:uid="{C4DAB44B-4C71-4391-B914-3CFE04BD2E32}"/>
    <cellStyle name="60% - 강조색1 53" xfId="4234" xr:uid="{47249AB1-FC77-4A8F-A51F-B077B6ABDC8A}"/>
    <cellStyle name="60% - 강조색1 54" xfId="4406" xr:uid="{5C6E5882-8B80-4CBD-9E26-84DF458C5EEB}"/>
    <cellStyle name="60% - 강조색1 55" xfId="1260" xr:uid="{9A8AAD69-C146-436F-B570-A82A0383FEA0}"/>
    <cellStyle name="60% - 강조색1 6" xfId="1344" xr:uid="{A32C9802-0FBB-42BF-9503-A13FAA4C3DDD}"/>
    <cellStyle name="60% - 강조색1 6 2" xfId="1345" xr:uid="{CD5B4D00-D1BE-44C4-951B-34EED8EA5AA6}"/>
    <cellStyle name="60% - 강조색1 7" xfId="1346" xr:uid="{DE3439CA-BCC3-4757-8341-AC3C9B16F173}"/>
    <cellStyle name="60% - 강조색1 7 2" xfId="1347" xr:uid="{2DB5C43E-A604-4A32-ADFD-AA955FDA53A5}"/>
    <cellStyle name="60% - 강조색1 8" xfId="1348" xr:uid="{0AC491B7-16C0-4B79-8505-0C85083CEEA0}"/>
    <cellStyle name="60% - 강조색1 8 2" xfId="1349" xr:uid="{5DDEABFA-7566-41A9-B640-61174BA0DB16}"/>
    <cellStyle name="60% - 강조색1 9" xfId="1350" xr:uid="{18185A34-2DD3-406F-BAB2-77FFA59A0E68}"/>
    <cellStyle name="60% - 강조색1 9 2" xfId="1351" xr:uid="{2388DE31-F466-4FCF-892B-1682A01AEFEC}"/>
    <cellStyle name="60% - 강조색2 10" xfId="1353" xr:uid="{4C0674B3-034E-42B4-A255-D5ACDFB2A99C}"/>
    <cellStyle name="60% - 강조색2 10 2" xfId="1354" xr:uid="{6A79CDF1-85AE-4C2C-B484-F2B97CB4ADD2}"/>
    <cellStyle name="60% - 강조색2 11" xfId="1355" xr:uid="{1A5AEE35-6687-4D26-A3B3-CF7728B2E87C}"/>
    <cellStyle name="60% - 강조색2 11 2" xfId="1356" xr:uid="{F975E32B-B5E7-4C84-B970-D043D487E864}"/>
    <cellStyle name="60% - 강조색2 12" xfId="1357" xr:uid="{51AF5B22-7B03-4AFC-A931-E4A8C16DB700}"/>
    <cellStyle name="60% - 강조색2 12 2" xfId="1358" xr:uid="{340D930B-83AE-4A3C-8172-426A2C4AD25E}"/>
    <cellStyle name="60% - 강조색2 13" xfId="1359" xr:uid="{DFA93946-1F49-4F84-BA56-923C48942462}"/>
    <cellStyle name="60% - 강조색2 13 2" xfId="1360" xr:uid="{5BF0648D-F8F8-4DCD-988C-285F2E3B697C}"/>
    <cellStyle name="60% - 강조색2 14" xfId="1361" xr:uid="{27B713E1-7DB2-452D-AFB6-B85E1FB361A1}"/>
    <cellStyle name="60% - 강조색2 14 2" xfId="1362" xr:uid="{F8CE98A0-79B2-4A02-BBF4-8D2C70E54AE6}"/>
    <cellStyle name="60% - 강조색2 15" xfId="1363" xr:uid="{B7AF4510-D8E0-48CF-B58C-4FBEF4690668}"/>
    <cellStyle name="60% - 강조색2 15 2" xfId="1364" xr:uid="{A38C8A5F-9926-4B72-A901-36F6EA4FE8F3}"/>
    <cellStyle name="60% - 강조색2 16" xfId="1365" xr:uid="{AABDEACD-4610-4094-AD74-0CE28A58FE37}"/>
    <cellStyle name="60% - 강조색2 16 2" xfId="1366" xr:uid="{04A80961-F2ED-49AF-A1FB-10B1C0C4533D}"/>
    <cellStyle name="60% - 강조색2 17" xfId="1367" xr:uid="{6E2F07D8-3B0C-4A7C-BC53-11F582A618C7}"/>
    <cellStyle name="60% - 강조색2 17 2" xfId="1368" xr:uid="{16002769-2C77-4FB6-BB04-6E3ADCB7210F}"/>
    <cellStyle name="60% - 강조색2 18" xfId="1369" xr:uid="{C8641644-1F81-4FC3-A84E-4B9A8A51A1F8}"/>
    <cellStyle name="60% - 강조색2 18 2" xfId="1370" xr:uid="{B4EB05AB-633B-46F2-B8A6-BB0287A41C0F}"/>
    <cellStyle name="60% - 강조색2 19" xfId="1371" xr:uid="{43838A45-C1E0-4840-A71B-CE407B86C188}"/>
    <cellStyle name="60% - 강조색2 19 2" xfId="1372" xr:uid="{1FCD9359-5EDA-4222-9CDC-4A7D93A6F1DE}"/>
    <cellStyle name="60% - 강조색2 2" xfId="1373" xr:uid="{A46AE316-8136-4D4B-9870-DAB1453A8C2F}"/>
    <cellStyle name="60% - 강조색2 2 2" xfId="1374" xr:uid="{2D43BDAA-DAA1-4885-975D-CE811786ECBD}"/>
    <cellStyle name="60% - 강조색2 20" xfId="1375" xr:uid="{C4FB5583-2439-4FB5-8DAF-35E42D01E66A}"/>
    <cellStyle name="60% - 강조색2 20 2" xfId="1376" xr:uid="{66047F39-D7C5-47D6-93EF-43FA6C1BA8B2}"/>
    <cellStyle name="60% - 강조색2 21" xfId="1377" xr:uid="{C7ED53B5-E805-490D-B02D-649F8C2ECCD4}"/>
    <cellStyle name="60% - 강조색2 21 2" xfId="1378" xr:uid="{C8795D6A-AFB2-489B-9912-6DFCE7CB215F}"/>
    <cellStyle name="60% - 강조색2 22" xfId="1379" xr:uid="{5C31CF36-66D3-4695-8DB7-F2420070A726}"/>
    <cellStyle name="60% - 강조색2 22 2" xfId="1380" xr:uid="{66728A50-120D-47A1-B541-E6470E932551}"/>
    <cellStyle name="60% - 강조색2 23" xfId="1381" xr:uid="{F16E328A-61F4-4D81-9872-300D1FAED64E}"/>
    <cellStyle name="60% - 강조색2 23 2" xfId="1382" xr:uid="{D340E683-8060-45FB-83D5-EAD68391C9F8}"/>
    <cellStyle name="60% - 강조색2 24" xfId="1383" xr:uid="{E2F500E4-6966-4F52-A29F-C373812C366C}"/>
    <cellStyle name="60% - 강조색2 24 2" xfId="1384" xr:uid="{A22B5A58-0BCE-42F7-9230-46956655881B}"/>
    <cellStyle name="60% - 강조색2 25" xfId="1385" xr:uid="{04C353CC-7FC6-4842-8056-45CB8B213FE2}"/>
    <cellStyle name="60% - 강조색2 25 2" xfId="1386" xr:uid="{1E5A01E1-7B65-4979-BDCF-2C2CD0BE3309}"/>
    <cellStyle name="60% - 강조색2 26" xfId="1387" xr:uid="{79C7C52A-82C6-4ACA-B4B8-9E73115BF636}"/>
    <cellStyle name="60% - 강조색2 26 2" xfId="1388" xr:uid="{68E23FD0-7DA6-4818-B98A-52FAE8F91E2C}"/>
    <cellStyle name="60% - 강조색2 27" xfId="1389" xr:uid="{2835C73E-DED8-49D5-BA22-628720441238}"/>
    <cellStyle name="60% - 강조색2 27 2" xfId="1390" xr:uid="{0C2142B7-F4D4-4B95-A37A-0680E8043C9D}"/>
    <cellStyle name="60% - 강조색2 28" xfId="1391" xr:uid="{50E76C22-1B67-4DEE-8A2B-5549DC3EA926}"/>
    <cellStyle name="60% - 강조색2 28 2" xfId="1392" xr:uid="{32E921DA-E816-4F5B-98E2-C0E44375929B}"/>
    <cellStyle name="60% - 강조색2 29" xfId="1393" xr:uid="{42FA4508-E7F0-4263-82E1-3D55D8DFB762}"/>
    <cellStyle name="60% - 강조색2 29 2" xfId="1394" xr:uid="{250C2D6A-A5E2-4803-8B57-85485E86AF42}"/>
    <cellStyle name="60% - 강조색2 3" xfId="1395" xr:uid="{C71B5529-F113-4E1E-9C37-F11D7FD3ABA2}"/>
    <cellStyle name="60% - 강조색2 3 2" xfId="1396" xr:uid="{87F10B3F-5BA9-4735-A1B3-8DE17828DB9D}"/>
    <cellStyle name="60% - 강조색2 30" xfId="1397" xr:uid="{348166A9-F4E1-4335-A508-0E263425D673}"/>
    <cellStyle name="60% - 강조색2 30 2" xfId="1398" xr:uid="{8C1DA8B2-DB44-4A5C-82AE-5FA76CE89BFD}"/>
    <cellStyle name="60% - 강조색2 31" xfId="1399" xr:uid="{DA873CB1-CCD1-45EB-8D09-3FFDD7CED166}"/>
    <cellStyle name="60% - 강조색2 31 2" xfId="1400" xr:uid="{BFB31F04-451F-40D9-A891-B932095A4D6F}"/>
    <cellStyle name="60% - 강조색2 32" xfId="1401" xr:uid="{D489E8FD-4F70-4930-9C50-D03994EB049C}"/>
    <cellStyle name="60% - 강조색2 32 2" xfId="1402" xr:uid="{0E77A385-E2D8-4179-9EAA-2A480D1E93B9}"/>
    <cellStyle name="60% - 강조색2 33" xfId="1403" xr:uid="{9655EFA8-3948-4352-9CCA-7A14708B351A}"/>
    <cellStyle name="60% - 강조색2 33 2" xfId="1404" xr:uid="{0E41010F-1E8D-47D3-9A24-55365E0090F1}"/>
    <cellStyle name="60% - 강조색2 34" xfId="1405" xr:uid="{7BDA14B2-C9BD-4C44-B791-2DF9628896F2}"/>
    <cellStyle name="60% - 강조색2 34 2" xfId="1406" xr:uid="{F68F9AF3-3C44-406C-A412-B63B2854A882}"/>
    <cellStyle name="60% - 강조색2 35" xfId="1407" xr:uid="{A5A86BAF-1E8A-40D2-825A-2E91F75B59BE}"/>
    <cellStyle name="60% - 강조색2 35 2" xfId="1408" xr:uid="{4CD8CF28-2A53-4982-BCE2-821680AEB15B}"/>
    <cellStyle name="60% - 강조색2 36" xfId="1409" xr:uid="{B2913855-6A30-4715-BD31-F1A3AB57CB45}"/>
    <cellStyle name="60% - 강조색2 36 2" xfId="1410" xr:uid="{7B3C639F-39CB-4542-BCE8-5ED876E67C17}"/>
    <cellStyle name="60% - 강조색2 37" xfId="1411" xr:uid="{88C2E7AC-8569-4F9A-8B4A-9F73B9A79EA0}"/>
    <cellStyle name="60% - 강조색2 37 2" xfId="1412" xr:uid="{1621330E-FB49-45BC-9558-D38C7CE32BF2}"/>
    <cellStyle name="60% - 강조색2 38" xfId="1413" xr:uid="{B5FEFDEC-C9F6-4E02-8AB9-0447494A4D9B}"/>
    <cellStyle name="60% - 강조색2 38 2" xfId="1414" xr:uid="{2ADA6A51-2544-4B85-86C9-FB105CF5AFC9}"/>
    <cellStyle name="60% - 강조색2 39" xfId="1415" xr:uid="{B6840E05-E7B7-4F32-9656-A8B3F3494A9E}"/>
    <cellStyle name="60% - 강조색2 39 2" xfId="1416" xr:uid="{C2EEA5B3-A11F-44CF-8A6F-FD9D1EE045EC}"/>
    <cellStyle name="60% - 강조색2 4" xfId="1417" xr:uid="{37C02F0B-A905-4B17-9365-78C190FE3F8C}"/>
    <cellStyle name="60% - 강조색2 4 2" xfId="1418" xr:uid="{2E5BA991-3346-4FFE-83E4-6C7A036AB954}"/>
    <cellStyle name="60% - 강조색2 40" xfId="1419" xr:uid="{86FEA33A-6FCD-4975-8F9B-F79A7F907EF5}"/>
    <cellStyle name="60% - 강조색2 40 2" xfId="1420" xr:uid="{64C10278-861C-463C-A27E-EF7797C5EE0E}"/>
    <cellStyle name="60% - 강조색2 41" xfId="1421" xr:uid="{8137EA9A-3D58-4EB1-9B9A-65706D825FC7}"/>
    <cellStyle name="60% - 강조색2 41 2" xfId="1422" xr:uid="{823C1EFF-1A10-48DD-9AA7-08CBB88EC77A}"/>
    <cellStyle name="60% - 강조색2 42" xfId="1423" xr:uid="{25476C8C-9420-4CD6-BDC8-E15D6F6B8449}"/>
    <cellStyle name="60% - 강조색2 42 2" xfId="1424" xr:uid="{AE91D4B5-061D-4407-AA6F-1A1C78FE7D07}"/>
    <cellStyle name="60% - 강조색2 43" xfId="1425" xr:uid="{EF394FCF-49F8-44D8-A473-72DEA4A69652}"/>
    <cellStyle name="60% - 강조색2 43 2" xfId="1426" xr:uid="{5C63410C-F5B8-4E6E-AB2C-6A076B4FE0BE}"/>
    <cellStyle name="60% - 강조색2 44" xfId="1427" xr:uid="{4AC41434-6576-4C24-B69B-C08708A938EC}"/>
    <cellStyle name="60% - 강조색2 45" xfId="1428" xr:uid="{714D8DD8-A0BD-4587-9E60-81B592474B9B}"/>
    <cellStyle name="60% - 강조색2 46" xfId="1429" xr:uid="{3AA2F802-5284-4AA8-925C-FEF53026DB8E}"/>
    <cellStyle name="60% - 강조색2 47" xfId="1430" xr:uid="{1DE67B7A-35A0-4429-BD8C-016E5868D670}"/>
    <cellStyle name="60% - 강조색2 48" xfId="1431" xr:uid="{C93362CA-BC02-4CF2-8F0E-6CCF78446232}"/>
    <cellStyle name="60% - 강조색2 49" xfId="1432" xr:uid="{8FC2957E-A1C1-45BC-99A7-BA470C129CD7}"/>
    <cellStyle name="60% - 강조색2 5" xfId="1433" xr:uid="{80A2F498-A9F3-40B9-991A-194FAE3BAF54}"/>
    <cellStyle name="60% - 강조색2 5 2" xfId="1434" xr:uid="{D041B25D-CAA7-489A-9D71-46116E24A019}"/>
    <cellStyle name="60% - 강조색2 50" xfId="1435" xr:uid="{19AE950B-8889-4540-BBC6-E4A1B0D4F439}"/>
    <cellStyle name="60% - 강조색2 51" xfId="3965" xr:uid="{2BC66D57-1619-4226-A1FF-E4E1486D4B9B}"/>
    <cellStyle name="60% - 강조색2 52" xfId="4129" xr:uid="{F4090D8F-A7AE-4C02-A145-56CA03A17337}"/>
    <cellStyle name="60% - 강조색2 53" xfId="4235" xr:uid="{6A445685-0A8A-4DCD-ADC3-673C23F9732A}"/>
    <cellStyle name="60% - 강조색2 54" xfId="4407" xr:uid="{9F32FC6F-5F02-4450-9F23-A2CD0246D1E5}"/>
    <cellStyle name="60% - 강조색2 55" xfId="1352" xr:uid="{FF4B3F4E-A862-4EDF-95A2-ECCA41D03210}"/>
    <cellStyle name="60% - 강조색2 6" xfId="1436" xr:uid="{6844F3AF-055A-45F9-A8F9-4836570D3A5E}"/>
    <cellStyle name="60% - 강조색2 6 2" xfId="1437" xr:uid="{CECEDFE9-2A7B-460B-94A8-26FAD83F4547}"/>
    <cellStyle name="60% - 강조색2 7" xfId="1438" xr:uid="{7C7F791E-EFF4-468B-8C1A-4AC5C5F2CEA0}"/>
    <cellStyle name="60% - 강조색2 7 2" xfId="1439" xr:uid="{D33AE18D-83B7-464A-B6ED-A6FAC3156758}"/>
    <cellStyle name="60% - 강조색2 8" xfId="1440" xr:uid="{09F86BBA-5443-49E5-83E5-77955DE9C0B9}"/>
    <cellStyle name="60% - 강조색2 8 2" xfId="1441" xr:uid="{AEF5331A-B980-4F75-B168-454F040F35F5}"/>
    <cellStyle name="60% - 강조색2 9" xfId="1442" xr:uid="{D5C78876-BE0E-49CD-9081-7DD699AC53A3}"/>
    <cellStyle name="60% - 강조색2 9 2" xfId="1443" xr:uid="{66E324D9-7ADB-4E87-9EDA-E136C493CE68}"/>
    <cellStyle name="60% - 강조색3 10" xfId="1445" xr:uid="{7CFF5C41-07CF-4241-8B6B-EAD48C9E3909}"/>
    <cellStyle name="60% - 강조색3 10 2" xfId="1446" xr:uid="{8E9C5B90-E5BA-4A63-B0B9-64C75E3E401D}"/>
    <cellStyle name="60% - 강조색3 11" xfId="1447" xr:uid="{C6AE3B22-740C-4DC4-86F4-1CE9869405BB}"/>
    <cellStyle name="60% - 강조색3 11 2" xfId="1448" xr:uid="{86E40A5B-65B1-4DD8-9918-8FFC387E8682}"/>
    <cellStyle name="60% - 강조색3 12" xfId="1449" xr:uid="{BF8878C2-BC05-4B07-AC41-CB9C04F085B4}"/>
    <cellStyle name="60% - 강조색3 12 2" xfId="1450" xr:uid="{421B1B2D-768F-4D04-8B45-5B6F5061028E}"/>
    <cellStyle name="60% - 강조색3 13" xfId="1451" xr:uid="{6D6F7DC4-B1AC-4179-B756-73829ED77E73}"/>
    <cellStyle name="60% - 강조색3 13 2" xfId="1452" xr:uid="{6ABEB3B4-C50D-4EB3-93A9-9374E1BC1DDA}"/>
    <cellStyle name="60% - 강조색3 14" xfId="1453" xr:uid="{46446831-7995-4BB6-90E0-D53159CA6A0E}"/>
    <cellStyle name="60% - 강조색3 14 2" xfId="1454" xr:uid="{ECE30360-403A-4E94-91A5-060F9D533E29}"/>
    <cellStyle name="60% - 강조색3 15" xfId="1455" xr:uid="{EDE20087-645D-4E1C-B6EC-74AE028C58BD}"/>
    <cellStyle name="60% - 강조색3 15 2" xfId="1456" xr:uid="{4CBFE955-0FCD-415F-ABE7-2B396770E875}"/>
    <cellStyle name="60% - 강조색3 16" xfId="1457" xr:uid="{5B1B99C4-5399-4927-AB0F-6DE65507D215}"/>
    <cellStyle name="60% - 강조색3 16 2" xfId="1458" xr:uid="{CE8D34EA-E0E1-46D7-87C2-A329304ABEC4}"/>
    <cellStyle name="60% - 강조색3 17" xfId="1459" xr:uid="{CF913EED-A5C8-4220-BE40-6BC593E1BC15}"/>
    <cellStyle name="60% - 강조색3 17 2" xfId="1460" xr:uid="{5F876331-F7AE-4A13-8AA5-C26E335186B5}"/>
    <cellStyle name="60% - 강조색3 18" xfId="1461" xr:uid="{C83D6FDC-CAC1-41B2-BE48-710C9A01BB49}"/>
    <cellStyle name="60% - 강조색3 18 2" xfId="1462" xr:uid="{0F5C7DFA-B0A8-43E8-9265-39642E421B63}"/>
    <cellStyle name="60% - 강조색3 19" xfId="1463" xr:uid="{91603019-E168-48A8-9C05-2755E4C79280}"/>
    <cellStyle name="60% - 강조색3 19 2" xfId="1464" xr:uid="{E6F62729-9DE7-462A-B867-AD72F8016B35}"/>
    <cellStyle name="60% - 강조색3 2" xfId="1465" xr:uid="{ED639C0A-90E4-482C-B112-68F5E0E3C3E8}"/>
    <cellStyle name="60% - 강조색3 2 2" xfId="1466" xr:uid="{7EBD9B29-369A-45F8-BD87-B28A2B4B5FFE}"/>
    <cellStyle name="60% - 강조색3 20" xfId="1467" xr:uid="{0057646D-3C1F-4FA8-BB7F-C857939A51EB}"/>
    <cellStyle name="60% - 강조색3 20 2" xfId="1468" xr:uid="{9AAD8F2D-A128-4961-B8B8-1FD57FDB5F83}"/>
    <cellStyle name="60% - 강조색3 21" xfId="1469" xr:uid="{8E58B5D1-9F00-4826-8945-0BED20161B9F}"/>
    <cellStyle name="60% - 강조색3 21 2" xfId="1470" xr:uid="{97D2CB58-2261-40B6-9FA1-CDA3B3D412FB}"/>
    <cellStyle name="60% - 강조색3 22" xfId="1471" xr:uid="{31F53004-665D-40C3-B273-630AA23F3BDB}"/>
    <cellStyle name="60% - 강조색3 22 2" xfId="1472" xr:uid="{8AA86F23-199B-4FB9-AC35-64CC721D7135}"/>
    <cellStyle name="60% - 강조색3 23" xfId="1473" xr:uid="{7F275A8A-9841-4896-8D74-36F861D76DBB}"/>
    <cellStyle name="60% - 강조색3 23 2" xfId="1474" xr:uid="{AD785653-C0B6-4FF5-BF7D-3BC0751FF3B1}"/>
    <cellStyle name="60% - 강조색3 24" xfId="1475" xr:uid="{491034EB-0624-4907-824B-5DB7233839FF}"/>
    <cellStyle name="60% - 강조색3 24 2" xfId="1476" xr:uid="{11D9D453-F20E-43C9-B19F-D4EBA9564506}"/>
    <cellStyle name="60% - 강조색3 25" xfId="1477" xr:uid="{6CA57DE8-8F63-4465-A9C0-B844D6CC7358}"/>
    <cellStyle name="60% - 강조색3 25 2" xfId="1478" xr:uid="{0B0DA4EC-F6AD-40FD-8FFB-28F24C52F4E2}"/>
    <cellStyle name="60% - 강조색3 26" xfId="1479" xr:uid="{FDDCA01D-F9FC-4988-BAAA-81F104027154}"/>
    <cellStyle name="60% - 강조색3 26 2" xfId="1480" xr:uid="{EC821CCF-50CF-4FC2-8526-EECDA8988B4A}"/>
    <cellStyle name="60% - 강조색3 27" xfId="1481" xr:uid="{F6837F90-ED21-4679-A7BA-4A149ACCD5E1}"/>
    <cellStyle name="60% - 강조색3 27 2" xfId="1482" xr:uid="{407D9724-771F-4F58-A102-1213F78BFAF2}"/>
    <cellStyle name="60% - 강조색3 28" xfId="1483" xr:uid="{AD1FD64B-DB42-4B25-A2F8-24C4F2401F8C}"/>
    <cellStyle name="60% - 강조색3 28 2" xfId="1484" xr:uid="{ED7473C6-7CF8-4F87-B82B-16399DC46E19}"/>
    <cellStyle name="60% - 강조색3 29" xfId="1485" xr:uid="{7CCE59EF-58DB-4ABA-B60D-C9326236615C}"/>
    <cellStyle name="60% - 강조색3 29 2" xfId="1486" xr:uid="{9F427356-FE41-42EE-962A-961150E8E9CA}"/>
    <cellStyle name="60% - 강조색3 3" xfId="1487" xr:uid="{C7E35921-7B11-48D9-A25A-C2F6C6325C86}"/>
    <cellStyle name="60% - 강조색3 3 2" xfId="1488" xr:uid="{E39A51BA-8320-4225-80FA-9E532983F57B}"/>
    <cellStyle name="60% - 강조색3 30" xfId="1489" xr:uid="{25A5C079-B545-489B-8FBC-5A833AEE8F52}"/>
    <cellStyle name="60% - 강조색3 30 2" xfId="1490" xr:uid="{36065DA3-3F04-4D57-9EA5-E67475AAFA94}"/>
    <cellStyle name="60% - 강조색3 31" xfId="1491" xr:uid="{0E641D69-02F3-413C-AD5C-C2BAF4E1C283}"/>
    <cellStyle name="60% - 강조색3 31 2" xfId="1492" xr:uid="{619B163C-4415-4ED0-A257-5F5DC1B07157}"/>
    <cellStyle name="60% - 강조색3 32" xfId="1493" xr:uid="{847846C6-AC7B-415B-91E1-14E26F5CE340}"/>
    <cellStyle name="60% - 강조색3 32 2" xfId="1494" xr:uid="{5080CC94-ACBB-405B-9C3C-0D3EED872B52}"/>
    <cellStyle name="60% - 강조색3 33" xfId="1495" xr:uid="{FE7D1A5A-25DC-42BF-94F4-079357759B53}"/>
    <cellStyle name="60% - 강조색3 33 2" xfId="1496" xr:uid="{3515FF8A-346F-4C8E-9BE7-1B1775F14D85}"/>
    <cellStyle name="60% - 강조색3 34" xfId="1497" xr:uid="{F6B77263-3CA4-44EB-B144-FEBE9492F968}"/>
    <cellStyle name="60% - 강조색3 34 2" xfId="1498" xr:uid="{E6BE9BB0-6CA7-4F7A-AFA7-0E34395BB835}"/>
    <cellStyle name="60% - 강조색3 35" xfId="1499" xr:uid="{DAEBF141-B351-4E05-9181-DCAA74985998}"/>
    <cellStyle name="60% - 강조색3 35 2" xfId="1500" xr:uid="{253E77AF-84A8-4E94-8DAE-228399D20F50}"/>
    <cellStyle name="60% - 강조색3 36" xfId="1501" xr:uid="{FAF06F26-DE7F-47B5-9A4F-3EE99A601BC3}"/>
    <cellStyle name="60% - 강조색3 36 2" xfId="1502" xr:uid="{A582D62C-A9DB-429E-95AF-186EA21C82DA}"/>
    <cellStyle name="60% - 강조색3 37" xfId="1503" xr:uid="{7CEC5EA8-1C2B-4637-8CC2-F91ED232F6D4}"/>
    <cellStyle name="60% - 강조색3 37 2" xfId="1504" xr:uid="{AB77FEDE-26BB-427E-96E4-6CCA6088C58C}"/>
    <cellStyle name="60% - 강조색3 38" xfId="1505" xr:uid="{B68495C6-BAF9-4AF5-A795-C5DC482CE98C}"/>
    <cellStyle name="60% - 강조색3 38 2" xfId="1506" xr:uid="{A2360FBA-4CB4-4432-9A4C-C317DF1D9789}"/>
    <cellStyle name="60% - 강조색3 39" xfId="1507" xr:uid="{F2B1CB80-0F47-40FD-BB7B-1D974A0EF645}"/>
    <cellStyle name="60% - 강조색3 39 2" xfId="1508" xr:uid="{D6BF3AE4-8980-475E-9D88-0A3D45D17B84}"/>
    <cellStyle name="60% - 강조색3 4" xfId="1509" xr:uid="{539DF15C-2B28-4497-8FDE-BDC9FA2FA003}"/>
    <cellStyle name="60% - 강조색3 4 2" xfId="1510" xr:uid="{A69C34AE-BD4B-48FA-8574-491E1E6748E3}"/>
    <cellStyle name="60% - 강조색3 40" xfId="1511" xr:uid="{295F1646-883C-445F-BFAA-C8B525D0FC5C}"/>
    <cellStyle name="60% - 강조색3 40 2" xfId="1512" xr:uid="{FDC305F8-8024-4F05-9152-92D3FE62D5CC}"/>
    <cellStyle name="60% - 강조색3 41" xfId="1513" xr:uid="{51BBD626-2089-4974-A733-264A24A9B092}"/>
    <cellStyle name="60% - 강조색3 41 2" xfId="1514" xr:uid="{008A1DA2-6976-4E55-AD6D-AA87A76EB34D}"/>
    <cellStyle name="60% - 강조색3 42" xfId="1515" xr:uid="{C22091ED-BBD8-4FC0-ACAC-A7FFA392AED8}"/>
    <cellStyle name="60% - 강조색3 42 2" xfId="1516" xr:uid="{89B0D9C7-34B8-4708-9A06-D45FE12D37DD}"/>
    <cellStyle name="60% - 강조색3 43" xfId="1517" xr:uid="{7ED2F25C-58FA-4148-9B45-5CFEE6FF2323}"/>
    <cellStyle name="60% - 강조색3 43 2" xfId="1518" xr:uid="{E641BC2B-3EF2-4511-93A1-8F87C2DDD95F}"/>
    <cellStyle name="60% - 강조색3 44" xfId="1519" xr:uid="{FD9E7746-916E-4BA5-AAB9-046B298B8479}"/>
    <cellStyle name="60% - 강조색3 45" xfId="1520" xr:uid="{3A441EBE-BA70-4FE9-AAF9-F3153D1BFD93}"/>
    <cellStyle name="60% - 강조색3 46" xfId="1521" xr:uid="{F9C994E5-B19E-4B13-B7FB-AD46BCEDC848}"/>
    <cellStyle name="60% - 강조색3 47" xfId="1522" xr:uid="{912BC94C-3B7B-496E-8284-DAC0B8D89BD5}"/>
    <cellStyle name="60% - 강조색3 48" xfId="1523" xr:uid="{F5F75304-B852-4FE0-AFAD-CB0652E137C3}"/>
    <cellStyle name="60% - 강조색3 49" xfId="1524" xr:uid="{DAE129B4-5D2E-494D-95FA-59465C2217C8}"/>
    <cellStyle name="60% - 강조색3 5" xfId="1525" xr:uid="{36D8055D-6CEF-4D88-904D-0CB99982ECFA}"/>
    <cellStyle name="60% - 강조색3 5 2" xfId="1526" xr:uid="{C63C6DF5-81A9-4AE7-BBCD-1BD8E0E96F29}"/>
    <cellStyle name="60% - 강조색3 50" xfId="1527" xr:uid="{98D7C6DD-701D-4E4E-A7C6-CA48F0760E8F}"/>
    <cellStyle name="60% - 강조색3 51" xfId="3969" xr:uid="{DB513747-1A07-448C-9B16-CE83F41EA884}"/>
    <cellStyle name="60% - 강조색3 52" xfId="4133" xr:uid="{3558B885-B231-4016-B344-019BAD6FD57D}"/>
    <cellStyle name="60% - 강조색3 53" xfId="4236" xr:uid="{1C8C4C33-FFEB-4B88-98E5-8C398F05C322}"/>
    <cellStyle name="60% - 강조색3 54" xfId="4408" xr:uid="{E755ACA7-ED02-4A2D-AFFD-FB5B9849AE38}"/>
    <cellStyle name="60% - 강조색3 55" xfId="1444" xr:uid="{83DC0B21-0D22-45E5-ACC4-9855018F89E8}"/>
    <cellStyle name="60% - 강조색3 6" xfId="1528" xr:uid="{EB01F595-CCA3-4C9C-B1D3-5C62DF4F4D76}"/>
    <cellStyle name="60% - 강조색3 6 2" xfId="1529" xr:uid="{2EB6EB9F-083C-4AA3-A11A-A10AC2D8F406}"/>
    <cellStyle name="60% - 강조색3 7" xfId="1530" xr:uid="{4D522959-C29F-4188-9F37-DC2E796553AC}"/>
    <cellStyle name="60% - 강조색3 7 2" xfId="1531" xr:uid="{1828AF35-74CB-44B2-BFEA-5069BFB75DEE}"/>
    <cellStyle name="60% - 강조색3 8" xfId="1532" xr:uid="{2E2C9152-A16B-4EF8-8B58-D6DBA82E5B68}"/>
    <cellStyle name="60% - 강조색3 8 2" xfId="1533" xr:uid="{B312B19B-C616-49FD-A949-3BA0569ABB52}"/>
    <cellStyle name="60% - 강조색3 9" xfId="1534" xr:uid="{16EF2AA0-0F0D-4985-9409-905976D429C1}"/>
    <cellStyle name="60% - 강조색3 9 2" xfId="1535" xr:uid="{655A1A39-1573-452A-8433-71CB3A582A84}"/>
    <cellStyle name="60% - 강조색4 10" xfId="1537" xr:uid="{1F83811E-F4FC-47B8-8CF6-E1D8C110D9BA}"/>
    <cellStyle name="60% - 강조색4 10 2" xfId="1538" xr:uid="{1A992EB4-B434-4CAA-9DA7-6C2BF3C98386}"/>
    <cellStyle name="60% - 강조색4 11" xfId="1539" xr:uid="{BECC6D94-0FBB-43DE-AA23-9771F5EE7123}"/>
    <cellStyle name="60% - 강조색4 11 2" xfId="1540" xr:uid="{090EC7CA-7EBC-446F-BC19-235652C3BBC2}"/>
    <cellStyle name="60% - 강조색4 12" xfId="1541" xr:uid="{13C02ABA-5664-4A31-B3AE-AE5859BA9DBA}"/>
    <cellStyle name="60% - 강조색4 12 2" xfId="1542" xr:uid="{B110FB05-8774-479F-8251-86826C514B0E}"/>
    <cellStyle name="60% - 강조색4 13" xfId="1543" xr:uid="{EF350823-A87D-4B13-952D-5CE782078C16}"/>
    <cellStyle name="60% - 강조색4 13 2" xfId="1544" xr:uid="{E468B7A3-EE36-4718-9246-461F5D485C42}"/>
    <cellStyle name="60% - 강조색4 14" xfId="1545" xr:uid="{65B11E66-D1BB-42A9-A6C9-9B9015965CCA}"/>
    <cellStyle name="60% - 강조색4 14 2" xfId="1546" xr:uid="{946D4BE9-5B52-4D6C-A6E2-6B39AC342CE9}"/>
    <cellStyle name="60% - 강조색4 15" xfId="1547" xr:uid="{EB27CD4F-E4E2-465F-90F1-336F23F00BD8}"/>
    <cellStyle name="60% - 강조색4 15 2" xfId="1548" xr:uid="{7B2A65B2-C315-4AEE-A660-8CF3AF3EBD52}"/>
    <cellStyle name="60% - 강조색4 16" xfId="1549" xr:uid="{970D0A03-20B7-46F2-80BE-AFB0614813D9}"/>
    <cellStyle name="60% - 강조색4 16 2" xfId="1550" xr:uid="{27C32DF3-2F3D-4962-AA4A-18E86A48D556}"/>
    <cellStyle name="60% - 강조색4 17" xfId="1551" xr:uid="{009FD0E4-578E-48F5-BBD2-0C9F935EC31E}"/>
    <cellStyle name="60% - 강조색4 17 2" xfId="1552" xr:uid="{6B1C0CEB-05FC-4ADF-8FFC-CC332C594D98}"/>
    <cellStyle name="60% - 강조색4 18" xfId="1553" xr:uid="{8865A045-F0FD-4E5A-A701-047ACFC320C2}"/>
    <cellStyle name="60% - 강조색4 18 2" xfId="1554" xr:uid="{465D55E7-C1EB-429A-9664-BA89CB3371A8}"/>
    <cellStyle name="60% - 강조색4 19" xfId="1555" xr:uid="{93345A3F-D077-4A5D-BB9D-976A01761BC2}"/>
    <cellStyle name="60% - 강조색4 19 2" xfId="1556" xr:uid="{8683ED1C-57DB-45AF-9D91-6240B012E3C2}"/>
    <cellStyle name="60% - 강조색4 2" xfId="1557" xr:uid="{9361C8A2-7F46-4611-8AFE-711A387DF06F}"/>
    <cellStyle name="60% - 강조색4 2 2" xfId="1558" xr:uid="{C4486F6C-7BE7-4005-BFE6-DE5A27C6FE9F}"/>
    <cellStyle name="60% - 강조색4 20" xfId="1559" xr:uid="{0CC7E9B3-02FB-417D-A622-9F4FC4389F92}"/>
    <cellStyle name="60% - 강조색4 20 2" xfId="1560" xr:uid="{841F8EDA-4171-4EB7-9D16-5C3D9ED4BA0A}"/>
    <cellStyle name="60% - 강조색4 21" xfId="1561" xr:uid="{D8BBBEDF-59B4-4C67-AC73-0B94C44FB616}"/>
    <cellStyle name="60% - 강조색4 21 2" xfId="1562" xr:uid="{48790CF4-B241-4588-AC59-DFA23C6657E3}"/>
    <cellStyle name="60% - 강조색4 22" xfId="1563" xr:uid="{2D38F016-8BD2-4552-9B0E-035DF9F56A78}"/>
    <cellStyle name="60% - 강조색4 22 2" xfId="1564" xr:uid="{82AABFD5-FAC5-4CFC-AAB4-9855BFDF0E52}"/>
    <cellStyle name="60% - 강조색4 23" xfId="1565" xr:uid="{054E111D-3242-4003-9FEB-CF228C6E7F64}"/>
    <cellStyle name="60% - 강조색4 23 2" xfId="1566" xr:uid="{2B58F44B-DA97-4546-9638-F6646F34A764}"/>
    <cellStyle name="60% - 강조색4 24" xfId="1567" xr:uid="{D1F5EAA5-E1F3-4D11-ABA2-CF13F9AC9C6D}"/>
    <cellStyle name="60% - 강조색4 24 2" xfId="1568" xr:uid="{23E61068-E28D-430B-A246-904379D8D73E}"/>
    <cellStyle name="60% - 강조색4 25" xfId="1569" xr:uid="{39DF8CAD-9418-4DB8-A858-F0865DBD5DDD}"/>
    <cellStyle name="60% - 강조색4 25 2" xfId="1570" xr:uid="{D4F6DCEB-1BAF-42FD-BC40-C0B35CC4EEED}"/>
    <cellStyle name="60% - 강조색4 26" xfId="1571" xr:uid="{288B3363-9C97-4DF0-9A10-1CF4CA38C368}"/>
    <cellStyle name="60% - 강조색4 26 2" xfId="1572" xr:uid="{A2FEAE45-7C81-453F-BD78-15F01AFA47E2}"/>
    <cellStyle name="60% - 강조색4 27" xfId="1573" xr:uid="{51B59CB1-AE38-4808-A4AA-C03100BFA36F}"/>
    <cellStyle name="60% - 강조색4 27 2" xfId="1574" xr:uid="{E726C28D-F410-431C-8F87-E03401C37D88}"/>
    <cellStyle name="60% - 강조색4 28" xfId="1575" xr:uid="{CF13243C-AF3B-43CC-8148-E9DFE2A8170C}"/>
    <cellStyle name="60% - 강조색4 28 2" xfId="1576" xr:uid="{2DE93415-493D-434F-8E07-F57B5A3E737D}"/>
    <cellStyle name="60% - 강조색4 29" xfId="1577" xr:uid="{DFEA0FFD-1823-4E94-AA14-6F7CC2A39809}"/>
    <cellStyle name="60% - 강조색4 29 2" xfId="1578" xr:uid="{FC75250E-2281-43C7-BCB7-7FE3A862064B}"/>
    <cellStyle name="60% - 강조색4 3" xfId="1579" xr:uid="{3085A33D-B74A-4AC1-A53C-5879493234BB}"/>
    <cellStyle name="60% - 강조색4 3 2" xfId="1580" xr:uid="{2923357D-2CDB-43C1-87A2-D1D660443567}"/>
    <cellStyle name="60% - 강조색4 30" xfId="1581" xr:uid="{25154352-B19E-48A4-ADB0-D6FC3F9BA514}"/>
    <cellStyle name="60% - 강조색4 30 2" xfId="1582" xr:uid="{D60AD58E-13C7-46C7-929B-976A6E2B5FF8}"/>
    <cellStyle name="60% - 강조색4 31" xfId="1583" xr:uid="{22480786-B022-4C37-9556-6150566A27E5}"/>
    <cellStyle name="60% - 강조색4 31 2" xfId="1584" xr:uid="{EC7C3E37-1579-482B-8689-CC7CCF5C065B}"/>
    <cellStyle name="60% - 강조색4 32" xfId="1585" xr:uid="{EEE79C6A-B2CF-40B0-9253-7697B9670113}"/>
    <cellStyle name="60% - 강조색4 32 2" xfId="1586" xr:uid="{6806D720-14AE-4173-8856-ADE46D071F27}"/>
    <cellStyle name="60% - 강조색4 33" xfId="1587" xr:uid="{3B674628-B1E9-4DAF-AE27-30142AF10FFF}"/>
    <cellStyle name="60% - 강조색4 33 2" xfId="1588" xr:uid="{44C5415D-44F9-4469-91C5-FD4AEFFB1383}"/>
    <cellStyle name="60% - 강조색4 34" xfId="1589" xr:uid="{44E61324-E81E-40B8-A5D2-0A93FDBF1C0A}"/>
    <cellStyle name="60% - 강조색4 34 2" xfId="1590" xr:uid="{22A13F0E-4528-4876-8561-A72C5C2E4A0E}"/>
    <cellStyle name="60% - 강조색4 35" xfId="1591" xr:uid="{0714667F-5C9F-4AB9-A5F8-1BE82CC28129}"/>
    <cellStyle name="60% - 강조색4 35 2" xfId="1592" xr:uid="{10CA24BC-81D6-474B-9DB5-D0EB5C04DDC2}"/>
    <cellStyle name="60% - 강조색4 36" xfId="1593" xr:uid="{B8A3CDD9-321A-4370-82A3-0FFFEF310D5E}"/>
    <cellStyle name="60% - 강조색4 36 2" xfId="1594" xr:uid="{47C8F204-4E4C-4E37-B19D-C17A334E80E4}"/>
    <cellStyle name="60% - 강조색4 37" xfId="1595" xr:uid="{1D60FEDF-C122-47AE-9405-D03858339A85}"/>
    <cellStyle name="60% - 강조색4 37 2" xfId="1596" xr:uid="{63D70858-EF18-45F0-801F-021989AD53B4}"/>
    <cellStyle name="60% - 강조색4 38" xfId="1597" xr:uid="{B1730056-B6B9-4F37-A098-F12131116B8A}"/>
    <cellStyle name="60% - 강조색4 38 2" xfId="1598" xr:uid="{19DAAC13-75FB-4791-A9C2-5945E224F783}"/>
    <cellStyle name="60% - 강조색4 39" xfId="1599" xr:uid="{8DB5CC2E-6FC4-4328-BF1F-55A438444003}"/>
    <cellStyle name="60% - 강조색4 39 2" xfId="1600" xr:uid="{2EEF6C5E-7416-478C-925E-04A50FEFD333}"/>
    <cellStyle name="60% - 강조색4 4" xfId="1601" xr:uid="{6A9E0B59-4180-441F-98DF-2C07AEF65BCC}"/>
    <cellStyle name="60% - 강조색4 4 2" xfId="1602" xr:uid="{80AEDF07-F1ED-4369-AD4A-9D73A3F7DFD1}"/>
    <cellStyle name="60% - 강조색4 40" xfId="1603" xr:uid="{6F6B006A-0188-4F31-B103-11339067C4F5}"/>
    <cellStyle name="60% - 강조색4 40 2" xfId="1604" xr:uid="{159304FB-B554-430B-A275-51689CB0170F}"/>
    <cellStyle name="60% - 강조색4 41" xfId="1605" xr:uid="{9C2EFD19-EDDF-44B7-850E-77FE614B71CC}"/>
    <cellStyle name="60% - 강조색4 41 2" xfId="1606" xr:uid="{389AAA6F-09D6-4F96-A1B7-685733692B73}"/>
    <cellStyle name="60% - 강조색4 42" xfId="1607" xr:uid="{74A415DB-11C2-426D-A67F-F36924B70404}"/>
    <cellStyle name="60% - 강조색4 42 2" xfId="1608" xr:uid="{D9B40C26-E3B3-4B15-B22C-447BACE1287C}"/>
    <cellStyle name="60% - 강조색4 43" xfId="1609" xr:uid="{90A3872C-DFF0-418B-A9C6-08E3871BD58F}"/>
    <cellStyle name="60% - 강조색4 43 2" xfId="1610" xr:uid="{FE687872-DDDF-4B9B-9A82-FDF95A83A3DD}"/>
    <cellStyle name="60% - 강조색4 44" xfId="1611" xr:uid="{90E4F650-5B1A-484A-9766-576D944960FC}"/>
    <cellStyle name="60% - 강조색4 45" xfId="1612" xr:uid="{59B0FD04-1B5F-4A60-B7D7-F27A272CF8D4}"/>
    <cellStyle name="60% - 강조색4 46" xfId="1613" xr:uid="{92290C73-AA71-48DA-AA9A-615436C2150F}"/>
    <cellStyle name="60% - 강조색4 47" xfId="1614" xr:uid="{6D69108F-2287-4681-B2CE-8A8BAB1CC32C}"/>
    <cellStyle name="60% - 강조색4 48" xfId="1615" xr:uid="{1758371C-58D1-409B-B0CC-DAC5501F9794}"/>
    <cellStyle name="60% - 강조색4 49" xfId="1616" xr:uid="{CE9AB1A0-0BB3-4508-A48A-0253060192B2}"/>
    <cellStyle name="60% - 강조색4 5" xfId="1617" xr:uid="{32A04A67-CC69-4B0C-9F8A-0AD6B2E3C81A}"/>
    <cellStyle name="60% - 강조색4 5 2" xfId="1618" xr:uid="{9AEFF8F7-7A2E-4891-B9CF-AB9C62E11BEC}"/>
    <cellStyle name="60% - 강조색4 50" xfId="1619" xr:uid="{3C9021CF-B17E-4B52-8CBE-8E2B21E49D2C}"/>
    <cellStyle name="60% - 강조색4 51" xfId="3973" xr:uid="{6C9E221B-A872-4151-AB09-403892054469}"/>
    <cellStyle name="60% - 강조색4 52" xfId="4137" xr:uid="{0C33CC00-F8D5-4510-9FC5-E5725552DD01}"/>
    <cellStyle name="60% - 강조색4 53" xfId="4237" xr:uid="{785445C1-6FC5-4C64-9441-A1862F96417E}"/>
    <cellStyle name="60% - 강조색4 54" xfId="4409" xr:uid="{DDE311DA-EA55-483F-ACB1-17E10120A9B4}"/>
    <cellStyle name="60% - 강조색4 55" xfId="1536" xr:uid="{44BF09AD-D0CD-43A1-A2C5-BB4DC20503FC}"/>
    <cellStyle name="60% - 강조색4 6" xfId="1620" xr:uid="{06B0CC04-8E83-49CC-84A7-3DBF22637A43}"/>
    <cellStyle name="60% - 강조색4 6 2" xfId="1621" xr:uid="{DE6A3174-3D07-4C3F-8237-836AF21C0220}"/>
    <cellStyle name="60% - 강조색4 7" xfId="1622" xr:uid="{6A708840-C298-4C7E-BA22-D255F3425C63}"/>
    <cellStyle name="60% - 강조색4 7 2" xfId="1623" xr:uid="{73196BD0-5CB6-4DF0-A9B6-E37D5DD9A0ED}"/>
    <cellStyle name="60% - 강조색4 8" xfId="1624" xr:uid="{AAF21663-9F72-4B1B-AF31-B04A664C857C}"/>
    <cellStyle name="60% - 강조색4 8 2" xfId="1625" xr:uid="{D82A961A-8ED5-4AA4-9AD3-200CF3903978}"/>
    <cellStyle name="60% - 강조색4 9" xfId="1626" xr:uid="{30FA0091-9B57-4148-BC64-85A4C36FAA0A}"/>
    <cellStyle name="60% - 강조색4 9 2" xfId="1627" xr:uid="{91D95469-73F8-40B7-8571-51C93BCCB1CB}"/>
    <cellStyle name="60% - 강조색5 10" xfId="1629" xr:uid="{2CE24B46-DE16-4627-81AA-A9166313BE90}"/>
    <cellStyle name="60% - 강조색5 10 2" xfId="1630" xr:uid="{AC6BEF9F-774A-4D62-933C-B8201E15AA8D}"/>
    <cellStyle name="60% - 강조색5 11" xfId="1631" xr:uid="{5C29175B-7C14-4268-A84D-42928FBDB2C2}"/>
    <cellStyle name="60% - 강조색5 11 2" xfId="1632" xr:uid="{427E8A1C-4BBD-44FA-82AF-1BD0EA1AD0C9}"/>
    <cellStyle name="60% - 강조색5 12" xfId="1633" xr:uid="{C3916776-E58A-4C10-816C-2C0AF998F4B1}"/>
    <cellStyle name="60% - 강조색5 12 2" xfId="1634" xr:uid="{269C3E7D-9B26-4C7F-8A78-95637938B14E}"/>
    <cellStyle name="60% - 강조색5 13" xfId="1635" xr:uid="{0F20A1FE-214E-4B2E-AF56-D2C23B25BA01}"/>
    <cellStyle name="60% - 강조색5 13 2" xfId="1636" xr:uid="{43E63567-9F79-4132-AB39-BFA55A348E44}"/>
    <cellStyle name="60% - 강조색5 14" xfId="1637" xr:uid="{3DFE6784-2488-4B0A-A4CE-CC1E1B4F6DD8}"/>
    <cellStyle name="60% - 강조색5 14 2" xfId="1638" xr:uid="{D771E921-A1AE-4096-9AC6-C249952DE1DD}"/>
    <cellStyle name="60% - 강조색5 15" xfId="1639" xr:uid="{D6B1F48F-C98F-4CAE-864A-2E129625DBD5}"/>
    <cellStyle name="60% - 강조색5 15 2" xfId="1640" xr:uid="{80CBB462-5B30-4648-AD51-791E512951FA}"/>
    <cellStyle name="60% - 강조색5 16" xfId="1641" xr:uid="{570608F1-A391-49B6-B34C-5DFBBBB80A0E}"/>
    <cellStyle name="60% - 강조색5 16 2" xfId="1642" xr:uid="{5122C758-272B-4DED-97D9-478ADCC976C6}"/>
    <cellStyle name="60% - 강조색5 17" xfId="1643" xr:uid="{83EDC187-5B6D-4F04-9390-4605C60B6E35}"/>
    <cellStyle name="60% - 강조색5 17 2" xfId="1644" xr:uid="{C7C1482C-5965-4D96-BD1E-FEB74530ED11}"/>
    <cellStyle name="60% - 강조색5 18" xfId="1645" xr:uid="{D1825CFC-2AAB-469E-B67E-CF6EAFEC6BE2}"/>
    <cellStyle name="60% - 강조색5 18 2" xfId="1646" xr:uid="{B337C990-FF09-4036-9C17-64DADBF9E3C1}"/>
    <cellStyle name="60% - 강조색5 19" xfId="1647" xr:uid="{8CA5E87A-33BB-4050-9B65-1CE3E2866A14}"/>
    <cellStyle name="60% - 강조색5 19 2" xfId="1648" xr:uid="{E6926F31-5A3A-4294-A85F-6DE55C7B5800}"/>
    <cellStyle name="60% - 강조색5 2" xfId="1649" xr:uid="{D30C2168-703C-44AE-B5A7-FF154A45EEBE}"/>
    <cellStyle name="60% - 강조색5 2 2" xfId="1650" xr:uid="{166158F5-1CCA-4631-A8CF-2F67F4696EE0}"/>
    <cellStyle name="60% - 강조색5 20" xfId="1651" xr:uid="{DEEF3B6F-AEFB-4A4F-B86D-C90020ECD104}"/>
    <cellStyle name="60% - 강조색5 20 2" xfId="1652" xr:uid="{18CFD489-85E1-4256-834E-EE93A32F2C1B}"/>
    <cellStyle name="60% - 강조색5 21" xfId="1653" xr:uid="{1F78CD23-30E9-43AE-ABAF-27DC55CF73B9}"/>
    <cellStyle name="60% - 강조색5 21 2" xfId="1654" xr:uid="{76F0E615-9D7C-4EE4-B089-5D2E3462FE87}"/>
    <cellStyle name="60% - 강조색5 22" xfId="1655" xr:uid="{6532F522-FADB-4DE8-8927-872B88E11729}"/>
    <cellStyle name="60% - 강조색5 22 2" xfId="1656" xr:uid="{FE765C28-6466-46F2-98C1-392E3CD97797}"/>
    <cellStyle name="60% - 강조색5 23" xfId="1657" xr:uid="{89E5BF57-0310-43C9-8B77-B679D7D5425D}"/>
    <cellStyle name="60% - 강조색5 23 2" xfId="1658" xr:uid="{51038A1F-12EA-429E-866B-4E04BDD8FAC4}"/>
    <cellStyle name="60% - 강조색5 24" xfId="1659" xr:uid="{42BC7248-52AF-4B8D-A2C1-D83C3B8AD814}"/>
    <cellStyle name="60% - 강조색5 24 2" xfId="1660" xr:uid="{1ADE9800-AD2E-4917-A158-C31430EC451C}"/>
    <cellStyle name="60% - 강조색5 25" xfId="1661" xr:uid="{3AAB9345-62A8-411E-AC37-564D5E5789D5}"/>
    <cellStyle name="60% - 강조색5 25 2" xfId="1662" xr:uid="{A5D81BFB-EF30-4AE0-AE11-15E5140FB7CA}"/>
    <cellStyle name="60% - 강조색5 26" xfId="1663" xr:uid="{36640E58-0ED5-45C6-B864-0D4D0183BFF0}"/>
    <cellStyle name="60% - 강조색5 26 2" xfId="1664" xr:uid="{AE0796FF-1A35-41D5-8899-010D4C6D2828}"/>
    <cellStyle name="60% - 강조색5 27" xfId="1665" xr:uid="{676B35DB-85FE-4692-867B-3CCFDB0DD96F}"/>
    <cellStyle name="60% - 강조색5 27 2" xfId="1666" xr:uid="{B2355A76-E895-408A-87EB-A0725DECEAA6}"/>
    <cellStyle name="60% - 강조색5 28" xfId="1667" xr:uid="{9762E4C0-620B-4172-8165-6A155801D761}"/>
    <cellStyle name="60% - 강조색5 28 2" xfId="1668" xr:uid="{1937CD64-696B-4A16-8F74-CF2653B89CF0}"/>
    <cellStyle name="60% - 강조색5 29" xfId="1669" xr:uid="{5CE7B94A-7D94-4BC3-AEC9-91D0B653B8E5}"/>
    <cellStyle name="60% - 강조색5 29 2" xfId="1670" xr:uid="{BCC0882F-7C0B-4448-96F6-F44BDCAE63E8}"/>
    <cellStyle name="60% - 강조색5 3" xfId="1671" xr:uid="{7D3FE76F-E81C-45F6-882D-1C72D471B07D}"/>
    <cellStyle name="60% - 강조색5 3 2" xfId="1672" xr:uid="{CAC21777-3EDC-4F08-AA1F-0D1DA298D692}"/>
    <cellStyle name="60% - 강조색5 30" xfId="1673" xr:uid="{37690324-9BA6-45D1-8039-E296BC2287AC}"/>
    <cellStyle name="60% - 강조색5 30 2" xfId="1674" xr:uid="{F6498955-4782-42E8-81AC-50E5AD1D5B81}"/>
    <cellStyle name="60% - 강조색5 31" xfId="1675" xr:uid="{0B8BCFF9-A489-4B4C-BB97-EE4F34B3D1CF}"/>
    <cellStyle name="60% - 강조색5 31 2" xfId="1676" xr:uid="{8F2323BD-1547-4929-9D23-990250E04E4D}"/>
    <cellStyle name="60% - 강조색5 32" xfId="1677" xr:uid="{01E8CEA2-C448-44C6-BAEF-A42E397360D9}"/>
    <cellStyle name="60% - 강조색5 32 2" xfId="1678" xr:uid="{12E28E23-81E5-4089-A8C7-4565068975ED}"/>
    <cellStyle name="60% - 강조색5 33" xfId="1679" xr:uid="{77769163-2EAD-4829-8022-1F73573D2023}"/>
    <cellStyle name="60% - 강조색5 33 2" xfId="1680" xr:uid="{D06F1EEE-CF2E-40D9-BF9F-6FF776749941}"/>
    <cellStyle name="60% - 강조색5 34" xfId="1681" xr:uid="{E7677C5E-982E-4012-81F8-01DD140EAC7F}"/>
    <cellStyle name="60% - 강조색5 34 2" xfId="1682" xr:uid="{986B56AD-B458-41D6-B464-1434DAF00F29}"/>
    <cellStyle name="60% - 강조색5 35" xfId="1683" xr:uid="{721CBD8E-5BAC-4CEF-AB28-7FD71A9D394C}"/>
    <cellStyle name="60% - 강조색5 35 2" xfId="1684" xr:uid="{31057838-6D36-4DE9-BE19-15F693CDC413}"/>
    <cellStyle name="60% - 강조색5 36" xfId="1685" xr:uid="{26412556-6FB1-4B9C-9D02-D51BB3B26C17}"/>
    <cellStyle name="60% - 강조색5 36 2" xfId="1686" xr:uid="{A119307E-97A2-4FF2-8DB3-B33CAC36285C}"/>
    <cellStyle name="60% - 강조색5 37" xfId="1687" xr:uid="{69D28CDF-302A-477E-BDCE-A9F7B7E01B36}"/>
    <cellStyle name="60% - 강조색5 37 2" xfId="1688" xr:uid="{6778B3EA-C922-4298-A942-A1EBF04AB58C}"/>
    <cellStyle name="60% - 강조색5 38" xfId="1689" xr:uid="{FB7E00C0-94DD-4F9C-9388-12B16ED06505}"/>
    <cellStyle name="60% - 강조색5 38 2" xfId="1690" xr:uid="{762C9ECC-1B65-48B1-B127-FC4A51016980}"/>
    <cellStyle name="60% - 강조색5 39" xfId="1691" xr:uid="{717EA712-A8C3-49E9-A918-9CB172882514}"/>
    <cellStyle name="60% - 강조색5 39 2" xfId="1692" xr:uid="{39A49441-985D-48F2-A77B-01A86D420674}"/>
    <cellStyle name="60% - 강조색5 4" xfId="1693" xr:uid="{8362431D-4E7B-4DA6-9E8F-D9131B599B2C}"/>
    <cellStyle name="60% - 강조색5 4 2" xfId="1694" xr:uid="{07046BD3-0AE3-4511-B81B-B882444F9D35}"/>
    <cellStyle name="60% - 강조색5 40" xfId="1695" xr:uid="{B24FED9A-08C1-412E-8C34-E4FF62FB45AE}"/>
    <cellStyle name="60% - 강조색5 40 2" xfId="1696" xr:uid="{6252D723-B635-4899-B443-9EB4CB487976}"/>
    <cellStyle name="60% - 강조색5 41" xfId="1697" xr:uid="{7651415B-620D-47C0-B6FF-376B7A3A1016}"/>
    <cellStyle name="60% - 강조색5 41 2" xfId="1698" xr:uid="{4DA9E8EA-14F3-4CBF-9E15-EB4F053A64B8}"/>
    <cellStyle name="60% - 강조색5 42" xfId="1699" xr:uid="{8D105834-1102-48BD-8C25-C65E54C5CC9A}"/>
    <cellStyle name="60% - 강조색5 42 2" xfId="1700" xr:uid="{3630116E-44D7-4128-A6E1-92D6F4FFFEE2}"/>
    <cellStyle name="60% - 강조색5 43" xfId="1701" xr:uid="{6A830DAF-D8A1-4396-9D10-96797E7C6F7B}"/>
    <cellStyle name="60% - 강조색5 43 2" xfId="1702" xr:uid="{F976AB47-AE48-4BD2-A14A-85D4532801D1}"/>
    <cellStyle name="60% - 강조색5 44" xfId="1703" xr:uid="{4CA6CF2D-C8CB-4144-8B90-0FC092A5CCB1}"/>
    <cellStyle name="60% - 강조색5 45" xfId="1704" xr:uid="{3FF6AAF6-B10A-4088-9DD0-F068CBF7BA1B}"/>
    <cellStyle name="60% - 강조색5 46" xfId="1705" xr:uid="{78E317C3-216D-4A7A-B944-82A21BCA1BB5}"/>
    <cellStyle name="60% - 강조색5 47" xfId="1706" xr:uid="{2B6683A6-3CDC-4920-9EF5-2C6312D4DF68}"/>
    <cellStyle name="60% - 강조색5 48" xfId="1707" xr:uid="{58ABA8B1-EC51-4FFB-BE53-0AA344DC783D}"/>
    <cellStyle name="60% - 강조색5 49" xfId="1708" xr:uid="{C4AF605B-0051-45B7-BFB8-D2238B7FF5A0}"/>
    <cellStyle name="60% - 강조색5 5" xfId="1709" xr:uid="{EAC92A62-E86E-42E5-948D-E9C97D5C0815}"/>
    <cellStyle name="60% - 강조색5 5 2" xfId="1710" xr:uid="{A32299C3-9830-41F0-ADF3-53822C0F6142}"/>
    <cellStyle name="60% - 강조색5 50" xfId="1711" xr:uid="{DB24E48C-B7C2-442D-88D3-F8528EA1FE3E}"/>
    <cellStyle name="60% - 강조색5 51" xfId="3977" xr:uid="{86C76636-EB3B-4BFA-82F6-F295252056F1}"/>
    <cellStyle name="60% - 강조색5 52" xfId="4141" xr:uid="{63D4B391-C86C-4A35-BD4B-8D1C643E32A3}"/>
    <cellStyle name="60% - 강조색5 53" xfId="4238" xr:uid="{97383B25-CD59-4672-B642-529B13326208}"/>
    <cellStyle name="60% - 강조색5 54" xfId="4410" xr:uid="{3A423AFB-C937-4096-A795-AE5AC811F30F}"/>
    <cellStyle name="60% - 강조색5 55" xfId="1628" xr:uid="{BC4536AE-4F58-479D-BF6E-ED0198C52E36}"/>
    <cellStyle name="60% - 강조색5 6" xfId="1712" xr:uid="{24D27371-431E-4076-8A45-B4463B6EF1AB}"/>
    <cellStyle name="60% - 강조색5 6 2" xfId="1713" xr:uid="{25B15E14-2AD4-413F-BC4F-CA88D3448093}"/>
    <cellStyle name="60% - 강조색5 7" xfId="1714" xr:uid="{39337886-7EB1-4B45-AF3D-3BE97974FAC7}"/>
    <cellStyle name="60% - 강조색5 7 2" xfId="1715" xr:uid="{B43A2780-F31A-45D3-8535-79A96BAE4CA5}"/>
    <cellStyle name="60% - 강조색5 8" xfId="1716" xr:uid="{8FF466CB-E4D9-46D4-AA64-2BB6F2685995}"/>
    <cellStyle name="60% - 강조색5 8 2" xfId="1717" xr:uid="{45BE22FC-C0CD-4E22-8386-F6DE9B3FDCBF}"/>
    <cellStyle name="60% - 강조색5 9" xfId="1718" xr:uid="{5EECF069-22F7-4A8E-A303-0B4428252BCA}"/>
    <cellStyle name="60% - 강조색5 9 2" xfId="1719" xr:uid="{3248C608-40DD-426C-B7EC-839AE3BC29DB}"/>
    <cellStyle name="60% - 강조색6 10" xfId="1721" xr:uid="{E66CFA56-894C-42C1-99D9-173AE0D7DB4A}"/>
    <cellStyle name="60% - 강조색6 10 2" xfId="1722" xr:uid="{AD51FEAD-6D71-4535-9F7A-78748E1744B1}"/>
    <cellStyle name="60% - 강조색6 11" xfId="1723" xr:uid="{58EF255A-1960-41FD-8FC1-5521C74AEC1E}"/>
    <cellStyle name="60% - 강조색6 11 2" xfId="1724" xr:uid="{D1B4D073-30FF-4E31-932A-1F4FB0C6BB98}"/>
    <cellStyle name="60% - 강조색6 12" xfId="1725" xr:uid="{91226E95-A72A-4345-B56D-4BDCD7BE46D4}"/>
    <cellStyle name="60% - 강조색6 12 2" xfId="1726" xr:uid="{784A0E1B-F983-48E1-81FA-18A3DCE9AD8D}"/>
    <cellStyle name="60% - 강조색6 13" xfId="1727" xr:uid="{9AAA5EDB-F580-4505-BF4C-84CD3FD3902C}"/>
    <cellStyle name="60% - 강조색6 13 2" xfId="1728" xr:uid="{7535749F-50E0-4AB8-BE02-ED3495D3B9A5}"/>
    <cellStyle name="60% - 강조색6 14" xfId="1729" xr:uid="{21E564AA-6683-406B-841C-F6EBBAF85A16}"/>
    <cellStyle name="60% - 강조색6 14 2" xfId="1730" xr:uid="{89A58FDF-1E47-4404-A921-CFD4CB64B4C1}"/>
    <cellStyle name="60% - 강조색6 15" xfId="1731" xr:uid="{ED2C4D3D-57CF-4205-8DA2-FC3E617FC189}"/>
    <cellStyle name="60% - 강조색6 15 2" xfId="1732" xr:uid="{E303E365-8744-4469-8FAA-95A125A4C90D}"/>
    <cellStyle name="60% - 강조색6 16" xfId="1733" xr:uid="{72123BDF-402C-455B-B1D1-84FA6CBE3E1A}"/>
    <cellStyle name="60% - 강조색6 16 2" xfId="1734" xr:uid="{325F0991-556F-4B37-8151-9B358EEE7B05}"/>
    <cellStyle name="60% - 강조색6 17" xfId="1735" xr:uid="{8DDF651E-6B0C-4CD6-9494-1285668C9C74}"/>
    <cellStyle name="60% - 강조색6 17 2" xfId="1736" xr:uid="{580C0DEF-4B79-4A87-BDE5-50C944C45011}"/>
    <cellStyle name="60% - 강조색6 18" xfId="1737" xr:uid="{0B3168D5-5368-40AD-96AF-C2DFF085CBDB}"/>
    <cellStyle name="60% - 강조색6 18 2" xfId="1738" xr:uid="{B32BE770-E4C6-4898-A3BF-53490A3A8E9D}"/>
    <cellStyle name="60% - 강조색6 19" xfId="1739" xr:uid="{A7C412CA-F167-45E2-8552-240D2242E57A}"/>
    <cellStyle name="60% - 강조색6 19 2" xfId="1740" xr:uid="{0CB82762-34BF-47B8-B39B-99EDCA327714}"/>
    <cellStyle name="60% - 강조색6 2" xfId="1741" xr:uid="{BED50789-90C6-46F8-B41A-E6B0DDC1A483}"/>
    <cellStyle name="60% - 강조색6 2 2" xfId="1742" xr:uid="{5A1C2DEE-BB97-4E95-B860-5EAC6EF1FD51}"/>
    <cellStyle name="60% - 강조색6 20" xfId="1743" xr:uid="{27BF6C4F-0390-4555-8C0E-63CF5A649AAC}"/>
    <cellStyle name="60% - 강조색6 20 2" xfId="1744" xr:uid="{DF5EDDE6-FF14-4911-95FC-0B65141B8215}"/>
    <cellStyle name="60% - 강조색6 21" xfId="1745" xr:uid="{1CAA637D-2476-4D77-B061-2AC0DDEA518E}"/>
    <cellStyle name="60% - 강조색6 21 2" xfId="1746" xr:uid="{676A67C0-B023-456B-B3B9-8219507E07EA}"/>
    <cellStyle name="60% - 강조색6 22" xfId="1747" xr:uid="{8E04C4B9-DBAE-431E-8084-02B2BF1AF136}"/>
    <cellStyle name="60% - 강조색6 22 2" xfId="1748" xr:uid="{B9874FE2-CBE5-44DC-81F3-C4F77056548F}"/>
    <cellStyle name="60% - 강조색6 23" xfId="1749" xr:uid="{730ED568-AD56-47C8-95D1-6373D4E8FA94}"/>
    <cellStyle name="60% - 강조색6 23 2" xfId="1750" xr:uid="{76DA4FA8-A088-421C-98BD-2CDCACF104F5}"/>
    <cellStyle name="60% - 강조색6 24" xfId="1751" xr:uid="{531AF3B1-A7B0-41AB-BC28-401EC90BF82F}"/>
    <cellStyle name="60% - 강조색6 24 2" xfId="1752" xr:uid="{8C69346F-3067-42CB-BD52-5D7297984306}"/>
    <cellStyle name="60% - 강조색6 25" xfId="1753" xr:uid="{FEB9C6A7-D9D0-4976-A12D-0A54E827EFE6}"/>
    <cellStyle name="60% - 강조색6 25 2" xfId="1754" xr:uid="{4E02D169-9BA6-4D11-B992-4482B16C9231}"/>
    <cellStyle name="60% - 강조색6 26" xfId="1755" xr:uid="{BD190072-0CBE-4186-A4DD-D9345057AEC9}"/>
    <cellStyle name="60% - 강조색6 26 2" xfId="1756" xr:uid="{9314F8C1-8ED7-4379-A4BF-533E84E3B2BE}"/>
    <cellStyle name="60% - 강조색6 27" xfId="1757" xr:uid="{A1780E50-F1C4-4B0C-AFC8-A3A23B6A65CE}"/>
    <cellStyle name="60% - 강조색6 27 2" xfId="1758" xr:uid="{3C95062C-6A75-4E76-927B-F19603E6C61B}"/>
    <cellStyle name="60% - 강조색6 28" xfId="1759" xr:uid="{D43D588C-56CF-49F6-847F-1973A04809CC}"/>
    <cellStyle name="60% - 강조색6 28 2" xfId="1760" xr:uid="{2D53BD1F-B83C-4E86-B866-C6D1C5BF810B}"/>
    <cellStyle name="60% - 강조색6 29" xfId="1761" xr:uid="{C619B0D5-36F3-477A-8D03-E059AB708710}"/>
    <cellStyle name="60% - 강조색6 29 2" xfId="1762" xr:uid="{7BC5E643-0F13-435E-8C08-4A4E2E145E5C}"/>
    <cellStyle name="60% - 강조색6 3" xfId="1763" xr:uid="{016FCCA2-3EFF-44DF-ABC1-8F4A50FF30A0}"/>
    <cellStyle name="60% - 강조색6 3 2" xfId="1764" xr:uid="{DD808478-2832-4DB0-8F75-52ACA8758E55}"/>
    <cellStyle name="60% - 강조색6 30" xfId="1765" xr:uid="{C31A009A-E6B7-4CFA-8D46-2F72ABACBC61}"/>
    <cellStyle name="60% - 강조색6 30 2" xfId="1766" xr:uid="{9DE6CFBE-8B55-4DF8-AF0B-4D6CCC848755}"/>
    <cellStyle name="60% - 강조색6 31" xfId="1767" xr:uid="{98A6B3B6-393C-4250-B41A-B7C7811C4FBE}"/>
    <cellStyle name="60% - 강조색6 31 2" xfId="1768" xr:uid="{8FAEAFB8-F85D-4E90-BE23-D03B88B36A94}"/>
    <cellStyle name="60% - 강조색6 32" xfId="1769" xr:uid="{045BE4AB-7531-408D-81FA-FFEA85EAE355}"/>
    <cellStyle name="60% - 강조색6 32 2" xfId="1770" xr:uid="{19F8C2E1-B57C-424E-8B67-55C787B8CB64}"/>
    <cellStyle name="60% - 강조색6 33" xfId="1771" xr:uid="{E0A47F1B-B66C-4C70-B426-D55AC4BC20DC}"/>
    <cellStyle name="60% - 강조색6 33 2" xfId="1772" xr:uid="{5A5746C0-62C4-48FD-A2C7-56C58A584E6A}"/>
    <cellStyle name="60% - 강조색6 34" xfId="1773" xr:uid="{B3B37C30-136B-4D39-8583-A1E2C97891F8}"/>
    <cellStyle name="60% - 강조색6 34 2" xfId="1774" xr:uid="{31BB269E-74C7-40A8-8318-E96C1A956D58}"/>
    <cellStyle name="60% - 강조색6 35" xfId="1775" xr:uid="{482E18FC-5C75-495C-BFF8-352B1F503C64}"/>
    <cellStyle name="60% - 강조색6 35 2" xfId="1776" xr:uid="{8DE0EFCA-44DC-4100-98CA-3FFFBF75D49C}"/>
    <cellStyle name="60% - 강조색6 36" xfId="1777" xr:uid="{D5035DD3-D197-4329-B851-DA49B84E18BF}"/>
    <cellStyle name="60% - 강조색6 36 2" xfId="1778" xr:uid="{70DC04E4-C972-4437-AF3C-85B6A4D00F65}"/>
    <cellStyle name="60% - 강조색6 37" xfId="1779" xr:uid="{ADA88176-8CEC-40A4-A507-0B5F31C4CA34}"/>
    <cellStyle name="60% - 강조색6 37 2" xfId="1780" xr:uid="{8198FC12-07CC-484E-A8F7-D4CA16094628}"/>
    <cellStyle name="60% - 강조색6 38" xfId="1781" xr:uid="{63DAAA76-3AE2-4AF7-AE23-916864B090DB}"/>
    <cellStyle name="60% - 강조색6 38 2" xfId="1782" xr:uid="{16032BAE-B56C-456E-AB5B-50694A9974FA}"/>
    <cellStyle name="60% - 강조색6 39" xfId="1783" xr:uid="{93F4D4BF-675D-4F1D-9A94-9EC4373183EF}"/>
    <cellStyle name="60% - 강조색6 39 2" xfId="1784" xr:uid="{887B28BA-1F7A-4D13-8D91-D9C9444D1565}"/>
    <cellStyle name="60% - 강조색6 4" xfId="1785" xr:uid="{17118F62-1465-4118-B1E6-EE6BB166FB4C}"/>
    <cellStyle name="60% - 강조색6 4 2" xfId="1786" xr:uid="{2AAABC8E-C3D7-498A-97FB-FCC338694A56}"/>
    <cellStyle name="60% - 강조색6 40" xfId="1787" xr:uid="{99E62465-B46B-4C87-A23B-286CA468C356}"/>
    <cellStyle name="60% - 강조색6 40 2" xfId="1788" xr:uid="{B92E11A7-579A-4173-8E17-F0A5269BA75D}"/>
    <cellStyle name="60% - 강조색6 41" xfId="1789" xr:uid="{3705C06A-DCA9-4635-9700-014395192155}"/>
    <cellStyle name="60% - 강조색6 41 2" xfId="1790" xr:uid="{46DAED5A-69B4-44BB-B360-F26097BE2B0B}"/>
    <cellStyle name="60% - 강조색6 42" xfId="1791" xr:uid="{A87C2C7A-E105-4623-BF92-2A88E36C2079}"/>
    <cellStyle name="60% - 강조색6 42 2" xfId="1792" xr:uid="{A6419F5A-50F7-4F5C-B64B-F6A00EEE56F1}"/>
    <cellStyle name="60% - 강조색6 43" xfId="1793" xr:uid="{9ECD3AC9-DCAC-4177-8381-A77E8706DFBE}"/>
    <cellStyle name="60% - 강조색6 43 2" xfId="1794" xr:uid="{798C760A-CDE5-45DE-8615-EA87CFF99875}"/>
    <cellStyle name="60% - 강조색6 44" xfId="1795" xr:uid="{6CF509D6-D2A5-4DDB-B4D9-191BFE44193B}"/>
    <cellStyle name="60% - 강조색6 45" xfId="1796" xr:uid="{8D06A6B0-524D-4F38-B7BA-90CB2342567F}"/>
    <cellStyle name="60% - 강조색6 46" xfId="1797" xr:uid="{789F34E4-A6F6-4922-8EE5-6B43941F8CFE}"/>
    <cellStyle name="60% - 강조색6 47" xfId="1798" xr:uid="{DA877268-FDD3-4094-9CA9-F64D5BB3FD36}"/>
    <cellStyle name="60% - 강조색6 48" xfId="1799" xr:uid="{A53E3C46-1BE4-4B41-A762-4DC050369CC7}"/>
    <cellStyle name="60% - 강조색6 49" xfId="1800" xr:uid="{E066E9AD-2734-4645-BD6F-0CAA5BCA2F21}"/>
    <cellStyle name="60% - 강조색6 5" xfId="1801" xr:uid="{0286A1F1-C76F-43D1-8502-2F863012E15F}"/>
    <cellStyle name="60% - 강조색6 5 2" xfId="1802" xr:uid="{4E7F5CB6-5918-457E-9D7C-E29AB0529E72}"/>
    <cellStyle name="60% - 강조색6 50" xfId="1803" xr:uid="{D5A69F5E-99AD-4BA5-8118-9EE0BF22B921}"/>
    <cellStyle name="60% - 강조색6 51" xfId="3981" xr:uid="{6D8C7F61-E956-4752-B744-3ADD2D817F8E}"/>
    <cellStyle name="60% - 강조색6 52" xfId="4145" xr:uid="{D3813B43-3F57-4A8C-A30A-064D0CBD8DF6}"/>
    <cellStyle name="60% - 강조색6 53" xfId="4239" xr:uid="{DF14F6EE-3279-4719-BFB3-63B67CE90B3D}"/>
    <cellStyle name="60% - 강조색6 54" xfId="4411" xr:uid="{F9F1E455-43F5-43DD-8C3D-17469E330E80}"/>
    <cellStyle name="60% - 강조색6 55" xfId="1720" xr:uid="{C7D84A59-A4D5-4BC9-B849-C7ACA25439D7}"/>
    <cellStyle name="60% - 강조색6 6" xfId="1804" xr:uid="{20AC4F46-44C0-4A52-AC33-A5F4003BE76F}"/>
    <cellStyle name="60% - 강조색6 6 2" xfId="1805" xr:uid="{83615710-5C4E-4730-B711-9820E33217F1}"/>
    <cellStyle name="60% - 강조색6 7" xfId="1806" xr:uid="{AA65DBE0-DC68-42CC-AAE5-1483E64553EE}"/>
    <cellStyle name="60% - 강조색6 7 2" xfId="1807" xr:uid="{F059E681-8A9B-4646-9BD8-6DFCEE7A8413}"/>
    <cellStyle name="60% - 강조색6 8" xfId="1808" xr:uid="{19FABCC2-7DB9-453E-96F7-2A9D7EF2A39C}"/>
    <cellStyle name="60% - 강조색6 8 2" xfId="1809" xr:uid="{7AD5EA6C-8943-418D-A478-E970B998A9F2}"/>
    <cellStyle name="60% - 강조색6 9" xfId="1810" xr:uid="{625F0DBB-12FE-449D-B3FC-1F8950F6D871}"/>
    <cellStyle name="60% - 강조색6 9 2" xfId="1811" xr:uid="{728F56C9-048F-4468-BC89-2003C2402D11}"/>
    <cellStyle name="Accent1 2" xfId="22" xr:uid="{00000000-0005-0000-0000-000012000000}"/>
    <cellStyle name="Accent2 2" xfId="23" xr:uid="{00000000-0005-0000-0000-000013000000}"/>
    <cellStyle name="Accent3 2" xfId="24" xr:uid="{00000000-0005-0000-0000-000014000000}"/>
    <cellStyle name="Accent4 2" xfId="25" xr:uid="{00000000-0005-0000-0000-000015000000}"/>
    <cellStyle name="Accent5 2" xfId="26" xr:uid="{00000000-0005-0000-0000-000016000000}"/>
    <cellStyle name="Accent6 2" xfId="27" xr:uid="{00000000-0005-0000-0000-000017000000}"/>
    <cellStyle name="Bad 2" xfId="28" xr:uid="{00000000-0005-0000-0000-000018000000}"/>
    <cellStyle name="Body: normal cell" xfId="29" xr:uid="{00000000-0005-0000-0000-000019000000}"/>
    <cellStyle name="Body: normal cell 2" xfId="30" xr:uid="{00000000-0005-0000-0000-00001A000000}"/>
    <cellStyle name="Calculation 2" xfId="31" xr:uid="{00000000-0005-0000-0000-00001B000000}"/>
    <cellStyle name="Check Cell 2" xfId="32" xr:uid="{00000000-0005-0000-0000-00001C000000}"/>
    <cellStyle name="Column heading" xfId="33" xr:uid="{00000000-0005-0000-0000-00001D000000}"/>
    <cellStyle name="Comma [0]" xfId="4708" builtinId="6"/>
    <cellStyle name="Comma 2" xfId="34" xr:uid="{00000000-0005-0000-0000-00001E000000}"/>
    <cellStyle name="Comma 2 2" xfId="35" xr:uid="{00000000-0005-0000-0000-00001F000000}"/>
    <cellStyle name="Comma 3" xfId="36" xr:uid="{00000000-0005-0000-0000-000020000000}"/>
    <cellStyle name="Comma 4" xfId="37" xr:uid="{00000000-0005-0000-0000-000021000000}"/>
    <cellStyle name="Comma 5" xfId="38" xr:uid="{00000000-0005-0000-0000-000022000000}"/>
    <cellStyle name="Comma 6" xfId="39" xr:uid="{00000000-0005-0000-0000-000023000000}"/>
    <cellStyle name="Comma 7" xfId="40" xr:uid="{00000000-0005-0000-0000-000024000000}"/>
    <cellStyle name="Comma 8" xfId="41" xr:uid="{00000000-0005-0000-0000-000025000000}"/>
    <cellStyle name="Corner heading" xfId="42" xr:uid="{00000000-0005-0000-0000-000026000000}"/>
    <cellStyle name="Currency 2" xfId="43" xr:uid="{00000000-0005-0000-0000-000027000000}"/>
    <cellStyle name="Currency 3" xfId="44" xr:uid="{00000000-0005-0000-0000-000028000000}"/>
    <cellStyle name="Currency 3 2" xfId="45" xr:uid="{00000000-0005-0000-0000-000029000000}"/>
    <cellStyle name="Data" xfId="46" xr:uid="{00000000-0005-0000-0000-00002A000000}"/>
    <cellStyle name="Data 2" xfId="47" xr:uid="{00000000-0005-0000-0000-00002B000000}"/>
    <cellStyle name="Data no deci" xfId="48" xr:uid="{00000000-0005-0000-0000-00002C000000}"/>
    <cellStyle name="Data Superscript" xfId="49" xr:uid="{00000000-0005-0000-0000-00002D000000}"/>
    <cellStyle name="Data_1-1A-Regular" xfId="50" xr:uid="{00000000-0005-0000-0000-00002E000000}"/>
    <cellStyle name="Explanatory Text 2" xfId="51" xr:uid="{00000000-0005-0000-0000-00002F000000}"/>
    <cellStyle name="Font: Calibri, 9pt regular" xfId="52" xr:uid="{00000000-0005-0000-0000-000030000000}"/>
    <cellStyle name="Font: Calibri, 9pt regular 2" xfId="53" xr:uid="{00000000-0005-0000-0000-000031000000}"/>
    <cellStyle name="Footnotes: top row" xfId="54" xr:uid="{00000000-0005-0000-0000-000032000000}"/>
    <cellStyle name="Footnotes: top row 2" xfId="55" xr:uid="{00000000-0005-0000-0000-000033000000}"/>
    <cellStyle name="Good 2" xfId="56" xr:uid="{00000000-0005-0000-0000-000034000000}"/>
    <cellStyle name="Header: bottom row" xfId="57" xr:uid="{00000000-0005-0000-0000-000035000000}"/>
    <cellStyle name="Header: bottom row 2" xfId="58" xr:uid="{00000000-0005-0000-0000-000036000000}"/>
    <cellStyle name="Heading 1 2" xfId="59" xr:uid="{00000000-0005-0000-0000-000037000000}"/>
    <cellStyle name="Heading 2 2" xfId="60" xr:uid="{00000000-0005-0000-0000-000038000000}"/>
    <cellStyle name="Heading 3 2" xfId="61" xr:uid="{00000000-0005-0000-0000-000039000000}"/>
    <cellStyle name="Heading 4 2" xfId="62" xr:uid="{00000000-0005-0000-0000-00003A000000}"/>
    <cellStyle name="Hed Side" xfId="63" xr:uid="{00000000-0005-0000-0000-00003B000000}"/>
    <cellStyle name="Hed Side 2" xfId="64" xr:uid="{00000000-0005-0000-0000-00003C000000}"/>
    <cellStyle name="Hed Side bold" xfId="65" xr:uid="{00000000-0005-0000-0000-00003D000000}"/>
    <cellStyle name="Hed Side Indent" xfId="66" xr:uid="{00000000-0005-0000-0000-00003E000000}"/>
    <cellStyle name="Hed Side Regular" xfId="67" xr:uid="{00000000-0005-0000-0000-00003F000000}"/>
    <cellStyle name="Hed Side_1-1A-Regular" xfId="68" xr:uid="{00000000-0005-0000-0000-000040000000}"/>
    <cellStyle name="Hed Top" xfId="69" xr:uid="{00000000-0005-0000-0000-000041000000}"/>
    <cellStyle name="Hed Top - SECTION" xfId="70" xr:uid="{00000000-0005-0000-0000-000042000000}"/>
    <cellStyle name="Hed Top_3-new4" xfId="71" xr:uid="{00000000-0005-0000-0000-000043000000}"/>
    <cellStyle name="Hyperlink" xfId="1" builtinId="8"/>
    <cellStyle name="Hyperlink 2" xfId="72" xr:uid="{00000000-0005-0000-0000-000045000000}"/>
    <cellStyle name="Input 2" xfId="73" xr:uid="{00000000-0005-0000-0000-000046000000}"/>
    <cellStyle name="Linked Cell 2" xfId="74" xr:uid="{00000000-0005-0000-0000-000047000000}"/>
    <cellStyle name="Neutral 2" xfId="75" xr:uid="{00000000-0005-0000-0000-000048000000}"/>
    <cellStyle name="Normal" xfId="0" builtinId="0"/>
    <cellStyle name="Normal 10" xfId="76" xr:uid="{00000000-0005-0000-0000-00004A000000}"/>
    <cellStyle name="Normal 11" xfId="77" xr:uid="{00000000-0005-0000-0000-00004B000000}"/>
    <cellStyle name="Normal 2" xfId="2" xr:uid="{00000000-0005-0000-0000-00004C000000}"/>
    <cellStyle name="Normal 2 2" xfId="78" xr:uid="{00000000-0005-0000-0000-00004D000000}"/>
    <cellStyle name="Normal 2 3" xfId="79" xr:uid="{00000000-0005-0000-0000-00004E000000}"/>
    <cellStyle name="Normal 3" xfId="3" xr:uid="{00000000-0005-0000-0000-00004F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  <cellStyle name="강조색1 10" xfId="1813" xr:uid="{37D59C70-95DE-44D4-BA26-DDBB0DB28269}"/>
    <cellStyle name="강조색1 10 2" xfId="1814" xr:uid="{C22EDD99-C345-4D6F-B9FB-69B111C03855}"/>
    <cellStyle name="강조색1 11" xfId="1815" xr:uid="{EF7E9B4B-4284-4DE6-9FC8-A25488EEC676}"/>
    <cellStyle name="강조색1 11 2" xfId="1816" xr:uid="{22FD002C-7267-47FE-ADDB-5A2AD587D88E}"/>
    <cellStyle name="강조색1 12" xfId="1817" xr:uid="{DB5C46E8-99EA-4083-ADF1-8438609A1C60}"/>
    <cellStyle name="강조색1 12 2" xfId="1818" xr:uid="{095898C4-8F78-4191-9669-D7AB25732117}"/>
    <cellStyle name="강조색1 13" xfId="1819" xr:uid="{B9DC1D12-32DE-4D3A-8C2B-4B9C8CE1C824}"/>
    <cellStyle name="강조색1 13 2" xfId="1820" xr:uid="{ACFD61C5-1A06-4989-AD5B-997F3FDC6AFE}"/>
    <cellStyle name="강조색1 14" xfId="1821" xr:uid="{285DC8FB-7BBE-4886-B414-6665411399D4}"/>
    <cellStyle name="강조색1 14 2" xfId="1822" xr:uid="{5BF21019-6F74-4127-B304-F1D05C5E8DAA}"/>
    <cellStyle name="강조색1 15" xfId="1823" xr:uid="{76EAE166-7AA5-4E12-BDE5-D5AE4715FD5A}"/>
    <cellStyle name="강조색1 15 2" xfId="1824" xr:uid="{D8581547-11A3-490B-9B24-9261FC954AFC}"/>
    <cellStyle name="강조색1 16" xfId="1825" xr:uid="{7431F461-45F8-485D-A531-2F1DA121D455}"/>
    <cellStyle name="강조색1 16 2" xfId="1826" xr:uid="{13F189D3-41A4-4E19-B179-B473FEB3FE39}"/>
    <cellStyle name="강조색1 17" xfId="1827" xr:uid="{6D51E690-051E-446D-92E0-BB1ACDCF753F}"/>
    <cellStyle name="강조색1 17 2" xfId="1828" xr:uid="{5943058C-FA63-4D54-9E27-835CD9DF5C2D}"/>
    <cellStyle name="강조색1 18" xfId="1829" xr:uid="{BEABB298-6D47-48CF-AB2E-CFDBB86B8854}"/>
    <cellStyle name="강조색1 18 2" xfId="1830" xr:uid="{AA4281A1-3482-41D5-AD38-481BF76C4A46}"/>
    <cellStyle name="강조색1 19" xfId="1831" xr:uid="{8B823511-7E8F-4281-B4CF-DAE19019009A}"/>
    <cellStyle name="강조색1 19 2" xfId="1832" xr:uid="{C868292C-58A4-4DF6-9E1A-43074348CAD9}"/>
    <cellStyle name="강조색1 2" xfId="1833" xr:uid="{E068D01E-5FCA-42C0-9F30-61AB0C7F8D53}"/>
    <cellStyle name="강조색1 2 2" xfId="1834" xr:uid="{98497363-98AA-429E-B049-224EFE5DD402}"/>
    <cellStyle name="강조색1 20" xfId="1835" xr:uid="{61C0CED0-E392-4B35-ACEF-8162B6EC74A0}"/>
    <cellStyle name="강조색1 20 2" xfId="1836" xr:uid="{D71B7F44-729E-4ACC-9AE9-9456379D9B18}"/>
    <cellStyle name="강조색1 21" xfId="1837" xr:uid="{0851E820-A052-485A-B5AB-2B1B5A674BAE}"/>
    <cellStyle name="강조색1 21 2" xfId="1838" xr:uid="{EB87D63C-79AA-4211-B178-7C068C89A34C}"/>
    <cellStyle name="강조색1 22" xfId="1839" xr:uid="{2CCD60A0-1D3C-49B7-A994-917F3CBF7A18}"/>
    <cellStyle name="강조색1 22 2" xfId="1840" xr:uid="{19E5391A-4FBF-428F-BB1C-5BC85112FBF9}"/>
    <cellStyle name="강조색1 23" xfId="1841" xr:uid="{5F1361E6-363C-4FBE-9F9B-9E2E4FE58AF1}"/>
    <cellStyle name="강조색1 23 2" xfId="1842" xr:uid="{DDA8652F-10BF-4AB9-BCF2-D637186AB8B9}"/>
    <cellStyle name="강조색1 24" xfId="1843" xr:uid="{F3FEFC3F-EF6B-44D4-8DB3-DA7379D9DD6B}"/>
    <cellStyle name="강조색1 24 2" xfId="1844" xr:uid="{6E18D74B-659E-4B91-BD34-61A63B1F5850}"/>
    <cellStyle name="강조색1 25" xfId="1845" xr:uid="{554D0D87-482A-4EB4-88F5-5C29EB9A18B1}"/>
    <cellStyle name="강조색1 25 2" xfId="1846" xr:uid="{0A292C84-8088-4015-8090-CD458FD18746}"/>
    <cellStyle name="강조색1 26" xfId="1847" xr:uid="{2DE4EDD4-CAD9-467E-9A2F-8984A655DB96}"/>
    <cellStyle name="강조색1 26 2" xfId="1848" xr:uid="{BB6CD4E6-CD66-46B4-9D1F-6F98A39EE157}"/>
    <cellStyle name="강조색1 27" xfId="1849" xr:uid="{1F3C61DB-13AF-403E-8CDA-16228F902695}"/>
    <cellStyle name="강조색1 27 2" xfId="1850" xr:uid="{0EF555B3-1940-41E6-AE22-2168F8BCDBF0}"/>
    <cellStyle name="강조색1 28" xfId="1851" xr:uid="{DE05C5BF-E1DF-44DE-8983-68678C576389}"/>
    <cellStyle name="강조색1 28 2" xfId="1852" xr:uid="{CFEDBE20-438E-4B27-96EF-BEC9F83D0DA6}"/>
    <cellStyle name="강조색1 29" xfId="1853" xr:uid="{E63AF356-526D-4E7E-A7D2-830BCE4387A0}"/>
    <cellStyle name="강조색1 29 2" xfId="1854" xr:uid="{3D421681-2850-4C78-A3A1-C9E18BE8D83A}"/>
    <cellStyle name="강조색1 3" xfId="1855" xr:uid="{693F8A13-169E-4EC9-AFAD-A689D508A5D1}"/>
    <cellStyle name="강조색1 3 2" xfId="1856" xr:uid="{E677A664-C743-4C05-AA61-7251797FC0A6}"/>
    <cellStyle name="강조색1 30" xfId="1857" xr:uid="{398594B7-B714-423C-9A12-8B8C1BF1989F}"/>
    <cellStyle name="강조색1 30 2" xfId="1858" xr:uid="{28A6792C-4B86-4985-B847-235D04A79B6E}"/>
    <cellStyle name="강조색1 31" xfId="1859" xr:uid="{3D48BBCD-EA68-4826-BDB9-C77743122103}"/>
    <cellStyle name="강조색1 31 2" xfId="1860" xr:uid="{B105179E-00AF-4117-9FDA-099BA854D7AF}"/>
    <cellStyle name="강조색1 32" xfId="1861" xr:uid="{AA401CBC-EB1C-4217-AA16-A91E7065B149}"/>
    <cellStyle name="강조색1 32 2" xfId="1862" xr:uid="{FBC1B85C-338F-41C3-97BA-DA3C4F2DA29C}"/>
    <cellStyle name="강조색1 33" xfId="1863" xr:uid="{2A78D5A2-D668-42B3-8A6C-D8F09511BB73}"/>
    <cellStyle name="강조색1 33 2" xfId="1864" xr:uid="{5DF2B0DC-50E9-4CCA-B831-DD241198C8A6}"/>
    <cellStyle name="강조색1 34" xfId="1865" xr:uid="{288D90A0-B597-4168-A3F6-6C056CA70C0B}"/>
    <cellStyle name="강조색1 34 2" xfId="1866" xr:uid="{6D1C23DC-94D9-43DE-B7F2-B07E28986701}"/>
    <cellStyle name="강조색1 35" xfId="1867" xr:uid="{8133AC42-B65A-4E14-AB39-8FD887AF05A5}"/>
    <cellStyle name="강조색1 35 2" xfId="1868" xr:uid="{0687CEAA-73F9-40A6-80F5-FFB326999DFB}"/>
    <cellStyle name="강조색1 36" xfId="1869" xr:uid="{ED952F04-3717-42B0-9D89-BF550B2286CD}"/>
    <cellStyle name="강조색1 36 2" xfId="1870" xr:uid="{32DB5579-5B02-43E7-9B19-FE3C92B0AF61}"/>
    <cellStyle name="강조색1 37" xfId="1871" xr:uid="{DC784701-0117-4C91-B226-0FD67D6EF69F}"/>
    <cellStyle name="강조색1 37 2" xfId="1872" xr:uid="{1BF147D9-A2A4-4E1D-B564-30B45590044E}"/>
    <cellStyle name="강조색1 38" xfId="1873" xr:uid="{A2DFA1A5-E82D-4776-8289-5BAADD776CF2}"/>
    <cellStyle name="강조색1 38 2" xfId="1874" xr:uid="{A1816D91-DA36-47D0-97BC-B4C2BF09A910}"/>
    <cellStyle name="강조색1 39" xfId="1875" xr:uid="{C970D767-5222-42C6-AD3A-C137C3C3D70D}"/>
    <cellStyle name="강조색1 39 2" xfId="1876" xr:uid="{0BC60CED-6195-4AC4-80AC-4A6534E4B001}"/>
    <cellStyle name="강조색1 4" xfId="1877" xr:uid="{D7030505-8C38-49FB-A058-D798EE416E38}"/>
    <cellStyle name="강조색1 4 2" xfId="1878" xr:uid="{3230D85A-E51E-4BA5-816C-2B13E951822D}"/>
    <cellStyle name="강조색1 40" xfId="1879" xr:uid="{461C138F-79EE-4E5F-B7F3-D39C034ACB4A}"/>
    <cellStyle name="강조색1 40 2" xfId="1880" xr:uid="{88A8E4AC-7840-482B-AA3A-A69AC7A846FB}"/>
    <cellStyle name="강조색1 41" xfId="1881" xr:uid="{733FBA91-7D8C-404E-8F37-8C7DBB31541C}"/>
    <cellStyle name="강조색1 41 2" xfId="1882" xr:uid="{084BB8C6-7EB4-4C5E-BEBC-D57C5E53A8C8}"/>
    <cellStyle name="강조색1 42" xfId="1883" xr:uid="{5C7C69FF-3BD8-4E11-85E1-63A4D81CDC27}"/>
    <cellStyle name="강조색1 42 2" xfId="1884" xr:uid="{5A906B9C-0EB1-443B-901E-6BB1BFE38A4E}"/>
    <cellStyle name="강조색1 43" xfId="1885" xr:uid="{C78F4DD8-6D75-42C9-8CF6-D7DC1BAFE50D}"/>
    <cellStyle name="강조색1 43 2" xfId="1886" xr:uid="{BC803961-3E38-4BC3-BAD9-28D83D653241}"/>
    <cellStyle name="강조색1 44" xfId="1887" xr:uid="{3BB28497-D4C7-4644-841A-16350CF61527}"/>
    <cellStyle name="강조색1 45" xfId="1888" xr:uid="{8824ECAA-4E6B-4C70-BEBB-44B5F0D776A3}"/>
    <cellStyle name="강조색1 46" xfId="1889" xr:uid="{2C1A14F5-3187-401C-A4F9-EB22FF8C3FD6}"/>
    <cellStyle name="강조색1 47" xfId="1890" xr:uid="{EAA9B2F1-31D0-4D27-AAFF-FD0D5360FB7B}"/>
    <cellStyle name="강조색1 48" xfId="1891" xr:uid="{F6CF4B01-ECA7-4466-BCFD-AE6B1B456BF5}"/>
    <cellStyle name="강조색1 49" xfId="1892" xr:uid="{0E80E6E7-F5CF-44EC-BD9A-3FD951E5B930}"/>
    <cellStyle name="강조색1 5" xfId="1893" xr:uid="{A18A40CC-5E3A-491D-ABA9-666DA5184FF1}"/>
    <cellStyle name="강조색1 5 2" xfId="1894" xr:uid="{0842FA99-E8A5-4852-8A90-FC0CB55BB2AD}"/>
    <cellStyle name="강조색1 50" xfId="1895" xr:uid="{5B73CB70-2AD3-4ECF-A2BC-88F6EC7EA909}"/>
    <cellStyle name="강조색1 51" xfId="3958" xr:uid="{604D58F4-8120-4251-80BF-EFE91C81EBD0}"/>
    <cellStyle name="강조색1 52" xfId="4122" xr:uid="{62E2546E-0E4B-46ED-9088-76B6BFBA5BE6}"/>
    <cellStyle name="강조색1 53" xfId="4240" xr:uid="{8382F26E-E3F7-403A-8280-CE1914EF9A00}"/>
    <cellStyle name="강조색1 54" xfId="4412" xr:uid="{8D0FAFB7-FAF0-4F85-B0BB-8B15080C139E}"/>
    <cellStyle name="강조색1 55" xfId="1812" xr:uid="{426B1F0A-22E7-4F56-B4F2-45B079D8D45F}"/>
    <cellStyle name="강조색1 6" xfId="1896" xr:uid="{193EBF45-AE71-4359-8D6A-5E8BA8E0E843}"/>
    <cellStyle name="강조색1 6 2" xfId="1897" xr:uid="{5CA8E7F5-D5DD-4BC9-BBB6-FEEC94748F98}"/>
    <cellStyle name="강조색1 7" xfId="1898" xr:uid="{FF6B5E0B-21BD-496E-B305-2113BDCB96F1}"/>
    <cellStyle name="강조색1 7 2" xfId="1899" xr:uid="{EE345F73-C835-4702-922F-A6DF57F51517}"/>
    <cellStyle name="강조색1 8" xfId="1900" xr:uid="{D1CBEAF8-0564-4548-A7FD-5D39B14FEB22}"/>
    <cellStyle name="강조색1 8 2" xfId="1901" xr:uid="{B4889CA3-3034-4189-9A2F-7E6B614FF914}"/>
    <cellStyle name="강조색1 9" xfId="1902" xr:uid="{A155DC1D-AD19-44C5-8C59-B1A04A5DBB2F}"/>
    <cellStyle name="강조색1 9 2" xfId="1903" xr:uid="{7752FB18-6B7D-4A43-814E-276A2DE997E5}"/>
    <cellStyle name="강조색2 10" xfId="1905" xr:uid="{F1E0BD4C-D1FE-4B8A-9CE2-FF6C74151390}"/>
    <cellStyle name="강조색2 10 2" xfId="1906" xr:uid="{E2C20724-CBCF-4601-AE12-A29FB85F6B89}"/>
    <cellStyle name="강조색2 11" xfId="1907" xr:uid="{7181B435-921D-4017-86A0-123796390481}"/>
    <cellStyle name="강조색2 11 2" xfId="1908" xr:uid="{7FA773E2-3733-47B2-A706-63D0896EB8D7}"/>
    <cellStyle name="강조색2 12" xfId="1909" xr:uid="{A25E8A35-A916-498E-A1A8-0D3683356957}"/>
    <cellStyle name="강조색2 12 2" xfId="1910" xr:uid="{47D50530-EAF2-4A8F-BBE2-9910AFE9B7AA}"/>
    <cellStyle name="강조색2 13" xfId="1911" xr:uid="{DDCC7BF0-224D-43B6-909B-6B49E240EBE6}"/>
    <cellStyle name="강조색2 13 2" xfId="1912" xr:uid="{2A1E462E-8AAD-4F61-ABF9-964A4CA35AC5}"/>
    <cellStyle name="강조색2 14" xfId="1913" xr:uid="{03E1F532-030F-4428-B71C-40C8A3497B24}"/>
    <cellStyle name="강조색2 14 2" xfId="1914" xr:uid="{70B3A8E7-EB30-4312-83B9-E78D7D0B2D2B}"/>
    <cellStyle name="강조색2 15" xfId="1915" xr:uid="{C99ABE6F-D588-491A-9569-6F8961FC8898}"/>
    <cellStyle name="강조색2 15 2" xfId="1916" xr:uid="{5ABDDA66-0C38-401A-BFB6-59761841A9B0}"/>
    <cellStyle name="강조색2 16" xfId="1917" xr:uid="{C1F0F136-8411-4822-B3FC-5D62AF591E14}"/>
    <cellStyle name="강조색2 16 2" xfId="1918" xr:uid="{3A2DB075-BAAD-41CC-A493-18C4871AEF32}"/>
    <cellStyle name="강조색2 17" xfId="1919" xr:uid="{7A2E3EEE-D6DB-4348-9063-1D4364C0AED7}"/>
    <cellStyle name="강조색2 17 2" xfId="1920" xr:uid="{235A080B-4F9B-42EF-A5CB-F29DFA87F9E8}"/>
    <cellStyle name="강조색2 18" xfId="1921" xr:uid="{8A4B6575-A6A3-416A-A392-183ABBD0BC38}"/>
    <cellStyle name="강조색2 18 2" xfId="1922" xr:uid="{EBD5516F-A8E5-433B-8F6F-C15FD0F01F01}"/>
    <cellStyle name="강조색2 19" xfId="1923" xr:uid="{1669CEC5-406C-4C22-8AF0-7C6B19466278}"/>
    <cellStyle name="강조색2 19 2" xfId="1924" xr:uid="{6EAEA412-72E0-4BFF-8242-63B28AD7911C}"/>
    <cellStyle name="강조색2 2" xfId="1925" xr:uid="{98C33C4B-B2C6-4BB0-85FB-8C1EEFD154D7}"/>
    <cellStyle name="강조색2 2 2" xfId="1926" xr:uid="{1617D53A-E9F3-45FC-B92A-383C649EE100}"/>
    <cellStyle name="강조색2 20" xfId="1927" xr:uid="{EAAB23B4-908C-42D5-864D-DF7BB7C73A4D}"/>
    <cellStyle name="강조색2 20 2" xfId="1928" xr:uid="{6ADFD386-1A8D-46E9-A531-17093ADA83FA}"/>
    <cellStyle name="강조색2 21" xfId="1929" xr:uid="{56EE35AC-732F-4E1A-9A70-8431D07E7158}"/>
    <cellStyle name="강조색2 21 2" xfId="1930" xr:uid="{4CB82BAD-2A8A-4F6B-9C6A-37586C7220B7}"/>
    <cellStyle name="강조색2 22" xfId="1931" xr:uid="{3276361A-09A7-4733-A64B-7D5195D61B6C}"/>
    <cellStyle name="강조색2 22 2" xfId="1932" xr:uid="{9DC6741F-0091-4404-BF45-617ED10EC909}"/>
    <cellStyle name="강조색2 23" xfId="1933" xr:uid="{7DB74731-B35E-461D-B459-57F5DA1EF9D9}"/>
    <cellStyle name="강조색2 23 2" xfId="1934" xr:uid="{56F4968D-4152-4801-8768-EF6880556631}"/>
    <cellStyle name="강조색2 24" xfId="1935" xr:uid="{D154328B-05F0-4A0D-ADDE-83EB9B129DCD}"/>
    <cellStyle name="강조색2 24 2" xfId="1936" xr:uid="{601BD463-0FEF-4EE5-A855-CB8A32D7B3F2}"/>
    <cellStyle name="강조색2 25" xfId="1937" xr:uid="{BB99F061-28DC-415F-8C44-334A48A5A6D5}"/>
    <cellStyle name="강조색2 25 2" xfId="1938" xr:uid="{BE147971-0367-4C06-9761-A41EDEE252F3}"/>
    <cellStyle name="강조색2 26" xfId="1939" xr:uid="{B2D78D7D-DAB4-4DBD-B681-031C1AA55BF5}"/>
    <cellStyle name="강조색2 26 2" xfId="1940" xr:uid="{4FACF255-C2F0-4E3B-AF1C-A537911358ED}"/>
    <cellStyle name="강조색2 27" xfId="1941" xr:uid="{8D04D911-6779-4D85-B23E-E4250754AE2F}"/>
    <cellStyle name="강조색2 27 2" xfId="1942" xr:uid="{2CA16439-41A1-4124-AB60-E0548365E006}"/>
    <cellStyle name="강조색2 28" xfId="1943" xr:uid="{CE95952B-1129-4AFD-BA1E-45771D90FB73}"/>
    <cellStyle name="강조색2 28 2" xfId="1944" xr:uid="{B788DF0B-ACCA-49D2-8B0D-73A0F8E5F8F4}"/>
    <cellStyle name="강조색2 29" xfId="1945" xr:uid="{57E20876-8005-44F4-A58E-6C03B5F18117}"/>
    <cellStyle name="강조색2 29 2" xfId="1946" xr:uid="{88D0E00C-4431-4A25-9363-AD2098F84490}"/>
    <cellStyle name="강조색2 3" xfId="1947" xr:uid="{BBBD3513-8B0F-4218-98E4-5C80835E7E61}"/>
    <cellStyle name="강조색2 3 2" xfId="1948" xr:uid="{8D485DC0-6441-4324-A8C2-43E877C55A33}"/>
    <cellStyle name="강조색2 30" xfId="1949" xr:uid="{B74A0963-08D6-4311-AECC-8968D1BC2499}"/>
    <cellStyle name="강조색2 30 2" xfId="1950" xr:uid="{82328978-3DF3-4F64-B60B-4D05135E6310}"/>
    <cellStyle name="강조색2 31" xfId="1951" xr:uid="{58DA2648-D78D-4B3C-A001-AC343184DC46}"/>
    <cellStyle name="강조색2 31 2" xfId="1952" xr:uid="{1C27EC18-B318-4C79-B41B-586D20D01DC6}"/>
    <cellStyle name="강조색2 32" xfId="1953" xr:uid="{CBB51702-2768-4FB2-B7EB-D59D28D1078D}"/>
    <cellStyle name="강조색2 32 2" xfId="1954" xr:uid="{FEB50CCF-AEC2-400B-AA01-9CC28315EB2E}"/>
    <cellStyle name="강조색2 33" xfId="1955" xr:uid="{0F10B1EC-86CD-447B-A08E-A9F47F648BE3}"/>
    <cellStyle name="강조색2 33 2" xfId="1956" xr:uid="{77B01428-7989-4C38-9D80-39C32CDC0178}"/>
    <cellStyle name="강조색2 34" xfId="1957" xr:uid="{684CDF00-4ADD-4E46-A767-DD1E739EA2A9}"/>
    <cellStyle name="강조색2 34 2" xfId="1958" xr:uid="{5C4AB9A7-7E54-452B-AC31-FF9B46127D1A}"/>
    <cellStyle name="강조색2 35" xfId="1959" xr:uid="{4071E908-538E-4849-93B6-19D795E4B05D}"/>
    <cellStyle name="강조색2 35 2" xfId="1960" xr:uid="{2B4B31FC-8BA9-4B28-9193-85826F6B69B4}"/>
    <cellStyle name="강조색2 36" xfId="1961" xr:uid="{CFB29112-B598-420E-AF63-122189598E94}"/>
    <cellStyle name="강조색2 36 2" xfId="1962" xr:uid="{0E536BDA-49EE-4013-AA1D-F4F031618280}"/>
    <cellStyle name="강조색2 37" xfId="1963" xr:uid="{F1E76817-2CEA-4FC9-99F3-D995DF2CA37F}"/>
    <cellStyle name="강조색2 37 2" xfId="1964" xr:uid="{80037827-AE9D-4F7B-83E5-50051E804252}"/>
    <cellStyle name="강조색2 38" xfId="1965" xr:uid="{9AC4EC6E-0A4A-4C92-BC56-E5BDDCB4EC42}"/>
    <cellStyle name="강조색2 38 2" xfId="1966" xr:uid="{8032C64E-2874-4737-8D41-9E524CCFFC8F}"/>
    <cellStyle name="강조색2 39" xfId="1967" xr:uid="{B3591F5B-761F-4103-8993-6BE1AF945ADB}"/>
    <cellStyle name="강조색2 39 2" xfId="1968" xr:uid="{2E793BBF-9AF7-4A55-981C-9F5216A805EB}"/>
    <cellStyle name="강조색2 4" xfId="1969" xr:uid="{0CD4DEDB-9B60-4BAF-AE0D-232E90499E55}"/>
    <cellStyle name="강조색2 4 2" xfId="1970" xr:uid="{EA4022AE-66C3-4FD9-84BF-87D4DAE8BC1C}"/>
    <cellStyle name="강조색2 40" xfId="1971" xr:uid="{41D6BB4A-B438-426D-B275-EBBAD8E006A7}"/>
    <cellStyle name="강조색2 40 2" xfId="1972" xr:uid="{340D8F19-251C-4F42-B128-454C3964A6EF}"/>
    <cellStyle name="강조색2 41" xfId="1973" xr:uid="{AC5E7D27-6CD8-4451-B60F-3EC1565C8C0A}"/>
    <cellStyle name="강조색2 41 2" xfId="1974" xr:uid="{E218C622-E9D1-4F3D-AF33-EBF61B4815FB}"/>
    <cellStyle name="강조색2 42" xfId="1975" xr:uid="{A2720D96-2B99-471B-9F4C-C6F3001FA37E}"/>
    <cellStyle name="강조색2 42 2" xfId="1976" xr:uid="{0096D25E-992D-490E-8DFA-C3842515DDE6}"/>
    <cellStyle name="강조색2 43" xfId="1977" xr:uid="{3099B605-AE8B-4E0E-A329-41D7A3489B65}"/>
    <cellStyle name="강조색2 43 2" xfId="1978" xr:uid="{AED43FD7-5385-4380-963F-306DEEE6D81B}"/>
    <cellStyle name="강조색2 44" xfId="1979" xr:uid="{EDEAABA2-05D7-42B7-BCC3-EDB6E20AADF5}"/>
    <cellStyle name="강조색2 45" xfId="1980" xr:uid="{F3078CBB-A27A-4664-835E-CCD17CC0DBAA}"/>
    <cellStyle name="강조색2 46" xfId="1981" xr:uid="{262BB696-DF28-4770-AF0C-D6D1E6840AE2}"/>
    <cellStyle name="강조색2 47" xfId="1982" xr:uid="{20686C2C-B92D-4E3C-8CE1-32DB09A0E33C}"/>
    <cellStyle name="강조색2 48" xfId="1983" xr:uid="{EF74B945-2664-4E6A-B3CE-6ED92DE9BC39}"/>
    <cellStyle name="강조색2 49" xfId="1984" xr:uid="{9BC15584-1464-48FE-910E-CFBBBE533D3F}"/>
    <cellStyle name="강조색2 5" xfId="1985" xr:uid="{DBD92B34-1425-422A-9414-4E4BF64C7F5B}"/>
    <cellStyle name="강조색2 5 2" xfId="1986" xr:uid="{70BB565A-59B1-423E-BAE4-4F79905A3617}"/>
    <cellStyle name="강조색2 50" xfId="1987" xr:uid="{AF6874E0-12B7-4D7A-AA20-58317F425F4D}"/>
    <cellStyle name="강조색2 51" xfId="3962" xr:uid="{5BAB8A1F-604C-45E4-8DDB-02B5A82EF66A}"/>
    <cellStyle name="강조색2 52" xfId="4126" xr:uid="{C72D8D22-2DC1-4566-A95A-6C261481F4FC}"/>
    <cellStyle name="강조색2 53" xfId="4241" xr:uid="{9822AD9F-E25C-4241-B326-C95646A46A0D}"/>
    <cellStyle name="강조색2 54" xfId="4413" xr:uid="{E8441418-3B8F-4062-9311-15788DAE1DAB}"/>
    <cellStyle name="강조색2 55" xfId="1904" xr:uid="{86B8722B-775E-4EB9-9152-757A1C1AB884}"/>
    <cellStyle name="강조색2 6" xfId="1988" xr:uid="{81E822E4-F537-46F3-BF48-727A3125BD37}"/>
    <cellStyle name="강조색2 6 2" xfId="1989" xr:uid="{15038844-09D6-4FB1-B2D7-6AD95B5DDD76}"/>
    <cellStyle name="강조색2 7" xfId="1990" xr:uid="{C793DE3C-3FD4-43FE-A914-3C35869E498E}"/>
    <cellStyle name="강조색2 7 2" xfId="1991" xr:uid="{407C2829-D313-4638-B1D8-F7D1F5BAFE6E}"/>
    <cellStyle name="강조색2 8" xfId="1992" xr:uid="{B7D10B76-4DAF-4FD4-B46B-E6D8EA942502}"/>
    <cellStyle name="강조색2 8 2" xfId="1993" xr:uid="{E1B55BB9-6312-4CE8-9B7E-DF71325D07DC}"/>
    <cellStyle name="강조색2 9" xfId="1994" xr:uid="{44E94CC2-C31E-4485-91D3-3505C440C0AC}"/>
    <cellStyle name="강조색2 9 2" xfId="1995" xr:uid="{0A35EA9C-E93C-4C0B-855A-6DFFECC6F7E0}"/>
    <cellStyle name="강조색3 10" xfId="1997" xr:uid="{98F8461A-AF69-43F7-B3A6-0E5D7D65AB28}"/>
    <cellStyle name="강조색3 10 2" xfId="1998" xr:uid="{42271C9D-2E9F-45AF-AA50-6A5C29D5A16F}"/>
    <cellStyle name="강조색3 11" xfId="1999" xr:uid="{69BFB23D-2C3C-47C2-9701-F2CEF11AFF68}"/>
    <cellStyle name="강조색3 11 2" xfId="2000" xr:uid="{0D9CBBF8-88EC-44B1-8E4E-137404CF535D}"/>
    <cellStyle name="강조색3 12" xfId="2001" xr:uid="{970CE172-5A79-4A99-B116-B44017E1E186}"/>
    <cellStyle name="강조색3 12 2" xfId="2002" xr:uid="{F9393137-32A2-497A-B7FE-3158FE77395F}"/>
    <cellStyle name="강조색3 13" xfId="2003" xr:uid="{B68E1577-1BFC-473F-9249-1E531FB8E49B}"/>
    <cellStyle name="강조색3 13 2" xfId="2004" xr:uid="{C9F2A678-A83A-4286-93FE-9999DCF486ED}"/>
    <cellStyle name="강조색3 14" xfId="2005" xr:uid="{CFB1DB49-168F-4EAE-924B-3A15464B5374}"/>
    <cellStyle name="강조색3 14 2" xfId="2006" xr:uid="{EE2A206F-55DA-46A0-B222-01C9A8BC79DA}"/>
    <cellStyle name="강조색3 15" xfId="2007" xr:uid="{AE819200-19A5-4D44-BFBD-FEA40C0F4100}"/>
    <cellStyle name="강조색3 15 2" xfId="2008" xr:uid="{B7005826-A376-49EA-8BD8-1CB905B21853}"/>
    <cellStyle name="강조색3 16" xfId="2009" xr:uid="{7AA32451-9821-48CA-9709-9C2EF2107008}"/>
    <cellStyle name="강조색3 16 2" xfId="2010" xr:uid="{20CCCCFE-CCD0-4123-80A9-B0283752DF73}"/>
    <cellStyle name="강조색3 17" xfId="2011" xr:uid="{67B667D4-FBC0-4345-A188-EDD36787E49B}"/>
    <cellStyle name="강조색3 17 2" xfId="2012" xr:uid="{604E172D-EF98-4804-BBEE-86416190E4C6}"/>
    <cellStyle name="강조색3 18" xfId="2013" xr:uid="{0643C587-CE71-4AF5-90A9-E432E8D3A7F7}"/>
    <cellStyle name="강조색3 18 2" xfId="2014" xr:uid="{1141A6A9-F512-4B6D-8F44-2B67B8DE841C}"/>
    <cellStyle name="강조색3 19" xfId="2015" xr:uid="{9C938788-56DA-42CF-9ADF-EC81CE9335A5}"/>
    <cellStyle name="강조색3 19 2" xfId="2016" xr:uid="{A5524E8A-F301-4948-8013-C7683096F067}"/>
    <cellStyle name="강조색3 2" xfId="2017" xr:uid="{D543F411-80E6-495E-BD34-A664DEE31462}"/>
    <cellStyle name="강조색3 2 2" xfId="2018" xr:uid="{FA6B2FB8-90A6-4D24-9C59-F75ED2CB4E52}"/>
    <cellStyle name="강조색3 20" xfId="2019" xr:uid="{C885C048-0B93-463C-8901-E1FC493FB4A0}"/>
    <cellStyle name="강조색3 20 2" xfId="2020" xr:uid="{10FF2EA3-175A-44AD-A061-30B79ECEB6DB}"/>
    <cellStyle name="강조색3 21" xfId="2021" xr:uid="{10E9D5F0-67C1-46F7-A02B-526CD95738BC}"/>
    <cellStyle name="강조색3 21 2" xfId="2022" xr:uid="{9712FC74-3D65-407A-8946-18E6D4AD62D4}"/>
    <cellStyle name="강조색3 22" xfId="2023" xr:uid="{923ADEFC-EF4E-41D6-81A7-6A9E30C7351C}"/>
    <cellStyle name="강조색3 22 2" xfId="2024" xr:uid="{7604165B-AA5E-459B-A350-D17196805E76}"/>
    <cellStyle name="강조색3 23" xfId="2025" xr:uid="{BCF0AB75-FC40-429B-9014-92FAFB59C407}"/>
    <cellStyle name="강조색3 23 2" xfId="2026" xr:uid="{47A80DCE-0A8A-4F98-8F32-4FAE2ADE2043}"/>
    <cellStyle name="강조색3 24" xfId="2027" xr:uid="{DE689864-7D11-4F56-A537-2D6B9DEDBCDF}"/>
    <cellStyle name="강조색3 24 2" xfId="2028" xr:uid="{C2A5C81A-69F5-4D7A-8140-2B8F83FFDA62}"/>
    <cellStyle name="강조색3 25" xfId="2029" xr:uid="{CFD71928-B5E8-4413-8A7E-28197E612FEA}"/>
    <cellStyle name="강조색3 25 2" xfId="2030" xr:uid="{AFE1BC69-E1BA-47B0-876E-237960513A5F}"/>
    <cellStyle name="강조색3 26" xfId="2031" xr:uid="{29DC7F57-E166-4943-99FA-36F52D78BB54}"/>
    <cellStyle name="강조색3 26 2" xfId="2032" xr:uid="{D9B24701-8112-4AE2-9234-3BB36CAD8037}"/>
    <cellStyle name="강조색3 27" xfId="2033" xr:uid="{C7E65145-4F18-41B7-981C-126C6BCD6A34}"/>
    <cellStyle name="강조색3 27 2" xfId="2034" xr:uid="{0F25DD90-97F7-449B-9379-0E073E1E9397}"/>
    <cellStyle name="강조색3 28" xfId="2035" xr:uid="{823EF7C8-B9FB-4C7A-B901-692B93AC7724}"/>
    <cellStyle name="강조색3 28 2" xfId="2036" xr:uid="{C4E86985-D249-4533-8C75-5E0A3CE5F24E}"/>
    <cellStyle name="강조색3 29" xfId="2037" xr:uid="{D57D8294-E116-480A-91D3-05886EC0DD9F}"/>
    <cellStyle name="강조색3 29 2" xfId="2038" xr:uid="{962420D9-B108-4757-8DE9-8AD05816C05D}"/>
    <cellStyle name="강조색3 3" xfId="2039" xr:uid="{B27F9A2A-CADD-4F09-A12F-00A902A3F140}"/>
    <cellStyle name="강조색3 3 2" xfId="2040" xr:uid="{E5F84459-A9D6-416E-8037-39D9B3A8F038}"/>
    <cellStyle name="강조색3 30" xfId="2041" xr:uid="{E60E0C53-C0F4-4471-BAF6-0FA06B62D88C}"/>
    <cellStyle name="강조색3 30 2" xfId="2042" xr:uid="{5A857395-0F5B-4E1B-99F7-DE06A39A3F18}"/>
    <cellStyle name="강조색3 31" xfId="2043" xr:uid="{5473D1F8-68D1-450B-8DD6-AD4345526F44}"/>
    <cellStyle name="강조색3 31 2" xfId="2044" xr:uid="{27066B56-E844-4C8C-A31B-68C4B84F4EC5}"/>
    <cellStyle name="강조색3 32" xfId="2045" xr:uid="{9B936152-0230-4817-A53C-9B6E0E59B221}"/>
    <cellStyle name="강조색3 32 2" xfId="2046" xr:uid="{82709197-98F7-4B83-96C9-8FBDAE5B13F1}"/>
    <cellStyle name="강조색3 33" xfId="2047" xr:uid="{892BF563-5EF5-4E64-B527-68DEFB8A3019}"/>
    <cellStyle name="강조색3 33 2" xfId="2048" xr:uid="{63209554-85ED-4621-A41B-25A2121444E0}"/>
    <cellStyle name="강조색3 34" xfId="2049" xr:uid="{4448002A-361D-49E7-A5D3-8329B3A544D2}"/>
    <cellStyle name="강조색3 34 2" xfId="2050" xr:uid="{C6F3B05A-E7C4-4898-ACAC-948A8C1F3CC0}"/>
    <cellStyle name="강조색3 35" xfId="2051" xr:uid="{7DE9B84B-962F-4559-9BFA-EEF319012A84}"/>
    <cellStyle name="강조색3 35 2" xfId="2052" xr:uid="{B494E506-1060-4C93-BA02-CD88C4355231}"/>
    <cellStyle name="강조색3 36" xfId="2053" xr:uid="{9DC0D343-F3A4-4D5F-9CCA-333EAC3A14B9}"/>
    <cellStyle name="강조색3 36 2" xfId="2054" xr:uid="{D8908899-A048-41E0-BFFA-CB5282DE8931}"/>
    <cellStyle name="강조색3 37" xfId="2055" xr:uid="{25B504BF-92BB-4F58-871B-2B78AE6F193C}"/>
    <cellStyle name="강조색3 37 2" xfId="2056" xr:uid="{B1D490C0-0BF8-4AEA-9C27-303AEA4DCCC7}"/>
    <cellStyle name="강조색3 38" xfId="2057" xr:uid="{10A3DE53-B384-4BC6-BF8B-A868B107F394}"/>
    <cellStyle name="강조색3 38 2" xfId="2058" xr:uid="{0D7214A6-2C55-4D22-ABC8-9BE6F0ACC903}"/>
    <cellStyle name="강조색3 39" xfId="2059" xr:uid="{CA17D3F2-9C76-46EB-B5E9-ADAE9883B138}"/>
    <cellStyle name="강조색3 39 2" xfId="2060" xr:uid="{1FEE8E50-5159-41E6-A87E-3F237499FA06}"/>
    <cellStyle name="강조색3 4" xfId="2061" xr:uid="{98FA2D92-A8F5-4090-A320-F79A55D4B55E}"/>
    <cellStyle name="강조색3 4 2" xfId="2062" xr:uid="{5C88EC8F-A035-46BA-8764-0027E53A628C}"/>
    <cellStyle name="강조색3 40" xfId="2063" xr:uid="{F598F86E-D339-4FC2-A310-31E2620DA8A1}"/>
    <cellStyle name="강조색3 40 2" xfId="2064" xr:uid="{AB5054B7-52AF-4EE0-9A58-2CB604F8867A}"/>
    <cellStyle name="강조색3 41" xfId="2065" xr:uid="{8C4F0485-299A-468A-98AD-6ED9E930EA1E}"/>
    <cellStyle name="강조색3 41 2" xfId="2066" xr:uid="{69269957-2576-49AB-9AC0-28068C3F802A}"/>
    <cellStyle name="강조색3 42" xfId="2067" xr:uid="{37251776-4E43-40B8-B5B9-FD7DEF95A677}"/>
    <cellStyle name="강조색3 42 2" xfId="2068" xr:uid="{B7542284-4F65-4786-ACBE-7DC67B788234}"/>
    <cellStyle name="강조색3 43" xfId="2069" xr:uid="{CD0561F7-348E-40EB-BB8E-0353E99C6C10}"/>
    <cellStyle name="강조색3 43 2" xfId="2070" xr:uid="{E8872BF5-C85E-4B7E-9C0C-5CA0C75CECFE}"/>
    <cellStyle name="강조색3 44" xfId="2071" xr:uid="{587CF2B7-A1C4-44D7-86C9-50F3D40A5E07}"/>
    <cellStyle name="강조색3 45" xfId="2072" xr:uid="{BA39CAF6-9B2D-4752-8947-D5839D1CF32B}"/>
    <cellStyle name="강조색3 46" xfId="2073" xr:uid="{AB4654CD-95D7-42BA-AFA5-DF2499E14DAF}"/>
    <cellStyle name="강조색3 47" xfId="2074" xr:uid="{0FCF7744-A194-4C8E-B5B1-1D00B53449D0}"/>
    <cellStyle name="강조색3 48" xfId="2075" xr:uid="{EBEC5F25-4487-417B-96DE-7ADA06BE9575}"/>
    <cellStyle name="강조색3 49" xfId="2076" xr:uid="{CCCC3710-1718-4F92-BC5D-D77614047E78}"/>
    <cellStyle name="강조색3 5" xfId="2077" xr:uid="{BA273333-3F45-45CF-8F2D-73205E49C66D}"/>
    <cellStyle name="강조색3 5 2" xfId="2078" xr:uid="{2ABC7511-92F4-494C-B679-8CAC3AB2B793}"/>
    <cellStyle name="강조색3 50" xfId="2079" xr:uid="{14A6925A-B17A-4F04-8CE2-ECD55E2FE47B}"/>
    <cellStyle name="강조색3 51" xfId="3966" xr:uid="{5653E004-A279-4999-B290-3F1D2E08D7F4}"/>
    <cellStyle name="강조색3 52" xfId="4130" xr:uid="{270A7865-1F33-46DA-9A51-7E0AE17D8D23}"/>
    <cellStyle name="강조색3 53" xfId="4242" xr:uid="{628B4CBD-403A-4F87-B763-A0E28137F5A7}"/>
    <cellStyle name="강조색3 54" xfId="4414" xr:uid="{070B5445-02B0-4507-9391-6052AA583F06}"/>
    <cellStyle name="강조색3 55" xfId="1996" xr:uid="{C04FA463-68F9-4F7D-974C-3682B0E788BD}"/>
    <cellStyle name="강조색3 6" xfId="2080" xr:uid="{B31E3A24-DCAB-4ABE-B398-7C1A530D09B4}"/>
    <cellStyle name="강조색3 6 2" xfId="2081" xr:uid="{659A67C2-5E0F-4FE0-B735-C176F7564690}"/>
    <cellStyle name="강조색3 7" xfId="2082" xr:uid="{6E18C31A-FC80-48E1-886E-9C1D4C35DBA5}"/>
    <cellStyle name="강조색3 7 2" xfId="2083" xr:uid="{503ACFCF-EB4B-48C7-9DFC-7B11B6ABAB69}"/>
    <cellStyle name="강조색3 8" xfId="2084" xr:uid="{70F62B8C-DC85-4519-9E22-90222BD1D1D7}"/>
    <cellStyle name="강조색3 8 2" xfId="2085" xr:uid="{F075A43E-B44A-46B1-88D7-BA2F8E3EAA99}"/>
    <cellStyle name="강조색3 9" xfId="2086" xr:uid="{989EA6CB-791A-43F5-AEDE-2189C36ED930}"/>
    <cellStyle name="강조색3 9 2" xfId="2087" xr:uid="{6F332264-A77D-4E35-B937-FFF516CD6C08}"/>
    <cellStyle name="강조색4 10" xfId="2089" xr:uid="{CAF51431-CE5C-4787-AAA3-364AC02D3BDB}"/>
    <cellStyle name="강조색4 10 2" xfId="2090" xr:uid="{71E98D01-1E70-41A0-B4B5-C92EC3E7D9D0}"/>
    <cellStyle name="강조색4 11" xfId="2091" xr:uid="{27C7FBC6-E78C-41E4-B325-DE5539EE1A92}"/>
    <cellStyle name="강조색4 11 2" xfId="2092" xr:uid="{E80FE817-F5EA-4A66-92CC-6A386EC30BF5}"/>
    <cellStyle name="강조색4 12" xfId="2093" xr:uid="{7D896CA4-4DF9-45D2-A292-AE4E2D356722}"/>
    <cellStyle name="강조색4 12 2" xfId="2094" xr:uid="{47375162-2319-42F5-9293-86C89C6E6FCE}"/>
    <cellStyle name="강조색4 13" xfId="2095" xr:uid="{24DE4A5A-3AC1-458C-9A57-774EC6FA318A}"/>
    <cellStyle name="강조색4 13 2" xfId="2096" xr:uid="{65567773-AE2B-4CD3-AA39-A0532FE2AD9C}"/>
    <cellStyle name="강조색4 14" xfId="2097" xr:uid="{6154B755-AFD3-446E-A8D9-63B93FECB83C}"/>
    <cellStyle name="강조색4 14 2" xfId="2098" xr:uid="{813DD18B-5E55-4239-A1C4-7334A6D0F466}"/>
    <cellStyle name="강조색4 15" xfId="2099" xr:uid="{E9F41AE6-A9E2-4C67-AA7F-0662C416A7B5}"/>
    <cellStyle name="강조색4 15 2" xfId="2100" xr:uid="{D005A75C-95D7-40D7-88EA-AC7E8551D9C2}"/>
    <cellStyle name="강조색4 16" xfId="2101" xr:uid="{62815852-25D3-43EF-B906-7C24B3C94F18}"/>
    <cellStyle name="강조색4 16 2" xfId="2102" xr:uid="{20055DEF-5617-4CF5-A364-A37856D16371}"/>
    <cellStyle name="강조색4 17" xfId="2103" xr:uid="{CF9528CC-32AE-49C8-A37B-1038B0C0684D}"/>
    <cellStyle name="강조색4 17 2" xfId="2104" xr:uid="{5AD4577F-6B24-43DF-AB22-88C150C78EB8}"/>
    <cellStyle name="강조색4 18" xfId="2105" xr:uid="{A441E7C3-EE2C-4EB5-AE64-C7C1C2FA8607}"/>
    <cellStyle name="강조색4 18 2" xfId="2106" xr:uid="{C5516A80-2EDF-4934-AC7E-60F3CF1462E7}"/>
    <cellStyle name="강조색4 19" xfId="2107" xr:uid="{575B9656-EE8E-4775-B3C8-6F03FD9C8378}"/>
    <cellStyle name="강조색4 19 2" xfId="2108" xr:uid="{4C0D045D-5C9F-40D6-A1E6-A80580FC3DF9}"/>
    <cellStyle name="강조색4 2" xfId="2109" xr:uid="{C1B6FCCE-4291-40A4-B041-8A1C8489F81C}"/>
    <cellStyle name="강조색4 2 2" xfId="2110" xr:uid="{CC387DAD-62B4-41D1-8E0F-5201B2C03C0A}"/>
    <cellStyle name="강조색4 20" xfId="2111" xr:uid="{61C7A27C-D01D-40EF-881A-75EB5678E984}"/>
    <cellStyle name="강조색4 20 2" xfId="2112" xr:uid="{C6035446-B01A-4120-BFA6-1319BF51922B}"/>
    <cellStyle name="강조색4 21" xfId="2113" xr:uid="{48344C38-128A-40BA-8D66-DD384F9CAFC6}"/>
    <cellStyle name="강조색4 21 2" xfId="2114" xr:uid="{00BFAD98-101B-4FF7-A8C6-76C7530D7EA1}"/>
    <cellStyle name="강조색4 22" xfId="2115" xr:uid="{948A2D1F-DB6F-49CD-9ACF-A0E840C2401B}"/>
    <cellStyle name="강조색4 22 2" xfId="2116" xr:uid="{7EBD2501-62BC-4129-B08C-447ACDAEFD04}"/>
    <cellStyle name="강조색4 23" xfId="2117" xr:uid="{05138F83-2DEC-4B8D-B402-C1AFF88F89C4}"/>
    <cellStyle name="강조색4 23 2" xfId="2118" xr:uid="{80CB52B6-7639-4F9F-B1BC-BC3AEECA8EEC}"/>
    <cellStyle name="강조색4 24" xfId="2119" xr:uid="{9F288B30-14FE-4E2C-B89B-3E01D49E59C6}"/>
    <cellStyle name="강조색4 24 2" xfId="2120" xr:uid="{A2BAAD6B-8090-4783-95C8-E40D94C62CD6}"/>
    <cellStyle name="강조색4 25" xfId="2121" xr:uid="{5A357562-3682-4734-A497-71BA729944BC}"/>
    <cellStyle name="강조색4 25 2" xfId="2122" xr:uid="{4CB7D04D-D49F-4B3D-AF29-47A5D68830D1}"/>
    <cellStyle name="강조색4 26" xfId="2123" xr:uid="{92182014-FBAC-47B7-A150-678FF70D346F}"/>
    <cellStyle name="강조색4 26 2" xfId="2124" xr:uid="{0C9D497B-3207-4808-95D3-F1363D788162}"/>
    <cellStyle name="강조색4 27" xfId="2125" xr:uid="{4D65D396-35DA-4CC5-8398-DF85256EDDBC}"/>
    <cellStyle name="강조색4 27 2" xfId="2126" xr:uid="{BF2AB1E0-D86D-4E6A-B839-7B22981D4962}"/>
    <cellStyle name="강조색4 28" xfId="2127" xr:uid="{0F286D2A-16B9-4484-B4A7-BBEE39EC7E2F}"/>
    <cellStyle name="강조색4 28 2" xfId="2128" xr:uid="{E53F1F59-FC10-4D6D-9254-60676528C334}"/>
    <cellStyle name="강조색4 29" xfId="2129" xr:uid="{9040D494-77F7-410C-8B0D-A6C2C4782BB6}"/>
    <cellStyle name="강조색4 29 2" xfId="2130" xr:uid="{EB687710-F9D1-49C1-BBCC-53A9A4082477}"/>
    <cellStyle name="강조색4 3" xfId="2131" xr:uid="{C8F8E473-8D8D-4588-B9A0-78B9A3686BF2}"/>
    <cellStyle name="강조색4 3 2" xfId="2132" xr:uid="{9DF21C89-AE40-41DF-A9DC-EB4D027E54D8}"/>
    <cellStyle name="강조색4 30" xfId="2133" xr:uid="{70696C67-1275-4DC1-A04E-47B552E2FD6B}"/>
    <cellStyle name="강조색4 30 2" xfId="2134" xr:uid="{49923AD8-D9BC-438E-AD4F-61083518D0D4}"/>
    <cellStyle name="강조색4 31" xfId="2135" xr:uid="{97DCF683-A3C5-47F9-AB8F-C85230A49AD9}"/>
    <cellStyle name="강조색4 31 2" xfId="2136" xr:uid="{B1A6120A-959B-4F27-9795-2428A54D741F}"/>
    <cellStyle name="강조색4 32" xfId="2137" xr:uid="{1E988C8F-C72B-4F75-B200-78A6AEC309DD}"/>
    <cellStyle name="강조색4 32 2" xfId="2138" xr:uid="{51DCEF57-1B40-4D2D-A2C1-E1BA98079A11}"/>
    <cellStyle name="강조색4 33" xfId="2139" xr:uid="{CBAAF1BE-9FB7-40AA-BB6A-3C9F907E866C}"/>
    <cellStyle name="강조색4 33 2" xfId="2140" xr:uid="{E76A0A25-85A9-4206-B4C2-175ED7A740C8}"/>
    <cellStyle name="강조색4 34" xfId="2141" xr:uid="{C87E9A7D-396E-47B9-A6D4-637046B15261}"/>
    <cellStyle name="강조색4 34 2" xfId="2142" xr:uid="{F678599A-2FD0-46B8-81AE-2341938E7AA7}"/>
    <cellStyle name="강조색4 35" xfId="2143" xr:uid="{8259DEA1-B205-45B5-A7B1-B49D1C432417}"/>
    <cellStyle name="강조색4 35 2" xfId="2144" xr:uid="{189C5CE2-299C-498C-9D98-74DB00AC10B1}"/>
    <cellStyle name="강조색4 36" xfId="2145" xr:uid="{018AC75F-BB13-4C41-A66F-E242F0CCC203}"/>
    <cellStyle name="강조색4 36 2" xfId="2146" xr:uid="{33D14A3C-168F-4C20-86C5-B0E0BD999A07}"/>
    <cellStyle name="강조색4 37" xfId="2147" xr:uid="{C9C9F3E0-8A42-41EF-B39E-67CE0CD36AB5}"/>
    <cellStyle name="강조색4 37 2" xfId="2148" xr:uid="{161AF138-F659-4393-A2F4-9E28CC357EB8}"/>
    <cellStyle name="강조색4 38" xfId="2149" xr:uid="{DA5492C4-D42F-4FC5-BAB1-CC8E75B6ADE5}"/>
    <cellStyle name="강조색4 38 2" xfId="2150" xr:uid="{796F2306-B505-492A-B1A5-51C9497CD74E}"/>
    <cellStyle name="강조색4 39" xfId="2151" xr:uid="{7114E187-DC6A-4DED-9AD2-909B075EF9F4}"/>
    <cellStyle name="강조색4 39 2" xfId="2152" xr:uid="{1971EFAC-61DF-47C9-96CE-20BF3ABDC668}"/>
    <cellStyle name="강조색4 4" xfId="2153" xr:uid="{C7844ED7-3D69-4568-9F5C-9FBCF85AD650}"/>
    <cellStyle name="강조색4 4 2" xfId="2154" xr:uid="{70E95309-D766-4502-B5C8-DACBD512C844}"/>
    <cellStyle name="강조색4 40" xfId="2155" xr:uid="{3152D9F0-689F-4FBF-8B03-8C48BF290040}"/>
    <cellStyle name="강조색4 40 2" xfId="2156" xr:uid="{997C1030-107E-4F7B-8EBF-B889864F30F0}"/>
    <cellStyle name="강조색4 41" xfId="2157" xr:uid="{9615C042-E3ED-444B-A70E-EAE833431981}"/>
    <cellStyle name="강조색4 41 2" xfId="2158" xr:uid="{24BFE0BA-D850-48ED-9955-3139B0D86176}"/>
    <cellStyle name="강조색4 42" xfId="2159" xr:uid="{3231671C-0FED-4896-9B72-0C82B74C9E5C}"/>
    <cellStyle name="강조색4 42 2" xfId="2160" xr:uid="{AB9E1D52-BFE5-480B-8854-53E8198E385C}"/>
    <cellStyle name="강조색4 43" xfId="2161" xr:uid="{A6AAF4D0-2D41-44DB-93A8-503382C47E32}"/>
    <cellStyle name="강조색4 43 2" xfId="2162" xr:uid="{5D90AD00-379D-43E7-812D-C25BC6B40C68}"/>
    <cellStyle name="강조색4 44" xfId="2163" xr:uid="{FE39BFC2-1786-4980-A2BF-A29940E5D506}"/>
    <cellStyle name="강조색4 45" xfId="2164" xr:uid="{2A0B8651-EB91-4EB8-B0FF-8593F7EC8B06}"/>
    <cellStyle name="강조색4 46" xfId="2165" xr:uid="{D30F0616-E512-4C88-9F64-A4A40D16057F}"/>
    <cellStyle name="강조색4 47" xfId="2166" xr:uid="{5B6E18C8-8AF3-4C72-944D-F3EC1DECBE3A}"/>
    <cellStyle name="강조색4 48" xfId="2167" xr:uid="{581CC574-6E9A-4CE5-B150-17679CA73B04}"/>
    <cellStyle name="강조색4 49" xfId="2168" xr:uid="{F65CD19D-9890-48CA-B704-9FB6B6CF7CBA}"/>
    <cellStyle name="강조색4 5" xfId="2169" xr:uid="{F15FFA05-DADA-41F1-B5E5-978495E2F3BC}"/>
    <cellStyle name="강조색4 5 2" xfId="2170" xr:uid="{2D63F902-66BE-48F5-A776-3324C8B9A5D5}"/>
    <cellStyle name="강조색4 50" xfId="2171" xr:uid="{014D5471-1E32-4D49-B0CF-AD618DF37366}"/>
    <cellStyle name="강조색4 51" xfId="3970" xr:uid="{2E8BC6E3-86CC-478D-B325-A15A90E83524}"/>
    <cellStyle name="강조색4 52" xfId="4134" xr:uid="{B866293D-55E1-43E2-8A0B-2654A433C006}"/>
    <cellStyle name="강조색4 53" xfId="4243" xr:uid="{AEFED98B-2632-43D8-B459-40070CFCD77F}"/>
    <cellStyle name="강조색4 54" xfId="4415" xr:uid="{B684F8A3-A5D1-4F93-B658-4D1747D007BE}"/>
    <cellStyle name="강조색4 55" xfId="2088" xr:uid="{3D673F2A-E505-49E6-B2AC-7E8368081E72}"/>
    <cellStyle name="강조색4 6" xfId="2172" xr:uid="{9A5E1C7F-3E22-4917-B691-C4F0BBEEBD9C}"/>
    <cellStyle name="강조색4 6 2" xfId="2173" xr:uid="{7F52A458-AE43-49EB-A1F4-F6C8B3E5E63A}"/>
    <cellStyle name="강조색4 7" xfId="2174" xr:uid="{3963CFE9-97F8-4CF2-A579-75D6B7E6E364}"/>
    <cellStyle name="강조색4 7 2" xfId="2175" xr:uid="{EECAA76A-6DE8-408D-8849-3C37DD40A8F5}"/>
    <cellStyle name="강조색4 8" xfId="2176" xr:uid="{C5924638-5D8C-4408-97B8-4F6DDF19426D}"/>
    <cellStyle name="강조색4 8 2" xfId="2177" xr:uid="{E2019FE0-47BA-458F-B7C6-43034A1A9673}"/>
    <cellStyle name="강조색4 9" xfId="2178" xr:uid="{88C119DC-7C5A-4A2B-9069-1DE767949955}"/>
    <cellStyle name="강조색4 9 2" xfId="2179" xr:uid="{D1F7B663-CE15-4328-9D8F-D16C9B171821}"/>
    <cellStyle name="강조색5 10" xfId="2181" xr:uid="{491B1296-2ABB-4835-BB21-AFB65CB5D8C1}"/>
    <cellStyle name="강조색5 10 2" xfId="2182" xr:uid="{34DBDE59-0997-4DFE-8B4B-FC3414A52220}"/>
    <cellStyle name="강조색5 11" xfId="2183" xr:uid="{04D577E2-EFA1-45A9-ADA6-3DE9B47DAF06}"/>
    <cellStyle name="강조색5 11 2" xfId="2184" xr:uid="{CE62C506-7C88-4264-9320-9C6EF3C866DC}"/>
    <cellStyle name="강조색5 12" xfId="2185" xr:uid="{261E96F6-F3C4-400E-BB37-0AC914ABD332}"/>
    <cellStyle name="강조색5 12 2" xfId="2186" xr:uid="{CF2DA361-0B5A-4D36-8711-96AD56134CB6}"/>
    <cellStyle name="강조색5 13" xfId="2187" xr:uid="{A1A5C4CA-03D8-4A4F-B5DB-21DE8B4658A7}"/>
    <cellStyle name="강조색5 13 2" xfId="2188" xr:uid="{1DB19D46-95B9-4A73-AA3D-C14D386A29B0}"/>
    <cellStyle name="강조색5 14" xfId="2189" xr:uid="{7103D62A-DD8B-44C8-A670-97AB16E64ECA}"/>
    <cellStyle name="강조색5 14 2" xfId="2190" xr:uid="{4372FDE5-8E3D-4567-A419-F88639E91F7E}"/>
    <cellStyle name="강조색5 15" xfId="2191" xr:uid="{B3599C23-F075-4270-B60B-F4D71D9B1A62}"/>
    <cellStyle name="강조색5 15 2" xfId="2192" xr:uid="{D88AA1E3-7664-4AFA-8CDF-155599D94A51}"/>
    <cellStyle name="강조색5 16" xfId="2193" xr:uid="{2B9B2004-094C-4BFE-AF33-41E2F51E6B6E}"/>
    <cellStyle name="강조색5 16 2" xfId="2194" xr:uid="{4237DBCC-CC30-4F06-AECE-8E6D418DD378}"/>
    <cellStyle name="강조색5 17" xfId="2195" xr:uid="{1E799882-B34E-4A1E-9F23-260FDCE250D7}"/>
    <cellStyle name="강조색5 17 2" xfId="2196" xr:uid="{1F8D6B3F-AF49-4A32-8623-1FD95448AF00}"/>
    <cellStyle name="강조색5 18" xfId="2197" xr:uid="{299E29CF-A0B1-4BC3-A2EA-FDE785A64A29}"/>
    <cellStyle name="강조색5 18 2" xfId="2198" xr:uid="{F449F3B0-947C-4CB5-85CF-7A8E9946BC49}"/>
    <cellStyle name="강조색5 19" xfId="2199" xr:uid="{604EF692-D005-4955-99B9-FF19D351C6A6}"/>
    <cellStyle name="강조색5 19 2" xfId="2200" xr:uid="{8B8B4428-AE23-470F-8713-8E686D184AC9}"/>
    <cellStyle name="강조색5 2" xfId="2201" xr:uid="{BEACF101-22C7-47BB-8DFD-AF59E276DF0E}"/>
    <cellStyle name="강조색5 2 2" xfId="2202" xr:uid="{A5546CF8-5C47-4F52-83D7-EA333310354B}"/>
    <cellStyle name="강조색5 20" xfId="2203" xr:uid="{F820DB39-FC3A-46A1-B9D9-C3A7D06ACA01}"/>
    <cellStyle name="강조색5 20 2" xfId="2204" xr:uid="{84F0A8DD-EFDC-48A2-BC78-1875231D39A7}"/>
    <cellStyle name="강조색5 21" xfId="2205" xr:uid="{AF594639-D81E-401A-8830-9A1AB1F0DB3A}"/>
    <cellStyle name="강조색5 21 2" xfId="2206" xr:uid="{BCDFC892-6A23-4954-9057-AF918B8911A7}"/>
    <cellStyle name="강조색5 22" xfId="2207" xr:uid="{5AFC7C2A-86C3-4A6B-981B-049E65AC62DA}"/>
    <cellStyle name="강조색5 22 2" xfId="2208" xr:uid="{7DB45E68-AE0C-45B0-9833-E1AF56A09135}"/>
    <cellStyle name="강조색5 23" xfId="2209" xr:uid="{C3F495E3-DA5F-45D5-971F-D9092E98CF93}"/>
    <cellStyle name="강조색5 23 2" xfId="2210" xr:uid="{EC89E4EE-24A7-44A6-8B3F-AF7C93B3D19D}"/>
    <cellStyle name="강조색5 24" xfId="2211" xr:uid="{067AD8BD-4E82-4AC4-9CFF-283A48B2F100}"/>
    <cellStyle name="강조색5 24 2" xfId="2212" xr:uid="{B320F47C-9B46-4024-B9EA-8DB1AB947E9C}"/>
    <cellStyle name="강조색5 25" xfId="2213" xr:uid="{1A66AEF6-26D1-447B-BFA7-376538C3539C}"/>
    <cellStyle name="강조색5 25 2" xfId="2214" xr:uid="{F417B8D8-5986-4CA4-8E5D-AE204DBAA27B}"/>
    <cellStyle name="강조색5 26" xfId="2215" xr:uid="{B9751583-2538-4CA9-ADC7-9CF8E57846BC}"/>
    <cellStyle name="강조색5 26 2" xfId="2216" xr:uid="{439D695D-3302-4D6C-BCDC-48DE198BDAE6}"/>
    <cellStyle name="강조색5 27" xfId="2217" xr:uid="{1F0CBBC4-87F2-4F35-B6A4-38C4D6BA9123}"/>
    <cellStyle name="강조색5 27 2" xfId="2218" xr:uid="{48B07632-995B-4F9E-B09E-E83128AADB9A}"/>
    <cellStyle name="강조색5 28" xfId="2219" xr:uid="{8625F5B9-6BE7-49B0-B043-D13F50958708}"/>
    <cellStyle name="강조색5 28 2" xfId="2220" xr:uid="{6F8A1067-E7D4-45B7-9BCA-12E50717DAF1}"/>
    <cellStyle name="강조색5 29" xfId="2221" xr:uid="{B5DA1EDE-176F-40A7-8686-37579AF02830}"/>
    <cellStyle name="강조색5 29 2" xfId="2222" xr:uid="{6767F76A-999F-4C3C-824E-B1A215EA9D3F}"/>
    <cellStyle name="강조색5 3" xfId="2223" xr:uid="{0E330B20-2A80-4029-BA37-BC7B19BAD314}"/>
    <cellStyle name="강조색5 3 2" xfId="2224" xr:uid="{10632886-A3E1-4274-935B-54D2897C6844}"/>
    <cellStyle name="강조색5 30" xfId="2225" xr:uid="{D62EC349-4FB9-4FC2-AF6D-74620A0A8FAD}"/>
    <cellStyle name="강조색5 30 2" xfId="2226" xr:uid="{CE9053A5-0377-4625-B796-7D4589A52F32}"/>
    <cellStyle name="강조색5 31" xfId="2227" xr:uid="{89D70F98-AC04-4651-8022-439C80C7FDC2}"/>
    <cellStyle name="강조색5 31 2" xfId="2228" xr:uid="{20A1D66D-1C21-4BDF-9A51-6DF44AC8ADEF}"/>
    <cellStyle name="강조색5 32" xfId="2229" xr:uid="{A25EEE8E-09BC-410B-8D2D-9A1F76D8BCF9}"/>
    <cellStyle name="강조색5 32 2" xfId="2230" xr:uid="{0F10A43E-5905-4B2D-892C-4781CA45D7C9}"/>
    <cellStyle name="강조색5 33" xfId="2231" xr:uid="{B607D7F2-0A2F-40D2-BFDD-D2DA9FF84C15}"/>
    <cellStyle name="강조색5 33 2" xfId="2232" xr:uid="{D3B8251B-C4ED-405D-A955-26761E2E336E}"/>
    <cellStyle name="강조색5 34" xfId="2233" xr:uid="{BD6C465F-6B2D-4A8D-82B8-2E40C8083E63}"/>
    <cellStyle name="강조색5 34 2" xfId="2234" xr:uid="{8F1CCB7A-E06E-47B4-8542-4278CD9E3CA6}"/>
    <cellStyle name="강조색5 35" xfId="2235" xr:uid="{C26BEE0E-9934-4D78-AAF3-42ACA1459F3E}"/>
    <cellStyle name="강조색5 35 2" xfId="2236" xr:uid="{7DB56B4D-B19F-4F5B-BCC1-300099BF2691}"/>
    <cellStyle name="강조색5 36" xfId="2237" xr:uid="{3DE94093-0272-47F4-8E35-A68262C7E5D9}"/>
    <cellStyle name="강조색5 36 2" xfId="2238" xr:uid="{6265AB77-BC84-4D1C-A263-18F0296D971D}"/>
    <cellStyle name="강조색5 37" xfId="2239" xr:uid="{7185E41C-1246-417E-BE2F-B925934A40EE}"/>
    <cellStyle name="강조색5 37 2" xfId="2240" xr:uid="{CFC1CFB7-A112-4116-990D-220DEBB7DFCB}"/>
    <cellStyle name="강조색5 38" xfId="2241" xr:uid="{86B6C6D8-0E2F-44B2-BBAA-E894BD100CB9}"/>
    <cellStyle name="강조색5 38 2" xfId="2242" xr:uid="{2E2C3908-E22C-4722-A53C-7601DFB7D1FF}"/>
    <cellStyle name="강조색5 39" xfId="2243" xr:uid="{D404A824-839F-4B9E-9147-43CC7CAB5F79}"/>
    <cellStyle name="강조색5 39 2" xfId="2244" xr:uid="{577A6FAD-3CBA-4F80-A6AC-921FD0323FE6}"/>
    <cellStyle name="강조색5 4" xfId="2245" xr:uid="{D9DC6C46-CF23-44D2-AC6C-47396115C751}"/>
    <cellStyle name="강조색5 4 2" xfId="2246" xr:uid="{FAC14E0D-39B5-443A-ABFE-A52CB209DB92}"/>
    <cellStyle name="강조색5 40" xfId="2247" xr:uid="{8D0D5C61-6617-4C48-8E2A-C3F894C530AD}"/>
    <cellStyle name="강조색5 40 2" xfId="2248" xr:uid="{AA26D2A3-0B4F-4068-91A6-D39007481508}"/>
    <cellStyle name="강조색5 41" xfId="2249" xr:uid="{998A19BE-A03F-442E-AC3B-643B4BED28D2}"/>
    <cellStyle name="강조색5 41 2" xfId="2250" xr:uid="{F55CDCC2-09E6-42C8-AE93-504E7CF89107}"/>
    <cellStyle name="강조색5 42" xfId="2251" xr:uid="{52A36B41-580F-42EC-AFB4-EA2D0E4B6649}"/>
    <cellStyle name="강조색5 42 2" xfId="2252" xr:uid="{92492ABE-9188-4AAA-B619-A242C984A12D}"/>
    <cellStyle name="강조색5 43" xfId="2253" xr:uid="{396F69EC-D484-4801-8D57-0D3385FC1281}"/>
    <cellStyle name="강조색5 43 2" xfId="2254" xr:uid="{0AEDE3B6-6B5D-4467-BBB3-774E332DDBCB}"/>
    <cellStyle name="강조색5 44" xfId="2255" xr:uid="{2F7C2402-8574-406C-BD19-ED25E47E86E4}"/>
    <cellStyle name="강조색5 45" xfId="2256" xr:uid="{BAA77282-1340-4A56-8442-F8F27728852D}"/>
    <cellStyle name="강조색5 46" xfId="2257" xr:uid="{22C92847-A2C7-4392-BF6A-DA84C4D071C7}"/>
    <cellStyle name="강조색5 47" xfId="2258" xr:uid="{136494F1-AE4C-4F1F-9328-78A8707B3C05}"/>
    <cellStyle name="강조색5 48" xfId="2259" xr:uid="{A4CA0FDA-B620-4497-B3BB-18B8BCD16DF6}"/>
    <cellStyle name="강조색5 49" xfId="2260" xr:uid="{F9B8A42E-ECA3-4FCF-A320-B9EACB08DBA1}"/>
    <cellStyle name="강조색5 5" xfId="2261" xr:uid="{5D32E666-C912-4915-927A-19067160CD22}"/>
    <cellStyle name="강조색5 5 2" xfId="2262" xr:uid="{1FA75922-24FB-476C-B738-7CD1544697BA}"/>
    <cellStyle name="강조색5 50" xfId="2263" xr:uid="{863895A5-E26F-4147-96EC-D12EC3AA9256}"/>
    <cellStyle name="강조색5 51" xfId="3974" xr:uid="{8D8B26C9-9EEE-4E5F-A801-149A34AEB62F}"/>
    <cellStyle name="강조색5 52" xfId="4138" xr:uid="{475CC221-9543-49AD-B2C4-F34656FC7145}"/>
    <cellStyle name="강조색5 53" xfId="4244" xr:uid="{BDF5013A-2A91-4CB8-BAAD-6FDE5293DDE2}"/>
    <cellStyle name="강조색5 54" xfId="4416" xr:uid="{AD2B0EF2-A027-4B27-A676-523F4F0D80B0}"/>
    <cellStyle name="강조색5 55" xfId="2180" xr:uid="{464371D3-70C2-4F0E-8F10-0B33B32D9368}"/>
    <cellStyle name="강조색5 6" xfId="2264" xr:uid="{4A1FA28E-7CFD-4F5C-9741-B87A1EEFF4D8}"/>
    <cellStyle name="강조색5 6 2" xfId="2265" xr:uid="{03550DD0-E43C-4B12-8269-4BD45E4DBC37}"/>
    <cellStyle name="강조색5 7" xfId="2266" xr:uid="{EEBE7D6F-6AFA-4D92-9B4A-5B308BF32AFB}"/>
    <cellStyle name="강조색5 7 2" xfId="2267" xr:uid="{012EE0E4-9F17-4F92-B191-093033BDDEC1}"/>
    <cellStyle name="강조색5 8" xfId="2268" xr:uid="{6B757330-C215-4997-BF5E-8E6F3200FC30}"/>
    <cellStyle name="강조색5 8 2" xfId="2269" xr:uid="{36F44B0B-5112-4A3B-BE9E-C7DCE931A270}"/>
    <cellStyle name="강조색5 9" xfId="2270" xr:uid="{F1DC862E-98F8-4C60-9523-A5A86CE5C668}"/>
    <cellStyle name="강조색5 9 2" xfId="2271" xr:uid="{E24B53B2-E417-4036-9343-3A66830A56C3}"/>
    <cellStyle name="강조색6 10" xfId="2273" xr:uid="{C1A55528-1BC8-4A48-8871-81FCC01A231A}"/>
    <cellStyle name="강조색6 10 2" xfId="2274" xr:uid="{D0C87023-929C-4537-978C-954CAD08DB7B}"/>
    <cellStyle name="강조색6 11" xfId="2275" xr:uid="{D6C3DD35-7D8A-4D75-A68A-78971E9C5D24}"/>
    <cellStyle name="강조색6 11 2" xfId="2276" xr:uid="{C3B5089B-22BA-4132-9BEA-04CC3E2E1600}"/>
    <cellStyle name="강조색6 12" xfId="2277" xr:uid="{53B8D105-5EB3-47D2-939A-3109A1B475BF}"/>
    <cellStyle name="강조색6 12 2" xfId="2278" xr:uid="{AA608BA6-497F-4A03-8B9C-CE2965AB3DC2}"/>
    <cellStyle name="강조색6 13" xfId="2279" xr:uid="{E5755CD8-2BBE-4126-85AB-9D5BD6462F33}"/>
    <cellStyle name="강조색6 13 2" xfId="2280" xr:uid="{FBFC25CA-D196-415B-B9E3-97E044CCCE55}"/>
    <cellStyle name="강조색6 14" xfId="2281" xr:uid="{ACE5BEB2-D70C-40D5-AEA3-48D88F3435A4}"/>
    <cellStyle name="강조색6 14 2" xfId="2282" xr:uid="{CE15993F-082A-4AF6-A7D6-312763F3A963}"/>
    <cellStyle name="강조색6 15" xfId="2283" xr:uid="{E1A5A64A-738A-4CD3-80BA-C57E42570442}"/>
    <cellStyle name="강조색6 15 2" xfId="2284" xr:uid="{DDA5FB3A-17A9-454E-9BB3-674F3289B7C2}"/>
    <cellStyle name="강조색6 16" xfId="2285" xr:uid="{A26F7E4B-C26C-4163-887D-0ABEF07DCFE6}"/>
    <cellStyle name="강조색6 16 2" xfId="2286" xr:uid="{45288524-8332-4D8D-8D11-CFE171F5BE27}"/>
    <cellStyle name="강조색6 17" xfId="2287" xr:uid="{EC45240E-F1CE-4DD3-88E3-F256AD5E5927}"/>
    <cellStyle name="강조색6 17 2" xfId="2288" xr:uid="{31AC6381-C270-4A13-A6B1-6D67FF0DAE13}"/>
    <cellStyle name="강조색6 18" xfId="2289" xr:uid="{375C4417-12B9-436C-BC4A-CDF8FF34AC40}"/>
    <cellStyle name="강조색6 18 2" xfId="2290" xr:uid="{73C72DBC-A127-4F25-BDEF-3CD8FA19CCFD}"/>
    <cellStyle name="강조색6 19" xfId="2291" xr:uid="{6EC5002F-B9B2-423B-8A1B-12EA7E930DCE}"/>
    <cellStyle name="강조색6 19 2" xfId="2292" xr:uid="{627960B3-5093-49A4-A005-16F6682FB2CB}"/>
    <cellStyle name="강조색6 2" xfId="2293" xr:uid="{63DDA5DA-F060-4443-A14E-34447315A442}"/>
    <cellStyle name="강조색6 2 2" xfId="2294" xr:uid="{3B241C2F-7191-41A6-BE0B-26C0FB7DF21A}"/>
    <cellStyle name="강조색6 20" xfId="2295" xr:uid="{1419A0D1-D8A9-4DD9-8289-47AB98F73D32}"/>
    <cellStyle name="강조색6 20 2" xfId="2296" xr:uid="{934E8A4A-4060-4D66-8311-7C86C9BE0E9E}"/>
    <cellStyle name="강조색6 21" xfId="2297" xr:uid="{85964231-8901-4C8F-B2C3-00195ED497DA}"/>
    <cellStyle name="강조색6 21 2" xfId="2298" xr:uid="{B7292A21-D184-4116-876F-C3A3EC4C522D}"/>
    <cellStyle name="강조색6 22" xfId="2299" xr:uid="{9C6E6CEC-24E4-430A-B941-E5F4A4C16989}"/>
    <cellStyle name="강조색6 22 2" xfId="2300" xr:uid="{575F1510-3CEC-411F-88E6-30CF18914F99}"/>
    <cellStyle name="강조색6 23" xfId="2301" xr:uid="{626C3499-2F29-41AC-AF9E-BAC1FA80B967}"/>
    <cellStyle name="강조색6 23 2" xfId="2302" xr:uid="{C34F7F34-29E4-4BA4-87FE-041A1C799204}"/>
    <cellStyle name="강조색6 24" xfId="2303" xr:uid="{0558E9C3-3672-4647-90E7-26C40D7E11A1}"/>
    <cellStyle name="강조색6 24 2" xfId="2304" xr:uid="{AB7A30E7-B616-4225-AC20-DABCAAC72486}"/>
    <cellStyle name="강조색6 25" xfId="2305" xr:uid="{AE3731FE-1FDA-4FD0-B227-0018CC5F9577}"/>
    <cellStyle name="강조색6 25 2" xfId="2306" xr:uid="{F3EDF5F7-FC5F-4C3A-8769-2DB25C5191C1}"/>
    <cellStyle name="강조색6 26" xfId="2307" xr:uid="{4CD9A1A5-0A8E-4379-B649-49DDE10DE019}"/>
    <cellStyle name="강조색6 26 2" xfId="2308" xr:uid="{20467104-F490-4B6C-980D-6226D9D99858}"/>
    <cellStyle name="강조색6 27" xfId="2309" xr:uid="{E71E0C10-6CF3-4A0D-8BFE-59AFD58BD3E2}"/>
    <cellStyle name="강조색6 27 2" xfId="2310" xr:uid="{B62D189C-8867-4DA6-9E80-4BA53D4F77AF}"/>
    <cellStyle name="강조색6 28" xfId="2311" xr:uid="{1E0F99AA-D4B7-45E4-BEC2-39F607064140}"/>
    <cellStyle name="강조색6 28 2" xfId="2312" xr:uid="{B9FF72BD-74FC-4677-85E3-9EFB070670C5}"/>
    <cellStyle name="강조색6 29" xfId="2313" xr:uid="{67FF6381-49E6-4783-A518-A94F517A26BA}"/>
    <cellStyle name="강조색6 29 2" xfId="2314" xr:uid="{75F63CA4-C84B-45D3-A606-9F66CD374B96}"/>
    <cellStyle name="강조색6 3" xfId="2315" xr:uid="{27DA1A59-E90E-498A-9620-D50C0A062912}"/>
    <cellStyle name="강조색6 3 2" xfId="2316" xr:uid="{B2A524DB-5CD7-4744-BCF6-16195CC7ACC4}"/>
    <cellStyle name="강조색6 30" xfId="2317" xr:uid="{4070B979-B794-4AF7-93BB-817412ED981C}"/>
    <cellStyle name="강조색6 30 2" xfId="2318" xr:uid="{31DAC484-5CCC-4EC8-8C66-B4422EC1D075}"/>
    <cellStyle name="강조색6 31" xfId="2319" xr:uid="{59B42A4F-A54C-4DBB-8CD2-0A3855951A25}"/>
    <cellStyle name="강조색6 31 2" xfId="2320" xr:uid="{1D7353A6-DCCB-4148-A6FA-6756FB602A8B}"/>
    <cellStyle name="강조색6 32" xfId="2321" xr:uid="{A1162791-F7DF-4BB8-997C-F7E212FF62F1}"/>
    <cellStyle name="강조색6 32 2" xfId="2322" xr:uid="{C4E65F52-65B4-4072-AD6B-58A91A7CA969}"/>
    <cellStyle name="강조색6 33" xfId="2323" xr:uid="{9D6FA78F-56DA-453C-BC63-6956E75E728E}"/>
    <cellStyle name="강조색6 33 2" xfId="2324" xr:uid="{21086C06-4694-421A-9040-AB87A68D6470}"/>
    <cellStyle name="강조색6 34" xfId="2325" xr:uid="{76013AEB-8E56-4A43-B612-358D5C2B6FAE}"/>
    <cellStyle name="강조색6 34 2" xfId="2326" xr:uid="{170FE127-9CCB-4BDE-ADFC-06F095A11557}"/>
    <cellStyle name="강조색6 35" xfId="2327" xr:uid="{A5D6FAE8-E1E9-48E2-A976-719C6DEA4906}"/>
    <cellStyle name="강조색6 35 2" xfId="2328" xr:uid="{3F15AD2F-E8CE-4C28-85DE-150C08C2D329}"/>
    <cellStyle name="강조색6 36" xfId="2329" xr:uid="{033DAD00-B49B-4616-8C9A-B0E3B53F3B8B}"/>
    <cellStyle name="강조색6 36 2" xfId="2330" xr:uid="{E2BEA46D-CA9B-4CAE-A73D-496EB86AC906}"/>
    <cellStyle name="강조색6 37" xfId="2331" xr:uid="{D7E364B0-9565-473F-810C-2E56B58DCA38}"/>
    <cellStyle name="강조색6 37 2" xfId="2332" xr:uid="{8620B4E1-7199-46BA-A98D-5C490C474FBA}"/>
    <cellStyle name="강조색6 38" xfId="2333" xr:uid="{B73C665B-B857-4D5B-ACC2-1533FAD2C9F9}"/>
    <cellStyle name="강조색6 38 2" xfId="2334" xr:uid="{58BDC176-FCBC-4A03-B07E-B23E190E0EDD}"/>
    <cellStyle name="강조색6 39" xfId="2335" xr:uid="{5CDA2993-5FB8-48F3-BD7E-7C674070FA49}"/>
    <cellStyle name="강조색6 39 2" xfId="2336" xr:uid="{8E36B671-00C8-463F-A39D-A5201B84FF56}"/>
    <cellStyle name="강조색6 4" xfId="2337" xr:uid="{2A15F932-6266-45E6-83E0-1C166CB80879}"/>
    <cellStyle name="강조색6 4 2" xfId="2338" xr:uid="{1B6510AF-99C2-4DCB-93A8-AC6D2EC826AC}"/>
    <cellStyle name="강조색6 40" xfId="2339" xr:uid="{08500534-6F3F-44D4-89A3-CCDC29838480}"/>
    <cellStyle name="강조색6 40 2" xfId="2340" xr:uid="{3FF92262-8799-4789-B384-206771ABAB15}"/>
    <cellStyle name="강조색6 41" xfId="2341" xr:uid="{47B114A4-5589-41C7-BA13-2A888BFBE26D}"/>
    <cellStyle name="강조색6 41 2" xfId="2342" xr:uid="{3E9463E2-CA80-45A7-9036-894EF217A3FE}"/>
    <cellStyle name="강조색6 42" xfId="2343" xr:uid="{473392F2-F125-4614-98C8-27C9AF78E359}"/>
    <cellStyle name="강조색6 42 2" xfId="2344" xr:uid="{FE79F871-C942-4E84-A067-3AAC6CE783C8}"/>
    <cellStyle name="강조색6 43" xfId="2345" xr:uid="{E95453FC-9D2F-45E2-87B1-75F1B5D48098}"/>
    <cellStyle name="강조색6 43 2" xfId="2346" xr:uid="{8FD23360-0B9C-40AA-A35E-8EEBF4281019}"/>
    <cellStyle name="강조색6 44" xfId="2347" xr:uid="{E325CB1B-7546-4DA8-901B-5476B4EB3F31}"/>
    <cellStyle name="강조색6 45" xfId="2348" xr:uid="{E24228DC-743B-43CB-A1ED-A74F1120B48A}"/>
    <cellStyle name="강조색6 46" xfId="2349" xr:uid="{FF577E00-B10A-4271-8B96-10A42FFCDF64}"/>
    <cellStyle name="강조색6 47" xfId="2350" xr:uid="{9AEB2B6C-242D-451F-B6D4-07001D374EDB}"/>
    <cellStyle name="강조색6 48" xfId="2351" xr:uid="{74AEC46E-FA5E-4415-AE41-45C977E21444}"/>
    <cellStyle name="강조색6 49" xfId="2352" xr:uid="{3BB2200B-80A2-4E9A-8E9C-3AD79CA213E1}"/>
    <cellStyle name="강조색6 5" xfId="2353" xr:uid="{E90BF468-CFA8-4071-97C3-33A162AB23EE}"/>
    <cellStyle name="강조색6 5 2" xfId="2354" xr:uid="{5205E035-EADD-4975-B477-DAE5F1257C8C}"/>
    <cellStyle name="강조색6 50" xfId="2355" xr:uid="{5A14A5A9-7D21-4CBB-A027-1CF274308126}"/>
    <cellStyle name="강조색6 51" xfId="3978" xr:uid="{91979D66-21A6-430B-B920-3D4AF7EF0DEE}"/>
    <cellStyle name="강조색6 52" xfId="4142" xr:uid="{3FCC218A-3A80-445F-8912-A09AF658C406}"/>
    <cellStyle name="강조색6 53" xfId="4245" xr:uid="{D839792C-EC22-48DE-B16C-153BA73072F4}"/>
    <cellStyle name="강조색6 54" xfId="4417" xr:uid="{B706BC7A-A3AB-469E-8A0D-EEA50F7215F1}"/>
    <cellStyle name="강조색6 55" xfId="2272" xr:uid="{1D9303AE-E521-4175-B98F-862FD247DC02}"/>
    <cellStyle name="강조색6 6" xfId="2356" xr:uid="{484A2E38-F432-422E-8C05-ED74EA395BB1}"/>
    <cellStyle name="강조색6 6 2" xfId="2357" xr:uid="{A864462A-B76C-4635-97D5-EA383CB338C4}"/>
    <cellStyle name="강조색6 7" xfId="2358" xr:uid="{E797EAFC-1A9A-42B3-981D-1CE098FC97BA}"/>
    <cellStyle name="강조색6 7 2" xfId="2359" xr:uid="{94D79E2D-752D-4AC6-98EE-8CB870436D2A}"/>
    <cellStyle name="강조색6 8" xfId="2360" xr:uid="{C625F756-C917-4E0A-89B6-50CCCA497259}"/>
    <cellStyle name="강조색6 8 2" xfId="2361" xr:uid="{909D7A83-7145-4E50-830E-2C185CD9E272}"/>
    <cellStyle name="강조색6 9" xfId="2362" xr:uid="{2813575F-5FC5-448A-A569-B9C31B52974F}"/>
    <cellStyle name="강조색6 9 2" xfId="2363" xr:uid="{ECEF15CE-7BAF-4653-9B4C-1353AF0D870E}"/>
    <cellStyle name="경고문 10" xfId="2365" xr:uid="{E221EB1D-638E-4CCA-86BD-BDE0267A98C9}"/>
    <cellStyle name="경고문 10 2" xfId="2366" xr:uid="{3E48D798-66FD-4D06-8205-B74300098A4D}"/>
    <cellStyle name="경고문 11" xfId="2367" xr:uid="{344FFEE1-CA75-4CA5-980A-7A1D7B9FEDB2}"/>
    <cellStyle name="경고문 11 2" xfId="2368" xr:uid="{50BC3702-3945-48BE-B4E9-EEDC31573733}"/>
    <cellStyle name="경고문 12" xfId="2369" xr:uid="{5C9A428C-72EE-4FE5-9384-A6CAE0B117BB}"/>
    <cellStyle name="경고문 12 2" xfId="2370" xr:uid="{073BD8DF-B5F8-4F8B-964A-299B2333A2B9}"/>
    <cellStyle name="경고문 13" xfId="2371" xr:uid="{3FEA0FAE-EF75-466E-9EE1-FE934EB0B0A3}"/>
    <cellStyle name="경고문 13 2" xfId="2372" xr:uid="{76A93A10-B465-4F44-B84B-B153B7668271}"/>
    <cellStyle name="경고문 14" xfId="2373" xr:uid="{1AED4C72-2FDE-4910-A3C7-9081B11A4CFA}"/>
    <cellStyle name="경고문 14 2" xfId="2374" xr:uid="{570CEA83-F411-4372-95E7-B0369978BB9A}"/>
    <cellStyle name="경고문 15" xfId="2375" xr:uid="{BFB5AB38-48E4-4AE9-B99A-78E663966EDD}"/>
    <cellStyle name="경고문 15 2" xfId="2376" xr:uid="{AD655F33-65CD-429B-A8CE-092E823E774E}"/>
    <cellStyle name="경고문 16" xfId="2377" xr:uid="{B1A97E3A-E3B3-4945-ABDA-A4A49B2A5779}"/>
    <cellStyle name="경고문 16 2" xfId="2378" xr:uid="{C7E7FBB1-B5AF-47EE-A117-300809548827}"/>
    <cellStyle name="경고문 17" xfId="2379" xr:uid="{96EFB6B7-51D0-4A3B-BCBE-7093453642E6}"/>
    <cellStyle name="경고문 17 2" xfId="2380" xr:uid="{ACA05578-9F30-4405-981C-E313A8F13E35}"/>
    <cellStyle name="경고문 18" xfId="2381" xr:uid="{153582FB-63FF-48DC-BB7C-31CBEB94CA95}"/>
    <cellStyle name="경고문 18 2" xfId="2382" xr:uid="{AC063D0B-6191-4E3B-8CA8-43B7679A98DC}"/>
    <cellStyle name="경고문 19" xfId="2383" xr:uid="{D28E1464-1161-4CBD-BA0B-4E4B291DCB12}"/>
    <cellStyle name="경고문 19 2" xfId="2384" xr:uid="{143D155D-DE28-4532-95DB-03DFFB1CAC99}"/>
    <cellStyle name="경고문 2" xfId="2385" xr:uid="{1601982D-219C-44F4-87C5-EE0A3500FB28}"/>
    <cellStyle name="경고문 2 2" xfId="2386" xr:uid="{F479D853-1BD5-4C7D-853A-8B255F3A2576}"/>
    <cellStyle name="경고문 20" xfId="2387" xr:uid="{A06E7AE3-67E2-4CF2-A4A9-9DE8FDD5E02E}"/>
    <cellStyle name="경고문 20 2" xfId="2388" xr:uid="{95EC37A0-FCF8-48BE-9464-CDFABF477112}"/>
    <cellStyle name="경고문 21" xfId="2389" xr:uid="{B96D81F2-CEE8-4400-8561-03CD7AED4B39}"/>
    <cellStyle name="경고문 21 2" xfId="2390" xr:uid="{067AD9DE-B3DC-47AA-9041-D2333D802072}"/>
    <cellStyle name="경고문 22" xfId="2391" xr:uid="{93337C31-1A79-44A4-A7FD-663219F4A8DB}"/>
    <cellStyle name="경고문 22 2" xfId="2392" xr:uid="{9D997C25-6CB7-45DA-B3E2-A518ADEA7551}"/>
    <cellStyle name="경고문 23" xfId="2393" xr:uid="{A0A03223-CA14-46AC-95B1-C5F7311E54AE}"/>
    <cellStyle name="경고문 23 2" xfId="2394" xr:uid="{B7B4A924-8D78-4C4A-9AA6-D4358061D989}"/>
    <cellStyle name="경고문 24" xfId="2395" xr:uid="{94E24D95-161E-4735-A5A4-53E41C9F67D9}"/>
    <cellStyle name="경고문 24 2" xfId="2396" xr:uid="{AF456536-98DD-4753-8874-B8B26642F2DD}"/>
    <cellStyle name="경고문 25" xfId="2397" xr:uid="{E951C5CC-FE52-49A8-81AA-FC9E8658E12B}"/>
    <cellStyle name="경고문 25 2" xfId="2398" xr:uid="{80EF5561-996A-48F7-80B9-19529D1F6D5E}"/>
    <cellStyle name="경고문 26" xfId="2399" xr:uid="{E4DB4517-4EB5-4E52-AA8A-E58C8DD090AB}"/>
    <cellStyle name="경고문 26 2" xfId="2400" xr:uid="{9DF772CD-4296-42F6-A8A7-403833F77176}"/>
    <cellStyle name="경고문 27" xfId="2401" xr:uid="{7124F5AC-EC6D-4ED9-A4A5-72DE06FCB66E}"/>
    <cellStyle name="경고문 27 2" xfId="2402" xr:uid="{6E5C3DB7-648C-429D-BFF1-1334D41046B8}"/>
    <cellStyle name="경고문 28" xfId="2403" xr:uid="{68CF726B-2A56-4199-AA3F-15F15A07AF0D}"/>
    <cellStyle name="경고문 28 2" xfId="2404" xr:uid="{137AE951-C732-4532-ADD0-0144EDF9D388}"/>
    <cellStyle name="경고문 29" xfId="2405" xr:uid="{43F4D4BF-EC3C-41E3-8814-7995F61B7BFF}"/>
    <cellStyle name="경고문 29 2" xfId="2406" xr:uid="{D24C46F7-9556-4FB5-B3C1-B505F69EB54D}"/>
    <cellStyle name="경고문 3" xfId="2407" xr:uid="{942BBF88-2009-4916-9B41-1D75F2F57369}"/>
    <cellStyle name="경고문 3 2" xfId="2408" xr:uid="{5FACB647-E220-4727-9F4F-0F14229E715C}"/>
    <cellStyle name="경고문 30" xfId="2409" xr:uid="{5A7773A9-0DC3-4847-9D32-5A0E443A6B74}"/>
    <cellStyle name="경고문 30 2" xfId="2410" xr:uid="{A756105D-5751-4781-8DDC-9F57A9F153D0}"/>
    <cellStyle name="경고문 31" xfId="2411" xr:uid="{001D6467-19FC-4228-A0AD-831C22D0D9B1}"/>
    <cellStyle name="경고문 31 2" xfId="2412" xr:uid="{D8104047-6B2F-46FD-AEDC-81F293028794}"/>
    <cellStyle name="경고문 32" xfId="2413" xr:uid="{C1A0EDA3-5427-42A7-A57A-4D4DD0A669D9}"/>
    <cellStyle name="경고문 32 2" xfId="2414" xr:uid="{9284B463-14D9-4144-A1B3-B38C5DD0E6D7}"/>
    <cellStyle name="경고문 33" xfId="2415" xr:uid="{B92FF31C-99EE-4D5D-A161-91E4A214D18A}"/>
    <cellStyle name="경고문 33 2" xfId="2416" xr:uid="{378798E1-A567-4516-B866-FB975E786102}"/>
    <cellStyle name="경고문 34" xfId="2417" xr:uid="{50FB1E22-CED5-4946-893B-1EFA7D19A0BC}"/>
    <cellStyle name="경고문 34 2" xfId="2418" xr:uid="{7F8CE82D-0DBE-4AB5-AF50-709A0671DC0D}"/>
    <cellStyle name="경고문 35" xfId="2419" xr:uid="{3F89A7A4-4D65-481E-AD7F-98AF99BAB219}"/>
    <cellStyle name="경고문 35 2" xfId="2420" xr:uid="{E4FE0526-7647-4DA2-8D80-189A44794FFC}"/>
    <cellStyle name="경고문 36" xfId="2421" xr:uid="{52ECB453-EA79-43DA-8A60-35AA77C9D978}"/>
    <cellStyle name="경고문 36 2" xfId="2422" xr:uid="{83926DEC-FE26-402F-A3EE-4D7938B0D7EF}"/>
    <cellStyle name="경고문 37" xfId="2423" xr:uid="{AC232639-E271-4C69-AAFE-939A903AE4CA}"/>
    <cellStyle name="경고문 37 2" xfId="2424" xr:uid="{359A3711-589F-4FEA-89A3-E1F39B4B073E}"/>
    <cellStyle name="경고문 38" xfId="2425" xr:uid="{768D1497-8D29-47D0-8790-F55984F06422}"/>
    <cellStyle name="경고문 38 2" xfId="2426" xr:uid="{E906C635-FBF3-46F9-A73E-30BBE7BCB7BD}"/>
    <cellStyle name="경고문 39" xfId="2427" xr:uid="{AD81995C-0C31-4A4C-BFBE-E066A9CB67A7}"/>
    <cellStyle name="경고문 39 2" xfId="2428" xr:uid="{B1CA3663-B54D-4978-90D1-19F7C802E8BC}"/>
    <cellStyle name="경고문 4" xfId="2429" xr:uid="{613499E4-8243-472A-9642-E866BA0D2787}"/>
    <cellStyle name="경고문 4 2" xfId="2430" xr:uid="{A8E3CFFD-FABD-46A5-8706-3A5876A0DA58}"/>
    <cellStyle name="경고문 40" xfId="2431" xr:uid="{B32699FA-82B2-4D6A-8E0C-2518E9E7893C}"/>
    <cellStyle name="경고문 40 2" xfId="2432" xr:uid="{8E67CDD7-61F8-42E8-933D-AD3C6E509904}"/>
    <cellStyle name="경고문 41" xfId="2433" xr:uid="{E6F4E447-F7DD-4441-BF03-74324234639E}"/>
    <cellStyle name="경고문 41 2" xfId="2434" xr:uid="{54F413A8-84FC-4A1E-84A4-DE7E46B704FF}"/>
    <cellStyle name="경고문 42" xfId="2435" xr:uid="{353148E1-5F19-4012-93E9-FB1483BFE756}"/>
    <cellStyle name="경고문 42 2" xfId="2436" xr:uid="{4730A699-1BBF-4D59-84BE-A367A4C1D7D9}"/>
    <cellStyle name="경고문 43" xfId="2437" xr:uid="{E3DBF18C-5E6A-411E-B76F-E33CC400D1AF}"/>
    <cellStyle name="경고문 43 2" xfId="2438" xr:uid="{48BAD248-D0FB-459D-B04E-E6611C085F00}"/>
    <cellStyle name="경고문 44" xfId="2439" xr:uid="{88BE53C0-31C2-4A5D-A73C-2864E37F10FC}"/>
    <cellStyle name="경고문 45" xfId="2440" xr:uid="{4654D889-FA93-458B-A4BC-899FDD71D506}"/>
    <cellStyle name="경고문 46" xfId="2441" xr:uid="{8DB653C3-2EE0-41A2-AF26-7AE702903716}"/>
    <cellStyle name="경고문 47" xfId="2442" xr:uid="{33465FC1-99A8-4238-8053-C85EE3EA57A1}"/>
    <cellStyle name="경고문 48" xfId="2443" xr:uid="{F59E1F7E-60FC-472F-A8A4-0851F2891B32}"/>
    <cellStyle name="경고문 49" xfId="2444" xr:uid="{92F90B1D-BEF5-4111-8152-DD1B0BFCF41D}"/>
    <cellStyle name="경고문 5" xfId="2445" xr:uid="{B01E76F2-0352-400D-80B8-4BE78390D47D}"/>
    <cellStyle name="경고문 5 2" xfId="2446" xr:uid="{FBE7A85F-F73D-4374-B57A-A57B2F98350D}"/>
    <cellStyle name="경고문 50" xfId="2447" xr:uid="{881199C0-5554-4585-8A1E-9DFEA2A1B14A}"/>
    <cellStyle name="경고문 51" xfId="3954" xr:uid="{7404FD31-F468-4932-A397-AFBD48478495}"/>
    <cellStyle name="경고문 52" xfId="4118" xr:uid="{E23644F7-F759-4CE5-97C3-409C4069E730}"/>
    <cellStyle name="경고문 53" xfId="4246" xr:uid="{09AA55CD-77E1-4BE8-AA08-93019A043D28}"/>
    <cellStyle name="경고문 54" xfId="4418" xr:uid="{2E2E9E7A-4F54-4383-9B27-36AF5D8E584A}"/>
    <cellStyle name="경고문 55" xfId="2364" xr:uid="{3290996E-0C2A-4C88-9864-84241BA7A5D6}"/>
    <cellStyle name="경고문 6" xfId="2448" xr:uid="{1D5F4F7E-EF89-47CB-AE42-02E461F8275F}"/>
    <cellStyle name="경고문 6 2" xfId="2449" xr:uid="{EF469616-3FBC-4C71-B85B-AF6258F24B79}"/>
    <cellStyle name="경고문 7" xfId="2450" xr:uid="{97561C9C-C896-4B7A-B2F2-243584DA5F33}"/>
    <cellStyle name="경고문 7 2" xfId="2451" xr:uid="{607F4105-7B10-48CF-B284-0E87F0D482C2}"/>
    <cellStyle name="경고문 8" xfId="2452" xr:uid="{DE4E8570-853B-4519-A2C9-586910FAC115}"/>
    <cellStyle name="경고문 8 2" xfId="2453" xr:uid="{AA3308E1-0F22-4C3F-917E-35F10624203C}"/>
    <cellStyle name="경고문 9" xfId="2454" xr:uid="{2FB4ADD5-9F03-4FE1-8C64-B80CD4C6E9F3}"/>
    <cellStyle name="경고문 9 2" xfId="2455" xr:uid="{67AB9BFB-C898-41FB-B8E3-EF98BA719274}"/>
    <cellStyle name="계산 10" xfId="2457" xr:uid="{FE678517-C268-487F-A17B-ECFC583A7DDB}"/>
    <cellStyle name="계산 10 2" xfId="2458" xr:uid="{0C61C90D-0AF6-4ED7-8C69-C9133F0DC0D7}"/>
    <cellStyle name="계산 11" xfId="2459" xr:uid="{AB184C91-EB21-4CBB-893F-D486A58C0D4C}"/>
    <cellStyle name="계산 11 2" xfId="2460" xr:uid="{BE75F9AC-AB92-422D-90D2-FE856712228A}"/>
    <cellStyle name="계산 12" xfId="2461" xr:uid="{9A244FE1-4B54-4F6C-AD5B-67222F8EFC84}"/>
    <cellStyle name="계산 12 2" xfId="2462" xr:uid="{64764B4D-D61F-4C55-8284-F2452AED7502}"/>
    <cellStyle name="계산 13" xfId="2463" xr:uid="{D761C519-A2AC-4CDE-9449-DB3F3389D991}"/>
    <cellStyle name="계산 13 2" xfId="2464" xr:uid="{CABA8E6D-EC7D-4890-A297-A3BC39543053}"/>
    <cellStyle name="계산 14" xfId="2465" xr:uid="{ACF4CA56-4583-4FF9-9112-C7E4CF41F355}"/>
    <cellStyle name="계산 14 2" xfId="2466" xr:uid="{7EA2979F-4A45-41B0-ACC0-B5FE5007710E}"/>
    <cellStyle name="계산 15" xfId="2467" xr:uid="{7E7F4451-0530-4C92-91ED-5FE237460172}"/>
    <cellStyle name="계산 15 2" xfId="2468" xr:uid="{0570D4E8-A87F-4B8E-8593-BCF921AF93CE}"/>
    <cellStyle name="계산 16" xfId="2469" xr:uid="{FB600862-A27D-460D-8FB2-14FA34869D04}"/>
    <cellStyle name="계산 16 2" xfId="2470" xr:uid="{A4A9FA10-3C09-4A47-9BE5-1A75B341329C}"/>
    <cellStyle name="계산 17" xfId="2471" xr:uid="{EFD638DE-C4B9-408D-943F-67DFCB9D3234}"/>
    <cellStyle name="계산 17 2" xfId="2472" xr:uid="{DC677A6B-7F5B-4557-910B-3736467DA3DF}"/>
    <cellStyle name="계산 18" xfId="2473" xr:uid="{92897BBA-19E3-4A5D-AECD-2D76257AF4DA}"/>
    <cellStyle name="계산 18 2" xfId="2474" xr:uid="{D78D33B7-63D7-4414-B1AD-47E1F7DAB0D9}"/>
    <cellStyle name="계산 19" xfId="2475" xr:uid="{84C41353-15A4-445D-BFD5-59EB0B272D78}"/>
    <cellStyle name="계산 19 2" xfId="2476" xr:uid="{02CC8E61-786A-4E3B-A7D1-08F876D0CA87}"/>
    <cellStyle name="계산 2" xfId="2477" xr:uid="{A94FB474-C155-4828-9BEE-65BB43A63A91}"/>
    <cellStyle name="계산 2 2" xfId="2478" xr:uid="{40120521-D535-4CD3-94FD-F2510AC2732C}"/>
    <cellStyle name="계산 20" xfId="2479" xr:uid="{DFE016C2-AE8D-485A-AFE6-4D8A8868C465}"/>
    <cellStyle name="계산 20 2" xfId="2480" xr:uid="{C1EC228D-5450-4E75-A59F-8EF4445945D4}"/>
    <cellStyle name="계산 21" xfId="2481" xr:uid="{5A7DA1A1-6E93-4DC3-9E8C-522FA79D8B92}"/>
    <cellStyle name="계산 21 2" xfId="2482" xr:uid="{40D5C824-7AE1-4886-83FD-9FC2EDF4DB7C}"/>
    <cellStyle name="계산 22" xfId="2483" xr:uid="{A661C9C5-F089-4B06-A6CA-DCD2E0D3845A}"/>
    <cellStyle name="계산 22 2" xfId="2484" xr:uid="{B524172A-53BE-4137-98B5-7A4101E3A861}"/>
    <cellStyle name="계산 23" xfId="2485" xr:uid="{1DF2AEE5-A5B6-4D64-8F98-EBE302970B7E}"/>
    <cellStyle name="계산 23 2" xfId="2486" xr:uid="{BC8BFA71-A19A-46D4-A6D0-88B3F9E3D43A}"/>
    <cellStyle name="계산 24" xfId="2487" xr:uid="{263610D7-5A36-43C4-84E8-FB5DB4CE53DC}"/>
    <cellStyle name="계산 24 2" xfId="2488" xr:uid="{AA63FC8C-D66E-4DDF-A5A9-A7CB048EF624}"/>
    <cellStyle name="계산 25" xfId="2489" xr:uid="{FF31C64E-A36F-44E3-B47B-CCCA535F845C}"/>
    <cellStyle name="계산 25 2" xfId="2490" xr:uid="{BBF8B4B7-0ABE-41D9-8ABB-418525B6F021}"/>
    <cellStyle name="계산 26" xfId="2491" xr:uid="{FD84EF7E-2B32-4B45-8972-74E34BD25D24}"/>
    <cellStyle name="계산 26 2" xfId="2492" xr:uid="{1E941808-783F-45FF-A256-12C695CB818B}"/>
    <cellStyle name="계산 27" xfId="2493" xr:uid="{B72C300D-147A-4882-96E6-9FFB01372EB8}"/>
    <cellStyle name="계산 27 2" xfId="2494" xr:uid="{AF18A523-C20C-4686-BFD6-0EBFC10A77A8}"/>
    <cellStyle name="계산 28" xfId="2495" xr:uid="{20763DD2-499D-417D-B78B-2E9858F2EC74}"/>
    <cellStyle name="계산 28 2" xfId="2496" xr:uid="{E4D27B3D-760F-491E-94F5-05C614EB9CC5}"/>
    <cellStyle name="계산 29" xfId="2497" xr:uid="{A37FF8A8-99EF-4697-A54C-87C60F4CE76B}"/>
    <cellStyle name="계산 29 2" xfId="2498" xr:uid="{924A30AC-CBFB-4A1F-8D71-536F4C337332}"/>
    <cellStyle name="계산 3" xfId="2499" xr:uid="{E4B8190E-F755-4B5D-95DA-1DE810F11219}"/>
    <cellStyle name="계산 3 2" xfId="2500" xr:uid="{076BBBCB-FB41-4649-9CFF-95620BD9E6CD}"/>
    <cellStyle name="계산 30" xfId="2501" xr:uid="{4BBC9C86-CB12-4E86-8625-DD17E9A2AB3E}"/>
    <cellStyle name="계산 30 2" xfId="2502" xr:uid="{1AB6C023-3270-4621-AA9B-A93AD5683A93}"/>
    <cellStyle name="계산 31" xfId="2503" xr:uid="{73BF900E-BEE2-4BFE-B5FC-4A2A332BF1E6}"/>
    <cellStyle name="계산 31 2" xfId="2504" xr:uid="{118E8003-F4CF-4ADB-BE5A-46B2D5FD71FA}"/>
    <cellStyle name="계산 32" xfId="2505" xr:uid="{8C7B1412-9C67-4B67-9BA9-98F7F2ED6AA8}"/>
    <cellStyle name="계산 32 2" xfId="2506" xr:uid="{A480852F-F231-471A-BD50-2344186EA73E}"/>
    <cellStyle name="계산 33" xfId="2507" xr:uid="{0BD328E3-D2E8-45FB-ADD9-B11A151E6EA1}"/>
    <cellStyle name="계산 33 2" xfId="2508" xr:uid="{E3EBA395-B322-49A0-B7B7-E272CB185A4A}"/>
    <cellStyle name="계산 34" xfId="2509" xr:uid="{45484BE6-26CE-450E-8A6F-9BDCC9916FC9}"/>
    <cellStyle name="계산 34 2" xfId="2510" xr:uid="{2F2E5E85-B6BE-4EB2-9D2F-B8A712FA7A81}"/>
    <cellStyle name="계산 35" xfId="2511" xr:uid="{C207986D-539D-45CB-A73C-3F3DE1F60ECF}"/>
    <cellStyle name="계산 35 2" xfId="2512" xr:uid="{B41D1895-38A5-4672-BE7D-74B0C1314DEA}"/>
    <cellStyle name="계산 36" xfId="2513" xr:uid="{1F1014A6-3E47-4539-907F-FD9F8B11C3AF}"/>
    <cellStyle name="계산 36 2" xfId="2514" xr:uid="{003E8DF7-9342-4112-B798-679202ED5EBC}"/>
    <cellStyle name="계산 37" xfId="2515" xr:uid="{F4B2421E-698C-448E-8665-63B671C0BB50}"/>
    <cellStyle name="계산 37 2" xfId="2516" xr:uid="{0365AE0C-14E5-4D03-942B-089D8BEE2971}"/>
    <cellStyle name="계산 38" xfId="2517" xr:uid="{D606B979-4B47-4B8E-B2DA-FD74918619EA}"/>
    <cellStyle name="계산 38 2" xfId="2518" xr:uid="{886CADED-4BC1-43E9-AC75-398FB2985C5D}"/>
    <cellStyle name="계산 39" xfId="2519" xr:uid="{82C4F838-1081-4523-B536-51ACB029AC57}"/>
    <cellStyle name="계산 39 2" xfId="2520" xr:uid="{4D3B8CB2-1FB7-46CC-937C-994449C65C20}"/>
    <cellStyle name="계산 4" xfId="2521" xr:uid="{18D7DED1-7C39-4C54-A817-50B4A5493D13}"/>
    <cellStyle name="계산 4 2" xfId="2522" xr:uid="{C37433E6-26D6-4536-82BF-786295147829}"/>
    <cellStyle name="계산 40" xfId="2523" xr:uid="{14F752F3-4219-4476-9876-74B2E2B56F6D}"/>
    <cellStyle name="계산 40 2" xfId="2524" xr:uid="{EE4FD920-C3DA-4E03-8AAC-8F20E414B8C6}"/>
    <cellStyle name="계산 41" xfId="2525" xr:uid="{42AB451F-FB67-4EFA-987D-AC4451531B01}"/>
    <cellStyle name="계산 41 2" xfId="2526" xr:uid="{A16C694E-9438-49BD-9565-2E39F6E15A4B}"/>
    <cellStyle name="계산 42" xfId="2527" xr:uid="{F7955596-27D2-4554-95A9-12652EF19901}"/>
    <cellStyle name="계산 42 2" xfId="2528" xr:uid="{143C02BC-4F8F-44ED-8BDC-E3056BE00BA5}"/>
    <cellStyle name="계산 43" xfId="2529" xr:uid="{899076A9-E29E-481D-9A07-002E8B29860D}"/>
    <cellStyle name="계산 43 2" xfId="2530" xr:uid="{1B935822-17AA-4231-9C05-F0C3B5B41B5F}"/>
    <cellStyle name="계산 44" xfId="2531" xr:uid="{5A072DA8-4A63-4B9E-8442-E7CAE0AA8AB4}"/>
    <cellStyle name="계산 45" xfId="2532" xr:uid="{371CDBD6-CE42-49E0-9226-224CECE9D9B2}"/>
    <cellStyle name="계산 46" xfId="2533" xr:uid="{C4A5E1D9-67B0-453C-BAA5-7045CBDB410A}"/>
    <cellStyle name="계산 47" xfId="2534" xr:uid="{14F5F2DE-E705-4480-934B-A7F7447D30E1}"/>
    <cellStyle name="계산 48" xfId="2535" xr:uid="{C2966740-0C98-49C6-B50B-6AAE0E6A9244}"/>
    <cellStyle name="계산 49" xfId="2536" xr:uid="{62701A5A-B4F6-41F9-BA1C-13E373AFD4AA}"/>
    <cellStyle name="계산 5" xfId="2537" xr:uid="{A5FD9CB2-B1C0-4E04-B3CF-A83212678F54}"/>
    <cellStyle name="계산 5 2" xfId="2538" xr:uid="{C5DBE57D-CE54-4BD0-B346-4BEB6748199E}"/>
    <cellStyle name="계산 50" xfId="2539" xr:uid="{827B7805-B133-4841-9881-76A402799112}"/>
    <cellStyle name="계산 51" xfId="3951" xr:uid="{4D4FA642-C69C-41B9-B7EB-7E07820066C7}"/>
    <cellStyle name="계산 52" xfId="4115" xr:uid="{C15D7D44-6811-4491-937B-A0C24BF81961}"/>
    <cellStyle name="계산 53" xfId="4247" xr:uid="{1B11BC06-3915-4AE6-8CC5-74C898720DA1}"/>
    <cellStyle name="계산 54" xfId="4419" xr:uid="{E66AA2C8-D203-41EC-8A8E-619815004EDB}"/>
    <cellStyle name="계산 55" xfId="2456" xr:uid="{01D472D1-9002-451F-AF0E-D574B6984D95}"/>
    <cellStyle name="계산 6" xfId="2540" xr:uid="{95158A49-2FC3-4D63-9C90-FB2330C02D91}"/>
    <cellStyle name="계산 6 2" xfId="2541" xr:uid="{1586A4D1-241A-4252-B888-56AAA82BE841}"/>
    <cellStyle name="계산 7" xfId="2542" xr:uid="{07D15AB4-1E72-4229-A7C5-2F2213D95B47}"/>
    <cellStyle name="계산 7 2" xfId="2543" xr:uid="{8CAA79DB-F10B-4EEE-AA49-B8F27B928A0D}"/>
    <cellStyle name="계산 8" xfId="2544" xr:uid="{6440763E-CC18-4A7D-9A67-B751719F41AD}"/>
    <cellStyle name="계산 8 2" xfId="2545" xr:uid="{7C197B62-D08E-4F02-A575-CC34A74C5052}"/>
    <cellStyle name="계산 9" xfId="2546" xr:uid="{E8857800-A49C-40A3-BCDE-4EAAA7C28253}"/>
    <cellStyle name="계산 9 2" xfId="2547" xr:uid="{4EFF61AA-5D99-451B-84FD-2FEAEBCA8862}"/>
    <cellStyle name="나쁨 10" xfId="2549" xr:uid="{7099C211-6E50-4D6B-BDF3-C456E6D7E1B9}"/>
    <cellStyle name="나쁨 10 2" xfId="2550" xr:uid="{E9DDC781-1A78-4617-B15A-3914AFAD0E50}"/>
    <cellStyle name="나쁨 11" xfId="2551" xr:uid="{89424309-8F68-489C-AF8F-E901E464B3AE}"/>
    <cellStyle name="나쁨 11 2" xfId="2552" xr:uid="{72FD4669-7CFF-4DD5-A570-F7C254BE2B72}"/>
    <cellStyle name="나쁨 12" xfId="2553" xr:uid="{335E366C-A98D-48F1-BDCA-32D753359D8A}"/>
    <cellStyle name="나쁨 12 2" xfId="2554" xr:uid="{918BFD1D-8CEB-4513-8ED2-A1339DD2592E}"/>
    <cellStyle name="나쁨 13" xfId="2555" xr:uid="{7A30037A-962D-4014-B438-1F15B6A88754}"/>
    <cellStyle name="나쁨 13 2" xfId="2556" xr:uid="{E1E3F7E5-6E81-4510-89E2-5C777DBF0182}"/>
    <cellStyle name="나쁨 14" xfId="2557" xr:uid="{3F47B4EE-1E15-48FF-A3A5-65FB8E13055B}"/>
    <cellStyle name="나쁨 14 2" xfId="2558" xr:uid="{2DE3B795-12CA-40C5-8B6E-B2F811BA48AF}"/>
    <cellStyle name="나쁨 15" xfId="2559" xr:uid="{569E015A-8D3E-42C4-859B-886E9801A464}"/>
    <cellStyle name="나쁨 15 2" xfId="2560" xr:uid="{5B8CD036-8FE7-4E7B-8E13-8ED7E9EEFB17}"/>
    <cellStyle name="나쁨 16" xfId="2561" xr:uid="{27337E66-5CB5-4C54-ACC2-5A9A8F9F08CF}"/>
    <cellStyle name="나쁨 16 2" xfId="2562" xr:uid="{4DEBB420-46B5-4938-A75C-7F95085C02E0}"/>
    <cellStyle name="나쁨 17" xfId="2563" xr:uid="{4865D05D-2030-44EF-AF92-DB9B80E1DED3}"/>
    <cellStyle name="나쁨 17 2" xfId="2564" xr:uid="{B574055F-53B0-476C-88A9-5D27C04831F3}"/>
    <cellStyle name="나쁨 18" xfId="2565" xr:uid="{7C98A651-F7E8-4E8E-A1E8-975CA06C4F70}"/>
    <cellStyle name="나쁨 18 2" xfId="2566" xr:uid="{5EF6042F-8C9D-4584-8ABE-2191D2D7E673}"/>
    <cellStyle name="나쁨 19" xfId="2567" xr:uid="{9DD4C334-AF39-4AB3-81F6-177BE78D7EFB}"/>
    <cellStyle name="나쁨 19 2" xfId="2568" xr:uid="{5FF16071-DD75-400C-9642-012B38F00144}"/>
    <cellStyle name="나쁨 2" xfId="2569" xr:uid="{F1FB58C8-E63D-4EDF-8060-BE4A88285451}"/>
    <cellStyle name="나쁨 2 2" xfId="2570" xr:uid="{429D03B8-D76E-4C3D-AF86-9020336049B7}"/>
    <cellStyle name="나쁨 20" xfId="2571" xr:uid="{4729A370-884D-4B70-B356-1C7B0CC4CE92}"/>
    <cellStyle name="나쁨 20 2" xfId="2572" xr:uid="{1B472B2E-672E-40A0-8238-3A2001FC13BF}"/>
    <cellStyle name="나쁨 21" xfId="2573" xr:uid="{A623F8E3-E44E-4E83-9654-5A8A514E00F2}"/>
    <cellStyle name="나쁨 21 2" xfId="2574" xr:uid="{50C8D55B-3D88-4712-A6E6-09C046B2E0B5}"/>
    <cellStyle name="나쁨 22" xfId="2575" xr:uid="{9ACC2798-DDD5-49DB-8592-63F3A567CA61}"/>
    <cellStyle name="나쁨 22 2" xfId="2576" xr:uid="{C9A7ED57-A3F9-44FE-B37D-78ADF269409C}"/>
    <cellStyle name="나쁨 23" xfId="2577" xr:uid="{BFFAAC7B-42B7-47AC-BA52-0B798EE1D124}"/>
    <cellStyle name="나쁨 23 2" xfId="2578" xr:uid="{A26799AA-0EEA-4D9B-B725-E83B41967B3A}"/>
    <cellStyle name="나쁨 24" xfId="2579" xr:uid="{040B09F1-18DB-48BE-9B0B-21A9714F5A9F}"/>
    <cellStyle name="나쁨 24 2" xfId="2580" xr:uid="{32BA6A9F-F85B-40BA-99C3-30C62F146157}"/>
    <cellStyle name="나쁨 25" xfId="2581" xr:uid="{DC0F56C9-0813-4157-B485-CDA2756F7320}"/>
    <cellStyle name="나쁨 25 2" xfId="2582" xr:uid="{B49D6F2F-B410-474E-955A-4B9DA98B88DB}"/>
    <cellStyle name="나쁨 26" xfId="2583" xr:uid="{C6EDF5F0-B893-4DB6-B84F-8F69F654114F}"/>
    <cellStyle name="나쁨 26 2" xfId="2584" xr:uid="{D4BC17CD-35E3-45EB-8435-C80E68B7B6BC}"/>
    <cellStyle name="나쁨 27" xfId="2585" xr:uid="{855129E6-81A2-4C35-95E2-399C1C77EC4B}"/>
    <cellStyle name="나쁨 27 2" xfId="2586" xr:uid="{8DD5BADB-3AAB-49D2-9A7E-44F6A5304547}"/>
    <cellStyle name="나쁨 28" xfId="2587" xr:uid="{00CF87EC-77EC-4D1A-8B9A-7F627345EEE2}"/>
    <cellStyle name="나쁨 28 2" xfId="2588" xr:uid="{B73E4698-75E3-4350-9171-B1A35101EAB8}"/>
    <cellStyle name="나쁨 29" xfId="2589" xr:uid="{8B762135-469E-430B-9A51-C9B0E5707669}"/>
    <cellStyle name="나쁨 29 2" xfId="2590" xr:uid="{7EE8E4CD-6BC7-4194-B584-D71481238F3A}"/>
    <cellStyle name="나쁨 3" xfId="2591" xr:uid="{91D1C8FB-B28C-4181-AA61-F142A1666098}"/>
    <cellStyle name="나쁨 3 2" xfId="2592" xr:uid="{19F80D1F-872C-4E24-8DF0-C3974ABB8C3A}"/>
    <cellStyle name="나쁨 30" xfId="2593" xr:uid="{777F3B3E-2743-4470-A91D-4E86858B7A6D}"/>
    <cellStyle name="나쁨 30 2" xfId="2594" xr:uid="{47611D6A-9EF8-43DC-A7D6-749EAF56D6FA}"/>
    <cellStyle name="나쁨 31" xfId="2595" xr:uid="{5F42214E-6965-4938-9E65-E265B4802292}"/>
    <cellStyle name="나쁨 31 2" xfId="2596" xr:uid="{CA007B29-EA76-476F-8E04-5EBD74C74EF6}"/>
    <cellStyle name="나쁨 32" xfId="2597" xr:uid="{8A115783-72F3-478E-8BBA-6FF427F32786}"/>
    <cellStyle name="나쁨 32 2" xfId="2598" xr:uid="{24A0370C-0C6B-49A8-B84A-47B459A2865B}"/>
    <cellStyle name="나쁨 33" xfId="2599" xr:uid="{A8DFD3BE-4891-4BC1-8E69-0BDF68BE0027}"/>
    <cellStyle name="나쁨 33 2" xfId="2600" xr:uid="{02CA0E84-E1BA-4C49-A913-725AD92AE490}"/>
    <cellStyle name="나쁨 34" xfId="2601" xr:uid="{A6557892-037E-4189-A18E-D21699AF7B26}"/>
    <cellStyle name="나쁨 34 2" xfId="2602" xr:uid="{34799C35-96B9-4CA1-B675-B5E6DFF25EC4}"/>
    <cellStyle name="나쁨 35" xfId="2603" xr:uid="{17F90BED-B0D2-4D1D-8DE3-4EF23E223AD3}"/>
    <cellStyle name="나쁨 35 2" xfId="2604" xr:uid="{DA25DA62-A1C1-4DDA-9F16-4B15E3E30D85}"/>
    <cellStyle name="나쁨 36" xfId="2605" xr:uid="{F9255E63-D0F1-4D41-9149-70AE5E5FFBB4}"/>
    <cellStyle name="나쁨 36 2" xfId="2606" xr:uid="{FB2A6456-6EA5-423F-8BF7-BB11F479040B}"/>
    <cellStyle name="나쁨 37" xfId="2607" xr:uid="{A8B21DFB-25E4-4C91-BEA5-29688769ECB5}"/>
    <cellStyle name="나쁨 37 2" xfId="2608" xr:uid="{582DC362-969F-440E-9C2D-FFB722DF9491}"/>
    <cellStyle name="나쁨 38" xfId="2609" xr:uid="{9FA90816-45ED-4966-BB19-E37B1C2BF69D}"/>
    <cellStyle name="나쁨 38 2" xfId="2610" xr:uid="{F2FDE0DB-6648-4EE9-97E1-8F5017342C15}"/>
    <cellStyle name="나쁨 39" xfId="2611" xr:uid="{847A45E6-D90E-4452-9332-86B2E3983E67}"/>
    <cellStyle name="나쁨 39 2" xfId="2612" xr:uid="{D7259FB8-53F8-47AF-B047-DAE1266CD2C2}"/>
    <cellStyle name="나쁨 4" xfId="2613" xr:uid="{BDC6F9D9-065E-44EC-A4FB-8D9867E06C43}"/>
    <cellStyle name="나쁨 4 2" xfId="2614" xr:uid="{02B1E120-7E4C-4289-86C7-4AA0158AC79B}"/>
    <cellStyle name="나쁨 40" xfId="2615" xr:uid="{F304E0FD-FB88-42FE-A150-684C2BEB1D55}"/>
    <cellStyle name="나쁨 40 2" xfId="2616" xr:uid="{1E8E5C2A-38DE-46EF-8761-13865EB9611B}"/>
    <cellStyle name="나쁨 41" xfId="2617" xr:uid="{95A3B652-4903-41B1-B441-ECBCEDD1E65F}"/>
    <cellStyle name="나쁨 41 2" xfId="2618" xr:uid="{5CB1863E-EEEC-4DAB-82E0-77E5366AB5AF}"/>
    <cellStyle name="나쁨 42" xfId="2619" xr:uid="{BE5EC5E5-551B-47B4-8381-0EF482DE4782}"/>
    <cellStyle name="나쁨 42 2" xfId="2620" xr:uid="{37B1404A-52E9-41C6-8AE1-568F7D01E67B}"/>
    <cellStyle name="나쁨 43" xfId="2621" xr:uid="{61B163E8-2B82-4D71-BC0D-9E82D69DF8F6}"/>
    <cellStyle name="나쁨 43 2" xfId="2622" xr:uid="{CEF4DB6C-EC0A-4B8B-8B79-975E071F4EE6}"/>
    <cellStyle name="나쁨 44" xfId="2623" xr:uid="{7EB6C70B-47CE-415C-A1B7-3252B891EF53}"/>
    <cellStyle name="나쁨 45" xfId="2624" xr:uid="{86E9DDAF-500F-4032-AC18-E8AEAE385301}"/>
    <cellStyle name="나쁨 46" xfId="2625" xr:uid="{889CA1E8-E345-4F18-A6C6-09455A2D2A5C}"/>
    <cellStyle name="나쁨 47" xfId="2626" xr:uid="{2F521196-D072-428E-9F48-3576C90262C6}"/>
    <cellStyle name="나쁨 48" xfId="2627" xr:uid="{B49760B4-54C8-4476-877F-3485195CCD07}"/>
    <cellStyle name="나쁨 49" xfId="2628" xr:uid="{336971CC-1C95-4AD5-8908-945E1882E3B1}"/>
    <cellStyle name="나쁨 5" xfId="2629" xr:uid="{80C18347-A94B-4E30-8523-A70E2AA49D6B}"/>
    <cellStyle name="나쁨 5 2" xfId="2630" xr:uid="{59623BEA-7B20-4DE0-8D69-9D591BE6A6C3}"/>
    <cellStyle name="나쁨 50" xfId="2631" xr:uid="{EED8E8A3-1B3D-48F5-9946-235810ECB651}"/>
    <cellStyle name="나쁨 51" xfId="3947" xr:uid="{5682AE5D-75B7-46F4-9F05-FEE7433803ED}"/>
    <cellStyle name="나쁨 52" xfId="4111" xr:uid="{D6A451CC-327D-41DF-B4A6-93BF0123DAF4}"/>
    <cellStyle name="나쁨 53" xfId="4248" xr:uid="{6086AC57-7601-47AD-9E76-E98026F19862}"/>
    <cellStyle name="나쁨 54" xfId="4420" xr:uid="{B1338250-77B1-43FD-9E07-44022210ED71}"/>
    <cellStyle name="나쁨 55" xfId="2548" xr:uid="{7FB46179-BC21-4166-BA47-0CF9F43C83E9}"/>
    <cellStyle name="나쁨 6" xfId="2632" xr:uid="{6F0CF619-A3EE-4018-95FF-7043903B4880}"/>
    <cellStyle name="나쁨 6 2" xfId="2633" xr:uid="{698AFA16-38D6-4842-8A00-516D44673408}"/>
    <cellStyle name="나쁨 7" xfId="2634" xr:uid="{429D7F12-2154-4383-8C7E-AFE4858A8D14}"/>
    <cellStyle name="나쁨 7 2" xfId="2635" xr:uid="{CCF1D930-0D1A-4E2B-B346-03F04117FD38}"/>
    <cellStyle name="나쁨 8" xfId="2636" xr:uid="{5B708277-8EB7-4876-AA18-7FF816893FB4}"/>
    <cellStyle name="나쁨 8 2" xfId="2637" xr:uid="{D3206151-C19A-4510-833C-1BD90D0F4422}"/>
    <cellStyle name="나쁨 9" xfId="2638" xr:uid="{49D00114-F5EA-49EF-B88B-D9A335F488B0}"/>
    <cellStyle name="나쁨 9 2" xfId="2639" xr:uid="{563F613E-8B26-4FA0-BB6A-BAD9D44CD902}"/>
    <cellStyle name="메모 10" xfId="2641" xr:uid="{712E9E2D-832D-4999-9CE6-BEAF1E50213F}"/>
    <cellStyle name="메모 10 2" xfId="2642" xr:uid="{C36BDF02-CF9B-4CD7-9F5D-F0773AD6FE2E}"/>
    <cellStyle name="메모 10 2 2" xfId="3983" xr:uid="{41168133-A979-43CF-B1EF-D0F64CA83807}"/>
    <cellStyle name="메모 10 3" xfId="3982" xr:uid="{36C402C8-7778-4A05-9B79-955C3266BFDB}"/>
    <cellStyle name="메모 11" xfId="2643" xr:uid="{126C34AE-A608-4888-9150-AA195E359879}"/>
    <cellStyle name="메모 11 2" xfId="2644" xr:uid="{E77FECC4-23F3-4736-9FDD-06035075A097}"/>
    <cellStyle name="메모 11 2 2" xfId="3985" xr:uid="{7F6029AB-2C88-4859-84CE-750087972A92}"/>
    <cellStyle name="메모 11 3" xfId="3984" xr:uid="{C4B3CA79-4BB0-48A1-995B-5B6E1DBF5168}"/>
    <cellStyle name="메모 12" xfId="2645" xr:uid="{550EC112-C822-4BB8-86C7-794FB4FE4866}"/>
    <cellStyle name="메모 12 2" xfId="2646" xr:uid="{285FD8DB-D378-4015-B6C3-012C359437FD}"/>
    <cellStyle name="메모 12 2 2" xfId="3987" xr:uid="{D7A611EC-BD0E-4DAB-81AE-3DF7431708AA}"/>
    <cellStyle name="메모 12 3" xfId="3986" xr:uid="{B6FAD518-04EB-4874-A883-497A33FA649B}"/>
    <cellStyle name="메모 13" xfId="2647" xr:uid="{E1523328-A7AF-4352-BC6C-EF8DA27B80CE}"/>
    <cellStyle name="메모 13 2" xfId="2648" xr:uid="{933EE0E9-DC15-4567-8E72-5CA9E4B3DB35}"/>
    <cellStyle name="메모 13 2 2" xfId="3989" xr:uid="{032B3433-DFAA-4317-98A4-1F63F6F98882}"/>
    <cellStyle name="메모 13 3" xfId="3988" xr:uid="{9732871C-84B2-4A09-9D2E-170F99587E68}"/>
    <cellStyle name="메모 14" xfId="2649" xr:uid="{57E30C8D-234E-410D-8A6B-1A8713C1FBC7}"/>
    <cellStyle name="메모 14 2" xfId="2650" xr:uid="{75F705BD-29BB-47CD-B981-F3BA7B881FE9}"/>
    <cellStyle name="메모 14 2 2" xfId="3991" xr:uid="{85A7B4FD-F7F4-42FE-A2DD-9736EA174711}"/>
    <cellStyle name="메모 14 3" xfId="3990" xr:uid="{19E7CB5B-A379-42E7-9BDE-1F36BA21B6E0}"/>
    <cellStyle name="메모 15" xfId="2651" xr:uid="{8CA9B5F5-F2F5-4340-94A8-822F3EB24E42}"/>
    <cellStyle name="메모 15 2" xfId="2652" xr:uid="{408EC75F-CD28-4847-9DA3-5CFBBB3C52ED}"/>
    <cellStyle name="메모 15 2 2" xfId="3993" xr:uid="{5AEF7145-80D1-4605-9BAA-8AAB181171EB}"/>
    <cellStyle name="메모 15 3" xfId="3992" xr:uid="{FC09F9E3-73CF-4CA9-BE6C-5247AB153AAB}"/>
    <cellStyle name="메모 16" xfId="2653" xr:uid="{32B1B792-AA30-47EA-B6E6-6D1477C35A87}"/>
    <cellStyle name="메모 16 2" xfId="2654" xr:uid="{96CED14D-76DF-4F7B-B2DE-1CAA5157419A}"/>
    <cellStyle name="메모 16 2 2" xfId="3995" xr:uid="{EF89C451-ED7A-4932-889F-1A2795534516}"/>
    <cellStyle name="메모 16 3" xfId="3994" xr:uid="{12F9A92F-C682-4B39-AB1D-64DA99636EBD}"/>
    <cellStyle name="메모 17" xfId="2655" xr:uid="{FFE61229-A482-4BBD-845E-269DF9925171}"/>
    <cellStyle name="메모 17 2" xfId="2656" xr:uid="{BF882E0E-CE27-4C5C-BC47-8E7BF9DE3ADF}"/>
    <cellStyle name="메모 17 2 2" xfId="3997" xr:uid="{884DCD8F-E666-4140-8EF3-FA37ED86E0A0}"/>
    <cellStyle name="메모 17 3" xfId="3996" xr:uid="{F8EE0FA3-1F92-4857-856F-B976CBB66DC7}"/>
    <cellStyle name="메모 18" xfId="2657" xr:uid="{2C1F08BF-72E6-4E70-829E-20C5123D5C35}"/>
    <cellStyle name="메모 18 2" xfId="2658" xr:uid="{A4DCFE47-9AE9-4828-BF53-4CA6F1F4A804}"/>
    <cellStyle name="메모 18 2 2" xfId="3999" xr:uid="{544CDDDD-46B9-4BDB-998F-C99F89E6681A}"/>
    <cellStyle name="메모 18 3" xfId="3998" xr:uid="{BF23B97E-F27F-4878-86AD-BFAF9B55E287}"/>
    <cellStyle name="메모 19" xfId="2659" xr:uid="{E0D8BDE9-8307-4A1B-B468-11D2C2C2A79B}"/>
    <cellStyle name="메모 19 2" xfId="2660" xr:uid="{E90601FE-CD02-401A-BA31-381C40F005B5}"/>
    <cellStyle name="메모 19 2 2" xfId="4001" xr:uid="{ABBFE0EE-E0DB-45CA-A07D-D41D88E525C1}"/>
    <cellStyle name="메모 19 3" xfId="4000" xr:uid="{A6F5D899-7287-4441-9571-9479298B7104}"/>
    <cellStyle name="메모 2" xfId="2661" xr:uid="{2330A83F-4055-46BC-8D39-0310753CEB3F}"/>
    <cellStyle name="메모 2 2" xfId="2662" xr:uid="{96139057-965B-4795-B69A-46286B4CBDAE}"/>
    <cellStyle name="메모 2 2 2" xfId="4003" xr:uid="{4CD6A70F-E583-44A3-9AD4-0E534A2F9962}"/>
    <cellStyle name="메모 2 3" xfId="4002" xr:uid="{EF9E929B-D3EC-4A30-B038-DE1F0E315F9D}"/>
    <cellStyle name="메모 20" xfId="2663" xr:uid="{AA3BF190-81C5-403D-BB44-303ABDFC9CEE}"/>
    <cellStyle name="메모 20 2" xfId="2664" xr:uid="{E8450070-43C0-4C25-BAED-0238F7732930}"/>
    <cellStyle name="메모 20 2 2" xfId="4005" xr:uid="{B560C16C-04C0-4751-953C-ED3828370611}"/>
    <cellStyle name="메모 20 3" xfId="4004" xr:uid="{49957553-3083-4E4F-844C-4E271A63B454}"/>
    <cellStyle name="메모 21" xfId="2665" xr:uid="{6A10DCF2-52E9-4DA8-9CC1-BBD3DE1B202B}"/>
    <cellStyle name="메모 21 2" xfId="2666" xr:uid="{92AC6835-CF4C-4229-BBE4-CAD8003B9E01}"/>
    <cellStyle name="메모 21 2 2" xfId="4007" xr:uid="{F3CFBF4F-8836-4185-8F4F-7CD003DC7C3A}"/>
    <cellStyle name="메모 21 3" xfId="4006" xr:uid="{EB65FD7F-D773-4373-A696-46116CC70F58}"/>
    <cellStyle name="메모 22" xfId="2667" xr:uid="{270A1532-C2E0-44B4-8557-BF5E0F39AAC7}"/>
    <cellStyle name="메모 22 2" xfId="2668" xr:uid="{CCC07C7B-68BA-4C49-ACC1-8CB84375BD11}"/>
    <cellStyle name="메모 22 2 2" xfId="4009" xr:uid="{AE8F9D9A-6376-4FF9-9621-AABCC70F36F6}"/>
    <cellStyle name="메모 22 3" xfId="4008" xr:uid="{CD631ED0-7E17-4A5E-8419-3A6F2D3E739A}"/>
    <cellStyle name="메모 23" xfId="2669" xr:uid="{A5E391F0-1D1C-47DD-96FD-B26602BF4ECD}"/>
    <cellStyle name="메모 23 2" xfId="2670" xr:uid="{B4E68D70-CFFB-4E46-B007-E326EB2B0E1E}"/>
    <cellStyle name="메모 23 2 2" xfId="4011" xr:uid="{64CCB512-6EB9-4C81-8977-7CA4B29C3861}"/>
    <cellStyle name="메모 23 3" xfId="4010" xr:uid="{59B961FB-FA76-4BB6-A51C-5F0573878BA7}"/>
    <cellStyle name="메모 24" xfId="2671" xr:uid="{5876AC11-2FEB-4B07-AE0E-870ECBD803D4}"/>
    <cellStyle name="메모 24 2" xfId="2672" xr:uid="{02B64157-BA7E-485D-974A-185738085230}"/>
    <cellStyle name="메모 24 2 2" xfId="4013" xr:uid="{8E238410-6F6D-45DF-BE90-7C7D8E36E614}"/>
    <cellStyle name="메모 24 3" xfId="4012" xr:uid="{C0A5878C-F409-4A5A-8290-D61F6B32C5A8}"/>
    <cellStyle name="메모 25" xfId="2673" xr:uid="{1DEA15B6-9FA3-49CA-93C7-BC2AE1E2147D}"/>
    <cellStyle name="메모 25 2" xfId="2674" xr:uid="{2DF09230-6F13-43D2-9D09-8895884FE576}"/>
    <cellStyle name="메모 25 2 2" xfId="4015" xr:uid="{95347094-C0AA-401E-BC30-687F6A1962A9}"/>
    <cellStyle name="메모 25 3" xfId="4014" xr:uid="{38536FB7-5BFC-43BD-B950-D5A7529E03EB}"/>
    <cellStyle name="메모 26" xfId="2675" xr:uid="{46F51C0D-0925-42B3-8D66-0B1994EFFBF3}"/>
    <cellStyle name="메모 26 2" xfId="2676" xr:uid="{AFEE5919-EC19-4AE6-9AFB-51C84DC7A88B}"/>
    <cellStyle name="메모 26 2 2" xfId="4017" xr:uid="{EFD749EC-99E7-4410-968E-2E71BAAA43D8}"/>
    <cellStyle name="메모 26 3" xfId="4016" xr:uid="{C594D5D9-767C-4204-B53E-B4CC3E6921F8}"/>
    <cellStyle name="메모 27" xfId="2677" xr:uid="{AC4B14C6-A084-46FC-8C27-116B4B891E02}"/>
    <cellStyle name="메모 27 2" xfId="2678" xr:uid="{960B8E5A-4092-4C23-8524-7B79B5C16AF2}"/>
    <cellStyle name="메모 27 2 2" xfId="4019" xr:uid="{F64F8F64-0C18-483F-A314-0CAB98A1E1E1}"/>
    <cellStyle name="메모 27 3" xfId="4018" xr:uid="{42BBB1DB-78FE-4A17-A105-1CEC7DF6776B}"/>
    <cellStyle name="메모 28" xfId="2679" xr:uid="{B3762996-861C-48CE-A576-84AE42E61AC0}"/>
    <cellStyle name="메모 28 2" xfId="2680" xr:uid="{349B45B3-0FC6-412A-9FB0-0D9174A1CB99}"/>
    <cellStyle name="메모 28 2 2" xfId="4021" xr:uid="{4A183A49-603D-4C95-96C6-EA8D5AC4093D}"/>
    <cellStyle name="메모 28 3" xfId="4020" xr:uid="{B435350C-D135-4F1B-81F5-66D505063F16}"/>
    <cellStyle name="메모 29" xfId="2681" xr:uid="{12A53E01-273B-441E-965D-AD13D802D4FD}"/>
    <cellStyle name="메모 29 2" xfId="2682" xr:uid="{6E27D46B-53F9-4CD8-B12D-B537CEEB6411}"/>
    <cellStyle name="메모 29 2 2" xfId="4023" xr:uid="{C432A265-9FC2-4CCF-9464-73FFB2785955}"/>
    <cellStyle name="메모 29 3" xfId="4022" xr:uid="{2B7EA79C-DC91-445A-BB9F-BA60BA656747}"/>
    <cellStyle name="메모 3" xfId="2683" xr:uid="{40AA6147-85A7-4765-811E-4339E16641DE}"/>
    <cellStyle name="메모 3 2" xfId="2684" xr:uid="{29017A1C-20B3-48BA-9067-5C46C1C2C610}"/>
    <cellStyle name="메모 3 2 2" xfId="4025" xr:uid="{42A7B260-0C00-499F-B5B3-E5B0F482006C}"/>
    <cellStyle name="메모 3 3" xfId="4024" xr:uid="{FA7A69B9-1E11-443D-B380-30567C0EC524}"/>
    <cellStyle name="메모 30" xfId="2685" xr:uid="{6E4C040E-F511-4219-947A-9B4DB5384738}"/>
    <cellStyle name="메모 30 2" xfId="2686" xr:uid="{F3D1E9D7-92D3-4914-8CFC-BC45C6E4F08B}"/>
    <cellStyle name="메모 30 2 2" xfId="4027" xr:uid="{91094116-F7DB-41DB-884F-D2CB3CF1C37D}"/>
    <cellStyle name="메모 30 3" xfId="4026" xr:uid="{ADD99393-1B22-48DE-A470-24913239AC16}"/>
    <cellStyle name="메모 31" xfId="2687" xr:uid="{FDFCDB48-6736-435C-B9EF-4B51C35B2C79}"/>
    <cellStyle name="메모 31 2" xfId="2688" xr:uid="{3099DDB6-6D0C-4052-B59D-0650967C6497}"/>
    <cellStyle name="메모 31 2 2" xfId="4029" xr:uid="{7F40D435-6001-4637-A713-728C4BFC22D4}"/>
    <cellStyle name="메모 31 3" xfId="4028" xr:uid="{64B1C577-677B-4A60-A7DC-2A1D46ED57FD}"/>
    <cellStyle name="메모 32" xfId="2689" xr:uid="{24129C6A-5B49-402D-93DC-1738DD816687}"/>
    <cellStyle name="메모 32 2" xfId="2690" xr:uid="{A526C951-22A2-4675-AFB5-18AA99549B6C}"/>
    <cellStyle name="메모 32 2 2" xfId="4031" xr:uid="{2FDC8432-1B82-4B76-ADFF-7AE7C93EAB1E}"/>
    <cellStyle name="메모 32 3" xfId="4030" xr:uid="{0EB30CF3-9DC0-46AA-A7F9-F4B021E79E35}"/>
    <cellStyle name="메모 33" xfId="2691" xr:uid="{062631F6-1857-41E7-BA92-657CAEE87563}"/>
    <cellStyle name="메모 33 2" xfId="2692" xr:uid="{25AD4FAD-2E9A-435C-98FF-588D37559B48}"/>
    <cellStyle name="메모 33 2 2" xfId="4033" xr:uid="{F418EE37-3885-435A-ACF6-90FC525CCA6A}"/>
    <cellStyle name="메모 33 3" xfId="4032" xr:uid="{6B678E6C-A138-4CA6-970D-83C02FDF0F05}"/>
    <cellStyle name="메모 34" xfId="2693" xr:uid="{F9184478-1C60-4D05-BCE8-08850DB44D46}"/>
    <cellStyle name="메모 34 2" xfId="2694" xr:uid="{B6811AAA-22BF-4F9A-87B7-E051AA635C1D}"/>
    <cellStyle name="메모 34 2 2" xfId="4035" xr:uid="{54AEA7C8-7E23-43BD-8574-A8FC679CD054}"/>
    <cellStyle name="메모 34 3" xfId="4034" xr:uid="{617E3776-B150-482C-BC7C-FB1E6CEEE8C0}"/>
    <cellStyle name="메모 35" xfId="2695" xr:uid="{FBF88F2F-0FC1-43CD-A744-CCE5766F4222}"/>
    <cellStyle name="메모 35 2" xfId="2696" xr:uid="{24D5A885-E984-412D-859E-906100C978E7}"/>
    <cellStyle name="메모 35 2 2" xfId="4037" xr:uid="{67734528-4EBC-4448-BEB4-E81DD5911608}"/>
    <cellStyle name="메모 35 3" xfId="4036" xr:uid="{9B7A8D85-E240-4B1D-A9EA-788B69AF2902}"/>
    <cellStyle name="메모 36" xfId="2697" xr:uid="{714642D1-3071-4E45-9B28-BAC881AEA830}"/>
    <cellStyle name="메모 36 2" xfId="2698" xr:uid="{83C5B56E-40FD-47CD-A127-F2F30914917C}"/>
    <cellStyle name="메모 36 2 2" xfId="4039" xr:uid="{79AB5C00-F830-4427-BD9F-CC265EF257F7}"/>
    <cellStyle name="메모 36 3" xfId="4038" xr:uid="{D2F576D2-E771-4651-8899-45DE2977054C}"/>
    <cellStyle name="메모 37" xfId="2699" xr:uid="{659B476F-C9C1-47A5-84C3-4469F3F310F0}"/>
    <cellStyle name="메모 37 2" xfId="2700" xr:uid="{AF51924B-24F7-4E63-A5D7-1EB767675307}"/>
    <cellStyle name="메모 37 2 2" xfId="4041" xr:uid="{584D0E41-920A-419F-BCE7-194DAD3ED6D0}"/>
    <cellStyle name="메모 37 3" xfId="4040" xr:uid="{A3510DF1-5217-43C2-A813-01C7C074E624}"/>
    <cellStyle name="메모 38" xfId="2701" xr:uid="{E6A0BF32-DFBD-4428-80F0-DEA7E9620C17}"/>
    <cellStyle name="메모 38 2" xfId="2702" xr:uid="{4E3A224A-45C0-4701-8618-7A183F7277BF}"/>
    <cellStyle name="메모 38 2 2" xfId="4043" xr:uid="{C3FA9446-6F2F-47F1-BF62-FE0811F9D1E7}"/>
    <cellStyle name="메모 38 3" xfId="4042" xr:uid="{0DDA8F26-83FA-4C78-9311-348C49EC2401}"/>
    <cellStyle name="메모 39" xfId="2703" xr:uid="{55297959-64E4-4494-A4F0-8EBEBB871514}"/>
    <cellStyle name="메모 39 2" xfId="2704" xr:uid="{C3B31226-DDE9-4AB0-B473-99959152BA07}"/>
    <cellStyle name="메모 39 2 2" xfId="4045" xr:uid="{CF843D94-C664-424D-9B96-AF9F838D392E}"/>
    <cellStyle name="메모 39 3" xfId="4044" xr:uid="{1293F2DA-5DDA-481D-B4F6-DE0D9EC4D6F5}"/>
    <cellStyle name="메모 4" xfId="2705" xr:uid="{F7F89FB6-9E6C-4C5D-8257-217506203B84}"/>
    <cellStyle name="메모 4 2" xfId="2706" xr:uid="{A9A94414-1B11-49A0-95D2-72ACA336DF96}"/>
    <cellStyle name="메모 4 2 2" xfId="4047" xr:uid="{828F1D79-8BB2-44D2-BD0D-1918071495F5}"/>
    <cellStyle name="메모 4 3" xfId="4046" xr:uid="{267AE084-9F2F-442C-91FD-FF8804CC9AB7}"/>
    <cellStyle name="메모 40" xfId="2707" xr:uid="{2A3661F6-EE90-404F-81C9-1F86108DF10C}"/>
    <cellStyle name="메모 40 2" xfId="2708" xr:uid="{2FED6518-F7FB-4D04-ABB6-46FC5F9E7AD3}"/>
    <cellStyle name="메모 40 2 2" xfId="4049" xr:uid="{6ED73230-D242-4BC1-AE48-C31A2E430156}"/>
    <cellStyle name="메모 40 3" xfId="4048" xr:uid="{46288BE3-D8D1-4EC4-B962-645070FA4354}"/>
    <cellStyle name="메모 41" xfId="2709" xr:uid="{EEC803BF-F306-4BBC-9D77-E6EA458DA92D}"/>
    <cellStyle name="메모 41 2" xfId="2710" xr:uid="{D121B290-7A4B-4467-BA3A-224CFD121259}"/>
    <cellStyle name="메모 41 2 2" xfId="4051" xr:uid="{0A36ED01-03E8-43D6-87C8-9D3E91D1938D}"/>
    <cellStyle name="메모 41 3" xfId="4050" xr:uid="{50D636B0-2FA4-49DF-9BE0-9693AB572704}"/>
    <cellStyle name="메모 42" xfId="2711" xr:uid="{1D114E29-614B-4BCF-B18A-2E484951F9FD}"/>
    <cellStyle name="메모 42 2" xfId="2712" xr:uid="{23F510A5-646C-47FE-A369-5C5ED334285F}"/>
    <cellStyle name="메모 42 2 2" xfId="4053" xr:uid="{41483864-6052-40F0-B4D4-E9F37FF4E0BB}"/>
    <cellStyle name="메모 42 3" xfId="4052" xr:uid="{05EBB1CE-2AED-42D5-8EB8-64C9C2B1CA1F}"/>
    <cellStyle name="메모 43" xfId="2713" xr:uid="{1D243A2D-ADCF-4840-A468-A822C16E0BEF}"/>
    <cellStyle name="메모 43 2" xfId="2714" xr:uid="{427BFED9-84A1-4067-97F1-CF469B9DBC6C}"/>
    <cellStyle name="메모 43 2 2" xfId="4055" xr:uid="{A73767E1-8B02-42F3-B352-48EC53EEDDC7}"/>
    <cellStyle name="메모 43 3" xfId="4054" xr:uid="{F8C8A2CC-6FD2-412F-892D-9A6D3163F5C4}"/>
    <cellStyle name="메모 44" xfId="2715" xr:uid="{263A32F1-7A6D-4F94-AB7E-75F597A2677A}"/>
    <cellStyle name="메모 44 2" xfId="4056" xr:uid="{2AB7AAE0-6E4D-4FE3-B3EC-16BBBDD5346A}"/>
    <cellStyle name="메모 45" xfId="2716" xr:uid="{7CFEC37E-241C-4B80-B04F-0689E69A297C}"/>
    <cellStyle name="메모 45 2" xfId="4057" xr:uid="{C7F1A81E-8BC3-4DCC-AFD2-CF530C857F38}"/>
    <cellStyle name="메모 46" xfId="2717" xr:uid="{A46D2CBC-169B-48CB-8B35-3F5130B2AF68}"/>
    <cellStyle name="메모 47" xfId="2718" xr:uid="{24364AFC-E7E7-43D9-8F6E-FE956266B451}"/>
    <cellStyle name="메모 47 2" xfId="4058" xr:uid="{C6C93D76-1379-4EF2-AAE7-3DE9F288B003}"/>
    <cellStyle name="메모 48" xfId="2719" xr:uid="{D213A29D-373F-4320-9139-CEDDAA80FA63}"/>
    <cellStyle name="메모 48 2" xfId="4059" xr:uid="{F3906B23-C358-45A2-A937-FB79BB87521C}"/>
    <cellStyle name="메모 49" xfId="2720" xr:uid="{92CC34A8-CB58-4E71-B2E1-85037672C35A}"/>
    <cellStyle name="메모 49 2" xfId="4060" xr:uid="{F8D24D7C-9F07-4BCA-BF73-8C67F2EE7573}"/>
    <cellStyle name="메모 5" xfId="2721" xr:uid="{872359CE-594B-4215-BD02-60CE63CB8DD9}"/>
    <cellStyle name="메모 5 2" xfId="2722" xr:uid="{C0AF7061-2DD1-45D2-AC2A-B57DA87347D6}"/>
    <cellStyle name="메모 5 2 2" xfId="4062" xr:uid="{3CDFEFAE-9AE2-4FDB-8F1C-28ED4A5588DC}"/>
    <cellStyle name="메모 5 3" xfId="4061" xr:uid="{F0D58497-A5B0-4D3F-B488-B79C7E7CFC24}"/>
    <cellStyle name="메모 50" xfId="2723" xr:uid="{6ABE0F7F-822B-4B31-AFBA-5AA227BB42E1}"/>
    <cellStyle name="메모 50 2" xfId="4063" xr:uid="{5B6F616C-FA8C-4579-96FA-7524F6C318B4}"/>
    <cellStyle name="메모 51" xfId="2724" xr:uid="{915E62C5-80F4-4860-8292-58415AAC4CF4}"/>
    <cellStyle name="메모 51 2" xfId="4064" xr:uid="{E0F755B1-7633-421E-9795-760CED3CAE8A}"/>
    <cellStyle name="메모 52" xfId="3955" xr:uid="{7E25E658-0CED-4214-911D-E5D7329D535E}"/>
    <cellStyle name="메모 52 2" xfId="4073" xr:uid="{3ACD8801-14EE-4DE6-B826-B5DEB8F8AE14}"/>
    <cellStyle name="메모 52 2 2" xfId="4277" xr:uid="{D87EDE4F-F81B-4267-BB06-41F866C8F063}"/>
    <cellStyle name="메모 52 2 2 2" xfId="4581" xr:uid="{273A6110-2A57-485E-AACF-D71E3AD1C0A8}"/>
    <cellStyle name="메모 52 2 3" xfId="4449" xr:uid="{EA1F97F0-4916-442C-823E-1F4E304982CD}"/>
    <cellStyle name="메모 52 3" xfId="4264" xr:uid="{98A674E3-C7C0-4763-8B7A-774D3DEA848E}"/>
    <cellStyle name="메모 52 3 2" xfId="4568" xr:uid="{6475D4A1-E8AB-47FB-86B1-34412EDEBE58}"/>
    <cellStyle name="메모 52 4" xfId="4436" xr:uid="{AC616ACF-F184-4112-AA66-E3B44A3C5EA1}"/>
    <cellStyle name="메모 53" xfId="4090" xr:uid="{5A5A5DCE-5B27-4A03-B2E6-DC16F5AE0ADE}"/>
    <cellStyle name="메모 53 2" xfId="4294" xr:uid="{1B34600D-9E75-4505-B786-26E5FD1AD32E}"/>
    <cellStyle name="메모 53 2 2" xfId="4598" xr:uid="{F5519EDD-8334-4559-8BFB-37853DA13FB0}"/>
    <cellStyle name="메모 53 3" xfId="4466" xr:uid="{B4503418-4D07-465B-9DF6-5BCEC1F05FCA}"/>
    <cellStyle name="메모 54" xfId="4119" xr:uid="{2CF261C5-0A4F-4282-B84C-E7074A75DFD3}"/>
    <cellStyle name="메모 54 2" xfId="4310" xr:uid="{018AEC55-3923-466F-B276-7C4599499E28}"/>
    <cellStyle name="메모 54 2 2" xfId="4614" xr:uid="{210CFBF2-E7ED-421D-AC85-F0CBEFF63116}"/>
    <cellStyle name="메모 54 3" xfId="4482" xr:uid="{8AEEDA6B-D007-47BF-BF30-B2A759DE55F6}"/>
    <cellStyle name="메모 55" xfId="4148" xr:uid="{48716150-CB6D-4100-A1DD-8D5C1F9BE617}"/>
    <cellStyle name="메모 55 2" xfId="4324" xr:uid="{B0A71C40-E238-4CF6-9664-4F96E5E63891}"/>
    <cellStyle name="메모 55 2 2" xfId="4628" xr:uid="{D6840DC4-B341-4867-B9F4-EAE7E3742780}"/>
    <cellStyle name="메모 55 3" xfId="4496" xr:uid="{0D83BCF4-B148-4B08-8719-AD16C1ED246A}"/>
    <cellStyle name="메모 56" xfId="4162" xr:uid="{745DBFAF-E288-4613-AB48-0C092C80F5F0}"/>
    <cellStyle name="메모 56 2" xfId="4338" xr:uid="{99E41D5A-3B92-48DD-BE03-8C45F0E0F31D}"/>
    <cellStyle name="메모 56 2 2" xfId="4642" xr:uid="{0FCE9CD8-8B93-44FE-8094-9DEB8B577B85}"/>
    <cellStyle name="메모 56 3" xfId="4510" xr:uid="{C5AEF496-8FB3-400F-9AC5-948F54A9DF54}"/>
    <cellStyle name="메모 57" xfId="4176" xr:uid="{0AA2706B-5846-4ACC-9253-15696E28B71B}"/>
    <cellStyle name="메모 57 2" xfId="4352" xr:uid="{56B9508E-170C-4024-8166-F70C0FF27F5E}"/>
    <cellStyle name="메모 57 2 2" xfId="4656" xr:uid="{57F32536-8056-4A38-80C4-FF826ED1A744}"/>
    <cellStyle name="메모 57 3" xfId="4524" xr:uid="{07312D0A-65B3-4E00-A5C8-BE67B3741287}"/>
    <cellStyle name="메모 58" xfId="4191" xr:uid="{FF5000CB-2AD1-48B3-8129-55485D1A531A}"/>
    <cellStyle name="메모 58 2" xfId="4366" xr:uid="{CCB60F03-03E1-4353-99FA-DDC298CC3ED1}"/>
    <cellStyle name="메모 58 2 2" xfId="4670" xr:uid="{C019B6BD-8564-4334-B3A9-01D27ED5AA79}"/>
    <cellStyle name="메모 58 3" xfId="4538" xr:uid="{D163237E-1910-4CF6-8608-26C48385C26D}"/>
    <cellStyle name="메모 59" xfId="4205" xr:uid="{F2201DC2-76F0-461E-83DB-370A205CBB35}"/>
    <cellStyle name="메모 59 2" xfId="4552" xr:uid="{D6D52FF3-C1EA-4A59-ADA2-7EF31B06D3FC}"/>
    <cellStyle name="메모 6" xfId="2725" xr:uid="{A9284C72-07DB-4CFF-A91A-4824ABEE2EB3}"/>
    <cellStyle name="메모 6 2" xfId="2726" xr:uid="{11128D2E-704A-4A08-B958-814C368EE4FA}"/>
    <cellStyle name="메모 6 2 2" xfId="4066" xr:uid="{83740F2B-C390-435D-8AF2-F43419581A8B}"/>
    <cellStyle name="메모 6 3" xfId="4065" xr:uid="{7D9ABE98-2FE5-467C-BD7B-C240C1E1F5D9}"/>
    <cellStyle name="메모 60" xfId="4249" xr:uid="{88A8431E-BE0C-42A3-BBF5-C897394192E8}"/>
    <cellStyle name="메모 61" xfId="4421" xr:uid="{B1576E32-447A-446C-9CBB-9DB617AC5BEA}"/>
    <cellStyle name="메모 62" xfId="2640" xr:uid="{C2DC47DA-6DF6-4F9A-969D-3325EB3EBC4C}"/>
    <cellStyle name="메모 7" xfId="2727" xr:uid="{1A4465FF-12FB-467A-9B2B-38D0EE5593F8}"/>
    <cellStyle name="메모 7 2" xfId="2728" xr:uid="{5B7356E1-33A8-4460-B342-82351A82966C}"/>
    <cellStyle name="메모 7 2 2" xfId="4068" xr:uid="{73C281FA-0A91-4AF7-84A9-48FE9E9EEC10}"/>
    <cellStyle name="메모 7 3" xfId="4067" xr:uid="{D803906D-50D5-4338-BEB5-6155D9AB2F32}"/>
    <cellStyle name="메모 8" xfId="2729" xr:uid="{ECE29BAA-89BE-4209-8A99-133A0BD568D3}"/>
    <cellStyle name="메모 8 2" xfId="2730" xr:uid="{27BFA785-131C-4BD7-AB30-9441204F5068}"/>
    <cellStyle name="메모 8 2 2" xfId="4070" xr:uid="{84B7BDAC-53A0-4FA1-9C12-C747508879D6}"/>
    <cellStyle name="메모 8 3" xfId="4069" xr:uid="{B056DB1F-5CBE-46D9-90F8-E8C716016777}"/>
    <cellStyle name="메모 9" xfId="2731" xr:uid="{012BAD7A-AE9D-459A-B5C7-D0B844B244FC}"/>
    <cellStyle name="메모 9 2" xfId="2732" xr:uid="{503575E9-EFF6-48F7-995D-0D3ADAF72078}"/>
    <cellStyle name="메모 9 2 2" xfId="4072" xr:uid="{B2EE3981-7974-4EEC-82E3-58BD79BE261D}"/>
    <cellStyle name="메모 9 3" xfId="4071" xr:uid="{DF2333E3-5795-452D-93F7-083DBC824D5A}"/>
    <cellStyle name="보통 10" xfId="2734" xr:uid="{4879D048-60D9-4765-A1D4-82125E67CD14}"/>
    <cellStyle name="보통 10 2" xfId="2735" xr:uid="{14568AB6-51FD-4A1B-ADF5-A14B22674738}"/>
    <cellStyle name="보통 11" xfId="2736" xr:uid="{FBC7A635-8A13-44FD-8261-933200BC2CF3}"/>
    <cellStyle name="보통 11 2" xfId="2737" xr:uid="{339764B0-54E8-4806-868E-4BAEC97F03F6}"/>
    <cellStyle name="보통 12" xfId="2738" xr:uid="{4EEC0191-24D7-4F7C-9E8E-04E12E62E4B8}"/>
    <cellStyle name="보통 12 2" xfId="2739" xr:uid="{AB70E278-7F86-479C-8253-608356169556}"/>
    <cellStyle name="보통 13" xfId="2740" xr:uid="{C5F91BCD-291C-40D6-893F-1ED0A11FE724}"/>
    <cellStyle name="보통 13 2" xfId="2741" xr:uid="{5BBB6F35-DBC7-4D7E-A7D0-01014A0755B9}"/>
    <cellStyle name="보통 14" xfId="2742" xr:uid="{E9F7E322-B317-4C0E-84A8-CC830BFC3C4C}"/>
    <cellStyle name="보통 14 2" xfId="2743" xr:uid="{3FED7823-44B3-4553-8E05-3612152CAA0F}"/>
    <cellStyle name="보통 15" xfId="2744" xr:uid="{B13AFA3C-7F1A-4BD9-804E-DAAA201C11F9}"/>
    <cellStyle name="보통 15 2" xfId="2745" xr:uid="{C7E7B9BB-C679-4E98-BBE8-F63B12FDAEBB}"/>
    <cellStyle name="보통 16" xfId="2746" xr:uid="{F388D654-4378-49E3-9F92-7ACBFD4F0647}"/>
    <cellStyle name="보통 16 2" xfId="2747" xr:uid="{0481CB33-0427-44D8-B553-6D307A5DF8D9}"/>
    <cellStyle name="보통 17" xfId="2748" xr:uid="{B43E1D27-2D52-488E-A116-10DEB558631E}"/>
    <cellStyle name="보통 17 2" xfId="2749" xr:uid="{CF8A556F-31DF-45E9-8297-C8A7718F56F0}"/>
    <cellStyle name="보통 18" xfId="2750" xr:uid="{288E8AA7-DAA8-4C4B-ACEE-40DCB7CFA806}"/>
    <cellStyle name="보통 18 2" xfId="2751" xr:uid="{A7CEF989-1336-403C-95AF-9FF9CB798A64}"/>
    <cellStyle name="보통 19" xfId="2752" xr:uid="{7628EFE2-5411-4434-B7F1-B040F8424832}"/>
    <cellStyle name="보통 19 2" xfId="2753" xr:uid="{0598AF5E-6768-4E38-811D-1711F8ADE73C}"/>
    <cellStyle name="보통 2" xfId="2754" xr:uid="{9C19E48F-6214-4E17-8C2C-370386A5EE79}"/>
    <cellStyle name="보통 2 2" xfId="2755" xr:uid="{9E8F4449-90D1-4419-B9C3-685E3B5E353A}"/>
    <cellStyle name="보통 20" xfId="2756" xr:uid="{C7CCA888-70C7-4CF8-BED3-5B42260D509D}"/>
    <cellStyle name="보통 20 2" xfId="2757" xr:uid="{8DE01B1A-F142-4A5A-8F70-E4DA2A3FDC5D}"/>
    <cellStyle name="보통 21" xfId="2758" xr:uid="{7E9A8781-AD86-4B6A-8563-505DEBA624EB}"/>
    <cellStyle name="보통 21 2" xfId="2759" xr:uid="{610BBF18-FF9C-40F4-8A32-3B7A22606733}"/>
    <cellStyle name="보통 22" xfId="2760" xr:uid="{92781ABE-67FE-4C7C-95EA-CCD10F13FBF3}"/>
    <cellStyle name="보통 22 2" xfId="2761" xr:uid="{FBB5DF3F-77F8-49F8-8F7B-5AB9D096DF5E}"/>
    <cellStyle name="보통 23" xfId="2762" xr:uid="{73555546-0A16-4602-AD0D-534E8ABB4EF4}"/>
    <cellStyle name="보통 23 2" xfId="2763" xr:uid="{FE0C30D5-0696-488D-B4BA-F72736049583}"/>
    <cellStyle name="보통 24" xfId="2764" xr:uid="{46633AAE-F7F7-4F45-960A-DBF5907831B8}"/>
    <cellStyle name="보통 24 2" xfId="2765" xr:uid="{3EC0025C-39FF-4AD2-9680-A818FC962284}"/>
    <cellStyle name="보통 25" xfId="2766" xr:uid="{43AD7D8E-2370-408E-AC9F-E1FC62145C7B}"/>
    <cellStyle name="보통 25 2" xfId="2767" xr:uid="{6C4B58E8-EBD3-48E7-A945-5B203A6ED586}"/>
    <cellStyle name="보통 26" xfId="2768" xr:uid="{3358A3F6-581A-49DB-9CF4-4C7421C920FA}"/>
    <cellStyle name="보통 26 2" xfId="2769" xr:uid="{983E4548-35E3-4566-9B60-687F5E9F46C2}"/>
    <cellStyle name="보통 27" xfId="2770" xr:uid="{9924D21A-6E5A-4CFF-9635-58DCD119A4C6}"/>
    <cellStyle name="보통 27 2" xfId="2771" xr:uid="{4AC622C3-CCF5-44F2-8023-69BDE99D7711}"/>
    <cellStyle name="보통 28" xfId="2772" xr:uid="{C6548967-E577-4979-9A27-67A5FF57E65C}"/>
    <cellStyle name="보통 28 2" xfId="2773" xr:uid="{795ED344-8A0D-4593-9C44-0F5CEE2F34EC}"/>
    <cellStyle name="보통 29" xfId="2774" xr:uid="{A478915F-85BC-4C8B-905C-20C94DEACDE9}"/>
    <cellStyle name="보통 29 2" xfId="2775" xr:uid="{BD9EBBBC-70D7-4A59-B666-C5116807F69A}"/>
    <cellStyle name="보통 3" xfId="2776" xr:uid="{4FA14D91-FBBB-411F-966D-994793B12C7E}"/>
    <cellStyle name="보통 3 2" xfId="2777" xr:uid="{AA786D90-3789-4578-BC35-E218C344C95A}"/>
    <cellStyle name="보통 30" xfId="2778" xr:uid="{7743DB36-9D5D-41B3-B640-19D5ADB8C8C2}"/>
    <cellStyle name="보통 30 2" xfId="2779" xr:uid="{0CF20077-5282-4EAE-B86C-4B4669F3252D}"/>
    <cellStyle name="보통 31" xfId="2780" xr:uid="{2FB7C174-D425-4EDD-94EC-31003F394631}"/>
    <cellStyle name="보통 31 2" xfId="2781" xr:uid="{10A54EED-92CA-4BBC-8268-94ABFAE3FAD7}"/>
    <cellStyle name="보통 32" xfId="2782" xr:uid="{81D36805-0B9B-444F-AAD2-FB52DD1BA721}"/>
    <cellStyle name="보통 32 2" xfId="2783" xr:uid="{DA99C3AD-49BF-4B00-B4D5-C609F3935E6B}"/>
    <cellStyle name="보통 33" xfId="2784" xr:uid="{7A9C27D0-0CCB-46BF-8999-A5FDB95482E4}"/>
    <cellStyle name="보통 33 2" xfId="2785" xr:uid="{FE2371A1-39AD-4EA3-A6E5-FCCA11FFE0F8}"/>
    <cellStyle name="보통 34" xfId="2786" xr:uid="{4B6ED64B-2FC3-4C59-BF61-ABADA5165E57}"/>
    <cellStyle name="보통 34 2" xfId="2787" xr:uid="{8F8DD6BB-90B4-43F3-B74F-0E4041C1F693}"/>
    <cellStyle name="보통 35" xfId="2788" xr:uid="{79456E91-16CF-4F2D-8270-46B701C5CE73}"/>
    <cellStyle name="보통 35 2" xfId="2789" xr:uid="{40B6EC17-8D97-412C-A3EE-F8BC3AA78838}"/>
    <cellStyle name="보통 36" xfId="2790" xr:uid="{293AD498-8F4F-421A-A8F6-CE1AD1E4BB2F}"/>
    <cellStyle name="보통 36 2" xfId="2791" xr:uid="{39D84F4D-110C-41D5-98D1-79196706FC8D}"/>
    <cellStyle name="보통 37" xfId="2792" xr:uid="{2BBC09F4-4384-4816-8CDD-62D9BB537BC1}"/>
    <cellStyle name="보통 37 2" xfId="2793" xr:uid="{A27DD51A-5EB7-487F-BA3B-28F643001E3B}"/>
    <cellStyle name="보통 38" xfId="2794" xr:uid="{F6A97B5B-58D1-4547-BCFC-12FF75A09C2F}"/>
    <cellStyle name="보통 38 2" xfId="2795" xr:uid="{820B0F1B-C118-4ED3-AD6B-5105B9BC1AC8}"/>
    <cellStyle name="보통 39" xfId="2796" xr:uid="{FC3B1E11-46E7-4A4C-9EB0-26BC46EB9276}"/>
    <cellStyle name="보통 39 2" xfId="2797" xr:uid="{16330E54-D37B-4B57-AE9D-6C48F25E36AA}"/>
    <cellStyle name="보통 4" xfId="2798" xr:uid="{B2EA5D10-A7CF-4D36-966B-D2F11E9D7BAF}"/>
    <cellStyle name="보통 4 2" xfId="2799" xr:uid="{05CDC8C5-D4E1-4305-97E9-62D5CAD7035A}"/>
    <cellStyle name="보통 40" xfId="2800" xr:uid="{714BF068-90F8-4410-B597-845B6C475660}"/>
    <cellStyle name="보통 40 2" xfId="2801" xr:uid="{B0CCEA70-9729-4E58-B2C6-8BACA93230DC}"/>
    <cellStyle name="보통 41" xfId="2802" xr:uid="{F83839B1-169E-46EA-A86D-64AA49ABCDE9}"/>
    <cellStyle name="보통 41 2" xfId="2803" xr:uid="{8C79D3B3-0BD7-46E9-89A2-E5D1EAEB5C47}"/>
    <cellStyle name="보통 42" xfId="2804" xr:uid="{BE4C6071-00F5-4BAF-87B2-4F37B445D27E}"/>
    <cellStyle name="보통 42 2" xfId="2805" xr:uid="{A89D2019-9B18-4284-AFDB-0C87165F36B2}"/>
    <cellStyle name="보통 43" xfId="2806" xr:uid="{33683A55-86FC-405A-9A7D-222FEFF41F3A}"/>
    <cellStyle name="보통 43 2" xfId="2807" xr:uid="{68228B55-C7EE-48F5-8DE1-A1C6CC0FB516}"/>
    <cellStyle name="보통 44" xfId="2808" xr:uid="{CC4FAE97-408B-4E71-8DCC-50C58092E0E8}"/>
    <cellStyle name="보통 45" xfId="2809" xr:uid="{5FA72A36-759F-4E40-8E43-8F8CAEDCD1A2}"/>
    <cellStyle name="보통 46" xfId="2810" xr:uid="{0195C353-0A39-463E-BB80-0FAC642309CC}"/>
    <cellStyle name="보통 47" xfId="2811" xr:uid="{64D2AB55-B459-4963-AD41-4C7190569C28}"/>
    <cellStyle name="보통 48" xfId="2812" xr:uid="{1B5EE91C-037C-4EC9-ACCD-779F3D07EC60}"/>
    <cellStyle name="보통 49" xfId="2813" xr:uid="{4A65C397-7E3A-4C57-8D97-B1519F9F6669}"/>
    <cellStyle name="보통 5" xfId="2814" xr:uid="{3B343CA7-5E50-4309-87FA-8DF8C18B9193}"/>
    <cellStyle name="보통 5 2" xfId="2815" xr:uid="{847BFDF7-B973-4C02-89AF-734EFB42E1F7}"/>
    <cellStyle name="보통 50" xfId="2816" xr:uid="{BF38326A-E2A8-4802-B53B-AE3EE5BE76CD}"/>
    <cellStyle name="보통 51" xfId="3948" xr:uid="{238ECD77-AFC7-44DC-B018-03C6583B352C}"/>
    <cellStyle name="보통 52" xfId="4112" xr:uid="{22A4D287-4187-49F8-93FC-9ADE4D3E534D}"/>
    <cellStyle name="보통 53" xfId="4250" xr:uid="{C57DC9F9-A868-4693-852C-7052B11B01D0}"/>
    <cellStyle name="보통 54" xfId="4422" xr:uid="{00E957AC-4B9D-4C41-9436-6D891480BC36}"/>
    <cellStyle name="보통 55" xfId="2733" xr:uid="{F47791BE-409B-4C0F-B949-2BFE65DDA5C9}"/>
    <cellStyle name="보통 6" xfId="2817" xr:uid="{59E6FF43-8313-481D-A907-59782EB22B30}"/>
    <cellStyle name="보통 6 2" xfId="2818" xr:uid="{5A505D9F-EFE8-4122-8BA2-156245FF721C}"/>
    <cellStyle name="보통 7" xfId="2819" xr:uid="{4065A843-5484-4830-B276-8444D64C2B6C}"/>
    <cellStyle name="보통 7 2" xfId="2820" xr:uid="{609A539A-E663-472E-8CE9-E750CB84AF95}"/>
    <cellStyle name="보통 8" xfId="2821" xr:uid="{53F17FD1-A4EE-47A6-B62C-53F7B0FBC172}"/>
    <cellStyle name="보통 8 2" xfId="2822" xr:uid="{47FB5386-153A-4F34-A3B4-89303F510AE1}"/>
    <cellStyle name="보통 9" xfId="2823" xr:uid="{089B6E77-B72E-4B48-BCBF-E23B171A34EB}"/>
    <cellStyle name="보통 9 2" xfId="2824" xr:uid="{26181946-86FD-4ED9-82D6-68C226C4E70F}"/>
    <cellStyle name="설명 텍스트 10" xfId="2826" xr:uid="{FCB231A6-2FAA-4726-AF85-9A0902CABA7E}"/>
    <cellStyle name="설명 텍스트 10 2" xfId="2827" xr:uid="{BC9B8B7B-ABA1-485A-88F2-8FFAF1CB4DEC}"/>
    <cellStyle name="설명 텍스트 11" xfId="2828" xr:uid="{13F8209D-F6F6-4514-8D3C-6095680CE758}"/>
    <cellStyle name="설명 텍스트 11 2" xfId="2829" xr:uid="{F29E2057-E8B2-44EC-B9B5-01315CB816ED}"/>
    <cellStyle name="설명 텍스트 12" xfId="2830" xr:uid="{CA26243C-54BE-4541-B1FF-A559741E6845}"/>
    <cellStyle name="설명 텍스트 12 2" xfId="2831" xr:uid="{271414D8-5A03-4D91-B032-B60F73563959}"/>
    <cellStyle name="설명 텍스트 13" xfId="2832" xr:uid="{F868CBFC-871E-4A7C-8A39-D52EE3AD18C7}"/>
    <cellStyle name="설명 텍스트 13 2" xfId="2833" xr:uid="{A454E27E-E65B-4B76-AC66-EB2E254944C4}"/>
    <cellStyle name="설명 텍스트 14" xfId="2834" xr:uid="{1B45BB58-87A4-4029-B3D6-6590066745F2}"/>
    <cellStyle name="설명 텍스트 14 2" xfId="2835" xr:uid="{54A12723-7E95-4E67-88D6-B16668353B97}"/>
    <cellStyle name="설명 텍스트 15" xfId="2836" xr:uid="{FB0E6110-8AF0-45BC-A96D-E1E81291E160}"/>
    <cellStyle name="설명 텍스트 15 2" xfId="2837" xr:uid="{B0B0C693-9841-4E17-88EF-DECCCF4CC9C5}"/>
    <cellStyle name="설명 텍스트 16" xfId="2838" xr:uid="{E6523C0C-2EE5-4249-B42E-F3E15A443A12}"/>
    <cellStyle name="설명 텍스트 16 2" xfId="2839" xr:uid="{F73233A3-7700-41A5-A2E5-B2D3BCEFA060}"/>
    <cellStyle name="설명 텍스트 17" xfId="2840" xr:uid="{238FA3D1-E57A-4CAF-BA4C-214E34463166}"/>
    <cellStyle name="설명 텍스트 17 2" xfId="2841" xr:uid="{3D14FD23-C41E-4484-A898-AFF4DDCA217E}"/>
    <cellStyle name="설명 텍스트 18" xfId="2842" xr:uid="{BFDA7C26-78B9-4048-8C4D-B9370ECEE2B7}"/>
    <cellStyle name="설명 텍스트 18 2" xfId="2843" xr:uid="{7DEED589-52BE-46A8-B106-21C9E9BDA221}"/>
    <cellStyle name="설명 텍스트 19" xfId="2844" xr:uid="{ECBCA6E7-76E4-4F65-BD2D-3EA4A41FF5E7}"/>
    <cellStyle name="설명 텍스트 19 2" xfId="2845" xr:uid="{39C72BE7-B515-40AF-AD33-3FCC957A53DB}"/>
    <cellStyle name="설명 텍스트 2" xfId="2846" xr:uid="{EA367677-FA8C-4D60-8517-22C8F9447C32}"/>
    <cellStyle name="설명 텍스트 2 2" xfId="2847" xr:uid="{1CF8172F-51E5-403D-AF22-45A7C496F52E}"/>
    <cellStyle name="설명 텍스트 20" xfId="2848" xr:uid="{51AAB2F4-3ABE-4ACA-9A3D-2F61BB7423A5}"/>
    <cellStyle name="설명 텍스트 20 2" xfId="2849" xr:uid="{78E5D8EF-581C-402A-A324-B388936F1D73}"/>
    <cellStyle name="설명 텍스트 21" xfId="2850" xr:uid="{5227825D-E531-485D-A901-82125BD97AFC}"/>
    <cellStyle name="설명 텍스트 21 2" xfId="2851" xr:uid="{12A483A0-357D-4130-AAFB-BB9476379647}"/>
    <cellStyle name="설명 텍스트 22" xfId="2852" xr:uid="{CCF0CF6E-F7C1-420A-A910-51EC47BA4BF7}"/>
    <cellStyle name="설명 텍스트 22 2" xfId="2853" xr:uid="{AAC8CB9A-0757-4BB2-BAA0-11382F323619}"/>
    <cellStyle name="설명 텍스트 23" xfId="2854" xr:uid="{5E246A21-8371-48E3-9B98-6BA4C39F828B}"/>
    <cellStyle name="설명 텍스트 23 2" xfId="2855" xr:uid="{AD877340-5D1C-46D1-A44E-673113576371}"/>
    <cellStyle name="설명 텍스트 24" xfId="2856" xr:uid="{AB45F750-2F4E-4850-B5E6-752211513384}"/>
    <cellStyle name="설명 텍스트 24 2" xfId="2857" xr:uid="{AE8A014F-5D62-4E53-923A-51312CBD8997}"/>
    <cellStyle name="설명 텍스트 25" xfId="2858" xr:uid="{DA7828EA-FF19-451E-AF1F-6236F036BDA0}"/>
    <cellStyle name="설명 텍스트 25 2" xfId="2859" xr:uid="{3FCDB1FA-01E3-4DDD-AC59-914AB76F896E}"/>
    <cellStyle name="설명 텍스트 26" xfId="2860" xr:uid="{A636DF39-DBCF-4F1E-9ED0-97A2AFBF031A}"/>
    <cellStyle name="설명 텍스트 26 2" xfId="2861" xr:uid="{5097B913-9168-40CD-ADD0-F607F5DCFEDF}"/>
    <cellStyle name="설명 텍스트 27" xfId="2862" xr:uid="{72872007-44EF-44D0-ABDD-EDD5370D8B08}"/>
    <cellStyle name="설명 텍스트 27 2" xfId="2863" xr:uid="{0CE00BC8-FB93-40FF-BF47-FB86FAF7B29D}"/>
    <cellStyle name="설명 텍스트 28" xfId="2864" xr:uid="{1D8E6041-A9DC-4277-8970-1039A1220A9D}"/>
    <cellStyle name="설명 텍스트 28 2" xfId="2865" xr:uid="{44B9C388-B4CA-40C2-9013-CEE9A65D2689}"/>
    <cellStyle name="설명 텍스트 29" xfId="2866" xr:uid="{4834907D-A9DC-4F87-B896-165E2B41069E}"/>
    <cellStyle name="설명 텍스트 29 2" xfId="2867" xr:uid="{C64ED641-4E37-4958-8CED-F3D88BDBCC3F}"/>
    <cellStyle name="설명 텍스트 3" xfId="2868" xr:uid="{FD804291-BC43-4287-8F60-5ACCD7BD721F}"/>
    <cellStyle name="설명 텍스트 3 2" xfId="2869" xr:uid="{B6F2882A-019A-4C60-9DF8-E05A725074E0}"/>
    <cellStyle name="설명 텍스트 30" xfId="2870" xr:uid="{45994FA0-EFAE-4879-BA5A-DC9E7EDE71A3}"/>
    <cellStyle name="설명 텍스트 30 2" xfId="2871" xr:uid="{9894D609-416E-4F0E-B18F-7443E7D9D34A}"/>
    <cellStyle name="설명 텍스트 31" xfId="2872" xr:uid="{A6E020C7-6DD9-410B-B68D-27953B232673}"/>
    <cellStyle name="설명 텍스트 31 2" xfId="2873" xr:uid="{79BA6B83-7F55-430F-B1FC-C4BCBFA284B5}"/>
    <cellStyle name="설명 텍스트 32" xfId="2874" xr:uid="{21D748F8-4745-426B-8F52-8D729D7906E1}"/>
    <cellStyle name="설명 텍스트 32 2" xfId="2875" xr:uid="{8E2508BF-6499-4702-9F67-BB11D97FD3FB}"/>
    <cellStyle name="설명 텍스트 33" xfId="2876" xr:uid="{0CA5D565-E627-47CD-9F5D-A6A451469915}"/>
    <cellStyle name="설명 텍스트 33 2" xfId="2877" xr:uid="{69967782-40A9-4A86-AAA3-A6931AADF921}"/>
    <cellStyle name="설명 텍스트 34" xfId="2878" xr:uid="{4BC25887-6D4C-4163-A42A-C4B7F644E7F8}"/>
    <cellStyle name="설명 텍스트 34 2" xfId="2879" xr:uid="{98B7CA58-674A-4E8A-AF95-E4C768C76FD8}"/>
    <cellStyle name="설명 텍스트 35" xfId="2880" xr:uid="{2113AD18-3979-42A0-9A26-8AD34C2BD165}"/>
    <cellStyle name="설명 텍스트 35 2" xfId="2881" xr:uid="{FE7D090A-7D11-471C-A2E6-9859BD4FD24E}"/>
    <cellStyle name="설명 텍스트 36" xfId="2882" xr:uid="{0EB36A1E-9B4B-4511-811B-33EA9CE55223}"/>
    <cellStyle name="설명 텍스트 36 2" xfId="2883" xr:uid="{51F5CB00-2E41-4CBD-98A3-8AAD856052F0}"/>
    <cellStyle name="설명 텍스트 37" xfId="2884" xr:uid="{28C579EE-183A-477C-AFC1-229F6EDB9245}"/>
    <cellStyle name="설명 텍스트 37 2" xfId="2885" xr:uid="{9EA0E11B-87B0-41D0-BDE7-56AFD77EDB65}"/>
    <cellStyle name="설명 텍스트 38" xfId="2886" xr:uid="{A49B15C6-98C7-406F-8089-C50A29478517}"/>
    <cellStyle name="설명 텍스트 38 2" xfId="2887" xr:uid="{E33813F2-9E32-4642-90EC-5F3A5781CCB3}"/>
    <cellStyle name="설명 텍스트 39" xfId="2888" xr:uid="{F62F9741-8359-40EB-A713-FB6E853AC158}"/>
    <cellStyle name="설명 텍스트 39 2" xfId="2889" xr:uid="{BF176FFA-A160-4BFE-A6A7-1945BEB1B73D}"/>
    <cellStyle name="설명 텍스트 4" xfId="2890" xr:uid="{CDCDE187-8D32-4346-A08E-5EC98CC756E1}"/>
    <cellStyle name="설명 텍스트 4 2" xfId="2891" xr:uid="{F8A95CD0-EAA4-4ED4-B9A4-4286045AA543}"/>
    <cellStyle name="설명 텍스트 40" xfId="2892" xr:uid="{63897F89-B1C1-441C-8D47-3AE384DC220E}"/>
    <cellStyle name="설명 텍스트 40 2" xfId="2893" xr:uid="{75551FF3-B87A-429B-9BC9-770B272E9568}"/>
    <cellStyle name="설명 텍스트 41" xfId="2894" xr:uid="{51AF1BFF-2B6D-42B5-923D-294F97D82E43}"/>
    <cellStyle name="설명 텍스트 41 2" xfId="2895" xr:uid="{621E5F2C-75AB-45A3-AC2E-AF7A39B4D3B8}"/>
    <cellStyle name="설명 텍스트 42" xfId="2896" xr:uid="{3AF41C8C-1A79-4E14-AEAC-4DC32CE1CDB6}"/>
    <cellStyle name="설명 텍스트 42 2" xfId="2897" xr:uid="{01E5C1BA-FB88-40EE-94CC-187F4E2E04B7}"/>
    <cellStyle name="설명 텍스트 43" xfId="2898" xr:uid="{6F024925-40E7-4167-A739-95C67A431EFA}"/>
    <cellStyle name="설명 텍스트 43 2" xfId="2899" xr:uid="{F57817C3-9835-4E51-A657-66D7D97E04D5}"/>
    <cellStyle name="설명 텍스트 44" xfId="2900" xr:uid="{CA9CF237-23B9-4245-AA88-EA9DDDB1183A}"/>
    <cellStyle name="설명 텍스트 45" xfId="2901" xr:uid="{441B1594-607A-4E60-858A-76302DEA1971}"/>
    <cellStyle name="설명 텍스트 46" xfId="2902" xr:uid="{DC005DAA-B852-4FA5-8557-67880097BA1C}"/>
    <cellStyle name="설명 텍스트 47" xfId="2903" xr:uid="{15FA1FDD-99D5-4134-B22C-1D80673572B7}"/>
    <cellStyle name="설명 텍스트 48" xfId="2904" xr:uid="{10F6AF99-FCC1-4103-AA8E-DDC008FA1459}"/>
    <cellStyle name="설명 텍스트 49" xfId="2905" xr:uid="{E231CBBD-D213-4DDA-B830-A2BB53784AF5}"/>
    <cellStyle name="설명 텍스트 5" xfId="2906" xr:uid="{8C9E64E4-F2EB-40F4-9AFA-85514F6C6C62}"/>
    <cellStyle name="설명 텍스트 5 2" xfId="2907" xr:uid="{88E4CA6B-AE4A-4300-8E2A-2E8A72D9A9EF}"/>
    <cellStyle name="설명 텍스트 50" xfId="2908" xr:uid="{624954B9-705E-4049-A3B0-056D52173B52}"/>
    <cellStyle name="설명 텍스트 51" xfId="3956" xr:uid="{E074F073-A157-4FC4-AD2A-51E4C7415E8D}"/>
    <cellStyle name="설명 텍스트 52" xfId="4120" xr:uid="{C98F997A-95F8-4EB7-838F-67D4D47F6E10}"/>
    <cellStyle name="설명 텍스트 53" xfId="4251" xr:uid="{2CE48BBF-05B6-44E4-9BFE-5AB6CA1C0B59}"/>
    <cellStyle name="설명 텍스트 54" xfId="4423" xr:uid="{A225E7D1-19B4-442B-8F8F-FDE85DB00BCF}"/>
    <cellStyle name="설명 텍스트 55" xfId="2825" xr:uid="{9614F315-B247-43B2-ADC0-5C68B05845A7}"/>
    <cellStyle name="설명 텍스트 6" xfId="2909" xr:uid="{1EF2C7A1-80D8-47EF-A3A1-9F77677B3372}"/>
    <cellStyle name="설명 텍스트 6 2" xfId="2910" xr:uid="{10D22B76-9B6F-47B0-BC6F-59ACAEE6CEF6}"/>
    <cellStyle name="설명 텍스트 7" xfId="2911" xr:uid="{2534C126-51DE-4F75-9856-05F2644ACFA9}"/>
    <cellStyle name="설명 텍스트 7 2" xfId="2912" xr:uid="{CCD3E2ED-DECE-4979-A145-85BA818B3166}"/>
    <cellStyle name="설명 텍스트 8" xfId="2913" xr:uid="{0601B565-4191-4574-BBE1-1A71FB810FB9}"/>
    <cellStyle name="설명 텍스트 8 2" xfId="2914" xr:uid="{B9C13C3C-F1E8-4395-94C5-D5814D00B561}"/>
    <cellStyle name="설명 텍스트 9" xfId="2915" xr:uid="{3E9A0592-7F36-4AF5-8123-3455DF0F0BF3}"/>
    <cellStyle name="설명 텍스트 9 2" xfId="2916" xr:uid="{617DCF98-4C49-45ED-8E09-CD5766069458}"/>
    <cellStyle name="셀 확인 10" xfId="2918" xr:uid="{8D900A76-21AF-48BE-A3D5-D0D8678F5426}"/>
    <cellStyle name="셀 확인 10 2" xfId="2919" xr:uid="{7B2085CD-CAEE-4CE2-A509-E7CFB2AA436C}"/>
    <cellStyle name="셀 확인 11" xfId="2920" xr:uid="{C06033C6-2F63-4E84-A635-8FDC45EF2240}"/>
    <cellStyle name="셀 확인 11 2" xfId="2921" xr:uid="{CAE8CF4A-65E8-4DEC-962A-931CBFC0469B}"/>
    <cellStyle name="셀 확인 12" xfId="2922" xr:uid="{8960D626-5755-48B6-8F60-91258CF50AF4}"/>
    <cellStyle name="셀 확인 12 2" xfId="2923" xr:uid="{0BD55DF3-C5E4-47CE-880F-77CE9890A455}"/>
    <cellStyle name="셀 확인 13" xfId="2924" xr:uid="{67206F07-B226-4300-ABE1-0F2E17BE8B7D}"/>
    <cellStyle name="셀 확인 13 2" xfId="2925" xr:uid="{E6FD5976-3C2C-4240-81C4-4F9A4046A9B5}"/>
    <cellStyle name="셀 확인 14" xfId="2926" xr:uid="{B9F95C2D-B691-4913-A6F0-15898C47F83D}"/>
    <cellStyle name="셀 확인 14 2" xfId="2927" xr:uid="{A159BD37-E72B-4B1B-B9CB-FDA7490B12BA}"/>
    <cellStyle name="셀 확인 15" xfId="2928" xr:uid="{CFAB64DF-0BC3-4FB9-BC9C-24587D942697}"/>
    <cellStyle name="셀 확인 15 2" xfId="2929" xr:uid="{71B87662-F695-4BDD-9D08-2124D13ADEA5}"/>
    <cellStyle name="셀 확인 16" xfId="2930" xr:uid="{D39BE8DA-6B4C-4329-8A01-824CD6506AA7}"/>
    <cellStyle name="셀 확인 16 2" xfId="2931" xr:uid="{07F1AD51-565E-42E0-AF50-0AE4967882F0}"/>
    <cellStyle name="셀 확인 17" xfId="2932" xr:uid="{978A65BB-9D7B-4303-B3EA-1AFD463753CF}"/>
    <cellStyle name="셀 확인 17 2" xfId="2933" xr:uid="{F3D3E4BA-7C1D-40F1-A613-DA50D56831F7}"/>
    <cellStyle name="셀 확인 18" xfId="2934" xr:uid="{6A4C088C-E04F-4587-AABA-DF5EF46CDEBA}"/>
    <cellStyle name="셀 확인 18 2" xfId="2935" xr:uid="{A72918F2-A88D-49F3-979A-2AAD04F5213B}"/>
    <cellStyle name="셀 확인 19" xfId="2936" xr:uid="{B894FCE2-C548-4171-BCEC-09F70548CBBC}"/>
    <cellStyle name="셀 확인 19 2" xfId="2937" xr:uid="{422D5246-491B-48D6-B0FE-42D324FAA53B}"/>
    <cellStyle name="셀 확인 2" xfId="2938" xr:uid="{DC69897B-3AB9-4501-9E21-24AD30CB4ACB}"/>
    <cellStyle name="셀 확인 2 2" xfId="2939" xr:uid="{8A88F762-FE04-4A14-94EE-BC1050D90E58}"/>
    <cellStyle name="셀 확인 20" xfId="2940" xr:uid="{FEA0C265-2F8D-4D84-96DB-F80CAD31D7D2}"/>
    <cellStyle name="셀 확인 20 2" xfId="2941" xr:uid="{65A03A0C-06EE-4CA1-8ADB-A6679CC163B7}"/>
    <cellStyle name="셀 확인 21" xfId="2942" xr:uid="{FDE3162B-D8EA-47DB-A8BA-6ED2B4BBA1A6}"/>
    <cellStyle name="셀 확인 21 2" xfId="2943" xr:uid="{D7D8247E-B21E-44BF-9B42-3D62DEE51151}"/>
    <cellStyle name="셀 확인 22" xfId="2944" xr:uid="{8D259F5B-9AEB-405D-B273-57AAA92472DD}"/>
    <cellStyle name="셀 확인 22 2" xfId="2945" xr:uid="{9AB66586-BEEA-471B-8D73-44210082586C}"/>
    <cellStyle name="셀 확인 23" xfId="2946" xr:uid="{7C349D2D-F3D0-430B-B23B-F6875758B7A4}"/>
    <cellStyle name="셀 확인 23 2" xfId="2947" xr:uid="{B918E447-E648-4E7F-BF79-B168DFB1C39A}"/>
    <cellStyle name="셀 확인 24" xfId="2948" xr:uid="{67ADE611-8494-4282-BCFF-C59EB5C84D7C}"/>
    <cellStyle name="셀 확인 24 2" xfId="2949" xr:uid="{3B0657A4-385B-417B-9F2A-A42CC7302F79}"/>
    <cellStyle name="셀 확인 25" xfId="2950" xr:uid="{206371B5-7C7D-43DC-B182-E074C8ABD26C}"/>
    <cellStyle name="셀 확인 25 2" xfId="2951" xr:uid="{B08840B6-AE59-44CB-AA44-4D63071DA307}"/>
    <cellStyle name="셀 확인 26" xfId="2952" xr:uid="{304FCEB6-327F-493A-8FB9-55A1C0440F9C}"/>
    <cellStyle name="셀 확인 26 2" xfId="2953" xr:uid="{8D101E05-3442-429D-B5B1-F4018729DD2E}"/>
    <cellStyle name="셀 확인 27" xfId="2954" xr:uid="{9E2E48CA-70BA-49BB-955A-26642CBE6A81}"/>
    <cellStyle name="셀 확인 27 2" xfId="2955" xr:uid="{2852D6A9-314F-4602-A5BF-9D6B25761EC6}"/>
    <cellStyle name="셀 확인 28" xfId="2956" xr:uid="{A79D8E9E-E45E-460B-B606-5B0376E8E20C}"/>
    <cellStyle name="셀 확인 28 2" xfId="2957" xr:uid="{8716A45D-BF25-4024-A880-D86568AD5EE1}"/>
    <cellStyle name="셀 확인 29" xfId="2958" xr:uid="{9C8E8623-E6EC-4A90-88C7-374C0B120C88}"/>
    <cellStyle name="셀 확인 29 2" xfId="2959" xr:uid="{D04352A0-2C47-4F25-8E4D-121EAD769801}"/>
    <cellStyle name="셀 확인 3" xfId="2960" xr:uid="{367C127F-587F-450D-99E5-9AF2A230DDA4}"/>
    <cellStyle name="셀 확인 3 2" xfId="2961" xr:uid="{DD106E7F-7AA4-4D94-B168-DD5BE6510BB2}"/>
    <cellStyle name="셀 확인 30" xfId="2962" xr:uid="{DC1B69DE-0C8A-48EB-9C12-8AB70EB9C895}"/>
    <cellStyle name="셀 확인 30 2" xfId="2963" xr:uid="{58BD3FBF-7F5F-4668-A87A-53B301136B04}"/>
    <cellStyle name="셀 확인 31" xfId="2964" xr:uid="{437C7D13-708C-4057-9323-5D3AA9F59781}"/>
    <cellStyle name="셀 확인 31 2" xfId="2965" xr:uid="{D0B73DDA-38D1-4EEB-9008-0F6D07522FC7}"/>
    <cellStyle name="셀 확인 32" xfId="2966" xr:uid="{D70C3741-4E8D-48EB-890F-0BF24885A6BD}"/>
    <cellStyle name="셀 확인 32 2" xfId="2967" xr:uid="{84081035-9E7F-41CB-8FC1-3012BFA417C5}"/>
    <cellStyle name="셀 확인 33" xfId="2968" xr:uid="{1A9283D6-2FB4-4DAE-A5E0-83FE4B95FEEF}"/>
    <cellStyle name="셀 확인 33 2" xfId="2969" xr:uid="{99C37E2C-BE36-41B9-A3E9-6489709D96F8}"/>
    <cellStyle name="셀 확인 34" xfId="2970" xr:uid="{741050E3-6C35-4A0E-B1DD-D04ADCC58F92}"/>
    <cellStyle name="셀 확인 34 2" xfId="2971" xr:uid="{3D980FD6-86EC-4769-8654-1153426F5936}"/>
    <cellStyle name="셀 확인 35" xfId="2972" xr:uid="{E92DF1E2-FF79-44BC-96FC-3B44EED20975}"/>
    <cellStyle name="셀 확인 35 2" xfId="2973" xr:uid="{D55DA5F8-AFD1-454B-81FE-4D7D18F2ED64}"/>
    <cellStyle name="셀 확인 36" xfId="2974" xr:uid="{5967C9C0-790E-452E-B28F-15C3C6072AFA}"/>
    <cellStyle name="셀 확인 36 2" xfId="2975" xr:uid="{D1E83A5D-17F1-4579-9362-864EEF9788DF}"/>
    <cellStyle name="셀 확인 37" xfId="2976" xr:uid="{F45BB11A-3396-4DB6-AB83-EA91A260AD54}"/>
    <cellStyle name="셀 확인 37 2" xfId="2977" xr:uid="{93F9D11E-91D7-413C-9AC6-3643682CFE44}"/>
    <cellStyle name="셀 확인 38" xfId="2978" xr:uid="{EF0E77D0-67EE-4125-A951-ECCC41A411A4}"/>
    <cellStyle name="셀 확인 38 2" xfId="2979" xr:uid="{7AF12DC0-2757-4BCF-87E0-DD1CFFCDD314}"/>
    <cellStyle name="셀 확인 39" xfId="2980" xr:uid="{B93E753F-ABFA-47C9-B088-841BAFA33F82}"/>
    <cellStyle name="셀 확인 39 2" xfId="2981" xr:uid="{6A507C95-E488-446C-8C56-48D64FAE7521}"/>
    <cellStyle name="셀 확인 4" xfId="2982" xr:uid="{9798C71F-FF85-44FD-8206-9A98FF225C1A}"/>
    <cellStyle name="셀 확인 4 2" xfId="2983" xr:uid="{D1CC00B7-311B-49F8-8B79-03C2A972BFD0}"/>
    <cellStyle name="셀 확인 40" xfId="2984" xr:uid="{A84C6E74-E0AC-4BAE-A840-6938D454E168}"/>
    <cellStyle name="셀 확인 40 2" xfId="2985" xr:uid="{23BA1FCA-8A3D-4581-AC9E-D883791F22F7}"/>
    <cellStyle name="셀 확인 41" xfId="2986" xr:uid="{DDF7FA3E-2CE8-4216-8805-D84DA01163D4}"/>
    <cellStyle name="셀 확인 41 2" xfId="2987" xr:uid="{972DE00B-6F4F-4019-84B6-8ADDDF073E8A}"/>
    <cellStyle name="셀 확인 42" xfId="2988" xr:uid="{7A853A50-921D-42E8-90E6-3A532EC88899}"/>
    <cellStyle name="셀 확인 42 2" xfId="2989" xr:uid="{22282762-9DB3-456F-8E40-B1902ED577AC}"/>
    <cellStyle name="셀 확인 43" xfId="2990" xr:uid="{C3F683CF-4FCD-43CE-99F4-A1F186C6FC22}"/>
    <cellStyle name="셀 확인 43 2" xfId="2991" xr:uid="{2ACFAED1-3A11-4D4B-A960-75295B881002}"/>
    <cellStyle name="셀 확인 44" xfId="2992" xr:uid="{23854F12-DF97-492A-9A8A-EF53F142F4AA}"/>
    <cellStyle name="셀 확인 45" xfId="2993" xr:uid="{8025064A-72D4-4961-9C47-2D4BB7979DDA}"/>
    <cellStyle name="셀 확인 46" xfId="2994" xr:uid="{6F321952-3F12-4E5B-BBBF-1FFD7819D6F6}"/>
    <cellStyle name="셀 확인 47" xfId="2995" xr:uid="{82EE6206-D394-4C23-AA40-634BC582B6BC}"/>
    <cellStyle name="셀 확인 48" xfId="2996" xr:uid="{E1C1787C-EE66-44F2-A1DC-EFA8F3B8796D}"/>
    <cellStyle name="셀 확인 49" xfId="2997" xr:uid="{3707805F-F4D5-48F5-8684-50F10D52FC3E}"/>
    <cellStyle name="셀 확인 5" xfId="2998" xr:uid="{0AFDB006-93D1-491F-9ECD-C287E35DFB3E}"/>
    <cellStyle name="셀 확인 5 2" xfId="2999" xr:uid="{8CE874BD-D528-455E-8623-DB4C8971DD44}"/>
    <cellStyle name="셀 확인 50" xfId="3000" xr:uid="{7D1B2DF6-9C9B-476E-9EE2-D469ADD2ED46}"/>
    <cellStyle name="셀 확인 51" xfId="3953" xr:uid="{4AF42935-F9DC-458F-8BE2-D85A544C25DB}"/>
    <cellStyle name="셀 확인 52" xfId="4117" xr:uid="{1881F190-B1B4-41BC-A26E-3D8AD7B14F98}"/>
    <cellStyle name="셀 확인 53" xfId="4252" xr:uid="{B05DC0EA-6606-433E-8C73-F26046FEFE11}"/>
    <cellStyle name="셀 확인 54" xfId="4424" xr:uid="{83F7C34E-1CFD-4843-BFF5-0A65B3996A6F}"/>
    <cellStyle name="셀 확인 55" xfId="2917" xr:uid="{61BFA94D-41BF-4D17-AF67-5EF703F393C1}"/>
    <cellStyle name="셀 확인 6" xfId="3001" xr:uid="{39974A08-A9D1-436C-B195-378BE5D3F8A9}"/>
    <cellStyle name="셀 확인 6 2" xfId="3002" xr:uid="{6F763803-C336-49F1-A5F1-FDAD4908F1D9}"/>
    <cellStyle name="셀 확인 7" xfId="3003" xr:uid="{CC3F4E19-6ADA-4F5E-BA77-C4643A3C8799}"/>
    <cellStyle name="셀 확인 7 2" xfId="3004" xr:uid="{7AD6010A-8351-4989-86D4-2284AF0A6DFA}"/>
    <cellStyle name="셀 확인 8" xfId="3005" xr:uid="{67492E83-33BA-4334-8C8F-5D9C7A7962D9}"/>
    <cellStyle name="셀 확인 8 2" xfId="3006" xr:uid="{B5D5ADE9-DB24-42D5-8282-E95B325AB271}"/>
    <cellStyle name="셀 확인 9" xfId="3007" xr:uid="{A1708A2E-5308-4A37-921E-15FCCC2D8C76}"/>
    <cellStyle name="셀 확인 9 2" xfId="3008" xr:uid="{C132726C-F3E6-41E4-9EF1-1571CE67F97E}"/>
    <cellStyle name="쉼표 [0] 2" xfId="3010" xr:uid="{49990D64-A963-4346-99CD-635134453925}"/>
    <cellStyle name="쉼표 [0] 3" xfId="154" xr:uid="{C0F8F9B3-6376-4075-90B5-595C1BD80115}"/>
    <cellStyle name="쉼표 [0] 3 2" xfId="3011" xr:uid="{70086DC9-5C0D-465E-8B28-D5D977D6F04D}"/>
    <cellStyle name="쉼표 [0] 4" xfId="4253" xr:uid="{F0D83A08-68A5-4389-8C8B-972F7A44B57F}"/>
    <cellStyle name="쉼표 [0] 5" xfId="4425" xr:uid="{EF01A407-DD1B-44FE-BABF-23F7614D8ABC}"/>
    <cellStyle name="쉼표 [0] 6" xfId="3009" xr:uid="{354B2E4B-8D87-4A69-973A-57217262A381}"/>
    <cellStyle name="연결된 셀 10" xfId="3013" xr:uid="{FD1E52C7-9129-4258-93B2-E99BFE9FAE1E}"/>
    <cellStyle name="연결된 셀 10 2" xfId="3014" xr:uid="{49712580-FDA7-472C-8AC8-335F2E156ECB}"/>
    <cellStyle name="연결된 셀 11" xfId="3015" xr:uid="{E799D0B8-C4C1-4028-BA5E-84A399380E6A}"/>
    <cellStyle name="연결된 셀 11 2" xfId="3016" xr:uid="{F874BACB-CDD8-4D32-9380-29E29C60F990}"/>
    <cellStyle name="연결된 셀 12" xfId="3017" xr:uid="{28651AB6-0165-4BB3-BBE6-21FF61A202B0}"/>
    <cellStyle name="연결된 셀 12 2" xfId="3018" xr:uid="{C0609763-42DB-4146-87A1-FF7F55C0E1EE}"/>
    <cellStyle name="연결된 셀 13" xfId="3019" xr:uid="{9678E7AD-8F2D-44DD-8C85-0D631E0C7363}"/>
    <cellStyle name="연결된 셀 13 2" xfId="3020" xr:uid="{DD43B284-CE11-4C59-987B-CAC1B0F3D115}"/>
    <cellStyle name="연결된 셀 14" xfId="3021" xr:uid="{96F6D187-518F-4F23-A750-C868F9805864}"/>
    <cellStyle name="연결된 셀 14 2" xfId="3022" xr:uid="{55F57D9A-762D-4A6E-AECC-4CEA45D23458}"/>
    <cellStyle name="연결된 셀 15" xfId="3023" xr:uid="{E0649FF5-8159-47EB-94B1-DB4FFC07BBDA}"/>
    <cellStyle name="연결된 셀 15 2" xfId="3024" xr:uid="{C10ED2FA-35EE-4772-A547-7C048DA99F80}"/>
    <cellStyle name="연결된 셀 16" xfId="3025" xr:uid="{8C546E84-1DE7-4BBF-AC2D-6493494C16ED}"/>
    <cellStyle name="연결된 셀 16 2" xfId="3026" xr:uid="{8DD5F863-82A5-4DCC-903A-5BFE9CB9D9D4}"/>
    <cellStyle name="연결된 셀 17" xfId="3027" xr:uid="{1BE5E784-239F-4E14-9A31-F4A825D73DB9}"/>
    <cellStyle name="연결된 셀 17 2" xfId="3028" xr:uid="{7A04FA93-311A-478E-B999-5393B9D2505A}"/>
    <cellStyle name="연결된 셀 18" xfId="3029" xr:uid="{E6C4787D-D49B-4243-8F4F-5D00F070E92D}"/>
    <cellStyle name="연결된 셀 18 2" xfId="3030" xr:uid="{E04964DF-8074-4837-95B7-6D7BCEADA388}"/>
    <cellStyle name="연결된 셀 19" xfId="3031" xr:uid="{0FF95382-08AC-4E1A-95DB-8A3C4227AD22}"/>
    <cellStyle name="연결된 셀 19 2" xfId="3032" xr:uid="{DCD4F2F7-B3EE-4BD4-840B-CA1527810F6D}"/>
    <cellStyle name="연결된 셀 2" xfId="3033" xr:uid="{F529B405-0CE0-435F-BA31-D0D3B7FFBF99}"/>
    <cellStyle name="연결된 셀 2 2" xfId="3034" xr:uid="{71E364D9-C19C-4A8C-A482-B03AABA28349}"/>
    <cellStyle name="연결된 셀 20" xfId="3035" xr:uid="{54275DEF-1C17-42E3-ABDC-9D767012BCFA}"/>
    <cellStyle name="연결된 셀 20 2" xfId="3036" xr:uid="{68FFD6F8-7202-4F04-ABF3-30B8E521145D}"/>
    <cellStyle name="연결된 셀 21" xfId="3037" xr:uid="{EA88BBB3-06ED-4A76-A6A8-ACAA6299753F}"/>
    <cellStyle name="연결된 셀 21 2" xfId="3038" xr:uid="{BC5548C1-C6DD-47CB-BE0E-689A9BEB764A}"/>
    <cellStyle name="연결된 셀 22" xfId="3039" xr:uid="{54CA09FB-7799-47BD-95FE-B9EEE2945263}"/>
    <cellStyle name="연결된 셀 22 2" xfId="3040" xr:uid="{D118F5B4-3B30-44E6-AED4-F106683FE1C1}"/>
    <cellStyle name="연결된 셀 23" xfId="3041" xr:uid="{7F91F030-2A9E-4761-8F28-E31AD9E5DF0F}"/>
    <cellStyle name="연결된 셀 23 2" xfId="3042" xr:uid="{FA515EFC-BD93-4416-BE15-49292B482CF2}"/>
    <cellStyle name="연결된 셀 24" xfId="3043" xr:uid="{9DCA3E5D-F7EB-40B6-B717-97C81668ABB3}"/>
    <cellStyle name="연결된 셀 24 2" xfId="3044" xr:uid="{7B4ED6C1-D838-4A4C-B8E7-E2EEA3BCE3DC}"/>
    <cellStyle name="연결된 셀 25" xfId="3045" xr:uid="{38B88B62-7815-4CE2-B586-F4B4E521B907}"/>
    <cellStyle name="연결된 셀 25 2" xfId="3046" xr:uid="{2A9B0E35-BA6E-42AA-B885-93C512B134DE}"/>
    <cellStyle name="연결된 셀 26" xfId="3047" xr:uid="{C7935374-9472-4381-9FB8-C38CAC9A9CBC}"/>
    <cellStyle name="연결된 셀 26 2" xfId="3048" xr:uid="{564767BA-AEE7-49D1-9578-917C406C86E7}"/>
    <cellStyle name="연결된 셀 27" xfId="3049" xr:uid="{679B8482-ED18-4CB5-BD26-880AD4F80045}"/>
    <cellStyle name="연결된 셀 27 2" xfId="3050" xr:uid="{E079B36D-D10E-40E0-AA12-CA6ACBF9F82B}"/>
    <cellStyle name="연결된 셀 28" xfId="3051" xr:uid="{7FEC9B6F-5EDF-4CBB-83C7-48C00B265B52}"/>
    <cellStyle name="연결된 셀 28 2" xfId="3052" xr:uid="{1B2C3F8B-3D41-489E-A10A-42B1A5483BCB}"/>
    <cellStyle name="연결된 셀 29" xfId="3053" xr:uid="{0C45798B-036F-4B2F-99DE-81EA2A476510}"/>
    <cellStyle name="연결된 셀 29 2" xfId="3054" xr:uid="{5F6456A7-3B0A-48E6-AD2B-4DDD87BCC61B}"/>
    <cellStyle name="연결된 셀 3" xfId="3055" xr:uid="{FE96CBE4-4B2E-48D6-AD1E-518D355B2397}"/>
    <cellStyle name="연결된 셀 3 2" xfId="3056" xr:uid="{EE3578F1-1321-4282-8BF3-98CD027F618B}"/>
    <cellStyle name="연결된 셀 30" xfId="3057" xr:uid="{E1581E73-C152-4778-9F5B-A213294C9604}"/>
    <cellStyle name="연결된 셀 30 2" xfId="3058" xr:uid="{6E7E20E6-2F6B-451E-8FA7-981ABE600C0D}"/>
    <cellStyle name="연결된 셀 31" xfId="3059" xr:uid="{F551457E-F0B8-4E59-9724-FE9880352966}"/>
    <cellStyle name="연결된 셀 31 2" xfId="3060" xr:uid="{72852C24-C1EC-4BB9-8AC6-3FF6184C9D42}"/>
    <cellStyle name="연결된 셀 32" xfId="3061" xr:uid="{49703531-C4FF-4CC3-8B0A-F82C18ACB7E6}"/>
    <cellStyle name="연결된 셀 32 2" xfId="3062" xr:uid="{67D38277-65AF-4FB2-8A54-39E46B507D7A}"/>
    <cellStyle name="연결된 셀 33" xfId="3063" xr:uid="{EF4451EC-D986-414F-B48C-B1ADBB8E58B8}"/>
    <cellStyle name="연결된 셀 33 2" xfId="3064" xr:uid="{93FD73B7-DFC7-47C0-8181-EB91F0F67270}"/>
    <cellStyle name="연결된 셀 34" xfId="3065" xr:uid="{0B0DC918-601A-4B81-A259-724AC969D41A}"/>
    <cellStyle name="연결된 셀 34 2" xfId="3066" xr:uid="{A1DF5A98-E56F-4A6C-8848-41283A948BC8}"/>
    <cellStyle name="연결된 셀 35" xfId="3067" xr:uid="{B90FF6E7-E23F-4C24-BA6C-FEDB77B2CEF6}"/>
    <cellStyle name="연결된 셀 35 2" xfId="3068" xr:uid="{000D9DEB-1DE1-4615-8ECD-FEA220B2DDBC}"/>
    <cellStyle name="연결된 셀 36" xfId="3069" xr:uid="{DF966757-FE23-4DFD-BD20-F6BF81B0C801}"/>
    <cellStyle name="연결된 셀 36 2" xfId="3070" xr:uid="{A40E4F53-2208-44F8-8F56-504F4E345437}"/>
    <cellStyle name="연결된 셀 37" xfId="3071" xr:uid="{BDF5571D-5190-4714-986E-E24C8762F3F8}"/>
    <cellStyle name="연결된 셀 37 2" xfId="3072" xr:uid="{43E10C55-752F-4ACE-BBC1-D3FA2B9AF639}"/>
    <cellStyle name="연결된 셀 38" xfId="3073" xr:uid="{285C57FB-777A-4402-B387-810411620B1C}"/>
    <cellStyle name="연결된 셀 38 2" xfId="3074" xr:uid="{B9BC1302-6BE8-4B9F-B7E9-D67F2C5BB474}"/>
    <cellStyle name="연결된 셀 39" xfId="3075" xr:uid="{DB8F1AE6-5255-4B83-844C-4B3BA228876C}"/>
    <cellStyle name="연결된 셀 39 2" xfId="3076" xr:uid="{74849DA1-0E6B-4DF2-91B1-5E7A00768B34}"/>
    <cellStyle name="연결된 셀 4" xfId="3077" xr:uid="{7F6A8432-CB94-4B59-9F6F-1C284807562C}"/>
    <cellStyle name="연결된 셀 4 2" xfId="3078" xr:uid="{F24C4043-7ED3-483C-B896-8A8CE3992C2B}"/>
    <cellStyle name="연결된 셀 40" xfId="3079" xr:uid="{12DF490D-6E38-41DE-8C2D-8D387043EF7C}"/>
    <cellStyle name="연결된 셀 40 2" xfId="3080" xr:uid="{79746616-0401-4336-89A1-DC6EC3E9FD8D}"/>
    <cellStyle name="연결된 셀 41" xfId="3081" xr:uid="{002F8287-BEB6-4779-9D7A-B2BBB3F37B7B}"/>
    <cellStyle name="연결된 셀 41 2" xfId="3082" xr:uid="{AF9DCD19-8A69-4257-87D1-49A178AACB1C}"/>
    <cellStyle name="연결된 셀 42" xfId="3083" xr:uid="{0FBAEC72-3106-4C80-99A4-F90FF8A65DA8}"/>
    <cellStyle name="연결된 셀 42 2" xfId="3084" xr:uid="{0CF59C70-7957-470A-BB18-275FB5BC1F67}"/>
    <cellStyle name="연결된 셀 43" xfId="3085" xr:uid="{0AA96E94-B896-41BC-BF4D-C8F3BF1C578F}"/>
    <cellStyle name="연결된 셀 43 2" xfId="3086" xr:uid="{6BCC8F9F-D481-400F-8868-C9B930A80C27}"/>
    <cellStyle name="연결된 셀 44" xfId="3087" xr:uid="{B7B6E325-7062-4038-BAB4-0114148A2DB3}"/>
    <cellStyle name="연결된 셀 45" xfId="3088" xr:uid="{7BFCB3AF-294C-4B6E-BCBD-955BB93266C9}"/>
    <cellStyle name="연결된 셀 46" xfId="3089" xr:uid="{8CBEF798-9B61-4EE4-A4D7-EAA0AFC22A09}"/>
    <cellStyle name="연결된 셀 47" xfId="3090" xr:uid="{43161744-8764-4DE1-98EC-E7B643F2FEA0}"/>
    <cellStyle name="연결된 셀 48" xfId="3091" xr:uid="{E38F8F1E-623A-4594-865A-B129B121DF9D}"/>
    <cellStyle name="연결된 셀 49" xfId="3092" xr:uid="{1962B420-468D-459E-9A66-AF70E35BDDA1}"/>
    <cellStyle name="연결된 셀 5" xfId="3093" xr:uid="{71AFE046-0CA5-4067-A348-4143A168C072}"/>
    <cellStyle name="연결된 셀 5 2" xfId="3094" xr:uid="{355B47D0-2148-4EAA-BC43-2495F6BA1757}"/>
    <cellStyle name="연결된 셀 50" xfId="3095" xr:uid="{EEA7837A-B482-4DE3-8F15-3C14DB6E6663}"/>
    <cellStyle name="연결된 셀 51" xfId="3952" xr:uid="{D1E8B0B1-2B6F-409A-90D6-6BAD8FB87E11}"/>
    <cellStyle name="연결된 셀 52" xfId="4116" xr:uid="{DEEC4724-D8FE-40A2-8048-61A8084DE0F0}"/>
    <cellStyle name="연결된 셀 53" xfId="4254" xr:uid="{27069A59-1170-41C7-A0A1-ACECFBDD5485}"/>
    <cellStyle name="연결된 셀 54" xfId="4426" xr:uid="{9F75D4BE-203C-402E-A331-39CB6ECC0E4C}"/>
    <cellStyle name="연결된 셀 55" xfId="3012" xr:uid="{55EBAE8A-2185-4ED7-A22A-E17FD8DC93B5}"/>
    <cellStyle name="연결된 셀 6" xfId="3096" xr:uid="{82AF7ED3-60CB-47DB-A0FA-72D6F7663B6A}"/>
    <cellStyle name="연결된 셀 6 2" xfId="3097" xr:uid="{2F6E4D4E-1277-410A-A8DB-7568254C7434}"/>
    <cellStyle name="연결된 셀 7" xfId="3098" xr:uid="{26CAC0B6-0106-4656-9563-BAF91BE33325}"/>
    <cellStyle name="연결된 셀 7 2" xfId="3099" xr:uid="{1E47E5C0-EE63-4124-9E31-D8EB182DD021}"/>
    <cellStyle name="연결된 셀 8" xfId="3100" xr:uid="{35D3465E-38EF-4E1E-A421-4BFC6B2D80AE}"/>
    <cellStyle name="연결된 셀 8 2" xfId="3101" xr:uid="{B42B679B-082F-448A-AF4E-3503324A3BED}"/>
    <cellStyle name="연결된 셀 9" xfId="3102" xr:uid="{78F6177D-1A78-4D96-8837-B46797866C4C}"/>
    <cellStyle name="연결된 셀 9 2" xfId="3103" xr:uid="{2E31E09A-5121-418C-9BE0-9ED62C405DFC}"/>
    <cellStyle name="요약 10" xfId="3105" xr:uid="{697E057F-3F13-4977-82E1-33FCCA6F92DB}"/>
    <cellStyle name="요약 10 2" xfId="3106" xr:uid="{4999B0EE-D49D-41EF-A115-6396026BCD25}"/>
    <cellStyle name="요약 11" xfId="3107" xr:uid="{2EBC517E-CB7F-490B-A90B-38C389C6F396}"/>
    <cellStyle name="요약 11 2" xfId="3108" xr:uid="{4F793690-CABB-44A8-880A-FA15AFAD0A76}"/>
    <cellStyle name="요약 12" xfId="3109" xr:uid="{54A65706-E488-464E-8B56-378028B8A0EF}"/>
    <cellStyle name="요약 12 2" xfId="3110" xr:uid="{C0EAFF9C-4616-4617-BDEB-13A5DEBE8B71}"/>
    <cellStyle name="요약 13" xfId="3111" xr:uid="{1578400E-1F6C-41E6-B22E-64E80250824F}"/>
    <cellStyle name="요약 13 2" xfId="3112" xr:uid="{BEC67957-27D4-40A7-9E6B-86B35BA84DBC}"/>
    <cellStyle name="요약 14" xfId="3113" xr:uid="{075FF001-529A-4BF1-A06A-386012A4DABD}"/>
    <cellStyle name="요약 14 2" xfId="3114" xr:uid="{97F51653-54B2-47E1-B1F6-02F6EA5D13A1}"/>
    <cellStyle name="요약 15" xfId="3115" xr:uid="{38CEA41F-5524-4966-BB7D-DCA6754B6358}"/>
    <cellStyle name="요약 15 2" xfId="3116" xr:uid="{05961113-D0C4-4C3F-911E-971C5FD8DEDA}"/>
    <cellStyle name="요약 16" xfId="3117" xr:uid="{EA1773F5-6045-46DB-915E-8255A8A3CF08}"/>
    <cellStyle name="요약 16 2" xfId="3118" xr:uid="{2B7F3F77-568B-4AB4-8BC1-E5736022F513}"/>
    <cellStyle name="요약 17" xfId="3119" xr:uid="{E00C949D-1F6E-4C68-BA93-580774B60806}"/>
    <cellStyle name="요약 17 2" xfId="3120" xr:uid="{15FFF9EB-71D5-4A87-9A24-B63FB5687656}"/>
    <cellStyle name="요약 18" xfId="3121" xr:uid="{D9D3E962-071A-445A-BF71-27265338CFCF}"/>
    <cellStyle name="요약 18 2" xfId="3122" xr:uid="{EB92B105-6C20-4753-A4E7-7E731F10D1B5}"/>
    <cellStyle name="요약 19" xfId="3123" xr:uid="{AB382238-C270-4EDD-A13B-5ADF95CC99FD}"/>
    <cellStyle name="요약 19 2" xfId="3124" xr:uid="{AE66A001-EF1F-4F83-AE68-74B1EE177651}"/>
    <cellStyle name="요약 2" xfId="3125" xr:uid="{8DFFCBBA-AD07-48E8-985E-65161806BEDA}"/>
    <cellStyle name="요약 2 2" xfId="3126" xr:uid="{1A960761-4704-4277-A7C3-18191B38572C}"/>
    <cellStyle name="요약 20" xfId="3127" xr:uid="{78F5F9D5-9D0B-4843-B4DE-71BCE504FBD7}"/>
    <cellStyle name="요약 20 2" xfId="3128" xr:uid="{FD7F7332-4DA8-48C2-A474-2B1E3B10A7E2}"/>
    <cellStyle name="요약 21" xfId="3129" xr:uid="{BEDF60DE-C351-4E2B-A3AB-8BDCAB9EBC35}"/>
    <cellStyle name="요약 21 2" xfId="3130" xr:uid="{426D0275-5C15-4562-90FF-4F2EE797AAC0}"/>
    <cellStyle name="요약 22" xfId="3131" xr:uid="{56550DD6-F0F4-45DD-803D-DBB66465B130}"/>
    <cellStyle name="요약 22 2" xfId="3132" xr:uid="{A62C55AF-F7BB-40F3-BE4F-7ABAE007F31E}"/>
    <cellStyle name="요약 23" xfId="3133" xr:uid="{F1222730-6A4D-4A8D-BCA6-4DE2B83E023B}"/>
    <cellStyle name="요약 23 2" xfId="3134" xr:uid="{9C1CDCE7-CACD-4D14-840B-07847590C845}"/>
    <cellStyle name="요약 24" xfId="3135" xr:uid="{F0968514-E5B2-4A35-AB73-56708590B054}"/>
    <cellStyle name="요약 24 2" xfId="3136" xr:uid="{2CCFC5C0-5C64-4437-805B-748AB8D5634D}"/>
    <cellStyle name="요약 25" xfId="3137" xr:uid="{B463CA47-6598-44DF-80BA-69BD55EA7B06}"/>
    <cellStyle name="요약 25 2" xfId="3138" xr:uid="{3B848012-CFAB-4A73-A4B4-E2E4EB81664A}"/>
    <cellStyle name="요약 26" xfId="3139" xr:uid="{24698230-972C-4F15-B201-B4A9EA2084EF}"/>
    <cellStyle name="요약 26 2" xfId="3140" xr:uid="{92BE27ED-772E-40A9-B971-71DF2239B73F}"/>
    <cellStyle name="요약 27" xfId="3141" xr:uid="{AE7C9E06-FEF2-4F8F-BF7F-A8B3EFE51D4E}"/>
    <cellStyle name="요약 27 2" xfId="3142" xr:uid="{D638D76B-5F31-42BB-A146-FFA68F971702}"/>
    <cellStyle name="요약 28" xfId="3143" xr:uid="{E0494F62-7541-4B90-B117-BD00766EC5C0}"/>
    <cellStyle name="요약 28 2" xfId="3144" xr:uid="{A3D712F6-0B50-43BA-85CF-C4B29A2026AB}"/>
    <cellStyle name="요약 29" xfId="3145" xr:uid="{B7BEB184-3499-4CB7-B07B-B4CE38EC6FC7}"/>
    <cellStyle name="요약 29 2" xfId="3146" xr:uid="{ABEEA70C-D1F8-462A-84C2-6ECD13A7CE98}"/>
    <cellStyle name="요약 3" xfId="3147" xr:uid="{B30968DF-8AE0-4A13-BE8A-3356C5CD10F4}"/>
    <cellStyle name="요약 3 2" xfId="3148" xr:uid="{349A9923-E9D6-4606-971E-094C4EA54411}"/>
    <cellStyle name="요약 30" xfId="3149" xr:uid="{E4E3A94E-2CB6-41F1-9016-2B775300DBC0}"/>
    <cellStyle name="요약 30 2" xfId="3150" xr:uid="{15CDC21A-37FE-4F0C-AF3C-E733CE71B4AA}"/>
    <cellStyle name="요약 31" xfId="3151" xr:uid="{914354B1-3726-4A83-91D8-2F5779DE6E8B}"/>
    <cellStyle name="요약 31 2" xfId="3152" xr:uid="{192380FD-A5DF-4A28-ACFE-531D532D0538}"/>
    <cellStyle name="요약 32" xfId="3153" xr:uid="{A0FF89B2-9461-47F7-858C-359A7EA738EB}"/>
    <cellStyle name="요약 32 2" xfId="3154" xr:uid="{F33EC267-FFE3-47AF-A3A0-E0F328B5C1B0}"/>
    <cellStyle name="요약 33" xfId="3155" xr:uid="{134ADB8D-7A62-46C1-AADC-2C8B25F6C534}"/>
    <cellStyle name="요약 33 2" xfId="3156" xr:uid="{EFD6FF0F-DB62-444A-9892-038C8FD6E14E}"/>
    <cellStyle name="요약 34" xfId="3157" xr:uid="{3A0A9D52-EFA8-407F-9F70-0538395F05F2}"/>
    <cellStyle name="요약 34 2" xfId="3158" xr:uid="{35538E4C-8B45-437E-896B-0970EF2D19AF}"/>
    <cellStyle name="요약 35" xfId="3159" xr:uid="{2805788D-78D4-4B06-BC87-AC409D2B1CD0}"/>
    <cellStyle name="요약 35 2" xfId="3160" xr:uid="{3565E995-69EE-406A-854A-6ED1E0F9FA20}"/>
    <cellStyle name="요약 36" xfId="3161" xr:uid="{475ECBEB-9E70-4B22-99C5-DB00E117284A}"/>
    <cellStyle name="요약 36 2" xfId="3162" xr:uid="{85A9317B-6630-45B0-B1B6-62B3DFA4EC69}"/>
    <cellStyle name="요약 37" xfId="3163" xr:uid="{6EF9A2E6-CF0D-4F7F-A77E-1858BB8C44BD}"/>
    <cellStyle name="요약 37 2" xfId="3164" xr:uid="{3CF5C2E9-0537-4FDF-AB8E-62087B6D571B}"/>
    <cellStyle name="요약 38" xfId="3165" xr:uid="{4C68DF44-6C42-403A-BB68-0E5D0B4CE518}"/>
    <cellStyle name="요약 38 2" xfId="3166" xr:uid="{B0EC8379-C777-4FA2-8505-4E0209373657}"/>
    <cellStyle name="요약 39" xfId="3167" xr:uid="{378DCEC4-8531-41BF-B6A6-9B87129F24B9}"/>
    <cellStyle name="요약 39 2" xfId="3168" xr:uid="{387B6165-8B9C-4457-80DF-C83E9EDD8C60}"/>
    <cellStyle name="요약 4" xfId="3169" xr:uid="{5FDB1552-316A-4305-928F-E39616017597}"/>
    <cellStyle name="요약 4 2" xfId="3170" xr:uid="{81E11CE0-FDE1-4D6C-A897-BD6F9D3561D4}"/>
    <cellStyle name="요약 40" xfId="3171" xr:uid="{A76395F6-9373-4531-86D5-5B6AFBEA50CA}"/>
    <cellStyle name="요약 40 2" xfId="3172" xr:uid="{754E0EBA-8EE9-4226-9E3D-9E626130242A}"/>
    <cellStyle name="요약 41" xfId="3173" xr:uid="{3FD46416-7FFE-4E96-8343-2505E4B05C1A}"/>
    <cellStyle name="요약 41 2" xfId="3174" xr:uid="{D24ACBB3-2CB8-44DE-8D6A-DE6E626D7408}"/>
    <cellStyle name="요약 42" xfId="3175" xr:uid="{7983C446-E32C-49D2-9FB5-3D3127142EAB}"/>
    <cellStyle name="요약 42 2" xfId="3176" xr:uid="{4DFBCD67-7477-43C4-9E6E-4A5A21E58019}"/>
    <cellStyle name="요약 43" xfId="3177" xr:uid="{6876E78F-679A-4F83-BDB5-02867BD47702}"/>
    <cellStyle name="요약 43 2" xfId="3178" xr:uid="{E997F684-6AD8-47B5-AE7A-097B03AC4B50}"/>
    <cellStyle name="요약 44" xfId="3179" xr:uid="{E51B9F7B-4FE6-4E1D-9111-A783CCDC619E}"/>
    <cellStyle name="요약 45" xfId="3180" xr:uid="{2ABC847A-5117-4470-B96E-75FD6C548676}"/>
    <cellStyle name="요약 46" xfId="3181" xr:uid="{6D48BBF9-F8D6-43B3-8813-BE949A2F5C71}"/>
    <cellStyle name="요약 47" xfId="3182" xr:uid="{3C8B13B9-CE4E-4480-8163-CA81269F07B8}"/>
    <cellStyle name="요약 48" xfId="3183" xr:uid="{307F1DD2-F849-4040-8F9B-AE0FD339A600}"/>
    <cellStyle name="요약 49" xfId="3184" xr:uid="{8FEB3925-5D66-4444-A799-9939E820469F}"/>
    <cellStyle name="요약 5" xfId="3185" xr:uid="{A18D86B8-8B8B-4817-9FA9-9C9425E78DB0}"/>
    <cellStyle name="요약 5 2" xfId="3186" xr:uid="{72A07EBE-DE81-49D9-86AB-BA74E65871D3}"/>
    <cellStyle name="요약 50" xfId="3187" xr:uid="{503542F0-F1E5-4A5F-9867-5400EA22DB47}"/>
    <cellStyle name="요약 51" xfId="3957" xr:uid="{DC344889-160C-4131-950C-92C1F7230EBD}"/>
    <cellStyle name="요약 52" xfId="4121" xr:uid="{0F4E2D77-AEE7-4860-AB36-D1441FAA0FDD}"/>
    <cellStyle name="요약 53" xfId="4255" xr:uid="{66823DEF-989F-4EAE-A4AD-BB3D689F3878}"/>
    <cellStyle name="요약 54" xfId="4427" xr:uid="{A4E3013C-1D24-42B2-8508-CBC4955D858B}"/>
    <cellStyle name="요약 55" xfId="3104" xr:uid="{8C3B7AD4-1327-41A4-A9B1-666CFC3D8D56}"/>
    <cellStyle name="요약 6" xfId="3188" xr:uid="{EB0A054C-E8A3-485C-9570-76F98941789D}"/>
    <cellStyle name="요약 6 2" xfId="3189" xr:uid="{C86F9309-BD27-4471-AF32-32BCA74F3098}"/>
    <cellStyle name="요약 7" xfId="3190" xr:uid="{81EF8458-EC05-4B3B-B638-5B136F658340}"/>
    <cellStyle name="요약 7 2" xfId="3191" xr:uid="{070BA511-E835-40F8-AC07-07FEE76F64D2}"/>
    <cellStyle name="요약 8" xfId="3192" xr:uid="{0DC6B033-C1E6-43C4-938E-0E8EF105FE83}"/>
    <cellStyle name="요약 8 2" xfId="3193" xr:uid="{8ECA61E8-D4BE-4726-BE9E-A6C35A525F76}"/>
    <cellStyle name="요약 9" xfId="3194" xr:uid="{1D53D66E-62BE-4925-962B-B9970D2BF672}"/>
    <cellStyle name="요약 9 2" xfId="3195" xr:uid="{D07DA3BE-8BC0-4838-9B64-D4415BEC906D}"/>
    <cellStyle name="입력 10" xfId="3197" xr:uid="{CB4419F8-0224-4D56-BC51-7BF4DE8BE36F}"/>
    <cellStyle name="입력 10 2" xfId="3198" xr:uid="{F546C57C-5D4C-494E-9549-7EF2E46A7BC0}"/>
    <cellStyle name="입력 11" xfId="3199" xr:uid="{9B0AFE2E-8E24-4172-9A20-AC217DCB82E5}"/>
    <cellStyle name="입력 11 2" xfId="3200" xr:uid="{84736632-5D40-41FB-9CFC-130352D8E799}"/>
    <cellStyle name="입력 12" xfId="3201" xr:uid="{30AD46F1-D34B-4DAD-841C-1F1E6C996F01}"/>
    <cellStyle name="입력 12 2" xfId="3202" xr:uid="{5BAE915F-01E4-42F9-8FDC-64D1D7794BB8}"/>
    <cellStyle name="입력 13" xfId="3203" xr:uid="{85182B03-631C-42F2-9426-9C4ED734FF57}"/>
    <cellStyle name="입력 13 2" xfId="3204" xr:uid="{523EEF82-6302-4BAD-9D44-688B6B419D26}"/>
    <cellStyle name="입력 14" xfId="3205" xr:uid="{AF4C0E1B-0DCB-42C0-A912-C7CEA21F42E0}"/>
    <cellStyle name="입력 14 2" xfId="3206" xr:uid="{6D67FF07-50B0-428F-A890-74E1027E8A5D}"/>
    <cellStyle name="입력 15" xfId="3207" xr:uid="{9ADB991B-D0DA-4687-AF0B-A0FF5FF97C9B}"/>
    <cellStyle name="입력 15 2" xfId="3208" xr:uid="{49994575-CB88-41CD-AFC0-089E3066A879}"/>
    <cellStyle name="입력 16" xfId="3209" xr:uid="{843E3CA1-C2C9-4AED-B933-CAF3E69BF8CB}"/>
    <cellStyle name="입력 16 2" xfId="3210" xr:uid="{34E6CB48-2E96-4CB3-8F81-50C81CF76C58}"/>
    <cellStyle name="입력 17" xfId="3211" xr:uid="{EE938558-C211-4A50-9F54-B4638578611C}"/>
    <cellStyle name="입력 17 2" xfId="3212" xr:uid="{3ADB0E6D-2337-435D-B648-445391FFEA79}"/>
    <cellStyle name="입력 18" xfId="3213" xr:uid="{615113CE-4DA8-412B-B2A3-BC409AB6FF62}"/>
    <cellStyle name="입력 18 2" xfId="3214" xr:uid="{C0275BC5-1F97-4575-8DB0-977914E55B95}"/>
    <cellStyle name="입력 19" xfId="3215" xr:uid="{12046154-41D8-4768-84A5-2B4ABC801D0A}"/>
    <cellStyle name="입력 19 2" xfId="3216" xr:uid="{073E8504-2F71-4CB5-AB12-5C0C519BD57B}"/>
    <cellStyle name="입력 2" xfId="3217" xr:uid="{9CB6CC14-7E87-4058-BE4E-948BCEFF853E}"/>
    <cellStyle name="입력 2 2" xfId="3218" xr:uid="{91D26653-B764-49DE-AAD6-33F5905AACDE}"/>
    <cellStyle name="입력 20" xfId="3219" xr:uid="{6171492D-A8F9-4FD8-AF67-713887458257}"/>
    <cellStyle name="입력 20 2" xfId="3220" xr:uid="{E6DA3CB7-8990-4B3E-A43F-CAB30DB602D8}"/>
    <cellStyle name="입력 21" xfId="3221" xr:uid="{B8EF45F9-DA22-4DA3-A6D4-27CB9D215F8E}"/>
    <cellStyle name="입력 21 2" xfId="3222" xr:uid="{3B44080C-B02D-4B92-96E0-39DA0812AC76}"/>
    <cellStyle name="입력 22" xfId="3223" xr:uid="{DE16479A-B17C-48C7-9044-6962A9669C1B}"/>
    <cellStyle name="입력 22 2" xfId="3224" xr:uid="{8993AA35-673C-4B61-AE9E-1D37FCCF3F66}"/>
    <cellStyle name="입력 23" xfId="3225" xr:uid="{A8F4441D-58BC-4D9F-9821-E7E1238D57E1}"/>
    <cellStyle name="입력 23 2" xfId="3226" xr:uid="{DB133E2D-9D1F-472A-81EB-E0C9FA5B8DE6}"/>
    <cellStyle name="입력 24" xfId="3227" xr:uid="{E6DFA230-4A96-412B-B752-6A375A9B835B}"/>
    <cellStyle name="입력 24 2" xfId="3228" xr:uid="{F89905C3-41E4-4F0D-A92B-186A20DED6B5}"/>
    <cellStyle name="입력 25" xfId="3229" xr:uid="{4856EFDA-D51C-4A22-8194-CE60C180B685}"/>
    <cellStyle name="입력 25 2" xfId="3230" xr:uid="{23A39908-52B4-47BE-B142-753BC3E17B53}"/>
    <cellStyle name="입력 26" xfId="3231" xr:uid="{73D12766-A6B9-4CA6-9A7D-E9C5A48511E9}"/>
    <cellStyle name="입력 26 2" xfId="3232" xr:uid="{1DF7BA80-F1F2-42B5-B047-3E2F0B3E8D7A}"/>
    <cellStyle name="입력 27" xfId="3233" xr:uid="{47857E89-4D00-4CE2-BB7A-B6BCA584DB68}"/>
    <cellStyle name="입력 27 2" xfId="3234" xr:uid="{278F4509-659D-48C5-8EF1-D161C784DE2D}"/>
    <cellStyle name="입력 28" xfId="3235" xr:uid="{DD298E01-8CF3-45B8-AF1A-3EA0EFC1CEDB}"/>
    <cellStyle name="입력 28 2" xfId="3236" xr:uid="{A93278D0-4974-493B-8B82-B768FDD6828C}"/>
    <cellStyle name="입력 29" xfId="3237" xr:uid="{8331EC86-2B56-4F05-9500-D81D922AA323}"/>
    <cellStyle name="입력 29 2" xfId="3238" xr:uid="{E2DDCCF5-1E94-4471-AB16-F5496E1E1861}"/>
    <cellStyle name="입력 3" xfId="3239" xr:uid="{532663B5-6667-4C6C-B88A-4E8F89B58F6D}"/>
    <cellStyle name="입력 3 2" xfId="3240" xr:uid="{5FE358DB-E767-40E5-AD72-DC5A4DDE0B5F}"/>
    <cellStyle name="입력 30" xfId="3241" xr:uid="{987F3DA7-78B8-43C2-91A7-9AAC85E273F9}"/>
    <cellStyle name="입력 30 2" xfId="3242" xr:uid="{14AD648B-D15B-43FC-AE5B-88E8409D4406}"/>
    <cellStyle name="입력 31" xfId="3243" xr:uid="{69F3A6E3-C062-4918-960F-574BB94C7554}"/>
    <cellStyle name="입력 31 2" xfId="3244" xr:uid="{B8BC6E0D-99A6-4A30-88AD-D1853E06BF69}"/>
    <cellStyle name="입력 32" xfId="3245" xr:uid="{16CCE63A-47D4-47D4-AF90-DAED4B7214FE}"/>
    <cellStyle name="입력 32 2" xfId="3246" xr:uid="{F45825B8-628E-4359-B517-C02D9CDF73B5}"/>
    <cellStyle name="입력 33" xfId="3247" xr:uid="{F136E697-2D00-429A-A2A5-AFF09CA6267D}"/>
    <cellStyle name="입력 33 2" xfId="3248" xr:uid="{4ED9F6E7-620A-44E1-AD77-F582414C5A56}"/>
    <cellStyle name="입력 34" xfId="3249" xr:uid="{42EBBF3F-B3FC-4810-B7C8-DAEA9086A486}"/>
    <cellStyle name="입력 34 2" xfId="3250" xr:uid="{447ED0BE-7ABE-483A-AFB9-34D9A8F20A2F}"/>
    <cellStyle name="입력 35" xfId="3251" xr:uid="{843D9DF8-5380-4E32-9691-91AB72351A22}"/>
    <cellStyle name="입력 35 2" xfId="3252" xr:uid="{C7805681-9AA8-41E7-B87B-8D5EBDD03946}"/>
    <cellStyle name="입력 36" xfId="3253" xr:uid="{5586758E-04E2-4CE6-AF69-AB02FA33683C}"/>
    <cellStyle name="입력 36 2" xfId="3254" xr:uid="{2A73995D-5928-4000-92FD-08C67BD90867}"/>
    <cellStyle name="입력 37" xfId="3255" xr:uid="{0ECC4708-6F4A-4C66-9668-97647C8500DE}"/>
    <cellStyle name="입력 37 2" xfId="3256" xr:uid="{2B88FF06-2379-4A84-8A58-95187A2FAD97}"/>
    <cellStyle name="입력 38" xfId="3257" xr:uid="{69B73A40-5D0F-4C98-9EA2-8E85A328A1B9}"/>
    <cellStyle name="입력 38 2" xfId="3258" xr:uid="{B72A0FA4-24B7-4DF6-A397-2B57131CA393}"/>
    <cellStyle name="입력 39" xfId="3259" xr:uid="{3A842E3D-77FE-4CAB-9679-811C9AD41C64}"/>
    <cellStyle name="입력 39 2" xfId="3260" xr:uid="{A340F8FC-8E8A-4FA2-935C-FCAA4D0F37C8}"/>
    <cellStyle name="입력 4" xfId="3261" xr:uid="{50111DD6-8AF8-4003-B3E0-EA561A6173A0}"/>
    <cellStyle name="입력 4 2" xfId="3262" xr:uid="{FE1579E8-5221-4A15-942A-F8673F901E6F}"/>
    <cellStyle name="입력 40" xfId="3263" xr:uid="{3B2EAF48-777C-46DA-B886-624DF87FDA80}"/>
    <cellStyle name="입력 40 2" xfId="3264" xr:uid="{24A1F0CA-5511-43FD-961D-AC0FC84A1EF4}"/>
    <cellStyle name="입력 41" xfId="3265" xr:uid="{44FFE9AF-F7E9-4230-B998-2847DCA4A342}"/>
    <cellStyle name="입력 41 2" xfId="3266" xr:uid="{98DAB8CA-FEF5-4C84-B4F0-0F49397354E8}"/>
    <cellStyle name="입력 42" xfId="3267" xr:uid="{7CAC3B60-BCBA-485E-B9E9-47704BBED4E1}"/>
    <cellStyle name="입력 42 2" xfId="3268" xr:uid="{AC7138CA-9429-4B90-B9B8-9CADC6BE2E44}"/>
    <cellStyle name="입력 43" xfId="3269" xr:uid="{5D8D61CE-CCBA-4ED9-8E2D-C412A4C39ABC}"/>
    <cellStyle name="입력 43 2" xfId="3270" xr:uid="{812EF5D1-4CA5-4D0C-9106-F38D61AC2107}"/>
    <cellStyle name="입력 44" xfId="3271" xr:uid="{77279BF2-5C15-4E78-AE13-516F7E903888}"/>
    <cellStyle name="입력 45" xfId="3272" xr:uid="{A7C070D7-DE53-422E-AEDC-C5EE40D15D43}"/>
    <cellStyle name="입력 46" xfId="3273" xr:uid="{85AD9EEB-D62B-4685-81F2-60620797F48C}"/>
    <cellStyle name="입력 47" xfId="3274" xr:uid="{479B8164-BC91-4B93-A9E8-807B15AB25BA}"/>
    <cellStyle name="입력 48" xfId="3275" xr:uid="{2065CFD6-5B80-4699-B4F5-02FDB450300F}"/>
    <cellStyle name="입력 49" xfId="3276" xr:uid="{F6A94DC5-1DF1-457F-8FFA-2A2D4456EBD0}"/>
    <cellStyle name="입력 5" xfId="3277" xr:uid="{E715D128-B4B4-49B1-8C5E-4B7A077FCAE2}"/>
    <cellStyle name="입력 5 2" xfId="3278" xr:uid="{4599E91E-1F2F-4276-9C14-135CF64F38B4}"/>
    <cellStyle name="입력 50" xfId="3279" xr:uid="{1BB00D38-20D5-421C-8C2F-3ECDA6186630}"/>
    <cellStyle name="입력 51" xfId="3949" xr:uid="{4859D05E-C8FA-45F2-A652-5C6974B285CB}"/>
    <cellStyle name="입력 52" xfId="4113" xr:uid="{AC562F5D-E002-4803-B313-8C8820D524D0}"/>
    <cellStyle name="입력 53" xfId="4256" xr:uid="{3D9B91A9-6D20-474F-9960-731F1290F52D}"/>
    <cellStyle name="입력 54" xfId="4428" xr:uid="{79A89E56-8A4D-4A41-A036-95D4EF979738}"/>
    <cellStyle name="입력 55" xfId="3196" xr:uid="{36A8A96D-51C7-45F0-B9B3-9396469A186F}"/>
    <cellStyle name="입력 6" xfId="3280" xr:uid="{9C89070D-2448-4503-A029-308CD61C56A0}"/>
    <cellStyle name="입력 6 2" xfId="3281" xr:uid="{C00B19C5-FC89-444B-A3F0-6DF5237D267B}"/>
    <cellStyle name="입력 7" xfId="3282" xr:uid="{ECA2BD2A-71EB-4633-89BA-EE0C5B362462}"/>
    <cellStyle name="입력 7 2" xfId="3283" xr:uid="{94DD9E8F-0F46-4D84-8123-5CBBB71A7E44}"/>
    <cellStyle name="입력 8" xfId="3284" xr:uid="{70918F46-C9E3-44F0-A048-0ADCA2F8ED21}"/>
    <cellStyle name="입력 8 2" xfId="3285" xr:uid="{7D072F14-C712-4326-B243-0A042F6042C8}"/>
    <cellStyle name="입력 9" xfId="3286" xr:uid="{3D4AEBD0-6935-4E93-BEA3-A2E8311840B1}"/>
    <cellStyle name="입력 9 2" xfId="3287" xr:uid="{A8A25363-BEFD-4EF1-A664-87FC00C0C0CF}"/>
    <cellStyle name="제목 1 10" xfId="3290" xr:uid="{2638BD73-3A48-49BF-949E-EB6263FFAADB}"/>
    <cellStyle name="제목 1 10 2" xfId="3291" xr:uid="{4CD8BFF6-E9C3-45EA-B16E-E152F91BE302}"/>
    <cellStyle name="제목 1 11" xfId="3292" xr:uid="{AEF9E1F5-B2E1-4C42-A57C-43FED7B24590}"/>
    <cellStyle name="제목 1 11 2" xfId="3293" xr:uid="{FD19925E-80A0-45C1-9849-B645AEEAA386}"/>
    <cellStyle name="제목 1 12" xfId="3294" xr:uid="{94E692DF-5240-4F7F-8A33-988661AF9016}"/>
    <cellStyle name="제목 1 12 2" xfId="3295" xr:uid="{D22BB1E5-5DB6-486C-BA25-6C09A1C1AFC4}"/>
    <cellStyle name="제목 1 13" xfId="3296" xr:uid="{BBD04C23-8354-45EC-AA33-BB0C2B417E89}"/>
    <cellStyle name="제목 1 13 2" xfId="3297" xr:uid="{F71D2AEB-30E5-486D-A63C-3B1300AFF519}"/>
    <cellStyle name="제목 1 14" xfId="3298" xr:uid="{B24263BD-713B-4A70-A53E-92E9D0F1226E}"/>
    <cellStyle name="제목 1 14 2" xfId="3299" xr:uid="{45844C8A-D0B0-4F01-8703-3CBBBC2BF866}"/>
    <cellStyle name="제목 1 15" xfId="3300" xr:uid="{C5DB7D04-87D3-4945-BAEA-B8BEF9987F8F}"/>
    <cellStyle name="제목 1 15 2" xfId="3301" xr:uid="{4D01DB7B-0497-4633-BB86-E362756EFC01}"/>
    <cellStyle name="제목 1 16" xfId="3302" xr:uid="{4D8D9582-50D0-45A6-B1A6-7EDD1E442EC9}"/>
    <cellStyle name="제목 1 16 2" xfId="3303" xr:uid="{149925E5-173E-4013-AC74-DF4EF4BCCD4B}"/>
    <cellStyle name="제목 1 17" xfId="3304" xr:uid="{F6895422-3188-4920-AC89-34260B367795}"/>
    <cellStyle name="제목 1 17 2" xfId="3305" xr:uid="{F4982615-1109-4782-A012-052BB8535F0B}"/>
    <cellStyle name="제목 1 18" xfId="3306" xr:uid="{7BD2CA55-5AAF-4BF7-8929-B1FEF3FB3797}"/>
    <cellStyle name="제목 1 18 2" xfId="3307" xr:uid="{A0857D4A-715B-4404-81FC-F16EB4636643}"/>
    <cellStyle name="제목 1 19" xfId="3308" xr:uid="{2FDED356-6D1F-4EE2-B234-C8CB923D06CB}"/>
    <cellStyle name="제목 1 19 2" xfId="3309" xr:uid="{5508F0E6-A2E2-4361-BEF3-873A6619569D}"/>
    <cellStyle name="제목 1 2" xfId="3310" xr:uid="{877781F1-1561-4098-976F-B703A4F924F8}"/>
    <cellStyle name="제목 1 2 2" xfId="3311" xr:uid="{6960D4EF-F599-46A4-8D9A-A1869F195B36}"/>
    <cellStyle name="제목 1 20" xfId="3312" xr:uid="{84685F0C-6CCF-456B-A26F-93031584DC44}"/>
    <cellStyle name="제목 1 20 2" xfId="3313" xr:uid="{4E871891-0EA1-48D2-8740-74FC508EE2A6}"/>
    <cellStyle name="제목 1 21" xfId="3314" xr:uid="{11359992-40A4-4BB5-ADD6-474F16EA289C}"/>
    <cellStyle name="제목 1 21 2" xfId="3315" xr:uid="{34CADB34-C0BD-4034-9742-23E1F6CBDA42}"/>
    <cellStyle name="제목 1 22" xfId="3316" xr:uid="{B3381212-B108-446B-9BF0-01B7C5E645ED}"/>
    <cellStyle name="제목 1 22 2" xfId="3317" xr:uid="{AD1821A2-5F6B-426E-BEF8-A3771ED236C4}"/>
    <cellStyle name="제목 1 23" xfId="3318" xr:uid="{4E625C74-876A-4828-A967-35AC2939AB52}"/>
    <cellStyle name="제목 1 23 2" xfId="3319" xr:uid="{D47BFE86-9ACE-4C9A-8320-9C6F9E0F88E0}"/>
    <cellStyle name="제목 1 24" xfId="3320" xr:uid="{21FAA79B-BAD3-43D5-8D9D-06D3319BA2A8}"/>
    <cellStyle name="제목 1 24 2" xfId="3321" xr:uid="{C8AA1095-9DA6-4E02-BE26-B863C64C6327}"/>
    <cellStyle name="제목 1 25" xfId="3322" xr:uid="{44106AB2-E6E0-4DAF-9B10-4D03563B95A4}"/>
    <cellStyle name="제목 1 25 2" xfId="3323" xr:uid="{51164F07-5E36-495A-87AB-1811BBFA4CF0}"/>
    <cellStyle name="제목 1 26" xfId="3324" xr:uid="{570BF3B8-4334-4852-B2E0-9E27A75C9005}"/>
    <cellStyle name="제목 1 26 2" xfId="3325" xr:uid="{B478E473-11B3-48F9-8BC2-B7A69FEF7D32}"/>
    <cellStyle name="제목 1 27" xfId="3326" xr:uid="{6A708C2D-716E-4C8C-9531-C5B1897D1248}"/>
    <cellStyle name="제목 1 27 2" xfId="3327" xr:uid="{5919C721-3D7E-4B32-8BBC-4D8602C1E0EC}"/>
    <cellStyle name="제목 1 28" xfId="3328" xr:uid="{FE6E3D74-288C-49F6-AA3C-29AA4CB8C009}"/>
    <cellStyle name="제목 1 28 2" xfId="3329" xr:uid="{8574218C-E6F8-4FAB-955D-17E0BDB232EE}"/>
    <cellStyle name="제목 1 29" xfId="3330" xr:uid="{AA8BC3DA-4BAD-445E-A710-BF2318BE1699}"/>
    <cellStyle name="제목 1 29 2" xfId="3331" xr:uid="{BE705AC8-50FE-43C0-884C-C1D6E62D826E}"/>
    <cellStyle name="제목 1 3" xfId="3332" xr:uid="{C3E3587C-2537-4ECE-B7B5-6FD928A821B9}"/>
    <cellStyle name="제목 1 3 2" xfId="3333" xr:uid="{C336EFC3-3478-4F89-A455-A8F32B4A51B3}"/>
    <cellStyle name="제목 1 30" xfId="3334" xr:uid="{8B78B152-9A4A-4FB7-903E-A38F3704D38F}"/>
    <cellStyle name="제목 1 30 2" xfId="3335" xr:uid="{261DC4BA-CB48-488B-BA06-D10549D323A3}"/>
    <cellStyle name="제목 1 31" xfId="3336" xr:uid="{4A7CFD3D-103F-427B-924B-7A77F954835A}"/>
    <cellStyle name="제목 1 31 2" xfId="3337" xr:uid="{D74AA828-8EDD-4DBC-B5DB-5F24E887BCEF}"/>
    <cellStyle name="제목 1 32" xfId="3338" xr:uid="{153E09C7-4B49-493D-8A24-EF7CF347C70A}"/>
    <cellStyle name="제목 1 32 2" xfId="3339" xr:uid="{E3F1BFFE-7BAB-4132-B44C-10E0F9F61F6D}"/>
    <cellStyle name="제목 1 33" xfId="3340" xr:uid="{D9785999-5B8D-4BAE-88B3-7DCEBA923863}"/>
    <cellStyle name="제목 1 33 2" xfId="3341" xr:uid="{AE75B50E-3FD2-499A-BB62-2DB7EB3297D0}"/>
    <cellStyle name="제목 1 34" xfId="3342" xr:uid="{5B335235-53B6-4F02-BC66-84A9A7505A87}"/>
    <cellStyle name="제목 1 34 2" xfId="3343" xr:uid="{F2B5A515-8611-4158-B4E5-0FDEAA38FE70}"/>
    <cellStyle name="제목 1 35" xfId="3344" xr:uid="{763183A5-6D02-4BF4-9E36-74064319FDC5}"/>
    <cellStyle name="제목 1 35 2" xfId="3345" xr:uid="{1F0A10A4-F6E4-4902-9F82-8C8A155E0F6F}"/>
    <cellStyle name="제목 1 36" xfId="3346" xr:uid="{5FC9B1B2-7454-4EF9-9844-731FD14AF952}"/>
    <cellStyle name="제목 1 36 2" xfId="3347" xr:uid="{EE6A4F88-11C1-43B3-B225-34AE32635D5E}"/>
    <cellStyle name="제목 1 37" xfId="3348" xr:uid="{B89C203A-27DB-4388-A78D-A543AEC1F191}"/>
    <cellStyle name="제목 1 37 2" xfId="3349" xr:uid="{FCF23E0D-4A1F-4484-8CB8-8CA28FD5CF10}"/>
    <cellStyle name="제목 1 38" xfId="3350" xr:uid="{697D26B3-B72C-45D7-84EF-61D6647D44A5}"/>
    <cellStyle name="제목 1 38 2" xfId="3351" xr:uid="{3DDE8CF6-7A61-4F3D-A30E-40A70AC3A719}"/>
    <cellStyle name="제목 1 39" xfId="3352" xr:uid="{C5277E72-C3F9-43FD-BF39-940334029D57}"/>
    <cellStyle name="제목 1 39 2" xfId="3353" xr:uid="{658B2E4F-1EEA-452F-AA4C-CD715FC7C252}"/>
    <cellStyle name="제목 1 4" xfId="3354" xr:uid="{7B4D731D-CDD5-4C4C-A3E8-09A19D3EBE92}"/>
    <cellStyle name="제목 1 4 2" xfId="3355" xr:uid="{A225DC39-3189-4627-A746-7E0BB44A2157}"/>
    <cellStyle name="제목 1 40" xfId="3356" xr:uid="{1EE423CA-C98E-4BC7-BAE3-58FF97466D13}"/>
    <cellStyle name="제목 1 40 2" xfId="3357" xr:uid="{0CE30D8B-F665-41C2-9411-ACD11637A9F7}"/>
    <cellStyle name="제목 1 41" xfId="3358" xr:uid="{ABDA0811-53BA-4617-8496-89E95599F81A}"/>
    <cellStyle name="제목 1 41 2" xfId="3359" xr:uid="{40566E92-243F-42DA-A91E-5C3D1928C02E}"/>
    <cellStyle name="제목 1 42" xfId="3360" xr:uid="{20D17348-2877-408F-8E03-FB45EAF5E0AB}"/>
    <cellStyle name="제목 1 42 2" xfId="3361" xr:uid="{80F585D0-40A2-40BF-8957-26EDC2213DC8}"/>
    <cellStyle name="제목 1 43" xfId="3362" xr:uid="{65004B5E-FADB-44B3-A5C3-8D0F72780DFF}"/>
    <cellStyle name="제목 1 43 2" xfId="3363" xr:uid="{AB486EC8-29A4-47D2-9362-2C404FCA9AC1}"/>
    <cellStyle name="제목 1 44" xfId="3364" xr:uid="{44E074FB-5317-4480-9547-F076D4C760A2}"/>
    <cellStyle name="제목 1 45" xfId="3365" xr:uid="{55B1A21C-3212-4D3D-8980-0DB1C9D61CE6}"/>
    <cellStyle name="제목 1 46" xfId="3366" xr:uid="{4BBE4207-C91B-4950-B369-F0E06D38DDE0}"/>
    <cellStyle name="제목 1 47" xfId="3367" xr:uid="{995582B8-697C-4282-9268-987F3F07FDE7}"/>
    <cellStyle name="제목 1 48" xfId="3368" xr:uid="{954254FD-EBB8-44A6-90FA-8A20EBF8449E}"/>
    <cellStyle name="제목 1 49" xfId="3369" xr:uid="{D78B0B45-78F4-4B5E-8ACC-3794E8CDACEF}"/>
    <cellStyle name="제목 1 5" xfId="3370" xr:uid="{7299A494-CDB3-4D94-AD6A-D70BB8C4CA28}"/>
    <cellStyle name="제목 1 5 2" xfId="3371" xr:uid="{A7F2F841-F682-4F37-96E6-ACB1E02B607E}"/>
    <cellStyle name="제목 1 50" xfId="3372" xr:uid="{A5B5FA84-A324-45CF-A0AD-810AAE348523}"/>
    <cellStyle name="제목 1 51" xfId="3942" xr:uid="{0298C99E-9F2D-44E3-8DC9-36043F34F996}"/>
    <cellStyle name="제목 1 52" xfId="4106" xr:uid="{5E25198C-F777-4A17-B54D-06E7FCB3E9C7}"/>
    <cellStyle name="제목 1 53" xfId="4258" xr:uid="{F44E1062-1EBD-4AC7-84D1-51521805C24E}"/>
    <cellStyle name="제목 1 54" xfId="4430" xr:uid="{055DF72E-BC15-43F1-876B-FE7C1929C931}"/>
    <cellStyle name="제목 1 55" xfId="3289" xr:uid="{213834C6-0942-4670-891E-62B40924F4F3}"/>
    <cellStyle name="제목 1 6" xfId="3373" xr:uid="{A3F90484-D5BF-493D-82AC-97D14579577A}"/>
    <cellStyle name="제목 1 6 2" xfId="3374" xr:uid="{A84AC37B-8177-4477-B956-2D2C3AB2B8E5}"/>
    <cellStyle name="제목 1 7" xfId="3375" xr:uid="{2895BA4F-001E-4BED-87A6-A15ECCDEC074}"/>
    <cellStyle name="제목 1 7 2" xfId="3376" xr:uid="{7493D929-9489-44EF-B0E8-1F915373039E}"/>
    <cellStyle name="제목 1 8" xfId="3377" xr:uid="{4AE4CF56-C940-4FB1-966C-78929BBBE27E}"/>
    <cellStyle name="제목 1 8 2" xfId="3378" xr:uid="{B1FCD79D-E49B-4227-A6F4-DBAFA3D6C840}"/>
    <cellStyle name="제목 1 9" xfId="3379" xr:uid="{A5FF82DD-1933-4D90-9C45-F4CE1C27E4ED}"/>
    <cellStyle name="제목 1 9 2" xfId="3380" xr:uid="{0034E52F-4AC0-4778-BF6F-3F04E2090859}"/>
    <cellStyle name="제목 10" xfId="3381" xr:uid="{6BD6B898-4E87-4AD2-96C9-172BCD784390}"/>
    <cellStyle name="제목 10 2" xfId="3382" xr:uid="{065EEC82-C93E-4A33-885D-C70EA9C90595}"/>
    <cellStyle name="제목 11" xfId="3383" xr:uid="{B45EC1CC-A75A-4612-94E7-107BE69F0611}"/>
    <cellStyle name="제목 11 2" xfId="3384" xr:uid="{167C805E-48D5-4DCE-A815-285348F962A1}"/>
    <cellStyle name="제목 12" xfId="3385" xr:uid="{F37057B1-B0DF-4514-83DA-69E43846B320}"/>
    <cellStyle name="제목 12 2" xfId="3386" xr:uid="{3F1DDB86-9BBC-4C5B-B9B1-6291747C7863}"/>
    <cellStyle name="제목 13" xfId="3387" xr:uid="{B7558EEC-B2DF-43BC-8E97-28FC1BA225BA}"/>
    <cellStyle name="제목 13 2" xfId="3388" xr:uid="{B66F5260-9EC7-45C7-9D06-9DDCC3E09FBF}"/>
    <cellStyle name="제목 14" xfId="3389" xr:uid="{E26EC975-6B7E-4E28-B8AE-867E4428D8A3}"/>
    <cellStyle name="제목 14 2" xfId="3390" xr:uid="{DA2C7E3A-496F-471C-A9D4-5D9F76B0B34E}"/>
    <cellStyle name="제목 15" xfId="3391" xr:uid="{487E2008-4086-450E-A589-62D9423C54E6}"/>
    <cellStyle name="제목 15 2" xfId="3392" xr:uid="{D9E63A4F-3C33-4905-9199-2DD0D747E5EC}"/>
    <cellStyle name="제목 16" xfId="3393" xr:uid="{32118726-054E-48F7-B3E2-6BC49A3BAEC3}"/>
    <cellStyle name="제목 16 2" xfId="3394" xr:uid="{2B39B3E3-FF75-47DE-A006-F73574CD4725}"/>
    <cellStyle name="제목 17" xfId="3395" xr:uid="{92D85E7E-7663-4A45-87E9-CE72EADBF328}"/>
    <cellStyle name="제목 17 2" xfId="3396" xr:uid="{77C0792D-9A42-4ED6-A3DD-08ACDD050E7D}"/>
    <cellStyle name="제목 18" xfId="3397" xr:uid="{44244844-3D1B-4EAC-8D73-C173697F7F99}"/>
    <cellStyle name="제목 18 2" xfId="3398" xr:uid="{2018AEE5-1627-4075-AAC5-F821ACD8A4BA}"/>
    <cellStyle name="제목 19" xfId="3399" xr:uid="{1247EA22-1B17-407F-8A46-ABEF2EDC0589}"/>
    <cellStyle name="제목 19 2" xfId="3400" xr:uid="{19D9DE1D-C7BD-4DCF-BF74-134FC4974EF7}"/>
    <cellStyle name="제목 2 10" xfId="3402" xr:uid="{8BE54F3E-B1DA-48BC-A2E0-99C10C9D0F31}"/>
    <cellStyle name="제목 2 10 2" xfId="3403" xr:uid="{BBC9D2D2-045A-482E-8A50-6F5998767E05}"/>
    <cellStyle name="제목 2 11" xfId="3404" xr:uid="{2F19179F-D695-48EB-B083-54DE52FC6A5C}"/>
    <cellStyle name="제목 2 11 2" xfId="3405" xr:uid="{66377247-D461-49AA-9F5F-A7610FF65192}"/>
    <cellStyle name="제목 2 12" xfId="3406" xr:uid="{55DC451E-A0EF-4D77-9AF4-98E1023D1BE4}"/>
    <cellStyle name="제목 2 12 2" xfId="3407" xr:uid="{7FBBBFD7-27AA-450C-9291-708F3B6B13BD}"/>
    <cellStyle name="제목 2 13" xfId="3408" xr:uid="{35E1E8EB-E8BE-4C1A-9A51-F0131E0D42E0}"/>
    <cellStyle name="제목 2 13 2" xfId="3409" xr:uid="{F86E51C7-716A-4539-9924-5B0594A8C74F}"/>
    <cellStyle name="제목 2 14" xfId="3410" xr:uid="{1BE24689-6D4B-4232-B04A-9B27F2EEE51D}"/>
    <cellStyle name="제목 2 14 2" xfId="3411" xr:uid="{143318B6-F950-4B1D-A8E0-2506F44E4537}"/>
    <cellStyle name="제목 2 15" xfId="3412" xr:uid="{9579976C-E80C-4E82-9979-F638231328D1}"/>
    <cellStyle name="제목 2 15 2" xfId="3413" xr:uid="{85F0F6EE-25D6-4923-803E-7A1C7906850F}"/>
    <cellStyle name="제목 2 16" xfId="3414" xr:uid="{66127810-39F2-4838-8C3F-51E032D5CA35}"/>
    <cellStyle name="제목 2 16 2" xfId="3415" xr:uid="{2621CBF4-CD8F-438C-957D-B496FF0541CE}"/>
    <cellStyle name="제목 2 17" xfId="3416" xr:uid="{DC356DD9-AD62-4E74-A393-DD6ECAF98182}"/>
    <cellStyle name="제목 2 17 2" xfId="3417" xr:uid="{DC58D187-D061-4731-902A-1A407D056FDB}"/>
    <cellStyle name="제목 2 18" xfId="3418" xr:uid="{C5399AEB-E1E6-44F1-A196-0F789120CB79}"/>
    <cellStyle name="제목 2 18 2" xfId="3419" xr:uid="{5DBCF447-7EA1-453B-AB34-EDEEA9396728}"/>
    <cellStyle name="제목 2 19" xfId="3420" xr:uid="{D4E9B4C4-F004-4EEA-A9AE-C289D034C877}"/>
    <cellStyle name="제목 2 19 2" xfId="3421" xr:uid="{85B9058C-3DEC-45CE-B325-C1715D484453}"/>
    <cellStyle name="제목 2 2" xfId="3422" xr:uid="{B98845DA-5196-4335-BF3A-8605C4204A61}"/>
    <cellStyle name="제목 2 2 2" xfId="3423" xr:uid="{3382C791-4141-4E39-830A-614827A20F30}"/>
    <cellStyle name="제목 2 20" xfId="3424" xr:uid="{50E1649F-2BB8-4943-B24B-6EC59E0DD38C}"/>
    <cellStyle name="제목 2 20 2" xfId="3425" xr:uid="{E21F5358-A891-458B-A125-11C5F55FECE3}"/>
    <cellStyle name="제목 2 21" xfId="3426" xr:uid="{7D02683D-8B0A-4EA7-9CC2-8E04343D901B}"/>
    <cellStyle name="제목 2 21 2" xfId="3427" xr:uid="{51FEAA0A-AE58-4461-BAB7-F486AB19BD71}"/>
    <cellStyle name="제목 2 22" xfId="3428" xr:uid="{895800FB-A02C-4133-8B04-5D92CE9E2BA3}"/>
    <cellStyle name="제목 2 22 2" xfId="3429" xr:uid="{E3216249-0FF2-465E-B7B9-528E07E490D8}"/>
    <cellStyle name="제목 2 23" xfId="3430" xr:uid="{EAA8C655-F8E0-477F-B774-C532D5C0A68A}"/>
    <cellStyle name="제목 2 23 2" xfId="3431" xr:uid="{E2393D2F-9DA3-4FB2-BCA6-492908E83C9E}"/>
    <cellStyle name="제목 2 24" xfId="3432" xr:uid="{4E48652F-0C4A-4AA6-B2FE-92D0F931DEFF}"/>
    <cellStyle name="제목 2 24 2" xfId="3433" xr:uid="{A885A5E1-29A4-4E00-B81D-62ADF7A28E16}"/>
    <cellStyle name="제목 2 25" xfId="3434" xr:uid="{89F47B98-F207-4885-BFCD-298E2243235B}"/>
    <cellStyle name="제목 2 25 2" xfId="3435" xr:uid="{B2E9DC1E-4A74-4F2A-9F58-8BA538D16EA3}"/>
    <cellStyle name="제목 2 26" xfId="3436" xr:uid="{9AD83E55-1167-4DDE-93D0-96B2BA216172}"/>
    <cellStyle name="제목 2 26 2" xfId="3437" xr:uid="{0A8103BD-DA4D-43D6-A9E2-3BAE38AF5F44}"/>
    <cellStyle name="제목 2 27" xfId="3438" xr:uid="{BB662C1C-1B23-4179-B52F-8C42C0696D21}"/>
    <cellStyle name="제목 2 27 2" xfId="3439" xr:uid="{A9DB17FF-B658-4FDB-B931-8FD676376DCD}"/>
    <cellStyle name="제목 2 28" xfId="3440" xr:uid="{B3D8F584-0DE5-433D-B706-71A3A6CD56E4}"/>
    <cellStyle name="제목 2 28 2" xfId="3441" xr:uid="{B2E19637-D339-4652-8A9D-D1594B6B73F2}"/>
    <cellStyle name="제목 2 29" xfId="3442" xr:uid="{B0B760EA-B230-418D-9E04-1218D7DF2C38}"/>
    <cellStyle name="제목 2 29 2" xfId="3443" xr:uid="{6E6ADE1B-1242-46CB-BE9A-2C5B4F938E36}"/>
    <cellStyle name="제목 2 3" xfId="3444" xr:uid="{34F060CF-31BD-42EA-B44D-D8F0764540CB}"/>
    <cellStyle name="제목 2 3 2" xfId="3445" xr:uid="{B0B4EE98-79E1-4CC0-8DD0-FC213CD6C1EA}"/>
    <cellStyle name="제목 2 30" xfId="3446" xr:uid="{EBFB8D8F-0E61-42B3-B378-15798929B2CE}"/>
    <cellStyle name="제목 2 30 2" xfId="3447" xr:uid="{B5AD5106-3155-4A80-AFE8-45E2AA42D55C}"/>
    <cellStyle name="제목 2 31" xfId="3448" xr:uid="{F3FC8AEA-B71A-4E68-AEC9-E603F4BC5E6B}"/>
    <cellStyle name="제목 2 31 2" xfId="3449" xr:uid="{F66670B4-E6F3-4471-89E3-AE3D96F96FE5}"/>
    <cellStyle name="제목 2 32" xfId="3450" xr:uid="{0D19CBE4-B951-4CBE-94F1-8131DF4050C1}"/>
    <cellStyle name="제목 2 32 2" xfId="3451" xr:uid="{160E7C62-AB64-4E43-B27C-4197BF6FC45C}"/>
    <cellStyle name="제목 2 33" xfId="3452" xr:uid="{DE2EDA86-73F4-4B70-97AC-2B81DBAA0EAC}"/>
    <cellStyle name="제목 2 33 2" xfId="3453" xr:uid="{5EDBBD63-B0EA-423E-9C39-B62083025E2F}"/>
    <cellStyle name="제목 2 34" xfId="3454" xr:uid="{249494CA-6F11-47C9-8832-16B9668EE5BF}"/>
    <cellStyle name="제목 2 34 2" xfId="3455" xr:uid="{C6CF5204-9ECF-4BB5-8D2D-176424AAE261}"/>
    <cellStyle name="제목 2 35" xfId="3456" xr:uid="{84B6D51D-0801-4F22-A8C7-775739C70FA6}"/>
    <cellStyle name="제목 2 35 2" xfId="3457" xr:uid="{7ECFBBAA-D63B-409F-81A9-BF779B1950B6}"/>
    <cellStyle name="제목 2 36" xfId="3458" xr:uid="{89E5C584-DADD-4B59-B316-A6F540AAB215}"/>
    <cellStyle name="제목 2 36 2" xfId="3459" xr:uid="{479F8C6F-369D-4985-B900-210DBAF5CEAB}"/>
    <cellStyle name="제목 2 37" xfId="3460" xr:uid="{D8B05EE1-D0B6-483E-B90B-7F3AE3CDD031}"/>
    <cellStyle name="제목 2 37 2" xfId="3461" xr:uid="{368B231B-C33A-4C46-A123-7AAA493464F3}"/>
    <cellStyle name="제목 2 38" xfId="3462" xr:uid="{38D760B9-08FE-4500-AA6F-8B333693E57F}"/>
    <cellStyle name="제목 2 38 2" xfId="3463" xr:uid="{66D90151-643A-4AB0-8795-E7ABD17F085A}"/>
    <cellStyle name="제목 2 39" xfId="3464" xr:uid="{B25905AB-2C1D-4F70-89AC-D8A69EC324E9}"/>
    <cellStyle name="제목 2 39 2" xfId="3465" xr:uid="{4F57929B-F201-4C9E-9887-1F958A3F622A}"/>
    <cellStyle name="제목 2 4" xfId="3466" xr:uid="{08F915B3-E2F3-4804-BC36-512D1A53FF62}"/>
    <cellStyle name="제목 2 4 2" xfId="3467" xr:uid="{3E27BA55-CAD1-4578-8E56-110CD7758FDA}"/>
    <cellStyle name="제목 2 40" xfId="3468" xr:uid="{D32FD772-0401-4AF5-A011-EF9847A9313C}"/>
    <cellStyle name="제목 2 40 2" xfId="3469" xr:uid="{74F4A23C-E3C8-4811-860F-A57EB0FC12DA}"/>
    <cellStyle name="제목 2 41" xfId="3470" xr:uid="{EA04B056-259A-4C81-AD92-668076D6E4D7}"/>
    <cellStyle name="제목 2 41 2" xfId="3471" xr:uid="{98B8338B-6671-4C7F-9655-55F325E44603}"/>
    <cellStyle name="제목 2 42" xfId="3472" xr:uid="{3A208A81-0FB8-42DC-92B9-B5FAA3482D18}"/>
    <cellStyle name="제목 2 42 2" xfId="3473" xr:uid="{8DFAA5BF-5208-40E2-AF70-D3EA328C7912}"/>
    <cellStyle name="제목 2 43" xfId="3474" xr:uid="{0795AEFF-871C-4F07-BAC3-4F294D2B713C}"/>
    <cellStyle name="제목 2 43 2" xfId="3475" xr:uid="{6B2F5459-793D-4A5E-B05F-FEE23B392864}"/>
    <cellStyle name="제목 2 44" xfId="3476" xr:uid="{9A4642D1-6938-4ED7-A1B8-51D6F422ADE4}"/>
    <cellStyle name="제목 2 45" xfId="3477" xr:uid="{FAA08310-5FA4-442B-B15A-2B9855F934D9}"/>
    <cellStyle name="제목 2 46" xfId="3478" xr:uid="{43374128-428A-40AB-9C4C-E10E06E68A12}"/>
    <cellStyle name="제목 2 47" xfId="3479" xr:uid="{2F285765-DDB0-4F26-B6ED-110252837BCB}"/>
    <cellStyle name="제목 2 48" xfId="3480" xr:uid="{14963F22-8851-4D38-B10F-1A12AE7F2A2E}"/>
    <cellStyle name="제목 2 49" xfId="3481" xr:uid="{F294C9B1-57EA-41C2-8B2B-C5077C6910D7}"/>
    <cellStyle name="제목 2 5" xfId="3482" xr:uid="{DE1098D9-69AD-4D12-A261-4BF180946E8B}"/>
    <cellStyle name="제목 2 5 2" xfId="3483" xr:uid="{6A60F135-AD4E-49B8-B90D-A7011FD52922}"/>
    <cellStyle name="제목 2 50" xfId="3484" xr:uid="{C56C8845-EEFC-44D6-99C7-EDB1D201CC85}"/>
    <cellStyle name="제목 2 51" xfId="3943" xr:uid="{2CC46762-CCB4-417C-A997-5A5891D472D8}"/>
    <cellStyle name="제목 2 52" xfId="4107" xr:uid="{E0A270E7-AF57-48A5-A52C-ED3DBCAF7202}"/>
    <cellStyle name="제목 2 53" xfId="4259" xr:uid="{31D1ECF7-9B83-4182-A617-E381A848A5EF}"/>
    <cellStyle name="제목 2 54" xfId="4431" xr:uid="{4CF41529-A290-44D3-B039-70F906853BEE}"/>
    <cellStyle name="제목 2 55" xfId="3401" xr:uid="{E9183D7D-CCEE-4EF8-A467-095E965C10FF}"/>
    <cellStyle name="제목 2 6" xfId="3485" xr:uid="{64EA263C-6201-4C08-BAF2-8CD221B5BD7B}"/>
    <cellStyle name="제목 2 6 2" xfId="3486" xr:uid="{65DDE3B9-73AD-4F6F-BB25-E0F19755FAC2}"/>
    <cellStyle name="제목 2 7" xfId="3487" xr:uid="{E9C18A41-DA7C-48E5-8DA3-FE243BCFFF59}"/>
    <cellStyle name="제목 2 7 2" xfId="3488" xr:uid="{48B2750C-E1B0-4CAE-9190-B59A7F5033A4}"/>
    <cellStyle name="제목 2 8" xfId="3489" xr:uid="{4D30CE08-E60D-48F4-AA9C-E49796229FBB}"/>
    <cellStyle name="제목 2 8 2" xfId="3490" xr:uid="{3C8145AC-1A0B-4A6D-ACCD-29BC48955CEB}"/>
    <cellStyle name="제목 2 9" xfId="3491" xr:uid="{2A5A8F80-E75D-4CCB-8C54-B40ABE3E2B37}"/>
    <cellStyle name="제목 2 9 2" xfId="3492" xr:uid="{27132397-87FC-4EE3-B746-8A4AEE1D355C}"/>
    <cellStyle name="제목 20" xfId="3493" xr:uid="{48EBD567-6C78-4789-BDB2-CB39163BBEFA}"/>
    <cellStyle name="제목 20 2" xfId="3494" xr:uid="{37E9EE0E-E818-4DBB-8896-3FFAD24F0339}"/>
    <cellStyle name="제목 21" xfId="3495" xr:uid="{E01564D6-95B8-462D-BBE3-8BF10EA8C68F}"/>
    <cellStyle name="제목 21 2" xfId="3496" xr:uid="{94281994-6224-4F39-9A8D-3E39CD7034B8}"/>
    <cellStyle name="제목 22" xfId="3497" xr:uid="{A808005F-1058-4715-B701-8A04E928B47F}"/>
    <cellStyle name="제목 22 2" xfId="3498" xr:uid="{2AC1DF00-62E8-4B96-9450-D8BE107E1D16}"/>
    <cellStyle name="제목 23" xfId="3499" xr:uid="{1547EDA2-A593-4EE1-8152-F6DB4CACC5BD}"/>
    <cellStyle name="제목 23 2" xfId="3500" xr:uid="{D02269A6-D40B-446F-B14B-D341FB76BCB4}"/>
    <cellStyle name="제목 24" xfId="3501" xr:uid="{5BC858D1-9CE0-42A9-AD34-F7F930DA414E}"/>
    <cellStyle name="제목 24 2" xfId="3502" xr:uid="{7CFD08FA-9881-4B4E-8855-DB11DFE121B2}"/>
    <cellStyle name="제목 25" xfId="3503" xr:uid="{51873946-E093-4213-A6D7-1860D0AC859D}"/>
    <cellStyle name="제목 25 2" xfId="3504" xr:uid="{9B77ED08-22C8-4B30-8ABE-B7F5587DD577}"/>
    <cellStyle name="제목 26" xfId="3505" xr:uid="{7EDAAC15-629B-42BF-89D4-25615AA65685}"/>
    <cellStyle name="제목 26 2" xfId="3506" xr:uid="{243B3B10-47DB-4965-87F3-EF39F4EEDA21}"/>
    <cellStyle name="제목 27" xfId="3507" xr:uid="{B7BF4B0A-7835-4558-82F7-A5A3968BE909}"/>
    <cellStyle name="제목 27 2" xfId="3508" xr:uid="{51981C64-D679-458A-89FD-F274798552BB}"/>
    <cellStyle name="제목 28" xfId="3509" xr:uid="{86AB0592-ACD0-4300-818A-E1372214105A}"/>
    <cellStyle name="제목 28 2" xfId="3510" xr:uid="{6935A211-90DE-4C33-99A6-58109D30685E}"/>
    <cellStyle name="제목 29" xfId="3511" xr:uid="{2C482599-141D-4890-9497-11814D24C2C2}"/>
    <cellStyle name="제목 29 2" xfId="3512" xr:uid="{0A10C4E6-6D0D-403D-BC40-36AB6DF95540}"/>
    <cellStyle name="제목 3 10" xfId="3514" xr:uid="{308D1E28-3FFB-4C62-A2A3-2C9C11384603}"/>
    <cellStyle name="제목 3 10 2" xfId="3515" xr:uid="{A0562877-E01E-48A3-B9C4-F4856C838243}"/>
    <cellStyle name="제목 3 11" xfId="3516" xr:uid="{E5C19BE9-9858-41E6-9F74-D8B79C82C44A}"/>
    <cellStyle name="제목 3 11 2" xfId="3517" xr:uid="{BC614D64-8F14-451D-AFF0-0BDAF0091CA2}"/>
    <cellStyle name="제목 3 12" xfId="3518" xr:uid="{D18379B2-BAFB-4D00-9951-43A813FAF085}"/>
    <cellStyle name="제목 3 12 2" xfId="3519" xr:uid="{D0F15F97-6192-4C69-85C1-EC8B6BFA4E78}"/>
    <cellStyle name="제목 3 13" xfId="3520" xr:uid="{5F139DC4-226E-49C3-81EF-BBF8F4F25A70}"/>
    <cellStyle name="제목 3 13 2" xfId="3521" xr:uid="{77A8DC56-CE4F-4D17-A467-C83B61EFFE0E}"/>
    <cellStyle name="제목 3 14" xfId="3522" xr:uid="{3A2B0641-C0B9-4C6C-8C13-850B60EDE6CC}"/>
    <cellStyle name="제목 3 14 2" xfId="3523" xr:uid="{3F97D865-4266-445F-B6AE-2C4FF7AE4404}"/>
    <cellStyle name="제목 3 15" xfId="3524" xr:uid="{E1A787D0-9508-4A48-82E8-D565AD1A8505}"/>
    <cellStyle name="제목 3 15 2" xfId="3525" xr:uid="{8D165E98-5E56-4CEA-BBF1-BB4D5BE3F146}"/>
    <cellStyle name="제목 3 16" xfId="3526" xr:uid="{06725575-4AB8-4BF0-B27A-193A076C28B8}"/>
    <cellStyle name="제목 3 16 2" xfId="3527" xr:uid="{27A1263F-6FAA-4545-BCB8-F7F2C47080EB}"/>
    <cellStyle name="제목 3 17" xfId="3528" xr:uid="{E4126873-EF46-4D9E-9EDD-DFF009F8522F}"/>
    <cellStyle name="제목 3 17 2" xfId="3529" xr:uid="{2EF905E9-D472-44D8-83A7-ADEB8075972E}"/>
    <cellStyle name="제목 3 18" xfId="3530" xr:uid="{D6CCF43A-CF11-4781-999C-102F675B8F96}"/>
    <cellStyle name="제목 3 18 2" xfId="3531" xr:uid="{60B6BABF-FBB5-4155-AEBE-1057563CE6F4}"/>
    <cellStyle name="제목 3 19" xfId="3532" xr:uid="{F629EF5C-09EB-41A3-8D27-D2111097731D}"/>
    <cellStyle name="제목 3 19 2" xfId="3533" xr:uid="{C10ACAF5-86D0-4EDE-A429-0006C062F1F6}"/>
    <cellStyle name="제목 3 2" xfId="3534" xr:uid="{52013A3E-C7EF-4607-A902-3E5C7F03CF43}"/>
    <cellStyle name="제목 3 2 2" xfId="3535" xr:uid="{93C4AA6E-176D-45D9-BDBA-50484E7D30E6}"/>
    <cellStyle name="제목 3 20" xfId="3536" xr:uid="{01E8AE47-B861-4414-B436-132399147BF0}"/>
    <cellStyle name="제목 3 20 2" xfId="3537" xr:uid="{386552A3-08F0-4268-921C-8D7AECAC919E}"/>
    <cellStyle name="제목 3 21" xfId="3538" xr:uid="{632C270C-C184-4843-9CFA-A2CBFCBA5FA7}"/>
    <cellStyle name="제목 3 21 2" xfId="3539" xr:uid="{093A751A-0DE7-4E20-BBA5-76220C902F6D}"/>
    <cellStyle name="제목 3 22" xfId="3540" xr:uid="{1D5D4E5B-360F-4965-9595-67DF8C733B0F}"/>
    <cellStyle name="제목 3 22 2" xfId="3541" xr:uid="{F2ECD5F5-29D8-43DF-88D0-1431F047E7EF}"/>
    <cellStyle name="제목 3 23" xfId="3542" xr:uid="{572E4F40-3A48-42B2-83C4-0704C63F9C6B}"/>
    <cellStyle name="제목 3 23 2" xfId="3543" xr:uid="{49029EAB-AF9D-4473-B0AE-6200696310D1}"/>
    <cellStyle name="제목 3 24" xfId="3544" xr:uid="{9D8B72F8-F49D-495B-B0A6-C0286E7F6CCA}"/>
    <cellStyle name="제목 3 24 2" xfId="3545" xr:uid="{C1ADF0FA-40D1-4FB2-9D3C-BB5167E1D139}"/>
    <cellStyle name="제목 3 25" xfId="3546" xr:uid="{5E601624-E273-4034-91DB-1CBD8DFDCD79}"/>
    <cellStyle name="제목 3 25 2" xfId="3547" xr:uid="{7CA512AC-717C-4771-A889-859E93FA8EA8}"/>
    <cellStyle name="제목 3 26" xfId="3548" xr:uid="{09E7032F-727E-4505-ACB2-52D1B5F167EB}"/>
    <cellStyle name="제목 3 26 2" xfId="3549" xr:uid="{1D20F426-7880-4919-AA87-8F81BCBA289C}"/>
    <cellStyle name="제목 3 27" xfId="3550" xr:uid="{03647E56-9704-4A09-A029-5A9A7182CC44}"/>
    <cellStyle name="제목 3 27 2" xfId="3551" xr:uid="{A406C0A1-89A8-41BC-BF07-9B6EE5FAD122}"/>
    <cellStyle name="제목 3 28" xfId="3552" xr:uid="{72955F74-019B-4351-97A9-396651A754A0}"/>
    <cellStyle name="제목 3 28 2" xfId="3553" xr:uid="{2D06AC6D-6F87-42CB-9CA7-0E0E21966FC0}"/>
    <cellStyle name="제목 3 29" xfId="3554" xr:uid="{826725C1-EEF7-4A3D-85F9-E29E0DC0AA0D}"/>
    <cellStyle name="제목 3 29 2" xfId="3555" xr:uid="{3CAFC606-BC0C-4422-A48D-640ED83A6CB8}"/>
    <cellStyle name="제목 3 3" xfId="3556" xr:uid="{CCA32557-D11E-4E3F-8B3C-2E1397334D99}"/>
    <cellStyle name="제목 3 3 2" xfId="3557" xr:uid="{1269D6B9-6B82-4465-9961-35C1C01892F6}"/>
    <cellStyle name="제목 3 30" xfId="3558" xr:uid="{91CA2AA7-887A-4417-BD18-482E3816696A}"/>
    <cellStyle name="제목 3 30 2" xfId="3559" xr:uid="{0962FC7E-D7DA-48A6-A68D-B6C765A5DE2F}"/>
    <cellStyle name="제목 3 31" xfId="3560" xr:uid="{F9B1F61B-C632-4A63-9FC0-EB29D4582E5C}"/>
    <cellStyle name="제목 3 31 2" xfId="3561" xr:uid="{AA890585-CB6B-45A3-8C84-0990699A79E5}"/>
    <cellStyle name="제목 3 32" xfId="3562" xr:uid="{59D74304-3360-44D9-9043-F258BD241928}"/>
    <cellStyle name="제목 3 32 2" xfId="3563" xr:uid="{DB609053-EE0D-437C-AFD5-1C7E63F4863E}"/>
    <cellStyle name="제목 3 33" xfId="3564" xr:uid="{3C44CD61-3B08-4BAF-A0C5-A1A369EF0097}"/>
    <cellStyle name="제목 3 33 2" xfId="3565" xr:uid="{995E4352-CBF1-4AB0-9931-8F4BEB956FFA}"/>
    <cellStyle name="제목 3 34" xfId="3566" xr:uid="{CFBFCD41-11B6-4CA4-B603-164779FF4BCE}"/>
    <cellStyle name="제목 3 34 2" xfId="3567" xr:uid="{11734A5C-275E-430E-B28E-0D48CEA97D14}"/>
    <cellStyle name="제목 3 35" xfId="3568" xr:uid="{A3C4ED26-6D20-4708-A947-F9490F619665}"/>
    <cellStyle name="제목 3 35 2" xfId="3569" xr:uid="{662D4AC5-ED39-4C07-84CB-19658291BF64}"/>
    <cellStyle name="제목 3 36" xfId="3570" xr:uid="{1C795594-CC98-4929-ACB8-7357D4FC09A7}"/>
    <cellStyle name="제목 3 36 2" xfId="3571" xr:uid="{9DC32537-5861-484C-A59C-2928EEB7B150}"/>
    <cellStyle name="제목 3 37" xfId="3572" xr:uid="{BB63201B-50A0-4595-AD91-8BA2F725DB40}"/>
    <cellStyle name="제목 3 37 2" xfId="3573" xr:uid="{DE192DDB-AE8F-40C8-9DA7-2A90BE98932B}"/>
    <cellStyle name="제목 3 38" xfId="3574" xr:uid="{8F84F52B-98E5-45D8-9B4B-1DE9F0C38217}"/>
    <cellStyle name="제목 3 38 2" xfId="3575" xr:uid="{2C22C69C-D54C-4971-A3B4-A1D9943FF963}"/>
    <cellStyle name="제목 3 39" xfId="3576" xr:uid="{C3FD2B21-D1D2-4905-BA3E-933D82A41DBE}"/>
    <cellStyle name="제목 3 39 2" xfId="3577" xr:uid="{0F80AC66-DE79-4835-967E-8C3E684BEB5B}"/>
    <cellStyle name="제목 3 4" xfId="3578" xr:uid="{22299C4C-9FE5-4AAC-A69F-06955B67F12B}"/>
    <cellStyle name="제목 3 4 2" xfId="3579" xr:uid="{EA7F11B1-505E-4034-BD27-78138903B359}"/>
    <cellStyle name="제목 3 40" xfId="3580" xr:uid="{02A43F7F-4134-4881-A843-942DCD33A82A}"/>
    <cellStyle name="제목 3 40 2" xfId="3581" xr:uid="{0292A4C9-D095-4864-A739-FBD733D5E539}"/>
    <cellStyle name="제목 3 41" xfId="3582" xr:uid="{E0DD03F8-F01C-452B-BFB8-AA436F2472B5}"/>
    <cellStyle name="제목 3 41 2" xfId="3583" xr:uid="{B85B7C71-C90E-455E-9A9E-A3265078C15C}"/>
    <cellStyle name="제목 3 42" xfId="3584" xr:uid="{7E307EBB-7D9A-4AC3-BA3C-D96C2D199FF4}"/>
    <cellStyle name="제목 3 42 2" xfId="3585" xr:uid="{2E63251A-553D-4FE4-8674-F34143E41F0D}"/>
    <cellStyle name="제목 3 43" xfId="3586" xr:uid="{88B96AD7-D5D5-414F-8C2B-C40C341B7471}"/>
    <cellStyle name="제목 3 43 2" xfId="3587" xr:uid="{5C1DD0D9-21DE-4455-B1DB-7614A861CFE2}"/>
    <cellStyle name="제목 3 44" xfId="3588" xr:uid="{37ABD3B4-FF0A-47ED-A891-D00D380DD59C}"/>
    <cellStyle name="제목 3 45" xfId="3589" xr:uid="{2DAE34F8-1988-4D63-BAAF-6CB7DB977C96}"/>
    <cellStyle name="제목 3 46" xfId="3590" xr:uid="{E3FDEFA5-FDED-415F-85FE-798908A72F97}"/>
    <cellStyle name="제목 3 47" xfId="3591" xr:uid="{76FEC4D5-C41C-4EB2-B3AE-DFD4D8C403C3}"/>
    <cellStyle name="제목 3 48" xfId="3592" xr:uid="{1D4BAA81-5848-43C7-A94E-362CEBBDAB53}"/>
    <cellStyle name="제목 3 49" xfId="3593" xr:uid="{E77D9514-E87D-41E5-96BF-5B095172F261}"/>
    <cellStyle name="제목 3 5" xfId="3594" xr:uid="{A81303EE-1EC7-4539-9CEE-60E399B9C2A5}"/>
    <cellStyle name="제목 3 5 2" xfId="3595" xr:uid="{92CA8BD9-59E7-4C96-AD1C-6F41EA1C26A2}"/>
    <cellStyle name="제목 3 50" xfId="3596" xr:uid="{A319D0CC-FEFA-4A9B-A7EE-F1F58F1A93E8}"/>
    <cellStyle name="제목 3 51" xfId="3944" xr:uid="{DDF3A1D8-CFA5-4E61-BA9A-2C4D98114554}"/>
    <cellStyle name="제목 3 52" xfId="4108" xr:uid="{899B977A-0B7D-41FB-A2F9-3A4C1C7FCE2B}"/>
    <cellStyle name="제목 3 53" xfId="4260" xr:uid="{3E041F70-8319-4725-B479-B3A28C6BF029}"/>
    <cellStyle name="제목 3 54" xfId="4432" xr:uid="{EF0F8FD3-0843-4FD6-BE47-0DC5019F7718}"/>
    <cellStyle name="제목 3 55" xfId="3513" xr:uid="{2A0AFE50-6ABE-4722-93E1-9D324F0195EC}"/>
    <cellStyle name="제목 3 6" xfId="3597" xr:uid="{71220023-7CA5-4EA4-9D0E-C6C78A8ABA15}"/>
    <cellStyle name="제목 3 6 2" xfId="3598" xr:uid="{B294A839-0244-4269-B572-9719A08C92B3}"/>
    <cellStyle name="제목 3 7" xfId="3599" xr:uid="{95E42A19-A3CB-4F90-A08A-98033CE5A06B}"/>
    <cellStyle name="제목 3 7 2" xfId="3600" xr:uid="{3667B78C-4526-42F1-8E3D-6FE5B7915451}"/>
    <cellStyle name="제목 3 8" xfId="3601" xr:uid="{F1C02F71-16FC-4B35-9986-23B2063D2FBA}"/>
    <cellStyle name="제목 3 8 2" xfId="3602" xr:uid="{1F047BC1-344F-428F-8D14-0E0C57A2ECF7}"/>
    <cellStyle name="제목 3 9" xfId="3603" xr:uid="{02E19E46-D530-4BA7-A194-A0E4215AEF06}"/>
    <cellStyle name="제목 3 9 2" xfId="3604" xr:uid="{8C2E8891-B376-4C19-B307-E54B8D0ADBC5}"/>
    <cellStyle name="제목 30" xfId="3605" xr:uid="{C8446A3B-9ABA-4DB8-B3A2-295D1E341722}"/>
    <cellStyle name="제목 30 2" xfId="3606" xr:uid="{FC471A81-C6FE-4640-923D-2537EA39E795}"/>
    <cellStyle name="제목 31" xfId="3607" xr:uid="{DABF7E24-CD90-47D6-8DEB-18DAC631E8FA}"/>
    <cellStyle name="제목 31 2" xfId="3608" xr:uid="{CB03AC22-A4D9-41EA-9114-342114ADD22C}"/>
    <cellStyle name="제목 32" xfId="3609" xr:uid="{01DADC67-4D22-4357-AAC3-3BA2406F072A}"/>
    <cellStyle name="제목 32 2" xfId="3610" xr:uid="{3D696928-D9D5-469C-8703-B5F4D14498F2}"/>
    <cellStyle name="제목 33" xfId="3611" xr:uid="{EB65B054-3F1D-4096-8800-59A800702461}"/>
    <cellStyle name="제목 33 2" xfId="3612" xr:uid="{48DDA132-1E6A-4EA8-B155-D0FD64C1D431}"/>
    <cellStyle name="제목 34" xfId="3613" xr:uid="{F7ACAD66-53E9-4E96-B21D-5EED346CD91F}"/>
    <cellStyle name="제목 34 2" xfId="3614" xr:uid="{A138A336-631E-4E8D-8570-F68083BA29E2}"/>
    <cellStyle name="제목 35" xfId="3615" xr:uid="{F131FD91-AC48-4C39-A7FC-34D382DDBC9B}"/>
    <cellStyle name="제목 35 2" xfId="3616" xr:uid="{EBC05264-A818-4431-967C-02353660C55D}"/>
    <cellStyle name="제목 36" xfId="3617" xr:uid="{25F628B0-A05D-4E4E-A5BC-A3E2ED2FCBCC}"/>
    <cellStyle name="제목 36 2" xfId="3618" xr:uid="{BEF30F84-8CF1-43CD-ACE5-8F18445F4B25}"/>
    <cellStyle name="제목 37" xfId="3619" xr:uid="{D3F2BA04-F34A-400E-9A54-7F81A4EC2E90}"/>
    <cellStyle name="제목 37 2" xfId="3620" xr:uid="{749B0E3F-902D-49FA-A97A-50D261C69A7D}"/>
    <cellStyle name="제목 38" xfId="3621" xr:uid="{A8C1D8BE-3D9B-4750-BC01-35F6C16F5BD9}"/>
    <cellStyle name="제목 38 2" xfId="3622" xr:uid="{BEDAE5C1-D808-4CA1-A81D-4AB4555442E1}"/>
    <cellStyle name="제목 39" xfId="3623" xr:uid="{578DE1D4-E3D1-4868-96F3-7C3FDCD5780D}"/>
    <cellStyle name="제목 39 2" xfId="3624" xr:uid="{BE486750-8FB3-476E-9130-5C4233A60D7E}"/>
    <cellStyle name="제목 4 10" xfId="3626" xr:uid="{0F4A5374-2379-441F-AB2E-5F2FA061AD12}"/>
    <cellStyle name="제목 4 10 2" xfId="3627" xr:uid="{38853A51-EA07-4006-9826-5E79BB197B65}"/>
    <cellStyle name="제목 4 11" xfId="3628" xr:uid="{8D7E6CDD-D048-4406-9DEB-A034DA98B92D}"/>
    <cellStyle name="제목 4 11 2" xfId="3629" xr:uid="{F5D9F3AC-CE0B-45E2-9147-F206B932B53C}"/>
    <cellStyle name="제목 4 12" xfId="3630" xr:uid="{BB827CCE-2C5B-4222-9CD2-D1087C04946F}"/>
    <cellStyle name="제목 4 12 2" xfId="3631" xr:uid="{3B6501A3-4185-49BB-B02E-45DAB3C576FB}"/>
    <cellStyle name="제목 4 13" xfId="3632" xr:uid="{2D41B474-C34A-44DA-B77B-D3705E16C28A}"/>
    <cellStyle name="제목 4 13 2" xfId="3633" xr:uid="{64BECFD4-5E72-4428-B409-48845FEFF7D5}"/>
    <cellStyle name="제목 4 14" xfId="3634" xr:uid="{CA8FDD61-DD97-4C24-B10D-DE9379892964}"/>
    <cellStyle name="제목 4 14 2" xfId="3635" xr:uid="{FCA33EFD-BB67-4C91-81A4-0C35E9B44071}"/>
    <cellStyle name="제목 4 15" xfId="3636" xr:uid="{8EFED082-4DB6-49C6-B84D-2825B9D7DF90}"/>
    <cellStyle name="제목 4 15 2" xfId="3637" xr:uid="{1F1F904C-FC40-482D-812A-8F593BC37DC5}"/>
    <cellStyle name="제목 4 16" xfId="3638" xr:uid="{89FD804E-7FFB-406C-B59F-90EBE0B4788A}"/>
    <cellStyle name="제목 4 16 2" xfId="3639" xr:uid="{3EB8AEAB-108E-47FA-82B7-CBFA8635D211}"/>
    <cellStyle name="제목 4 17" xfId="3640" xr:uid="{92AD56C3-E301-4F2C-9120-294EF6A831FC}"/>
    <cellStyle name="제목 4 17 2" xfId="3641" xr:uid="{69D00E26-45B1-4FE0-B844-D596D593B3DA}"/>
    <cellStyle name="제목 4 18" xfId="3642" xr:uid="{93FB35AF-8AC5-4580-B54A-1BDEE35037CE}"/>
    <cellStyle name="제목 4 18 2" xfId="3643" xr:uid="{24D2DB18-B1B8-42ED-B562-B69D7AEE4492}"/>
    <cellStyle name="제목 4 19" xfId="3644" xr:uid="{C08CD8A3-4803-48AF-B1EF-12A8FE3879C5}"/>
    <cellStyle name="제목 4 19 2" xfId="3645" xr:uid="{71AAAE9E-5558-4FC6-BED8-7D021030DED5}"/>
    <cellStyle name="제목 4 2" xfId="3646" xr:uid="{C7D67C7D-5823-46AF-8756-DE00CCB60D22}"/>
    <cellStyle name="제목 4 2 2" xfId="3647" xr:uid="{CA584712-B2F3-419E-9984-12563CFD4494}"/>
    <cellStyle name="제목 4 20" xfId="3648" xr:uid="{F65A1F4B-CC95-4FBF-8484-1669CED7DF47}"/>
    <cellStyle name="제목 4 20 2" xfId="3649" xr:uid="{D977784B-E70A-42E5-B239-9BFADE0D9A3B}"/>
    <cellStyle name="제목 4 21" xfId="3650" xr:uid="{1D4377E2-20B9-4BEF-8817-034C13C730DC}"/>
    <cellStyle name="제목 4 21 2" xfId="3651" xr:uid="{7E09ECDF-B13A-43A6-9285-956BF443DBCB}"/>
    <cellStyle name="제목 4 22" xfId="3652" xr:uid="{8D5BCB5A-AAA7-40B5-95B2-DA1F7D55E303}"/>
    <cellStyle name="제목 4 22 2" xfId="3653" xr:uid="{E2963651-989D-4108-A6D2-A8F22A155248}"/>
    <cellStyle name="제목 4 23" xfId="3654" xr:uid="{84BE1615-E00C-4EA0-9836-CB7F446E9CA3}"/>
    <cellStyle name="제목 4 23 2" xfId="3655" xr:uid="{242B559A-655A-41FF-B864-6120E138959E}"/>
    <cellStyle name="제목 4 24" xfId="3656" xr:uid="{6A01792B-1D98-47BC-9090-E9368C1C5E3E}"/>
    <cellStyle name="제목 4 24 2" xfId="3657" xr:uid="{5F6EC415-6033-4C6F-84EE-12579AA330A0}"/>
    <cellStyle name="제목 4 25" xfId="3658" xr:uid="{FA324CC1-7A7F-4EA5-AEB3-DBEF1E8B0DFA}"/>
    <cellStyle name="제목 4 25 2" xfId="3659" xr:uid="{CC96ECF4-5E50-474B-9EBB-2C31EBD894B6}"/>
    <cellStyle name="제목 4 26" xfId="3660" xr:uid="{11764E8C-0E91-4C51-911F-A8EB16DE7A1B}"/>
    <cellStyle name="제목 4 26 2" xfId="3661" xr:uid="{A8D9E995-8787-49B7-A55B-44B335F8533E}"/>
    <cellStyle name="제목 4 27" xfId="3662" xr:uid="{EB6112E8-FC93-499B-8677-EC44502E1F6B}"/>
    <cellStyle name="제목 4 27 2" xfId="3663" xr:uid="{ABBEAD4F-C3A1-4536-9352-097D9C91C81C}"/>
    <cellStyle name="제목 4 28" xfId="3664" xr:uid="{C46E4FC6-2525-4F5B-A3AB-43B084C7FE33}"/>
    <cellStyle name="제목 4 28 2" xfId="3665" xr:uid="{582DC2A7-ACC6-4D4A-A240-5380D49203A1}"/>
    <cellStyle name="제목 4 29" xfId="3666" xr:uid="{A7AB2466-E8D8-447B-B78A-03C47FDDDDBA}"/>
    <cellStyle name="제목 4 29 2" xfId="3667" xr:uid="{C46358C9-7EFA-4BA3-9B66-F3104935FCB1}"/>
    <cellStyle name="제목 4 3" xfId="3668" xr:uid="{4CC84149-7D31-4163-BC97-277AD8352A61}"/>
    <cellStyle name="제목 4 3 2" xfId="3669" xr:uid="{0C39D26D-51ED-4891-A6A5-EC4783A09ED7}"/>
    <cellStyle name="제목 4 30" xfId="3670" xr:uid="{7651C10D-7E09-41C2-8FEB-75A2B1040CC6}"/>
    <cellStyle name="제목 4 30 2" xfId="3671" xr:uid="{0CCF1034-30F3-4454-8F58-D3EFF57CDA84}"/>
    <cellStyle name="제목 4 31" xfId="3672" xr:uid="{9BBD6802-270C-49B4-A772-12DE9D2436A4}"/>
    <cellStyle name="제목 4 31 2" xfId="3673" xr:uid="{3FD48729-9814-4AC7-8BC1-CD8798B1C116}"/>
    <cellStyle name="제목 4 32" xfId="3674" xr:uid="{68856562-2AF2-44DF-B385-C4B67832D33E}"/>
    <cellStyle name="제목 4 32 2" xfId="3675" xr:uid="{CF94C0E6-8FF2-4344-847F-8F01AC0D5BD8}"/>
    <cellStyle name="제목 4 33" xfId="3676" xr:uid="{EF2CE366-C261-4BDF-BE60-F57903719165}"/>
    <cellStyle name="제목 4 33 2" xfId="3677" xr:uid="{C959D2A9-9124-42CA-B9E4-60124E0EBAC4}"/>
    <cellStyle name="제목 4 34" xfId="3678" xr:uid="{F3907257-AAC2-4754-B052-60ACC2245C75}"/>
    <cellStyle name="제목 4 34 2" xfId="3679" xr:uid="{3A8F799A-528D-4FFF-A219-3A954AB3551D}"/>
    <cellStyle name="제목 4 35" xfId="3680" xr:uid="{C8554860-9BC3-42ED-8249-4FAEBAAA85CC}"/>
    <cellStyle name="제목 4 35 2" xfId="3681" xr:uid="{28C58FDE-8C65-4750-96AB-01F5AC7D42EC}"/>
    <cellStyle name="제목 4 36" xfId="3682" xr:uid="{6AD2B2B1-E4E5-4537-918F-10D471919058}"/>
    <cellStyle name="제목 4 36 2" xfId="3683" xr:uid="{E6B46224-61D1-489F-BD1F-B919EE0CA910}"/>
    <cellStyle name="제목 4 37" xfId="3684" xr:uid="{D0751A25-47FB-4ECA-B252-E563F598174A}"/>
    <cellStyle name="제목 4 37 2" xfId="3685" xr:uid="{07F9E44E-EBB2-4B85-AEA6-A134E2EF62D8}"/>
    <cellStyle name="제목 4 38" xfId="3686" xr:uid="{8544ECA5-A7F1-4B71-9C48-0DE39462E0FF}"/>
    <cellStyle name="제목 4 38 2" xfId="3687" xr:uid="{91E3F646-5B1E-47C1-98F4-4F8C14F51EAA}"/>
    <cellStyle name="제목 4 39" xfId="3688" xr:uid="{B2FBC1A1-428C-4236-AFD9-1D906AA5288E}"/>
    <cellStyle name="제목 4 39 2" xfId="3689" xr:uid="{FD577B98-7421-4B93-BA5E-B6E096991E5F}"/>
    <cellStyle name="제목 4 4" xfId="3690" xr:uid="{A07C6DC8-5083-41E2-9501-F802A9A02AB9}"/>
    <cellStyle name="제목 4 4 2" xfId="3691" xr:uid="{D8DD8825-E39F-4707-9288-46DE2ABD4218}"/>
    <cellStyle name="제목 4 40" xfId="3692" xr:uid="{4263FB95-19A7-448A-BC76-80C4E00FE2DD}"/>
    <cellStyle name="제목 4 40 2" xfId="3693" xr:uid="{EFDC0FA1-E023-4C70-8BEA-53995998A94D}"/>
    <cellStyle name="제목 4 41" xfId="3694" xr:uid="{C2301262-AF28-4D59-9DAC-D2491E9263F6}"/>
    <cellStyle name="제목 4 41 2" xfId="3695" xr:uid="{55C8FA68-2856-474A-8174-608A5D84718B}"/>
    <cellStyle name="제목 4 42" xfId="3696" xr:uid="{1882EBA6-7424-4DCD-8F66-7BB13E70F02A}"/>
    <cellStyle name="제목 4 42 2" xfId="3697" xr:uid="{BCE42D4D-C3C3-4B9A-8459-0B05A2D4919A}"/>
    <cellStyle name="제목 4 43" xfId="3698" xr:uid="{F85D4269-0A9C-41E2-8623-2E32607E10F2}"/>
    <cellStyle name="제목 4 43 2" xfId="3699" xr:uid="{35C92277-92CE-43A6-912D-6C0669853F85}"/>
    <cellStyle name="제목 4 44" xfId="3700" xr:uid="{45E6284D-95B2-4570-A9E3-A7498341DC62}"/>
    <cellStyle name="제목 4 45" xfId="3701" xr:uid="{65E0A8F8-D72B-4D6B-BB03-7C700543E757}"/>
    <cellStyle name="제목 4 46" xfId="3702" xr:uid="{A705C7F9-90D9-447C-9DB2-5A545E1E4F6F}"/>
    <cellStyle name="제목 4 47" xfId="3703" xr:uid="{5E4EB1C0-F174-4140-82D6-74E72A83F9C8}"/>
    <cellStyle name="제목 4 48" xfId="3704" xr:uid="{F06A0379-60C4-4108-9A78-9A91D02D75BB}"/>
    <cellStyle name="제목 4 49" xfId="3705" xr:uid="{26DAAB90-C8FF-49A2-B104-7F922788FB09}"/>
    <cellStyle name="제목 4 5" xfId="3706" xr:uid="{EFF33F57-BCC2-460C-B905-08CC94505462}"/>
    <cellStyle name="제목 4 5 2" xfId="3707" xr:uid="{F1F42FDE-E0A9-43D1-A836-B9A6C3412EF1}"/>
    <cellStyle name="제목 4 50" xfId="3708" xr:uid="{AFB3977A-3539-4E04-8352-FE1AEAEAD34E}"/>
    <cellStyle name="제목 4 51" xfId="3945" xr:uid="{930B6CAE-ADA5-4D7A-9152-FA5534AF6021}"/>
    <cellStyle name="제목 4 52" xfId="4109" xr:uid="{B02DEAC3-00D1-4F8D-92C8-645C216BCD03}"/>
    <cellStyle name="제목 4 53" xfId="4261" xr:uid="{ACE96DC6-60C4-4739-B668-F9605F54760B}"/>
    <cellStyle name="제목 4 54" xfId="4433" xr:uid="{C8938552-CAA6-4654-B6AF-4D028010FD1C}"/>
    <cellStyle name="제목 4 55" xfId="3625" xr:uid="{D43DB634-E4AB-4429-A517-6711A94A7CA7}"/>
    <cellStyle name="제목 4 6" xfId="3709" xr:uid="{552D6421-6FF6-4C51-A4EB-CC511F3A653C}"/>
    <cellStyle name="제목 4 6 2" xfId="3710" xr:uid="{028DC69B-1F51-49A2-BA94-712A3F04C32F}"/>
    <cellStyle name="제목 4 7" xfId="3711" xr:uid="{D9ACFFFA-4544-4D6D-A7CD-28D6202CC669}"/>
    <cellStyle name="제목 4 7 2" xfId="3712" xr:uid="{231E25A0-B8CB-4327-BC5A-884AB7A15A7B}"/>
    <cellStyle name="제목 4 8" xfId="3713" xr:uid="{FAD6426E-41FE-4090-99AA-E7C25DC6E482}"/>
    <cellStyle name="제목 4 8 2" xfId="3714" xr:uid="{1C868995-5AFB-46D6-9805-A9AC0104FEE8}"/>
    <cellStyle name="제목 4 9" xfId="3715" xr:uid="{5B5FE3F9-3E91-45EE-9AE3-7483EEA790D5}"/>
    <cellStyle name="제목 4 9 2" xfId="3716" xr:uid="{B934F87A-C262-4CB5-B6A8-D6C231CAC5BE}"/>
    <cellStyle name="제목 40" xfId="3717" xr:uid="{29D3E6D1-ABD2-48F1-A3D7-874215247286}"/>
    <cellStyle name="제목 40 2" xfId="3718" xr:uid="{B90F5057-3983-4FB0-849E-4FDB1B38ED89}"/>
    <cellStyle name="제목 41" xfId="3719" xr:uid="{F3A87325-8260-4AC8-AF4C-A66DCE7A5158}"/>
    <cellStyle name="제목 41 2" xfId="3720" xr:uid="{3E12B7E6-15A2-4ACE-A87A-7A9984B7FDCF}"/>
    <cellStyle name="제목 42" xfId="3721" xr:uid="{7BB66786-69DE-4DE7-9F45-61F641FBF5C4}"/>
    <cellStyle name="제목 42 2" xfId="3722" xr:uid="{F28C7B53-FA1C-43A9-8B3B-8A894235ED87}"/>
    <cellStyle name="제목 43" xfId="3723" xr:uid="{A1BD8CDC-BA33-4B1E-A0F2-FDF55D147007}"/>
    <cellStyle name="제목 43 2" xfId="3724" xr:uid="{60946909-1272-4866-9B5E-3D0D25F6B7B0}"/>
    <cellStyle name="제목 44" xfId="3725" xr:uid="{E06E9101-A85D-4A45-A3A2-1FF9331F3DA2}"/>
    <cellStyle name="제목 44 2" xfId="3726" xr:uid="{FBC02898-9B25-4428-A311-ECA1B3BF2390}"/>
    <cellStyle name="제목 45" xfId="3727" xr:uid="{3ED42285-2ACD-45A9-88CB-00080242AF9C}"/>
    <cellStyle name="제목 45 2" xfId="3728" xr:uid="{3C4D538E-C304-43C2-94B4-B9005DC0918D}"/>
    <cellStyle name="제목 46" xfId="3729" xr:uid="{7C27046B-0257-47E2-8D4D-C5A036528D42}"/>
    <cellStyle name="제목 46 2" xfId="3730" xr:uid="{D36D6181-9BF2-4FD8-9AC4-FFA3DA2C27BE}"/>
    <cellStyle name="제목 47" xfId="3731" xr:uid="{AAEA9922-303E-42E5-858E-BA5170FEE733}"/>
    <cellStyle name="제목 48" xfId="3732" xr:uid="{65445BD6-B41D-472E-B68F-7BDA0D1BA72E}"/>
    <cellStyle name="제목 49" xfId="3733" xr:uid="{3764A8E1-2557-4FB3-9DBE-20361063B4D8}"/>
    <cellStyle name="제목 5" xfId="3734" xr:uid="{D50D7D08-1F99-432E-8E1F-5E56DB2E5BF4}"/>
    <cellStyle name="제목 5 2" xfId="3735" xr:uid="{4B9D5711-8172-4DEC-8D52-43ADB94AAD58}"/>
    <cellStyle name="제목 50" xfId="3736" xr:uid="{49FAF737-93EB-43E1-914C-E914BAE339D5}"/>
    <cellStyle name="제목 51" xfId="3737" xr:uid="{CC07F670-81FA-4A6C-8568-A01D14738529}"/>
    <cellStyle name="제목 52" xfId="3738" xr:uid="{A986E172-087E-49E8-A964-899F2E9ACACC}"/>
    <cellStyle name="제목 53" xfId="3739" xr:uid="{3B6707CC-BD51-4327-9D04-5AC8B9FE1AF8}"/>
    <cellStyle name="제목 54" xfId="3941" xr:uid="{1D1E5775-9DF3-4261-8AF8-D2A8A48E67DF}"/>
    <cellStyle name="제목 55" xfId="4257" xr:uid="{00F4EE9E-4219-4BE5-9B41-4A7094B973EC}"/>
    <cellStyle name="제목 56" xfId="4429" xr:uid="{14E0B115-FE72-44B2-9849-EE14E2DEED4C}"/>
    <cellStyle name="제목 57" xfId="3288" xr:uid="{82CB5FDE-5215-4F18-BAE5-66D759C46A7D}"/>
    <cellStyle name="제목 6" xfId="3740" xr:uid="{B07A7F36-6317-4637-AF4E-409743C3E0B2}"/>
    <cellStyle name="제목 6 2" xfId="3741" xr:uid="{978E69C5-480F-4949-8842-3114D03FBABA}"/>
    <cellStyle name="제목 7" xfId="3742" xr:uid="{60E4DF35-57F4-4B5B-94D5-16121A0BAFA6}"/>
    <cellStyle name="제목 7 2" xfId="3743" xr:uid="{76CFF811-F03F-42F6-A677-701DEC57DD8D}"/>
    <cellStyle name="제목 8" xfId="3744" xr:uid="{141F755B-FEE0-443C-BDAF-DDE978318855}"/>
    <cellStyle name="제목 8 2" xfId="3745" xr:uid="{133E8264-3BCB-4397-AEEB-20541DBB7D4B}"/>
    <cellStyle name="제목 9" xfId="3746" xr:uid="{9F11D75B-592B-40FE-96FA-9F641A56605A}"/>
    <cellStyle name="제목 9 2" xfId="3747" xr:uid="{FDC6CE89-D5A2-4167-8F4E-CE3BE69A8E34}"/>
    <cellStyle name="좋음 10" xfId="3749" xr:uid="{16130497-DD3E-4952-83DC-484DC42374FD}"/>
    <cellStyle name="좋음 10 2" xfId="3750" xr:uid="{9DB5D6E6-B326-41B7-AEF2-46085013BE2E}"/>
    <cellStyle name="좋음 11" xfId="3751" xr:uid="{1D4F29C7-73E3-4B5F-B366-915C3ABA5C10}"/>
    <cellStyle name="좋음 11 2" xfId="3752" xr:uid="{8B404102-CE2A-4834-88BA-7E996B39FA2D}"/>
    <cellStyle name="좋음 12" xfId="3753" xr:uid="{731910A3-1E5A-4806-8728-31C74C36A965}"/>
    <cellStyle name="좋음 12 2" xfId="3754" xr:uid="{FA897F2C-D365-4C12-8D6B-D46DD42DCEF0}"/>
    <cellStyle name="좋음 13" xfId="3755" xr:uid="{DACF29D7-084A-4155-BAFA-C75F5BAFF528}"/>
    <cellStyle name="좋음 13 2" xfId="3756" xr:uid="{8C596F03-4225-4A37-AD74-3E4C322A7B8F}"/>
    <cellStyle name="좋음 14" xfId="3757" xr:uid="{697DBCB8-5E4D-4248-A50A-85B3A8FC9836}"/>
    <cellStyle name="좋음 14 2" xfId="3758" xr:uid="{DC314F69-A1DA-4F42-8CE6-6B5C93CAAD12}"/>
    <cellStyle name="좋음 15" xfId="3759" xr:uid="{0F287DE9-A9EA-41DC-8174-751FE88DC41C}"/>
    <cellStyle name="좋음 15 2" xfId="3760" xr:uid="{BFAF1B38-03AA-4738-92AE-CD8EB2B710F7}"/>
    <cellStyle name="좋음 16" xfId="3761" xr:uid="{E9847770-9504-4FC5-9E02-EBEFBCC486DF}"/>
    <cellStyle name="좋음 16 2" xfId="3762" xr:uid="{C970DA2E-EF6D-4E6A-B1BC-B49B6DD4B446}"/>
    <cellStyle name="좋음 17" xfId="3763" xr:uid="{3E52F600-6ED1-467D-B3FE-D39B4F2E6F95}"/>
    <cellStyle name="좋음 17 2" xfId="3764" xr:uid="{FD3BDA8E-488D-471C-BB1A-3F62C5BD865C}"/>
    <cellStyle name="좋음 18" xfId="3765" xr:uid="{29B6D056-27E9-4F68-8B85-05EFAE485CBF}"/>
    <cellStyle name="좋음 18 2" xfId="3766" xr:uid="{6E89968E-EB8E-495A-B6DD-7A885A9C4DD2}"/>
    <cellStyle name="좋음 19" xfId="3767" xr:uid="{7EE42064-DE4E-4950-9BB9-2B73236AEFE3}"/>
    <cellStyle name="좋음 19 2" xfId="3768" xr:uid="{1206B238-702F-44BC-BB2F-B8FD6FFECD43}"/>
    <cellStyle name="좋음 2" xfId="3769" xr:uid="{34C06D4D-953B-40E7-B2DD-DFB74CDB562A}"/>
    <cellStyle name="좋음 2 2" xfId="3770" xr:uid="{AF79616D-3875-4690-9911-155C2FE2422C}"/>
    <cellStyle name="좋음 20" xfId="3771" xr:uid="{1B4E850C-B37F-42FB-AC9B-ACADA5FB1674}"/>
    <cellStyle name="좋음 20 2" xfId="3772" xr:uid="{50ECBCFF-B06F-4DF4-9BD7-B4A8BE802D85}"/>
    <cellStyle name="좋음 21" xfId="3773" xr:uid="{7870B34D-0731-4F25-9984-317A3E5A232E}"/>
    <cellStyle name="좋음 21 2" xfId="3774" xr:uid="{5568BA61-A2EA-4A65-946B-BAF7F0039A23}"/>
    <cellStyle name="좋음 22" xfId="3775" xr:uid="{65159526-C565-4D8F-B842-21E868FF44A1}"/>
    <cellStyle name="좋음 22 2" xfId="3776" xr:uid="{EEAB91C1-9613-470A-8624-945CB8318402}"/>
    <cellStyle name="좋음 23" xfId="3777" xr:uid="{C7F1D135-1983-438C-949C-7B25219AB42C}"/>
    <cellStyle name="좋음 23 2" xfId="3778" xr:uid="{3A7BCFE9-7FF1-40DD-A494-AB0DD6C6433B}"/>
    <cellStyle name="좋음 24" xfId="3779" xr:uid="{7A4105FD-1056-4513-B1F7-8E1EAEBE23C5}"/>
    <cellStyle name="좋음 24 2" xfId="3780" xr:uid="{FDF9EFF7-5308-4F05-837E-9606BC7E583A}"/>
    <cellStyle name="좋음 25" xfId="3781" xr:uid="{9E92D49F-9E9B-4DB6-B944-2D9340055CCF}"/>
    <cellStyle name="좋음 25 2" xfId="3782" xr:uid="{B490E7BA-4ADC-4FA3-808D-B590ADDE9BB0}"/>
    <cellStyle name="좋음 26" xfId="3783" xr:uid="{7265FA9A-3032-4614-91FD-E93859C8CFCB}"/>
    <cellStyle name="좋음 26 2" xfId="3784" xr:uid="{00E24FAC-E02B-4E09-9D2A-2A135B553349}"/>
    <cellStyle name="좋음 27" xfId="3785" xr:uid="{0095B5D5-945C-47BB-A464-A81CA32C0712}"/>
    <cellStyle name="좋음 27 2" xfId="3786" xr:uid="{3A96501A-C745-45A8-BB9F-3A3C243BD766}"/>
    <cellStyle name="좋음 28" xfId="3787" xr:uid="{B8E8EDC5-9C1A-4327-88B1-44D0D1D79678}"/>
    <cellStyle name="좋음 28 2" xfId="3788" xr:uid="{F33CBCA2-49DE-4CFF-8546-0F5BEF75E3A7}"/>
    <cellStyle name="좋음 29" xfId="3789" xr:uid="{3ADF42A2-3D13-4C4E-BF46-7DC868692624}"/>
    <cellStyle name="좋음 29 2" xfId="3790" xr:uid="{DA7A1E3F-4A2E-428D-A4E4-D649D510C350}"/>
    <cellStyle name="좋음 3" xfId="3791" xr:uid="{8FC36526-2205-4C90-9BF5-80B358B24AE1}"/>
    <cellStyle name="좋음 3 2" xfId="3792" xr:uid="{71EC54C0-860C-402B-BD2B-DBA595313157}"/>
    <cellStyle name="좋음 30" xfId="3793" xr:uid="{834B3876-6D13-46FA-8B33-A4893BC793C2}"/>
    <cellStyle name="좋음 30 2" xfId="3794" xr:uid="{F3F530B3-2E7A-41E8-BAE4-558BCCE89C30}"/>
    <cellStyle name="좋음 31" xfId="3795" xr:uid="{D84AF7C2-57D1-4C84-830C-473A5F280FD4}"/>
    <cellStyle name="좋음 31 2" xfId="3796" xr:uid="{F4ACCEA7-D4EB-4893-BFBE-81A1264426D6}"/>
    <cellStyle name="좋음 32" xfId="3797" xr:uid="{8A6555B0-A330-4121-B0D2-4464EEBC09FD}"/>
    <cellStyle name="좋음 32 2" xfId="3798" xr:uid="{8FD9862F-9051-49B7-9C46-F0BF4474689B}"/>
    <cellStyle name="좋음 33" xfId="3799" xr:uid="{05E38809-9CAF-449A-A889-1C671A5EDDB2}"/>
    <cellStyle name="좋음 33 2" xfId="3800" xr:uid="{63F01947-7CBB-415D-8968-8CA1B67751C9}"/>
    <cellStyle name="좋음 34" xfId="3801" xr:uid="{40DA967C-4ED9-49CF-B28B-DA3F08D2AB25}"/>
    <cellStyle name="좋음 34 2" xfId="3802" xr:uid="{FB5FB9CE-2006-4196-8CFC-AFBCC303CDCA}"/>
    <cellStyle name="좋음 35" xfId="3803" xr:uid="{21CE4CC7-B7AA-49CF-AAC8-C5596F3CA9E3}"/>
    <cellStyle name="좋음 35 2" xfId="3804" xr:uid="{F7BFEF74-3066-4EBE-85F5-A2D6A92E3CDA}"/>
    <cellStyle name="좋음 36" xfId="3805" xr:uid="{4D03E28C-D136-4934-93CB-B64C1257D3B2}"/>
    <cellStyle name="좋음 36 2" xfId="3806" xr:uid="{32217FE5-323F-477C-8BD0-9F1C549C2B44}"/>
    <cellStyle name="좋음 37" xfId="3807" xr:uid="{18B6E73C-16CA-4CAF-97C0-9177A4B16C7B}"/>
    <cellStyle name="좋음 37 2" xfId="3808" xr:uid="{2AABF49D-CD87-4813-9D19-5C274547EA7A}"/>
    <cellStyle name="좋음 38" xfId="3809" xr:uid="{A21AA37C-F2C5-4DCB-B614-A07B31803C6D}"/>
    <cellStyle name="좋음 38 2" xfId="3810" xr:uid="{01A7271F-D2CB-4624-8A2C-595B99E3BC48}"/>
    <cellStyle name="좋음 39" xfId="3811" xr:uid="{2C48F4C8-4C2E-4FD1-8A30-59501DE71B2D}"/>
    <cellStyle name="좋음 39 2" xfId="3812" xr:uid="{4451F879-80C5-4CE0-BFCF-B2DF0EA26AFC}"/>
    <cellStyle name="좋음 4" xfId="3813" xr:uid="{A13EE422-C00F-4D30-9704-267BFE38631D}"/>
    <cellStyle name="좋음 4 2" xfId="3814" xr:uid="{8941E2CA-92B2-4AF9-A08C-262812F5AE2B}"/>
    <cellStyle name="좋음 40" xfId="3815" xr:uid="{9A920F06-9C0B-416C-BF63-19383FD7D18A}"/>
    <cellStyle name="좋음 40 2" xfId="3816" xr:uid="{E2536D91-A1FD-4BDE-878F-8FF8EF895DFD}"/>
    <cellStyle name="좋음 41" xfId="3817" xr:uid="{C80221D9-DCF7-443E-BF6E-C4B984C48ADE}"/>
    <cellStyle name="좋음 41 2" xfId="3818" xr:uid="{C1F5384A-210C-46BC-863F-92F5AF56F9F7}"/>
    <cellStyle name="좋음 42" xfId="3819" xr:uid="{4F051C4A-B606-4614-B8D7-DE55F2EC67C7}"/>
    <cellStyle name="좋음 42 2" xfId="3820" xr:uid="{01A49ABB-CDCC-4287-B051-0A7B12231316}"/>
    <cellStyle name="좋음 43" xfId="3821" xr:uid="{9145A1C0-ADDB-485A-84F5-0972054E9D81}"/>
    <cellStyle name="좋음 43 2" xfId="3822" xr:uid="{424CE290-0E2B-4FFB-89F5-9C1DC302E52D}"/>
    <cellStyle name="좋음 44" xfId="3823" xr:uid="{B0095210-198C-4D5E-8D3F-EFA56D60076D}"/>
    <cellStyle name="좋음 45" xfId="3824" xr:uid="{EB8013EE-EC8A-4F6E-9CAD-AFEF89E68AE7}"/>
    <cellStyle name="좋음 46" xfId="3825" xr:uid="{8970DCC4-E268-49B5-AA1E-00BD00D6839D}"/>
    <cellStyle name="좋음 47" xfId="3826" xr:uid="{A7013405-FBE3-4206-ABFB-DBD38C2F8A76}"/>
    <cellStyle name="좋음 48" xfId="3827" xr:uid="{B252C60F-1C08-4193-98AE-FD89B6D74D7E}"/>
    <cellStyle name="좋음 49" xfId="3828" xr:uid="{BCD82C7C-E9AD-42B8-B426-8F1B447E21C0}"/>
    <cellStyle name="좋음 5" xfId="3829" xr:uid="{D8C870E3-F8E6-4391-A2C3-9AB05AFE41A8}"/>
    <cellStyle name="좋음 5 2" xfId="3830" xr:uid="{AD4128B3-28E2-49EF-A07C-AA564251B26F}"/>
    <cellStyle name="좋음 50" xfId="3831" xr:uid="{70D3C09B-E6E5-4903-BD79-4FAF39F2BBAC}"/>
    <cellStyle name="좋음 51" xfId="3946" xr:uid="{E463E325-2837-49F2-A2C3-0A900C693766}"/>
    <cellStyle name="좋음 52" xfId="4110" xr:uid="{16513F44-753D-4F16-96B1-A81CCCE5EB5A}"/>
    <cellStyle name="좋음 53" xfId="4262" xr:uid="{542D5E0A-6EF4-45C8-AE52-CFDE38267995}"/>
    <cellStyle name="좋음 54" xfId="4434" xr:uid="{9B8C9C35-340D-4C26-8A8E-8049BAD0CD0F}"/>
    <cellStyle name="좋음 55" xfId="3748" xr:uid="{DF96DBD2-1E22-495F-BB9D-192B42E60EB2}"/>
    <cellStyle name="좋음 6" xfId="3832" xr:uid="{848B3A71-AFFA-4F27-AE78-7C95B14E99A9}"/>
    <cellStyle name="좋음 6 2" xfId="3833" xr:uid="{3033EEBC-E40C-43E2-B888-1ADAB2A602C5}"/>
    <cellStyle name="좋음 7" xfId="3834" xr:uid="{124A9D4A-3B18-42EA-95AB-A22B1825135F}"/>
    <cellStyle name="좋음 7 2" xfId="3835" xr:uid="{80E9225F-F20E-4F0C-8C3E-0741463B4571}"/>
    <cellStyle name="좋음 8" xfId="3836" xr:uid="{2212B0A0-5C09-4343-B281-982ED681A41A}"/>
    <cellStyle name="좋음 8 2" xfId="3837" xr:uid="{145EC509-F848-4981-83CD-2124B7268AEA}"/>
    <cellStyle name="좋음 9" xfId="3838" xr:uid="{1DD2440D-8473-42B6-9A12-F4D5C652B169}"/>
    <cellStyle name="좋음 9 2" xfId="3839" xr:uid="{C0EA6E0B-9960-42A7-94F1-9C702AB6F311}"/>
    <cellStyle name="출력 10" xfId="3841" xr:uid="{360B341C-A398-4BB4-A924-56821C234AFE}"/>
    <cellStyle name="출력 10 2" xfId="3842" xr:uid="{14527E5E-9C9B-4955-8304-2EEBC83E484E}"/>
    <cellStyle name="출력 11" xfId="3843" xr:uid="{8DDD5335-C484-496E-B54F-BE28E7BFB10C}"/>
    <cellStyle name="출력 11 2" xfId="3844" xr:uid="{A8D5ABD5-1EC9-4E61-A68C-B1926C9BCD75}"/>
    <cellStyle name="출력 12" xfId="3845" xr:uid="{49C22D03-1718-411D-B96A-84AC01412092}"/>
    <cellStyle name="출력 12 2" xfId="3846" xr:uid="{4F079DEF-0977-4B5F-852D-4D830D85609B}"/>
    <cellStyle name="출력 13" xfId="3847" xr:uid="{E1E287F3-822E-4FDE-8057-A6350AE87CA8}"/>
    <cellStyle name="출력 13 2" xfId="3848" xr:uid="{F9E43145-C6BD-4616-AC02-A380C9B4BF99}"/>
    <cellStyle name="출력 14" xfId="3849" xr:uid="{3ADEEE2D-3584-4A8D-968A-823B68191E49}"/>
    <cellStyle name="출력 14 2" xfId="3850" xr:uid="{ED49D377-C12A-4585-87F3-94CE4938D05E}"/>
    <cellStyle name="출력 15" xfId="3851" xr:uid="{A55FF286-5734-4C4D-BBC8-4EF907D1A25F}"/>
    <cellStyle name="출력 15 2" xfId="3852" xr:uid="{3B0BF7FD-421E-46CB-A1EA-53DFB64ABEA9}"/>
    <cellStyle name="출력 16" xfId="3853" xr:uid="{ECB66971-A5B5-4782-A2F0-3B42D372790C}"/>
    <cellStyle name="출력 16 2" xfId="3854" xr:uid="{E189E9D8-A12F-49E7-B058-7193D3AF833F}"/>
    <cellStyle name="출력 17" xfId="3855" xr:uid="{0A9F6615-83BD-4ED6-9D83-6BBBB1A8F21A}"/>
    <cellStyle name="출력 17 2" xfId="3856" xr:uid="{01FF62B7-B234-489A-8A0B-5B55C3C4DCD5}"/>
    <cellStyle name="출력 18" xfId="3857" xr:uid="{CB65C50E-F591-4BEB-A477-A8AB95793C3E}"/>
    <cellStyle name="출력 18 2" xfId="3858" xr:uid="{3784614D-1E2E-4BE6-AA66-BE05EAAD7D08}"/>
    <cellStyle name="출력 19" xfId="3859" xr:uid="{85C1BAA9-7C4C-4037-A658-1E8E1EED2450}"/>
    <cellStyle name="출력 19 2" xfId="3860" xr:uid="{D13028C1-2870-4988-B860-9CBB1FAD58D1}"/>
    <cellStyle name="출력 2" xfId="3861" xr:uid="{6FF5AB0F-43F1-4D01-86DF-5CF03FCC5D7C}"/>
    <cellStyle name="출력 2 2" xfId="3862" xr:uid="{194FD910-FE86-4F45-B3F4-F6B72F334A33}"/>
    <cellStyle name="출력 20" xfId="3863" xr:uid="{57E5B55B-3676-43D3-BC7B-3D07A9A0B064}"/>
    <cellStyle name="출력 20 2" xfId="3864" xr:uid="{D139DAD4-9A2F-4419-9BCB-BF4D6855E21C}"/>
    <cellStyle name="출력 21" xfId="3865" xr:uid="{E8C6CC2A-B275-442D-83AC-A39F07FDA3B2}"/>
    <cellStyle name="출력 21 2" xfId="3866" xr:uid="{BDCFC81D-5715-4203-BE66-EAE8AA1C1D7F}"/>
    <cellStyle name="출력 22" xfId="3867" xr:uid="{C7B4E661-6444-4E8F-A68E-32E19B8C73CE}"/>
    <cellStyle name="출력 22 2" xfId="3868" xr:uid="{D5060D46-4D3E-4EA0-A2A8-F74CA0389CEC}"/>
    <cellStyle name="출력 23" xfId="3869" xr:uid="{8CFF6A03-6A3B-4D59-A11D-EDDB57827136}"/>
    <cellStyle name="출력 23 2" xfId="3870" xr:uid="{C5050D09-735C-4D95-9470-1766539EC42B}"/>
    <cellStyle name="출력 24" xfId="3871" xr:uid="{FDCBC4C9-CC68-4D36-9036-7C4259FF1D00}"/>
    <cellStyle name="출력 24 2" xfId="3872" xr:uid="{C7D1DC84-E9B6-4216-95AD-B73E1793BC21}"/>
    <cellStyle name="출력 25" xfId="3873" xr:uid="{9BABF333-CE9D-4A12-B260-A1475FAF45F6}"/>
    <cellStyle name="출력 25 2" xfId="3874" xr:uid="{29A160B9-78DD-4BFC-90CC-57106B0DF69D}"/>
    <cellStyle name="출력 26" xfId="3875" xr:uid="{88F27FF2-6933-471D-BFDE-2127971B13D0}"/>
    <cellStyle name="출력 26 2" xfId="3876" xr:uid="{905CD07E-F53F-45A5-9C7C-2EDA64D15064}"/>
    <cellStyle name="출력 27" xfId="3877" xr:uid="{E03D9255-C91F-4993-BB72-6EF055513D30}"/>
    <cellStyle name="출력 27 2" xfId="3878" xr:uid="{FD6D9008-B5CD-46C5-BA3F-3AA9E3CBAAC0}"/>
    <cellStyle name="출력 28" xfId="3879" xr:uid="{C8515DBF-C098-4AE8-BDB4-597087569ADF}"/>
    <cellStyle name="출력 28 2" xfId="3880" xr:uid="{67F53E34-CADA-4828-8773-8821165B8DBC}"/>
    <cellStyle name="출력 29" xfId="3881" xr:uid="{5DEAAC18-9F7C-4557-B497-101394995B93}"/>
    <cellStyle name="출력 29 2" xfId="3882" xr:uid="{08A44866-80F9-4A4C-BDBE-4B0F27335729}"/>
    <cellStyle name="출력 3" xfId="3883" xr:uid="{D12C48A7-14C8-4F92-BD08-6C43A73A9724}"/>
    <cellStyle name="출력 3 2" xfId="3884" xr:uid="{2F984898-7FDA-4CCC-8C8D-2F5EC595EBAE}"/>
    <cellStyle name="출력 30" xfId="3885" xr:uid="{E16CB4A0-5CF7-4F6B-907E-FEC1B2B7D013}"/>
    <cellStyle name="출력 30 2" xfId="3886" xr:uid="{C8BEC59D-6B1C-456D-A6ED-51BA20E32DC4}"/>
    <cellStyle name="출력 31" xfId="3887" xr:uid="{9EB16CDF-C736-4905-9560-067821213879}"/>
    <cellStyle name="출력 31 2" xfId="3888" xr:uid="{D0A91EAE-9B61-4D84-B889-06451AB4AA83}"/>
    <cellStyle name="출력 32" xfId="3889" xr:uid="{77EFB3AA-8E28-4585-B1F7-582FE1F27BA2}"/>
    <cellStyle name="출력 32 2" xfId="3890" xr:uid="{3911E59E-8EF6-4BF7-85A2-3FE971A537CC}"/>
    <cellStyle name="출력 33" xfId="3891" xr:uid="{91C35C41-A30D-46E3-A948-CD9DE27FF5BB}"/>
    <cellStyle name="출력 33 2" xfId="3892" xr:uid="{A25B0300-3A2D-4EC8-9613-C81BAE3091DB}"/>
    <cellStyle name="출력 34" xfId="3893" xr:uid="{8872EF3D-D20F-4E6D-9CE6-F8BEC4F5B53A}"/>
    <cellStyle name="출력 34 2" xfId="3894" xr:uid="{82B4679C-D955-4A9D-96D9-B5B8CCE1D35E}"/>
    <cellStyle name="출력 35" xfId="3895" xr:uid="{9D4FC269-ED0A-4C44-BD6A-3EA58DC0CDAD}"/>
    <cellStyle name="출력 35 2" xfId="3896" xr:uid="{1EDD003A-2BB6-4E3A-8D50-21D0BB96C264}"/>
    <cellStyle name="출력 36" xfId="3897" xr:uid="{E6111C98-9844-4C31-B29E-0F4F2B745D52}"/>
    <cellStyle name="출력 36 2" xfId="3898" xr:uid="{6F9ED193-7FBA-4B8E-8401-152351219BD4}"/>
    <cellStyle name="출력 37" xfId="3899" xr:uid="{CC73C9EF-6440-44CF-AA03-A1D16D73150F}"/>
    <cellStyle name="출력 37 2" xfId="3900" xr:uid="{A1EB914D-5440-4242-8ACA-0EF607815A24}"/>
    <cellStyle name="출력 38" xfId="3901" xr:uid="{B2AA8155-AE95-4F6C-8DC7-9D5A25A536DB}"/>
    <cellStyle name="출력 38 2" xfId="3902" xr:uid="{BFE89F4E-2621-4458-8F86-A405B98373CF}"/>
    <cellStyle name="출력 39" xfId="3903" xr:uid="{74D34F1B-0565-4936-9984-6D765F460E5C}"/>
    <cellStyle name="출력 39 2" xfId="3904" xr:uid="{8A94DC76-1C2E-469B-B480-F0867E6EC105}"/>
    <cellStyle name="출력 4" xfId="3905" xr:uid="{75308D9E-C517-4B7D-9C3E-5F94CDA763D6}"/>
    <cellStyle name="출력 4 2" xfId="3906" xr:uid="{6B0064FA-E8DE-4EA3-92EE-158BF4E5FA51}"/>
    <cellStyle name="출력 40" xfId="3907" xr:uid="{A3977B7F-1C57-4A4C-A1CD-EE3EFF99722D}"/>
    <cellStyle name="출력 40 2" xfId="3908" xr:uid="{0CCE2C04-14D0-49B4-8880-E2C0310FF100}"/>
    <cellStyle name="출력 41" xfId="3909" xr:uid="{BFDF0867-702E-46D6-91C2-AB727C2800CA}"/>
    <cellStyle name="출력 41 2" xfId="3910" xr:uid="{51EE5416-265C-404E-AF29-D5E5150FFCE3}"/>
    <cellStyle name="출력 42" xfId="3911" xr:uid="{5616BA36-9575-4DF1-94A7-730177DC9782}"/>
    <cellStyle name="출력 42 2" xfId="3912" xr:uid="{8F88F547-DAA7-4EAD-A82F-1B6AD6D81978}"/>
    <cellStyle name="출력 43" xfId="3913" xr:uid="{38BCA793-D513-4F11-9B0B-239C6FCC666E}"/>
    <cellStyle name="출력 43 2" xfId="3914" xr:uid="{5D61EBD4-0049-4E1E-B010-9915C4EC2013}"/>
    <cellStyle name="출력 44" xfId="3915" xr:uid="{7E7F983B-73A4-4ED1-8BF7-865F360B35AB}"/>
    <cellStyle name="출력 45" xfId="3916" xr:uid="{870A1C9B-E6EC-4D0F-A019-EDCBD1718FF0}"/>
    <cellStyle name="출력 46" xfId="3917" xr:uid="{BEDE0BB1-56DC-418F-B8C6-09CC7F223CBE}"/>
    <cellStyle name="출력 47" xfId="3918" xr:uid="{5A921B9E-703E-4F26-A45E-CCEC1197488F}"/>
    <cellStyle name="출력 48" xfId="3919" xr:uid="{73717D5E-D05F-4B79-BDBE-BF0D2F288D70}"/>
    <cellStyle name="출력 49" xfId="3920" xr:uid="{F0693EAE-D747-452A-B03C-3B811B7B438E}"/>
    <cellStyle name="출력 5" xfId="3921" xr:uid="{6CE9AA77-60C4-42A9-9037-68AC623AC47F}"/>
    <cellStyle name="출력 5 2" xfId="3922" xr:uid="{9F584E77-ECFE-41BC-8370-8EAD7E69E90C}"/>
    <cellStyle name="출력 50" xfId="3923" xr:uid="{060574CC-FAFF-4A69-AFBB-CEC2927F540A}"/>
    <cellStyle name="출력 51" xfId="3950" xr:uid="{33C802FC-DEA7-44F9-B912-FEA1A8DBA781}"/>
    <cellStyle name="출력 52" xfId="4114" xr:uid="{59488298-C451-466A-ABB5-B229BEDF205D}"/>
    <cellStyle name="출력 53" xfId="4263" xr:uid="{9BE6BD20-09B8-4BAA-8D60-72183D82303D}"/>
    <cellStyle name="출력 54" xfId="4435" xr:uid="{1732DE84-2610-4B85-A00C-0D4673B840C3}"/>
    <cellStyle name="출력 55" xfId="3840" xr:uid="{1A1A9EF4-08C4-45B2-9AFB-A615B9F80053}"/>
    <cellStyle name="출력 6" xfId="3924" xr:uid="{9B4F6593-A786-4000-A7D0-26B2019F49A4}"/>
    <cellStyle name="출력 6 2" xfId="3925" xr:uid="{44CD07D2-BB82-4C71-A54A-F7E1B32DB207}"/>
    <cellStyle name="출력 7" xfId="3926" xr:uid="{F7505129-C0F6-4D97-8298-DCEA0C6335FE}"/>
    <cellStyle name="출력 7 2" xfId="3927" xr:uid="{B898091A-E0F9-49FB-8E81-176C91703585}"/>
    <cellStyle name="출력 8" xfId="3928" xr:uid="{FF56E807-CC60-4684-AB46-008D261A5CBA}"/>
    <cellStyle name="출력 8 2" xfId="3929" xr:uid="{692F7391-B991-4891-963B-BB80A824CEA7}"/>
    <cellStyle name="출력 9" xfId="3930" xr:uid="{ED300692-E73E-4921-927D-C3AF868D8D1B}"/>
    <cellStyle name="출력 9 2" xfId="3931" xr:uid="{7624C84A-795C-4AD8-9D1F-A3EF6782B644}"/>
    <cellStyle name="표준 10" xfId="4147" xr:uid="{495B3EEC-2BC4-4F02-9CA4-0EF679819336}"/>
    <cellStyle name="표준 10 2" xfId="4323" xr:uid="{43E4611E-38BA-4171-A7C6-335C6086D2F3}"/>
    <cellStyle name="표준 10 2 2" xfId="4627" xr:uid="{AC02AF83-D0A5-4562-9E25-2930EB46A5FA}"/>
    <cellStyle name="표준 10 3" xfId="4495" xr:uid="{7E0A3B37-713B-4E70-AAFD-416C94D9A359}"/>
    <cellStyle name="표준 11" xfId="4161" xr:uid="{9D1656A7-E6BC-4D92-AA64-5D9899C1DCE5}"/>
    <cellStyle name="표준 11 2" xfId="4337" xr:uid="{27A7C289-C946-47BB-88AC-E236F481EB22}"/>
    <cellStyle name="표준 11 2 2" xfId="4641" xr:uid="{A734A3BF-DD09-47E4-B457-15130A4921AC}"/>
    <cellStyle name="표준 11 3" xfId="4509" xr:uid="{EA66E492-F44A-4829-84E5-014C22A44393}"/>
    <cellStyle name="표준 12" xfId="4175" xr:uid="{DEAD697A-CD1F-44FD-9DB0-85226F814DAF}"/>
    <cellStyle name="표준 12 2" xfId="4351" xr:uid="{FBC84E63-CFAD-4B0D-9517-7C916ECC32C0}"/>
    <cellStyle name="표준 12 2 2" xfId="4655" xr:uid="{CB44D74C-E521-4B7E-955F-51BED7D3EDF4}"/>
    <cellStyle name="표준 12 3" xfId="4523" xr:uid="{3891DC6B-BA26-4996-849F-A137B4F92752}"/>
    <cellStyle name="표준 13" xfId="4189" xr:uid="{E9A01908-8A2C-4D65-89F9-86C57F32F807}"/>
    <cellStyle name="표준 135" xfId="3932" xr:uid="{FDD38EAA-835F-4C24-B209-058C54C886D0}"/>
    <cellStyle name="표준 136" xfId="3933" xr:uid="{5DE0A02B-A59F-47F1-BD78-CD4356330A58}"/>
    <cellStyle name="표준 137" xfId="3934" xr:uid="{A8ED2E82-49EB-4EFE-811E-2F78A1FDBCFF}"/>
    <cellStyle name="표준 138" xfId="3935" xr:uid="{BAE2F777-AFE1-4829-BC36-CDB4C390F8E0}"/>
    <cellStyle name="표준 14" xfId="4190" xr:uid="{B7B21C4E-C6C3-48BE-9CC8-F304C6B1C67E}"/>
    <cellStyle name="표준 14 2" xfId="4365" xr:uid="{38E8EE84-C07A-49F9-9DB7-522AE2FBBDAC}"/>
    <cellStyle name="표준 14 2 2" xfId="4669" xr:uid="{C1C35C7D-9050-4F31-BB41-106B81B01946}"/>
    <cellStyle name="표준 14 3" xfId="4537" xr:uid="{A6624C94-9CDA-424E-8110-6ACD27007688}"/>
    <cellStyle name="표준 15" xfId="4204" xr:uid="{64B70287-213E-46A6-96B9-95B507E7DD2D}"/>
    <cellStyle name="표준 15 2" xfId="4551" xr:uid="{5C4C8D38-463B-4621-92E5-6033D78B9EA0}"/>
    <cellStyle name="표준 16" xfId="4218" xr:uid="{3B4AE8BB-537D-45C8-823C-A0193694FF8C}"/>
    <cellStyle name="표준 16 2" xfId="4379" xr:uid="{3C488122-FF3B-46CC-A3B0-EFD5993E2AC9}"/>
    <cellStyle name="표준 16 2 2" xfId="4683" xr:uid="{3FA73261-5029-4BF6-B52D-BBF103F2E148}"/>
    <cellStyle name="표준 16 3" xfId="4565" xr:uid="{5074EA4B-17AB-4677-ADF1-EB745E6636BB}"/>
    <cellStyle name="표준 17" xfId="4219" xr:uid="{205E64AD-628F-4719-86B9-7650C8EFC019}"/>
    <cellStyle name="표준 17 2" xfId="4380" xr:uid="{2E12AF91-8126-4888-AD13-6EBCFB132EDD}"/>
    <cellStyle name="표준 17 2 2" xfId="4684" xr:uid="{C8DE817A-F515-4057-BF4A-32154E333D4C}"/>
    <cellStyle name="표준 17 3" xfId="4566" xr:uid="{1F31689E-7403-4B51-8D1A-80B38B1B0255}"/>
    <cellStyle name="표준 18" xfId="4220" xr:uid="{89EB0E33-79CD-47E1-93DC-4647E8A5A41D}"/>
    <cellStyle name="표준 18 2" xfId="4567" xr:uid="{A1087074-1C5A-41DE-A787-32FD5CE5362C}"/>
    <cellStyle name="표준 19" xfId="4221" xr:uid="{52991CFD-8DBE-47DD-BF0F-F391B9F770ED}"/>
    <cellStyle name="표준 2" xfId="4086" xr:uid="{8C2829EC-48E2-434D-95AD-7EEE3B0E421F}"/>
    <cellStyle name="표준 2 2" xfId="4290" xr:uid="{26C14E5E-CCE4-4EB4-950C-437B97AF6724}"/>
    <cellStyle name="표준 2 2 2" xfId="4594" xr:uid="{1705419B-1338-43FC-87A7-107EB3DFCE6E}"/>
    <cellStyle name="표준 2 3" xfId="4462" xr:uid="{25F573FC-9196-4153-8C7F-EB0D8D143FF3}"/>
    <cellStyle name="표준 20" xfId="4381" xr:uid="{A0ACF5BC-2E2D-4D8E-BEE3-7E760DE6FDA1}"/>
    <cellStyle name="표준 20 2" xfId="4685" xr:uid="{C1FB595A-AFF2-4398-AB57-7A6093AB1ABA}"/>
    <cellStyle name="표준 21" xfId="4382" xr:uid="{AB94B437-BE8F-40BD-8F89-9558383C86C3}"/>
    <cellStyle name="표준 21 2" xfId="4686" xr:uid="{BE1BD5D3-54CA-4893-BB45-0529D6D3EF07}"/>
    <cellStyle name="표준 22" xfId="4383" xr:uid="{A82AF82D-7711-4EFF-87E6-36ABA6F17056}"/>
    <cellStyle name="표준 22 2" xfId="4687" xr:uid="{874E38A1-F49E-40DD-8C91-7AEA637D73DE}"/>
    <cellStyle name="표준 23" xfId="4384" xr:uid="{1339C6F5-1C34-42E1-8833-4A55BA6383E8}"/>
    <cellStyle name="표준 24" xfId="4385" xr:uid="{65AE2916-7E70-481D-85C5-DA3AB6A95059}"/>
    <cellStyle name="표준 24 2" xfId="4688" xr:uid="{D96E25BA-042F-405C-878D-A0ACCF0CB57A}"/>
    <cellStyle name="표준 25" xfId="4386" xr:uid="{4D0C7C11-6FE0-4A45-8992-26A6CC2790EF}"/>
    <cellStyle name="표준 25 2" xfId="4689" xr:uid="{0148AE95-4262-47AC-87C1-8974EC62E9D9}"/>
    <cellStyle name="표준 26" xfId="4387" xr:uid="{EC71397E-D981-4811-99B3-A260E30B98B5}"/>
    <cellStyle name="표준 26 2" xfId="4690" xr:uid="{3094E514-DCFF-415D-B32B-30DBEB62D5F3}"/>
    <cellStyle name="표준 27" xfId="4388" xr:uid="{DA029AC8-5BB1-47F6-9873-15DBF312B651}"/>
    <cellStyle name="표준 27 2" xfId="4691" xr:uid="{559F2D06-4AA6-4854-9877-EF9F0FD5F71F}"/>
    <cellStyle name="표준 28" xfId="4389" xr:uid="{E48E2B85-4817-4919-9A16-0A648015A8B3}"/>
    <cellStyle name="표준 28 2" xfId="4692" xr:uid="{5AA08BA0-1BC9-4A3C-88DA-1F38FC9F94B6}"/>
    <cellStyle name="표준 29" xfId="4390" xr:uid="{E8820E35-F46B-4E9B-B668-62606BDE8044}"/>
    <cellStyle name="표준 29 2" xfId="4693" xr:uid="{94659326-05BA-403A-8B8D-E1FAF2BFED32}"/>
    <cellStyle name="표준 3" xfId="4087" xr:uid="{AB1AE0D1-61D8-4C67-8C55-2E09E7AA3985}"/>
    <cellStyle name="표준 3 2" xfId="4291" xr:uid="{B6999050-18F0-42FB-9EC8-9D734338CB1D}"/>
    <cellStyle name="표준 3 2 2" xfId="4595" xr:uid="{2A436ECD-2A6D-45C3-BF6C-32AB5C76B2E2}"/>
    <cellStyle name="표준 3 3" xfId="4463" xr:uid="{4AD454C7-C12A-4F3C-96E1-526CFE888268}"/>
    <cellStyle name="표준 30" xfId="4391" xr:uid="{B53C22B3-BD48-4DE5-B462-FAFB10AE27AF}"/>
    <cellStyle name="표준 30 2" xfId="4694" xr:uid="{6481833A-8B2B-4F17-891E-84DF464AAAD1}"/>
    <cellStyle name="표준 31" xfId="4392" xr:uid="{E9DF8190-375A-47E8-B620-53BCA6D3114A}"/>
    <cellStyle name="표준 32" xfId="4393" xr:uid="{82AEDE97-D801-4C94-8934-70A38530B6B9}"/>
    <cellStyle name="표준 33" xfId="4695" xr:uid="{35E9A3DD-51EB-44EC-A3F4-E0E10D4B1819}"/>
    <cellStyle name="표준 34" xfId="4696" xr:uid="{7331882F-1BEF-4ABD-B409-0A64F7C09A26}"/>
    <cellStyle name="표준 35" xfId="4697" xr:uid="{9A87D3D9-A1C2-4652-A5D5-2008885B8758}"/>
    <cellStyle name="표준 36" xfId="4698" xr:uid="{36B94B4C-50E4-4CE4-A2A1-A49DFF829EBB}"/>
    <cellStyle name="표준 37" xfId="4699" xr:uid="{C627FBA0-1B2A-4ED4-8B33-C6D5B0F63CF5}"/>
    <cellStyle name="표준 38" xfId="4700" xr:uid="{916A44C0-D2BF-4965-BD07-9682B76378F4}"/>
    <cellStyle name="표준 39" xfId="3936" xr:uid="{9D5B7A12-39BC-42E9-8DD5-10829CA1AE80}"/>
    <cellStyle name="표준 39 2" xfId="3937" xr:uid="{64EE8EC2-FDF5-43DD-9A4B-070CAB92F7E3}"/>
    <cellStyle name="표준 4" xfId="4088" xr:uid="{676654A9-988A-40C3-BFC3-66ED997C5FA3}"/>
    <cellStyle name="표준 4 2" xfId="4292" xr:uid="{5450DA83-F662-4F6C-96CE-CBDB53162A1C}"/>
    <cellStyle name="표준 4 2 2" xfId="4596" xr:uid="{29A7A216-98C1-4DE5-9935-CD35D5AFC3F4}"/>
    <cellStyle name="표준 4 3" xfId="4464" xr:uid="{B0928FF5-E350-47A2-A7CF-B181B9B2391A}"/>
    <cellStyle name="표준 40" xfId="4701" xr:uid="{F96AC704-75AE-41E1-BFB1-41E2D090E5E7}"/>
    <cellStyle name="표준 41" xfId="4702" xr:uid="{7F2CED07-5983-4629-ACE3-90F8509B7B3E}"/>
    <cellStyle name="표준 42" xfId="4703" xr:uid="{3FACE142-CAE0-44D1-BB39-DE8D87C8739F}"/>
    <cellStyle name="표준 43" xfId="4704" xr:uid="{D719064A-E842-47AD-A6AA-14BB95CDD6B0}"/>
    <cellStyle name="표준 44" xfId="4705" xr:uid="{03A28FB2-8447-42C0-802F-D562AE2A965C}"/>
    <cellStyle name="표준 45" xfId="3938" xr:uid="{7FFC770A-9316-4341-91F4-975C24A78445}"/>
    <cellStyle name="표준 46" xfId="3939" xr:uid="{A7DE3F05-D720-4BDE-85B3-19E04C8EC56F}"/>
    <cellStyle name="표준 47" xfId="3940" xr:uid="{0D9D5A2C-8AAD-4B94-9E01-C16206ED13D4}"/>
    <cellStyle name="표준 48" xfId="4706" xr:uid="{D481481F-7F6E-45E5-AF1B-82915340B8B8}"/>
    <cellStyle name="표준 49" xfId="155" xr:uid="{9263EF84-ABFF-4A1F-996F-7DF434652EF7}"/>
    <cellStyle name="표준 5" xfId="4089" xr:uid="{E301415F-26AB-4A45-87F5-A53A4CF31F27}"/>
    <cellStyle name="표준 5 2" xfId="4293" xr:uid="{EFEE26AF-BF4C-4A23-8BC8-7A66880F6A41}"/>
    <cellStyle name="표준 5 2 2" xfId="4597" xr:uid="{C31D9D4B-4715-49C5-8BEA-2D15E1CBA9D8}"/>
    <cellStyle name="표준 5 3" xfId="4465" xr:uid="{506560DB-BBA8-4731-9E5C-D0FCB551D858}"/>
    <cellStyle name="표준 50" xfId="4707" xr:uid="{00000000-0005-0000-0000-000092120000}"/>
    <cellStyle name="표준 6" xfId="4103" xr:uid="{E22E7DF5-5474-4355-9053-F63C771D0CCA}"/>
    <cellStyle name="표준 6 2" xfId="4307" xr:uid="{CEE8E15E-2714-4AB2-B982-E4FBAED85E2E}"/>
    <cellStyle name="표준 6 2 2" xfId="4611" xr:uid="{16F47700-7832-46FA-9758-0EE087A11977}"/>
    <cellStyle name="표준 6 3" xfId="4479" xr:uid="{19C5E1D7-C7DB-4E3D-A9CC-EF705C2CC240}"/>
    <cellStyle name="표준 7" xfId="4104" xr:uid="{5E1D6FA9-4FC3-4CA9-8F70-F566D0B563D5}"/>
    <cellStyle name="표준 7 2" xfId="4308" xr:uid="{B99B847D-43C6-4640-869C-F4BD39A5D0BA}"/>
    <cellStyle name="표준 7 2 2" xfId="4612" xr:uid="{5B40D40E-81B5-4DC7-ADC8-18AFF7731718}"/>
    <cellStyle name="표준 7 3" xfId="4480" xr:uid="{2EC257F1-0DB9-462A-A277-BAF51B348864}"/>
    <cellStyle name="표준 8" xfId="4105" xr:uid="{41DDA72A-E57D-403E-96C4-56773ED13CDF}"/>
    <cellStyle name="표준 8 2" xfId="4309" xr:uid="{EAABFECC-E217-4A89-95A2-69F1A70D6563}"/>
    <cellStyle name="표준 8 2 2" xfId="4613" xr:uid="{A86629CC-E5E8-492F-89CD-0B541FB26077}"/>
    <cellStyle name="표준 8 3" xfId="4481" xr:uid="{F57188A2-4ECD-47FC-AFA2-3BB11C121251}"/>
    <cellStyle name="표준 9" xfId="4146" xr:uid="{3E960860-6467-4B6F-AB16-5ED6194D1E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Relationship Id="rId30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55</xdr:row>
      <xdr:rowOff>161925</xdr:rowOff>
    </xdr:from>
    <xdr:to>
      <xdr:col>6</xdr:col>
      <xdr:colOff>88374</xdr:colOff>
      <xdr:row>66</xdr:row>
      <xdr:rowOff>15542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1BA61B7-BFEB-4C9B-B5B1-816983971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1687175"/>
          <a:ext cx="5334744" cy="21624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10</xdr:row>
      <xdr:rowOff>47625</xdr:rowOff>
    </xdr:from>
    <xdr:to>
      <xdr:col>6</xdr:col>
      <xdr:colOff>86483</xdr:colOff>
      <xdr:row>15</xdr:row>
      <xdr:rowOff>133508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A618B84-FB6A-412D-BC2C-35AC28655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2143125"/>
          <a:ext cx="5430008" cy="11336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50</xdr:row>
      <xdr:rowOff>85725</xdr:rowOff>
    </xdr:from>
    <xdr:to>
      <xdr:col>8</xdr:col>
      <xdr:colOff>562991</xdr:colOff>
      <xdr:row>62</xdr:row>
      <xdr:rowOff>162286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BF0A3F4-F42A-4AF3-9535-B219B8EB7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10201275"/>
          <a:ext cx="7278116" cy="25911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achel Goldstein" id="{E0125EA3-C452-41EE-A814-5BA2D48A03C9}" userId="S::rachel@energyinnovation.org::bd43734d-da51-465d-a5d1-fec08b41915c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E2" dT="2025-08-12T14:45:54.98" personId="{E0125EA3-C452-41EE-A814-5BA2D48A03C9}" id="{82B9F4F3-698D-49EB-89D7-EF466F2D2750}">
    <text>Note - source data shows a spike in 2021 across nearly all vehicle types. This will be apparent in the start year for EPS outputs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oreascience.or.kr/article/JAKO201823965854203.pdf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://www.kric.go.kr/jsp/industry/rss/railcarkindpassList.jsp?q_fdate=2021" TargetMode="External"/><Relationship Id="rId7" Type="http://schemas.openxmlformats.org/officeDocument/2006/relationships/hyperlink" Target="https://www.icao.int/sustainability/pages/eap-fp-forecast-scheduled-passenger-traffic.aspx" TargetMode="External"/><Relationship Id="rId12" Type="http://schemas.openxmlformats.org/officeDocument/2006/relationships/hyperlink" Target="https://www.koti.re.kr/component/file/ND_fileDownload.do?q_fileSn=300566&amp;q_fileId=a5ad1a58-bf4e-400b-907e-251373ddb349" TargetMode="External"/><Relationship Id="rId2" Type="http://schemas.openxmlformats.org/officeDocument/2006/relationships/hyperlink" Target="http://www.kric.go.kr/jsp/industry/rss/railcarkindpassList.jsp?q_fdate=2020" TargetMode="External"/><Relationship Id="rId1" Type="http://schemas.openxmlformats.org/officeDocument/2006/relationships/hyperlink" Target="http://www.kric.go.kr/jsp/industry/rss/railcarkindpassList.jsp?q_fdate=2019" TargetMode="External"/><Relationship Id="rId6" Type="http://schemas.openxmlformats.org/officeDocument/2006/relationships/hyperlink" Target="http://www.kric.go.kr/jsp/industry/rss/railcargoitemList.jsp?q_fdate=2021" TargetMode="External"/><Relationship Id="rId11" Type="http://schemas.openxmlformats.org/officeDocument/2006/relationships/hyperlink" Target="https://kosis.kr/statHtml/statHtml.do?orgId=426&amp;tblId=DT_42601_N002&amp;conn_path=I3" TargetMode="External"/><Relationship Id="rId5" Type="http://schemas.openxmlformats.org/officeDocument/2006/relationships/hyperlink" Target="http://www.kric.go.kr/jsp/industry/rss/railcargoitemList.jsp?q_fdate=2020" TargetMode="External"/><Relationship Id="rId10" Type="http://schemas.openxmlformats.org/officeDocument/2006/relationships/hyperlink" Target="https://www.airportal.go.kr/knowledge/statsnew/air/airline.jsp" TargetMode="External"/><Relationship Id="rId4" Type="http://schemas.openxmlformats.org/officeDocument/2006/relationships/hyperlink" Target="http://www.kric.go.kr/jsp/industry/rss/railcargoitemList.jsp?q_fdate=2019" TargetMode="External"/><Relationship Id="rId9" Type="http://schemas.openxmlformats.org/officeDocument/2006/relationships/hyperlink" Target="https://new.portmis.go.kr/portmis/websquare/websquare.jsp?w2xPath=/portmis/w2/main/intro.x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5"/>
  <sheetViews>
    <sheetView topLeftCell="A10" workbookViewId="0">
      <selection activeCell="A86" sqref="A86"/>
    </sheetView>
  </sheetViews>
  <sheetFormatPr defaultColWidth="9" defaultRowHeight="14.4"/>
  <cols>
    <col min="2" max="2" width="9" customWidth="1"/>
  </cols>
  <sheetData>
    <row r="1" spans="1:15">
      <c r="A1" s="2" t="s">
        <v>0</v>
      </c>
    </row>
    <row r="3" spans="1:15">
      <c r="A3" s="2" t="s">
        <v>1</v>
      </c>
      <c r="B3" s="73" t="s">
        <v>2</v>
      </c>
      <c r="C3" s="73"/>
      <c r="D3" s="73"/>
      <c r="E3" s="73"/>
    </row>
    <row r="4" spans="1:15">
      <c r="B4" t="s">
        <v>3</v>
      </c>
    </row>
    <row r="5" spans="1:15">
      <c r="B5" t="s">
        <v>4</v>
      </c>
    </row>
    <row r="6" spans="1:15">
      <c r="B6" t="s">
        <v>5</v>
      </c>
    </row>
    <row r="7" spans="1:15">
      <c r="B7" s="65" t="s">
        <v>6</v>
      </c>
    </row>
    <row r="10" spans="1:15">
      <c r="B10" s="73" t="s">
        <v>7</v>
      </c>
      <c r="C10" s="41"/>
      <c r="D10" s="41"/>
      <c r="E10" s="41"/>
    </row>
    <row r="11" spans="1:15">
      <c r="B11" t="s">
        <v>3</v>
      </c>
    </row>
    <row r="12" spans="1:15">
      <c r="B12" t="s">
        <v>8</v>
      </c>
    </row>
    <row r="13" spans="1:15">
      <c r="B13" s="65" t="s">
        <v>9</v>
      </c>
      <c r="O13" s="65"/>
    </row>
    <row r="15" spans="1:15">
      <c r="B15" s="65" t="s">
        <v>10</v>
      </c>
      <c r="O15" s="65"/>
    </row>
    <row r="17" spans="2:15">
      <c r="B17" s="65" t="s">
        <v>11</v>
      </c>
      <c r="O17" s="65"/>
    </row>
    <row r="20" spans="2:15">
      <c r="B20" s="73" t="s">
        <v>12</v>
      </c>
      <c r="C20" s="41"/>
      <c r="D20" s="41"/>
      <c r="E20" s="41"/>
    </row>
    <row r="21" spans="2:15">
      <c r="B21" t="s">
        <v>3</v>
      </c>
    </row>
    <row r="22" spans="2:15">
      <c r="B22" t="s">
        <v>13</v>
      </c>
    </row>
    <row r="23" spans="2:15">
      <c r="B23" s="65" t="s">
        <v>14</v>
      </c>
      <c r="O23" s="65"/>
    </row>
    <row r="25" spans="2:15">
      <c r="B25" s="65" t="s">
        <v>15</v>
      </c>
      <c r="O25" s="65"/>
    </row>
    <row r="26" spans="2:15">
      <c r="O26" s="65"/>
    </row>
    <row r="27" spans="2:15">
      <c r="B27" s="65" t="s">
        <v>16</v>
      </c>
    </row>
    <row r="28" spans="2:15">
      <c r="O28" s="65"/>
    </row>
    <row r="30" spans="2:15">
      <c r="B30" s="73" t="s">
        <v>17</v>
      </c>
      <c r="C30" s="41"/>
      <c r="D30" s="41"/>
      <c r="E30" s="41"/>
    </row>
    <row r="31" spans="2:15">
      <c r="B31" t="s">
        <v>18</v>
      </c>
    </row>
    <row r="32" spans="2:15">
      <c r="B32" t="s">
        <v>19</v>
      </c>
    </row>
    <row r="33" spans="2:15" ht="17.399999999999999">
      <c r="B33" s="77" t="s">
        <v>20</v>
      </c>
      <c r="C33" s="21"/>
      <c r="D33" s="21"/>
      <c r="E33" s="21"/>
    </row>
    <row r="34" spans="2:15">
      <c r="B34" s="65" t="s">
        <v>21</v>
      </c>
    </row>
    <row r="37" spans="2:15">
      <c r="B37" s="42" t="s">
        <v>22</v>
      </c>
      <c r="C37" s="41"/>
      <c r="D37" s="41"/>
      <c r="E37" s="41"/>
    </row>
    <row r="38" spans="2:15">
      <c r="B38" s="66" t="s">
        <v>23</v>
      </c>
    </row>
    <row r="39" spans="2:15">
      <c r="B39" s="66">
        <v>2017</v>
      </c>
    </row>
    <row r="40" spans="2:15">
      <c r="B40" t="s">
        <v>24</v>
      </c>
    </row>
    <row r="41" spans="2:15">
      <c r="B41" s="67" t="s">
        <v>25</v>
      </c>
    </row>
    <row r="42" spans="2:15">
      <c r="B42" s="67"/>
    </row>
    <row r="43" spans="2:15">
      <c r="B43" s="67"/>
    </row>
    <row r="44" spans="2:15">
      <c r="B44" s="75" t="s">
        <v>26</v>
      </c>
      <c r="C44" s="41"/>
      <c r="D44" s="41"/>
      <c r="E44" s="41"/>
      <c r="O44" s="66"/>
    </row>
    <row r="45" spans="2:15">
      <c r="B45" s="74" t="s">
        <v>27</v>
      </c>
      <c r="O45" s="66"/>
    </row>
    <row r="46" spans="2:15">
      <c r="B46" s="74">
        <v>2021</v>
      </c>
      <c r="O46" s="66"/>
    </row>
    <row r="47" spans="2:15">
      <c r="B47" s="74" t="s">
        <v>28</v>
      </c>
    </row>
    <row r="48" spans="2:15">
      <c r="B48" s="65" t="s">
        <v>29</v>
      </c>
      <c r="O48" s="67"/>
    </row>
    <row r="49" spans="2:15">
      <c r="B49" s="74" t="s">
        <v>30</v>
      </c>
    </row>
    <row r="52" spans="2:15">
      <c r="B52" s="73" t="s">
        <v>31</v>
      </c>
      <c r="C52" s="41"/>
      <c r="D52" s="41"/>
      <c r="E52" s="41"/>
    </row>
    <row r="53" spans="2:15">
      <c r="B53" t="s">
        <v>32</v>
      </c>
    </row>
    <row r="54" spans="2:15">
      <c r="B54" t="s">
        <v>8</v>
      </c>
    </row>
    <row r="55" spans="2:15">
      <c r="B55" t="s">
        <v>33</v>
      </c>
      <c r="O55" s="65"/>
    </row>
    <row r="56" spans="2:15">
      <c r="B56" s="65" t="s">
        <v>34</v>
      </c>
      <c r="O56" s="65"/>
    </row>
    <row r="59" spans="2:15">
      <c r="B59" s="73" t="s">
        <v>35</v>
      </c>
      <c r="C59" s="41"/>
      <c r="D59" s="41"/>
      <c r="E59" s="41"/>
    </row>
    <row r="60" spans="2:15">
      <c r="B60" t="s">
        <v>36</v>
      </c>
    </row>
    <row r="61" spans="2:15">
      <c r="B61" s="66">
        <v>2018</v>
      </c>
    </row>
    <row r="62" spans="2:15">
      <c r="B62" s="65" t="s">
        <v>37</v>
      </c>
    </row>
    <row r="63" spans="2:15">
      <c r="B63" t="s">
        <v>38</v>
      </c>
    </row>
    <row r="65" spans="1:4">
      <c r="A65" s="2" t="s">
        <v>39</v>
      </c>
      <c r="B65" s="2"/>
    </row>
    <row r="66" spans="1:4">
      <c r="A66" s="68" t="s">
        <v>40</v>
      </c>
      <c r="B66" s="1"/>
    </row>
    <row r="67" spans="1:4">
      <c r="A67" s="68" t="s">
        <v>41</v>
      </c>
      <c r="B67" s="1"/>
    </row>
    <row r="68" spans="1:4">
      <c r="A68" s="68"/>
      <c r="B68" s="1"/>
    </row>
    <row r="69" spans="1:4">
      <c r="A69" s="68" t="s">
        <v>42</v>
      </c>
      <c r="B69" s="1"/>
    </row>
    <row r="70" spans="1:4">
      <c r="A70" s="68"/>
    </row>
    <row r="71" spans="1:4">
      <c r="A71" s="68" t="s">
        <v>43</v>
      </c>
    </row>
    <row r="72" spans="1:4">
      <c r="A72" s="68"/>
    </row>
    <row r="73" spans="1:4">
      <c r="A73" s="68" t="s">
        <v>44</v>
      </c>
    </row>
    <row r="74" spans="1:4">
      <c r="A74" s="68"/>
    </row>
    <row r="75" spans="1:4">
      <c r="A75" s="68" t="s">
        <v>45</v>
      </c>
    </row>
    <row r="77" spans="1:4">
      <c r="A77" t="s">
        <v>46</v>
      </c>
      <c r="B77">
        <v>2019</v>
      </c>
      <c r="D77" s="4"/>
    </row>
    <row r="78" spans="1:4">
      <c r="D78" s="4"/>
    </row>
    <row r="79" spans="1:4">
      <c r="A79" s="71" t="s">
        <v>47</v>
      </c>
      <c r="B79" s="69">
        <v>0.62137100000000001</v>
      </c>
      <c r="C79" s="43" t="s">
        <v>48</v>
      </c>
    </row>
    <row r="80" spans="1:4">
      <c r="A80" s="72" t="s">
        <v>49</v>
      </c>
      <c r="B80" s="70">
        <v>365</v>
      </c>
      <c r="C80" s="29" t="s">
        <v>50</v>
      </c>
    </row>
    <row r="82" spans="1:1">
      <c r="A82" s="29" t="s">
        <v>51</v>
      </c>
    </row>
    <row r="83" spans="1:1">
      <c r="A83" s="29" t="s">
        <v>52</v>
      </c>
    </row>
    <row r="84" spans="1:1">
      <c r="A84" t="s">
        <v>53</v>
      </c>
    </row>
    <row r="85" spans="1:1">
      <c r="A85" t="s">
        <v>54</v>
      </c>
    </row>
  </sheetData>
  <phoneticPr fontId="43" type="noConversion"/>
  <hyperlinks>
    <hyperlink ref="B13" r:id="rId1" xr:uid="{32E1C0C1-813B-42F5-B2C9-2D21E98CD050}"/>
    <hyperlink ref="B15" r:id="rId2" xr:uid="{871F1D60-7729-4477-960D-27DCE339981A}"/>
    <hyperlink ref="B17" r:id="rId3" xr:uid="{C44C4093-F98E-4899-9ADE-D035B26E7057}"/>
    <hyperlink ref="B23" r:id="rId4" xr:uid="{273967EE-E78D-4837-852A-46ADE8614116}"/>
    <hyperlink ref="B25" r:id="rId5" xr:uid="{4AA8A29E-7B46-40A1-9078-3D90715D607F}"/>
    <hyperlink ref="B27" r:id="rId6" xr:uid="{81A508C5-6EB8-4617-8EBA-4EA1F27C1A38}"/>
    <hyperlink ref="B41" r:id="rId7" xr:uid="{8D11558D-E114-44DE-8A7F-46909A4F8629}"/>
    <hyperlink ref="B62" r:id="rId8" xr:uid="{2FC5CDB6-3158-4822-9666-06F692965EE6}"/>
    <hyperlink ref="B56" r:id="rId9" xr:uid="{44551347-52DB-4607-9D76-0E2CE5407C7E}"/>
    <hyperlink ref="B34" r:id="rId10" xr:uid="{13555B32-B0B9-4140-9CE9-1F251DB3475A}"/>
    <hyperlink ref="B7" r:id="rId11" xr:uid="{EAD02EF0-437D-4B36-8DC5-5A898B0EE32B}"/>
    <hyperlink ref="B48" r:id="rId12" xr:uid="{E062F58D-C5D2-47B2-9F50-C705492959A3}"/>
  </hyperlinks>
  <pageMargins left="0.7" right="0.7" top="0.75" bottom="0.75" header="0.3" footer="0.3"/>
  <pageSetup orientation="portrait" horizontalDpi="1200" verticalDpi="1200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72AEF-DF7D-478A-9467-A51A8EC9446B}">
  <dimension ref="A1:F144"/>
  <sheetViews>
    <sheetView workbookViewId="0">
      <selection activeCell="A3" sqref="A3"/>
    </sheetView>
  </sheetViews>
  <sheetFormatPr defaultColWidth="9" defaultRowHeight="13.8"/>
  <cols>
    <col min="1" max="1" width="4" style="5" customWidth="1"/>
    <col min="2" max="2" width="3.33203125" style="5" customWidth="1"/>
    <col min="3" max="4" width="1.6640625" style="5" customWidth="1"/>
    <col min="5" max="5" width="23.33203125" style="5" customWidth="1"/>
    <col min="6" max="6" width="12.6640625" style="5" bestFit="1" customWidth="1"/>
    <col min="7" max="16384" width="9" style="5"/>
  </cols>
  <sheetData>
    <row r="1" spans="1:6">
      <c r="A1" s="27" t="s">
        <v>55</v>
      </c>
    </row>
    <row r="2" spans="1:6">
      <c r="A2" s="6" t="s">
        <v>56</v>
      </c>
      <c r="B2" s="7"/>
    </row>
    <row r="3" spans="1:6">
      <c r="A3" s="86"/>
      <c r="B3" s="86"/>
      <c r="C3" s="86"/>
      <c r="D3" s="86"/>
      <c r="E3" s="86" t="s">
        <v>57</v>
      </c>
      <c r="F3" s="87" t="s">
        <v>58</v>
      </c>
    </row>
    <row r="4" spans="1:6">
      <c r="A4" s="88" t="s">
        <v>59</v>
      </c>
      <c r="B4" s="88"/>
      <c r="C4" s="88"/>
      <c r="D4" s="88"/>
      <c r="E4" s="88"/>
      <c r="F4" s="85">
        <v>26297919</v>
      </c>
    </row>
    <row r="5" spans="1:6">
      <c r="A5" s="88"/>
      <c r="B5" s="88" t="s">
        <v>60</v>
      </c>
      <c r="C5" s="88"/>
      <c r="D5" s="88"/>
      <c r="E5" s="88"/>
      <c r="F5" s="85">
        <v>21771120</v>
      </c>
    </row>
    <row r="6" spans="1:6">
      <c r="A6" s="88"/>
      <c r="B6" s="88"/>
      <c r="C6" s="88" t="s">
        <v>61</v>
      </c>
      <c r="D6" s="88"/>
      <c r="E6" s="88"/>
      <c r="F6" s="85">
        <v>13486440</v>
      </c>
    </row>
    <row r="7" spans="1:6">
      <c r="A7" s="88"/>
      <c r="B7" s="88"/>
      <c r="C7" s="88"/>
      <c r="D7" s="88" t="s">
        <v>62</v>
      </c>
      <c r="E7" s="88"/>
      <c r="F7" s="85">
        <v>11161612</v>
      </c>
    </row>
    <row r="8" spans="1:6">
      <c r="A8" s="88"/>
      <c r="B8" s="88"/>
      <c r="C8" s="88"/>
      <c r="D8" s="88"/>
      <c r="E8" s="88" t="s">
        <v>63</v>
      </c>
      <c r="F8" s="85">
        <v>55596</v>
      </c>
    </row>
    <row r="9" spans="1:6">
      <c r="A9" s="88"/>
      <c r="B9" s="88"/>
      <c r="C9" s="88"/>
      <c r="D9" s="88"/>
      <c r="E9" s="88" t="s">
        <v>64</v>
      </c>
      <c r="F9" s="85">
        <v>1946010</v>
      </c>
    </row>
    <row r="10" spans="1:6">
      <c r="A10" s="88"/>
      <c r="B10" s="88"/>
      <c r="C10" s="88"/>
      <c r="D10" s="88"/>
      <c r="E10" s="88" t="s">
        <v>65</v>
      </c>
      <c r="F10" s="85">
        <v>487666</v>
      </c>
    </row>
    <row r="11" spans="1:6">
      <c r="A11" s="88"/>
      <c r="B11" s="88"/>
      <c r="C11" s="88"/>
      <c r="D11" s="88"/>
      <c r="E11" s="88" t="s">
        <v>66</v>
      </c>
      <c r="F11" s="85">
        <v>5498906</v>
      </c>
    </row>
    <row r="12" spans="1:6">
      <c r="A12" s="88"/>
      <c r="B12" s="88"/>
      <c r="C12" s="88"/>
      <c r="D12" s="88"/>
      <c r="E12" s="88" t="s">
        <v>67</v>
      </c>
      <c r="F12" s="85">
        <v>1440310</v>
      </c>
    </row>
    <row r="13" spans="1:6">
      <c r="A13" s="88"/>
      <c r="B13" s="88"/>
      <c r="C13" s="88"/>
      <c r="D13" s="88"/>
      <c r="E13" s="88" t="s">
        <v>68</v>
      </c>
      <c r="F13" s="85">
        <v>782270</v>
      </c>
    </row>
    <row r="14" spans="1:6">
      <c r="A14" s="88"/>
      <c r="B14" s="88"/>
      <c r="C14" s="88"/>
      <c r="D14" s="88"/>
      <c r="E14" s="88" t="s">
        <v>69</v>
      </c>
      <c r="F14" s="85">
        <v>610967</v>
      </c>
    </row>
    <row r="15" spans="1:6">
      <c r="A15" s="88"/>
      <c r="B15" s="88"/>
      <c r="C15" s="88"/>
      <c r="D15" s="88"/>
      <c r="E15" s="88" t="s">
        <v>70</v>
      </c>
      <c r="F15" s="85">
        <v>232107</v>
      </c>
    </row>
    <row r="16" spans="1:6">
      <c r="A16" s="88"/>
      <c r="B16" s="88"/>
      <c r="C16" s="88"/>
      <c r="D16" s="88"/>
      <c r="E16" s="88" t="s">
        <v>71</v>
      </c>
      <c r="F16" s="85">
        <v>1190</v>
      </c>
    </row>
    <row r="17" spans="1:6">
      <c r="A17" s="88"/>
      <c r="B17" s="88"/>
      <c r="C17" s="88"/>
      <c r="D17" s="88"/>
      <c r="E17" s="88" t="s">
        <v>72</v>
      </c>
      <c r="F17" s="85">
        <v>5492</v>
      </c>
    </row>
    <row r="18" spans="1:6">
      <c r="A18" s="88"/>
      <c r="B18" s="88"/>
      <c r="C18" s="88"/>
      <c r="D18" s="88"/>
      <c r="E18" s="88" t="s">
        <v>73</v>
      </c>
      <c r="F18" s="85">
        <v>18625</v>
      </c>
    </row>
    <row r="19" spans="1:6">
      <c r="A19" s="88"/>
      <c r="B19" s="88"/>
      <c r="C19" s="88"/>
      <c r="D19" s="88"/>
      <c r="E19" s="88" t="s">
        <v>74</v>
      </c>
      <c r="F19" s="85">
        <v>16</v>
      </c>
    </row>
    <row r="20" spans="1:6">
      <c r="A20" s="88"/>
      <c r="B20" s="88"/>
      <c r="C20" s="88"/>
      <c r="D20" s="88"/>
      <c r="E20" s="88" t="s">
        <v>75</v>
      </c>
      <c r="F20" s="85">
        <v>82457</v>
      </c>
    </row>
    <row r="21" spans="1:6">
      <c r="A21" s="88"/>
      <c r="B21" s="88"/>
      <c r="C21" s="88"/>
      <c r="D21" s="88" t="s">
        <v>76</v>
      </c>
      <c r="E21" s="88"/>
      <c r="F21" s="85">
        <v>2324828</v>
      </c>
    </row>
    <row r="22" spans="1:6">
      <c r="A22" s="88"/>
      <c r="B22" s="88"/>
      <c r="C22" s="88"/>
      <c r="D22" s="88"/>
      <c r="E22" s="88" t="s">
        <v>77</v>
      </c>
      <c r="F22" s="85">
        <v>2358</v>
      </c>
    </row>
    <row r="23" spans="1:6">
      <c r="A23" s="88"/>
      <c r="B23" s="88"/>
      <c r="C23" s="88"/>
      <c r="D23" s="88"/>
      <c r="E23" s="88" t="s">
        <v>78</v>
      </c>
      <c r="F23" s="85">
        <v>1906</v>
      </c>
    </row>
    <row r="24" spans="1:6">
      <c r="A24" s="88"/>
      <c r="B24" s="88"/>
      <c r="C24" s="88"/>
      <c r="D24" s="88"/>
      <c r="E24" s="88" t="s">
        <v>79</v>
      </c>
      <c r="F24" s="85">
        <v>175092</v>
      </c>
    </row>
    <row r="25" spans="1:6">
      <c r="A25" s="88"/>
      <c r="B25" s="88"/>
      <c r="C25" s="88"/>
      <c r="D25" s="88"/>
      <c r="E25" s="88" t="s">
        <v>80</v>
      </c>
      <c r="F25" s="85">
        <v>1224660</v>
      </c>
    </row>
    <row r="26" spans="1:6">
      <c r="A26" s="88"/>
      <c r="B26" s="88"/>
      <c r="C26" s="88"/>
      <c r="D26" s="88"/>
      <c r="E26" s="88" t="s">
        <v>81</v>
      </c>
      <c r="F26" s="85">
        <v>280391</v>
      </c>
    </row>
    <row r="27" spans="1:6">
      <c r="A27" s="88"/>
      <c r="B27" s="88"/>
      <c r="C27" s="88"/>
      <c r="D27" s="88"/>
      <c r="E27" s="88" t="s">
        <v>82</v>
      </c>
      <c r="F27" s="85">
        <v>308382</v>
      </c>
    </row>
    <row r="28" spans="1:6">
      <c r="A28" s="88"/>
      <c r="B28" s="88"/>
      <c r="C28" s="88"/>
      <c r="D28" s="88"/>
      <c r="E28" s="88" t="s">
        <v>83</v>
      </c>
      <c r="F28" s="85">
        <v>101515</v>
      </c>
    </row>
    <row r="29" spans="1:6">
      <c r="A29" s="88"/>
      <c r="B29" s="88"/>
      <c r="C29" s="88"/>
      <c r="D29" s="88"/>
      <c r="E29" s="88" t="s">
        <v>84</v>
      </c>
      <c r="F29" s="85">
        <v>71697</v>
      </c>
    </row>
    <row r="30" spans="1:6">
      <c r="A30" s="88"/>
      <c r="B30" s="88"/>
      <c r="C30" s="88"/>
      <c r="D30" s="88"/>
      <c r="E30" s="88" t="s">
        <v>85</v>
      </c>
      <c r="F30" s="85">
        <v>17158</v>
      </c>
    </row>
    <row r="31" spans="1:6">
      <c r="A31" s="88"/>
      <c r="B31" s="88"/>
      <c r="C31" s="88"/>
      <c r="D31" s="88"/>
      <c r="E31" s="88" t="s">
        <v>86</v>
      </c>
      <c r="F31" s="85">
        <v>17563</v>
      </c>
    </row>
    <row r="32" spans="1:6">
      <c r="A32" s="88"/>
      <c r="B32" s="88"/>
      <c r="C32" s="88"/>
      <c r="D32" s="88"/>
      <c r="E32" s="88" t="s">
        <v>87</v>
      </c>
      <c r="F32" s="85">
        <v>24540</v>
      </c>
    </row>
    <row r="33" spans="1:6">
      <c r="A33" s="88"/>
      <c r="B33" s="88"/>
      <c r="C33" s="88"/>
      <c r="D33" s="88"/>
      <c r="E33" s="88" t="s">
        <v>88</v>
      </c>
      <c r="F33" s="85">
        <v>0</v>
      </c>
    </row>
    <row r="34" spans="1:6">
      <c r="A34" s="88"/>
      <c r="B34" s="88"/>
      <c r="C34" s="88"/>
      <c r="D34" s="88"/>
      <c r="E34" s="88" t="s">
        <v>89</v>
      </c>
      <c r="F34" s="85">
        <v>99566</v>
      </c>
    </row>
    <row r="35" spans="1:6">
      <c r="A35" s="88"/>
      <c r="B35" s="88"/>
      <c r="C35" s="88" t="s">
        <v>90</v>
      </c>
      <c r="D35" s="88"/>
      <c r="E35" s="88"/>
      <c r="F35" s="85">
        <v>103013</v>
      </c>
    </row>
    <row r="36" spans="1:6">
      <c r="A36" s="88"/>
      <c r="B36" s="88"/>
      <c r="C36" s="88"/>
      <c r="D36" s="88"/>
      <c r="E36" s="88" t="s">
        <v>91</v>
      </c>
      <c r="F36" s="85">
        <v>97221</v>
      </c>
    </row>
    <row r="37" spans="1:6">
      <c r="A37" s="88"/>
      <c r="B37" s="88"/>
      <c r="C37" s="88"/>
      <c r="D37" s="88"/>
      <c r="E37" s="88" t="s">
        <v>92</v>
      </c>
      <c r="F37" s="85">
        <v>43</v>
      </c>
    </row>
    <row r="38" spans="1:6">
      <c r="A38" s="88"/>
      <c r="B38" s="88"/>
      <c r="C38" s="88"/>
      <c r="D38" s="88"/>
      <c r="E38" s="88" t="s">
        <v>93</v>
      </c>
      <c r="F38" s="85">
        <v>2870</v>
      </c>
    </row>
    <row r="39" spans="1:6">
      <c r="A39" s="88"/>
      <c r="B39" s="88"/>
      <c r="C39" s="88"/>
      <c r="D39" s="88"/>
      <c r="E39" s="88" t="s">
        <v>94</v>
      </c>
      <c r="F39" s="85">
        <v>242</v>
      </c>
    </row>
    <row r="40" spans="1:6">
      <c r="A40" s="88"/>
      <c r="B40" s="88"/>
      <c r="C40" s="88"/>
      <c r="D40" s="88"/>
      <c r="E40" s="88" t="s">
        <v>95</v>
      </c>
      <c r="F40" s="85">
        <v>49</v>
      </c>
    </row>
    <row r="41" spans="1:6">
      <c r="A41" s="88"/>
      <c r="B41" s="88"/>
      <c r="C41" s="88"/>
      <c r="D41" s="88"/>
      <c r="E41" s="88" t="s">
        <v>96</v>
      </c>
      <c r="F41" s="85">
        <v>496</v>
      </c>
    </row>
    <row r="42" spans="1:6">
      <c r="A42" s="88"/>
      <c r="B42" s="88"/>
      <c r="C42" s="88"/>
      <c r="D42" s="88"/>
      <c r="E42" s="88" t="s">
        <v>97</v>
      </c>
      <c r="F42" s="85">
        <v>0</v>
      </c>
    </row>
    <row r="43" spans="1:6">
      <c r="A43" s="88"/>
      <c r="B43" s="88"/>
      <c r="C43" s="88"/>
      <c r="D43" s="88"/>
      <c r="E43" s="88" t="s">
        <v>98</v>
      </c>
      <c r="F43" s="85">
        <v>2092</v>
      </c>
    </row>
    <row r="44" spans="1:6">
      <c r="A44" s="88"/>
      <c r="B44" s="88"/>
      <c r="C44" s="88" t="s">
        <v>99</v>
      </c>
      <c r="D44" s="88"/>
      <c r="E44" s="88"/>
      <c r="F44" s="85">
        <v>6504809</v>
      </c>
    </row>
    <row r="45" spans="1:6">
      <c r="A45" s="88"/>
      <c r="B45" s="88"/>
      <c r="C45" s="88"/>
      <c r="D45" s="88"/>
      <c r="E45" s="88" t="s">
        <v>100</v>
      </c>
      <c r="F45" s="85">
        <v>147989</v>
      </c>
    </row>
    <row r="46" spans="1:6">
      <c r="A46" s="88"/>
      <c r="B46" s="88"/>
      <c r="C46" s="88"/>
      <c r="D46" s="88"/>
      <c r="E46" s="88" t="s">
        <v>101</v>
      </c>
      <c r="F46" s="85">
        <v>3951371</v>
      </c>
    </row>
    <row r="47" spans="1:6">
      <c r="A47" s="88"/>
      <c r="B47" s="88"/>
      <c r="C47" s="88"/>
      <c r="D47" s="88"/>
      <c r="E47" s="88" t="s">
        <v>102</v>
      </c>
      <c r="F47" s="85">
        <v>1229314</v>
      </c>
    </row>
    <row r="48" spans="1:6">
      <c r="A48" s="88"/>
      <c r="B48" s="88"/>
      <c r="C48" s="88"/>
      <c r="D48" s="88"/>
      <c r="E48" s="88" t="s">
        <v>103</v>
      </c>
      <c r="F48" s="85">
        <v>572637</v>
      </c>
    </row>
    <row r="49" spans="1:6">
      <c r="A49" s="88"/>
      <c r="B49" s="88"/>
      <c r="C49" s="88"/>
      <c r="D49" s="88"/>
      <c r="E49" s="88" t="s">
        <v>104</v>
      </c>
      <c r="F49" s="85">
        <v>71421</v>
      </c>
    </row>
    <row r="50" spans="1:6">
      <c r="A50" s="88"/>
      <c r="B50" s="88"/>
      <c r="C50" s="88"/>
      <c r="D50" s="88"/>
      <c r="E50" s="88" t="s">
        <v>105</v>
      </c>
      <c r="F50" s="85">
        <v>196961</v>
      </c>
    </row>
    <row r="51" spans="1:6">
      <c r="A51" s="88"/>
      <c r="B51" s="88"/>
      <c r="C51" s="88"/>
      <c r="D51" s="88"/>
      <c r="E51" s="88" t="s">
        <v>106</v>
      </c>
      <c r="F51" s="85">
        <v>8</v>
      </c>
    </row>
    <row r="52" spans="1:6">
      <c r="A52" s="88"/>
      <c r="B52" s="88"/>
      <c r="C52" s="88"/>
      <c r="D52" s="88"/>
      <c r="E52" s="88" t="s">
        <v>107</v>
      </c>
      <c r="F52" s="85">
        <v>335108</v>
      </c>
    </row>
    <row r="53" spans="1:6">
      <c r="A53" s="88"/>
      <c r="B53" s="88"/>
      <c r="C53" s="88" t="s">
        <v>108</v>
      </c>
      <c r="D53" s="88"/>
      <c r="E53" s="88"/>
      <c r="F53" s="85">
        <v>1676858</v>
      </c>
    </row>
    <row r="54" spans="1:6">
      <c r="A54" s="88"/>
      <c r="B54" s="88"/>
      <c r="C54" s="88"/>
      <c r="D54" s="88"/>
      <c r="E54" s="88" t="s">
        <v>109</v>
      </c>
      <c r="F54" s="85">
        <v>230729</v>
      </c>
    </row>
    <row r="55" spans="1:6">
      <c r="A55" s="88"/>
      <c r="B55" s="88"/>
      <c r="C55" s="88"/>
      <c r="D55" s="88"/>
      <c r="E55" s="88" t="s">
        <v>110</v>
      </c>
      <c r="F55" s="85">
        <v>670787</v>
      </c>
    </row>
    <row r="56" spans="1:6">
      <c r="A56" s="88"/>
      <c r="B56" s="88"/>
      <c r="C56" s="88"/>
      <c r="D56" s="88"/>
      <c r="E56" s="88" t="s">
        <v>111</v>
      </c>
      <c r="F56" s="85">
        <v>577067</v>
      </c>
    </row>
    <row r="57" spans="1:6">
      <c r="A57" s="88"/>
      <c r="B57" s="88"/>
      <c r="C57" s="88"/>
      <c r="D57" s="88"/>
      <c r="E57" s="88" t="s">
        <v>112</v>
      </c>
      <c r="F57" s="85">
        <v>18690</v>
      </c>
    </row>
    <row r="58" spans="1:6">
      <c r="A58" s="88"/>
      <c r="B58" s="88"/>
      <c r="C58" s="88"/>
      <c r="D58" s="88"/>
      <c r="E58" s="88" t="s">
        <v>113</v>
      </c>
      <c r="F58" s="85">
        <v>132422</v>
      </c>
    </row>
    <row r="59" spans="1:6">
      <c r="A59" s="88"/>
      <c r="B59" s="88"/>
      <c r="C59" s="88"/>
      <c r="D59" s="88"/>
      <c r="E59" s="88" t="s">
        <v>114</v>
      </c>
      <c r="F59" s="85">
        <v>1985</v>
      </c>
    </row>
    <row r="60" spans="1:6">
      <c r="A60" s="88"/>
      <c r="B60" s="88"/>
      <c r="C60" s="88"/>
      <c r="D60" s="88"/>
      <c r="E60" s="88" t="s">
        <v>115</v>
      </c>
      <c r="F60" s="85">
        <v>618</v>
      </c>
    </row>
    <row r="61" spans="1:6">
      <c r="A61" s="88"/>
      <c r="B61" s="88"/>
      <c r="C61" s="88"/>
      <c r="D61" s="88"/>
      <c r="E61" s="88" t="s">
        <v>116</v>
      </c>
      <c r="F61" s="85">
        <v>44560</v>
      </c>
    </row>
    <row r="62" spans="1:6">
      <c r="A62" s="88"/>
      <c r="B62" s="88" t="s">
        <v>117</v>
      </c>
      <c r="C62" s="88"/>
      <c r="D62" s="88"/>
      <c r="E62" s="88"/>
      <c r="F62" s="85">
        <v>666166</v>
      </c>
    </row>
    <row r="63" spans="1:6">
      <c r="A63" s="88"/>
      <c r="B63" s="88"/>
      <c r="C63" s="88" t="s">
        <v>118</v>
      </c>
      <c r="D63" s="88"/>
      <c r="E63" s="88"/>
      <c r="F63" s="85">
        <v>627835</v>
      </c>
    </row>
    <row r="64" spans="1:6">
      <c r="A64" s="88"/>
      <c r="B64" s="88"/>
      <c r="C64" s="88"/>
      <c r="D64" s="88" t="s">
        <v>119</v>
      </c>
      <c r="E64" s="88"/>
      <c r="F64" s="85">
        <v>41193</v>
      </c>
    </row>
    <row r="65" spans="1:6">
      <c r="A65" s="88"/>
      <c r="B65" s="88"/>
      <c r="C65" s="88"/>
      <c r="D65" s="88" t="s">
        <v>120</v>
      </c>
      <c r="E65" s="88"/>
      <c r="F65" s="85">
        <v>24202</v>
      </c>
    </row>
    <row r="66" spans="1:6">
      <c r="A66" s="88"/>
      <c r="B66" s="88"/>
      <c r="C66" s="88"/>
      <c r="D66" s="88" t="s">
        <v>121</v>
      </c>
      <c r="E66" s="88"/>
      <c r="F66" s="85">
        <v>38561</v>
      </c>
    </row>
    <row r="67" spans="1:6">
      <c r="A67" s="88"/>
      <c r="B67" s="88"/>
      <c r="C67" s="88"/>
      <c r="D67" s="88" t="s">
        <v>122</v>
      </c>
      <c r="E67" s="88"/>
      <c r="F67" s="85">
        <v>18</v>
      </c>
    </row>
    <row r="68" spans="1:6">
      <c r="A68" s="88"/>
      <c r="B68" s="88"/>
      <c r="C68" s="88"/>
      <c r="D68" s="88" t="s">
        <v>123</v>
      </c>
      <c r="E68" s="88"/>
      <c r="F68" s="85">
        <v>0</v>
      </c>
    </row>
    <row r="69" spans="1:6">
      <c r="A69" s="88"/>
      <c r="B69" s="88"/>
      <c r="C69" s="88"/>
      <c r="D69" s="88" t="s">
        <v>124</v>
      </c>
      <c r="E69" s="88"/>
      <c r="F69" s="85">
        <v>0</v>
      </c>
    </row>
    <row r="70" spans="1:6">
      <c r="A70" s="88"/>
      <c r="B70" s="88"/>
      <c r="C70" s="88"/>
      <c r="D70" s="88" t="s">
        <v>125</v>
      </c>
      <c r="E70" s="88"/>
      <c r="F70" s="85">
        <v>523861</v>
      </c>
    </row>
    <row r="71" spans="1:6">
      <c r="A71" s="88"/>
      <c r="B71" s="88"/>
      <c r="C71" s="88"/>
      <c r="D71" s="88"/>
      <c r="E71" s="88" t="s">
        <v>126</v>
      </c>
      <c r="F71" s="85">
        <v>478640</v>
      </c>
    </row>
    <row r="72" spans="1:6">
      <c r="A72" s="88"/>
      <c r="B72" s="88"/>
      <c r="C72" s="88"/>
      <c r="D72" s="88"/>
      <c r="E72" s="88" t="s">
        <v>127</v>
      </c>
      <c r="F72" s="85">
        <v>16483</v>
      </c>
    </row>
    <row r="73" spans="1:6">
      <c r="A73" s="88"/>
      <c r="B73" s="88"/>
      <c r="C73" s="88"/>
      <c r="D73" s="88"/>
      <c r="E73" s="88" t="s">
        <v>128</v>
      </c>
      <c r="F73" s="85">
        <v>10453</v>
      </c>
    </row>
    <row r="74" spans="1:6">
      <c r="A74" s="88"/>
      <c r="B74" s="88"/>
      <c r="C74" s="88"/>
      <c r="D74" s="88"/>
      <c r="E74" s="88" t="s">
        <v>129</v>
      </c>
      <c r="F74" s="85">
        <v>17548</v>
      </c>
    </row>
    <row r="75" spans="1:6">
      <c r="A75" s="88"/>
      <c r="B75" s="88"/>
      <c r="C75" s="88"/>
      <c r="D75" s="88"/>
      <c r="E75" s="88" t="s">
        <v>130</v>
      </c>
      <c r="F75" s="85">
        <v>737</v>
      </c>
    </row>
    <row r="76" spans="1:6">
      <c r="A76" s="88"/>
      <c r="B76" s="88"/>
      <c r="C76" s="88" t="s">
        <v>131</v>
      </c>
      <c r="D76" s="88"/>
      <c r="E76" s="88"/>
      <c r="F76" s="85">
        <v>38331</v>
      </c>
    </row>
    <row r="77" spans="1:6">
      <c r="A77" s="88"/>
      <c r="B77" s="88"/>
      <c r="C77" s="88"/>
      <c r="D77" s="88" t="s">
        <v>132</v>
      </c>
      <c r="E77" s="88"/>
      <c r="F77" s="85">
        <v>6701</v>
      </c>
    </row>
    <row r="78" spans="1:6">
      <c r="A78" s="88"/>
      <c r="B78" s="88"/>
      <c r="C78" s="88"/>
      <c r="D78" s="88" t="s">
        <v>133</v>
      </c>
      <c r="E78" s="88"/>
      <c r="F78" s="85">
        <v>279</v>
      </c>
    </row>
    <row r="79" spans="1:6">
      <c r="A79" s="88"/>
      <c r="B79" s="88"/>
      <c r="C79" s="88"/>
      <c r="D79" s="88" t="s">
        <v>134</v>
      </c>
      <c r="E79" s="88"/>
      <c r="F79" s="85">
        <v>4</v>
      </c>
    </row>
    <row r="80" spans="1:6">
      <c r="A80" s="88"/>
      <c r="B80" s="88"/>
      <c r="C80" s="88"/>
      <c r="D80" s="88" t="s">
        <v>135</v>
      </c>
      <c r="E80" s="88"/>
      <c r="F80" s="85">
        <v>57</v>
      </c>
    </row>
    <row r="81" spans="1:6">
      <c r="A81" s="88"/>
      <c r="B81" s="88"/>
      <c r="C81" s="88"/>
      <c r="D81" s="88" t="s">
        <v>136</v>
      </c>
      <c r="E81" s="88"/>
      <c r="F81" s="85">
        <v>15097</v>
      </c>
    </row>
    <row r="82" spans="1:6">
      <c r="A82" s="88"/>
      <c r="B82" s="88"/>
      <c r="C82" s="88"/>
      <c r="D82" s="88" t="s">
        <v>137</v>
      </c>
      <c r="E82" s="88"/>
      <c r="F82" s="85">
        <v>16193</v>
      </c>
    </row>
    <row r="83" spans="1:6">
      <c r="A83" s="88"/>
      <c r="B83" s="88" t="s">
        <v>138</v>
      </c>
      <c r="C83" s="88"/>
      <c r="D83" s="88"/>
      <c r="E83" s="88"/>
      <c r="F83" s="85">
        <v>3716743</v>
      </c>
    </row>
    <row r="84" spans="1:6">
      <c r="A84" s="88"/>
      <c r="B84" s="88"/>
      <c r="C84" s="88" t="s">
        <v>139</v>
      </c>
      <c r="D84" s="88"/>
      <c r="E84" s="88"/>
      <c r="F84" s="85">
        <v>2644492</v>
      </c>
    </row>
    <row r="85" spans="1:6">
      <c r="A85" s="88"/>
      <c r="B85" s="88"/>
      <c r="C85" s="88"/>
      <c r="D85" s="88" t="s">
        <v>140</v>
      </c>
      <c r="E85" s="88"/>
      <c r="F85" s="85">
        <v>367221</v>
      </c>
    </row>
    <row r="86" spans="1:6">
      <c r="A86" s="88"/>
      <c r="B86" s="88"/>
      <c r="C86" s="88"/>
      <c r="D86" s="88" t="s">
        <v>141</v>
      </c>
      <c r="E86" s="88"/>
      <c r="F86" s="85">
        <v>2277271</v>
      </c>
    </row>
    <row r="87" spans="1:6">
      <c r="A87" s="88"/>
      <c r="B87" s="88"/>
      <c r="C87" s="88"/>
      <c r="D87" s="88"/>
      <c r="E87" s="88" t="s">
        <v>142</v>
      </c>
      <c r="F87" s="85">
        <v>1830751</v>
      </c>
    </row>
    <row r="88" spans="1:6">
      <c r="A88" s="88"/>
      <c r="B88" s="88"/>
      <c r="C88" s="88"/>
      <c r="D88" s="88"/>
      <c r="E88" s="88" t="s">
        <v>143</v>
      </c>
      <c r="F88" s="85">
        <v>158365</v>
      </c>
    </row>
    <row r="89" spans="1:6">
      <c r="A89" s="88"/>
      <c r="B89" s="88"/>
      <c r="C89" s="88"/>
      <c r="D89" s="88"/>
      <c r="E89" s="88" t="s">
        <v>144</v>
      </c>
      <c r="F89" s="85">
        <v>128229</v>
      </c>
    </row>
    <row r="90" spans="1:6">
      <c r="A90" s="88"/>
      <c r="B90" s="88"/>
      <c r="C90" s="88"/>
      <c r="D90" s="88"/>
      <c r="E90" s="88" t="s">
        <v>145</v>
      </c>
      <c r="F90" s="85">
        <v>72530</v>
      </c>
    </row>
    <row r="91" spans="1:6">
      <c r="A91" s="88"/>
      <c r="B91" s="88"/>
      <c r="C91" s="88"/>
      <c r="D91" s="88"/>
      <c r="E91" s="88" t="s">
        <v>146</v>
      </c>
      <c r="F91" s="85">
        <v>23658</v>
      </c>
    </row>
    <row r="92" spans="1:6">
      <c r="A92" s="88"/>
      <c r="B92" s="88"/>
      <c r="C92" s="88"/>
      <c r="D92" s="88"/>
      <c r="E92" s="88" t="s">
        <v>147</v>
      </c>
      <c r="F92" s="85">
        <v>6661</v>
      </c>
    </row>
    <row r="93" spans="1:6">
      <c r="A93" s="88"/>
      <c r="B93" s="88"/>
      <c r="C93" s="88"/>
      <c r="D93" s="88"/>
      <c r="E93" s="88" t="s">
        <v>148</v>
      </c>
      <c r="F93" s="85">
        <v>57077</v>
      </c>
    </row>
    <row r="94" spans="1:6">
      <c r="A94" s="88"/>
      <c r="B94" s="88"/>
      <c r="C94" s="88" t="s">
        <v>149</v>
      </c>
      <c r="D94" s="88"/>
      <c r="E94" s="88"/>
      <c r="F94" s="85">
        <v>53428</v>
      </c>
    </row>
    <row r="95" spans="1:6">
      <c r="A95" s="88"/>
      <c r="B95" s="88"/>
      <c r="C95" s="88"/>
      <c r="D95" s="88"/>
      <c r="E95" s="88" t="s">
        <v>150</v>
      </c>
      <c r="F95" s="85">
        <v>32903</v>
      </c>
    </row>
    <row r="96" spans="1:6">
      <c r="A96" s="88"/>
      <c r="B96" s="88"/>
      <c r="C96" s="88"/>
      <c r="D96" s="88"/>
      <c r="E96" s="88" t="s">
        <v>151</v>
      </c>
      <c r="F96" s="85">
        <v>13477</v>
      </c>
    </row>
    <row r="97" spans="1:6">
      <c r="A97" s="88"/>
      <c r="B97" s="88"/>
      <c r="C97" s="88"/>
      <c r="D97" s="88"/>
      <c r="E97" s="88" t="s">
        <v>152</v>
      </c>
      <c r="F97" s="85">
        <v>6769</v>
      </c>
    </row>
    <row r="98" spans="1:6">
      <c r="A98" s="88"/>
      <c r="B98" s="88"/>
      <c r="C98" s="88"/>
      <c r="D98" s="88"/>
      <c r="E98" s="88" t="s">
        <v>153</v>
      </c>
      <c r="F98" s="85">
        <v>279</v>
      </c>
    </row>
    <row r="99" spans="1:6">
      <c r="A99" s="88"/>
      <c r="B99" s="88"/>
      <c r="C99" s="88" t="s">
        <v>154</v>
      </c>
      <c r="D99" s="88"/>
      <c r="E99" s="88"/>
      <c r="F99" s="85">
        <v>337802</v>
      </c>
    </row>
    <row r="100" spans="1:6">
      <c r="A100" s="88"/>
      <c r="B100" s="88"/>
      <c r="C100" s="88"/>
      <c r="D100" s="88"/>
      <c r="E100" s="88" t="s">
        <v>155</v>
      </c>
      <c r="F100" s="85">
        <v>332770</v>
      </c>
    </row>
    <row r="101" spans="1:6">
      <c r="A101" s="88"/>
      <c r="B101" s="88"/>
      <c r="C101" s="88"/>
      <c r="D101" s="88"/>
      <c r="E101" s="88" t="s">
        <v>156</v>
      </c>
      <c r="F101" s="85">
        <v>4884</v>
      </c>
    </row>
    <row r="102" spans="1:6">
      <c r="A102" s="88"/>
      <c r="B102" s="88"/>
      <c r="C102" s="88"/>
      <c r="D102" s="88"/>
      <c r="E102" s="88" t="s">
        <v>157</v>
      </c>
      <c r="F102" s="85">
        <v>148</v>
      </c>
    </row>
    <row r="103" spans="1:6">
      <c r="A103" s="88"/>
      <c r="B103" s="88"/>
      <c r="C103" s="88" t="s">
        <v>158</v>
      </c>
      <c r="D103" s="88"/>
      <c r="E103" s="88"/>
      <c r="F103" s="85">
        <v>681021</v>
      </c>
    </row>
    <row r="104" spans="1:6">
      <c r="A104" s="88"/>
      <c r="B104" s="88"/>
      <c r="C104" s="88"/>
      <c r="D104" s="88" t="s">
        <v>159</v>
      </c>
      <c r="E104" s="88"/>
      <c r="F104" s="85">
        <v>14428</v>
      </c>
    </row>
    <row r="105" spans="1:6">
      <c r="A105" s="88"/>
      <c r="B105" s="88"/>
      <c r="C105" s="88"/>
      <c r="D105" s="88" t="s">
        <v>160</v>
      </c>
      <c r="E105" s="88"/>
      <c r="F105" s="85">
        <v>2186</v>
      </c>
    </row>
    <row r="106" spans="1:6">
      <c r="A106" s="88"/>
      <c r="B106" s="88"/>
      <c r="C106" s="88"/>
      <c r="D106" s="88" t="s">
        <v>161</v>
      </c>
      <c r="E106" s="88"/>
      <c r="F106" s="85">
        <v>1303</v>
      </c>
    </row>
    <row r="107" spans="1:6">
      <c r="A107" s="88"/>
      <c r="B107" s="88"/>
      <c r="C107" s="88"/>
      <c r="D107" s="88" t="s">
        <v>162</v>
      </c>
      <c r="E107" s="88"/>
      <c r="F107" s="85">
        <v>4709</v>
      </c>
    </row>
    <row r="108" spans="1:6">
      <c r="A108" s="88"/>
      <c r="B108" s="88"/>
      <c r="C108" s="88"/>
      <c r="D108" s="88" t="s">
        <v>163</v>
      </c>
      <c r="E108" s="88"/>
      <c r="F108" s="85">
        <v>136301</v>
      </c>
    </row>
    <row r="109" spans="1:6">
      <c r="A109" s="88"/>
      <c r="B109" s="88"/>
      <c r="C109" s="88"/>
      <c r="D109" s="88" t="s">
        <v>164</v>
      </c>
      <c r="E109" s="88"/>
      <c r="F109" s="85">
        <v>2685</v>
      </c>
    </row>
    <row r="110" spans="1:6">
      <c r="A110" s="88"/>
      <c r="B110" s="88"/>
      <c r="C110" s="88"/>
      <c r="D110" s="88" t="s">
        <v>165</v>
      </c>
      <c r="E110" s="88"/>
      <c r="F110" s="85">
        <v>12704</v>
      </c>
    </row>
    <row r="111" spans="1:6">
      <c r="A111" s="88"/>
      <c r="B111" s="88"/>
      <c r="C111" s="88"/>
      <c r="D111" s="88"/>
      <c r="E111" s="88" t="s">
        <v>166</v>
      </c>
      <c r="F111" s="85">
        <v>258</v>
      </c>
    </row>
    <row r="112" spans="1:6">
      <c r="A112" s="88"/>
      <c r="B112" s="88"/>
      <c r="C112" s="88"/>
      <c r="D112" s="88"/>
      <c r="E112" s="88" t="s">
        <v>167</v>
      </c>
      <c r="F112" s="85">
        <v>85</v>
      </c>
    </row>
    <row r="113" spans="1:6">
      <c r="A113" s="88"/>
      <c r="B113" s="88"/>
      <c r="C113" s="88"/>
      <c r="D113" s="88"/>
      <c r="E113" s="88" t="s">
        <v>168</v>
      </c>
      <c r="F113" s="85">
        <v>11027</v>
      </c>
    </row>
    <row r="114" spans="1:6">
      <c r="A114" s="88"/>
      <c r="B114" s="88"/>
      <c r="C114" s="88"/>
      <c r="D114" s="88"/>
      <c r="E114" s="88" t="s">
        <v>169</v>
      </c>
      <c r="F114" s="85">
        <v>59</v>
      </c>
    </row>
    <row r="115" spans="1:6">
      <c r="A115" s="88"/>
      <c r="B115" s="88"/>
      <c r="C115" s="88"/>
      <c r="D115" s="88"/>
      <c r="E115" s="88" t="s">
        <v>170</v>
      </c>
      <c r="F115" s="85">
        <v>1275</v>
      </c>
    </row>
    <row r="116" spans="1:6">
      <c r="A116" s="88"/>
      <c r="B116" s="88"/>
      <c r="C116" s="88"/>
      <c r="D116" s="88" t="s">
        <v>171</v>
      </c>
      <c r="E116" s="88"/>
      <c r="F116" s="85">
        <v>10499</v>
      </c>
    </row>
    <row r="117" spans="1:6">
      <c r="A117" s="88"/>
      <c r="B117" s="88"/>
      <c r="C117" s="88"/>
      <c r="D117" s="88"/>
      <c r="E117" s="88" t="s">
        <v>172</v>
      </c>
      <c r="F117" s="85">
        <v>298</v>
      </c>
    </row>
    <row r="118" spans="1:6">
      <c r="A118" s="88"/>
      <c r="B118" s="88"/>
      <c r="C118" s="88"/>
      <c r="D118" s="88"/>
      <c r="E118" s="88" t="s">
        <v>173</v>
      </c>
      <c r="F118" s="85">
        <v>945</v>
      </c>
    </row>
    <row r="119" spans="1:6">
      <c r="A119" s="88"/>
      <c r="B119" s="88"/>
      <c r="C119" s="88"/>
      <c r="D119" s="88"/>
      <c r="E119" s="88" t="s">
        <v>174</v>
      </c>
      <c r="F119" s="85">
        <v>367</v>
      </c>
    </row>
    <row r="120" spans="1:6">
      <c r="A120" s="88"/>
      <c r="B120" s="88"/>
      <c r="C120" s="88"/>
      <c r="D120" s="88"/>
      <c r="E120" s="88" t="s">
        <v>175</v>
      </c>
      <c r="F120" s="85">
        <v>8889</v>
      </c>
    </row>
    <row r="121" spans="1:6">
      <c r="A121" s="88"/>
      <c r="B121" s="88"/>
      <c r="C121" s="88"/>
      <c r="D121" s="88" t="s">
        <v>176</v>
      </c>
      <c r="E121" s="88"/>
      <c r="F121" s="85">
        <v>123479</v>
      </c>
    </row>
    <row r="122" spans="1:6">
      <c r="A122" s="88"/>
      <c r="B122" s="88"/>
      <c r="C122" s="88"/>
      <c r="D122" s="88"/>
      <c r="E122" s="88" t="s">
        <v>177</v>
      </c>
      <c r="F122" s="85">
        <v>16412</v>
      </c>
    </row>
    <row r="123" spans="1:6">
      <c r="A123" s="88"/>
      <c r="B123" s="88"/>
      <c r="C123" s="88"/>
      <c r="D123" s="88"/>
      <c r="E123" s="88" t="s">
        <v>178</v>
      </c>
      <c r="F123" s="85">
        <v>4792</v>
      </c>
    </row>
    <row r="124" spans="1:6">
      <c r="A124" s="88"/>
      <c r="B124" s="88"/>
      <c r="C124" s="88"/>
      <c r="D124" s="88"/>
      <c r="E124" s="88" t="s">
        <v>179</v>
      </c>
      <c r="F124" s="85">
        <v>12689</v>
      </c>
    </row>
    <row r="125" spans="1:6">
      <c r="A125" s="88"/>
      <c r="B125" s="88"/>
      <c r="C125" s="88"/>
      <c r="D125" s="88"/>
      <c r="E125" s="88" t="s">
        <v>180</v>
      </c>
      <c r="F125" s="85">
        <v>37125</v>
      </c>
    </row>
    <row r="126" spans="1:6">
      <c r="A126" s="88"/>
      <c r="B126" s="88"/>
      <c r="C126" s="88"/>
      <c r="D126" s="88"/>
      <c r="E126" s="88" t="s">
        <v>181</v>
      </c>
      <c r="F126" s="85">
        <v>52461</v>
      </c>
    </row>
    <row r="127" spans="1:6">
      <c r="A127" s="88"/>
      <c r="B127" s="88"/>
      <c r="C127" s="88"/>
      <c r="D127" s="88" t="s">
        <v>182</v>
      </c>
      <c r="E127" s="88"/>
      <c r="F127" s="85">
        <v>372727</v>
      </c>
    </row>
    <row r="128" spans="1:6">
      <c r="A128" s="88"/>
      <c r="B128" s="88" t="s">
        <v>183</v>
      </c>
      <c r="C128" s="88"/>
      <c r="D128" s="88"/>
      <c r="E128" s="88"/>
      <c r="F128" s="85">
        <v>143890</v>
      </c>
    </row>
    <row r="129" spans="1:6">
      <c r="A129" s="88"/>
      <c r="B129" s="88"/>
      <c r="C129" s="88" t="s">
        <v>184</v>
      </c>
      <c r="D129" s="88"/>
      <c r="E129" s="88"/>
      <c r="F129" s="85">
        <v>10226</v>
      </c>
    </row>
    <row r="130" spans="1:6">
      <c r="A130" s="88"/>
      <c r="B130" s="88"/>
      <c r="C130" s="88"/>
      <c r="D130" s="88"/>
      <c r="E130" s="88" t="s">
        <v>185</v>
      </c>
      <c r="F130" s="85">
        <v>9525</v>
      </c>
    </row>
    <row r="131" spans="1:6">
      <c r="A131" s="88"/>
      <c r="B131" s="88"/>
      <c r="C131" s="88"/>
      <c r="D131" s="88"/>
      <c r="E131" s="88" t="s">
        <v>186</v>
      </c>
      <c r="F131" s="85">
        <v>332</v>
      </c>
    </row>
    <row r="132" spans="1:6">
      <c r="A132" s="88"/>
      <c r="B132" s="88"/>
      <c r="C132" s="88"/>
      <c r="D132" s="88"/>
      <c r="E132" s="88" t="s">
        <v>187</v>
      </c>
      <c r="F132" s="85">
        <v>369</v>
      </c>
    </row>
    <row r="133" spans="1:6">
      <c r="A133" s="88"/>
      <c r="B133" s="88"/>
      <c r="C133" s="88" t="s">
        <v>188</v>
      </c>
      <c r="D133" s="88"/>
      <c r="E133" s="88"/>
      <c r="F133" s="85">
        <v>40407</v>
      </c>
    </row>
    <row r="134" spans="1:6">
      <c r="A134" s="88"/>
      <c r="B134" s="88"/>
      <c r="C134" s="88"/>
      <c r="D134" s="88"/>
      <c r="E134" s="88" t="s">
        <v>189</v>
      </c>
      <c r="F134" s="85">
        <v>317</v>
      </c>
    </row>
    <row r="135" spans="1:6">
      <c r="A135" s="88"/>
      <c r="B135" s="88"/>
      <c r="C135" s="88"/>
      <c r="D135" s="88"/>
      <c r="E135" s="88" t="s">
        <v>190</v>
      </c>
      <c r="F135" s="85">
        <v>362</v>
      </c>
    </row>
    <row r="136" spans="1:6">
      <c r="A136" s="88"/>
      <c r="B136" s="88"/>
      <c r="C136" s="88"/>
      <c r="D136" s="88"/>
      <c r="E136" s="88" t="s">
        <v>191</v>
      </c>
      <c r="F136" s="85">
        <v>39728</v>
      </c>
    </row>
    <row r="137" spans="1:6">
      <c r="A137" s="88"/>
      <c r="B137" s="88"/>
      <c r="C137" s="88" t="s">
        <v>192</v>
      </c>
      <c r="D137" s="88"/>
      <c r="E137" s="88"/>
      <c r="F137" s="85">
        <v>93257</v>
      </c>
    </row>
    <row r="138" spans="1:6">
      <c r="A138" s="88"/>
      <c r="B138" s="88"/>
      <c r="C138" s="88"/>
      <c r="D138" s="88" t="s">
        <v>193</v>
      </c>
      <c r="E138" s="88"/>
      <c r="F138" s="85">
        <v>31441</v>
      </c>
    </row>
    <row r="139" spans="1:6">
      <c r="A139" s="88"/>
      <c r="B139" s="88"/>
      <c r="C139" s="88"/>
      <c r="D139" s="88" t="s">
        <v>194</v>
      </c>
      <c r="E139" s="88"/>
      <c r="F139" s="85">
        <v>1083</v>
      </c>
    </row>
    <row r="140" spans="1:6">
      <c r="A140" s="88"/>
      <c r="B140" s="88"/>
      <c r="C140" s="88"/>
      <c r="D140" s="88" t="s">
        <v>195</v>
      </c>
      <c r="E140" s="88"/>
      <c r="F140" s="85">
        <v>2</v>
      </c>
    </row>
    <row r="141" spans="1:6">
      <c r="A141" s="88"/>
      <c r="B141" s="88"/>
      <c r="C141" s="88"/>
      <c r="D141" s="88" t="s">
        <v>196</v>
      </c>
      <c r="E141" s="88"/>
      <c r="F141" s="85">
        <v>13283</v>
      </c>
    </row>
    <row r="142" spans="1:6">
      <c r="A142" s="88"/>
      <c r="B142" s="88"/>
      <c r="C142" s="88"/>
      <c r="D142" s="88" t="s">
        <v>197</v>
      </c>
      <c r="E142" s="88"/>
      <c r="F142" s="85">
        <v>47448</v>
      </c>
    </row>
    <row r="144" spans="1:6">
      <c r="A144" s="28"/>
    </row>
  </sheetData>
  <phoneticPr fontId="43" type="noConversion"/>
  <pageMargins left="0.7" right="0.7" top="0.75" bottom="0.75" header="0.3" footer="0.3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FA6F4-DB7F-4613-A255-237C3DDC31EF}">
  <dimension ref="A1:H41"/>
  <sheetViews>
    <sheetView workbookViewId="0">
      <selection activeCell="F27" sqref="F27"/>
    </sheetView>
  </sheetViews>
  <sheetFormatPr defaultColWidth="9" defaultRowHeight="13.8"/>
  <cols>
    <col min="1" max="4" width="9" style="8"/>
    <col min="5" max="5" width="8" style="8" customWidth="1"/>
    <col min="6" max="6" width="10.88671875" style="8" bestFit="1" customWidth="1"/>
    <col min="7" max="16384" width="9" style="8"/>
  </cols>
  <sheetData>
    <row r="1" spans="1:8" ht="17.25" customHeight="1">
      <c r="A1" s="166" t="s">
        <v>198</v>
      </c>
      <c r="B1" s="166"/>
      <c r="C1" s="166"/>
      <c r="D1" s="166"/>
      <c r="E1" s="166"/>
    </row>
    <row r="2" spans="1:8" ht="27.6">
      <c r="A2" s="171" t="s">
        <v>199</v>
      </c>
      <c r="B2" s="171" t="s">
        <v>200</v>
      </c>
      <c r="C2" s="171" t="s">
        <v>201</v>
      </c>
      <c r="D2" s="171" t="s">
        <v>202</v>
      </c>
      <c r="E2" s="89" t="s">
        <v>203</v>
      </c>
      <c r="F2" s="162" t="s">
        <v>204</v>
      </c>
      <c r="G2" s="163"/>
    </row>
    <row r="3" spans="1:8" ht="32.25" customHeight="1" thickBot="1">
      <c r="A3" s="172"/>
      <c r="B3" s="173"/>
      <c r="C3" s="173"/>
      <c r="D3" s="173"/>
      <c r="E3" s="90" t="s">
        <v>205</v>
      </c>
      <c r="F3" s="91" t="s">
        <v>206</v>
      </c>
      <c r="G3" s="92" t="s">
        <v>207</v>
      </c>
      <c r="H3" s="20" t="s">
        <v>208</v>
      </c>
    </row>
    <row r="4" spans="1:8" ht="14.4" thickTop="1">
      <c r="A4" s="167" t="s">
        <v>209</v>
      </c>
      <c r="B4" s="19" t="s">
        <v>210</v>
      </c>
      <c r="C4" s="11" t="s">
        <v>210</v>
      </c>
      <c r="D4" s="11" t="s">
        <v>210</v>
      </c>
      <c r="E4" s="11">
        <v>38.5</v>
      </c>
      <c r="F4" s="12"/>
      <c r="G4" s="13"/>
    </row>
    <row r="5" spans="1:8">
      <c r="A5" s="168" t="s">
        <v>209</v>
      </c>
      <c r="B5" s="164" t="s">
        <v>211</v>
      </c>
      <c r="C5" s="93" t="s">
        <v>210</v>
      </c>
      <c r="D5" s="93" t="s">
        <v>210</v>
      </c>
      <c r="E5" s="93">
        <v>35.1</v>
      </c>
      <c r="F5" s="94"/>
      <c r="G5" s="14"/>
    </row>
    <row r="6" spans="1:8">
      <c r="A6" s="168" t="s">
        <v>209</v>
      </c>
      <c r="B6" s="164" t="s">
        <v>211</v>
      </c>
      <c r="C6" s="169" t="s">
        <v>212</v>
      </c>
      <c r="D6" s="93" t="s">
        <v>210</v>
      </c>
      <c r="E6" s="93">
        <v>33.6</v>
      </c>
      <c r="F6" s="94"/>
      <c r="G6" s="14"/>
    </row>
    <row r="7" spans="1:8">
      <c r="A7" s="168" t="s">
        <v>209</v>
      </c>
      <c r="B7" s="164" t="s">
        <v>211</v>
      </c>
      <c r="C7" s="169" t="s">
        <v>212</v>
      </c>
      <c r="D7" s="93" t="s">
        <v>213</v>
      </c>
      <c r="E7" s="95">
        <v>25</v>
      </c>
      <c r="F7" s="96">
        <f>SUM('SYVbT_DV-Regis'!F8:F9,'SYVbT_DV-Regis'!F22:F23,'SYVbT_DV-Regis'!F19:F20,'SYVbT_DV-Regis'!F33:F34)</f>
        <v>2187909</v>
      </c>
      <c r="G7" s="14">
        <f>SUMPRODUCT(E7:E10,F7:F10)/SUM(F7:F10)</f>
        <v>33.094917453065392</v>
      </c>
    </row>
    <row r="8" spans="1:8">
      <c r="A8" s="168" t="s">
        <v>209</v>
      </c>
      <c r="B8" s="164" t="s">
        <v>211</v>
      </c>
      <c r="C8" s="169" t="s">
        <v>212</v>
      </c>
      <c r="D8" s="93" t="s">
        <v>214</v>
      </c>
      <c r="E8" s="95">
        <v>20.6</v>
      </c>
      <c r="F8" s="96">
        <f>SUM('SYVbT_DV-Regis'!F10,'SYVbT_DV-Regis'!F24,'SYVbT_DV-Regis'!F36)</f>
        <v>759979</v>
      </c>
      <c r="G8" s="14"/>
    </row>
    <row r="9" spans="1:8">
      <c r="A9" s="168" t="s">
        <v>209</v>
      </c>
      <c r="B9" s="164" t="s">
        <v>211</v>
      </c>
      <c r="C9" s="169" t="s">
        <v>212</v>
      </c>
      <c r="D9" s="93" t="s">
        <v>215</v>
      </c>
      <c r="E9" s="95">
        <v>35.1</v>
      </c>
      <c r="F9" s="96">
        <f>SUM('SYVbT_DV-Regis'!F11,'SYVbT_DV-Regis'!F25,'SYVbT_DV-Regis'!F37)</f>
        <v>6723609</v>
      </c>
      <c r="G9" s="14"/>
    </row>
    <row r="10" spans="1:8">
      <c r="A10" s="168" t="s">
        <v>209</v>
      </c>
      <c r="B10" s="164" t="s">
        <v>211</v>
      </c>
      <c r="C10" s="169" t="s">
        <v>212</v>
      </c>
      <c r="D10" s="93" t="s">
        <v>216</v>
      </c>
      <c r="E10" s="97">
        <v>36.6</v>
      </c>
      <c r="F10" s="96">
        <f>SUM('SYVbT_DV-Regis'!F12:F18,'SYVbT_DV-Regis'!F26:F32,'SYVbT_DV-Regis'!F38:F41)</f>
        <v>3915864</v>
      </c>
      <c r="G10" s="14"/>
    </row>
    <row r="11" spans="1:8">
      <c r="A11" s="168" t="s">
        <v>209</v>
      </c>
      <c r="B11" s="164" t="s">
        <v>211</v>
      </c>
      <c r="C11" s="169" t="s">
        <v>217</v>
      </c>
      <c r="D11" s="93" t="s">
        <v>210</v>
      </c>
      <c r="E11" s="93">
        <v>39.1</v>
      </c>
      <c r="F11" s="96"/>
      <c r="G11" s="14"/>
    </row>
    <row r="12" spans="1:8">
      <c r="A12" s="168" t="s">
        <v>209</v>
      </c>
      <c r="B12" s="164" t="s">
        <v>211</v>
      </c>
      <c r="C12" s="169" t="s">
        <v>217</v>
      </c>
      <c r="D12" s="93" t="s">
        <v>215</v>
      </c>
      <c r="E12" s="95">
        <v>39.200000000000003</v>
      </c>
      <c r="F12" s="96">
        <f>SUM('SYVbT_DV-Regis'!F45:F46,'SYVbT_DV-Regis'!F51:F52)</f>
        <v>4434476</v>
      </c>
      <c r="G12" s="14">
        <f>SUMPRODUCT(E12:E13,F12:F13)/SUM(F12:F13)</f>
        <v>39.104516812100101</v>
      </c>
    </row>
    <row r="13" spans="1:8">
      <c r="A13" s="168" t="s">
        <v>209</v>
      </c>
      <c r="B13" s="164" t="s">
        <v>211</v>
      </c>
      <c r="C13" s="169" t="s">
        <v>217</v>
      </c>
      <c r="D13" s="93" t="s">
        <v>216</v>
      </c>
      <c r="E13" s="97">
        <v>38.9</v>
      </c>
      <c r="F13" s="96">
        <f>SUM('SYVbT_DV-Regis'!F47:F50)</f>
        <v>2070333</v>
      </c>
      <c r="G13" s="14"/>
    </row>
    <row r="14" spans="1:8">
      <c r="A14" s="168" t="s">
        <v>209</v>
      </c>
      <c r="B14" s="164" t="s">
        <v>211</v>
      </c>
      <c r="C14" s="93" t="s">
        <v>218</v>
      </c>
      <c r="D14" s="93" t="s">
        <v>210</v>
      </c>
      <c r="E14" s="97">
        <v>37.700000000000003</v>
      </c>
      <c r="F14" s="96">
        <f>'SYVbT_DV-Regis'!F53</f>
        <v>1676858</v>
      </c>
      <c r="G14" s="14"/>
      <c r="H14" s="8" t="s">
        <v>219</v>
      </c>
    </row>
    <row r="15" spans="1:8">
      <c r="A15" s="168" t="s">
        <v>209</v>
      </c>
      <c r="B15" s="164" t="s">
        <v>220</v>
      </c>
      <c r="C15" s="93" t="s">
        <v>210</v>
      </c>
      <c r="D15" s="93" t="s">
        <v>210</v>
      </c>
      <c r="E15" s="93">
        <v>59.2</v>
      </c>
      <c r="F15" s="96"/>
      <c r="G15" s="14"/>
    </row>
    <row r="16" spans="1:8">
      <c r="A16" s="168" t="s">
        <v>209</v>
      </c>
      <c r="B16" s="164" t="s">
        <v>220</v>
      </c>
      <c r="C16" s="169" t="s">
        <v>212</v>
      </c>
      <c r="D16" s="93" t="s">
        <v>210</v>
      </c>
      <c r="E16" s="93">
        <v>60.5</v>
      </c>
      <c r="F16" s="96"/>
      <c r="G16" s="14"/>
    </row>
    <row r="17" spans="1:8">
      <c r="A17" s="168" t="s">
        <v>209</v>
      </c>
      <c r="B17" s="164" t="s">
        <v>220</v>
      </c>
      <c r="C17" s="169" t="s">
        <v>212</v>
      </c>
      <c r="D17" s="93" t="s">
        <v>214</v>
      </c>
      <c r="E17" s="95">
        <v>34</v>
      </c>
      <c r="F17" s="96">
        <f>SUM('SYVbT_DV-Regis'!F71)</f>
        <v>478640</v>
      </c>
      <c r="G17" s="14">
        <f>SUMPRODUCT(E17:E19,F17:F19)/SUM(F17:F19)</f>
        <v>65.053963222821281</v>
      </c>
    </row>
    <row r="18" spans="1:8">
      <c r="A18" s="168" t="s">
        <v>209</v>
      </c>
      <c r="B18" s="164" t="s">
        <v>220</v>
      </c>
      <c r="C18" s="169" t="s">
        <v>212</v>
      </c>
      <c r="D18" s="93" t="s">
        <v>215</v>
      </c>
      <c r="E18" s="95">
        <v>43.4</v>
      </c>
      <c r="F18" s="96">
        <f>SUM('SYVbT_DV-Regis'!F72:F73)</f>
        <v>26936</v>
      </c>
      <c r="G18" s="14"/>
    </row>
    <row r="19" spans="1:8">
      <c r="A19" s="168" t="s">
        <v>209</v>
      </c>
      <c r="B19" s="164" t="s">
        <v>220</v>
      </c>
      <c r="C19" s="169" t="s">
        <v>212</v>
      </c>
      <c r="D19" s="93" t="s">
        <v>216</v>
      </c>
      <c r="E19" s="97">
        <v>191.4</v>
      </c>
      <c r="F19" s="96">
        <f>SUM('SYVbT_DV-Regis'!F64:F67,'SYVbT_DV-Regis'!F74:F75)</f>
        <v>122259</v>
      </c>
      <c r="G19" s="14"/>
    </row>
    <row r="20" spans="1:8" ht="14.4" thickBot="1">
      <c r="A20" s="168" t="s">
        <v>209</v>
      </c>
      <c r="B20" s="165" t="s">
        <v>220</v>
      </c>
      <c r="C20" s="15" t="s">
        <v>221</v>
      </c>
      <c r="D20" s="15" t="s">
        <v>210</v>
      </c>
      <c r="E20" s="53">
        <v>28.2</v>
      </c>
      <c r="F20" s="16">
        <f>'SYVbT_DV-Regis'!F76</f>
        <v>38331</v>
      </c>
      <c r="G20" s="17"/>
      <c r="H20" s="8" t="s">
        <v>222</v>
      </c>
    </row>
    <row r="21" spans="1:8">
      <c r="A21" s="168" t="s">
        <v>209</v>
      </c>
      <c r="B21" s="170" t="s">
        <v>223</v>
      </c>
      <c r="C21" s="11" t="s">
        <v>210</v>
      </c>
      <c r="D21" s="11" t="s">
        <v>210</v>
      </c>
      <c r="E21" s="11">
        <v>49.4</v>
      </c>
      <c r="F21" s="18"/>
      <c r="G21" s="13"/>
    </row>
    <row r="22" spans="1:8">
      <c r="A22" s="168" t="s">
        <v>209</v>
      </c>
      <c r="B22" s="164" t="s">
        <v>223</v>
      </c>
      <c r="C22" s="169" t="s">
        <v>212</v>
      </c>
      <c r="D22" s="93" t="s">
        <v>210</v>
      </c>
      <c r="E22" s="93">
        <v>48.3</v>
      </c>
      <c r="F22" s="96"/>
      <c r="G22" s="14"/>
    </row>
    <row r="23" spans="1:8">
      <c r="A23" s="168" t="s">
        <v>209</v>
      </c>
      <c r="B23" s="164" t="s">
        <v>223</v>
      </c>
      <c r="C23" s="169" t="s">
        <v>212</v>
      </c>
      <c r="D23" s="93" t="s">
        <v>214</v>
      </c>
      <c r="E23" s="98">
        <v>39.700000000000003</v>
      </c>
      <c r="F23" s="96">
        <f>SUM('SYVbT_DV-Regis'!F85,'SYVbT_DV-Regis'!F87)</f>
        <v>2197972</v>
      </c>
      <c r="G23" s="14">
        <f>SUMPRODUCT(E23:E25,F23:F25)/SUM(F23:F25)</f>
        <v>46.188127700896807</v>
      </c>
    </row>
    <row r="24" spans="1:8">
      <c r="A24" s="168" t="s">
        <v>209</v>
      </c>
      <c r="B24" s="164" t="s">
        <v>223</v>
      </c>
      <c r="C24" s="169" t="s">
        <v>212</v>
      </c>
      <c r="D24" s="93" t="s">
        <v>215</v>
      </c>
      <c r="E24" s="98">
        <v>46.5</v>
      </c>
      <c r="F24" s="96">
        <f>SUM('SYVbT_DV-Regis'!F88:F89)</f>
        <v>286594</v>
      </c>
      <c r="G24" s="14"/>
    </row>
    <row r="25" spans="1:8">
      <c r="A25" s="168" t="s">
        <v>209</v>
      </c>
      <c r="B25" s="164" t="s">
        <v>223</v>
      </c>
      <c r="C25" s="169" t="s">
        <v>212</v>
      </c>
      <c r="D25" s="93" t="s">
        <v>216</v>
      </c>
      <c r="E25" s="99">
        <v>134.80000000000001</v>
      </c>
      <c r="F25" s="96">
        <f>SUM('SYVbT_DV-Regis'!F90:F93)</f>
        <v>159926</v>
      </c>
      <c r="G25" s="14"/>
    </row>
    <row r="26" spans="1:8">
      <c r="A26" s="168" t="s">
        <v>209</v>
      </c>
      <c r="B26" s="164" t="s">
        <v>223</v>
      </c>
      <c r="C26" s="169" t="s">
        <v>224</v>
      </c>
      <c r="D26" s="93" t="s">
        <v>210</v>
      </c>
      <c r="E26" s="93">
        <v>18.5</v>
      </c>
      <c r="F26" s="96"/>
      <c r="G26" s="14"/>
    </row>
    <row r="27" spans="1:8">
      <c r="A27" s="168" t="s">
        <v>209</v>
      </c>
      <c r="B27" s="164" t="s">
        <v>223</v>
      </c>
      <c r="C27" s="169" t="s">
        <v>224</v>
      </c>
      <c r="D27" s="93" t="s">
        <v>214</v>
      </c>
      <c r="E27" s="98">
        <v>21.3</v>
      </c>
      <c r="F27" s="96">
        <f>'SYVbT_DV-Regis'!F95</f>
        <v>32903</v>
      </c>
      <c r="G27" s="14">
        <f>SUMPRODUCT(E27:E29,F27:F29)/SUM(F27:F29)</f>
        <v>19.396569214644007</v>
      </c>
    </row>
    <row r="28" spans="1:8">
      <c r="A28" s="168" t="s">
        <v>209</v>
      </c>
      <c r="B28" s="164" t="s">
        <v>223</v>
      </c>
      <c r="C28" s="169" t="s">
        <v>224</v>
      </c>
      <c r="D28" s="93" t="s">
        <v>215</v>
      </c>
      <c r="E28" s="98">
        <v>14.8</v>
      </c>
      <c r="F28" s="96">
        <f>'SYVbT_DV-Regis'!F96</f>
        <v>13477</v>
      </c>
      <c r="G28" s="14"/>
    </row>
    <row r="29" spans="1:8">
      <c r="A29" s="168" t="s">
        <v>209</v>
      </c>
      <c r="B29" s="164" t="s">
        <v>223</v>
      </c>
      <c r="C29" s="169" t="s">
        <v>224</v>
      </c>
      <c r="D29" s="93" t="s">
        <v>216</v>
      </c>
      <c r="E29" s="99">
        <v>19.3</v>
      </c>
      <c r="F29" s="96">
        <f>SUM('SYVbT_DV-Regis'!F97:F98)</f>
        <v>7048</v>
      </c>
      <c r="G29" s="14"/>
    </row>
    <row r="30" spans="1:8">
      <c r="A30" s="168" t="s">
        <v>209</v>
      </c>
      <c r="B30" s="164" t="s">
        <v>223</v>
      </c>
      <c r="C30" s="169" t="s">
        <v>225</v>
      </c>
      <c r="D30" s="93" t="s">
        <v>210</v>
      </c>
      <c r="E30" s="93">
        <v>39.9</v>
      </c>
      <c r="F30" s="96"/>
      <c r="G30" s="14"/>
    </row>
    <row r="31" spans="1:8">
      <c r="A31" s="168" t="s">
        <v>209</v>
      </c>
      <c r="B31" s="164" t="s">
        <v>223</v>
      </c>
      <c r="C31" s="169" t="s">
        <v>225</v>
      </c>
      <c r="D31" s="93" t="s">
        <v>214</v>
      </c>
      <c r="E31" s="98">
        <v>41.6</v>
      </c>
      <c r="F31" s="96">
        <f>'SYVbT_DV-Regis'!F100</f>
        <v>332770</v>
      </c>
      <c r="G31" s="14">
        <f>SUMPRODUCT(E31:E32,F31:F32)/SUM(F31:F32)</f>
        <v>41.397410317286457</v>
      </c>
      <c r="H31" s="8" t="s">
        <v>226</v>
      </c>
    </row>
    <row r="32" spans="1:8">
      <c r="A32" s="168" t="s">
        <v>209</v>
      </c>
      <c r="B32" s="164" t="s">
        <v>223</v>
      </c>
      <c r="C32" s="169" t="s">
        <v>225</v>
      </c>
      <c r="D32" s="93" t="s">
        <v>215</v>
      </c>
      <c r="E32" s="98">
        <v>28</v>
      </c>
      <c r="F32" s="96">
        <f>SUM('SYVbT_DV-Regis'!F101:F102)</f>
        <v>5032</v>
      </c>
      <c r="G32" s="14"/>
    </row>
    <row r="33" spans="1:8">
      <c r="A33" s="168" t="s">
        <v>209</v>
      </c>
      <c r="B33" s="164" t="s">
        <v>223</v>
      </c>
      <c r="C33" s="93" t="s">
        <v>221</v>
      </c>
      <c r="D33" s="93" t="s">
        <v>210</v>
      </c>
      <c r="E33" s="100">
        <v>65.099999999999994</v>
      </c>
      <c r="F33" s="96">
        <f>'SYVbT_DV-Regis'!F103</f>
        <v>681021</v>
      </c>
      <c r="G33" s="14"/>
      <c r="H33" s="8" t="s">
        <v>227</v>
      </c>
    </row>
    <row r="34" spans="1:8">
      <c r="A34" s="168" t="s">
        <v>209</v>
      </c>
      <c r="B34" s="164" t="s">
        <v>228</v>
      </c>
      <c r="C34" s="93" t="s">
        <v>210</v>
      </c>
      <c r="D34" s="93" t="s">
        <v>210</v>
      </c>
      <c r="E34" s="93">
        <v>116.9</v>
      </c>
      <c r="F34" s="96"/>
      <c r="G34" s="14"/>
    </row>
    <row r="35" spans="1:8">
      <c r="A35" s="168" t="s">
        <v>209</v>
      </c>
      <c r="B35" s="164" t="s">
        <v>228</v>
      </c>
      <c r="C35" s="93" t="s">
        <v>229</v>
      </c>
      <c r="D35" s="93" t="s">
        <v>210</v>
      </c>
      <c r="E35" s="99">
        <v>225.3</v>
      </c>
      <c r="F35" s="96">
        <f>SUM('SYVbT_DV-Regis'!F133)</f>
        <v>40407</v>
      </c>
      <c r="G35" s="14"/>
      <c r="H35" s="8" t="s">
        <v>230</v>
      </c>
    </row>
    <row r="36" spans="1:8">
      <c r="A36" s="168" t="s">
        <v>209</v>
      </c>
      <c r="B36" s="164" t="s">
        <v>228</v>
      </c>
      <c r="C36" s="93" t="s">
        <v>231</v>
      </c>
      <c r="D36" s="93" t="s">
        <v>210</v>
      </c>
      <c r="E36" s="98">
        <v>60.9</v>
      </c>
      <c r="F36" s="96">
        <f>SUM('SYVbT_DV-Regis'!F129)</f>
        <v>10226</v>
      </c>
      <c r="G36" s="14"/>
      <c r="H36" s="8" t="s">
        <v>232</v>
      </c>
    </row>
    <row r="37" spans="1:8" ht="14.4" thickBot="1">
      <c r="A37" s="168" t="s">
        <v>209</v>
      </c>
      <c r="B37" s="165" t="s">
        <v>228</v>
      </c>
      <c r="C37" s="15" t="s">
        <v>233</v>
      </c>
      <c r="D37" s="15" t="s">
        <v>210</v>
      </c>
      <c r="E37" s="52">
        <v>30.3</v>
      </c>
      <c r="F37" s="16">
        <f>SUM('SYVbT_DV-Regis'!F137)</f>
        <v>93257</v>
      </c>
      <c r="G37" s="17"/>
      <c r="H37" s="8" t="s">
        <v>230</v>
      </c>
    </row>
    <row r="40" spans="1:8">
      <c r="B40" s="9"/>
      <c r="C40" s="9"/>
    </row>
    <row r="41" spans="1:8">
      <c r="B41" s="10"/>
      <c r="C41" s="10"/>
    </row>
  </sheetData>
  <mergeCells count="17">
    <mergeCell ref="D2:D3"/>
    <mergeCell ref="F2:G2"/>
    <mergeCell ref="B34:B37"/>
    <mergeCell ref="A1:E1"/>
    <mergeCell ref="A4:A37"/>
    <mergeCell ref="B5:B14"/>
    <mergeCell ref="C6:C10"/>
    <mergeCell ref="C11:C13"/>
    <mergeCell ref="B15:B20"/>
    <mergeCell ref="C16:C19"/>
    <mergeCell ref="B21:B33"/>
    <mergeCell ref="C22:C25"/>
    <mergeCell ref="C26:C29"/>
    <mergeCell ref="C30:C32"/>
    <mergeCell ref="A2:A3"/>
    <mergeCell ref="B2:B3"/>
    <mergeCell ref="C2:C3"/>
  </mergeCells>
  <phoneticPr fontId="43" type="noConversion"/>
  <pageMargins left="0.7" right="0.7" top="0.75" bottom="0.75" header="0.3" footer="0.3"/>
  <pageSetup paperSize="9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EEE27-9A7D-4757-8EC3-A2D49B1C4438}">
  <dimension ref="A1:AZ92"/>
  <sheetViews>
    <sheetView workbookViewId="0">
      <selection activeCell="E6" sqref="E6"/>
    </sheetView>
  </sheetViews>
  <sheetFormatPr defaultColWidth="9" defaultRowHeight="14.4"/>
  <cols>
    <col min="1" max="1" width="15.6640625" style="4" customWidth="1"/>
    <col min="2" max="2" width="11" style="4" customWidth="1"/>
    <col min="3" max="3" width="9.6640625" style="4" customWidth="1"/>
    <col min="4" max="4" width="5.88671875" style="4" customWidth="1"/>
    <col min="5" max="5" width="9" style="4" customWidth="1"/>
    <col min="6" max="6" width="12.109375" style="4" customWidth="1"/>
    <col min="7" max="13" width="9" style="4" customWidth="1"/>
    <col min="14" max="15" width="9.88671875" style="4" bestFit="1" customWidth="1"/>
    <col min="16" max="20" width="9" style="4"/>
    <col min="21" max="21" width="13" style="4" bestFit="1" customWidth="1"/>
    <col min="22" max="22" width="13.109375" style="4" bestFit="1" customWidth="1"/>
    <col min="23" max="25" width="13" style="4" bestFit="1" customWidth="1"/>
    <col min="26" max="30" width="11.44140625" style="4" bestFit="1" customWidth="1"/>
    <col min="31" max="31" width="11.6640625" style="4" bestFit="1" customWidth="1"/>
    <col min="32" max="33" width="11.44140625" style="4" bestFit="1" customWidth="1"/>
    <col min="34" max="16384" width="9" style="4"/>
  </cols>
  <sheetData>
    <row r="1" spans="1:34" ht="20.100000000000001" customHeight="1" thickBot="1">
      <c r="A1" s="181" t="s">
        <v>813</v>
      </c>
      <c r="B1" s="183" t="s">
        <v>814</v>
      </c>
      <c r="C1" s="183" t="s">
        <v>797</v>
      </c>
      <c r="D1" s="153" t="s">
        <v>811</v>
      </c>
      <c r="E1" s="101" t="s">
        <v>235</v>
      </c>
      <c r="F1" s="101" t="s">
        <v>236</v>
      </c>
      <c r="G1" s="101" t="s">
        <v>237</v>
      </c>
      <c r="H1" s="101" t="s">
        <v>238</v>
      </c>
      <c r="I1" s="101" t="s">
        <v>239</v>
      </c>
      <c r="J1" s="101" t="s">
        <v>240</v>
      </c>
      <c r="K1" s="101" t="s">
        <v>241</v>
      </c>
      <c r="L1" s="101" t="s">
        <v>242</v>
      </c>
      <c r="M1" s="101" t="s">
        <v>243</v>
      </c>
      <c r="R1" s="155" t="s">
        <v>795</v>
      </c>
      <c r="S1" s="155" t="s">
        <v>796</v>
      </c>
      <c r="T1" s="155" t="s">
        <v>797</v>
      </c>
      <c r="U1" s="155" t="s">
        <v>798</v>
      </c>
      <c r="V1" s="174" t="s">
        <v>847</v>
      </c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4" t="s">
        <v>846</v>
      </c>
    </row>
    <row r="2" spans="1:34" ht="20.100000000000001" customHeight="1">
      <c r="A2" s="182" t="s">
        <v>234</v>
      </c>
      <c r="B2" s="182" t="s">
        <v>200</v>
      </c>
      <c r="C2" s="182" t="s">
        <v>201</v>
      </c>
      <c r="D2" s="101" t="s">
        <v>811</v>
      </c>
      <c r="E2" s="101" t="s">
        <v>844</v>
      </c>
      <c r="F2" s="101" t="s">
        <v>844</v>
      </c>
      <c r="G2" s="101" t="s">
        <v>844</v>
      </c>
      <c r="H2" s="101" t="s">
        <v>844</v>
      </c>
      <c r="I2" s="101" t="s">
        <v>844</v>
      </c>
      <c r="J2" s="101" t="s">
        <v>844</v>
      </c>
      <c r="K2" s="101" t="s">
        <v>844</v>
      </c>
      <c r="L2" s="101" t="s">
        <v>844</v>
      </c>
      <c r="M2" s="101" t="s">
        <v>844</v>
      </c>
      <c r="N2" s="180" t="s">
        <v>845</v>
      </c>
      <c r="R2" s="155"/>
      <c r="S2" s="155"/>
      <c r="T2" s="155"/>
      <c r="U2" s="155"/>
      <c r="V2" s="4">
        <v>2012</v>
      </c>
      <c r="W2" s="4">
        <v>2013</v>
      </c>
      <c r="X2" s="4">
        <v>2014</v>
      </c>
      <c r="Y2" s="4">
        <v>2015</v>
      </c>
      <c r="Z2" s="4">
        <v>2016</v>
      </c>
      <c r="AA2" s="4">
        <v>2017</v>
      </c>
      <c r="AB2" s="4">
        <v>2018</v>
      </c>
      <c r="AC2" s="4">
        <v>2019</v>
      </c>
      <c r="AD2" s="4">
        <v>2020</v>
      </c>
      <c r="AE2" s="4">
        <v>2021</v>
      </c>
      <c r="AF2" s="4">
        <v>2022</v>
      </c>
      <c r="AG2" s="4">
        <v>2023</v>
      </c>
    </row>
    <row r="3" spans="1:34" ht="20.100000000000001" customHeight="1">
      <c r="A3" s="182" t="s">
        <v>234</v>
      </c>
      <c r="B3" s="182" t="s">
        <v>200</v>
      </c>
      <c r="C3" s="182" t="s">
        <v>201</v>
      </c>
      <c r="D3" s="101" t="s">
        <v>811</v>
      </c>
      <c r="E3" s="101" t="s">
        <v>843</v>
      </c>
      <c r="F3" s="101" t="s">
        <v>843</v>
      </c>
      <c r="G3" s="101" t="s">
        <v>843</v>
      </c>
      <c r="H3" s="101" t="s">
        <v>843</v>
      </c>
      <c r="I3" s="101" t="s">
        <v>843</v>
      </c>
      <c r="J3" s="101" t="s">
        <v>843</v>
      </c>
      <c r="K3" s="101" t="s">
        <v>843</v>
      </c>
      <c r="L3" s="101" t="s">
        <v>843</v>
      </c>
      <c r="M3" s="101" t="s">
        <v>843</v>
      </c>
      <c r="N3" s="180"/>
      <c r="R3" s="176" t="s">
        <v>209</v>
      </c>
      <c r="S3" s="142" t="s">
        <v>334</v>
      </c>
      <c r="T3" s="142"/>
      <c r="U3" s="142"/>
      <c r="V3" s="143">
        <v>279522620</v>
      </c>
      <c r="W3" s="143">
        <v>277420070</v>
      </c>
      <c r="X3" s="143">
        <v>290008712</v>
      </c>
      <c r="Y3" s="143">
        <v>298322891</v>
      </c>
      <c r="Z3" s="143">
        <v>311236234</v>
      </c>
      <c r="AA3" s="143">
        <v>319870540</v>
      </c>
      <c r="AB3" s="143">
        <v>327072636</v>
      </c>
      <c r="AC3" s="143">
        <v>329553922</v>
      </c>
      <c r="AD3" s="143">
        <v>332023789</v>
      </c>
      <c r="AE3" s="143">
        <v>356371963</v>
      </c>
      <c r="AF3" s="143">
        <v>335630469</v>
      </c>
      <c r="AG3" s="143">
        <v>335459843</v>
      </c>
      <c r="AH3" s="4">
        <f>(AG3/V3)^(1/COUNT(V3:AG3))-1</f>
        <v>1.5317718222495058E-2</v>
      </c>
    </row>
    <row r="4" spans="1:34" ht="20.100000000000001" customHeight="1">
      <c r="A4" s="51" t="s">
        <v>334</v>
      </c>
      <c r="B4" s="51" t="s">
        <v>334</v>
      </c>
      <c r="C4" s="51" t="s">
        <v>334</v>
      </c>
      <c r="D4" s="51" t="s">
        <v>334</v>
      </c>
      <c r="E4" s="102">
        <v>41</v>
      </c>
      <c r="F4" s="102">
        <v>39.700000000000003</v>
      </c>
      <c r="G4" s="102">
        <v>40.200000000000003</v>
      </c>
      <c r="H4" s="102">
        <v>39.799999999999997</v>
      </c>
      <c r="I4" s="102">
        <v>39.700000000000003</v>
      </c>
      <c r="J4" s="102">
        <v>39.5</v>
      </c>
      <c r="K4" s="102">
        <v>39.200000000000003</v>
      </c>
      <c r="L4" s="102">
        <v>38.5</v>
      </c>
      <c r="M4" s="102">
        <v>37.9</v>
      </c>
      <c r="R4" s="176" t="s">
        <v>209</v>
      </c>
      <c r="S4" s="176" t="s">
        <v>835</v>
      </c>
      <c r="T4" s="142" t="s">
        <v>334</v>
      </c>
      <c r="U4" s="142"/>
      <c r="V4" s="143">
        <v>196405681</v>
      </c>
      <c r="W4" s="143">
        <v>195120900</v>
      </c>
      <c r="X4" s="143">
        <v>205518897</v>
      </c>
      <c r="Y4" s="143">
        <v>212722011</v>
      </c>
      <c r="Z4" s="143">
        <v>224023930</v>
      </c>
      <c r="AA4" s="143">
        <v>231274268</v>
      </c>
      <c r="AB4" s="143">
        <v>239853756</v>
      </c>
      <c r="AC4" s="143">
        <v>242695454</v>
      </c>
      <c r="AD4" s="143">
        <v>246980201</v>
      </c>
      <c r="AE4" s="143">
        <v>273294902</v>
      </c>
      <c r="AF4" s="143">
        <v>249049553</v>
      </c>
      <c r="AG4" s="143">
        <v>252924972</v>
      </c>
      <c r="AH4" s="4">
        <f t="shared" ref="AH4:AH36" si="0">(AG4/V4)^(1/COUNT(V4:AG4))-1</f>
        <v>2.1299545776948037E-2</v>
      </c>
    </row>
    <row r="5" spans="1:34" ht="20.100000000000001" customHeight="1">
      <c r="A5" s="49" t="s">
        <v>246</v>
      </c>
      <c r="B5" s="51" t="s">
        <v>815</v>
      </c>
      <c r="C5" s="51" t="s">
        <v>334</v>
      </c>
      <c r="D5" s="51" t="s">
        <v>334</v>
      </c>
      <c r="E5" s="102">
        <v>37.5</v>
      </c>
      <c r="F5" s="102">
        <v>36</v>
      </c>
      <c r="G5" s="102">
        <v>36.5</v>
      </c>
      <c r="H5" s="102">
        <v>36.1</v>
      </c>
      <c r="I5" s="102">
        <v>36.1</v>
      </c>
      <c r="J5" s="102">
        <v>35.799999999999997</v>
      </c>
      <c r="K5" s="102">
        <v>35.799999999999997</v>
      </c>
      <c r="L5" s="102">
        <v>35.1</v>
      </c>
      <c r="M5" s="102">
        <v>34.700000000000003</v>
      </c>
      <c r="R5" s="176" t="s">
        <v>209</v>
      </c>
      <c r="S5" s="176" t="s">
        <v>211</v>
      </c>
      <c r="T5" s="176" t="s">
        <v>803</v>
      </c>
      <c r="U5" s="142" t="s">
        <v>334</v>
      </c>
      <c r="V5" s="143">
        <v>144234076</v>
      </c>
      <c r="W5" s="143">
        <v>142204857</v>
      </c>
      <c r="X5" s="143">
        <v>149772888</v>
      </c>
      <c r="Y5" s="143">
        <v>153773499</v>
      </c>
      <c r="Z5" s="143">
        <v>158604609</v>
      </c>
      <c r="AA5" s="143">
        <v>162012522</v>
      </c>
      <c r="AB5" s="143">
        <v>165063203</v>
      </c>
      <c r="AC5" s="143">
        <v>163646581</v>
      </c>
      <c r="AD5" s="143">
        <v>161758068</v>
      </c>
      <c r="AE5" s="143">
        <v>177295830</v>
      </c>
      <c r="AF5" s="143">
        <v>156079591</v>
      </c>
      <c r="AG5" s="143">
        <v>154334440</v>
      </c>
      <c r="AH5" s="4">
        <f t="shared" si="0"/>
        <v>5.6563058643044339E-3</v>
      </c>
    </row>
    <row r="6" spans="1:34" ht="20.100000000000001" customHeight="1">
      <c r="A6" s="49" t="s">
        <v>246</v>
      </c>
      <c r="B6" s="49" t="s">
        <v>246</v>
      </c>
      <c r="C6" s="156" t="s">
        <v>812</v>
      </c>
      <c r="D6" s="51" t="s">
        <v>800</v>
      </c>
      <c r="E6" s="102">
        <v>36.1</v>
      </c>
      <c r="F6" s="102">
        <v>34.700000000000003</v>
      </c>
      <c r="G6" s="102">
        <v>35.4</v>
      </c>
      <c r="H6" s="102">
        <v>35.1</v>
      </c>
      <c r="I6" s="102">
        <v>34.799999999999997</v>
      </c>
      <c r="J6" s="102">
        <v>34.5</v>
      </c>
      <c r="K6" s="102">
        <v>34.299999999999997</v>
      </c>
      <c r="L6" s="102">
        <v>33.6</v>
      </c>
      <c r="M6" s="102">
        <v>32.700000000000003</v>
      </c>
      <c r="R6" s="176" t="s">
        <v>209</v>
      </c>
      <c r="S6" s="176" t="s">
        <v>211</v>
      </c>
      <c r="T6" s="176" t="s">
        <v>212</v>
      </c>
      <c r="U6" s="142" t="s">
        <v>799</v>
      </c>
      <c r="V6" s="144">
        <v>12348088</v>
      </c>
      <c r="W6" s="144">
        <v>12619516</v>
      </c>
      <c r="X6" s="144">
        <v>13395420</v>
      </c>
      <c r="Y6" s="144">
        <v>14675459</v>
      </c>
      <c r="Z6" s="144">
        <v>16056977</v>
      </c>
      <c r="AA6" s="144">
        <v>16145739</v>
      </c>
      <c r="AB6" s="144">
        <v>16270699</v>
      </c>
      <c r="AC6" s="144">
        <v>17604753</v>
      </c>
      <c r="AD6" s="144">
        <v>17453996</v>
      </c>
      <c r="AE6" s="144">
        <v>18937624</v>
      </c>
      <c r="AF6" s="144">
        <v>16378931</v>
      </c>
      <c r="AG6" s="144">
        <v>16276937</v>
      </c>
      <c r="AH6" s="4">
        <f t="shared" si="0"/>
        <v>2.3287684258518127E-2</v>
      </c>
    </row>
    <row r="7" spans="1:34" ht="20.100000000000001" customHeight="1">
      <c r="A7" s="49" t="s">
        <v>246</v>
      </c>
      <c r="B7" s="49" t="s">
        <v>246</v>
      </c>
      <c r="C7" s="49" t="s">
        <v>246</v>
      </c>
      <c r="D7" s="51" t="s">
        <v>800</v>
      </c>
      <c r="E7" s="103">
        <v>25.8</v>
      </c>
      <c r="F7" s="103">
        <v>24.5</v>
      </c>
      <c r="G7" s="103">
        <v>24.2</v>
      </c>
      <c r="H7" s="103">
        <v>24.7</v>
      </c>
      <c r="I7" s="103">
        <v>25.5</v>
      </c>
      <c r="J7" s="103">
        <v>24.4</v>
      </c>
      <c r="K7" s="103">
        <v>23.7</v>
      </c>
      <c r="L7" s="103">
        <v>25</v>
      </c>
      <c r="M7" s="103">
        <v>24.2</v>
      </c>
      <c r="N7" s="30">
        <f>'BAADTbVT_DV-km'!F7</f>
        <v>2187909</v>
      </c>
      <c r="O7" s="30">
        <f>SUM(N7:N9)</f>
        <v>9671497</v>
      </c>
      <c r="R7" s="176" t="s">
        <v>209</v>
      </c>
      <c r="S7" s="176" t="s">
        <v>211</v>
      </c>
      <c r="T7" s="176" t="s">
        <v>212</v>
      </c>
      <c r="U7" s="142" t="s">
        <v>800</v>
      </c>
      <c r="V7" s="144">
        <v>10623011</v>
      </c>
      <c r="W7" s="144">
        <v>8098668</v>
      </c>
      <c r="X7" s="144">
        <v>7041951</v>
      </c>
      <c r="Y7" s="144">
        <v>5751244</v>
      </c>
      <c r="Z7" s="144">
        <v>5004545</v>
      </c>
      <c r="AA7" s="144">
        <v>4162197</v>
      </c>
      <c r="AB7" s="144">
        <v>3542304</v>
      </c>
      <c r="AC7" s="144">
        <v>2972117</v>
      </c>
      <c r="AD7" s="144">
        <v>2538140</v>
      </c>
      <c r="AE7" s="144">
        <v>2668498</v>
      </c>
      <c r="AF7" s="144">
        <v>1913212</v>
      </c>
      <c r="AG7" s="144">
        <v>1655372</v>
      </c>
      <c r="AH7" s="4">
        <f t="shared" si="0"/>
        <v>-0.14351321895380431</v>
      </c>
    </row>
    <row r="8" spans="1:34" ht="20.100000000000001" customHeight="1">
      <c r="A8" s="49" t="s">
        <v>246</v>
      </c>
      <c r="B8" s="49" t="s">
        <v>246</v>
      </c>
      <c r="C8" s="49" t="s">
        <v>246</v>
      </c>
      <c r="D8" s="51" t="s">
        <v>801</v>
      </c>
      <c r="E8" s="103">
        <v>24.7</v>
      </c>
      <c r="F8" s="103">
        <v>22.6</v>
      </c>
      <c r="G8" s="103">
        <v>23.1</v>
      </c>
      <c r="H8" s="103">
        <v>22.3</v>
      </c>
      <c r="I8" s="103">
        <v>22.7</v>
      </c>
      <c r="J8" s="103">
        <v>22</v>
      </c>
      <c r="K8" s="103">
        <v>21.6</v>
      </c>
      <c r="L8" s="103">
        <v>20.6</v>
      </c>
      <c r="M8" s="103">
        <v>20</v>
      </c>
      <c r="N8" s="30">
        <f>'BAADTbVT_DV-km'!F8</f>
        <v>759979</v>
      </c>
      <c r="O8" s="30"/>
      <c r="R8" s="176" t="s">
        <v>209</v>
      </c>
      <c r="S8" s="176" t="s">
        <v>211</v>
      </c>
      <c r="T8" s="176" t="s">
        <v>212</v>
      </c>
      <c r="U8" s="142" t="s">
        <v>801</v>
      </c>
      <c r="V8" s="144">
        <v>87673971</v>
      </c>
      <c r="W8" s="144">
        <v>87314819</v>
      </c>
      <c r="X8" s="144">
        <v>92337218</v>
      </c>
      <c r="Y8" s="144">
        <v>94487907</v>
      </c>
      <c r="Z8" s="144">
        <v>95272787</v>
      </c>
      <c r="AA8" s="144">
        <v>97122109</v>
      </c>
      <c r="AB8" s="144">
        <v>98302117</v>
      </c>
      <c r="AC8" s="144">
        <v>96591294</v>
      </c>
      <c r="AD8" s="144">
        <v>93395076</v>
      </c>
      <c r="AE8" s="144">
        <v>100839839</v>
      </c>
      <c r="AF8" s="144">
        <v>89337661</v>
      </c>
      <c r="AG8" s="144">
        <v>88690849</v>
      </c>
      <c r="AH8" s="4">
        <f t="shared" si="0"/>
        <v>9.6143326268527396E-4</v>
      </c>
    </row>
    <row r="9" spans="1:34" ht="20.100000000000001" customHeight="1">
      <c r="A9" s="49" t="s">
        <v>246</v>
      </c>
      <c r="B9" s="49" t="s">
        <v>246</v>
      </c>
      <c r="C9" s="49" t="s">
        <v>246</v>
      </c>
      <c r="D9" s="51" t="s">
        <v>802</v>
      </c>
      <c r="E9" s="103">
        <v>38.200000000000003</v>
      </c>
      <c r="F9" s="103">
        <v>36.700000000000003</v>
      </c>
      <c r="G9" s="103">
        <v>37.5</v>
      </c>
      <c r="H9" s="103">
        <v>37.1</v>
      </c>
      <c r="I9" s="103">
        <v>36.1</v>
      </c>
      <c r="J9" s="103">
        <v>35.9</v>
      </c>
      <c r="K9" s="103">
        <v>35.9</v>
      </c>
      <c r="L9" s="103">
        <v>35.1</v>
      </c>
      <c r="M9" s="103">
        <v>33.799999999999997</v>
      </c>
      <c r="N9" s="30">
        <f>'BAADTbVT_DV-km'!F9</f>
        <v>6723609</v>
      </c>
      <c r="O9" s="30"/>
      <c r="R9" s="176" t="s">
        <v>209</v>
      </c>
      <c r="S9" s="176" t="s">
        <v>211</v>
      </c>
      <c r="T9" s="176" t="s">
        <v>212</v>
      </c>
      <c r="U9" s="142" t="s">
        <v>802</v>
      </c>
      <c r="V9" s="145">
        <v>33589006</v>
      </c>
      <c r="W9" s="145">
        <v>34171853</v>
      </c>
      <c r="X9" s="145">
        <v>36998299</v>
      </c>
      <c r="Y9" s="145">
        <v>38858889</v>
      </c>
      <c r="Z9" s="145">
        <v>42270299</v>
      </c>
      <c r="AA9" s="145">
        <v>44582475</v>
      </c>
      <c r="AB9" s="145">
        <v>46948084</v>
      </c>
      <c r="AC9" s="145">
        <v>46478417</v>
      </c>
      <c r="AD9" s="145">
        <v>48370856</v>
      </c>
      <c r="AE9" s="145">
        <v>54849869</v>
      </c>
      <c r="AF9" s="145">
        <v>48449788</v>
      </c>
      <c r="AG9" s="145">
        <v>47711283</v>
      </c>
      <c r="AH9" s="4">
        <f t="shared" si="0"/>
        <v>2.9679331347456595E-2</v>
      </c>
    </row>
    <row r="10" spans="1:34" ht="20.100000000000001" customHeight="1">
      <c r="A10" s="49" t="s">
        <v>246</v>
      </c>
      <c r="B10" s="49" t="s">
        <v>246</v>
      </c>
      <c r="C10" s="49" t="s">
        <v>246</v>
      </c>
      <c r="D10" s="51" t="s">
        <v>334</v>
      </c>
      <c r="E10" s="104">
        <v>42.7</v>
      </c>
      <c r="F10" s="104">
        <v>40.299999999999997</v>
      </c>
      <c r="G10" s="104">
        <v>40.6</v>
      </c>
      <c r="H10" s="104">
        <v>39.5</v>
      </c>
      <c r="I10" s="104">
        <v>39.700000000000003</v>
      </c>
      <c r="J10" s="104">
        <v>38.9</v>
      </c>
      <c r="K10" s="104">
        <v>38.700000000000003</v>
      </c>
      <c r="L10" s="104">
        <v>36.6</v>
      </c>
      <c r="M10" s="104">
        <v>36.200000000000003</v>
      </c>
      <c r="N10" s="30">
        <f>'BAADTbVT_DV-km'!F10</f>
        <v>3915864</v>
      </c>
      <c r="O10" s="30">
        <f>N10</f>
        <v>3915864</v>
      </c>
      <c r="R10" s="176" t="s">
        <v>209</v>
      </c>
      <c r="S10" s="176" t="s">
        <v>211</v>
      </c>
      <c r="T10" s="176" t="s">
        <v>804</v>
      </c>
      <c r="U10" s="142" t="s">
        <v>334</v>
      </c>
      <c r="V10" s="143">
        <v>38586519</v>
      </c>
      <c r="W10" s="143">
        <v>40375396</v>
      </c>
      <c r="X10" s="143">
        <v>44084729</v>
      </c>
      <c r="Y10" s="143">
        <v>47377467</v>
      </c>
      <c r="Z10" s="143">
        <v>53066646</v>
      </c>
      <c r="AA10" s="143">
        <v>56186364</v>
      </c>
      <c r="AB10" s="143">
        <v>61233566</v>
      </c>
      <c r="AC10" s="143">
        <v>64124524</v>
      </c>
      <c r="AD10" s="143">
        <v>67780430</v>
      </c>
      <c r="AE10" s="143">
        <v>75674412</v>
      </c>
      <c r="AF10" s="143">
        <v>73320449</v>
      </c>
      <c r="AG10" s="143">
        <v>77369200</v>
      </c>
      <c r="AH10" s="4">
        <f t="shared" si="0"/>
        <v>5.9687249363133521E-2</v>
      </c>
    </row>
    <row r="11" spans="1:34" ht="20.100000000000001" customHeight="1">
      <c r="A11" s="49" t="s">
        <v>246</v>
      </c>
      <c r="B11" s="49" t="s">
        <v>246</v>
      </c>
      <c r="C11" s="156" t="s">
        <v>818</v>
      </c>
      <c r="D11" s="51" t="s">
        <v>800</v>
      </c>
      <c r="E11" s="102">
        <v>42.5</v>
      </c>
      <c r="F11" s="102">
        <v>40.9</v>
      </c>
      <c r="G11" s="102">
        <v>40.799999999999997</v>
      </c>
      <c r="H11" s="102">
        <v>39.9</v>
      </c>
      <c r="I11" s="102">
        <v>40.4</v>
      </c>
      <c r="J11" s="102">
        <v>40</v>
      </c>
      <c r="K11" s="102">
        <v>39.9</v>
      </c>
      <c r="L11" s="102">
        <v>39.1</v>
      </c>
      <c r="M11" s="102">
        <v>39.299999999999997</v>
      </c>
      <c r="N11" s="30"/>
      <c r="O11" s="30"/>
      <c r="R11" s="176" t="s">
        <v>209</v>
      </c>
      <c r="S11" s="176" t="s">
        <v>211</v>
      </c>
      <c r="T11" s="176" t="s">
        <v>217</v>
      </c>
      <c r="U11" s="142" t="s">
        <v>801</v>
      </c>
      <c r="V11" s="144">
        <v>21678728</v>
      </c>
      <c r="W11" s="144">
        <v>23775414</v>
      </c>
      <c r="X11" s="144">
        <v>27416045</v>
      </c>
      <c r="Y11" s="144">
        <v>30241896</v>
      </c>
      <c r="Z11" s="144">
        <v>35179354</v>
      </c>
      <c r="AA11" s="144">
        <v>37847636</v>
      </c>
      <c r="AB11" s="144">
        <v>42189170</v>
      </c>
      <c r="AC11" s="144">
        <v>44538327</v>
      </c>
      <c r="AD11" s="144">
        <v>47840800</v>
      </c>
      <c r="AE11" s="144">
        <v>50621401</v>
      </c>
      <c r="AF11" s="144">
        <v>49164957</v>
      </c>
      <c r="AG11" s="144">
        <v>52097664</v>
      </c>
      <c r="AH11" s="4">
        <f t="shared" si="0"/>
        <v>7.5801233347525976E-2</v>
      </c>
    </row>
    <row r="12" spans="1:34" ht="20.100000000000001" customHeight="1">
      <c r="A12" s="49" t="s">
        <v>246</v>
      </c>
      <c r="B12" s="49" t="s">
        <v>246</v>
      </c>
      <c r="C12" s="49" t="s">
        <v>246</v>
      </c>
      <c r="D12" s="51" t="s">
        <v>801</v>
      </c>
      <c r="E12" s="103">
        <v>42.4</v>
      </c>
      <c r="F12" s="103">
        <v>40.4</v>
      </c>
      <c r="G12" s="103">
        <v>40.700000000000003</v>
      </c>
      <c r="H12" s="103">
        <v>39.6</v>
      </c>
      <c r="I12" s="103">
        <v>40.6</v>
      </c>
      <c r="J12" s="103">
        <v>40.200000000000003</v>
      </c>
      <c r="K12" s="103">
        <v>40.299999999999997</v>
      </c>
      <c r="L12" s="103">
        <v>39.200000000000003</v>
      </c>
      <c r="M12" s="103">
        <v>39.799999999999997</v>
      </c>
      <c r="N12" s="30">
        <f>'BAADTbVT_DV-km'!F12</f>
        <v>4434476</v>
      </c>
      <c r="O12" s="30">
        <f>N12</f>
        <v>4434476</v>
      </c>
      <c r="R12" s="176" t="s">
        <v>209</v>
      </c>
      <c r="S12" s="176" t="s">
        <v>211</v>
      </c>
      <c r="T12" s="176" t="s">
        <v>217</v>
      </c>
      <c r="U12" s="142" t="s">
        <v>802</v>
      </c>
      <c r="V12" s="145">
        <v>16907791</v>
      </c>
      <c r="W12" s="145">
        <v>16599983</v>
      </c>
      <c r="X12" s="145">
        <v>16668684</v>
      </c>
      <c r="Y12" s="145">
        <v>17135571</v>
      </c>
      <c r="Z12" s="145">
        <v>17887292</v>
      </c>
      <c r="AA12" s="145">
        <v>18338728</v>
      </c>
      <c r="AB12" s="145">
        <v>19044396</v>
      </c>
      <c r="AC12" s="145">
        <v>19586197</v>
      </c>
      <c r="AD12" s="145">
        <v>19939630</v>
      </c>
      <c r="AE12" s="145">
        <v>25053011</v>
      </c>
      <c r="AF12" s="145">
        <v>24155492</v>
      </c>
      <c r="AG12" s="145">
        <v>25271536</v>
      </c>
      <c r="AH12" s="4">
        <f t="shared" si="0"/>
        <v>3.4059186857813284E-2</v>
      </c>
    </row>
    <row r="13" spans="1:34" ht="20.100000000000001" customHeight="1">
      <c r="A13" s="49" t="s">
        <v>246</v>
      </c>
      <c r="B13" s="49" t="s">
        <v>246</v>
      </c>
      <c r="C13" s="49" t="s">
        <v>246</v>
      </c>
      <c r="D13" s="51" t="s">
        <v>802</v>
      </c>
      <c r="E13" s="104">
        <v>42.7</v>
      </c>
      <c r="F13" s="104">
        <v>41.6</v>
      </c>
      <c r="G13" s="104">
        <v>40.799999999999997</v>
      </c>
      <c r="H13" s="104">
        <v>40.4</v>
      </c>
      <c r="I13" s="104">
        <v>39.9</v>
      </c>
      <c r="J13" s="104">
        <v>39.700000000000003</v>
      </c>
      <c r="K13" s="104">
        <v>39</v>
      </c>
      <c r="L13" s="104">
        <v>38.9</v>
      </c>
      <c r="M13" s="104">
        <v>38.1</v>
      </c>
      <c r="N13" s="30">
        <f>'BAADTbVT_DV-km'!F13</f>
        <v>2070333</v>
      </c>
      <c r="O13" s="30">
        <f>SUM(N13:N14)</f>
        <v>3747191</v>
      </c>
      <c r="R13" s="176" t="s">
        <v>209</v>
      </c>
      <c r="S13" s="176" t="s">
        <v>211</v>
      </c>
      <c r="T13" s="142" t="s">
        <v>341</v>
      </c>
      <c r="U13" s="142" t="s">
        <v>334</v>
      </c>
      <c r="V13" s="143">
        <v>13585086</v>
      </c>
      <c r="W13" s="143">
        <v>12540647</v>
      </c>
      <c r="X13" s="143">
        <v>11661280</v>
      </c>
      <c r="Y13" s="143">
        <v>11571045</v>
      </c>
      <c r="Z13" s="143">
        <v>12352675</v>
      </c>
      <c r="AA13" s="143">
        <v>13075381</v>
      </c>
      <c r="AB13" s="143">
        <v>13556987</v>
      </c>
      <c r="AC13" s="143">
        <v>14924349</v>
      </c>
      <c r="AD13" s="143">
        <v>17441704</v>
      </c>
      <c r="AE13" s="143">
        <v>20324659</v>
      </c>
      <c r="AF13" s="143">
        <v>19649513</v>
      </c>
      <c r="AG13" s="143">
        <v>21221332</v>
      </c>
      <c r="AH13" s="4">
        <f t="shared" si="0"/>
        <v>3.786895315167782E-2</v>
      </c>
    </row>
    <row r="14" spans="1:34" ht="20.100000000000001" customHeight="1">
      <c r="A14" s="49" t="s">
        <v>246</v>
      </c>
      <c r="B14" s="49" t="s">
        <v>246</v>
      </c>
      <c r="C14" s="51" t="s">
        <v>341</v>
      </c>
      <c r="D14" s="51" t="s">
        <v>334</v>
      </c>
      <c r="E14" s="104">
        <v>39.799999999999997</v>
      </c>
      <c r="F14" s="104">
        <v>38.1</v>
      </c>
      <c r="G14" s="104">
        <v>36.9</v>
      </c>
      <c r="H14" s="104">
        <v>36.299999999999997</v>
      </c>
      <c r="I14" s="104">
        <v>36.6</v>
      </c>
      <c r="J14" s="104">
        <v>36.6</v>
      </c>
      <c r="K14" s="104">
        <v>37.200000000000003</v>
      </c>
      <c r="L14" s="104">
        <v>37.700000000000003</v>
      </c>
      <c r="M14" s="104">
        <v>38.6</v>
      </c>
      <c r="N14" s="30">
        <f>'BAADTbVT_DV-km'!F14</f>
        <v>1676858</v>
      </c>
      <c r="O14" s="30"/>
      <c r="R14" s="176" t="s">
        <v>209</v>
      </c>
      <c r="S14" s="176" t="s">
        <v>805</v>
      </c>
      <c r="T14" s="142" t="s">
        <v>334</v>
      </c>
      <c r="U14" s="142"/>
      <c r="V14" s="143">
        <v>20738233</v>
      </c>
      <c r="W14" s="143">
        <v>19600278</v>
      </c>
      <c r="X14" s="143">
        <v>20736159</v>
      </c>
      <c r="Y14" s="143">
        <v>19817825</v>
      </c>
      <c r="Z14" s="143">
        <v>19857080</v>
      </c>
      <c r="AA14" s="143">
        <v>19318379</v>
      </c>
      <c r="AB14" s="143">
        <v>18645489</v>
      </c>
      <c r="AC14" s="143">
        <v>17904372</v>
      </c>
      <c r="AD14" s="143">
        <v>16065637</v>
      </c>
      <c r="AE14" s="143">
        <v>13797082</v>
      </c>
      <c r="AF14" s="143">
        <v>14132168</v>
      </c>
      <c r="AG14" s="143">
        <v>14029164</v>
      </c>
      <c r="AH14" s="4">
        <f t="shared" si="0"/>
        <v>-3.2045365489573041E-2</v>
      </c>
    </row>
    <row r="15" spans="1:34" ht="20.100000000000001" customHeight="1">
      <c r="A15" s="49" t="s">
        <v>246</v>
      </c>
      <c r="B15" s="51" t="s">
        <v>816</v>
      </c>
      <c r="C15" s="51" t="s">
        <v>334</v>
      </c>
      <c r="D15" s="51" t="s">
        <v>800</v>
      </c>
      <c r="E15" s="102">
        <v>56.7</v>
      </c>
      <c r="F15" s="102">
        <v>54.6</v>
      </c>
      <c r="G15" s="102">
        <v>59.2</v>
      </c>
      <c r="H15" s="102">
        <v>57.9</v>
      </c>
      <c r="I15" s="102">
        <v>59.9</v>
      </c>
      <c r="J15" s="102">
        <v>60.1</v>
      </c>
      <c r="K15" s="102">
        <v>59.8</v>
      </c>
      <c r="L15" s="102">
        <v>59.2</v>
      </c>
      <c r="M15" s="102">
        <v>55.1</v>
      </c>
      <c r="N15" s="30"/>
      <c r="O15" s="30"/>
      <c r="R15" s="176" t="s">
        <v>209</v>
      </c>
      <c r="S15" s="176" t="s">
        <v>220</v>
      </c>
      <c r="T15" s="176" t="s">
        <v>803</v>
      </c>
      <c r="U15" s="142" t="s">
        <v>334</v>
      </c>
      <c r="V15" s="143">
        <v>20495430</v>
      </c>
      <c r="W15" s="143">
        <v>19342905</v>
      </c>
      <c r="X15" s="143">
        <v>20448102</v>
      </c>
      <c r="Y15" s="143">
        <v>19499698</v>
      </c>
      <c r="Z15" s="143">
        <v>19505341</v>
      </c>
      <c r="AA15" s="143">
        <v>18954472</v>
      </c>
      <c r="AB15" s="143">
        <v>18293460</v>
      </c>
      <c r="AC15" s="143">
        <v>17564562</v>
      </c>
      <c r="AD15" s="143">
        <v>15733219</v>
      </c>
      <c r="AE15" s="143">
        <v>13483615</v>
      </c>
      <c r="AF15" s="143">
        <v>13772124</v>
      </c>
      <c r="AG15" s="143">
        <v>13637869</v>
      </c>
      <c r="AH15" s="4">
        <f t="shared" si="0"/>
        <v>-3.3376260904269262E-2</v>
      </c>
    </row>
    <row r="16" spans="1:34" ht="20.100000000000001" customHeight="1">
      <c r="A16" s="49" t="s">
        <v>246</v>
      </c>
      <c r="B16" s="49" t="s">
        <v>246</v>
      </c>
      <c r="C16" s="51" t="s">
        <v>819</v>
      </c>
      <c r="D16" s="51" t="s">
        <v>801</v>
      </c>
      <c r="E16" s="102">
        <v>57</v>
      </c>
      <c r="F16" s="102">
        <v>54.8</v>
      </c>
      <c r="G16" s="102">
        <v>59.5</v>
      </c>
      <c r="H16" s="102">
        <v>58.2</v>
      </c>
      <c r="I16" s="102">
        <v>60.3</v>
      </c>
      <c r="J16" s="102">
        <v>60.8</v>
      </c>
      <c r="K16" s="102">
        <v>60.7</v>
      </c>
      <c r="L16" s="102">
        <v>60.5</v>
      </c>
      <c r="M16" s="102">
        <v>56.5</v>
      </c>
      <c r="N16" s="30"/>
      <c r="O16" s="30"/>
      <c r="R16" s="176" t="s">
        <v>209</v>
      </c>
      <c r="S16" s="176" t="s">
        <v>220</v>
      </c>
      <c r="T16" s="176" t="s">
        <v>212</v>
      </c>
      <c r="U16" s="142" t="s">
        <v>800</v>
      </c>
      <c r="V16" s="144">
        <v>1537080</v>
      </c>
      <c r="W16" s="144">
        <v>1218499</v>
      </c>
      <c r="X16" s="144">
        <v>1241912</v>
      </c>
      <c r="Y16" s="144">
        <v>1045907</v>
      </c>
      <c r="Z16" s="144">
        <v>1027616</v>
      </c>
      <c r="AA16" s="144">
        <v>880050</v>
      </c>
      <c r="AB16" s="144">
        <v>842503</v>
      </c>
      <c r="AC16" s="144">
        <v>730917</v>
      </c>
      <c r="AD16" s="144">
        <v>717631</v>
      </c>
      <c r="AE16" s="144">
        <v>641623</v>
      </c>
      <c r="AF16" s="144">
        <v>611351</v>
      </c>
      <c r="AG16" s="144">
        <v>544728</v>
      </c>
      <c r="AH16" s="4">
        <f t="shared" si="0"/>
        <v>-8.2815016591837542E-2</v>
      </c>
    </row>
    <row r="17" spans="1:34" ht="20.100000000000001" customHeight="1">
      <c r="A17" s="49" t="s">
        <v>246</v>
      </c>
      <c r="B17" s="49" t="s">
        <v>246</v>
      </c>
      <c r="C17" s="49"/>
      <c r="D17" s="51" t="s">
        <v>802</v>
      </c>
      <c r="E17" s="103">
        <v>40.4</v>
      </c>
      <c r="F17" s="103">
        <v>35.299999999999997</v>
      </c>
      <c r="G17" s="103">
        <v>39.299999999999997</v>
      </c>
      <c r="H17" s="103">
        <v>36</v>
      </c>
      <c r="I17" s="103">
        <v>38.299999999999997</v>
      </c>
      <c r="J17" s="103">
        <v>35.700000000000003</v>
      </c>
      <c r="K17" s="103">
        <v>36.4</v>
      </c>
      <c r="L17" s="103">
        <v>34</v>
      </c>
      <c r="M17" s="103">
        <v>35</v>
      </c>
      <c r="N17" s="30">
        <f>'BAADTbVT_DV-km'!F17</f>
        <v>478640</v>
      </c>
      <c r="O17" s="30">
        <f>SUM(N17:N18)</f>
        <v>505576</v>
      </c>
      <c r="R17" s="176" t="s">
        <v>209</v>
      </c>
      <c r="S17" s="176" t="s">
        <v>220</v>
      </c>
      <c r="T17" s="176" t="s">
        <v>212</v>
      </c>
      <c r="U17" s="142" t="s">
        <v>801</v>
      </c>
      <c r="V17" s="144">
        <v>12765077</v>
      </c>
      <c r="W17" s="144">
        <v>11958995</v>
      </c>
      <c r="X17" s="144">
        <v>12866449</v>
      </c>
      <c r="Y17" s="144">
        <v>11952866</v>
      </c>
      <c r="Z17" s="144">
        <v>11776838</v>
      </c>
      <c r="AA17" s="144">
        <v>11233280</v>
      </c>
      <c r="AB17" s="144">
        <v>10654212</v>
      </c>
      <c r="AC17" s="144">
        <v>10144964</v>
      </c>
      <c r="AD17" s="144">
        <v>8980031</v>
      </c>
      <c r="AE17" s="144">
        <v>7866903</v>
      </c>
      <c r="AF17" s="144">
        <v>8128231</v>
      </c>
      <c r="AG17" s="144">
        <v>7500693</v>
      </c>
      <c r="AH17" s="4">
        <f t="shared" si="0"/>
        <v>-4.3342466248520672E-2</v>
      </c>
    </row>
    <row r="18" spans="1:34" ht="20.100000000000001" customHeight="1">
      <c r="A18" s="49" t="s">
        <v>246</v>
      </c>
      <c r="B18" s="49" t="s">
        <v>246</v>
      </c>
      <c r="C18" s="49" t="s">
        <v>246</v>
      </c>
      <c r="D18" s="51" t="s">
        <v>334</v>
      </c>
      <c r="E18" s="103">
        <v>43.9</v>
      </c>
      <c r="F18" s="103">
        <v>41.7</v>
      </c>
      <c r="G18" s="103">
        <v>46.1</v>
      </c>
      <c r="H18" s="103">
        <v>44</v>
      </c>
      <c r="I18" s="103">
        <v>45</v>
      </c>
      <c r="J18" s="103">
        <v>44.5</v>
      </c>
      <c r="K18" s="103">
        <v>43.9</v>
      </c>
      <c r="L18" s="103">
        <v>43.4</v>
      </c>
      <c r="M18" s="103">
        <v>40.200000000000003</v>
      </c>
      <c r="N18" s="30">
        <f>'BAADTbVT_DV-km'!F18</f>
        <v>26936</v>
      </c>
      <c r="O18" s="30"/>
      <c r="R18" s="176" t="s">
        <v>209</v>
      </c>
      <c r="S18" s="176" t="s">
        <v>220</v>
      </c>
      <c r="T18" s="176" t="s">
        <v>212</v>
      </c>
      <c r="U18" s="142" t="s">
        <v>802</v>
      </c>
      <c r="V18" s="145">
        <v>6193273</v>
      </c>
      <c r="W18" s="145">
        <v>6165410</v>
      </c>
      <c r="X18" s="145">
        <v>6339741</v>
      </c>
      <c r="Y18" s="145">
        <v>6500925</v>
      </c>
      <c r="Z18" s="145">
        <v>6700887</v>
      </c>
      <c r="AA18" s="145">
        <v>6841141</v>
      </c>
      <c r="AB18" s="145">
        <v>6796745</v>
      </c>
      <c r="AC18" s="145">
        <v>6688681</v>
      </c>
      <c r="AD18" s="145">
        <v>6035557</v>
      </c>
      <c r="AE18" s="145">
        <v>4975089</v>
      </c>
      <c r="AF18" s="145">
        <v>5032542</v>
      </c>
      <c r="AG18" s="145">
        <v>5592448</v>
      </c>
      <c r="AH18" s="4">
        <f t="shared" si="0"/>
        <v>-8.4678265071237435E-3</v>
      </c>
    </row>
    <row r="19" spans="1:34" ht="20.100000000000001" customHeight="1">
      <c r="A19" s="49" t="s">
        <v>246</v>
      </c>
      <c r="B19" s="49" t="s">
        <v>246</v>
      </c>
      <c r="C19" s="49" t="s">
        <v>246</v>
      </c>
      <c r="D19" s="51" t="s">
        <v>800</v>
      </c>
      <c r="E19" s="104">
        <v>201</v>
      </c>
      <c r="F19" s="104">
        <v>194.8</v>
      </c>
      <c r="G19" s="104">
        <v>193.1</v>
      </c>
      <c r="H19" s="104">
        <v>191.1</v>
      </c>
      <c r="I19" s="104">
        <v>193.1</v>
      </c>
      <c r="J19" s="104">
        <v>195</v>
      </c>
      <c r="K19" s="104">
        <v>193.3</v>
      </c>
      <c r="L19" s="104">
        <v>191.4</v>
      </c>
      <c r="M19" s="104">
        <v>173.9</v>
      </c>
      <c r="N19" s="30">
        <f>'BAADTbVT_DV-km'!F19</f>
        <v>122259</v>
      </c>
      <c r="O19" s="30">
        <f>SUM(N19:N20)</f>
        <v>160590</v>
      </c>
      <c r="R19" s="176" t="s">
        <v>209</v>
      </c>
      <c r="S19" s="176" t="s">
        <v>220</v>
      </c>
      <c r="T19" s="142" t="s">
        <v>804</v>
      </c>
      <c r="U19" s="142" t="s">
        <v>334</v>
      </c>
      <c r="V19" s="145">
        <v>242803</v>
      </c>
      <c r="W19" s="145">
        <v>257373</v>
      </c>
      <c r="X19" s="145">
        <v>288057</v>
      </c>
      <c r="Y19" s="145">
        <v>318127</v>
      </c>
      <c r="Z19" s="145">
        <v>351739</v>
      </c>
      <c r="AA19" s="145">
        <v>363907</v>
      </c>
      <c r="AB19" s="145">
        <v>352029</v>
      </c>
      <c r="AC19" s="145">
        <v>339810</v>
      </c>
      <c r="AD19" s="145">
        <v>332418</v>
      </c>
      <c r="AE19" s="145">
        <v>313467</v>
      </c>
      <c r="AF19" s="145">
        <v>360044</v>
      </c>
      <c r="AG19" s="145">
        <v>391295</v>
      </c>
      <c r="AH19" s="4">
        <f t="shared" si="0"/>
        <v>4.0568929688704625E-2</v>
      </c>
    </row>
    <row r="20" spans="1:34" ht="20.100000000000001" customHeight="1">
      <c r="A20" s="49" t="s">
        <v>246</v>
      </c>
      <c r="B20" s="49" t="s">
        <v>246</v>
      </c>
      <c r="C20" s="51" t="s">
        <v>820</v>
      </c>
      <c r="D20" s="51" t="s">
        <v>801</v>
      </c>
      <c r="E20" s="104">
        <v>42.4</v>
      </c>
      <c r="F20" s="104">
        <v>42.3</v>
      </c>
      <c r="G20" s="104">
        <v>43.1</v>
      </c>
      <c r="H20" s="104">
        <v>43.3</v>
      </c>
      <c r="I20" s="104">
        <v>42.7</v>
      </c>
      <c r="J20" s="104">
        <v>39.1</v>
      </c>
      <c r="K20" s="104">
        <v>33.1</v>
      </c>
      <c r="L20" s="104">
        <v>28.2</v>
      </c>
      <c r="M20" s="104">
        <v>25.2</v>
      </c>
      <c r="N20" s="30">
        <f>'BAADTbVT_DV-km'!F20</f>
        <v>38331</v>
      </c>
      <c r="O20" s="30"/>
      <c r="R20" s="176" t="s">
        <v>209</v>
      </c>
      <c r="S20" s="176" t="s">
        <v>806</v>
      </c>
      <c r="U20" s="142"/>
      <c r="V20" s="143">
        <v>59323777</v>
      </c>
      <c r="W20" s="143">
        <v>59586892</v>
      </c>
      <c r="X20" s="143">
        <v>60472558</v>
      </c>
      <c r="Y20" s="143">
        <v>62371335</v>
      </c>
      <c r="Z20" s="143">
        <v>63689270</v>
      </c>
      <c r="AA20" s="143">
        <v>65374340</v>
      </c>
      <c r="AB20" s="143">
        <v>64652723</v>
      </c>
      <c r="AC20" s="143">
        <v>64973932</v>
      </c>
      <c r="AD20" s="143">
        <v>65018813</v>
      </c>
      <c r="AE20" s="143">
        <v>65047326</v>
      </c>
      <c r="AF20" s="143">
        <v>68125917</v>
      </c>
      <c r="AG20" s="143">
        <v>64181226</v>
      </c>
      <c r="AH20" s="4">
        <f t="shared" si="0"/>
        <v>6.5799325257638319E-3</v>
      </c>
    </row>
    <row r="21" spans="1:34" ht="20.100000000000001" customHeight="1">
      <c r="A21" s="49" t="s">
        <v>246</v>
      </c>
      <c r="B21" s="51" t="s">
        <v>806</v>
      </c>
      <c r="C21" s="51" t="s">
        <v>334</v>
      </c>
      <c r="D21" s="51" t="s">
        <v>802</v>
      </c>
      <c r="E21" s="102">
        <v>50.2</v>
      </c>
      <c r="F21" s="102">
        <v>49.9</v>
      </c>
      <c r="G21" s="102">
        <v>49.8</v>
      </c>
      <c r="H21" s="102">
        <v>50.3</v>
      </c>
      <c r="I21" s="102">
        <v>50.2</v>
      </c>
      <c r="J21" s="102">
        <v>50.9</v>
      </c>
      <c r="K21" s="102">
        <v>49.7</v>
      </c>
      <c r="L21" s="102">
        <v>49.4</v>
      </c>
      <c r="M21" s="102">
        <v>49.4</v>
      </c>
      <c r="N21" s="30"/>
      <c r="O21" s="30"/>
      <c r="R21" s="176" t="s">
        <v>209</v>
      </c>
      <c r="S21" s="176" t="s">
        <v>223</v>
      </c>
      <c r="T21" s="176" t="s">
        <v>803</v>
      </c>
      <c r="U21" s="142" t="s">
        <v>334</v>
      </c>
      <c r="V21" s="143">
        <v>42624707</v>
      </c>
      <c r="W21" s="143">
        <v>42875461</v>
      </c>
      <c r="X21" s="143">
        <v>43554553</v>
      </c>
      <c r="Y21" s="143">
        <v>45349046</v>
      </c>
      <c r="Z21" s="143">
        <v>45841789</v>
      </c>
      <c r="AA21" s="143">
        <v>47399695</v>
      </c>
      <c r="AB21" s="143">
        <v>46796448</v>
      </c>
      <c r="AC21" s="143">
        <v>44912306</v>
      </c>
      <c r="AD21" s="143">
        <v>45038225</v>
      </c>
      <c r="AE21" s="143">
        <v>46627307</v>
      </c>
      <c r="AF21" s="143">
        <v>47192923</v>
      </c>
      <c r="AG21" s="143">
        <v>45421622</v>
      </c>
      <c r="AH21" s="4">
        <f t="shared" si="0"/>
        <v>5.3102316896584956E-3</v>
      </c>
    </row>
    <row r="22" spans="1:34" ht="20.100000000000001" customHeight="1">
      <c r="A22" s="49" t="s">
        <v>246</v>
      </c>
      <c r="B22" s="49" t="s">
        <v>246</v>
      </c>
      <c r="C22" s="51" t="s">
        <v>819</v>
      </c>
      <c r="D22" s="51" t="s">
        <v>334</v>
      </c>
      <c r="E22" s="102">
        <v>52.7</v>
      </c>
      <c r="F22" s="102">
        <v>52.3</v>
      </c>
      <c r="G22" s="102">
        <v>51.8</v>
      </c>
      <c r="H22" s="102">
        <v>52.5</v>
      </c>
      <c r="I22" s="102">
        <v>51.7</v>
      </c>
      <c r="J22" s="102">
        <v>52.6</v>
      </c>
      <c r="K22" s="102">
        <v>51.1</v>
      </c>
      <c r="L22" s="102">
        <v>48.3</v>
      </c>
      <c r="M22" s="102">
        <v>48.1</v>
      </c>
      <c r="N22" s="30"/>
      <c r="O22" s="30"/>
      <c r="R22" s="176" t="s">
        <v>209</v>
      </c>
      <c r="S22" s="176" t="s">
        <v>223</v>
      </c>
      <c r="T22" s="176" t="s">
        <v>212</v>
      </c>
      <c r="U22" s="142" t="s">
        <v>800</v>
      </c>
      <c r="V22" s="146">
        <v>24561995</v>
      </c>
      <c r="W22" s="146">
        <v>25136372</v>
      </c>
      <c r="X22" s="146">
        <v>25832045</v>
      </c>
      <c r="Y22" s="146">
        <v>27341597</v>
      </c>
      <c r="Z22" s="146">
        <v>27894196</v>
      </c>
      <c r="AA22" s="146">
        <v>29234415</v>
      </c>
      <c r="AB22" s="146">
        <v>29351912</v>
      </c>
      <c r="AC22" s="146">
        <v>28332591</v>
      </c>
      <c r="AD22" s="146">
        <v>28600525</v>
      </c>
      <c r="AE22" s="146">
        <v>30122120</v>
      </c>
      <c r="AF22" s="146">
        <v>30816989</v>
      </c>
      <c r="AG22" s="146">
        <v>28936686</v>
      </c>
      <c r="AH22" s="4">
        <f t="shared" si="0"/>
        <v>1.3752868483151603E-2</v>
      </c>
    </row>
    <row r="23" spans="1:34" ht="20.100000000000001" customHeight="1">
      <c r="A23" s="49" t="s">
        <v>246</v>
      </c>
      <c r="B23" s="49" t="s">
        <v>246</v>
      </c>
      <c r="C23" s="49" t="s">
        <v>246</v>
      </c>
      <c r="D23" s="51" t="s">
        <v>800</v>
      </c>
      <c r="E23" s="105">
        <v>43.7</v>
      </c>
      <c r="F23" s="105">
        <v>43.6</v>
      </c>
      <c r="G23" s="105">
        <v>43.2</v>
      </c>
      <c r="H23" s="105">
        <v>43.9</v>
      </c>
      <c r="I23" s="105">
        <v>43</v>
      </c>
      <c r="J23" s="105">
        <v>43.7</v>
      </c>
      <c r="K23" s="105">
        <v>42.6</v>
      </c>
      <c r="L23" s="105">
        <v>39.700000000000003</v>
      </c>
      <c r="M23" s="105">
        <v>39.200000000000003</v>
      </c>
      <c r="N23" s="30">
        <f>'BAADTbVT_DV-km'!F23</f>
        <v>2197972</v>
      </c>
      <c r="O23" s="30">
        <f>SUM(N23:N24)</f>
        <v>2484566</v>
      </c>
      <c r="R23" s="176" t="s">
        <v>209</v>
      </c>
      <c r="S23" s="176" t="s">
        <v>223</v>
      </c>
      <c r="T23" s="176" t="s">
        <v>212</v>
      </c>
      <c r="U23" s="142" t="s">
        <v>801</v>
      </c>
      <c r="V23" s="146">
        <v>9783723</v>
      </c>
      <c r="W23" s="146">
        <v>9308598</v>
      </c>
      <c r="X23" s="146">
        <v>8926124</v>
      </c>
      <c r="Y23" s="146">
        <v>8893382</v>
      </c>
      <c r="Z23" s="146">
        <v>8617056</v>
      </c>
      <c r="AA23" s="146">
        <v>8300131</v>
      </c>
      <c r="AB23" s="146">
        <v>7547996</v>
      </c>
      <c r="AC23" s="146">
        <v>6712613</v>
      </c>
      <c r="AD23" s="146">
        <v>6750838</v>
      </c>
      <c r="AE23" s="146">
        <v>6392232</v>
      </c>
      <c r="AF23" s="146">
        <v>6311866</v>
      </c>
      <c r="AG23" s="146">
        <v>6149557</v>
      </c>
      <c r="AH23" s="4">
        <f t="shared" si="0"/>
        <v>-3.7955915336251311E-2</v>
      </c>
    </row>
    <row r="24" spans="1:34" ht="20.100000000000001" customHeight="1">
      <c r="A24" s="49" t="s">
        <v>246</v>
      </c>
      <c r="B24" s="49" t="s">
        <v>246</v>
      </c>
      <c r="C24" s="49" t="s">
        <v>246</v>
      </c>
      <c r="D24" s="51" t="s">
        <v>801</v>
      </c>
      <c r="E24" s="105">
        <v>53.3</v>
      </c>
      <c r="F24" s="105">
        <v>51.8</v>
      </c>
      <c r="G24" s="105">
        <v>50.5</v>
      </c>
      <c r="H24" s="105">
        <v>51.4</v>
      </c>
      <c r="I24" s="105">
        <v>51.3</v>
      </c>
      <c r="J24" s="105">
        <v>51.7</v>
      </c>
      <c r="K24" s="105">
        <v>49.3</v>
      </c>
      <c r="L24" s="105">
        <v>46.5</v>
      </c>
      <c r="M24" s="105">
        <v>50.6</v>
      </c>
      <c r="N24" s="30">
        <f>'BAADTbVT_DV-km'!F24</f>
        <v>286594</v>
      </c>
      <c r="O24" s="30"/>
      <c r="R24" s="176" t="s">
        <v>209</v>
      </c>
      <c r="S24" s="176" t="s">
        <v>223</v>
      </c>
      <c r="T24" s="176" t="s">
        <v>212</v>
      </c>
      <c r="U24" s="142" t="s">
        <v>802</v>
      </c>
      <c r="V24" s="147">
        <v>8278988</v>
      </c>
      <c r="W24" s="147">
        <v>8430491</v>
      </c>
      <c r="X24" s="147">
        <v>8796384</v>
      </c>
      <c r="Y24" s="147">
        <v>9114066</v>
      </c>
      <c r="Z24" s="147">
        <v>9330537</v>
      </c>
      <c r="AA24" s="147">
        <v>9865148</v>
      </c>
      <c r="AB24" s="147">
        <v>9896539</v>
      </c>
      <c r="AC24" s="147">
        <v>9867102</v>
      </c>
      <c r="AD24" s="147">
        <v>9686862</v>
      </c>
      <c r="AE24" s="147">
        <v>10112955</v>
      </c>
      <c r="AF24" s="147">
        <v>10064069</v>
      </c>
      <c r="AG24" s="147">
        <v>10335379</v>
      </c>
      <c r="AH24" s="4">
        <f t="shared" si="0"/>
        <v>1.8659632256605052E-2</v>
      </c>
    </row>
    <row r="25" spans="1:34" ht="20.100000000000001" customHeight="1">
      <c r="A25" s="49" t="s">
        <v>246</v>
      </c>
      <c r="B25" s="49" t="s">
        <v>246</v>
      </c>
      <c r="C25" s="49" t="s">
        <v>246</v>
      </c>
      <c r="D25" s="51" t="s">
        <v>802</v>
      </c>
      <c r="E25" s="106">
        <v>130.9</v>
      </c>
      <c r="F25" s="106">
        <v>131</v>
      </c>
      <c r="G25" s="106">
        <v>133</v>
      </c>
      <c r="H25" s="106">
        <v>134.4</v>
      </c>
      <c r="I25" s="106">
        <v>134.5</v>
      </c>
      <c r="J25" s="106">
        <v>137.9</v>
      </c>
      <c r="K25" s="106">
        <v>135.69999999999999</v>
      </c>
      <c r="L25" s="106">
        <v>134.80000000000001</v>
      </c>
      <c r="M25" s="106">
        <v>133.1</v>
      </c>
      <c r="N25" s="30">
        <f>'BAADTbVT_DV-km'!F25</f>
        <v>159926</v>
      </c>
      <c r="O25" s="30">
        <f>N25</f>
        <v>159926</v>
      </c>
      <c r="R25" s="176" t="s">
        <v>209</v>
      </c>
      <c r="S25" s="176" t="s">
        <v>223</v>
      </c>
      <c r="T25" s="176" t="s">
        <v>810</v>
      </c>
      <c r="U25" s="142" t="s">
        <v>334</v>
      </c>
      <c r="V25" s="143">
        <v>355600</v>
      </c>
      <c r="W25" s="143">
        <v>350790</v>
      </c>
      <c r="X25" s="143">
        <v>349807</v>
      </c>
      <c r="Y25" s="143">
        <v>353691</v>
      </c>
      <c r="Z25" s="143">
        <v>367605</v>
      </c>
      <c r="AA25" s="143">
        <v>378248</v>
      </c>
      <c r="AB25" s="143">
        <v>376751</v>
      </c>
      <c r="AC25" s="143">
        <v>373440</v>
      </c>
      <c r="AD25" s="143">
        <v>374965</v>
      </c>
      <c r="AE25" s="143">
        <v>388079</v>
      </c>
      <c r="AF25" s="143">
        <v>368544</v>
      </c>
      <c r="AG25" s="143">
        <v>338210</v>
      </c>
      <c r="AH25" s="4">
        <f t="shared" si="0"/>
        <v>-4.1695746935809241E-3</v>
      </c>
    </row>
    <row r="26" spans="1:34" ht="20.100000000000001" customHeight="1">
      <c r="A26" s="49" t="s">
        <v>246</v>
      </c>
      <c r="B26" s="49" t="s">
        <v>246</v>
      </c>
      <c r="C26" s="51" t="s">
        <v>821</v>
      </c>
      <c r="D26" s="51" t="s">
        <v>334</v>
      </c>
      <c r="E26" s="102">
        <v>20.399999999999999</v>
      </c>
      <c r="F26" s="102">
        <v>19.8</v>
      </c>
      <c r="G26" s="102">
        <v>19.3</v>
      </c>
      <c r="H26" s="102">
        <v>19.100000000000001</v>
      </c>
      <c r="I26" s="102">
        <v>19.3</v>
      </c>
      <c r="J26" s="102">
        <v>19.399999999999999</v>
      </c>
      <c r="K26" s="102">
        <v>19</v>
      </c>
      <c r="L26" s="102">
        <v>18.5</v>
      </c>
      <c r="M26" s="102">
        <v>18.600000000000001</v>
      </c>
      <c r="N26" s="30"/>
      <c r="O26" s="30"/>
      <c r="R26" s="176" t="s">
        <v>209</v>
      </c>
      <c r="S26" s="176" t="s">
        <v>223</v>
      </c>
      <c r="T26" s="176" t="s">
        <v>224</v>
      </c>
      <c r="U26" s="142" t="s">
        <v>800</v>
      </c>
      <c r="V26" s="146">
        <v>119552</v>
      </c>
      <c r="W26" s="146">
        <v>131475</v>
      </c>
      <c r="X26" s="146">
        <v>143670</v>
      </c>
      <c r="Y26" s="146">
        <v>155424</v>
      </c>
      <c r="Z26" s="146">
        <v>169127</v>
      </c>
      <c r="AA26" s="146">
        <v>181003</v>
      </c>
      <c r="AB26" s="146">
        <v>193176</v>
      </c>
      <c r="AC26" s="146">
        <v>199040</v>
      </c>
      <c r="AD26" s="146">
        <v>206142</v>
      </c>
      <c r="AE26" s="146">
        <v>218172</v>
      </c>
      <c r="AF26" s="146">
        <v>211922</v>
      </c>
      <c r="AG26" s="146">
        <v>205355</v>
      </c>
      <c r="AH26" s="4">
        <f t="shared" si="0"/>
        <v>4.6114053157867207E-2</v>
      </c>
    </row>
    <row r="27" spans="1:34" ht="20.100000000000001" customHeight="1">
      <c r="A27" s="49" t="s">
        <v>246</v>
      </c>
      <c r="B27" s="49" t="s">
        <v>246</v>
      </c>
      <c r="C27" s="49" t="s">
        <v>246</v>
      </c>
      <c r="D27" s="51" t="s">
        <v>800</v>
      </c>
      <c r="E27" s="105">
        <v>19.899999999999999</v>
      </c>
      <c r="F27" s="105">
        <v>20.399999999999999</v>
      </c>
      <c r="G27" s="105">
        <v>20.9</v>
      </c>
      <c r="H27" s="105">
        <v>21</v>
      </c>
      <c r="I27" s="105">
        <v>21.3</v>
      </c>
      <c r="J27" s="105">
        <v>21.4</v>
      </c>
      <c r="K27" s="105">
        <v>21.7</v>
      </c>
      <c r="L27" s="105">
        <v>21.3</v>
      </c>
      <c r="M27" s="105">
        <v>21.4</v>
      </c>
      <c r="N27" s="30">
        <f>'BAADTbVT_DV-km'!F27</f>
        <v>32903</v>
      </c>
      <c r="O27" s="30">
        <f>SUM(N27:N28)</f>
        <v>46380</v>
      </c>
      <c r="R27" s="176" t="s">
        <v>209</v>
      </c>
      <c r="S27" s="176" t="s">
        <v>223</v>
      </c>
      <c r="T27" s="176" t="s">
        <v>224</v>
      </c>
      <c r="U27" s="142" t="s">
        <v>801</v>
      </c>
      <c r="V27" s="146">
        <v>172929</v>
      </c>
      <c r="W27" s="146">
        <v>160739</v>
      </c>
      <c r="X27" s="146">
        <v>148898</v>
      </c>
      <c r="Y27" s="146">
        <v>140335</v>
      </c>
      <c r="Z27" s="146">
        <v>136775</v>
      </c>
      <c r="AA27" s="146">
        <v>131813</v>
      </c>
      <c r="AB27" s="146">
        <v>120701</v>
      </c>
      <c r="AC27" s="146">
        <v>112016</v>
      </c>
      <c r="AD27" s="146">
        <v>104923</v>
      </c>
      <c r="AE27" s="146">
        <v>100432</v>
      </c>
      <c r="AF27" s="146">
        <v>91749</v>
      </c>
      <c r="AG27" s="146">
        <v>75648</v>
      </c>
      <c r="AH27" s="4">
        <f t="shared" si="0"/>
        <v>-6.6579212771151863E-2</v>
      </c>
    </row>
    <row r="28" spans="1:34" ht="20.100000000000001" customHeight="1">
      <c r="A28" s="49" t="s">
        <v>246</v>
      </c>
      <c r="B28" s="49" t="s">
        <v>246</v>
      </c>
      <c r="C28" s="49" t="s">
        <v>246</v>
      </c>
      <c r="D28" s="51" t="s">
        <v>801</v>
      </c>
      <c r="E28" s="105">
        <v>20.399999999999999</v>
      </c>
      <c r="F28" s="105">
        <v>19.3</v>
      </c>
      <c r="G28" s="105">
        <v>18.100000000000001</v>
      </c>
      <c r="H28" s="105">
        <v>17.3</v>
      </c>
      <c r="I28" s="105">
        <v>17</v>
      </c>
      <c r="J28" s="105">
        <v>16.7</v>
      </c>
      <c r="K28" s="105">
        <v>15.6</v>
      </c>
      <c r="L28" s="105">
        <v>14.8</v>
      </c>
      <c r="M28" s="105">
        <v>14.4</v>
      </c>
      <c r="N28" s="30">
        <f>'BAADTbVT_DV-km'!F28</f>
        <v>13477</v>
      </c>
      <c r="O28" s="30"/>
      <c r="R28" s="176" t="s">
        <v>209</v>
      </c>
      <c r="S28" s="176" t="s">
        <v>223</v>
      </c>
      <c r="T28" s="176" t="s">
        <v>224</v>
      </c>
      <c r="U28" s="142" t="s">
        <v>802</v>
      </c>
      <c r="V28" s="147">
        <v>63119</v>
      </c>
      <c r="W28" s="147">
        <v>58575</v>
      </c>
      <c r="X28" s="147">
        <v>57238</v>
      </c>
      <c r="Y28" s="147">
        <v>57933</v>
      </c>
      <c r="Z28" s="147">
        <v>61704</v>
      </c>
      <c r="AA28" s="147">
        <v>65431</v>
      </c>
      <c r="AB28" s="147">
        <v>62874</v>
      </c>
      <c r="AC28" s="147">
        <v>62384</v>
      </c>
      <c r="AD28" s="147">
        <v>63900</v>
      </c>
      <c r="AE28" s="147">
        <v>69474</v>
      </c>
      <c r="AF28" s="147">
        <v>64872</v>
      </c>
      <c r="AG28" s="147">
        <v>57208</v>
      </c>
      <c r="AH28" s="4">
        <f t="shared" si="0"/>
        <v>-8.1605276987979369E-3</v>
      </c>
    </row>
    <row r="29" spans="1:34" ht="20.100000000000001" customHeight="1">
      <c r="A29" s="49" t="s">
        <v>246</v>
      </c>
      <c r="B29" s="49" t="s">
        <v>246</v>
      </c>
      <c r="C29" s="49" t="s">
        <v>246</v>
      </c>
      <c r="D29" s="51" t="s">
        <v>802</v>
      </c>
      <c r="E29" s="106">
        <v>21.5</v>
      </c>
      <c r="F29" s="106">
        <v>19.8</v>
      </c>
      <c r="G29" s="106">
        <v>19.100000000000001</v>
      </c>
      <c r="H29" s="106">
        <v>19.3</v>
      </c>
      <c r="I29" s="106">
        <v>20.2</v>
      </c>
      <c r="J29" s="106">
        <v>20.9</v>
      </c>
      <c r="K29" s="106">
        <v>19.7</v>
      </c>
      <c r="L29" s="106">
        <v>19.3</v>
      </c>
      <c r="M29" s="106">
        <v>19.7</v>
      </c>
      <c r="N29" s="30">
        <f>'BAADTbVT_DV-km'!F29</f>
        <v>7048</v>
      </c>
      <c r="O29" s="30">
        <f>N29</f>
        <v>7048</v>
      </c>
      <c r="R29" s="176" t="s">
        <v>209</v>
      </c>
      <c r="S29" s="176" t="s">
        <v>223</v>
      </c>
      <c r="T29" s="176" t="s">
        <v>805</v>
      </c>
      <c r="U29" s="142" t="s">
        <v>334</v>
      </c>
      <c r="V29" s="143">
        <v>8945957</v>
      </c>
      <c r="W29" s="143">
        <v>8426321</v>
      </c>
      <c r="X29" s="143">
        <v>8271062</v>
      </c>
      <c r="Y29" s="143">
        <v>7806793</v>
      </c>
      <c r="Z29" s="143">
        <v>7690895</v>
      </c>
      <c r="AA29" s="143">
        <v>6951602</v>
      </c>
      <c r="AB29" s="143">
        <v>6775159</v>
      </c>
      <c r="AC29" s="143">
        <v>6417014</v>
      </c>
      <c r="AD29" s="143">
        <v>5890275</v>
      </c>
      <c r="AE29" s="143">
        <v>5284726</v>
      </c>
      <c r="AF29" s="143">
        <v>5186638</v>
      </c>
      <c r="AG29" s="143">
        <v>4891965</v>
      </c>
      <c r="AH29" s="4">
        <f t="shared" si="0"/>
        <v>-4.9056506573116554E-2</v>
      </c>
    </row>
    <row r="30" spans="1:34" ht="20.100000000000001" customHeight="1">
      <c r="A30" s="49" t="s">
        <v>246</v>
      </c>
      <c r="B30" s="49" t="s">
        <v>246</v>
      </c>
      <c r="C30" s="51" t="s">
        <v>805</v>
      </c>
      <c r="D30" s="51" t="s">
        <v>334</v>
      </c>
      <c r="E30" s="102">
        <v>39.6</v>
      </c>
      <c r="F30" s="102">
        <v>38.799999999999997</v>
      </c>
      <c r="G30" s="102">
        <v>39.6</v>
      </c>
      <c r="H30" s="102">
        <v>38.9</v>
      </c>
      <c r="I30" s="102">
        <v>39.9</v>
      </c>
      <c r="J30" s="102">
        <v>38.200000000000003</v>
      </c>
      <c r="K30" s="102">
        <v>39.4</v>
      </c>
      <c r="L30" s="102">
        <v>39.9</v>
      </c>
      <c r="M30" s="102">
        <v>40.1</v>
      </c>
      <c r="N30" s="30"/>
      <c r="O30" s="30"/>
      <c r="R30" s="176" t="s">
        <v>209</v>
      </c>
      <c r="S30" s="176" t="s">
        <v>223</v>
      </c>
      <c r="T30" s="176" t="s">
        <v>225</v>
      </c>
      <c r="U30" s="142" t="s">
        <v>800</v>
      </c>
      <c r="V30" s="146">
        <v>7029117</v>
      </c>
      <c r="W30" s="146">
        <v>6725071</v>
      </c>
      <c r="X30" s="146">
        <v>6755600</v>
      </c>
      <c r="Y30" s="146">
        <v>6497082</v>
      </c>
      <c r="Z30" s="146">
        <v>6567076</v>
      </c>
      <c r="AA30" s="146">
        <v>6090180</v>
      </c>
      <c r="AB30" s="146">
        <v>6037645</v>
      </c>
      <c r="AC30" s="146">
        <v>5862646</v>
      </c>
      <c r="AD30" s="146">
        <v>5488103</v>
      </c>
      <c r="AE30" s="146">
        <v>4994886</v>
      </c>
      <c r="AF30" s="146">
        <v>4971729</v>
      </c>
      <c r="AG30" s="146">
        <v>4743607</v>
      </c>
      <c r="AH30" s="4">
        <f t="shared" si="0"/>
        <v>-3.2240758129605362E-2</v>
      </c>
    </row>
    <row r="31" spans="1:34" ht="20.100000000000001" customHeight="1">
      <c r="A31" s="49" t="s">
        <v>246</v>
      </c>
      <c r="B31" s="49" t="s">
        <v>246</v>
      </c>
      <c r="C31" s="49" t="s">
        <v>246</v>
      </c>
      <c r="D31" s="51" t="s">
        <v>800</v>
      </c>
      <c r="E31" s="105">
        <v>39.299999999999997</v>
      </c>
      <c r="F31" s="105">
        <v>38.9</v>
      </c>
      <c r="G31" s="105">
        <v>40.299999999999997</v>
      </c>
      <c r="H31" s="105">
        <v>39.799999999999997</v>
      </c>
      <c r="I31" s="105">
        <v>41.3</v>
      </c>
      <c r="J31" s="105">
        <v>39.799999999999997</v>
      </c>
      <c r="K31" s="105">
        <v>40.9</v>
      </c>
      <c r="L31" s="105">
        <v>41.6</v>
      </c>
      <c r="M31" s="105">
        <v>41.7</v>
      </c>
      <c r="N31" s="30">
        <f>'BAADTbVT_DV-km'!F31</f>
        <v>332770</v>
      </c>
      <c r="O31" s="30">
        <f>SUM(N31:N32)</f>
        <v>337802</v>
      </c>
      <c r="R31" s="176" t="s">
        <v>209</v>
      </c>
      <c r="S31" s="176" t="s">
        <v>223</v>
      </c>
      <c r="T31" s="176" t="s">
        <v>225</v>
      </c>
      <c r="U31" s="142" t="s">
        <v>801</v>
      </c>
      <c r="V31" s="146">
        <v>1916840</v>
      </c>
      <c r="W31" s="146">
        <v>1701250</v>
      </c>
      <c r="X31" s="146">
        <v>1515462</v>
      </c>
      <c r="Y31" s="146">
        <v>1309711</v>
      </c>
      <c r="Z31" s="146">
        <v>1123819</v>
      </c>
      <c r="AA31" s="146">
        <v>861421</v>
      </c>
      <c r="AB31" s="146">
        <v>737514</v>
      </c>
      <c r="AC31" s="146">
        <v>554367</v>
      </c>
      <c r="AD31" s="146">
        <v>402172</v>
      </c>
      <c r="AE31" s="146">
        <v>289840</v>
      </c>
      <c r="AF31" s="146">
        <v>214909</v>
      </c>
      <c r="AG31" s="146">
        <v>148358</v>
      </c>
      <c r="AH31" s="4">
        <f t="shared" si="0"/>
        <v>-0.19203274747378496</v>
      </c>
    </row>
    <row r="32" spans="1:34" ht="20.100000000000001" customHeight="1">
      <c r="A32" s="49" t="s">
        <v>246</v>
      </c>
      <c r="B32" s="49" t="s">
        <v>246</v>
      </c>
      <c r="C32" s="49" t="s">
        <v>246</v>
      </c>
      <c r="D32" s="51" t="s">
        <v>801</v>
      </c>
      <c r="E32" s="105">
        <v>41.1</v>
      </c>
      <c r="F32" s="105">
        <v>38.700000000000003</v>
      </c>
      <c r="G32" s="105">
        <v>36.9</v>
      </c>
      <c r="H32" s="105">
        <v>34.799999999999997</v>
      </c>
      <c r="I32" s="105">
        <v>33.4</v>
      </c>
      <c r="J32" s="105">
        <v>29.9</v>
      </c>
      <c r="K32" s="105">
        <v>30.4</v>
      </c>
      <c r="L32" s="105">
        <v>28</v>
      </c>
      <c r="M32" s="105">
        <v>26.1</v>
      </c>
      <c r="N32" s="30">
        <f>'BAADTbVT_DV-km'!F32</f>
        <v>5032</v>
      </c>
      <c r="O32" s="30"/>
      <c r="R32" s="176" t="s">
        <v>209</v>
      </c>
      <c r="S32" s="176" t="s">
        <v>223</v>
      </c>
      <c r="T32" s="142" t="s">
        <v>804</v>
      </c>
      <c r="U32" s="142" t="s">
        <v>802</v>
      </c>
      <c r="V32" s="147">
        <v>7397513</v>
      </c>
      <c r="W32" s="147">
        <v>7934320</v>
      </c>
      <c r="X32" s="147">
        <v>8297137</v>
      </c>
      <c r="Y32" s="147">
        <v>8861805</v>
      </c>
      <c r="Z32" s="147">
        <v>9788981</v>
      </c>
      <c r="AA32" s="147">
        <v>10644794</v>
      </c>
      <c r="AB32" s="147">
        <v>10704365</v>
      </c>
      <c r="AC32" s="147">
        <v>13271172</v>
      </c>
      <c r="AD32" s="147">
        <v>13715348</v>
      </c>
      <c r="AE32" s="147">
        <v>12747214</v>
      </c>
      <c r="AF32" s="147">
        <v>15377813</v>
      </c>
      <c r="AG32" s="147">
        <v>13529429</v>
      </c>
      <c r="AH32" s="4">
        <f t="shared" si="0"/>
        <v>5.1597336796139093E-2</v>
      </c>
    </row>
    <row r="33" spans="1:52" ht="20.100000000000001" customHeight="1">
      <c r="A33" s="49"/>
      <c r="B33" s="49" t="s">
        <v>246</v>
      </c>
      <c r="C33" s="51" t="s">
        <v>820</v>
      </c>
      <c r="D33" s="51" t="s">
        <v>802</v>
      </c>
      <c r="E33" s="106">
        <v>56.7</v>
      </c>
      <c r="F33" s="106">
        <v>57.4</v>
      </c>
      <c r="G33" s="106">
        <v>56.4</v>
      </c>
      <c r="H33" s="106">
        <v>56.1</v>
      </c>
      <c r="I33" s="106">
        <v>57.4</v>
      </c>
      <c r="J33" s="106">
        <v>58.4</v>
      </c>
      <c r="K33" s="106">
        <v>55.2</v>
      </c>
      <c r="L33" s="106">
        <v>65.099999999999994</v>
      </c>
      <c r="M33" s="106">
        <v>64.599999999999994</v>
      </c>
      <c r="N33" s="30">
        <f>'BAADTbVT_DV-km'!F33</f>
        <v>681021</v>
      </c>
      <c r="O33" s="30">
        <f>N33</f>
        <v>681021</v>
      </c>
      <c r="R33" s="176" t="s">
        <v>209</v>
      </c>
      <c r="S33" s="176" t="s">
        <v>809</v>
      </c>
      <c r="T33" s="142" t="s">
        <v>334</v>
      </c>
      <c r="U33" s="142" t="s">
        <v>334</v>
      </c>
      <c r="V33" s="143">
        <v>3054929</v>
      </c>
      <c r="W33" s="143">
        <v>3112000</v>
      </c>
      <c r="X33" s="143">
        <v>3281098</v>
      </c>
      <c r="Y33" s="143">
        <v>3411719</v>
      </c>
      <c r="Z33" s="143">
        <v>3665954</v>
      </c>
      <c r="AA33" s="143">
        <v>3903551</v>
      </c>
      <c r="AB33" s="143">
        <v>3920668</v>
      </c>
      <c r="AC33" s="143">
        <v>3980166</v>
      </c>
      <c r="AD33" s="143">
        <v>3959137</v>
      </c>
      <c r="AE33" s="143">
        <v>4232654</v>
      </c>
      <c r="AF33" s="143">
        <v>4322830</v>
      </c>
      <c r="AG33" s="143">
        <v>4324481</v>
      </c>
      <c r="AH33" s="4">
        <f t="shared" si="0"/>
        <v>2.9384772076687993E-2</v>
      </c>
    </row>
    <row r="34" spans="1:52" ht="20.100000000000001" customHeight="1">
      <c r="A34" s="49" t="s">
        <v>246</v>
      </c>
      <c r="B34" s="51" t="s">
        <v>817</v>
      </c>
      <c r="C34" s="51" t="s">
        <v>334</v>
      </c>
      <c r="D34" s="51" t="s">
        <v>334</v>
      </c>
      <c r="E34" s="102">
        <v>137.30000000000001</v>
      </c>
      <c r="F34" s="102">
        <v>132.69999999999999</v>
      </c>
      <c r="G34" s="102">
        <v>132.5</v>
      </c>
      <c r="H34" s="102">
        <v>129.4</v>
      </c>
      <c r="I34" s="102">
        <v>128.69999999999999</v>
      </c>
      <c r="J34" s="102">
        <v>128</v>
      </c>
      <c r="K34" s="102">
        <v>121.5</v>
      </c>
      <c r="L34" s="102">
        <v>116.9</v>
      </c>
      <c r="M34" s="102">
        <v>108.7</v>
      </c>
      <c r="N34" s="30"/>
      <c r="O34" s="30"/>
      <c r="R34" s="176" t="s">
        <v>209</v>
      </c>
      <c r="S34" s="176" t="s">
        <v>228</v>
      </c>
      <c r="T34" s="142" t="s">
        <v>807</v>
      </c>
      <c r="U34" s="142" t="s">
        <v>800</v>
      </c>
      <c r="V34" s="147">
        <v>2638813</v>
      </c>
      <c r="W34" s="147">
        <v>2667608</v>
      </c>
      <c r="X34" s="147">
        <v>2819614</v>
      </c>
      <c r="Y34" s="147">
        <v>2896454</v>
      </c>
      <c r="Z34" s="147">
        <v>3071024</v>
      </c>
      <c r="AA34" s="147">
        <v>3259770</v>
      </c>
      <c r="AB34" s="147">
        <v>3223628</v>
      </c>
      <c r="AC34" s="147">
        <v>3248148</v>
      </c>
      <c r="AD34" s="147">
        <v>3184097</v>
      </c>
      <c r="AE34" s="147">
        <v>3357317</v>
      </c>
      <c r="AF34" s="147">
        <v>3389498</v>
      </c>
      <c r="AG34" s="147">
        <v>3320917</v>
      </c>
      <c r="AH34" s="4">
        <f t="shared" si="0"/>
        <v>1.9344030333672491E-2</v>
      </c>
    </row>
    <row r="35" spans="1:52" ht="20.100000000000001" customHeight="1">
      <c r="A35" s="49" t="s">
        <v>246</v>
      </c>
      <c r="B35" s="49" t="s">
        <v>246</v>
      </c>
      <c r="C35" s="51" t="s">
        <v>807</v>
      </c>
      <c r="D35" s="51" t="s">
        <v>800</v>
      </c>
      <c r="E35" s="106">
        <v>215.1</v>
      </c>
      <c r="F35" s="106">
        <v>210.9</v>
      </c>
      <c r="G35" s="106">
        <v>212.3</v>
      </c>
      <c r="H35" s="106">
        <v>216.7</v>
      </c>
      <c r="I35" s="106">
        <v>221.7</v>
      </c>
      <c r="J35" s="106">
        <v>228.4</v>
      </c>
      <c r="K35" s="106">
        <v>224.2</v>
      </c>
      <c r="L35" s="106">
        <v>225.3</v>
      </c>
      <c r="M35" s="106">
        <v>220.7</v>
      </c>
      <c r="N35" s="30">
        <f>'BAADTbVT_DV-km'!F35</f>
        <v>40407</v>
      </c>
      <c r="O35" s="30">
        <f>SUM(N35,N37)</f>
        <v>133664</v>
      </c>
      <c r="R35" s="176" t="s">
        <v>209</v>
      </c>
      <c r="S35" s="176" t="s">
        <v>228</v>
      </c>
      <c r="T35" s="142" t="s">
        <v>808</v>
      </c>
      <c r="U35" s="142" t="s">
        <v>801</v>
      </c>
      <c r="V35" s="146">
        <v>248142</v>
      </c>
      <c r="W35" s="146">
        <v>253734</v>
      </c>
      <c r="X35" s="146">
        <v>237812</v>
      </c>
      <c r="Y35" s="146">
        <v>255059</v>
      </c>
      <c r="Z35" s="146">
        <v>270813</v>
      </c>
      <c r="AA35" s="146">
        <v>275726</v>
      </c>
      <c r="AB35" s="146">
        <v>281752</v>
      </c>
      <c r="AC35" s="146">
        <v>273880</v>
      </c>
      <c r="AD35" s="146">
        <v>268866</v>
      </c>
      <c r="AE35" s="146">
        <v>271257</v>
      </c>
      <c r="AF35" s="146">
        <v>261719</v>
      </c>
      <c r="AG35" s="146">
        <v>262163</v>
      </c>
      <c r="AH35" s="4">
        <f t="shared" si="0"/>
        <v>4.5909466495832607E-3</v>
      </c>
    </row>
    <row r="36" spans="1:52" ht="20.100000000000001" customHeight="1">
      <c r="A36" s="49" t="s">
        <v>246</v>
      </c>
      <c r="B36" s="49" t="s">
        <v>246</v>
      </c>
      <c r="C36" s="51" t="s">
        <v>808</v>
      </c>
      <c r="D36" s="51" t="s">
        <v>801</v>
      </c>
      <c r="E36" s="105">
        <v>60</v>
      </c>
      <c r="F36" s="105">
        <v>60</v>
      </c>
      <c r="G36" s="105">
        <v>58.3</v>
      </c>
      <c r="H36" s="105">
        <v>57.4</v>
      </c>
      <c r="I36" s="105">
        <v>59.9</v>
      </c>
      <c r="J36" s="105">
        <v>60.3</v>
      </c>
      <c r="K36" s="105">
        <v>62.2</v>
      </c>
      <c r="L36" s="105">
        <v>60.9</v>
      </c>
      <c r="M36" s="105">
        <v>61.6</v>
      </c>
      <c r="N36" s="30">
        <f>'BAADTbVT_DV-km'!F36</f>
        <v>10226</v>
      </c>
      <c r="O36" s="30">
        <f>N36</f>
        <v>10226</v>
      </c>
      <c r="R36" s="176" t="s">
        <v>209</v>
      </c>
      <c r="S36" s="176" t="s">
        <v>228</v>
      </c>
      <c r="T36" s="142" t="s">
        <v>822</v>
      </c>
      <c r="U36" s="142" t="s">
        <v>334</v>
      </c>
      <c r="V36" s="147">
        <v>167974</v>
      </c>
      <c r="W36" s="147">
        <v>190658</v>
      </c>
      <c r="X36" s="147">
        <v>223673</v>
      </c>
      <c r="Y36" s="147">
        <v>260206</v>
      </c>
      <c r="Z36" s="147">
        <v>324117</v>
      </c>
      <c r="AA36" s="147">
        <v>368054</v>
      </c>
      <c r="AB36" s="147">
        <v>415288</v>
      </c>
      <c r="AC36" s="147">
        <v>458138</v>
      </c>
      <c r="AD36" s="147">
        <v>506173</v>
      </c>
      <c r="AE36" s="147">
        <v>604080</v>
      </c>
      <c r="AF36" s="147">
        <v>671613</v>
      </c>
      <c r="AG36" s="147">
        <v>741401</v>
      </c>
      <c r="AH36" s="4">
        <f t="shared" si="0"/>
        <v>0.13170766824755398</v>
      </c>
    </row>
    <row r="37" spans="1:52" ht="20.100000000000001" customHeight="1">
      <c r="A37" s="107" t="s">
        <v>246</v>
      </c>
      <c r="B37" s="107" t="s">
        <v>246</v>
      </c>
      <c r="C37" s="108" t="s">
        <v>822</v>
      </c>
      <c r="D37" s="108" t="s">
        <v>334</v>
      </c>
      <c r="E37" s="106">
        <v>28.7</v>
      </c>
      <c r="F37" s="106">
        <v>29</v>
      </c>
      <c r="G37" s="106">
        <v>30.2</v>
      </c>
      <c r="H37" s="106">
        <v>30.4</v>
      </c>
      <c r="I37" s="106">
        <v>32</v>
      </c>
      <c r="J37" s="106">
        <v>31.6</v>
      </c>
      <c r="K37" s="106">
        <v>31.1</v>
      </c>
      <c r="L37" s="106">
        <v>30.3</v>
      </c>
      <c r="M37" s="106">
        <v>28.7</v>
      </c>
      <c r="N37" s="30">
        <f>'BAADTbVT_DV-km'!F37</f>
        <v>93257</v>
      </c>
      <c r="O37" s="30"/>
    </row>
    <row r="39" spans="1:52">
      <c r="D39" s="4" t="s">
        <v>247</v>
      </c>
      <c r="E39" s="4">
        <v>2012</v>
      </c>
      <c r="F39" s="4">
        <v>2013</v>
      </c>
      <c r="G39" s="4">
        <v>2014</v>
      </c>
      <c r="H39" s="4">
        <v>2015</v>
      </c>
      <c r="I39" s="4">
        <v>2016</v>
      </c>
      <c r="J39" s="4">
        <v>2017</v>
      </c>
      <c r="K39" s="4">
        <v>2018</v>
      </c>
      <c r="L39" s="4">
        <v>2019</v>
      </c>
      <c r="M39" s="4">
        <v>2020</v>
      </c>
      <c r="N39" s="4" t="s">
        <v>245</v>
      </c>
      <c r="V39" s="4">
        <v>2012</v>
      </c>
      <c r="W39" s="4">
        <v>2013</v>
      </c>
      <c r="X39" s="4">
        <v>2014</v>
      </c>
      <c r="Y39" s="4">
        <v>2015</v>
      </c>
      <c r="Z39" s="4">
        <v>2016</v>
      </c>
      <c r="AA39" s="4">
        <v>2017</v>
      </c>
      <c r="AB39" s="4">
        <v>2018</v>
      </c>
      <c r="AC39" s="4">
        <v>2019</v>
      </c>
      <c r="AD39" s="4">
        <v>2020</v>
      </c>
      <c r="AE39" s="4">
        <v>2021</v>
      </c>
      <c r="AF39" s="4">
        <v>2022</v>
      </c>
      <c r="AG39" s="4">
        <v>2023</v>
      </c>
    </row>
    <row r="40" spans="1:52">
      <c r="A40" s="4" t="s">
        <v>823</v>
      </c>
      <c r="C40" s="175" t="s">
        <v>248</v>
      </c>
      <c r="D40" s="175"/>
      <c r="E40" s="50">
        <f>E23</f>
        <v>43.7</v>
      </c>
      <c r="F40" s="50">
        <f t="shared" ref="F40:M41" si="1">F23</f>
        <v>43.6</v>
      </c>
      <c r="G40" s="50">
        <f t="shared" si="1"/>
        <v>43.2</v>
      </c>
      <c r="H40" s="50">
        <f t="shared" si="1"/>
        <v>43.9</v>
      </c>
      <c r="I40" s="50">
        <f t="shared" si="1"/>
        <v>43</v>
      </c>
      <c r="J40" s="50">
        <f t="shared" si="1"/>
        <v>43.7</v>
      </c>
      <c r="K40" s="50">
        <f t="shared" si="1"/>
        <v>42.6</v>
      </c>
      <c r="L40" s="50">
        <f t="shared" si="1"/>
        <v>39.700000000000003</v>
      </c>
      <c r="M40" s="50">
        <f t="shared" si="1"/>
        <v>39.200000000000003</v>
      </c>
      <c r="N40" s="22">
        <f>N23</f>
        <v>2197972</v>
      </c>
      <c r="U40" s="4" t="s">
        <v>784</v>
      </c>
      <c r="V40" s="148">
        <f>SUM(V6:V8,V11,V16:V17)</f>
        <v>146625955</v>
      </c>
      <c r="W40" s="148">
        <f t="shared" ref="W40:AG40" si="2">SUM(W6:W8,W11,W16:W17)</f>
        <v>144985911</v>
      </c>
      <c r="X40" s="148">
        <f t="shared" si="2"/>
        <v>154298995</v>
      </c>
      <c r="Y40" s="148">
        <f t="shared" si="2"/>
        <v>158155279</v>
      </c>
      <c r="Z40" s="148">
        <f t="shared" si="2"/>
        <v>164318117</v>
      </c>
      <c r="AA40" s="148">
        <f t="shared" si="2"/>
        <v>167391011</v>
      </c>
      <c r="AB40" s="148">
        <f t="shared" si="2"/>
        <v>171801005</v>
      </c>
      <c r="AC40" s="148">
        <f t="shared" si="2"/>
        <v>172582372</v>
      </c>
      <c r="AD40" s="148">
        <f t="shared" si="2"/>
        <v>170925674</v>
      </c>
      <c r="AE40" s="148">
        <f>SUM(AE6:AE8,AE11,AE16:AE17)</f>
        <v>181575888</v>
      </c>
      <c r="AF40" s="148">
        <f>SUM(AF6:AF8,AF11,AF16:AF17)</f>
        <v>165534343</v>
      </c>
      <c r="AG40" s="148">
        <f t="shared" si="2"/>
        <v>166766243</v>
      </c>
      <c r="AH40" s="4">
        <f>(AG40/V40)^(1/COUNT(V40:AG40))-1</f>
        <v>1.0783415502262361E-2</v>
      </c>
    </row>
    <row r="41" spans="1:52">
      <c r="A41" s="4" t="s">
        <v>824</v>
      </c>
      <c r="C41" s="175"/>
      <c r="D41" s="175"/>
      <c r="E41" s="50">
        <f>E24</f>
        <v>53.3</v>
      </c>
      <c r="F41" s="50">
        <f t="shared" si="1"/>
        <v>51.8</v>
      </c>
      <c r="G41" s="50">
        <f t="shared" si="1"/>
        <v>50.5</v>
      </c>
      <c r="H41" s="50">
        <f t="shared" si="1"/>
        <v>51.4</v>
      </c>
      <c r="I41" s="50">
        <f t="shared" si="1"/>
        <v>51.3</v>
      </c>
      <c r="J41" s="50">
        <f t="shared" si="1"/>
        <v>51.7</v>
      </c>
      <c r="K41" s="50">
        <f t="shared" si="1"/>
        <v>49.3</v>
      </c>
      <c r="L41" s="50">
        <f t="shared" si="1"/>
        <v>46.5</v>
      </c>
      <c r="M41" s="50">
        <f t="shared" si="1"/>
        <v>50.6</v>
      </c>
      <c r="N41" s="22">
        <f>N24</f>
        <v>286594</v>
      </c>
      <c r="U41" s="4" t="s">
        <v>785</v>
      </c>
      <c r="V41" s="148">
        <f>SUM(V9,V12,V18:V19)</f>
        <v>56932873</v>
      </c>
      <c r="W41" s="148">
        <f t="shared" ref="W41:AG41" si="3">SUM(W9,W12,W18:W19)</f>
        <v>57194619</v>
      </c>
      <c r="X41" s="148">
        <f t="shared" si="3"/>
        <v>60294781</v>
      </c>
      <c r="Y41" s="148">
        <f t="shared" si="3"/>
        <v>62813512</v>
      </c>
      <c r="Z41" s="148">
        <f t="shared" si="3"/>
        <v>67210217</v>
      </c>
      <c r="AA41" s="148">
        <f t="shared" si="3"/>
        <v>70126251</v>
      </c>
      <c r="AB41" s="148">
        <f t="shared" si="3"/>
        <v>73141254</v>
      </c>
      <c r="AC41" s="148">
        <f t="shared" si="3"/>
        <v>73093105</v>
      </c>
      <c r="AD41" s="148">
        <f t="shared" si="3"/>
        <v>74678461</v>
      </c>
      <c r="AE41" s="148">
        <f t="shared" si="3"/>
        <v>85191436</v>
      </c>
      <c r="AF41" s="148">
        <f t="shared" si="3"/>
        <v>77997866</v>
      </c>
      <c r="AG41" s="148">
        <f t="shared" si="3"/>
        <v>78966562</v>
      </c>
      <c r="AH41" s="4">
        <f>(AG41/V41)^(1/COUNT(V41:AG41))-1</f>
        <v>2.7637658361554074E-2</v>
      </c>
    </row>
    <row r="42" spans="1:52">
      <c r="A42" s="4" t="s">
        <v>825</v>
      </c>
      <c r="C42" s="175"/>
      <c r="D42" s="175"/>
      <c r="E42" s="50">
        <f>E27</f>
        <v>19.899999999999999</v>
      </c>
      <c r="F42" s="50">
        <f t="shared" ref="F42:M43" si="4">F27</f>
        <v>20.399999999999999</v>
      </c>
      <c r="G42" s="50">
        <f t="shared" si="4"/>
        <v>20.9</v>
      </c>
      <c r="H42" s="50">
        <f t="shared" si="4"/>
        <v>21</v>
      </c>
      <c r="I42" s="50">
        <f t="shared" si="4"/>
        <v>21.3</v>
      </c>
      <c r="J42" s="50">
        <f t="shared" si="4"/>
        <v>21.4</v>
      </c>
      <c r="K42" s="50">
        <f t="shared" si="4"/>
        <v>21.7</v>
      </c>
      <c r="L42" s="50">
        <f t="shared" si="4"/>
        <v>21.3</v>
      </c>
      <c r="M42" s="50">
        <f t="shared" si="4"/>
        <v>21.4</v>
      </c>
      <c r="N42" s="22">
        <f>N27</f>
        <v>32903</v>
      </c>
      <c r="U42" s="4" t="s">
        <v>782</v>
      </c>
      <c r="V42" s="148">
        <f t="shared" ref="V42:AG42" si="5">SUM(V22:V23,V26:V27,V30:V31,V35)</f>
        <v>43832298</v>
      </c>
      <c r="W42" s="148">
        <f t="shared" si="5"/>
        <v>43417239</v>
      </c>
      <c r="X42" s="148">
        <f t="shared" si="5"/>
        <v>43559611</v>
      </c>
      <c r="Y42" s="148">
        <f t="shared" si="5"/>
        <v>44592590</v>
      </c>
      <c r="Z42" s="148">
        <f t="shared" si="5"/>
        <v>44778862</v>
      </c>
      <c r="AA42" s="148">
        <f t="shared" si="5"/>
        <v>45074689</v>
      </c>
      <c r="AB42" s="148">
        <f t="shared" si="5"/>
        <v>44270696</v>
      </c>
      <c r="AC42" s="148">
        <f t="shared" si="5"/>
        <v>42047153</v>
      </c>
      <c r="AD42" s="148">
        <f t="shared" si="5"/>
        <v>41821569</v>
      </c>
      <c r="AE42" s="148">
        <f t="shared" si="5"/>
        <v>42388939</v>
      </c>
      <c r="AF42" s="148">
        <f t="shared" si="5"/>
        <v>42880883</v>
      </c>
      <c r="AG42" s="148">
        <f t="shared" si="5"/>
        <v>40521374</v>
      </c>
      <c r="AH42" s="4">
        <f>(AG42/V42)^(1/COUNT(V42:AG42))-1</f>
        <v>-6.5237403119994264E-3</v>
      </c>
    </row>
    <row r="43" spans="1:52">
      <c r="A43" s="4" t="s">
        <v>826</v>
      </c>
      <c r="C43" s="175"/>
      <c r="D43" s="175"/>
      <c r="E43" s="50">
        <f>E28</f>
        <v>20.399999999999999</v>
      </c>
      <c r="F43" s="50">
        <f t="shared" si="4"/>
        <v>19.3</v>
      </c>
      <c r="G43" s="50">
        <f t="shared" si="4"/>
        <v>18.100000000000001</v>
      </c>
      <c r="H43" s="50">
        <f t="shared" si="4"/>
        <v>17.3</v>
      </c>
      <c r="I43" s="50">
        <f t="shared" si="4"/>
        <v>17</v>
      </c>
      <c r="J43" s="50">
        <f t="shared" si="4"/>
        <v>16.7</v>
      </c>
      <c r="K43" s="50">
        <f t="shared" si="4"/>
        <v>15.6</v>
      </c>
      <c r="L43" s="50">
        <f t="shared" si="4"/>
        <v>14.8</v>
      </c>
      <c r="M43" s="50">
        <f t="shared" si="4"/>
        <v>14.4</v>
      </c>
      <c r="N43" s="22">
        <f>N28</f>
        <v>13477</v>
      </c>
      <c r="U43" s="4" t="s">
        <v>783</v>
      </c>
      <c r="V43" s="148">
        <f t="shared" ref="V43:AG43" si="6">SUM(V24,V28,V32,V34,V36)</f>
        <v>18546407</v>
      </c>
      <c r="W43" s="148">
        <f t="shared" si="6"/>
        <v>19281652</v>
      </c>
      <c r="X43" s="148">
        <f t="shared" si="6"/>
        <v>20194046</v>
      </c>
      <c r="Y43" s="148">
        <f t="shared" si="6"/>
        <v>21190464</v>
      </c>
      <c r="Z43" s="148">
        <f t="shared" si="6"/>
        <v>22576363</v>
      </c>
      <c r="AA43" s="148">
        <f t="shared" si="6"/>
        <v>24203197</v>
      </c>
      <c r="AB43" s="148">
        <f t="shared" si="6"/>
        <v>24302694</v>
      </c>
      <c r="AC43" s="148">
        <f t="shared" si="6"/>
        <v>26906944</v>
      </c>
      <c r="AD43" s="148">
        <f t="shared" si="6"/>
        <v>27156380</v>
      </c>
      <c r="AE43" s="148">
        <f t="shared" si="6"/>
        <v>26891040</v>
      </c>
      <c r="AF43" s="148">
        <f t="shared" si="6"/>
        <v>29567865</v>
      </c>
      <c r="AG43" s="148">
        <f t="shared" si="6"/>
        <v>27984334</v>
      </c>
      <c r="AH43" s="4">
        <f>(AG43/V43)^(1/COUNT(V43:AG43))-1</f>
        <v>3.4875087818156292E-2</v>
      </c>
    </row>
    <row r="44" spans="1:52">
      <c r="A44" s="4" t="s">
        <v>827</v>
      </c>
      <c r="C44" s="175"/>
      <c r="D44" s="175"/>
      <c r="E44" s="50">
        <f>E31</f>
        <v>39.299999999999997</v>
      </c>
      <c r="F44" s="50">
        <f t="shared" ref="F44:M45" si="7">F31</f>
        <v>38.9</v>
      </c>
      <c r="G44" s="50">
        <f t="shared" si="7"/>
        <v>40.299999999999997</v>
      </c>
      <c r="H44" s="50">
        <f t="shared" si="7"/>
        <v>39.799999999999997</v>
      </c>
      <c r="I44" s="50">
        <f t="shared" si="7"/>
        <v>41.3</v>
      </c>
      <c r="J44" s="50">
        <f t="shared" si="7"/>
        <v>39.799999999999997</v>
      </c>
      <c r="K44" s="50">
        <f t="shared" si="7"/>
        <v>40.9</v>
      </c>
      <c r="L44" s="50">
        <f t="shared" si="7"/>
        <v>41.6</v>
      </c>
      <c r="M44" s="50">
        <f t="shared" si="7"/>
        <v>41.7</v>
      </c>
      <c r="N44" s="22">
        <f>N31</f>
        <v>332770</v>
      </c>
    </row>
    <row r="45" spans="1:52">
      <c r="A45" s="4" t="s">
        <v>828</v>
      </c>
      <c r="C45" s="175"/>
      <c r="D45" s="175"/>
      <c r="E45" s="50">
        <f>E32</f>
        <v>41.1</v>
      </c>
      <c r="F45" s="50">
        <f t="shared" si="7"/>
        <v>38.700000000000003</v>
      </c>
      <c r="G45" s="50">
        <f t="shared" si="7"/>
        <v>36.9</v>
      </c>
      <c r="H45" s="50">
        <f t="shared" si="7"/>
        <v>34.799999999999997</v>
      </c>
      <c r="I45" s="50">
        <f t="shared" si="7"/>
        <v>33.4</v>
      </c>
      <c r="J45" s="50">
        <f t="shared" si="7"/>
        <v>29.9</v>
      </c>
      <c r="K45" s="50">
        <f t="shared" si="7"/>
        <v>30.4</v>
      </c>
      <c r="L45" s="50">
        <f t="shared" si="7"/>
        <v>28</v>
      </c>
      <c r="M45" s="50">
        <f t="shared" si="7"/>
        <v>26.1</v>
      </c>
      <c r="N45" s="22">
        <f>N32</f>
        <v>5032</v>
      </c>
    </row>
    <row r="46" spans="1:52">
      <c r="A46" s="4" t="s">
        <v>829</v>
      </c>
      <c r="C46" s="175"/>
      <c r="D46" s="175"/>
      <c r="E46" s="50">
        <f>E36</f>
        <v>60</v>
      </c>
      <c r="F46" s="50">
        <f t="shared" ref="F46:M46" si="8">F36</f>
        <v>60</v>
      </c>
      <c r="G46" s="50">
        <f t="shared" si="8"/>
        <v>58.3</v>
      </c>
      <c r="H46" s="50">
        <f t="shared" si="8"/>
        <v>57.4</v>
      </c>
      <c r="I46" s="50">
        <f t="shared" si="8"/>
        <v>59.9</v>
      </c>
      <c r="J46" s="50">
        <f t="shared" si="8"/>
        <v>60.3</v>
      </c>
      <c r="K46" s="50">
        <f t="shared" si="8"/>
        <v>62.2</v>
      </c>
      <c r="L46" s="50">
        <f t="shared" si="8"/>
        <v>60.9</v>
      </c>
      <c r="M46" s="50">
        <f t="shared" si="8"/>
        <v>61.6</v>
      </c>
      <c r="N46" s="22">
        <f>N36</f>
        <v>10226</v>
      </c>
      <c r="U46" s="4">
        <v>2019</v>
      </c>
      <c r="V46" s="4">
        <v>2020</v>
      </c>
      <c r="W46" s="4">
        <v>2021</v>
      </c>
      <c r="X46" s="4">
        <v>2022</v>
      </c>
      <c r="Y46" s="4">
        <v>2023</v>
      </c>
      <c r="Z46" s="4">
        <v>2024</v>
      </c>
      <c r="AA46" s="4">
        <v>2025</v>
      </c>
      <c r="AB46" s="4">
        <v>2026</v>
      </c>
      <c r="AC46" s="4">
        <v>2027</v>
      </c>
      <c r="AD46" s="4">
        <v>2028</v>
      </c>
      <c r="AE46" s="4">
        <v>2029</v>
      </c>
      <c r="AF46" s="4">
        <v>2030</v>
      </c>
      <c r="AG46" s="4">
        <v>2031</v>
      </c>
      <c r="AH46" s="4">
        <v>2032</v>
      </c>
      <c r="AI46" s="4">
        <v>2033</v>
      </c>
      <c r="AJ46" s="4">
        <v>2034</v>
      </c>
      <c r="AK46" s="4">
        <v>2035</v>
      </c>
      <c r="AL46" s="4">
        <v>2036</v>
      </c>
      <c r="AM46" s="4">
        <v>2037</v>
      </c>
      <c r="AN46" s="4">
        <v>2038</v>
      </c>
      <c r="AO46" s="4">
        <v>2039</v>
      </c>
      <c r="AP46" s="4">
        <v>2040</v>
      </c>
      <c r="AQ46" s="4">
        <v>2041</v>
      </c>
      <c r="AR46" s="4">
        <v>2042</v>
      </c>
      <c r="AS46" s="4">
        <v>2043</v>
      </c>
      <c r="AT46" s="4">
        <v>2044</v>
      </c>
      <c r="AU46" s="4">
        <v>2045</v>
      </c>
      <c r="AV46" s="4">
        <v>2046</v>
      </c>
      <c r="AW46" s="4">
        <v>2047</v>
      </c>
      <c r="AX46" s="4">
        <v>2048</v>
      </c>
      <c r="AY46" s="4">
        <v>2049</v>
      </c>
      <c r="AZ46" s="4">
        <v>2050</v>
      </c>
    </row>
    <row r="47" spans="1:52">
      <c r="N47" s="22"/>
      <c r="T47" s="4" t="s">
        <v>784</v>
      </c>
      <c r="U47" s="154">
        <f>AC40</f>
        <v>172582372</v>
      </c>
      <c r="V47" s="157">
        <f t="shared" ref="V47:Y47" si="9">AD40</f>
        <v>170925674</v>
      </c>
      <c r="W47" s="157">
        <f t="shared" si="9"/>
        <v>181575888</v>
      </c>
      <c r="X47" s="157">
        <f t="shared" si="9"/>
        <v>165534343</v>
      </c>
      <c r="Y47" s="154">
        <f t="shared" si="9"/>
        <v>166766243</v>
      </c>
      <c r="Z47" s="4">
        <f>Y47*(1+$AH40)</f>
        <v>168564552.69002026</v>
      </c>
      <c r="AA47" s="4">
        <f t="shared" ref="AA47:AZ50" si="10">Z47*(1+$AH40)</f>
        <v>170382254.30062973</v>
      </c>
      <c r="AB47" s="4">
        <f t="shared" si="10"/>
        <v>172219556.94296557</v>
      </c>
      <c r="AC47" s="4">
        <f t="shared" si="10"/>
        <v>174076671.98309711</v>
      </c>
      <c r="AD47" s="4">
        <f t="shared" si="10"/>
        <v>175953813.06634188</v>
      </c>
      <c r="AE47" s="4">
        <f t="shared" si="10"/>
        <v>177851196.14184365</v>
      </c>
      <c r="AF47" s="4">
        <f t="shared" si="10"/>
        <v>179769039.48741549</v>
      </c>
      <c r="AG47" s="4">
        <f t="shared" si="10"/>
        <v>181707563.73465091</v>
      </c>
      <c r="AH47" s="4">
        <f t="shared" si="10"/>
        <v>183666991.89430547</v>
      </c>
      <c r="AI47" s="4">
        <f t="shared" si="10"/>
        <v>185647549.3819524</v>
      </c>
      <c r="AJ47" s="4">
        <f t="shared" si="10"/>
        <v>187649464.04391477</v>
      </c>
      <c r="AK47" s="4">
        <f t="shared" si="10"/>
        <v>189672966.18347713</v>
      </c>
      <c r="AL47" s="4">
        <f t="shared" si="10"/>
        <v>191718288.58738011</v>
      </c>
      <c r="AM47" s="4">
        <f t="shared" si="10"/>
        <v>193785666.55260047</v>
      </c>
      <c r="AN47" s="4">
        <f t="shared" si="10"/>
        <v>195875337.91342002</v>
      </c>
      <c r="AO47" s="4">
        <f t="shared" si="10"/>
        <v>197987543.06878647</v>
      </c>
      <c r="AP47" s="4">
        <f t="shared" si="10"/>
        <v>200122525.00996926</v>
      </c>
      <c r="AQ47" s="4">
        <f t="shared" si="10"/>
        <v>202280529.34851366</v>
      </c>
      <c r="AR47" s="4">
        <f t="shared" si="10"/>
        <v>204461804.34449625</v>
      </c>
      <c r="AS47" s="4">
        <f t="shared" si="10"/>
        <v>206666600.93508524</v>
      </c>
      <c r="AT47" s="4">
        <f t="shared" si="10"/>
        <v>208895172.76340851</v>
      </c>
      <c r="AU47" s="4">
        <f t="shared" si="10"/>
        <v>211147776.20773321</v>
      </c>
      <c r="AV47" s="4">
        <f t="shared" si="10"/>
        <v>213424670.4109599</v>
      </c>
      <c r="AW47" s="4">
        <f t="shared" si="10"/>
        <v>215726117.31043467</v>
      </c>
      <c r="AX47" s="4">
        <f t="shared" si="10"/>
        <v>218052381.66808289</v>
      </c>
      <c r="AY47" s="4">
        <f t="shared" si="10"/>
        <v>220403731.10086772</v>
      </c>
      <c r="AZ47" s="4">
        <f t="shared" si="10"/>
        <v>222780436.11157727</v>
      </c>
    </row>
    <row r="48" spans="1:52">
      <c r="A48" s="4" t="s">
        <v>830</v>
      </c>
      <c r="C48" s="175" t="s">
        <v>249</v>
      </c>
      <c r="D48" s="175"/>
      <c r="E48" s="50">
        <f t="shared" ref="E48:N48" si="11">E25</f>
        <v>130.9</v>
      </c>
      <c r="F48" s="50">
        <f t="shared" si="11"/>
        <v>131</v>
      </c>
      <c r="G48" s="50">
        <f t="shared" si="11"/>
        <v>133</v>
      </c>
      <c r="H48" s="50">
        <f t="shared" si="11"/>
        <v>134.4</v>
      </c>
      <c r="I48" s="50">
        <f t="shared" si="11"/>
        <v>134.5</v>
      </c>
      <c r="J48" s="50">
        <f t="shared" si="11"/>
        <v>137.9</v>
      </c>
      <c r="K48" s="50">
        <f t="shared" si="11"/>
        <v>135.69999999999999</v>
      </c>
      <c r="L48" s="50">
        <f t="shared" si="11"/>
        <v>134.80000000000001</v>
      </c>
      <c r="M48" s="50">
        <f t="shared" si="11"/>
        <v>133.1</v>
      </c>
      <c r="N48" s="22">
        <f t="shared" si="11"/>
        <v>159926</v>
      </c>
      <c r="T48" s="4" t="s">
        <v>785</v>
      </c>
      <c r="U48" s="154">
        <f t="shared" ref="U48:U50" si="12">AC41</f>
        <v>73093105</v>
      </c>
      <c r="V48" s="157">
        <f t="shared" ref="V48:V50" si="13">AD41</f>
        <v>74678461</v>
      </c>
      <c r="W48" s="157">
        <f t="shared" ref="W48:W50" si="14">AE41</f>
        <v>85191436</v>
      </c>
      <c r="X48" s="157">
        <f t="shared" ref="X48:X50" si="15">AF41</f>
        <v>77997866</v>
      </c>
      <c r="Y48" s="154">
        <f t="shared" ref="Y48:Y50" si="16">AG41</f>
        <v>78966562</v>
      </c>
      <c r="Z48" s="4">
        <f>Y48*(1+$AH41)</f>
        <v>81149012.86254248</v>
      </c>
      <c r="AA48" s="4">
        <f t="shared" ref="AA48:AO48" si="17">Z48*(1+$AH41)</f>
        <v>83391781.556414783</v>
      </c>
      <c r="AB48" s="4">
        <f t="shared" si="17"/>
        <v>85696535.125232324</v>
      </c>
      <c r="AC48" s="4">
        <f t="shared" si="17"/>
        <v>88064986.685792416</v>
      </c>
      <c r="AD48" s="4">
        <f t="shared" si="17"/>
        <v>90498896.701429158</v>
      </c>
      <c r="AE48" s="4">
        <f t="shared" si="17"/>
        <v>93000074.290560827</v>
      </c>
      <c r="AF48" s="4">
        <f t="shared" si="17"/>
        <v>95570378.57140249</v>
      </c>
      <c r="AG48" s="4">
        <f t="shared" si="17"/>
        <v>98211720.043843299</v>
      </c>
      <c r="AH48" s="4">
        <f t="shared" si="17"/>
        <v>100926062.00951563</v>
      </c>
      <c r="AI48" s="4">
        <f t="shared" si="17"/>
        <v>103715422.03111164</v>
      </c>
      <c r="AJ48" s="4">
        <f t="shared" si="17"/>
        <v>106581873.4320319</v>
      </c>
      <c r="AK48" s="4">
        <f t="shared" si="17"/>
        <v>109527546.8374808</v>
      </c>
      <c r="AL48" s="4">
        <f t="shared" si="17"/>
        <v>112554631.7581542</v>
      </c>
      <c r="AM48" s="4">
        <f t="shared" si="17"/>
        <v>115665378.21769659</v>
      </c>
      <c r="AN48" s="4">
        <f t="shared" si="17"/>
        <v>118862098.42513722</v>
      </c>
      <c r="AO48" s="4">
        <f t="shared" si="17"/>
        <v>122147168.49354857</v>
      </c>
      <c r="AP48" s="4">
        <f t="shared" si="10"/>
        <v>125523030.20620444</v>
      </c>
      <c r="AQ48" s="4">
        <f t="shared" si="10"/>
        <v>128992192.83155055</v>
      </c>
      <c r="AR48" s="4">
        <f t="shared" si="10"/>
        <v>132557234.98833665</v>
      </c>
      <c r="AS48" s="4">
        <f t="shared" si="10"/>
        <v>136220806.56229654</v>
      </c>
      <c r="AT48" s="4">
        <f t="shared" si="10"/>
        <v>139985630.67580062</v>
      </c>
      <c r="AU48" s="4">
        <f t="shared" si="10"/>
        <v>143854505.71194509</v>
      </c>
      <c r="AV48" s="4">
        <f t="shared" si="10"/>
        <v>147830307.39458206</v>
      </c>
      <c r="AW48" s="4">
        <f t="shared" si="10"/>
        <v>151915990.92583704</v>
      </c>
      <c r="AX48" s="4">
        <f t="shared" si="10"/>
        <v>156114593.18270227</v>
      </c>
      <c r="AY48" s="4">
        <f t="shared" si="10"/>
        <v>160429234.9743388</v>
      </c>
      <c r="AZ48" s="4">
        <f t="shared" si="10"/>
        <v>164863123.36176506</v>
      </c>
    </row>
    <row r="49" spans="1:52">
      <c r="A49" s="4" t="s">
        <v>831</v>
      </c>
      <c r="C49" s="175"/>
      <c r="D49" s="175"/>
      <c r="E49" s="50">
        <f t="shared" ref="E49:N49" si="18">E29</f>
        <v>21.5</v>
      </c>
      <c r="F49" s="50">
        <f t="shared" si="18"/>
        <v>19.8</v>
      </c>
      <c r="G49" s="50">
        <f t="shared" si="18"/>
        <v>19.100000000000001</v>
      </c>
      <c r="H49" s="50">
        <f t="shared" si="18"/>
        <v>19.3</v>
      </c>
      <c r="I49" s="50">
        <f t="shared" si="18"/>
        <v>20.2</v>
      </c>
      <c r="J49" s="50">
        <f t="shared" si="18"/>
        <v>20.9</v>
      </c>
      <c r="K49" s="50">
        <f t="shared" si="18"/>
        <v>19.7</v>
      </c>
      <c r="L49" s="50">
        <f t="shared" si="18"/>
        <v>19.3</v>
      </c>
      <c r="M49" s="50">
        <f t="shared" si="18"/>
        <v>19.7</v>
      </c>
      <c r="N49" s="22">
        <f t="shared" si="18"/>
        <v>7048</v>
      </c>
      <c r="T49" s="4" t="s">
        <v>782</v>
      </c>
      <c r="U49" s="154">
        <f t="shared" si="12"/>
        <v>42047153</v>
      </c>
      <c r="V49" s="159">
        <f t="shared" si="13"/>
        <v>41821569</v>
      </c>
      <c r="W49" s="159">
        <f t="shared" si="14"/>
        <v>42388939</v>
      </c>
      <c r="X49" s="159">
        <f t="shared" si="15"/>
        <v>42880883</v>
      </c>
      <c r="Y49" s="154">
        <f t="shared" si="16"/>
        <v>40521374</v>
      </c>
      <c r="Z49" s="4">
        <f>Y49*(1+$AH42)</f>
        <v>40257023.078938596</v>
      </c>
      <c r="AA49" s="4">
        <f t="shared" si="10"/>
        <v>39994396.714637436</v>
      </c>
      <c r="AB49" s="4">
        <f t="shared" si="10"/>
        <v>39733483.656536058</v>
      </c>
      <c r="AC49" s="4">
        <f t="shared" si="10"/>
        <v>39474272.727469742</v>
      </c>
      <c r="AD49" s="4">
        <f t="shared" si="10"/>
        <v>39216752.823190689</v>
      </c>
      <c r="AE49" s="4">
        <f t="shared" si="10"/>
        <v>38960912.911892325</v>
      </c>
      <c r="AF49" s="4">
        <f t="shared" si="10"/>
        <v>38706742.033736713</v>
      </c>
      <c r="AG49" s="4">
        <f t="shared" si="10"/>
        <v>38454229.300385065</v>
      </c>
      <c r="AH49" s="4">
        <f t="shared" si="10"/>
        <v>38203363.894531272</v>
      </c>
      <c r="AI49" s="4">
        <f t="shared" si="10"/>
        <v>37954135.069438532</v>
      </c>
      <c r="AJ49" s="4">
        <f t="shared" si="10"/>
        <v>37706532.148478962</v>
      </c>
      <c r="AK49" s="4">
        <f t="shared" si="10"/>
        <v>37460544.524676226</v>
      </c>
      <c r="AL49" s="4">
        <f t="shared" si="10"/>
        <v>37216161.660251148</v>
      </c>
      <c r="AM49" s="4">
        <f t="shared" si="10"/>
        <v>36973373.086170278</v>
      </c>
      <c r="AN49" s="4">
        <f t="shared" si="10"/>
        <v>36732168.401697434</v>
      </c>
      <c r="AO49" s="4">
        <f t="shared" si="10"/>
        <v>36492537.273948133</v>
      </c>
      <c r="AP49" s="4">
        <f t="shared" si="10"/>
        <v>36254469.437446937</v>
      </c>
      <c r="AQ49" s="4">
        <f t="shared" si="10"/>
        <v>36017954.693687715</v>
      </c>
      <c r="AR49" s="4">
        <f t="shared" si="10"/>
        <v>35782982.910696737</v>
      </c>
      <c r="AS49" s="4">
        <f t="shared" si="10"/>
        <v>35549544.022598639</v>
      </c>
      <c r="AT49" s="4">
        <f t="shared" si="10"/>
        <v>35317628.029185213</v>
      </c>
      <c r="AU49" s="4">
        <f t="shared" si="10"/>
        <v>35087224.995487019</v>
      </c>
      <c r="AV49" s="4">
        <f t="shared" si="10"/>
        <v>34858325.05134777</v>
      </c>
      <c r="AW49" s="4">
        <f t="shared" si="10"/>
        <v>34630918.391001515</v>
      </c>
      <c r="AX49" s="4">
        <f t="shared" si="10"/>
        <v>34404995.272652574</v>
      </c>
      <c r="AY49" s="4">
        <f t="shared" si="10"/>
        <v>34180546.018058218</v>
      </c>
      <c r="AZ49" s="4">
        <f t="shared" si="10"/>
        <v>33957561.012114063</v>
      </c>
    </row>
    <row r="50" spans="1:52">
      <c r="A50" s="4" t="s">
        <v>832</v>
      </c>
      <c r="C50" s="175"/>
      <c r="D50" s="175"/>
      <c r="E50" s="50">
        <f t="shared" ref="E50:N50" si="19">E33</f>
        <v>56.7</v>
      </c>
      <c r="F50" s="50">
        <f t="shared" si="19"/>
        <v>57.4</v>
      </c>
      <c r="G50" s="50">
        <f t="shared" si="19"/>
        <v>56.4</v>
      </c>
      <c r="H50" s="50">
        <f t="shared" si="19"/>
        <v>56.1</v>
      </c>
      <c r="I50" s="50">
        <f t="shared" si="19"/>
        <v>57.4</v>
      </c>
      <c r="J50" s="50">
        <f t="shared" si="19"/>
        <v>58.4</v>
      </c>
      <c r="K50" s="50">
        <f t="shared" si="19"/>
        <v>55.2</v>
      </c>
      <c r="L50" s="50">
        <f t="shared" si="19"/>
        <v>65.099999999999994</v>
      </c>
      <c r="M50" s="50">
        <f t="shared" si="19"/>
        <v>64.599999999999994</v>
      </c>
      <c r="N50" s="22">
        <f t="shared" si="19"/>
        <v>681021</v>
      </c>
      <c r="T50" s="4" t="s">
        <v>783</v>
      </c>
      <c r="U50" s="154">
        <f t="shared" si="12"/>
        <v>26906944</v>
      </c>
      <c r="V50" s="159">
        <f t="shared" si="13"/>
        <v>27156380</v>
      </c>
      <c r="W50" s="159">
        <f t="shared" si="14"/>
        <v>26891040</v>
      </c>
      <c r="X50" s="159">
        <f t="shared" si="15"/>
        <v>29567865</v>
      </c>
      <c r="Y50" s="154">
        <f t="shared" si="16"/>
        <v>27984334</v>
      </c>
      <c r="Z50" s="4">
        <f>Y50*(1+$AH43)</f>
        <v>28960290.105782617</v>
      </c>
      <c r="AA50" s="4">
        <f t="shared" si="10"/>
        <v>29970282.766461067</v>
      </c>
      <c r="AB50" s="4">
        <f t="shared" si="10"/>
        <v>31015499.009876374</v>
      </c>
      <c r="AC50" s="4">
        <f t="shared" si="10"/>
        <v>32097167.261569753</v>
      </c>
      <c r="AD50" s="4">
        <f t="shared" si="10"/>
        <v>33216558.78853105</v>
      </c>
      <c r="AE50" s="4">
        <f t="shared" si="10"/>
        <v>34374989.193298019</v>
      </c>
      <c r="AF50" s="4">
        <f t="shared" si="10"/>
        <v>35573819.960162461</v>
      </c>
      <c r="AG50" s="4">
        <f t="shared" si="10"/>
        <v>36814460.055300407</v>
      </c>
      <c r="AH50" s="4">
        <f t="shared" si="10"/>
        <v>38098367.582707018</v>
      </c>
      <c r="AI50" s="4">
        <f t="shared" si="10"/>
        <v>39427051.497882321</v>
      </c>
      <c r="AJ50" s="4">
        <f t="shared" si="10"/>
        <v>40802073.381281935</v>
      </c>
      <c r="AK50" s="4">
        <f t="shared" si="10"/>
        <v>42225049.273616999</v>
      </c>
      <c r="AL50" s="4">
        <f t="shared" si="10"/>
        <v>43697651.575160369</v>
      </c>
      <c r="AM50" s="4">
        <f t="shared" si="10"/>
        <v>45221611.01129128</v>
      </c>
      <c r="AN50" s="4">
        <f t="shared" si="10"/>
        <v>46798718.666588567</v>
      </c>
      <c r="AO50" s="4">
        <f t="shared" si="10"/>
        <v>48430828.089863032</v>
      </c>
      <c r="AP50" s="4">
        <f t="shared" si="10"/>
        <v>50119857.472603038</v>
      </c>
      <c r="AQ50" s="4">
        <f t="shared" si="10"/>
        <v>51867791.903393544</v>
      </c>
      <c r="AR50" s="4">
        <f t="shared" si="10"/>
        <v>53676685.700958252</v>
      </c>
      <c r="AS50" s="4">
        <f t="shared" si="10"/>
        <v>55548664.828566745</v>
      </c>
      <c r="AT50" s="4">
        <f t="shared" si="10"/>
        <v>57485929.392644338</v>
      </c>
      <c r="AU50" s="4">
        <f t="shared" si="10"/>
        <v>59490756.228521138</v>
      </c>
      <c r="AV50" s="4">
        <f t="shared" si="10"/>
        <v>61565501.576359339</v>
      </c>
      <c r="AW50" s="4">
        <f t="shared" si="10"/>
        <v>63712603.850403711</v>
      </c>
      <c r="AX50" s="4">
        <f t="shared" si="10"/>
        <v>65934586.504809946</v>
      </c>
      <c r="AY50" s="4">
        <f t="shared" si="10"/>
        <v>68234060.999419019</v>
      </c>
      <c r="AZ50" s="4">
        <f t="shared" si="10"/>
        <v>70613729.868963197</v>
      </c>
    </row>
    <row r="51" spans="1:52">
      <c r="A51" s="4" t="s">
        <v>833</v>
      </c>
      <c r="C51" s="175"/>
      <c r="D51" s="175"/>
      <c r="E51" s="50">
        <f t="shared" ref="E51:N51" si="20">E35</f>
        <v>215.1</v>
      </c>
      <c r="F51" s="50">
        <f t="shared" si="20"/>
        <v>210.9</v>
      </c>
      <c r="G51" s="50">
        <f t="shared" si="20"/>
        <v>212.3</v>
      </c>
      <c r="H51" s="50">
        <f t="shared" si="20"/>
        <v>216.7</v>
      </c>
      <c r="I51" s="50">
        <f t="shared" si="20"/>
        <v>221.7</v>
      </c>
      <c r="J51" s="50">
        <f t="shared" si="20"/>
        <v>228.4</v>
      </c>
      <c r="K51" s="50">
        <f t="shared" si="20"/>
        <v>224.2</v>
      </c>
      <c r="L51" s="50">
        <f t="shared" si="20"/>
        <v>225.3</v>
      </c>
      <c r="M51" s="50">
        <f t="shared" si="20"/>
        <v>220.7</v>
      </c>
      <c r="N51" s="22">
        <f t="shared" si="20"/>
        <v>40407</v>
      </c>
    </row>
    <row r="52" spans="1:52">
      <c r="A52" s="4" t="s">
        <v>834</v>
      </c>
      <c r="C52" s="175"/>
      <c r="D52" s="175"/>
      <c r="E52" s="50">
        <f t="shared" ref="E52:N52" si="21">E37</f>
        <v>28.7</v>
      </c>
      <c r="F52" s="50">
        <f t="shared" si="21"/>
        <v>29</v>
      </c>
      <c r="G52" s="50">
        <f t="shared" si="21"/>
        <v>30.2</v>
      </c>
      <c r="H52" s="50">
        <f t="shared" si="21"/>
        <v>30.4</v>
      </c>
      <c r="I52" s="50">
        <f t="shared" si="21"/>
        <v>32</v>
      </c>
      <c r="J52" s="50">
        <f t="shared" si="21"/>
        <v>31.6</v>
      </c>
      <c r="K52" s="50">
        <f t="shared" si="21"/>
        <v>31.1</v>
      </c>
      <c r="L52" s="50">
        <f t="shared" si="21"/>
        <v>30.3</v>
      </c>
      <c r="M52" s="50">
        <f t="shared" si="21"/>
        <v>28.7</v>
      </c>
      <c r="N52" s="22">
        <f t="shared" si="21"/>
        <v>93257</v>
      </c>
    </row>
    <row r="54" spans="1:52">
      <c r="V54" s="4" t="s">
        <v>786</v>
      </c>
      <c r="W54" s="4">
        <v>2021</v>
      </c>
    </row>
    <row r="55" spans="1:52">
      <c r="V55" s="4" t="s">
        <v>787</v>
      </c>
      <c r="W55" s="150">
        <v>4076090000</v>
      </c>
      <c r="Y55" s="4">
        <f>W47/V47</f>
        <v>1.0623090361486596</v>
      </c>
    </row>
    <row r="56" spans="1:52">
      <c r="V56" s="4" t="s">
        <v>788</v>
      </c>
      <c r="W56" s="150">
        <v>195263000</v>
      </c>
      <c r="Y56" s="4">
        <f>W48/V48</f>
        <v>1.1407765352850536</v>
      </c>
    </row>
    <row r="57" spans="1:52">
      <c r="V57" s="4" t="s">
        <v>789</v>
      </c>
      <c r="W57" s="150">
        <v>93549000000</v>
      </c>
    </row>
    <row r="58" spans="1:52">
      <c r="E58" s="50"/>
      <c r="V58" s="4" t="s">
        <v>790</v>
      </c>
      <c r="W58" s="150">
        <v>43617500000</v>
      </c>
    </row>
    <row r="59" spans="1:52" ht="15" thickBot="1">
      <c r="D59" s="4" t="s">
        <v>247</v>
      </c>
      <c r="E59" s="4">
        <v>2012</v>
      </c>
      <c r="F59" s="4">
        <v>2013</v>
      </c>
      <c r="G59" s="4">
        <v>2014</v>
      </c>
      <c r="H59" s="4">
        <v>2015</v>
      </c>
      <c r="I59" s="4">
        <v>2016</v>
      </c>
      <c r="J59" s="4">
        <v>2017</v>
      </c>
      <c r="K59" s="4">
        <v>2018</v>
      </c>
      <c r="L59" s="4">
        <v>2019</v>
      </c>
      <c r="M59" s="4">
        <v>2020</v>
      </c>
      <c r="N59" s="4" t="s">
        <v>250</v>
      </c>
      <c r="V59" s="4" t="s">
        <v>791</v>
      </c>
      <c r="W59" s="150">
        <v>15287300000</v>
      </c>
    </row>
    <row r="60" spans="1:52">
      <c r="A60" s="175" t="s">
        <v>251</v>
      </c>
      <c r="B60" s="54" t="s">
        <v>835</v>
      </c>
      <c r="C60" s="55" t="s">
        <v>836</v>
      </c>
      <c r="D60" s="55"/>
      <c r="E60" s="55">
        <f t="shared" ref="E60:M60" si="22">SUMPRODUCT(E7:E9,$N$7:$N$9)/SUM($N$7:$N$9)</f>
        <v>34.33402267508329</v>
      </c>
      <c r="F60" s="55">
        <f t="shared" si="22"/>
        <v>32.832119598444798</v>
      </c>
      <c r="G60" s="55">
        <f t="shared" si="22"/>
        <v>33.359701212749172</v>
      </c>
      <c r="H60" s="55">
        <f t="shared" si="22"/>
        <v>33.131869647480627</v>
      </c>
      <c r="I60" s="55">
        <f t="shared" si="22"/>
        <v>32.64908087134804</v>
      </c>
      <c r="J60" s="55">
        <f t="shared" si="22"/>
        <v>32.206191109814746</v>
      </c>
      <c r="K60" s="55">
        <f t="shared" si="22"/>
        <v>32.016403748044382</v>
      </c>
      <c r="L60" s="55">
        <f t="shared" si="22"/>
        <v>31.675754880552621</v>
      </c>
      <c r="M60" s="55">
        <f t="shared" si="22"/>
        <v>30.543871543360869</v>
      </c>
      <c r="N60" s="56">
        <f>O7</f>
        <v>9671497</v>
      </c>
      <c r="V60" s="4" t="s">
        <v>792</v>
      </c>
      <c r="W60" s="150">
        <v>12322500000</v>
      </c>
    </row>
    <row r="61" spans="1:52">
      <c r="A61" s="175"/>
      <c r="B61" s="57" t="s">
        <v>835</v>
      </c>
      <c r="C61" s="4" t="s">
        <v>837</v>
      </c>
      <c r="E61" s="50">
        <f t="shared" ref="E61:M61" si="23">E12</f>
        <v>42.4</v>
      </c>
      <c r="F61" s="50">
        <f t="shared" si="23"/>
        <v>40.4</v>
      </c>
      <c r="G61" s="50">
        <f t="shared" si="23"/>
        <v>40.700000000000003</v>
      </c>
      <c r="H61" s="50">
        <f t="shared" si="23"/>
        <v>39.6</v>
      </c>
      <c r="I61" s="50">
        <f t="shared" si="23"/>
        <v>40.6</v>
      </c>
      <c r="J61" s="50">
        <f t="shared" si="23"/>
        <v>40.200000000000003</v>
      </c>
      <c r="K61" s="50">
        <f t="shared" si="23"/>
        <v>40.299999999999997</v>
      </c>
      <c r="L61" s="50">
        <f t="shared" si="23"/>
        <v>39.200000000000003</v>
      </c>
      <c r="M61" s="50">
        <f t="shared" si="23"/>
        <v>39.799999999999997</v>
      </c>
      <c r="N61" s="58">
        <f>O12</f>
        <v>4434476</v>
      </c>
      <c r="V61" s="4" t="s">
        <v>793</v>
      </c>
      <c r="W61" s="150">
        <v>283605000</v>
      </c>
    </row>
    <row r="62" spans="1:52" ht="15" thickBot="1">
      <c r="A62" s="175"/>
      <c r="B62" s="59" t="s">
        <v>255</v>
      </c>
      <c r="C62" s="60" t="s">
        <v>838</v>
      </c>
      <c r="D62" s="60"/>
      <c r="E62" s="60">
        <f t="shared" ref="E62:M62" si="24">SUMPRODUCT(E17:E18,$N$17:$N$18)/SUM($N$17:$N$18)</f>
        <v>40.586472459135713</v>
      </c>
      <c r="F62" s="60">
        <f t="shared" si="24"/>
        <v>35.64097821099103</v>
      </c>
      <c r="G62" s="60">
        <f t="shared" si="24"/>
        <v>39.662289349177968</v>
      </c>
      <c r="H62" s="60">
        <f t="shared" si="24"/>
        <v>36.426222763738785</v>
      </c>
      <c r="I62" s="60">
        <f t="shared" si="24"/>
        <v>38.656961564631231</v>
      </c>
      <c r="J62" s="60">
        <f t="shared" si="24"/>
        <v>36.168845040112664</v>
      </c>
      <c r="K62" s="60">
        <f t="shared" si="24"/>
        <v>36.799583841005109</v>
      </c>
      <c r="L62" s="60">
        <f t="shared" si="24"/>
        <v>34.500811747393072</v>
      </c>
      <c r="M62" s="60">
        <f t="shared" si="24"/>
        <v>35.277044796430211</v>
      </c>
      <c r="N62" s="61">
        <f>O17</f>
        <v>505576</v>
      </c>
    </row>
    <row r="63" spans="1:52">
      <c r="A63" s="175" t="s">
        <v>257</v>
      </c>
      <c r="B63" s="54" t="s">
        <v>835</v>
      </c>
      <c r="C63" s="55" t="s">
        <v>839</v>
      </c>
      <c r="D63" s="55"/>
      <c r="E63" s="62">
        <f t="shared" ref="E63:M63" si="25">E10</f>
        <v>42.7</v>
      </c>
      <c r="F63" s="62">
        <f t="shared" si="25"/>
        <v>40.299999999999997</v>
      </c>
      <c r="G63" s="62">
        <f t="shared" si="25"/>
        <v>40.6</v>
      </c>
      <c r="H63" s="62">
        <f t="shared" si="25"/>
        <v>39.5</v>
      </c>
      <c r="I63" s="62">
        <f t="shared" si="25"/>
        <v>39.700000000000003</v>
      </c>
      <c r="J63" s="62">
        <f t="shared" si="25"/>
        <v>38.9</v>
      </c>
      <c r="K63" s="62">
        <f t="shared" si="25"/>
        <v>38.700000000000003</v>
      </c>
      <c r="L63" s="62">
        <f t="shared" si="25"/>
        <v>36.6</v>
      </c>
      <c r="M63" s="62">
        <f t="shared" si="25"/>
        <v>36.200000000000003</v>
      </c>
      <c r="N63" s="56">
        <f>O10</f>
        <v>3915864</v>
      </c>
    </row>
    <row r="64" spans="1:52">
      <c r="A64" s="175"/>
      <c r="B64" s="57" t="s">
        <v>835</v>
      </c>
      <c r="C64" s="4" t="s">
        <v>840</v>
      </c>
      <c r="E64" s="50">
        <f t="shared" ref="E64:M65" si="26">E13</f>
        <v>42.7</v>
      </c>
      <c r="F64" s="50">
        <f t="shared" si="26"/>
        <v>41.6</v>
      </c>
      <c r="G64" s="50">
        <f t="shared" si="26"/>
        <v>40.799999999999997</v>
      </c>
      <c r="H64" s="50">
        <f t="shared" si="26"/>
        <v>40.4</v>
      </c>
      <c r="I64" s="50">
        <f t="shared" si="26"/>
        <v>39.9</v>
      </c>
      <c r="J64" s="50">
        <f t="shared" si="26"/>
        <v>39.700000000000003</v>
      </c>
      <c r="K64" s="50">
        <f t="shared" si="26"/>
        <v>39</v>
      </c>
      <c r="L64" s="50">
        <f t="shared" si="26"/>
        <v>38.9</v>
      </c>
      <c r="M64" s="50">
        <f t="shared" si="26"/>
        <v>38.1</v>
      </c>
      <c r="N64" s="58">
        <f>N13</f>
        <v>2070333</v>
      </c>
    </row>
    <row r="65" spans="1:15">
      <c r="A65" s="175"/>
      <c r="B65" s="57" t="s">
        <v>835</v>
      </c>
      <c r="C65" s="4" t="s">
        <v>841</v>
      </c>
      <c r="E65" s="50">
        <f t="shared" si="26"/>
        <v>39.799999999999997</v>
      </c>
      <c r="F65" s="50">
        <f t="shared" si="26"/>
        <v>38.1</v>
      </c>
      <c r="G65" s="50">
        <f t="shared" si="26"/>
        <v>36.9</v>
      </c>
      <c r="H65" s="50">
        <f t="shared" si="26"/>
        <v>36.299999999999997</v>
      </c>
      <c r="I65" s="50">
        <f t="shared" si="26"/>
        <v>36.6</v>
      </c>
      <c r="J65" s="50">
        <f t="shared" si="26"/>
        <v>36.6</v>
      </c>
      <c r="K65" s="50">
        <f t="shared" si="26"/>
        <v>37.200000000000003</v>
      </c>
      <c r="L65" s="50">
        <f t="shared" si="26"/>
        <v>37.700000000000003</v>
      </c>
      <c r="M65" s="50">
        <f t="shared" si="26"/>
        <v>38.6</v>
      </c>
      <c r="N65" s="58">
        <f>N14</f>
        <v>1676858</v>
      </c>
    </row>
    <row r="66" spans="1:15">
      <c r="A66" s="175"/>
      <c r="B66" s="57" t="s">
        <v>255</v>
      </c>
      <c r="C66" s="4" t="s">
        <v>839</v>
      </c>
      <c r="E66" s="50">
        <f>E19</f>
        <v>201</v>
      </c>
      <c r="F66" s="50">
        <f t="shared" ref="F66:M67" si="27">F19</f>
        <v>194.8</v>
      </c>
      <c r="G66" s="50">
        <f t="shared" si="27"/>
        <v>193.1</v>
      </c>
      <c r="H66" s="50">
        <f t="shared" si="27"/>
        <v>191.1</v>
      </c>
      <c r="I66" s="50">
        <f t="shared" si="27"/>
        <v>193.1</v>
      </c>
      <c r="J66" s="50">
        <f t="shared" si="27"/>
        <v>195</v>
      </c>
      <c r="K66" s="50">
        <f t="shared" si="27"/>
        <v>193.3</v>
      </c>
      <c r="L66" s="50">
        <f t="shared" si="27"/>
        <v>191.4</v>
      </c>
      <c r="M66" s="50">
        <f t="shared" si="27"/>
        <v>173.9</v>
      </c>
      <c r="N66" s="58">
        <f>N19</f>
        <v>122259</v>
      </c>
    </row>
    <row r="67" spans="1:15" ht="15" thickBot="1">
      <c r="A67" s="175"/>
      <c r="B67" s="59" t="s">
        <v>255</v>
      </c>
      <c r="C67" s="60" t="s">
        <v>842</v>
      </c>
      <c r="D67" s="60"/>
      <c r="E67" s="63">
        <f>E20</f>
        <v>42.4</v>
      </c>
      <c r="F67" s="63">
        <f t="shared" si="27"/>
        <v>42.3</v>
      </c>
      <c r="G67" s="63">
        <f t="shared" si="27"/>
        <v>43.1</v>
      </c>
      <c r="H67" s="63">
        <f t="shared" si="27"/>
        <v>43.3</v>
      </c>
      <c r="I67" s="63">
        <f t="shared" si="27"/>
        <v>42.7</v>
      </c>
      <c r="J67" s="63">
        <f t="shared" si="27"/>
        <v>39.1</v>
      </c>
      <c r="K67" s="63">
        <f t="shared" si="27"/>
        <v>33.1</v>
      </c>
      <c r="L67" s="63">
        <f t="shared" si="27"/>
        <v>28.2</v>
      </c>
      <c r="M67" s="63">
        <f t="shared" si="27"/>
        <v>25.2</v>
      </c>
      <c r="N67" s="61">
        <f>N20</f>
        <v>38331</v>
      </c>
    </row>
    <row r="70" spans="1:15">
      <c r="B70" s="84" t="s">
        <v>262</v>
      </c>
    </row>
    <row r="71" spans="1:15" ht="15" thickBot="1"/>
    <row r="72" spans="1:15" ht="15" thickBot="1">
      <c r="B72" s="179" t="s">
        <v>263</v>
      </c>
      <c r="C72" s="55" t="s">
        <v>264</v>
      </c>
      <c r="D72" s="55"/>
      <c r="E72" s="55">
        <f>SUMPRODUCT(E60:E62,$N$60:$N$62)/SUM($N$60:$N$62)</f>
        <v>36.998317296817746</v>
      </c>
      <c r="F72" s="55">
        <f t="shared" ref="F72:M72" si="28">SUMPRODUCT(F60:F62,$N$60:$N$62)/SUM($N$60:$N$62)</f>
        <v>35.226094084891344</v>
      </c>
      <c r="G72" s="55">
        <f t="shared" si="28"/>
        <v>35.805493654368881</v>
      </c>
      <c r="H72" s="55">
        <f t="shared" si="28"/>
        <v>35.208878367379114</v>
      </c>
      <c r="I72" s="55">
        <f t="shared" si="28"/>
        <v>35.269993982157537</v>
      </c>
      <c r="J72" s="55">
        <f t="shared" si="28"/>
        <v>34.769353742029679</v>
      </c>
      <c r="K72" s="55">
        <f t="shared" si="28"/>
        <v>34.695905410165615</v>
      </c>
      <c r="L72" s="55">
        <f t="shared" si="28"/>
        <v>34.057046922266764</v>
      </c>
      <c r="M72" s="55">
        <f t="shared" si="28"/>
        <v>33.516797842583287</v>
      </c>
      <c r="N72" s="79">
        <f>(M72/E72)^(1/8)-1</f>
        <v>-1.2277223783620173E-2</v>
      </c>
    </row>
    <row r="73" spans="1:15" ht="15" thickBot="1">
      <c r="B73" s="178"/>
      <c r="C73" s="60" t="s">
        <v>265</v>
      </c>
      <c r="D73" s="60"/>
      <c r="E73" s="60">
        <f>SUMPRODUCT(E63:E67,$N$63:$N$67)/SUM($N$63:$N$67)</f>
        <v>44.55069902839405</v>
      </c>
      <c r="F73" s="60">
        <f t="shared" ref="F73:M73" si="29">SUMPRODUCT(F63:F67,$N$63:$N$67)/SUM($N$63:$N$67)</f>
        <v>42.596630636998484</v>
      </c>
      <c r="G73" s="60">
        <f t="shared" si="29"/>
        <v>42.25524087557654</v>
      </c>
      <c r="H73" s="60">
        <f t="shared" si="29"/>
        <v>41.439949512024121</v>
      </c>
      <c r="I73" s="60">
        <f t="shared" si="29"/>
        <v>41.500353978228816</v>
      </c>
      <c r="J73" s="60">
        <f t="shared" si="29"/>
        <v>41.059068963379602</v>
      </c>
      <c r="K73" s="60">
        <f t="shared" si="29"/>
        <v>40.846365370616901</v>
      </c>
      <c r="L73" s="60">
        <f t="shared" si="29"/>
        <v>39.822286095547547</v>
      </c>
      <c r="M73" s="60">
        <f t="shared" si="29"/>
        <v>39.315110054201085</v>
      </c>
      <c r="N73" s="79">
        <f>(M73/E73)^(1/8)-1</f>
        <v>-1.5505891317824316E-2</v>
      </c>
    </row>
    <row r="74" spans="1:15" ht="15" thickBot="1">
      <c r="B74" s="177" t="s">
        <v>266</v>
      </c>
      <c r="C74" s="4" t="s">
        <v>264</v>
      </c>
      <c r="E74" s="4">
        <f t="shared" ref="E74:M74" si="30">SUMPRODUCT(E40:E46,$N$40:$N$46)/SUM($N$40:$N$46)</f>
        <v>43.819351373093333</v>
      </c>
      <c r="F74" s="4">
        <f t="shared" si="30"/>
        <v>43.543820506888913</v>
      </c>
      <c r="G74" s="4">
        <f t="shared" si="30"/>
        <v>43.261759710230102</v>
      </c>
      <c r="H74" s="4">
        <f t="shared" si="30"/>
        <v>43.818509475945248</v>
      </c>
      <c r="I74" s="4">
        <f t="shared" si="30"/>
        <v>43.303280370020715</v>
      </c>
      <c r="J74" s="4">
        <f t="shared" si="30"/>
        <v>43.699181340296924</v>
      </c>
      <c r="K74" s="4">
        <f t="shared" si="30"/>
        <v>42.753512431859406</v>
      </c>
      <c r="L74" s="4">
        <f t="shared" si="30"/>
        <v>40.324537248339169</v>
      </c>
      <c r="M74" s="4">
        <f t="shared" si="30"/>
        <v>40.360947198550598</v>
      </c>
      <c r="N74" s="79">
        <f>(M74/E74)^(1/8)-1</f>
        <v>-1.0223984581767875E-2</v>
      </c>
    </row>
    <row r="75" spans="1:15" ht="15" thickBot="1">
      <c r="B75" s="178"/>
      <c r="C75" s="60" t="s">
        <v>265</v>
      </c>
      <c r="D75" s="60"/>
      <c r="E75" s="60">
        <f t="shared" ref="E75:M75" si="31">SUMPRODUCT(E48:E52,$N$48:$N$52)/SUM($N$48:$N$52)</f>
        <v>72.395564753137307</v>
      </c>
      <c r="F75" s="60">
        <f t="shared" si="31"/>
        <v>72.740891796438476</v>
      </c>
      <c r="G75" s="60">
        <f t="shared" si="31"/>
        <v>72.539575045917175</v>
      </c>
      <c r="H75" s="60">
        <f t="shared" si="31"/>
        <v>72.761079560213886</v>
      </c>
      <c r="I75" s="60">
        <f t="shared" si="31"/>
        <v>74.043509915357575</v>
      </c>
      <c r="J75" s="60">
        <f t="shared" si="31"/>
        <v>75.533973609980649</v>
      </c>
      <c r="K75" s="60">
        <f t="shared" si="31"/>
        <v>72.726583365506769</v>
      </c>
      <c r="L75" s="60">
        <f t="shared" si="31"/>
        <v>79.414442795308744</v>
      </c>
      <c r="M75" s="60">
        <f t="shared" si="31"/>
        <v>78.452144380074969</v>
      </c>
      <c r="N75" s="80">
        <f>(M75/E75)^(1/8)-1</f>
        <v>1.0093571887501041E-2</v>
      </c>
    </row>
    <row r="76" spans="1:15" ht="15" thickBot="1"/>
    <row r="77" spans="1:15" ht="15.6" thickTop="1" thickBot="1">
      <c r="B77" s="179" t="s">
        <v>263</v>
      </c>
      <c r="C77" s="55" t="s">
        <v>264</v>
      </c>
      <c r="D77" s="55"/>
      <c r="E77" s="82">
        <v>1458</v>
      </c>
      <c r="F77" s="82">
        <v>1508</v>
      </c>
      <c r="G77" s="82">
        <v>1575</v>
      </c>
      <c r="H77" s="82">
        <v>1656</v>
      </c>
      <c r="I77" s="82">
        <v>1734</v>
      </c>
      <c r="J77" s="82">
        <v>1804</v>
      </c>
      <c r="K77" s="82">
        <v>1868</v>
      </c>
      <c r="L77" s="82">
        <v>1918</v>
      </c>
      <c r="M77" s="82">
        <v>1986</v>
      </c>
      <c r="N77" s="79">
        <f>(M77/E77)^(1/8)-1</f>
        <v>3.938803960192172E-2</v>
      </c>
      <c r="O77" s="25"/>
    </row>
    <row r="78" spans="1:15" ht="15.6" thickTop="1" thickBot="1">
      <c r="B78" s="178"/>
      <c r="C78" s="60" t="s">
        <v>265</v>
      </c>
      <c r="D78" s="55"/>
      <c r="E78" s="83">
        <v>99</v>
      </c>
      <c r="F78" s="83">
        <v>97</v>
      </c>
      <c r="G78" s="83">
        <v>95</v>
      </c>
      <c r="H78" s="83">
        <v>92</v>
      </c>
      <c r="I78" s="83">
        <v>89</v>
      </c>
      <c r="J78" s="83">
        <v>87</v>
      </c>
      <c r="K78" s="83">
        <v>84</v>
      </c>
      <c r="L78" s="83">
        <v>81</v>
      </c>
      <c r="M78" s="83">
        <v>78</v>
      </c>
      <c r="N78" s="79">
        <f>(M78/E78)^(1/8)-1</f>
        <v>-2.9361695407744359E-2</v>
      </c>
      <c r="O78" s="25"/>
    </row>
    <row r="79" spans="1:15" ht="15.6" thickTop="1" thickBot="1">
      <c r="B79" s="177" t="s">
        <v>266</v>
      </c>
      <c r="C79" s="4" t="s">
        <v>264</v>
      </c>
      <c r="D79" s="55"/>
      <c r="E79" s="83">
        <v>324</v>
      </c>
      <c r="F79" s="83">
        <v>329</v>
      </c>
      <c r="G79" s="83">
        <v>335</v>
      </c>
      <c r="H79" s="83">
        <v>343</v>
      </c>
      <c r="I79" s="83">
        <v>349</v>
      </c>
      <c r="J79" s="83">
        <v>354</v>
      </c>
      <c r="K79" s="83">
        <v>359</v>
      </c>
      <c r="L79" s="83">
        <v>359</v>
      </c>
      <c r="M79" s="83">
        <v>362</v>
      </c>
      <c r="N79" s="79">
        <f>(M79/E79)^(1/8)-1</f>
        <v>1.3959118205026488E-2</v>
      </c>
      <c r="O79" s="25"/>
    </row>
    <row r="80" spans="1:15" ht="15.6" thickTop="1" thickBot="1">
      <c r="B80" s="178"/>
      <c r="C80" s="60" t="s">
        <v>265</v>
      </c>
      <c r="D80" s="55"/>
      <c r="E80" s="83">
        <v>324</v>
      </c>
      <c r="F80" s="83">
        <v>329</v>
      </c>
      <c r="G80" s="83">
        <v>335</v>
      </c>
      <c r="H80" s="83">
        <v>343</v>
      </c>
      <c r="I80" s="83">
        <v>349</v>
      </c>
      <c r="J80" s="83">
        <v>354</v>
      </c>
      <c r="K80" s="83">
        <v>359</v>
      </c>
      <c r="L80" s="83">
        <v>359</v>
      </c>
      <c r="M80" s="83">
        <v>362</v>
      </c>
      <c r="N80" s="80">
        <f>(M80/E80)^(1/8)-1</f>
        <v>1.3959118205026488E-2</v>
      </c>
      <c r="O80" s="25"/>
    </row>
    <row r="81" spans="2:36" ht="15" thickBot="1"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 t="s">
        <v>267</v>
      </c>
    </row>
    <row r="82" spans="2:36" ht="15.6" thickTop="1" thickBot="1">
      <c r="B82" s="179" t="s">
        <v>263</v>
      </c>
      <c r="C82" s="55" t="s">
        <v>264</v>
      </c>
      <c r="D82" s="55"/>
      <c r="E82" s="82">
        <f>E72*E77</f>
        <v>53943.546618760272</v>
      </c>
      <c r="F82" s="82">
        <f t="shared" ref="F82:M82" si="32">F72*F77</f>
        <v>53120.949880016145</v>
      </c>
      <c r="G82" s="82">
        <f t="shared" si="32"/>
        <v>56393.652505630991</v>
      </c>
      <c r="H82" s="82">
        <f t="shared" si="32"/>
        <v>58305.902576379813</v>
      </c>
      <c r="I82" s="82">
        <f t="shared" si="32"/>
        <v>61158.169565061173</v>
      </c>
      <c r="J82" s="82">
        <f t="shared" si="32"/>
        <v>62723.914150621538</v>
      </c>
      <c r="K82" s="82">
        <f t="shared" si="32"/>
        <v>64811.951306189367</v>
      </c>
      <c r="L82" s="82">
        <f t="shared" si="32"/>
        <v>65321.41599690765</v>
      </c>
      <c r="M82" s="82">
        <f t="shared" si="32"/>
        <v>66564.360515370412</v>
      </c>
      <c r="N82" s="79">
        <f>(M82/E82)^(1/8)-1</f>
        <v>2.6627240041710687E-2</v>
      </c>
      <c r="O82" s="25">
        <f>(M82-E82)/8</f>
        <v>1577.6017370762675</v>
      </c>
    </row>
    <row r="83" spans="2:36" ht="15.6" thickTop="1" thickBot="1">
      <c r="B83" s="178"/>
      <c r="C83" s="60" t="s">
        <v>265</v>
      </c>
      <c r="D83" s="55"/>
      <c r="E83" s="82">
        <f t="shared" ref="E83:M85" si="33">E73*E78</f>
        <v>4410.5192038110108</v>
      </c>
      <c r="F83" s="82">
        <f t="shared" si="33"/>
        <v>4131.8731717888531</v>
      </c>
      <c r="G83" s="82">
        <f t="shared" si="33"/>
        <v>4014.2478831797712</v>
      </c>
      <c r="H83" s="82">
        <f t="shared" si="33"/>
        <v>3812.475355106219</v>
      </c>
      <c r="I83" s="82">
        <f t="shared" si="33"/>
        <v>3693.5315040623645</v>
      </c>
      <c r="J83" s="82">
        <f t="shared" si="33"/>
        <v>3572.1389998140253</v>
      </c>
      <c r="K83" s="82">
        <f t="shared" si="33"/>
        <v>3431.0946911318197</v>
      </c>
      <c r="L83" s="82">
        <f t="shared" si="33"/>
        <v>3225.6051737393514</v>
      </c>
      <c r="M83" s="82">
        <f t="shared" si="33"/>
        <v>3066.5785842276846</v>
      </c>
      <c r="N83" s="79">
        <f>(M83/E83)^(1/8)-1</f>
        <v>-4.4412307467669221E-2</v>
      </c>
      <c r="O83" s="25">
        <f>(M83-E83)/8</f>
        <v>-167.99257744791578</v>
      </c>
    </row>
    <row r="84" spans="2:36" ht="15.6" thickTop="1" thickBot="1">
      <c r="B84" s="177" t="s">
        <v>266</v>
      </c>
      <c r="C84" s="4" t="s">
        <v>264</v>
      </c>
      <c r="D84" s="55"/>
      <c r="E84" s="82">
        <f t="shared" si="33"/>
        <v>14197.46984488224</v>
      </c>
      <c r="F84" s="82">
        <f t="shared" si="33"/>
        <v>14325.916946766452</v>
      </c>
      <c r="G84" s="82">
        <f t="shared" si="33"/>
        <v>14492.689502927084</v>
      </c>
      <c r="H84" s="82">
        <f t="shared" si="33"/>
        <v>15029.74875024922</v>
      </c>
      <c r="I84" s="82">
        <f t="shared" si="33"/>
        <v>15112.844849137229</v>
      </c>
      <c r="J84" s="82">
        <f t="shared" si="33"/>
        <v>15469.510194465111</v>
      </c>
      <c r="K84" s="82">
        <f t="shared" si="33"/>
        <v>15348.510963037526</v>
      </c>
      <c r="L84" s="82">
        <f t="shared" si="33"/>
        <v>14476.508872153761</v>
      </c>
      <c r="M84" s="82">
        <f t="shared" si="33"/>
        <v>14610.662885875316</v>
      </c>
      <c r="N84" s="79">
        <f>(M84/E84)^(1/8)-1</f>
        <v>3.5924158139553075E-3</v>
      </c>
      <c r="O84" s="25">
        <f>(M84-E84)/8</f>
        <v>51.649130124134444</v>
      </c>
    </row>
    <row r="85" spans="2:36" ht="15.6" thickTop="1" thickBot="1">
      <c r="B85" s="178"/>
      <c r="C85" s="60" t="s">
        <v>265</v>
      </c>
      <c r="D85" s="55"/>
      <c r="E85" s="82">
        <f t="shared" si="33"/>
        <v>23456.162980016488</v>
      </c>
      <c r="F85" s="82">
        <f t="shared" si="33"/>
        <v>23931.753401028258</v>
      </c>
      <c r="G85" s="82">
        <f t="shared" si="33"/>
        <v>24300.757640382253</v>
      </c>
      <c r="H85" s="82">
        <f t="shared" si="33"/>
        <v>24957.050289153362</v>
      </c>
      <c r="I85" s="82">
        <f t="shared" si="33"/>
        <v>25841.184960459792</v>
      </c>
      <c r="J85" s="82">
        <f t="shared" si="33"/>
        <v>26739.026657933151</v>
      </c>
      <c r="K85" s="82">
        <f t="shared" si="33"/>
        <v>26108.843428216929</v>
      </c>
      <c r="L85" s="82">
        <f t="shared" si="33"/>
        <v>28509.784963515838</v>
      </c>
      <c r="M85" s="82">
        <f t="shared" si="33"/>
        <v>28399.676265587139</v>
      </c>
      <c r="N85" s="80">
        <f>(M85/E85)^(1/8)-1</f>
        <v>2.4193587455615839E-2</v>
      </c>
      <c r="O85" s="25">
        <f>(M85-E85)/8</f>
        <v>617.93916069633133</v>
      </c>
    </row>
    <row r="88" spans="2:36" ht="15" thickBot="1">
      <c r="E88" s="4">
        <v>2019</v>
      </c>
      <c r="F88" s="4">
        <v>2020</v>
      </c>
      <c r="G88" s="4">
        <v>2021</v>
      </c>
      <c r="H88" s="4">
        <v>2022</v>
      </c>
      <c r="I88" s="4">
        <v>2023</v>
      </c>
      <c r="J88" s="4">
        <v>2024</v>
      </c>
      <c r="K88" s="4">
        <v>2025</v>
      </c>
      <c r="L88" s="4">
        <v>2026</v>
      </c>
      <c r="M88" s="4">
        <v>2027</v>
      </c>
      <c r="N88" s="4">
        <v>2028</v>
      </c>
      <c r="O88" s="4">
        <v>2029</v>
      </c>
      <c r="P88" s="4">
        <v>2030</v>
      </c>
      <c r="Q88" s="4">
        <v>2031</v>
      </c>
      <c r="R88" s="4">
        <v>2032</v>
      </c>
      <c r="S88" s="4">
        <v>2033</v>
      </c>
      <c r="T88" s="4">
        <v>2034</v>
      </c>
      <c r="U88" s="4">
        <v>2035</v>
      </c>
      <c r="V88" s="4">
        <v>2036</v>
      </c>
      <c r="W88" s="4">
        <v>2037</v>
      </c>
      <c r="X88" s="4">
        <v>2038</v>
      </c>
      <c r="Y88" s="4">
        <v>2039</v>
      </c>
      <c r="Z88" s="4">
        <v>2040</v>
      </c>
      <c r="AA88" s="4">
        <v>2041</v>
      </c>
      <c r="AB88" s="4">
        <v>2042</v>
      </c>
      <c r="AC88" s="4">
        <v>2043</v>
      </c>
      <c r="AD88" s="4">
        <v>2044</v>
      </c>
      <c r="AE88" s="4">
        <v>2045</v>
      </c>
      <c r="AF88" s="4">
        <v>2046</v>
      </c>
      <c r="AG88" s="4">
        <v>2047</v>
      </c>
      <c r="AH88" s="4">
        <v>2048</v>
      </c>
      <c r="AI88" s="4">
        <v>2049</v>
      </c>
      <c r="AJ88" s="4">
        <v>2050</v>
      </c>
    </row>
    <row r="89" spans="2:36" ht="15" thickBot="1">
      <c r="B89" s="179" t="s">
        <v>263</v>
      </c>
      <c r="C89" s="55" t="s">
        <v>264</v>
      </c>
      <c r="D89" s="55"/>
      <c r="E89" s="45">
        <f>L82</f>
        <v>65321.41599690765</v>
      </c>
      <c r="F89" s="45">
        <f>E89+$O82</f>
        <v>66899.017733983914</v>
      </c>
      <c r="G89" s="45">
        <f t="shared" ref="G89:AJ92" si="34">F89+$O82</f>
        <v>68476.619471060185</v>
      </c>
      <c r="H89" s="45">
        <f t="shared" si="34"/>
        <v>70054.221208136456</v>
      </c>
      <c r="I89" s="45">
        <f t="shared" si="34"/>
        <v>71631.822945212727</v>
      </c>
      <c r="J89" s="45">
        <f t="shared" si="34"/>
        <v>73209.424682288998</v>
      </c>
      <c r="K89" s="45">
        <f t="shared" si="34"/>
        <v>74787.026419365269</v>
      </c>
      <c r="L89" s="45">
        <f t="shared" si="34"/>
        <v>76364.62815644154</v>
      </c>
      <c r="M89" s="45">
        <f t="shared" si="34"/>
        <v>77942.229893517811</v>
      </c>
      <c r="N89" s="45">
        <f t="shared" si="34"/>
        <v>79519.831630594083</v>
      </c>
      <c r="O89" s="45">
        <f t="shared" si="34"/>
        <v>81097.433367670354</v>
      </c>
      <c r="P89" s="45">
        <f t="shared" si="34"/>
        <v>82675.035104746625</v>
      </c>
      <c r="Q89" s="45">
        <f t="shared" si="34"/>
        <v>84252.636841822896</v>
      </c>
      <c r="R89" s="45">
        <f t="shared" si="34"/>
        <v>85830.238578899167</v>
      </c>
      <c r="S89" s="45">
        <f t="shared" si="34"/>
        <v>87407.840315975438</v>
      </c>
      <c r="T89" s="45">
        <f t="shared" si="34"/>
        <v>88985.442053051709</v>
      </c>
      <c r="U89" s="45">
        <f t="shared" si="34"/>
        <v>90563.04379012798</v>
      </c>
      <c r="V89" s="45">
        <f t="shared" si="34"/>
        <v>92140.645527204251</v>
      </c>
      <c r="W89" s="45">
        <f t="shared" si="34"/>
        <v>93718.247264280522</v>
      </c>
      <c r="X89" s="45">
        <f t="shared" si="34"/>
        <v>95295.849001356793</v>
      </c>
      <c r="Y89" s="45">
        <f t="shared" si="34"/>
        <v>96873.450738433065</v>
      </c>
      <c r="Z89" s="45">
        <f t="shared" si="34"/>
        <v>98451.052475509336</v>
      </c>
      <c r="AA89" s="45">
        <f t="shared" si="34"/>
        <v>100028.65421258561</v>
      </c>
      <c r="AB89" s="45">
        <f t="shared" si="34"/>
        <v>101606.25594966188</v>
      </c>
      <c r="AC89" s="45">
        <f t="shared" si="34"/>
        <v>103183.85768673815</v>
      </c>
      <c r="AD89" s="45">
        <f t="shared" si="34"/>
        <v>104761.45942381442</v>
      </c>
      <c r="AE89" s="45">
        <f t="shared" si="34"/>
        <v>106339.06116089069</v>
      </c>
      <c r="AF89" s="45">
        <f t="shared" si="34"/>
        <v>107916.66289796696</v>
      </c>
      <c r="AG89" s="45">
        <f t="shared" si="34"/>
        <v>109494.26463504323</v>
      </c>
      <c r="AH89" s="45">
        <f t="shared" si="34"/>
        <v>111071.8663721195</v>
      </c>
      <c r="AI89" s="45">
        <f t="shared" si="34"/>
        <v>112649.46810919578</v>
      </c>
      <c r="AJ89" s="45">
        <f t="shared" si="34"/>
        <v>114227.06984627205</v>
      </c>
    </row>
    <row r="90" spans="2:36" ht="15" thickBot="1">
      <c r="B90" s="178"/>
      <c r="C90" s="60" t="s">
        <v>265</v>
      </c>
      <c r="D90" s="55"/>
      <c r="E90" s="45">
        <f>L83</f>
        <v>3225.6051737393514</v>
      </c>
      <c r="F90" s="45">
        <f>E90+$O83</f>
        <v>3057.6125962914357</v>
      </c>
      <c r="G90" s="45">
        <f t="shared" ref="G90:U90" si="35">F90+$O83</f>
        <v>2889.62001884352</v>
      </c>
      <c r="H90" s="45">
        <f t="shared" si="35"/>
        <v>2721.6274413956044</v>
      </c>
      <c r="I90" s="45">
        <f t="shared" si="35"/>
        <v>2553.6348639476887</v>
      </c>
      <c r="J90" s="45">
        <f t="shared" si="35"/>
        <v>2385.642286499773</v>
      </c>
      <c r="K90" s="45">
        <f t="shared" si="35"/>
        <v>2217.6497090518574</v>
      </c>
      <c r="L90" s="45">
        <f t="shared" si="35"/>
        <v>2049.6571316039417</v>
      </c>
      <c r="M90" s="45">
        <f t="shared" si="35"/>
        <v>1881.664554156026</v>
      </c>
      <c r="N90" s="45">
        <f t="shared" si="35"/>
        <v>1713.6719767081104</v>
      </c>
      <c r="O90" s="45">
        <f t="shared" si="35"/>
        <v>1545.6793992601947</v>
      </c>
      <c r="P90" s="45">
        <f t="shared" si="35"/>
        <v>1377.686821812279</v>
      </c>
      <c r="Q90" s="45">
        <f t="shared" si="35"/>
        <v>1209.6942443643634</v>
      </c>
      <c r="R90" s="45">
        <f t="shared" si="35"/>
        <v>1041.7016669164477</v>
      </c>
      <c r="S90" s="45">
        <f t="shared" si="35"/>
        <v>873.70908946853194</v>
      </c>
      <c r="T90" s="45">
        <f t="shared" si="35"/>
        <v>705.71651202061616</v>
      </c>
      <c r="U90" s="45">
        <f t="shared" si="35"/>
        <v>537.72393457270039</v>
      </c>
      <c r="V90" s="45">
        <f t="shared" si="34"/>
        <v>369.73135712478461</v>
      </c>
      <c r="W90" s="45">
        <f t="shared" si="34"/>
        <v>201.73877967686883</v>
      </c>
      <c r="X90" s="45">
        <f t="shared" si="34"/>
        <v>33.746202228953052</v>
      </c>
      <c r="Y90" s="45">
        <f t="shared" si="34"/>
        <v>-134.24637521896273</v>
      </c>
      <c r="Z90" s="45">
        <f t="shared" si="34"/>
        <v>-302.2389526668785</v>
      </c>
      <c r="AA90" s="45">
        <f t="shared" si="34"/>
        <v>-470.23153011479428</v>
      </c>
      <c r="AB90" s="45">
        <f t="shared" si="34"/>
        <v>-638.22410756271006</v>
      </c>
      <c r="AC90" s="45">
        <f t="shared" si="34"/>
        <v>-806.21668501062584</v>
      </c>
      <c r="AD90" s="45">
        <f t="shared" si="34"/>
        <v>-974.20926245854162</v>
      </c>
      <c r="AE90" s="45">
        <f t="shared" si="34"/>
        <v>-1142.2018399064573</v>
      </c>
      <c r="AF90" s="45">
        <f t="shared" si="34"/>
        <v>-1310.1944173543729</v>
      </c>
      <c r="AG90" s="45">
        <f t="shared" si="34"/>
        <v>-1478.1869948022886</v>
      </c>
      <c r="AH90" s="45">
        <f t="shared" si="34"/>
        <v>-1646.1795722502043</v>
      </c>
      <c r="AI90" s="45">
        <f t="shared" si="34"/>
        <v>-1814.1721496981199</v>
      </c>
      <c r="AJ90" s="45">
        <f t="shared" si="34"/>
        <v>-1982.1647271460356</v>
      </c>
    </row>
    <row r="91" spans="2:36" ht="15" thickBot="1">
      <c r="B91" s="177" t="s">
        <v>266</v>
      </c>
      <c r="C91" s="4" t="s">
        <v>264</v>
      </c>
      <c r="D91" s="55"/>
      <c r="E91" s="45">
        <f>L84</f>
        <v>14476.508872153761</v>
      </c>
      <c r="F91" s="45">
        <f>E91+$O84</f>
        <v>14528.158002277896</v>
      </c>
      <c r="G91" s="45">
        <f t="shared" si="34"/>
        <v>14579.807132402031</v>
      </c>
      <c r="H91" s="45">
        <f t="shared" si="34"/>
        <v>14631.456262526166</v>
      </c>
      <c r="I91" s="45">
        <f t="shared" si="34"/>
        <v>14683.105392650301</v>
      </c>
      <c r="J91" s="45">
        <f t="shared" si="34"/>
        <v>14734.754522774436</v>
      </c>
      <c r="K91" s="45">
        <f t="shared" si="34"/>
        <v>14786.403652898571</v>
      </c>
      <c r="L91" s="45">
        <f t="shared" si="34"/>
        <v>14838.052783022706</v>
      </c>
      <c r="M91" s="45">
        <f t="shared" si="34"/>
        <v>14889.701913146841</v>
      </c>
      <c r="N91" s="45">
        <f t="shared" si="34"/>
        <v>14941.351043270975</v>
      </c>
      <c r="O91" s="45">
        <f t="shared" si="34"/>
        <v>14993.00017339511</v>
      </c>
      <c r="P91" s="45">
        <f t="shared" si="34"/>
        <v>15044.649303519245</v>
      </c>
      <c r="Q91" s="45">
        <f t="shared" si="34"/>
        <v>15096.29843364338</v>
      </c>
      <c r="R91" s="45">
        <f t="shared" si="34"/>
        <v>15147.947563767515</v>
      </c>
      <c r="S91" s="45">
        <f t="shared" si="34"/>
        <v>15199.59669389165</v>
      </c>
      <c r="T91" s="45">
        <f t="shared" si="34"/>
        <v>15251.245824015785</v>
      </c>
      <c r="U91" s="45">
        <f t="shared" si="34"/>
        <v>15302.89495413992</v>
      </c>
      <c r="V91" s="45">
        <f t="shared" si="34"/>
        <v>15354.544084264055</v>
      </c>
      <c r="W91" s="45">
        <f t="shared" si="34"/>
        <v>15406.19321438819</v>
      </c>
      <c r="X91" s="45">
        <f t="shared" si="34"/>
        <v>15457.842344512324</v>
      </c>
      <c r="Y91" s="45">
        <f t="shared" si="34"/>
        <v>15509.491474636459</v>
      </c>
      <c r="Z91" s="45">
        <f t="shared" si="34"/>
        <v>15561.140604760594</v>
      </c>
      <c r="AA91" s="45">
        <f t="shared" si="34"/>
        <v>15612.789734884729</v>
      </c>
      <c r="AB91" s="45">
        <f t="shared" si="34"/>
        <v>15664.438865008864</v>
      </c>
      <c r="AC91" s="45">
        <f t="shared" si="34"/>
        <v>15716.087995132999</v>
      </c>
      <c r="AD91" s="45">
        <f t="shared" si="34"/>
        <v>15767.737125257134</v>
      </c>
      <c r="AE91" s="45">
        <f t="shared" si="34"/>
        <v>15819.386255381269</v>
      </c>
      <c r="AF91" s="45">
        <f t="shared" si="34"/>
        <v>15871.035385505404</v>
      </c>
      <c r="AG91" s="45">
        <f t="shared" si="34"/>
        <v>15922.684515629539</v>
      </c>
      <c r="AH91" s="45">
        <f t="shared" si="34"/>
        <v>15974.333645753673</v>
      </c>
      <c r="AI91" s="45">
        <f t="shared" si="34"/>
        <v>16025.982775877808</v>
      </c>
      <c r="AJ91" s="45">
        <f t="shared" si="34"/>
        <v>16077.631906001943</v>
      </c>
    </row>
    <row r="92" spans="2:36" ht="15" thickBot="1">
      <c r="B92" s="178"/>
      <c r="C92" s="60" t="s">
        <v>265</v>
      </c>
      <c r="D92" s="55"/>
      <c r="E92" s="45">
        <f>L85</f>
        <v>28509.784963515838</v>
      </c>
      <c r="F92" s="45">
        <f>E92+$O85</f>
        <v>29127.724124212171</v>
      </c>
      <c r="G92" s="45">
        <f t="shared" si="34"/>
        <v>29745.663284908504</v>
      </c>
      <c r="H92" s="45">
        <f t="shared" si="34"/>
        <v>30363.602445604836</v>
      </c>
      <c r="I92" s="45">
        <f t="shared" si="34"/>
        <v>30981.541606301169</v>
      </c>
      <c r="J92" s="45">
        <f t="shared" si="34"/>
        <v>31599.480766997502</v>
      </c>
      <c r="K92" s="45">
        <f t="shared" si="34"/>
        <v>32217.419927693834</v>
      </c>
      <c r="L92" s="45">
        <f t="shared" si="34"/>
        <v>32835.359088390163</v>
      </c>
      <c r="M92" s="45">
        <f t="shared" si="34"/>
        <v>33453.298249086496</v>
      </c>
      <c r="N92" s="45">
        <f t="shared" si="34"/>
        <v>34071.237409782829</v>
      </c>
      <c r="O92" s="45">
        <f t="shared" si="34"/>
        <v>34689.176570479161</v>
      </c>
      <c r="P92" s="45">
        <f t="shared" si="34"/>
        <v>35307.115731175494</v>
      </c>
      <c r="Q92" s="45">
        <f t="shared" si="34"/>
        <v>35925.054891871827</v>
      </c>
      <c r="R92" s="45">
        <f t="shared" si="34"/>
        <v>36542.99405256816</v>
      </c>
      <c r="S92" s="45">
        <f t="shared" si="34"/>
        <v>37160.933213264492</v>
      </c>
      <c r="T92" s="45">
        <f t="shared" si="34"/>
        <v>37778.872373960825</v>
      </c>
      <c r="U92" s="45">
        <f t="shared" si="34"/>
        <v>38396.811534657158</v>
      </c>
      <c r="V92" s="45">
        <f t="shared" si="34"/>
        <v>39014.75069535349</v>
      </c>
      <c r="W92" s="45">
        <f t="shared" si="34"/>
        <v>39632.689856049823</v>
      </c>
      <c r="X92" s="45">
        <f t="shared" si="34"/>
        <v>40250.629016746156</v>
      </c>
      <c r="Y92" s="45">
        <f t="shared" si="34"/>
        <v>40868.568177442488</v>
      </c>
      <c r="Z92" s="45">
        <f t="shared" si="34"/>
        <v>41486.507338138821</v>
      </c>
      <c r="AA92" s="45">
        <f t="shared" si="34"/>
        <v>42104.446498835154</v>
      </c>
      <c r="AB92" s="45">
        <f t="shared" si="34"/>
        <v>42722.385659531486</v>
      </c>
      <c r="AC92" s="45">
        <f t="shared" si="34"/>
        <v>43340.324820227819</v>
      </c>
      <c r="AD92" s="45">
        <f t="shared" si="34"/>
        <v>43958.263980924152</v>
      </c>
      <c r="AE92" s="45">
        <f t="shared" si="34"/>
        <v>44576.203141620485</v>
      </c>
      <c r="AF92" s="45">
        <f t="shared" si="34"/>
        <v>45194.142302316817</v>
      </c>
      <c r="AG92" s="45">
        <f t="shared" si="34"/>
        <v>45812.08146301315</v>
      </c>
      <c r="AH92" s="45">
        <f t="shared" si="34"/>
        <v>46430.020623709483</v>
      </c>
      <c r="AI92" s="45">
        <f t="shared" si="34"/>
        <v>47047.959784405815</v>
      </c>
      <c r="AJ92" s="45">
        <f t="shared" si="34"/>
        <v>47665.898945102148</v>
      </c>
    </row>
  </sheetData>
  <mergeCells count="28">
    <mergeCell ref="N2:N3"/>
    <mergeCell ref="C40:D46"/>
    <mergeCell ref="B77:B78"/>
    <mergeCell ref="A1:A3"/>
    <mergeCell ref="B1:B3"/>
    <mergeCell ref="C1:C3"/>
    <mergeCell ref="C48:D52"/>
    <mergeCell ref="A60:A62"/>
    <mergeCell ref="A63:A67"/>
    <mergeCell ref="B72:B73"/>
    <mergeCell ref="B74:B75"/>
    <mergeCell ref="B79:B80"/>
    <mergeCell ref="B82:B83"/>
    <mergeCell ref="B84:B85"/>
    <mergeCell ref="B89:B90"/>
    <mergeCell ref="B91:B92"/>
    <mergeCell ref="V1:AG1"/>
    <mergeCell ref="R3:R36"/>
    <mergeCell ref="S4:S13"/>
    <mergeCell ref="T5:T9"/>
    <mergeCell ref="T10:T12"/>
    <mergeCell ref="S14:S19"/>
    <mergeCell ref="T15:T18"/>
    <mergeCell ref="S20:S32"/>
    <mergeCell ref="T21:T24"/>
    <mergeCell ref="T25:T28"/>
    <mergeCell ref="T29:T31"/>
    <mergeCell ref="S33:S36"/>
  </mergeCells>
  <phoneticPr fontId="43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1AF6E-6FF3-4258-B536-2AC6D3469E02}">
  <dimension ref="A1:AJ92"/>
  <sheetViews>
    <sheetView topLeftCell="A40" workbookViewId="0">
      <selection activeCell="C109" sqref="C109"/>
    </sheetView>
  </sheetViews>
  <sheetFormatPr defaultColWidth="9" defaultRowHeight="14.4"/>
  <cols>
    <col min="1" max="1" width="15.6640625" style="4" customWidth="1"/>
    <col min="2" max="2" width="5.88671875" style="4" customWidth="1"/>
    <col min="3" max="3" width="9.6640625" style="4" customWidth="1"/>
    <col min="4" max="4" width="5.88671875" style="4" customWidth="1"/>
    <col min="5" max="5" width="9" style="4" customWidth="1"/>
    <col min="6" max="6" width="12.109375" style="4" customWidth="1"/>
    <col min="7" max="13" width="9" style="4" customWidth="1"/>
    <col min="14" max="15" width="9.88671875" style="4" bestFit="1" customWidth="1"/>
    <col min="16" max="16384" width="9" style="4"/>
  </cols>
  <sheetData>
    <row r="1" spans="1:15" ht="20.100000000000001" customHeight="1">
      <c r="A1" s="183" t="s">
        <v>234</v>
      </c>
      <c r="B1" s="183" t="s">
        <v>200</v>
      </c>
      <c r="C1" s="183" t="s">
        <v>201</v>
      </c>
      <c r="D1" s="183" t="s">
        <v>202</v>
      </c>
      <c r="E1" s="101" t="s">
        <v>235</v>
      </c>
      <c r="F1" s="101" t="s">
        <v>236</v>
      </c>
      <c r="G1" s="101" t="s">
        <v>237</v>
      </c>
      <c r="H1" s="101" t="s">
        <v>238</v>
      </c>
      <c r="I1" s="101" t="s">
        <v>239</v>
      </c>
      <c r="J1" s="101" t="s">
        <v>240</v>
      </c>
      <c r="K1" s="101" t="s">
        <v>241</v>
      </c>
      <c r="L1" s="101" t="s">
        <v>242</v>
      </c>
      <c r="M1" s="101" t="s">
        <v>243</v>
      </c>
    </row>
    <row r="2" spans="1:15" ht="20.100000000000001" customHeight="1">
      <c r="A2" s="182" t="s">
        <v>234</v>
      </c>
      <c r="B2" s="182" t="s">
        <v>200</v>
      </c>
      <c r="C2" s="182" t="s">
        <v>201</v>
      </c>
      <c r="D2" s="182" t="s">
        <v>202</v>
      </c>
      <c r="E2" s="101" t="s">
        <v>244</v>
      </c>
      <c r="F2" s="101" t="s">
        <v>244</v>
      </c>
      <c r="G2" s="101" t="s">
        <v>244</v>
      </c>
      <c r="H2" s="101" t="s">
        <v>244</v>
      </c>
      <c r="I2" s="101" t="s">
        <v>244</v>
      </c>
      <c r="J2" s="101" t="s">
        <v>244</v>
      </c>
      <c r="K2" s="101" t="s">
        <v>244</v>
      </c>
      <c r="L2" s="101" t="s">
        <v>244</v>
      </c>
      <c r="M2" s="101" t="s">
        <v>244</v>
      </c>
      <c r="N2" s="180" t="s">
        <v>245</v>
      </c>
    </row>
    <row r="3" spans="1:15" ht="20.100000000000001" customHeight="1">
      <c r="A3" s="182" t="s">
        <v>234</v>
      </c>
      <c r="B3" s="182" t="s">
        <v>200</v>
      </c>
      <c r="C3" s="182" t="s">
        <v>201</v>
      </c>
      <c r="D3" s="182" t="s">
        <v>202</v>
      </c>
      <c r="E3" s="101" t="s">
        <v>205</v>
      </c>
      <c r="F3" s="101" t="s">
        <v>205</v>
      </c>
      <c r="G3" s="101" t="s">
        <v>205</v>
      </c>
      <c r="H3" s="101" t="s">
        <v>205</v>
      </c>
      <c r="I3" s="101" t="s">
        <v>205</v>
      </c>
      <c r="J3" s="101" t="s">
        <v>205</v>
      </c>
      <c r="K3" s="101" t="s">
        <v>205</v>
      </c>
      <c r="L3" s="101" t="s">
        <v>205</v>
      </c>
      <c r="M3" s="101" t="s">
        <v>205</v>
      </c>
      <c r="N3" s="180"/>
    </row>
    <row r="4" spans="1:15" ht="20.100000000000001" customHeight="1">
      <c r="A4" s="51" t="s">
        <v>209</v>
      </c>
      <c r="B4" s="51" t="s">
        <v>58</v>
      </c>
      <c r="C4" s="51" t="s">
        <v>58</v>
      </c>
      <c r="D4" s="51" t="s">
        <v>58</v>
      </c>
      <c r="E4" s="102">
        <v>41</v>
      </c>
      <c r="F4" s="102">
        <v>39.700000000000003</v>
      </c>
      <c r="G4" s="102">
        <v>40.200000000000003</v>
      </c>
      <c r="H4" s="102">
        <v>39.799999999999997</v>
      </c>
      <c r="I4" s="102">
        <v>39.700000000000003</v>
      </c>
      <c r="J4" s="102">
        <v>39.5</v>
      </c>
      <c r="K4" s="102">
        <v>39.200000000000003</v>
      </c>
      <c r="L4" s="102">
        <v>38.5</v>
      </c>
      <c r="M4" s="102">
        <v>37.9</v>
      </c>
    </row>
    <row r="5" spans="1:15" ht="20.100000000000001" customHeight="1">
      <c r="A5" s="49" t="s">
        <v>246</v>
      </c>
      <c r="B5" s="51" t="s">
        <v>211</v>
      </c>
      <c r="C5" s="51" t="s">
        <v>58</v>
      </c>
      <c r="D5" s="51" t="s">
        <v>58</v>
      </c>
      <c r="E5" s="102">
        <v>37.5</v>
      </c>
      <c r="F5" s="102">
        <v>36</v>
      </c>
      <c r="G5" s="102">
        <v>36.5</v>
      </c>
      <c r="H5" s="102">
        <v>36.1</v>
      </c>
      <c r="I5" s="102">
        <v>36.1</v>
      </c>
      <c r="J5" s="102">
        <v>35.799999999999997</v>
      </c>
      <c r="K5" s="102">
        <v>35.799999999999997</v>
      </c>
      <c r="L5" s="102">
        <v>35.1</v>
      </c>
      <c r="M5" s="102">
        <v>34.700000000000003</v>
      </c>
    </row>
    <row r="6" spans="1:15" ht="20.100000000000001" customHeight="1">
      <c r="A6" s="49" t="s">
        <v>246</v>
      </c>
      <c r="B6" s="49" t="s">
        <v>246</v>
      </c>
      <c r="C6" s="51" t="s">
        <v>212</v>
      </c>
      <c r="D6" s="51" t="s">
        <v>58</v>
      </c>
      <c r="E6" s="102">
        <v>36.1</v>
      </c>
      <c r="F6" s="102">
        <v>34.700000000000003</v>
      </c>
      <c r="G6" s="102">
        <v>35.4</v>
      </c>
      <c r="H6" s="102">
        <v>35.1</v>
      </c>
      <c r="I6" s="102">
        <v>34.799999999999997</v>
      </c>
      <c r="J6" s="102">
        <v>34.5</v>
      </c>
      <c r="K6" s="102">
        <v>34.299999999999997</v>
      </c>
      <c r="L6" s="102">
        <v>33.6</v>
      </c>
      <c r="M6" s="102">
        <v>32.700000000000003</v>
      </c>
    </row>
    <row r="7" spans="1:15" ht="20.100000000000001" customHeight="1">
      <c r="A7" s="49" t="s">
        <v>246</v>
      </c>
      <c r="B7" s="49" t="s">
        <v>246</v>
      </c>
      <c r="C7" s="49" t="s">
        <v>246</v>
      </c>
      <c r="D7" s="51" t="s">
        <v>213</v>
      </c>
      <c r="E7" s="103">
        <v>25.8</v>
      </c>
      <c r="F7" s="103">
        <v>24.5</v>
      </c>
      <c r="G7" s="103">
        <v>24.2</v>
      </c>
      <c r="H7" s="103">
        <v>24.7</v>
      </c>
      <c r="I7" s="103">
        <v>25.5</v>
      </c>
      <c r="J7" s="103">
        <v>24.4</v>
      </c>
      <c r="K7" s="103">
        <v>23.7</v>
      </c>
      <c r="L7" s="103">
        <v>25</v>
      </c>
      <c r="M7" s="103">
        <v>24.2</v>
      </c>
      <c r="N7" s="30">
        <f>'BAADTbVT_DV-km'!F7</f>
        <v>2187909</v>
      </c>
      <c r="O7" s="30">
        <f>SUM(N7:N9)</f>
        <v>9671497</v>
      </c>
    </row>
    <row r="8" spans="1:15" ht="20.100000000000001" customHeight="1">
      <c r="A8" s="49" t="s">
        <v>246</v>
      </c>
      <c r="B8" s="49" t="s">
        <v>246</v>
      </c>
      <c r="C8" s="49" t="s">
        <v>246</v>
      </c>
      <c r="D8" s="51" t="s">
        <v>214</v>
      </c>
      <c r="E8" s="103">
        <v>24.7</v>
      </c>
      <c r="F8" s="103">
        <v>22.6</v>
      </c>
      <c r="G8" s="103">
        <v>23.1</v>
      </c>
      <c r="H8" s="103">
        <v>22.3</v>
      </c>
      <c r="I8" s="103">
        <v>22.7</v>
      </c>
      <c r="J8" s="103">
        <v>22</v>
      </c>
      <c r="K8" s="103">
        <v>21.6</v>
      </c>
      <c r="L8" s="103">
        <v>20.6</v>
      </c>
      <c r="M8" s="103">
        <v>20</v>
      </c>
      <c r="N8" s="30">
        <f>'BAADTbVT_DV-km'!F8</f>
        <v>759979</v>
      </c>
      <c r="O8" s="30"/>
    </row>
    <row r="9" spans="1:15" ht="20.100000000000001" customHeight="1">
      <c r="A9" s="49" t="s">
        <v>246</v>
      </c>
      <c r="B9" s="49" t="s">
        <v>246</v>
      </c>
      <c r="C9" s="49" t="s">
        <v>246</v>
      </c>
      <c r="D9" s="51" t="s">
        <v>215</v>
      </c>
      <c r="E9" s="103">
        <v>38.200000000000003</v>
      </c>
      <c r="F9" s="103">
        <v>36.700000000000003</v>
      </c>
      <c r="G9" s="103">
        <v>37.5</v>
      </c>
      <c r="H9" s="103">
        <v>37.1</v>
      </c>
      <c r="I9" s="103">
        <v>36.1</v>
      </c>
      <c r="J9" s="103">
        <v>35.9</v>
      </c>
      <c r="K9" s="103">
        <v>35.9</v>
      </c>
      <c r="L9" s="103">
        <v>35.1</v>
      </c>
      <c r="M9" s="103">
        <v>33.799999999999997</v>
      </c>
      <c r="N9" s="30">
        <f>'BAADTbVT_DV-km'!F9</f>
        <v>6723609</v>
      </c>
      <c r="O9" s="30"/>
    </row>
    <row r="10" spans="1:15" ht="20.100000000000001" customHeight="1">
      <c r="A10" s="49" t="s">
        <v>246</v>
      </c>
      <c r="B10" s="49" t="s">
        <v>246</v>
      </c>
      <c r="C10" s="49" t="s">
        <v>246</v>
      </c>
      <c r="D10" s="51" t="s">
        <v>216</v>
      </c>
      <c r="E10" s="104">
        <v>42.7</v>
      </c>
      <c r="F10" s="104">
        <v>40.299999999999997</v>
      </c>
      <c r="G10" s="104">
        <v>40.6</v>
      </c>
      <c r="H10" s="104">
        <v>39.5</v>
      </c>
      <c r="I10" s="104">
        <v>39.700000000000003</v>
      </c>
      <c r="J10" s="104">
        <v>38.9</v>
      </c>
      <c r="K10" s="104">
        <v>38.700000000000003</v>
      </c>
      <c r="L10" s="104">
        <v>36.6</v>
      </c>
      <c r="M10" s="104">
        <v>36.200000000000003</v>
      </c>
      <c r="N10" s="30">
        <f>'BAADTbVT_DV-km'!F10</f>
        <v>3915864</v>
      </c>
      <c r="O10" s="30">
        <f>N10</f>
        <v>3915864</v>
      </c>
    </row>
    <row r="11" spans="1:15" ht="20.100000000000001" customHeight="1">
      <c r="A11" s="49" t="s">
        <v>246</v>
      </c>
      <c r="B11" s="49" t="s">
        <v>246</v>
      </c>
      <c r="C11" s="51" t="s">
        <v>217</v>
      </c>
      <c r="D11" s="51" t="s">
        <v>58</v>
      </c>
      <c r="E11" s="102">
        <v>42.5</v>
      </c>
      <c r="F11" s="102">
        <v>40.9</v>
      </c>
      <c r="G11" s="102">
        <v>40.799999999999997</v>
      </c>
      <c r="H11" s="102">
        <v>39.9</v>
      </c>
      <c r="I11" s="102">
        <v>40.4</v>
      </c>
      <c r="J11" s="102">
        <v>40</v>
      </c>
      <c r="K11" s="102">
        <v>39.9</v>
      </c>
      <c r="L11" s="102">
        <v>39.1</v>
      </c>
      <c r="M11" s="102">
        <v>39.299999999999997</v>
      </c>
      <c r="N11" s="30"/>
      <c r="O11" s="30"/>
    </row>
    <row r="12" spans="1:15" ht="20.100000000000001" customHeight="1">
      <c r="A12" s="49" t="s">
        <v>246</v>
      </c>
      <c r="B12" s="49" t="s">
        <v>246</v>
      </c>
      <c r="C12" s="49" t="s">
        <v>246</v>
      </c>
      <c r="D12" s="51" t="s">
        <v>215</v>
      </c>
      <c r="E12" s="103">
        <v>42.4</v>
      </c>
      <c r="F12" s="103">
        <v>40.4</v>
      </c>
      <c r="G12" s="103">
        <v>40.700000000000003</v>
      </c>
      <c r="H12" s="103">
        <v>39.6</v>
      </c>
      <c r="I12" s="103">
        <v>40.6</v>
      </c>
      <c r="J12" s="103">
        <v>40.200000000000003</v>
      </c>
      <c r="K12" s="103">
        <v>40.299999999999997</v>
      </c>
      <c r="L12" s="103">
        <v>39.200000000000003</v>
      </c>
      <c r="M12" s="103">
        <v>39.799999999999997</v>
      </c>
      <c r="N12" s="30">
        <f>'BAADTbVT_DV-km'!F12</f>
        <v>4434476</v>
      </c>
      <c r="O12" s="30">
        <f>N12</f>
        <v>4434476</v>
      </c>
    </row>
    <row r="13" spans="1:15" ht="20.100000000000001" customHeight="1">
      <c r="A13" s="49" t="s">
        <v>246</v>
      </c>
      <c r="B13" s="49" t="s">
        <v>246</v>
      </c>
      <c r="C13" s="49" t="s">
        <v>246</v>
      </c>
      <c r="D13" s="51" t="s">
        <v>216</v>
      </c>
      <c r="E13" s="104">
        <v>42.7</v>
      </c>
      <c r="F13" s="104">
        <v>41.6</v>
      </c>
      <c r="G13" s="104">
        <v>40.799999999999997</v>
      </c>
      <c r="H13" s="104">
        <v>40.4</v>
      </c>
      <c r="I13" s="104">
        <v>39.9</v>
      </c>
      <c r="J13" s="104">
        <v>39.700000000000003</v>
      </c>
      <c r="K13" s="104">
        <v>39</v>
      </c>
      <c r="L13" s="104">
        <v>38.9</v>
      </c>
      <c r="M13" s="104">
        <v>38.1</v>
      </c>
      <c r="N13" s="30">
        <f>'BAADTbVT_DV-km'!F13</f>
        <v>2070333</v>
      </c>
      <c r="O13" s="30">
        <f>SUM(N13:N14)</f>
        <v>3747191</v>
      </c>
    </row>
    <row r="14" spans="1:15" ht="20.100000000000001" customHeight="1">
      <c r="A14" s="49" t="s">
        <v>246</v>
      </c>
      <c r="B14" s="49" t="s">
        <v>246</v>
      </c>
      <c r="C14" s="51" t="s">
        <v>218</v>
      </c>
      <c r="D14" s="51" t="s">
        <v>58</v>
      </c>
      <c r="E14" s="104">
        <v>39.799999999999997</v>
      </c>
      <c r="F14" s="104">
        <v>38.1</v>
      </c>
      <c r="G14" s="104">
        <v>36.9</v>
      </c>
      <c r="H14" s="104">
        <v>36.299999999999997</v>
      </c>
      <c r="I14" s="104">
        <v>36.6</v>
      </c>
      <c r="J14" s="104">
        <v>36.6</v>
      </c>
      <c r="K14" s="104">
        <v>37.200000000000003</v>
      </c>
      <c r="L14" s="104">
        <v>37.700000000000003</v>
      </c>
      <c r="M14" s="104">
        <v>38.6</v>
      </c>
      <c r="N14" s="30">
        <f>'BAADTbVT_DV-km'!F14</f>
        <v>1676858</v>
      </c>
      <c r="O14" s="30"/>
    </row>
    <row r="15" spans="1:15" ht="20.100000000000001" customHeight="1">
      <c r="A15" s="49" t="s">
        <v>246</v>
      </c>
      <c r="B15" s="51" t="s">
        <v>220</v>
      </c>
      <c r="C15" s="51" t="s">
        <v>58</v>
      </c>
      <c r="D15" s="51" t="s">
        <v>58</v>
      </c>
      <c r="E15" s="102">
        <v>56.7</v>
      </c>
      <c r="F15" s="102">
        <v>54.6</v>
      </c>
      <c r="G15" s="102">
        <v>59.2</v>
      </c>
      <c r="H15" s="102">
        <v>57.9</v>
      </c>
      <c r="I15" s="102">
        <v>59.9</v>
      </c>
      <c r="J15" s="102">
        <v>60.1</v>
      </c>
      <c r="K15" s="102">
        <v>59.8</v>
      </c>
      <c r="L15" s="102">
        <v>59.2</v>
      </c>
      <c r="M15" s="102">
        <v>55.1</v>
      </c>
      <c r="N15" s="30"/>
      <c r="O15" s="30"/>
    </row>
    <row r="16" spans="1:15" ht="20.100000000000001" customHeight="1">
      <c r="A16" s="49" t="s">
        <v>246</v>
      </c>
      <c r="B16" s="49" t="s">
        <v>246</v>
      </c>
      <c r="C16" s="51" t="s">
        <v>212</v>
      </c>
      <c r="D16" s="51" t="s">
        <v>58</v>
      </c>
      <c r="E16" s="102">
        <v>57</v>
      </c>
      <c r="F16" s="102">
        <v>54.8</v>
      </c>
      <c r="G16" s="102">
        <v>59.5</v>
      </c>
      <c r="H16" s="102">
        <v>58.2</v>
      </c>
      <c r="I16" s="102">
        <v>60.3</v>
      </c>
      <c r="J16" s="102">
        <v>60.8</v>
      </c>
      <c r="K16" s="102">
        <v>60.7</v>
      </c>
      <c r="L16" s="102">
        <v>60.5</v>
      </c>
      <c r="M16" s="102">
        <v>56.5</v>
      </c>
      <c r="N16" s="30"/>
      <c r="O16" s="30"/>
    </row>
    <row r="17" spans="1:15" ht="20.100000000000001" customHeight="1">
      <c r="A17" s="49" t="s">
        <v>246</v>
      </c>
      <c r="B17" s="49" t="s">
        <v>246</v>
      </c>
      <c r="C17" s="49" t="s">
        <v>246</v>
      </c>
      <c r="D17" s="51" t="s">
        <v>214</v>
      </c>
      <c r="E17" s="103">
        <v>40.4</v>
      </c>
      <c r="F17" s="103">
        <v>35.299999999999997</v>
      </c>
      <c r="G17" s="103">
        <v>39.299999999999997</v>
      </c>
      <c r="H17" s="103">
        <v>36</v>
      </c>
      <c r="I17" s="103">
        <v>38.299999999999997</v>
      </c>
      <c r="J17" s="103">
        <v>35.700000000000003</v>
      </c>
      <c r="K17" s="103">
        <v>36.4</v>
      </c>
      <c r="L17" s="103">
        <v>34</v>
      </c>
      <c r="M17" s="103">
        <v>35</v>
      </c>
      <c r="N17" s="30">
        <f>'BAADTbVT_DV-km'!F17</f>
        <v>478640</v>
      </c>
      <c r="O17" s="30">
        <f>SUM(N17:N18)</f>
        <v>505576</v>
      </c>
    </row>
    <row r="18" spans="1:15" ht="20.100000000000001" customHeight="1">
      <c r="A18" s="49" t="s">
        <v>246</v>
      </c>
      <c r="B18" s="49" t="s">
        <v>246</v>
      </c>
      <c r="C18" s="49" t="s">
        <v>246</v>
      </c>
      <c r="D18" s="51" t="s">
        <v>215</v>
      </c>
      <c r="E18" s="103">
        <v>43.9</v>
      </c>
      <c r="F18" s="103">
        <v>41.7</v>
      </c>
      <c r="G18" s="103">
        <v>46.1</v>
      </c>
      <c r="H18" s="103">
        <v>44</v>
      </c>
      <c r="I18" s="103">
        <v>45</v>
      </c>
      <c r="J18" s="103">
        <v>44.5</v>
      </c>
      <c r="K18" s="103">
        <v>43.9</v>
      </c>
      <c r="L18" s="103">
        <v>43.4</v>
      </c>
      <c r="M18" s="103">
        <v>40.200000000000003</v>
      </c>
      <c r="N18" s="30">
        <f>'BAADTbVT_DV-km'!F18</f>
        <v>26936</v>
      </c>
      <c r="O18" s="30"/>
    </row>
    <row r="19" spans="1:15" ht="20.100000000000001" customHeight="1">
      <c r="A19" s="49" t="s">
        <v>246</v>
      </c>
      <c r="B19" s="49" t="s">
        <v>246</v>
      </c>
      <c r="C19" s="49" t="s">
        <v>246</v>
      </c>
      <c r="D19" s="51" t="s">
        <v>216</v>
      </c>
      <c r="E19" s="104">
        <v>201</v>
      </c>
      <c r="F19" s="104">
        <v>194.8</v>
      </c>
      <c r="G19" s="104">
        <v>193.1</v>
      </c>
      <c r="H19" s="104">
        <v>191.1</v>
      </c>
      <c r="I19" s="104">
        <v>193.1</v>
      </c>
      <c r="J19" s="104">
        <v>195</v>
      </c>
      <c r="K19" s="104">
        <v>193.3</v>
      </c>
      <c r="L19" s="104">
        <v>191.4</v>
      </c>
      <c r="M19" s="104">
        <v>173.9</v>
      </c>
      <c r="N19" s="30">
        <f>'BAADTbVT_DV-km'!F19</f>
        <v>122259</v>
      </c>
      <c r="O19" s="30">
        <f>SUM(N19:N20)</f>
        <v>160590</v>
      </c>
    </row>
    <row r="20" spans="1:15" ht="20.100000000000001" customHeight="1">
      <c r="A20" s="49" t="s">
        <v>246</v>
      </c>
      <c r="B20" s="49" t="s">
        <v>246</v>
      </c>
      <c r="C20" s="51" t="s">
        <v>221</v>
      </c>
      <c r="D20" s="51" t="s">
        <v>58</v>
      </c>
      <c r="E20" s="104">
        <v>42.4</v>
      </c>
      <c r="F20" s="104">
        <v>42.3</v>
      </c>
      <c r="G20" s="104">
        <v>43.1</v>
      </c>
      <c r="H20" s="104">
        <v>43.3</v>
      </c>
      <c r="I20" s="104">
        <v>42.7</v>
      </c>
      <c r="J20" s="104">
        <v>39.1</v>
      </c>
      <c r="K20" s="104">
        <v>33.1</v>
      </c>
      <c r="L20" s="104">
        <v>28.2</v>
      </c>
      <c r="M20" s="104">
        <v>25.2</v>
      </c>
      <c r="N20" s="30">
        <f>'BAADTbVT_DV-km'!F20</f>
        <v>38331</v>
      </c>
      <c r="O20" s="30"/>
    </row>
    <row r="21" spans="1:15" ht="20.100000000000001" customHeight="1">
      <c r="A21" s="49" t="s">
        <v>246</v>
      </c>
      <c r="B21" s="51" t="s">
        <v>223</v>
      </c>
      <c r="C21" s="51" t="s">
        <v>58</v>
      </c>
      <c r="D21" s="51" t="s">
        <v>58</v>
      </c>
      <c r="E21" s="102">
        <v>50.2</v>
      </c>
      <c r="F21" s="102">
        <v>49.9</v>
      </c>
      <c r="G21" s="102">
        <v>49.8</v>
      </c>
      <c r="H21" s="102">
        <v>50.3</v>
      </c>
      <c r="I21" s="102">
        <v>50.2</v>
      </c>
      <c r="J21" s="102">
        <v>50.9</v>
      </c>
      <c r="K21" s="102">
        <v>49.7</v>
      </c>
      <c r="L21" s="102">
        <v>49.4</v>
      </c>
      <c r="M21" s="102">
        <v>49.4</v>
      </c>
      <c r="N21" s="30"/>
      <c r="O21" s="30"/>
    </row>
    <row r="22" spans="1:15" ht="20.100000000000001" customHeight="1">
      <c r="A22" s="49" t="s">
        <v>246</v>
      </c>
      <c r="B22" s="49" t="s">
        <v>246</v>
      </c>
      <c r="C22" s="51" t="s">
        <v>212</v>
      </c>
      <c r="D22" s="51" t="s">
        <v>58</v>
      </c>
      <c r="E22" s="102">
        <v>52.7</v>
      </c>
      <c r="F22" s="102">
        <v>52.3</v>
      </c>
      <c r="G22" s="102">
        <v>51.8</v>
      </c>
      <c r="H22" s="102">
        <v>52.5</v>
      </c>
      <c r="I22" s="102">
        <v>51.7</v>
      </c>
      <c r="J22" s="102">
        <v>52.6</v>
      </c>
      <c r="K22" s="102">
        <v>51.1</v>
      </c>
      <c r="L22" s="102">
        <v>48.3</v>
      </c>
      <c r="M22" s="102">
        <v>48.1</v>
      </c>
      <c r="N22" s="30"/>
      <c r="O22" s="30"/>
    </row>
    <row r="23" spans="1:15" ht="20.100000000000001" customHeight="1">
      <c r="A23" s="49" t="s">
        <v>246</v>
      </c>
      <c r="B23" s="49" t="s">
        <v>246</v>
      </c>
      <c r="C23" s="49" t="s">
        <v>246</v>
      </c>
      <c r="D23" s="51" t="s">
        <v>214</v>
      </c>
      <c r="E23" s="105">
        <v>43.7</v>
      </c>
      <c r="F23" s="105">
        <v>43.6</v>
      </c>
      <c r="G23" s="105">
        <v>43.2</v>
      </c>
      <c r="H23" s="105">
        <v>43.9</v>
      </c>
      <c r="I23" s="105">
        <v>43</v>
      </c>
      <c r="J23" s="105">
        <v>43.7</v>
      </c>
      <c r="K23" s="105">
        <v>42.6</v>
      </c>
      <c r="L23" s="105">
        <v>39.700000000000003</v>
      </c>
      <c r="M23" s="105">
        <v>39.200000000000003</v>
      </c>
      <c r="N23" s="30">
        <f>'BAADTbVT_DV-km'!F23</f>
        <v>2197972</v>
      </c>
      <c r="O23" s="30">
        <f>SUM(N23:N24)</f>
        <v>2484566</v>
      </c>
    </row>
    <row r="24" spans="1:15" ht="20.100000000000001" customHeight="1">
      <c r="A24" s="49" t="s">
        <v>246</v>
      </c>
      <c r="B24" s="49" t="s">
        <v>246</v>
      </c>
      <c r="C24" s="49" t="s">
        <v>246</v>
      </c>
      <c r="D24" s="51" t="s">
        <v>215</v>
      </c>
      <c r="E24" s="105">
        <v>53.3</v>
      </c>
      <c r="F24" s="105">
        <v>51.8</v>
      </c>
      <c r="G24" s="105">
        <v>50.5</v>
      </c>
      <c r="H24" s="105">
        <v>51.4</v>
      </c>
      <c r="I24" s="105">
        <v>51.3</v>
      </c>
      <c r="J24" s="105">
        <v>51.7</v>
      </c>
      <c r="K24" s="105">
        <v>49.3</v>
      </c>
      <c r="L24" s="105">
        <v>46.5</v>
      </c>
      <c r="M24" s="105">
        <v>50.6</v>
      </c>
      <c r="N24" s="30">
        <f>'BAADTbVT_DV-km'!F24</f>
        <v>286594</v>
      </c>
      <c r="O24" s="30"/>
    </row>
    <row r="25" spans="1:15" ht="20.100000000000001" customHeight="1">
      <c r="A25" s="49" t="s">
        <v>246</v>
      </c>
      <c r="B25" s="49" t="s">
        <v>246</v>
      </c>
      <c r="C25" s="49" t="s">
        <v>246</v>
      </c>
      <c r="D25" s="51" t="s">
        <v>216</v>
      </c>
      <c r="E25" s="106">
        <v>130.9</v>
      </c>
      <c r="F25" s="106">
        <v>131</v>
      </c>
      <c r="G25" s="106">
        <v>133</v>
      </c>
      <c r="H25" s="106">
        <v>134.4</v>
      </c>
      <c r="I25" s="106">
        <v>134.5</v>
      </c>
      <c r="J25" s="106">
        <v>137.9</v>
      </c>
      <c r="K25" s="106">
        <v>135.69999999999999</v>
      </c>
      <c r="L25" s="106">
        <v>134.80000000000001</v>
      </c>
      <c r="M25" s="106">
        <v>133.1</v>
      </c>
      <c r="N25" s="30">
        <f>'BAADTbVT_DV-km'!F25</f>
        <v>159926</v>
      </c>
      <c r="O25" s="30">
        <f>N25</f>
        <v>159926</v>
      </c>
    </row>
    <row r="26" spans="1:15" ht="20.100000000000001" customHeight="1">
      <c r="A26" s="49" t="s">
        <v>246</v>
      </c>
      <c r="B26" s="49" t="s">
        <v>246</v>
      </c>
      <c r="C26" s="51" t="s">
        <v>224</v>
      </c>
      <c r="D26" s="51" t="s">
        <v>58</v>
      </c>
      <c r="E26" s="102">
        <v>20.399999999999999</v>
      </c>
      <c r="F26" s="102">
        <v>19.8</v>
      </c>
      <c r="G26" s="102">
        <v>19.3</v>
      </c>
      <c r="H26" s="102">
        <v>19.100000000000001</v>
      </c>
      <c r="I26" s="102">
        <v>19.3</v>
      </c>
      <c r="J26" s="102">
        <v>19.399999999999999</v>
      </c>
      <c r="K26" s="102">
        <v>19</v>
      </c>
      <c r="L26" s="102">
        <v>18.5</v>
      </c>
      <c r="M26" s="102">
        <v>18.600000000000001</v>
      </c>
      <c r="N26" s="30"/>
      <c r="O26" s="30"/>
    </row>
    <row r="27" spans="1:15" ht="20.100000000000001" customHeight="1">
      <c r="A27" s="49" t="s">
        <v>246</v>
      </c>
      <c r="B27" s="49" t="s">
        <v>246</v>
      </c>
      <c r="C27" s="49" t="s">
        <v>246</v>
      </c>
      <c r="D27" s="51" t="s">
        <v>214</v>
      </c>
      <c r="E27" s="105">
        <v>19.899999999999999</v>
      </c>
      <c r="F27" s="105">
        <v>20.399999999999999</v>
      </c>
      <c r="G27" s="105">
        <v>20.9</v>
      </c>
      <c r="H27" s="105">
        <v>21</v>
      </c>
      <c r="I27" s="105">
        <v>21.3</v>
      </c>
      <c r="J27" s="105">
        <v>21.4</v>
      </c>
      <c r="K27" s="105">
        <v>21.7</v>
      </c>
      <c r="L27" s="105">
        <v>21.3</v>
      </c>
      <c r="M27" s="105">
        <v>21.4</v>
      </c>
      <c r="N27" s="30">
        <f>'BAADTbVT_DV-km'!F27</f>
        <v>32903</v>
      </c>
      <c r="O27" s="30">
        <f>SUM(N27:N28)</f>
        <v>46380</v>
      </c>
    </row>
    <row r="28" spans="1:15" ht="20.100000000000001" customHeight="1">
      <c r="A28" s="49" t="s">
        <v>246</v>
      </c>
      <c r="B28" s="49" t="s">
        <v>246</v>
      </c>
      <c r="C28" s="49" t="s">
        <v>246</v>
      </c>
      <c r="D28" s="51" t="s">
        <v>215</v>
      </c>
      <c r="E28" s="105">
        <v>20.399999999999999</v>
      </c>
      <c r="F28" s="105">
        <v>19.3</v>
      </c>
      <c r="G28" s="105">
        <v>18.100000000000001</v>
      </c>
      <c r="H28" s="105">
        <v>17.3</v>
      </c>
      <c r="I28" s="105">
        <v>17</v>
      </c>
      <c r="J28" s="105">
        <v>16.7</v>
      </c>
      <c r="K28" s="105">
        <v>15.6</v>
      </c>
      <c r="L28" s="105">
        <v>14.8</v>
      </c>
      <c r="M28" s="105">
        <v>14.4</v>
      </c>
      <c r="N28" s="30">
        <f>'BAADTbVT_DV-km'!F28</f>
        <v>13477</v>
      </c>
      <c r="O28" s="30"/>
    </row>
    <row r="29" spans="1:15" ht="20.100000000000001" customHeight="1">
      <c r="A29" s="49" t="s">
        <v>246</v>
      </c>
      <c r="B29" s="49" t="s">
        <v>246</v>
      </c>
      <c r="C29" s="49" t="s">
        <v>246</v>
      </c>
      <c r="D29" s="51" t="s">
        <v>216</v>
      </c>
      <c r="E29" s="106">
        <v>21.5</v>
      </c>
      <c r="F29" s="106">
        <v>19.8</v>
      </c>
      <c r="G29" s="106">
        <v>19.100000000000001</v>
      </c>
      <c r="H29" s="106">
        <v>19.3</v>
      </c>
      <c r="I29" s="106">
        <v>20.2</v>
      </c>
      <c r="J29" s="106">
        <v>20.9</v>
      </c>
      <c r="K29" s="106">
        <v>19.7</v>
      </c>
      <c r="L29" s="106">
        <v>19.3</v>
      </c>
      <c r="M29" s="106">
        <v>19.7</v>
      </c>
      <c r="N29" s="30">
        <f>'BAADTbVT_DV-km'!F29</f>
        <v>7048</v>
      </c>
      <c r="O29" s="30">
        <f>N29</f>
        <v>7048</v>
      </c>
    </row>
    <row r="30" spans="1:15" ht="20.100000000000001" customHeight="1">
      <c r="A30" s="49" t="s">
        <v>246</v>
      </c>
      <c r="B30" s="49" t="s">
        <v>246</v>
      </c>
      <c r="C30" s="51" t="s">
        <v>225</v>
      </c>
      <c r="D30" s="51" t="s">
        <v>58</v>
      </c>
      <c r="E30" s="102">
        <v>39.6</v>
      </c>
      <c r="F30" s="102">
        <v>38.799999999999997</v>
      </c>
      <c r="G30" s="102">
        <v>39.6</v>
      </c>
      <c r="H30" s="102">
        <v>38.9</v>
      </c>
      <c r="I30" s="102">
        <v>39.9</v>
      </c>
      <c r="J30" s="102">
        <v>38.200000000000003</v>
      </c>
      <c r="K30" s="102">
        <v>39.4</v>
      </c>
      <c r="L30" s="102">
        <v>39.9</v>
      </c>
      <c r="M30" s="102">
        <v>40.1</v>
      </c>
      <c r="N30" s="30"/>
      <c r="O30" s="30"/>
    </row>
    <row r="31" spans="1:15" ht="20.100000000000001" customHeight="1">
      <c r="A31" s="49" t="s">
        <v>246</v>
      </c>
      <c r="B31" s="49" t="s">
        <v>246</v>
      </c>
      <c r="C31" s="49" t="s">
        <v>246</v>
      </c>
      <c r="D31" s="51" t="s">
        <v>214</v>
      </c>
      <c r="E31" s="105">
        <v>39.299999999999997</v>
      </c>
      <c r="F31" s="105">
        <v>38.9</v>
      </c>
      <c r="G31" s="105">
        <v>40.299999999999997</v>
      </c>
      <c r="H31" s="105">
        <v>39.799999999999997</v>
      </c>
      <c r="I31" s="105">
        <v>41.3</v>
      </c>
      <c r="J31" s="105">
        <v>39.799999999999997</v>
      </c>
      <c r="K31" s="105">
        <v>40.9</v>
      </c>
      <c r="L31" s="105">
        <v>41.6</v>
      </c>
      <c r="M31" s="105">
        <v>41.7</v>
      </c>
      <c r="N31" s="30">
        <f>'BAADTbVT_DV-km'!F31</f>
        <v>332770</v>
      </c>
      <c r="O31" s="30">
        <f>SUM(N31:N32)</f>
        <v>337802</v>
      </c>
    </row>
    <row r="32" spans="1:15" ht="20.100000000000001" customHeight="1">
      <c r="A32" s="49" t="s">
        <v>246</v>
      </c>
      <c r="B32" s="49" t="s">
        <v>246</v>
      </c>
      <c r="C32" s="49" t="s">
        <v>246</v>
      </c>
      <c r="D32" s="51" t="s">
        <v>215</v>
      </c>
      <c r="E32" s="105">
        <v>41.1</v>
      </c>
      <c r="F32" s="105">
        <v>38.700000000000003</v>
      </c>
      <c r="G32" s="105">
        <v>36.9</v>
      </c>
      <c r="H32" s="105">
        <v>34.799999999999997</v>
      </c>
      <c r="I32" s="105">
        <v>33.4</v>
      </c>
      <c r="J32" s="105">
        <v>29.9</v>
      </c>
      <c r="K32" s="105">
        <v>30.4</v>
      </c>
      <c r="L32" s="105">
        <v>28</v>
      </c>
      <c r="M32" s="105">
        <v>26.1</v>
      </c>
      <c r="N32" s="30">
        <f>'BAADTbVT_DV-km'!F32</f>
        <v>5032</v>
      </c>
      <c r="O32" s="30"/>
    </row>
    <row r="33" spans="1:15" ht="20.100000000000001" customHeight="1">
      <c r="A33" s="49" t="s">
        <v>246</v>
      </c>
      <c r="B33" s="49" t="s">
        <v>246</v>
      </c>
      <c r="C33" s="51" t="s">
        <v>221</v>
      </c>
      <c r="D33" s="51" t="s">
        <v>58</v>
      </c>
      <c r="E33" s="106">
        <v>56.7</v>
      </c>
      <c r="F33" s="106">
        <v>57.4</v>
      </c>
      <c r="G33" s="106">
        <v>56.4</v>
      </c>
      <c r="H33" s="106">
        <v>56.1</v>
      </c>
      <c r="I33" s="106">
        <v>57.4</v>
      </c>
      <c r="J33" s="106">
        <v>58.4</v>
      </c>
      <c r="K33" s="106">
        <v>55.2</v>
      </c>
      <c r="L33" s="106">
        <v>65.099999999999994</v>
      </c>
      <c r="M33" s="106">
        <v>64.599999999999994</v>
      </c>
      <c r="N33" s="30">
        <f>'BAADTbVT_DV-km'!F33</f>
        <v>681021</v>
      </c>
      <c r="O33" s="30">
        <f>N33</f>
        <v>681021</v>
      </c>
    </row>
    <row r="34" spans="1:15" ht="20.100000000000001" customHeight="1">
      <c r="A34" s="49" t="s">
        <v>246</v>
      </c>
      <c r="B34" s="51" t="s">
        <v>228</v>
      </c>
      <c r="C34" s="51" t="s">
        <v>58</v>
      </c>
      <c r="D34" s="51" t="s">
        <v>58</v>
      </c>
      <c r="E34" s="102">
        <v>137.30000000000001</v>
      </c>
      <c r="F34" s="102">
        <v>132.69999999999999</v>
      </c>
      <c r="G34" s="102">
        <v>132.5</v>
      </c>
      <c r="H34" s="102">
        <v>129.4</v>
      </c>
      <c r="I34" s="102">
        <v>128.69999999999999</v>
      </c>
      <c r="J34" s="102">
        <v>128</v>
      </c>
      <c r="K34" s="102">
        <v>121.5</v>
      </c>
      <c r="L34" s="102">
        <v>116.9</v>
      </c>
      <c r="M34" s="102">
        <v>108.7</v>
      </c>
      <c r="N34" s="30"/>
      <c r="O34" s="30"/>
    </row>
    <row r="35" spans="1:15" ht="20.100000000000001" customHeight="1">
      <c r="A35" s="49" t="s">
        <v>246</v>
      </c>
      <c r="B35" s="49" t="s">
        <v>246</v>
      </c>
      <c r="C35" s="51" t="s">
        <v>229</v>
      </c>
      <c r="D35" s="51" t="s">
        <v>58</v>
      </c>
      <c r="E35" s="106">
        <v>215.1</v>
      </c>
      <c r="F35" s="106">
        <v>210.9</v>
      </c>
      <c r="G35" s="106">
        <v>212.3</v>
      </c>
      <c r="H35" s="106">
        <v>216.7</v>
      </c>
      <c r="I35" s="106">
        <v>221.7</v>
      </c>
      <c r="J35" s="106">
        <v>228.4</v>
      </c>
      <c r="K35" s="106">
        <v>224.2</v>
      </c>
      <c r="L35" s="106">
        <v>225.3</v>
      </c>
      <c r="M35" s="106">
        <v>220.7</v>
      </c>
      <c r="N35" s="30">
        <f>'BAADTbVT_DV-km'!F35</f>
        <v>40407</v>
      </c>
      <c r="O35" s="30">
        <f>SUM(N35,N37)</f>
        <v>133664</v>
      </c>
    </row>
    <row r="36" spans="1:15" ht="20.100000000000001" customHeight="1">
      <c r="A36" s="49" t="s">
        <v>246</v>
      </c>
      <c r="B36" s="49" t="s">
        <v>246</v>
      </c>
      <c r="C36" s="51" t="s">
        <v>231</v>
      </c>
      <c r="D36" s="51" t="s">
        <v>58</v>
      </c>
      <c r="E36" s="105">
        <v>60</v>
      </c>
      <c r="F36" s="105">
        <v>60</v>
      </c>
      <c r="G36" s="105">
        <v>58.3</v>
      </c>
      <c r="H36" s="105">
        <v>57.4</v>
      </c>
      <c r="I36" s="105">
        <v>59.9</v>
      </c>
      <c r="J36" s="105">
        <v>60.3</v>
      </c>
      <c r="K36" s="105">
        <v>62.2</v>
      </c>
      <c r="L36" s="105">
        <v>60.9</v>
      </c>
      <c r="M36" s="105">
        <v>61.6</v>
      </c>
      <c r="N36" s="30">
        <f>'BAADTbVT_DV-km'!F36</f>
        <v>10226</v>
      </c>
      <c r="O36" s="30">
        <f>N36</f>
        <v>10226</v>
      </c>
    </row>
    <row r="37" spans="1:15" ht="20.100000000000001" customHeight="1">
      <c r="A37" s="107" t="s">
        <v>246</v>
      </c>
      <c r="B37" s="107" t="s">
        <v>246</v>
      </c>
      <c r="C37" s="108" t="s">
        <v>233</v>
      </c>
      <c r="D37" s="108" t="s">
        <v>58</v>
      </c>
      <c r="E37" s="106">
        <v>28.7</v>
      </c>
      <c r="F37" s="106">
        <v>29</v>
      </c>
      <c r="G37" s="106">
        <v>30.2</v>
      </c>
      <c r="H37" s="106">
        <v>30.4</v>
      </c>
      <c r="I37" s="106">
        <v>32</v>
      </c>
      <c r="J37" s="106">
        <v>31.6</v>
      </c>
      <c r="K37" s="106">
        <v>31.1</v>
      </c>
      <c r="L37" s="106">
        <v>30.3</v>
      </c>
      <c r="M37" s="106">
        <v>28.7</v>
      </c>
      <c r="N37" s="30">
        <f>'BAADTbVT_DV-km'!F37</f>
        <v>93257</v>
      </c>
      <c r="O37" s="30"/>
    </row>
    <row r="39" spans="1:15">
      <c r="D39" s="4" t="s">
        <v>247</v>
      </c>
      <c r="E39" s="4">
        <v>2012</v>
      </c>
      <c r="F39" s="4">
        <v>2013</v>
      </c>
      <c r="G39" s="4">
        <v>2014</v>
      </c>
      <c r="H39" s="4">
        <v>2015</v>
      </c>
      <c r="I39" s="4">
        <v>2016</v>
      </c>
      <c r="J39" s="4">
        <v>2017</v>
      </c>
      <c r="K39" s="4">
        <v>2018</v>
      </c>
      <c r="L39" s="4">
        <v>2019</v>
      </c>
      <c r="M39" s="4">
        <v>2020</v>
      </c>
      <c r="N39" s="4" t="s">
        <v>245</v>
      </c>
    </row>
    <row r="40" spans="1:15">
      <c r="C40" s="175" t="s">
        <v>248</v>
      </c>
      <c r="D40" s="175"/>
      <c r="E40" s="50">
        <f>E23</f>
        <v>43.7</v>
      </c>
      <c r="F40" s="50">
        <f t="shared" ref="F40:L40" si="0">F23</f>
        <v>43.6</v>
      </c>
      <c r="G40" s="50">
        <f t="shared" si="0"/>
        <v>43.2</v>
      </c>
      <c r="H40" s="50">
        <f t="shared" si="0"/>
        <v>43.9</v>
      </c>
      <c r="I40" s="50">
        <f t="shared" si="0"/>
        <v>43</v>
      </c>
      <c r="J40" s="50">
        <f t="shared" si="0"/>
        <v>43.7</v>
      </c>
      <c r="K40" s="50">
        <f t="shared" si="0"/>
        <v>42.6</v>
      </c>
      <c r="L40" s="50">
        <f t="shared" si="0"/>
        <v>39.700000000000003</v>
      </c>
      <c r="M40" s="50">
        <f>M23</f>
        <v>39.200000000000003</v>
      </c>
      <c r="N40" s="22">
        <f>N23</f>
        <v>2197972</v>
      </c>
    </row>
    <row r="41" spans="1:15">
      <c r="C41" s="175"/>
      <c r="D41" s="175"/>
      <c r="E41" s="50">
        <f>E24</f>
        <v>53.3</v>
      </c>
      <c r="F41" s="50">
        <f t="shared" ref="F41:L41" si="1">F24</f>
        <v>51.8</v>
      </c>
      <c r="G41" s="50">
        <f t="shared" si="1"/>
        <v>50.5</v>
      </c>
      <c r="H41" s="50">
        <f t="shared" si="1"/>
        <v>51.4</v>
      </c>
      <c r="I41" s="50">
        <f t="shared" si="1"/>
        <v>51.3</v>
      </c>
      <c r="J41" s="50">
        <f t="shared" si="1"/>
        <v>51.7</v>
      </c>
      <c r="K41" s="50">
        <f t="shared" si="1"/>
        <v>49.3</v>
      </c>
      <c r="L41" s="50">
        <f t="shared" si="1"/>
        <v>46.5</v>
      </c>
      <c r="M41" s="50">
        <f>M24</f>
        <v>50.6</v>
      </c>
      <c r="N41" s="22">
        <f>N24</f>
        <v>286594</v>
      </c>
    </row>
    <row r="42" spans="1:15">
      <c r="C42" s="175"/>
      <c r="D42" s="175"/>
      <c r="E42" s="50">
        <f>E27</f>
        <v>19.899999999999999</v>
      </c>
      <c r="F42" s="50">
        <f t="shared" ref="F42:L42" si="2">F27</f>
        <v>20.399999999999999</v>
      </c>
      <c r="G42" s="50">
        <f t="shared" si="2"/>
        <v>20.9</v>
      </c>
      <c r="H42" s="50">
        <f t="shared" si="2"/>
        <v>21</v>
      </c>
      <c r="I42" s="50">
        <f t="shared" si="2"/>
        <v>21.3</v>
      </c>
      <c r="J42" s="50">
        <f t="shared" si="2"/>
        <v>21.4</v>
      </c>
      <c r="K42" s="50">
        <f t="shared" si="2"/>
        <v>21.7</v>
      </c>
      <c r="L42" s="50">
        <f t="shared" si="2"/>
        <v>21.3</v>
      </c>
      <c r="M42" s="50">
        <f>M27</f>
        <v>21.4</v>
      </c>
      <c r="N42" s="22">
        <f>N27</f>
        <v>32903</v>
      </c>
    </row>
    <row r="43" spans="1:15">
      <c r="C43" s="175"/>
      <c r="D43" s="175"/>
      <c r="E43" s="50">
        <f>E28</f>
        <v>20.399999999999999</v>
      </c>
      <c r="F43" s="50">
        <f t="shared" ref="F43:L43" si="3">F28</f>
        <v>19.3</v>
      </c>
      <c r="G43" s="50">
        <f t="shared" si="3"/>
        <v>18.100000000000001</v>
      </c>
      <c r="H43" s="50">
        <f t="shared" si="3"/>
        <v>17.3</v>
      </c>
      <c r="I43" s="50">
        <f t="shared" si="3"/>
        <v>17</v>
      </c>
      <c r="J43" s="50">
        <f t="shared" si="3"/>
        <v>16.7</v>
      </c>
      <c r="K43" s="50">
        <f t="shared" si="3"/>
        <v>15.6</v>
      </c>
      <c r="L43" s="50">
        <f t="shared" si="3"/>
        <v>14.8</v>
      </c>
      <c r="M43" s="50">
        <f>M28</f>
        <v>14.4</v>
      </c>
      <c r="N43" s="22">
        <f>N28</f>
        <v>13477</v>
      </c>
    </row>
    <row r="44" spans="1:15">
      <c r="C44" s="175"/>
      <c r="D44" s="175"/>
      <c r="E44" s="50">
        <f>E31</f>
        <v>39.299999999999997</v>
      </c>
      <c r="F44" s="50">
        <f t="shared" ref="F44:L44" si="4">F31</f>
        <v>38.9</v>
      </c>
      <c r="G44" s="50">
        <f t="shared" si="4"/>
        <v>40.299999999999997</v>
      </c>
      <c r="H44" s="50">
        <f t="shared" si="4"/>
        <v>39.799999999999997</v>
      </c>
      <c r="I44" s="50">
        <f t="shared" si="4"/>
        <v>41.3</v>
      </c>
      <c r="J44" s="50">
        <f t="shared" si="4"/>
        <v>39.799999999999997</v>
      </c>
      <c r="K44" s="50">
        <f t="shared" si="4"/>
        <v>40.9</v>
      </c>
      <c r="L44" s="50">
        <f t="shared" si="4"/>
        <v>41.6</v>
      </c>
      <c r="M44" s="50">
        <f>M31</f>
        <v>41.7</v>
      </c>
      <c r="N44" s="22">
        <f>N31</f>
        <v>332770</v>
      </c>
    </row>
    <row r="45" spans="1:15">
      <c r="C45" s="175"/>
      <c r="D45" s="175"/>
      <c r="E45" s="50">
        <f>E32</f>
        <v>41.1</v>
      </c>
      <c r="F45" s="50">
        <f t="shared" ref="F45:L45" si="5">F32</f>
        <v>38.700000000000003</v>
      </c>
      <c r="G45" s="50">
        <f t="shared" si="5"/>
        <v>36.9</v>
      </c>
      <c r="H45" s="50">
        <f t="shared" si="5"/>
        <v>34.799999999999997</v>
      </c>
      <c r="I45" s="50">
        <f t="shared" si="5"/>
        <v>33.4</v>
      </c>
      <c r="J45" s="50">
        <f t="shared" si="5"/>
        <v>29.9</v>
      </c>
      <c r="K45" s="50">
        <f t="shared" si="5"/>
        <v>30.4</v>
      </c>
      <c r="L45" s="50">
        <f t="shared" si="5"/>
        <v>28</v>
      </c>
      <c r="M45" s="50">
        <f>M32</f>
        <v>26.1</v>
      </c>
      <c r="N45" s="22">
        <f>N32</f>
        <v>5032</v>
      </c>
    </row>
    <row r="46" spans="1:15">
      <c r="C46" s="175"/>
      <c r="D46" s="175"/>
      <c r="E46" s="50">
        <f>E36</f>
        <v>60</v>
      </c>
      <c r="F46" s="50">
        <f t="shared" ref="F46:L46" si="6">F36</f>
        <v>60</v>
      </c>
      <c r="G46" s="50">
        <f t="shared" si="6"/>
        <v>58.3</v>
      </c>
      <c r="H46" s="50">
        <f t="shared" si="6"/>
        <v>57.4</v>
      </c>
      <c r="I46" s="50">
        <f t="shared" si="6"/>
        <v>59.9</v>
      </c>
      <c r="J46" s="50">
        <f t="shared" si="6"/>
        <v>60.3</v>
      </c>
      <c r="K46" s="50">
        <f t="shared" si="6"/>
        <v>62.2</v>
      </c>
      <c r="L46" s="50">
        <f t="shared" si="6"/>
        <v>60.9</v>
      </c>
      <c r="M46" s="50">
        <f>M36</f>
        <v>61.6</v>
      </c>
      <c r="N46" s="22">
        <f>N36</f>
        <v>10226</v>
      </c>
    </row>
    <row r="47" spans="1:15">
      <c r="N47" s="22"/>
    </row>
    <row r="48" spans="1:15">
      <c r="C48" s="175" t="s">
        <v>249</v>
      </c>
      <c r="D48" s="175"/>
      <c r="E48" s="50">
        <f t="shared" ref="E48:N48" si="7">E25</f>
        <v>130.9</v>
      </c>
      <c r="F48" s="50">
        <f t="shared" si="7"/>
        <v>131</v>
      </c>
      <c r="G48" s="50">
        <f t="shared" si="7"/>
        <v>133</v>
      </c>
      <c r="H48" s="50">
        <f t="shared" si="7"/>
        <v>134.4</v>
      </c>
      <c r="I48" s="50">
        <f t="shared" si="7"/>
        <v>134.5</v>
      </c>
      <c r="J48" s="50">
        <f t="shared" si="7"/>
        <v>137.9</v>
      </c>
      <c r="K48" s="50">
        <f t="shared" si="7"/>
        <v>135.69999999999999</v>
      </c>
      <c r="L48" s="50">
        <f t="shared" si="7"/>
        <v>134.80000000000001</v>
      </c>
      <c r="M48" s="50">
        <f t="shared" si="7"/>
        <v>133.1</v>
      </c>
      <c r="N48" s="22">
        <f t="shared" si="7"/>
        <v>159926</v>
      </c>
    </row>
    <row r="49" spans="1:14">
      <c r="C49" s="175"/>
      <c r="D49" s="175"/>
      <c r="E49" s="50">
        <f t="shared" ref="E49:N49" si="8">E29</f>
        <v>21.5</v>
      </c>
      <c r="F49" s="50">
        <f t="shared" si="8"/>
        <v>19.8</v>
      </c>
      <c r="G49" s="50">
        <f t="shared" si="8"/>
        <v>19.100000000000001</v>
      </c>
      <c r="H49" s="50">
        <f t="shared" si="8"/>
        <v>19.3</v>
      </c>
      <c r="I49" s="50">
        <f t="shared" si="8"/>
        <v>20.2</v>
      </c>
      <c r="J49" s="50">
        <f t="shared" si="8"/>
        <v>20.9</v>
      </c>
      <c r="K49" s="50">
        <f t="shared" si="8"/>
        <v>19.7</v>
      </c>
      <c r="L49" s="50">
        <f t="shared" si="8"/>
        <v>19.3</v>
      </c>
      <c r="M49" s="50">
        <f t="shared" si="8"/>
        <v>19.7</v>
      </c>
      <c r="N49" s="22">
        <f t="shared" si="8"/>
        <v>7048</v>
      </c>
    </row>
    <row r="50" spans="1:14">
      <c r="C50" s="175"/>
      <c r="D50" s="175"/>
      <c r="E50" s="50">
        <f t="shared" ref="E50:N50" si="9">E33</f>
        <v>56.7</v>
      </c>
      <c r="F50" s="50">
        <f t="shared" si="9"/>
        <v>57.4</v>
      </c>
      <c r="G50" s="50">
        <f t="shared" si="9"/>
        <v>56.4</v>
      </c>
      <c r="H50" s="50">
        <f t="shared" si="9"/>
        <v>56.1</v>
      </c>
      <c r="I50" s="50">
        <f t="shared" si="9"/>
        <v>57.4</v>
      </c>
      <c r="J50" s="50">
        <f t="shared" si="9"/>
        <v>58.4</v>
      </c>
      <c r="K50" s="50">
        <f t="shared" si="9"/>
        <v>55.2</v>
      </c>
      <c r="L50" s="50">
        <f t="shared" si="9"/>
        <v>65.099999999999994</v>
      </c>
      <c r="M50" s="50">
        <f t="shared" si="9"/>
        <v>64.599999999999994</v>
      </c>
      <c r="N50" s="22">
        <f t="shared" si="9"/>
        <v>681021</v>
      </c>
    </row>
    <row r="51" spans="1:14">
      <c r="C51" s="175"/>
      <c r="D51" s="175"/>
      <c r="E51" s="50">
        <f t="shared" ref="E51:N51" si="10">E35</f>
        <v>215.1</v>
      </c>
      <c r="F51" s="50">
        <f t="shared" si="10"/>
        <v>210.9</v>
      </c>
      <c r="G51" s="50">
        <f t="shared" si="10"/>
        <v>212.3</v>
      </c>
      <c r="H51" s="50">
        <f t="shared" si="10"/>
        <v>216.7</v>
      </c>
      <c r="I51" s="50">
        <f t="shared" si="10"/>
        <v>221.7</v>
      </c>
      <c r="J51" s="50">
        <f t="shared" si="10"/>
        <v>228.4</v>
      </c>
      <c r="K51" s="50">
        <f t="shared" si="10"/>
        <v>224.2</v>
      </c>
      <c r="L51" s="50">
        <f t="shared" si="10"/>
        <v>225.3</v>
      </c>
      <c r="M51" s="50">
        <f t="shared" si="10"/>
        <v>220.7</v>
      </c>
      <c r="N51" s="22">
        <f t="shared" si="10"/>
        <v>40407</v>
      </c>
    </row>
    <row r="52" spans="1:14">
      <c r="C52" s="175"/>
      <c r="D52" s="175"/>
      <c r="E52" s="50">
        <f t="shared" ref="E52:N52" si="11">E37</f>
        <v>28.7</v>
      </c>
      <c r="F52" s="50">
        <f t="shared" si="11"/>
        <v>29</v>
      </c>
      <c r="G52" s="50">
        <f t="shared" si="11"/>
        <v>30.2</v>
      </c>
      <c r="H52" s="50">
        <f t="shared" si="11"/>
        <v>30.4</v>
      </c>
      <c r="I52" s="50">
        <f t="shared" si="11"/>
        <v>32</v>
      </c>
      <c r="J52" s="50">
        <f t="shared" si="11"/>
        <v>31.6</v>
      </c>
      <c r="K52" s="50">
        <f t="shared" si="11"/>
        <v>31.1</v>
      </c>
      <c r="L52" s="50">
        <f t="shared" si="11"/>
        <v>30.3</v>
      </c>
      <c r="M52" s="50">
        <f t="shared" si="11"/>
        <v>28.7</v>
      </c>
      <c r="N52" s="22">
        <f t="shared" si="11"/>
        <v>93257</v>
      </c>
    </row>
    <row r="58" spans="1:14">
      <c r="E58" s="50"/>
    </row>
    <row r="59" spans="1:14" ht="15" thickBot="1">
      <c r="D59" s="4" t="s">
        <v>247</v>
      </c>
      <c r="E59" s="4">
        <v>2012</v>
      </c>
      <c r="F59" s="4">
        <v>2013</v>
      </c>
      <c r="G59" s="4">
        <v>2014</v>
      </c>
      <c r="H59" s="4">
        <v>2015</v>
      </c>
      <c r="I59" s="4">
        <v>2016</v>
      </c>
      <c r="J59" s="4">
        <v>2017</v>
      </c>
      <c r="K59" s="4">
        <v>2018</v>
      </c>
      <c r="L59" s="4">
        <v>2019</v>
      </c>
      <c r="M59" s="4">
        <v>2020</v>
      </c>
      <c r="N59" s="4" t="s">
        <v>250</v>
      </c>
    </row>
    <row r="60" spans="1:14">
      <c r="A60" s="184" t="s">
        <v>251</v>
      </c>
      <c r="B60" s="54" t="s">
        <v>252</v>
      </c>
      <c r="C60" s="55" t="s">
        <v>253</v>
      </c>
      <c r="D60" s="55"/>
      <c r="E60" s="55">
        <f t="shared" ref="E60:M60" si="12">SUMPRODUCT(E7:E9,$N$7:$N$9)/SUM($N$7:$N$9)</f>
        <v>34.33402267508329</v>
      </c>
      <c r="F60" s="55">
        <f t="shared" si="12"/>
        <v>32.832119598444798</v>
      </c>
      <c r="G60" s="55">
        <f t="shared" si="12"/>
        <v>33.359701212749172</v>
      </c>
      <c r="H60" s="55">
        <f t="shared" si="12"/>
        <v>33.131869647480627</v>
      </c>
      <c r="I60" s="55">
        <f t="shared" si="12"/>
        <v>32.64908087134804</v>
      </c>
      <c r="J60" s="55">
        <f t="shared" si="12"/>
        <v>32.206191109814746</v>
      </c>
      <c r="K60" s="55">
        <f t="shared" si="12"/>
        <v>32.016403748044382</v>
      </c>
      <c r="L60" s="55">
        <f t="shared" si="12"/>
        <v>31.675754880552621</v>
      </c>
      <c r="M60" s="55">
        <f t="shared" si="12"/>
        <v>30.543871543360869</v>
      </c>
      <c r="N60" s="56">
        <f>O7</f>
        <v>9671497</v>
      </c>
    </row>
    <row r="61" spans="1:14">
      <c r="A61" s="184"/>
      <c r="B61" s="57" t="s">
        <v>252</v>
      </c>
      <c r="C61" s="4" t="s">
        <v>254</v>
      </c>
      <c r="E61" s="50">
        <f t="shared" ref="E61:M61" si="13">E12</f>
        <v>42.4</v>
      </c>
      <c r="F61" s="50">
        <f t="shared" si="13"/>
        <v>40.4</v>
      </c>
      <c r="G61" s="50">
        <f t="shared" si="13"/>
        <v>40.700000000000003</v>
      </c>
      <c r="H61" s="50">
        <f t="shared" si="13"/>
        <v>39.6</v>
      </c>
      <c r="I61" s="50">
        <f t="shared" si="13"/>
        <v>40.6</v>
      </c>
      <c r="J61" s="50">
        <f t="shared" si="13"/>
        <v>40.200000000000003</v>
      </c>
      <c r="K61" s="50">
        <f t="shared" si="13"/>
        <v>40.299999999999997</v>
      </c>
      <c r="L61" s="50">
        <f t="shared" si="13"/>
        <v>39.200000000000003</v>
      </c>
      <c r="M61" s="50">
        <f t="shared" si="13"/>
        <v>39.799999999999997</v>
      </c>
      <c r="N61" s="58">
        <f>O12</f>
        <v>4434476</v>
      </c>
    </row>
    <row r="62" spans="1:14" ht="15" thickBot="1">
      <c r="A62" s="184"/>
      <c r="B62" s="59" t="s">
        <v>255</v>
      </c>
      <c r="C62" s="60" t="s">
        <v>256</v>
      </c>
      <c r="D62" s="60"/>
      <c r="E62" s="60">
        <f t="shared" ref="E62:M62" si="14">SUMPRODUCT(E17:E18,$N$17:$N$18)/SUM($N$17:$N$18)</f>
        <v>40.586472459135713</v>
      </c>
      <c r="F62" s="60">
        <f t="shared" si="14"/>
        <v>35.64097821099103</v>
      </c>
      <c r="G62" s="60">
        <f t="shared" si="14"/>
        <v>39.662289349177968</v>
      </c>
      <c r="H62" s="60">
        <f t="shared" si="14"/>
        <v>36.426222763738785</v>
      </c>
      <c r="I62" s="60">
        <f t="shared" si="14"/>
        <v>38.656961564631231</v>
      </c>
      <c r="J62" s="60">
        <f t="shared" si="14"/>
        <v>36.168845040112664</v>
      </c>
      <c r="K62" s="60">
        <f t="shared" si="14"/>
        <v>36.799583841005109</v>
      </c>
      <c r="L62" s="60">
        <f t="shared" si="14"/>
        <v>34.500811747393072</v>
      </c>
      <c r="M62" s="60">
        <f t="shared" si="14"/>
        <v>35.277044796430211</v>
      </c>
      <c r="N62" s="61">
        <f>O17</f>
        <v>505576</v>
      </c>
    </row>
    <row r="63" spans="1:14">
      <c r="A63" s="184" t="s">
        <v>257</v>
      </c>
      <c r="B63" s="54" t="s">
        <v>252</v>
      </c>
      <c r="C63" s="55" t="s">
        <v>258</v>
      </c>
      <c r="D63" s="55"/>
      <c r="E63" s="62">
        <f t="shared" ref="E63:L63" si="15">E10</f>
        <v>42.7</v>
      </c>
      <c r="F63" s="62">
        <f t="shared" si="15"/>
        <v>40.299999999999997</v>
      </c>
      <c r="G63" s="62">
        <f t="shared" si="15"/>
        <v>40.6</v>
      </c>
      <c r="H63" s="62">
        <f t="shared" si="15"/>
        <v>39.5</v>
      </c>
      <c r="I63" s="62">
        <f t="shared" si="15"/>
        <v>39.700000000000003</v>
      </c>
      <c r="J63" s="62">
        <f t="shared" si="15"/>
        <v>38.9</v>
      </c>
      <c r="K63" s="62">
        <f t="shared" si="15"/>
        <v>38.700000000000003</v>
      </c>
      <c r="L63" s="62">
        <f t="shared" si="15"/>
        <v>36.6</v>
      </c>
      <c r="M63" s="62">
        <f>M10</f>
        <v>36.200000000000003</v>
      </c>
      <c r="N63" s="152">
        <f>O10</f>
        <v>3915864</v>
      </c>
    </row>
    <row r="64" spans="1:14">
      <c r="A64" s="184"/>
      <c r="B64" s="57" t="s">
        <v>252</v>
      </c>
      <c r="C64" s="4" t="s">
        <v>259</v>
      </c>
      <c r="E64" s="50">
        <f t="shared" ref="E64:L64" si="16">E13</f>
        <v>42.7</v>
      </c>
      <c r="F64" s="50">
        <f t="shared" si="16"/>
        <v>41.6</v>
      </c>
      <c r="G64" s="50">
        <f t="shared" si="16"/>
        <v>40.799999999999997</v>
      </c>
      <c r="H64" s="50">
        <f t="shared" si="16"/>
        <v>40.4</v>
      </c>
      <c r="I64" s="50">
        <f t="shared" si="16"/>
        <v>39.9</v>
      </c>
      <c r="J64" s="50">
        <f t="shared" si="16"/>
        <v>39.700000000000003</v>
      </c>
      <c r="K64" s="50">
        <f t="shared" si="16"/>
        <v>39</v>
      </c>
      <c r="L64" s="50">
        <f t="shared" si="16"/>
        <v>38.9</v>
      </c>
      <c r="M64" s="50">
        <f>M13</f>
        <v>38.1</v>
      </c>
      <c r="N64" s="58">
        <f>N13</f>
        <v>2070333</v>
      </c>
    </row>
    <row r="65" spans="1:15">
      <c r="A65" s="184"/>
      <c r="B65" s="57" t="s">
        <v>252</v>
      </c>
      <c r="C65" s="4" t="s">
        <v>260</v>
      </c>
      <c r="E65" s="50">
        <f t="shared" ref="E65:L65" si="17">E14</f>
        <v>39.799999999999997</v>
      </c>
      <c r="F65" s="50">
        <f t="shared" si="17"/>
        <v>38.1</v>
      </c>
      <c r="G65" s="50">
        <f t="shared" si="17"/>
        <v>36.9</v>
      </c>
      <c r="H65" s="50">
        <f t="shared" si="17"/>
        <v>36.299999999999997</v>
      </c>
      <c r="I65" s="50">
        <f t="shared" si="17"/>
        <v>36.6</v>
      </c>
      <c r="J65" s="50">
        <f t="shared" si="17"/>
        <v>36.6</v>
      </c>
      <c r="K65" s="50">
        <f t="shared" si="17"/>
        <v>37.200000000000003</v>
      </c>
      <c r="L65" s="50">
        <f t="shared" si="17"/>
        <v>37.700000000000003</v>
      </c>
      <c r="M65" s="50">
        <f>M14</f>
        <v>38.6</v>
      </c>
      <c r="N65" s="58">
        <f>N14</f>
        <v>1676858</v>
      </c>
    </row>
    <row r="66" spans="1:15">
      <c r="A66" s="184"/>
      <c r="B66" s="57" t="s">
        <v>255</v>
      </c>
      <c r="C66" s="4" t="s">
        <v>258</v>
      </c>
      <c r="E66" s="50">
        <f>E19</f>
        <v>201</v>
      </c>
      <c r="F66" s="50">
        <f t="shared" ref="F66:L66" si="18">F19</f>
        <v>194.8</v>
      </c>
      <c r="G66" s="50">
        <f t="shared" si="18"/>
        <v>193.1</v>
      </c>
      <c r="H66" s="50">
        <f t="shared" si="18"/>
        <v>191.1</v>
      </c>
      <c r="I66" s="50">
        <f t="shared" si="18"/>
        <v>193.1</v>
      </c>
      <c r="J66" s="50">
        <f t="shared" si="18"/>
        <v>195</v>
      </c>
      <c r="K66" s="50">
        <f t="shared" si="18"/>
        <v>193.3</v>
      </c>
      <c r="L66" s="50">
        <f t="shared" si="18"/>
        <v>191.4</v>
      </c>
      <c r="M66" s="50">
        <f>M19</f>
        <v>173.9</v>
      </c>
      <c r="N66" s="58">
        <f>N19</f>
        <v>122259</v>
      </c>
    </row>
    <row r="67" spans="1:15" ht="15" thickBot="1">
      <c r="A67" s="184"/>
      <c r="B67" s="59" t="s">
        <v>255</v>
      </c>
      <c r="C67" s="60" t="s">
        <v>261</v>
      </c>
      <c r="D67" s="60"/>
      <c r="E67" s="63">
        <f>E20</f>
        <v>42.4</v>
      </c>
      <c r="F67" s="63">
        <f t="shared" ref="F67:L67" si="19">F20</f>
        <v>42.3</v>
      </c>
      <c r="G67" s="63">
        <f t="shared" si="19"/>
        <v>43.1</v>
      </c>
      <c r="H67" s="63">
        <f t="shared" si="19"/>
        <v>43.3</v>
      </c>
      <c r="I67" s="63">
        <f t="shared" si="19"/>
        <v>42.7</v>
      </c>
      <c r="J67" s="63">
        <f t="shared" si="19"/>
        <v>39.1</v>
      </c>
      <c r="K67" s="63">
        <f t="shared" si="19"/>
        <v>33.1</v>
      </c>
      <c r="L67" s="63">
        <f t="shared" si="19"/>
        <v>28.2</v>
      </c>
      <c r="M67" s="63">
        <f>M20</f>
        <v>25.2</v>
      </c>
      <c r="N67" s="61">
        <f>N20</f>
        <v>38331</v>
      </c>
    </row>
    <row r="70" spans="1:15">
      <c r="B70" s="84" t="s">
        <v>262</v>
      </c>
    </row>
    <row r="71" spans="1:15" ht="15" thickBot="1"/>
    <row r="72" spans="1:15" ht="15" thickBot="1">
      <c r="B72" s="179" t="s">
        <v>263</v>
      </c>
      <c r="C72" s="55" t="s">
        <v>264</v>
      </c>
      <c r="D72" s="55"/>
      <c r="E72" s="55">
        <f>SUMPRODUCT(E60:E62,$N$60:$N$62)/SUM($N$60:$N$62)</f>
        <v>36.998317296817746</v>
      </c>
      <c r="F72" s="55">
        <f t="shared" ref="F72:L72" si="20">SUMPRODUCT(F60:F62,$N$60:$N$62)/SUM($N$60:$N$62)</f>
        <v>35.226094084891344</v>
      </c>
      <c r="G72" s="55">
        <f t="shared" si="20"/>
        <v>35.805493654368881</v>
      </c>
      <c r="H72" s="55">
        <f t="shared" si="20"/>
        <v>35.208878367379114</v>
      </c>
      <c r="I72" s="55">
        <f t="shared" si="20"/>
        <v>35.269993982157537</v>
      </c>
      <c r="J72" s="55">
        <f t="shared" si="20"/>
        <v>34.769353742029679</v>
      </c>
      <c r="K72" s="55">
        <f t="shared" si="20"/>
        <v>34.695905410165615</v>
      </c>
      <c r="L72" s="55">
        <f t="shared" si="20"/>
        <v>34.057046922266764</v>
      </c>
      <c r="M72" s="55">
        <f>SUMPRODUCT(M60:M62,$N$60:$N$62)/SUM($N$60:$N$62)</f>
        <v>33.516797842583287</v>
      </c>
      <c r="N72" s="79">
        <f>(M72/E72)^(1/8)-1</f>
        <v>-1.2277223783620173E-2</v>
      </c>
    </row>
    <row r="73" spans="1:15" ht="15" thickBot="1">
      <c r="B73" s="178"/>
      <c r="C73" s="60" t="s">
        <v>265</v>
      </c>
      <c r="D73" s="60"/>
      <c r="E73" s="60">
        <f>SUMPRODUCT(E63:E67,$N$63:$N$67)/SUM($N$63:$N$67)</f>
        <v>44.55069902839405</v>
      </c>
      <c r="F73" s="60">
        <f t="shared" ref="F73:L73" si="21">SUMPRODUCT(F63:F67,$N$63:$N$67)/SUM($N$63:$N$67)</f>
        <v>42.596630636998484</v>
      </c>
      <c r="G73" s="60">
        <f t="shared" si="21"/>
        <v>42.25524087557654</v>
      </c>
      <c r="H73" s="60">
        <f t="shared" si="21"/>
        <v>41.439949512024121</v>
      </c>
      <c r="I73" s="60">
        <f t="shared" si="21"/>
        <v>41.500353978228816</v>
      </c>
      <c r="J73" s="60">
        <f t="shared" si="21"/>
        <v>41.059068963379602</v>
      </c>
      <c r="K73" s="60">
        <f t="shared" si="21"/>
        <v>40.846365370616901</v>
      </c>
      <c r="L73" s="60">
        <f t="shared" si="21"/>
        <v>39.822286095547547</v>
      </c>
      <c r="M73" s="60">
        <f>SUMPRODUCT(M63:M67,$N$63:$N$67)/SUM($N$63:$N$67)</f>
        <v>39.315110054201085</v>
      </c>
      <c r="N73" s="79">
        <f>(M73/E73)^(1/8)-1</f>
        <v>-1.5505891317824316E-2</v>
      </c>
    </row>
    <row r="74" spans="1:15" ht="15" thickBot="1">
      <c r="B74" s="177" t="s">
        <v>266</v>
      </c>
      <c r="C74" s="4" t="s">
        <v>264</v>
      </c>
      <c r="E74" s="4">
        <f t="shared" ref="E74:M74" si="22">SUMPRODUCT(E40:E46,$N$40:$N$46)/SUM($N$40:$N$46)</f>
        <v>43.819351373093333</v>
      </c>
      <c r="F74" s="4">
        <f t="shared" si="22"/>
        <v>43.543820506888913</v>
      </c>
      <c r="G74" s="4">
        <f t="shared" si="22"/>
        <v>43.261759710230102</v>
      </c>
      <c r="H74" s="4">
        <f t="shared" si="22"/>
        <v>43.818509475945248</v>
      </c>
      <c r="I74" s="4">
        <f t="shared" si="22"/>
        <v>43.303280370020715</v>
      </c>
      <c r="J74" s="4">
        <f t="shared" si="22"/>
        <v>43.699181340296924</v>
      </c>
      <c r="K74" s="4">
        <f t="shared" si="22"/>
        <v>42.753512431859406</v>
      </c>
      <c r="L74" s="4">
        <f t="shared" si="22"/>
        <v>40.324537248339169</v>
      </c>
      <c r="M74" s="4">
        <f t="shared" si="22"/>
        <v>40.360947198550598</v>
      </c>
      <c r="N74" s="79">
        <f>(M74/E74)^(1/8)-1</f>
        <v>-1.0223984581767875E-2</v>
      </c>
    </row>
    <row r="75" spans="1:15" ht="15" thickBot="1">
      <c r="B75" s="178"/>
      <c r="C75" s="60" t="s">
        <v>265</v>
      </c>
      <c r="D75" s="60"/>
      <c r="E75" s="60">
        <f t="shared" ref="E75:M75" si="23">SUMPRODUCT(E48:E52,$N$48:$N$52)/SUM($N$48:$N$52)</f>
        <v>72.395564753137307</v>
      </c>
      <c r="F75" s="60">
        <f t="shared" si="23"/>
        <v>72.740891796438476</v>
      </c>
      <c r="G75" s="60">
        <f t="shared" si="23"/>
        <v>72.539575045917175</v>
      </c>
      <c r="H75" s="60">
        <f t="shared" si="23"/>
        <v>72.761079560213886</v>
      </c>
      <c r="I75" s="60">
        <f t="shared" si="23"/>
        <v>74.043509915357575</v>
      </c>
      <c r="J75" s="60">
        <f t="shared" si="23"/>
        <v>75.533973609980649</v>
      </c>
      <c r="K75" s="60">
        <f t="shared" si="23"/>
        <v>72.726583365506769</v>
      </c>
      <c r="L75" s="60">
        <f t="shared" si="23"/>
        <v>79.414442795308744</v>
      </c>
      <c r="M75" s="60">
        <f t="shared" si="23"/>
        <v>78.452144380074969</v>
      </c>
      <c r="N75" s="80">
        <f>(M75/E75)^(1/8)-1</f>
        <v>1.0093571887501041E-2</v>
      </c>
    </row>
    <row r="76" spans="1:15" ht="15" thickBot="1"/>
    <row r="77" spans="1:15" ht="15.6" thickTop="1" thickBot="1">
      <c r="B77" s="179" t="s">
        <v>263</v>
      </c>
      <c r="C77" s="55" t="s">
        <v>264</v>
      </c>
      <c r="D77" s="55"/>
      <c r="E77" s="82">
        <v>1458</v>
      </c>
      <c r="F77" s="82">
        <v>1508</v>
      </c>
      <c r="G77" s="82">
        <v>1575</v>
      </c>
      <c r="H77" s="82">
        <v>1656</v>
      </c>
      <c r="I77" s="82">
        <v>1734</v>
      </c>
      <c r="J77" s="82">
        <v>1804</v>
      </c>
      <c r="K77" s="82">
        <v>1868</v>
      </c>
      <c r="L77" s="82">
        <v>1918</v>
      </c>
      <c r="M77" s="82">
        <v>1986</v>
      </c>
      <c r="N77" s="79">
        <f>(M77/E77)^(1/8)-1</f>
        <v>3.938803960192172E-2</v>
      </c>
      <c r="O77" s="25"/>
    </row>
    <row r="78" spans="1:15" ht="15.6" thickTop="1" thickBot="1">
      <c r="B78" s="178"/>
      <c r="C78" s="60" t="s">
        <v>265</v>
      </c>
      <c r="D78" s="55"/>
      <c r="E78" s="83">
        <v>99</v>
      </c>
      <c r="F78" s="83">
        <v>97</v>
      </c>
      <c r="G78" s="83">
        <v>95</v>
      </c>
      <c r="H78" s="83">
        <v>92</v>
      </c>
      <c r="I78" s="83">
        <v>89</v>
      </c>
      <c r="J78" s="83">
        <v>87</v>
      </c>
      <c r="K78" s="83">
        <v>84</v>
      </c>
      <c r="L78" s="83">
        <v>81</v>
      </c>
      <c r="M78" s="83">
        <v>78</v>
      </c>
      <c r="N78" s="79">
        <f>(M78/E78)^(1/8)-1</f>
        <v>-2.9361695407744359E-2</v>
      </c>
      <c r="O78" s="25"/>
    </row>
    <row r="79" spans="1:15" ht="15.6" thickTop="1" thickBot="1">
      <c r="B79" s="177" t="s">
        <v>266</v>
      </c>
      <c r="C79" s="4" t="s">
        <v>264</v>
      </c>
      <c r="D79" s="55"/>
      <c r="E79" s="83">
        <v>324</v>
      </c>
      <c r="F79" s="83">
        <v>329</v>
      </c>
      <c r="G79" s="83">
        <v>335</v>
      </c>
      <c r="H79" s="83">
        <v>343</v>
      </c>
      <c r="I79" s="83">
        <v>349</v>
      </c>
      <c r="J79" s="83">
        <v>354</v>
      </c>
      <c r="K79" s="83">
        <v>359</v>
      </c>
      <c r="L79" s="83">
        <v>359</v>
      </c>
      <c r="M79" s="83">
        <v>362</v>
      </c>
      <c r="N79" s="79">
        <f>(M79/E79)^(1/8)-1</f>
        <v>1.3959118205026488E-2</v>
      </c>
      <c r="O79" s="25"/>
    </row>
    <row r="80" spans="1:15" ht="15.6" thickTop="1" thickBot="1">
      <c r="B80" s="178"/>
      <c r="C80" s="60" t="s">
        <v>265</v>
      </c>
      <c r="D80" s="55"/>
      <c r="E80" s="83">
        <v>324</v>
      </c>
      <c r="F80" s="83">
        <v>329</v>
      </c>
      <c r="G80" s="83">
        <v>335</v>
      </c>
      <c r="H80" s="83">
        <v>343</v>
      </c>
      <c r="I80" s="83">
        <v>349</v>
      </c>
      <c r="J80" s="83">
        <v>354</v>
      </c>
      <c r="K80" s="83">
        <v>359</v>
      </c>
      <c r="L80" s="83">
        <v>359</v>
      </c>
      <c r="M80" s="83">
        <v>362</v>
      </c>
      <c r="N80" s="80">
        <f>(M80/E80)^(1/8)-1</f>
        <v>1.3959118205026488E-2</v>
      </c>
      <c r="O80" s="25"/>
    </row>
    <row r="81" spans="2:36" ht="15" thickBot="1"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 t="s">
        <v>267</v>
      </c>
    </row>
    <row r="82" spans="2:36" ht="15.6" thickTop="1" thickBot="1">
      <c r="B82" s="179" t="s">
        <v>263</v>
      </c>
      <c r="C82" s="55" t="s">
        <v>264</v>
      </c>
      <c r="D82" s="55"/>
      <c r="E82" s="82">
        <f>E72*E77</f>
        <v>53943.546618760272</v>
      </c>
      <c r="F82" s="82">
        <f t="shared" ref="F82:M82" si="24">F72*F77</f>
        <v>53120.949880016145</v>
      </c>
      <c r="G82" s="82">
        <f t="shared" si="24"/>
        <v>56393.652505630991</v>
      </c>
      <c r="H82" s="82">
        <f t="shared" si="24"/>
        <v>58305.902576379813</v>
      </c>
      <c r="I82" s="82">
        <f t="shared" si="24"/>
        <v>61158.169565061173</v>
      </c>
      <c r="J82" s="82">
        <f t="shared" si="24"/>
        <v>62723.914150621538</v>
      </c>
      <c r="K82" s="82">
        <f t="shared" si="24"/>
        <v>64811.951306189367</v>
      </c>
      <c r="L82" s="82">
        <f t="shared" si="24"/>
        <v>65321.41599690765</v>
      </c>
      <c r="M82" s="82">
        <f t="shared" si="24"/>
        <v>66564.360515370412</v>
      </c>
      <c r="N82" s="79">
        <f>(M82/E82)^(1/8)-1</f>
        <v>2.6627240041710687E-2</v>
      </c>
      <c r="O82" s="25">
        <f>(M82-E82)/8</f>
        <v>1577.6017370762675</v>
      </c>
    </row>
    <row r="83" spans="2:36" ht="15.6" thickTop="1" thickBot="1">
      <c r="B83" s="178"/>
      <c r="C83" s="60" t="s">
        <v>265</v>
      </c>
      <c r="D83" s="55"/>
      <c r="E83" s="82">
        <f t="shared" ref="E83:M83" si="25">E73*E78</f>
        <v>4410.5192038110108</v>
      </c>
      <c r="F83" s="82">
        <f t="shared" si="25"/>
        <v>4131.8731717888531</v>
      </c>
      <c r="G83" s="82">
        <f t="shared" si="25"/>
        <v>4014.2478831797712</v>
      </c>
      <c r="H83" s="82">
        <f t="shared" si="25"/>
        <v>3812.475355106219</v>
      </c>
      <c r="I83" s="82">
        <f t="shared" si="25"/>
        <v>3693.5315040623645</v>
      </c>
      <c r="J83" s="82">
        <f t="shared" si="25"/>
        <v>3572.1389998140253</v>
      </c>
      <c r="K83" s="82">
        <f t="shared" si="25"/>
        <v>3431.0946911318197</v>
      </c>
      <c r="L83" s="82">
        <f t="shared" si="25"/>
        <v>3225.6051737393514</v>
      </c>
      <c r="M83" s="82">
        <f t="shared" si="25"/>
        <v>3066.5785842276846</v>
      </c>
      <c r="N83" s="79">
        <f>(M83/E83)^(1/8)-1</f>
        <v>-4.4412307467669221E-2</v>
      </c>
      <c r="O83" s="25">
        <f>(M83-E83)/8</f>
        <v>-167.99257744791578</v>
      </c>
    </row>
    <row r="84" spans="2:36" ht="15.6" thickTop="1" thickBot="1">
      <c r="B84" s="177" t="s">
        <v>266</v>
      </c>
      <c r="C84" s="4" t="s">
        <v>264</v>
      </c>
      <c r="D84" s="55"/>
      <c r="E84" s="82">
        <f t="shared" ref="E84:M84" si="26">E74*E79</f>
        <v>14197.46984488224</v>
      </c>
      <c r="F84" s="82">
        <f t="shared" si="26"/>
        <v>14325.916946766452</v>
      </c>
      <c r="G84" s="82">
        <f t="shared" si="26"/>
        <v>14492.689502927084</v>
      </c>
      <c r="H84" s="82">
        <f t="shared" si="26"/>
        <v>15029.74875024922</v>
      </c>
      <c r="I84" s="82">
        <f t="shared" si="26"/>
        <v>15112.844849137229</v>
      </c>
      <c r="J84" s="82">
        <f t="shared" si="26"/>
        <v>15469.510194465111</v>
      </c>
      <c r="K84" s="82">
        <f t="shared" si="26"/>
        <v>15348.510963037526</v>
      </c>
      <c r="L84" s="82">
        <f t="shared" si="26"/>
        <v>14476.508872153761</v>
      </c>
      <c r="M84" s="82">
        <f t="shared" si="26"/>
        <v>14610.662885875316</v>
      </c>
      <c r="N84" s="79">
        <f>(M84/E84)^(1/8)-1</f>
        <v>3.5924158139553075E-3</v>
      </c>
      <c r="O84" s="25">
        <f>(M84-E84)/8</f>
        <v>51.649130124134444</v>
      </c>
    </row>
    <row r="85" spans="2:36" ht="15.6" thickTop="1" thickBot="1">
      <c r="B85" s="178"/>
      <c r="C85" s="60" t="s">
        <v>265</v>
      </c>
      <c r="D85" s="55"/>
      <c r="E85" s="82">
        <f t="shared" ref="E85:M85" si="27">E75*E80</f>
        <v>23456.162980016488</v>
      </c>
      <c r="F85" s="82">
        <f t="shared" si="27"/>
        <v>23931.753401028258</v>
      </c>
      <c r="G85" s="82">
        <f t="shared" si="27"/>
        <v>24300.757640382253</v>
      </c>
      <c r="H85" s="82">
        <f t="shared" si="27"/>
        <v>24957.050289153362</v>
      </c>
      <c r="I85" s="82">
        <f t="shared" si="27"/>
        <v>25841.184960459792</v>
      </c>
      <c r="J85" s="82">
        <f t="shared" si="27"/>
        <v>26739.026657933151</v>
      </c>
      <c r="K85" s="82">
        <f t="shared" si="27"/>
        <v>26108.843428216929</v>
      </c>
      <c r="L85" s="82">
        <f t="shared" si="27"/>
        <v>28509.784963515838</v>
      </c>
      <c r="M85" s="82">
        <f t="shared" si="27"/>
        <v>28399.676265587139</v>
      </c>
      <c r="N85" s="80">
        <f>(M85/E85)^(1/8)-1</f>
        <v>2.4193587455615839E-2</v>
      </c>
      <c r="O85" s="25">
        <f>(M85-E85)/8</f>
        <v>617.93916069633133</v>
      </c>
    </row>
    <row r="88" spans="2:36" ht="15" thickBot="1">
      <c r="E88" s="4">
        <v>2019</v>
      </c>
      <c r="F88" s="4">
        <v>2020</v>
      </c>
      <c r="G88" s="4">
        <v>2021</v>
      </c>
      <c r="H88" s="4">
        <v>2022</v>
      </c>
      <c r="I88" s="4">
        <v>2023</v>
      </c>
      <c r="J88" s="4">
        <v>2024</v>
      </c>
      <c r="K88" s="4">
        <v>2025</v>
      </c>
      <c r="L88" s="4">
        <v>2026</v>
      </c>
      <c r="M88" s="4">
        <v>2027</v>
      </c>
      <c r="N88" s="4">
        <v>2028</v>
      </c>
      <c r="O88" s="4">
        <v>2029</v>
      </c>
      <c r="P88" s="4">
        <v>2030</v>
      </c>
      <c r="Q88" s="4">
        <v>2031</v>
      </c>
      <c r="R88" s="4">
        <v>2032</v>
      </c>
      <c r="S88" s="4">
        <v>2033</v>
      </c>
      <c r="T88" s="4">
        <v>2034</v>
      </c>
      <c r="U88" s="4">
        <v>2035</v>
      </c>
      <c r="V88" s="4">
        <v>2036</v>
      </c>
      <c r="W88" s="4">
        <v>2037</v>
      </c>
      <c r="X88" s="4">
        <v>2038</v>
      </c>
      <c r="Y88" s="4">
        <v>2039</v>
      </c>
      <c r="Z88" s="4">
        <v>2040</v>
      </c>
      <c r="AA88" s="4">
        <v>2041</v>
      </c>
      <c r="AB88" s="4">
        <v>2042</v>
      </c>
      <c r="AC88" s="4">
        <v>2043</v>
      </c>
      <c r="AD88" s="4">
        <v>2044</v>
      </c>
      <c r="AE88" s="4">
        <v>2045</v>
      </c>
      <c r="AF88" s="4">
        <v>2046</v>
      </c>
      <c r="AG88" s="4">
        <v>2047</v>
      </c>
      <c r="AH88" s="4">
        <v>2048</v>
      </c>
      <c r="AI88" s="4">
        <v>2049</v>
      </c>
      <c r="AJ88" s="4">
        <v>2050</v>
      </c>
    </row>
    <row r="89" spans="2:36" ht="15" thickBot="1">
      <c r="B89" s="179" t="s">
        <v>263</v>
      </c>
      <c r="C89" s="55" t="s">
        <v>264</v>
      </c>
      <c r="D89" s="55"/>
      <c r="E89" s="45">
        <f>L82</f>
        <v>65321.41599690765</v>
      </c>
      <c r="F89" s="45">
        <f>E89+$O82</f>
        <v>66899.017733983914</v>
      </c>
      <c r="G89" s="45">
        <f t="shared" ref="G89:AJ92" si="28">F89+$O82</f>
        <v>68476.619471060185</v>
      </c>
      <c r="H89" s="45">
        <f t="shared" si="28"/>
        <v>70054.221208136456</v>
      </c>
      <c r="I89" s="45">
        <f t="shared" si="28"/>
        <v>71631.822945212727</v>
      </c>
      <c r="J89" s="45">
        <f t="shared" si="28"/>
        <v>73209.424682288998</v>
      </c>
      <c r="K89" s="45">
        <f t="shared" si="28"/>
        <v>74787.026419365269</v>
      </c>
      <c r="L89" s="45">
        <f t="shared" si="28"/>
        <v>76364.62815644154</v>
      </c>
      <c r="M89" s="45">
        <f t="shared" si="28"/>
        <v>77942.229893517811</v>
      </c>
      <c r="N89" s="45">
        <f t="shared" si="28"/>
        <v>79519.831630594083</v>
      </c>
      <c r="O89" s="45">
        <f t="shared" si="28"/>
        <v>81097.433367670354</v>
      </c>
      <c r="P89" s="45">
        <f t="shared" si="28"/>
        <v>82675.035104746625</v>
      </c>
      <c r="Q89" s="45">
        <f t="shared" si="28"/>
        <v>84252.636841822896</v>
      </c>
      <c r="R89" s="45">
        <f t="shared" si="28"/>
        <v>85830.238578899167</v>
      </c>
      <c r="S89" s="45">
        <f t="shared" si="28"/>
        <v>87407.840315975438</v>
      </c>
      <c r="T89" s="45">
        <f t="shared" si="28"/>
        <v>88985.442053051709</v>
      </c>
      <c r="U89" s="45">
        <f t="shared" si="28"/>
        <v>90563.04379012798</v>
      </c>
      <c r="V89" s="45">
        <f t="shared" si="28"/>
        <v>92140.645527204251</v>
      </c>
      <c r="W89" s="45">
        <f t="shared" si="28"/>
        <v>93718.247264280522</v>
      </c>
      <c r="X89" s="45">
        <f t="shared" si="28"/>
        <v>95295.849001356793</v>
      </c>
      <c r="Y89" s="45">
        <f t="shared" si="28"/>
        <v>96873.450738433065</v>
      </c>
      <c r="Z89" s="45">
        <f t="shared" si="28"/>
        <v>98451.052475509336</v>
      </c>
      <c r="AA89" s="45">
        <f t="shared" si="28"/>
        <v>100028.65421258561</v>
      </c>
      <c r="AB89" s="45">
        <f t="shared" si="28"/>
        <v>101606.25594966188</v>
      </c>
      <c r="AC89" s="45">
        <f t="shared" si="28"/>
        <v>103183.85768673815</v>
      </c>
      <c r="AD89" s="45">
        <f t="shared" si="28"/>
        <v>104761.45942381442</v>
      </c>
      <c r="AE89" s="45">
        <f t="shared" si="28"/>
        <v>106339.06116089069</v>
      </c>
      <c r="AF89" s="45">
        <f t="shared" si="28"/>
        <v>107916.66289796696</v>
      </c>
      <c r="AG89" s="45">
        <f t="shared" si="28"/>
        <v>109494.26463504323</v>
      </c>
      <c r="AH89" s="45">
        <f t="shared" si="28"/>
        <v>111071.8663721195</v>
      </c>
      <c r="AI89" s="45">
        <f t="shared" si="28"/>
        <v>112649.46810919578</v>
      </c>
      <c r="AJ89" s="45">
        <f t="shared" si="28"/>
        <v>114227.06984627205</v>
      </c>
    </row>
    <row r="90" spans="2:36" ht="15" thickBot="1">
      <c r="B90" s="178"/>
      <c r="C90" s="60" t="s">
        <v>265</v>
      </c>
      <c r="D90" s="55"/>
      <c r="E90" s="45">
        <f>L83</f>
        <v>3225.6051737393514</v>
      </c>
      <c r="F90" s="45">
        <f>E90+$O83</f>
        <v>3057.6125962914357</v>
      </c>
      <c r="G90" s="45">
        <f t="shared" ref="G90:U90" si="29">F90+$O83</f>
        <v>2889.62001884352</v>
      </c>
      <c r="H90" s="45">
        <f t="shared" si="29"/>
        <v>2721.6274413956044</v>
      </c>
      <c r="I90" s="45">
        <f t="shared" si="29"/>
        <v>2553.6348639476887</v>
      </c>
      <c r="J90" s="45">
        <f t="shared" si="29"/>
        <v>2385.642286499773</v>
      </c>
      <c r="K90" s="45">
        <f t="shared" si="29"/>
        <v>2217.6497090518574</v>
      </c>
      <c r="L90" s="45">
        <f t="shared" si="29"/>
        <v>2049.6571316039417</v>
      </c>
      <c r="M90" s="45">
        <f t="shared" si="29"/>
        <v>1881.664554156026</v>
      </c>
      <c r="N90" s="45">
        <f t="shared" si="29"/>
        <v>1713.6719767081104</v>
      </c>
      <c r="O90" s="45">
        <f t="shared" si="29"/>
        <v>1545.6793992601947</v>
      </c>
      <c r="P90" s="45">
        <f t="shared" si="29"/>
        <v>1377.686821812279</v>
      </c>
      <c r="Q90" s="45">
        <f t="shared" si="29"/>
        <v>1209.6942443643634</v>
      </c>
      <c r="R90" s="45">
        <f t="shared" si="29"/>
        <v>1041.7016669164477</v>
      </c>
      <c r="S90" s="45">
        <f t="shared" si="29"/>
        <v>873.70908946853194</v>
      </c>
      <c r="T90" s="45">
        <f t="shared" si="29"/>
        <v>705.71651202061616</v>
      </c>
      <c r="U90" s="45">
        <f t="shared" si="29"/>
        <v>537.72393457270039</v>
      </c>
      <c r="V90" s="45">
        <f t="shared" si="28"/>
        <v>369.73135712478461</v>
      </c>
      <c r="W90" s="45">
        <f t="shared" si="28"/>
        <v>201.73877967686883</v>
      </c>
      <c r="X90" s="45">
        <f t="shared" si="28"/>
        <v>33.746202228953052</v>
      </c>
      <c r="Y90" s="45">
        <f t="shared" si="28"/>
        <v>-134.24637521896273</v>
      </c>
      <c r="Z90" s="45">
        <f t="shared" si="28"/>
        <v>-302.2389526668785</v>
      </c>
      <c r="AA90" s="45">
        <f t="shared" si="28"/>
        <v>-470.23153011479428</v>
      </c>
      <c r="AB90" s="45">
        <f t="shared" si="28"/>
        <v>-638.22410756271006</v>
      </c>
      <c r="AC90" s="45">
        <f t="shared" si="28"/>
        <v>-806.21668501062584</v>
      </c>
      <c r="AD90" s="45">
        <f t="shared" si="28"/>
        <v>-974.20926245854162</v>
      </c>
      <c r="AE90" s="45">
        <f t="shared" si="28"/>
        <v>-1142.2018399064573</v>
      </c>
      <c r="AF90" s="45">
        <f t="shared" si="28"/>
        <v>-1310.1944173543729</v>
      </c>
      <c r="AG90" s="45">
        <f t="shared" si="28"/>
        <v>-1478.1869948022886</v>
      </c>
      <c r="AH90" s="45">
        <f t="shared" si="28"/>
        <v>-1646.1795722502043</v>
      </c>
      <c r="AI90" s="45">
        <f t="shared" si="28"/>
        <v>-1814.1721496981199</v>
      </c>
      <c r="AJ90" s="45">
        <f t="shared" si="28"/>
        <v>-1982.1647271460356</v>
      </c>
    </row>
    <row r="91" spans="2:36" ht="15" thickBot="1">
      <c r="B91" s="177" t="s">
        <v>266</v>
      </c>
      <c r="C91" s="4" t="s">
        <v>264</v>
      </c>
      <c r="D91" s="55"/>
      <c r="E91" s="45">
        <f>L84</f>
        <v>14476.508872153761</v>
      </c>
      <c r="F91" s="45">
        <f>E91+$O84</f>
        <v>14528.158002277896</v>
      </c>
      <c r="G91" s="45">
        <f t="shared" si="28"/>
        <v>14579.807132402031</v>
      </c>
      <c r="H91" s="45">
        <f t="shared" si="28"/>
        <v>14631.456262526166</v>
      </c>
      <c r="I91" s="45">
        <f t="shared" si="28"/>
        <v>14683.105392650301</v>
      </c>
      <c r="J91" s="45">
        <f t="shared" si="28"/>
        <v>14734.754522774436</v>
      </c>
      <c r="K91" s="45">
        <f t="shared" si="28"/>
        <v>14786.403652898571</v>
      </c>
      <c r="L91" s="45">
        <f t="shared" si="28"/>
        <v>14838.052783022706</v>
      </c>
      <c r="M91" s="45">
        <f t="shared" si="28"/>
        <v>14889.701913146841</v>
      </c>
      <c r="N91" s="45">
        <f t="shared" si="28"/>
        <v>14941.351043270975</v>
      </c>
      <c r="O91" s="45">
        <f t="shared" si="28"/>
        <v>14993.00017339511</v>
      </c>
      <c r="P91" s="45">
        <f t="shared" si="28"/>
        <v>15044.649303519245</v>
      </c>
      <c r="Q91" s="45">
        <f t="shared" si="28"/>
        <v>15096.29843364338</v>
      </c>
      <c r="R91" s="45">
        <f t="shared" si="28"/>
        <v>15147.947563767515</v>
      </c>
      <c r="S91" s="45">
        <f t="shared" si="28"/>
        <v>15199.59669389165</v>
      </c>
      <c r="T91" s="45">
        <f t="shared" si="28"/>
        <v>15251.245824015785</v>
      </c>
      <c r="U91" s="45">
        <f t="shared" si="28"/>
        <v>15302.89495413992</v>
      </c>
      <c r="V91" s="45">
        <f t="shared" si="28"/>
        <v>15354.544084264055</v>
      </c>
      <c r="W91" s="45">
        <f t="shared" si="28"/>
        <v>15406.19321438819</v>
      </c>
      <c r="X91" s="45">
        <f t="shared" si="28"/>
        <v>15457.842344512324</v>
      </c>
      <c r="Y91" s="45">
        <f t="shared" si="28"/>
        <v>15509.491474636459</v>
      </c>
      <c r="Z91" s="45">
        <f t="shared" si="28"/>
        <v>15561.140604760594</v>
      </c>
      <c r="AA91" s="45">
        <f t="shared" si="28"/>
        <v>15612.789734884729</v>
      </c>
      <c r="AB91" s="45">
        <f t="shared" si="28"/>
        <v>15664.438865008864</v>
      </c>
      <c r="AC91" s="45">
        <f t="shared" si="28"/>
        <v>15716.087995132999</v>
      </c>
      <c r="AD91" s="45">
        <f t="shared" si="28"/>
        <v>15767.737125257134</v>
      </c>
      <c r="AE91" s="45">
        <f t="shared" si="28"/>
        <v>15819.386255381269</v>
      </c>
      <c r="AF91" s="45">
        <f t="shared" si="28"/>
        <v>15871.035385505404</v>
      </c>
      <c r="AG91" s="45">
        <f t="shared" si="28"/>
        <v>15922.684515629539</v>
      </c>
      <c r="AH91" s="45">
        <f t="shared" si="28"/>
        <v>15974.333645753673</v>
      </c>
      <c r="AI91" s="45">
        <f t="shared" si="28"/>
        <v>16025.982775877808</v>
      </c>
      <c r="AJ91" s="45">
        <f t="shared" si="28"/>
        <v>16077.631906001943</v>
      </c>
    </row>
    <row r="92" spans="2:36" ht="15" thickBot="1">
      <c r="B92" s="178"/>
      <c r="C92" s="60" t="s">
        <v>265</v>
      </c>
      <c r="D92" s="55"/>
      <c r="E92" s="45">
        <f>L85</f>
        <v>28509.784963515838</v>
      </c>
      <c r="F92" s="45">
        <f>E92+$O85</f>
        <v>29127.724124212171</v>
      </c>
      <c r="G92" s="45">
        <f t="shared" si="28"/>
        <v>29745.663284908504</v>
      </c>
      <c r="H92" s="45">
        <f t="shared" si="28"/>
        <v>30363.602445604836</v>
      </c>
      <c r="I92" s="45">
        <f t="shared" si="28"/>
        <v>30981.541606301169</v>
      </c>
      <c r="J92" s="45">
        <f t="shared" si="28"/>
        <v>31599.480766997502</v>
      </c>
      <c r="K92" s="45">
        <f t="shared" si="28"/>
        <v>32217.419927693834</v>
      </c>
      <c r="L92" s="45">
        <f t="shared" si="28"/>
        <v>32835.359088390163</v>
      </c>
      <c r="M92" s="45">
        <f t="shared" si="28"/>
        <v>33453.298249086496</v>
      </c>
      <c r="N92" s="45">
        <f t="shared" si="28"/>
        <v>34071.237409782829</v>
      </c>
      <c r="O92" s="45">
        <f t="shared" si="28"/>
        <v>34689.176570479161</v>
      </c>
      <c r="P92" s="45">
        <f t="shared" si="28"/>
        <v>35307.115731175494</v>
      </c>
      <c r="Q92" s="45">
        <f t="shared" si="28"/>
        <v>35925.054891871827</v>
      </c>
      <c r="R92" s="45">
        <f t="shared" si="28"/>
        <v>36542.99405256816</v>
      </c>
      <c r="S92" s="45">
        <f t="shared" si="28"/>
        <v>37160.933213264492</v>
      </c>
      <c r="T92" s="45">
        <f t="shared" si="28"/>
        <v>37778.872373960825</v>
      </c>
      <c r="U92" s="45">
        <f t="shared" si="28"/>
        <v>38396.811534657158</v>
      </c>
      <c r="V92" s="45">
        <f t="shared" si="28"/>
        <v>39014.75069535349</v>
      </c>
      <c r="W92" s="45">
        <f t="shared" si="28"/>
        <v>39632.689856049823</v>
      </c>
      <c r="X92" s="45">
        <f t="shared" si="28"/>
        <v>40250.629016746156</v>
      </c>
      <c r="Y92" s="45">
        <f t="shared" si="28"/>
        <v>40868.568177442488</v>
      </c>
      <c r="Z92" s="45">
        <f t="shared" si="28"/>
        <v>41486.507338138821</v>
      </c>
      <c r="AA92" s="45">
        <f t="shared" si="28"/>
        <v>42104.446498835154</v>
      </c>
      <c r="AB92" s="45">
        <f t="shared" si="28"/>
        <v>42722.385659531486</v>
      </c>
      <c r="AC92" s="45">
        <f t="shared" si="28"/>
        <v>43340.324820227819</v>
      </c>
      <c r="AD92" s="45">
        <f t="shared" si="28"/>
        <v>43958.263980924152</v>
      </c>
      <c r="AE92" s="45">
        <f t="shared" si="28"/>
        <v>44576.203141620485</v>
      </c>
      <c r="AF92" s="45">
        <f t="shared" si="28"/>
        <v>45194.142302316817</v>
      </c>
      <c r="AG92" s="45">
        <f t="shared" si="28"/>
        <v>45812.08146301315</v>
      </c>
      <c r="AH92" s="45">
        <f t="shared" si="28"/>
        <v>46430.020623709483</v>
      </c>
      <c r="AI92" s="45">
        <f t="shared" si="28"/>
        <v>47047.959784405815</v>
      </c>
      <c r="AJ92" s="45">
        <f t="shared" si="28"/>
        <v>47665.898945102148</v>
      </c>
    </row>
  </sheetData>
  <mergeCells count="17">
    <mergeCell ref="B89:B90"/>
    <mergeCell ref="B91:B92"/>
    <mergeCell ref="B79:B80"/>
    <mergeCell ref="B77:B78"/>
    <mergeCell ref="B82:B83"/>
    <mergeCell ref="B84:B85"/>
    <mergeCell ref="D1:D3"/>
    <mergeCell ref="N2:N3"/>
    <mergeCell ref="B72:B73"/>
    <mergeCell ref="B74:B75"/>
    <mergeCell ref="A1:A3"/>
    <mergeCell ref="B1:B3"/>
    <mergeCell ref="C1:C3"/>
    <mergeCell ref="A60:A62"/>
    <mergeCell ref="A63:A67"/>
    <mergeCell ref="C40:D46"/>
    <mergeCell ref="C48:D52"/>
  </mergeCells>
  <phoneticPr fontId="4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87716-0079-4CD8-B46E-84F988D5BA74}">
  <dimension ref="A1:U18"/>
  <sheetViews>
    <sheetView workbookViewId="0">
      <selection activeCell="A2" sqref="A2"/>
    </sheetView>
  </sheetViews>
  <sheetFormatPr defaultColWidth="19" defaultRowHeight="14.4"/>
  <cols>
    <col min="1" max="1" width="19" customWidth="1"/>
  </cols>
  <sheetData>
    <row r="1" spans="1:21">
      <c r="A1" s="185" t="s">
        <v>268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</row>
    <row r="3" spans="1:21">
      <c r="A3" s="109" t="s">
        <v>269</v>
      </c>
      <c r="B3" s="109" t="s">
        <v>270</v>
      </c>
      <c r="C3" s="109" t="s">
        <v>271</v>
      </c>
      <c r="D3" s="109" t="s">
        <v>272</v>
      </c>
      <c r="E3" s="109" t="s">
        <v>273</v>
      </c>
      <c r="F3" s="109" t="s">
        <v>274</v>
      </c>
      <c r="G3" s="109" t="s">
        <v>275</v>
      </c>
      <c r="H3" s="109" t="s">
        <v>276</v>
      </c>
      <c r="I3" s="109" t="s">
        <v>277</v>
      </c>
      <c r="J3" s="109" t="s">
        <v>278</v>
      </c>
      <c r="K3" s="109" t="s">
        <v>279</v>
      </c>
      <c r="L3" s="109" t="s">
        <v>280</v>
      </c>
      <c r="M3" s="109" t="s">
        <v>281</v>
      </c>
      <c r="N3" s="109" t="s">
        <v>282</v>
      </c>
      <c r="O3" s="109" t="s">
        <v>283</v>
      </c>
      <c r="P3" s="109" t="s">
        <v>284</v>
      </c>
      <c r="Q3" s="109" t="s">
        <v>285</v>
      </c>
      <c r="R3" s="109" t="s">
        <v>286</v>
      </c>
      <c r="S3" s="109" t="s">
        <v>287</v>
      </c>
      <c r="T3" s="109" t="s">
        <v>288</v>
      </c>
      <c r="U3" s="109" t="s">
        <v>289</v>
      </c>
    </row>
    <row r="4" spans="1:21">
      <c r="A4" s="110" t="s">
        <v>290</v>
      </c>
      <c r="B4" s="111">
        <v>145966962</v>
      </c>
      <c r="C4" s="111">
        <v>24032703349.799999</v>
      </c>
      <c r="D4" s="111">
        <v>50676590</v>
      </c>
      <c r="E4" s="111">
        <v>2574826</v>
      </c>
      <c r="F4" s="111">
        <v>54953394</v>
      </c>
      <c r="G4" s="111">
        <v>98356</v>
      </c>
      <c r="H4" s="111">
        <v>2170961</v>
      </c>
      <c r="I4" s="111">
        <v>14397753</v>
      </c>
      <c r="J4" s="111">
        <v>8822135</v>
      </c>
      <c r="K4" s="111">
        <v>6055793</v>
      </c>
      <c r="L4" s="111">
        <v>5837108</v>
      </c>
      <c r="M4" s="111">
        <v>12516805081.700001</v>
      </c>
      <c r="N4" s="111">
        <v>277945321.5</v>
      </c>
      <c r="O4" s="111">
        <v>5142229708.6000004</v>
      </c>
      <c r="P4" s="111">
        <v>3599159.8</v>
      </c>
      <c r="Q4" s="111">
        <v>184719636.19999999</v>
      </c>
      <c r="R4" s="111">
        <v>3269489589.5</v>
      </c>
      <c r="S4" s="111">
        <v>1120628230</v>
      </c>
      <c r="T4" s="111">
        <v>437791017.39999998</v>
      </c>
      <c r="U4" s="111">
        <v>1074619275.0999999</v>
      </c>
    </row>
    <row r="5" spans="1:21">
      <c r="A5" s="110" t="s">
        <v>291</v>
      </c>
      <c r="B5" s="111">
        <v>12712280</v>
      </c>
      <c r="C5" s="111">
        <v>2103078249.2</v>
      </c>
      <c r="D5" s="111">
        <v>4559033</v>
      </c>
      <c r="E5" s="111">
        <v>203288</v>
      </c>
      <c r="F5" s="111">
        <v>4606108</v>
      </c>
      <c r="G5" s="111">
        <v>0</v>
      </c>
      <c r="H5" s="111">
        <v>190912</v>
      </c>
      <c r="I5" s="111">
        <v>1310086</v>
      </c>
      <c r="J5" s="111">
        <v>787485</v>
      </c>
      <c r="K5" s="111">
        <v>491991</v>
      </c>
      <c r="L5" s="111">
        <v>531912</v>
      </c>
      <c r="M5" s="111">
        <v>1122829600.4000001</v>
      </c>
      <c r="N5" s="111">
        <v>20689576.100000001</v>
      </c>
      <c r="O5" s="111">
        <v>423928885.69999999</v>
      </c>
      <c r="P5" s="111">
        <v>0</v>
      </c>
      <c r="Q5" s="111">
        <v>15778589.1</v>
      </c>
      <c r="R5" s="111">
        <v>288475791</v>
      </c>
      <c r="S5" s="111">
        <v>98438779.599999994</v>
      </c>
      <c r="T5" s="111">
        <v>35676501.899999999</v>
      </c>
      <c r="U5" s="111">
        <v>96853276.400000006</v>
      </c>
    </row>
    <row r="6" spans="1:21">
      <c r="A6" s="110" t="s">
        <v>292</v>
      </c>
      <c r="B6" s="111">
        <v>12283577</v>
      </c>
      <c r="C6" s="111">
        <v>2012396494.8</v>
      </c>
      <c r="D6" s="111">
        <v>4491635</v>
      </c>
      <c r="E6" s="111">
        <v>201229</v>
      </c>
      <c r="F6" s="111">
        <v>4412512</v>
      </c>
      <c r="G6" s="111">
        <v>0</v>
      </c>
      <c r="H6" s="111">
        <v>190421</v>
      </c>
      <c r="I6" s="111">
        <v>1218948</v>
      </c>
      <c r="J6" s="111">
        <v>791845</v>
      </c>
      <c r="K6" s="111">
        <v>501614</v>
      </c>
      <c r="L6" s="111">
        <v>452535</v>
      </c>
      <c r="M6" s="111">
        <v>1093657270.5</v>
      </c>
      <c r="N6" s="111">
        <v>21762718</v>
      </c>
      <c r="O6" s="111">
        <v>400700363.30000001</v>
      </c>
      <c r="P6" s="111">
        <v>0</v>
      </c>
      <c r="Q6" s="111">
        <v>15525968.4</v>
      </c>
      <c r="R6" s="111">
        <v>266113052.09999999</v>
      </c>
      <c r="S6" s="111">
        <v>97498622.400000006</v>
      </c>
      <c r="T6" s="111">
        <v>36376036.899999999</v>
      </c>
      <c r="U6" s="111">
        <v>80480124.200000003</v>
      </c>
    </row>
    <row r="7" spans="1:21">
      <c r="A7" s="110" t="s">
        <v>293</v>
      </c>
      <c r="B7" s="111">
        <v>12563757</v>
      </c>
      <c r="C7" s="111">
        <v>2051290651.8</v>
      </c>
      <c r="D7" s="111">
        <v>4412644</v>
      </c>
      <c r="E7" s="111">
        <v>222149</v>
      </c>
      <c r="F7" s="111">
        <v>4619113</v>
      </c>
      <c r="G7" s="111">
        <v>0</v>
      </c>
      <c r="H7" s="111">
        <v>199016</v>
      </c>
      <c r="I7" s="111">
        <v>1248712</v>
      </c>
      <c r="J7" s="111">
        <v>786100</v>
      </c>
      <c r="K7" s="111">
        <v>545794</v>
      </c>
      <c r="L7" s="111">
        <v>497597</v>
      </c>
      <c r="M7" s="111">
        <v>1084457401.7</v>
      </c>
      <c r="N7" s="111">
        <v>24737098.100000001</v>
      </c>
      <c r="O7" s="111">
        <v>423702445.39999998</v>
      </c>
      <c r="P7" s="111">
        <v>0</v>
      </c>
      <c r="Q7" s="111">
        <v>16248521</v>
      </c>
      <c r="R7" s="111">
        <v>276114924.30000001</v>
      </c>
      <c r="S7" s="111">
        <v>96222718.599999994</v>
      </c>
      <c r="T7" s="111">
        <v>39758413.399999999</v>
      </c>
      <c r="U7" s="111">
        <v>89639839.299999997</v>
      </c>
    </row>
    <row r="8" spans="1:21">
      <c r="A8" s="110" t="s">
        <v>294</v>
      </c>
      <c r="B8" s="111">
        <v>12133823</v>
      </c>
      <c r="C8" s="111">
        <v>1996316889.7</v>
      </c>
      <c r="D8" s="111">
        <v>4151026</v>
      </c>
      <c r="E8" s="111">
        <v>211730</v>
      </c>
      <c r="F8" s="111">
        <v>4612431</v>
      </c>
      <c r="G8" s="111">
        <v>0</v>
      </c>
      <c r="H8" s="111">
        <v>195275</v>
      </c>
      <c r="I8" s="111">
        <v>1237012</v>
      </c>
      <c r="J8" s="111">
        <v>736330</v>
      </c>
      <c r="K8" s="111">
        <v>499492</v>
      </c>
      <c r="L8" s="111">
        <v>461094</v>
      </c>
      <c r="M8" s="111">
        <v>1027408546.6</v>
      </c>
      <c r="N8" s="111">
        <v>24259617.600000001</v>
      </c>
      <c r="O8" s="111">
        <v>436476777.19999999</v>
      </c>
      <c r="P8" s="111">
        <v>0</v>
      </c>
      <c r="Q8" s="111">
        <v>16622442.1</v>
      </c>
      <c r="R8" s="111">
        <v>276899640.89999998</v>
      </c>
      <c r="S8" s="111">
        <v>95175596.200000003</v>
      </c>
      <c r="T8" s="111">
        <v>36389279.600000001</v>
      </c>
      <c r="U8" s="111">
        <v>82715844.5</v>
      </c>
    </row>
    <row r="9" spans="1:21">
      <c r="A9" s="110" t="s">
        <v>295</v>
      </c>
      <c r="B9" s="111">
        <v>12658841</v>
      </c>
      <c r="C9" s="111">
        <v>2141027875.2</v>
      </c>
      <c r="D9" s="111">
        <v>4317003</v>
      </c>
      <c r="E9" s="111">
        <v>224074</v>
      </c>
      <c r="F9" s="111">
        <v>4721313</v>
      </c>
      <c r="G9" s="111">
        <v>0</v>
      </c>
      <c r="H9" s="111">
        <v>190597</v>
      </c>
      <c r="I9" s="111">
        <v>1280732</v>
      </c>
      <c r="J9" s="111">
        <v>758602</v>
      </c>
      <c r="K9" s="111">
        <v>548014</v>
      </c>
      <c r="L9" s="111">
        <v>578787</v>
      </c>
      <c r="M9" s="111">
        <v>1102517515.7</v>
      </c>
      <c r="N9" s="111">
        <v>23964619.300000001</v>
      </c>
      <c r="O9" s="111">
        <v>458993003.39999998</v>
      </c>
      <c r="P9" s="111">
        <v>0</v>
      </c>
      <c r="Q9" s="111">
        <v>16373678</v>
      </c>
      <c r="R9" s="111">
        <v>290060068.80000001</v>
      </c>
      <c r="S9" s="111">
        <v>101028610.2</v>
      </c>
      <c r="T9" s="111">
        <v>39332539.899999999</v>
      </c>
      <c r="U9" s="111">
        <v>108227845.90000001</v>
      </c>
    </row>
    <row r="10" spans="1:21">
      <c r="A10" s="110" t="s">
        <v>296</v>
      </c>
      <c r="B10" s="111">
        <v>11807648</v>
      </c>
      <c r="C10" s="111">
        <v>1953652296.4000001</v>
      </c>
      <c r="D10" s="111">
        <v>3996755</v>
      </c>
      <c r="E10" s="111">
        <v>196214</v>
      </c>
      <c r="F10" s="111">
        <v>4444527</v>
      </c>
      <c r="G10" s="111">
        <v>0</v>
      </c>
      <c r="H10" s="111">
        <v>183810</v>
      </c>
      <c r="I10" s="111">
        <v>1229829</v>
      </c>
      <c r="J10" s="111">
        <v>684205</v>
      </c>
      <c r="K10" s="111">
        <v>497497</v>
      </c>
      <c r="L10" s="111">
        <v>538177</v>
      </c>
      <c r="M10" s="111">
        <v>1003178344.7</v>
      </c>
      <c r="N10" s="111">
        <v>20143596.5</v>
      </c>
      <c r="O10" s="111">
        <v>415624170.89999998</v>
      </c>
      <c r="P10" s="111">
        <v>0</v>
      </c>
      <c r="Q10" s="111">
        <v>15331081.800000001</v>
      </c>
      <c r="R10" s="111">
        <v>275887832.30000001</v>
      </c>
      <c r="S10" s="111">
        <v>87288306.400000006</v>
      </c>
      <c r="T10" s="111">
        <v>35180276.700000003</v>
      </c>
      <c r="U10" s="111">
        <v>100543934.09999999</v>
      </c>
    </row>
    <row r="11" spans="1:21">
      <c r="A11" s="110" t="s">
        <v>297</v>
      </c>
      <c r="B11" s="111">
        <v>12025237</v>
      </c>
      <c r="C11" s="111">
        <v>1973597164.9000001</v>
      </c>
      <c r="D11" s="111">
        <v>4118766</v>
      </c>
      <c r="E11" s="111">
        <v>217291</v>
      </c>
      <c r="F11" s="111">
        <v>4553979</v>
      </c>
      <c r="G11" s="111">
        <v>0</v>
      </c>
      <c r="H11" s="111">
        <v>181923</v>
      </c>
      <c r="I11" s="111">
        <v>1194953</v>
      </c>
      <c r="J11" s="111">
        <v>718449</v>
      </c>
      <c r="K11" s="111">
        <v>514638</v>
      </c>
      <c r="L11" s="111">
        <v>490892</v>
      </c>
      <c r="M11" s="111">
        <v>1022071663.3</v>
      </c>
      <c r="N11" s="111">
        <v>23184653.5</v>
      </c>
      <c r="O11" s="111">
        <v>422312939.80000001</v>
      </c>
      <c r="P11" s="111">
        <v>0</v>
      </c>
      <c r="Q11" s="111">
        <v>15367975.1</v>
      </c>
      <c r="R11" s="111">
        <v>271339900.60000002</v>
      </c>
      <c r="S11" s="111">
        <v>90876466.299999997</v>
      </c>
      <c r="T11" s="111">
        <v>37471521.700000003</v>
      </c>
      <c r="U11" s="111">
        <v>90537472.599999994</v>
      </c>
    </row>
    <row r="12" spans="1:21">
      <c r="A12" s="110" t="s">
        <v>298</v>
      </c>
      <c r="B12" s="111">
        <v>13025005</v>
      </c>
      <c r="C12" s="111">
        <v>2103477401.7</v>
      </c>
      <c r="D12" s="111">
        <v>4466485</v>
      </c>
      <c r="E12" s="111">
        <v>252620</v>
      </c>
      <c r="F12" s="111">
        <v>5024623</v>
      </c>
      <c r="G12" s="111">
        <v>0</v>
      </c>
      <c r="H12" s="111">
        <v>183485</v>
      </c>
      <c r="I12" s="111">
        <v>1211950</v>
      </c>
      <c r="J12" s="111">
        <v>773546</v>
      </c>
      <c r="K12" s="111">
        <v>551961</v>
      </c>
      <c r="L12" s="111">
        <v>529681</v>
      </c>
      <c r="M12" s="111">
        <v>1083778350.9000001</v>
      </c>
      <c r="N12" s="111">
        <v>27617235.300000001</v>
      </c>
      <c r="O12" s="111">
        <v>462210316.60000002</v>
      </c>
      <c r="P12" s="111">
        <v>0</v>
      </c>
      <c r="Q12" s="111">
        <v>15894235.800000001</v>
      </c>
      <c r="R12" s="111">
        <v>278921832.5</v>
      </c>
      <c r="S12" s="111">
        <v>97094973.799999997</v>
      </c>
      <c r="T12" s="111">
        <v>40110989.700000003</v>
      </c>
      <c r="U12" s="111">
        <v>97466959.099999994</v>
      </c>
    </row>
    <row r="13" spans="1:21">
      <c r="A13" s="110" t="s">
        <v>299</v>
      </c>
      <c r="B13" s="111">
        <v>11928672</v>
      </c>
      <c r="C13" s="111">
        <v>1930172000</v>
      </c>
      <c r="D13" s="111">
        <v>4164729</v>
      </c>
      <c r="E13" s="111">
        <v>227782</v>
      </c>
      <c r="F13" s="111">
        <v>4579232</v>
      </c>
      <c r="G13" s="111">
        <v>0</v>
      </c>
      <c r="H13" s="111">
        <v>167921</v>
      </c>
      <c r="I13" s="111">
        <v>1134905</v>
      </c>
      <c r="J13" s="111">
        <v>692920</v>
      </c>
      <c r="K13" s="111">
        <v>498286</v>
      </c>
      <c r="L13" s="111">
        <v>436268</v>
      </c>
      <c r="M13" s="111">
        <v>1008206360.9</v>
      </c>
      <c r="N13" s="111">
        <v>25044924.5</v>
      </c>
      <c r="O13" s="111">
        <v>415896355.30000001</v>
      </c>
      <c r="P13" s="111">
        <v>0</v>
      </c>
      <c r="Q13" s="111">
        <v>14478655</v>
      </c>
      <c r="R13" s="111">
        <v>264043264.30000001</v>
      </c>
      <c r="S13" s="111">
        <v>86021483.599999994</v>
      </c>
      <c r="T13" s="111">
        <v>35732022.299999997</v>
      </c>
      <c r="U13" s="111">
        <v>80413229.099999994</v>
      </c>
    </row>
    <row r="14" spans="1:21">
      <c r="A14" s="110" t="s">
        <v>300</v>
      </c>
      <c r="B14" s="111">
        <v>12140375</v>
      </c>
      <c r="C14" s="111">
        <v>1925427886.8</v>
      </c>
      <c r="D14" s="111">
        <v>4077024</v>
      </c>
      <c r="E14" s="111">
        <v>218062</v>
      </c>
      <c r="F14" s="111">
        <v>4799277</v>
      </c>
      <c r="G14" s="111">
        <v>40556</v>
      </c>
      <c r="H14" s="111">
        <v>174228</v>
      </c>
      <c r="I14" s="111">
        <v>1144556</v>
      </c>
      <c r="J14" s="111">
        <v>745936</v>
      </c>
      <c r="K14" s="111">
        <v>500043</v>
      </c>
      <c r="L14" s="111">
        <v>413936</v>
      </c>
      <c r="M14" s="111">
        <v>983008431.10000002</v>
      </c>
      <c r="N14" s="111">
        <v>22563556.800000001</v>
      </c>
      <c r="O14" s="111">
        <v>433150532.80000001</v>
      </c>
      <c r="P14" s="111">
        <v>1490969.6000000001</v>
      </c>
      <c r="Q14" s="111">
        <v>15000778.800000001</v>
      </c>
      <c r="R14" s="111">
        <v>265539544.90000001</v>
      </c>
      <c r="S14" s="111">
        <v>91735079.299999997</v>
      </c>
      <c r="T14" s="111">
        <v>36313439.100000001</v>
      </c>
      <c r="U14" s="111">
        <v>76286868.400000006</v>
      </c>
    </row>
    <row r="15" spans="1:21">
      <c r="A15" s="110" t="s">
        <v>301</v>
      </c>
      <c r="B15" s="111">
        <v>11440634</v>
      </c>
      <c r="C15" s="111">
        <v>1964384785.7</v>
      </c>
      <c r="D15" s="111">
        <v>4018154</v>
      </c>
      <c r="E15" s="111">
        <v>202175</v>
      </c>
      <c r="F15" s="111">
        <v>4313750</v>
      </c>
      <c r="G15" s="111">
        <v>28438</v>
      </c>
      <c r="H15" s="111">
        <v>156814</v>
      </c>
      <c r="I15" s="111">
        <v>1096801</v>
      </c>
      <c r="J15" s="111">
        <v>692534</v>
      </c>
      <c r="K15" s="111">
        <v>450117</v>
      </c>
      <c r="L15" s="111">
        <v>451959</v>
      </c>
      <c r="M15" s="111">
        <v>1017886439.1</v>
      </c>
      <c r="N15" s="111">
        <v>22317791.399999999</v>
      </c>
      <c r="O15" s="111">
        <v>436160959.80000001</v>
      </c>
      <c r="P15" s="111">
        <v>1036149.2</v>
      </c>
      <c r="Q15" s="111">
        <v>14341231.1</v>
      </c>
      <c r="R15" s="111">
        <v>258677873.59999999</v>
      </c>
      <c r="S15" s="111">
        <v>95577133.200000003</v>
      </c>
      <c r="T15" s="111">
        <v>32868552.800000001</v>
      </c>
      <c r="U15" s="111">
        <v>85133462.5</v>
      </c>
    </row>
    <row r="16" spans="1:21">
      <c r="A16" s="110" t="s">
        <v>302</v>
      </c>
      <c r="B16" s="111">
        <v>11247113</v>
      </c>
      <c r="C16" s="111">
        <v>1877881653.5999999</v>
      </c>
      <c r="D16" s="111">
        <v>3903336</v>
      </c>
      <c r="E16" s="111">
        <v>198212</v>
      </c>
      <c r="F16" s="111">
        <v>4266529</v>
      </c>
      <c r="G16" s="111">
        <v>29362</v>
      </c>
      <c r="H16" s="111">
        <v>156559</v>
      </c>
      <c r="I16" s="111">
        <v>1089269</v>
      </c>
      <c r="J16" s="111">
        <v>654183</v>
      </c>
      <c r="K16" s="111">
        <v>456346</v>
      </c>
      <c r="L16" s="111">
        <v>454270</v>
      </c>
      <c r="M16" s="111">
        <v>967805156.79999995</v>
      </c>
      <c r="N16" s="111">
        <v>21659934.399999999</v>
      </c>
      <c r="O16" s="111">
        <v>413072958.39999998</v>
      </c>
      <c r="P16" s="111">
        <v>1072041</v>
      </c>
      <c r="Q16" s="111">
        <v>13756480</v>
      </c>
      <c r="R16" s="111">
        <v>257415864.19999999</v>
      </c>
      <c r="S16" s="111">
        <v>83670460.400000006</v>
      </c>
      <c r="T16" s="111">
        <v>32581443.399999999</v>
      </c>
      <c r="U16" s="111">
        <v>86320419</v>
      </c>
    </row>
    <row r="18" spans="1:21">
      <c r="A18" s="187" t="s">
        <v>303</v>
      </c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44">
        <v>44452.597080150474</v>
      </c>
    </row>
  </sheetData>
  <mergeCells count="2">
    <mergeCell ref="A1:U1"/>
    <mergeCell ref="A18:T18"/>
  </mergeCells>
  <phoneticPr fontId="4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E2A7A-6E6F-4DCA-8607-AF0D94763B97}">
  <dimension ref="A1:U18"/>
  <sheetViews>
    <sheetView workbookViewId="0">
      <selection activeCell="E31" sqref="E31"/>
    </sheetView>
  </sheetViews>
  <sheetFormatPr defaultColWidth="19" defaultRowHeight="14.4"/>
  <cols>
    <col min="1" max="1" width="19" customWidth="1"/>
  </cols>
  <sheetData>
    <row r="1" spans="1:21">
      <c r="A1" s="185" t="s">
        <v>268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</row>
    <row r="3" spans="1:21">
      <c r="A3" s="109" t="s">
        <v>269</v>
      </c>
      <c r="B3" s="109" t="s">
        <v>270</v>
      </c>
      <c r="C3" s="109" t="s">
        <v>271</v>
      </c>
      <c r="D3" s="109" t="s">
        <v>272</v>
      </c>
      <c r="E3" s="109" t="s">
        <v>273</v>
      </c>
      <c r="F3" s="109" t="s">
        <v>274</v>
      </c>
      <c r="G3" s="109" t="s">
        <v>275</v>
      </c>
      <c r="H3" s="109" t="s">
        <v>276</v>
      </c>
      <c r="I3" s="109" t="s">
        <v>277</v>
      </c>
      <c r="J3" s="109" t="s">
        <v>278</v>
      </c>
      <c r="K3" s="109" t="s">
        <v>279</v>
      </c>
      <c r="L3" s="109" t="s">
        <v>280</v>
      </c>
      <c r="M3" s="109" t="s">
        <v>281</v>
      </c>
      <c r="N3" s="109" t="s">
        <v>282</v>
      </c>
      <c r="O3" s="109" t="s">
        <v>283</v>
      </c>
      <c r="P3" s="109" t="s">
        <v>284</v>
      </c>
      <c r="Q3" s="109" t="s">
        <v>285</v>
      </c>
      <c r="R3" s="109" t="s">
        <v>286</v>
      </c>
      <c r="S3" s="109" t="s">
        <v>287</v>
      </c>
      <c r="T3" s="109" t="s">
        <v>288</v>
      </c>
      <c r="U3" s="109" t="s">
        <v>289</v>
      </c>
    </row>
    <row r="4" spans="1:21">
      <c r="A4" s="110" t="s">
        <v>290</v>
      </c>
      <c r="B4" s="111">
        <v>89273008</v>
      </c>
      <c r="C4" s="111">
        <v>14078054915.200001</v>
      </c>
      <c r="D4" s="111">
        <v>29541047</v>
      </c>
      <c r="E4" s="111">
        <v>1279303</v>
      </c>
      <c r="F4" s="111">
        <v>33772319</v>
      </c>
      <c r="G4" s="111">
        <v>112056</v>
      </c>
      <c r="H4" s="111">
        <v>979721</v>
      </c>
      <c r="I4" s="111">
        <v>9838063</v>
      </c>
      <c r="J4" s="111">
        <v>5522650</v>
      </c>
      <c r="K4" s="111">
        <v>3876109</v>
      </c>
      <c r="L4" s="111">
        <v>4181270</v>
      </c>
      <c r="M4" s="111">
        <v>7042857647.3999996</v>
      </c>
      <c r="N4" s="111">
        <v>125521866.8</v>
      </c>
      <c r="O4" s="111">
        <v>2947627971.0999999</v>
      </c>
      <c r="P4" s="111">
        <v>1481025</v>
      </c>
      <c r="Q4" s="111">
        <v>86615548.299999997</v>
      </c>
      <c r="R4" s="111">
        <v>2168361019.9000001</v>
      </c>
      <c r="S4" s="111">
        <v>672684664.79999995</v>
      </c>
      <c r="T4" s="111">
        <v>272262613</v>
      </c>
      <c r="U4" s="111">
        <v>757759700.89999998</v>
      </c>
    </row>
    <row r="5" spans="1:21">
      <c r="A5" s="110" t="s">
        <v>304</v>
      </c>
      <c r="B5" s="111">
        <v>5506359</v>
      </c>
      <c r="C5" s="111">
        <v>823128516.5</v>
      </c>
      <c r="D5" s="111">
        <v>1854192</v>
      </c>
      <c r="E5" s="111">
        <v>71468</v>
      </c>
      <c r="F5" s="111">
        <v>2052036</v>
      </c>
      <c r="G5" s="111">
        <v>9124</v>
      </c>
      <c r="H5" s="111">
        <v>44824</v>
      </c>
      <c r="I5" s="111">
        <v>617532</v>
      </c>
      <c r="J5" s="111">
        <v>382599</v>
      </c>
      <c r="K5" s="111">
        <v>226418</v>
      </c>
      <c r="L5" s="111">
        <v>241894</v>
      </c>
      <c r="M5" s="111">
        <v>417780155.39999998</v>
      </c>
      <c r="N5" s="111">
        <v>6637197</v>
      </c>
      <c r="O5" s="111">
        <v>164389167.09999999</v>
      </c>
      <c r="P5" s="111">
        <v>118673</v>
      </c>
      <c r="Q5" s="111">
        <v>3805335.4</v>
      </c>
      <c r="R5" s="111">
        <v>129711575.5</v>
      </c>
      <c r="S5" s="111">
        <v>43288461.799999997</v>
      </c>
      <c r="T5" s="111">
        <v>15420101.4</v>
      </c>
      <c r="U5" s="111">
        <v>41858947.899999999</v>
      </c>
    </row>
    <row r="6" spans="1:21">
      <c r="A6" s="110" t="s">
        <v>305</v>
      </c>
      <c r="B6" s="111">
        <v>8454424</v>
      </c>
      <c r="C6" s="111">
        <v>1318819358.8</v>
      </c>
      <c r="D6" s="111">
        <v>2865735</v>
      </c>
      <c r="E6" s="111">
        <v>125805</v>
      </c>
      <c r="F6" s="111">
        <v>3151843</v>
      </c>
      <c r="G6" s="111">
        <v>11696</v>
      </c>
      <c r="H6" s="111">
        <v>75508</v>
      </c>
      <c r="I6" s="111">
        <v>939612</v>
      </c>
      <c r="J6" s="111">
        <v>537421</v>
      </c>
      <c r="K6" s="111">
        <v>351665</v>
      </c>
      <c r="L6" s="111">
        <v>387806</v>
      </c>
      <c r="M6" s="111">
        <v>669172199.5</v>
      </c>
      <c r="N6" s="111">
        <v>12136391.5</v>
      </c>
      <c r="O6" s="111">
        <v>266520477.19999999</v>
      </c>
      <c r="P6" s="111">
        <v>154521.4</v>
      </c>
      <c r="Q6" s="111">
        <v>6846132.7999999998</v>
      </c>
      <c r="R6" s="111">
        <v>204631554.40000001</v>
      </c>
      <c r="S6" s="111">
        <v>63955409.600000001</v>
      </c>
      <c r="T6" s="111">
        <v>24854951.800000001</v>
      </c>
      <c r="U6" s="111">
        <v>70408583.599999994</v>
      </c>
    </row>
    <row r="7" spans="1:21">
      <c r="A7" s="110" t="s">
        <v>306</v>
      </c>
      <c r="B7" s="111">
        <v>8264652</v>
      </c>
      <c r="C7" s="111">
        <v>1284842719.9000001</v>
      </c>
      <c r="D7" s="111">
        <v>2718686</v>
      </c>
      <c r="E7" s="111">
        <v>137014</v>
      </c>
      <c r="F7" s="111">
        <v>3111380</v>
      </c>
      <c r="G7" s="111">
        <v>11504</v>
      </c>
      <c r="H7" s="111">
        <v>87342</v>
      </c>
      <c r="I7" s="111">
        <v>899305</v>
      </c>
      <c r="J7" s="111">
        <v>533582</v>
      </c>
      <c r="K7" s="111">
        <v>365205</v>
      </c>
      <c r="L7" s="111">
        <v>389898</v>
      </c>
      <c r="M7" s="111">
        <v>637421390.70000005</v>
      </c>
      <c r="N7" s="111">
        <v>13526308.5</v>
      </c>
      <c r="O7" s="111">
        <v>267340234.19999999</v>
      </c>
      <c r="P7" s="111">
        <v>151812.6</v>
      </c>
      <c r="Q7" s="111">
        <v>8038032.2000000002</v>
      </c>
      <c r="R7" s="111">
        <v>197320885.59999999</v>
      </c>
      <c r="S7" s="111">
        <v>64146154.899999999</v>
      </c>
      <c r="T7" s="111">
        <v>26189217</v>
      </c>
      <c r="U7" s="111">
        <v>70505175.200000003</v>
      </c>
    </row>
    <row r="8" spans="1:21">
      <c r="A8" s="110" t="s">
        <v>307</v>
      </c>
      <c r="B8" s="111">
        <v>6066458</v>
      </c>
      <c r="C8" s="111">
        <v>898323839.5</v>
      </c>
      <c r="D8" s="111">
        <v>1917232</v>
      </c>
      <c r="E8" s="111">
        <v>83138</v>
      </c>
      <c r="F8" s="111">
        <v>2386562</v>
      </c>
      <c r="G8" s="111">
        <v>7925</v>
      </c>
      <c r="H8" s="111">
        <v>60784</v>
      </c>
      <c r="I8" s="111">
        <v>668446</v>
      </c>
      <c r="J8" s="111">
        <v>388059</v>
      </c>
      <c r="K8" s="111">
        <v>266241</v>
      </c>
      <c r="L8" s="111">
        <v>275633</v>
      </c>
      <c r="M8" s="111">
        <v>434046590.10000002</v>
      </c>
      <c r="N8" s="111">
        <v>7815729.0999999996</v>
      </c>
      <c r="O8" s="111">
        <v>197057005.80000001</v>
      </c>
      <c r="P8" s="111">
        <v>103619.4</v>
      </c>
      <c r="Q8" s="111">
        <v>5329507.8</v>
      </c>
      <c r="R8" s="111">
        <v>142394880.90000001</v>
      </c>
      <c r="S8" s="111">
        <v>44081850.5</v>
      </c>
      <c r="T8" s="111">
        <v>18377774.199999999</v>
      </c>
      <c r="U8" s="111">
        <v>48881072.700000003</v>
      </c>
    </row>
    <row r="9" spans="1:21">
      <c r="A9" s="110" t="s">
        <v>308</v>
      </c>
      <c r="B9" s="111">
        <v>7927771</v>
      </c>
      <c r="C9" s="111">
        <v>1310277042.2</v>
      </c>
      <c r="D9" s="111">
        <v>2739187</v>
      </c>
      <c r="E9" s="111">
        <v>116068</v>
      </c>
      <c r="F9" s="111">
        <v>2849407</v>
      </c>
      <c r="G9" s="111">
        <v>9001</v>
      </c>
      <c r="H9" s="111">
        <v>40192</v>
      </c>
      <c r="I9" s="111">
        <v>866693</v>
      </c>
      <c r="J9" s="111">
        <v>510458</v>
      </c>
      <c r="K9" s="111">
        <v>347491</v>
      </c>
      <c r="L9" s="111">
        <v>434118</v>
      </c>
      <c r="M9" s="111">
        <v>676744063.60000002</v>
      </c>
      <c r="N9" s="111">
        <v>11463296.9</v>
      </c>
      <c r="O9" s="111">
        <v>254377659.90000001</v>
      </c>
      <c r="P9" s="111">
        <v>120234.4</v>
      </c>
      <c r="Q9" s="111">
        <v>3097609.6</v>
      </c>
      <c r="R9" s="111">
        <v>193732096.69999999</v>
      </c>
      <c r="S9" s="111">
        <v>64754190.399999999</v>
      </c>
      <c r="T9" s="111">
        <v>24309270.399999999</v>
      </c>
      <c r="U9" s="111">
        <v>81391093.299999997</v>
      </c>
    </row>
    <row r="10" spans="1:21">
      <c r="A10" s="110" t="s">
        <v>309</v>
      </c>
      <c r="B10" s="111">
        <v>8633421</v>
      </c>
      <c r="C10" s="111">
        <v>1370059886</v>
      </c>
      <c r="D10" s="111">
        <v>2906385</v>
      </c>
      <c r="E10" s="111">
        <v>114202</v>
      </c>
      <c r="F10" s="111">
        <v>3204130</v>
      </c>
      <c r="G10" s="111">
        <v>8773</v>
      </c>
      <c r="H10" s="111">
        <v>83632</v>
      </c>
      <c r="I10" s="111">
        <v>932880</v>
      </c>
      <c r="J10" s="111">
        <v>517343</v>
      </c>
      <c r="K10" s="111">
        <v>405811</v>
      </c>
      <c r="L10" s="111">
        <v>446086</v>
      </c>
      <c r="M10" s="111">
        <v>697428862.60000002</v>
      </c>
      <c r="N10" s="111">
        <v>10630183.6</v>
      </c>
      <c r="O10" s="111">
        <v>275822761.19999999</v>
      </c>
      <c r="P10" s="111">
        <v>117394.6</v>
      </c>
      <c r="Q10" s="111">
        <v>7351801.7000000002</v>
      </c>
      <c r="R10" s="111">
        <v>205888779.90000001</v>
      </c>
      <c r="S10" s="111">
        <v>62032115.700000003</v>
      </c>
      <c r="T10" s="111">
        <v>28274685</v>
      </c>
      <c r="U10" s="111">
        <v>82244470.700000003</v>
      </c>
    </row>
    <row r="11" spans="1:21">
      <c r="A11" s="110" t="s">
        <v>310</v>
      </c>
      <c r="B11" s="111">
        <v>7812478</v>
      </c>
      <c r="C11" s="111">
        <v>1209413392.9000001</v>
      </c>
      <c r="D11" s="111">
        <v>2557280</v>
      </c>
      <c r="E11" s="111">
        <v>100344</v>
      </c>
      <c r="F11" s="111">
        <v>3008035</v>
      </c>
      <c r="G11" s="111">
        <v>10258</v>
      </c>
      <c r="H11" s="111">
        <v>81027</v>
      </c>
      <c r="I11" s="111">
        <v>866980</v>
      </c>
      <c r="J11" s="111">
        <v>468981</v>
      </c>
      <c r="K11" s="111">
        <v>330647</v>
      </c>
      <c r="L11" s="111">
        <v>375124</v>
      </c>
      <c r="M11" s="111">
        <v>599887827.29999995</v>
      </c>
      <c r="N11" s="111">
        <v>9167126.4000000004</v>
      </c>
      <c r="O11" s="111">
        <v>256266409.69999999</v>
      </c>
      <c r="P11" s="111">
        <v>135103.6</v>
      </c>
      <c r="Q11" s="111">
        <v>7152823.7999999998</v>
      </c>
      <c r="R11" s="111">
        <v>189693415.30000001</v>
      </c>
      <c r="S11" s="111">
        <v>55896072.5</v>
      </c>
      <c r="T11" s="111">
        <v>23108578.5</v>
      </c>
      <c r="U11" s="111">
        <v>67844595.799999997</v>
      </c>
    </row>
    <row r="12" spans="1:21">
      <c r="A12" s="110" t="s">
        <v>311</v>
      </c>
      <c r="B12" s="111">
        <v>7875367</v>
      </c>
      <c r="C12" s="111">
        <v>1242815064.8</v>
      </c>
      <c r="D12" s="111">
        <v>2502874</v>
      </c>
      <c r="E12" s="111">
        <v>104524</v>
      </c>
      <c r="F12" s="111">
        <v>3050766</v>
      </c>
      <c r="G12" s="111">
        <v>10329</v>
      </c>
      <c r="H12" s="111">
        <v>112783</v>
      </c>
      <c r="I12" s="111">
        <v>883859</v>
      </c>
      <c r="J12" s="111">
        <v>487143</v>
      </c>
      <c r="K12" s="111">
        <v>340474</v>
      </c>
      <c r="L12" s="111">
        <v>368350</v>
      </c>
      <c r="M12" s="111">
        <v>598864137.89999998</v>
      </c>
      <c r="N12" s="111">
        <v>9953657.5</v>
      </c>
      <c r="O12" s="111">
        <v>272243391.5</v>
      </c>
      <c r="P12" s="111">
        <v>136143.20000000001</v>
      </c>
      <c r="Q12" s="111">
        <v>10449289.9</v>
      </c>
      <c r="R12" s="111">
        <v>198522853.19999999</v>
      </c>
      <c r="S12" s="111">
        <v>60760661.899999999</v>
      </c>
      <c r="T12" s="111">
        <v>24400330.600000001</v>
      </c>
      <c r="U12" s="111">
        <v>67214742.099999994</v>
      </c>
    </row>
    <row r="13" spans="1:21">
      <c r="A13" s="110" t="s">
        <v>312</v>
      </c>
      <c r="B13" s="111">
        <v>5577505</v>
      </c>
      <c r="C13" s="111">
        <v>843809408.20000005</v>
      </c>
      <c r="D13" s="111">
        <v>1682897</v>
      </c>
      <c r="E13" s="111">
        <v>70916</v>
      </c>
      <c r="F13" s="111">
        <v>2238353</v>
      </c>
      <c r="G13" s="111">
        <v>7576</v>
      </c>
      <c r="H13" s="111">
        <v>94264</v>
      </c>
      <c r="I13" s="111">
        <v>621075</v>
      </c>
      <c r="J13" s="111">
        <v>326079</v>
      </c>
      <c r="K13" s="111">
        <v>260716</v>
      </c>
      <c r="L13" s="111">
        <v>256577</v>
      </c>
      <c r="M13" s="111">
        <v>395969481.69999999</v>
      </c>
      <c r="N13" s="111">
        <v>6498670.5999999996</v>
      </c>
      <c r="O13" s="111">
        <v>192857349.40000001</v>
      </c>
      <c r="P13" s="111">
        <v>98984.8</v>
      </c>
      <c r="Q13" s="111">
        <v>8228921.7000000002</v>
      </c>
      <c r="R13" s="111">
        <v>137083173</v>
      </c>
      <c r="S13" s="111">
        <v>38794949.899999999</v>
      </c>
      <c r="T13" s="111">
        <v>18223241.899999999</v>
      </c>
      <c r="U13" s="111">
        <v>45702127.200000003</v>
      </c>
    </row>
    <row r="14" spans="1:21">
      <c r="A14" s="110" t="s">
        <v>313</v>
      </c>
      <c r="B14" s="111">
        <v>4085433</v>
      </c>
      <c r="C14" s="111">
        <v>589485639.10000002</v>
      </c>
      <c r="D14" s="111">
        <v>1170072</v>
      </c>
      <c r="E14" s="111">
        <v>51355</v>
      </c>
      <c r="F14" s="111">
        <v>1675193</v>
      </c>
      <c r="G14" s="111">
        <v>6597</v>
      </c>
      <c r="H14" s="111">
        <v>69633</v>
      </c>
      <c r="I14" s="111">
        <v>462835</v>
      </c>
      <c r="J14" s="111">
        <v>228609</v>
      </c>
      <c r="K14" s="111">
        <v>222315</v>
      </c>
      <c r="L14" s="111">
        <v>194264</v>
      </c>
      <c r="M14" s="111">
        <v>265927665.59999999</v>
      </c>
      <c r="N14" s="111">
        <v>4499979.9000000004</v>
      </c>
      <c r="O14" s="111">
        <v>137681761.5</v>
      </c>
      <c r="P14" s="111">
        <v>86990</v>
      </c>
      <c r="Q14" s="111">
        <v>5766035</v>
      </c>
      <c r="R14" s="111">
        <v>100589936.59999999</v>
      </c>
      <c r="S14" s="111">
        <v>25611289.100000001</v>
      </c>
      <c r="T14" s="111">
        <v>14951865.4</v>
      </c>
      <c r="U14" s="111">
        <v>34318056</v>
      </c>
    </row>
    <row r="15" spans="1:21">
      <c r="A15" s="110" t="s">
        <v>314</v>
      </c>
      <c r="B15" s="111">
        <v>7039739</v>
      </c>
      <c r="C15" s="111">
        <v>1116088292</v>
      </c>
      <c r="D15" s="111">
        <v>2297164</v>
      </c>
      <c r="E15" s="111">
        <v>94712</v>
      </c>
      <c r="F15" s="111">
        <v>2722161</v>
      </c>
      <c r="G15" s="111">
        <v>8118</v>
      </c>
      <c r="H15" s="111">
        <v>83853</v>
      </c>
      <c r="I15" s="111">
        <v>809764</v>
      </c>
      <c r="J15" s="111">
        <v>405406</v>
      </c>
      <c r="K15" s="111">
        <v>306938</v>
      </c>
      <c r="L15" s="111">
        <v>295660</v>
      </c>
      <c r="M15" s="111">
        <v>556517437</v>
      </c>
      <c r="N15" s="111">
        <v>8956982</v>
      </c>
      <c r="O15" s="111">
        <v>238481076.90000001</v>
      </c>
      <c r="P15" s="111">
        <v>107405.2</v>
      </c>
      <c r="Q15" s="111">
        <v>7050772.0999999996</v>
      </c>
      <c r="R15" s="111">
        <v>182118038.40000001</v>
      </c>
      <c r="S15" s="111">
        <v>48666341</v>
      </c>
      <c r="T15" s="111">
        <v>21260278.600000001</v>
      </c>
      <c r="U15" s="111">
        <v>52719219.799999997</v>
      </c>
    </row>
    <row r="16" spans="1:21">
      <c r="A16" s="110" t="s">
        <v>315</v>
      </c>
      <c r="B16" s="111">
        <v>12029401</v>
      </c>
      <c r="C16" s="111">
        <v>2070991755.3</v>
      </c>
      <c r="D16" s="111">
        <v>4329343</v>
      </c>
      <c r="E16" s="111">
        <v>209757</v>
      </c>
      <c r="F16" s="111">
        <v>4322453</v>
      </c>
      <c r="G16" s="111">
        <v>11155</v>
      </c>
      <c r="H16" s="111">
        <v>145879</v>
      </c>
      <c r="I16" s="111">
        <v>1269082</v>
      </c>
      <c r="J16" s="111">
        <v>736970</v>
      </c>
      <c r="K16" s="111">
        <v>452188</v>
      </c>
      <c r="L16" s="111">
        <v>515860</v>
      </c>
      <c r="M16" s="111">
        <v>1093097836</v>
      </c>
      <c r="N16" s="111">
        <v>24236343.800000001</v>
      </c>
      <c r="O16" s="111">
        <v>424590676.69999999</v>
      </c>
      <c r="P16" s="111">
        <v>150142.79999999999</v>
      </c>
      <c r="Q16" s="111">
        <v>13499286.300000001</v>
      </c>
      <c r="R16" s="111">
        <v>286673830.39999998</v>
      </c>
      <c r="S16" s="111">
        <v>100697167.5</v>
      </c>
      <c r="T16" s="111">
        <v>32892318.199999999</v>
      </c>
      <c r="U16" s="111">
        <v>94671616.599999994</v>
      </c>
    </row>
    <row r="18" spans="1:21">
      <c r="A18" s="187" t="s">
        <v>303</v>
      </c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44">
        <v>44452.596946840291</v>
      </c>
    </row>
  </sheetData>
  <mergeCells count="2">
    <mergeCell ref="A1:U1"/>
    <mergeCell ref="A18:T18"/>
  </mergeCells>
  <phoneticPr fontId="4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86D56-DDBD-47AA-8D70-EFF36C2E19E2}">
  <dimension ref="A1:U13"/>
  <sheetViews>
    <sheetView workbookViewId="0">
      <selection activeCell="F32" sqref="F32"/>
    </sheetView>
  </sheetViews>
  <sheetFormatPr defaultColWidth="19" defaultRowHeight="14.4"/>
  <cols>
    <col min="1" max="1" width="19" customWidth="1"/>
  </cols>
  <sheetData>
    <row r="1" spans="1:21">
      <c r="A1" s="185" t="s">
        <v>268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</row>
    <row r="3" spans="1:21">
      <c r="A3" s="109" t="s">
        <v>269</v>
      </c>
      <c r="B3" s="109" t="s">
        <v>270</v>
      </c>
      <c r="C3" s="109" t="s">
        <v>271</v>
      </c>
      <c r="D3" s="109" t="s">
        <v>272</v>
      </c>
      <c r="E3" s="109" t="s">
        <v>273</v>
      </c>
      <c r="F3" s="109" t="s">
        <v>274</v>
      </c>
      <c r="G3" s="109" t="s">
        <v>275</v>
      </c>
      <c r="H3" s="109" t="s">
        <v>276</v>
      </c>
      <c r="I3" s="109" t="s">
        <v>277</v>
      </c>
      <c r="J3" s="109" t="s">
        <v>278</v>
      </c>
      <c r="K3" s="109" t="s">
        <v>279</v>
      </c>
      <c r="L3" s="109" t="s">
        <v>280</v>
      </c>
      <c r="M3" s="109" t="s">
        <v>281</v>
      </c>
      <c r="N3" s="109" t="s">
        <v>282</v>
      </c>
      <c r="O3" s="109" t="s">
        <v>283</v>
      </c>
      <c r="P3" s="109" t="s">
        <v>284</v>
      </c>
      <c r="Q3" s="109" t="s">
        <v>285</v>
      </c>
      <c r="R3" s="109" t="s">
        <v>286</v>
      </c>
      <c r="S3" s="109" t="s">
        <v>287</v>
      </c>
      <c r="T3" s="109" t="s">
        <v>288</v>
      </c>
      <c r="U3" s="109" t="s">
        <v>289</v>
      </c>
    </row>
    <row r="4" spans="1:21">
      <c r="A4" s="110" t="s">
        <v>290</v>
      </c>
      <c r="B4" s="111">
        <v>53490530</v>
      </c>
      <c r="C4" s="111">
        <v>8316622244.8000002</v>
      </c>
      <c r="D4" s="111">
        <v>17951420</v>
      </c>
      <c r="E4" s="111">
        <v>729978</v>
      </c>
      <c r="F4" s="111">
        <v>19600645</v>
      </c>
      <c r="G4" s="111">
        <v>82994</v>
      </c>
      <c r="H4" s="111">
        <v>302916</v>
      </c>
      <c r="I4" s="111">
        <v>5965781</v>
      </c>
      <c r="J4" s="111">
        <v>3267845</v>
      </c>
      <c r="K4" s="111">
        <v>2222522</v>
      </c>
      <c r="L4" s="111">
        <v>2629453</v>
      </c>
      <c r="M4" s="111">
        <v>4168533768.8000002</v>
      </c>
      <c r="N4" s="111">
        <v>69015688.799999997</v>
      </c>
      <c r="O4" s="111">
        <v>1649097565.4000001</v>
      </c>
      <c r="P4" s="111">
        <v>1092481.3999999999</v>
      </c>
      <c r="Q4" s="111">
        <v>20942675.800000001</v>
      </c>
      <c r="R4" s="111">
        <v>1282308430.9000001</v>
      </c>
      <c r="S4" s="111">
        <v>399974481.19999999</v>
      </c>
      <c r="T4" s="111">
        <v>157088856.80000001</v>
      </c>
      <c r="U4" s="111">
        <v>472057331.80000001</v>
      </c>
    </row>
    <row r="5" spans="1:21">
      <c r="A5" s="110" t="s">
        <v>316</v>
      </c>
      <c r="B5" s="111">
        <v>7666397</v>
      </c>
      <c r="C5" s="111">
        <v>1189495157.2</v>
      </c>
      <c r="D5" s="111">
        <v>2503479</v>
      </c>
      <c r="E5" s="111">
        <v>102179</v>
      </c>
      <c r="F5" s="111">
        <v>2839927</v>
      </c>
      <c r="G5" s="111">
        <v>11862</v>
      </c>
      <c r="H5" s="111">
        <v>44852</v>
      </c>
      <c r="I5" s="111">
        <v>878310</v>
      </c>
      <c r="J5" s="111">
        <v>446485</v>
      </c>
      <c r="K5" s="111">
        <v>321798</v>
      </c>
      <c r="L5" s="111">
        <v>409261</v>
      </c>
      <c r="M5" s="111">
        <v>581038162.60000002</v>
      </c>
      <c r="N5" s="111">
        <v>9622795.3000000007</v>
      </c>
      <c r="O5" s="111">
        <v>239428825.90000001</v>
      </c>
      <c r="P5" s="111">
        <v>157533.4</v>
      </c>
      <c r="Q5" s="111">
        <v>3012548.2</v>
      </c>
      <c r="R5" s="111">
        <v>189699079.69999999</v>
      </c>
      <c r="S5" s="111">
        <v>55491690</v>
      </c>
      <c r="T5" s="111">
        <v>22405068.600000001</v>
      </c>
      <c r="U5" s="111">
        <v>74371563.5</v>
      </c>
    </row>
    <row r="6" spans="1:21">
      <c r="A6" s="110" t="s">
        <v>317</v>
      </c>
      <c r="B6" s="111">
        <v>8575737</v>
      </c>
      <c r="C6" s="111">
        <v>1353595335</v>
      </c>
      <c r="D6" s="111">
        <v>2924568</v>
      </c>
      <c r="E6" s="111">
        <v>114429</v>
      </c>
      <c r="F6" s="111">
        <v>3070452</v>
      </c>
      <c r="G6" s="111">
        <v>13310</v>
      </c>
      <c r="H6" s="111">
        <v>51043</v>
      </c>
      <c r="I6" s="111">
        <v>968406</v>
      </c>
      <c r="J6" s="111">
        <v>507687</v>
      </c>
      <c r="K6" s="111">
        <v>359601</v>
      </c>
      <c r="L6" s="111">
        <v>441685</v>
      </c>
      <c r="M6" s="111">
        <v>684813834.10000002</v>
      </c>
      <c r="N6" s="111">
        <v>10784535.699999999</v>
      </c>
      <c r="O6" s="111">
        <v>259136216.69999999</v>
      </c>
      <c r="P6" s="111">
        <v>174602.6</v>
      </c>
      <c r="Q6" s="111">
        <v>3431781</v>
      </c>
      <c r="R6" s="111">
        <v>210082356.69999999</v>
      </c>
      <c r="S6" s="111">
        <v>63180581</v>
      </c>
      <c r="T6" s="111">
        <v>25382211</v>
      </c>
      <c r="U6" s="111">
        <v>80112573.900000006</v>
      </c>
    </row>
    <row r="7" spans="1:21">
      <c r="A7" s="110" t="s">
        <v>318</v>
      </c>
      <c r="B7" s="111">
        <v>8972979</v>
      </c>
      <c r="C7" s="111">
        <v>1411608122.9000001</v>
      </c>
      <c r="D7" s="111">
        <v>3016517</v>
      </c>
      <c r="E7" s="111">
        <v>122680</v>
      </c>
      <c r="F7" s="111">
        <v>3253476</v>
      </c>
      <c r="G7" s="111">
        <v>13674</v>
      </c>
      <c r="H7" s="111">
        <v>49106</v>
      </c>
      <c r="I7" s="111">
        <v>1001172</v>
      </c>
      <c r="J7" s="111">
        <v>555709</v>
      </c>
      <c r="K7" s="111">
        <v>385498</v>
      </c>
      <c r="L7" s="111">
        <v>444374</v>
      </c>
      <c r="M7" s="111">
        <v>705624309.10000002</v>
      </c>
      <c r="N7" s="111">
        <v>11666111.5</v>
      </c>
      <c r="O7" s="111">
        <v>278303358.80000001</v>
      </c>
      <c r="P7" s="111">
        <v>181274.6</v>
      </c>
      <c r="Q7" s="111">
        <v>3469731.8</v>
      </c>
      <c r="R7" s="111">
        <v>217237382</v>
      </c>
      <c r="S7" s="111">
        <v>69121438.400000006</v>
      </c>
      <c r="T7" s="111">
        <v>27979320</v>
      </c>
      <c r="U7" s="111">
        <v>80470850.200000003</v>
      </c>
    </row>
    <row r="8" spans="1:21">
      <c r="A8" s="110" t="s">
        <v>319</v>
      </c>
      <c r="B8" s="111">
        <v>8161437</v>
      </c>
      <c r="C8" s="111">
        <v>1253571981.7</v>
      </c>
      <c r="D8" s="111">
        <v>2700723</v>
      </c>
      <c r="E8" s="111">
        <v>109416</v>
      </c>
      <c r="F8" s="111">
        <v>3031443</v>
      </c>
      <c r="G8" s="111">
        <v>12842</v>
      </c>
      <c r="H8" s="111">
        <v>44660</v>
      </c>
      <c r="I8" s="111">
        <v>920809</v>
      </c>
      <c r="J8" s="111">
        <v>493479</v>
      </c>
      <c r="K8" s="111">
        <v>347599</v>
      </c>
      <c r="L8" s="111">
        <v>387838</v>
      </c>
      <c r="M8" s="111">
        <v>622178900.39999998</v>
      </c>
      <c r="N8" s="111">
        <v>10187504.800000001</v>
      </c>
      <c r="O8" s="111">
        <v>251314160.19999999</v>
      </c>
      <c r="P8" s="111">
        <v>169539</v>
      </c>
      <c r="Q8" s="111">
        <v>3143341</v>
      </c>
      <c r="R8" s="111">
        <v>198380877.40000001</v>
      </c>
      <c r="S8" s="111">
        <v>59346740.600000001</v>
      </c>
      <c r="T8" s="111">
        <v>24678070.399999999</v>
      </c>
      <c r="U8" s="111">
        <v>69209040.599999994</v>
      </c>
    </row>
    <row r="9" spans="1:21">
      <c r="A9" s="110" t="s">
        <v>320</v>
      </c>
      <c r="B9" s="111">
        <v>7992796</v>
      </c>
      <c r="C9" s="111">
        <v>1213670425.5</v>
      </c>
      <c r="D9" s="111">
        <v>2596938</v>
      </c>
      <c r="E9" s="111">
        <v>103384</v>
      </c>
      <c r="F9" s="111">
        <v>3044596</v>
      </c>
      <c r="G9" s="111">
        <v>11782</v>
      </c>
      <c r="H9" s="111">
        <v>46858</v>
      </c>
      <c r="I9" s="111">
        <v>900559</v>
      </c>
      <c r="J9" s="111">
        <v>487964</v>
      </c>
      <c r="K9" s="111">
        <v>329788</v>
      </c>
      <c r="L9" s="111">
        <v>365851</v>
      </c>
      <c r="M9" s="111">
        <v>595452882.60000002</v>
      </c>
      <c r="N9" s="111">
        <v>9581050.4000000004</v>
      </c>
      <c r="O9" s="111">
        <v>252005687.5</v>
      </c>
      <c r="P9" s="111">
        <v>154881.20000000001</v>
      </c>
      <c r="Q9" s="111">
        <v>3219424.5</v>
      </c>
      <c r="R9" s="111">
        <v>193002243.59999999</v>
      </c>
      <c r="S9" s="111">
        <v>58015486</v>
      </c>
      <c r="T9" s="111">
        <v>23320786</v>
      </c>
      <c r="U9" s="111">
        <v>65194438.799999997</v>
      </c>
    </row>
    <row r="10" spans="1:21">
      <c r="A10" s="110" t="s">
        <v>321</v>
      </c>
      <c r="B10" s="111">
        <v>6477296</v>
      </c>
      <c r="C10" s="111">
        <v>1027545275.2</v>
      </c>
      <c r="D10" s="111">
        <v>2220989</v>
      </c>
      <c r="E10" s="111">
        <v>96552</v>
      </c>
      <c r="F10" s="111">
        <v>2336534</v>
      </c>
      <c r="G10" s="111">
        <v>9600</v>
      </c>
      <c r="H10" s="111">
        <v>36016</v>
      </c>
      <c r="I10" s="111">
        <v>698394</v>
      </c>
      <c r="J10" s="111">
        <v>409771</v>
      </c>
      <c r="K10" s="111">
        <v>257366</v>
      </c>
      <c r="L10" s="111">
        <v>325304</v>
      </c>
      <c r="M10" s="111">
        <v>524065821.69999999</v>
      </c>
      <c r="N10" s="111">
        <v>9657590.9000000004</v>
      </c>
      <c r="O10" s="111">
        <v>202123883</v>
      </c>
      <c r="P10" s="111">
        <v>126433.4</v>
      </c>
      <c r="Q10" s="111">
        <v>2462893.9</v>
      </c>
      <c r="R10" s="111">
        <v>149863118.69999999</v>
      </c>
      <c r="S10" s="111">
        <v>51217318.299999997</v>
      </c>
      <c r="T10" s="111">
        <v>18139830.100000001</v>
      </c>
      <c r="U10" s="111">
        <v>58815380.200000003</v>
      </c>
    </row>
    <row r="11" spans="1:21">
      <c r="A11" s="110" t="s">
        <v>322</v>
      </c>
      <c r="B11" s="111">
        <v>5643888</v>
      </c>
      <c r="C11" s="111">
        <v>867135947.29999995</v>
      </c>
      <c r="D11" s="111">
        <v>1988206</v>
      </c>
      <c r="E11" s="111">
        <v>81338</v>
      </c>
      <c r="F11" s="111">
        <v>2024217</v>
      </c>
      <c r="G11" s="111">
        <v>9924</v>
      </c>
      <c r="H11" s="111">
        <v>30381</v>
      </c>
      <c r="I11" s="111">
        <v>598131</v>
      </c>
      <c r="J11" s="111">
        <v>366750</v>
      </c>
      <c r="K11" s="111">
        <v>220872</v>
      </c>
      <c r="L11" s="111">
        <v>255140</v>
      </c>
      <c r="M11" s="111">
        <v>455359858.30000001</v>
      </c>
      <c r="N11" s="111">
        <v>7516100.2000000002</v>
      </c>
      <c r="O11" s="111">
        <v>166785433.30000001</v>
      </c>
      <c r="P11" s="111">
        <v>128217.2</v>
      </c>
      <c r="Q11" s="111">
        <v>2202955.4</v>
      </c>
      <c r="R11" s="111">
        <v>124043372.8</v>
      </c>
      <c r="S11" s="111">
        <v>43601226.899999999</v>
      </c>
      <c r="T11" s="111">
        <v>15183570.699999999</v>
      </c>
      <c r="U11" s="111">
        <v>43883484.600000001</v>
      </c>
    </row>
    <row r="13" spans="1:21">
      <c r="A13" s="187" t="s">
        <v>303</v>
      </c>
      <c r="B13" s="186"/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44">
        <v>44452.596521967585</v>
      </c>
    </row>
  </sheetData>
  <mergeCells count="2">
    <mergeCell ref="A1:U1"/>
    <mergeCell ref="A13:T13"/>
  </mergeCells>
  <phoneticPr fontId="4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BBFB-5EFF-42C1-AA1C-30CF167DCF6A}">
  <dimension ref="A1:K20"/>
  <sheetViews>
    <sheetView workbookViewId="0">
      <selection activeCell="C25" sqref="C25"/>
    </sheetView>
  </sheetViews>
  <sheetFormatPr defaultColWidth="19" defaultRowHeight="14.4"/>
  <cols>
    <col min="1" max="1" width="19" customWidth="1"/>
  </cols>
  <sheetData>
    <row r="1" spans="1:11">
      <c r="A1" s="185" t="s">
        <v>323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</row>
    <row r="3" spans="1:11">
      <c r="A3" s="109" t="s">
        <v>324</v>
      </c>
      <c r="B3" s="109" t="s">
        <v>58</v>
      </c>
      <c r="C3" s="109" t="s">
        <v>325</v>
      </c>
      <c r="D3" s="109" t="s">
        <v>326</v>
      </c>
      <c r="E3" s="109" t="s">
        <v>327</v>
      </c>
      <c r="F3" s="109" t="s">
        <v>328</v>
      </c>
      <c r="G3" s="109" t="s">
        <v>329</v>
      </c>
      <c r="H3" s="109" t="s">
        <v>330</v>
      </c>
      <c r="I3" s="109" t="s">
        <v>331</v>
      </c>
      <c r="J3" s="109" t="s">
        <v>332</v>
      </c>
      <c r="K3" s="109" t="s">
        <v>333</v>
      </c>
    </row>
    <row r="4" spans="1:11">
      <c r="A4" s="109" t="s">
        <v>324</v>
      </c>
      <c r="B4" s="109" t="s">
        <v>334</v>
      </c>
      <c r="C4" s="109" t="s">
        <v>335</v>
      </c>
      <c r="D4" s="109" t="s">
        <v>336</v>
      </c>
      <c r="E4" s="109" t="s">
        <v>337</v>
      </c>
      <c r="F4" s="109" t="s">
        <v>338</v>
      </c>
      <c r="G4" s="109" t="s">
        <v>339</v>
      </c>
      <c r="H4" s="109" t="s">
        <v>340</v>
      </c>
      <c r="I4" s="109" t="s">
        <v>341</v>
      </c>
      <c r="J4" s="109" t="s">
        <v>341</v>
      </c>
      <c r="K4" s="109" t="s">
        <v>342</v>
      </c>
    </row>
    <row r="5" spans="1:11">
      <c r="A5" s="110" t="s">
        <v>58</v>
      </c>
      <c r="B5" s="111">
        <v>28676683</v>
      </c>
      <c r="C5" s="111">
        <v>9473824</v>
      </c>
      <c r="D5" s="111">
        <v>11328900</v>
      </c>
      <c r="E5" s="111">
        <v>1589208</v>
      </c>
      <c r="F5" s="111">
        <v>165481</v>
      </c>
      <c r="G5" s="111">
        <v>1276326</v>
      </c>
      <c r="H5" s="111">
        <v>2516072</v>
      </c>
      <c r="I5" s="111">
        <v>1801165</v>
      </c>
      <c r="J5" s="111">
        <v>105958</v>
      </c>
      <c r="K5" s="111">
        <v>419749</v>
      </c>
    </row>
    <row r="6" spans="1:11">
      <c r="A6" s="112">
        <v>201912</v>
      </c>
      <c r="B6" s="111">
        <v>2484700</v>
      </c>
      <c r="C6" s="111">
        <v>826254</v>
      </c>
      <c r="D6" s="111">
        <v>984672</v>
      </c>
      <c r="E6" s="111">
        <v>136000</v>
      </c>
      <c r="F6" s="111">
        <v>17657</v>
      </c>
      <c r="G6" s="111">
        <v>106683</v>
      </c>
      <c r="H6" s="111">
        <v>209723</v>
      </c>
      <c r="I6" s="111">
        <v>166978</v>
      </c>
      <c r="J6" s="111">
        <v>10261</v>
      </c>
      <c r="K6" s="111">
        <v>26472</v>
      </c>
    </row>
    <row r="7" spans="1:11">
      <c r="A7" s="112">
        <v>201911</v>
      </c>
      <c r="B7" s="111">
        <v>2257740</v>
      </c>
      <c r="C7" s="111">
        <v>703115</v>
      </c>
      <c r="D7" s="111">
        <v>945919</v>
      </c>
      <c r="E7" s="111">
        <v>119523</v>
      </c>
      <c r="F7" s="111">
        <v>17693</v>
      </c>
      <c r="G7" s="111">
        <v>100887</v>
      </c>
      <c r="H7" s="111">
        <v>185026</v>
      </c>
      <c r="I7" s="111">
        <v>153249</v>
      </c>
      <c r="J7" s="111">
        <v>3054</v>
      </c>
      <c r="K7" s="111">
        <v>29274</v>
      </c>
    </row>
    <row r="8" spans="1:11">
      <c r="A8" s="112">
        <v>201910</v>
      </c>
      <c r="B8" s="111">
        <v>2407594</v>
      </c>
      <c r="C8" s="111">
        <v>784302</v>
      </c>
      <c r="D8" s="111">
        <v>1005132</v>
      </c>
      <c r="E8" s="111">
        <v>131930</v>
      </c>
      <c r="F8" s="111">
        <v>17191</v>
      </c>
      <c r="G8" s="111">
        <v>97046</v>
      </c>
      <c r="H8" s="111">
        <v>190313</v>
      </c>
      <c r="I8" s="111">
        <v>138054</v>
      </c>
      <c r="J8" s="111">
        <v>8536</v>
      </c>
      <c r="K8" s="111">
        <v>35090</v>
      </c>
    </row>
    <row r="9" spans="1:11">
      <c r="A9" s="112">
        <v>201909</v>
      </c>
      <c r="B9" s="111">
        <v>2111762</v>
      </c>
      <c r="C9" s="111">
        <v>736963</v>
      </c>
      <c r="D9" s="111">
        <v>778408</v>
      </c>
      <c r="E9" s="111">
        <v>134094</v>
      </c>
      <c r="F9" s="111">
        <v>11659</v>
      </c>
      <c r="G9" s="111">
        <v>95755</v>
      </c>
      <c r="H9" s="111">
        <v>190545</v>
      </c>
      <c r="I9" s="111">
        <v>129372</v>
      </c>
      <c r="J9" s="111">
        <v>4356</v>
      </c>
      <c r="K9" s="111">
        <v>30610</v>
      </c>
    </row>
    <row r="10" spans="1:11">
      <c r="A10" s="112">
        <v>201908</v>
      </c>
      <c r="B10" s="111">
        <v>2360683</v>
      </c>
      <c r="C10" s="111">
        <v>817198</v>
      </c>
      <c r="D10" s="111">
        <v>873099</v>
      </c>
      <c r="E10" s="111">
        <v>137913</v>
      </c>
      <c r="F10" s="111">
        <v>16585</v>
      </c>
      <c r="G10" s="111">
        <v>107445</v>
      </c>
      <c r="H10" s="111">
        <v>220886</v>
      </c>
      <c r="I10" s="111">
        <v>145407</v>
      </c>
      <c r="J10" s="111">
        <v>7722</v>
      </c>
      <c r="K10" s="111">
        <v>34428</v>
      </c>
    </row>
    <row r="11" spans="1:11">
      <c r="A11" s="112">
        <v>201907</v>
      </c>
      <c r="B11" s="111">
        <v>2491094</v>
      </c>
      <c r="C11" s="111">
        <v>829871</v>
      </c>
      <c r="D11" s="111">
        <v>977346</v>
      </c>
      <c r="E11" s="111">
        <v>114710</v>
      </c>
      <c r="F11" s="111">
        <v>16748</v>
      </c>
      <c r="G11" s="111">
        <v>108616</v>
      </c>
      <c r="H11" s="111">
        <v>228530</v>
      </c>
      <c r="I11" s="111">
        <v>155995</v>
      </c>
      <c r="J11" s="111">
        <v>15930</v>
      </c>
      <c r="K11" s="111">
        <v>43348</v>
      </c>
    </row>
    <row r="12" spans="1:11">
      <c r="A12" s="112">
        <v>201906</v>
      </c>
      <c r="B12" s="111">
        <v>2431144</v>
      </c>
      <c r="C12" s="111">
        <v>741986</v>
      </c>
      <c r="D12" s="111">
        <v>1043455</v>
      </c>
      <c r="E12" s="111">
        <v>108940</v>
      </c>
      <c r="F12" s="111">
        <v>13172</v>
      </c>
      <c r="G12" s="111">
        <v>104944</v>
      </c>
      <c r="H12" s="111">
        <v>216722</v>
      </c>
      <c r="I12" s="111">
        <v>147566</v>
      </c>
      <c r="J12" s="111">
        <v>13100</v>
      </c>
      <c r="K12" s="111">
        <v>41259</v>
      </c>
    </row>
    <row r="13" spans="1:11">
      <c r="A13" s="112">
        <v>201905</v>
      </c>
      <c r="B13" s="111">
        <v>2673002</v>
      </c>
      <c r="C13" s="111">
        <v>830892</v>
      </c>
      <c r="D13" s="111">
        <v>1122387</v>
      </c>
      <c r="E13" s="111">
        <v>149680</v>
      </c>
      <c r="F13" s="111">
        <v>9661</v>
      </c>
      <c r="G13" s="111">
        <v>112954</v>
      </c>
      <c r="H13" s="111">
        <v>229845</v>
      </c>
      <c r="I13" s="111">
        <v>164435</v>
      </c>
      <c r="J13" s="111">
        <v>8663</v>
      </c>
      <c r="K13" s="111">
        <v>44485</v>
      </c>
    </row>
    <row r="14" spans="1:11">
      <c r="A14" s="112">
        <v>201904</v>
      </c>
      <c r="B14" s="111">
        <v>2646958</v>
      </c>
      <c r="C14" s="111">
        <v>840934</v>
      </c>
      <c r="D14" s="111">
        <v>1108739</v>
      </c>
      <c r="E14" s="111">
        <v>154488</v>
      </c>
      <c r="F14" s="111">
        <v>8410</v>
      </c>
      <c r="G14" s="111">
        <v>119876</v>
      </c>
      <c r="H14" s="111">
        <v>215313</v>
      </c>
      <c r="I14" s="111">
        <v>141426</v>
      </c>
      <c r="J14" s="111">
        <v>12362</v>
      </c>
      <c r="K14" s="111">
        <v>45410</v>
      </c>
    </row>
    <row r="15" spans="1:11">
      <c r="A15" s="112">
        <v>201903</v>
      </c>
      <c r="B15" s="111">
        <v>2613538</v>
      </c>
      <c r="C15" s="111">
        <v>791898</v>
      </c>
      <c r="D15" s="111">
        <v>1111531</v>
      </c>
      <c r="E15" s="111">
        <v>148340</v>
      </c>
      <c r="F15" s="111">
        <v>10004</v>
      </c>
      <c r="G15" s="111">
        <v>118843</v>
      </c>
      <c r="H15" s="111">
        <v>219779</v>
      </c>
      <c r="I15" s="111">
        <v>168771</v>
      </c>
      <c r="J15" s="111">
        <v>5566</v>
      </c>
      <c r="K15" s="111">
        <v>38806</v>
      </c>
    </row>
    <row r="16" spans="1:11">
      <c r="A16" s="112">
        <v>201902</v>
      </c>
      <c r="B16" s="111">
        <v>1897115</v>
      </c>
      <c r="C16" s="111">
        <v>693111</v>
      </c>
      <c r="D16" s="111">
        <v>622372</v>
      </c>
      <c r="E16" s="111">
        <v>112477</v>
      </c>
      <c r="F16" s="111">
        <v>10519</v>
      </c>
      <c r="G16" s="111">
        <v>97974</v>
      </c>
      <c r="H16" s="111">
        <v>190630</v>
      </c>
      <c r="I16" s="111">
        <v>138752</v>
      </c>
      <c r="J16" s="111">
        <v>4896</v>
      </c>
      <c r="K16" s="111">
        <v>26384</v>
      </c>
    </row>
    <row r="17" spans="1:11">
      <c r="A17" s="112">
        <v>201901</v>
      </c>
      <c r="B17" s="111">
        <v>2301353</v>
      </c>
      <c r="C17" s="111">
        <v>877300</v>
      </c>
      <c r="D17" s="111">
        <v>755840</v>
      </c>
      <c r="E17" s="111">
        <v>141113</v>
      </c>
      <c r="F17" s="111">
        <v>16182</v>
      </c>
      <c r="G17" s="111">
        <v>105303</v>
      </c>
      <c r="H17" s="111">
        <v>218760</v>
      </c>
      <c r="I17" s="111">
        <v>151160</v>
      </c>
      <c r="J17" s="111">
        <v>11512</v>
      </c>
      <c r="K17" s="111">
        <v>24183</v>
      </c>
    </row>
    <row r="19" spans="1:11">
      <c r="A19" s="187" t="s">
        <v>303</v>
      </c>
      <c r="B19" s="186"/>
      <c r="C19" s="186"/>
      <c r="D19" s="186"/>
      <c r="E19" s="186"/>
      <c r="F19" s="186"/>
      <c r="G19" s="186"/>
      <c r="H19" s="186"/>
      <c r="I19" s="186"/>
      <c r="J19" s="186"/>
      <c r="K19" s="44">
        <v>44452.580671828706</v>
      </c>
    </row>
    <row r="20" spans="1:11">
      <c r="A20" t="s">
        <v>343</v>
      </c>
    </row>
  </sheetData>
  <mergeCells count="2">
    <mergeCell ref="A1:K1"/>
    <mergeCell ref="A19:J19"/>
  </mergeCells>
  <phoneticPr fontId="4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0ED5D-E962-4EC8-83BF-58CD654E327B}">
  <dimension ref="A1:K20"/>
  <sheetViews>
    <sheetView workbookViewId="0">
      <selection activeCell="A20" sqref="A20"/>
    </sheetView>
  </sheetViews>
  <sheetFormatPr defaultColWidth="19" defaultRowHeight="14.4"/>
  <cols>
    <col min="1" max="1" width="19" customWidth="1"/>
  </cols>
  <sheetData>
    <row r="1" spans="1:11">
      <c r="A1" s="185" t="s">
        <v>323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</row>
    <row r="3" spans="1:11">
      <c r="A3" s="109" t="s">
        <v>324</v>
      </c>
      <c r="B3" s="109" t="s">
        <v>58</v>
      </c>
      <c r="C3" s="109" t="s">
        <v>325</v>
      </c>
      <c r="D3" s="109" t="s">
        <v>326</v>
      </c>
      <c r="E3" s="109" t="s">
        <v>327</v>
      </c>
      <c r="F3" s="109" t="s">
        <v>328</v>
      </c>
      <c r="G3" s="109" t="s">
        <v>329</v>
      </c>
      <c r="H3" s="109" t="s">
        <v>330</v>
      </c>
      <c r="I3" s="109" t="s">
        <v>331</v>
      </c>
      <c r="J3" s="109" t="s">
        <v>332</v>
      </c>
      <c r="K3" s="109" t="s">
        <v>333</v>
      </c>
    </row>
    <row r="4" spans="1:11">
      <c r="A4" s="109" t="s">
        <v>324</v>
      </c>
      <c r="B4" s="109" t="s">
        <v>334</v>
      </c>
      <c r="C4" s="109" t="s">
        <v>335</v>
      </c>
      <c r="D4" s="109" t="s">
        <v>336</v>
      </c>
      <c r="E4" s="109" t="s">
        <v>337</v>
      </c>
      <c r="F4" s="109" t="s">
        <v>338</v>
      </c>
      <c r="G4" s="109" t="s">
        <v>339</v>
      </c>
      <c r="H4" s="109" t="s">
        <v>340</v>
      </c>
      <c r="I4" s="109" t="s">
        <v>341</v>
      </c>
      <c r="J4" s="109" t="s">
        <v>341</v>
      </c>
      <c r="K4" s="109" t="s">
        <v>342</v>
      </c>
    </row>
    <row r="5" spans="1:11">
      <c r="A5" s="110" t="s">
        <v>58</v>
      </c>
      <c r="B5" s="111">
        <v>26302456</v>
      </c>
      <c r="C5" s="111">
        <v>8842071</v>
      </c>
      <c r="D5" s="111">
        <v>10256445</v>
      </c>
      <c r="E5" s="111">
        <v>1443733</v>
      </c>
      <c r="F5" s="111">
        <v>187842</v>
      </c>
      <c r="G5" s="111">
        <v>1116876</v>
      </c>
      <c r="H5" s="111">
        <v>2319610</v>
      </c>
      <c r="I5" s="111">
        <v>1648991</v>
      </c>
      <c r="J5" s="111">
        <v>58637</v>
      </c>
      <c r="K5" s="111">
        <v>428251</v>
      </c>
    </row>
    <row r="6" spans="1:11">
      <c r="A6" s="112">
        <v>202012</v>
      </c>
      <c r="B6" s="111">
        <v>2237539</v>
      </c>
      <c r="C6" s="111">
        <v>749798</v>
      </c>
      <c r="D6" s="111">
        <v>872098</v>
      </c>
      <c r="E6" s="111">
        <v>132480</v>
      </c>
      <c r="F6" s="111">
        <v>12614</v>
      </c>
      <c r="G6" s="111">
        <v>99823</v>
      </c>
      <c r="H6" s="111">
        <v>210859</v>
      </c>
      <c r="I6" s="111">
        <v>130138</v>
      </c>
      <c r="J6" s="111">
        <v>2943</v>
      </c>
      <c r="K6" s="111">
        <v>26786</v>
      </c>
    </row>
    <row r="7" spans="1:11">
      <c r="A7" s="112">
        <v>202011</v>
      </c>
      <c r="B7" s="111">
        <v>2480690</v>
      </c>
      <c r="C7" s="111">
        <v>790579</v>
      </c>
      <c r="D7" s="111">
        <v>1051693</v>
      </c>
      <c r="E7" s="111">
        <v>145650</v>
      </c>
      <c r="F7" s="111">
        <v>18398</v>
      </c>
      <c r="G7" s="111">
        <v>102406</v>
      </c>
      <c r="H7" s="111">
        <v>202017</v>
      </c>
      <c r="I7" s="111">
        <v>129778</v>
      </c>
      <c r="J7" s="111">
        <v>3344</v>
      </c>
      <c r="K7" s="111">
        <v>36825</v>
      </c>
    </row>
    <row r="8" spans="1:11">
      <c r="A8" s="112">
        <v>202010</v>
      </c>
      <c r="B8" s="111">
        <v>2325684</v>
      </c>
      <c r="C8" s="111">
        <v>745468</v>
      </c>
      <c r="D8" s="111">
        <v>962293</v>
      </c>
      <c r="E8" s="111">
        <v>109004</v>
      </c>
      <c r="F8" s="111">
        <v>17406</v>
      </c>
      <c r="G8" s="111">
        <v>102483</v>
      </c>
      <c r="H8" s="111">
        <v>194320</v>
      </c>
      <c r="I8" s="111">
        <v>145477</v>
      </c>
      <c r="J8" s="111">
        <v>13000</v>
      </c>
      <c r="K8" s="111">
        <v>36233</v>
      </c>
    </row>
    <row r="9" spans="1:11">
      <c r="A9" s="112">
        <v>202009</v>
      </c>
      <c r="B9" s="111">
        <v>2081644</v>
      </c>
      <c r="C9" s="111">
        <v>737643</v>
      </c>
      <c r="D9" s="111">
        <v>814897</v>
      </c>
      <c r="E9" s="111">
        <v>79669</v>
      </c>
      <c r="F9" s="111">
        <v>11461</v>
      </c>
      <c r="G9" s="111">
        <v>79440</v>
      </c>
      <c r="H9" s="111">
        <v>187635</v>
      </c>
      <c r="I9" s="111">
        <v>134471</v>
      </c>
      <c r="J9" s="111">
        <v>5226</v>
      </c>
      <c r="K9" s="111">
        <v>31202</v>
      </c>
    </row>
    <row r="10" spans="1:11">
      <c r="A10" s="112">
        <v>202008</v>
      </c>
      <c r="B10" s="111">
        <v>1504352</v>
      </c>
      <c r="C10" s="111">
        <v>635420</v>
      </c>
      <c r="D10" s="111">
        <v>404846</v>
      </c>
      <c r="E10" s="111">
        <v>82210</v>
      </c>
      <c r="F10" s="111">
        <v>6625</v>
      </c>
      <c r="G10" s="111">
        <v>47285</v>
      </c>
      <c r="H10" s="111">
        <v>168989</v>
      </c>
      <c r="I10" s="111">
        <v>117328</v>
      </c>
      <c r="J10" s="111">
        <v>3780</v>
      </c>
      <c r="K10" s="111">
        <v>37869</v>
      </c>
    </row>
    <row r="11" spans="1:11">
      <c r="A11" s="112">
        <v>202007</v>
      </c>
      <c r="B11" s="111">
        <v>2196514</v>
      </c>
      <c r="C11" s="111">
        <v>763818</v>
      </c>
      <c r="D11" s="111">
        <v>818343</v>
      </c>
      <c r="E11" s="111">
        <v>139303</v>
      </c>
      <c r="F11" s="111">
        <v>16372</v>
      </c>
      <c r="G11" s="111">
        <v>82175</v>
      </c>
      <c r="H11" s="111">
        <v>194648</v>
      </c>
      <c r="I11" s="111">
        <v>140315</v>
      </c>
      <c r="J11" s="111">
        <v>2200</v>
      </c>
      <c r="K11" s="111">
        <v>39340</v>
      </c>
    </row>
    <row r="12" spans="1:11">
      <c r="A12" s="112">
        <v>202006</v>
      </c>
      <c r="B12" s="111">
        <v>2173085</v>
      </c>
      <c r="C12" s="111">
        <v>636631</v>
      </c>
      <c r="D12" s="111">
        <v>960874</v>
      </c>
      <c r="E12" s="111">
        <v>142408</v>
      </c>
      <c r="F12" s="111">
        <v>18103</v>
      </c>
      <c r="G12" s="111">
        <v>88752</v>
      </c>
      <c r="H12" s="111">
        <v>158418</v>
      </c>
      <c r="I12" s="111">
        <v>118938</v>
      </c>
      <c r="J12" s="111">
        <v>2603</v>
      </c>
      <c r="K12" s="111">
        <v>46358</v>
      </c>
    </row>
    <row r="13" spans="1:11">
      <c r="A13" s="112">
        <v>202005</v>
      </c>
      <c r="B13" s="111">
        <v>2230384</v>
      </c>
      <c r="C13" s="111">
        <v>667064</v>
      </c>
      <c r="D13" s="111">
        <v>971775</v>
      </c>
      <c r="E13" s="111">
        <v>137036</v>
      </c>
      <c r="F13" s="111">
        <v>19092</v>
      </c>
      <c r="G13" s="111">
        <v>96109</v>
      </c>
      <c r="H13" s="111">
        <v>166867</v>
      </c>
      <c r="I13" s="111">
        <v>130123</v>
      </c>
      <c r="J13" s="111">
        <v>3374</v>
      </c>
      <c r="K13" s="111">
        <v>38944</v>
      </c>
    </row>
    <row r="14" spans="1:11">
      <c r="A14" s="112">
        <v>202004</v>
      </c>
      <c r="B14" s="111">
        <v>2394640</v>
      </c>
      <c r="C14" s="111">
        <v>726150</v>
      </c>
      <c r="D14" s="111">
        <v>1032291</v>
      </c>
      <c r="E14" s="111">
        <v>134187</v>
      </c>
      <c r="F14" s="111">
        <v>18201</v>
      </c>
      <c r="G14" s="111">
        <v>104162</v>
      </c>
      <c r="H14" s="111">
        <v>191414</v>
      </c>
      <c r="I14" s="111">
        <v>145963</v>
      </c>
      <c r="J14" s="111">
        <v>2729</v>
      </c>
      <c r="K14" s="111">
        <v>39543</v>
      </c>
    </row>
    <row r="15" spans="1:11">
      <c r="A15" s="112">
        <v>202003</v>
      </c>
      <c r="B15" s="111">
        <v>2484472</v>
      </c>
      <c r="C15" s="111">
        <v>818032</v>
      </c>
      <c r="D15" s="111">
        <v>989861</v>
      </c>
      <c r="E15" s="111">
        <v>121347</v>
      </c>
      <c r="F15" s="111">
        <v>19294</v>
      </c>
      <c r="G15" s="111">
        <v>106262</v>
      </c>
      <c r="H15" s="111">
        <v>218800</v>
      </c>
      <c r="I15" s="111">
        <v>163500</v>
      </c>
      <c r="J15" s="111">
        <v>3242</v>
      </c>
      <c r="K15" s="111">
        <v>44134</v>
      </c>
    </row>
    <row r="16" spans="1:11">
      <c r="A16" s="112">
        <v>202002</v>
      </c>
      <c r="B16" s="111">
        <v>2163356</v>
      </c>
      <c r="C16" s="111">
        <v>766715</v>
      </c>
      <c r="D16" s="111">
        <v>748314</v>
      </c>
      <c r="E16" s="111">
        <v>112754</v>
      </c>
      <c r="F16" s="111">
        <v>13272</v>
      </c>
      <c r="G16" s="111">
        <v>106351</v>
      </c>
      <c r="H16" s="111">
        <v>223045</v>
      </c>
      <c r="I16" s="111">
        <v>148937</v>
      </c>
      <c r="J16" s="111">
        <v>12774</v>
      </c>
      <c r="K16" s="111">
        <v>31194</v>
      </c>
    </row>
    <row r="17" spans="1:11">
      <c r="A17" s="112">
        <v>202001</v>
      </c>
      <c r="B17" s="111">
        <v>2030096</v>
      </c>
      <c r="C17" s="111">
        <v>804753</v>
      </c>
      <c r="D17" s="111">
        <v>629160</v>
      </c>
      <c r="E17" s="111">
        <v>107685</v>
      </c>
      <c r="F17" s="111">
        <v>17004</v>
      </c>
      <c r="G17" s="111">
        <v>101628</v>
      </c>
      <c r="H17" s="111">
        <v>202598</v>
      </c>
      <c r="I17" s="111">
        <v>144023</v>
      </c>
      <c r="J17" s="111">
        <v>3422</v>
      </c>
      <c r="K17" s="111">
        <v>19823</v>
      </c>
    </row>
    <row r="19" spans="1:11">
      <c r="A19" s="187" t="s">
        <v>303</v>
      </c>
      <c r="B19" s="186"/>
      <c r="C19" s="186"/>
      <c r="D19" s="186"/>
      <c r="E19" s="186"/>
      <c r="F19" s="186"/>
      <c r="G19" s="186"/>
      <c r="H19" s="186"/>
      <c r="I19" s="186"/>
      <c r="J19" s="186"/>
      <c r="K19" s="44">
        <v>44452.580602870381</v>
      </c>
    </row>
    <row r="20" spans="1:11">
      <c r="A20" t="s">
        <v>343</v>
      </c>
    </row>
  </sheetData>
  <mergeCells count="2">
    <mergeCell ref="A1:K1"/>
    <mergeCell ref="A19:J19"/>
  </mergeCells>
  <phoneticPr fontId="4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08304-BE15-482F-9B1E-D69E746663BF}">
  <dimension ref="A1:K12"/>
  <sheetViews>
    <sheetView workbookViewId="0">
      <selection activeCell="A12" sqref="A12"/>
    </sheetView>
  </sheetViews>
  <sheetFormatPr defaultColWidth="19" defaultRowHeight="14.4"/>
  <cols>
    <col min="1" max="1" width="19" customWidth="1"/>
  </cols>
  <sheetData>
    <row r="1" spans="1:11">
      <c r="A1" s="185" t="s">
        <v>323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</row>
    <row r="3" spans="1:11">
      <c r="A3" s="109" t="s">
        <v>324</v>
      </c>
      <c r="B3" s="109" t="s">
        <v>58</v>
      </c>
      <c r="C3" s="109" t="s">
        <v>325</v>
      </c>
      <c r="D3" s="109" t="s">
        <v>326</v>
      </c>
      <c r="E3" s="109" t="s">
        <v>327</v>
      </c>
      <c r="F3" s="109" t="s">
        <v>328</v>
      </c>
      <c r="G3" s="109" t="s">
        <v>329</v>
      </c>
      <c r="H3" s="109" t="s">
        <v>330</v>
      </c>
      <c r="I3" s="109" t="s">
        <v>331</v>
      </c>
      <c r="J3" s="109" t="s">
        <v>332</v>
      </c>
      <c r="K3" s="109" t="s">
        <v>333</v>
      </c>
    </row>
    <row r="4" spans="1:11">
      <c r="A4" s="109" t="s">
        <v>324</v>
      </c>
      <c r="B4" s="109" t="s">
        <v>334</v>
      </c>
      <c r="C4" s="109" t="s">
        <v>335</v>
      </c>
      <c r="D4" s="109" t="s">
        <v>336</v>
      </c>
      <c r="E4" s="109" t="s">
        <v>337</v>
      </c>
      <c r="F4" s="109" t="s">
        <v>338</v>
      </c>
      <c r="G4" s="109" t="s">
        <v>339</v>
      </c>
      <c r="H4" s="109" t="s">
        <v>340</v>
      </c>
      <c r="I4" s="109" t="s">
        <v>341</v>
      </c>
      <c r="J4" s="109" t="s">
        <v>341</v>
      </c>
      <c r="K4" s="109" t="s">
        <v>342</v>
      </c>
    </row>
    <row r="5" spans="1:11">
      <c r="A5" s="110" t="s">
        <v>58</v>
      </c>
      <c r="B5" s="111">
        <v>8650541</v>
      </c>
      <c r="C5" s="111">
        <v>3097769</v>
      </c>
      <c r="D5" s="111">
        <v>3171883</v>
      </c>
      <c r="E5" s="111">
        <v>420072</v>
      </c>
      <c r="F5" s="111">
        <v>62689</v>
      </c>
      <c r="G5" s="111">
        <v>383915</v>
      </c>
      <c r="H5" s="111">
        <v>828559</v>
      </c>
      <c r="I5" s="111">
        <v>557710</v>
      </c>
      <c r="J5" s="111">
        <v>17721</v>
      </c>
      <c r="K5" s="111">
        <v>110223</v>
      </c>
    </row>
    <row r="6" spans="1:11">
      <c r="A6" s="112">
        <v>202104</v>
      </c>
      <c r="B6" s="111">
        <v>2381380</v>
      </c>
      <c r="C6" s="111">
        <v>816111</v>
      </c>
      <c r="D6" s="111">
        <v>953717</v>
      </c>
      <c r="E6" s="111">
        <v>115251</v>
      </c>
      <c r="F6" s="111">
        <v>10969</v>
      </c>
      <c r="G6" s="111">
        <v>101188</v>
      </c>
      <c r="H6" s="111">
        <v>194246</v>
      </c>
      <c r="I6" s="111">
        <v>146868</v>
      </c>
      <c r="J6" s="111">
        <v>4766</v>
      </c>
      <c r="K6" s="111">
        <v>38264</v>
      </c>
    </row>
    <row r="7" spans="1:11">
      <c r="A7" s="112">
        <v>202103</v>
      </c>
      <c r="B7" s="111">
        <v>2495179</v>
      </c>
      <c r="C7" s="111">
        <v>885725</v>
      </c>
      <c r="D7" s="111">
        <v>981805</v>
      </c>
      <c r="E7" s="111">
        <v>105492</v>
      </c>
      <c r="F7" s="111">
        <v>17519</v>
      </c>
      <c r="G7" s="111">
        <v>93706</v>
      </c>
      <c r="H7" s="111">
        <v>227441</v>
      </c>
      <c r="I7" s="111">
        <v>144340</v>
      </c>
      <c r="J7" s="111">
        <v>5541</v>
      </c>
      <c r="K7" s="111">
        <v>33610</v>
      </c>
    </row>
    <row r="8" spans="1:11">
      <c r="A8" s="112">
        <v>202102</v>
      </c>
      <c r="B8" s="111">
        <v>1772636</v>
      </c>
      <c r="C8" s="111">
        <v>665846</v>
      </c>
      <c r="D8" s="111">
        <v>573032</v>
      </c>
      <c r="E8" s="111">
        <v>85870</v>
      </c>
      <c r="F8" s="111">
        <v>14781</v>
      </c>
      <c r="G8" s="111">
        <v>91362</v>
      </c>
      <c r="H8" s="111">
        <v>193214</v>
      </c>
      <c r="I8" s="111">
        <v>123742</v>
      </c>
      <c r="J8" s="111">
        <v>3807</v>
      </c>
      <c r="K8" s="111">
        <v>20982</v>
      </c>
    </row>
    <row r="9" spans="1:11">
      <c r="A9" s="112">
        <v>202101</v>
      </c>
      <c r="B9" s="111">
        <v>2001346</v>
      </c>
      <c r="C9" s="111">
        <v>730087</v>
      </c>
      <c r="D9" s="111">
        <v>663329</v>
      </c>
      <c r="E9" s="111">
        <v>113459</v>
      </c>
      <c r="F9" s="111">
        <v>19420</v>
      </c>
      <c r="G9" s="111">
        <v>97659</v>
      </c>
      <c r="H9" s="111">
        <v>213658</v>
      </c>
      <c r="I9" s="111">
        <v>142760</v>
      </c>
      <c r="J9" s="111">
        <v>3607</v>
      </c>
      <c r="K9" s="111">
        <v>17367</v>
      </c>
    </row>
    <row r="11" spans="1:11">
      <c r="A11" s="187" t="s">
        <v>303</v>
      </c>
      <c r="B11" s="186"/>
      <c r="C11" s="186"/>
      <c r="D11" s="186"/>
      <c r="E11" s="186"/>
      <c r="F11" s="186"/>
      <c r="G11" s="186"/>
      <c r="H11" s="186"/>
      <c r="I11" s="186"/>
      <c r="J11" s="186"/>
      <c r="K11" s="44">
        <v>44452.580524965277</v>
      </c>
    </row>
    <row r="12" spans="1:11">
      <c r="A12" t="s">
        <v>343</v>
      </c>
    </row>
  </sheetData>
  <mergeCells count="2">
    <mergeCell ref="A1:K1"/>
    <mergeCell ref="A11:J11"/>
  </mergeCells>
  <phoneticPr fontId="4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7FB9B-8FDD-4EB1-83DD-CE34AD42A4F5}">
  <dimension ref="A1:K6"/>
  <sheetViews>
    <sheetView topLeftCell="B1" workbookViewId="0">
      <selection activeCell="F30" sqref="F30"/>
    </sheetView>
  </sheetViews>
  <sheetFormatPr defaultColWidth="9" defaultRowHeight="14.4"/>
  <cols>
    <col min="1" max="1" width="19.33203125" style="4" bestFit="1" customWidth="1"/>
    <col min="2" max="2" width="20.109375" style="4" bestFit="1" customWidth="1"/>
    <col min="3" max="3" width="15.33203125" style="4" bestFit="1" customWidth="1"/>
    <col min="4" max="4" width="15.33203125" style="4" customWidth="1"/>
    <col min="5" max="7" width="15.33203125" style="4" bestFit="1" customWidth="1"/>
    <col min="8" max="10" width="14.6640625" style="4" bestFit="1" customWidth="1"/>
    <col min="11" max="16384" width="9" style="4"/>
  </cols>
  <sheetData>
    <row r="1" spans="1:11" ht="15" thickBot="1">
      <c r="A1" s="25" t="s">
        <v>344</v>
      </c>
    </row>
    <row r="2" spans="1:11" ht="20.100000000000001" customHeight="1">
      <c r="A2" s="113" t="s">
        <v>345</v>
      </c>
      <c r="B2" s="113" t="s">
        <v>346</v>
      </c>
      <c r="C2" s="114">
        <v>2011</v>
      </c>
      <c r="D2" s="114">
        <v>2012</v>
      </c>
      <c r="E2" s="114">
        <v>2013</v>
      </c>
      <c r="F2" s="114">
        <v>2014</v>
      </c>
      <c r="G2" s="114">
        <v>2015</v>
      </c>
      <c r="H2" s="114">
        <v>2016</v>
      </c>
      <c r="I2" s="114">
        <v>2017</v>
      </c>
      <c r="J2" s="114">
        <v>2018</v>
      </c>
      <c r="K2" s="64" t="s">
        <v>347</v>
      </c>
    </row>
    <row r="3" spans="1:11" ht="20.100000000000001" customHeight="1">
      <c r="A3" s="51" t="s">
        <v>348</v>
      </c>
      <c r="B3" s="115" t="s">
        <v>349</v>
      </c>
      <c r="C3" s="116">
        <v>1118621000</v>
      </c>
      <c r="D3" s="116">
        <v>1149340000</v>
      </c>
      <c r="E3" s="116">
        <v>1224820000</v>
      </c>
      <c r="F3" s="116">
        <v>1263472000</v>
      </c>
      <c r="G3" s="116">
        <v>1269417000</v>
      </c>
      <c r="H3" s="116">
        <v>1449535000</v>
      </c>
      <c r="I3" s="116">
        <v>1490319000</v>
      </c>
      <c r="J3" s="116">
        <v>1521590000</v>
      </c>
      <c r="K3" s="117">
        <f>(J3/C3)^(1/7)-1</f>
        <v>4.4931475049839742E-2</v>
      </c>
    </row>
    <row r="4" spans="1:11" ht="20.100000000000001" customHeight="1">
      <c r="A4" s="49" t="s">
        <v>246</v>
      </c>
      <c r="B4" s="115" t="s">
        <v>350</v>
      </c>
      <c r="C4" s="116">
        <v>36784000000</v>
      </c>
      <c r="D4" s="116">
        <v>42493000000</v>
      </c>
      <c r="E4" s="116">
        <v>38531000000</v>
      </c>
      <c r="F4" s="116">
        <v>39500000000</v>
      </c>
      <c r="G4" s="116">
        <v>40343000000</v>
      </c>
      <c r="H4" s="116">
        <v>43384000000</v>
      </c>
      <c r="I4" s="116">
        <v>46295000000</v>
      </c>
      <c r="J4" s="116">
        <v>48027000000</v>
      </c>
      <c r="K4" s="118">
        <f>(J4/C4)^(1/7)-1</f>
        <v>3.8835168293443356E-2</v>
      </c>
    </row>
    <row r="5" spans="1:11" ht="20.100000000000001" customHeight="1">
      <c r="A5" s="51" t="s">
        <v>351</v>
      </c>
      <c r="B5" s="115" t="s">
        <v>352</v>
      </c>
      <c r="C5" s="116">
        <v>40011987</v>
      </c>
      <c r="D5" s="116">
        <v>40308928</v>
      </c>
      <c r="E5" s="116">
        <v>39822270</v>
      </c>
      <c r="F5" s="116">
        <v>37379168</v>
      </c>
      <c r="G5" s="116">
        <v>37093642</v>
      </c>
      <c r="H5" s="119">
        <v>32555441</v>
      </c>
      <c r="I5" s="119">
        <v>31669610</v>
      </c>
      <c r="J5" s="119">
        <v>30914733</v>
      </c>
      <c r="K5" s="117">
        <f>(J5/C5)^(1/7)-1</f>
        <v>-3.6178781626822532E-2</v>
      </c>
    </row>
    <row r="6" spans="1:11" ht="20.100000000000001" customHeight="1" thickBot="1">
      <c r="A6" s="107" t="s">
        <v>246</v>
      </c>
      <c r="B6" s="115" t="s">
        <v>353</v>
      </c>
      <c r="C6" s="116">
        <v>9996737509</v>
      </c>
      <c r="D6" s="116">
        <v>10458878979</v>
      </c>
      <c r="E6" s="116">
        <v>10458878979</v>
      </c>
      <c r="F6" s="116">
        <v>9563602650</v>
      </c>
      <c r="G6" s="116">
        <v>9479257421</v>
      </c>
      <c r="H6" s="119">
        <v>8414121799.3000002</v>
      </c>
      <c r="I6" s="119">
        <v>8229194875.5</v>
      </c>
      <c r="J6" s="119">
        <v>7877511771.6429996</v>
      </c>
      <c r="K6" s="120">
        <f>(J6/C6)^(1/7)-1</f>
        <v>-3.3462559735330077E-2</v>
      </c>
    </row>
  </sheetData>
  <phoneticPr fontId="4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193B-DC10-4CA3-8BB9-933A2D80FA20}">
  <dimension ref="A1:D23"/>
  <sheetViews>
    <sheetView workbookViewId="0">
      <selection activeCell="A24" sqref="A24"/>
    </sheetView>
  </sheetViews>
  <sheetFormatPr defaultRowHeight="14.4"/>
  <cols>
    <col min="15" max="16" width="9.33203125" bestFit="1" customWidth="1"/>
    <col min="17" max="17" width="11.6640625" bestFit="1" customWidth="1"/>
  </cols>
  <sheetData>
    <row r="1" spans="1:4">
      <c r="A1" s="188" t="s">
        <v>354</v>
      </c>
      <c r="B1" s="188"/>
      <c r="C1" s="188"/>
      <c r="D1" s="188"/>
    </row>
    <row r="2" spans="1:4">
      <c r="A2" s="121"/>
      <c r="B2" s="121">
        <v>2019</v>
      </c>
      <c r="C2" s="121">
        <v>2020</v>
      </c>
      <c r="D2" s="121">
        <v>2021</v>
      </c>
    </row>
    <row r="3" spans="1:4">
      <c r="A3" s="121" t="s">
        <v>355</v>
      </c>
      <c r="B3" s="121">
        <f>SUM(B5:B11)</f>
        <v>83614684</v>
      </c>
      <c r="C3" s="121">
        <f>SUM(C5:C11)</f>
        <v>53053344</v>
      </c>
      <c r="D3" s="121">
        <f>SUM(D5:D11)</f>
        <v>53490530</v>
      </c>
    </row>
    <row r="4" spans="1:4">
      <c r="A4" s="121" t="s">
        <v>356</v>
      </c>
      <c r="B4" s="121"/>
      <c r="C4" s="122">
        <f>C3/$B$3</f>
        <v>0.63449793100934282</v>
      </c>
      <c r="D4" s="122">
        <f>D3/$B$3</f>
        <v>0.63972651023832128</v>
      </c>
    </row>
    <row r="5" spans="1:4">
      <c r="A5" s="121" t="s">
        <v>357</v>
      </c>
      <c r="B5" s="121">
        <f>'Rail2019-psgr'!B16</f>
        <v>11247113</v>
      </c>
      <c r="C5" s="121">
        <f>'Rail2020-psgr'!B16</f>
        <v>12029401</v>
      </c>
      <c r="D5" s="121">
        <f>'Rail2021-psgr'!B11</f>
        <v>5643888</v>
      </c>
    </row>
    <row r="6" spans="1:4">
      <c r="A6" s="121" t="s">
        <v>358</v>
      </c>
      <c r="B6" s="121">
        <f>'Rail2019-psgr'!B15</f>
        <v>11440634</v>
      </c>
      <c r="C6" s="121">
        <f>'Rail2020-psgr'!B15</f>
        <v>7039739</v>
      </c>
      <c r="D6" s="121">
        <f>'Rail2021-psgr'!B10</f>
        <v>6477296</v>
      </c>
    </row>
    <row r="7" spans="1:4">
      <c r="A7" s="121" t="s">
        <v>359</v>
      </c>
      <c r="B7" s="121">
        <f>'Rail2019-psgr'!B14</f>
        <v>12140375</v>
      </c>
      <c r="C7" s="121">
        <f>'Rail2020-psgr'!B14</f>
        <v>4085433</v>
      </c>
      <c r="D7" s="121">
        <f>'Rail2021-psgr'!B9</f>
        <v>7992796</v>
      </c>
    </row>
    <row r="8" spans="1:4">
      <c r="A8" s="121" t="s">
        <v>360</v>
      </c>
      <c r="B8" s="121">
        <f>'Rail2019-psgr'!B13</f>
        <v>11928672</v>
      </c>
      <c r="C8" s="121">
        <f>'Rail2020-psgr'!B13</f>
        <v>5577505</v>
      </c>
      <c r="D8" s="121">
        <f>'Rail2021-psgr'!B8</f>
        <v>8161437</v>
      </c>
    </row>
    <row r="9" spans="1:4">
      <c r="A9" s="121" t="s">
        <v>361</v>
      </c>
      <c r="B9" s="121">
        <f>'Rail2019-psgr'!B12</f>
        <v>13025005</v>
      </c>
      <c r="C9" s="121">
        <f>'Rail2020-psgr'!B12</f>
        <v>7875367</v>
      </c>
      <c r="D9" s="121">
        <f>'Rail2021-psgr'!B7</f>
        <v>8972979</v>
      </c>
    </row>
    <row r="10" spans="1:4">
      <c r="A10" s="121" t="s">
        <v>362</v>
      </c>
      <c r="B10" s="121">
        <f>'Rail2019-psgr'!B11</f>
        <v>12025237</v>
      </c>
      <c r="C10" s="121">
        <f>'Rail2020-psgr'!B11</f>
        <v>7812478</v>
      </c>
      <c r="D10" s="121">
        <f>'Rail2021-psgr'!B6</f>
        <v>8575737</v>
      </c>
    </row>
    <row r="11" spans="1:4">
      <c r="A11" s="121" t="s">
        <v>363</v>
      </c>
      <c r="B11" s="121">
        <f>'Rail2019-psgr'!B10</f>
        <v>11807648</v>
      </c>
      <c r="C11" s="121">
        <f>'Rail2020-psgr'!B10</f>
        <v>8633421</v>
      </c>
      <c r="D11" s="121">
        <f>'Rail2021-psgr'!B5</f>
        <v>7666397</v>
      </c>
    </row>
    <row r="13" spans="1:4">
      <c r="A13" s="188" t="s">
        <v>364</v>
      </c>
      <c r="B13" s="188"/>
      <c r="C13" s="188"/>
      <c r="D13" s="188"/>
    </row>
    <row r="14" spans="1:4">
      <c r="A14" s="121"/>
      <c r="B14" s="121">
        <v>2019</v>
      </c>
      <c r="C14" s="121">
        <v>2020</v>
      </c>
      <c r="D14" s="121">
        <v>2021</v>
      </c>
    </row>
    <row r="15" spans="1:4">
      <c r="A15" s="121" t="s">
        <v>365</v>
      </c>
      <c r="B15" s="121">
        <f>SUM(B17:B20)</f>
        <v>9458964</v>
      </c>
      <c r="C15" s="121">
        <f>SUM(C17:C20)</f>
        <v>9072564</v>
      </c>
      <c r="D15" s="121">
        <f>SUM(D17:D20)</f>
        <v>8650541</v>
      </c>
    </row>
    <row r="16" spans="1:4">
      <c r="A16" s="121" t="s">
        <v>356</v>
      </c>
      <c r="B16" s="121"/>
      <c r="C16" s="122">
        <f>C15/$B$15</f>
        <v>0.95914986038640171</v>
      </c>
      <c r="D16" s="122">
        <f>D15/$B$15</f>
        <v>0.91453366351748455</v>
      </c>
    </row>
    <row r="17" spans="1:4">
      <c r="A17" s="121" t="s">
        <v>357</v>
      </c>
      <c r="B17" s="121">
        <f>'Rail2019-freight'!B17</f>
        <v>2301353</v>
      </c>
      <c r="C17" s="121">
        <f>'Rail2020-freight'!B17</f>
        <v>2030096</v>
      </c>
      <c r="D17" s="121">
        <f>'Rail2021-freight'!B9</f>
        <v>2001346</v>
      </c>
    </row>
    <row r="18" spans="1:4">
      <c r="A18" s="121" t="s">
        <v>358</v>
      </c>
      <c r="B18" s="121">
        <f>'Rail2019-freight'!B16</f>
        <v>1897115</v>
      </c>
      <c r="C18" s="121">
        <f>'Rail2020-freight'!B16</f>
        <v>2163356</v>
      </c>
      <c r="D18" s="121">
        <f>'Rail2021-freight'!B8</f>
        <v>1772636</v>
      </c>
    </row>
    <row r="19" spans="1:4">
      <c r="A19" s="121" t="s">
        <v>359</v>
      </c>
      <c r="B19" s="121">
        <f>'Rail2019-freight'!B15</f>
        <v>2613538</v>
      </c>
      <c r="C19" s="121">
        <f>'Rail2020-freight'!B15</f>
        <v>2484472</v>
      </c>
      <c r="D19" s="121">
        <f>'Rail2021-freight'!B7</f>
        <v>2495179</v>
      </c>
    </row>
    <row r="20" spans="1:4">
      <c r="A20" s="121" t="s">
        <v>360</v>
      </c>
      <c r="B20" s="121">
        <f>'Rail2019-freight'!B14</f>
        <v>2646958</v>
      </c>
      <c r="C20" s="121">
        <f>'Rail2020-freight'!B14</f>
        <v>2394640</v>
      </c>
      <c r="D20" s="121">
        <f>'Rail2021-freight'!B6</f>
        <v>2381380</v>
      </c>
    </row>
    <row r="22" spans="1:4">
      <c r="A22" s="21" t="s">
        <v>366</v>
      </c>
    </row>
    <row r="23" spans="1:4">
      <c r="A23" t="s">
        <v>367</v>
      </c>
    </row>
  </sheetData>
  <mergeCells count="2">
    <mergeCell ref="A1:D1"/>
    <mergeCell ref="A13:D13"/>
  </mergeCells>
  <phoneticPr fontId="4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A2DD4-95F0-42B6-B835-D13B165F4574}">
  <dimension ref="A1:E116"/>
  <sheetViews>
    <sheetView topLeftCell="A118" workbookViewId="0">
      <selection sqref="A1:E1"/>
    </sheetView>
  </sheetViews>
  <sheetFormatPr defaultColWidth="9" defaultRowHeight="14.4"/>
  <cols>
    <col min="1" max="1" width="48.33203125" style="4" customWidth="1"/>
    <col min="2" max="5" width="28.33203125" style="4" customWidth="1"/>
    <col min="6" max="16384" width="9" style="4"/>
  </cols>
  <sheetData>
    <row r="1" spans="1:5" ht="33.9" customHeight="1">
      <c r="A1" s="189" t="s">
        <v>368</v>
      </c>
      <c r="B1" s="190"/>
      <c r="C1" s="190"/>
      <c r="D1" s="190"/>
      <c r="E1" s="190"/>
    </row>
    <row r="2" spans="1:5" ht="36.9" customHeight="1">
      <c r="A2" s="123" t="s">
        <v>369</v>
      </c>
      <c r="B2" s="123" t="s">
        <v>370</v>
      </c>
      <c r="C2" s="123" t="s">
        <v>371</v>
      </c>
      <c r="D2" s="123" t="s">
        <v>372</v>
      </c>
      <c r="E2" s="123" t="s">
        <v>373</v>
      </c>
    </row>
    <row r="3" spans="1:5" ht="32.1" customHeight="1">
      <c r="A3" s="124" t="s">
        <v>374</v>
      </c>
      <c r="B3" s="125">
        <v>99924854</v>
      </c>
      <c r="C3" s="125">
        <v>487577</v>
      </c>
      <c r="D3" s="125">
        <v>84039006</v>
      </c>
      <c r="E3" s="125">
        <v>2809248</v>
      </c>
    </row>
    <row r="4" spans="1:5" ht="32.1" customHeight="1">
      <c r="A4" s="124" t="s">
        <v>375</v>
      </c>
      <c r="B4" s="125">
        <v>75440656</v>
      </c>
      <c r="C4" s="125">
        <v>367334</v>
      </c>
      <c r="D4" s="125">
        <v>64047450</v>
      </c>
      <c r="E4" s="125">
        <v>1898548</v>
      </c>
    </row>
    <row r="5" spans="1:5" ht="32.1" customHeight="1">
      <c r="A5" s="124" t="s">
        <v>376</v>
      </c>
      <c r="B5" s="125">
        <v>23024903</v>
      </c>
      <c r="C5" s="125">
        <v>108191</v>
      </c>
      <c r="D5" s="125">
        <v>18784446</v>
      </c>
      <c r="E5" s="125">
        <v>1042765</v>
      </c>
    </row>
    <row r="6" spans="1:5" ht="32.1" customHeight="1">
      <c r="A6" s="124" t="s">
        <v>377</v>
      </c>
      <c r="B6" s="125">
        <v>15798412</v>
      </c>
      <c r="C6" s="125">
        <v>69911</v>
      </c>
      <c r="D6" s="125">
        <v>13586579</v>
      </c>
      <c r="E6" s="125">
        <v>597606</v>
      </c>
    </row>
    <row r="7" spans="1:5" ht="32.1" customHeight="1">
      <c r="A7" s="124" t="s">
        <v>378</v>
      </c>
      <c r="B7" s="125">
        <v>10211292</v>
      </c>
      <c r="C7" s="125">
        <v>54043</v>
      </c>
      <c r="D7" s="125">
        <v>9070922</v>
      </c>
      <c r="E7" s="125">
        <v>68553</v>
      </c>
    </row>
    <row r="8" spans="1:5" ht="32.1" customHeight="1">
      <c r="A8" s="124" t="s">
        <v>379</v>
      </c>
      <c r="B8" s="125">
        <v>6949626</v>
      </c>
      <c r="C8" s="125">
        <v>32685</v>
      </c>
      <c r="D8" s="125">
        <v>6119677</v>
      </c>
      <c r="E8" s="125">
        <v>56693</v>
      </c>
    </row>
    <row r="9" spans="1:5" ht="32.1" customHeight="1">
      <c r="A9" s="124" t="s">
        <v>380</v>
      </c>
      <c r="B9" s="125">
        <v>6676490</v>
      </c>
      <c r="C9" s="125">
        <v>34595</v>
      </c>
      <c r="D9" s="125">
        <v>5477160</v>
      </c>
      <c r="E9" s="125">
        <v>36054</v>
      </c>
    </row>
    <row r="10" spans="1:5" ht="32.1" customHeight="1">
      <c r="A10" s="124" t="s">
        <v>381</v>
      </c>
      <c r="B10" s="125">
        <v>4885767</v>
      </c>
      <c r="C10" s="125">
        <v>25449</v>
      </c>
      <c r="D10" s="125">
        <v>4186879</v>
      </c>
      <c r="E10" s="125">
        <v>29391</v>
      </c>
    </row>
    <row r="11" spans="1:5" ht="32.1" customHeight="1">
      <c r="A11" s="124" t="s">
        <v>382</v>
      </c>
      <c r="B11" s="125">
        <v>6375309</v>
      </c>
      <c r="C11" s="125">
        <v>33758</v>
      </c>
      <c r="D11" s="125">
        <v>5479642</v>
      </c>
      <c r="E11" s="125">
        <v>40417</v>
      </c>
    </row>
    <row r="12" spans="1:5" ht="32.1" customHeight="1">
      <c r="A12" s="124" t="s">
        <v>383</v>
      </c>
      <c r="B12" s="125">
        <v>0</v>
      </c>
      <c r="C12" s="125">
        <v>978</v>
      </c>
      <c r="D12" s="125">
        <v>0</v>
      </c>
      <c r="E12" s="125">
        <v>15185</v>
      </c>
    </row>
    <row r="13" spans="1:5" ht="32.1" customHeight="1">
      <c r="A13" s="124" t="s">
        <v>384</v>
      </c>
      <c r="B13" s="125">
        <v>1518857</v>
      </c>
      <c r="C13" s="125">
        <v>7724</v>
      </c>
      <c r="D13" s="125">
        <v>1342145</v>
      </c>
      <c r="E13" s="125">
        <v>11884</v>
      </c>
    </row>
    <row r="14" spans="1:5" ht="32.1" customHeight="1">
      <c r="A14" s="124" t="s">
        <v>385</v>
      </c>
      <c r="B14" s="125">
        <v>24484198</v>
      </c>
      <c r="C14" s="125">
        <v>120243</v>
      </c>
      <c r="D14" s="125">
        <v>19991556</v>
      </c>
      <c r="E14" s="125">
        <v>910700</v>
      </c>
    </row>
    <row r="15" spans="1:5" ht="32.1" customHeight="1">
      <c r="A15" s="124" t="s">
        <v>386</v>
      </c>
      <c r="B15" s="125">
        <v>0</v>
      </c>
      <c r="C15" s="125">
        <v>50</v>
      </c>
      <c r="D15" s="125">
        <v>0</v>
      </c>
      <c r="E15" s="125">
        <v>125</v>
      </c>
    </row>
    <row r="16" spans="1:5" ht="32.1" customHeight="1">
      <c r="A16" s="124" t="s">
        <v>387</v>
      </c>
      <c r="B16" s="125">
        <v>280518</v>
      </c>
      <c r="C16" s="125">
        <v>942</v>
      </c>
      <c r="D16" s="125">
        <v>193951</v>
      </c>
      <c r="E16" s="125">
        <v>8202</v>
      </c>
    </row>
    <row r="17" spans="1:5" ht="32.1" customHeight="1">
      <c r="A17" s="124" t="s">
        <v>388</v>
      </c>
      <c r="B17" s="125">
        <v>148366</v>
      </c>
      <c r="C17" s="125">
        <v>482</v>
      </c>
      <c r="D17" s="125">
        <v>134337</v>
      </c>
      <c r="E17" s="125">
        <v>13358</v>
      </c>
    </row>
    <row r="18" spans="1:5" ht="32.1" customHeight="1">
      <c r="A18" s="124" t="s">
        <v>389</v>
      </c>
      <c r="B18" s="125">
        <v>481082</v>
      </c>
      <c r="C18" s="125">
        <v>1740</v>
      </c>
      <c r="D18" s="125">
        <v>440876</v>
      </c>
      <c r="E18" s="125">
        <v>18281</v>
      </c>
    </row>
    <row r="19" spans="1:5" ht="32.1" customHeight="1">
      <c r="A19" s="124" t="s">
        <v>390</v>
      </c>
      <c r="B19" s="125">
        <v>66218</v>
      </c>
      <c r="C19" s="125">
        <v>460</v>
      </c>
      <c r="D19" s="125">
        <v>41115</v>
      </c>
      <c r="E19" s="125">
        <v>751</v>
      </c>
    </row>
    <row r="20" spans="1:5" ht="32.1" customHeight="1">
      <c r="A20" s="124" t="s">
        <v>391</v>
      </c>
      <c r="B20" s="125">
        <v>237956</v>
      </c>
      <c r="C20" s="125">
        <v>667</v>
      </c>
      <c r="D20" s="125">
        <v>190138</v>
      </c>
      <c r="E20" s="125">
        <v>7030</v>
      </c>
    </row>
    <row r="21" spans="1:5" ht="32.1" customHeight="1">
      <c r="A21" s="124" t="s">
        <v>392</v>
      </c>
      <c r="B21" s="125">
        <v>305858</v>
      </c>
      <c r="C21" s="125">
        <v>897</v>
      </c>
      <c r="D21" s="125">
        <v>273915</v>
      </c>
      <c r="E21" s="125">
        <v>12816</v>
      </c>
    </row>
    <row r="22" spans="1:5" ht="32.1" customHeight="1">
      <c r="A22" s="124" t="s">
        <v>393</v>
      </c>
      <c r="B22" s="125">
        <v>0</v>
      </c>
      <c r="C22" s="125">
        <v>543</v>
      </c>
      <c r="D22" s="125">
        <v>0</v>
      </c>
      <c r="E22" s="125">
        <v>10905</v>
      </c>
    </row>
    <row r="23" spans="1:5" ht="32.1" customHeight="1">
      <c r="A23" s="124" t="s">
        <v>394</v>
      </c>
      <c r="B23" s="125">
        <v>9918</v>
      </c>
      <c r="C23" s="125">
        <v>58</v>
      </c>
      <c r="D23" s="125">
        <v>4984</v>
      </c>
      <c r="E23" s="125">
        <v>47</v>
      </c>
    </row>
    <row r="24" spans="1:5" ht="32.1" customHeight="1">
      <c r="A24" s="124" t="s">
        <v>395</v>
      </c>
      <c r="B24" s="125">
        <v>268214</v>
      </c>
      <c r="C24" s="125">
        <v>813</v>
      </c>
      <c r="D24" s="125">
        <v>185891</v>
      </c>
      <c r="E24" s="125">
        <v>10831</v>
      </c>
    </row>
    <row r="25" spans="1:5" ht="32.1" customHeight="1">
      <c r="A25" s="124" t="s">
        <v>396</v>
      </c>
      <c r="B25" s="125">
        <v>742</v>
      </c>
      <c r="C25" s="125">
        <v>7</v>
      </c>
      <c r="D25" s="125">
        <v>635</v>
      </c>
      <c r="E25" s="125">
        <v>7</v>
      </c>
    </row>
    <row r="26" spans="1:5" ht="32.1" customHeight="1">
      <c r="A26" s="124" t="s">
        <v>397</v>
      </c>
      <c r="B26" s="125">
        <v>186340</v>
      </c>
      <c r="C26" s="125">
        <v>818</v>
      </c>
      <c r="D26" s="125">
        <v>157364</v>
      </c>
      <c r="E26" s="125">
        <v>3950</v>
      </c>
    </row>
    <row r="27" spans="1:5" ht="32.1" customHeight="1">
      <c r="A27" s="124" t="s">
        <v>398</v>
      </c>
      <c r="B27" s="125">
        <v>0</v>
      </c>
      <c r="C27" s="125">
        <v>102</v>
      </c>
      <c r="D27" s="125">
        <v>0</v>
      </c>
      <c r="E27" s="125">
        <v>3234</v>
      </c>
    </row>
    <row r="28" spans="1:5" ht="32.1" customHeight="1">
      <c r="A28" s="124" t="s">
        <v>399</v>
      </c>
      <c r="B28" s="125">
        <v>2360</v>
      </c>
      <c r="C28" s="125">
        <v>12</v>
      </c>
      <c r="D28" s="125">
        <v>2018</v>
      </c>
      <c r="E28" s="125">
        <v>21</v>
      </c>
    </row>
    <row r="29" spans="1:5" ht="32.1" customHeight="1">
      <c r="A29" s="124" t="s">
        <v>400</v>
      </c>
      <c r="B29" s="125">
        <v>1028168</v>
      </c>
      <c r="C29" s="125">
        <v>4134</v>
      </c>
      <c r="D29" s="125">
        <v>853793</v>
      </c>
      <c r="E29" s="125">
        <v>33476</v>
      </c>
    </row>
    <row r="30" spans="1:5" ht="32.1" customHeight="1">
      <c r="A30" s="124" t="s">
        <v>401</v>
      </c>
      <c r="B30" s="125">
        <v>0</v>
      </c>
      <c r="C30" s="125">
        <v>7</v>
      </c>
      <c r="D30" s="125">
        <v>0</v>
      </c>
      <c r="E30" s="125">
        <v>281</v>
      </c>
    </row>
    <row r="31" spans="1:5" ht="32.1" customHeight="1">
      <c r="A31" s="124" t="s">
        <v>402</v>
      </c>
      <c r="B31" s="125">
        <v>38328</v>
      </c>
      <c r="C31" s="125">
        <v>208</v>
      </c>
      <c r="D31" s="125">
        <v>36400</v>
      </c>
      <c r="E31" s="125">
        <v>350</v>
      </c>
    </row>
    <row r="32" spans="1:5" ht="32.1" customHeight="1">
      <c r="A32" s="124" t="s">
        <v>403</v>
      </c>
      <c r="B32" s="125">
        <v>40712</v>
      </c>
      <c r="C32" s="125">
        <v>260</v>
      </c>
      <c r="D32" s="125">
        <v>26694</v>
      </c>
      <c r="E32" s="125">
        <v>574</v>
      </c>
    </row>
    <row r="33" spans="1:5" ht="32.1" customHeight="1">
      <c r="A33" s="124" t="s">
        <v>404</v>
      </c>
      <c r="B33" s="125">
        <v>1503982</v>
      </c>
      <c r="C33" s="125">
        <v>6885</v>
      </c>
      <c r="D33" s="125">
        <v>1201484</v>
      </c>
      <c r="E33" s="125">
        <v>14458</v>
      </c>
    </row>
    <row r="34" spans="1:5" ht="32.1" customHeight="1">
      <c r="A34" s="124" t="s">
        <v>405</v>
      </c>
      <c r="B34" s="125">
        <v>40140</v>
      </c>
      <c r="C34" s="125">
        <v>210</v>
      </c>
      <c r="D34" s="125">
        <v>33915</v>
      </c>
      <c r="E34" s="125">
        <v>526</v>
      </c>
    </row>
    <row r="35" spans="1:5" ht="32.1" customHeight="1">
      <c r="A35" s="124" t="s">
        <v>406</v>
      </c>
      <c r="B35" s="125">
        <v>790790</v>
      </c>
      <c r="C35" s="125">
        <v>4653</v>
      </c>
      <c r="D35" s="125">
        <v>629013</v>
      </c>
      <c r="E35" s="125">
        <v>10675</v>
      </c>
    </row>
    <row r="36" spans="1:5" ht="32.1" customHeight="1">
      <c r="A36" s="124" t="s">
        <v>407</v>
      </c>
      <c r="B36" s="125">
        <v>274212</v>
      </c>
      <c r="C36" s="125">
        <v>1581</v>
      </c>
      <c r="D36" s="125">
        <v>228170</v>
      </c>
      <c r="E36" s="125">
        <v>3724</v>
      </c>
    </row>
    <row r="37" spans="1:5" ht="32.1" customHeight="1">
      <c r="A37" s="124" t="s">
        <v>408</v>
      </c>
      <c r="B37" s="125">
        <v>386788</v>
      </c>
      <c r="C37" s="125">
        <v>1457</v>
      </c>
      <c r="D37" s="125">
        <v>287388</v>
      </c>
      <c r="E37" s="125">
        <v>6829</v>
      </c>
    </row>
    <row r="38" spans="1:5" ht="32.1" customHeight="1">
      <c r="A38" s="124" t="s">
        <v>409</v>
      </c>
      <c r="B38" s="125">
        <v>67464</v>
      </c>
      <c r="C38" s="125">
        <v>340</v>
      </c>
      <c r="D38" s="125">
        <v>58275</v>
      </c>
      <c r="E38" s="125">
        <v>587</v>
      </c>
    </row>
    <row r="39" spans="1:5" ht="32.1" customHeight="1">
      <c r="A39" s="124" t="s">
        <v>410</v>
      </c>
      <c r="B39" s="125">
        <v>78114</v>
      </c>
      <c r="C39" s="125">
        <v>208</v>
      </c>
      <c r="D39" s="125">
        <v>69537</v>
      </c>
      <c r="E39" s="125">
        <v>1744</v>
      </c>
    </row>
    <row r="40" spans="1:5" ht="32.1" customHeight="1">
      <c r="A40" s="124" t="s">
        <v>411</v>
      </c>
      <c r="B40" s="125">
        <v>171128</v>
      </c>
      <c r="C40" s="125">
        <v>1026</v>
      </c>
      <c r="D40" s="125">
        <v>146058</v>
      </c>
      <c r="E40" s="125">
        <v>1735</v>
      </c>
    </row>
    <row r="41" spans="1:5" ht="32.1" customHeight="1">
      <c r="A41" s="124" t="s">
        <v>412</v>
      </c>
      <c r="B41" s="125">
        <v>22688</v>
      </c>
      <c r="C41" s="125">
        <v>141</v>
      </c>
      <c r="D41" s="125">
        <v>19310</v>
      </c>
      <c r="E41" s="125">
        <v>263</v>
      </c>
    </row>
    <row r="42" spans="1:5" ht="32.1" customHeight="1">
      <c r="A42" s="124" t="s">
        <v>413</v>
      </c>
      <c r="B42" s="125">
        <v>0</v>
      </c>
      <c r="C42" s="125">
        <v>190</v>
      </c>
      <c r="D42" s="125">
        <v>0</v>
      </c>
      <c r="E42" s="125">
        <v>10114</v>
      </c>
    </row>
    <row r="43" spans="1:5" ht="32.1" customHeight="1">
      <c r="A43" s="124" t="s">
        <v>414</v>
      </c>
      <c r="B43" s="125">
        <v>588659</v>
      </c>
      <c r="C43" s="125">
        <v>1943</v>
      </c>
      <c r="D43" s="125">
        <v>485846</v>
      </c>
      <c r="E43" s="125">
        <v>28215</v>
      </c>
    </row>
    <row r="44" spans="1:5" ht="32.1" customHeight="1">
      <c r="A44" s="124" t="s">
        <v>415</v>
      </c>
      <c r="B44" s="125">
        <v>139004</v>
      </c>
      <c r="C44" s="125">
        <v>488</v>
      </c>
      <c r="D44" s="125">
        <v>126355</v>
      </c>
      <c r="E44" s="125">
        <v>6159</v>
      </c>
    </row>
    <row r="45" spans="1:5" ht="32.1" customHeight="1">
      <c r="A45" s="124" t="s">
        <v>416</v>
      </c>
      <c r="B45" s="125">
        <v>0</v>
      </c>
      <c r="C45" s="125">
        <v>2</v>
      </c>
      <c r="D45" s="125">
        <v>0</v>
      </c>
      <c r="E45" s="125">
        <v>3</v>
      </c>
    </row>
    <row r="46" spans="1:5" ht="32.1" customHeight="1">
      <c r="A46" s="124" t="s">
        <v>417</v>
      </c>
      <c r="B46" s="125">
        <v>66887</v>
      </c>
      <c r="C46" s="125">
        <v>276</v>
      </c>
      <c r="D46" s="125">
        <v>55925</v>
      </c>
      <c r="E46" s="125">
        <v>2881</v>
      </c>
    </row>
    <row r="47" spans="1:5" ht="32.1" customHeight="1">
      <c r="A47" s="124" t="s">
        <v>418</v>
      </c>
      <c r="B47" s="125">
        <v>0</v>
      </c>
      <c r="C47" s="125">
        <v>954</v>
      </c>
      <c r="D47" s="125">
        <v>0</v>
      </c>
      <c r="E47" s="125">
        <v>51950</v>
      </c>
    </row>
    <row r="48" spans="1:5" ht="32.1" customHeight="1">
      <c r="A48" s="124" t="s">
        <v>419</v>
      </c>
      <c r="B48" s="125">
        <v>0</v>
      </c>
      <c r="C48" s="125">
        <v>2</v>
      </c>
      <c r="D48" s="125">
        <v>0</v>
      </c>
      <c r="E48" s="125">
        <v>109</v>
      </c>
    </row>
    <row r="49" spans="1:5" ht="32.1" customHeight="1">
      <c r="A49" s="124" t="s">
        <v>420</v>
      </c>
      <c r="B49" s="125">
        <v>68986</v>
      </c>
      <c r="C49" s="125">
        <v>276</v>
      </c>
      <c r="D49" s="125">
        <v>57190</v>
      </c>
      <c r="E49" s="125">
        <v>2583</v>
      </c>
    </row>
    <row r="50" spans="1:5" ht="32.1" customHeight="1">
      <c r="A50" s="124" t="s">
        <v>421</v>
      </c>
      <c r="B50" s="125">
        <v>784</v>
      </c>
      <c r="C50" s="125">
        <v>4</v>
      </c>
      <c r="D50" s="125">
        <v>748</v>
      </c>
      <c r="E50" s="125">
        <v>8</v>
      </c>
    </row>
    <row r="51" spans="1:5" ht="32.1" customHeight="1">
      <c r="A51" s="124" t="s">
        <v>422</v>
      </c>
      <c r="B51" s="125">
        <v>24652</v>
      </c>
      <c r="C51" s="125">
        <v>194</v>
      </c>
      <c r="D51" s="125">
        <v>16488</v>
      </c>
      <c r="E51" s="125">
        <v>175</v>
      </c>
    </row>
    <row r="52" spans="1:5" ht="32.1" customHeight="1">
      <c r="A52" s="124" t="s">
        <v>423</v>
      </c>
      <c r="B52" s="125">
        <v>253195</v>
      </c>
      <c r="C52" s="125">
        <v>487</v>
      </c>
      <c r="D52" s="125">
        <v>214991</v>
      </c>
      <c r="E52" s="125">
        <v>9594</v>
      </c>
    </row>
    <row r="53" spans="1:5" ht="32.1" customHeight="1">
      <c r="A53" s="124" t="s">
        <v>424</v>
      </c>
      <c r="B53" s="125">
        <v>473379</v>
      </c>
      <c r="C53" s="125">
        <v>2045</v>
      </c>
      <c r="D53" s="125">
        <v>415753</v>
      </c>
      <c r="E53" s="125">
        <v>11320</v>
      </c>
    </row>
    <row r="54" spans="1:5" ht="32.1" customHeight="1">
      <c r="A54" s="124" t="s">
        <v>425</v>
      </c>
      <c r="B54" s="125">
        <v>0</v>
      </c>
      <c r="C54" s="125">
        <v>68</v>
      </c>
      <c r="D54" s="125">
        <v>0</v>
      </c>
      <c r="E54" s="125">
        <v>2499</v>
      </c>
    </row>
    <row r="55" spans="1:5" ht="32.1" customHeight="1">
      <c r="A55" s="124" t="s">
        <v>426</v>
      </c>
      <c r="B55" s="125">
        <v>163838</v>
      </c>
      <c r="C55" s="125">
        <v>968</v>
      </c>
      <c r="D55" s="125">
        <v>137939</v>
      </c>
      <c r="E55" s="125">
        <v>2497</v>
      </c>
    </row>
    <row r="56" spans="1:5" ht="32.1" customHeight="1">
      <c r="A56" s="124" t="s">
        <v>427</v>
      </c>
      <c r="B56" s="125">
        <v>0</v>
      </c>
      <c r="C56" s="125">
        <v>534</v>
      </c>
      <c r="D56" s="125">
        <v>0</v>
      </c>
      <c r="E56" s="125">
        <v>20714</v>
      </c>
    </row>
    <row r="57" spans="1:5" ht="32.1" customHeight="1">
      <c r="A57" s="124" t="s">
        <v>428</v>
      </c>
      <c r="B57" s="125">
        <v>104972</v>
      </c>
      <c r="C57" s="125">
        <v>512</v>
      </c>
      <c r="D57" s="125">
        <v>76187</v>
      </c>
      <c r="E57" s="125">
        <v>1927</v>
      </c>
    </row>
    <row r="58" spans="1:5" ht="32.1" customHeight="1">
      <c r="A58" s="124" t="s">
        <v>429</v>
      </c>
      <c r="B58" s="125">
        <v>733225</v>
      </c>
      <c r="C58" s="125">
        <v>1945</v>
      </c>
      <c r="D58" s="125">
        <v>551774</v>
      </c>
      <c r="E58" s="125">
        <v>13423</v>
      </c>
    </row>
    <row r="59" spans="1:5" ht="32.1" customHeight="1">
      <c r="A59" s="124" t="s">
        <v>430</v>
      </c>
      <c r="B59" s="125">
        <v>0</v>
      </c>
      <c r="C59" s="125">
        <v>428</v>
      </c>
      <c r="D59" s="125">
        <v>0</v>
      </c>
      <c r="E59" s="125">
        <v>14270</v>
      </c>
    </row>
    <row r="60" spans="1:5" ht="32.1" customHeight="1">
      <c r="A60" s="124" t="s">
        <v>431</v>
      </c>
      <c r="B60" s="125">
        <v>299062</v>
      </c>
      <c r="C60" s="125">
        <v>945</v>
      </c>
      <c r="D60" s="125">
        <v>266530</v>
      </c>
      <c r="E60" s="125">
        <v>16153</v>
      </c>
    </row>
    <row r="61" spans="1:5" ht="32.1" customHeight="1">
      <c r="A61" s="124" t="s">
        <v>432</v>
      </c>
      <c r="B61" s="125">
        <v>0</v>
      </c>
      <c r="C61" s="125">
        <v>413</v>
      </c>
      <c r="D61" s="125">
        <v>0</v>
      </c>
      <c r="E61" s="125">
        <v>13003</v>
      </c>
    </row>
    <row r="62" spans="1:5" ht="32.1" customHeight="1">
      <c r="A62" s="124" t="s">
        <v>433</v>
      </c>
      <c r="B62" s="125">
        <v>158478</v>
      </c>
      <c r="C62" s="125">
        <v>661</v>
      </c>
      <c r="D62" s="125">
        <v>58113</v>
      </c>
      <c r="E62" s="125">
        <v>4055</v>
      </c>
    </row>
    <row r="63" spans="1:5" ht="32.1" customHeight="1">
      <c r="A63" s="124" t="s">
        <v>434</v>
      </c>
      <c r="B63" s="125">
        <v>181704</v>
      </c>
      <c r="C63" s="125">
        <v>488</v>
      </c>
      <c r="D63" s="125">
        <v>144474</v>
      </c>
      <c r="E63" s="125">
        <v>8108</v>
      </c>
    </row>
    <row r="64" spans="1:5" ht="32.1" customHeight="1">
      <c r="A64" s="124" t="s">
        <v>435</v>
      </c>
      <c r="B64" s="125">
        <v>104116</v>
      </c>
      <c r="C64" s="125">
        <v>486</v>
      </c>
      <c r="D64" s="125">
        <v>91500</v>
      </c>
      <c r="E64" s="125">
        <v>5446</v>
      </c>
    </row>
    <row r="65" spans="1:5" ht="32.1" customHeight="1">
      <c r="A65" s="124" t="s">
        <v>436</v>
      </c>
      <c r="B65" s="125">
        <v>269618</v>
      </c>
      <c r="C65" s="125">
        <v>2091</v>
      </c>
      <c r="D65" s="125">
        <v>192074</v>
      </c>
      <c r="E65" s="125">
        <v>2598</v>
      </c>
    </row>
    <row r="66" spans="1:5" ht="32.1" customHeight="1">
      <c r="A66" s="124" t="s">
        <v>437</v>
      </c>
      <c r="B66" s="125">
        <v>41996</v>
      </c>
      <c r="C66" s="125">
        <v>220</v>
      </c>
      <c r="D66" s="125">
        <v>38482</v>
      </c>
      <c r="E66" s="125">
        <v>395</v>
      </c>
    </row>
    <row r="67" spans="1:5" ht="32.1" customHeight="1">
      <c r="A67" s="124" t="s">
        <v>438</v>
      </c>
      <c r="B67" s="125">
        <v>119890</v>
      </c>
      <c r="C67" s="125">
        <v>484</v>
      </c>
      <c r="D67" s="125">
        <v>102463</v>
      </c>
      <c r="E67" s="125">
        <v>3883</v>
      </c>
    </row>
    <row r="68" spans="1:5" ht="32.1" customHeight="1">
      <c r="A68" s="124" t="s">
        <v>439</v>
      </c>
      <c r="B68" s="125">
        <v>25033</v>
      </c>
      <c r="C68" s="125">
        <v>149</v>
      </c>
      <c r="D68" s="125">
        <v>18216</v>
      </c>
      <c r="E68" s="125">
        <v>212</v>
      </c>
    </row>
    <row r="69" spans="1:5" ht="32.1" customHeight="1">
      <c r="A69" s="124" t="s">
        <v>440</v>
      </c>
      <c r="B69" s="125">
        <v>0</v>
      </c>
      <c r="C69" s="125">
        <v>24</v>
      </c>
      <c r="D69" s="125">
        <v>0</v>
      </c>
      <c r="E69" s="125">
        <v>1320</v>
      </c>
    </row>
    <row r="70" spans="1:5" ht="32.1" customHeight="1">
      <c r="A70" s="124" t="s">
        <v>441</v>
      </c>
      <c r="B70" s="125">
        <v>179013</v>
      </c>
      <c r="C70" s="125">
        <v>688</v>
      </c>
      <c r="D70" s="125">
        <v>145438</v>
      </c>
      <c r="E70" s="125">
        <v>9086</v>
      </c>
    </row>
    <row r="71" spans="1:5" ht="32.1" customHeight="1">
      <c r="A71" s="124" t="s">
        <v>442</v>
      </c>
      <c r="B71" s="125">
        <v>33488</v>
      </c>
      <c r="C71" s="125">
        <v>182</v>
      </c>
      <c r="D71" s="125">
        <v>29735</v>
      </c>
      <c r="E71" s="125">
        <v>490</v>
      </c>
    </row>
    <row r="72" spans="1:5" ht="32.1" customHeight="1">
      <c r="A72" s="124" t="s">
        <v>443</v>
      </c>
      <c r="B72" s="125">
        <v>0</v>
      </c>
      <c r="C72" s="125">
        <v>2142</v>
      </c>
      <c r="D72" s="125">
        <v>0</v>
      </c>
      <c r="E72" s="125">
        <v>25724</v>
      </c>
    </row>
    <row r="73" spans="1:5" ht="32.1" customHeight="1">
      <c r="A73" s="124" t="s">
        <v>444</v>
      </c>
      <c r="B73" s="125">
        <v>9238</v>
      </c>
      <c r="C73" s="125">
        <v>62</v>
      </c>
      <c r="D73" s="125">
        <v>5894</v>
      </c>
      <c r="E73" s="125">
        <v>77</v>
      </c>
    </row>
    <row r="74" spans="1:5" ht="32.1" customHeight="1">
      <c r="A74" s="124" t="s">
        <v>445</v>
      </c>
      <c r="B74" s="125">
        <v>69376</v>
      </c>
      <c r="C74" s="125">
        <v>272</v>
      </c>
      <c r="D74" s="125">
        <v>43848</v>
      </c>
      <c r="E74" s="125">
        <v>2425</v>
      </c>
    </row>
    <row r="75" spans="1:5" ht="32.1" customHeight="1">
      <c r="A75" s="124" t="s">
        <v>446</v>
      </c>
      <c r="B75" s="125">
        <v>561964</v>
      </c>
      <c r="C75" s="125">
        <v>2428</v>
      </c>
      <c r="D75" s="125">
        <v>467415</v>
      </c>
      <c r="E75" s="125">
        <v>10635</v>
      </c>
    </row>
    <row r="76" spans="1:5" ht="32.1" customHeight="1">
      <c r="A76" s="124" t="s">
        <v>447</v>
      </c>
      <c r="B76" s="125">
        <v>347535</v>
      </c>
      <c r="C76" s="125">
        <v>1458</v>
      </c>
      <c r="D76" s="125">
        <v>283507</v>
      </c>
      <c r="E76" s="125">
        <v>5799</v>
      </c>
    </row>
    <row r="77" spans="1:5" ht="32.1" customHeight="1">
      <c r="A77" s="124" t="s">
        <v>448</v>
      </c>
      <c r="B77" s="125">
        <v>34060</v>
      </c>
      <c r="C77" s="125">
        <v>185</v>
      </c>
      <c r="D77" s="125">
        <v>31044</v>
      </c>
      <c r="E77" s="125">
        <v>329</v>
      </c>
    </row>
    <row r="78" spans="1:5" ht="32.1" customHeight="1">
      <c r="A78" s="124" t="s">
        <v>449</v>
      </c>
      <c r="B78" s="125">
        <v>1005131</v>
      </c>
      <c r="C78" s="125">
        <v>5347</v>
      </c>
      <c r="D78" s="125">
        <v>828407</v>
      </c>
      <c r="E78" s="125">
        <v>19328</v>
      </c>
    </row>
    <row r="79" spans="1:5" ht="32.1" customHeight="1">
      <c r="A79" s="124" t="s">
        <v>450</v>
      </c>
      <c r="B79" s="125">
        <v>147518</v>
      </c>
      <c r="C79" s="125">
        <v>934</v>
      </c>
      <c r="D79" s="125">
        <v>137366</v>
      </c>
      <c r="E79" s="125">
        <v>2032</v>
      </c>
    </row>
    <row r="80" spans="1:5" ht="32.1" customHeight="1">
      <c r="A80" s="124" t="s">
        <v>451</v>
      </c>
      <c r="B80" s="125">
        <v>1756418</v>
      </c>
      <c r="C80" s="125">
        <v>10007</v>
      </c>
      <c r="D80" s="125">
        <v>1424773</v>
      </c>
      <c r="E80" s="125">
        <v>27316</v>
      </c>
    </row>
    <row r="81" spans="1:5" ht="32.1" customHeight="1">
      <c r="A81" s="124" t="s">
        <v>452</v>
      </c>
      <c r="B81" s="125">
        <v>1994614</v>
      </c>
      <c r="C81" s="125">
        <v>10334</v>
      </c>
      <c r="D81" s="125">
        <v>1590251</v>
      </c>
      <c r="E81" s="125">
        <v>30467</v>
      </c>
    </row>
    <row r="82" spans="1:5" ht="32.1" customHeight="1">
      <c r="A82" s="124" t="s">
        <v>453</v>
      </c>
      <c r="B82" s="125">
        <v>15542</v>
      </c>
      <c r="C82" s="125">
        <v>92</v>
      </c>
      <c r="D82" s="125">
        <v>13472</v>
      </c>
      <c r="E82" s="125">
        <v>136</v>
      </c>
    </row>
    <row r="83" spans="1:5" ht="32.1" customHeight="1">
      <c r="A83" s="124" t="s">
        <v>454</v>
      </c>
      <c r="B83" s="125">
        <v>0</v>
      </c>
      <c r="C83" s="125">
        <v>16</v>
      </c>
      <c r="D83" s="125">
        <v>0</v>
      </c>
      <c r="E83" s="125">
        <v>248</v>
      </c>
    </row>
    <row r="84" spans="1:5" ht="32.1" customHeight="1">
      <c r="A84" s="124" t="s">
        <v>455</v>
      </c>
      <c r="B84" s="125">
        <v>139420</v>
      </c>
      <c r="C84" s="125">
        <v>832</v>
      </c>
      <c r="D84" s="125">
        <v>103878</v>
      </c>
      <c r="E84" s="125">
        <v>2293</v>
      </c>
    </row>
    <row r="85" spans="1:5" ht="32.1" customHeight="1">
      <c r="A85" s="124" t="s">
        <v>456</v>
      </c>
      <c r="B85" s="125">
        <v>0</v>
      </c>
      <c r="C85" s="125">
        <v>124</v>
      </c>
      <c r="D85" s="125">
        <v>0</v>
      </c>
      <c r="E85" s="125">
        <v>917</v>
      </c>
    </row>
    <row r="86" spans="1:5" ht="32.1" customHeight="1">
      <c r="A86" s="124" t="s">
        <v>457</v>
      </c>
      <c r="B86" s="125">
        <v>83264</v>
      </c>
      <c r="C86" s="125">
        <v>486</v>
      </c>
      <c r="D86" s="125">
        <v>62681</v>
      </c>
      <c r="E86" s="125">
        <v>1135</v>
      </c>
    </row>
    <row r="87" spans="1:5" ht="32.1" customHeight="1">
      <c r="A87" s="124" t="s">
        <v>458</v>
      </c>
      <c r="B87" s="125">
        <v>0</v>
      </c>
      <c r="C87" s="125">
        <v>364</v>
      </c>
      <c r="D87" s="125">
        <v>0</v>
      </c>
      <c r="E87" s="125">
        <v>19414</v>
      </c>
    </row>
    <row r="88" spans="1:5" ht="32.1" customHeight="1">
      <c r="A88" s="124" t="s">
        <v>459</v>
      </c>
      <c r="B88" s="125">
        <v>655026</v>
      </c>
      <c r="C88" s="125">
        <v>2771</v>
      </c>
      <c r="D88" s="125">
        <v>547138</v>
      </c>
      <c r="E88" s="125">
        <v>15567</v>
      </c>
    </row>
    <row r="89" spans="1:5" ht="32.1" customHeight="1">
      <c r="A89" s="124" t="s">
        <v>460</v>
      </c>
      <c r="B89" s="125">
        <v>11556</v>
      </c>
      <c r="C89" s="125">
        <v>64</v>
      </c>
      <c r="D89" s="125">
        <v>8025</v>
      </c>
      <c r="E89" s="125">
        <v>71</v>
      </c>
    </row>
    <row r="90" spans="1:5" ht="32.1" customHeight="1">
      <c r="A90" s="124" t="s">
        <v>461</v>
      </c>
      <c r="B90" s="125">
        <v>125584</v>
      </c>
      <c r="C90" s="125">
        <v>714</v>
      </c>
      <c r="D90" s="125">
        <v>113577</v>
      </c>
      <c r="E90" s="125">
        <v>1366</v>
      </c>
    </row>
    <row r="91" spans="1:5" ht="32.1" customHeight="1">
      <c r="A91" s="124" t="s">
        <v>462</v>
      </c>
      <c r="B91" s="125">
        <v>71622</v>
      </c>
      <c r="C91" s="125">
        <v>259</v>
      </c>
      <c r="D91" s="125">
        <v>59726</v>
      </c>
      <c r="E91" s="125">
        <v>3048</v>
      </c>
    </row>
    <row r="92" spans="1:5" ht="32.1" customHeight="1">
      <c r="A92" s="124" t="s">
        <v>463</v>
      </c>
      <c r="B92" s="125">
        <v>645830</v>
      </c>
      <c r="C92" s="125">
        <v>3537</v>
      </c>
      <c r="D92" s="125">
        <v>573831</v>
      </c>
      <c r="E92" s="125">
        <v>6282</v>
      </c>
    </row>
    <row r="93" spans="1:5" ht="32.1" customHeight="1">
      <c r="A93" s="124" t="s">
        <v>464</v>
      </c>
      <c r="B93" s="125">
        <v>76358</v>
      </c>
      <c r="C93" s="125">
        <v>483</v>
      </c>
      <c r="D93" s="125">
        <v>59826</v>
      </c>
      <c r="E93" s="125">
        <v>928</v>
      </c>
    </row>
    <row r="94" spans="1:5" ht="32.1" customHeight="1">
      <c r="A94" s="124" t="s">
        <v>465</v>
      </c>
      <c r="B94" s="125">
        <v>0</v>
      </c>
      <c r="C94" s="125">
        <v>24</v>
      </c>
      <c r="D94" s="125">
        <v>0</v>
      </c>
      <c r="E94" s="125">
        <v>720</v>
      </c>
    </row>
    <row r="95" spans="1:5" ht="32.1" customHeight="1">
      <c r="A95" s="124" t="s">
        <v>466</v>
      </c>
      <c r="B95" s="125">
        <v>0</v>
      </c>
      <c r="C95" s="125">
        <v>198</v>
      </c>
      <c r="D95" s="125">
        <v>0</v>
      </c>
      <c r="E95" s="125">
        <v>8855</v>
      </c>
    </row>
    <row r="96" spans="1:5" ht="32.1" customHeight="1">
      <c r="A96" s="124" t="s">
        <v>467</v>
      </c>
      <c r="B96" s="125">
        <v>189352</v>
      </c>
      <c r="C96" s="125">
        <v>806</v>
      </c>
      <c r="D96" s="125">
        <v>157808</v>
      </c>
      <c r="E96" s="125">
        <v>38246</v>
      </c>
    </row>
    <row r="97" spans="1:5" ht="32.1" customHeight="1">
      <c r="A97" s="124" t="s">
        <v>468</v>
      </c>
      <c r="B97" s="125">
        <v>0</v>
      </c>
      <c r="C97" s="125">
        <v>111</v>
      </c>
      <c r="D97" s="125">
        <v>0</v>
      </c>
      <c r="E97" s="125">
        <v>2761</v>
      </c>
    </row>
    <row r="98" spans="1:5" ht="32.1" customHeight="1">
      <c r="A98" s="124" t="s">
        <v>469</v>
      </c>
      <c r="B98" s="125">
        <v>844162</v>
      </c>
      <c r="C98" s="125">
        <v>2969</v>
      </c>
      <c r="D98" s="125">
        <v>679351</v>
      </c>
      <c r="E98" s="125">
        <v>33342</v>
      </c>
    </row>
    <row r="99" spans="1:5" ht="32.1" customHeight="1">
      <c r="A99" s="124" t="s">
        <v>470</v>
      </c>
      <c r="B99" s="125">
        <v>121998</v>
      </c>
      <c r="C99" s="125">
        <v>711</v>
      </c>
      <c r="D99" s="125">
        <v>94325</v>
      </c>
      <c r="E99" s="125">
        <v>1474</v>
      </c>
    </row>
    <row r="100" spans="1:5" ht="32.1" customHeight="1">
      <c r="A100" s="124" t="s">
        <v>471</v>
      </c>
      <c r="B100" s="125">
        <v>138600</v>
      </c>
      <c r="C100" s="125">
        <v>770</v>
      </c>
      <c r="D100" s="125">
        <v>120281</v>
      </c>
      <c r="E100" s="125">
        <v>1184</v>
      </c>
    </row>
    <row r="101" spans="1:5" ht="32.1" customHeight="1">
      <c r="A101" s="124" t="s">
        <v>472</v>
      </c>
      <c r="B101" s="125">
        <v>517632</v>
      </c>
      <c r="C101" s="125">
        <v>1376</v>
      </c>
      <c r="D101" s="125">
        <v>428680</v>
      </c>
      <c r="E101" s="125">
        <v>9812</v>
      </c>
    </row>
    <row r="102" spans="1:5" ht="32.1" customHeight="1">
      <c r="A102" s="124" t="s">
        <v>473</v>
      </c>
      <c r="B102" s="125">
        <v>916924</v>
      </c>
      <c r="C102" s="125">
        <v>2728</v>
      </c>
      <c r="D102" s="125">
        <v>703694</v>
      </c>
      <c r="E102" s="125">
        <v>32879</v>
      </c>
    </row>
    <row r="103" spans="1:5" ht="32.1" customHeight="1">
      <c r="A103" s="124" t="s">
        <v>474</v>
      </c>
      <c r="B103" s="125">
        <v>247295</v>
      </c>
      <c r="C103" s="125">
        <v>886</v>
      </c>
      <c r="D103" s="125">
        <v>220935</v>
      </c>
      <c r="E103" s="125">
        <v>20060</v>
      </c>
    </row>
    <row r="104" spans="1:5" ht="32.1" customHeight="1">
      <c r="A104" s="124" t="s">
        <v>475</v>
      </c>
      <c r="B104" s="125">
        <v>12528</v>
      </c>
      <c r="C104" s="125">
        <v>81</v>
      </c>
      <c r="D104" s="125">
        <v>9323</v>
      </c>
      <c r="E104" s="125">
        <v>103</v>
      </c>
    </row>
    <row r="105" spans="1:5" ht="32.1" customHeight="1">
      <c r="A105" s="124" t="s">
        <v>476</v>
      </c>
      <c r="B105" s="125">
        <v>261900</v>
      </c>
      <c r="C105" s="125">
        <v>1456</v>
      </c>
      <c r="D105" s="125">
        <v>226584</v>
      </c>
      <c r="E105" s="125">
        <v>2343</v>
      </c>
    </row>
    <row r="106" spans="1:5" ht="32.1" customHeight="1">
      <c r="A106" s="124" t="s">
        <v>477</v>
      </c>
      <c r="B106" s="125">
        <v>0</v>
      </c>
      <c r="C106" s="125">
        <v>1724</v>
      </c>
      <c r="D106" s="125">
        <v>0</v>
      </c>
      <c r="E106" s="125">
        <v>35973</v>
      </c>
    </row>
    <row r="107" spans="1:5" ht="32.1" customHeight="1">
      <c r="A107" s="124" t="s">
        <v>478</v>
      </c>
      <c r="B107" s="125">
        <v>0</v>
      </c>
      <c r="C107" s="125">
        <v>2628</v>
      </c>
      <c r="D107" s="125">
        <v>0</v>
      </c>
      <c r="E107" s="125">
        <v>80572</v>
      </c>
    </row>
    <row r="108" spans="1:5" ht="32.1" customHeight="1">
      <c r="A108" s="124" t="s">
        <v>479</v>
      </c>
      <c r="B108" s="125">
        <v>99456</v>
      </c>
      <c r="C108" s="125">
        <v>352</v>
      </c>
      <c r="D108" s="125">
        <v>86678</v>
      </c>
      <c r="E108" s="125">
        <v>4250</v>
      </c>
    </row>
    <row r="109" spans="1:5" ht="32.1" customHeight="1">
      <c r="A109" s="124" t="s">
        <v>480</v>
      </c>
      <c r="B109" s="125">
        <v>209948</v>
      </c>
      <c r="C109" s="125">
        <v>586</v>
      </c>
      <c r="D109" s="125">
        <v>188548</v>
      </c>
      <c r="E109" s="125">
        <v>11635</v>
      </c>
    </row>
    <row r="110" spans="1:5" ht="32.1" customHeight="1">
      <c r="A110" s="124" t="s">
        <v>481</v>
      </c>
      <c r="B110" s="125">
        <v>652320</v>
      </c>
      <c r="C110" s="125">
        <v>3624</v>
      </c>
      <c r="D110" s="125">
        <v>535881</v>
      </c>
      <c r="E110" s="125">
        <v>3429</v>
      </c>
    </row>
    <row r="111" spans="1:5" ht="32.1" customHeight="1">
      <c r="A111" s="124" t="s">
        <v>482</v>
      </c>
      <c r="B111" s="125">
        <v>165768</v>
      </c>
      <c r="C111" s="125">
        <v>486</v>
      </c>
      <c r="D111" s="125">
        <v>147883</v>
      </c>
      <c r="E111" s="125">
        <v>9882</v>
      </c>
    </row>
    <row r="112" spans="1:5" ht="32.1" customHeight="1">
      <c r="A112" s="124" t="s">
        <v>483</v>
      </c>
      <c r="B112" s="125">
        <v>536376</v>
      </c>
      <c r="C112" s="125">
        <v>2974</v>
      </c>
      <c r="D112" s="125">
        <v>436709</v>
      </c>
      <c r="E112" s="125">
        <v>4529</v>
      </c>
    </row>
    <row r="113" spans="1:5" ht="32.1" customHeight="1">
      <c r="A113" s="124" t="s">
        <v>484</v>
      </c>
      <c r="B113" s="125">
        <v>672446</v>
      </c>
      <c r="C113" s="125">
        <v>2923</v>
      </c>
      <c r="D113" s="125">
        <v>557265</v>
      </c>
      <c r="E113" s="125">
        <v>11903</v>
      </c>
    </row>
    <row r="114" spans="1:5" ht="32.1" customHeight="1">
      <c r="A114" s="124" t="s">
        <v>485</v>
      </c>
      <c r="B114" s="125">
        <v>107284</v>
      </c>
      <c r="C114" s="125">
        <v>366</v>
      </c>
      <c r="D114" s="125">
        <v>89740</v>
      </c>
      <c r="E114" s="125">
        <v>4432</v>
      </c>
    </row>
    <row r="115" spans="1:5" ht="32.1" customHeight="1">
      <c r="A115" s="124" t="s">
        <v>486</v>
      </c>
      <c r="B115" s="125">
        <v>375224</v>
      </c>
      <c r="C115" s="125">
        <v>1737</v>
      </c>
      <c r="D115" s="125">
        <v>347984</v>
      </c>
      <c r="E115" s="125">
        <v>4601</v>
      </c>
    </row>
    <row r="116" spans="1:5" ht="32.1" customHeight="1">
      <c r="A116" s="124" t="s">
        <v>487</v>
      </c>
      <c r="B116" s="125">
        <v>204864</v>
      </c>
      <c r="C116" s="125">
        <v>968</v>
      </c>
      <c r="D116" s="125">
        <v>163746</v>
      </c>
      <c r="E116" s="125">
        <v>4207</v>
      </c>
    </row>
  </sheetData>
  <mergeCells count="1">
    <mergeCell ref="A1:E1"/>
  </mergeCells>
  <phoneticPr fontId="4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0CA06-20BF-45A9-B454-BD39F8C8F4B3}">
  <dimension ref="A1:E137"/>
  <sheetViews>
    <sheetView workbookViewId="0">
      <selection activeCell="C9" sqref="C9"/>
    </sheetView>
  </sheetViews>
  <sheetFormatPr defaultColWidth="9" defaultRowHeight="14.4"/>
  <cols>
    <col min="1" max="1" width="48.33203125" style="4" customWidth="1"/>
    <col min="2" max="5" width="28.33203125" style="4" customWidth="1"/>
    <col min="6" max="16384" width="9" style="4"/>
  </cols>
  <sheetData>
    <row r="1" spans="1:5" ht="33.9" customHeight="1">
      <c r="A1" s="189" t="s">
        <v>488</v>
      </c>
      <c r="B1" s="190"/>
      <c r="C1" s="190"/>
      <c r="D1" s="190"/>
      <c r="E1" s="190"/>
    </row>
    <row r="2" spans="1:5" ht="36.9" customHeight="1">
      <c r="A2" s="123" t="s">
        <v>369</v>
      </c>
      <c r="B2" s="123" t="s">
        <v>370</v>
      </c>
      <c r="C2" s="123" t="s">
        <v>371</v>
      </c>
      <c r="D2" s="123" t="s">
        <v>372</v>
      </c>
      <c r="E2" s="123" t="s">
        <v>373</v>
      </c>
    </row>
    <row r="3" spans="1:5" ht="32.1" customHeight="1">
      <c r="A3" s="124" t="s">
        <v>374</v>
      </c>
      <c r="B3" s="125">
        <v>41994234</v>
      </c>
      <c r="C3" s="125">
        <v>237725</v>
      </c>
      <c r="D3" s="125">
        <v>29525198</v>
      </c>
      <c r="E3" s="125">
        <v>2122170</v>
      </c>
    </row>
    <row r="4" spans="1:5" ht="32.1" customHeight="1">
      <c r="A4" s="124" t="s">
        <v>375</v>
      </c>
      <c r="B4" s="125">
        <v>35003766</v>
      </c>
      <c r="C4" s="125">
        <v>190756</v>
      </c>
      <c r="D4" s="125">
        <v>25100157</v>
      </c>
      <c r="E4" s="125">
        <v>1528230</v>
      </c>
    </row>
    <row r="5" spans="1:5" ht="32.1" customHeight="1">
      <c r="A5" s="124" t="s">
        <v>376</v>
      </c>
      <c r="B5" s="125">
        <v>9085685</v>
      </c>
      <c r="C5" s="125">
        <v>55785</v>
      </c>
      <c r="D5" s="125">
        <v>6079909</v>
      </c>
      <c r="E5" s="125">
        <v>937807</v>
      </c>
    </row>
    <row r="6" spans="1:5" ht="32.1" customHeight="1">
      <c r="A6" s="124" t="s">
        <v>377</v>
      </c>
      <c r="B6" s="125">
        <v>7628947</v>
      </c>
      <c r="C6" s="125">
        <v>39405</v>
      </c>
      <c r="D6" s="125">
        <v>5134136</v>
      </c>
      <c r="E6" s="125">
        <v>496386</v>
      </c>
    </row>
    <row r="7" spans="1:5" ht="32.1" customHeight="1">
      <c r="A7" s="124" t="s">
        <v>378</v>
      </c>
      <c r="B7" s="125">
        <v>4815720</v>
      </c>
      <c r="C7" s="125">
        <v>25516</v>
      </c>
      <c r="D7" s="125">
        <v>3799772</v>
      </c>
      <c r="E7" s="125">
        <v>23104</v>
      </c>
    </row>
    <row r="8" spans="1:5" ht="32.1" customHeight="1">
      <c r="A8" s="124" t="s">
        <v>379</v>
      </c>
      <c r="B8" s="125">
        <v>3674259</v>
      </c>
      <c r="C8" s="125">
        <v>18235</v>
      </c>
      <c r="D8" s="125">
        <v>2729091</v>
      </c>
      <c r="E8" s="125">
        <v>20320</v>
      </c>
    </row>
    <row r="9" spans="1:5" ht="32.1" customHeight="1">
      <c r="A9" s="124" t="s">
        <v>380</v>
      </c>
      <c r="B9" s="125">
        <v>3573593</v>
      </c>
      <c r="C9" s="125">
        <v>18394</v>
      </c>
      <c r="D9" s="125">
        <v>2533190</v>
      </c>
      <c r="E9" s="125">
        <v>14712</v>
      </c>
    </row>
    <row r="10" spans="1:5" ht="32.1" customHeight="1">
      <c r="A10" s="124" t="s">
        <v>381</v>
      </c>
      <c r="B10" s="125">
        <v>1292238</v>
      </c>
      <c r="C10" s="125">
        <v>6743</v>
      </c>
      <c r="D10" s="125">
        <v>984718</v>
      </c>
      <c r="E10" s="125">
        <v>6452</v>
      </c>
    </row>
    <row r="11" spans="1:5" ht="32.1" customHeight="1">
      <c r="A11" s="124" t="s">
        <v>382</v>
      </c>
      <c r="B11" s="125">
        <v>3911171</v>
      </c>
      <c r="C11" s="125">
        <v>20711</v>
      </c>
      <c r="D11" s="125">
        <v>3049465</v>
      </c>
      <c r="E11" s="125">
        <v>17216</v>
      </c>
    </row>
    <row r="12" spans="1:5" ht="32.1" customHeight="1">
      <c r="A12" s="124" t="s">
        <v>383</v>
      </c>
      <c r="B12" s="125">
        <v>0</v>
      </c>
      <c r="C12" s="125">
        <v>858</v>
      </c>
      <c r="D12" s="125">
        <v>0</v>
      </c>
      <c r="E12" s="125">
        <v>7658</v>
      </c>
    </row>
    <row r="13" spans="1:5" ht="32.1" customHeight="1">
      <c r="A13" s="124" t="s">
        <v>384</v>
      </c>
      <c r="B13" s="125">
        <v>812345</v>
      </c>
      <c r="C13" s="125">
        <v>3977</v>
      </c>
      <c r="D13" s="125">
        <v>680126</v>
      </c>
      <c r="E13" s="125">
        <v>3958</v>
      </c>
    </row>
    <row r="14" spans="1:5" ht="32.1" customHeight="1">
      <c r="A14" s="124" t="s">
        <v>489</v>
      </c>
      <c r="B14" s="125">
        <v>209808</v>
      </c>
      <c r="C14" s="125">
        <v>1132</v>
      </c>
      <c r="D14" s="125">
        <v>109750</v>
      </c>
      <c r="E14" s="125">
        <v>617</v>
      </c>
    </row>
    <row r="15" spans="1:5" ht="32.1" customHeight="1">
      <c r="A15" s="124" t="s">
        <v>385</v>
      </c>
      <c r="B15" s="125">
        <v>6990468</v>
      </c>
      <c r="C15" s="125">
        <v>46969</v>
      </c>
      <c r="D15" s="125">
        <v>4425041</v>
      </c>
      <c r="E15" s="125">
        <v>593940</v>
      </c>
    </row>
    <row r="16" spans="1:5" ht="32.1" customHeight="1">
      <c r="A16" s="124" t="s">
        <v>386</v>
      </c>
      <c r="B16" s="125">
        <v>0</v>
      </c>
      <c r="C16" s="125">
        <v>280</v>
      </c>
      <c r="D16" s="125">
        <v>0</v>
      </c>
      <c r="E16" s="125">
        <v>2265</v>
      </c>
    </row>
    <row r="17" spans="1:5" ht="32.1" customHeight="1">
      <c r="A17" s="124" t="s">
        <v>387</v>
      </c>
      <c r="B17" s="125">
        <v>122752</v>
      </c>
      <c r="C17" s="125">
        <v>432</v>
      </c>
      <c r="D17" s="125">
        <v>69438</v>
      </c>
      <c r="E17" s="125">
        <v>5825</v>
      </c>
    </row>
    <row r="18" spans="1:5" ht="32.1" customHeight="1">
      <c r="A18" s="124" t="s">
        <v>490</v>
      </c>
      <c r="B18" s="125">
        <v>0</v>
      </c>
      <c r="C18" s="125">
        <v>3</v>
      </c>
      <c r="D18" s="125">
        <v>0</v>
      </c>
      <c r="E18" s="125">
        <v>56</v>
      </c>
    </row>
    <row r="19" spans="1:5" ht="32.1" customHeight="1">
      <c r="A19" s="124" t="s">
        <v>388</v>
      </c>
      <c r="B19" s="125">
        <v>107244</v>
      </c>
      <c r="C19" s="125">
        <v>357</v>
      </c>
      <c r="D19" s="125">
        <v>56169</v>
      </c>
      <c r="E19" s="125">
        <v>7632</v>
      </c>
    </row>
    <row r="20" spans="1:5" ht="32.1" customHeight="1">
      <c r="A20" s="124" t="s">
        <v>491</v>
      </c>
      <c r="B20" s="125">
        <v>29353</v>
      </c>
      <c r="C20" s="125">
        <v>112</v>
      </c>
      <c r="D20" s="125">
        <v>21230</v>
      </c>
      <c r="E20" s="125">
        <v>1282</v>
      </c>
    </row>
    <row r="21" spans="1:5" ht="32.1" customHeight="1">
      <c r="A21" s="124" t="s">
        <v>389</v>
      </c>
      <c r="B21" s="125">
        <v>318924</v>
      </c>
      <c r="C21" s="125">
        <v>1586</v>
      </c>
      <c r="D21" s="125">
        <v>178948</v>
      </c>
      <c r="E21" s="125">
        <v>15730</v>
      </c>
    </row>
    <row r="22" spans="1:5" ht="32.1" customHeight="1">
      <c r="A22" s="124" t="s">
        <v>390</v>
      </c>
      <c r="B22" s="125">
        <v>19378</v>
      </c>
      <c r="C22" s="125">
        <v>138</v>
      </c>
      <c r="D22" s="125">
        <v>12940</v>
      </c>
      <c r="E22" s="125">
        <v>268</v>
      </c>
    </row>
    <row r="23" spans="1:5" ht="32.1" customHeight="1">
      <c r="A23" s="124" t="s">
        <v>391</v>
      </c>
      <c r="B23" s="125">
        <v>47920</v>
      </c>
      <c r="C23" s="125">
        <v>164</v>
      </c>
      <c r="D23" s="125">
        <v>33609</v>
      </c>
      <c r="E23" s="125">
        <v>1818</v>
      </c>
    </row>
    <row r="24" spans="1:5" ht="32.1" customHeight="1">
      <c r="A24" s="124" t="s">
        <v>492</v>
      </c>
      <c r="B24" s="125">
        <v>470</v>
      </c>
      <c r="C24" s="125">
        <v>6</v>
      </c>
      <c r="D24" s="125">
        <v>95</v>
      </c>
      <c r="E24" s="125">
        <v>25</v>
      </c>
    </row>
    <row r="25" spans="1:5" ht="32.1" customHeight="1">
      <c r="A25" s="124" t="s">
        <v>493</v>
      </c>
      <c r="B25" s="125">
        <v>0</v>
      </c>
      <c r="C25" s="125">
        <v>2</v>
      </c>
      <c r="D25" s="125">
        <v>0</v>
      </c>
      <c r="E25" s="125">
        <v>44</v>
      </c>
    </row>
    <row r="26" spans="1:5" ht="32.1" customHeight="1">
      <c r="A26" s="124" t="s">
        <v>392</v>
      </c>
      <c r="B26" s="125">
        <v>97226</v>
      </c>
      <c r="C26" s="125">
        <v>291</v>
      </c>
      <c r="D26" s="125">
        <v>67854</v>
      </c>
      <c r="E26" s="125">
        <v>4372</v>
      </c>
    </row>
    <row r="27" spans="1:5" ht="32.1" customHeight="1">
      <c r="A27" s="124" t="s">
        <v>393</v>
      </c>
      <c r="B27" s="125">
        <v>0</v>
      </c>
      <c r="C27" s="125">
        <v>562</v>
      </c>
      <c r="D27" s="125">
        <v>0</v>
      </c>
      <c r="E27" s="125">
        <v>11560</v>
      </c>
    </row>
    <row r="28" spans="1:5" ht="32.1" customHeight="1">
      <c r="A28" s="124" t="s">
        <v>394</v>
      </c>
      <c r="B28" s="125">
        <v>12856</v>
      </c>
      <c r="C28" s="125">
        <v>76</v>
      </c>
      <c r="D28" s="125">
        <v>10747</v>
      </c>
      <c r="E28" s="125">
        <v>132</v>
      </c>
    </row>
    <row r="29" spans="1:5" ht="32.1" customHeight="1">
      <c r="A29" s="124" t="s">
        <v>395</v>
      </c>
      <c r="B29" s="125">
        <v>68964</v>
      </c>
      <c r="C29" s="125">
        <v>358</v>
      </c>
      <c r="D29" s="125">
        <v>44171</v>
      </c>
      <c r="E29" s="125">
        <v>5462</v>
      </c>
    </row>
    <row r="30" spans="1:5" ht="32.1" customHeight="1">
      <c r="A30" s="124" t="s">
        <v>397</v>
      </c>
      <c r="B30" s="125">
        <v>42134</v>
      </c>
      <c r="C30" s="125">
        <v>196</v>
      </c>
      <c r="D30" s="125">
        <v>30862</v>
      </c>
      <c r="E30" s="125">
        <v>1220</v>
      </c>
    </row>
    <row r="31" spans="1:5" ht="32.1" customHeight="1">
      <c r="A31" s="124" t="s">
        <v>398</v>
      </c>
      <c r="B31" s="125">
        <v>0</v>
      </c>
      <c r="C31" s="125">
        <v>745</v>
      </c>
      <c r="D31" s="125">
        <v>0</v>
      </c>
      <c r="E31" s="125">
        <v>32062</v>
      </c>
    </row>
    <row r="32" spans="1:5" ht="32.1" customHeight="1">
      <c r="A32" s="124" t="s">
        <v>494</v>
      </c>
      <c r="B32" s="125">
        <v>20418</v>
      </c>
      <c r="C32" s="125">
        <v>158</v>
      </c>
      <c r="D32" s="125">
        <v>11246</v>
      </c>
      <c r="E32" s="125">
        <v>320</v>
      </c>
    </row>
    <row r="33" spans="1:5" ht="32.1" customHeight="1">
      <c r="A33" s="124" t="s">
        <v>399</v>
      </c>
      <c r="B33" s="125">
        <v>47512</v>
      </c>
      <c r="C33" s="125">
        <v>247</v>
      </c>
      <c r="D33" s="125">
        <v>22377</v>
      </c>
      <c r="E33" s="125">
        <v>276</v>
      </c>
    </row>
    <row r="34" spans="1:5" ht="32.1" customHeight="1">
      <c r="A34" s="124" t="s">
        <v>400</v>
      </c>
      <c r="B34" s="125">
        <v>277156</v>
      </c>
      <c r="C34" s="125">
        <v>1170</v>
      </c>
      <c r="D34" s="125">
        <v>199607</v>
      </c>
      <c r="E34" s="125">
        <v>9048</v>
      </c>
    </row>
    <row r="35" spans="1:5" ht="32.1" customHeight="1">
      <c r="A35" s="124" t="s">
        <v>401</v>
      </c>
      <c r="B35" s="125">
        <v>0</v>
      </c>
      <c r="C35" s="125">
        <v>9</v>
      </c>
      <c r="D35" s="125">
        <v>0</v>
      </c>
      <c r="E35" s="125">
        <v>185</v>
      </c>
    </row>
    <row r="36" spans="1:5" ht="32.1" customHeight="1">
      <c r="A36" s="124" t="s">
        <v>402</v>
      </c>
      <c r="B36" s="125">
        <v>5676</v>
      </c>
      <c r="C36" s="125">
        <v>32</v>
      </c>
      <c r="D36" s="125">
        <v>4494</v>
      </c>
      <c r="E36" s="125">
        <v>46</v>
      </c>
    </row>
    <row r="37" spans="1:5" ht="32.1" customHeight="1">
      <c r="A37" s="124" t="s">
        <v>403</v>
      </c>
      <c r="B37" s="125">
        <v>11772</v>
      </c>
      <c r="C37" s="125">
        <v>74</v>
      </c>
      <c r="D37" s="125">
        <v>5850</v>
      </c>
      <c r="E37" s="125">
        <v>132</v>
      </c>
    </row>
    <row r="38" spans="1:5" ht="32.1" customHeight="1">
      <c r="A38" s="124" t="s">
        <v>404</v>
      </c>
      <c r="B38" s="125">
        <v>426306</v>
      </c>
      <c r="C38" s="125">
        <v>1993</v>
      </c>
      <c r="D38" s="125">
        <v>290087</v>
      </c>
      <c r="E38" s="125">
        <v>3870</v>
      </c>
    </row>
    <row r="39" spans="1:5" ht="32.1" customHeight="1">
      <c r="A39" s="124" t="s">
        <v>495</v>
      </c>
      <c r="B39" s="125">
        <v>1967</v>
      </c>
      <c r="C39" s="125">
        <v>8</v>
      </c>
      <c r="D39" s="125">
        <v>922</v>
      </c>
      <c r="E39" s="125">
        <v>85</v>
      </c>
    </row>
    <row r="40" spans="1:5" ht="32.1" customHeight="1">
      <c r="A40" s="124" t="s">
        <v>405</v>
      </c>
      <c r="B40" s="125">
        <v>11684</v>
      </c>
      <c r="C40" s="125">
        <v>116</v>
      </c>
      <c r="D40" s="125">
        <v>6092</v>
      </c>
      <c r="E40" s="125">
        <v>440</v>
      </c>
    </row>
    <row r="41" spans="1:5" ht="32.1" customHeight="1">
      <c r="A41" s="124" t="s">
        <v>406</v>
      </c>
      <c r="B41" s="125">
        <v>152702</v>
      </c>
      <c r="C41" s="125">
        <v>1331</v>
      </c>
      <c r="D41" s="125">
        <v>98669</v>
      </c>
      <c r="E41" s="125">
        <v>4144</v>
      </c>
    </row>
    <row r="42" spans="1:5" ht="32.1" customHeight="1">
      <c r="A42" s="124" t="s">
        <v>407</v>
      </c>
      <c r="B42" s="125">
        <v>49036</v>
      </c>
      <c r="C42" s="125">
        <v>237</v>
      </c>
      <c r="D42" s="125">
        <v>31589</v>
      </c>
      <c r="E42" s="125">
        <v>612</v>
      </c>
    </row>
    <row r="43" spans="1:5" ht="32.1" customHeight="1">
      <c r="A43" s="124" t="s">
        <v>408</v>
      </c>
      <c r="B43" s="125">
        <v>100458</v>
      </c>
      <c r="C43" s="125">
        <v>387</v>
      </c>
      <c r="D43" s="125">
        <v>62360</v>
      </c>
      <c r="E43" s="125">
        <v>1869</v>
      </c>
    </row>
    <row r="44" spans="1:5" ht="32.1" customHeight="1">
      <c r="A44" s="124" t="s">
        <v>496</v>
      </c>
      <c r="B44" s="125">
        <v>594</v>
      </c>
      <c r="C44" s="125">
        <v>2</v>
      </c>
      <c r="D44" s="125">
        <v>283</v>
      </c>
      <c r="E44" s="125">
        <v>17</v>
      </c>
    </row>
    <row r="45" spans="1:5" ht="32.1" customHeight="1">
      <c r="A45" s="124" t="s">
        <v>409</v>
      </c>
      <c r="B45" s="125">
        <v>36826</v>
      </c>
      <c r="C45" s="125">
        <v>198</v>
      </c>
      <c r="D45" s="125">
        <v>25093</v>
      </c>
      <c r="E45" s="125">
        <v>255</v>
      </c>
    </row>
    <row r="46" spans="1:5" ht="32.1" customHeight="1">
      <c r="A46" s="124" t="s">
        <v>497</v>
      </c>
      <c r="B46" s="125">
        <v>651</v>
      </c>
      <c r="C46" s="125">
        <v>7</v>
      </c>
      <c r="D46" s="125">
        <v>46</v>
      </c>
      <c r="E46" s="125">
        <v>32</v>
      </c>
    </row>
    <row r="47" spans="1:5" ht="32.1" customHeight="1">
      <c r="A47" s="124" t="s">
        <v>410</v>
      </c>
      <c r="B47" s="125">
        <v>29342</v>
      </c>
      <c r="C47" s="125">
        <v>86</v>
      </c>
      <c r="D47" s="125">
        <v>14906</v>
      </c>
      <c r="E47" s="125">
        <v>699</v>
      </c>
    </row>
    <row r="48" spans="1:5" ht="32.1" customHeight="1">
      <c r="A48" s="124" t="s">
        <v>498</v>
      </c>
      <c r="B48" s="125">
        <v>378</v>
      </c>
      <c r="C48" s="125">
        <v>2</v>
      </c>
      <c r="D48" s="125">
        <v>103</v>
      </c>
      <c r="E48" s="125">
        <v>2</v>
      </c>
    </row>
    <row r="49" spans="1:5" ht="32.1" customHeight="1">
      <c r="A49" s="124" t="s">
        <v>411</v>
      </c>
      <c r="B49" s="125">
        <v>55696</v>
      </c>
      <c r="C49" s="125">
        <v>322</v>
      </c>
      <c r="D49" s="125">
        <v>42694</v>
      </c>
      <c r="E49" s="125">
        <v>525</v>
      </c>
    </row>
    <row r="50" spans="1:5" ht="32.1" customHeight="1">
      <c r="A50" s="124" t="s">
        <v>499</v>
      </c>
      <c r="B50" s="125">
        <v>194</v>
      </c>
      <c r="C50" s="125">
        <v>2</v>
      </c>
      <c r="D50" s="125">
        <v>110</v>
      </c>
      <c r="E50" s="125">
        <v>2</v>
      </c>
    </row>
    <row r="51" spans="1:5" ht="32.1" customHeight="1">
      <c r="A51" s="124" t="s">
        <v>413</v>
      </c>
      <c r="B51" s="125">
        <v>0</v>
      </c>
      <c r="C51" s="125">
        <v>220</v>
      </c>
      <c r="D51" s="125">
        <v>0</v>
      </c>
      <c r="E51" s="125">
        <v>16313</v>
      </c>
    </row>
    <row r="52" spans="1:5" ht="32.1" customHeight="1">
      <c r="A52" s="124" t="s">
        <v>500</v>
      </c>
      <c r="B52" s="125">
        <v>0</v>
      </c>
      <c r="C52" s="125">
        <v>101</v>
      </c>
      <c r="D52" s="125">
        <v>0</v>
      </c>
      <c r="E52" s="125">
        <v>1934</v>
      </c>
    </row>
    <row r="53" spans="1:5" ht="32.1" customHeight="1">
      <c r="A53" s="124" t="s">
        <v>414</v>
      </c>
      <c r="B53" s="125">
        <v>211782</v>
      </c>
      <c r="C53" s="125">
        <v>675</v>
      </c>
      <c r="D53" s="125">
        <v>113601</v>
      </c>
      <c r="E53" s="125">
        <v>9336</v>
      </c>
    </row>
    <row r="54" spans="1:5" ht="32.1" customHeight="1">
      <c r="A54" s="124" t="s">
        <v>415</v>
      </c>
      <c r="B54" s="125">
        <v>50908</v>
      </c>
      <c r="C54" s="125">
        <v>906</v>
      </c>
      <c r="D54" s="125">
        <v>37153</v>
      </c>
      <c r="E54" s="125">
        <v>4544</v>
      </c>
    </row>
    <row r="55" spans="1:5" ht="32.1" customHeight="1">
      <c r="A55" s="124" t="s">
        <v>501</v>
      </c>
      <c r="B55" s="125">
        <v>0</v>
      </c>
      <c r="C55" s="125">
        <v>2</v>
      </c>
      <c r="D55" s="125">
        <v>0</v>
      </c>
      <c r="E55" s="125">
        <v>24</v>
      </c>
    </row>
    <row r="56" spans="1:5" ht="32.1" customHeight="1">
      <c r="A56" s="124" t="s">
        <v>417</v>
      </c>
      <c r="B56" s="125">
        <v>43983</v>
      </c>
      <c r="C56" s="125">
        <v>182</v>
      </c>
      <c r="D56" s="125">
        <v>27483</v>
      </c>
      <c r="E56" s="125">
        <v>1650</v>
      </c>
    </row>
    <row r="57" spans="1:5" ht="32.1" customHeight="1">
      <c r="A57" s="124" t="s">
        <v>502</v>
      </c>
      <c r="B57" s="125">
        <v>0</v>
      </c>
      <c r="C57" s="125">
        <v>44</v>
      </c>
      <c r="D57" s="125">
        <v>0</v>
      </c>
      <c r="E57" s="125">
        <v>168</v>
      </c>
    </row>
    <row r="58" spans="1:5" ht="32.1" customHeight="1">
      <c r="A58" s="124" t="s">
        <v>503</v>
      </c>
      <c r="B58" s="125">
        <v>0</v>
      </c>
      <c r="C58" s="125">
        <v>1</v>
      </c>
      <c r="D58" s="125">
        <v>0</v>
      </c>
      <c r="E58" s="125">
        <v>0</v>
      </c>
    </row>
    <row r="59" spans="1:5" ht="32.1" customHeight="1">
      <c r="A59" s="124" t="s">
        <v>418</v>
      </c>
      <c r="B59" s="125">
        <v>0</v>
      </c>
      <c r="C59" s="125">
        <v>1356</v>
      </c>
      <c r="D59" s="125">
        <v>0</v>
      </c>
      <c r="E59" s="125">
        <v>40913</v>
      </c>
    </row>
    <row r="60" spans="1:5" ht="32.1" customHeight="1">
      <c r="A60" s="124" t="s">
        <v>420</v>
      </c>
      <c r="B60" s="125">
        <v>19000</v>
      </c>
      <c r="C60" s="125">
        <v>96</v>
      </c>
      <c r="D60" s="125">
        <v>14396</v>
      </c>
      <c r="E60" s="125">
        <v>898</v>
      </c>
    </row>
    <row r="61" spans="1:5" ht="32.1" customHeight="1">
      <c r="A61" s="124" t="s">
        <v>422</v>
      </c>
      <c r="B61" s="125">
        <v>5120</v>
      </c>
      <c r="C61" s="125">
        <v>34</v>
      </c>
      <c r="D61" s="125">
        <v>2192</v>
      </c>
      <c r="E61" s="125">
        <v>25</v>
      </c>
    </row>
    <row r="62" spans="1:5" ht="32.1" customHeight="1">
      <c r="A62" s="124" t="s">
        <v>423</v>
      </c>
      <c r="B62" s="125">
        <v>106912</v>
      </c>
      <c r="C62" s="125">
        <v>365</v>
      </c>
      <c r="D62" s="125">
        <v>62526</v>
      </c>
      <c r="E62" s="125">
        <v>7479</v>
      </c>
    </row>
    <row r="63" spans="1:5" ht="32.1" customHeight="1">
      <c r="A63" s="124" t="s">
        <v>424</v>
      </c>
      <c r="B63" s="125">
        <v>153106</v>
      </c>
      <c r="C63" s="125">
        <v>855</v>
      </c>
      <c r="D63" s="125">
        <v>85675</v>
      </c>
      <c r="E63" s="125">
        <v>7929</v>
      </c>
    </row>
    <row r="64" spans="1:5" ht="32.1" customHeight="1">
      <c r="A64" s="124" t="s">
        <v>425</v>
      </c>
      <c r="B64" s="125">
        <v>0</v>
      </c>
      <c r="C64" s="125">
        <v>458</v>
      </c>
      <c r="D64" s="125">
        <v>0</v>
      </c>
      <c r="E64" s="125">
        <v>15555</v>
      </c>
    </row>
    <row r="65" spans="1:5" ht="32.1" customHeight="1">
      <c r="A65" s="124" t="s">
        <v>504</v>
      </c>
      <c r="B65" s="125">
        <v>0</v>
      </c>
      <c r="C65" s="125">
        <v>24</v>
      </c>
      <c r="D65" s="125">
        <v>0</v>
      </c>
      <c r="E65" s="125">
        <v>154</v>
      </c>
    </row>
    <row r="66" spans="1:5" ht="32.1" customHeight="1">
      <c r="A66" s="124" t="s">
        <v>426</v>
      </c>
      <c r="B66" s="125">
        <v>26506</v>
      </c>
      <c r="C66" s="125">
        <v>152</v>
      </c>
      <c r="D66" s="125">
        <v>17647</v>
      </c>
      <c r="E66" s="125">
        <v>396</v>
      </c>
    </row>
    <row r="67" spans="1:5" ht="32.1" customHeight="1">
      <c r="A67" s="124" t="s">
        <v>427</v>
      </c>
      <c r="B67" s="125">
        <v>0</v>
      </c>
      <c r="C67" s="125">
        <v>433</v>
      </c>
      <c r="D67" s="125">
        <v>0</v>
      </c>
      <c r="E67" s="125">
        <v>16119</v>
      </c>
    </row>
    <row r="68" spans="1:5" ht="32.1" customHeight="1">
      <c r="A68" s="124" t="s">
        <v>505</v>
      </c>
      <c r="B68" s="125">
        <v>900</v>
      </c>
      <c r="C68" s="125">
        <v>10</v>
      </c>
      <c r="D68" s="125">
        <v>545</v>
      </c>
      <c r="E68" s="125">
        <v>18</v>
      </c>
    </row>
    <row r="69" spans="1:5" ht="32.1" customHeight="1">
      <c r="A69" s="124" t="s">
        <v>428</v>
      </c>
      <c r="B69" s="125">
        <v>33028</v>
      </c>
      <c r="C69" s="125">
        <v>168</v>
      </c>
      <c r="D69" s="125">
        <v>24080</v>
      </c>
      <c r="E69" s="125">
        <v>803</v>
      </c>
    </row>
    <row r="70" spans="1:5" ht="32.1" customHeight="1">
      <c r="A70" s="124" t="s">
        <v>429</v>
      </c>
      <c r="B70" s="125">
        <v>214850</v>
      </c>
      <c r="C70" s="125">
        <v>570</v>
      </c>
      <c r="D70" s="125">
        <v>133871</v>
      </c>
      <c r="E70" s="125">
        <v>5192</v>
      </c>
    </row>
    <row r="71" spans="1:5" ht="32.1" customHeight="1">
      <c r="A71" s="124" t="s">
        <v>430</v>
      </c>
      <c r="B71" s="125">
        <v>0</v>
      </c>
      <c r="C71" s="125">
        <v>306</v>
      </c>
      <c r="D71" s="125">
        <v>0</v>
      </c>
      <c r="E71" s="125">
        <v>9267</v>
      </c>
    </row>
    <row r="72" spans="1:5" ht="32.1" customHeight="1">
      <c r="A72" s="124" t="s">
        <v>431</v>
      </c>
      <c r="B72" s="125">
        <v>131457</v>
      </c>
      <c r="C72" s="125">
        <v>447</v>
      </c>
      <c r="D72" s="125">
        <v>83803</v>
      </c>
      <c r="E72" s="125">
        <v>6844</v>
      </c>
    </row>
    <row r="73" spans="1:5" ht="32.1" customHeight="1">
      <c r="A73" s="124" t="s">
        <v>432</v>
      </c>
      <c r="B73" s="125">
        <v>0</v>
      </c>
      <c r="C73" s="125">
        <v>428</v>
      </c>
      <c r="D73" s="125">
        <v>0</v>
      </c>
      <c r="E73" s="125">
        <v>14150</v>
      </c>
    </row>
    <row r="74" spans="1:5" ht="32.1" customHeight="1">
      <c r="A74" s="124" t="s">
        <v>433</v>
      </c>
      <c r="B74" s="125">
        <v>82763</v>
      </c>
      <c r="C74" s="125">
        <v>471</v>
      </c>
      <c r="D74" s="125">
        <v>23031</v>
      </c>
      <c r="E74" s="125">
        <v>5933</v>
      </c>
    </row>
    <row r="75" spans="1:5" ht="32.1" customHeight="1">
      <c r="A75" s="124" t="s">
        <v>434</v>
      </c>
      <c r="B75" s="125">
        <v>134870</v>
      </c>
      <c r="C75" s="125">
        <v>405</v>
      </c>
      <c r="D75" s="125">
        <v>52895</v>
      </c>
      <c r="E75" s="125">
        <v>7538</v>
      </c>
    </row>
    <row r="76" spans="1:5" ht="32.1" customHeight="1">
      <c r="A76" s="124" t="s">
        <v>506</v>
      </c>
      <c r="B76" s="125">
        <v>500</v>
      </c>
      <c r="C76" s="125">
        <v>4</v>
      </c>
      <c r="D76" s="125">
        <v>420</v>
      </c>
      <c r="E76" s="125">
        <v>23</v>
      </c>
    </row>
    <row r="77" spans="1:5" ht="32.1" customHeight="1">
      <c r="A77" s="124" t="s">
        <v>435</v>
      </c>
      <c r="B77" s="125">
        <v>36416</v>
      </c>
      <c r="C77" s="125">
        <v>224</v>
      </c>
      <c r="D77" s="125">
        <v>25489</v>
      </c>
      <c r="E77" s="125">
        <v>2363</v>
      </c>
    </row>
    <row r="78" spans="1:5" ht="32.1" customHeight="1">
      <c r="A78" s="124" t="s">
        <v>436</v>
      </c>
      <c r="B78" s="125">
        <v>96806</v>
      </c>
      <c r="C78" s="125">
        <v>756</v>
      </c>
      <c r="D78" s="125">
        <v>56093</v>
      </c>
      <c r="E78" s="125">
        <v>744</v>
      </c>
    </row>
    <row r="79" spans="1:5" ht="32.1" customHeight="1">
      <c r="A79" s="124" t="s">
        <v>437</v>
      </c>
      <c r="B79" s="125">
        <v>6034</v>
      </c>
      <c r="C79" s="125">
        <v>62</v>
      </c>
      <c r="D79" s="125">
        <v>4807</v>
      </c>
      <c r="E79" s="125">
        <v>201</v>
      </c>
    </row>
    <row r="80" spans="1:5" ht="32.1" customHeight="1">
      <c r="A80" s="124" t="s">
        <v>438</v>
      </c>
      <c r="B80" s="125">
        <v>34932</v>
      </c>
      <c r="C80" s="125">
        <v>162</v>
      </c>
      <c r="D80" s="125">
        <v>26488</v>
      </c>
      <c r="E80" s="125">
        <v>1400</v>
      </c>
    </row>
    <row r="81" spans="1:5" ht="32.1" customHeight="1">
      <c r="A81" s="124" t="s">
        <v>440</v>
      </c>
      <c r="B81" s="125">
        <v>0</v>
      </c>
      <c r="C81" s="125">
        <v>11</v>
      </c>
      <c r="D81" s="125">
        <v>0</v>
      </c>
      <c r="E81" s="125">
        <v>138</v>
      </c>
    </row>
    <row r="82" spans="1:5" ht="32.1" customHeight="1">
      <c r="A82" s="124" t="s">
        <v>507</v>
      </c>
      <c r="B82" s="125">
        <v>1044</v>
      </c>
      <c r="C82" s="125">
        <v>4</v>
      </c>
      <c r="D82" s="125">
        <v>19</v>
      </c>
      <c r="E82" s="125">
        <v>47</v>
      </c>
    </row>
    <row r="83" spans="1:5" ht="32.1" customHeight="1">
      <c r="A83" s="124" t="s">
        <v>441</v>
      </c>
      <c r="B83" s="125">
        <v>52179</v>
      </c>
      <c r="C83" s="125">
        <v>294</v>
      </c>
      <c r="D83" s="125">
        <v>34076</v>
      </c>
      <c r="E83" s="125">
        <v>4011</v>
      </c>
    </row>
    <row r="84" spans="1:5" ht="32.1" customHeight="1">
      <c r="A84" s="124" t="s">
        <v>442</v>
      </c>
      <c r="B84" s="125">
        <v>8832</v>
      </c>
      <c r="C84" s="125">
        <v>48</v>
      </c>
      <c r="D84" s="125">
        <v>6384</v>
      </c>
      <c r="E84" s="125">
        <v>128</v>
      </c>
    </row>
    <row r="85" spans="1:5" ht="32.1" customHeight="1">
      <c r="A85" s="124" t="s">
        <v>443</v>
      </c>
      <c r="B85" s="125">
        <v>0</v>
      </c>
      <c r="C85" s="125">
        <v>2117</v>
      </c>
      <c r="D85" s="125">
        <v>0</v>
      </c>
      <c r="E85" s="125">
        <v>24555</v>
      </c>
    </row>
    <row r="86" spans="1:5" ht="32.1" customHeight="1">
      <c r="A86" s="124" t="s">
        <v>508</v>
      </c>
      <c r="B86" s="125">
        <v>624</v>
      </c>
      <c r="C86" s="125">
        <v>2</v>
      </c>
      <c r="D86" s="125">
        <v>172</v>
      </c>
      <c r="E86" s="125">
        <v>5</v>
      </c>
    </row>
    <row r="87" spans="1:5" ht="32.1" customHeight="1">
      <c r="A87" s="124" t="s">
        <v>445</v>
      </c>
      <c r="B87" s="125">
        <v>19712</v>
      </c>
      <c r="C87" s="125">
        <v>92</v>
      </c>
      <c r="D87" s="125">
        <v>14451</v>
      </c>
      <c r="E87" s="125">
        <v>1124</v>
      </c>
    </row>
    <row r="88" spans="1:5" ht="32.1" customHeight="1">
      <c r="A88" s="124" t="s">
        <v>446</v>
      </c>
      <c r="B88" s="125">
        <v>150044</v>
      </c>
      <c r="C88" s="125">
        <v>714</v>
      </c>
      <c r="D88" s="125">
        <v>98310</v>
      </c>
      <c r="E88" s="125">
        <v>3407</v>
      </c>
    </row>
    <row r="89" spans="1:5" ht="32.1" customHeight="1">
      <c r="A89" s="124" t="s">
        <v>447</v>
      </c>
      <c r="B89" s="125">
        <v>97396</v>
      </c>
      <c r="C89" s="125">
        <v>407</v>
      </c>
      <c r="D89" s="125">
        <v>57653</v>
      </c>
      <c r="E89" s="125">
        <v>1971</v>
      </c>
    </row>
    <row r="90" spans="1:5" ht="32.1" customHeight="1">
      <c r="A90" s="124" t="s">
        <v>509</v>
      </c>
      <c r="B90" s="125">
        <v>19430</v>
      </c>
      <c r="C90" s="125">
        <v>58</v>
      </c>
      <c r="D90" s="125">
        <v>13722</v>
      </c>
      <c r="E90" s="125">
        <v>296</v>
      </c>
    </row>
    <row r="91" spans="1:5" ht="32.1" customHeight="1">
      <c r="A91" s="124" t="s">
        <v>448</v>
      </c>
      <c r="B91" s="125">
        <v>17702</v>
      </c>
      <c r="C91" s="125">
        <v>98</v>
      </c>
      <c r="D91" s="125">
        <v>12538</v>
      </c>
      <c r="E91" s="125">
        <v>113</v>
      </c>
    </row>
    <row r="92" spans="1:5" ht="32.1" customHeight="1">
      <c r="A92" s="124" t="s">
        <v>449</v>
      </c>
      <c r="B92" s="125">
        <v>236705</v>
      </c>
      <c r="C92" s="125">
        <v>1510</v>
      </c>
      <c r="D92" s="125">
        <v>156279</v>
      </c>
      <c r="E92" s="125">
        <v>8256</v>
      </c>
    </row>
    <row r="93" spans="1:5" ht="32.1" customHeight="1">
      <c r="A93" s="124" t="s">
        <v>450</v>
      </c>
      <c r="B93" s="125">
        <v>29062</v>
      </c>
      <c r="C93" s="125">
        <v>184</v>
      </c>
      <c r="D93" s="125">
        <v>22365</v>
      </c>
      <c r="E93" s="125">
        <v>332</v>
      </c>
    </row>
    <row r="94" spans="1:5" ht="32.1" customHeight="1">
      <c r="A94" s="124" t="s">
        <v>451</v>
      </c>
      <c r="B94" s="125">
        <v>353644</v>
      </c>
      <c r="C94" s="125">
        <v>2120</v>
      </c>
      <c r="D94" s="125">
        <v>228222</v>
      </c>
      <c r="E94" s="125">
        <v>6386</v>
      </c>
    </row>
    <row r="95" spans="1:5" ht="32.1" customHeight="1">
      <c r="A95" s="124" t="s">
        <v>452</v>
      </c>
      <c r="B95" s="125">
        <v>363391</v>
      </c>
      <c r="C95" s="125">
        <v>2020</v>
      </c>
      <c r="D95" s="125">
        <v>232696</v>
      </c>
      <c r="E95" s="125">
        <v>6352</v>
      </c>
    </row>
    <row r="96" spans="1:5" ht="32.1" customHeight="1">
      <c r="A96" s="124" t="s">
        <v>453</v>
      </c>
      <c r="B96" s="125">
        <v>4080</v>
      </c>
      <c r="C96" s="125">
        <v>24</v>
      </c>
      <c r="D96" s="125">
        <v>2317</v>
      </c>
      <c r="E96" s="125">
        <v>23</v>
      </c>
    </row>
    <row r="97" spans="1:5" ht="32.1" customHeight="1">
      <c r="A97" s="124" t="s">
        <v>454</v>
      </c>
      <c r="B97" s="125">
        <v>0</v>
      </c>
      <c r="C97" s="125">
        <v>12</v>
      </c>
      <c r="D97" s="125">
        <v>0</v>
      </c>
      <c r="E97" s="125">
        <v>177</v>
      </c>
    </row>
    <row r="98" spans="1:5" ht="32.1" customHeight="1">
      <c r="A98" s="124" t="s">
        <v>455</v>
      </c>
      <c r="B98" s="125">
        <v>28902</v>
      </c>
      <c r="C98" s="125">
        <v>174</v>
      </c>
      <c r="D98" s="125">
        <v>18258</v>
      </c>
      <c r="E98" s="125">
        <v>412</v>
      </c>
    </row>
    <row r="99" spans="1:5" ht="32.1" customHeight="1">
      <c r="A99" s="124" t="s">
        <v>456</v>
      </c>
      <c r="B99" s="125">
        <v>0</v>
      </c>
      <c r="C99" s="125">
        <v>244</v>
      </c>
      <c r="D99" s="125">
        <v>0</v>
      </c>
      <c r="E99" s="125">
        <v>2508</v>
      </c>
    </row>
    <row r="100" spans="1:5" ht="32.1" customHeight="1">
      <c r="A100" s="124" t="s">
        <v>457</v>
      </c>
      <c r="B100" s="125">
        <v>36133</v>
      </c>
      <c r="C100" s="125">
        <v>166</v>
      </c>
      <c r="D100" s="125">
        <v>21978</v>
      </c>
      <c r="E100" s="125">
        <v>914</v>
      </c>
    </row>
    <row r="101" spans="1:5" ht="32.1" customHeight="1">
      <c r="A101" s="124" t="s">
        <v>458</v>
      </c>
      <c r="B101" s="125">
        <v>0</v>
      </c>
      <c r="C101" s="125">
        <v>356</v>
      </c>
      <c r="D101" s="125">
        <v>0</v>
      </c>
      <c r="E101" s="125">
        <v>22315</v>
      </c>
    </row>
    <row r="102" spans="1:5" ht="32.1" customHeight="1">
      <c r="A102" s="124" t="s">
        <v>459</v>
      </c>
      <c r="B102" s="125">
        <v>177876</v>
      </c>
      <c r="C102" s="125">
        <v>1141</v>
      </c>
      <c r="D102" s="125">
        <v>117783</v>
      </c>
      <c r="E102" s="125">
        <v>11020</v>
      </c>
    </row>
    <row r="103" spans="1:5" ht="32.1" customHeight="1">
      <c r="A103" s="124" t="s">
        <v>510</v>
      </c>
      <c r="B103" s="125">
        <v>615</v>
      </c>
      <c r="C103" s="125">
        <v>4</v>
      </c>
      <c r="D103" s="125">
        <v>364</v>
      </c>
      <c r="E103" s="125">
        <v>10</v>
      </c>
    </row>
    <row r="104" spans="1:5" ht="32.1" customHeight="1">
      <c r="A104" s="124" t="s">
        <v>461</v>
      </c>
      <c r="B104" s="125">
        <v>15972</v>
      </c>
      <c r="C104" s="125">
        <v>88</v>
      </c>
      <c r="D104" s="125">
        <v>11876</v>
      </c>
      <c r="E104" s="125">
        <v>140</v>
      </c>
    </row>
    <row r="105" spans="1:5" ht="32.1" customHeight="1">
      <c r="A105" s="124" t="s">
        <v>462</v>
      </c>
      <c r="B105" s="125">
        <v>18216</v>
      </c>
      <c r="C105" s="125">
        <v>66</v>
      </c>
      <c r="D105" s="125">
        <v>13436</v>
      </c>
      <c r="E105" s="125">
        <v>788</v>
      </c>
    </row>
    <row r="106" spans="1:5" ht="32.1" customHeight="1">
      <c r="A106" s="124" t="s">
        <v>463</v>
      </c>
      <c r="B106" s="125">
        <v>143730</v>
      </c>
      <c r="C106" s="125">
        <v>792</v>
      </c>
      <c r="D106" s="125">
        <v>107409</v>
      </c>
      <c r="E106" s="125">
        <v>1060</v>
      </c>
    </row>
    <row r="107" spans="1:5" ht="32.1" customHeight="1">
      <c r="A107" s="124" t="s">
        <v>464</v>
      </c>
      <c r="B107" s="125">
        <v>32050</v>
      </c>
      <c r="C107" s="125">
        <v>206</v>
      </c>
      <c r="D107" s="125">
        <v>20518</v>
      </c>
      <c r="E107" s="125">
        <v>503</v>
      </c>
    </row>
    <row r="108" spans="1:5" ht="32.1" customHeight="1">
      <c r="A108" s="124" t="s">
        <v>465</v>
      </c>
      <c r="B108" s="125">
        <v>0</v>
      </c>
      <c r="C108" s="125">
        <v>16</v>
      </c>
      <c r="D108" s="125">
        <v>0</v>
      </c>
      <c r="E108" s="125">
        <v>524</v>
      </c>
    </row>
    <row r="109" spans="1:5" ht="32.1" customHeight="1">
      <c r="A109" s="124" t="s">
        <v>466</v>
      </c>
      <c r="B109" s="125">
        <v>0</v>
      </c>
      <c r="C109" s="125">
        <v>204</v>
      </c>
      <c r="D109" s="125">
        <v>0</v>
      </c>
      <c r="E109" s="125">
        <v>11669</v>
      </c>
    </row>
    <row r="110" spans="1:5" ht="32.1" customHeight="1">
      <c r="A110" s="124" t="s">
        <v>467</v>
      </c>
      <c r="B110" s="125">
        <v>184273</v>
      </c>
      <c r="C110" s="125">
        <v>778</v>
      </c>
      <c r="D110" s="125">
        <v>70544</v>
      </c>
      <c r="E110" s="125">
        <v>35394</v>
      </c>
    </row>
    <row r="111" spans="1:5" ht="32.1" customHeight="1">
      <c r="A111" s="124" t="s">
        <v>468</v>
      </c>
      <c r="B111" s="125">
        <v>150</v>
      </c>
      <c r="C111" s="125">
        <v>656</v>
      </c>
      <c r="D111" s="125">
        <v>123</v>
      </c>
      <c r="E111" s="125">
        <v>1738</v>
      </c>
    </row>
    <row r="112" spans="1:5" ht="32.1" customHeight="1">
      <c r="A112" s="124" t="s">
        <v>469</v>
      </c>
      <c r="B112" s="125">
        <v>146894</v>
      </c>
      <c r="C112" s="125">
        <v>662</v>
      </c>
      <c r="D112" s="125">
        <v>108299</v>
      </c>
      <c r="E112" s="125">
        <v>10799</v>
      </c>
    </row>
    <row r="113" spans="1:5" ht="32.1" customHeight="1">
      <c r="A113" s="124" t="s">
        <v>470</v>
      </c>
      <c r="B113" s="125">
        <v>18710</v>
      </c>
      <c r="C113" s="125">
        <v>110</v>
      </c>
      <c r="D113" s="125">
        <v>11144</v>
      </c>
      <c r="E113" s="125">
        <v>211</v>
      </c>
    </row>
    <row r="114" spans="1:5" ht="32.1" customHeight="1">
      <c r="A114" s="124" t="s">
        <v>511</v>
      </c>
      <c r="B114" s="125">
        <v>600</v>
      </c>
      <c r="C114" s="125">
        <v>2</v>
      </c>
      <c r="D114" s="125">
        <v>332</v>
      </c>
      <c r="E114" s="125">
        <v>10</v>
      </c>
    </row>
    <row r="115" spans="1:5" ht="32.1" customHeight="1">
      <c r="A115" s="124" t="s">
        <v>471</v>
      </c>
      <c r="B115" s="125">
        <v>39960</v>
      </c>
      <c r="C115" s="125">
        <v>226</v>
      </c>
      <c r="D115" s="125">
        <v>26310</v>
      </c>
      <c r="E115" s="125">
        <v>258</v>
      </c>
    </row>
    <row r="116" spans="1:5" ht="32.1" customHeight="1">
      <c r="A116" s="124" t="s">
        <v>472</v>
      </c>
      <c r="B116" s="125">
        <v>152619</v>
      </c>
      <c r="C116" s="125">
        <v>409</v>
      </c>
      <c r="D116" s="125">
        <v>98287</v>
      </c>
      <c r="E116" s="125">
        <v>2863</v>
      </c>
    </row>
    <row r="117" spans="1:5" ht="32.1" customHeight="1">
      <c r="A117" s="124" t="s">
        <v>473</v>
      </c>
      <c r="B117" s="125">
        <v>244977</v>
      </c>
      <c r="C117" s="125">
        <v>751</v>
      </c>
      <c r="D117" s="125">
        <v>157601</v>
      </c>
      <c r="E117" s="125">
        <v>11405</v>
      </c>
    </row>
    <row r="118" spans="1:5" ht="32.1" customHeight="1">
      <c r="A118" s="124" t="s">
        <v>512</v>
      </c>
      <c r="B118" s="125">
        <v>432</v>
      </c>
      <c r="C118" s="125">
        <v>2</v>
      </c>
      <c r="D118" s="125">
        <v>186</v>
      </c>
      <c r="E118" s="125">
        <v>7</v>
      </c>
    </row>
    <row r="119" spans="1:5" ht="32.1" customHeight="1">
      <c r="A119" s="124" t="s">
        <v>474</v>
      </c>
      <c r="B119" s="125">
        <v>77571</v>
      </c>
      <c r="C119" s="125">
        <v>377</v>
      </c>
      <c r="D119" s="125">
        <v>56419</v>
      </c>
      <c r="E119" s="125">
        <v>14015</v>
      </c>
    </row>
    <row r="120" spans="1:5" ht="32.1" customHeight="1">
      <c r="A120" s="124" t="s">
        <v>513</v>
      </c>
      <c r="B120" s="125">
        <v>0</v>
      </c>
      <c r="C120" s="125">
        <v>20</v>
      </c>
      <c r="D120" s="125">
        <v>0</v>
      </c>
      <c r="E120" s="125">
        <v>193</v>
      </c>
    </row>
    <row r="121" spans="1:5" ht="32.1" customHeight="1">
      <c r="A121" s="124" t="s">
        <v>514</v>
      </c>
      <c r="B121" s="125">
        <v>620</v>
      </c>
      <c r="C121" s="125">
        <v>2</v>
      </c>
      <c r="D121" s="125">
        <v>284</v>
      </c>
      <c r="E121" s="125">
        <v>3</v>
      </c>
    </row>
    <row r="122" spans="1:5" ht="32.1" customHeight="1">
      <c r="A122" s="124" t="s">
        <v>476</v>
      </c>
      <c r="B122" s="125">
        <v>80280</v>
      </c>
      <c r="C122" s="125">
        <v>446</v>
      </c>
      <c r="D122" s="125">
        <v>57991</v>
      </c>
      <c r="E122" s="125">
        <v>610</v>
      </c>
    </row>
    <row r="123" spans="1:5" ht="32.1" customHeight="1">
      <c r="A123" s="124" t="s">
        <v>477</v>
      </c>
      <c r="B123" s="125">
        <v>0</v>
      </c>
      <c r="C123" s="125">
        <v>1937</v>
      </c>
      <c r="D123" s="125">
        <v>0</v>
      </c>
      <c r="E123" s="125">
        <v>39276</v>
      </c>
    </row>
    <row r="124" spans="1:5" ht="32.1" customHeight="1">
      <c r="A124" s="124" t="s">
        <v>515</v>
      </c>
      <c r="B124" s="125">
        <v>0</v>
      </c>
      <c r="C124" s="125">
        <v>2</v>
      </c>
      <c r="D124" s="125">
        <v>0</v>
      </c>
      <c r="E124" s="125">
        <v>25</v>
      </c>
    </row>
    <row r="125" spans="1:5" ht="32.1" customHeight="1">
      <c r="A125" s="124" t="s">
        <v>478</v>
      </c>
      <c r="B125" s="125">
        <v>0</v>
      </c>
      <c r="C125" s="125">
        <v>2127</v>
      </c>
      <c r="D125" s="125">
        <v>0</v>
      </c>
      <c r="E125" s="125">
        <v>56724</v>
      </c>
    </row>
    <row r="126" spans="1:5" ht="32.1" customHeight="1">
      <c r="A126" s="124" t="s">
        <v>479</v>
      </c>
      <c r="B126" s="125">
        <v>65352</v>
      </c>
      <c r="C126" s="125">
        <v>254</v>
      </c>
      <c r="D126" s="125">
        <v>44132</v>
      </c>
      <c r="E126" s="125">
        <v>2952</v>
      </c>
    </row>
    <row r="127" spans="1:5" ht="32.1" customHeight="1">
      <c r="A127" s="124" t="s">
        <v>480</v>
      </c>
      <c r="B127" s="125">
        <v>63279</v>
      </c>
      <c r="C127" s="125">
        <v>193</v>
      </c>
      <c r="D127" s="125">
        <v>39728</v>
      </c>
      <c r="E127" s="125">
        <v>3964</v>
      </c>
    </row>
    <row r="128" spans="1:5" ht="32.1" customHeight="1">
      <c r="A128" s="124" t="s">
        <v>481</v>
      </c>
      <c r="B128" s="125">
        <v>128520</v>
      </c>
      <c r="C128" s="125">
        <v>714</v>
      </c>
      <c r="D128" s="125">
        <v>85034</v>
      </c>
      <c r="E128" s="125">
        <v>573</v>
      </c>
    </row>
    <row r="129" spans="1:5" ht="32.1" customHeight="1">
      <c r="A129" s="124" t="s">
        <v>482</v>
      </c>
      <c r="B129" s="125">
        <v>63798</v>
      </c>
      <c r="C129" s="125">
        <v>274</v>
      </c>
      <c r="D129" s="125">
        <v>38072</v>
      </c>
      <c r="E129" s="125">
        <v>5557</v>
      </c>
    </row>
    <row r="130" spans="1:5" ht="32.1" customHeight="1">
      <c r="A130" s="124" t="s">
        <v>483</v>
      </c>
      <c r="B130" s="125">
        <v>160956</v>
      </c>
      <c r="C130" s="125">
        <v>896</v>
      </c>
      <c r="D130" s="125">
        <v>112616</v>
      </c>
      <c r="E130" s="125">
        <v>1181</v>
      </c>
    </row>
    <row r="131" spans="1:5" ht="32.1" customHeight="1">
      <c r="A131" s="124" t="s">
        <v>484</v>
      </c>
      <c r="B131" s="125">
        <v>152822</v>
      </c>
      <c r="C131" s="125">
        <v>694</v>
      </c>
      <c r="D131" s="125">
        <v>105760</v>
      </c>
      <c r="E131" s="125">
        <v>2675</v>
      </c>
    </row>
    <row r="132" spans="1:5" ht="32.1" customHeight="1">
      <c r="A132" s="124" t="s">
        <v>485</v>
      </c>
      <c r="B132" s="125">
        <v>26460</v>
      </c>
      <c r="C132" s="125">
        <v>229</v>
      </c>
      <c r="D132" s="125">
        <v>21176</v>
      </c>
      <c r="E132" s="125">
        <v>2677</v>
      </c>
    </row>
    <row r="133" spans="1:5" ht="32.1" customHeight="1">
      <c r="A133" s="124" t="s">
        <v>516</v>
      </c>
      <c r="B133" s="125">
        <v>494</v>
      </c>
      <c r="C133" s="125">
        <v>6</v>
      </c>
      <c r="D133" s="125">
        <v>238</v>
      </c>
      <c r="E133" s="125">
        <v>7</v>
      </c>
    </row>
    <row r="134" spans="1:5" ht="32.1" customHeight="1">
      <c r="A134" s="124" t="s">
        <v>517</v>
      </c>
      <c r="B134" s="125">
        <v>0</v>
      </c>
      <c r="C134" s="125">
        <v>8</v>
      </c>
      <c r="D134" s="125">
        <v>0</v>
      </c>
      <c r="E134" s="125">
        <v>14</v>
      </c>
    </row>
    <row r="135" spans="1:5" ht="32.1" customHeight="1">
      <c r="A135" s="124" t="s">
        <v>486</v>
      </c>
      <c r="B135" s="125">
        <v>64072</v>
      </c>
      <c r="C135" s="125">
        <v>312</v>
      </c>
      <c r="D135" s="125">
        <v>48116</v>
      </c>
      <c r="E135" s="125">
        <v>721</v>
      </c>
    </row>
    <row r="136" spans="1:5" ht="32.1" customHeight="1">
      <c r="A136" s="124" t="s">
        <v>487</v>
      </c>
      <c r="B136" s="125">
        <v>24828</v>
      </c>
      <c r="C136" s="125">
        <v>102</v>
      </c>
      <c r="D136" s="125">
        <v>17037</v>
      </c>
      <c r="E136" s="125">
        <v>635</v>
      </c>
    </row>
    <row r="137" spans="1:5" ht="32.1" customHeight="1">
      <c r="A137" s="124" t="s">
        <v>518</v>
      </c>
      <c r="B137" s="125">
        <v>0</v>
      </c>
      <c r="C137" s="125">
        <v>2</v>
      </c>
      <c r="D137" s="125">
        <v>0</v>
      </c>
      <c r="E137" s="125">
        <v>45</v>
      </c>
    </row>
  </sheetData>
  <mergeCells count="1">
    <mergeCell ref="A1:E1"/>
  </mergeCells>
  <phoneticPr fontId="4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367F7-7D69-4805-900D-0FE3BE6126F2}">
  <dimension ref="A1:E124"/>
  <sheetViews>
    <sheetView workbookViewId="0">
      <selection sqref="A1:E1"/>
    </sheetView>
  </sheetViews>
  <sheetFormatPr defaultColWidth="9" defaultRowHeight="14.4"/>
  <cols>
    <col min="1" max="1" width="48.33203125" style="4" customWidth="1"/>
    <col min="2" max="5" width="28.33203125" style="4" customWidth="1"/>
    <col min="6" max="16384" width="9" style="4"/>
  </cols>
  <sheetData>
    <row r="1" spans="1:5" ht="33.9" customHeight="1">
      <c r="A1" s="189" t="s">
        <v>519</v>
      </c>
      <c r="B1" s="190"/>
      <c r="C1" s="190"/>
      <c r="D1" s="190"/>
      <c r="E1" s="190"/>
    </row>
    <row r="2" spans="1:5" ht="36.9" customHeight="1">
      <c r="A2" s="123" t="s">
        <v>369</v>
      </c>
      <c r="B2" s="123" t="s">
        <v>370</v>
      </c>
      <c r="C2" s="123" t="s">
        <v>371</v>
      </c>
      <c r="D2" s="123" t="s">
        <v>372</v>
      </c>
      <c r="E2" s="123" t="s">
        <v>373</v>
      </c>
    </row>
    <row r="3" spans="1:5" ht="32.1" customHeight="1">
      <c r="A3" s="124" t="s">
        <v>374</v>
      </c>
      <c r="B3" s="125">
        <v>32514689</v>
      </c>
      <c r="C3" s="125">
        <v>221916</v>
      </c>
      <c r="D3" s="125">
        <v>23096692</v>
      </c>
      <c r="E3" s="125">
        <v>2362615</v>
      </c>
    </row>
    <row r="4" spans="1:5" ht="32.1" customHeight="1">
      <c r="A4" s="124" t="s">
        <v>375</v>
      </c>
      <c r="B4" s="125">
        <v>30014803</v>
      </c>
      <c r="C4" s="125">
        <v>183569</v>
      </c>
      <c r="D4" s="125">
        <v>22359540</v>
      </c>
      <c r="E4" s="125">
        <v>1674325</v>
      </c>
    </row>
    <row r="5" spans="1:5" ht="32.1" customHeight="1">
      <c r="A5" s="124" t="s">
        <v>376</v>
      </c>
      <c r="B5" s="125">
        <v>6142104</v>
      </c>
      <c r="C5" s="125">
        <v>51313</v>
      </c>
      <c r="D5" s="125">
        <v>3560170</v>
      </c>
      <c r="E5" s="125">
        <v>1091951</v>
      </c>
    </row>
    <row r="6" spans="1:5" ht="32.1" customHeight="1">
      <c r="A6" s="124" t="s">
        <v>377</v>
      </c>
      <c r="B6" s="125">
        <v>5190734</v>
      </c>
      <c r="C6" s="125">
        <v>32859</v>
      </c>
      <c r="D6" s="125">
        <v>3254915</v>
      </c>
      <c r="E6" s="125">
        <v>500834</v>
      </c>
    </row>
    <row r="7" spans="1:5" ht="32.1" customHeight="1">
      <c r="A7" s="124" t="s">
        <v>378</v>
      </c>
      <c r="B7" s="125">
        <v>4803057</v>
      </c>
      <c r="C7" s="125">
        <v>25697</v>
      </c>
      <c r="D7" s="125">
        <v>4240990</v>
      </c>
      <c r="E7" s="125">
        <v>17171</v>
      </c>
    </row>
    <row r="8" spans="1:5" ht="32.1" customHeight="1">
      <c r="A8" s="124" t="s">
        <v>379</v>
      </c>
      <c r="B8" s="125">
        <v>4834251</v>
      </c>
      <c r="C8" s="125">
        <v>25504</v>
      </c>
      <c r="D8" s="125">
        <v>3804565</v>
      </c>
      <c r="E8" s="125">
        <v>18240</v>
      </c>
    </row>
    <row r="9" spans="1:5" ht="32.1" customHeight="1">
      <c r="A9" s="124" t="s">
        <v>380</v>
      </c>
      <c r="B9" s="125">
        <v>3737532</v>
      </c>
      <c r="C9" s="125">
        <v>18972</v>
      </c>
      <c r="D9" s="125">
        <v>2942753</v>
      </c>
      <c r="E9" s="125">
        <v>13909</v>
      </c>
    </row>
    <row r="10" spans="1:5" ht="32.1" customHeight="1">
      <c r="A10" s="124" t="s">
        <v>382</v>
      </c>
      <c r="B10" s="125">
        <v>3809484</v>
      </c>
      <c r="C10" s="125">
        <v>20503</v>
      </c>
      <c r="D10" s="125">
        <v>3342086</v>
      </c>
      <c r="E10" s="125">
        <v>15917</v>
      </c>
    </row>
    <row r="11" spans="1:5" ht="32.1" customHeight="1">
      <c r="A11" s="124" t="s">
        <v>383</v>
      </c>
      <c r="B11" s="125">
        <v>0</v>
      </c>
      <c r="C11" s="125">
        <v>1239</v>
      </c>
      <c r="D11" s="125">
        <v>0</v>
      </c>
      <c r="E11" s="125">
        <v>12205</v>
      </c>
    </row>
    <row r="12" spans="1:5" ht="32.1" customHeight="1">
      <c r="A12" s="124" t="s">
        <v>384</v>
      </c>
      <c r="B12" s="125">
        <v>1186025</v>
      </c>
      <c r="C12" s="125">
        <v>5835</v>
      </c>
      <c r="D12" s="125">
        <v>1084483</v>
      </c>
      <c r="E12" s="125">
        <v>3428</v>
      </c>
    </row>
    <row r="13" spans="1:5" ht="32.1" customHeight="1">
      <c r="A13" s="124" t="s">
        <v>489</v>
      </c>
      <c r="B13" s="125">
        <v>138318</v>
      </c>
      <c r="C13" s="125">
        <v>743</v>
      </c>
      <c r="D13" s="125">
        <v>64659</v>
      </c>
      <c r="E13" s="125">
        <v>369</v>
      </c>
    </row>
    <row r="14" spans="1:5" ht="32.1" customHeight="1">
      <c r="A14" s="124" t="s">
        <v>520</v>
      </c>
      <c r="B14" s="125">
        <v>147960</v>
      </c>
      <c r="C14" s="125">
        <v>822</v>
      </c>
      <c r="D14" s="125">
        <v>46934</v>
      </c>
      <c r="E14" s="125">
        <v>235</v>
      </c>
    </row>
    <row r="15" spans="1:5" ht="32.1" customHeight="1">
      <c r="A15" s="124" t="s">
        <v>521</v>
      </c>
      <c r="B15" s="125">
        <v>25338</v>
      </c>
      <c r="C15" s="125">
        <v>82</v>
      </c>
      <c r="D15" s="125">
        <v>17985</v>
      </c>
      <c r="E15" s="125">
        <v>66</v>
      </c>
    </row>
    <row r="16" spans="1:5" ht="32.1" customHeight="1">
      <c r="A16" s="124" t="s">
        <v>385</v>
      </c>
      <c r="B16" s="125">
        <v>2499886</v>
      </c>
      <c r="C16" s="125">
        <v>38347</v>
      </c>
      <c r="D16" s="125">
        <v>737152</v>
      </c>
      <c r="E16" s="125">
        <v>688289</v>
      </c>
    </row>
    <row r="17" spans="1:5" ht="32.1" customHeight="1">
      <c r="A17" s="124" t="s">
        <v>522</v>
      </c>
      <c r="B17" s="125">
        <v>0</v>
      </c>
      <c r="C17" s="125">
        <v>2</v>
      </c>
      <c r="D17" s="125">
        <v>0</v>
      </c>
      <c r="E17" s="125">
        <v>10</v>
      </c>
    </row>
    <row r="18" spans="1:5" ht="32.1" customHeight="1">
      <c r="A18" s="124" t="s">
        <v>523</v>
      </c>
      <c r="B18" s="125">
        <v>0</v>
      </c>
      <c r="C18" s="125">
        <v>16</v>
      </c>
      <c r="D18" s="125">
        <v>0</v>
      </c>
      <c r="E18" s="125">
        <v>51</v>
      </c>
    </row>
    <row r="19" spans="1:5" ht="32.1" customHeight="1">
      <c r="A19" s="124" t="s">
        <v>524</v>
      </c>
      <c r="B19" s="125">
        <v>0</v>
      </c>
      <c r="C19" s="125">
        <v>2</v>
      </c>
      <c r="D19" s="125">
        <v>0</v>
      </c>
      <c r="E19" s="125">
        <v>32</v>
      </c>
    </row>
    <row r="20" spans="1:5" ht="32.1" customHeight="1">
      <c r="A20" s="124" t="s">
        <v>525</v>
      </c>
      <c r="B20" s="125">
        <v>0</v>
      </c>
      <c r="C20" s="125">
        <v>2</v>
      </c>
      <c r="D20" s="125">
        <v>0</v>
      </c>
      <c r="E20" s="125">
        <v>26</v>
      </c>
    </row>
    <row r="21" spans="1:5" ht="32.1" customHeight="1">
      <c r="A21" s="124" t="s">
        <v>386</v>
      </c>
      <c r="B21" s="125">
        <v>0</v>
      </c>
      <c r="C21" s="125">
        <v>434</v>
      </c>
      <c r="D21" s="125">
        <v>0</v>
      </c>
      <c r="E21" s="125">
        <v>3571</v>
      </c>
    </row>
    <row r="22" spans="1:5" ht="32.1" customHeight="1">
      <c r="A22" s="124" t="s">
        <v>387</v>
      </c>
      <c r="B22" s="125">
        <v>39346</v>
      </c>
      <c r="C22" s="125">
        <v>202</v>
      </c>
      <c r="D22" s="125">
        <v>9598</v>
      </c>
      <c r="E22" s="125">
        <v>3947</v>
      </c>
    </row>
    <row r="23" spans="1:5" ht="32.1" customHeight="1">
      <c r="A23" s="124" t="s">
        <v>490</v>
      </c>
      <c r="B23" s="125">
        <v>0</v>
      </c>
      <c r="C23" s="125">
        <v>75</v>
      </c>
      <c r="D23" s="125">
        <v>0</v>
      </c>
      <c r="E23" s="125">
        <v>2282</v>
      </c>
    </row>
    <row r="24" spans="1:5" ht="32.1" customHeight="1">
      <c r="A24" s="124" t="s">
        <v>388</v>
      </c>
      <c r="B24" s="125">
        <v>127940</v>
      </c>
      <c r="C24" s="125">
        <v>345</v>
      </c>
      <c r="D24" s="125">
        <v>27526</v>
      </c>
      <c r="E24" s="125">
        <v>8702</v>
      </c>
    </row>
    <row r="25" spans="1:5" ht="32.1" customHeight="1">
      <c r="A25" s="124" t="s">
        <v>491</v>
      </c>
      <c r="B25" s="125">
        <v>4832</v>
      </c>
      <c r="C25" s="125">
        <v>70</v>
      </c>
      <c r="D25" s="125">
        <v>662</v>
      </c>
      <c r="E25" s="125">
        <v>1012</v>
      </c>
    </row>
    <row r="26" spans="1:5" ht="32.1" customHeight="1">
      <c r="A26" s="124" t="s">
        <v>389</v>
      </c>
      <c r="B26" s="125">
        <v>311119</v>
      </c>
      <c r="C26" s="125">
        <v>1041</v>
      </c>
      <c r="D26" s="125">
        <v>81638</v>
      </c>
      <c r="E26" s="125">
        <v>12789</v>
      </c>
    </row>
    <row r="27" spans="1:5" ht="32.1" customHeight="1">
      <c r="A27" s="124" t="s">
        <v>526</v>
      </c>
      <c r="B27" s="125">
        <v>0</v>
      </c>
      <c r="C27" s="125">
        <v>2</v>
      </c>
      <c r="D27" s="125">
        <v>0</v>
      </c>
      <c r="E27" s="125">
        <v>71</v>
      </c>
    </row>
    <row r="28" spans="1:5" ht="32.1" customHeight="1">
      <c r="A28" s="124" t="s">
        <v>390</v>
      </c>
      <c r="B28" s="125">
        <v>3266</v>
      </c>
      <c r="C28" s="125">
        <v>24</v>
      </c>
      <c r="D28" s="125">
        <v>2300</v>
      </c>
      <c r="E28" s="125">
        <v>78</v>
      </c>
    </row>
    <row r="29" spans="1:5" ht="32.1" customHeight="1">
      <c r="A29" s="124" t="s">
        <v>527</v>
      </c>
      <c r="B29" s="125">
        <v>0</v>
      </c>
      <c r="C29" s="125">
        <v>2</v>
      </c>
      <c r="D29" s="125">
        <v>0</v>
      </c>
      <c r="E29" s="125">
        <v>4</v>
      </c>
    </row>
    <row r="30" spans="1:5" ht="32.1" customHeight="1">
      <c r="A30" s="124" t="s">
        <v>528</v>
      </c>
      <c r="B30" s="125">
        <v>0</v>
      </c>
      <c r="C30" s="125">
        <v>2</v>
      </c>
      <c r="D30" s="125">
        <v>0</v>
      </c>
      <c r="E30" s="125">
        <v>52</v>
      </c>
    </row>
    <row r="31" spans="1:5" ht="32.1" customHeight="1">
      <c r="A31" s="124" t="s">
        <v>391</v>
      </c>
      <c r="B31" s="125">
        <v>21372</v>
      </c>
      <c r="C31" s="125">
        <v>69</v>
      </c>
      <c r="D31" s="125">
        <v>12239</v>
      </c>
      <c r="E31" s="125">
        <v>1037</v>
      </c>
    </row>
    <row r="32" spans="1:5" ht="32.1" customHeight="1">
      <c r="A32" s="124" t="s">
        <v>493</v>
      </c>
      <c r="B32" s="125">
        <v>0</v>
      </c>
      <c r="C32" s="125">
        <v>6</v>
      </c>
      <c r="D32" s="125">
        <v>0</v>
      </c>
      <c r="E32" s="125">
        <v>203</v>
      </c>
    </row>
    <row r="33" spans="1:5" ht="32.1" customHeight="1">
      <c r="A33" s="124" t="s">
        <v>392</v>
      </c>
      <c r="B33" s="125">
        <v>85849</v>
      </c>
      <c r="C33" s="125">
        <v>293</v>
      </c>
      <c r="D33" s="125">
        <v>29658</v>
      </c>
      <c r="E33" s="125">
        <v>4796</v>
      </c>
    </row>
    <row r="34" spans="1:5" ht="32.1" customHeight="1">
      <c r="A34" s="124" t="s">
        <v>393</v>
      </c>
      <c r="B34" s="125">
        <v>0</v>
      </c>
      <c r="C34" s="125">
        <v>931</v>
      </c>
      <c r="D34" s="125">
        <v>0</v>
      </c>
      <c r="E34" s="125">
        <v>10486</v>
      </c>
    </row>
    <row r="35" spans="1:5" ht="32.1" customHeight="1">
      <c r="A35" s="124" t="s">
        <v>394</v>
      </c>
      <c r="B35" s="125">
        <v>0</v>
      </c>
      <c r="C35" s="125">
        <v>138</v>
      </c>
      <c r="D35" s="125">
        <v>0</v>
      </c>
      <c r="E35" s="125">
        <v>557</v>
      </c>
    </row>
    <row r="36" spans="1:5" ht="32.1" customHeight="1">
      <c r="A36" s="124" t="s">
        <v>529</v>
      </c>
      <c r="B36" s="125">
        <v>0</v>
      </c>
      <c r="C36" s="125">
        <v>1</v>
      </c>
      <c r="D36" s="125">
        <v>0</v>
      </c>
      <c r="E36" s="125">
        <v>33</v>
      </c>
    </row>
    <row r="37" spans="1:5" ht="32.1" customHeight="1">
      <c r="A37" s="124" t="s">
        <v>395</v>
      </c>
      <c r="B37" s="125">
        <v>0</v>
      </c>
      <c r="C37" s="125">
        <v>418</v>
      </c>
      <c r="D37" s="125">
        <v>0</v>
      </c>
      <c r="E37" s="125">
        <v>7582</v>
      </c>
    </row>
    <row r="38" spans="1:5" ht="32.1" customHeight="1">
      <c r="A38" s="124" t="s">
        <v>530</v>
      </c>
      <c r="B38" s="125">
        <v>0</v>
      </c>
      <c r="C38" s="125">
        <v>2</v>
      </c>
      <c r="D38" s="125">
        <v>0</v>
      </c>
      <c r="E38" s="125">
        <v>26</v>
      </c>
    </row>
    <row r="39" spans="1:5" ht="32.1" customHeight="1">
      <c r="A39" s="124" t="s">
        <v>397</v>
      </c>
      <c r="B39" s="125">
        <v>18106</v>
      </c>
      <c r="C39" s="125">
        <v>210</v>
      </c>
      <c r="D39" s="125">
        <v>13805</v>
      </c>
      <c r="E39" s="125">
        <v>2060</v>
      </c>
    </row>
    <row r="40" spans="1:5" ht="32.1" customHeight="1">
      <c r="A40" s="124" t="s">
        <v>398</v>
      </c>
      <c r="B40" s="125">
        <v>0</v>
      </c>
      <c r="C40" s="125">
        <v>1602</v>
      </c>
      <c r="D40" s="125">
        <v>0</v>
      </c>
      <c r="E40" s="125">
        <v>24697</v>
      </c>
    </row>
    <row r="41" spans="1:5" ht="32.1" customHeight="1">
      <c r="A41" s="124" t="s">
        <v>531</v>
      </c>
      <c r="B41" s="125">
        <v>7560</v>
      </c>
      <c r="C41" s="125">
        <v>67</v>
      </c>
      <c r="D41" s="125">
        <v>4419</v>
      </c>
      <c r="E41" s="125">
        <v>269</v>
      </c>
    </row>
    <row r="42" spans="1:5" ht="32.1" customHeight="1">
      <c r="A42" s="124" t="s">
        <v>494</v>
      </c>
      <c r="B42" s="125">
        <v>21488</v>
      </c>
      <c r="C42" s="125">
        <v>162</v>
      </c>
      <c r="D42" s="125">
        <v>13810</v>
      </c>
      <c r="E42" s="125">
        <v>552</v>
      </c>
    </row>
    <row r="43" spans="1:5" ht="32.1" customHeight="1">
      <c r="A43" s="124" t="s">
        <v>399</v>
      </c>
      <c r="B43" s="125">
        <v>3021</v>
      </c>
      <c r="C43" s="125">
        <v>314</v>
      </c>
      <c r="D43" s="125">
        <v>3089</v>
      </c>
      <c r="E43" s="125">
        <v>6245</v>
      </c>
    </row>
    <row r="44" spans="1:5" ht="32.1" customHeight="1">
      <c r="A44" s="124" t="s">
        <v>532</v>
      </c>
      <c r="B44" s="125">
        <v>0</v>
      </c>
      <c r="C44" s="125">
        <v>2</v>
      </c>
      <c r="D44" s="125">
        <v>0</v>
      </c>
      <c r="E44" s="125">
        <v>9</v>
      </c>
    </row>
    <row r="45" spans="1:5" ht="32.1" customHeight="1">
      <c r="A45" s="124" t="s">
        <v>400</v>
      </c>
      <c r="B45" s="125">
        <v>13577</v>
      </c>
      <c r="C45" s="125">
        <v>286</v>
      </c>
      <c r="D45" s="125">
        <v>8373</v>
      </c>
      <c r="E45" s="125">
        <v>4875</v>
      </c>
    </row>
    <row r="46" spans="1:5" ht="32.1" customHeight="1">
      <c r="A46" s="124" t="s">
        <v>401</v>
      </c>
      <c r="B46" s="125">
        <v>0</v>
      </c>
      <c r="C46" s="125">
        <v>15</v>
      </c>
      <c r="D46" s="125">
        <v>0</v>
      </c>
      <c r="E46" s="125">
        <v>864</v>
      </c>
    </row>
    <row r="47" spans="1:5" ht="32.1" customHeight="1">
      <c r="A47" s="124" t="s">
        <v>533</v>
      </c>
      <c r="B47" s="125">
        <v>7540</v>
      </c>
      <c r="C47" s="125">
        <v>52</v>
      </c>
      <c r="D47" s="125">
        <v>189</v>
      </c>
      <c r="E47" s="125">
        <v>443</v>
      </c>
    </row>
    <row r="48" spans="1:5" ht="32.1" customHeight="1">
      <c r="A48" s="124" t="s">
        <v>404</v>
      </c>
      <c r="B48" s="125">
        <v>5590</v>
      </c>
      <c r="C48" s="125">
        <v>237</v>
      </c>
      <c r="D48" s="125">
        <v>4785</v>
      </c>
      <c r="E48" s="125">
        <v>2010</v>
      </c>
    </row>
    <row r="49" spans="1:5" ht="32.1" customHeight="1">
      <c r="A49" s="124" t="s">
        <v>406</v>
      </c>
      <c r="B49" s="125">
        <v>27344</v>
      </c>
      <c r="C49" s="125">
        <v>500</v>
      </c>
      <c r="D49" s="125">
        <v>17892</v>
      </c>
      <c r="E49" s="125">
        <v>2019</v>
      </c>
    </row>
    <row r="50" spans="1:5" ht="32.1" customHeight="1">
      <c r="A50" s="124" t="s">
        <v>408</v>
      </c>
      <c r="B50" s="125">
        <v>50672</v>
      </c>
      <c r="C50" s="125">
        <v>186</v>
      </c>
      <c r="D50" s="125">
        <v>6004</v>
      </c>
      <c r="E50" s="125">
        <v>1920</v>
      </c>
    </row>
    <row r="51" spans="1:5" ht="32.1" customHeight="1">
      <c r="A51" s="124" t="s">
        <v>496</v>
      </c>
      <c r="B51" s="125">
        <v>18168</v>
      </c>
      <c r="C51" s="125">
        <v>70</v>
      </c>
      <c r="D51" s="125">
        <v>3057</v>
      </c>
      <c r="E51" s="125">
        <v>833</v>
      </c>
    </row>
    <row r="52" spans="1:5" ht="32.1" customHeight="1">
      <c r="A52" s="124" t="s">
        <v>534</v>
      </c>
      <c r="B52" s="125">
        <v>0</v>
      </c>
      <c r="C52" s="125">
        <v>62</v>
      </c>
      <c r="D52" s="125">
        <v>0</v>
      </c>
      <c r="E52" s="125">
        <v>1368</v>
      </c>
    </row>
    <row r="53" spans="1:5" ht="32.1" customHeight="1">
      <c r="A53" s="124" t="s">
        <v>410</v>
      </c>
      <c r="B53" s="125">
        <v>22886</v>
      </c>
      <c r="C53" s="125">
        <v>68</v>
      </c>
      <c r="D53" s="125">
        <v>1162</v>
      </c>
      <c r="E53" s="125">
        <v>612</v>
      </c>
    </row>
    <row r="54" spans="1:5" ht="32.1" customHeight="1">
      <c r="A54" s="124" t="s">
        <v>498</v>
      </c>
      <c r="B54" s="125">
        <v>0</v>
      </c>
      <c r="C54" s="125">
        <v>70</v>
      </c>
      <c r="D54" s="125">
        <v>0</v>
      </c>
      <c r="E54" s="125">
        <v>643</v>
      </c>
    </row>
    <row r="55" spans="1:5" ht="32.1" customHeight="1">
      <c r="A55" s="124" t="s">
        <v>411</v>
      </c>
      <c r="B55" s="125">
        <v>15912</v>
      </c>
      <c r="C55" s="125">
        <v>90</v>
      </c>
      <c r="D55" s="125">
        <v>8304</v>
      </c>
      <c r="E55" s="125">
        <v>246</v>
      </c>
    </row>
    <row r="56" spans="1:5" ht="32.1" customHeight="1">
      <c r="A56" s="124" t="s">
        <v>413</v>
      </c>
      <c r="B56" s="125">
        <v>0</v>
      </c>
      <c r="C56" s="125">
        <v>274</v>
      </c>
      <c r="D56" s="125">
        <v>0</v>
      </c>
      <c r="E56" s="125">
        <v>17540</v>
      </c>
    </row>
    <row r="57" spans="1:5" ht="32.1" customHeight="1">
      <c r="A57" s="124" t="s">
        <v>500</v>
      </c>
      <c r="B57" s="125">
        <v>0</v>
      </c>
      <c r="C57" s="125">
        <v>4</v>
      </c>
      <c r="D57" s="125">
        <v>0</v>
      </c>
      <c r="E57" s="125">
        <v>79</v>
      </c>
    </row>
    <row r="58" spans="1:5" ht="32.1" customHeight="1">
      <c r="A58" s="124" t="s">
        <v>414</v>
      </c>
      <c r="B58" s="125">
        <v>145500</v>
      </c>
      <c r="C58" s="125">
        <v>420</v>
      </c>
      <c r="D58" s="125">
        <v>19364</v>
      </c>
      <c r="E58" s="125">
        <v>7919</v>
      </c>
    </row>
    <row r="59" spans="1:5" ht="32.1" customHeight="1">
      <c r="A59" s="124" t="s">
        <v>415</v>
      </c>
      <c r="B59" s="125">
        <v>60778</v>
      </c>
      <c r="C59" s="125">
        <v>2032</v>
      </c>
      <c r="D59" s="125">
        <v>32417</v>
      </c>
      <c r="E59" s="125">
        <v>18095</v>
      </c>
    </row>
    <row r="60" spans="1:5" ht="32.1" customHeight="1">
      <c r="A60" s="124" t="s">
        <v>416</v>
      </c>
      <c r="B60" s="125">
        <v>0</v>
      </c>
      <c r="C60" s="125">
        <v>3</v>
      </c>
      <c r="D60" s="125">
        <v>0</v>
      </c>
      <c r="E60" s="125">
        <v>22</v>
      </c>
    </row>
    <row r="61" spans="1:5" ht="32.1" customHeight="1">
      <c r="A61" s="124" t="s">
        <v>417</v>
      </c>
      <c r="B61" s="125">
        <v>34020</v>
      </c>
      <c r="C61" s="125">
        <v>140</v>
      </c>
      <c r="D61" s="125">
        <v>14859</v>
      </c>
      <c r="E61" s="125">
        <v>1638</v>
      </c>
    </row>
    <row r="62" spans="1:5" ht="32.1" customHeight="1">
      <c r="A62" s="124" t="s">
        <v>535</v>
      </c>
      <c r="B62" s="125">
        <v>0</v>
      </c>
      <c r="C62" s="125">
        <v>36</v>
      </c>
      <c r="D62" s="125">
        <v>0</v>
      </c>
      <c r="E62" s="125">
        <v>502</v>
      </c>
    </row>
    <row r="63" spans="1:5" ht="32.1" customHeight="1">
      <c r="A63" s="124" t="s">
        <v>502</v>
      </c>
      <c r="B63" s="125">
        <v>0</v>
      </c>
      <c r="C63" s="125">
        <v>310</v>
      </c>
      <c r="D63" s="125">
        <v>0</v>
      </c>
      <c r="E63" s="125">
        <v>2391</v>
      </c>
    </row>
    <row r="64" spans="1:5" ht="32.1" customHeight="1">
      <c r="A64" s="124" t="s">
        <v>503</v>
      </c>
      <c r="B64" s="125">
        <v>0</v>
      </c>
      <c r="C64" s="125">
        <v>3</v>
      </c>
      <c r="D64" s="125">
        <v>0</v>
      </c>
      <c r="E64" s="125">
        <v>25</v>
      </c>
    </row>
    <row r="65" spans="1:5" ht="32.1" customHeight="1">
      <c r="A65" s="124" t="s">
        <v>418</v>
      </c>
      <c r="B65" s="125">
        <v>0</v>
      </c>
      <c r="C65" s="125">
        <v>2189</v>
      </c>
      <c r="D65" s="125">
        <v>0</v>
      </c>
      <c r="E65" s="125">
        <v>40919</v>
      </c>
    </row>
    <row r="66" spans="1:5" ht="32.1" customHeight="1">
      <c r="A66" s="124" t="s">
        <v>419</v>
      </c>
      <c r="B66" s="125">
        <v>0</v>
      </c>
      <c r="C66" s="125">
        <v>1</v>
      </c>
      <c r="D66" s="125">
        <v>0</v>
      </c>
      <c r="E66" s="125">
        <v>61</v>
      </c>
    </row>
    <row r="67" spans="1:5" ht="32.1" customHeight="1">
      <c r="A67" s="124" t="s">
        <v>536</v>
      </c>
      <c r="B67" s="125">
        <v>0</v>
      </c>
      <c r="C67" s="125">
        <v>122</v>
      </c>
      <c r="D67" s="125">
        <v>0</v>
      </c>
      <c r="E67" s="125">
        <v>937</v>
      </c>
    </row>
    <row r="68" spans="1:5" ht="32.1" customHeight="1">
      <c r="A68" s="124" t="s">
        <v>423</v>
      </c>
      <c r="B68" s="125">
        <v>150422</v>
      </c>
      <c r="C68" s="125">
        <v>486</v>
      </c>
      <c r="D68" s="125">
        <v>50393</v>
      </c>
      <c r="E68" s="125">
        <v>11819</v>
      </c>
    </row>
    <row r="69" spans="1:5" ht="32.1" customHeight="1">
      <c r="A69" s="124" t="s">
        <v>424</v>
      </c>
      <c r="B69" s="125">
        <v>23872</v>
      </c>
      <c r="C69" s="125">
        <v>631</v>
      </c>
      <c r="D69" s="125">
        <v>1579</v>
      </c>
      <c r="E69" s="125">
        <v>9318</v>
      </c>
    </row>
    <row r="70" spans="1:5" ht="32.1" customHeight="1">
      <c r="A70" s="124" t="s">
        <v>425</v>
      </c>
      <c r="B70" s="125">
        <v>0</v>
      </c>
      <c r="C70" s="125">
        <v>473</v>
      </c>
      <c r="D70" s="125">
        <v>0</v>
      </c>
      <c r="E70" s="125">
        <v>14255</v>
      </c>
    </row>
    <row r="71" spans="1:5" ht="32.1" customHeight="1">
      <c r="A71" s="124" t="s">
        <v>427</v>
      </c>
      <c r="B71" s="125">
        <v>0</v>
      </c>
      <c r="C71" s="125">
        <v>596</v>
      </c>
      <c r="D71" s="125">
        <v>0</v>
      </c>
      <c r="E71" s="125">
        <v>27823</v>
      </c>
    </row>
    <row r="72" spans="1:5" ht="32.1" customHeight="1">
      <c r="A72" s="124" t="s">
        <v>505</v>
      </c>
      <c r="B72" s="125">
        <v>0</v>
      </c>
      <c r="C72" s="125">
        <v>4</v>
      </c>
      <c r="D72" s="125">
        <v>0</v>
      </c>
      <c r="E72" s="125">
        <v>19</v>
      </c>
    </row>
    <row r="73" spans="1:5" ht="32.1" customHeight="1">
      <c r="A73" s="124" t="s">
        <v>428</v>
      </c>
      <c r="B73" s="125">
        <v>13944</v>
      </c>
      <c r="C73" s="125">
        <v>84</v>
      </c>
      <c r="D73" s="125">
        <v>10497</v>
      </c>
      <c r="E73" s="125">
        <v>377</v>
      </c>
    </row>
    <row r="74" spans="1:5" ht="32.1" customHeight="1">
      <c r="A74" s="124" t="s">
        <v>429</v>
      </c>
      <c r="B74" s="125">
        <v>0</v>
      </c>
      <c r="C74" s="125">
        <v>144</v>
      </c>
      <c r="D74" s="125">
        <v>0</v>
      </c>
      <c r="E74" s="125">
        <v>2593</v>
      </c>
    </row>
    <row r="75" spans="1:5" ht="32.1" customHeight="1">
      <c r="A75" s="124" t="s">
        <v>430</v>
      </c>
      <c r="B75" s="125">
        <v>0</v>
      </c>
      <c r="C75" s="125">
        <v>98</v>
      </c>
      <c r="D75" s="125">
        <v>0</v>
      </c>
      <c r="E75" s="125">
        <v>3422</v>
      </c>
    </row>
    <row r="76" spans="1:5" ht="32.1" customHeight="1">
      <c r="A76" s="124" t="s">
        <v>431</v>
      </c>
      <c r="B76" s="125">
        <v>80958</v>
      </c>
      <c r="C76" s="125">
        <v>602</v>
      </c>
      <c r="D76" s="125">
        <v>25557</v>
      </c>
      <c r="E76" s="125">
        <v>8632</v>
      </c>
    </row>
    <row r="77" spans="1:5" ht="32.1" customHeight="1">
      <c r="A77" s="124" t="s">
        <v>432</v>
      </c>
      <c r="B77" s="125">
        <v>0</v>
      </c>
      <c r="C77" s="125">
        <v>412</v>
      </c>
      <c r="D77" s="125">
        <v>0</v>
      </c>
      <c r="E77" s="125">
        <v>15083</v>
      </c>
    </row>
    <row r="78" spans="1:5" ht="32.1" customHeight="1">
      <c r="A78" s="124" t="s">
        <v>433</v>
      </c>
      <c r="B78" s="125">
        <v>107776</v>
      </c>
      <c r="C78" s="125">
        <v>562</v>
      </c>
      <c r="D78" s="125">
        <v>11529</v>
      </c>
      <c r="E78" s="125">
        <v>9304</v>
      </c>
    </row>
    <row r="79" spans="1:5" ht="32.1" customHeight="1">
      <c r="A79" s="124" t="s">
        <v>434</v>
      </c>
      <c r="B79" s="125">
        <v>145098</v>
      </c>
      <c r="C79" s="125">
        <v>539</v>
      </c>
      <c r="D79" s="125">
        <v>24914</v>
      </c>
      <c r="E79" s="125">
        <v>10551</v>
      </c>
    </row>
    <row r="80" spans="1:5" ht="32.1" customHeight="1">
      <c r="A80" s="124" t="s">
        <v>506</v>
      </c>
      <c r="B80" s="125">
        <v>0</v>
      </c>
      <c r="C80" s="125">
        <v>6</v>
      </c>
      <c r="D80" s="125">
        <v>0</v>
      </c>
      <c r="E80" s="125">
        <v>74</v>
      </c>
    </row>
    <row r="81" spans="1:5" ht="32.1" customHeight="1">
      <c r="A81" s="124" t="s">
        <v>435</v>
      </c>
      <c r="B81" s="125">
        <v>0</v>
      </c>
      <c r="C81" s="125">
        <v>24</v>
      </c>
      <c r="D81" s="125">
        <v>0</v>
      </c>
      <c r="E81" s="125">
        <v>280</v>
      </c>
    </row>
    <row r="82" spans="1:5" ht="32.1" customHeight="1">
      <c r="A82" s="124" t="s">
        <v>436</v>
      </c>
      <c r="B82" s="125">
        <v>10752</v>
      </c>
      <c r="C82" s="125">
        <v>84</v>
      </c>
      <c r="D82" s="125">
        <v>5504</v>
      </c>
      <c r="E82" s="125">
        <v>133</v>
      </c>
    </row>
    <row r="83" spans="1:5" ht="32.1" customHeight="1">
      <c r="A83" s="124" t="s">
        <v>537</v>
      </c>
      <c r="B83" s="125">
        <v>0</v>
      </c>
      <c r="C83" s="125">
        <v>6</v>
      </c>
      <c r="D83" s="125">
        <v>0</v>
      </c>
      <c r="E83" s="125">
        <v>78</v>
      </c>
    </row>
    <row r="84" spans="1:5" ht="32.1" customHeight="1">
      <c r="A84" s="124" t="s">
        <v>438</v>
      </c>
      <c r="B84" s="125">
        <v>24180</v>
      </c>
      <c r="C84" s="125">
        <v>156</v>
      </c>
      <c r="D84" s="125">
        <v>13710</v>
      </c>
      <c r="E84" s="125">
        <v>2115</v>
      </c>
    </row>
    <row r="85" spans="1:5" ht="32.1" customHeight="1">
      <c r="A85" s="124" t="s">
        <v>538</v>
      </c>
      <c r="B85" s="125">
        <v>0</v>
      </c>
      <c r="C85" s="125">
        <v>1</v>
      </c>
      <c r="D85" s="125">
        <v>0</v>
      </c>
      <c r="E85" s="125">
        <v>21</v>
      </c>
    </row>
    <row r="86" spans="1:5" ht="32.1" customHeight="1">
      <c r="A86" s="124" t="s">
        <v>539</v>
      </c>
      <c r="B86" s="125">
        <v>6069</v>
      </c>
      <c r="C86" s="125">
        <v>24</v>
      </c>
      <c r="D86" s="125">
        <v>2415</v>
      </c>
      <c r="E86" s="125">
        <v>234</v>
      </c>
    </row>
    <row r="87" spans="1:5" ht="32.1" customHeight="1">
      <c r="A87" s="124" t="s">
        <v>440</v>
      </c>
      <c r="B87" s="125">
        <v>0</v>
      </c>
      <c r="C87" s="125">
        <v>316</v>
      </c>
      <c r="D87" s="125">
        <v>0</v>
      </c>
      <c r="E87" s="125">
        <v>988</v>
      </c>
    </row>
    <row r="88" spans="1:5" ht="32.1" customHeight="1">
      <c r="A88" s="124" t="s">
        <v>540</v>
      </c>
      <c r="B88" s="125">
        <v>0</v>
      </c>
      <c r="C88" s="125">
        <v>2</v>
      </c>
      <c r="D88" s="125">
        <v>0</v>
      </c>
      <c r="E88" s="125">
        <v>27</v>
      </c>
    </row>
    <row r="89" spans="1:5" ht="32.1" customHeight="1">
      <c r="A89" s="124" t="s">
        <v>441</v>
      </c>
      <c r="B89" s="125">
        <v>87150</v>
      </c>
      <c r="C89" s="125">
        <v>544</v>
      </c>
      <c r="D89" s="125">
        <v>30409</v>
      </c>
      <c r="E89" s="125">
        <v>8889</v>
      </c>
    </row>
    <row r="90" spans="1:5" ht="32.1" customHeight="1">
      <c r="A90" s="124" t="s">
        <v>443</v>
      </c>
      <c r="B90" s="125">
        <v>0</v>
      </c>
      <c r="C90" s="125">
        <v>3118</v>
      </c>
      <c r="D90" s="125">
        <v>0</v>
      </c>
      <c r="E90" s="125">
        <v>27629</v>
      </c>
    </row>
    <row r="91" spans="1:5" ht="32.1" customHeight="1">
      <c r="A91" s="124" t="s">
        <v>445</v>
      </c>
      <c r="B91" s="125">
        <v>3328</v>
      </c>
      <c r="C91" s="125">
        <v>107</v>
      </c>
      <c r="D91" s="125">
        <v>1908</v>
      </c>
      <c r="E91" s="125">
        <v>888</v>
      </c>
    </row>
    <row r="92" spans="1:5" ht="32.1" customHeight="1">
      <c r="A92" s="124" t="s">
        <v>446</v>
      </c>
      <c r="B92" s="125">
        <v>0</v>
      </c>
      <c r="C92" s="125">
        <v>18</v>
      </c>
      <c r="D92" s="125">
        <v>0</v>
      </c>
      <c r="E92" s="125">
        <v>120</v>
      </c>
    </row>
    <row r="93" spans="1:5" ht="32.1" customHeight="1">
      <c r="A93" s="124" t="s">
        <v>447</v>
      </c>
      <c r="B93" s="125">
        <v>0</v>
      </c>
      <c r="C93" s="125">
        <v>308</v>
      </c>
      <c r="D93" s="125">
        <v>0</v>
      </c>
      <c r="E93" s="125">
        <v>10459</v>
      </c>
    </row>
    <row r="94" spans="1:5" ht="32.1" customHeight="1">
      <c r="A94" s="124" t="s">
        <v>449</v>
      </c>
      <c r="B94" s="125">
        <v>28705</v>
      </c>
      <c r="C94" s="125">
        <v>464</v>
      </c>
      <c r="D94" s="125">
        <v>14907</v>
      </c>
      <c r="E94" s="125">
        <v>5698</v>
      </c>
    </row>
    <row r="95" spans="1:5" ht="32.1" customHeight="1">
      <c r="A95" s="124" t="s">
        <v>451</v>
      </c>
      <c r="B95" s="125">
        <v>40110</v>
      </c>
      <c r="C95" s="125">
        <v>172</v>
      </c>
      <c r="D95" s="125">
        <v>24029</v>
      </c>
      <c r="E95" s="125">
        <v>1910</v>
      </c>
    </row>
    <row r="96" spans="1:5" ht="32.1" customHeight="1">
      <c r="A96" s="124" t="s">
        <v>452</v>
      </c>
      <c r="B96" s="125">
        <v>25280</v>
      </c>
      <c r="C96" s="125">
        <v>728</v>
      </c>
      <c r="D96" s="125">
        <v>17583</v>
      </c>
      <c r="E96" s="125">
        <v>8203</v>
      </c>
    </row>
    <row r="97" spans="1:5" ht="32.1" customHeight="1">
      <c r="A97" s="124" t="s">
        <v>455</v>
      </c>
      <c r="B97" s="125">
        <v>9622</v>
      </c>
      <c r="C97" s="125">
        <v>54</v>
      </c>
      <c r="D97" s="125">
        <v>4998</v>
      </c>
      <c r="E97" s="125">
        <v>194</v>
      </c>
    </row>
    <row r="98" spans="1:5" ht="32.1" customHeight="1">
      <c r="A98" s="124" t="s">
        <v>456</v>
      </c>
      <c r="B98" s="125">
        <v>0</v>
      </c>
      <c r="C98" s="125">
        <v>484</v>
      </c>
      <c r="D98" s="125">
        <v>0</v>
      </c>
      <c r="E98" s="125">
        <v>4434</v>
      </c>
    </row>
    <row r="99" spans="1:5" ht="32.1" customHeight="1">
      <c r="A99" s="124" t="s">
        <v>457</v>
      </c>
      <c r="B99" s="125">
        <v>20162</v>
      </c>
      <c r="C99" s="125">
        <v>112</v>
      </c>
      <c r="D99" s="125">
        <v>7744</v>
      </c>
      <c r="E99" s="125">
        <v>329</v>
      </c>
    </row>
    <row r="100" spans="1:5" ht="32.1" customHeight="1">
      <c r="A100" s="124" t="s">
        <v>458</v>
      </c>
      <c r="B100" s="125">
        <v>0</v>
      </c>
      <c r="C100" s="125">
        <v>384</v>
      </c>
      <c r="D100" s="125">
        <v>0</v>
      </c>
      <c r="E100" s="125">
        <v>29747</v>
      </c>
    </row>
    <row r="101" spans="1:5" ht="32.1" customHeight="1">
      <c r="A101" s="124" t="s">
        <v>459</v>
      </c>
      <c r="B101" s="125">
        <v>15084</v>
      </c>
      <c r="C101" s="125">
        <v>772</v>
      </c>
      <c r="D101" s="125">
        <v>763</v>
      </c>
      <c r="E101" s="125">
        <v>11742</v>
      </c>
    </row>
    <row r="102" spans="1:5" ht="32.1" customHeight="1">
      <c r="A102" s="124" t="s">
        <v>541</v>
      </c>
      <c r="B102" s="125">
        <v>51620</v>
      </c>
      <c r="C102" s="125">
        <v>354</v>
      </c>
      <c r="D102" s="125">
        <v>3046</v>
      </c>
      <c r="E102" s="125">
        <v>3713</v>
      </c>
    </row>
    <row r="103" spans="1:5" ht="32.1" customHeight="1">
      <c r="A103" s="124" t="s">
        <v>463</v>
      </c>
      <c r="B103" s="125">
        <v>19328</v>
      </c>
      <c r="C103" s="125">
        <v>104</v>
      </c>
      <c r="D103" s="125">
        <v>11185</v>
      </c>
      <c r="E103" s="125">
        <v>238</v>
      </c>
    </row>
    <row r="104" spans="1:5" ht="32.1" customHeight="1">
      <c r="A104" s="124" t="s">
        <v>464</v>
      </c>
      <c r="B104" s="125">
        <v>25428</v>
      </c>
      <c r="C104" s="125">
        <v>142</v>
      </c>
      <c r="D104" s="125">
        <v>11814</v>
      </c>
      <c r="E104" s="125">
        <v>343</v>
      </c>
    </row>
    <row r="105" spans="1:5" ht="32.1" customHeight="1">
      <c r="A105" s="124" t="s">
        <v>465</v>
      </c>
      <c r="B105" s="125">
        <v>0</v>
      </c>
      <c r="C105" s="125">
        <v>90</v>
      </c>
      <c r="D105" s="125">
        <v>0</v>
      </c>
      <c r="E105" s="125">
        <v>3686</v>
      </c>
    </row>
    <row r="106" spans="1:5" ht="32.1" customHeight="1">
      <c r="A106" s="124" t="s">
        <v>466</v>
      </c>
      <c r="B106" s="125">
        <v>0</v>
      </c>
      <c r="C106" s="125">
        <v>264</v>
      </c>
      <c r="D106" s="125">
        <v>0</v>
      </c>
      <c r="E106" s="125">
        <v>13410</v>
      </c>
    </row>
    <row r="107" spans="1:5" ht="32.1" customHeight="1">
      <c r="A107" s="124" t="s">
        <v>467</v>
      </c>
      <c r="B107" s="125">
        <v>177720</v>
      </c>
      <c r="C107" s="125">
        <v>815</v>
      </c>
      <c r="D107" s="125">
        <v>50585</v>
      </c>
      <c r="E107" s="125">
        <v>38306</v>
      </c>
    </row>
    <row r="108" spans="1:5" ht="32.1" customHeight="1">
      <c r="A108" s="124" t="s">
        <v>468</v>
      </c>
      <c r="B108" s="125">
        <v>0</v>
      </c>
      <c r="C108" s="125">
        <v>2275</v>
      </c>
      <c r="D108" s="125">
        <v>0</v>
      </c>
      <c r="E108" s="125">
        <v>9605</v>
      </c>
    </row>
    <row r="109" spans="1:5" ht="32.1" customHeight="1">
      <c r="A109" s="124" t="s">
        <v>542</v>
      </c>
      <c r="B109" s="125">
        <v>0</v>
      </c>
      <c r="C109" s="125">
        <v>22</v>
      </c>
      <c r="D109" s="125">
        <v>0</v>
      </c>
      <c r="E109" s="125">
        <v>93</v>
      </c>
    </row>
    <row r="110" spans="1:5" ht="32.1" customHeight="1">
      <c r="A110" s="124" t="s">
        <v>469</v>
      </c>
      <c r="B110" s="125">
        <v>11028</v>
      </c>
      <c r="C110" s="125">
        <v>390</v>
      </c>
      <c r="D110" s="125">
        <v>1771</v>
      </c>
      <c r="E110" s="125">
        <v>8658</v>
      </c>
    </row>
    <row r="111" spans="1:5" ht="32.1" customHeight="1">
      <c r="A111" s="124" t="s">
        <v>472</v>
      </c>
      <c r="B111" s="125">
        <v>0</v>
      </c>
      <c r="C111" s="125">
        <v>56</v>
      </c>
      <c r="D111" s="125">
        <v>0</v>
      </c>
      <c r="E111" s="125">
        <v>1299</v>
      </c>
    </row>
    <row r="112" spans="1:5" ht="32.1" customHeight="1">
      <c r="A112" s="124" t="s">
        <v>473</v>
      </c>
      <c r="B112" s="125">
        <v>38783</v>
      </c>
      <c r="C112" s="125">
        <v>338</v>
      </c>
      <c r="D112" s="125">
        <v>5434</v>
      </c>
      <c r="E112" s="125">
        <v>8165</v>
      </c>
    </row>
    <row r="113" spans="1:5" ht="32.1" customHeight="1">
      <c r="A113" s="124" t="s">
        <v>474</v>
      </c>
      <c r="B113" s="125">
        <v>72941</v>
      </c>
      <c r="C113" s="125">
        <v>474</v>
      </c>
      <c r="D113" s="125">
        <v>25742</v>
      </c>
      <c r="E113" s="125">
        <v>17470</v>
      </c>
    </row>
    <row r="114" spans="1:5" ht="32.1" customHeight="1">
      <c r="A114" s="124" t="s">
        <v>513</v>
      </c>
      <c r="B114" s="125">
        <v>0</v>
      </c>
      <c r="C114" s="125">
        <v>778</v>
      </c>
      <c r="D114" s="125">
        <v>0</v>
      </c>
      <c r="E114" s="125">
        <v>7387</v>
      </c>
    </row>
    <row r="115" spans="1:5" ht="32.1" customHeight="1">
      <c r="A115" s="124" t="s">
        <v>477</v>
      </c>
      <c r="B115" s="125">
        <v>0</v>
      </c>
      <c r="C115" s="125">
        <v>1841</v>
      </c>
      <c r="D115" s="125">
        <v>0</v>
      </c>
      <c r="E115" s="125">
        <v>43561</v>
      </c>
    </row>
    <row r="116" spans="1:5" ht="32.1" customHeight="1">
      <c r="A116" s="124" t="s">
        <v>478</v>
      </c>
      <c r="B116" s="125">
        <v>0</v>
      </c>
      <c r="C116" s="125">
        <v>2628</v>
      </c>
      <c r="D116" s="125">
        <v>0</v>
      </c>
      <c r="E116" s="125">
        <v>80690</v>
      </c>
    </row>
    <row r="117" spans="1:5" ht="32.1" customHeight="1">
      <c r="A117" s="124" t="s">
        <v>479</v>
      </c>
      <c r="B117" s="125">
        <v>71232</v>
      </c>
      <c r="C117" s="125">
        <v>294</v>
      </c>
      <c r="D117" s="125">
        <v>29513</v>
      </c>
      <c r="E117" s="125">
        <v>3623</v>
      </c>
    </row>
    <row r="118" spans="1:5" ht="32.1" customHeight="1">
      <c r="A118" s="124" t="s">
        <v>480</v>
      </c>
      <c r="B118" s="125">
        <v>80919</v>
      </c>
      <c r="C118" s="125">
        <v>255</v>
      </c>
      <c r="D118" s="125">
        <v>15120</v>
      </c>
      <c r="E118" s="125">
        <v>6416</v>
      </c>
    </row>
    <row r="119" spans="1:5" ht="32.1" customHeight="1">
      <c r="A119" s="124" t="s">
        <v>482</v>
      </c>
      <c r="B119" s="125">
        <v>69863</v>
      </c>
      <c r="C119" s="125">
        <v>339</v>
      </c>
      <c r="D119" s="125">
        <v>8227</v>
      </c>
      <c r="E119" s="125">
        <v>8461</v>
      </c>
    </row>
    <row r="120" spans="1:5" ht="32.1" customHeight="1">
      <c r="A120" s="124" t="s">
        <v>484</v>
      </c>
      <c r="B120" s="125">
        <v>6560</v>
      </c>
      <c r="C120" s="125">
        <v>166</v>
      </c>
      <c r="D120" s="125">
        <v>976</v>
      </c>
      <c r="E120" s="125">
        <v>1931</v>
      </c>
    </row>
    <row r="121" spans="1:5" ht="32.1" customHeight="1">
      <c r="A121" s="124" t="s">
        <v>485</v>
      </c>
      <c r="B121" s="125">
        <v>36066</v>
      </c>
      <c r="C121" s="125">
        <v>285</v>
      </c>
      <c r="D121" s="125">
        <v>10150</v>
      </c>
      <c r="E121" s="125">
        <v>3727</v>
      </c>
    </row>
    <row r="122" spans="1:5" ht="32.1" customHeight="1">
      <c r="A122" s="124" t="s">
        <v>543</v>
      </c>
      <c r="B122" s="125">
        <v>0</v>
      </c>
      <c r="C122" s="125">
        <v>2</v>
      </c>
      <c r="D122" s="125">
        <v>0</v>
      </c>
      <c r="E122" s="125">
        <v>30</v>
      </c>
    </row>
    <row r="123" spans="1:5" ht="32.1" customHeight="1">
      <c r="A123" s="124" t="s">
        <v>517</v>
      </c>
      <c r="B123" s="125">
        <v>0</v>
      </c>
      <c r="C123" s="125">
        <v>188</v>
      </c>
      <c r="D123" s="125">
        <v>0</v>
      </c>
      <c r="E123" s="125">
        <v>544</v>
      </c>
    </row>
    <row r="124" spans="1:5" ht="32.1" customHeight="1">
      <c r="A124" s="124" t="s">
        <v>487</v>
      </c>
      <c r="B124" s="125">
        <v>0</v>
      </c>
      <c r="C124" s="125">
        <v>128</v>
      </c>
      <c r="D124" s="125">
        <v>0</v>
      </c>
      <c r="E124" s="125">
        <v>2409</v>
      </c>
    </row>
  </sheetData>
  <mergeCells count="1">
    <mergeCell ref="A1:E1"/>
  </mergeCells>
  <phoneticPr fontId="4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480E8-B5AD-440C-A1F7-B35A04FC90E9}">
  <dimension ref="A1:J57"/>
  <sheetViews>
    <sheetView topLeftCell="A42" workbookViewId="0">
      <selection activeCell="I57" sqref="I57"/>
    </sheetView>
  </sheetViews>
  <sheetFormatPr defaultColWidth="9" defaultRowHeight="14.4"/>
  <cols>
    <col min="1" max="1" width="9" style="4"/>
    <col min="2" max="2" width="12.109375" style="4" bestFit="1" customWidth="1"/>
    <col min="3" max="3" width="15.88671875" style="4" bestFit="1" customWidth="1"/>
    <col min="4" max="4" width="10.33203125" style="4" bestFit="1" customWidth="1"/>
    <col min="5" max="5" width="14.6640625" style="4" bestFit="1" customWidth="1"/>
    <col min="6" max="6" width="9.109375" style="4" bestFit="1" customWidth="1"/>
    <col min="7" max="7" width="13.6640625" style="4" bestFit="1" customWidth="1"/>
    <col min="8" max="8" width="12.6640625" style="4" bestFit="1" customWidth="1"/>
    <col min="9" max="9" width="11" style="4" customWidth="1"/>
    <col min="10" max="10" width="12.33203125" style="4" bestFit="1" customWidth="1"/>
    <col min="11" max="11" width="15.88671875" style="4" bestFit="1" customWidth="1"/>
    <col min="12" max="12" width="9.109375" style="4" bestFit="1" customWidth="1"/>
    <col min="13" max="13" width="15.88671875" style="4" bestFit="1" customWidth="1"/>
    <col min="14" max="14" width="17.6640625" style="4" bestFit="1" customWidth="1"/>
    <col min="15" max="15" width="12.6640625" style="4" bestFit="1" customWidth="1"/>
    <col min="16" max="16384" width="9" style="4"/>
  </cols>
  <sheetData>
    <row r="1" spans="1:7" ht="17.399999999999999">
      <c r="A1" s="25" t="s">
        <v>544</v>
      </c>
      <c r="B1" s="160" t="s">
        <v>850</v>
      </c>
    </row>
    <row r="2" spans="1:7" ht="15">
      <c r="A2" s="37" t="s">
        <v>851</v>
      </c>
      <c r="B2" s="161" t="s">
        <v>852</v>
      </c>
      <c r="C2" s="37" t="s">
        <v>853</v>
      </c>
      <c r="D2" s="37" t="s">
        <v>854</v>
      </c>
      <c r="E2" s="37" t="s">
        <v>855</v>
      </c>
      <c r="F2" s="37" t="s">
        <v>856</v>
      </c>
      <c r="G2" s="37" t="s">
        <v>857</v>
      </c>
    </row>
    <row r="3" spans="1:7">
      <c r="A3" s="24">
        <v>1989</v>
      </c>
      <c r="B3" s="22">
        <v>17234880</v>
      </c>
      <c r="C3" s="22">
        <v>32973999372</v>
      </c>
      <c r="D3" s="22">
        <v>865713</v>
      </c>
      <c r="E3" s="22">
        <v>4331431570</v>
      </c>
      <c r="F3" s="22">
        <v>122857</v>
      </c>
      <c r="G3" s="22">
        <v>240728926</v>
      </c>
    </row>
    <row r="4" spans="1:7">
      <c r="A4" s="24">
        <v>1990</v>
      </c>
      <c r="B4" s="22">
        <v>20690235</v>
      </c>
      <c r="C4" s="22">
        <v>40415780780</v>
      </c>
      <c r="D4" s="22">
        <v>959590</v>
      </c>
      <c r="E4" s="22">
        <v>4626454321</v>
      </c>
      <c r="F4" s="22">
        <v>139529</v>
      </c>
      <c r="G4" s="22">
        <v>280656064</v>
      </c>
    </row>
    <row r="5" spans="1:7">
      <c r="A5" s="24">
        <v>1991</v>
      </c>
      <c r="B5" s="22">
        <v>22523737</v>
      </c>
      <c r="C5" s="22">
        <v>42968310434</v>
      </c>
      <c r="D5" s="22">
        <v>986884</v>
      </c>
      <c r="E5" s="22">
        <v>4548580506</v>
      </c>
      <c r="F5" s="22">
        <v>150595</v>
      </c>
      <c r="G5" s="22">
        <v>300479394</v>
      </c>
    </row>
    <row r="6" spans="1:7">
      <c r="A6" s="24">
        <v>1992</v>
      </c>
      <c r="B6" s="22">
        <v>25811748</v>
      </c>
      <c r="C6" s="22">
        <v>50453658708</v>
      </c>
      <c r="D6" s="22">
        <v>1078832</v>
      </c>
      <c r="E6" s="22">
        <v>5062484859</v>
      </c>
      <c r="F6" s="22">
        <v>177627</v>
      </c>
      <c r="G6" s="22">
        <v>347095622</v>
      </c>
    </row>
    <row r="7" spans="1:7">
      <c r="A7" s="24">
        <v>1993</v>
      </c>
      <c r="B7" s="22">
        <v>27201333</v>
      </c>
      <c r="C7" s="22">
        <v>53138303731</v>
      </c>
      <c r="D7" s="22">
        <v>1223888</v>
      </c>
      <c r="E7" s="22">
        <v>6287703403</v>
      </c>
      <c r="F7" s="22">
        <v>201182</v>
      </c>
      <c r="G7" s="22">
        <v>371002537</v>
      </c>
    </row>
    <row r="8" spans="1:7">
      <c r="A8" s="24">
        <v>1994</v>
      </c>
      <c r="B8" s="22">
        <v>31481845</v>
      </c>
      <c r="C8" s="22">
        <v>60636514958</v>
      </c>
      <c r="D8" s="22">
        <v>1418923</v>
      </c>
      <c r="E8" s="22">
        <v>7107986755</v>
      </c>
      <c r="F8" s="22">
        <v>214424</v>
      </c>
      <c r="G8" s="22">
        <v>416475276</v>
      </c>
    </row>
    <row r="9" spans="1:7">
      <c r="A9" s="24">
        <v>1995</v>
      </c>
      <c r="B9" s="22">
        <v>35611282</v>
      </c>
      <c r="C9" s="22">
        <v>69018847961</v>
      </c>
      <c r="D9" s="22">
        <v>1613469</v>
      </c>
      <c r="E9" s="22">
        <v>8218439669</v>
      </c>
      <c r="F9" s="22">
        <v>234027</v>
      </c>
      <c r="G9" s="22">
        <v>468101617</v>
      </c>
    </row>
    <row r="10" spans="1:7">
      <c r="A10" s="24">
        <v>1996</v>
      </c>
      <c r="B10" s="22">
        <v>39559043</v>
      </c>
      <c r="C10" s="22">
        <v>78775501273</v>
      </c>
      <c r="D10" s="22">
        <v>1782337</v>
      </c>
      <c r="E10" s="22">
        <v>9176947009</v>
      </c>
      <c r="F10" s="22">
        <v>254565</v>
      </c>
      <c r="G10" s="22">
        <v>528539658</v>
      </c>
    </row>
    <row r="11" spans="1:7">
      <c r="A11" s="24">
        <v>1997</v>
      </c>
      <c r="B11" s="22">
        <v>42176926</v>
      </c>
      <c r="C11" s="22">
        <v>83426879836</v>
      </c>
      <c r="D11" s="22">
        <v>2018393</v>
      </c>
      <c r="E11" s="22">
        <v>10700851468</v>
      </c>
      <c r="F11" s="22">
        <v>277048</v>
      </c>
      <c r="G11" s="22">
        <v>591150615</v>
      </c>
    </row>
    <row r="12" spans="1:7">
      <c r="A12" s="24">
        <v>1998</v>
      </c>
      <c r="B12" s="22">
        <v>33608780</v>
      </c>
      <c r="C12" s="22">
        <v>62612530888</v>
      </c>
      <c r="D12" s="22">
        <v>1834298</v>
      </c>
      <c r="E12" s="22">
        <v>9400102457</v>
      </c>
      <c r="F12" s="22">
        <v>248188</v>
      </c>
      <c r="G12" s="22">
        <v>489105234</v>
      </c>
    </row>
    <row r="13" spans="1:7">
      <c r="A13" s="24">
        <v>1999</v>
      </c>
      <c r="B13" s="22">
        <v>37894642</v>
      </c>
      <c r="C13" s="22">
        <v>72436042000</v>
      </c>
      <c r="D13" s="22">
        <v>2112703</v>
      </c>
      <c r="E13" s="22">
        <v>10898300517</v>
      </c>
      <c r="F13" s="22">
        <v>246910</v>
      </c>
      <c r="G13" s="22">
        <v>498569299</v>
      </c>
    </row>
    <row r="14" spans="1:7">
      <c r="A14" s="24">
        <v>2000</v>
      </c>
      <c r="B14" s="22">
        <v>41967169</v>
      </c>
      <c r="C14" s="22">
        <v>83955503185</v>
      </c>
      <c r="D14" s="22">
        <v>2383581</v>
      </c>
      <c r="E14" s="22">
        <v>12429945390</v>
      </c>
      <c r="F14" s="22">
        <v>273691</v>
      </c>
      <c r="G14" s="22">
        <v>561891020</v>
      </c>
    </row>
    <row r="15" spans="1:7">
      <c r="A15" s="24">
        <v>2001</v>
      </c>
      <c r="B15" s="22">
        <v>42161838</v>
      </c>
      <c r="C15" s="22">
        <v>84544146258</v>
      </c>
      <c r="D15" s="22">
        <v>2294864</v>
      </c>
      <c r="E15" s="22">
        <v>11326745204</v>
      </c>
      <c r="F15" s="22">
        <v>283914</v>
      </c>
      <c r="G15" s="22">
        <v>567756515</v>
      </c>
    </row>
    <row r="16" spans="1:7">
      <c r="A16" s="24">
        <v>2002</v>
      </c>
      <c r="B16" s="22">
        <v>43965144</v>
      </c>
      <c r="C16" s="22">
        <v>92174967638</v>
      </c>
      <c r="D16" s="22">
        <v>2509507</v>
      </c>
      <c r="E16" s="22">
        <v>12606344764</v>
      </c>
      <c r="F16" s="22">
        <v>303032</v>
      </c>
      <c r="G16" s="22">
        <v>641000008</v>
      </c>
    </row>
    <row r="17" spans="1:7">
      <c r="A17" s="24">
        <v>2003</v>
      </c>
      <c r="B17" s="22">
        <v>42838812</v>
      </c>
      <c r="C17" s="22">
        <v>82231019775</v>
      </c>
      <c r="D17" s="22">
        <v>2631359</v>
      </c>
      <c r="E17" s="22">
        <v>11695819583</v>
      </c>
      <c r="F17" s="22">
        <v>310124</v>
      </c>
      <c r="G17" s="22">
        <v>615049182</v>
      </c>
    </row>
    <row r="18" spans="1:7">
      <c r="A18" s="24">
        <v>2004</v>
      </c>
      <c r="B18" s="22">
        <v>45823588</v>
      </c>
      <c r="C18" s="22">
        <v>96583257785</v>
      </c>
      <c r="D18" s="22">
        <v>2978118</v>
      </c>
      <c r="E18" s="22">
        <v>13809815644</v>
      </c>
      <c r="F18" s="22">
        <v>313708</v>
      </c>
      <c r="G18" s="22">
        <v>688719258</v>
      </c>
    </row>
    <row r="19" spans="1:7">
      <c r="A19" s="24">
        <v>2005</v>
      </c>
      <c r="B19" s="22">
        <v>46841441</v>
      </c>
      <c r="C19" s="22">
        <v>101664000000</v>
      </c>
      <c r="D19" s="22">
        <v>2989203</v>
      </c>
      <c r="E19" s="22">
        <v>13597859781</v>
      </c>
      <c r="F19" s="22">
        <v>314128</v>
      </c>
      <c r="G19" s="22">
        <v>697677439</v>
      </c>
    </row>
    <row r="20" spans="1:7">
      <c r="A20" s="24">
        <v>2006</v>
      </c>
      <c r="B20" s="22">
        <v>49888580</v>
      </c>
      <c r="C20" s="22">
        <v>110791000000</v>
      </c>
      <c r="D20" s="22">
        <v>3208783</v>
      </c>
      <c r="E20" s="22">
        <v>14730313293</v>
      </c>
      <c r="F20" s="22">
        <v>340637</v>
      </c>
      <c r="G20" s="22">
        <v>765599846</v>
      </c>
    </row>
    <row r="21" spans="1:7">
      <c r="A21" s="24">
        <v>2007</v>
      </c>
      <c r="B21" s="22">
        <v>53715079</v>
      </c>
      <c r="C21" s="22">
        <v>121308000000</v>
      </c>
      <c r="D21" s="22">
        <v>3454508</v>
      </c>
      <c r="E21" s="22">
        <v>15880213082</v>
      </c>
      <c r="F21" s="22">
        <v>386314</v>
      </c>
      <c r="G21" s="22">
        <v>860482950</v>
      </c>
    </row>
    <row r="22" spans="1:7">
      <c r="A22" s="24">
        <v>2008</v>
      </c>
      <c r="B22" s="22">
        <v>52331770</v>
      </c>
      <c r="C22" s="22">
        <v>121563000000</v>
      </c>
      <c r="D22" s="22">
        <v>3251606</v>
      </c>
      <c r="E22" s="22">
        <v>14948577845</v>
      </c>
      <c r="F22" s="22">
        <v>389484</v>
      </c>
      <c r="G22" s="22">
        <v>868323394</v>
      </c>
    </row>
    <row r="23" spans="1:7">
      <c r="A23" s="24">
        <v>2009</v>
      </c>
      <c r="B23" s="22">
        <v>51574629</v>
      </c>
      <c r="C23" s="22">
        <v>116308000000</v>
      </c>
      <c r="D23" s="22">
        <v>3141146</v>
      </c>
      <c r="E23" s="22">
        <v>14085183952</v>
      </c>
      <c r="F23" s="22">
        <v>379865</v>
      </c>
      <c r="G23" s="22">
        <v>790370533</v>
      </c>
    </row>
    <row r="24" spans="1:7">
      <c r="A24" s="24">
        <v>2010</v>
      </c>
      <c r="B24" s="22">
        <v>60277303</v>
      </c>
      <c r="C24" s="22">
        <v>135771000000</v>
      </c>
      <c r="D24" s="22">
        <v>3588741</v>
      </c>
      <c r="E24" s="22">
        <v>16376088401</v>
      </c>
      <c r="F24" s="22">
        <v>403296</v>
      </c>
      <c r="G24" s="22">
        <v>894995910</v>
      </c>
    </row>
    <row r="25" spans="1:7">
      <c r="A25" s="24">
        <v>2011</v>
      </c>
      <c r="B25" s="22">
        <v>63629352</v>
      </c>
      <c r="C25" s="22">
        <v>148394000000</v>
      </c>
      <c r="D25" s="22">
        <v>3519237</v>
      </c>
      <c r="E25" s="22">
        <v>16021369980</v>
      </c>
      <c r="F25" s="22">
        <v>432080</v>
      </c>
      <c r="G25" s="22">
        <v>984715383</v>
      </c>
    </row>
    <row r="26" spans="1:7">
      <c r="A26" s="24">
        <v>2012</v>
      </c>
      <c r="B26" s="22">
        <v>69304162</v>
      </c>
      <c r="C26" s="22">
        <v>162735000000</v>
      </c>
      <c r="D26" s="22">
        <v>3474057</v>
      </c>
      <c r="E26" s="22">
        <v>15678617167</v>
      </c>
      <c r="F26" s="22">
        <v>469335</v>
      </c>
      <c r="G26" s="22">
        <v>1055832994</v>
      </c>
    </row>
    <row r="27" spans="1:7">
      <c r="A27" s="24">
        <v>2013</v>
      </c>
      <c r="B27" s="22">
        <v>73340261</v>
      </c>
      <c r="C27" s="22">
        <v>172963000000</v>
      </c>
      <c r="D27" s="22">
        <v>3498939</v>
      </c>
      <c r="E27" s="22">
        <v>15657045872</v>
      </c>
      <c r="F27" s="22">
        <v>500738</v>
      </c>
      <c r="G27" s="22">
        <v>1116671455</v>
      </c>
    </row>
    <row r="28" spans="1:7">
      <c r="A28" s="24">
        <v>2014</v>
      </c>
      <c r="B28" s="22">
        <v>81426297</v>
      </c>
      <c r="C28" s="22">
        <v>183113000000</v>
      </c>
      <c r="D28" s="22">
        <v>3693861</v>
      </c>
      <c r="E28" s="22">
        <v>16472894383</v>
      </c>
      <c r="F28" s="22">
        <v>536586</v>
      </c>
      <c r="G28" s="22">
        <v>1151922788</v>
      </c>
    </row>
    <row r="29" spans="1:7">
      <c r="A29" s="24">
        <v>2015</v>
      </c>
      <c r="B29" s="22">
        <v>89414538</v>
      </c>
      <c r="C29" s="22">
        <v>198443000000</v>
      </c>
      <c r="D29" s="22">
        <v>3806553</v>
      </c>
      <c r="E29" s="22">
        <v>16780475856</v>
      </c>
      <c r="F29" s="22">
        <v>570591</v>
      </c>
      <c r="G29" s="22">
        <v>1197486056</v>
      </c>
    </row>
    <row r="30" spans="1:7">
      <c r="A30" s="24">
        <v>2016</v>
      </c>
      <c r="B30" s="22">
        <v>103913732</v>
      </c>
      <c r="C30" s="22">
        <v>224081000000</v>
      </c>
      <c r="D30" s="22">
        <v>4073795</v>
      </c>
      <c r="E30" s="22">
        <v>17477169423</v>
      </c>
      <c r="F30" s="22">
        <v>629853</v>
      </c>
      <c r="G30" s="22">
        <v>1291889819</v>
      </c>
    </row>
    <row r="31" spans="1:7">
      <c r="A31" s="24">
        <v>2017</v>
      </c>
      <c r="B31" s="22">
        <v>109361974</v>
      </c>
      <c r="C31" s="22">
        <v>243641000000</v>
      </c>
      <c r="D31" s="22">
        <v>4321641</v>
      </c>
      <c r="E31" s="22">
        <v>18875336169</v>
      </c>
      <c r="F31" s="22">
        <v>653654</v>
      </c>
      <c r="G31" s="22">
        <v>1365679888</v>
      </c>
    </row>
    <row r="32" spans="1:7">
      <c r="A32" s="24">
        <v>2018</v>
      </c>
      <c r="B32" s="22">
        <v>117525898</v>
      </c>
      <c r="C32" s="22">
        <v>263629000000</v>
      </c>
      <c r="D32" s="22">
        <v>4441975</v>
      </c>
      <c r="E32" s="22">
        <v>19447758637</v>
      </c>
      <c r="F32" s="22">
        <v>691521</v>
      </c>
      <c r="G32" s="22">
        <v>1455708646</v>
      </c>
    </row>
    <row r="33" spans="1:7">
      <c r="A33" s="24">
        <v>2019</v>
      </c>
      <c r="B33" s="22">
        <v>123366608</v>
      </c>
      <c r="C33" s="22">
        <v>281755000000</v>
      </c>
      <c r="D33" s="22">
        <v>4274717</v>
      </c>
      <c r="E33" s="22">
        <v>18306326147</v>
      </c>
      <c r="F33" s="22">
        <v>723592</v>
      </c>
      <c r="G33" s="22">
        <v>1543833004</v>
      </c>
    </row>
    <row r="34" spans="1:7">
      <c r="A34" s="24">
        <v>2020</v>
      </c>
      <c r="B34" s="22">
        <v>39403960</v>
      </c>
      <c r="C34" s="22">
        <v>62314352681</v>
      </c>
      <c r="D34" s="22">
        <v>3252778</v>
      </c>
      <c r="E34" s="22">
        <v>15811549626</v>
      </c>
      <c r="F34" s="22">
        <v>339594</v>
      </c>
      <c r="G34" s="22">
        <v>770665128</v>
      </c>
    </row>
    <row r="35" spans="1:7" ht="15">
      <c r="A35" s="161" t="s">
        <v>858</v>
      </c>
    </row>
    <row r="37" spans="1:7">
      <c r="A37" s="25" t="s">
        <v>545</v>
      </c>
      <c r="B37" s="4" t="s">
        <v>859</v>
      </c>
      <c r="F37" s="175" t="s">
        <v>860</v>
      </c>
      <c r="G37" s="175"/>
    </row>
    <row r="38" spans="1:7">
      <c r="A38" s="37" t="s">
        <v>851</v>
      </c>
      <c r="B38" s="25" t="s">
        <v>861</v>
      </c>
      <c r="C38" s="25" t="s">
        <v>862</v>
      </c>
      <c r="D38" s="25" t="s">
        <v>863</v>
      </c>
      <c r="E38" s="25" t="s">
        <v>864</v>
      </c>
      <c r="F38" s="25" t="s">
        <v>863</v>
      </c>
      <c r="G38" s="25" t="s">
        <v>864</v>
      </c>
    </row>
    <row r="39" spans="1:7">
      <c r="A39" s="24">
        <v>2009</v>
      </c>
      <c r="B39" s="45">
        <v>58017647</v>
      </c>
      <c r="C39" s="45">
        <v>292381</v>
      </c>
      <c r="D39" s="45">
        <v>40387789</v>
      </c>
      <c r="E39" s="45">
        <v>2378141</v>
      </c>
    </row>
    <row r="40" spans="1:7">
      <c r="A40" s="24">
        <v>2010</v>
      </c>
      <c r="B40" s="45">
        <v>61312548</v>
      </c>
      <c r="C40" s="45">
        <v>307880</v>
      </c>
      <c r="D40" s="45">
        <v>47237514</v>
      </c>
      <c r="E40" s="45">
        <v>2666460</v>
      </c>
      <c r="F40" s="4">
        <f>D40/D39</f>
        <v>1.1695989102052604</v>
      </c>
      <c r="G40" s="4">
        <f>E40/E39</f>
        <v>1.1212371343835374</v>
      </c>
    </row>
    <row r="41" spans="1:7">
      <c r="A41" s="24">
        <v>2011</v>
      </c>
      <c r="B41" s="45">
        <v>65976928</v>
      </c>
      <c r="C41" s="45">
        <v>328216</v>
      </c>
      <c r="D41" s="45">
        <v>49538896</v>
      </c>
      <c r="E41" s="45">
        <v>2623974</v>
      </c>
      <c r="F41" s="4">
        <f t="shared" ref="F41:F49" si="0">D41/D40</f>
        <v>1.0487193716417846</v>
      </c>
      <c r="G41" s="4">
        <f t="shared" ref="G41:G49" si="1">E41/E40</f>
        <v>0.98406651515492449</v>
      </c>
    </row>
    <row r="42" spans="1:7">
      <c r="A42" s="24">
        <v>2012</v>
      </c>
      <c r="B42" s="45">
        <v>70457208</v>
      </c>
      <c r="C42" s="45">
        <v>355775</v>
      </c>
      <c r="D42" s="45">
        <v>53874897</v>
      </c>
      <c r="E42" s="45">
        <v>2556561</v>
      </c>
      <c r="F42" s="4">
        <f t="shared" si="0"/>
        <v>1.0875272028670158</v>
      </c>
      <c r="G42" s="4">
        <f t="shared" si="1"/>
        <v>0.97430881555991022</v>
      </c>
    </row>
    <row r="43" spans="1:7">
      <c r="A43" s="24">
        <v>2013</v>
      </c>
      <c r="B43" s="45">
        <v>73317719</v>
      </c>
      <c r="C43" s="45">
        <v>375144</v>
      </c>
      <c r="D43" s="45">
        <v>56145585</v>
      </c>
      <c r="E43" s="45">
        <v>2569156</v>
      </c>
      <c r="F43" s="4">
        <f t="shared" si="0"/>
        <v>1.0421474216461146</v>
      </c>
      <c r="G43" s="4">
        <f t="shared" si="1"/>
        <v>1.0049265399886802</v>
      </c>
    </row>
    <row r="44" spans="1:7">
      <c r="A44" s="24">
        <v>2014</v>
      </c>
      <c r="B44" s="45">
        <v>77209328</v>
      </c>
      <c r="C44" s="45">
        <v>391048</v>
      </c>
      <c r="D44" s="45">
        <v>60788552</v>
      </c>
      <c r="E44" s="45">
        <v>2658483</v>
      </c>
      <c r="F44" s="4">
        <f t="shared" si="0"/>
        <v>1.0826951397870375</v>
      </c>
      <c r="G44" s="4">
        <f t="shared" si="1"/>
        <v>1.0347690058525056</v>
      </c>
    </row>
    <row r="45" spans="1:7">
      <c r="A45" s="24">
        <v>2015</v>
      </c>
      <c r="B45" s="45">
        <v>84329502</v>
      </c>
      <c r="C45" s="45">
        <v>420486</v>
      </c>
      <c r="D45" s="45">
        <v>68106765</v>
      </c>
      <c r="E45" s="45">
        <v>2733091</v>
      </c>
      <c r="F45" s="4">
        <f t="shared" si="0"/>
        <v>1.1203880131903783</v>
      </c>
      <c r="G45" s="4">
        <f t="shared" si="1"/>
        <v>1.0280641252925071</v>
      </c>
    </row>
    <row r="46" spans="1:7">
      <c r="A46" s="24">
        <v>2016</v>
      </c>
      <c r="B46" s="45">
        <v>94085064</v>
      </c>
      <c r="C46" s="45">
        <v>464495</v>
      </c>
      <c r="D46" s="45">
        <v>78956163</v>
      </c>
      <c r="E46" s="45">
        <v>2886178</v>
      </c>
      <c r="F46" s="4">
        <f t="shared" si="0"/>
        <v>1.1592998580977969</v>
      </c>
      <c r="G46" s="4">
        <f t="shared" si="1"/>
        <v>1.0560124050022484</v>
      </c>
    </row>
    <row r="47" spans="1:7">
      <c r="A47" s="24">
        <v>2017</v>
      </c>
      <c r="B47" s="45">
        <v>101616268</v>
      </c>
      <c r="C47" s="45">
        <v>497211</v>
      </c>
      <c r="D47" s="45">
        <v>85904545</v>
      </c>
      <c r="E47" s="45">
        <v>3031848</v>
      </c>
      <c r="F47" s="4">
        <f t="shared" si="0"/>
        <v>1.0880030353045398</v>
      </c>
      <c r="G47" s="4">
        <f t="shared" si="1"/>
        <v>1.0504715925351797</v>
      </c>
    </row>
    <row r="48" spans="1:7">
      <c r="A48" s="24">
        <v>2018</v>
      </c>
      <c r="B48" s="45">
        <v>107630602</v>
      </c>
      <c r="C48" s="45">
        <v>524690</v>
      </c>
      <c r="D48" s="45">
        <v>91273049</v>
      </c>
      <c r="E48" s="45">
        <v>3069951</v>
      </c>
      <c r="F48" s="4">
        <f t="shared" si="0"/>
        <v>1.0624938296338104</v>
      </c>
      <c r="G48" s="4">
        <f t="shared" si="1"/>
        <v>1.0125675825437159</v>
      </c>
    </row>
    <row r="49" spans="1:10">
      <c r="A49" s="24">
        <v>2019</v>
      </c>
      <c r="B49" s="45">
        <v>111528123</v>
      </c>
      <c r="C49" s="45">
        <v>542111</v>
      </c>
      <c r="D49" s="45">
        <v>94245011</v>
      </c>
      <c r="E49" s="45">
        <v>2885294</v>
      </c>
      <c r="F49" s="4">
        <f t="shared" si="0"/>
        <v>1.0325612218783224</v>
      </c>
      <c r="G49" s="4">
        <f t="shared" si="1"/>
        <v>0.93985018001915988</v>
      </c>
    </row>
    <row r="50" spans="1:10">
      <c r="A50" s="24">
        <v>2020</v>
      </c>
      <c r="B50" s="45">
        <v>48876694</v>
      </c>
      <c r="C50" s="45">
        <v>275368</v>
      </c>
      <c r="D50" s="45">
        <v>34952212</v>
      </c>
      <c r="E50" s="45">
        <v>2346383</v>
      </c>
    </row>
    <row r="51" spans="1:10">
      <c r="B51" s="45"/>
      <c r="C51" s="45"/>
      <c r="D51" s="45"/>
    </row>
    <row r="52" spans="1:10">
      <c r="A52" s="25" t="s">
        <v>366</v>
      </c>
    </row>
    <row r="53" spans="1:10">
      <c r="I53" s="175" t="s">
        <v>551</v>
      </c>
      <c r="J53" s="175"/>
    </row>
    <row r="54" spans="1:10">
      <c r="I54" s="25" t="s">
        <v>549</v>
      </c>
      <c r="J54" s="25" t="s">
        <v>550</v>
      </c>
    </row>
    <row r="55" spans="1:10">
      <c r="I55" s="4" t="s">
        <v>848</v>
      </c>
      <c r="J55" s="4" t="s">
        <v>849</v>
      </c>
    </row>
    <row r="56" spans="1:10">
      <c r="I56" s="47">
        <v>1.01</v>
      </c>
      <c r="J56" s="47">
        <v>1.028</v>
      </c>
    </row>
    <row r="57" spans="1:10">
      <c r="I57" s="4" t="s">
        <v>865</v>
      </c>
    </row>
  </sheetData>
  <mergeCells count="2">
    <mergeCell ref="F37:G37"/>
    <mergeCell ref="I53:J53"/>
  </mergeCells>
  <phoneticPr fontId="43" type="noConversion"/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B616B-4866-4A8F-8AE3-27820F2610C8}">
  <dimension ref="A1:G17"/>
  <sheetViews>
    <sheetView workbookViewId="0">
      <selection activeCell="C8" sqref="C8"/>
    </sheetView>
  </sheetViews>
  <sheetFormatPr defaultColWidth="9" defaultRowHeight="14.4"/>
  <cols>
    <col min="1" max="1" width="9" style="4"/>
    <col min="2" max="2" width="12.109375" style="4" bestFit="1" customWidth="1"/>
    <col min="3" max="3" width="15.88671875" style="4" bestFit="1" customWidth="1"/>
    <col min="4" max="4" width="10.33203125" style="4" bestFit="1" customWidth="1"/>
    <col min="5" max="5" width="14.6640625" style="4" bestFit="1" customWidth="1"/>
    <col min="6" max="6" width="9.109375" style="4" bestFit="1" customWidth="1"/>
    <col min="7" max="7" width="13.6640625" style="4" bestFit="1" customWidth="1"/>
    <col min="8" max="16384" width="9" style="4"/>
  </cols>
  <sheetData>
    <row r="1" spans="1:7">
      <c r="A1" s="25" t="s">
        <v>545</v>
      </c>
      <c r="F1" s="29"/>
      <c r="G1" s="29"/>
    </row>
    <row r="2" spans="1:7">
      <c r="A2" s="37" t="s">
        <v>546</v>
      </c>
      <c r="B2" s="37">
        <v>2019</v>
      </c>
      <c r="C2" s="37">
        <v>2020</v>
      </c>
      <c r="D2" s="37">
        <v>2021</v>
      </c>
    </row>
    <row r="3" spans="1:7">
      <c r="A3" s="29" t="s">
        <v>547</v>
      </c>
      <c r="B3" s="45">
        <f>'Air2019'!B4</f>
        <v>75440656</v>
      </c>
      <c r="C3" s="45">
        <f>'Air2020'!B4</f>
        <v>35003766</v>
      </c>
      <c r="D3" s="45">
        <f>'Air2021'!B4</f>
        <v>30014803</v>
      </c>
    </row>
    <row r="4" spans="1:7">
      <c r="A4" s="29" t="s">
        <v>548</v>
      </c>
      <c r="B4" s="45">
        <f>'Air2019'!C4</f>
        <v>367334</v>
      </c>
      <c r="C4" s="45">
        <f>'Air2020'!C4</f>
        <v>190756</v>
      </c>
      <c r="D4" s="45">
        <f>'Air2021'!C4</f>
        <v>183569</v>
      </c>
    </row>
    <row r="5" spans="1:7">
      <c r="A5" s="29" t="s">
        <v>549</v>
      </c>
      <c r="B5" s="45">
        <f>'Air2019'!D4</f>
        <v>64047450</v>
      </c>
      <c r="C5" s="45">
        <f>'Air2020'!D4</f>
        <v>25100157</v>
      </c>
      <c r="D5" s="45">
        <f>'Air2021'!D4</f>
        <v>22359540</v>
      </c>
    </row>
    <row r="6" spans="1:7">
      <c r="A6" s="29" t="s">
        <v>550</v>
      </c>
      <c r="B6" s="45">
        <f>'Air2019'!E4</f>
        <v>1898548</v>
      </c>
      <c r="C6" s="45">
        <f>'Air2020'!E4</f>
        <v>1528230</v>
      </c>
      <c r="D6" s="45">
        <f>'Air2021'!E4</f>
        <v>1674325</v>
      </c>
    </row>
    <row r="7" spans="1:7">
      <c r="A7" s="29" t="s">
        <v>552</v>
      </c>
      <c r="B7" s="4">
        <f>B5/$B$5</f>
        <v>1</v>
      </c>
      <c r="C7" s="47">
        <f>C5/$B$5</f>
        <v>0.39189939646309102</v>
      </c>
      <c r="D7" s="47">
        <f>D5/$B$5</f>
        <v>0.34910898091961506</v>
      </c>
    </row>
    <row r="8" spans="1:7">
      <c r="A8" s="29" t="s">
        <v>553</v>
      </c>
      <c r="B8" s="4">
        <f>B6/$B$6</f>
        <v>1</v>
      </c>
      <c r="C8" s="47">
        <f>C6/$B$6</f>
        <v>0.80494672770980769</v>
      </c>
      <c r="D8" s="47">
        <f>D6/$B$6</f>
        <v>0.88189763966989509</v>
      </c>
    </row>
    <row r="10" spans="1:7">
      <c r="A10" s="25" t="s">
        <v>366</v>
      </c>
    </row>
    <row r="17" spans="1:1">
      <c r="A17" s="4" t="s">
        <v>554</v>
      </c>
    </row>
  </sheetData>
  <phoneticPr fontId="43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81A32-6E09-4536-9605-3AE70AD9D670}">
  <dimension ref="A1:FA71"/>
  <sheetViews>
    <sheetView zoomScale="70" zoomScaleNormal="70" workbookViewId="0">
      <selection activeCell="A66" sqref="A66"/>
    </sheetView>
  </sheetViews>
  <sheetFormatPr defaultColWidth="9" defaultRowHeight="14.4"/>
  <cols>
    <col min="1" max="1" width="9.6640625" style="4" bestFit="1" customWidth="1"/>
    <col min="2" max="2" width="13.88671875" style="4" bestFit="1" customWidth="1"/>
    <col min="3" max="3" width="15.109375" style="4" bestFit="1" customWidth="1"/>
    <col min="4" max="4" width="18.33203125" style="4" bestFit="1" customWidth="1"/>
    <col min="5" max="5" width="15.109375" style="4" bestFit="1" customWidth="1"/>
    <col min="6" max="6" width="15.88671875" style="4" bestFit="1" customWidth="1"/>
    <col min="7" max="7" width="14" style="4" bestFit="1" customWidth="1"/>
    <col min="8" max="8" width="12.6640625" style="4" bestFit="1" customWidth="1"/>
    <col min="9" max="11" width="11.33203125" style="4" bestFit="1" customWidth="1"/>
    <col min="12" max="12" width="15.6640625" style="4" customWidth="1"/>
    <col min="13" max="13" width="11.33203125" style="4" bestFit="1" customWidth="1"/>
    <col min="14" max="15" width="13.33203125" style="4" bestFit="1" customWidth="1"/>
    <col min="16" max="16" width="12.88671875" style="4" customWidth="1"/>
    <col min="17" max="17" width="13.33203125" style="4" bestFit="1" customWidth="1"/>
    <col min="18" max="18" width="21.6640625" style="4" bestFit="1" customWidth="1"/>
    <col min="19" max="19" width="18.33203125" style="4" bestFit="1" customWidth="1"/>
    <col min="20" max="20" width="19.6640625" style="4" customWidth="1"/>
    <col min="21" max="22" width="15.109375" style="4" bestFit="1" customWidth="1"/>
    <col min="23" max="23" width="15.6640625" style="4" bestFit="1" customWidth="1"/>
    <col min="24" max="25" width="15.109375" style="4" bestFit="1" customWidth="1"/>
    <col min="26" max="26" width="9.33203125" style="4" bestFit="1" customWidth="1"/>
    <col min="27" max="28" width="11" style="4" customWidth="1"/>
    <col min="29" max="29" width="15.88671875" style="4" bestFit="1" customWidth="1"/>
    <col min="30" max="16384" width="9" style="4"/>
  </cols>
  <sheetData>
    <row r="1" spans="1:157">
      <c r="A1" s="25" t="s">
        <v>555</v>
      </c>
    </row>
    <row r="2" spans="1:157" ht="20.100000000000001" customHeight="1">
      <c r="A2" s="113" t="s">
        <v>556</v>
      </c>
      <c r="B2" s="113" t="s">
        <v>557</v>
      </c>
      <c r="C2" s="126" t="s">
        <v>239</v>
      </c>
      <c r="D2" s="126" t="s">
        <v>240</v>
      </c>
      <c r="E2" s="126" t="s">
        <v>241</v>
      </c>
    </row>
    <row r="3" spans="1:157" ht="20.100000000000001" customHeight="1">
      <c r="A3" s="127" t="s">
        <v>558</v>
      </c>
      <c r="B3" s="127" t="s">
        <v>559</v>
      </c>
      <c r="C3" s="128">
        <v>15422957</v>
      </c>
      <c r="D3" s="128">
        <v>16909861</v>
      </c>
      <c r="E3" s="128">
        <v>14625484</v>
      </c>
    </row>
    <row r="4" spans="1:157" ht="20.100000000000001" customHeight="1">
      <c r="A4" s="23" t="s">
        <v>246</v>
      </c>
      <c r="B4" s="127" t="s">
        <v>560</v>
      </c>
      <c r="C4" s="128">
        <v>30912922</v>
      </c>
      <c r="D4" s="128">
        <v>32406255</v>
      </c>
      <c r="E4" s="128">
        <v>31600610</v>
      </c>
    </row>
    <row r="5" spans="1:157" ht="20.100000000000001" customHeight="1">
      <c r="A5" s="23" t="s">
        <v>246</v>
      </c>
      <c r="B5" s="127" t="s">
        <v>561</v>
      </c>
      <c r="C5" s="128">
        <v>839080084</v>
      </c>
      <c r="D5" s="128">
        <v>915668809</v>
      </c>
      <c r="E5" s="128">
        <v>822233607</v>
      </c>
    </row>
    <row r="6" spans="1:157" ht="20.100000000000001" customHeight="1">
      <c r="A6" s="23" t="s">
        <v>246</v>
      </c>
      <c r="B6" s="127" t="s">
        <v>562</v>
      </c>
      <c r="C6" s="128">
        <v>11819784935</v>
      </c>
      <c r="D6" s="128">
        <v>12243233861</v>
      </c>
      <c r="E6" s="128">
        <v>11882156510</v>
      </c>
    </row>
    <row r="7" spans="1:157" ht="20.100000000000001" customHeight="1">
      <c r="A7" s="127" t="s">
        <v>563</v>
      </c>
      <c r="B7" s="127" t="s">
        <v>559</v>
      </c>
      <c r="C7" s="128">
        <v>2776696</v>
      </c>
      <c r="D7" s="128">
        <v>2728147</v>
      </c>
      <c r="E7" s="128" t="s">
        <v>564</v>
      </c>
    </row>
    <row r="8" spans="1:157" ht="20.100000000000001" customHeight="1">
      <c r="A8" s="23" t="s">
        <v>246</v>
      </c>
      <c r="B8" s="127" t="s">
        <v>560</v>
      </c>
      <c r="C8" s="128">
        <v>73000810</v>
      </c>
      <c r="D8" s="128">
        <v>76955719</v>
      </c>
      <c r="E8" s="128">
        <v>85925288</v>
      </c>
    </row>
    <row r="9" spans="1:157" ht="20.100000000000001" customHeight="1">
      <c r="A9" s="23" t="s">
        <v>246</v>
      </c>
      <c r="B9" s="127" t="s">
        <v>561</v>
      </c>
      <c r="C9" s="128" t="s">
        <v>564</v>
      </c>
      <c r="D9" s="128" t="s">
        <v>564</v>
      </c>
      <c r="E9" s="128" t="s">
        <v>564</v>
      </c>
    </row>
    <row r="10" spans="1:157" ht="20.100000000000001" customHeight="1">
      <c r="A10" s="129" t="s">
        <v>246</v>
      </c>
      <c r="B10" s="130" t="s">
        <v>562</v>
      </c>
      <c r="C10" s="128">
        <v>212261253909</v>
      </c>
      <c r="D10" s="128">
        <v>231398037659</v>
      </c>
      <c r="E10" s="128">
        <v>251747144593</v>
      </c>
    </row>
    <row r="11" spans="1:157">
      <c r="A11" s="25" t="s">
        <v>565</v>
      </c>
    </row>
    <row r="12" spans="1:157" ht="20.100000000000001" customHeight="1">
      <c r="A12" s="113" t="s">
        <v>566</v>
      </c>
      <c r="B12" s="113" t="s">
        <v>567</v>
      </c>
      <c r="C12" s="126" t="s">
        <v>568</v>
      </c>
      <c r="D12" s="126" t="s">
        <v>569</v>
      </c>
      <c r="E12" s="126" t="s">
        <v>570</v>
      </c>
      <c r="F12" s="126" t="s">
        <v>571</v>
      </c>
      <c r="G12" s="126" t="s">
        <v>572</v>
      </c>
      <c r="H12" s="126" t="s">
        <v>573</v>
      </c>
      <c r="I12" s="126" t="s">
        <v>574</v>
      </c>
      <c r="J12" s="126" t="s">
        <v>575</v>
      </c>
      <c r="K12" s="126" t="s">
        <v>576</v>
      </c>
      <c r="L12" s="126" t="s">
        <v>577</v>
      </c>
      <c r="M12" s="126" t="s">
        <v>578</v>
      </c>
      <c r="N12" s="126" t="s">
        <v>579</v>
      </c>
      <c r="O12" s="126" t="s">
        <v>580</v>
      </c>
      <c r="P12" s="126" t="s">
        <v>581</v>
      </c>
      <c r="Q12" s="126" t="s">
        <v>582</v>
      </c>
      <c r="R12" s="126" t="s">
        <v>583</v>
      </c>
      <c r="S12" s="126" t="s">
        <v>584</v>
      </c>
      <c r="T12" s="126" t="s">
        <v>585</v>
      </c>
      <c r="U12" s="126" t="s">
        <v>586</v>
      </c>
      <c r="V12" s="126" t="s">
        <v>587</v>
      </c>
      <c r="W12" s="126" t="s">
        <v>588</v>
      </c>
      <c r="X12" s="126" t="s">
        <v>589</v>
      </c>
      <c r="Y12" s="126" t="s">
        <v>590</v>
      </c>
      <c r="Z12" s="126" t="s">
        <v>591</v>
      </c>
      <c r="AA12" s="126" t="s">
        <v>592</v>
      </c>
      <c r="AB12" s="126" t="s">
        <v>593</v>
      </c>
      <c r="AC12" s="126" t="s">
        <v>594</v>
      </c>
      <c r="AD12" s="126" t="s">
        <v>595</v>
      </c>
      <c r="AE12" s="126" t="s">
        <v>596</v>
      </c>
      <c r="AF12" s="126" t="s">
        <v>597</v>
      </c>
      <c r="AG12" s="126" t="s">
        <v>598</v>
      </c>
      <c r="AH12" s="126" t="s">
        <v>599</v>
      </c>
      <c r="AI12" s="126" t="s">
        <v>600</v>
      </c>
      <c r="AJ12" s="126" t="s">
        <v>601</v>
      </c>
      <c r="AK12" s="126" t="s">
        <v>602</v>
      </c>
      <c r="AL12" s="126" t="s">
        <v>603</v>
      </c>
      <c r="AM12" s="126" t="s">
        <v>604</v>
      </c>
      <c r="AN12" s="126" t="s">
        <v>605</v>
      </c>
      <c r="AO12" s="126" t="s">
        <v>606</v>
      </c>
      <c r="AP12" s="126" t="s">
        <v>607</v>
      </c>
      <c r="AQ12" s="126" t="s">
        <v>608</v>
      </c>
      <c r="AR12" s="126" t="s">
        <v>609</v>
      </c>
      <c r="AS12" s="126" t="s">
        <v>610</v>
      </c>
      <c r="AT12" s="126" t="s">
        <v>611</v>
      </c>
      <c r="AU12" s="126" t="s">
        <v>612</v>
      </c>
      <c r="AV12" s="126" t="s">
        <v>613</v>
      </c>
      <c r="AW12" s="126" t="s">
        <v>614</v>
      </c>
      <c r="AX12" s="126" t="s">
        <v>615</v>
      </c>
      <c r="AY12" s="126" t="s">
        <v>616</v>
      </c>
      <c r="AZ12" s="126" t="s">
        <v>617</v>
      </c>
      <c r="BA12" s="126" t="s">
        <v>618</v>
      </c>
      <c r="BB12" s="126" t="s">
        <v>619</v>
      </c>
      <c r="BC12" s="126" t="s">
        <v>620</v>
      </c>
      <c r="BD12" s="126" t="s">
        <v>621</v>
      </c>
      <c r="BE12" s="126" t="s">
        <v>622</v>
      </c>
      <c r="BF12" s="126" t="s">
        <v>623</v>
      </c>
      <c r="BG12" s="126" t="s">
        <v>624</v>
      </c>
      <c r="BH12" s="126" t="s">
        <v>625</v>
      </c>
      <c r="BI12" s="126" t="s">
        <v>626</v>
      </c>
      <c r="BJ12" s="126" t="s">
        <v>627</v>
      </c>
      <c r="BK12" s="126" t="s">
        <v>628</v>
      </c>
      <c r="BL12" s="126" t="s">
        <v>629</v>
      </c>
      <c r="BM12" s="126" t="s">
        <v>630</v>
      </c>
      <c r="BN12" s="126" t="s">
        <v>631</v>
      </c>
      <c r="BO12" s="126" t="s">
        <v>632</v>
      </c>
      <c r="BP12" s="126" t="s">
        <v>633</v>
      </c>
      <c r="BQ12" s="126" t="s">
        <v>634</v>
      </c>
      <c r="BR12" s="126" t="s">
        <v>635</v>
      </c>
      <c r="BS12" s="126" t="s">
        <v>636</v>
      </c>
      <c r="BT12" s="126" t="s">
        <v>637</v>
      </c>
      <c r="BU12" s="126" t="s">
        <v>638</v>
      </c>
      <c r="BV12" s="126" t="s">
        <v>639</v>
      </c>
      <c r="BW12" s="126" t="s">
        <v>640</v>
      </c>
      <c r="BX12" s="126" t="s">
        <v>641</v>
      </c>
      <c r="BY12" s="126" t="s">
        <v>642</v>
      </c>
      <c r="BZ12" s="126" t="s">
        <v>643</v>
      </c>
      <c r="CA12" s="126" t="s">
        <v>644</v>
      </c>
      <c r="CB12" s="126" t="s">
        <v>645</v>
      </c>
      <c r="CC12" s="126" t="s">
        <v>646</v>
      </c>
      <c r="CD12" s="126" t="s">
        <v>647</v>
      </c>
      <c r="CE12" s="126" t="s">
        <v>648</v>
      </c>
      <c r="CF12" s="126" t="s">
        <v>649</v>
      </c>
      <c r="CG12" s="126" t="s">
        <v>650</v>
      </c>
      <c r="CH12" s="126" t="s">
        <v>651</v>
      </c>
      <c r="CI12" s="126" t="s">
        <v>652</v>
      </c>
      <c r="CJ12" s="126" t="s">
        <v>653</v>
      </c>
      <c r="CK12" s="126" t="s">
        <v>654</v>
      </c>
      <c r="CL12" s="126" t="s">
        <v>655</v>
      </c>
      <c r="CM12" s="126" t="s">
        <v>656</v>
      </c>
      <c r="CN12" s="126" t="s">
        <v>657</v>
      </c>
      <c r="CO12" s="126" t="s">
        <v>658</v>
      </c>
      <c r="CP12" s="126" t="s">
        <v>659</v>
      </c>
      <c r="CQ12" s="126" t="s">
        <v>660</v>
      </c>
      <c r="CR12" s="126" t="s">
        <v>661</v>
      </c>
      <c r="CS12" s="126" t="s">
        <v>662</v>
      </c>
      <c r="CT12" s="126" t="s">
        <v>663</v>
      </c>
      <c r="CU12" s="126" t="s">
        <v>664</v>
      </c>
      <c r="CV12" s="126" t="s">
        <v>665</v>
      </c>
      <c r="CW12" s="126" t="s">
        <v>666</v>
      </c>
      <c r="CX12" s="126" t="s">
        <v>667</v>
      </c>
      <c r="CY12" s="126" t="s">
        <v>668</v>
      </c>
      <c r="CZ12" s="126" t="s">
        <v>669</v>
      </c>
      <c r="DA12" s="126" t="s">
        <v>670</v>
      </c>
      <c r="DB12" s="126" t="s">
        <v>671</v>
      </c>
      <c r="DC12" s="126" t="s">
        <v>672</v>
      </c>
      <c r="DD12" s="126" t="s">
        <v>673</v>
      </c>
      <c r="DE12" s="126" t="s">
        <v>674</v>
      </c>
      <c r="DF12" s="126" t="s">
        <v>675</v>
      </c>
      <c r="DG12" s="126" t="s">
        <v>676</v>
      </c>
      <c r="DH12" s="126" t="s">
        <v>677</v>
      </c>
      <c r="DI12" s="126" t="s">
        <v>678</v>
      </c>
      <c r="DJ12" s="126" t="s">
        <v>679</v>
      </c>
      <c r="DK12" s="126" t="s">
        <v>680</v>
      </c>
      <c r="DL12" s="126" t="s">
        <v>681</v>
      </c>
      <c r="DM12" s="126" t="s">
        <v>682</v>
      </c>
      <c r="DN12" s="126" t="s">
        <v>683</v>
      </c>
      <c r="DO12" s="126" t="s">
        <v>684</v>
      </c>
      <c r="DP12" s="126" t="s">
        <v>685</v>
      </c>
      <c r="DQ12" s="126" t="s">
        <v>686</v>
      </c>
      <c r="DR12" s="126" t="s">
        <v>687</v>
      </c>
      <c r="DS12" s="126" t="s">
        <v>688</v>
      </c>
      <c r="DT12" s="126" t="s">
        <v>689</v>
      </c>
      <c r="DU12" s="126" t="s">
        <v>690</v>
      </c>
      <c r="DV12" s="126" t="s">
        <v>691</v>
      </c>
      <c r="DW12" s="126" t="s">
        <v>692</v>
      </c>
      <c r="DX12" s="126" t="s">
        <v>693</v>
      </c>
      <c r="DY12" s="126" t="s">
        <v>694</v>
      </c>
      <c r="DZ12" s="126" t="s">
        <v>695</v>
      </c>
      <c r="EA12" s="126" t="s">
        <v>696</v>
      </c>
      <c r="EB12" s="126" t="s">
        <v>697</v>
      </c>
      <c r="EC12" s="126" t="s">
        <v>698</v>
      </c>
      <c r="ED12" s="126" t="s">
        <v>699</v>
      </c>
      <c r="EE12" s="126" t="s">
        <v>700</v>
      </c>
      <c r="EF12" s="126" t="s">
        <v>701</v>
      </c>
      <c r="EG12" s="126" t="s">
        <v>702</v>
      </c>
      <c r="EH12" s="126" t="s">
        <v>703</v>
      </c>
      <c r="EI12" s="126" t="s">
        <v>704</v>
      </c>
      <c r="EJ12" s="126" t="s">
        <v>705</v>
      </c>
      <c r="EK12" s="126" t="s">
        <v>706</v>
      </c>
      <c r="EL12" s="126" t="s">
        <v>707</v>
      </c>
      <c r="EM12" s="126" t="s">
        <v>708</v>
      </c>
      <c r="EN12" s="126" t="s">
        <v>709</v>
      </c>
      <c r="EO12" s="126" t="s">
        <v>710</v>
      </c>
      <c r="EP12" s="126" t="s">
        <v>711</v>
      </c>
      <c r="EQ12" s="126" t="s">
        <v>712</v>
      </c>
      <c r="ER12" s="126" t="s">
        <v>713</v>
      </c>
      <c r="ES12" s="126" t="s">
        <v>714</v>
      </c>
      <c r="ET12" s="126" t="s">
        <v>715</v>
      </c>
      <c r="EU12" s="126" t="s">
        <v>716</v>
      </c>
      <c r="EV12" s="126" t="s">
        <v>717</v>
      </c>
      <c r="EW12" s="126" t="s">
        <v>718</v>
      </c>
      <c r="EX12" s="126" t="s">
        <v>719</v>
      </c>
      <c r="EY12" s="126" t="s">
        <v>720</v>
      </c>
      <c r="EZ12" s="126" t="s">
        <v>721</v>
      </c>
      <c r="FA12" s="126" t="s">
        <v>722</v>
      </c>
    </row>
    <row r="13" spans="1:157" ht="20.100000000000001" customHeight="1">
      <c r="A13" s="127" t="s">
        <v>558</v>
      </c>
      <c r="B13" s="127" t="s">
        <v>58</v>
      </c>
      <c r="C13" s="128">
        <v>595272320</v>
      </c>
      <c r="D13" s="128">
        <v>621239664</v>
      </c>
      <c r="E13" s="128">
        <v>700344184</v>
      </c>
      <c r="F13" s="128">
        <v>567023195</v>
      </c>
      <c r="G13" s="128">
        <v>567344200</v>
      </c>
      <c r="H13" s="128">
        <v>676315453</v>
      </c>
      <c r="I13" s="128">
        <v>721822691</v>
      </c>
      <c r="J13" s="128">
        <v>772444316</v>
      </c>
      <c r="K13" s="128">
        <v>758315596</v>
      </c>
      <c r="L13" s="128">
        <v>679412965</v>
      </c>
      <c r="M13" s="128">
        <v>687451212</v>
      </c>
      <c r="N13" s="128">
        <v>56080572</v>
      </c>
      <c r="O13" s="128">
        <v>54825756</v>
      </c>
      <c r="P13" s="128">
        <v>57161659</v>
      </c>
      <c r="Q13" s="128">
        <v>58392931</v>
      </c>
      <c r="R13" s="128">
        <v>59763150</v>
      </c>
      <c r="S13" s="128">
        <v>58231499</v>
      </c>
      <c r="T13" s="128">
        <v>56572624</v>
      </c>
      <c r="U13" s="128">
        <v>56112587</v>
      </c>
      <c r="V13" s="128">
        <v>58516121</v>
      </c>
      <c r="W13" s="128">
        <v>60695990</v>
      </c>
      <c r="X13" s="128">
        <v>57461547</v>
      </c>
      <c r="Y13" s="128">
        <v>56964040</v>
      </c>
      <c r="Z13" s="128">
        <v>57950364</v>
      </c>
      <c r="AA13" s="128">
        <v>56843979</v>
      </c>
      <c r="AB13" s="128">
        <v>59369471</v>
      </c>
      <c r="AC13" s="128">
        <v>59748875</v>
      </c>
      <c r="AD13" s="128">
        <v>60576452</v>
      </c>
      <c r="AE13" s="128">
        <v>60353498</v>
      </c>
      <c r="AF13" s="128">
        <v>58712222</v>
      </c>
      <c r="AG13" s="128">
        <v>58989227</v>
      </c>
      <c r="AH13" s="128">
        <v>59909506</v>
      </c>
      <c r="AI13" s="128">
        <v>61361275</v>
      </c>
      <c r="AJ13" s="128">
        <v>60401219</v>
      </c>
      <c r="AK13" s="128">
        <v>61005759</v>
      </c>
      <c r="AL13" s="128">
        <v>59137520</v>
      </c>
      <c r="AM13" s="128">
        <v>57871646</v>
      </c>
      <c r="AN13" s="128">
        <v>61509159</v>
      </c>
      <c r="AO13" s="128">
        <v>61243019</v>
      </c>
      <c r="AP13" s="128">
        <v>61659465</v>
      </c>
      <c r="AQ13" s="128">
        <v>60761327</v>
      </c>
      <c r="AR13" s="128">
        <v>61119952</v>
      </c>
      <c r="AS13" s="128">
        <v>60613441</v>
      </c>
      <c r="AT13" s="128">
        <v>61386242</v>
      </c>
      <c r="AU13" s="128">
        <v>63231326</v>
      </c>
      <c r="AV13" s="128">
        <v>61043684</v>
      </c>
      <c r="AW13" s="128">
        <v>60248745</v>
      </c>
      <c r="AX13" s="128">
        <v>60376458</v>
      </c>
      <c r="AY13" s="128">
        <v>60263022</v>
      </c>
      <c r="AZ13" s="128">
        <v>63981588</v>
      </c>
      <c r="BA13" s="128">
        <v>64934061</v>
      </c>
      <c r="BB13" s="128">
        <v>64980430</v>
      </c>
      <c r="BC13" s="128">
        <v>63467496</v>
      </c>
      <c r="BD13" s="128">
        <v>64075052</v>
      </c>
      <c r="BE13" s="128">
        <v>63653300</v>
      </c>
      <c r="BF13" s="128">
        <v>65302883</v>
      </c>
      <c r="BG13" s="128">
        <v>66251299</v>
      </c>
      <c r="BH13" s="128">
        <v>65174664</v>
      </c>
      <c r="BI13" s="128">
        <v>64218363</v>
      </c>
      <c r="BJ13" s="128">
        <v>63186365</v>
      </c>
      <c r="BK13" s="128">
        <v>61698492</v>
      </c>
      <c r="BL13" s="128">
        <v>66151489</v>
      </c>
      <c r="BM13" s="128">
        <v>66261054</v>
      </c>
      <c r="BN13" s="128">
        <v>66599215</v>
      </c>
      <c r="BO13" s="128">
        <v>65608968</v>
      </c>
      <c r="BP13" s="128">
        <v>64398781</v>
      </c>
      <c r="BQ13" s="128">
        <v>63039418</v>
      </c>
      <c r="BR13" s="128">
        <v>63092034</v>
      </c>
      <c r="BS13" s="128">
        <v>64569496</v>
      </c>
      <c r="BT13" s="128">
        <v>67948877</v>
      </c>
      <c r="BU13" s="128">
        <v>65476342</v>
      </c>
      <c r="BV13" s="128">
        <v>62449195</v>
      </c>
      <c r="BW13" s="128">
        <v>61414084</v>
      </c>
      <c r="BX13" s="128">
        <v>66930418</v>
      </c>
      <c r="BY13" s="128">
        <v>66790386</v>
      </c>
      <c r="BZ13" s="128">
        <v>66599215</v>
      </c>
      <c r="CA13" s="128">
        <v>65945949</v>
      </c>
      <c r="CB13" s="128">
        <v>64398781</v>
      </c>
      <c r="CC13" s="128">
        <v>64218520</v>
      </c>
      <c r="CD13" s="128">
        <v>64814588</v>
      </c>
      <c r="CE13" s="128">
        <v>67411275</v>
      </c>
      <c r="CF13" s="128">
        <v>67948877</v>
      </c>
      <c r="CG13" s="128">
        <v>65839355</v>
      </c>
      <c r="CH13" s="128">
        <v>73499611</v>
      </c>
      <c r="CI13" s="128">
        <v>70705774</v>
      </c>
      <c r="CJ13" s="128">
        <v>76095011</v>
      </c>
      <c r="CK13" s="128">
        <v>75129468</v>
      </c>
      <c r="CL13" s="128">
        <v>75656868</v>
      </c>
      <c r="CM13" s="128">
        <v>75000303</v>
      </c>
      <c r="CN13" s="128">
        <v>75662591</v>
      </c>
      <c r="CO13" s="128">
        <v>70169560</v>
      </c>
      <c r="CP13" s="128">
        <v>74179930</v>
      </c>
      <c r="CQ13" s="128">
        <v>77235033</v>
      </c>
      <c r="CR13" s="128">
        <v>75518286</v>
      </c>
      <c r="CS13" s="128">
        <v>73697996</v>
      </c>
      <c r="CT13" s="128">
        <v>71911186</v>
      </c>
      <c r="CU13" s="128">
        <v>68666202</v>
      </c>
      <c r="CV13" s="128">
        <v>75157956</v>
      </c>
      <c r="CW13" s="128">
        <v>73568520</v>
      </c>
      <c r="CX13" s="128">
        <v>74040388</v>
      </c>
      <c r="CY13" s="128">
        <v>75119275</v>
      </c>
      <c r="CZ13" s="128">
        <v>72126529</v>
      </c>
      <c r="DA13" s="128">
        <v>72852462</v>
      </c>
      <c r="DB13" s="128">
        <v>72402080</v>
      </c>
      <c r="DC13" s="128">
        <v>75075197</v>
      </c>
      <c r="DD13" s="128">
        <v>75000710</v>
      </c>
      <c r="DE13" s="128">
        <v>73391281</v>
      </c>
      <c r="DF13" s="128">
        <v>63388271</v>
      </c>
      <c r="DG13" s="128">
        <v>60760139</v>
      </c>
      <c r="DH13" s="128">
        <v>65784262</v>
      </c>
      <c r="DI13" s="128">
        <v>65547050</v>
      </c>
      <c r="DJ13" s="128">
        <v>65998059</v>
      </c>
      <c r="DK13" s="128">
        <v>66001586</v>
      </c>
      <c r="DL13" s="128">
        <v>65240808</v>
      </c>
      <c r="DM13" s="128">
        <v>63564047</v>
      </c>
      <c r="DN13" s="128">
        <v>64859702</v>
      </c>
      <c r="DO13" s="128">
        <v>77642564</v>
      </c>
      <c r="DP13" s="128">
        <v>76890838</v>
      </c>
      <c r="DQ13" s="128">
        <v>74950685</v>
      </c>
      <c r="DR13" s="128" t="s">
        <v>564</v>
      </c>
      <c r="DS13" s="128" t="s">
        <v>564</v>
      </c>
      <c r="DT13" s="128" t="s">
        <v>564</v>
      </c>
      <c r="DU13" s="128" t="s">
        <v>564</v>
      </c>
      <c r="DV13" s="128" t="s">
        <v>564</v>
      </c>
      <c r="DW13" s="128" t="s">
        <v>564</v>
      </c>
      <c r="DX13" s="128" t="s">
        <v>564</v>
      </c>
      <c r="DY13" s="128" t="s">
        <v>564</v>
      </c>
      <c r="DZ13" s="128" t="s">
        <v>564</v>
      </c>
      <c r="EA13" s="128" t="s">
        <v>564</v>
      </c>
      <c r="EB13" s="128" t="s">
        <v>564</v>
      </c>
      <c r="EC13" s="128" t="s">
        <v>564</v>
      </c>
      <c r="ED13" s="128" t="s">
        <v>564</v>
      </c>
      <c r="EE13" s="128" t="s">
        <v>564</v>
      </c>
      <c r="EF13" s="128" t="s">
        <v>564</v>
      </c>
      <c r="EG13" s="128" t="s">
        <v>564</v>
      </c>
      <c r="EH13" s="128" t="s">
        <v>564</v>
      </c>
      <c r="EI13" s="128" t="s">
        <v>564</v>
      </c>
      <c r="EJ13" s="128" t="s">
        <v>564</v>
      </c>
      <c r="EK13" s="128" t="s">
        <v>564</v>
      </c>
      <c r="EL13" s="128" t="s">
        <v>564</v>
      </c>
      <c r="EM13" s="128" t="s">
        <v>564</v>
      </c>
      <c r="EN13" s="128" t="s">
        <v>564</v>
      </c>
      <c r="EO13" s="128" t="s">
        <v>564</v>
      </c>
      <c r="EP13" s="128" t="s">
        <v>564</v>
      </c>
      <c r="EQ13" s="128" t="s">
        <v>564</v>
      </c>
      <c r="ER13" s="128" t="s">
        <v>564</v>
      </c>
      <c r="ES13" s="128" t="s">
        <v>564</v>
      </c>
      <c r="ET13" s="128" t="s">
        <v>564</v>
      </c>
      <c r="EU13" s="128" t="s">
        <v>564</v>
      </c>
      <c r="EV13" s="128" t="s">
        <v>564</v>
      </c>
      <c r="EW13" s="128" t="s">
        <v>564</v>
      </c>
      <c r="EX13" s="128" t="s">
        <v>564</v>
      </c>
      <c r="EY13" s="128" t="s">
        <v>564</v>
      </c>
      <c r="EZ13" s="128" t="s">
        <v>564</v>
      </c>
      <c r="FA13" s="128" t="s">
        <v>564</v>
      </c>
    </row>
    <row r="14" spans="1:157" ht="20.100000000000001" customHeight="1">
      <c r="A14" s="23" t="s">
        <v>246</v>
      </c>
      <c r="B14" s="127" t="s">
        <v>723</v>
      </c>
      <c r="C14" s="128">
        <v>57469339</v>
      </c>
      <c r="D14" s="128">
        <v>53526971</v>
      </c>
      <c r="E14" s="128">
        <v>53827826</v>
      </c>
      <c r="F14" s="128">
        <v>43344820</v>
      </c>
      <c r="G14" s="128">
        <v>42080967</v>
      </c>
      <c r="H14" s="128">
        <v>45239839</v>
      </c>
      <c r="I14" s="128">
        <v>45122332</v>
      </c>
      <c r="J14" s="128">
        <v>45732629</v>
      </c>
      <c r="K14" s="128">
        <v>47109970</v>
      </c>
      <c r="L14" s="128">
        <v>44512467</v>
      </c>
      <c r="M14" s="128">
        <v>41668802</v>
      </c>
      <c r="N14" s="128">
        <v>3000989</v>
      </c>
      <c r="O14" s="128">
        <v>3058861</v>
      </c>
      <c r="P14" s="128">
        <v>3632421</v>
      </c>
      <c r="Q14" s="128">
        <v>3874998</v>
      </c>
      <c r="R14" s="128">
        <v>3908205</v>
      </c>
      <c r="S14" s="128">
        <v>3723069</v>
      </c>
      <c r="T14" s="128">
        <v>3035281</v>
      </c>
      <c r="U14" s="128">
        <v>3582249</v>
      </c>
      <c r="V14" s="128">
        <v>3865430</v>
      </c>
      <c r="W14" s="128">
        <v>3663709</v>
      </c>
      <c r="X14" s="128">
        <v>4060887</v>
      </c>
      <c r="Y14" s="128">
        <v>3934481</v>
      </c>
      <c r="Z14" s="128">
        <v>3319263</v>
      </c>
      <c r="AA14" s="128">
        <v>2974849</v>
      </c>
      <c r="AB14" s="128">
        <v>3914912</v>
      </c>
      <c r="AC14" s="128">
        <v>3924455</v>
      </c>
      <c r="AD14" s="128">
        <v>3895774</v>
      </c>
      <c r="AE14" s="128">
        <v>3703086</v>
      </c>
      <c r="AF14" s="128">
        <v>3476431</v>
      </c>
      <c r="AG14" s="128">
        <v>3444103</v>
      </c>
      <c r="AH14" s="128">
        <v>3235934</v>
      </c>
      <c r="AI14" s="128">
        <v>4309512</v>
      </c>
      <c r="AJ14" s="128">
        <v>4230336</v>
      </c>
      <c r="AK14" s="128">
        <v>4133124</v>
      </c>
      <c r="AL14" s="128">
        <v>3419470</v>
      </c>
      <c r="AM14" s="128">
        <v>3070669</v>
      </c>
      <c r="AN14" s="128">
        <v>4048396</v>
      </c>
      <c r="AO14" s="128">
        <v>4239781</v>
      </c>
      <c r="AP14" s="128">
        <v>4417651</v>
      </c>
      <c r="AQ14" s="128">
        <v>4193394</v>
      </c>
      <c r="AR14" s="128">
        <v>4096204</v>
      </c>
      <c r="AS14" s="128">
        <v>3809148</v>
      </c>
      <c r="AT14" s="128">
        <v>3863128</v>
      </c>
      <c r="AU14" s="128">
        <v>4322695</v>
      </c>
      <c r="AV14" s="128">
        <v>3876609</v>
      </c>
      <c r="AW14" s="128">
        <v>3448543</v>
      </c>
      <c r="AX14" s="128">
        <v>2346643</v>
      </c>
      <c r="AY14" s="128">
        <v>2621495</v>
      </c>
      <c r="AZ14" s="128">
        <v>3438099</v>
      </c>
      <c r="BA14" s="128">
        <v>3572112</v>
      </c>
      <c r="BB14" s="128">
        <v>3666841</v>
      </c>
      <c r="BC14" s="128">
        <v>3591244</v>
      </c>
      <c r="BD14" s="128">
        <v>3280017</v>
      </c>
      <c r="BE14" s="128">
        <v>3288796</v>
      </c>
      <c r="BF14" s="128">
        <v>3463755</v>
      </c>
      <c r="BG14" s="128">
        <v>3426784</v>
      </c>
      <c r="BH14" s="128">
        <v>2994640</v>
      </c>
      <c r="BI14" s="128">
        <v>3207278</v>
      </c>
      <c r="BJ14" s="128">
        <v>2588834</v>
      </c>
      <c r="BK14" s="128">
        <v>2590708</v>
      </c>
      <c r="BL14" s="128">
        <v>3510581</v>
      </c>
      <c r="BM14" s="128">
        <v>3754282</v>
      </c>
      <c r="BN14" s="128">
        <v>3674631</v>
      </c>
      <c r="BO14" s="128">
        <v>3651789</v>
      </c>
      <c r="BP14" s="128">
        <v>3360575</v>
      </c>
      <c r="BQ14" s="128">
        <v>3058764</v>
      </c>
      <c r="BR14" s="128">
        <v>2759690</v>
      </c>
      <c r="BS14" s="128">
        <v>3460098</v>
      </c>
      <c r="BT14" s="128">
        <v>3542581</v>
      </c>
      <c r="BU14" s="128">
        <v>3264912</v>
      </c>
      <c r="BV14" s="128">
        <v>2567788</v>
      </c>
      <c r="BW14" s="128">
        <v>2470106</v>
      </c>
      <c r="BX14" s="128">
        <v>3675088</v>
      </c>
      <c r="BY14" s="128">
        <v>3757325</v>
      </c>
      <c r="BZ14" s="128">
        <v>3674631</v>
      </c>
      <c r="CA14" s="128">
        <v>3605712</v>
      </c>
      <c r="CB14" s="128">
        <v>3360575</v>
      </c>
      <c r="CC14" s="128">
        <v>3227277</v>
      </c>
      <c r="CD14" s="128">
        <v>3298026</v>
      </c>
      <c r="CE14" s="128">
        <v>3635453</v>
      </c>
      <c r="CF14" s="128">
        <v>3542581</v>
      </c>
      <c r="CG14" s="128">
        <v>3469153</v>
      </c>
      <c r="CH14" s="128">
        <v>2689011</v>
      </c>
      <c r="CI14" s="128">
        <v>2933099</v>
      </c>
      <c r="CJ14" s="128">
        <v>3605834</v>
      </c>
      <c r="CK14" s="128">
        <v>3557410</v>
      </c>
      <c r="CL14" s="128">
        <v>3807425</v>
      </c>
      <c r="CM14" s="128">
        <v>3731815</v>
      </c>
      <c r="CN14" s="128">
        <v>3506984</v>
      </c>
      <c r="CO14" s="128">
        <v>3046520</v>
      </c>
      <c r="CP14" s="128">
        <v>3080181</v>
      </c>
      <c r="CQ14" s="128">
        <v>3592844</v>
      </c>
      <c r="CR14" s="128">
        <v>3592416</v>
      </c>
      <c r="CS14" s="128">
        <v>3165389</v>
      </c>
      <c r="CT14" s="128">
        <v>2909186</v>
      </c>
      <c r="CU14" s="128">
        <v>2717781</v>
      </c>
      <c r="CV14" s="128">
        <v>3639589</v>
      </c>
      <c r="CW14" s="128">
        <v>3807309</v>
      </c>
      <c r="CX14" s="128">
        <v>3984681</v>
      </c>
      <c r="CY14" s="128">
        <v>3565386</v>
      </c>
      <c r="CZ14" s="128">
        <v>3437362</v>
      </c>
      <c r="DA14" s="128">
        <v>3313811</v>
      </c>
      <c r="DB14" s="128">
        <v>3026376</v>
      </c>
      <c r="DC14" s="128">
        <v>3689731</v>
      </c>
      <c r="DD14" s="128">
        <v>3587288</v>
      </c>
      <c r="DE14" s="128">
        <v>2143770</v>
      </c>
      <c r="DF14" s="128">
        <v>2534655</v>
      </c>
      <c r="DG14" s="128">
        <v>2602407</v>
      </c>
      <c r="DH14" s="128">
        <v>3382487</v>
      </c>
      <c r="DI14" s="128">
        <v>3450747</v>
      </c>
      <c r="DJ14" s="128">
        <v>3362860</v>
      </c>
      <c r="DK14" s="128">
        <v>3210007</v>
      </c>
      <c r="DL14" s="128">
        <v>3314427</v>
      </c>
      <c r="DM14" s="128">
        <v>3008351</v>
      </c>
      <c r="DN14" s="128">
        <v>2892065</v>
      </c>
      <c r="DO14" s="128">
        <v>3346101</v>
      </c>
      <c r="DP14" s="128">
        <v>3224812</v>
      </c>
      <c r="DQ14" s="128">
        <v>3050249</v>
      </c>
      <c r="DR14" s="128">
        <v>2734664</v>
      </c>
      <c r="DS14" s="128">
        <v>2344967</v>
      </c>
      <c r="DT14" s="128">
        <v>3251254</v>
      </c>
      <c r="DU14" s="128">
        <v>3250163</v>
      </c>
      <c r="DV14" s="128">
        <v>3217001</v>
      </c>
      <c r="DW14" s="128">
        <v>3287290</v>
      </c>
      <c r="DX14" s="128">
        <v>3274352</v>
      </c>
      <c r="DY14" s="128">
        <v>3014957</v>
      </c>
      <c r="DZ14" s="128">
        <v>2907906</v>
      </c>
      <c r="EA14" s="128">
        <v>3409564</v>
      </c>
      <c r="EB14" s="128">
        <v>3167879</v>
      </c>
      <c r="EC14" s="128">
        <v>3233645</v>
      </c>
      <c r="ED14" s="128">
        <v>2622245</v>
      </c>
      <c r="EE14" s="128">
        <v>2471111</v>
      </c>
      <c r="EF14" s="128">
        <v>3286290</v>
      </c>
      <c r="EG14" s="128">
        <v>3118350</v>
      </c>
      <c r="EH14" s="128">
        <v>3188390</v>
      </c>
      <c r="EI14" s="128">
        <v>3105722</v>
      </c>
      <c r="EJ14" s="128">
        <v>3009458</v>
      </c>
      <c r="EK14" s="128">
        <v>3024435</v>
      </c>
      <c r="EL14" s="128">
        <v>2527637</v>
      </c>
      <c r="EM14" s="128">
        <v>1883222</v>
      </c>
      <c r="EN14" s="128">
        <v>1898447</v>
      </c>
      <c r="EO14" s="128">
        <v>2420134</v>
      </c>
      <c r="EP14" s="128">
        <v>2151665</v>
      </c>
      <c r="EQ14" s="128">
        <v>2402359</v>
      </c>
      <c r="ER14" s="128">
        <v>2905635</v>
      </c>
      <c r="ES14" s="128">
        <v>2868040</v>
      </c>
      <c r="ET14" s="128">
        <v>2890323</v>
      </c>
      <c r="EU14" s="128">
        <v>2775104</v>
      </c>
      <c r="EV14" s="128">
        <v>2525432</v>
      </c>
      <c r="EW14" s="128">
        <v>2505020</v>
      </c>
      <c r="EX14" s="128">
        <v>2783365</v>
      </c>
      <c r="EY14" s="128">
        <v>2429279</v>
      </c>
      <c r="EZ14" s="128">
        <v>2860412</v>
      </c>
      <c r="FA14" s="128">
        <v>2572976</v>
      </c>
    </row>
    <row r="15" spans="1:157" ht="20.100000000000001" customHeight="1">
      <c r="A15" s="23" t="s">
        <v>246</v>
      </c>
      <c r="B15" s="127" t="s">
        <v>724</v>
      </c>
      <c r="C15" s="128">
        <v>408368372</v>
      </c>
      <c r="D15" s="128">
        <v>426413788</v>
      </c>
      <c r="E15" s="128">
        <v>499083185</v>
      </c>
      <c r="F15" s="128">
        <v>408136000</v>
      </c>
      <c r="G15" s="128">
        <v>401177000</v>
      </c>
      <c r="H15" s="128">
        <v>496174000</v>
      </c>
      <c r="I15" s="128">
        <v>535725000</v>
      </c>
      <c r="J15" s="128">
        <v>584573000</v>
      </c>
      <c r="K15" s="128">
        <v>565456252</v>
      </c>
      <c r="L15" s="128">
        <v>518855708</v>
      </c>
      <c r="M15" s="128">
        <v>526000147</v>
      </c>
      <c r="N15" s="128">
        <v>43309017</v>
      </c>
      <c r="O15" s="128">
        <v>42999385</v>
      </c>
      <c r="P15" s="128">
        <v>43331211</v>
      </c>
      <c r="Q15" s="128">
        <v>44167415</v>
      </c>
      <c r="R15" s="128">
        <v>44953006</v>
      </c>
      <c r="S15" s="128">
        <v>44307841</v>
      </c>
      <c r="T15" s="128">
        <v>44590048</v>
      </c>
      <c r="U15" s="128">
        <v>42994062</v>
      </c>
      <c r="V15" s="128">
        <v>44998500</v>
      </c>
      <c r="W15" s="128">
        <v>46923771</v>
      </c>
      <c r="X15" s="128">
        <v>43894486</v>
      </c>
      <c r="Y15" s="128">
        <v>42809129</v>
      </c>
      <c r="Z15" s="128">
        <v>44917100</v>
      </c>
      <c r="AA15" s="128">
        <v>45536597</v>
      </c>
      <c r="AB15" s="128">
        <v>45393591</v>
      </c>
      <c r="AC15" s="128">
        <v>45896203</v>
      </c>
      <c r="AD15" s="128">
        <v>45883342</v>
      </c>
      <c r="AE15" s="128">
        <v>45791504</v>
      </c>
      <c r="AF15" s="128">
        <v>45166795</v>
      </c>
      <c r="AG15" s="128">
        <v>45996175</v>
      </c>
      <c r="AH15" s="128">
        <v>46793231</v>
      </c>
      <c r="AI15" s="128">
        <v>46658698</v>
      </c>
      <c r="AJ15" s="128">
        <v>45879483</v>
      </c>
      <c r="AK15" s="128">
        <v>46351752</v>
      </c>
      <c r="AL15" s="128">
        <v>45005689</v>
      </c>
      <c r="AM15" s="128">
        <v>45383050</v>
      </c>
      <c r="AN15" s="128">
        <v>46158592</v>
      </c>
      <c r="AO15" s="128">
        <v>46365508</v>
      </c>
      <c r="AP15" s="128">
        <v>46236132</v>
      </c>
      <c r="AQ15" s="128">
        <v>46508927</v>
      </c>
      <c r="AR15" s="128">
        <v>46595820</v>
      </c>
      <c r="AS15" s="128">
        <v>46217048</v>
      </c>
      <c r="AT15" s="128">
        <v>47109328</v>
      </c>
      <c r="AU15" s="128">
        <v>47749743</v>
      </c>
      <c r="AV15" s="128">
        <v>46588269</v>
      </c>
      <c r="AW15" s="128">
        <v>45883239</v>
      </c>
      <c r="AX15" s="128">
        <v>49031750</v>
      </c>
      <c r="AY15" s="128">
        <v>48637977</v>
      </c>
      <c r="AZ15" s="128">
        <v>50507890</v>
      </c>
      <c r="BA15" s="128">
        <v>50561749</v>
      </c>
      <c r="BB15" s="128">
        <v>50283974</v>
      </c>
      <c r="BC15" s="128">
        <v>50536333</v>
      </c>
      <c r="BD15" s="128">
        <v>50545724</v>
      </c>
      <c r="BE15" s="128">
        <v>50508637</v>
      </c>
      <c r="BF15" s="128">
        <v>51113078</v>
      </c>
      <c r="BG15" s="128">
        <v>52749720</v>
      </c>
      <c r="BH15" s="128">
        <v>51842183</v>
      </c>
      <c r="BI15" s="128">
        <v>51161310</v>
      </c>
      <c r="BJ15" s="128">
        <v>51144826</v>
      </c>
      <c r="BK15" s="128">
        <v>50764398</v>
      </c>
      <c r="BL15" s="128">
        <v>52494343</v>
      </c>
      <c r="BM15" s="128">
        <v>51933773</v>
      </c>
      <c r="BN15" s="128">
        <v>51570955</v>
      </c>
      <c r="BO15" s="128">
        <v>51673455</v>
      </c>
      <c r="BP15" s="128">
        <v>51564008</v>
      </c>
      <c r="BQ15" s="128">
        <v>50778956</v>
      </c>
      <c r="BR15" s="128">
        <v>51643833</v>
      </c>
      <c r="BS15" s="128">
        <v>50654485</v>
      </c>
      <c r="BT15" s="128">
        <v>53367764</v>
      </c>
      <c r="BU15" s="128">
        <v>51938851</v>
      </c>
      <c r="BV15" s="128">
        <v>51385569</v>
      </c>
      <c r="BW15" s="128">
        <v>51228249</v>
      </c>
      <c r="BX15" s="128">
        <v>53250737</v>
      </c>
      <c r="BY15" s="128">
        <v>53084007</v>
      </c>
      <c r="BZ15" s="128">
        <v>51570955</v>
      </c>
      <c r="CA15" s="128">
        <v>52801732</v>
      </c>
      <c r="CB15" s="128">
        <v>51564008</v>
      </c>
      <c r="CC15" s="128">
        <v>52036861</v>
      </c>
      <c r="CD15" s="128">
        <v>53242152</v>
      </c>
      <c r="CE15" s="128">
        <v>54581252</v>
      </c>
      <c r="CF15" s="128">
        <v>53367764</v>
      </c>
      <c r="CG15" s="128">
        <v>53061782</v>
      </c>
      <c r="CH15" s="128">
        <v>60713663</v>
      </c>
      <c r="CI15" s="128">
        <v>58612836</v>
      </c>
      <c r="CJ15" s="128">
        <v>62357794</v>
      </c>
      <c r="CK15" s="128">
        <v>61080942</v>
      </c>
      <c r="CL15" s="128">
        <v>61000089</v>
      </c>
      <c r="CM15" s="128">
        <v>60632011</v>
      </c>
      <c r="CN15" s="128">
        <v>61612048</v>
      </c>
      <c r="CO15" s="128">
        <v>58311599</v>
      </c>
      <c r="CP15" s="128">
        <v>61772727</v>
      </c>
      <c r="CQ15" s="128">
        <v>63544929</v>
      </c>
      <c r="CR15" s="128">
        <v>61876148</v>
      </c>
      <c r="CS15" s="128">
        <v>61404133</v>
      </c>
      <c r="CT15" s="128">
        <v>60029250</v>
      </c>
      <c r="CU15" s="128">
        <v>57908135</v>
      </c>
      <c r="CV15" s="128">
        <v>61166814</v>
      </c>
      <c r="CW15" s="128">
        <v>59638979</v>
      </c>
      <c r="CX15" s="128">
        <v>59697842</v>
      </c>
      <c r="CY15" s="128">
        <v>60980828</v>
      </c>
      <c r="CZ15" s="128">
        <v>58956901</v>
      </c>
      <c r="DA15" s="128">
        <v>59527635</v>
      </c>
      <c r="DB15" s="128">
        <v>60060883</v>
      </c>
      <c r="DC15" s="128">
        <v>61429400</v>
      </c>
      <c r="DD15" s="128">
        <v>60949738</v>
      </c>
      <c r="DE15" s="128">
        <v>61030314</v>
      </c>
      <c r="DF15" s="128">
        <v>50748466</v>
      </c>
      <c r="DG15" s="128">
        <v>49637621</v>
      </c>
      <c r="DH15" s="128">
        <v>51867701</v>
      </c>
      <c r="DI15" s="128">
        <v>51806931</v>
      </c>
      <c r="DJ15" s="128">
        <v>52512074</v>
      </c>
      <c r="DK15" s="128">
        <v>52459071</v>
      </c>
      <c r="DL15" s="128">
        <v>52125555</v>
      </c>
      <c r="DM15" s="128">
        <v>51221834</v>
      </c>
      <c r="DN15" s="128">
        <v>53274948</v>
      </c>
      <c r="DO15" s="128">
        <v>63839968</v>
      </c>
      <c r="DP15" s="128">
        <v>63077511</v>
      </c>
      <c r="DQ15" s="128">
        <v>62473956</v>
      </c>
      <c r="DR15" s="128" t="s">
        <v>564</v>
      </c>
      <c r="DS15" s="128" t="s">
        <v>564</v>
      </c>
      <c r="DT15" s="128" t="s">
        <v>564</v>
      </c>
      <c r="DU15" s="128" t="s">
        <v>564</v>
      </c>
      <c r="DV15" s="128" t="s">
        <v>564</v>
      </c>
      <c r="DW15" s="128" t="s">
        <v>564</v>
      </c>
      <c r="DX15" s="128" t="s">
        <v>564</v>
      </c>
      <c r="DY15" s="128" t="s">
        <v>564</v>
      </c>
      <c r="DZ15" s="128" t="s">
        <v>564</v>
      </c>
      <c r="EA15" s="128" t="s">
        <v>564</v>
      </c>
      <c r="EB15" s="128" t="s">
        <v>564</v>
      </c>
      <c r="EC15" s="128" t="s">
        <v>564</v>
      </c>
      <c r="ED15" s="128" t="s">
        <v>564</v>
      </c>
      <c r="EE15" s="128" t="s">
        <v>564</v>
      </c>
      <c r="EF15" s="128" t="s">
        <v>564</v>
      </c>
      <c r="EG15" s="128" t="s">
        <v>564</v>
      </c>
      <c r="EH15" s="128" t="s">
        <v>564</v>
      </c>
      <c r="EI15" s="128" t="s">
        <v>564</v>
      </c>
      <c r="EJ15" s="128" t="s">
        <v>564</v>
      </c>
      <c r="EK15" s="128" t="s">
        <v>564</v>
      </c>
      <c r="EL15" s="128" t="s">
        <v>564</v>
      </c>
      <c r="EM15" s="128" t="s">
        <v>564</v>
      </c>
      <c r="EN15" s="128" t="s">
        <v>564</v>
      </c>
      <c r="EO15" s="128" t="s">
        <v>564</v>
      </c>
      <c r="EP15" s="128" t="s">
        <v>564</v>
      </c>
      <c r="EQ15" s="128" t="s">
        <v>564</v>
      </c>
      <c r="ER15" s="128" t="s">
        <v>564</v>
      </c>
      <c r="ES15" s="128" t="s">
        <v>564</v>
      </c>
      <c r="ET15" s="128" t="s">
        <v>564</v>
      </c>
      <c r="EU15" s="128" t="s">
        <v>564</v>
      </c>
      <c r="EV15" s="128" t="s">
        <v>564</v>
      </c>
      <c r="EW15" s="128" t="s">
        <v>564</v>
      </c>
      <c r="EX15" s="128" t="s">
        <v>564</v>
      </c>
      <c r="EY15" s="128" t="s">
        <v>564</v>
      </c>
      <c r="EZ15" s="128" t="s">
        <v>564</v>
      </c>
      <c r="FA15" s="128" t="s">
        <v>564</v>
      </c>
    </row>
    <row r="16" spans="1:157" ht="20.100000000000001" customHeight="1">
      <c r="A16" s="23" t="s">
        <v>246</v>
      </c>
      <c r="B16" s="127" t="s">
        <v>725</v>
      </c>
      <c r="C16" s="128">
        <v>129111889</v>
      </c>
      <c r="D16" s="128">
        <v>140947542</v>
      </c>
      <c r="E16" s="128">
        <v>147045854</v>
      </c>
      <c r="F16" s="128">
        <v>115178828</v>
      </c>
      <c r="G16" s="128">
        <v>123692958</v>
      </c>
      <c r="H16" s="128">
        <v>134467386</v>
      </c>
      <c r="I16" s="128">
        <v>140544327</v>
      </c>
      <c r="J16" s="128">
        <v>141705985</v>
      </c>
      <c r="K16" s="128">
        <v>145326809</v>
      </c>
      <c r="L16" s="128">
        <v>115635806</v>
      </c>
      <c r="M16" s="128">
        <v>119409878</v>
      </c>
      <c r="N16" s="128">
        <v>9738061</v>
      </c>
      <c r="O16" s="128">
        <v>8736249</v>
      </c>
      <c r="P16" s="128">
        <v>10159869</v>
      </c>
      <c r="Q16" s="128">
        <v>10318433</v>
      </c>
      <c r="R16" s="128">
        <v>10875542</v>
      </c>
      <c r="S16" s="128">
        <v>10176447</v>
      </c>
      <c r="T16" s="128">
        <v>8922508</v>
      </c>
      <c r="U16" s="128">
        <v>9508569</v>
      </c>
      <c r="V16" s="128">
        <v>9623495</v>
      </c>
      <c r="W16" s="128">
        <v>10080784</v>
      </c>
      <c r="X16" s="128">
        <v>9476104</v>
      </c>
      <c r="Y16" s="128">
        <v>10188715</v>
      </c>
      <c r="Z16" s="128">
        <v>9683037</v>
      </c>
      <c r="AA16" s="128">
        <v>8303819</v>
      </c>
      <c r="AB16" s="128">
        <v>10030594</v>
      </c>
      <c r="AC16" s="128">
        <v>9901094</v>
      </c>
      <c r="AD16" s="128">
        <v>10773610</v>
      </c>
      <c r="AE16" s="128">
        <v>10836921</v>
      </c>
      <c r="AF16" s="128">
        <v>10045722</v>
      </c>
      <c r="AG16" s="128">
        <v>9523785</v>
      </c>
      <c r="AH16" s="128">
        <v>9855583</v>
      </c>
      <c r="AI16" s="128">
        <v>10364414</v>
      </c>
      <c r="AJ16" s="128">
        <v>10264772</v>
      </c>
      <c r="AK16" s="128">
        <v>10495848</v>
      </c>
      <c r="AL16" s="128">
        <v>10688920</v>
      </c>
      <c r="AM16" s="128">
        <v>9393702</v>
      </c>
      <c r="AN16" s="128">
        <v>11280292</v>
      </c>
      <c r="AO16" s="128">
        <v>10617605</v>
      </c>
      <c r="AP16" s="128">
        <v>10986885</v>
      </c>
      <c r="AQ16" s="128">
        <v>10042801</v>
      </c>
      <c r="AR16" s="128">
        <v>10412026</v>
      </c>
      <c r="AS16" s="128">
        <v>10565833</v>
      </c>
      <c r="AT16" s="128">
        <v>10392834</v>
      </c>
      <c r="AU16" s="128">
        <v>11133933</v>
      </c>
      <c r="AV16" s="128">
        <v>10555440</v>
      </c>
      <c r="AW16" s="128">
        <v>10893983</v>
      </c>
      <c r="AX16" s="128">
        <v>8974859</v>
      </c>
      <c r="AY16" s="128">
        <v>8981640</v>
      </c>
      <c r="AZ16" s="128">
        <v>10011138</v>
      </c>
      <c r="BA16" s="128">
        <v>10778696</v>
      </c>
      <c r="BB16" s="128">
        <v>11010533</v>
      </c>
      <c r="BC16" s="128">
        <v>9320761</v>
      </c>
      <c r="BD16" s="128">
        <v>10229614</v>
      </c>
      <c r="BE16" s="128">
        <v>9832618</v>
      </c>
      <c r="BF16" s="128">
        <v>10702641</v>
      </c>
      <c r="BG16" s="128">
        <v>10051092</v>
      </c>
      <c r="BH16" s="128">
        <v>10313579</v>
      </c>
      <c r="BI16" s="128">
        <v>9824739</v>
      </c>
      <c r="BJ16" s="128">
        <v>9430070</v>
      </c>
      <c r="BK16" s="128">
        <v>8320019</v>
      </c>
      <c r="BL16" s="128">
        <v>10121805</v>
      </c>
      <c r="BM16" s="128">
        <v>10549394</v>
      </c>
      <c r="BN16" s="128">
        <v>11332909</v>
      </c>
      <c r="BO16" s="128">
        <v>10265194</v>
      </c>
      <c r="BP16" s="128">
        <v>9454720</v>
      </c>
      <c r="BQ16" s="128">
        <v>9179380</v>
      </c>
      <c r="BR16" s="128">
        <v>8666415</v>
      </c>
      <c r="BS16" s="128">
        <v>10431587</v>
      </c>
      <c r="BT16" s="128">
        <v>11017860</v>
      </c>
      <c r="BU16" s="128">
        <v>10252227</v>
      </c>
      <c r="BV16" s="128">
        <v>8476082</v>
      </c>
      <c r="BW16" s="128">
        <v>7694920</v>
      </c>
      <c r="BX16" s="128">
        <v>9977314</v>
      </c>
      <c r="BY16" s="128">
        <v>9924708</v>
      </c>
      <c r="BZ16" s="128">
        <v>11332909</v>
      </c>
      <c r="CA16" s="128">
        <v>9518360</v>
      </c>
      <c r="CB16" s="128">
        <v>9454720</v>
      </c>
      <c r="CC16" s="128">
        <v>8930073</v>
      </c>
      <c r="CD16" s="128">
        <v>8250502</v>
      </c>
      <c r="CE16" s="128">
        <v>9168212</v>
      </c>
      <c r="CF16" s="128">
        <v>11017860</v>
      </c>
      <c r="CG16" s="128">
        <v>9282482</v>
      </c>
      <c r="CH16" s="128">
        <v>10071298</v>
      </c>
      <c r="CI16" s="128">
        <v>9136628</v>
      </c>
      <c r="CJ16" s="128">
        <v>10105857</v>
      </c>
      <c r="CK16" s="128">
        <v>10466553</v>
      </c>
      <c r="CL16" s="128">
        <v>10826504</v>
      </c>
      <c r="CM16" s="128">
        <v>10615448</v>
      </c>
      <c r="CN16" s="128">
        <v>10522564</v>
      </c>
      <c r="CO16" s="128">
        <v>8789748</v>
      </c>
      <c r="CP16" s="128">
        <v>9307097</v>
      </c>
      <c r="CQ16" s="128">
        <v>10075289</v>
      </c>
      <c r="CR16" s="128">
        <v>10030050</v>
      </c>
      <c r="CS16" s="128">
        <v>9110271</v>
      </c>
      <c r="CT16" s="128">
        <v>8952710</v>
      </c>
      <c r="CU16" s="128">
        <v>8020408</v>
      </c>
      <c r="CV16" s="128">
        <v>10328866</v>
      </c>
      <c r="CW16" s="128">
        <v>10099682</v>
      </c>
      <c r="CX16" s="128">
        <v>10338088</v>
      </c>
      <c r="CY16" s="128">
        <v>10554611</v>
      </c>
      <c r="CZ16" s="128">
        <v>9712420</v>
      </c>
      <c r="DA16" s="128">
        <v>9989191</v>
      </c>
      <c r="DB16" s="128">
        <v>9293279</v>
      </c>
      <c r="DC16" s="128">
        <v>9933424</v>
      </c>
      <c r="DD16" s="128">
        <v>10441517</v>
      </c>
      <c r="DE16" s="128">
        <v>10195914</v>
      </c>
      <c r="DF16" s="128">
        <v>10082417</v>
      </c>
      <c r="DG16" s="128">
        <v>8498818</v>
      </c>
      <c r="DH16" s="128">
        <v>10511377</v>
      </c>
      <c r="DI16" s="128">
        <v>10266192</v>
      </c>
      <c r="DJ16" s="128">
        <v>10102259</v>
      </c>
      <c r="DK16" s="128">
        <v>10311627</v>
      </c>
      <c r="DL16" s="128">
        <v>9776873</v>
      </c>
      <c r="DM16" s="128">
        <v>9307408</v>
      </c>
      <c r="DN16" s="128">
        <v>8666943</v>
      </c>
      <c r="DO16" s="128">
        <v>10430332</v>
      </c>
      <c r="DP16" s="128">
        <v>10564679</v>
      </c>
      <c r="DQ16" s="128">
        <v>9401163</v>
      </c>
      <c r="DR16" s="128">
        <v>9634525</v>
      </c>
      <c r="DS16" s="128">
        <v>8554106</v>
      </c>
      <c r="DT16" s="128">
        <v>10026694</v>
      </c>
      <c r="DU16" s="128">
        <v>10476782</v>
      </c>
      <c r="DV16" s="128">
        <v>10655900</v>
      </c>
      <c r="DW16" s="128">
        <v>10763392</v>
      </c>
      <c r="DX16" s="128">
        <v>10480933</v>
      </c>
      <c r="DY16" s="128">
        <v>10933588</v>
      </c>
      <c r="DZ16" s="128">
        <v>10979171</v>
      </c>
      <c r="EA16" s="128">
        <v>12016779</v>
      </c>
      <c r="EB16" s="128">
        <v>11687739</v>
      </c>
      <c r="EC16" s="128">
        <v>12401621</v>
      </c>
      <c r="ED16" s="128">
        <v>12107753</v>
      </c>
      <c r="EE16" s="128">
        <v>10375643</v>
      </c>
      <c r="EF16" s="128">
        <v>12883162</v>
      </c>
      <c r="EG16" s="128">
        <v>12080222</v>
      </c>
      <c r="EH16" s="128">
        <v>12258058</v>
      </c>
      <c r="EI16" s="128">
        <v>12188677</v>
      </c>
      <c r="EJ16" s="128">
        <v>11901355</v>
      </c>
      <c r="EK16" s="128">
        <v>11685562</v>
      </c>
      <c r="EL16" s="128">
        <v>10862620</v>
      </c>
      <c r="EM16" s="128">
        <v>12544187</v>
      </c>
      <c r="EN16" s="128">
        <v>12229103</v>
      </c>
      <c r="EO16" s="128">
        <v>12111006</v>
      </c>
      <c r="EP16" s="128">
        <v>15872211</v>
      </c>
      <c r="EQ16" s="128">
        <v>13216846</v>
      </c>
      <c r="ER16" s="128">
        <v>12398437</v>
      </c>
      <c r="ES16" s="128">
        <v>12014717</v>
      </c>
      <c r="ET16" s="128">
        <v>12453431</v>
      </c>
      <c r="EU16" s="128">
        <v>11960941</v>
      </c>
      <c r="EV16" s="128">
        <v>10973679</v>
      </c>
      <c r="EW16" s="128">
        <v>11180290</v>
      </c>
      <c r="EX16" s="128">
        <v>10516491</v>
      </c>
      <c r="EY16" s="128">
        <v>9820041</v>
      </c>
      <c r="EZ16" s="128">
        <v>11024011</v>
      </c>
      <c r="FA16" s="128">
        <v>11156212</v>
      </c>
    </row>
    <row r="17" spans="1:157" ht="20.100000000000001" customHeight="1">
      <c r="A17" s="23" t="s">
        <v>246</v>
      </c>
      <c r="B17" s="127" t="s">
        <v>726</v>
      </c>
      <c r="C17" s="128">
        <v>322720</v>
      </c>
      <c r="D17" s="128">
        <v>351363</v>
      </c>
      <c r="E17" s="128">
        <v>387319</v>
      </c>
      <c r="F17" s="128">
        <v>363547</v>
      </c>
      <c r="G17" s="128">
        <v>393275</v>
      </c>
      <c r="H17" s="128">
        <v>434228</v>
      </c>
      <c r="I17" s="128">
        <v>431032</v>
      </c>
      <c r="J17" s="128">
        <v>432702</v>
      </c>
      <c r="K17" s="128">
        <v>422565</v>
      </c>
      <c r="L17" s="128">
        <v>408984</v>
      </c>
      <c r="M17" s="128">
        <v>372385</v>
      </c>
      <c r="N17" s="128">
        <v>32505</v>
      </c>
      <c r="O17" s="128">
        <v>31261</v>
      </c>
      <c r="P17" s="128">
        <v>38158</v>
      </c>
      <c r="Q17" s="128">
        <v>32085</v>
      </c>
      <c r="R17" s="128">
        <v>26397</v>
      </c>
      <c r="S17" s="128">
        <v>24142</v>
      </c>
      <c r="T17" s="128">
        <v>24787</v>
      </c>
      <c r="U17" s="128">
        <v>27707</v>
      </c>
      <c r="V17" s="128">
        <v>28696</v>
      </c>
      <c r="W17" s="128">
        <v>27726</v>
      </c>
      <c r="X17" s="128">
        <v>30070</v>
      </c>
      <c r="Y17" s="128">
        <v>31715</v>
      </c>
      <c r="Z17" s="128">
        <v>30964</v>
      </c>
      <c r="AA17" s="128">
        <v>28714</v>
      </c>
      <c r="AB17" s="128">
        <v>30374</v>
      </c>
      <c r="AC17" s="128">
        <v>27123</v>
      </c>
      <c r="AD17" s="128">
        <v>23726</v>
      </c>
      <c r="AE17" s="128">
        <v>21987</v>
      </c>
      <c r="AF17" s="128">
        <v>23274</v>
      </c>
      <c r="AG17" s="128">
        <v>25164</v>
      </c>
      <c r="AH17" s="128">
        <v>24758</v>
      </c>
      <c r="AI17" s="128">
        <v>28651</v>
      </c>
      <c r="AJ17" s="128">
        <v>26628</v>
      </c>
      <c r="AK17" s="128">
        <v>25035</v>
      </c>
      <c r="AL17" s="128">
        <v>23441</v>
      </c>
      <c r="AM17" s="128">
        <v>24225</v>
      </c>
      <c r="AN17" s="128">
        <v>21879</v>
      </c>
      <c r="AO17" s="128">
        <v>20125</v>
      </c>
      <c r="AP17" s="128">
        <v>18797</v>
      </c>
      <c r="AQ17" s="128">
        <v>16205</v>
      </c>
      <c r="AR17" s="128">
        <v>15902</v>
      </c>
      <c r="AS17" s="128">
        <v>21412</v>
      </c>
      <c r="AT17" s="128">
        <v>20952</v>
      </c>
      <c r="AU17" s="128">
        <v>24955</v>
      </c>
      <c r="AV17" s="128">
        <v>23366</v>
      </c>
      <c r="AW17" s="128">
        <v>22980</v>
      </c>
      <c r="AX17" s="128">
        <v>23206</v>
      </c>
      <c r="AY17" s="128">
        <v>21910</v>
      </c>
      <c r="AZ17" s="128">
        <v>24461</v>
      </c>
      <c r="BA17" s="128">
        <v>21504</v>
      </c>
      <c r="BB17" s="128">
        <v>19082</v>
      </c>
      <c r="BC17" s="128">
        <v>19158</v>
      </c>
      <c r="BD17" s="128">
        <v>19697</v>
      </c>
      <c r="BE17" s="128">
        <v>23249</v>
      </c>
      <c r="BF17" s="128">
        <v>23409</v>
      </c>
      <c r="BG17" s="128">
        <v>23703</v>
      </c>
      <c r="BH17" s="128">
        <v>24262</v>
      </c>
      <c r="BI17" s="128">
        <v>25036</v>
      </c>
      <c r="BJ17" s="128">
        <v>22635</v>
      </c>
      <c r="BK17" s="128">
        <v>23367</v>
      </c>
      <c r="BL17" s="128">
        <v>24760</v>
      </c>
      <c r="BM17" s="128">
        <v>23605</v>
      </c>
      <c r="BN17" s="128">
        <v>20720</v>
      </c>
      <c r="BO17" s="128">
        <v>18530</v>
      </c>
      <c r="BP17" s="128">
        <v>19478</v>
      </c>
      <c r="BQ17" s="128">
        <v>22318</v>
      </c>
      <c r="BR17" s="128">
        <v>22096</v>
      </c>
      <c r="BS17" s="128">
        <v>23326</v>
      </c>
      <c r="BT17" s="128">
        <v>20672</v>
      </c>
      <c r="BU17" s="128">
        <v>20352</v>
      </c>
      <c r="BV17" s="128">
        <v>19756</v>
      </c>
      <c r="BW17" s="128">
        <v>20809</v>
      </c>
      <c r="BX17" s="128">
        <v>27279</v>
      </c>
      <c r="BY17" s="128">
        <v>24346</v>
      </c>
      <c r="BZ17" s="128">
        <v>20720</v>
      </c>
      <c r="CA17" s="128">
        <v>20145</v>
      </c>
      <c r="CB17" s="128">
        <v>19478</v>
      </c>
      <c r="CC17" s="128">
        <v>24309</v>
      </c>
      <c r="CD17" s="128">
        <v>23908</v>
      </c>
      <c r="CE17" s="128">
        <v>26358</v>
      </c>
      <c r="CF17" s="128">
        <v>20672</v>
      </c>
      <c r="CG17" s="128">
        <v>25938</v>
      </c>
      <c r="CH17" s="128">
        <v>25639</v>
      </c>
      <c r="CI17" s="128">
        <v>23211</v>
      </c>
      <c r="CJ17" s="128">
        <v>25526</v>
      </c>
      <c r="CK17" s="128">
        <v>24563</v>
      </c>
      <c r="CL17" s="128">
        <v>22850</v>
      </c>
      <c r="CM17" s="128">
        <v>21029</v>
      </c>
      <c r="CN17" s="128">
        <v>20995</v>
      </c>
      <c r="CO17" s="128">
        <v>21693</v>
      </c>
      <c r="CP17" s="128">
        <v>19925</v>
      </c>
      <c r="CQ17" s="128">
        <v>21971</v>
      </c>
      <c r="CR17" s="128">
        <v>19672</v>
      </c>
      <c r="CS17" s="128">
        <v>18203</v>
      </c>
      <c r="CT17" s="128">
        <v>20040</v>
      </c>
      <c r="CU17" s="128">
        <v>19878</v>
      </c>
      <c r="CV17" s="128">
        <v>22687</v>
      </c>
      <c r="CW17" s="128">
        <v>22550</v>
      </c>
      <c r="CX17" s="128">
        <v>19777</v>
      </c>
      <c r="CY17" s="128">
        <v>18450</v>
      </c>
      <c r="CZ17" s="128">
        <v>19846</v>
      </c>
      <c r="DA17" s="128">
        <v>21825</v>
      </c>
      <c r="DB17" s="128">
        <v>21542</v>
      </c>
      <c r="DC17" s="128">
        <v>22642</v>
      </c>
      <c r="DD17" s="128">
        <v>22167</v>
      </c>
      <c r="DE17" s="128">
        <v>21283</v>
      </c>
      <c r="DF17" s="128">
        <v>22733</v>
      </c>
      <c r="DG17" s="128">
        <v>21293</v>
      </c>
      <c r="DH17" s="128">
        <v>22697</v>
      </c>
      <c r="DI17" s="128">
        <v>23180</v>
      </c>
      <c r="DJ17" s="128">
        <v>20866</v>
      </c>
      <c r="DK17" s="128">
        <v>20881</v>
      </c>
      <c r="DL17" s="128">
        <v>23953</v>
      </c>
      <c r="DM17" s="128">
        <v>26454</v>
      </c>
      <c r="DN17" s="128">
        <v>25746</v>
      </c>
      <c r="DO17" s="128">
        <v>26163</v>
      </c>
      <c r="DP17" s="128">
        <v>23836</v>
      </c>
      <c r="DQ17" s="128">
        <v>25317</v>
      </c>
      <c r="DR17" s="128">
        <v>24502</v>
      </c>
      <c r="DS17" s="128">
        <v>25316</v>
      </c>
      <c r="DT17" s="128">
        <v>25026</v>
      </c>
      <c r="DU17" s="128">
        <v>24622</v>
      </c>
      <c r="DV17" s="128">
        <v>23458</v>
      </c>
      <c r="DW17" s="128">
        <v>18814</v>
      </c>
      <c r="DX17" s="128">
        <v>21312</v>
      </c>
      <c r="DY17" s="128">
        <v>25130</v>
      </c>
      <c r="DZ17" s="128">
        <v>24803</v>
      </c>
      <c r="EA17" s="128">
        <v>25921</v>
      </c>
      <c r="EB17" s="128">
        <v>23847</v>
      </c>
      <c r="EC17" s="128">
        <v>25031</v>
      </c>
      <c r="ED17" s="128">
        <v>24933</v>
      </c>
      <c r="EE17" s="128">
        <v>24549</v>
      </c>
      <c r="EF17" s="128">
        <v>24435</v>
      </c>
      <c r="EG17" s="128">
        <v>23540</v>
      </c>
      <c r="EH17" s="128">
        <v>22778</v>
      </c>
      <c r="EI17" s="128">
        <v>22597</v>
      </c>
      <c r="EJ17" s="128">
        <v>25134</v>
      </c>
      <c r="EK17" s="128">
        <v>25654</v>
      </c>
      <c r="EL17" s="128">
        <v>25674</v>
      </c>
      <c r="EM17" s="128">
        <v>26830</v>
      </c>
      <c r="EN17" s="128">
        <v>23002</v>
      </c>
      <c r="EO17" s="128">
        <v>23758</v>
      </c>
      <c r="EP17" s="128">
        <v>26368</v>
      </c>
      <c r="EQ17" s="128">
        <v>23154</v>
      </c>
      <c r="ER17" s="128">
        <v>24160</v>
      </c>
      <c r="ES17" s="128">
        <v>23379</v>
      </c>
      <c r="ET17" s="128">
        <v>23574</v>
      </c>
      <c r="EU17" s="128">
        <v>22570</v>
      </c>
      <c r="EV17" s="128">
        <v>24120</v>
      </c>
      <c r="EW17" s="128">
        <v>26200</v>
      </c>
      <c r="EX17" s="128">
        <v>26053</v>
      </c>
      <c r="EY17" s="128">
        <v>25548</v>
      </c>
      <c r="EZ17" s="128">
        <v>22547</v>
      </c>
      <c r="FA17" s="128">
        <v>22454</v>
      </c>
    </row>
    <row r="18" spans="1:157" ht="20.100000000000001" customHeight="1">
      <c r="A18" s="127" t="s">
        <v>563</v>
      </c>
      <c r="B18" s="127" t="s">
        <v>58</v>
      </c>
      <c r="C18" s="128">
        <v>405714274</v>
      </c>
      <c r="D18" s="128">
        <v>442551230</v>
      </c>
      <c r="E18" s="128">
        <v>486661311</v>
      </c>
      <c r="F18" s="128">
        <v>476222728</v>
      </c>
      <c r="G18" s="128">
        <v>533902560</v>
      </c>
      <c r="H18" s="128">
        <v>571548755</v>
      </c>
      <c r="I18" s="128">
        <v>612773903</v>
      </c>
      <c r="J18" s="128">
        <v>637622077</v>
      </c>
      <c r="K18" s="128">
        <v>669816827</v>
      </c>
      <c r="L18" s="128">
        <v>735946247</v>
      </c>
      <c r="M18" s="128">
        <v>757553023</v>
      </c>
      <c r="N18" s="128">
        <v>71712480</v>
      </c>
      <c r="O18" s="128">
        <v>60371386</v>
      </c>
      <c r="P18" s="128">
        <v>69621029</v>
      </c>
      <c r="Q18" s="128">
        <v>66572995</v>
      </c>
      <c r="R18" s="128">
        <v>69341698</v>
      </c>
      <c r="S18" s="128">
        <v>65346873</v>
      </c>
      <c r="T18" s="128">
        <v>67351512</v>
      </c>
      <c r="U18" s="128">
        <v>66247601</v>
      </c>
      <c r="V18" s="128">
        <v>68907654</v>
      </c>
      <c r="W18" s="128">
        <v>66330190</v>
      </c>
      <c r="X18" s="128">
        <v>67877209</v>
      </c>
      <c r="Y18" s="128">
        <v>73002511</v>
      </c>
      <c r="Z18" s="128">
        <v>69823227</v>
      </c>
      <c r="AA18" s="128">
        <v>64765263</v>
      </c>
      <c r="AB18" s="128">
        <v>72893625</v>
      </c>
      <c r="AC18" s="128">
        <v>73768125</v>
      </c>
      <c r="AD18" s="128">
        <v>76886281</v>
      </c>
      <c r="AE18" s="128">
        <v>71823800</v>
      </c>
      <c r="AF18" s="128">
        <v>74787624</v>
      </c>
      <c r="AG18" s="128">
        <v>70166140</v>
      </c>
      <c r="AH18" s="128">
        <v>69525067</v>
      </c>
      <c r="AI18" s="128">
        <v>73019869</v>
      </c>
      <c r="AJ18" s="128">
        <v>69080081</v>
      </c>
      <c r="AK18" s="128">
        <v>79122341</v>
      </c>
      <c r="AL18" s="128">
        <v>76217972</v>
      </c>
      <c r="AM18" s="128">
        <v>68383491</v>
      </c>
      <c r="AN18" s="128">
        <v>80098146</v>
      </c>
      <c r="AO18" s="128">
        <v>75323826</v>
      </c>
      <c r="AP18" s="128">
        <v>78086486</v>
      </c>
      <c r="AQ18" s="128">
        <v>71914259</v>
      </c>
      <c r="AR18" s="128">
        <v>81232962</v>
      </c>
      <c r="AS18" s="128">
        <v>75588855</v>
      </c>
      <c r="AT18" s="128">
        <v>74979218</v>
      </c>
      <c r="AU18" s="128">
        <v>75772750</v>
      </c>
      <c r="AV18" s="128">
        <v>71295784</v>
      </c>
      <c r="AW18" s="128">
        <v>67040000</v>
      </c>
      <c r="AX18" s="128">
        <v>65569343</v>
      </c>
      <c r="AY18" s="128">
        <v>61834770</v>
      </c>
      <c r="AZ18" s="128">
        <v>70424452</v>
      </c>
      <c r="BA18" s="128">
        <v>65689263</v>
      </c>
      <c r="BB18" s="128">
        <v>70037813</v>
      </c>
      <c r="BC18" s="128">
        <v>67870082</v>
      </c>
      <c r="BD18" s="128">
        <v>72048511</v>
      </c>
      <c r="BE18" s="128">
        <v>71855645</v>
      </c>
      <c r="BF18" s="128">
        <v>73407082</v>
      </c>
      <c r="BG18" s="128">
        <v>80797905</v>
      </c>
      <c r="BH18" s="128">
        <v>74599247</v>
      </c>
      <c r="BI18" s="128">
        <v>77037000</v>
      </c>
      <c r="BJ18" s="128">
        <v>79753982</v>
      </c>
      <c r="BK18" s="128">
        <v>70655920</v>
      </c>
      <c r="BL18" s="128">
        <v>83172463</v>
      </c>
      <c r="BM18" s="128">
        <v>79083912</v>
      </c>
      <c r="BN18" s="128">
        <v>84226201</v>
      </c>
      <c r="BO18" s="128">
        <v>80146202</v>
      </c>
      <c r="BP18" s="128">
        <v>82414666</v>
      </c>
      <c r="BQ18" s="128">
        <v>79967287</v>
      </c>
      <c r="BR18" s="128">
        <v>78656024</v>
      </c>
      <c r="BS18" s="128">
        <v>82449817</v>
      </c>
      <c r="BT18" s="128">
        <v>86266955</v>
      </c>
      <c r="BU18" s="128">
        <v>82726797</v>
      </c>
      <c r="BV18" s="128">
        <v>89570617</v>
      </c>
      <c r="BW18" s="128">
        <v>78587466</v>
      </c>
      <c r="BX18" s="128">
        <v>92243362</v>
      </c>
      <c r="BY18" s="128">
        <v>89599038</v>
      </c>
      <c r="BZ18" s="128">
        <v>84226201</v>
      </c>
      <c r="CA18" s="128">
        <v>85373450</v>
      </c>
      <c r="CB18" s="128">
        <v>82414666</v>
      </c>
      <c r="CC18" s="128">
        <v>88260910</v>
      </c>
      <c r="CD18" s="128">
        <v>85833636</v>
      </c>
      <c r="CE18" s="128">
        <v>92305861</v>
      </c>
      <c r="CF18" s="128">
        <v>86266955</v>
      </c>
      <c r="CG18" s="128">
        <v>96588328</v>
      </c>
      <c r="CH18" s="128">
        <v>95141585</v>
      </c>
      <c r="CI18" s="128">
        <v>86679451</v>
      </c>
      <c r="CJ18" s="128">
        <v>95604137</v>
      </c>
      <c r="CK18" s="128">
        <v>92108043</v>
      </c>
      <c r="CL18" s="128">
        <v>95001421</v>
      </c>
      <c r="CM18" s="128">
        <v>90663146</v>
      </c>
      <c r="CN18" s="128">
        <v>94259481</v>
      </c>
      <c r="CO18" s="128">
        <v>84101404</v>
      </c>
      <c r="CP18" s="128">
        <v>96606494</v>
      </c>
      <c r="CQ18" s="128">
        <v>94290831</v>
      </c>
      <c r="CR18" s="128">
        <v>93160394</v>
      </c>
      <c r="CS18" s="128">
        <v>94130663</v>
      </c>
      <c r="CT18" s="128">
        <v>98476563</v>
      </c>
      <c r="CU18" s="128">
        <v>84993652</v>
      </c>
      <c r="CV18" s="128">
        <v>99928409</v>
      </c>
      <c r="CW18" s="128">
        <v>92464787</v>
      </c>
      <c r="CX18" s="128">
        <v>91080175</v>
      </c>
      <c r="CY18" s="128">
        <v>93047685</v>
      </c>
      <c r="CZ18" s="128">
        <v>94901896</v>
      </c>
      <c r="DA18" s="128">
        <v>91665688</v>
      </c>
      <c r="DB18" s="128">
        <v>90190630</v>
      </c>
      <c r="DC18" s="128">
        <v>93990009</v>
      </c>
      <c r="DD18" s="128">
        <v>94976891</v>
      </c>
      <c r="DE18" s="128">
        <v>100734923</v>
      </c>
      <c r="DF18" s="128">
        <v>104668191</v>
      </c>
      <c r="DG18" s="128">
        <v>88531214</v>
      </c>
      <c r="DH18" s="128">
        <v>105712440</v>
      </c>
      <c r="DI18" s="128">
        <v>98444070</v>
      </c>
      <c r="DJ18" s="128">
        <v>97944495</v>
      </c>
      <c r="DK18" s="128">
        <v>96424428</v>
      </c>
      <c r="DL18" s="128">
        <v>99657093</v>
      </c>
      <c r="DM18" s="128">
        <v>97870590</v>
      </c>
      <c r="DN18" s="128">
        <v>95267783</v>
      </c>
      <c r="DO18" s="128">
        <v>101918922</v>
      </c>
      <c r="DP18" s="128">
        <v>99645838</v>
      </c>
      <c r="DQ18" s="128">
        <v>101966872</v>
      </c>
      <c r="DR18" s="128">
        <v>106393448</v>
      </c>
      <c r="DS18" s="128">
        <v>95823656</v>
      </c>
      <c r="DT18" s="128">
        <v>104300962</v>
      </c>
      <c r="DU18" s="128">
        <v>100643276</v>
      </c>
      <c r="DV18" s="128">
        <v>102262911</v>
      </c>
      <c r="DW18" s="128">
        <v>100526977</v>
      </c>
      <c r="DX18" s="128">
        <v>101861350</v>
      </c>
      <c r="DY18" s="128">
        <v>101383136</v>
      </c>
      <c r="DZ18" s="128">
        <v>99204577</v>
      </c>
      <c r="EA18" s="128">
        <v>102969388</v>
      </c>
      <c r="EB18" s="128">
        <v>98207343</v>
      </c>
      <c r="EC18" s="128">
        <v>106723474</v>
      </c>
      <c r="ED18" s="128">
        <v>105610122</v>
      </c>
      <c r="EE18" s="128">
        <v>96221146</v>
      </c>
      <c r="EF18" s="128">
        <v>108494284</v>
      </c>
      <c r="EG18" s="128">
        <v>99251751</v>
      </c>
      <c r="EH18" s="128">
        <v>106800199</v>
      </c>
      <c r="EI18" s="128">
        <v>100979850</v>
      </c>
      <c r="EJ18" s="128">
        <v>105802676</v>
      </c>
      <c r="EK18" s="128">
        <v>98031206</v>
      </c>
      <c r="EL18" s="128">
        <v>102167608</v>
      </c>
      <c r="EM18" s="128">
        <v>108983802</v>
      </c>
      <c r="EN18" s="128">
        <v>103444358</v>
      </c>
      <c r="EO18" s="128">
        <v>110590967</v>
      </c>
      <c r="EP18" s="128">
        <v>109874598</v>
      </c>
      <c r="EQ18" s="128">
        <v>95966406</v>
      </c>
      <c r="ER18" s="128">
        <v>115933464</v>
      </c>
      <c r="ES18" s="128">
        <v>109383174</v>
      </c>
      <c r="ET18" s="128">
        <v>108440461</v>
      </c>
      <c r="EU18" s="128">
        <v>114766282</v>
      </c>
      <c r="EV18" s="128">
        <v>114130689</v>
      </c>
      <c r="EW18" s="128">
        <v>108142899</v>
      </c>
      <c r="EX18" s="128">
        <v>106043438</v>
      </c>
      <c r="EY18" s="128">
        <v>107899248</v>
      </c>
      <c r="EZ18" s="128">
        <v>110895591</v>
      </c>
      <c r="FA18" s="128">
        <v>115044738</v>
      </c>
    </row>
    <row r="19" spans="1:157" ht="20.100000000000001" customHeight="1">
      <c r="A19" s="23" t="s">
        <v>246</v>
      </c>
      <c r="B19" s="127" t="s">
        <v>725</v>
      </c>
      <c r="C19" s="128">
        <v>404423525</v>
      </c>
      <c r="D19" s="128">
        <v>441120256</v>
      </c>
      <c r="E19" s="128">
        <v>485030237</v>
      </c>
      <c r="F19" s="128">
        <v>474751966</v>
      </c>
      <c r="G19" s="128">
        <v>532183132</v>
      </c>
      <c r="H19" s="128">
        <v>569599403</v>
      </c>
      <c r="I19" s="128">
        <v>610910071</v>
      </c>
      <c r="J19" s="128">
        <v>635545272</v>
      </c>
      <c r="K19" s="128">
        <v>667608033</v>
      </c>
      <c r="L19" s="128">
        <v>733377114</v>
      </c>
      <c r="M19" s="128">
        <v>754936409</v>
      </c>
      <c r="N19" s="128">
        <v>71498130</v>
      </c>
      <c r="O19" s="128">
        <v>60166069</v>
      </c>
      <c r="P19" s="128">
        <v>69374069</v>
      </c>
      <c r="Q19" s="128">
        <v>66339706</v>
      </c>
      <c r="R19" s="128">
        <v>69117840</v>
      </c>
      <c r="S19" s="128">
        <v>65117487</v>
      </c>
      <c r="T19" s="128">
        <v>67115143</v>
      </c>
      <c r="U19" s="128">
        <v>66003023</v>
      </c>
      <c r="V19" s="128">
        <v>68654939</v>
      </c>
      <c r="W19" s="128">
        <v>66074528</v>
      </c>
      <c r="X19" s="128">
        <v>67618421</v>
      </c>
      <c r="Y19" s="128">
        <v>72750249</v>
      </c>
      <c r="Z19" s="128">
        <v>69590357</v>
      </c>
      <c r="AA19" s="128">
        <v>64537815</v>
      </c>
      <c r="AB19" s="128">
        <v>72622148</v>
      </c>
      <c r="AC19" s="128">
        <v>73509257</v>
      </c>
      <c r="AD19" s="128">
        <v>76631162</v>
      </c>
      <c r="AE19" s="128">
        <v>71565233</v>
      </c>
      <c r="AF19" s="128">
        <v>74523211</v>
      </c>
      <c r="AG19" s="128">
        <v>69898301</v>
      </c>
      <c r="AH19" s="128">
        <v>69256753</v>
      </c>
      <c r="AI19" s="128">
        <v>72739050</v>
      </c>
      <c r="AJ19" s="128">
        <v>68798775</v>
      </c>
      <c r="AK19" s="128">
        <v>78851416</v>
      </c>
      <c r="AL19" s="128">
        <v>75959392</v>
      </c>
      <c r="AM19" s="128">
        <v>68140334</v>
      </c>
      <c r="AN19" s="128">
        <v>79822102</v>
      </c>
      <c r="AO19" s="128">
        <v>75061658</v>
      </c>
      <c r="AP19" s="128">
        <v>77827643</v>
      </c>
      <c r="AQ19" s="128">
        <v>71656309</v>
      </c>
      <c r="AR19" s="128">
        <v>80974587</v>
      </c>
      <c r="AS19" s="128">
        <v>75332082</v>
      </c>
      <c r="AT19" s="128">
        <v>74737590</v>
      </c>
      <c r="AU19" s="128">
        <v>75520078</v>
      </c>
      <c r="AV19" s="128">
        <v>71068306</v>
      </c>
      <c r="AW19" s="128">
        <v>66836301</v>
      </c>
      <c r="AX19" s="128">
        <v>65372953</v>
      </c>
      <c r="AY19" s="128">
        <v>61631352</v>
      </c>
      <c r="AZ19" s="128">
        <v>70188547</v>
      </c>
      <c r="BA19" s="128">
        <v>65463381</v>
      </c>
      <c r="BB19" s="128">
        <v>69809347</v>
      </c>
      <c r="BC19" s="128">
        <v>67640916</v>
      </c>
      <c r="BD19" s="128">
        <v>71802669</v>
      </c>
      <c r="BE19" s="128">
        <v>71606954</v>
      </c>
      <c r="BF19" s="128">
        <v>73154152</v>
      </c>
      <c r="BG19" s="128">
        <v>80532236</v>
      </c>
      <c r="BH19" s="128">
        <v>74325677</v>
      </c>
      <c r="BI19" s="128">
        <v>76770460</v>
      </c>
      <c r="BJ19" s="128">
        <v>79496585</v>
      </c>
      <c r="BK19" s="128">
        <v>70408567</v>
      </c>
      <c r="BL19" s="128">
        <v>82877407</v>
      </c>
      <c r="BM19" s="128">
        <v>78804243</v>
      </c>
      <c r="BN19" s="128">
        <v>83933977</v>
      </c>
      <c r="BO19" s="128">
        <v>79870634</v>
      </c>
      <c r="BP19" s="128">
        <v>82128859</v>
      </c>
      <c r="BQ19" s="128">
        <v>79693904</v>
      </c>
      <c r="BR19" s="128">
        <v>78388759</v>
      </c>
      <c r="BS19" s="128">
        <v>82156187</v>
      </c>
      <c r="BT19" s="128">
        <v>85987952</v>
      </c>
      <c r="BU19" s="128">
        <v>82446268</v>
      </c>
      <c r="BV19" s="128">
        <v>89299706</v>
      </c>
      <c r="BW19" s="128">
        <v>78345814</v>
      </c>
      <c r="BX19" s="128">
        <v>91950050</v>
      </c>
      <c r="BY19" s="128">
        <v>89330061</v>
      </c>
      <c r="BZ19" s="128">
        <v>83933977</v>
      </c>
      <c r="CA19" s="128">
        <v>85107490</v>
      </c>
      <c r="CB19" s="128">
        <v>82128859</v>
      </c>
      <c r="CC19" s="128">
        <v>87989584</v>
      </c>
      <c r="CD19" s="128">
        <v>85571617</v>
      </c>
      <c r="CE19" s="128">
        <v>92026295</v>
      </c>
      <c r="CF19" s="128">
        <v>85987952</v>
      </c>
      <c r="CG19" s="128">
        <v>96314793</v>
      </c>
      <c r="CH19" s="128">
        <v>94896714</v>
      </c>
      <c r="CI19" s="128">
        <v>86421173</v>
      </c>
      <c r="CJ19" s="128">
        <v>95324695</v>
      </c>
      <c r="CK19" s="128">
        <v>91848315</v>
      </c>
      <c r="CL19" s="128">
        <v>94739877</v>
      </c>
      <c r="CM19" s="128">
        <v>90395008</v>
      </c>
      <c r="CN19" s="128">
        <v>93986459</v>
      </c>
      <c r="CO19" s="128">
        <v>83830349</v>
      </c>
      <c r="CP19" s="128">
        <v>96334454</v>
      </c>
      <c r="CQ19" s="128">
        <v>94013869</v>
      </c>
      <c r="CR19" s="128">
        <v>92884917</v>
      </c>
      <c r="CS19" s="128">
        <v>93862440</v>
      </c>
      <c r="CT19" s="128">
        <v>98223778</v>
      </c>
      <c r="CU19" s="128">
        <v>84760248</v>
      </c>
      <c r="CV19" s="128">
        <v>99639144</v>
      </c>
      <c r="CW19" s="128">
        <v>92195514</v>
      </c>
      <c r="CX19" s="128">
        <v>90811456</v>
      </c>
      <c r="CY19" s="128">
        <v>92780740</v>
      </c>
      <c r="CZ19" s="128">
        <v>94631597</v>
      </c>
      <c r="DA19" s="128">
        <v>91391060</v>
      </c>
      <c r="DB19" s="128">
        <v>89923450</v>
      </c>
      <c r="DC19" s="128">
        <v>93702614</v>
      </c>
      <c r="DD19" s="128">
        <v>94690782</v>
      </c>
      <c r="DE19" s="128">
        <v>100454672</v>
      </c>
      <c r="DF19" s="128">
        <v>104396105</v>
      </c>
      <c r="DG19" s="128">
        <v>88282914</v>
      </c>
      <c r="DH19" s="128">
        <v>105411161</v>
      </c>
      <c r="DI19" s="128">
        <v>98161977</v>
      </c>
      <c r="DJ19" s="128">
        <v>97666692</v>
      </c>
      <c r="DK19" s="128">
        <v>96148308</v>
      </c>
      <c r="DL19" s="128">
        <v>99369439</v>
      </c>
      <c r="DM19" s="128">
        <v>97579420</v>
      </c>
      <c r="DN19" s="128">
        <v>94990644</v>
      </c>
      <c r="DO19" s="128">
        <v>101618359</v>
      </c>
      <c r="DP19" s="128">
        <v>99343048</v>
      </c>
      <c r="DQ19" s="128">
        <v>101673127</v>
      </c>
      <c r="DR19" s="128">
        <v>106111429</v>
      </c>
      <c r="DS19" s="128">
        <v>95552893</v>
      </c>
      <c r="DT19" s="128">
        <v>103983109</v>
      </c>
      <c r="DU19" s="128">
        <v>100344125</v>
      </c>
      <c r="DV19" s="128">
        <v>101967710</v>
      </c>
      <c r="DW19" s="128">
        <v>100255921</v>
      </c>
      <c r="DX19" s="128">
        <v>101580882</v>
      </c>
      <c r="DY19" s="128">
        <v>101090659</v>
      </c>
      <c r="DZ19" s="128">
        <v>98915618</v>
      </c>
      <c r="EA19" s="128">
        <v>102656683</v>
      </c>
      <c r="EB19" s="128">
        <v>97901217</v>
      </c>
      <c r="EC19" s="128">
        <v>106421480</v>
      </c>
      <c r="ED19" s="128">
        <v>105315336</v>
      </c>
      <c r="EE19" s="128">
        <v>95956187</v>
      </c>
      <c r="EF19" s="128">
        <v>108177404</v>
      </c>
      <c r="EG19" s="128">
        <v>98943999</v>
      </c>
      <c r="EH19" s="128">
        <v>106497406</v>
      </c>
      <c r="EI19" s="128">
        <v>100665074</v>
      </c>
      <c r="EJ19" s="128">
        <v>105480287</v>
      </c>
      <c r="EK19" s="128">
        <v>97716091</v>
      </c>
      <c r="EL19" s="128">
        <v>101849677</v>
      </c>
      <c r="EM19" s="128">
        <v>108638653</v>
      </c>
      <c r="EN19" s="128">
        <v>103108914</v>
      </c>
      <c r="EO19" s="128">
        <v>110248033</v>
      </c>
      <c r="EP19" s="128">
        <v>109551763</v>
      </c>
      <c r="EQ19" s="128">
        <v>95660622</v>
      </c>
      <c r="ER19" s="128">
        <v>115581807</v>
      </c>
      <c r="ES19" s="128">
        <v>109053490</v>
      </c>
      <c r="ET19" s="128">
        <v>108120113</v>
      </c>
      <c r="EU19" s="128">
        <v>114441570</v>
      </c>
      <c r="EV19" s="128">
        <v>113793969</v>
      </c>
      <c r="EW19" s="128">
        <v>107805399</v>
      </c>
      <c r="EX19" s="128">
        <v>105698271</v>
      </c>
      <c r="EY19" s="128">
        <v>107560077</v>
      </c>
      <c r="EZ19" s="128">
        <v>110537249</v>
      </c>
      <c r="FA19" s="128">
        <v>114685144</v>
      </c>
    </row>
    <row r="20" spans="1:157" ht="20.100000000000001" customHeight="1">
      <c r="A20" s="129" t="s">
        <v>246</v>
      </c>
      <c r="B20" s="130" t="s">
        <v>726</v>
      </c>
      <c r="C20" s="128">
        <v>1290749</v>
      </c>
      <c r="D20" s="128">
        <v>1430974</v>
      </c>
      <c r="E20" s="128">
        <v>1631074</v>
      </c>
      <c r="F20" s="128">
        <v>1470762</v>
      </c>
      <c r="G20" s="128">
        <v>1719428</v>
      </c>
      <c r="H20" s="128">
        <v>1949352</v>
      </c>
      <c r="I20" s="128">
        <v>1863832</v>
      </c>
      <c r="J20" s="128">
        <v>2076805</v>
      </c>
      <c r="K20" s="128">
        <v>2208794</v>
      </c>
      <c r="L20" s="128">
        <v>2569133</v>
      </c>
      <c r="M20" s="128">
        <v>2616614</v>
      </c>
      <c r="N20" s="128">
        <v>214350</v>
      </c>
      <c r="O20" s="128">
        <v>205317</v>
      </c>
      <c r="P20" s="128">
        <v>246960</v>
      </c>
      <c r="Q20" s="128">
        <v>233289</v>
      </c>
      <c r="R20" s="128">
        <v>223858</v>
      </c>
      <c r="S20" s="128">
        <v>229386</v>
      </c>
      <c r="T20" s="128">
        <v>236369</v>
      </c>
      <c r="U20" s="128">
        <v>244578</v>
      </c>
      <c r="V20" s="128">
        <v>252715</v>
      </c>
      <c r="W20" s="128">
        <v>255662</v>
      </c>
      <c r="X20" s="128">
        <v>258788</v>
      </c>
      <c r="Y20" s="128">
        <v>252262</v>
      </c>
      <c r="Z20" s="128">
        <v>232870</v>
      </c>
      <c r="AA20" s="128">
        <v>227448</v>
      </c>
      <c r="AB20" s="128">
        <v>271477</v>
      </c>
      <c r="AC20" s="128">
        <v>258868</v>
      </c>
      <c r="AD20" s="128">
        <v>255119</v>
      </c>
      <c r="AE20" s="128">
        <v>258567</v>
      </c>
      <c r="AF20" s="128">
        <v>264413</v>
      </c>
      <c r="AG20" s="128">
        <v>267839</v>
      </c>
      <c r="AH20" s="128">
        <v>268314</v>
      </c>
      <c r="AI20" s="128">
        <v>280819</v>
      </c>
      <c r="AJ20" s="128">
        <v>281306</v>
      </c>
      <c r="AK20" s="128">
        <v>270925</v>
      </c>
      <c r="AL20" s="128">
        <v>258580</v>
      </c>
      <c r="AM20" s="128">
        <v>243157</v>
      </c>
      <c r="AN20" s="128">
        <v>276044</v>
      </c>
      <c r="AO20" s="128">
        <v>262168</v>
      </c>
      <c r="AP20" s="128">
        <v>258843</v>
      </c>
      <c r="AQ20" s="128">
        <v>257950</v>
      </c>
      <c r="AR20" s="128">
        <v>258375</v>
      </c>
      <c r="AS20" s="128">
        <v>256773</v>
      </c>
      <c r="AT20" s="128">
        <v>241628</v>
      </c>
      <c r="AU20" s="128">
        <v>252672</v>
      </c>
      <c r="AV20" s="128">
        <v>227478</v>
      </c>
      <c r="AW20" s="128">
        <v>203699</v>
      </c>
      <c r="AX20" s="128">
        <v>196390</v>
      </c>
      <c r="AY20" s="128">
        <v>203418</v>
      </c>
      <c r="AZ20" s="128">
        <v>235905</v>
      </c>
      <c r="BA20" s="128">
        <v>225882</v>
      </c>
      <c r="BB20" s="128">
        <v>228466</v>
      </c>
      <c r="BC20" s="128">
        <v>229166</v>
      </c>
      <c r="BD20" s="128">
        <v>245842</v>
      </c>
      <c r="BE20" s="128">
        <v>248691</v>
      </c>
      <c r="BF20" s="128">
        <v>252930</v>
      </c>
      <c r="BG20" s="128">
        <v>265669</v>
      </c>
      <c r="BH20" s="128">
        <v>273570</v>
      </c>
      <c r="BI20" s="128">
        <v>266540</v>
      </c>
      <c r="BJ20" s="128">
        <v>257397</v>
      </c>
      <c r="BK20" s="128">
        <v>247353</v>
      </c>
      <c r="BL20" s="128">
        <v>295056</v>
      </c>
      <c r="BM20" s="128">
        <v>279669</v>
      </c>
      <c r="BN20" s="128">
        <v>292224</v>
      </c>
      <c r="BO20" s="128">
        <v>275568</v>
      </c>
      <c r="BP20" s="128">
        <v>285807</v>
      </c>
      <c r="BQ20" s="128">
        <v>273383</v>
      </c>
      <c r="BR20" s="128">
        <v>267265</v>
      </c>
      <c r="BS20" s="128">
        <v>293630</v>
      </c>
      <c r="BT20" s="128">
        <v>279003</v>
      </c>
      <c r="BU20" s="128">
        <v>280529</v>
      </c>
      <c r="BV20" s="128">
        <v>270911</v>
      </c>
      <c r="BW20" s="128">
        <v>241652</v>
      </c>
      <c r="BX20" s="128">
        <v>293312</v>
      </c>
      <c r="BY20" s="128">
        <v>268977</v>
      </c>
      <c r="BZ20" s="128">
        <v>292224</v>
      </c>
      <c r="CA20" s="128">
        <v>265960</v>
      </c>
      <c r="CB20" s="128">
        <v>285807</v>
      </c>
      <c r="CC20" s="128">
        <v>271326</v>
      </c>
      <c r="CD20" s="128">
        <v>262019</v>
      </c>
      <c r="CE20" s="128">
        <v>279566</v>
      </c>
      <c r="CF20" s="128">
        <v>279003</v>
      </c>
      <c r="CG20" s="128">
        <v>273535</v>
      </c>
      <c r="CH20" s="128">
        <v>244871</v>
      </c>
      <c r="CI20" s="128">
        <v>258278</v>
      </c>
      <c r="CJ20" s="128">
        <v>279442</v>
      </c>
      <c r="CK20" s="128">
        <v>259728</v>
      </c>
      <c r="CL20" s="128">
        <v>261544</v>
      </c>
      <c r="CM20" s="128">
        <v>268138</v>
      </c>
      <c r="CN20" s="128">
        <v>273022</v>
      </c>
      <c r="CO20" s="128">
        <v>271055</v>
      </c>
      <c r="CP20" s="128">
        <v>272040</v>
      </c>
      <c r="CQ20" s="128">
        <v>276962</v>
      </c>
      <c r="CR20" s="128">
        <v>275477</v>
      </c>
      <c r="CS20" s="128">
        <v>268223</v>
      </c>
      <c r="CT20" s="128">
        <v>252785</v>
      </c>
      <c r="CU20" s="128">
        <v>233404</v>
      </c>
      <c r="CV20" s="128">
        <v>289265</v>
      </c>
      <c r="CW20" s="128">
        <v>269273</v>
      </c>
      <c r="CX20" s="128">
        <v>268719</v>
      </c>
      <c r="CY20" s="128">
        <v>266945</v>
      </c>
      <c r="CZ20" s="128">
        <v>270299</v>
      </c>
      <c r="DA20" s="128">
        <v>274628</v>
      </c>
      <c r="DB20" s="128">
        <v>267180</v>
      </c>
      <c r="DC20" s="128">
        <v>287395</v>
      </c>
      <c r="DD20" s="128">
        <v>286109</v>
      </c>
      <c r="DE20" s="128">
        <v>280251</v>
      </c>
      <c r="DF20" s="128">
        <v>272086</v>
      </c>
      <c r="DG20" s="128">
        <v>248300</v>
      </c>
      <c r="DH20" s="128">
        <v>301279</v>
      </c>
      <c r="DI20" s="128">
        <v>282093</v>
      </c>
      <c r="DJ20" s="128">
        <v>277803</v>
      </c>
      <c r="DK20" s="128">
        <v>276120</v>
      </c>
      <c r="DL20" s="128">
        <v>287654</v>
      </c>
      <c r="DM20" s="128">
        <v>291170</v>
      </c>
      <c r="DN20" s="128">
        <v>277139</v>
      </c>
      <c r="DO20" s="128">
        <v>300563</v>
      </c>
      <c r="DP20" s="128">
        <v>302790</v>
      </c>
      <c r="DQ20" s="128">
        <v>293745</v>
      </c>
      <c r="DR20" s="128">
        <v>282019</v>
      </c>
      <c r="DS20" s="128">
        <v>270763</v>
      </c>
      <c r="DT20" s="128">
        <v>317853</v>
      </c>
      <c r="DU20" s="128">
        <v>299151</v>
      </c>
      <c r="DV20" s="128">
        <v>295201</v>
      </c>
      <c r="DW20" s="128">
        <v>271056</v>
      </c>
      <c r="DX20" s="128">
        <v>280468</v>
      </c>
      <c r="DY20" s="128">
        <v>292477</v>
      </c>
      <c r="DZ20" s="128">
        <v>288959</v>
      </c>
      <c r="EA20" s="128">
        <v>312705</v>
      </c>
      <c r="EB20" s="128">
        <v>306126</v>
      </c>
      <c r="EC20" s="128">
        <v>301994</v>
      </c>
      <c r="ED20" s="128">
        <v>294786</v>
      </c>
      <c r="EE20" s="128">
        <v>264959</v>
      </c>
      <c r="EF20" s="128">
        <v>316880</v>
      </c>
      <c r="EG20" s="128">
        <v>307752</v>
      </c>
      <c r="EH20" s="128">
        <v>302793</v>
      </c>
      <c r="EI20" s="128">
        <v>314776</v>
      </c>
      <c r="EJ20" s="128">
        <v>322389</v>
      </c>
      <c r="EK20" s="128">
        <v>315115</v>
      </c>
      <c r="EL20" s="128">
        <v>317931</v>
      </c>
      <c r="EM20" s="128">
        <v>345149</v>
      </c>
      <c r="EN20" s="128">
        <v>335444</v>
      </c>
      <c r="EO20" s="128">
        <v>342934</v>
      </c>
      <c r="EP20" s="128">
        <v>322835</v>
      </c>
      <c r="EQ20" s="128">
        <v>305784</v>
      </c>
      <c r="ER20" s="128">
        <v>351657</v>
      </c>
      <c r="ES20" s="128">
        <v>329684</v>
      </c>
      <c r="ET20" s="128">
        <v>320348</v>
      </c>
      <c r="EU20" s="128">
        <v>324712</v>
      </c>
      <c r="EV20" s="128">
        <v>336720</v>
      </c>
      <c r="EW20" s="128">
        <v>337500</v>
      </c>
      <c r="EX20" s="128">
        <v>345167</v>
      </c>
      <c r="EY20" s="128">
        <v>339171</v>
      </c>
      <c r="EZ20" s="128">
        <v>358342</v>
      </c>
      <c r="FA20" s="128">
        <v>359594</v>
      </c>
    </row>
    <row r="21" spans="1:157" ht="20.100000000000001" customHeight="1">
      <c r="A21" s="25" t="s">
        <v>727</v>
      </c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</row>
    <row r="22" spans="1:157" ht="20.100000000000001" customHeight="1">
      <c r="A22" s="131" t="s">
        <v>566</v>
      </c>
      <c r="B22" s="131" t="s">
        <v>567</v>
      </c>
      <c r="C22" s="132">
        <v>1995</v>
      </c>
      <c r="D22" s="132">
        <v>1996</v>
      </c>
      <c r="E22" s="132">
        <v>1997</v>
      </c>
      <c r="F22" s="132">
        <v>1998</v>
      </c>
      <c r="G22" s="132">
        <v>1999</v>
      </c>
      <c r="H22" s="132">
        <v>2000</v>
      </c>
      <c r="I22" s="132">
        <v>2001</v>
      </c>
      <c r="J22" s="132">
        <v>2002</v>
      </c>
      <c r="K22" s="132">
        <v>2003</v>
      </c>
      <c r="L22" s="132">
        <v>2004</v>
      </c>
      <c r="M22" s="132">
        <v>2005</v>
      </c>
      <c r="N22" s="40">
        <v>2006</v>
      </c>
      <c r="O22" s="40">
        <v>2007</v>
      </c>
      <c r="P22" s="40">
        <v>2008</v>
      </c>
      <c r="Q22" s="40">
        <v>2009</v>
      </c>
      <c r="R22" s="40">
        <v>2010</v>
      </c>
      <c r="S22" s="40">
        <v>2011</v>
      </c>
      <c r="T22" s="40">
        <v>2012</v>
      </c>
      <c r="U22" s="40">
        <v>2013</v>
      </c>
      <c r="V22" s="40">
        <v>2014</v>
      </c>
      <c r="W22" s="40">
        <v>2015</v>
      </c>
      <c r="X22" s="40">
        <v>2016</v>
      </c>
      <c r="Y22" s="40">
        <v>2017</v>
      </c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</row>
    <row r="23" spans="1:157" ht="20.100000000000001" customHeight="1">
      <c r="A23" s="192" t="s">
        <v>558</v>
      </c>
      <c r="B23" s="127" t="s">
        <v>58</v>
      </c>
      <c r="C23" s="128">
        <v>595272320</v>
      </c>
      <c r="D23" s="128">
        <v>621239664</v>
      </c>
      <c r="E23" s="128">
        <v>700344184</v>
      </c>
      <c r="F23" s="128">
        <v>567023195</v>
      </c>
      <c r="G23" s="128">
        <v>567344200</v>
      </c>
      <c r="H23" s="128">
        <v>676315453</v>
      </c>
      <c r="I23" s="128">
        <v>721822691</v>
      </c>
      <c r="J23" s="128">
        <v>772444316</v>
      </c>
      <c r="K23" s="128">
        <v>758315596</v>
      </c>
      <c r="L23" s="128">
        <v>679412965</v>
      </c>
      <c r="M23" s="128">
        <v>687451212</v>
      </c>
      <c r="N23" s="39">
        <f>SUM(N13:Y13)</f>
        <v>690778476</v>
      </c>
      <c r="O23" s="39">
        <f>SUM(Z13:AK13)</f>
        <v>715221847</v>
      </c>
      <c r="P23" s="39">
        <f>SUM(AL13:AW13)</f>
        <v>729825526</v>
      </c>
      <c r="Q23" s="39">
        <f>SUM(AX13:BI13)</f>
        <v>766678616</v>
      </c>
      <c r="R23" s="39">
        <f>SUM(BJ13:BU13)</f>
        <v>778030531</v>
      </c>
      <c r="S23" s="39">
        <f>SUM(BV13:CG13)</f>
        <v>784760643</v>
      </c>
      <c r="T23" s="39">
        <f>SUM(CH13:CS13)</f>
        <v>892550431</v>
      </c>
      <c r="U23" s="39">
        <f>SUM(CT13:DE13)</f>
        <v>879311786</v>
      </c>
      <c r="V23" s="39">
        <f>SUM(DF13:DQ13)</f>
        <v>810628011</v>
      </c>
      <c r="W23" s="39">
        <f>SUM(DR13:EC13)</f>
        <v>0</v>
      </c>
      <c r="X23" s="39">
        <f>SUM(ED13:EO13)</f>
        <v>0</v>
      </c>
      <c r="Y23" s="39">
        <f>SUM(EP13:FA13)</f>
        <v>0</v>
      </c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</row>
    <row r="24" spans="1:157" ht="20.100000000000001" customHeight="1">
      <c r="A24" s="193"/>
      <c r="B24" s="127" t="s">
        <v>723</v>
      </c>
      <c r="C24" s="128">
        <v>57469339</v>
      </c>
      <c r="D24" s="128">
        <v>53526971</v>
      </c>
      <c r="E24" s="128">
        <v>53827826</v>
      </c>
      <c r="F24" s="128">
        <v>43344820</v>
      </c>
      <c r="G24" s="128">
        <v>42080967</v>
      </c>
      <c r="H24" s="128">
        <v>45239839</v>
      </c>
      <c r="I24" s="128">
        <v>45122332</v>
      </c>
      <c r="J24" s="128">
        <v>45732629</v>
      </c>
      <c r="K24" s="128">
        <v>47109970</v>
      </c>
      <c r="L24" s="128">
        <v>44512467</v>
      </c>
      <c r="M24" s="128">
        <v>41668802</v>
      </c>
      <c r="N24" s="39">
        <f t="shared" ref="N24:N30" si="0">SUM(N14:Y14)</f>
        <v>43340580</v>
      </c>
      <c r="O24" s="39">
        <f t="shared" ref="O24:O30" si="1">SUM(Z14:AK14)</f>
        <v>44561779</v>
      </c>
      <c r="P24" s="39">
        <f t="shared" ref="P24:P30" si="2">SUM(AL14:AW14)</f>
        <v>46805688</v>
      </c>
      <c r="Q24" s="39">
        <f t="shared" ref="Q24:Q30" si="3">SUM(AX14:BI14)</f>
        <v>38897704</v>
      </c>
      <c r="R24" s="39">
        <f t="shared" ref="R24:R30" si="4">SUM(BJ14:BU14)</f>
        <v>39217445</v>
      </c>
      <c r="S24" s="39">
        <f t="shared" ref="S24:S30" si="5">SUM(BV14:CG14)</f>
        <v>40283715</v>
      </c>
      <c r="T24" s="39">
        <f t="shared" ref="T24:T30" si="6">SUM(CH14:CS14)</f>
        <v>40308928</v>
      </c>
      <c r="U24" s="39">
        <f t="shared" ref="U24:U30" si="7">SUM(CT14:DE14)</f>
        <v>39822270</v>
      </c>
      <c r="V24" s="39">
        <f t="shared" ref="V24:V30" si="8">SUM(DF14:DQ14)</f>
        <v>37379168</v>
      </c>
      <c r="W24" s="39">
        <f t="shared" ref="W24:W30" si="9">SUM(DR14:EC14)</f>
        <v>37093642</v>
      </c>
      <c r="X24" s="39">
        <f t="shared" ref="X24:X30" si="10">SUM(ED14:EO14)</f>
        <v>32555441</v>
      </c>
      <c r="Y24" s="39">
        <f t="shared" ref="Y24:Y30" si="11">SUM(EP14:FA14)</f>
        <v>31669610</v>
      </c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</row>
    <row r="25" spans="1:157" ht="20.100000000000001" customHeight="1">
      <c r="A25" s="193"/>
      <c r="B25" s="127" t="s">
        <v>724</v>
      </c>
      <c r="C25" s="128">
        <v>408368372</v>
      </c>
      <c r="D25" s="128">
        <v>426413788</v>
      </c>
      <c r="E25" s="128">
        <v>499083185</v>
      </c>
      <c r="F25" s="128">
        <v>408136000</v>
      </c>
      <c r="G25" s="128">
        <v>401177000</v>
      </c>
      <c r="H25" s="128">
        <v>496174000</v>
      </c>
      <c r="I25" s="128">
        <v>535725000</v>
      </c>
      <c r="J25" s="128">
        <v>584573000</v>
      </c>
      <c r="K25" s="128">
        <v>565456252</v>
      </c>
      <c r="L25" s="128">
        <v>518855708</v>
      </c>
      <c r="M25" s="128">
        <v>526000147</v>
      </c>
      <c r="N25" s="39">
        <f t="shared" si="0"/>
        <v>529277871</v>
      </c>
      <c r="O25" s="39">
        <f t="shared" si="1"/>
        <v>550264471</v>
      </c>
      <c r="P25" s="39">
        <f t="shared" si="2"/>
        <v>555801345</v>
      </c>
      <c r="Q25" s="39">
        <f t="shared" si="3"/>
        <v>607480325</v>
      </c>
      <c r="R25" s="39">
        <f t="shared" si="4"/>
        <v>619529647</v>
      </c>
      <c r="S25" s="39">
        <f t="shared" si="5"/>
        <v>631175068</v>
      </c>
      <c r="T25" s="39">
        <f t="shared" si="6"/>
        <v>732918919</v>
      </c>
      <c r="U25" s="39">
        <f t="shared" si="7"/>
        <v>721376719</v>
      </c>
      <c r="V25" s="39">
        <f t="shared" si="8"/>
        <v>655045636</v>
      </c>
      <c r="W25" s="39">
        <f t="shared" si="9"/>
        <v>0</v>
      </c>
      <c r="X25" s="39">
        <f t="shared" si="10"/>
        <v>0</v>
      </c>
      <c r="Y25" s="39">
        <f t="shared" si="11"/>
        <v>0</v>
      </c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</row>
    <row r="26" spans="1:157" ht="20.100000000000001" customHeight="1">
      <c r="A26" s="193"/>
      <c r="B26" s="127" t="s">
        <v>725</v>
      </c>
      <c r="C26" s="128">
        <v>129111889</v>
      </c>
      <c r="D26" s="128">
        <v>140947542</v>
      </c>
      <c r="E26" s="128">
        <v>147045854</v>
      </c>
      <c r="F26" s="128">
        <v>115178828</v>
      </c>
      <c r="G26" s="128">
        <v>123692958</v>
      </c>
      <c r="H26" s="128">
        <v>134467386</v>
      </c>
      <c r="I26" s="128">
        <v>140544327</v>
      </c>
      <c r="J26" s="128">
        <v>141705985</v>
      </c>
      <c r="K26" s="128">
        <v>145326809</v>
      </c>
      <c r="L26" s="128">
        <v>115635806</v>
      </c>
      <c r="M26" s="128">
        <v>119409878</v>
      </c>
      <c r="N26" s="39">
        <f t="shared" si="0"/>
        <v>117804776</v>
      </c>
      <c r="O26" s="39">
        <f t="shared" si="1"/>
        <v>120079199</v>
      </c>
      <c r="P26" s="39">
        <f t="shared" si="2"/>
        <v>126964254</v>
      </c>
      <c r="Q26" s="39">
        <f t="shared" si="3"/>
        <v>120031910</v>
      </c>
      <c r="R26" s="39">
        <f t="shared" si="4"/>
        <v>119021580</v>
      </c>
      <c r="S26" s="39">
        <f t="shared" si="5"/>
        <v>113028142</v>
      </c>
      <c r="T26" s="39">
        <f t="shared" si="6"/>
        <v>119057307</v>
      </c>
      <c r="U26" s="39">
        <f t="shared" si="7"/>
        <v>117860110</v>
      </c>
      <c r="V26" s="39">
        <f t="shared" si="8"/>
        <v>117920088</v>
      </c>
      <c r="W26" s="39">
        <f t="shared" si="9"/>
        <v>128611230</v>
      </c>
      <c r="X26" s="39">
        <f t="shared" si="10"/>
        <v>143227348</v>
      </c>
      <c r="Y26" s="39">
        <f t="shared" si="11"/>
        <v>142587307</v>
      </c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</row>
    <row r="27" spans="1:157" ht="20.100000000000001" customHeight="1">
      <c r="A27" s="194"/>
      <c r="B27" s="127" t="s">
        <v>726</v>
      </c>
      <c r="C27" s="128">
        <v>322720</v>
      </c>
      <c r="D27" s="128">
        <v>351363</v>
      </c>
      <c r="E27" s="128">
        <v>387319</v>
      </c>
      <c r="F27" s="128">
        <v>363547</v>
      </c>
      <c r="G27" s="128">
        <v>393275</v>
      </c>
      <c r="H27" s="128">
        <v>434228</v>
      </c>
      <c r="I27" s="128">
        <v>431032</v>
      </c>
      <c r="J27" s="128">
        <v>432702</v>
      </c>
      <c r="K27" s="128">
        <v>422565</v>
      </c>
      <c r="L27" s="128">
        <v>408984</v>
      </c>
      <c r="M27" s="128">
        <v>372385</v>
      </c>
      <c r="N27" s="39">
        <f t="shared" si="0"/>
        <v>355249</v>
      </c>
      <c r="O27" s="39">
        <f t="shared" si="1"/>
        <v>316398</v>
      </c>
      <c r="P27" s="39">
        <f t="shared" si="2"/>
        <v>254239</v>
      </c>
      <c r="Q27" s="39">
        <f t="shared" si="3"/>
        <v>268677</v>
      </c>
      <c r="R27" s="39">
        <f t="shared" si="4"/>
        <v>261859</v>
      </c>
      <c r="S27" s="39">
        <f t="shared" si="5"/>
        <v>273718</v>
      </c>
      <c r="T27" s="39">
        <f t="shared" si="6"/>
        <v>265277</v>
      </c>
      <c r="U27" s="39">
        <f t="shared" si="7"/>
        <v>252687</v>
      </c>
      <c r="V27" s="39">
        <f t="shared" si="8"/>
        <v>283119</v>
      </c>
      <c r="W27" s="39">
        <f t="shared" si="9"/>
        <v>287782</v>
      </c>
      <c r="X27" s="39">
        <f t="shared" si="10"/>
        <v>292884</v>
      </c>
      <c r="Y27" s="39">
        <f t="shared" si="11"/>
        <v>290127</v>
      </c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</row>
    <row r="28" spans="1:157" ht="20.100000000000001" customHeight="1">
      <c r="A28" s="192" t="s">
        <v>563</v>
      </c>
      <c r="B28" s="127" t="s">
        <v>58</v>
      </c>
      <c r="C28" s="128">
        <v>405714274</v>
      </c>
      <c r="D28" s="128">
        <v>442551230</v>
      </c>
      <c r="E28" s="128">
        <v>486661311</v>
      </c>
      <c r="F28" s="128">
        <v>476222728</v>
      </c>
      <c r="G28" s="128">
        <v>533902560</v>
      </c>
      <c r="H28" s="128">
        <v>571548755</v>
      </c>
      <c r="I28" s="128">
        <v>612773903</v>
      </c>
      <c r="J28" s="128">
        <v>637622077</v>
      </c>
      <c r="K28" s="128">
        <v>669816827</v>
      </c>
      <c r="L28" s="128">
        <v>735946247</v>
      </c>
      <c r="M28" s="128">
        <v>757553023</v>
      </c>
      <c r="N28" s="39">
        <f t="shared" si="0"/>
        <v>812683138</v>
      </c>
      <c r="O28" s="39">
        <f t="shared" si="1"/>
        <v>865661443</v>
      </c>
      <c r="P28" s="39">
        <f t="shared" si="2"/>
        <v>895933749</v>
      </c>
      <c r="Q28" s="39">
        <f t="shared" si="3"/>
        <v>851171113</v>
      </c>
      <c r="R28" s="39">
        <f t="shared" si="4"/>
        <v>969520226</v>
      </c>
      <c r="S28" s="39">
        <f t="shared" si="5"/>
        <v>1051270490</v>
      </c>
      <c r="T28" s="39">
        <f t="shared" si="6"/>
        <v>1111747050</v>
      </c>
      <c r="U28" s="39">
        <f t="shared" si="7"/>
        <v>1126451308</v>
      </c>
      <c r="V28" s="39">
        <f t="shared" si="8"/>
        <v>1188051936</v>
      </c>
      <c r="W28" s="39">
        <f t="shared" si="9"/>
        <v>1220300498</v>
      </c>
      <c r="X28" s="39">
        <f t="shared" si="10"/>
        <v>1246377969</v>
      </c>
      <c r="Y28" s="39">
        <f t="shared" si="11"/>
        <v>1316520988</v>
      </c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</row>
    <row r="29" spans="1:157" ht="20.100000000000001" customHeight="1">
      <c r="A29" s="193"/>
      <c r="B29" s="127" t="s">
        <v>725</v>
      </c>
      <c r="C29" s="128">
        <v>404423525</v>
      </c>
      <c r="D29" s="128">
        <v>441120256</v>
      </c>
      <c r="E29" s="128">
        <v>485030237</v>
      </c>
      <c r="F29" s="128">
        <v>474751966</v>
      </c>
      <c r="G29" s="128">
        <v>532183132</v>
      </c>
      <c r="H29" s="128">
        <v>569599403</v>
      </c>
      <c r="I29" s="128">
        <v>610910071</v>
      </c>
      <c r="J29" s="128">
        <v>635545272</v>
      </c>
      <c r="K29" s="128">
        <v>667608033</v>
      </c>
      <c r="L29" s="128">
        <v>733377114</v>
      </c>
      <c r="M29" s="128">
        <v>754936409</v>
      </c>
      <c r="N29" s="39">
        <f t="shared" si="0"/>
        <v>809829604</v>
      </c>
      <c r="O29" s="39">
        <f t="shared" si="1"/>
        <v>862523478</v>
      </c>
      <c r="P29" s="39">
        <f t="shared" si="2"/>
        <v>892936382</v>
      </c>
      <c r="Q29" s="39">
        <f t="shared" si="3"/>
        <v>848298644</v>
      </c>
      <c r="R29" s="39">
        <f t="shared" si="4"/>
        <v>966193342</v>
      </c>
      <c r="S29" s="39">
        <f t="shared" si="5"/>
        <v>1047986198</v>
      </c>
      <c r="T29" s="39">
        <f t="shared" si="6"/>
        <v>1108538270</v>
      </c>
      <c r="U29" s="39">
        <f t="shared" si="7"/>
        <v>1123205055</v>
      </c>
      <c r="V29" s="39">
        <f t="shared" si="8"/>
        <v>1184641194</v>
      </c>
      <c r="W29" s="39">
        <f t="shared" si="9"/>
        <v>1216781726</v>
      </c>
      <c r="X29" s="39">
        <f t="shared" si="10"/>
        <v>1242597061</v>
      </c>
      <c r="Y29" s="39">
        <f t="shared" si="11"/>
        <v>1312489474</v>
      </c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</row>
    <row r="30" spans="1:157" ht="20.100000000000001" customHeight="1">
      <c r="A30" s="194"/>
      <c r="B30" s="130" t="s">
        <v>726</v>
      </c>
      <c r="C30" s="128">
        <v>1290749</v>
      </c>
      <c r="D30" s="128">
        <v>1430974</v>
      </c>
      <c r="E30" s="128">
        <v>1631074</v>
      </c>
      <c r="F30" s="128">
        <v>1470762</v>
      </c>
      <c r="G30" s="128">
        <v>1719428</v>
      </c>
      <c r="H30" s="128">
        <v>1949352</v>
      </c>
      <c r="I30" s="128">
        <v>1863832</v>
      </c>
      <c r="J30" s="128">
        <v>2076805</v>
      </c>
      <c r="K30" s="128">
        <v>2208794</v>
      </c>
      <c r="L30" s="128">
        <v>2569133</v>
      </c>
      <c r="M30" s="128">
        <v>2616614</v>
      </c>
      <c r="N30" s="39">
        <f t="shared" si="0"/>
        <v>2853534</v>
      </c>
      <c r="O30" s="39">
        <f t="shared" si="1"/>
        <v>3137965</v>
      </c>
      <c r="P30" s="39">
        <f t="shared" si="2"/>
        <v>2997367</v>
      </c>
      <c r="Q30" s="39">
        <f t="shared" si="3"/>
        <v>2872469</v>
      </c>
      <c r="R30" s="39">
        <f t="shared" si="4"/>
        <v>3326884</v>
      </c>
      <c r="S30" s="39">
        <f t="shared" si="5"/>
        <v>3284292</v>
      </c>
      <c r="T30" s="39">
        <f t="shared" si="6"/>
        <v>3208780</v>
      </c>
      <c r="U30" s="39">
        <f t="shared" si="7"/>
        <v>3246253</v>
      </c>
      <c r="V30" s="39">
        <f t="shared" si="8"/>
        <v>3410742</v>
      </c>
      <c r="W30" s="39">
        <f t="shared" si="9"/>
        <v>3518772</v>
      </c>
      <c r="X30" s="39">
        <f t="shared" si="10"/>
        <v>3780908</v>
      </c>
      <c r="Y30" s="39">
        <f t="shared" si="11"/>
        <v>4031514</v>
      </c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</row>
    <row r="31" spans="1:157" ht="20.100000000000001" customHeight="1">
      <c r="A31" s="191" t="s">
        <v>728</v>
      </c>
      <c r="B31" s="130" t="s">
        <v>729</v>
      </c>
      <c r="C31" s="38">
        <f>SUM(C26,C29)</f>
        <v>533535414</v>
      </c>
      <c r="D31" s="38">
        <f t="shared" ref="D31:Y31" si="12">SUM(D26,D29)</f>
        <v>582067798</v>
      </c>
      <c r="E31" s="38">
        <f t="shared" si="12"/>
        <v>632076091</v>
      </c>
      <c r="F31" s="38">
        <f t="shared" si="12"/>
        <v>589930794</v>
      </c>
      <c r="G31" s="38">
        <f t="shared" si="12"/>
        <v>655876090</v>
      </c>
      <c r="H31" s="38">
        <f t="shared" si="12"/>
        <v>704066789</v>
      </c>
      <c r="I31" s="38">
        <f t="shared" si="12"/>
        <v>751454398</v>
      </c>
      <c r="J31" s="38">
        <f t="shared" si="12"/>
        <v>777251257</v>
      </c>
      <c r="K31" s="38">
        <f t="shared" si="12"/>
        <v>812934842</v>
      </c>
      <c r="L31" s="38">
        <f t="shared" si="12"/>
        <v>849012920</v>
      </c>
      <c r="M31" s="38">
        <f t="shared" si="12"/>
        <v>874346287</v>
      </c>
      <c r="N31" s="38">
        <f t="shared" si="12"/>
        <v>927634380</v>
      </c>
      <c r="O31" s="38">
        <f t="shared" si="12"/>
        <v>982602677</v>
      </c>
      <c r="P31" s="38">
        <f t="shared" si="12"/>
        <v>1019900636</v>
      </c>
      <c r="Q31" s="38">
        <f t="shared" si="12"/>
        <v>968330554</v>
      </c>
      <c r="R31" s="38">
        <f t="shared" si="12"/>
        <v>1085214922</v>
      </c>
      <c r="S31" s="38">
        <f t="shared" si="12"/>
        <v>1161014340</v>
      </c>
      <c r="T31" s="38">
        <f t="shared" si="12"/>
        <v>1227595577</v>
      </c>
      <c r="U31" s="38">
        <f t="shared" si="12"/>
        <v>1241065165</v>
      </c>
      <c r="V31" s="38">
        <f t="shared" si="12"/>
        <v>1302561282</v>
      </c>
      <c r="W31" s="38">
        <f t="shared" si="12"/>
        <v>1345392956</v>
      </c>
      <c r="X31" s="38">
        <f t="shared" si="12"/>
        <v>1385824409</v>
      </c>
      <c r="Y31" s="38">
        <f t="shared" si="12"/>
        <v>1455076781</v>
      </c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</row>
    <row r="32" spans="1:157" ht="20.100000000000001" customHeight="1">
      <c r="A32" s="191"/>
      <c r="B32" s="130" t="s">
        <v>730</v>
      </c>
      <c r="C32" s="38">
        <f>SUM(C27,C30)</f>
        <v>1613469</v>
      </c>
      <c r="D32" s="38">
        <f t="shared" ref="D32:Y32" si="13">SUM(D27,D30)</f>
        <v>1782337</v>
      </c>
      <c r="E32" s="38">
        <f t="shared" si="13"/>
        <v>2018393</v>
      </c>
      <c r="F32" s="38">
        <f t="shared" si="13"/>
        <v>1834309</v>
      </c>
      <c r="G32" s="38">
        <f t="shared" si="13"/>
        <v>2112703</v>
      </c>
      <c r="H32" s="38">
        <f t="shared" si="13"/>
        <v>2383580</v>
      </c>
      <c r="I32" s="38">
        <f t="shared" si="13"/>
        <v>2294864</v>
      </c>
      <c r="J32" s="38">
        <f t="shared" si="13"/>
        <v>2509507</v>
      </c>
      <c r="K32" s="38">
        <f t="shared" si="13"/>
        <v>2631359</v>
      </c>
      <c r="L32" s="38">
        <f t="shared" si="13"/>
        <v>2978117</v>
      </c>
      <c r="M32" s="38">
        <f t="shared" si="13"/>
        <v>2988999</v>
      </c>
      <c r="N32" s="38">
        <f t="shared" si="13"/>
        <v>3208783</v>
      </c>
      <c r="O32" s="38">
        <f t="shared" si="13"/>
        <v>3454363</v>
      </c>
      <c r="P32" s="38">
        <f t="shared" si="13"/>
        <v>3251606</v>
      </c>
      <c r="Q32" s="38">
        <f t="shared" si="13"/>
        <v>3141146</v>
      </c>
      <c r="R32" s="38">
        <f t="shared" si="13"/>
        <v>3588743</v>
      </c>
      <c r="S32" s="38">
        <f t="shared" si="13"/>
        <v>3558010</v>
      </c>
      <c r="T32" s="38">
        <f t="shared" si="13"/>
        <v>3474057</v>
      </c>
      <c r="U32" s="38">
        <f t="shared" si="13"/>
        <v>3498940</v>
      </c>
      <c r="V32" s="38">
        <f t="shared" si="13"/>
        <v>3693861</v>
      </c>
      <c r="W32" s="38">
        <f t="shared" si="13"/>
        <v>3806554</v>
      </c>
      <c r="X32" s="38">
        <f t="shared" si="13"/>
        <v>4073792</v>
      </c>
      <c r="Y32" s="38">
        <f t="shared" si="13"/>
        <v>4321641</v>
      </c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  <c r="DC32" s="38"/>
      <c r="DD32" s="38"/>
      <c r="DE32" s="38"/>
      <c r="DF32" s="38"/>
      <c r="DG32" s="38"/>
      <c r="DH32" s="38"/>
      <c r="DI32" s="38"/>
      <c r="DJ32" s="38"/>
      <c r="DK32" s="38"/>
      <c r="DL32" s="38"/>
      <c r="DM32" s="38"/>
      <c r="DN32" s="38"/>
      <c r="DO32" s="38"/>
      <c r="DP32" s="38"/>
      <c r="DQ32" s="38"/>
      <c r="DR32" s="38"/>
      <c r="DS32" s="38"/>
      <c r="DT32" s="38"/>
      <c r="DU32" s="38"/>
      <c r="DV32" s="38"/>
      <c r="DW32" s="38"/>
      <c r="DX32" s="38"/>
      <c r="DY32" s="38"/>
      <c r="DZ32" s="38"/>
      <c r="EA32" s="38"/>
      <c r="EB32" s="38"/>
      <c r="EC32" s="38"/>
      <c r="ED32" s="38"/>
      <c r="EE32" s="38"/>
      <c r="EF32" s="38"/>
      <c r="EG32" s="38"/>
      <c r="EH32" s="38"/>
      <c r="EI32" s="38"/>
      <c r="EJ32" s="38"/>
      <c r="EK32" s="38"/>
      <c r="EL32" s="38"/>
      <c r="EM32" s="38"/>
      <c r="EN32" s="38"/>
      <c r="EO32" s="38"/>
      <c r="EP32" s="38"/>
      <c r="EQ32" s="38"/>
      <c r="ER32" s="38"/>
      <c r="ES32" s="38"/>
      <c r="ET32" s="38"/>
      <c r="EU32" s="38"/>
      <c r="EV32" s="38"/>
      <c r="EW32" s="38"/>
      <c r="EX32" s="38"/>
      <c r="EY32" s="38"/>
      <c r="EZ32" s="38"/>
      <c r="FA32" s="38"/>
    </row>
    <row r="33" spans="1:21">
      <c r="J33" s="25" t="s">
        <v>731</v>
      </c>
      <c r="K33" s="25" t="s">
        <v>732</v>
      </c>
    </row>
    <row r="34" spans="1:21">
      <c r="A34" s="32" t="s">
        <v>552</v>
      </c>
      <c r="B34" s="195" t="s">
        <v>733</v>
      </c>
      <c r="C34" s="195"/>
      <c r="D34" s="195" t="s">
        <v>734</v>
      </c>
      <c r="E34" s="195"/>
      <c r="F34" s="195" t="s">
        <v>728</v>
      </c>
      <c r="G34" s="195"/>
      <c r="I34" s="32" t="s">
        <v>553</v>
      </c>
      <c r="J34" s="196" t="s">
        <v>733</v>
      </c>
      <c r="K34" s="196"/>
      <c r="L34" s="195" t="s">
        <v>734</v>
      </c>
      <c r="M34" s="195"/>
      <c r="N34" s="195" t="s">
        <v>728</v>
      </c>
      <c r="O34" s="195"/>
      <c r="P34" s="25"/>
      <c r="Q34" s="25"/>
      <c r="T34" s="25"/>
      <c r="U34" s="25"/>
    </row>
    <row r="35" spans="1:21">
      <c r="A35" s="37" t="s">
        <v>735</v>
      </c>
      <c r="B35" s="25" t="s">
        <v>736</v>
      </c>
      <c r="C35" s="25" t="s">
        <v>737</v>
      </c>
      <c r="D35" s="25" t="s">
        <v>736</v>
      </c>
      <c r="E35" s="25" t="s">
        <v>737</v>
      </c>
      <c r="F35" s="25" t="s">
        <v>736</v>
      </c>
      <c r="G35" s="25" t="s">
        <v>737</v>
      </c>
      <c r="I35" s="37" t="s">
        <v>735</v>
      </c>
      <c r="J35" s="37" t="s">
        <v>738</v>
      </c>
      <c r="K35" s="37" t="s">
        <v>739</v>
      </c>
      <c r="L35" s="37" t="s">
        <v>738</v>
      </c>
      <c r="M35" s="37" t="s">
        <v>739</v>
      </c>
      <c r="N35" s="37" t="s">
        <v>738</v>
      </c>
      <c r="O35" s="37" t="s">
        <v>739</v>
      </c>
      <c r="P35" s="37" t="s">
        <v>740</v>
      </c>
    </row>
    <row r="36" spans="1:21">
      <c r="A36" s="4">
        <v>1990</v>
      </c>
      <c r="B36" s="30">
        <v>8260</v>
      </c>
      <c r="C36" s="30">
        <v>520</v>
      </c>
      <c r="D36" s="30">
        <v>236</v>
      </c>
      <c r="E36" s="30">
        <v>84</v>
      </c>
      <c r="F36" s="30">
        <f>SUM(B36,D36)</f>
        <v>8496</v>
      </c>
      <c r="G36" s="30">
        <f>SUM(C36,E36)</f>
        <v>604</v>
      </c>
      <c r="I36" s="4">
        <v>1990</v>
      </c>
      <c r="J36" s="30">
        <v>63914</v>
      </c>
      <c r="K36" s="30">
        <v>21127</v>
      </c>
      <c r="L36" s="30">
        <v>219781</v>
      </c>
      <c r="M36" s="30">
        <v>1833650</v>
      </c>
      <c r="N36" s="30">
        <f>SUM(J36,L36)</f>
        <v>283695</v>
      </c>
      <c r="O36" s="30">
        <f>SUM(K36,M36)</f>
        <v>1854777</v>
      </c>
      <c r="P36" s="31">
        <f t="shared" ref="P36:P46" si="14">M36/L36</f>
        <v>8.3430778820735192</v>
      </c>
    </row>
    <row r="37" spans="1:21">
      <c r="A37" s="4">
        <v>1991</v>
      </c>
      <c r="B37" s="30">
        <v>8485</v>
      </c>
      <c r="C37" s="30">
        <v>524</v>
      </c>
      <c r="D37" s="30">
        <v>335</v>
      </c>
      <c r="E37" s="30">
        <v>113</v>
      </c>
      <c r="F37" s="30">
        <f t="shared" ref="F37:F65" si="15">SUM(B37,D37)</f>
        <v>8820</v>
      </c>
      <c r="G37" s="30">
        <f t="shared" ref="G37:G65" si="16">SUM(C37,E37)</f>
        <v>637</v>
      </c>
      <c r="I37" s="4">
        <v>1991</v>
      </c>
      <c r="J37" s="30">
        <v>76124</v>
      </c>
      <c r="K37" s="30">
        <v>24737</v>
      </c>
      <c r="L37" s="30">
        <v>262972</v>
      </c>
      <c r="M37" s="30">
        <v>2168582</v>
      </c>
      <c r="N37" s="30">
        <f t="shared" ref="N37:N62" si="17">SUM(J37,L37)</f>
        <v>339096</v>
      </c>
      <c r="O37" s="30">
        <f t="shared" ref="O37:O62" si="18">SUM(K37,M37)</f>
        <v>2193319</v>
      </c>
      <c r="P37" s="31">
        <f t="shared" si="14"/>
        <v>8.2464368830141606</v>
      </c>
    </row>
    <row r="38" spans="1:21">
      <c r="A38" s="4">
        <v>1992</v>
      </c>
      <c r="B38" s="30">
        <v>8733</v>
      </c>
      <c r="C38" s="30">
        <v>525</v>
      </c>
      <c r="D38" s="30">
        <v>338</v>
      </c>
      <c r="E38" s="30">
        <v>130</v>
      </c>
      <c r="F38" s="30">
        <f t="shared" si="15"/>
        <v>9071</v>
      </c>
      <c r="G38" s="30">
        <f t="shared" si="16"/>
        <v>655</v>
      </c>
      <c r="I38" s="4">
        <v>1992</v>
      </c>
      <c r="J38" s="30">
        <v>85589</v>
      </c>
      <c r="K38" s="30">
        <v>36008</v>
      </c>
      <c r="L38" s="30">
        <v>285573</v>
      </c>
      <c r="M38" s="30">
        <v>2457145</v>
      </c>
      <c r="N38" s="30">
        <f t="shared" si="17"/>
        <v>371162</v>
      </c>
      <c r="O38" s="30">
        <f t="shared" si="18"/>
        <v>2493153</v>
      </c>
      <c r="P38" s="31">
        <f t="shared" si="14"/>
        <v>8.6042623077111635</v>
      </c>
    </row>
    <row r="39" spans="1:21">
      <c r="A39" s="4">
        <v>1993</v>
      </c>
      <c r="B39" s="30">
        <v>7990</v>
      </c>
      <c r="C39" s="30">
        <v>468</v>
      </c>
      <c r="D39" s="30">
        <v>296</v>
      </c>
      <c r="E39" s="30">
        <v>112</v>
      </c>
      <c r="F39" s="30">
        <f t="shared" si="15"/>
        <v>8286</v>
      </c>
      <c r="G39" s="30">
        <f t="shared" si="16"/>
        <v>580</v>
      </c>
      <c r="I39" s="4">
        <v>1993</v>
      </c>
      <c r="J39" s="30">
        <v>96196</v>
      </c>
      <c r="K39" s="30">
        <v>38765</v>
      </c>
      <c r="L39" s="30">
        <v>316872</v>
      </c>
      <c r="M39" s="30">
        <v>2768396</v>
      </c>
      <c r="N39" s="30">
        <f t="shared" si="17"/>
        <v>413068</v>
      </c>
      <c r="O39" s="30">
        <f t="shared" si="18"/>
        <v>2807161</v>
      </c>
      <c r="P39" s="31">
        <f t="shared" si="14"/>
        <v>8.736638137796966</v>
      </c>
    </row>
    <row r="40" spans="1:21">
      <c r="A40" s="4">
        <v>1994</v>
      </c>
      <c r="B40" s="30">
        <v>7869</v>
      </c>
      <c r="C40" s="30">
        <v>436</v>
      </c>
      <c r="D40" s="30">
        <v>411</v>
      </c>
      <c r="E40" s="30">
        <v>163</v>
      </c>
      <c r="F40" s="30">
        <f t="shared" si="15"/>
        <v>8280</v>
      </c>
      <c r="G40" s="30">
        <f t="shared" si="16"/>
        <v>599</v>
      </c>
      <c r="I40" s="4">
        <v>1994</v>
      </c>
      <c r="J40" s="30">
        <v>117694</v>
      </c>
      <c r="K40" s="30">
        <v>34935</v>
      </c>
      <c r="L40" s="30">
        <v>353428</v>
      </c>
      <c r="M40" s="30">
        <v>2881696</v>
      </c>
      <c r="N40" s="30">
        <f t="shared" si="17"/>
        <v>471122</v>
      </c>
      <c r="O40" s="30">
        <f t="shared" si="18"/>
        <v>2916631</v>
      </c>
      <c r="P40" s="31">
        <f t="shared" si="14"/>
        <v>8.1535588578154528</v>
      </c>
    </row>
    <row r="41" spans="1:21">
      <c r="A41" s="4">
        <v>1995</v>
      </c>
      <c r="B41" s="30">
        <v>8702</v>
      </c>
      <c r="C41" s="30">
        <v>502</v>
      </c>
      <c r="D41" s="30">
        <v>395</v>
      </c>
      <c r="E41" s="30">
        <v>136</v>
      </c>
      <c r="F41" s="30">
        <f t="shared" si="15"/>
        <v>9097</v>
      </c>
      <c r="G41" s="30">
        <f t="shared" si="16"/>
        <v>638</v>
      </c>
      <c r="I41" s="4">
        <v>1995</v>
      </c>
      <c r="J41" s="30">
        <v>129112</v>
      </c>
      <c r="K41" s="30">
        <v>43936</v>
      </c>
      <c r="L41" s="30">
        <v>404424</v>
      </c>
      <c r="M41" s="30">
        <v>3263717</v>
      </c>
      <c r="N41" s="30">
        <f t="shared" si="17"/>
        <v>533536</v>
      </c>
      <c r="O41" s="30">
        <f t="shared" si="18"/>
        <v>3307653</v>
      </c>
      <c r="P41" s="31">
        <f t="shared" si="14"/>
        <v>8.0700378810357449</v>
      </c>
    </row>
    <row r="42" spans="1:21">
      <c r="A42" s="4">
        <v>1996</v>
      </c>
      <c r="B42" s="30">
        <v>9413</v>
      </c>
      <c r="C42" s="30">
        <v>547</v>
      </c>
      <c r="D42" s="30">
        <v>523</v>
      </c>
      <c r="E42" s="30">
        <v>198</v>
      </c>
      <c r="F42" s="30">
        <f t="shared" si="15"/>
        <v>9936</v>
      </c>
      <c r="G42" s="30">
        <f t="shared" si="16"/>
        <v>745</v>
      </c>
      <c r="I42" s="4">
        <v>1996</v>
      </c>
      <c r="J42" s="30">
        <v>140948</v>
      </c>
      <c r="K42" s="30">
        <v>46452</v>
      </c>
      <c r="L42" s="30">
        <v>441120</v>
      </c>
      <c r="M42" s="30">
        <v>3575745</v>
      </c>
      <c r="N42" s="30">
        <f t="shared" si="17"/>
        <v>582068</v>
      </c>
      <c r="O42" s="30">
        <f t="shared" si="18"/>
        <v>3622197</v>
      </c>
      <c r="P42" s="31">
        <f t="shared" si="14"/>
        <v>8.1060595756256806</v>
      </c>
    </row>
    <row r="43" spans="1:21">
      <c r="A43" s="4">
        <v>1997</v>
      </c>
      <c r="B43" s="30">
        <v>9899</v>
      </c>
      <c r="C43" s="30">
        <v>571</v>
      </c>
      <c r="D43" s="30">
        <v>564</v>
      </c>
      <c r="E43" s="30">
        <v>214</v>
      </c>
      <c r="F43" s="30">
        <f t="shared" si="15"/>
        <v>10463</v>
      </c>
      <c r="G43" s="30">
        <f t="shared" si="16"/>
        <v>785</v>
      </c>
      <c r="I43" s="4">
        <v>1997</v>
      </c>
      <c r="J43" s="30">
        <v>147046</v>
      </c>
      <c r="K43" s="30">
        <v>45299</v>
      </c>
      <c r="L43" s="30">
        <v>485030</v>
      </c>
      <c r="M43" s="30">
        <v>4170203</v>
      </c>
      <c r="N43" s="30">
        <f t="shared" si="17"/>
        <v>632076</v>
      </c>
      <c r="O43" s="30">
        <f t="shared" si="18"/>
        <v>4215502</v>
      </c>
      <c r="P43" s="31">
        <f t="shared" si="14"/>
        <v>8.5978248768117442</v>
      </c>
    </row>
    <row r="44" spans="1:21">
      <c r="A44" s="4">
        <v>1998</v>
      </c>
      <c r="B44" s="30">
        <v>8277</v>
      </c>
      <c r="C44" s="30">
        <v>434</v>
      </c>
      <c r="D44" s="30">
        <v>538</v>
      </c>
      <c r="E44" s="30">
        <v>200</v>
      </c>
      <c r="F44" s="30">
        <f t="shared" si="15"/>
        <v>8815</v>
      </c>
      <c r="G44" s="30">
        <f t="shared" si="16"/>
        <v>634</v>
      </c>
      <c r="I44" s="4">
        <v>1998</v>
      </c>
      <c r="J44" s="30">
        <v>115179</v>
      </c>
      <c r="K44" s="30">
        <v>33462</v>
      </c>
      <c r="L44" s="30">
        <v>474752</v>
      </c>
      <c r="M44" s="30">
        <v>4215379</v>
      </c>
      <c r="N44" s="30">
        <f t="shared" si="17"/>
        <v>589931</v>
      </c>
      <c r="O44" s="30">
        <f t="shared" si="18"/>
        <v>4248841</v>
      </c>
      <c r="P44" s="31">
        <f t="shared" si="14"/>
        <v>8.8791179394715556</v>
      </c>
    </row>
    <row r="45" spans="1:21">
      <c r="A45" s="4">
        <v>1999</v>
      </c>
      <c r="B45" s="30">
        <v>9052</v>
      </c>
      <c r="C45" s="30">
        <v>543</v>
      </c>
      <c r="D45" s="30">
        <v>805</v>
      </c>
      <c r="E45" s="30">
        <v>299</v>
      </c>
      <c r="F45" s="30">
        <f t="shared" si="15"/>
        <v>9857</v>
      </c>
      <c r="G45" s="30">
        <f t="shared" si="16"/>
        <v>842</v>
      </c>
      <c r="I45" s="4">
        <v>1999</v>
      </c>
      <c r="J45" s="30">
        <v>123693</v>
      </c>
      <c r="K45" s="30">
        <v>33699</v>
      </c>
      <c r="L45" s="30">
        <v>532183</v>
      </c>
      <c r="M45" s="30">
        <v>4670305</v>
      </c>
      <c r="N45" s="30">
        <f t="shared" si="17"/>
        <v>655876</v>
      </c>
      <c r="O45" s="30">
        <f t="shared" si="18"/>
        <v>4704004</v>
      </c>
      <c r="P45" s="31">
        <f t="shared" si="14"/>
        <v>8.7757500709342455</v>
      </c>
    </row>
    <row r="46" spans="1:21">
      <c r="A46" s="4">
        <v>2000</v>
      </c>
      <c r="B46" s="30">
        <v>9702</v>
      </c>
      <c r="C46" s="30">
        <v>672</v>
      </c>
      <c r="D46" s="30">
        <v>999</v>
      </c>
      <c r="E46" s="30">
        <v>398</v>
      </c>
      <c r="F46" s="30">
        <f t="shared" si="15"/>
        <v>10701</v>
      </c>
      <c r="G46" s="30">
        <f t="shared" si="16"/>
        <v>1070</v>
      </c>
      <c r="I46" s="4">
        <v>2000</v>
      </c>
      <c r="J46" s="30">
        <v>131987</v>
      </c>
      <c r="K46" s="30">
        <v>38298</v>
      </c>
      <c r="L46" s="30">
        <v>569599</v>
      </c>
      <c r="M46" s="30">
        <v>4362779</v>
      </c>
      <c r="N46" s="30">
        <f t="shared" si="17"/>
        <v>701586</v>
      </c>
      <c r="O46" s="30">
        <f t="shared" si="18"/>
        <v>4401077</v>
      </c>
      <c r="P46" s="31">
        <f t="shared" si="14"/>
        <v>7.6593866913389945</v>
      </c>
    </row>
    <row r="47" spans="1:21">
      <c r="A47" s="4">
        <v>2001</v>
      </c>
      <c r="B47" s="30">
        <v>9340</v>
      </c>
      <c r="C47" s="30">
        <v>555</v>
      </c>
      <c r="D47" s="30">
        <v>1075</v>
      </c>
      <c r="E47" s="30">
        <v>401</v>
      </c>
      <c r="F47" s="30">
        <f t="shared" si="15"/>
        <v>10415</v>
      </c>
      <c r="G47" s="30">
        <f t="shared" si="16"/>
        <v>956</v>
      </c>
      <c r="I47" s="4">
        <v>2001</v>
      </c>
      <c r="J47" s="30">
        <v>140544</v>
      </c>
      <c r="K47" s="30">
        <v>36443</v>
      </c>
      <c r="L47" s="30">
        <f>INDEX($C$29:$Y$29,MATCH('BAADTbVT_Ships-Cal psgr CAGR'!I47,'BAADTbVT_Ships-Cal psgr CAGR'!$C$22:$Y$22,0))/1000</f>
        <v>610910.071</v>
      </c>
      <c r="M47" s="33">
        <f t="shared" ref="M47:M65" si="19">L47*P47</f>
        <v>5717844.0674915109</v>
      </c>
      <c r="N47" s="30">
        <f t="shared" si="17"/>
        <v>751454.071</v>
      </c>
      <c r="O47" s="33">
        <f t="shared" si="18"/>
        <v>5754287.0674915109</v>
      </c>
      <c r="P47" s="34">
        <f t="shared" ref="P47:P65" si="20">TREND($P$41:$P$45,$I$41:$I$45,I47)</f>
        <v>9.3595511662329614</v>
      </c>
    </row>
    <row r="48" spans="1:21">
      <c r="A48" s="4">
        <v>2002</v>
      </c>
      <c r="B48" s="30">
        <v>9460</v>
      </c>
      <c r="C48" s="30">
        <v>565</v>
      </c>
      <c r="D48" s="30">
        <v>1253</v>
      </c>
      <c r="E48" s="30">
        <v>459</v>
      </c>
      <c r="F48" s="30">
        <f t="shared" si="15"/>
        <v>10713</v>
      </c>
      <c r="G48" s="30">
        <f t="shared" si="16"/>
        <v>1024</v>
      </c>
      <c r="I48" s="4">
        <v>2002</v>
      </c>
      <c r="J48" s="30">
        <v>141706</v>
      </c>
      <c r="K48" s="30">
        <v>38171</v>
      </c>
      <c r="L48" s="30">
        <f>INDEX($C$29:$Y$29,MATCH('BAADTbVT_Ships-Cal psgr CAGR'!I48,'BAADTbVT_Ships-Cal psgr CAGR'!$C$22:$Y$22,0))/1000</f>
        <v>635545.272</v>
      </c>
      <c r="M48" s="33">
        <f t="shared" si="19"/>
        <v>6087252.2596902195</v>
      </c>
      <c r="N48" s="30">
        <f t="shared" si="17"/>
        <v>777251.272</v>
      </c>
      <c r="O48" s="33">
        <f t="shared" si="18"/>
        <v>6125423.2596902195</v>
      </c>
      <c r="P48" s="34">
        <f t="shared" si="20"/>
        <v>9.5779994405972388</v>
      </c>
    </row>
    <row r="49" spans="1:16">
      <c r="A49" s="4">
        <v>2003</v>
      </c>
      <c r="B49" s="30">
        <v>10336</v>
      </c>
      <c r="C49" s="30">
        <v>620</v>
      </c>
      <c r="D49" s="30">
        <v>1380</v>
      </c>
      <c r="E49" s="30">
        <v>535</v>
      </c>
      <c r="F49" s="30">
        <f t="shared" si="15"/>
        <v>11716</v>
      </c>
      <c r="G49" s="30">
        <f t="shared" si="16"/>
        <v>1155</v>
      </c>
      <c r="I49" s="4">
        <v>2003</v>
      </c>
      <c r="J49" s="30">
        <v>145327</v>
      </c>
      <c r="K49" s="30">
        <v>33884</v>
      </c>
      <c r="L49" s="30">
        <f>INDEX($C$29:$Y$29,MATCH('BAADTbVT_Ships-Cal psgr CAGR'!I49,'BAADTbVT_Ships-Cal psgr CAGR'!$C$22:$Y$22,0))/1000</f>
        <v>667608.03300000005</v>
      </c>
      <c r="M49" s="33">
        <f t="shared" si="19"/>
        <v>6540187.1893728031</v>
      </c>
      <c r="N49" s="30">
        <f t="shared" si="17"/>
        <v>812935.03300000005</v>
      </c>
      <c r="O49" s="33">
        <f t="shared" si="18"/>
        <v>6574071.1893728031</v>
      </c>
      <c r="P49" s="34">
        <f t="shared" si="20"/>
        <v>9.7964477149615163</v>
      </c>
    </row>
    <row r="50" spans="1:16">
      <c r="A50" s="4">
        <v>2004</v>
      </c>
      <c r="B50" s="30">
        <v>10648</v>
      </c>
      <c r="C50" s="30">
        <v>657</v>
      </c>
      <c r="D50" s="30">
        <v>1822</v>
      </c>
      <c r="E50" s="30">
        <v>714</v>
      </c>
      <c r="F50" s="30">
        <f t="shared" si="15"/>
        <v>12470</v>
      </c>
      <c r="G50" s="30">
        <f t="shared" si="16"/>
        <v>1371</v>
      </c>
      <c r="I50" s="4">
        <v>2004</v>
      </c>
      <c r="J50" s="30">
        <v>115636</v>
      </c>
      <c r="K50" s="30">
        <v>25840</v>
      </c>
      <c r="L50" s="30">
        <f>INDEX($C$29:$Y$29,MATCH('BAADTbVT_Ships-Cal psgr CAGR'!I50,'BAADTbVT_Ships-Cal psgr CAGR'!$C$22:$Y$22,0))/1000</f>
        <v>733377.11399999994</v>
      </c>
      <c r="M50" s="33">
        <f t="shared" si="19"/>
        <v>7344695.5176619245</v>
      </c>
      <c r="N50" s="30">
        <f t="shared" si="17"/>
        <v>849013.11399999994</v>
      </c>
      <c r="O50" s="33">
        <f t="shared" si="18"/>
        <v>7370535.5176619245</v>
      </c>
      <c r="P50" s="34">
        <f t="shared" si="20"/>
        <v>10.014895989325794</v>
      </c>
    </row>
    <row r="51" spans="1:16">
      <c r="A51" s="4">
        <v>2005</v>
      </c>
      <c r="B51" s="30">
        <v>11100</v>
      </c>
      <c r="C51" s="30">
        <v>668</v>
      </c>
      <c r="D51" s="30">
        <v>2105</v>
      </c>
      <c r="E51" s="30">
        <v>857</v>
      </c>
      <c r="F51" s="30">
        <f t="shared" si="15"/>
        <v>13205</v>
      </c>
      <c r="G51" s="30">
        <f t="shared" si="16"/>
        <v>1525</v>
      </c>
      <c r="I51" s="4">
        <v>2005</v>
      </c>
      <c r="J51" s="30">
        <v>119410</v>
      </c>
      <c r="K51" s="30">
        <v>26590</v>
      </c>
      <c r="L51" s="30">
        <f>INDEX($C$29:$Y$29,MATCH('BAADTbVT_Ships-Cal psgr CAGR'!I51,'BAADTbVT_Ships-Cal psgr CAGR'!$C$22:$Y$22,0))/1000</f>
        <v>754936.40899999999</v>
      </c>
      <c r="M51" s="33">
        <f t="shared" si="19"/>
        <v>7725524.1704909317</v>
      </c>
      <c r="N51" s="30">
        <f t="shared" si="17"/>
        <v>874346.40899999999</v>
      </c>
      <c r="O51" s="33">
        <f t="shared" si="18"/>
        <v>7752114.1704909317</v>
      </c>
      <c r="P51" s="34">
        <f t="shared" si="20"/>
        <v>10.233344263690071</v>
      </c>
    </row>
    <row r="52" spans="1:16">
      <c r="A52" s="4">
        <v>2006</v>
      </c>
      <c r="B52" s="30">
        <v>11574</v>
      </c>
      <c r="C52" s="30">
        <v>709</v>
      </c>
      <c r="D52" s="30">
        <v>2385</v>
      </c>
      <c r="E52" s="30">
        <v>993</v>
      </c>
      <c r="F52" s="30">
        <f t="shared" si="15"/>
        <v>13959</v>
      </c>
      <c r="G52" s="30">
        <f t="shared" si="16"/>
        <v>1702</v>
      </c>
      <c r="I52" s="4">
        <v>2006</v>
      </c>
      <c r="J52" s="30">
        <v>117805</v>
      </c>
      <c r="K52" s="30">
        <v>26478</v>
      </c>
      <c r="L52" s="30">
        <f>INDEX($C$29:$Y$29,MATCH('BAADTbVT_Ships-Cal psgr CAGR'!I52,'BAADTbVT_Ships-Cal psgr CAGR'!$C$22:$Y$22,0))/1000</f>
        <v>809829.60400000005</v>
      </c>
      <c r="M52" s="33">
        <f t="shared" si="19"/>
        <v>8464171.0121827554</v>
      </c>
      <c r="N52" s="30">
        <f t="shared" si="17"/>
        <v>927634.60400000005</v>
      </c>
      <c r="O52" s="33">
        <f t="shared" si="18"/>
        <v>8490649.0121827554</v>
      </c>
      <c r="P52" s="34">
        <f t="shared" si="20"/>
        <v>10.451792538054406</v>
      </c>
    </row>
    <row r="53" spans="1:16">
      <c r="A53" s="4">
        <v>2007</v>
      </c>
      <c r="B53" s="30">
        <v>12634</v>
      </c>
      <c r="C53" s="30">
        <v>765</v>
      </c>
      <c r="D53" s="30">
        <v>2550</v>
      </c>
      <c r="E53" s="30">
        <v>1019</v>
      </c>
      <c r="F53" s="30">
        <f t="shared" si="15"/>
        <v>15184</v>
      </c>
      <c r="G53" s="30">
        <f t="shared" si="16"/>
        <v>1784</v>
      </c>
      <c r="I53" s="4">
        <v>2007</v>
      </c>
      <c r="J53" s="30">
        <v>120079</v>
      </c>
      <c r="K53" s="30">
        <v>27998</v>
      </c>
      <c r="L53" s="30">
        <f>INDEX($C$29:$Y$29,MATCH('BAADTbVT_Ships-Cal psgr CAGR'!I53,'BAADTbVT_Ships-Cal psgr CAGR'!$C$22:$Y$22,0))/1000</f>
        <v>862523.478</v>
      </c>
      <c r="M53" s="33">
        <f t="shared" si="19"/>
        <v>9203333.2166249081</v>
      </c>
      <c r="N53" s="30">
        <f t="shared" si="17"/>
        <v>982602.478</v>
      </c>
      <c r="O53" s="33">
        <f t="shared" si="18"/>
        <v>9231331.2166249081</v>
      </c>
      <c r="P53" s="34">
        <f t="shared" si="20"/>
        <v>10.670240812418683</v>
      </c>
    </row>
    <row r="54" spans="1:16">
      <c r="A54" s="4">
        <v>2008</v>
      </c>
      <c r="B54" s="30">
        <v>14162</v>
      </c>
      <c r="C54" s="30">
        <v>765</v>
      </c>
      <c r="D54" s="30">
        <v>2534</v>
      </c>
      <c r="E54" s="30">
        <v>1019</v>
      </c>
      <c r="F54" s="30">
        <f t="shared" si="15"/>
        <v>16696</v>
      </c>
      <c r="G54" s="30">
        <f t="shared" si="16"/>
        <v>1784</v>
      </c>
      <c r="I54" s="4">
        <v>2008</v>
      </c>
      <c r="J54" s="30">
        <v>126964</v>
      </c>
      <c r="K54" s="30">
        <v>29590</v>
      </c>
      <c r="L54" s="30">
        <f>INDEX($C$29:$Y$29,MATCH('BAADTbVT_Ships-Cal psgr CAGR'!I54,'BAADTbVT_Ships-Cal psgr CAGR'!$C$22:$Y$22,0))/1000</f>
        <v>892936.38199999998</v>
      </c>
      <c r="M54" s="33">
        <f t="shared" si="19"/>
        <v>9722906.6378748603</v>
      </c>
      <c r="N54" s="30">
        <f t="shared" si="17"/>
        <v>1019900.382</v>
      </c>
      <c r="O54" s="33">
        <f t="shared" si="18"/>
        <v>9752496.6378748603</v>
      </c>
      <c r="P54" s="34">
        <f t="shared" si="20"/>
        <v>10.888689086782961</v>
      </c>
    </row>
    <row r="55" spans="1:16">
      <c r="A55" s="4">
        <v>2009</v>
      </c>
      <c r="B55" s="30">
        <v>14868</v>
      </c>
      <c r="C55" s="30">
        <v>867</v>
      </c>
      <c r="D55" s="30">
        <v>2089</v>
      </c>
      <c r="E55" s="30">
        <v>845</v>
      </c>
      <c r="F55" s="30">
        <f t="shared" si="15"/>
        <v>16957</v>
      </c>
      <c r="G55" s="30">
        <f t="shared" si="16"/>
        <v>1712</v>
      </c>
      <c r="I55" s="4">
        <v>2009</v>
      </c>
      <c r="J55" s="30">
        <v>120032</v>
      </c>
      <c r="K55" s="30">
        <v>25249</v>
      </c>
      <c r="L55" s="30">
        <f>INDEX($C$29:$Y$29,MATCH('BAADTbVT_Ships-Cal psgr CAGR'!I55,'BAADTbVT_Ships-Cal psgr CAGR'!$C$22:$Y$22,0))/1000</f>
        <v>848298.64399999997</v>
      </c>
      <c r="M55" s="33">
        <f t="shared" si="19"/>
        <v>9422169.5621829405</v>
      </c>
      <c r="N55" s="30">
        <f t="shared" si="17"/>
        <v>968330.64399999997</v>
      </c>
      <c r="O55" s="33">
        <f t="shared" si="18"/>
        <v>9447418.5621829405</v>
      </c>
      <c r="P55" s="34">
        <f t="shared" si="20"/>
        <v>11.107137361147238</v>
      </c>
    </row>
    <row r="56" spans="1:16">
      <c r="A56" s="4">
        <v>2010</v>
      </c>
      <c r="B56" s="30">
        <v>14308</v>
      </c>
      <c r="C56" s="30">
        <v>883</v>
      </c>
      <c r="D56" s="30">
        <v>2761</v>
      </c>
      <c r="E56" s="30">
        <v>1104</v>
      </c>
      <c r="F56" s="30">
        <f t="shared" si="15"/>
        <v>17069</v>
      </c>
      <c r="G56" s="30">
        <f t="shared" si="16"/>
        <v>1987</v>
      </c>
      <c r="I56" s="4">
        <v>2010</v>
      </c>
      <c r="J56" s="30">
        <v>124225</v>
      </c>
      <c r="K56" s="30">
        <v>23281</v>
      </c>
      <c r="L56" s="30">
        <f>INDEX($C$29:$Y$29,MATCH('BAADTbVT_Ships-Cal psgr CAGR'!I56,'BAADTbVT_Ships-Cal psgr CAGR'!$C$22:$Y$22,0))/1000</f>
        <v>966193.34199999995</v>
      </c>
      <c r="M56" s="33">
        <f t="shared" si="19"/>
        <v>10942705.435282065</v>
      </c>
      <c r="N56" s="30">
        <f t="shared" si="17"/>
        <v>1090418.3419999999</v>
      </c>
      <c r="O56" s="33">
        <f t="shared" si="18"/>
        <v>10965986.435282065</v>
      </c>
      <c r="P56" s="34">
        <f t="shared" si="20"/>
        <v>11.325585635511516</v>
      </c>
    </row>
    <row r="57" spans="1:16">
      <c r="A57" s="4">
        <v>2011</v>
      </c>
      <c r="B57" s="30">
        <v>14266</v>
      </c>
      <c r="C57" s="30">
        <v>981</v>
      </c>
      <c r="D57" s="30">
        <v>2660</v>
      </c>
      <c r="E57" s="30">
        <v>1188</v>
      </c>
      <c r="F57" s="30">
        <f t="shared" si="15"/>
        <v>16926</v>
      </c>
      <c r="G57" s="30">
        <f t="shared" si="16"/>
        <v>2169</v>
      </c>
      <c r="I57" s="4">
        <v>2011</v>
      </c>
      <c r="J57" s="30">
        <v>125588</v>
      </c>
      <c r="K57" s="30">
        <v>27220</v>
      </c>
      <c r="L57" s="30">
        <f>INDEX($C$29:$Y$29,MATCH('BAADTbVT_Ships-Cal psgr CAGR'!I57,'BAADTbVT_Ships-Cal psgr CAGR'!$C$22:$Y$22,0))/1000</f>
        <v>1047986.198</v>
      </c>
      <c r="M57" s="33">
        <f t="shared" si="19"/>
        <v>12097988.206793807</v>
      </c>
      <c r="N57" s="30">
        <f t="shared" si="17"/>
        <v>1173574.1979999999</v>
      </c>
      <c r="O57" s="33">
        <f t="shared" si="18"/>
        <v>12125208.206793807</v>
      </c>
      <c r="P57" s="34">
        <f t="shared" si="20"/>
        <v>11.544033909875793</v>
      </c>
    </row>
    <row r="58" spans="1:16">
      <c r="A58" s="4">
        <v>2012</v>
      </c>
      <c r="B58" s="30">
        <v>14538</v>
      </c>
      <c r="C58" s="30">
        <v>922</v>
      </c>
      <c r="D58" s="30">
        <v>2881</v>
      </c>
      <c r="E58" s="30">
        <v>1163</v>
      </c>
      <c r="F58" s="30">
        <f t="shared" si="15"/>
        <v>17419</v>
      </c>
      <c r="G58" s="30">
        <f t="shared" si="16"/>
        <v>2085</v>
      </c>
      <c r="I58" s="4">
        <v>2012</v>
      </c>
      <c r="J58" s="30">
        <v>119057</v>
      </c>
      <c r="K58" s="30">
        <v>25804</v>
      </c>
      <c r="L58" s="30">
        <f>INDEX($C$29:$Y$29,MATCH('BAADTbVT_Ships-Cal psgr CAGR'!I58,'BAADTbVT_Ships-Cal psgr CAGR'!$C$22:$Y$22,0))/1000</f>
        <v>1108538.27</v>
      </c>
      <c r="M58" s="33">
        <f t="shared" si="19"/>
        <v>13039161.651423372</v>
      </c>
      <c r="N58" s="30">
        <f t="shared" si="17"/>
        <v>1227595.27</v>
      </c>
      <c r="O58" s="33">
        <f t="shared" si="18"/>
        <v>13064965.651423372</v>
      </c>
      <c r="P58" s="34">
        <f t="shared" si="20"/>
        <v>11.762482184240127</v>
      </c>
    </row>
    <row r="59" spans="1:16">
      <c r="A59" s="4">
        <v>2013</v>
      </c>
      <c r="B59" s="30">
        <v>16063</v>
      </c>
      <c r="C59" s="30">
        <v>1012</v>
      </c>
      <c r="D59" s="30">
        <v>2737</v>
      </c>
      <c r="E59" s="35">
        <f>1088531084/10^6</f>
        <v>1088.531084</v>
      </c>
      <c r="F59" s="30">
        <f t="shared" si="15"/>
        <v>18800</v>
      </c>
      <c r="G59" s="30">
        <f t="shared" si="16"/>
        <v>2100.5310840000002</v>
      </c>
      <c r="I59" s="4">
        <v>2013</v>
      </c>
      <c r="J59" s="30">
        <v>117860</v>
      </c>
      <c r="K59" s="30">
        <v>30476</v>
      </c>
      <c r="L59" s="30">
        <f>INDEX($C$29:$Y$29,MATCH('BAADTbVT_Ships-Cal psgr CAGR'!I59,'BAADTbVT_Ships-Cal psgr CAGR'!$C$22:$Y$22,0))/1000</f>
        <v>1123205.0549999999</v>
      </c>
      <c r="M59" s="33">
        <f t="shared" si="19"/>
        <v>13457041.654707935</v>
      </c>
      <c r="N59" s="30">
        <f t="shared" si="17"/>
        <v>1241065.0549999999</v>
      </c>
      <c r="O59" s="33">
        <f t="shared" si="18"/>
        <v>13487517.654707935</v>
      </c>
      <c r="P59" s="34">
        <f t="shared" si="20"/>
        <v>11.980930458604405</v>
      </c>
    </row>
    <row r="60" spans="1:16">
      <c r="A60" s="4">
        <v>2014</v>
      </c>
      <c r="B60" s="30">
        <v>14271</v>
      </c>
      <c r="C60" s="30">
        <v>756</v>
      </c>
      <c r="D60" s="30">
        <v>2646</v>
      </c>
      <c r="E60" s="35">
        <f>1086021774/10^6</f>
        <v>1086.0217740000001</v>
      </c>
      <c r="F60" s="30">
        <f t="shared" si="15"/>
        <v>16917</v>
      </c>
      <c r="G60" s="30">
        <f t="shared" si="16"/>
        <v>1842.0217740000001</v>
      </c>
      <c r="I60" s="4">
        <v>2014</v>
      </c>
      <c r="J60" s="30">
        <v>117920</v>
      </c>
      <c r="K60" s="30">
        <v>29900</v>
      </c>
      <c r="L60" s="30">
        <f>INDEX($C$29:$Y$29,MATCH('BAADTbVT_Ships-Cal psgr CAGR'!I60,'BAADTbVT_Ships-Cal psgr CAGR'!$C$22:$Y$22,0))/1000</f>
        <v>1184641.1939999999</v>
      </c>
      <c r="M60" s="33">
        <f t="shared" si="19"/>
        <v>14451886.588282226</v>
      </c>
      <c r="N60" s="30">
        <f t="shared" si="17"/>
        <v>1302561.1939999999</v>
      </c>
      <c r="O60" s="33">
        <f t="shared" si="18"/>
        <v>14481786.588282226</v>
      </c>
      <c r="P60" s="34">
        <f t="shared" si="20"/>
        <v>12.199378732968682</v>
      </c>
    </row>
    <row r="61" spans="1:16">
      <c r="A61" s="4">
        <v>2015</v>
      </c>
      <c r="B61" s="30">
        <v>15381</v>
      </c>
      <c r="C61" s="30">
        <v>757</v>
      </c>
      <c r="D61" s="30">
        <v>2617</v>
      </c>
      <c r="E61" s="33">
        <f>TREND($E$56:$E$60,$A$56:$A$60,A61)</f>
        <v>1085.2829612000023</v>
      </c>
      <c r="F61" s="30">
        <f t="shared" si="15"/>
        <v>17998</v>
      </c>
      <c r="G61" s="30">
        <f t="shared" si="16"/>
        <v>1842.2829612000023</v>
      </c>
      <c r="I61" s="4">
        <v>2015</v>
      </c>
      <c r="J61" s="30">
        <v>128611</v>
      </c>
      <c r="K61" s="30">
        <v>31841</v>
      </c>
      <c r="L61" s="30">
        <f>INDEX($C$29:$Y$29,MATCH('BAADTbVT_Ships-Cal psgr CAGR'!I61,'BAADTbVT_Ships-Cal psgr CAGR'!$C$22:$Y$22,0))/1000</f>
        <v>1216781.726</v>
      </c>
      <c r="M61" s="33">
        <f t="shared" si="19"/>
        <v>15109784.979152014</v>
      </c>
      <c r="N61" s="30">
        <f t="shared" si="17"/>
        <v>1345392.726</v>
      </c>
      <c r="O61" s="33">
        <f t="shared" si="18"/>
        <v>15141625.979152014</v>
      </c>
      <c r="P61" s="34">
        <f t="shared" si="20"/>
        <v>12.41782700733296</v>
      </c>
    </row>
    <row r="62" spans="1:16">
      <c r="A62" s="4">
        <v>2016</v>
      </c>
      <c r="B62" s="30">
        <v>15423</v>
      </c>
      <c r="C62" s="30">
        <v>839</v>
      </c>
      <c r="D62" s="30">
        <v>2777</v>
      </c>
      <c r="E62" s="33">
        <f>TREND($E$56:$E$60,$A$56:$A$60,A62)</f>
        <v>1071.7404244000027</v>
      </c>
      <c r="F62" s="30">
        <f t="shared" si="15"/>
        <v>18200</v>
      </c>
      <c r="G62" s="30">
        <f t="shared" si="16"/>
        <v>1910.7404244000027</v>
      </c>
      <c r="I62" s="4">
        <v>2016</v>
      </c>
      <c r="J62" s="30">
        <v>143227</v>
      </c>
      <c r="K62" s="30">
        <v>37036</v>
      </c>
      <c r="L62" s="30">
        <f>INDEX($C$29:$Y$29,MATCH('BAADTbVT_Ships-Cal psgr CAGR'!I62,'BAADTbVT_Ships-Cal psgr CAGR'!$C$22:$Y$22,0))/1000</f>
        <v>1242597.061</v>
      </c>
      <c r="M62" s="33">
        <f t="shared" si="19"/>
        <v>15701798.527023934</v>
      </c>
      <c r="N62" s="30">
        <f t="shared" si="17"/>
        <v>1385824.061</v>
      </c>
      <c r="O62" s="33">
        <f t="shared" si="18"/>
        <v>15738834.527023934</v>
      </c>
      <c r="P62" s="34">
        <f t="shared" si="20"/>
        <v>12.636275281697237</v>
      </c>
    </row>
    <row r="63" spans="1:16">
      <c r="A63" s="4">
        <v>2017</v>
      </c>
      <c r="B63" s="30">
        <f>D3/1000</f>
        <v>16909.861000000001</v>
      </c>
      <c r="C63" s="30">
        <f>D5/10^6</f>
        <v>915.66880900000001</v>
      </c>
      <c r="D63" s="30">
        <f>D7/1000</f>
        <v>2728.1469999999999</v>
      </c>
      <c r="E63" s="33">
        <f>TREND($E$56:$E$60,$A$56:$A$60,A63)</f>
        <v>1058.197887600003</v>
      </c>
      <c r="F63" s="30">
        <f t="shared" si="15"/>
        <v>19638.008000000002</v>
      </c>
      <c r="G63" s="30">
        <f t="shared" si="16"/>
        <v>1973.866696600003</v>
      </c>
      <c r="I63" s="4">
        <v>2017</v>
      </c>
      <c r="J63" s="30">
        <v>142587</v>
      </c>
      <c r="K63" s="35">
        <v>33855</v>
      </c>
      <c r="L63" s="30">
        <f>INDEX($C$29:$Y$29,MATCH('BAADTbVT_Ships-Cal psgr CAGR'!I63,'BAADTbVT_Ships-Cal psgr CAGR'!$C$22:$Y$22,0))/1000</f>
        <v>1312489.4739999999</v>
      </c>
      <c r="M63" s="33">
        <f t="shared" si="19"/>
        <v>16871689.358510662</v>
      </c>
      <c r="N63" s="30">
        <f t="shared" ref="N63:O65" si="21">SUM(J63,L63)</f>
        <v>1455076.4739999999</v>
      </c>
      <c r="O63" s="33">
        <f t="shared" si="21"/>
        <v>16905544.358510662</v>
      </c>
      <c r="P63" s="34">
        <f t="shared" si="20"/>
        <v>12.854723556061572</v>
      </c>
    </row>
    <row r="64" spans="1:16">
      <c r="A64" s="4">
        <v>2018</v>
      </c>
      <c r="B64" s="30">
        <f>E3/1000</f>
        <v>14625.484</v>
      </c>
      <c r="C64" s="30">
        <f>E5/10^6</f>
        <v>822.23360700000001</v>
      </c>
      <c r="D64" s="33">
        <f>TREND($D$59:$D$63,$A$59:$A$63,A64)</f>
        <v>2735.0176000000029</v>
      </c>
      <c r="E64" s="33">
        <f>TREND($E$56:$E$60,$A$56:$A$60,A64)</f>
        <v>1044.6553508000034</v>
      </c>
      <c r="F64" s="30">
        <f t="shared" si="15"/>
        <v>17360.501600000003</v>
      </c>
      <c r="G64" s="30">
        <f t="shared" si="16"/>
        <v>1866.8889578000035</v>
      </c>
      <c r="I64" s="4">
        <v>2018</v>
      </c>
      <c r="J64" s="35">
        <f>TREND($J$59:$J$63,$I$59:$I$63,I64)</f>
        <v>152469.30000000075</v>
      </c>
      <c r="K64" s="35">
        <v>28282</v>
      </c>
      <c r="L64" s="35">
        <v>1405925</v>
      </c>
      <c r="M64" s="33">
        <f t="shared" si="19"/>
        <v>18379899.105691463</v>
      </c>
      <c r="N64" s="30">
        <f t="shared" si="21"/>
        <v>1558394.3000000007</v>
      </c>
      <c r="O64" s="33">
        <f t="shared" si="21"/>
        <v>18408181.105691463</v>
      </c>
      <c r="P64" s="34">
        <f t="shared" si="20"/>
        <v>13.073171830425849</v>
      </c>
    </row>
    <row r="65" spans="1:16">
      <c r="A65" s="4">
        <v>2019</v>
      </c>
      <c r="B65" s="33">
        <f>TREND($B$60:$B$64,$A$60:$A$64,A65)</f>
        <v>15993.417699999991</v>
      </c>
      <c r="C65" s="33">
        <f>TREND($C$60:$C$64,$B$60:$B$64,B65)</f>
        <v>853.10778614210824</v>
      </c>
      <c r="D65" s="33">
        <f>TREND($D$59:$D$63,$A$59:$A$63,A65)</f>
        <v>2746.3470000000016</v>
      </c>
      <c r="E65" s="33">
        <f>TREND($E$56:$E$60,$A$56:$A$60,A65)</f>
        <v>1031.1128140000037</v>
      </c>
      <c r="F65" s="30">
        <f t="shared" si="15"/>
        <v>18739.764699999992</v>
      </c>
      <c r="G65" s="30">
        <f t="shared" si="16"/>
        <v>1884.2206001421118</v>
      </c>
      <c r="I65" s="4">
        <v>2019</v>
      </c>
      <c r="J65" s="33">
        <f>TREND($J$60:$J$64,$I$60:$I$64,I65)</f>
        <v>161885.24000000022</v>
      </c>
      <c r="K65" s="33">
        <f>TREND($K$60:$K$64,$I$60:$I$64,I65)</f>
        <v>31816.200000000012</v>
      </c>
      <c r="L65" s="33">
        <f>TREND($L$60:$L$64,$I$60:$I$64,I65)</f>
        <v>1433969.498999998</v>
      </c>
      <c r="M65" s="33">
        <f t="shared" si="19"/>
        <v>19059777.8225642</v>
      </c>
      <c r="N65" s="30">
        <f t="shared" si="21"/>
        <v>1595854.7389999982</v>
      </c>
      <c r="O65" s="33">
        <f t="shared" si="21"/>
        <v>19091594.022564199</v>
      </c>
      <c r="P65" s="34">
        <f t="shared" si="20"/>
        <v>13.291620104790127</v>
      </c>
    </row>
    <row r="66" spans="1:16">
      <c r="C66" s="47">
        <f>(C65/C58)^(1/7)-1</f>
        <v>-1.1032875408231391E-2</v>
      </c>
    </row>
    <row r="68" spans="1:16">
      <c r="A68" s="25" t="s">
        <v>39</v>
      </c>
    </row>
    <row r="69" spans="1:16">
      <c r="A69" s="36" t="s">
        <v>741</v>
      </c>
    </row>
    <row r="71" spans="1:16">
      <c r="A71" s="25"/>
      <c r="B71" s="26"/>
    </row>
  </sheetData>
  <mergeCells count="9">
    <mergeCell ref="A31:A32"/>
    <mergeCell ref="A23:A27"/>
    <mergeCell ref="A28:A30"/>
    <mergeCell ref="L34:M34"/>
    <mergeCell ref="N34:O34"/>
    <mergeCell ref="B34:C34"/>
    <mergeCell ref="D34:E34"/>
    <mergeCell ref="F34:G34"/>
    <mergeCell ref="J34:K34"/>
  </mergeCells>
  <phoneticPr fontId="43" type="noConversion"/>
  <pageMargins left="0.7" right="0.7" top="0.75" bottom="0.75" header="0.3" footer="0.3"/>
  <pageSetup paperSize="9" orientation="portrait" horizontalDpi="4294967292" r:id="rId1"/>
  <ignoredErrors>
    <ignoredError sqref="N23:Y30" formulaRange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A3E7C-5EE7-4C18-89A0-01D83214687A}">
  <dimension ref="A1:V50"/>
  <sheetViews>
    <sheetView zoomScale="70" zoomScaleNormal="70" workbookViewId="0">
      <selection activeCell="C42" sqref="C42"/>
    </sheetView>
  </sheetViews>
  <sheetFormatPr defaultColWidth="9" defaultRowHeight="14.4"/>
  <cols>
    <col min="1" max="1" width="9" style="4"/>
    <col min="2" max="2" width="11.33203125" style="4" bestFit="1" customWidth="1"/>
    <col min="3" max="5" width="11.88671875" style="4" bestFit="1" customWidth="1"/>
    <col min="6" max="7" width="11" style="4" bestFit="1" customWidth="1"/>
    <col min="8" max="13" width="11.88671875" style="4" bestFit="1" customWidth="1"/>
    <col min="14" max="17" width="10.33203125" style="4" bestFit="1" customWidth="1"/>
    <col min="18" max="19" width="11" style="4" bestFit="1" customWidth="1"/>
    <col min="20" max="20" width="10.33203125" style="4" bestFit="1" customWidth="1"/>
    <col min="21" max="22" width="11" style="4" bestFit="1" customWidth="1"/>
    <col min="23" max="16384" width="9" style="4"/>
  </cols>
  <sheetData>
    <row r="1" spans="1:22">
      <c r="A1" s="25" t="s">
        <v>742</v>
      </c>
    </row>
    <row r="2" spans="1:22">
      <c r="A2" s="197" t="s">
        <v>246</v>
      </c>
      <c r="B2" s="197"/>
      <c r="C2" s="197" t="s">
        <v>59</v>
      </c>
      <c r="D2" s="197"/>
      <c r="E2" s="197"/>
      <c r="F2" s="197"/>
      <c r="G2" s="197"/>
      <c r="H2" s="197" t="s">
        <v>743</v>
      </c>
      <c r="I2" s="197"/>
      <c r="J2" s="197"/>
      <c r="K2" s="197"/>
      <c r="L2" s="197"/>
      <c r="M2" s="197"/>
      <c r="N2" s="197"/>
      <c r="O2" s="197"/>
      <c r="P2" s="197"/>
      <c r="Q2" s="197" t="s">
        <v>744</v>
      </c>
      <c r="R2" s="197"/>
      <c r="S2" s="197"/>
      <c r="T2" s="197"/>
      <c r="U2" s="197"/>
      <c r="V2" s="197"/>
    </row>
    <row r="3" spans="1:22">
      <c r="A3" s="197"/>
      <c r="B3" s="197"/>
      <c r="C3" s="197" t="s">
        <v>246</v>
      </c>
      <c r="D3" s="197"/>
      <c r="E3" s="197"/>
      <c r="F3" s="197"/>
      <c r="G3" s="197"/>
      <c r="H3" s="197" t="s">
        <v>58</v>
      </c>
      <c r="I3" s="197"/>
      <c r="J3" s="197"/>
      <c r="K3" s="197" t="s">
        <v>745</v>
      </c>
      <c r="L3" s="197"/>
      <c r="M3" s="197"/>
      <c r="N3" s="197" t="s">
        <v>746</v>
      </c>
      <c r="O3" s="197"/>
      <c r="P3" s="197"/>
      <c r="Q3" s="197" t="s">
        <v>58</v>
      </c>
      <c r="R3" s="197"/>
      <c r="S3" s="197"/>
      <c r="T3" s="197" t="s">
        <v>747</v>
      </c>
      <c r="U3" s="197"/>
      <c r="V3" s="197"/>
    </row>
    <row r="4" spans="1:22">
      <c r="A4" s="133" t="s">
        <v>748</v>
      </c>
      <c r="B4" s="133" t="s">
        <v>749</v>
      </c>
      <c r="C4" s="133" t="s">
        <v>210</v>
      </c>
      <c r="D4" s="133" t="s">
        <v>750</v>
      </c>
      <c r="E4" s="133" t="s">
        <v>751</v>
      </c>
      <c r="F4" s="133" t="s">
        <v>752</v>
      </c>
      <c r="G4" s="133" t="s">
        <v>753</v>
      </c>
      <c r="H4" s="133" t="s">
        <v>210</v>
      </c>
      <c r="I4" s="133" t="s">
        <v>750</v>
      </c>
      <c r="J4" s="133" t="s">
        <v>751</v>
      </c>
      <c r="K4" s="133" t="s">
        <v>210</v>
      </c>
      <c r="L4" s="133" t="s">
        <v>751</v>
      </c>
      <c r="M4" s="133" t="s">
        <v>750</v>
      </c>
      <c r="N4" s="133" t="s">
        <v>210</v>
      </c>
      <c r="O4" s="133" t="s">
        <v>750</v>
      </c>
      <c r="P4" s="133" t="s">
        <v>751</v>
      </c>
      <c r="Q4" s="133" t="s">
        <v>210</v>
      </c>
      <c r="R4" s="133" t="s">
        <v>752</v>
      </c>
      <c r="S4" s="133" t="s">
        <v>753</v>
      </c>
      <c r="T4" s="133" t="s">
        <v>210</v>
      </c>
      <c r="U4" s="133" t="s">
        <v>752</v>
      </c>
      <c r="V4" s="133" t="s">
        <v>753</v>
      </c>
    </row>
    <row r="5" spans="1:22">
      <c r="A5" s="197" t="s">
        <v>58</v>
      </c>
      <c r="B5" s="197"/>
      <c r="C5" s="134">
        <v>4080872227.8000002</v>
      </c>
      <c r="D5" s="134">
        <v>1202471060</v>
      </c>
      <c r="E5" s="134">
        <v>2288324061</v>
      </c>
      <c r="F5" s="134">
        <v>567174054</v>
      </c>
      <c r="G5" s="134">
        <v>22903052.799999997</v>
      </c>
      <c r="H5" s="134">
        <v>3490795121</v>
      </c>
      <c r="I5" s="134">
        <v>1202471060</v>
      </c>
      <c r="J5" s="134">
        <v>2288324061</v>
      </c>
      <c r="K5" s="134">
        <v>3119141853</v>
      </c>
      <c r="L5" s="134">
        <v>2070251346</v>
      </c>
      <c r="M5" s="134">
        <v>1048890507</v>
      </c>
      <c r="N5" s="134">
        <v>371653268</v>
      </c>
      <c r="O5" s="134">
        <v>153580553</v>
      </c>
      <c r="P5" s="134">
        <v>218072715</v>
      </c>
      <c r="Q5" s="134">
        <v>590077106.79999995</v>
      </c>
      <c r="R5" s="134">
        <v>567174054</v>
      </c>
      <c r="S5" s="134">
        <v>22903052.799999997</v>
      </c>
      <c r="T5" s="134">
        <v>590077106.79999995</v>
      </c>
      <c r="U5" s="134">
        <v>567174054</v>
      </c>
      <c r="V5" s="134">
        <v>22903052.799999997</v>
      </c>
    </row>
    <row r="6" spans="1:22" ht="15" thickBot="1">
      <c r="A6" s="197" t="s">
        <v>754</v>
      </c>
      <c r="B6" s="197"/>
      <c r="C6" s="135">
        <v>1655997518</v>
      </c>
      <c r="D6" s="134">
        <v>501303813</v>
      </c>
      <c r="E6" s="134">
        <v>927845761</v>
      </c>
      <c r="F6" s="134">
        <v>214816744</v>
      </c>
      <c r="G6" s="134">
        <v>12031199.999999998</v>
      </c>
      <c r="H6" s="134">
        <v>1429149574</v>
      </c>
      <c r="I6" s="134">
        <v>501303813</v>
      </c>
      <c r="J6" s="134">
        <v>927845761</v>
      </c>
      <c r="K6" s="134">
        <v>1287227799</v>
      </c>
      <c r="L6" s="134">
        <v>848994050</v>
      </c>
      <c r="M6" s="134">
        <v>438233749</v>
      </c>
      <c r="N6" s="134">
        <v>141921775</v>
      </c>
      <c r="O6" s="134">
        <v>63070064</v>
      </c>
      <c r="P6" s="134">
        <v>78851711</v>
      </c>
      <c r="Q6" s="134">
        <v>226847944.00000006</v>
      </c>
      <c r="R6" s="134">
        <v>214816744</v>
      </c>
      <c r="S6" s="134">
        <v>12031200</v>
      </c>
      <c r="T6" s="134">
        <v>226847944</v>
      </c>
      <c r="U6" s="134">
        <v>214816744</v>
      </c>
      <c r="V6" s="134">
        <v>12031200</v>
      </c>
    </row>
    <row r="7" spans="1:22">
      <c r="A7" s="197" t="s">
        <v>242</v>
      </c>
      <c r="B7" s="136" t="s">
        <v>755</v>
      </c>
      <c r="C7" s="48">
        <v>141879802.19999999</v>
      </c>
      <c r="D7" s="137">
        <v>40206142</v>
      </c>
      <c r="E7" s="138">
        <v>81746229</v>
      </c>
      <c r="F7" s="138">
        <v>18920074</v>
      </c>
      <c r="G7" s="138">
        <v>1007357.2</v>
      </c>
      <c r="H7" s="138">
        <v>121952371</v>
      </c>
      <c r="I7" s="138">
        <v>40206142</v>
      </c>
      <c r="J7" s="138">
        <v>81746229</v>
      </c>
      <c r="K7" s="138">
        <v>110775808</v>
      </c>
      <c r="L7" s="138">
        <v>75603191</v>
      </c>
      <c r="M7" s="138">
        <v>35172617</v>
      </c>
      <c r="N7" s="138">
        <v>11176563</v>
      </c>
      <c r="O7" s="138">
        <v>5033525</v>
      </c>
      <c r="P7" s="138">
        <v>6143038</v>
      </c>
      <c r="Q7" s="138">
        <v>19927431.199999999</v>
      </c>
      <c r="R7" s="138">
        <v>18920074</v>
      </c>
      <c r="S7" s="138">
        <v>1007357.2</v>
      </c>
      <c r="T7" s="138">
        <v>19927431.199999999</v>
      </c>
      <c r="U7" s="138">
        <v>18920074</v>
      </c>
      <c r="V7" s="138">
        <v>1007357.2</v>
      </c>
    </row>
    <row r="8" spans="1:22">
      <c r="A8" s="197"/>
      <c r="B8" s="136" t="s">
        <v>756</v>
      </c>
      <c r="C8" s="139">
        <v>122901029.2</v>
      </c>
      <c r="D8" s="137">
        <v>39342779</v>
      </c>
      <c r="E8" s="138">
        <v>67179791</v>
      </c>
      <c r="F8" s="138">
        <v>15309700</v>
      </c>
      <c r="G8" s="138">
        <v>1068759.2</v>
      </c>
      <c r="H8" s="138">
        <v>106522570</v>
      </c>
      <c r="I8" s="138">
        <v>39342779</v>
      </c>
      <c r="J8" s="138">
        <v>67179791</v>
      </c>
      <c r="K8" s="138">
        <v>96535010</v>
      </c>
      <c r="L8" s="138">
        <v>61932308</v>
      </c>
      <c r="M8" s="138">
        <v>34602702</v>
      </c>
      <c r="N8" s="138">
        <v>9987560</v>
      </c>
      <c r="O8" s="138">
        <v>4740077</v>
      </c>
      <c r="P8" s="138">
        <v>5247483</v>
      </c>
      <c r="Q8" s="138">
        <v>16378459.199999999</v>
      </c>
      <c r="R8" s="138">
        <v>15309700</v>
      </c>
      <c r="S8" s="138">
        <v>1068759.2</v>
      </c>
      <c r="T8" s="138">
        <v>16378459.199999999</v>
      </c>
      <c r="U8" s="138">
        <v>15309700</v>
      </c>
      <c r="V8" s="138">
        <v>1068759.2</v>
      </c>
    </row>
    <row r="9" spans="1:22">
      <c r="A9" s="197"/>
      <c r="B9" s="136" t="s">
        <v>757</v>
      </c>
      <c r="C9" s="139">
        <v>137462172.90000001</v>
      </c>
      <c r="D9" s="137">
        <v>43941974</v>
      </c>
      <c r="E9" s="138">
        <v>75823870</v>
      </c>
      <c r="F9" s="138">
        <v>16519256</v>
      </c>
      <c r="G9" s="138">
        <v>1177072.8999999999</v>
      </c>
      <c r="H9" s="138">
        <v>119765844</v>
      </c>
      <c r="I9" s="138">
        <v>43941974</v>
      </c>
      <c r="J9" s="138">
        <v>75823870</v>
      </c>
      <c r="K9" s="138">
        <v>107257057</v>
      </c>
      <c r="L9" s="138">
        <v>69359797</v>
      </c>
      <c r="M9" s="138">
        <v>37897260</v>
      </c>
      <c r="N9" s="138">
        <v>12508787</v>
      </c>
      <c r="O9" s="138">
        <v>6044714</v>
      </c>
      <c r="P9" s="138">
        <v>6464073</v>
      </c>
      <c r="Q9" s="138">
        <v>17696328.899999999</v>
      </c>
      <c r="R9" s="138">
        <v>16519256</v>
      </c>
      <c r="S9" s="138">
        <v>1177072.8999999999</v>
      </c>
      <c r="T9" s="138">
        <v>17696328.899999999</v>
      </c>
      <c r="U9" s="138">
        <v>16519256</v>
      </c>
      <c r="V9" s="138">
        <v>1177072.8999999999</v>
      </c>
    </row>
    <row r="10" spans="1:22">
      <c r="A10" s="197"/>
      <c r="B10" s="136" t="s">
        <v>758</v>
      </c>
      <c r="C10" s="139">
        <v>134906133.80000001</v>
      </c>
      <c r="D10" s="137">
        <v>40584940</v>
      </c>
      <c r="E10" s="138">
        <v>76407179</v>
      </c>
      <c r="F10" s="138">
        <v>16771920</v>
      </c>
      <c r="G10" s="138">
        <v>1142094.8</v>
      </c>
      <c r="H10" s="138">
        <v>116992119</v>
      </c>
      <c r="I10" s="138">
        <v>40584940</v>
      </c>
      <c r="J10" s="138">
        <v>76407179</v>
      </c>
      <c r="K10" s="138">
        <v>105463822</v>
      </c>
      <c r="L10" s="138">
        <v>69703937</v>
      </c>
      <c r="M10" s="138">
        <v>35759885</v>
      </c>
      <c r="N10" s="138">
        <v>11528297</v>
      </c>
      <c r="O10" s="138">
        <v>4825055</v>
      </c>
      <c r="P10" s="138">
        <v>6703242</v>
      </c>
      <c r="Q10" s="138">
        <v>17914014.800000001</v>
      </c>
      <c r="R10" s="138">
        <v>16771920</v>
      </c>
      <c r="S10" s="138">
        <v>1142094.8</v>
      </c>
      <c r="T10" s="138">
        <v>17914014.800000001</v>
      </c>
      <c r="U10" s="138">
        <v>16771920</v>
      </c>
      <c r="V10" s="138">
        <v>1142094.8</v>
      </c>
    </row>
    <row r="11" spans="1:22">
      <c r="A11" s="197"/>
      <c r="B11" s="136" t="s">
        <v>759</v>
      </c>
      <c r="C11" s="139">
        <v>135909559.30000001</v>
      </c>
      <c r="D11" s="137">
        <v>42314187</v>
      </c>
      <c r="E11" s="138">
        <v>74341806</v>
      </c>
      <c r="F11" s="138">
        <v>18325816</v>
      </c>
      <c r="G11" s="138">
        <v>927750.3</v>
      </c>
      <c r="H11" s="138">
        <v>116655993</v>
      </c>
      <c r="I11" s="138">
        <v>42314187</v>
      </c>
      <c r="J11" s="138">
        <v>74341806</v>
      </c>
      <c r="K11" s="138">
        <v>105413524</v>
      </c>
      <c r="L11" s="138">
        <v>67983285</v>
      </c>
      <c r="M11" s="138">
        <v>37430239</v>
      </c>
      <c r="N11" s="138">
        <v>11242469</v>
      </c>
      <c r="O11" s="138">
        <v>4883948</v>
      </c>
      <c r="P11" s="138">
        <v>6358521</v>
      </c>
      <c r="Q11" s="138">
        <v>19253566.300000001</v>
      </c>
      <c r="R11" s="138">
        <v>18325816</v>
      </c>
      <c r="S11" s="138">
        <v>927750.3</v>
      </c>
      <c r="T11" s="138">
        <v>19253566.300000001</v>
      </c>
      <c r="U11" s="138">
        <v>18325816</v>
      </c>
      <c r="V11" s="138">
        <v>927750.3</v>
      </c>
    </row>
    <row r="12" spans="1:22">
      <c r="A12" s="197"/>
      <c r="B12" s="136" t="s">
        <v>760</v>
      </c>
      <c r="C12" s="139">
        <v>140568903.90000001</v>
      </c>
      <c r="D12" s="137">
        <v>45054426</v>
      </c>
      <c r="E12" s="138">
        <v>76594470</v>
      </c>
      <c r="F12" s="138">
        <v>18081540</v>
      </c>
      <c r="G12" s="138">
        <v>838467.9</v>
      </c>
      <c r="H12" s="138">
        <v>121648896</v>
      </c>
      <c r="I12" s="138">
        <v>45054426</v>
      </c>
      <c r="J12" s="138">
        <v>76594470</v>
      </c>
      <c r="K12" s="138">
        <v>110416441</v>
      </c>
      <c r="L12" s="138">
        <v>70773809</v>
      </c>
      <c r="M12" s="138">
        <v>39642632</v>
      </c>
      <c r="N12" s="138">
        <v>11232455</v>
      </c>
      <c r="O12" s="138">
        <v>5411794</v>
      </c>
      <c r="P12" s="138">
        <v>5820661</v>
      </c>
      <c r="Q12" s="138">
        <v>18920007.899999999</v>
      </c>
      <c r="R12" s="138">
        <v>18081540</v>
      </c>
      <c r="S12" s="138">
        <v>838467.9</v>
      </c>
      <c r="T12" s="138">
        <v>18920007.899999999</v>
      </c>
      <c r="U12" s="138">
        <v>18081540</v>
      </c>
      <c r="V12" s="138">
        <v>838467.9</v>
      </c>
    </row>
    <row r="13" spans="1:22" ht="15" thickBot="1">
      <c r="A13" s="197"/>
      <c r="B13" s="136" t="s">
        <v>761</v>
      </c>
      <c r="C13" s="140">
        <v>141716895.59999999</v>
      </c>
      <c r="D13" s="137">
        <v>44021099</v>
      </c>
      <c r="E13" s="138">
        <v>79641797</v>
      </c>
      <c r="F13" s="138">
        <v>17242094</v>
      </c>
      <c r="G13" s="138">
        <v>811905.6</v>
      </c>
      <c r="H13" s="138">
        <v>123662896</v>
      </c>
      <c r="I13" s="138">
        <v>44021099</v>
      </c>
      <c r="J13" s="138">
        <v>79641797</v>
      </c>
      <c r="K13" s="138">
        <v>111724995</v>
      </c>
      <c r="L13" s="138">
        <v>72974163</v>
      </c>
      <c r="M13" s="138">
        <v>38750832</v>
      </c>
      <c r="N13" s="138">
        <v>11937901</v>
      </c>
      <c r="O13" s="138">
        <v>5270267</v>
      </c>
      <c r="P13" s="138">
        <v>6667634</v>
      </c>
      <c r="Q13" s="138">
        <v>18053999.600000001</v>
      </c>
      <c r="R13" s="138">
        <v>17242094</v>
      </c>
      <c r="S13" s="138">
        <v>811905.6</v>
      </c>
      <c r="T13" s="138">
        <v>18053999.600000001</v>
      </c>
      <c r="U13" s="138">
        <v>17242094</v>
      </c>
      <c r="V13" s="138">
        <v>811905.6</v>
      </c>
    </row>
    <row r="14" spans="1:22">
      <c r="A14" s="197"/>
      <c r="B14" s="133" t="s">
        <v>762</v>
      </c>
      <c r="C14" s="141">
        <v>144636616.90000001</v>
      </c>
      <c r="D14" s="138">
        <v>42000091</v>
      </c>
      <c r="E14" s="138">
        <v>83597003</v>
      </c>
      <c r="F14" s="138">
        <v>17829324</v>
      </c>
      <c r="G14" s="138">
        <v>1210198.8999999999</v>
      </c>
      <c r="H14" s="138">
        <v>125597094</v>
      </c>
      <c r="I14" s="138">
        <v>42000091</v>
      </c>
      <c r="J14" s="138">
        <v>83597003</v>
      </c>
      <c r="K14" s="138">
        <v>112804299</v>
      </c>
      <c r="L14" s="138">
        <v>76377281</v>
      </c>
      <c r="M14" s="138">
        <v>36427018</v>
      </c>
      <c r="N14" s="138">
        <v>12792795</v>
      </c>
      <c r="O14" s="138">
        <v>5573073</v>
      </c>
      <c r="P14" s="138">
        <v>7219722</v>
      </c>
      <c r="Q14" s="138">
        <v>19039522.899999999</v>
      </c>
      <c r="R14" s="138">
        <v>17829324</v>
      </c>
      <c r="S14" s="138">
        <v>1210198.8999999999</v>
      </c>
      <c r="T14" s="138">
        <v>19039522.899999999</v>
      </c>
      <c r="U14" s="138">
        <v>17829324</v>
      </c>
      <c r="V14" s="138">
        <v>1210198.8999999999</v>
      </c>
    </row>
    <row r="15" spans="1:22">
      <c r="A15" s="197"/>
      <c r="B15" s="133" t="s">
        <v>763</v>
      </c>
      <c r="C15" s="138">
        <v>128724363.09999999</v>
      </c>
      <c r="D15" s="138">
        <v>38320959</v>
      </c>
      <c r="E15" s="138">
        <v>74183485</v>
      </c>
      <c r="F15" s="138">
        <v>15388082</v>
      </c>
      <c r="G15" s="138">
        <v>831837.1</v>
      </c>
      <c r="H15" s="138">
        <v>112504444</v>
      </c>
      <c r="I15" s="138">
        <v>38320959</v>
      </c>
      <c r="J15" s="138">
        <v>74183485</v>
      </c>
      <c r="K15" s="138">
        <v>100937710</v>
      </c>
      <c r="L15" s="138">
        <v>67125532</v>
      </c>
      <c r="M15" s="138">
        <v>33812178</v>
      </c>
      <c r="N15" s="138">
        <v>11566734</v>
      </c>
      <c r="O15" s="138">
        <v>4508781</v>
      </c>
      <c r="P15" s="138">
        <v>7057953</v>
      </c>
      <c r="Q15" s="138">
        <v>16219919.1</v>
      </c>
      <c r="R15" s="138">
        <v>15388082</v>
      </c>
      <c r="S15" s="138">
        <v>831837.1</v>
      </c>
      <c r="T15" s="138">
        <v>16219919.1</v>
      </c>
      <c r="U15" s="138">
        <v>15388082</v>
      </c>
      <c r="V15" s="138">
        <v>831837.1</v>
      </c>
    </row>
    <row r="16" spans="1:22">
      <c r="A16" s="197"/>
      <c r="B16" s="133" t="s">
        <v>764</v>
      </c>
      <c r="C16" s="138">
        <v>142059677</v>
      </c>
      <c r="D16" s="138">
        <v>42250195</v>
      </c>
      <c r="E16" s="138">
        <v>78656951</v>
      </c>
      <c r="F16" s="138">
        <v>20125314</v>
      </c>
      <c r="G16" s="138">
        <v>1027217</v>
      </c>
      <c r="H16" s="138">
        <v>120907146</v>
      </c>
      <c r="I16" s="138">
        <v>42250195</v>
      </c>
      <c r="J16" s="138">
        <v>78656951</v>
      </c>
      <c r="K16" s="138">
        <v>108798595</v>
      </c>
      <c r="L16" s="138">
        <v>71690379</v>
      </c>
      <c r="M16" s="138">
        <v>37108216</v>
      </c>
      <c r="N16" s="138">
        <v>12108551</v>
      </c>
      <c r="O16" s="138">
        <v>5141979</v>
      </c>
      <c r="P16" s="138">
        <v>6966572</v>
      </c>
      <c r="Q16" s="138">
        <v>21152531</v>
      </c>
      <c r="R16" s="138">
        <v>20125314</v>
      </c>
      <c r="S16" s="138">
        <v>1027217</v>
      </c>
      <c r="T16" s="138">
        <v>21152531</v>
      </c>
      <c r="U16" s="138">
        <v>20125314</v>
      </c>
      <c r="V16" s="138">
        <v>1027217</v>
      </c>
    </row>
    <row r="17" spans="1:22">
      <c r="A17" s="197"/>
      <c r="B17" s="133" t="s">
        <v>765</v>
      </c>
      <c r="C17" s="138">
        <v>135528745.90000001</v>
      </c>
      <c r="D17" s="138">
        <v>39333375</v>
      </c>
      <c r="E17" s="138">
        <v>75010749</v>
      </c>
      <c r="F17" s="138">
        <v>20213098</v>
      </c>
      <c r="G17" s="138">
        <v>971523.9</v>
      </c>
      <c r="H17" s="138">
        <v>114344124</v>
      </c>
      <c r="I17" s="138">
        <v>39333375</v>
      </c>
      <c r="J17" s="138">
        <v>75010749</v>
      </c>
      <c r="K17" s="138">
        <v>101576994</v>
      </c>
      <c r="L17" s="138">
        <v>67475115</v>
      </c>
      <c r="M17" s="138">
        <v>34101879</v>
      </c>
      <c r="N17" s="138">
        <v>12767130</v>
      </c>
      <c r="O17" s="138">
        <v>5231496</v>
      </c>
      <c r="P17" s="138">
        <v>7535634</v>
      </c>
      <c r="Q17" s="138">
        <v>21184621.899999999</v>
      </c>
      <c r="R17" s="138">
        <v>20213098</v>
      </c>
      <c r="S17" s="138">
        <v>971523.9</v>
      </c>
      <c r="T17" s="138">
        <v>21184621.899999999</v>
      </c>
      <c r="U17" s="138">
        <v>20213098</v>
      </c>
      <c r="V17" s="138">
        <v>971523.9</v>
      </c>
    </row>
    <row r="18" spans="1:22">
      <c r="A18" s="197"/>
      <c r="B18" s="133" t="s">
        <v>766</v>
      </c>
      <c r="C18" s="138">
        <v>149703618.19999999</v>
      </c>
      <c r="D18" s="138">
        <v>43933646</v>
      </c>
      <c r="E18" s="138">
        <v>84662431</v>
      </c>
      <c r="F18" s="138">
        <v>20090526</v>
      </c>
      <c r="G18" s="138">
        <v>1017015.2</v>
      </c>
      <c r="H18" s="138">
        <v>128596077</v>
      </c>
      <c r="I18" s="138">
        <v>43933646</v>
      </c>
      <c r="J18" s="138">
        <v>84662431</v>
      </c>
      <c r="K18" s="138">
        <v>115523544</v>
      </c>
      <c r="L18" s="138">
        <v>77995253</v>
      </c>
      <c r="M18" s="138">
        <v>37528291</v>
      </c>
      <c r="N18" s="138">
        <v>13072533</v>
      </c>
      <c r="O18" s="138">
        <v>6405355</v>
      </c>
      <c r="P18" s="138">
        <v>6667178</v>
      </c>
      <c r="Q18" s="138">
        <v>21107541.199999999</v>
      </c>
      <c r="R18" s="138">
        <v>20090526</v>
      </c>
      <c r="S18" s="138">
        <v>1017015.2</v>
      </c>
      <c r="T18" s="138">
        <v>21107541.199999999</v>
      </c>
      <c r="U18" s="138">
        <v>20090526</v>
      </c>
      <c r="V18" s="138">
        <v>1017015.2</v>
      </c>
    </row>
    <row r="19" spans="1:22" ht="15" thickBot="1">
      <c r="A19" s="197" t="s">
        <v>767</v>
      </c>
      <c r="B19" s="197"/>
      <c r="C19" s="135">
        <v>1510125438.8</v>
      </c>
      <c r="D19" s="134">
        <v>431786143</v>
      </c>
      <c r="E19" s="134">
        <v>844441495</v>
      </c>
      <c r="F19" s="134">
        <v>223025948</v>
      </c>
      <c r="G19" s="134">
        <v>10871852.800000001</v>
      </c>
      <c r="H19" s="134">
        <v>1276227638</v>
      </c>
      <c r="I19" s="134">
        <v>431786143</v>
      </c>
      <c r="J19" s="134">
        <v>844441495</v>
      </c>
      <c r="K19" s="134">
        <v>1137843309</v>
      </c>
      <c r="L19" s="134">
        <v>759067449</v>
      </c>
      <c r="M19" s="134">
        <v>378775860</v>
      </c>
      <c r="N19" s="134">
        <v>138384329</v>
      </c>
      <c r="O19" s="134">
        <v>53010283</v>
      </c>
      <c r="P19" s="134">
        <v>85374046</v>
      </c>
      <c r="Q19" s="134">
        <v>233897800.80000001</v>
      </c>
      <c r="R19" s="134">
        <v>223025948</v>
      </c>
      <c r="S19" s="134">
        <v>10871852.799999999</v>
      </c>
      <c r="T19" s="134">
        <v>233897800.80000001</v>
      </c>
      <c r="U19" s="134">
        <v>223025948</v>
      </c>
      <c r="V19" s="134">
        <v>10871852.799999999</v>
      </c>
    </row>
    <row r="20" spans="1:22">
      <c r="A20" s="197" t="s">
        <v>243</v>
      </c>
      <c r="B20" s="136" t="s">
        <v>755</v>
      </c>
      <c r="C20" s="48">
        <v>131982794.09999999</v>
      </c>
      <c r="D20" s="137">
        <v>35998113</v>
      </c>
      <c r="E20" s="138">
        <v>76334956</v>
      </c>
      <c r="F20" s="138">
        <v>18712742</v>
      </c>
      <c r="G20" s="138">
        <v>936983.1</v>
      </c>
      <c r="H20" s="138">
        <v>112333069</v>
      </c>
      <c r="I20" s="138">
        <v>35998113</v>
      </c>
      <c r="J20" s="138">
        <v>76334956</v>
      </c>
      <c r="K20" s="138">
        <v>101067323</v>
      </c>
      <c r="L20" s="138">
        <v>69641720</v>
      </c>
      <c r="M20" s="138">
        <v>31425603</v>
      </c>
      <c r="N20" s="138">
        <v>11265746</v>
      </c>
      <c r="O20" s="138">
        <v>4572510</v>
      </c>
      <c r="P20" s="138">
        <v>6693236</v>
      </c>
      <c r="Q20" s="138">
        <v>19649725.100000001</v>
      </c>
      <c r="R20" s="138">
        <v>18712742</v>
      </c>
      <c r="S20" s="138">
        <v>936983.1</v>
      </c>
      <c r="T20" s="138">
        <v>19649725.100000001</v>
      </c>
      <c r="U20" s="138">
        <v>18712742</v>
      </c>
      <c r="V20" s="138">
        <v>936983.1</v>
      </c>
    </row>
    <row r="21" spans="1:22">
      <c r="A21" s="197"/>
      <c r="B21" s="136" t="s">
        <v>756</v>
      </c>
      <c r="C21" s="139">
        <v>121910527.2</v>
      </c>
      <c r="D21" s="137">
        <v>36779988</v>
      </c>
      <c r="E21" s="138">
        <v>65574161</v>
      </c>
      <c r="F21" s="138">
        <v>18759508</v>
      </c>
      <c r="G21" s="138">
        <v>796870.2</v>
      </c>
      <c r="H21" s="138">
        <v>102354149</v>
      </c>
      <c r="I21" s="138">
        <v>36779988</v>
      </c>
      <c r="J21" s="138">
        <v>65574161</v>
      </c>
      <c r="K21" s="138">
        <v>92087289</v>
      </c>
      <c r="L21" s="138">
        <v>59114975</v>
      </c>
      <c r="M21" s="138">
        <v>32972314</v>
      </c>
      <c r="N21" s="138">
        <v>10266860</v>
      </c>
      <c r="O21" s="138">
        <v>3807674</v>
      </c>
      <c r="P21" s="138">
        <v>6459186</v>
      </c>
      <c r="Q21" s="138">
        <v>19556378.199999999</v>
      </c>
      <c r="R21" s="138">
        <v>18759508</v>
      </c>
      <c r="S21" s="138">
        <v>796870.2</v>
      </c>
      <c r="T21" s="138">
        <v>19556378.199999999</v>
      </c>
      <c r="U21" s="138">
        <v>18759508</v>
      </c>
      <c r="V21" s="138">
        <v>796870.2</v>
      </c>
    </row>
    <row r="22" spans="1:22">
      <c r="A22" s="197"/>
      <c r="B22" s="136" t="s">
        <v>757</v>
      </c>
      <c r="C22" s="139">
        <v>135028283.80000001</v>
      </c>
      <c r="D22" s="137">
        <v>39110498</v>
      </c>
      <c r="E22" s="138">
        <v>75567972</v>
      </c>
      <c r="F22" s="138">
        <v>19456076</v>
      </c>
      <c r="G22" s="138">
        <v>893737.8</v>
      </c>
      <c r="H22" s="138">
        <v>114678470</v>
      </c>
      <c r="I22" s="138">
        <v>39110498</v>
      </c>
      <c r="J22" s="138">
        <v>75567972</v>
      </c>
      <c r="K22" s="138">
        <v>103304094</v>
      </c>
      <c r="L22" s="138">
        <v>68429458</v>
      </c>
      <c r="M22" s="138">
        <v>34874636</v>
      </c>
      <c r="N22" s="138">
        <v>11374376</v>
      </c>
      <c r="O22" s="138">
        <v>4235862</v>
      </c>
      <c r="P22" s="138">
        <v>7138514</v>
      </c>
      <c r="Q22" s="138">
        <v>20349813.800000001</v>
      </c>
      <c r="R22" s="138">
        <v>19456076</v>
      </c>
      <c r="S22" s="138">
        <v>893737.8</v>
      </c>
      <c r="T22" s="138">
        <v>20349813.800000001</v>
      </c>
      <c r="U22" s="138">
        <v>19456076</v>
      </c>
      <c r="V22" s="138">
        <v>893737.8</v>
      </c>
    </row>
    <row r="23" spans="1:22">
      <c r="A23" s="197"/>
      <c r="B23" s="136" t="s">
        <v>758</v>
      </c>
      <c r="C23" s="139">
        <v>123685442.3</v>
      </c>
      <c r="D23" s="137">
        <v>33797397</v>
      </c>
      <c r="E23" s="138">
        <v>70190298</v>
      </c>
      <c r="F23" s="138">
        <v>18787186</v>
      </c>
      <c r="G23" s="138">
        <v>910561.3</v>
      </c>
      <c r="H23" s="138">
        <v>103987695</v>
      </c>
      <c r="I23" s="138">
        <v>33797397</v>
      </c>
      <c r="J23" s="138">
        <v>70190298</v>
      </c>
      <c r="K23" s="138">
        <v>92664568</v>
      </c>
      <c r="L23" s="138">
        <v>63051420</v>
      </c>
      <c r="M23" s="138">
        <v>29613148</v>
      </c>
      <c r="N23" s="138">
        <v>11323127</v>
      </c>
      <c r="O23" s="138">
        <v>4184249</v>
      </c>
      <c r="P23" s="138">
        <v>7138878</v>
      </c>
      <c r="Q23" s="138">
        <v>19697747.300000001</v>
      </c>
      <c r="R23" s="138">
        <v>18787186</v>
      </c>
      <c r="S23" s="138">
        <v>910561.3</v>
      </c>
      <c r="T23" s="138">
        <v>19697747.300000001</v>
      </c>
      <c r="U23" s="138">
        <v>18787186</v>
      </c>
      <c r="V23" s="138">
        <v>910561.3</v>
      </c>
    </row>
    <row r="24" spans="1:22">
      <c r="A24" s="197"/>
      <c r="B24" s="136" t="s">
        <v>759</v>
      </c>
      <c r="C24" s="139">
        <v>122490207.7</v>
      </c>
      <c r="D24" s="137">
        <v>32485853</v>
      </c>
      <c r="E24" s="138">
        <v>69988868</v>
      </c>
      <c r="F24" s="138">
        <v>19050512</v>
      </c>
      <c r="G24" s="138">
        <v>964974.7</v>
      </c>
      <c r="H24" s="138">
        <v>102474721</v>
      </c>
      <c r="I24" s="138">
        <v>32485853</v>
      </c>
      <c r="J24" s="138">
        <v>69988868</v>
      </c>
      <c r="K24" s="138">
        <v>90798396</v>
      </c>
      <c r="L24" s="138">
        <v>62835647</v>
      </c>
      <c r="M24" s="138">
        <v>27962749</v>
      </c>
      <c r="N24" s="138">
        <v>11676325</v>
      </c>
      <c r="O24" s="138">
        <v>4523104</v>
      </c>
      <c r="P24" s="138">
        <v>7153221</v>
      </c>
      <c r="Q24" s="138">
        <v>20015486.699999999</v>
      </c>
      <c r="R24" s="138">
        <v>19050512</v>
      </c>
      <c r="S24" s="138">
        <v>964974.7</v>
      </c>
      <c r="T24" s="138">
        <v>20015486.699999999</v>
      </c>
      <c r="U24" s="138">
        <v>19050512</v>
      </c>
      <c r="V24" s="138">
        <v>964974.7</v>
      </c>
    </row>
    <row r="25" spans="1:22">
      <c r="A25" s="197"/>
      <c r="B25" s="136" t="s">
        <v>760</v>
      </c>
      <c r="C25" s="139">
        <v>116998895.7</v>
      </c>
      <c r="D25" s="137">
        <v>33207306</v>
      </c>
      <c r="E25" s="138">
        <v>64955743</v>
      </c>
      <c r="F25" s="138">
        <v>17986582</v>
      </c>
      <c r="G25" s="138">
        <v>849264.7</v>
      </c>
      <c r="H25" s="138">
        <v>98163049</v>
      </c>
      <c r="I25" s="138">
        <v>33207306</v>
      </c>
      <c r="J25" s="138">
        <v>64955743</v>
      </c>
      <c r="K25" s="138">
        <v>87925918</v>
      </c>
      <c r="L25" s="138">
        <v>58928586</v>
      </c>
      <c r="M25" s="138">
        <v>28997332</v>
      </c>
      <c r="N25" s="138">
        <v>10237131</v>
      </c>
      <c r="O25" s="138">
        <v>4209974</v>
      </c>
      <c r="P25" s="138">
        <v>6027157</v>
      </c>
      <c r="Q25" s="138">
        <v>18835846.699999999</v>
      </c>
      <c r="R25" s="138">
        <v>17986582</v>
      </c>
      <c r="S25" s="138">
        <v>849264.7</v>
      </c>
      <c r="T25" s="138">
        <v>18835846.699999999</v>
      </c>
      <c r="U25" s="138">
        <v>17986582</v>
      </c>
      <c r="V25" s="138">
        <v>849264.7</v>
      </c>
    </row>
    <row r="26" spans="1:22" ht="15" thickBot="1">
      <c r="A26" s="197"/>
      <c r="B26" s="136" t="s">
        <v>761</v>
      </c>
      <c r="C26" s="140">
        <v>122376934.40000001</v>
      </c>
      <c r="D26" s="137">
        <v>35578559</v>
      </c>
      <c r="E26" s="138">
        <v>68226669</v>
      </c>
      <c r="F26" s="138">
        <v>17678414</v>
      </c>
      <c r="G26" s="138">
        <v>893292.4</v>
      </c>
      <c r="H26" s="138">
        <v>103805228</v>
      </c>
      <c r="I26" s="138">
        <v>35578559</v>
      </c>
      <c r="J26" s="138">
        <v>68226669</v>
      </c>
      <c r="K26" s="138">
        <v>92283923</v>
      </c>
      <c r="L26" s="138">
        <v>61048238</v>
      </c>
      <c r="M26" s="138">
        <v>31235685</v>
      </c>
      <c r="N26" s="138">
        <v>11521305</v>
      </c>
      <c r="O26" s="138">
        <v>4342874</v>
      </c>
      <c r="P26" s="138">
        <v>7178431</v>
      </c>
      <c r="Q26" s="138">
        <v>18571706.399999999</v>
      </c>
      <c r="R26" s="138">
        <v>17678414</v>
      </c>
      <c r="S26" s="138">
        <v>893292.4</v>
      </c>
      <c r="T26" s="138">
        <v>18571706.399999999</v>
      </c>
      <c r="U26" s="138">
        <v>17678414</v>
      </c>
      <c r="V26" s="138">
        <v>893292.4</v>
      </c>
    </row>
    <row r="27" spans="1:22">
      <c r="A27" s="197"/>
      <c r="B27" s="133" t="s">
        <v>762</v>
      </c>
      <c r="C27" s="141">
        <v>119246018.3</v>
      </c>
      <c r="D27" s="138">
        <v>34501324</v>
      </c>
      <c r="E27" s="138">
        <v>67122767</v>
      </c>
      <c r="F27" s="138">
        <v>16709346</v>
      </c>
      <c r="G27" s="138">
        <v>912581.3</v>
      </c>
      <c r="H27" s="138">
        <v>101624091</v>
      </c>
      <c r="I27" s="138">
        <v>34501324</v>
      </c>
      <c r="J27" s="138">
        <v>67122767</v>
      </c>
      <c r="K27" s="138">
        <v>90943317</v>
      </c>
      <c r="L27" s="138">
        <v>60577924</v>
      </c>
      <c r="M27" s="138">
        <v>30365393</v>
      </c>
      <c r="N27" s="138">
        <v>10680774</v>
      </c>
      <c r="O27" s="138">
        <v>4135931</v>
      </c>
      <c r="P27" s="138">
        <v>6544843</v>
      </c>
      <c r="Q27" s="138">
        <v>17621927.300000001</v>
      </c>
      <c r="R27" s="138">
        <v>16709346</v>
      </c>
      <c r="S27" s="138">
        <v>912581.3</v>
      </c>
      <c r="T27" s="138">
        <v>17621927.300000001</v>
      </c>
      <c r="U27" s="138">
        <v>16709346</v>
      </c>
      <c r="V27" s="138">
        <v>912581.3</v>
      </c>
    </row>
    <row r="28" spans="1:22">
      <c r="A28" s="197"/>
      <c r="B28" s="133" t="s">
        <v>763</v>
      </c>
      <c r="C28" s="138">
        <v>124574771.7</v>
      </c>
      <c r="D28" s="138">
        <v>37493792</v>
      </c>
      <c r="E28" s="138">
        <v>69231908</v>
      </c>
      <c r="F28" s="138">
        <v>16986568</v>
      </c>
      <c r="G28" s="138">
        <v>862503.7</v>
      </c>
      <c r="H28" s="138">
        <v>106725700</v>
      </c>
      <c r="I28" s="138">
        <v>37493792</v>
      </c>
      <c r="J28" s="138">
        <v>69231908</v>
      </c>
      <c r="K28" s="138">
        <v>95818634</v>
      </c>
      <c r="L28" s="138">
        <v>62741329</v>
      </c>
      <c r="M28" s="138">
        <v>33077305</v>
      </c>
      <c r="N28" s="138">
        <v>10907066</v>
      </c>
      <c r="O28" s="138">
        <v>4416487</v>
      </c>
      <c r="P28" s="138">
        <v>6490579</v>
      </c>
      <c r="Q28" s="138">
        <v>17849071.699999999</v>
      </c>
      <c r="R28" s="138">
        <v>16986568</v>
      </c>
      <c r="S28" s="138">
        <v>862503.7</v>
      </c>
      <c r="T28" s="138">
        <v>17849071.699999999</v>
      </c>
      <c r="U28" s="138">
        <v>16986568</v>
      </c>
      <c r="V28" s="138">
        <v>862503.7</v>
      </c>
    </row>
    <row r="29" spans="1:22">
      <c r="A29" s="197"/>
      <c r="B29" s="133" t="s">
        <v>764</v>
      </c>
      <c r="C29" s="138">
        <v>129858628.90000001</v>
      </c>
      <c r="D29" s="138">
        <v>37169750</v>
      </c>
      <c r="E29" s="138">
        <v>72595976</v>
      </c>
      <c r="F29" s="138">
        <v>19096224</v>
      </c>
      <c r="G29" s="138">
        <v>996678.9</v>
      </c>
      <c r="H29" s="138">
        <v>109765726</v>
      </c>
      <c r="I29" s="138">
        <v>37169750</v>
      </c>
      <c r="J29" s="138">
        <v>72595976</v>
      </c>
      <c r="K29" s="138">
        <v>96470806</v>
      </c>
      <c r="L29" s="138">
        <v>64372189</v>
      </c>
      <c r="M29" s="138">
        <v>32098617</v>
      </c>
      <c r="N29" s="138">
        <v>13294920</v>
      </c>
      <c r="O29" s="138">
        <v>5071133</v>
      </c>
      <c r="P29" s="138">
        <v>8223787</v>
      </c>
      <c r="Q29" s="138">
        <v>20092902.899999999</v>
      </c>
      <c r="R29" s="138">
        <v>19096224</v>
      </c>
      <c r="S29" s="138">
        <v>996678.9</v>
      </c>
      <c r="T29" s="138">
        <v>20092902.899999999</v>
      </c>
      <c r="U29" s="138">
        <v>19096224</v>
      </c>
      <c r="V29" s="138">
        <v>996678.9</v>
      </c>
    </row>
    <row r="30" spans="1:22">
      <c r="A30" s="197"/>
      <c r="B30" s="133" t="s">
        <v>765</v>
      </c>
      <c r="C30" s="138">
        <v>131895940.40000001</v>
      </c>
      <c r="D30" s="138">
        <v>38503322</v>
      </c>
      <c r="E30" s="138">
        <v>72558784</v>
      </c>
      <c r="F30" s="138">
        <v>19910252</v>
      </c>
      <c r="G30" s="138">
        <v>923582.4</v>
      </c>
      <c r="H30" s="138">
        <v>111062106</v>
      </c>
      <c r="I30" s="138">
        <v>38503322</v>
      </c>
      <c r="J30" s="138">
        <v>72558784</v>
      </c>
      <c r="K30" s="138">
        <v>98394261</v>
      </c>
      <c r="L30" s="138">
        <v>64693273</v>
      </c>
      <c r="M30" s="138">
        <v>33700988</v>
      </c>
      <c r="N30" s="138">
        <v>12667845</v>
      </c>
      <c r="O30" s="138">
        <v>4802334</v>
      </c>
      <c r="P30" s="138">
        <v>7865511</v>
      </c>
      <c r="Q30" s="138">
        <v>20833834.399999999</v>
      </c>
      <c r="R30" s="138">
        <v>19910252</v>
      </c>
      <c r="S30" s="138">
        <v>923582.4</v>
      </c>
      <c r="T30" s="138">
        <v>20833834.399999999</v>
      </c>
      <c r="U30" s="138">
        <v>19910252</v>
      </c>
      <c r="V30" s="138">
        <v>923582.4</v>
      </c>
    </row>
    <row r="31" spans="1:22">
      <c r="A31" s="197"/>
      <c r="B31" s="133" t="s">
        <v>766</v>
      </c>
      <c r="C31" s="138">
        <v>130076994.3</v>
      </c>
      <c r="D31" s="138">
        <v>37160241</v>
      </c>
      <c r="E31" s="138">
        <v>72093393</v>
      </c>
      <c r="F31" s="138">
        <v>19892538</v>
      </c>
      <c r="G31" s="138">
        <v>930822.3</v>
      </c>
      <c r="H31" s="138">
        <v>109253634</v>
      </c>
      <c r="I31" s="138">
        <v>37160241</v>
      </c>
      <c r="J31" s="138">
        <v>72093393</v>
      </c>
      <c r="K31" s="138">
        <v>96084780</v>
      </c>
      <c r="L31" s="138">
        <v>63632690</v>
      </c>
      <c r="M31" s="138">
        <v>32452090</v>
      </c>
      <c r="N31" s="138">
        <v>13168854</v>
      </c>
      <c r="O31" s="138">
        <v>4708151</v>
      </c>
      <c r="P31" s="138">
        <v>8460703</v>
      </c>
      <c r="Q31" s="138">
        <v>20823360.300000001</v>
      </c>
      <c r="R31" s="138">
        <v>19892538</v>
      </c>
      <c r="S31" s="138">
        <v>930822.3</v>
      </c>
      <c r="T31" s="138">
        <v>20823360.300000001</v>
      </c>
      <c r="U31" s="138">
        <v>19892538</v>
      </c>
      <c r="V31" s="138">
        <v>930822.3</v>
      </c>
    </row>
    <row r="32" spans="1:22" ht="15" thickBot="1">
      <c r="A32" s="197" t="s">
        <v>768</v>
      </c>
      <c r="B32" s="197"/>
      <c r="C32" s="135">
        <v>914749271</v>
      </c>
      <c r="D32" s="134">
        <v>269381104</v>
      </c>
      <c r="E32" s="134">
        <v>516036805</v>
      </c>
      <c r="F32" s="134">
        <v>129331362</v>
      </c>
      <c r="G32" s="134">
        <v>0</v>
      </c>
      <c r="H32" s="134">
        <v>785417909</v>
      </c>
      <c r="I32" s="134">
        <v>269381104</v>
      </c>
      <c r="J32" s="134">
        <v>516036805</v>
      </c>
      <c r="K32" s="134">
        <v>694070745</v>
      </c>
      <c r="L32" s="134">
        <v>462189847</v>
      </c>
      <c r="M32" s="134">
        <v>231880898</v>
      </c>
      <c r="N32" s="134">
        <v>91347164</v>
      </c>
      <c r="O32" s="134">
        <v>37500206</v>
      </c>
      <c r="P32" s="134">
        <v>53846958</v>
      </c>
      <c r="Q32" s="134">
        <v>129331362</v>
      </c>
      <c r="R32" s="134">
        <v>129331362</v>
      </c>
      <c r="S32" s="134">
        <v>0</v>
      </c>
      <c r="T32" s="134">
        <v>129331362</v>
      </c>
      <c r="U32" s="134">
        <v>129331362</v>
      </c>
      <c r="V32" s="134">
        <v>0</v>
      </c>
    </row>
    <row r="33" spans="1:22">
      <c r="A33" s="197" t="s">
        <v>769</v>
      </c>
      <c r="B33" s="136" t="s">
        <v>755</v>
      </c>
      <c r="C33" s="48">
        <v>129950859</v>
      </c>
      <c r="D33" s="137">
        <v>37267495</v>
      </c>
      <c r="E33" s="138">
        <v>74656662</v>
      </c>
      <c r="F33" s="138">
        <v>18026702</v>
      </c>
      <c r="G33" s="138">
        <v>0</v>
      </c>
      <c r="H33" s="138">
        <v>111924157</v>
      </c>
      <c r="I33" s="138">
        <v>37267495</v>
      </c>
      <c r="J33" s="138">
        <v>74656662</v>
      </c>
      <c r="K33" s="138">
        <v>99060696</v>
      </c>
      <c r="L33" s="138">
        <v>67045905</v>
      </c>
      <c r="M33" s="138">
        <v>32014791</v>
      </c>
      <c r="N33" s="138">
        <v>12863461</v>
      </c>
      <c r="O33" s="138">
        <v>5252704</v>
      </c>
      <c r="P33" s="138">
        <v>7610757</v>
      </c>
      <c r="Q33" s="138">
        <v>18026702</v>
      </c>
      <c r="R33" s="138">
        <v>18026702</v>
      </c>
      <c r="S33" s="138">
        <v>0</v>
      </c>
      <c r="T33" s="138">
        <v>18026702</v>
      </c>
      <c r="U33" s="138">
        <v>18026702</v>
      </c>
      <c r="V33" s="138">
        <v>0</v>
      </c>
    </row>
    <row r="34" spans="1:22">
      <c r="A34" s="197"/>
      <c r="B34" s="136" t="s">
        <v>756</v>
      </c>
      <c r="C34" s="139">
        <v>119329884</v>
      </c>
      <c r="D34" s="137">
        <v>34298389</v>
      </c>
      <c r="E34" s="138">
        <v>69387301</v>
      </c>
      <c r="F34" s="138">
        <v>15644194</v>
      </c>
      <c r="G34" s="138">
        <v>0</v>
      </c>
      <c r="H34" s="138">
        <v>103685690</v>
      </c>
      <c r="I34" s="138">
        <v>34298389</v>
      </c>
      <c r="J34" s="138">
        <v>69387301</v>
      </c>
      <c r="K34" s="138">
        <v>92060501</v>
      </c>
      <c r="L34" s="138">
        <v>62644295</v>
      </c>
      <c r="M34" s="138">
        <v>29416206</v>
      </c>
      <c r="N34" s="138">
        <v>11625189</v>
      </c>
      <c r="O34" s="138">
        <v>4882183</v>
      </c>
      <c r="P34" s="138">
        <v>6743006</v>
      </c>
      <c r="Q34" s="138">
        <v>15644194</v>
      </c>
      <c r="R34" s="138">
        <v>15644194</v>
      </c>
      <c r="S34" s="138">
        <v>0</v>
      </c>
      <c r="T34" s="138">
        <v>15644194</v>
      </c>
      <c r="U34" s="138">
        <v>15644194</v>
      </c>
      <c r="V34" s="138">
        <v>0</v>
      </c>
    </row>
    <row r="35" spans="1:22">
      <c r="A35" s="197"/>
      <c r="B35" s="136" t="s">
        <v>757</v>
      </c>
      <c r="C35" s="139">
        <v>137236582</v>
      </c>
      <c r="D35" s="137">
        <v>41392368</v>
      </c>
      <c r="E35" s="138">
        <v>76544300</v>
      </c>
      <c r="F35" s="138">
        <v>19299914</v>
      </c>
      <c r="G35" s="138">
        <v>0</v>
      </c>
      <c r="H35" s="138">
        <v>117936668</v>
      </c>
      <c r="I35" s="138">
        <v>41392368</v>
      </c>
      <c r="J35" s="138">
        <v>76544300</v>
      </c>
      <c r="K35" s="138">
        <v>103184226</v>
      </c>
      <c r="L35" s="138">
        <v>67093792</v>
      </c>
      <c r="M35" s="138">
        <v>36090434</v>
      </c>
      <c r="N35" s="138">
        <v>14752442</v>
      </c>
      <c r="O35" s="138">
        <v>5301934</v>
      </c>
      <c r="P35" s="138">
        <v>9450508</v>
      </c>
      <c r="Q35" s="138">
        <v>19299914</v>
      </c>
      <c r="R35" s="138">
        <v>19299914</v>
      </c>
      <c r="S35" s="138">
        <v>0</v>
      </c>
      <c r="T35" s="138">
        <v>19299914</v>
      </c>
      <c r="U35" s="138">
        <v>19299914</v>
      </c>
      <c r="V35" s="138">
        <v>0</v>
      </c>
    </row>
    <row r="36" spans="1:22">
      <c r="A36" s="197"/>
      <c r="B36" s="136" t="s">
        <v>758</v>
      </c>
      <c r="C36" s="139">
        <v>130919972</v>
      </c>
      <c r="D36" s="137">
        <v>39344962</v>
      </c>
      <c r="E36" s="138">
        <v>72321368</v>
      </c>
      <c r="F36" s="138">
        <v>19253642</v>
      </c>
      <c r="G36" s="138">
        <v>0</v>
      </c>
      <c r="H36" s="138">
        <v>111666330</v>
      </c>
      <c r="I36" s="138">
        <v>39344962</v>
      </c>
      <c r="J36" s="138">
        <v>72321368</v>
      </c>
      <c r="K36" s="138">
        <v>98865889</v>
      </c>
      <c r="L36" s="138">
        <v>65390509</v>
      </c>
      <c r="M36" s="138">
        <v>33475380</v>
      </c>
      <c r="N36" s="138">
        <v>12800441</v>
      </c>
      <c r="O36" s="138">
        <v>5869582</v>
      </c>
      <c r="P36" s="138">
        <v>6930859</v>
      </c>
      <c r="Q36" s="138">
        <v>19253642</v>
      </c>
      <c r="R36" s="138">
        <v>19253642</v>
      </c>
      <c r="S36" s="138">
        <v>0</v>
      </c>
      <c r="T36" s="138">
        <v>19253642</v>
      </c>
      <c r="U36" s="138">
        <v>19253642</v>
      </c>
      <c r="V36" s="138">
        <v>0</v>
      </c>
    </row>
    <row r="37" spans="1:22">
      <c r="A37" s="197"/>
      <c r="B37" s="136" t="s">
        <v>759</v>
      </c>
      <c r="C37" s="139">
        <v>131095350</v>
      </c>
      <c r="D37" s="137">
        <v>40068557</v>
      </c>
      <c r="E37" s="138">
        <v>71532317</v>
      </c>
      <c r="F37" s="138">
        <v>19494476</v>
      </c>
      <c r="G37" s="138">
        <v>0</v>
      </c>
      <c r="H37" s="138">
        <v>111600874</v>
      </c>
      <c r="I37" s="138">
        <v>40068557</v>
      </c>
      <c r="J37" s="138">
        <v>71532317</v>
      </c>
      <c r="K37" s="138">
        <v>98609204</v>
      </c>
      <c r="L37" s="138">
        <v>64038210</v>
      </c>
      <c r="M37" s="138">
        <v>34570994</v>
      </c>
      <c r="N37" s="138">
        <v>12991670</v>
      </c>
      <c r="O37" s="138">
        <v>5497563</v>
      </c>
      <c r="P37" s="138">
        <v>7494107</v>
      </c>
      <c r="Q37" s="138">
        <v>19494476</v>
      </c>
      <c r="R37" s="138">
        <v>19494476</v>
      </c>
      <c r="S37" s="138">
        <v>0</v>
      </c>
      <c r="T37" s="138">
        <v>19494476</v>
      </c>
      <c r="U37" s="138">
        <v>19494476</v>
      </c>
      <c r="V37" s="138">
        <v>0</v>
      </c>
    </row>
    <row r="38" spans="1:22">
      <c r="A38" s="197"/>
      <c r="B38" s="136" t="s">
        <v>760</v>
      </c>
      <c r="C38" s="139">
        <v>129028649</v>
      </c>
      <c r="D38" s="137">
        <v>37720168</v>
      </c>
      <c r="E38" s="138">
        <v>72586655</v>
      </c>
      <c r="F38" s="138">
        <v>18721826</v>
      </c>
      <c r="G38" s="138">
        <v>0</v>
      </c>
      <c r="H38" s="138">
        <v>110306823</v>
      </c>
      <c r="I38" s="138">
        <v>37720168</v>
      </c>
      <c r="J38" s="138">
        <v>72586655</v>
      </c>
      <c r="K38" s="138">
        <v>97963787</v>
      </c>
      <c r="L38" s="138">
        <v>65092001</v>
      </c>
      <c r="M38" s="138">
        <v>32871786</v>
      </c>
      <c r="N38" s="138">
        <v>12343036</v>
      </c>
      <c r="O38" s="138">
        <v>4848382</v>
      </c>
      <c r="P38" s="138">
        <v>7494654</v>
      </c>
      <c r="Q38" s="138">
        <v>18721826</v>
      </c>
      <c r="R38" s="138">
        <v>18721826</v>
      </c>
      <c r="S38" s="138">
        <v>0</v>
      </c>
      <c r="T38" s="138">
        <v>18721826</v>
      </c>
      <c r="U38" s="138">
        <v>18721826</v>
      </c>
      <c r="V38" s="138">
        <v>0</v>
      </c>
    </row>
    <row r="39" spans="1:22" ht="15" thickBot="1">
      <c r="A39" s="197"/>
      <c r="B39" s="136" t="s">
        <v>761</v>
      </c>
      <c r="C39" s="140">
        <v>137187975</v>
      </c>
      <c r="D39" s="137">
        <v>39289165</v>
      </c>
      <c r="E39" s="138">
        <v>79008202</v>
      </c>
      <c r="F39" s="138">
        <v>18890608</v>
      </c>
      <c r="G39" s="138">
        <v>0</v>
      </c>
      <c r="H39" s="138">
        <v>118297367</v>
      </c>
      <c r="I39" s="138">
        <v>39289165</v>
      </c>
      <c r="J39" s="138">
        <v>79008202</v>
      </c>
      <c r="K39" s="138">
        <v>104326442</v>
      </c>
      <c r="L39" s="138">
        <v>70885135</v>
      </c>
      <c r="M39" s="138">
        <v>33441307</v>
      </c>
      <c r="N39" s="138">
        <v>13970925</v>
      </c>
      <c r="O39" s="138">
        <v>5847858</v>
      </c>
      <c r="P39" s="138">
        <v>8123067</v>
      </c>
      <c r="Q39" s="138">
        <v>18890608</v>
      </c>
      <c r="R39" s="138">
        <v>18890608</v>
      </c>
      <c r="S39" s="138">
        <v>0</v>
      </c>
      <c r="T39" s="138">
        <v>18890608</v>
      </c>
      <c r="U39" s="138">
        <v>18890608</v>
      </c>
      <c r="V39" s="138">
        <v>0</v>
      </c>
    </row>
    <row r="40" spans="1:22">
      <c r="A40" s="25"/>
    </row>
    <row r="41" spans="1:22">
      <c r="B41" s="25">
        <v>2019</v>
      </c>
      <c r="C41" s="25">
        <v>2020</v>
      </c>
      <c r="D41" s="25">
        <v>2021</v>
      </c>
    </row>
    <row r="42" spans="1:22">
      <c r="B42" s="45">
        <f>SUM(C7:C13)</f>
        <v>955344496.89999986</v>
      </c>
      <c r="C42" s="45">
        <f>SUM(C20:C26)</f>
        <v>874473085.20000005</v>
      </c>
      <c r="D42" s="45">
        <f>SUM(C33:C39)</f>
        <v>914749271</v>
      </c>
    </row>
    <row r="43" spans="1:22">
      <c r="A43" s="4" t="s">
        <v>770</v>
      </c>
      <c r="C43" s="47">
        <f>(C42-B42)/B42</f>
        <v>-8.4651570153405076E-2</v>
      </c>
      <c r="D43" s="47">
        <f>(D42-C42)/C42</f>
        <v>4.6057662015736502E-2</v>
      </c>
    </row>
    <row r="45" spans="1:22">
      <c r="A45" s="25" t="s">
        <v>366</v>
      </c>
    </row>
    <row r="46" spans="1:22">
      <c r="A46" s="29" t="s">
        <v>771</v>
      </c>
    </row>
    <row r="47" spans="1:22">
      <c r="A47" s="29"/>
    </row>
    <row r="48" spans="1:22">
      <c r="A48" s="4" t="s">
        <v>772</v>
      </c>
    </row>
    <row r="49" spans="1:2">
      <c r="A49" s="4" t="s">
        <v>773</v>
      </c>
    </row>
    <row r="50" spans="1:2">
      <c r="A50" s="47">
        <v>6.0000000000000001E-3</v>
      </c>
      <c r="B50" s="4" t="s">
        <v>774</v>
      </c>
    </row>
  </sheetData>
  <mergeCells count="17">
    <mergeCell ref="A2:B3"/>
    <mergeCell ref="C2:G2"/>
    <mergeCell ref="H2:P2"/>
    <mergeCell ref="Q2:V2"/>
    <mergeCell ref="C3:G3"/>
    <mergeCell ref="H3:J3"/>
    <mergeCell ref="K3:M3"/>
    <mergeCell ref="N3:P3"/>
    <mergeCell ref="Q3:S3"/>
    <mergeCell ref="T3:V3"/>
    <mergeCell ref="A33:A39"/>
    <mergeCell ref="A5:B5"/>
    <mergeCell ref="A6:B6"/>
    <mergeCell ref="A7:A18"/>
    <mergeCell ref="A19:B19"/>
    <mergeCell ref="A20:A31"/>
    <mergeCell ref="A32:B32"/>
  </mergeCells>
  <phoneticPr fontId="43" type="noConversion"/>
  <pageMargins left="0.7" right="0.7" top="0.75" bottom="0.75" header="0.3" footer="0.3"/>
  <ignoredErrors>
    <ignoredError sqref="B42:D42" formulaRange="1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G17"/>
  <sheetViews>
    <sheetView tabSelected="1" topLeftCell="A2" workbookViewId="0">
      <selection activeCell="A2" sqref="A1:XFD1048576"/>
    </sheetView>
  </sheetViews>
  <sheetFormatPr defaultColWidth="9.109375" defaultRowHeight="14.4"/>
  <cols>
    <col min="1" max="1" width="16.6640625" customWidth="1"/>
    <col min="2" max="2" width="10.33203125" bestFit="1" customWidth="1"/>
  </cols>
  <sheetData>
    <row r="1" spans="1:33" ht="72">
      <c r="A1" s="3" t="s">
        <v>775</v>
      </c>
      <c r="B1" s="78">
        <v>2019</v>
      </c>
      <c r="C1" s="78">
        <v>2020</v>
      </c>
      <c r="D1" s="78">
        <v>2021</v>
      </c>
      <c r="E1" s="78">
        <v>2022</v>
      </c>
      <c r="F1" s="78">
        <v>2023</v>
      </c>
      <c r="G1" s="78">
        <v>2024</v>
      </c>
      <c r="H1" s="78">
        <v>2025</v>
      </c>
      <c r="I1" s="78">
        <v>2026</v>
      </c>
      <c r="J1" s="78">
        <v>2027</v>
      </c>
      <c r="K1" s="78">
        <v>2028</v>
      </c>
      <c r="L1" s="78">
        <v>2029</v>
      </c>
      <c r="M1" s="78">
        <v>2030</v>
      </c>
      <c r="N1" s="78">
        <v>2031</v>
      </c>
      <c r="O1" s="78">
        <v>2032</v>
      </c>
      <c r="P1" s="78">
        <v>2033</v>
      </c>
      <c r="Q1" s="78">
        <v>2034</v>
      </c>
      <c r="R1" s="78">
        <v>2035</v>
      </c>
      <c r="S1" s="78">
        <v>2036</v>
      </c>
      <c r="T1" s="78">
        <v>2037</v>
      </c>
      <c r="U1" s="78">
        <v>2038</v>
      </c>
      <c r="V1" s="78">
        <v>2039</v>
      </c>
      <c r="W1" s="78">
        <v>2040</v>
      </c>
      <c r="X1" s="78">
        <v>2041</v>
      </c>
      <c r="Y1" s="78">
        <v>2042</v>
      </c>
      <c r="Z1" s="78">
        <v>2043</v>
      </c>
      <c r="AA1" s="78">
        <v>2044</v>
      </c>
      <c r="AB1" s="78">
        <v>2045</v>
      </c>
      <c r="AC1" s="78">
        <v>2046</v>
      </c>
      <c r="AD1" s="78">
        <v>2047</v>
      </c>
      <c r="AE1" s="78">
        <v>2048</v>
      </c>
      <c r="AF1" s="78">
        <v>2049</v>
      </c>
      <c r="AG1" s="78">
        <v>2050</v>
      </c>
    </row>
    <row r="2" spans="1:33" s="46" customFormat="1">
      <c r="A2" t="s">
        <v>776</v>
      </c>
      <c r="B2" s="149">
        <f>'DV-CAGR_mod'!U47/'DV-CAGR_mod'!$V47</f>
        <v>1.0096925052932657</v>
      </c>
      <c r="C2" s="149">
        <f>'DV-CAGR_mod'!V47/'DV-CAGR_mod'!$V47</f>
        <v>1</v>
      </c>
      <c r="D2" s="158">
        <f>'DV-CAGR_mod'!W47/'DV-CAGR_mod'!$V47</f>
        <v>1.0623090361486596</v>
      </c>
      <c r="E2" s="158">
        <f>'DV-CAGR_mod'!X47/'DV-CAGR_mod'!$V47</f>
        <v>0.96845803866773106</v>
      </c>
      <c r="F2" s="149">
        <f>'DV-CAGR_mod'!Y47/'DV-CAGR_mod'!$V47</f>
        <v>0.97566526489168615</v>
      </c>
      <c r="G2" s="149">
        <f>'DV-CAGR_mod'!Z47/'DV-CAGR_mod'!$V47</f>
        <v>0.98618626883413818</v>
      </c>
      <c r="H2" s="149">
        <f>'DV-CAGR_mod'!AA47/'DV-CAGR_mod'!$V47</f>
        <v>0.99682072513360243</v>
      </c>
      <c r="I2" s="149">
        <f>'DV-CAGR_mod'!AB47/'DV-CAGR_mod'!$V47</f>
        <v>1.0075698571939846</v>
      </c>
      <c r="J2" s="149">
        <f>'DV-CAGR_mod'!AC47/'DV-CAGR_mod'!$V47</f>
        <v>1.0184349016116625</v>
      </c>
      <c r="K2" s="149">
        <f>'DV-CAGR_mod'!AD47/'DV-CAGR_mod'!$V47</f>
        <v>1.0294171083177468</v>
      </c>
      <c r="L2" s="149">
        <f>'DV-CAGR_mod'!AE47/'DV-CAGR_mod'!$V47</f>
        <v>1.0405177407218744</v>
      </c>
      <c r="M2" s="149">
        <f>'DV-CAGR_mod'!AF47/'DV-CAGR_mod'!$V47</f>
        <v>1.0517380758575536</v>
      </c>
      <c r="N2" s="149">
        <f>'DV-CAGR_mod'!AG47/'DV-CAGR_mod'!$V47</f>
        <v>1.0630794045290757</v>
      </c>
      <c r="O2" s="149">
        <f>'DV-CAGR_mod'!AH47/'DV-CAGR_mod'!$V47</f>
        <v>1.0745430314600104</v>
      </c>
      <c r="P2" s="149">
        <f>'DV-CAGR_mod'!AI47/'DV-CAGR_mod'!$V47</f>
        <v>1.0861302754433042</v>
      </c>
      <c r="Q2" s="149">
        <f>'DV-CAGR_mod'!AJ47/'DV-CAGR_mod'!$V47</f>
        <v>1.097842469492996</v>
      </c>
      <c r="R2" s="149">
        <f>'DV-CAGR_mod'!AK47/'DV-CAGR_mod'!$V47</f>
        <v>1.1096809609975686</v>
      </c>
      <c r="S2" s="149">
        <f>'DV-CAGR_mod'!AL47/'DV-CAGR_mod'!$V47</f>
        <v>1.1216471118749551</v>
      </c>
      <c r="T2" s="149">
        <f>'DV-CAGR_mod'!AM47/'DV-CAGR_mod'!$V47</f>
        <v>1.1337422987292154</v>
      </c>
      <c r="U2" s="149">
        <f>'DV-CAGR_mod'!AN47/'DV-CAGR_mod'!$V47</f>
        <v>1.1459679130089024</v>
      </c>
      <c r="V2" s="149">
        <f>'DV-CAGR_mod'!AO47/'DV-CAGR_mod'!$V47</f>
        <v>1.1583253611671378</v>
      </c>
      <c r="W2" s="149">
        <f>'DV-CAGR_mod'!AP47/'DV-CAGR_mod'!$V47</f>
        <v>1.1708160648234114</v>
      </c>
      <c r="X2" s="149">
        <f>'DV-CAGR_mod'!AQ47/'DV-CAGR_mod'!$V47</f>
        <v>1.183441460927126</v>
      </c>
      <c r="Y2" s="149">
        <f>'DV-CAGR_mod'!AR47/'DV-CAGR_mod'!$V47</f>
        <v>1.1962030019229075</v>
      </c>
      <c r="Z2" s="149">
        <f>'DV-CAGR_mod'!AS47/'DV-CAGR_mod'!$V47</f>
        <v>1.2091021559176958</v>
      </c>
      <c r="AA2" s="149">
        <f>'DV-CAGR_mod'!AT47/'DV-CAGR_mod'!$V47</f>
        <v>1.2221404068496375</v>
      </c>
      <c r="AB2" s="149">
        <f>'DV-CAGR_mod'!AU47/'DV-CAGR_mod'!$V47</f>
        <v>1.235319254658801</v>
      </c>
      <c r="AC2" s="149">
        <f>'DV-CAGR_mod'!AV47/'DV-CAGR_mod'!$V47</f>
        <v>1.248640215459732</v>
      </c>
      <c r="AD2" s="149">
        <f>'DV-CAGR_mod'!AW47/'DV-CAGR_mod'!$V47</f>
        <v>1.2621048217158686</v>
      </c>
      <c r="AE2" s="149">
        <f>'DV-CAGR_mod'!AX47/'DV-CAGR_mod'!$V47</f>
        <v>1.2757146224158395</v>
      </c>
      <c r="AF2" s="149">
        <f>'DV-CAGR_mod'!AY47/'DV-CAGR_mod'!$V47</f>
        <v>1.2894711832516612</v>
      </c>
      <c r="AG2" s="149">
        <f>'DV-CAGR_mod'!AZ47/'DV-CAGR_mod'!$V47</f>
        <v>1.3033760867988577</v>
      </c>
    </row>
    <row r="3" spans="1:33" s="46" customFormat="1">
      <c r="A3" t="s">
        <v>777</v>
      </c>
      <c r="B3" s="149">
        <f>'DV-CAGR_mod'!U48/'DV-CAGR_mod'!$V48</f>
        <v>0.97877090691518132</v>
      </c>
      <c r="C3" s="149">
        <f>'DV-CAGR_mod'!V48/'DV-CAGR_mod'!$V48</f>
        <v>1</v>
      </c>
      <c r="D3" s="158">
        <f>'DV-CAGR_mod'!W48/'DV-CAGR_mod'!$V48</f>
        <v>1.1407765352850536</v>
      </c>
      <c r="E3" s="158">
        <f>'DV-CAGR_mod'!X48/'DV-CAGR_mod'!$V48</f>
        <v>1.0444492957614646</v>
      </c>
      <c r="F3" s="149">
        <f>'DV-CAGR_mod'!Y48/'DV-CAGR_mod'!$V48</f>
        <v>1.0574208539193115</v>
      </c>
      <c r="G3" s="149">
        <f>'DV-CAGR_mod'!Z48/'DV-CAGR_mod'!$V48</f>
        <v>1.0866454902243161</v>
      </c>
      <c r="H3" s="149">
        <f>'DV-CAGR_mod'!AA48/'DV-CAGR_mod'!$V48</f>
        <v>1.1166778270432594</v>
      </c>
      <c r="I3" s="149">
        <f>'DV-CAGR_mod'!AB48/'DV-CAGR_mod'!$V48</f>
        <v>1.1475401873270035</v>
      </c>
      <c r="J3" s="149">
        <f>'DV-CAGR_mod'!AC48/'DV-CAGR_mod'!$V48</f>
        <v>1.179255510980501</v>
      </c>
      <c r="K3" s="149">
        <f>'DV-CAGR_mod'!AD48/'DV-CAGR_mod'!$V48</f>
        <v>1.21184737191396</v>
      </c>
      <c r="L3" s="149">
        <f>'DV-CAGR_mod'!AE48/'DV-CAGR_mod'!$V48</f>
        <v>1.2453399955652651</v>
      </c>
      <c r="M3" s="149">
        <f>'DV-CAGR_mod'!AF48/'DV-CAGR_mod'!$V48</f>
        <v>1.2797582769066771</v>
      </c>
      <c r="N3" s="149">
        <f>'DV-CAGR_mod'!AG48/'DV-CAGR_mod'!$V48</f>
        <v>1.315127798949195</v>
      </c>
      <c r="O3" s="149">
        <f>'DV-CAGR_mod'!AH48/'DV-CAGR_mod'!$V48</f>
        <v>1.3514748517583353</v>
      </c>
      <c r="P3" s="149">
        <f>'DV-CAGR_mod'!AI48/'DV-CAGR_mod'!$V48</f>
        <v>1.3888264519954641</v>
      </c>
      <c r="Q3" s="149">
        <f>'DV-CAGR_mod'!AJ48/'DV-CAGR_mod'!$V48</f>
        <v>1.4272103629992041</v>
      </c>
      <c r="R3" s="149">
        <f>'DV-CAGR_mod'!AK48/'DV-CAGR_mod'!$V48</f>
        <v>1.4666551154218457</v>
      </c>
      <c r="S3" s="149">
        <f>'DV-CAGR_mod'!AL48/'DV-CAGR_mod'!$V48</f>
        <v>1.5071900284361002</v>
      </c>
      <c r="T3" s="149">
        <f>'DV-CAGR_mod'!AM48/'DV-CAGR_mod'!$V48</f>
        <v>1.5488452315279582</v>
      </c>
      <c r="U3" s="149">
        <f>'DV-CAGR_mod'!AN48/'DV-CAGR_mod'!$V48</f>
        <v>1.5916516868918498</v>
      </c>
      <c r="V3" s="149">
        <f>'DV-CAGR_mod'!AO48/'DV-CAGR_mod'!$V48</f>
        <v>1.6356412124447579</v>
      </c>
      <c r="W3" s="149">
        <f>'DV-CAGR_mod'!AP48/'DV-CAGR_mod'!$V48</f>
        <v>1.6808465054763841</v>
      </c>
      <c r="X3" s="149">
        <f>'DV-CAGR_mod'!AQ48/'DV-CAGR_mod'!$V48</f>
        <v>1.7273011669529525</v>
      </c>
      <c r="Y3" s="149">
        <f>'DV-CAGR_mod'!AR48/'DV-CAGR_mod'!$V48</f>
        <v>1.7750397264927118</v>
      </c>
      <c r="Z3" s="149">
        <f>'DV-CAGR_mod'!AS48/'DV-CAGR_mod'!$V48</f>
        <v>1.8240976680317038</v>
      </c>
      <c r="AA3" s="149">
        <f>'DV-CAGR_mod'!AT48/'DV-CAGR_mod'!$V48</f>
        <v>1.8745114561988714</v>
      </c>
      <c r="AB3" s="149">
        <f>'DV-CAGR_mod'!AU48/'DV-CAGR_mod'!$V48</f>
        <v>1.926318563420115</v>
      </c>
      <c r="AC3" s="149">
        <f>'DV-CAGR_mod'!AV48/'DV-CAGR_mod'!$V48</f>
        <v>1.9795574977714399</v>
      </c>
      <c r="AD3" s="149">
        <f>'DV-CAGR_mod'!AW48/'DV-CAGR_mod'!$V48</f>
        <v>2.0342678316018996</v>
      </c>
      <c r="AE3" s="149">
        <f>'DV-CAGR_mod'!AX48/'DV-CAGR_mod'!$V48</f>
        <v>2.0904902309476125</v>
      </c>
      <c r="AF3" s="149">
        <f>'DV-CAGR_mod'!AY48/'DV-CAGR_mod'!$V48</f>
        <v>2.1482664857587088</v>
      </c>
      <c r="AG3" s="149">
        <f>'DV-CAGR_mod'!AZ48/'DV-CAGR_mod'!$V48</f>
        <v>2.2076395409616847</v>
      </c>
    </row>
    <row r="4" spans="1:33" s="46" customFormat="1">
      <c r="A4" t="s">
        <v>778</v>
      </c>
      <c r="B4" s="46">
        <v>1</v>
      </c>
      <c r="C4" s="46">
        <f>'Air-Cal'!C7</f>
        <v>0.39189939646309102</v>
      </c>
      <c r="D4" s="46">
        <f>'Air-Cal'!D7</f>
        <v>0.34910898091961506</v>
      </c>
      <c r="E4" s="76">
        <f>D4+($B$4-$D$4)/COUNT($E$1:$G$1)</f>
        <v>0.56607265394641004</v>
      </c>
      <c r="F4" s="76">
        <f>E4+($B$4-$D$4)/COUNT($E$1:$G$1)</f>
        <v>0.78303632697320502</v>
      </c>
      <c r="G4" s="81">
        <f>F4+($B$4-$D$4)/COUNT($E$1:$G$1)</f>
        <v>1</v>
      </c>
      <c r="H4" s="46">
        <f>G4*'Air-CAGR'!$I$56</f>
        <v>1.01</v>
      </c>
      <c r="I4" s="46">
        <f>H4*'Air-CAGR'!$I$56</f>
        <v>1.0201</v>
      </c>
      <c r="J4" s="46">
        <f>I4*'Air-CAGR'!$I$56</f>
        <v>1.0303009999999999</v>
      </c>
      <c r="K4" s="46">
        <f>J4*'Air-CAGR'!$I$56</f>
        <v>1.04060401</v>
      </c>
      <c r="L4" s="46">
        <f>K4*'Air-CAGR'!$I$56</f>
        <v>1.0510100500999999</v>
      </c>
      <c r="M4" s="46">
        <f>L4*'Air-CAGR'!$I$56</f>
        <v>1.0615201506009999</v>
      </c>
      <c r="N4" s="46">
        <f>M4*'Air-CAGR'!$I$56</f>
        <v>1.0721353521070098</v>
      </c>
      <c r="O4" s="46">
        <f>N4*'Air-CAGR'!$I$56</f>
        <v>1.08285670562808</v>
      </c>
      <c r="P4" s="46">
        <f>O4*'Air-CAGR'!$I$56</f>
        <v>1.0936852726843609</v>
      </c>
      <c r="Q4" s="46">
        <f>P4*'Air-CAGR'!$I$56</f>
        <v>1.1046221254112045</v>
      </c>
      <c r="R4" s="46">
        <f>Q4*'Air-CAGR'!$I$56</f>
        <v>1.1156683466653166</v>
      </c>
      <c r="S4" s="46">
        <f>R4*'Air-CAGR'!$I$56</f>
        <v>1.1268250301319698</v>
      </c>
      <c r="T4" s="46">
        <f>S4*'Air-CAGR'!$I$56</f>
        <v>1.1380932804332895</v>
      </c>
      <c r="U4" s="46">
        <f>T4*'Air-CAGR'!$I$56</f>
        <v>1.1494742132376223</v>
      </c>
      <c r="V4" s="46">
        <f>U4*'Air-CAGR'!$I$56</f>
        <v>1.1609689553699987</v>
      </c>
      <c r="W4" s="46">
        <f>V4*'Air-CAGR'!$I$56</f>
        <v>1.1725786449236986</v>
      </c>
      <c r="X4" s="46">
        <f>W4*'Air-CAGR'!$I$56</f>
        <v>1.1843044313729356</v>
      </c>
      <c r="Y4" s="46">
        <f>X4*'Air-CAGR'!$I$56</f>
        <v>1.196147475686665</v>
      </c>
      <c r="Z4" s="46">
        <f>Y4*'Air-CAGR'!$I$56</f>
        <v>1.2081089504435316</v>
      </c>
      <c r="AA4" s="46">
        <f>Z4*'Air-CAGR'!$I$56</f>
        <v>1.220190039947967</v>
      </c>
      <c r="AB4" s="46">
        <f>AA4*'Air-CAGR'!$I$56</f>
        <v>1.2323919403474468</v>
      </c>
      <c r="AC4" s="46">
        <f>AB4*'Air-CAGR'!$I$56</f>
        <v>1.2447158597509214</v>
      </c>
      <c r="AD4" s="46">
        <f>AC4*'Air-CAGR'!$I$56</f>
        <v>1.2571630183484306</v>
      </c>
      <c r="AE4" s="46">
        <f>AD4*'Air-CAGR'!$I$56</f>
        <v>1.269734648531915</v>
      </c>
      <c r="AF4" s="46">
        <f>AE4</f>
        <v>1.269734648531915</v>
      </c>
      <c r="AG4" s="46">
        <f>AE4</f>
        <v>1.269734648531915</v>
      </c>
    </row>
    <row r="5" spans="1:33" s="46" customFormat="1">
      <c r="A5" t="s">
        <v>779</v>
      </c>
      <c r="B5" s="46">
        <v>1</v>
      </c>
      <c r="C5" s="46">
        <f>'Rail-Cal'!C4</f>
        <v>0.63449793100934282</v>
      </c>
      <c r="D5" s="46">
        <f>'Rail-Cal'!D4</f>
        <v>0.63972651023832128</v>
      </c>
      <c r="E5" s="46">
        <f>D5*(1+'BAADTbVT_Rail-CAGR'!$K$4)</f>
        <v>0.6645703969252037</v>
      </c>
      <c r="F5" s="46">
        <f>E5*(1+'BAADTbVT_Rail-CAGR'!$K$4)</f>
        <v>0.69037910013263448</v>
      </c>
      <c r="G5" s="46">
        <f>F5*(1+'BAADTbVT_Rail-CAGR'!$K$4)</f>
        <v>0.71719008867256129</v>
      </c>
      <c r="H5" s="46">
        <f>G5*(1+'BAADTbVT_Rail-CAGR'!$K$4)</f>
        <v>0.74504228646454973</v>
      </c>
      <c r="I5" s="46">
        <f>H5*(1+'BAADTbVT_Rail-CAGR'!$K$4)</f>
        <v>0.77397612904513235</v>
      </c>
      <c r="J5" s="46">
        <f>I5*(1+'BAADTbVT_Rail-CAGR'!$K$4)</f>
        <v>0.80403362227170794</v>
      </c>
      <c r="K5" s="46">
        <f>J5*(1+'BAADTbVT_Rail-CAGR'!$K$4)</f>
        <v>0.83525840330621659</v>
      </c>
      <c r="L5" s="46">
        <f>K5*(1+'BAADTbVT_Rail-CAGR'!$K$4)</f>
        <v>0.86769580396712631</v>
      </c>
      <c r="M5" s="46">
        <f>L5*(1+'BAADTbVT_Rail-CAGR'!$K$4)</f>
        <v>0.90139291654170428</v>
      </c>
      <c r="N5" s="46">
        <f>M5*(1+'BAADTbVT_Rail-CAGR'!$K$4)</f>
        <v>0.93639866215411915</v>
      </c>
      <c r="O5" s="46">
        <f>N5*(1+'BAADTbVT_Rail-CAGR'!$K$4)</f>
        <v>0.97276386178862961</v>
      </c>
      <c r="P5" s="46">
        <f>O5*(1+'BAADTbVT_Rail-CAGR'!$K$4)</f>
        <v>1.0105413100709708</v>
      </c>
      <c r="Q5" s="46">
        <f>P5*(1+'BAADTbVT_Rail-CAGR'!$K$4)</f>
        <v>1.0497858519150536</v>
      </c>
      <c r="R5" s="46">
        <f>Q5*(1+'BAADTbVT_Rail-CAGR'!$K$4)</f>
        <v>1.0905544621462504</v>
      </c>
      <c r="S5" s="46">
        <f>R5*(1+'BAADTbVT_Rail-CAGR'!$K$4)</f>
        <v>1.1329063282168657</v>
      </c>
      <c r="T5" s="46">
        <f>S5*(1+'BAADTbVT_Rail-CAGR'!$K$4)</f>
        <v>1.1769029361338745</v>
      </c>
      <c r="U5" s="46">
        <f>T5*(1+'BAADTbVT_Rail-CAGR'!$K$4)</f>
        <v>1.2226081597236811</v>
      </c>
      <c r="V5" s="46">
        <f>U5*(1+'BAADTbVT_Rail-CAGR'!$K$4)</f>
        <v>1.2700883533634872</v>
      </c>
      <c r="W5" s="46">
        <f>V5*(1+'BAADTbVT_Rail-CAGR'!$K$4)</f>
        <v>1.3194124483139007</v>
      </c>
      <c r="X5" s="46">
        <f>W5*(1+'BAADTbVT_Rail-CAGR'!$K$4)</f>
        <v>1.3706520527926351</v>
      </c>
      <c r="Y5" s="46">
        <f>X5*(1+'BAADTbVT_Rail-CAGR'!$K$4)</f>
        <v>1.4238815559345908</v>
      </c>
      <c r="Z5" s="46">
        <f>Y5*(1+'BAADTbVT_Rail-CAGR'!$K$4)</f>
        <v>1.4791782357892407</v>
      </c>
      <c r="AA5" s="46">
        <f>Z5*(1+'BAADTbVT_Rail-CAGR'!$K$4)</f>
        <v>1.5366223715121146</v>
      </c>
      <c r="AB5" s="46">
        <f>AA5*(1+'BAADTbVT_Rail-CAGR'!$K$4)</f>
        <v>1.5962973599132575</v>
      </c>
      <c r="AC5" s="46">
        <f>AB5*(1+'BAADTbVT_Rail-CAGR'!$K$4)</f>
        <v>1.6582898365318681</v>
      </c>
      <c r="AD5" s="46">
        <f>AC5*(1+'BAADTbVT_Rail-CAGR'!$K$4)</f>
        <v>1.72268980141289</v>
      </c>
      <c r="AE5" s="46">
        <f>AD5*(1+'BAADTbVT_Rail-CAGR'!$K$4)</f>
        <v>1.789590749768158</v>
      </c>
      <c r="AF5" s="46">
        <f>AE5*(1+'BAADTbVT_Rail-CAGR'!$K$4)</f>
        <v>1.8590898077117939</v>
      </c>
      <c r="AG5" s="46">
        <f>AF5*(1+'BAADTbVT_Rail-CAGR'!$K$4)</f>
        <v>1.9312878732669065</v>
      </c>
    </row>
    <row r="6" spans="1:33" s="46" customFormat="1">
      <c r="A6" t="s">
        <v>780</v>
      </c>
      <c r="B6" s="46">
        <v>1</v>
      </c>
      <c r="C6" s="46">
        <f>B6*(1+'BAADTbVT_Ships-Cal psgr CAGR'!$C$66)</f>
        <v>0.98896712459176861</v>
      </c>
      <c r="D6" s="46">
        <f>C6*(1+'BAADTbVT_Ships-Cal psgr CAGR'!$C$66)</f>
        <v>0.97805597352331075</v>
      </c>
      <c r="E6" s="46">
        <f>D6*(1+'BAADTbVT_Ships-Cal psgr CAGR'!$C$66)</f>
        <v>0.96726520382515158</v>
      </c>
      <c r="F6" s="46">
        <f>E6*(1+'BAADTbVT_Ships-Cal psgr CAGR'!$C$66)</f>
        <v>0.95659348734463112</v>
      </c>
      <c r="G6" s="46">
        <f>F6*(1+'BAADTbVT_Ships-Cal psgr CAGR'!$C$66)</f>
        <v>0.94603951058243219</v>
      </c>
      <c r="H6" s="46">
        <f>G6*(1+'BAADTbVT_Ships-Cal psgr CAGR'!$C$66)</f>
        <v>0.93560197453091198</v>
      </c>
      <c r="I6" s="46">
        <f>H6*(1+'BAADTbVT_Ships-Cal psgr CAGR'!$C$66)</f>
        <v>0.92527959451421715</v>
      </c>
      <c r="J6" s="46">
        <f>I6*(1+'BAADTbVT_Ships-Cal psgr CAGR'!$C$66)</f>
        <v>0.9150711000301629</v>
      </c>
      <c r="K6" s="46">
        <f>J6*(1+'BAADTbVT_Ships-Cal psgr CAGR'!$C$66)</f>
        <v>0.90497523459385687</v>
      </c>
      <c r="L6" s="46">
        <f>K6*(1+'BAADTbVT_Ships-Cal psgr CAGR'!$C$66)</f>
        <v>0.89499075558304786</v>
      </c>
      <c r="M6" s="46">
        <f>L6*(1+'BAADTbVT_Ships-Cal psgr CAGR'!$C$66)</f>
        <v>0.88511643408518126</v>
      </c>
      <c r="N6" s="46">
        <f>M6*(1+'BAADTbVT_Ships-Cal psgr CAGR'!$C$66)</f>
        <v>0.87535105474614139</v>
      </c>
      <c r="O6" s="46">
        <f>N6*(1+'BAADTbVT_Ships-Cal psgr CAGR'!$C$66)</f>
        <v>0.86569341562066326</v>
      </c>
      <c r="P6" s="46">
        <f>O6*(1+'BAADTbVT_Ships-Cal psgr CAGR'!$C$66)</f>
        <v>0.85614232802439416</v>
      </c>
      <c r="Q6" s="46">
        <f>P6*(1+'BAADTbVT_Ships-Cal psgr CAGR'!$C$66)</f>
        <v>0.84669661638758786</v>
      </c>
      <c r="R6" s="46">
        <f>Q6*(1+'BAADTbVT_Ships-Cal psgr CAGR'!$C$66)</f>
        <v>0.83735511811041252</v>
      </c>
      <c r="S6" s="46">
        <f>R6*(1+'BAADTbVT_Ships-Cal psgr CAGR'!$C$66)</f>
        <v>0.82811668341985545</v>
      </c>
      <c r="T6" s="46">
        <f>S6*(1+'BAADTbVT_Ships-Cal psgr CAGR'!$C$66)</f>
        <v>0.81898017522820643</v>
      </c>
      <c r="U6" s="46">
        <f>T6*(1+'BAADTbVT_Ships-Cal psgr CAGR'!$C$66)</f>
        <v>0.80994446899310213</v>
      </c>
      <c r="V6" s="46">
        <f>U6*(1+'BAADTbVT_Ships-Cal psgr CAGR'!$C$66)</f>
        <v>0.80100845257911513</v>
      </c>
      <c r="W6" s="46">
        <f>V6*(1+'BAADTbVT_Ships-Cal psgr CAGR'!$C$66)</f>
        <v>0.79217102612086954</v>
      </c>
      <c r="X6" s="46">
        <f>W6*(1+'BAADTbVT_Ships-Cal psgr CAGR'!$C$66)</f>
        <v>0.78343110188766718</v>
      </c>
      <c r="Y6" s="46">
        <f>X6*(1+'BAADTbVT_Ships-Cal psgr CAGR'!$C$66)</f>
        <v>0.77478760414960712</v>
      </c>
      <c r="Z6" s="46">
        <f>Y6*(1+'BAADTbVT_Ships-Cal psgr CAGR'!$C$66)</f>
        <v>0.76623946904518236</v>
      </c>
      <c r="AA6" s="46">
        <f>Z6*(1+'BAADTbVT_Ships-Cal psgr CAGR'!$C$66)</f>
        <v>0.75778564445033747</v>
      </c>
      <c r="AB6" s="46">
        <f>AA6*(1+'BAADTbVT_Ships-Cal psgr CAGR'!$C$66)</f>
        <v>0.7494250898489706</v>
      </c>
      <c r="AC6" s="46">
        <f>AB6*(1+'BAADTbVT_Ships-Cal psgr CAGR'!$C$66)</f>
        <v>0.74115677620486431</v>
      </c>
      <c r="AD6" s="46">
        <f>AC6*(1+'BAADTbVT_Ships-Cal psgr CAGR'!$C$66)</f>
        <v>0.73297968583502959</v>
      </c>
      <c r="AE6" s="46">
        <f>AD6*(1+'BAADTbVT_Ships-Cal psgr CAGR'!$C$66)</f>
        <v>0.72489281228444713</v>
      </c>
      <c r="AF6" s="46">
        <f>AE6*(1+'BAADTbVT_Ships-Cal psgr CAGR'!$C$66)</f>
        <v>0.71689516020219035</v>
      </c>
      <c r="AG6" s="46">
        <f>AF6*(1+'BAADTbVT_Ships-Cal psgr CAGR'!$C$66)</f>
        <v>0.70898574521891555</v>
      </c>
    </row>
    <row r="7" spans="1:33" s="46" customFormat="1">
      <c r="A7" t="s">
        <v>781</v>
      </c>
      <c r="B7" s="81">
        <v>1</v>
      </c>
      <c r="C7" s="46">
        <v>1</v>
      </c>
      <c r="D7" s="46">
        <v>1</v>
      </c>
      <c r="E7" s="46">
        <v>1</v>
      </c>
      <c r="F7" s="46">
        <v>1</v>
      </c>
      <c r="G7" s="46">
        <v>1</v>
      </c>
      <c r="H7" s="46">
        <v>1</v>
      </c>
      <c r="I7" s="46">
        <v>1</v>
      </c>
      <c r="J7" s="46">
        <v>1</v>
      </c>
      <c r="K7" s="46">
        <v>1</v>
      </c>
      <c r="L7" s="46">
        <v>1</v>
      </c>
      <c r="M7" s="46">
        <v>1</v>
      </c>
      <c r="N7" s="46">
        <v>1</v>
      </c>
      <c r="O7" s="46">
        <v>1</v>
      </c>
      <c r="P7" s="46">
        <v>1</v>
      </c>
      <c r="Q7" s="46">
        <v>1</v>
      </c>
      <c r="R7" s="46">
        <v>1</v>
      </c>
      <c r="S7" s="46">
        <v>1</v>
      </c>
      <c r="T7" s="46">
        <v>1</v>
      </c>
      <c r="U7" s="46">
        <v>1</v>
      </c>
      <c r="V7" s="46">
        <v>1</v>
      </c>
      <c r="W7" s="46">
        <v>1</v>
      </c>
      <c r="X7" s="46">
        <v>1</v>
      </c>
      <c r="Y7" s="46">
        <v>1</v>
      </c>
      <c r="Z7" s="46">
        <v>1</v>
      </c>
      <c r="AA7" s="46">
        <v>1</v>
      </c>
      <c r="AB7" s="46">
        <v>1</v>
      </c>
      <c r="AC7" s="46">
        <v>1</v>
      </c>
      <c r="AD7" s="46">
        <v>1</v>
      </c>
      <c r="AE7" s="46">
        <v>1</v>
      </c>
      <c r="AF7" s="46">
        <v>1</v>
      </c>
      <c r="AG7" s="46">
        <v>1</v>
      </c>
    </row>
    <row r="14" spans="1:33">
      <c r="A14" t="s">
        <v>786</v>
      </c>
      <c r="B14">
        <v>2021</v>
      </c>
      <c r="C14">
        <v>2022</v>
      </c>
      <c r="D14">
        <v>2023</v>
      </c>
      <c r="E14">
        <v>2024</v>
      </c>
      <c r="F14">
        <v>2025</v>
      </c>
      <c r="G14">
        <v>2026</v>
      </c>
      <c r="H14">
        <v>2027</v>
      </c>
    </row>
    <row r="15" spans="1:33">
      <c r="A15" t="s">
        <v>794</v>
      </c>
      <c r="B15" s="151">
        <v>46455900000</v>
      </c>
      <c r="C15" s="151">
        <v>75656700000</v>
      </c>
      <c r="D15" s="151">
        <v>103530000000</v>
      </c>
      <c r="E15" s="151">
        <v>132731000000</v>
      </c>
      <c r="F15" s="151">
        <v>138040000000</v>
      </c>
      <c r="G15" s="151">
        <v>144677000000</v>
      </c>
      <c r="H15" s="151">
        <v>149986000000</v>
      </c>
    </row>
    <row r="16" spans="1:33">
      <c r="C16" s="151">
        <f t="shared" ref="C16:H16" si="0">C15/B15</f>
        <v>1.6285703215307421</v>
      </c>
      <c r="D16" s="151">
        <f t="shared" si="0"/>
        <v>1.3684181308463097</v>
      </c>
      <c r="E16" s="151">
        <f t="shared" si="0"/>
        <v>1.2820535110595963</v>
      </c>
      <c r="F16" s="151">
        <f t="shared" si="0"/>
        <v>1.0399981918315993</v>
      </c>
      <c r="G16" s="151">
        <f t="shared" si="0"/>
        <v>1.0480802665893945</v>
      </c>
      <c r="H16" s="151">
        <f t="shared" si="0"/>
        <v>1.036695535572344</v>
      </c>
    </row>
    <row r="17" spans="3:8">
      <c r="C17">
        <f t="shared" ref="C17:H17" si="1">E4/D4</f>
        <v>1.621478348839019</v>
      </c>
      <c r="D17">
        <f t="shared" si="1"/>
        <v>1.3832788450638263</v>
      </c>
      <c r="E17">
        <f t="shared" si="1"/>
        <v>1.2770799585575541</v>
      </c>
      <c r="F17">
        <f t="shared" si="1"/>
        <v>1.01</v>
      </c>
      <c r="G17">
        <f t="shared" si="1"/>
        <v>1.01</v>
      </c>
      <c r="H17">
        <f t="shared" si="1"/>
        <v>1.01</v>
      </c>
    </row>
  </sheetData>
  <phoneticPr fontId="43" type="noConversion"/>
  <pageMargins left="0.7" right="0.7" top="0.75" bottom="0.75" header="0.3" footer="0.3"/>
  <pageSetup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G7"/>
  <sheetViews>
    <sheetView topLeftCell="D1" workbookViewId="0">
      <selection activeCell="U4" sqref="U4"/>
    </sheetView>
  </sheetViews>
  <sheetFormatPr defaultColWidth="9.109375" defaultRowHeight="14.4"/>
  <cols>
    <col min="1" max="1" width="16.6640625" customWidth="1"/>
    <col min="3" max="3" width="9.33203125" bestFit="1" customWidth="1"/>
  </cols>
  <sheetData>
    <row r="1" spans="1:33" ht="72">
      <c r="A1" s="3" t="s">
        <v>775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  <c r="Q1" s="2">
        <v>2034</v>
      </c>
      <c r="R1" s="2">
        <v>2035</v>
      </c>
      <c r="S1" s="2">
        <v>2036</v>
      </c>
      <c r="T1" s="2">
        <v>2037</v>
      </c>
      <c r="U1" s="2">
        <v>2038</v>
      </c>
      <c r="V1" s="2">
        <v>2039</v>
      </c>
      <c r="W1" s="2">
        <v>2040</v>
      </c>
      <c r="X1" s="2">
        <v>2041</v>
      </c>
      <c r="Y1" s="2">
        <v>2042</v>
      </c>
      <c r="Z1" s="2">
        <v>2043</v>
      </c>
      <c r="AA1" s="2">
        <v>2044</v>
      </c>
      <c r="AB1" s="2">
        <v>2045</v>
      </c>
      <c r="AC1" s="2">
        <v>2046</v>
      </c>
      <c r="AD1" s="2">
        <v>2047</v>
      </c>
      <c r="AE1" s="2">
        <v>2048</v>
      </c>
      <c r="AF1" s="2">
        <v>2049</v>
      </c>
      <c r="AG1" s="2">
        <v>2050</v>
      </c>
    </row>
    <row r="2" spans="1:33" s="46" customFormat="1">
      <c r="A2" t="s">
        <v>776</v>
      </c>
      <c r="B2" s="149">
        <f>'DV-CAGR_mod'!U49/'DV-CAGR_mod'!$V49</f>
        <v>1.0053939631007149</v>
      </c>
      <c r="C2" s="149">
        <f>'DV-CAGR_mod'!V49/'DV-CAGR_mod'!$V49</f>
        <v>1</v>
      </c>
      <c r="D2" s="158">
        <f>'DV-CAGR_mod'!W49/'DV-CAGR_mod'!$V49</f>
        <v>1.0135664446257384</v>
      </c>
      <c r="E2" s="158">
        <f>'DV-CAGR_mod'!X49/'DV-CAGR_mod'!$V49</f>
        <v>1.0253293701152149</v>
      </c>
      <c r="F2" s="158">
        <f>'DV-CAGR_mod'!Y49/'DV-CAGR_mod'!$V49</f>
        <v>0.96891089858441226</v>
      </c>
      <c r="G2" s="149">
        <f>'DV-CAGR_mod'!Z49/'DV-CAGR_mod'!$V49</f>
        <v>0.96258997549658154</v>
      </c>
      <c r="H2" s="149">
        <f>'DV-CAGR_mod'!AA49/'DV-CAGR_mod'!$V49</f>
        <v>0.95631028846950805</v>
      </c>
      <c r="I2" s="149">
        <f>'DV-CAGR_mod'!AB49/'DV-CAGR_mod'!$V49</f>
        <v>0.95007156848983976</v>
      </c>
      <c r="J2" s="149">
        <f>'DV-CAGR_mod'!AC49/'DV-CAGR_mod'!$V49</f>
        <v>0.94387354829919801</v>
      </c>
      <c r="K2" s="149">
        <f>'DV-CAGR_mod'!AD49/'DV-CAGR_mod'!$V49</f>
        <v>0.93771596238272859</v>
      </c>
      <c r="L2" s="149">
        <f>'DV-CAGR_mod'!AE49/'DV-CAGR_mod'!$V49</f>
        <v>0.93159854695772715</v>
      </c>
      <c r="M2" s="149">
        <f>'DV-CAGR_mod'!AF49/'DV-CAGR_mod'!$V49</f>
        <v>0.92552103996233892</v>
      </c>
      <c r="N2" s="149">
        <f>'DV-CAGR_mod'!AG49/'DV-CAGR_mod'!$V49</f>
        <v>0.91948318104433302</v>
      </c>
      <c r="O2" s="149">
        <f>'DV-CAGR_mod'!AH49/'DV-CAGR_mod'!$V49</f>
        <v>0.91348471154994859</v>
      </c>
      <c r="P2" s="149">
        <f>'DV-CAGR_mod'!AI49/'DV-CAGR_mod'!$V49</f>
        <v>0.90752537451281501</v>
      </c>
      <c r="Q2" s="149">
        <f>'DV-CAGR_mod'!AJ49/'DV-CAGR_mod'!$V49</f>
        <v>0.90160491464294323</v>
      </c>
      <c r="R2" s="149">
        <f>'DV-CAGR_mod'!AK49/'DV-CAGR_mod'!$V49</f>
        <v>0.89572307831579023</v>
      </c>
      <c r="S2" s="149">
        <f>'DV-CAGR_mod'!AL49/'DV-CAGR_mod'!$V49</f>
        <v>0.88987961356139333</v>
      </c>
      <c r="T2" s="149">
        <f>'DV-CAGR_mod'!AM49/'DV-CAGR_mod'!$V49</f>
        <v>0.88407427005357642</v>
      </c>
      <c r="U2" s="149">
        <f>'DV-CAGR_mod'!AN49/'DV-CAGR_mod'!$V49</f>
        <v>0.87830679909922638</v>
      </c>
      <c r="V2" s="149">
        <f>'DV-CAGR_mod'!AO49/'DV-CAGR_mod'!$V49</f>
        <v>0.87257695362763965</v>
      </c>
      <c r="W2" s="149">
        <f>'DV-CAGR_mod'!AP49/'DV-CAGR_mod'!$V49</f>
        <v>0.86688448817993746</v>
      </c>
      <c r="X2" s="149">
        <f>'DV-CAGR_mod'!AQ49/'DV-CAGR_mod'!$V49</f>
        <v>0.86122915889855101</v>
      </c>
      <c r="Y2" s="149">
        <f>'DV-CAGR_mod'!AR49/'DV-CAGR_mod'!$V49</f>
        <v>0.85561072351677525</v>
      </c>
      <c r="Z2" s="149">
        <f>'DV-CAGR_mod'!AS49/'DV-CAGR_mod'!$V49</f>
        <v>0.8500289413483898</v>
      </c>
      <c r="AA2" s="149">
        <f>'DV-CAGR_mod'!AT49/'DV-CAGR_mod'!$V49</f>
        <v>0.84448357327734913</v>
      </c>
      <c r="AB2" s="149">
        <f>'DV-CAGR_mod'!AU49/'DV-CAGR_mod'!$V49</f>
        <v>0.83897438174753847</v>
      </c>
      <c r="AC2" s="149">
        <f>'DV-CAGR_mod'!AV49/'DV-CAGR_mod'!$V49</f>
        <v>0.83350113075259735</v>
      </c>
      <c r="AD2" s="149">
        <f>'DV-CAGR_mod'!AW49/'DV-CAGR_mod'!$V49</f>
        <v>0.82806358582580952</v>
      </c>
      <c r="AE2" s="149">
        <f>'DV-CAGR_mod'!AX49/'DV-CAGR_mod'!$V49</f>
        <v>0.82266151403005883</v>
      </c>
      <c r="AF2" s="149">
        <f>'DV-CAGR_mod'!AY49/'DV-CAGR_mod'!$V49</f>
        <v>0.81729468394785043</v>
      </c>
      <c r="AG2" s="149">
        <f>'DV-CAGR_mod'!AZ49/'DV-CAGR_mod'!$V49</f>
        <v>0.81196286567139708</v>
      </c>
    </row>
    <row r="3" spans="1:33" s="46" customFormat="1">
      <c r="A3" t="s">
        <v>777</v>
      </c>
      <c r="B3" s="149">
        <f>'DV-CAGR_mod'!U50/'DV-CAGR_mod'!$V50</f>
        <v>0.99081482878056648</v>
      </c>
      <c r="C3" s="149">
        <f>'DV-CAGR_mod'!V50/'DV-CAGR_mod'!$V50</f>
        <v>1</v>
      </c>
      <c r="D3" s="158">
        <f>'DV-CAGR_mod'!W50/'DV-CAGR_mod'!$V50</f>
        <v>0.99022918371299862</v>
      </c>
      <c r="E3" s="158">
        <f>'DV-CAGR_mod'!X50/'DV-CAGR_mod'!$V50</f>
        <v>1.0887999431441158</v>
      </c>
      <c r="F3" s="158">
        <f>'DV-CAGR_mod'!Y50/'DV-CAGR_mod'!$V50</f>
        <v>1.0304883787898091</v>
      </c>
      <c r="G3" s="149">
        <f>'DV-CAGR_mod'!Z50/'DV-CAGR_mod'!$V50</f>
        <v>1.0664267514956933</v>
      </c>
      <c r="H3" s="149">
        <f>'DV-CAGR_mod'!AA50/'DV-CAGR_mod'!$V50</f>
        <v>1.1036184781057368</v>
      </c>
      <c r="I3" s="149">
        <f>'DV-CAGR_mod'!AB50/'DV-CAGR_mod'!$V50</f>
        <v>1.1421072694474144</v>
      </c>
      <c r="J3" s="149">
        <f>'DV-CAGR_mod'!AC50/'DV-CAGR_mod'!$V50</f>
        <v>1.1819383607671476</v>
      </c>
      <c r="K3" s="149">
        <f>'DV-CAGR_mod'!AD50/'DV-CAGR_mod'!$V50</f>
        <v>1.2231585648945495</v>
      </c>
      <c r="L3" s="149">
        <f>'DV-CAGR_mod'!AE50/'DV-CAGR_mod'!$V50</f>
        <v>1.265816327260777</v>
      </c>
      <c r="M3" s="149">
        <f>'DV-CAGR_mod'!AF50/'DV-CAGR_mod'!$V50</f>
        <v>1.3099617828356527</v>
      </c>
      <c r="N3" s="149">
        <f>'DV-CAGR_mod'!AG50/'DV-CAGR_mod'!$V50</f>
        <v>1.3556468150504746</v>
      </c>
      <c r="O3" s="149">
        <f>'DV-CAGR_mod'!AH50/'DV-CAGR_mod'!$V50</f>
        <v>1.4029251167757639</v>
      </c>
      <c r="P3" s="149">
        <f>'DV-CAGR_mod'!AI50/'DV-CAGR_mod'!$V50</f>
        <v>1.4518522534256157</v>
      </c>
      <c r="Q3" s="149">
        <f>'DV-CAGR_mod'!AJ50/'DV-CAGR_mod'!$V50</f>
        <v>1.5024857282628221</v>
      </c>
      <c r="R3" s="149">
        <f>'DV-CAGR_mod'!AK50/'DV-CAGR_mod'!$V50</f>
        <v>1.5548850499815146</v>
      </c>
      <c r="S3" s="149">
        <f>'DV-CAGR_mod'!AL50/'DV-CAGR_mod'!$V50</f>
        <v>1.6091118026467581</v>
      </c>
      <c r="T3" s="149">
        <f>'DV-CAGR_mod'!AM50/'DV-CAGR_mod'!$V50</f>
        <v>1.6652297180732956</v>
      </c>
      <c r="U3" s="149">
        <f>'DV-CAGR_mod'!AN50/'DV-CAGR_mod'!$V50</f>
        <v>1.7233047507285053</v>
      </c>
      <c r="V3" s="149">
        <f>'DV-CAGR_mod'!AO50/'DV-CAGR_mod'!$V50</f>
        <v>1.7834051552476078</v>
      </c>
      <c r="W3" s="149">
        <f>'DV-CAGR_mod'!AP50/'DV-CAGR_mod'!$V50</f>
        <v>1.845601566652221</v>
      </c>
      <c r="X3" s="149">
        <f>'DV-CAGR_mod'!AQ50/'DV-CAGR_mod'!$V50</f>
        <v>1.9099670833665439</v>
      </c>
      <c r="Y3" s="149">
        <f>'DV-CAGR_mod'!AR50/'DV-CAGR_mod'!$V50</f>
        <v>1.9765773531287401</v>
      </c>
      <c r="Z3" s="149">
        <f>'DV-CAGR_mod'!AS50/'DV-CAGR_mod'!$V50</f>
        <v>2.0455106618984837</v>
      </c>
      <c r="AA3" s="149">
        <f>'DV-CAGR_mod'!AT50/'DV-CAGR_mod'!$V50</f>
        <v>2.1168480258651683</v>
      </c>
      <c r="AB3" s="149">
        <f>'DV-CAGR_mod'!AU50/'DV-CAGR_mod'!$V50</f>
        <v>2.1906732866649068</v>
      </c>
      <c r="AC3" s="149">
        <f>'DV-CAGR_mod'!AV50/'DV-CAGR_mod'!$V50</f>
        <v>2.2670732099182342</v>
      </c>
      <c r="AD3" s="149">
        <f>'DV-CAGR_mod'!AW50/'DV-CAGR_mod'!$V50</f>
        <v>2.3461375872043222</v>
      </c>
      <c r="AE3" s="149">
        <f>'DV-CAGR_mod'!AX50/'DV-CAGR_mod'!$V50</f>
        <v>2.4279593415915501</v>
      </c>
      <c r="AF3" s="149">
        <f>'DV-CAGR_mod'!AY50/'DV-CAGR_mod'!$V50</f>
        <v>2.5126346368484689</v>
      </c>
      <c r="AG3" s="149">
        <f>'DV-CAGR_mod'!AZ50/'DV-CAGR_mod'!$V50</f>
        <v>2.6002629904635004</v>
      </c>
    </row>
    <row r="4" spans="1:33" s="46" customFormat="1">
      <c r="A4" t="s">
        <v>778</v>
      </c>
      <c r="B4" s="46">
        <v>1</v>
      </c>
      <c r="C4" s="46">
        <f>'Air-Cal'!C8</f>
        <v>0.80494672770980769</v>
      </c>
      <c r="D4" s="46">
        <f>'Air-Cal'!D8</f>
        <v>0.88189763966989509</v>
      </c>
      <c r="E4" s="46">
        <f>D4*'Air-CAGR'!$J$56</f>
        <v>0.90659077358065221</v>
      </c>
      <c r="F4" s="46">
        <f>E4*'Air-CAGR'!$J$56</f>
        <v>0.93197531524091048</v>
      </c>
      <c r="G4" s="46">
        <f>F4*'Air-CAGR'!$J$56</f>
        <v>0.95807062406765597</v>
      </c>
      <c r="H4" s="46">
        <f>G4*'Air-CAGR'!$J$56</f>
        <v>0.98489660154155034</v>
      </c>
      <c r="I4" s="46">
        <f>H4*'Air-CAGR'!$J$56</f>
        <v>1.0124737063847138</v>
      </c>
      <c r="J4" s="46">
        <f>I4*'Air-CAGR'!$J$56</f>
        <v>1.0408229701634859</v>
      </c>
      <c r="K4" s="46">
        <f>J4*'Air-CAGR'!$J$56</f>
        <v>1.0699660133280635</v>
      </c>
      <c r="L4" s="46">
        <f>K4*'Air-CAGR'!$J$56</f>
        <v>1.0999250617012493</v>
      </c>
      <c r="M4" s="46">
        <f>L4*'Air-CAGR'!$J$56</f>
        <v>1.1307229634288842</v>
      </c>
      <c r="N4" s="46">
        <f>M4*'Air-CAGR'!$J$56</f>
        <v>1.1623832064048931</v>
      </c>
      <c r="O4" s="46">
        <f>N4*'Air-CAGR'!$J$56</f>
        <v>1.1949299361842303</v>
      </c>
      <c r="P4" s="46">
        <f>O4*'Air-CAGR'!$J$56</f>
        <v>1.2283879743973887</v>
      </c>
      <c r="Q4" s="46">
        <f>P4*'Air-CAGR'!$J$56</f>
        <v>1.2627828376805157</v>
      </c>
      <c r="R4" s="46">
        <f>Q4*'Air-CAGR'!$J$56</f>
        <v>1.2981407571355701</v>
      </c>
      <c r="S4" s="46">
        <f>R4*'Air-CAGR'!$J$56</f>
        <v>1.3344886983353661</v>
      </c>
      <c r="T4" s="46">
        <f>S4*'Air-CAGR'!$J$56</f>
        <v>1.3718543818887563</v>
      </c>
      <c r="U4" s="46">
        <f>T4*'Air-CAGR'!$J$56</f>
        <v>1.4102663045816415</v>
      </c>
      <c r="V4" s="46">
        <f>U4*'Air-CAGR'!$J$56</f>
        <v>1.4497537611099274</v>
      </c>
      <c r="W4" s="46">
        <f>V4*'Air-CAGR'!$J$56</f>
        <v>1.4903468664210053</v>
      </c>
      <c r="X4" s="46">
        <f>W4*'Air-CAGR'!$J$56</f>
        <v>1.5320765786807935</v>
      </c>
      <c r="Y4" s="46">
        <f>X4*'Air-CAGR'!$J$56</f>
        <v>1.5749747228838558</v>
      </c>
      <c r="Z4" s="46">
        <f>Y4*'Air-CAGR'!$J$56</f>
        <v>1.6190740151246037</v>
      </c>
      <c r="AA4" s="46">
        <f>Z4*'Air-CAGR'!$J$56</f>
        <v>1.6644080875480927</v>
      </c>
      <c r="AB4" s="46">
        <f>AA4*'Air-CAGR'!$J$56</f>
        <v>1.7110115139994393</v>
      </c>
      <c r="AC4" s="46">
        <f>AB4*'Air-CAGR'!$J$56</f>
        <v>1.7589198363914236</v>
      </c>
      <c r="AD4" s="46">
        <f>AC4*'Air-CAGR'!$J$56</f>
        <v>1.8081695918103835</v>
      </c>
      <c r="AE4" s="46">
        <f>AD4*'Air-CAGR'!$J$56</f>
        <v>1.8587983403810744</v>
      </c>
      <c r="AF4" s="46">
        <f>AE4</f>
        <v>1.8587983403810744</v>
      </c>
      <c r="AG4" s="46">
        <f>AE4</f>
        <v>1.8587983403810744</v>
      </c>
    </row>
    <row r="5" spans="1:33" s="46" customFormat="1">
      <c r="A5" t="s">
        <v>779</v>
      </c>
      <c r="B5" s="46">
        <v>1</v>
      </c>
      <c r="C5" s="46">
        <f>'Rail-Cal'!C16</f>
        <v>0.95914986038640171</v>
      </c>
      <c r="D5" s="46">
        <f>'Rail-Cal'!D16</f>
        <v>0.91453366351748455</v>
      </c>
      <c r="E5" s="46">
        <f>D5*(1+'BAADTbVT_Rail-CAGR'!$K$6)</f>
        <v>0.88393102617206043</v>
      </c>
      <c r="F5" s="46">
        <f>E5*(1+'BAADTbVT_Rail-CAGR'!$K$6)</f>
        <v>0.85435243140686623</v>
      </c>
      <c r="G5" s="46">
        <f>F5*(1+'BAADTbVT_Rail-CAGR'!$K$6)</f>
        <v>0.82576361213588945</v>
      </c>
      <c r="H5" s="46">
        <f>G5*(1+'BAADTbVT_Rail-CAGR'!$K$6)</f>
        <v>0.79813144793753033</v>
      </c>
      <c r="I5" s="46">
        <f>H5*(1+'BAADTbVT_Rail-CAGR'!$K$6)</f>
        <v>0.77142392668427517</v>
      </c>
      <c r="J5" s="46">
        <f>I5*(1+'BAADTbVT_Rail-CAGR'!$K$6)</f>
        <v>0.74561010745633971</v>
      </c>
      <c r="K5" s="46">
        <f>J5*(1+'BAADTbVT_Rail-CAGR'!$K$6)</f>
        <v>0.72066008469631604</v>
      </c>
      <c r="L5" s="46">
        <f>K5*(1+'BAADTbVT_Rail-CAGR'!$K$6)</f>
        <v>0.69654495356329749</v>
      </c>
      <c r="M5" s="46">
        <f>L5*(1+'BAADTbVT_Rail-CAGR'!$K$6)</f>
        <v>0.67323677644634294</v>
      </c>
      <c r="N5" s="46">
        <f>M5*(1+'BAADTbVT_Rail-CAGR'!$K$6)</f>
        <v>0.65070855059848609</v>
      </c>
      <c r="O5" s="46">
        <f>N5*(1+'BAADTbVT_Rail-CAGR'!$K$6)</f>
        <v>0.62893417685379416</v>
      </c>
      <c r="P5" s="46">
        <f>O5*(1+'BAADTbVT_Rail-CAGR'!$K$6)</f>
        <v>0.60788842939123344</v>
      </c>
      <c r="Q5" s="46">
        <f>P5*(1+'BAADTbVT_Rail-CAGR'!$K$6)</f>
        <v>0.58754692651031326</v>
      </c>
      <c r="R5" s="46">
        <f>Q5*(1+'BAADTbVT_Rail-CAGR'!$K$6)</f>
        <v>0.56788610238465231</v>
      </c>
      <c r="S5" s="46">
        <f>R5*(1+'BAADTbVT_Rail-CAGR'!$K$6)</f>
        <v>0.54888317976074208</v>
      </c>
      <c r="T5" s="46">
        <f>S5*(1+'BAADTbVT_Rail-CAGR'!$K$6)</f>
        <v>0.53051614357028032</v>
      </c>
      <c r="U5" s="46">
        <f>T5*(1+'BAADTbVT_Rail-CAGR'!$K$6)</f>
        <v>0.51276371542550292</v>
      </c>
      <c r="V5" s="46">
        <f>U5*(1+'BAADTbVT_Rail-CAGR'!$K$6)</f>
        <v>0.49560532896796722</v>
      </c>
      <c r="W5" s="46">
        <f>V5*(1+'BAADTbVT_Rail-CAGR'!$K$6)</f>
        <v>0.47902110604222869</v>
      </c>
      <c r="X5" s="46">
        <f>W5*(1+'BAADTbVT_Rail-CAGR'!$K$6)</f>
        <v>0.46299183366680674</v>
      </c>
      <c r="Y5" s="46">
        <f>X5*(1+'BAADTbVT_Rail-CAGR'!$K$6)</f>
        <v>0.44749894177576122</v>
      </c>
      <c r="Z5" s="46">
        <f>Y5*(1+'BAADTbVT_Rail-CAGR'!$K$6)</f>
        <v>0.43252448170509283</v>
      </c>
      <c r="AA5" s="46">
        <f>Z5*(1+'BAADTbVT_Rail-CAGR'!$K$6)</f>
        <v>0.4180511053990435</v>
      </c>
      <c r="AB5" s="46">
        <f>AA5*(1+'BAADTbVT_Rail-CAGR'!$K$6)</f>
        <v>0.40406204531220724</v>
      </c>
      <c r="AC5" s="46">
        <f>AB5*(1+'BAADTbVT_Rail-CAGR'!$K$6)</f>
        <v>0.39054109498416784</v>
      </c>
      <c r="AD5" s="46">
        <f>AC5*(1+'BAADTbVT_Rail-CAGR'!$K$6)</f>
        <v>0.37747259026415891</v>
      </c>
      <c r="AE5" s="46">
        <f>AD5*(1+'BAADTbVT_Rail-CAGR'!$K$6)</f>
        <v>0.36484139116399472</v>
      </c>
      <c r="AF5" s="46">
        <f>AE5*(1+'BAADTbVT_Rail-CAGR'!$K$6)</f>
        <v>0.35263286431824864</v>
      </c>
      <c r="AG5" s="46">
        <f>AF5*(1+'BAADTbVT_Rail-CAGR'!$K$6)</f>
        <v>0.34083286603135871</v>
      </c>
    </row>
    <row r="6" spans="1:33" s="46" customFormat="1">
      <c r="A6" t="s">
        <v>780</v>
      </c>
      <c r="B6" s="46">
        <v>1</v>
      </c>
      <c r="C6" s="46">
        <f>B6*(1+'Ships-freight CAGR'!$C$43)</f>
        <v>0.91534842984659492</v>
      </c>
      <c r="D6" s="46">
        <f>C6*(1+'Ships-freight CAGR'!$D$43)</f>
        <v>0.95750723845510444</v>
      </c>
      <c r="E6" s="46">
        <f>D6*(1+'Ships-freight CAGR'!$D$43)</f>
        <v>1.0016077832214909</v>
      </c>
      <c r="F6" s="46">
        <f>E6*(1+'Ships-freight CAGR'!$A$50)</f>
        <v>1.0076174299208198</v>
      </c>
      <c r="G6" s="46">
        <f>F6*(1+'Ships-freight CAGR'!$A$50)</f>
        <v>1.0136631345003448</v>
      </c>
      <c r="H6" s="46">
        <f>G6*(1+'Ships-freight CAGR'!$A$50)</f>
        <v>1.019745113307347</v>
      </c>
      <c r="I6" s="46">
        <f>H6*(1+'Ships-freight CAGR'!$A$50)</f>
        <v>1.025863583987191</v>
      </c>
      <c r="J6" s="46">
        <f>I6*(1+'Ships-freight CAGR'!$A$50)</f>
        <v>1.0320187654911142</v>
      </c>
      <c r="K6" s="46">
        <f>J6*(1+'Ships-freight CAGR'!$A$50)</f>
        <v>1.0382108780840609</v>
      </c>
      <c r="L6" s="46">
        <f>K6*(1+'Ships-freight CAGR'!$A$50)</f>
        <v>1.0444401433525652</v>
      </c>
      <c r="M6" s="46">
        <f>L6*(1+'Ships-freight CAGR'!$A$50)</f>
        <v>1.0507067842126805</v>
      </c>
      <c r="N6" s="46">
        <f>M6*(1+'Ships-freight CAGR'!$A$50)</f>
        <v>1.0570110249179565</v>
      </c>
      <c r="O6" s="46">
        <f>N6*(1+'Ships-freight CAGR'!$A$50)</f>
        <v>1.0633530910674642</v>
      </c>
      <c r="P6" s="46">
        <f>O6*(1+'Ships-freight CAGR'!$A$50)</f>
        <v>1.069733209613869</v>
      </c>
      <c r="Q6" s="46">
        <f>P6*(1+'Ships-freight CAGR'!$A$50)</f>
        <v>1.0761516088715521</v>
      </c>
      <c r="R6" s="46">
        <f>Q6*(1+'Ships-freight CAGR'!$A$50)</f>
        <v>1.0826085185247816</v>
      </c>
      <c r="S6" s="46">
        <f>R6*(1+'Ships-freight CAGR'!$A$50)</f>
        <v>1.0891041696359303</v>
      </c>
      <c r="T6" s="46">
        <f>S6*(1+'Ships-freight CAGR'!$A$50)</f>
        <v>1.0956387946537458</v>
      </c>
      <c r="U6" s="46">
        <f>T6*(1+'Ships-freight CAGR'!$A$50)</f>
        <v>1.1022126274216684</v>
      </c>
      <c r="V6" s="46">
        <f>U6*(1+'Ships-freight CAGR'!$A$50)</f>
        <v>1.1088259031861984</v>
      </c>
      <c r="W6" s="46">
        <f>V6*(1+'Ships-freight CAGR'!$A$50)</f>
        <v>1.1154788586053157</v>
      </c>
      <c r="X6" s="46">
        <f>W6*(1+'Ships-freight CAGR'!$A$50)</f>
        <v>1.1221717317569475</v>
      </c>
      <c r="Y6" s="46">
        <f>X6*(1+'Ships-freight CAGR'!$A$50)</f>
        <v>1.1289047621474892</v>
      </c>
      <c r="Z6" s="46">
        <f>Y6*(1+'Ships-freight CAGR'!$A$50)</f>
        <v>1.1356781907203741</v>
      </c>
      <c r="AA6" s="46">
        <f>Z6*(1+'Ships-freight CAGR'!$A$50)</f>
        <v>1.1424922598646963</v>
      </c>
      <c r="AB6" s="46">
        <f>AA6*(1+'Ships-freight CAGR'!$A$50)</f>
        <v>1.1493472134238845</v>
      </c>
      <c r="AC6" s="46">
        <f>AB6*(1+'Ships-freight CAGR'!$A$50)</f>
        <v>1.1562432967044278</v>
      </c>
      <c r="AD6" s="46">
        <f>AC6*(1+'Ships-freight CAGR'!$A$50)</f>
        <v>1.1631807564846544</v>
      </c>
      <c r="AE6" s="46">
        <f>AD6*(1+'Ships-freight CAGR'!$A$50)</f>
        <v>1.1701598410235623</v>
      </c>
      <c r="AF6" s="46">
        <f>AE6*(1+'Ships-freight CAGR'!$A$50)</f>
        <v>1.1771808000697037</v>
      </c>
      <c r="AG6" s="46">
        <f>AF6*(1+'Ships-freight CAGR'!$A$50)</f>
        <v>1.184243884870122</v>
      </c>
    </row>
    <row r="7" spans="1:33" s="46" customFormat="1">
      <c r="A7" t="s">
        <v>781</v>
      </c>
      <c r="B7" s="46">
        <v>1</v>
      </c>
      <c r="C7" s="46">
        <f>B7</f>
        <v>1</v>
      </c>
      <c r="D7" s="46">
        <f t="shared" ref="D7:AG7" si="0">C7</f>
        <v>1</v>
      </c>
      <c r="E7" s="46">
        <f t="shared" si="0"/>
        <v>1</v>
      </c>
      <c r="F7" s="46">
        <f t="shared" si="0"/>
        <v>1</v>
      </c>
      <c r="G7" s="46">
        <f t="shared" si="0"/>
        <v>1</v>
      </c>
      <c r="H7" s="46">
        <f t="shared" si="0"/>
        <v>1</v>
      </c>
      <c r="I7" s="46">
        <f t="shared" si="0"/>
        <v>1</v>
      </c>
      <c r="J7" s="46">
        <f t="shared" si="0"/>
        <v>1</v>
      </c>
      <c r="K7" s="46">
        <f t="shared" si="0"/>
        <v>1</v>
      </c>
      <c r="L7" s="46">
        <f t="shared" si="0"/>
        <v>1</v>
      </c>
      <c r="M7" s="46">
        <f t="shared" si="0"/>
        <v>1</v>
      </c>
      <c r="N7" s="46">
        <f t="shared" si="0"/>
        <v>1</v>
      </c>
      <c r="O7" s="46">
        <f t="shared" si="0"/>
        <v>1</v>
      </c>
      <c r="P7" s="46">
        <f t="shared" si="0"/>
        <v>1</v>
      </c>
      <c r="Q7" s="46">
        <f t="shared" si="0"/>
        <v>1</v>
      </c>
      <c r="R7" s="46">
        <f t="shared" si="0"/>
        <v>1</v>
      </c>
      <c r="S7" s="46">
        <f t="shared" si="0"/>
        <v>1</v>
      </c>
      <c r="T7" s="46">
        <f t="shared" si="0"/>
        <v>1</v>
      </c>
      <c r="U7" s="46">
        <f t="shared" si="0"/>
        <v>1</v>
      </c>
      <c r="V7" s="46">
        <f t="shared" si="0"/>
        <v>1</v>
      </c>
      <c r="W7" s="46">
        <f t="shared" si="0"/>
        <v>1</v>
      </c>
      <c r="X7" s="46">
        <f t="shared" si="0"/>
        <v>1</v>
      </c>
      <c r="Y7" s="46">
        <f t="shared" si="0"/>
        <v>1</v>
      </c>
      <c r="Z7" s="46">
        <f t="shared" si="0"/>
        <v>1</v>
      </c>
      <c r="AA7" s="46">
        <f t="shared" si="0"/>
        <v>1</v>
      </c>
      <c r="AB7" s="46">
        <f t="shared" si="0"/>
        <v>1</v>
      </c>
      <c r="AC7" s="46">
        <f t="shared" si="0"/>
        <v>1</v>
      </c>
      <c r="AD7" s="46">
        <f t="shared" si="0"/>
        <v>1</v>
      </c>
      <c r="AE7" s="46">
        <f t="shared" si="0"/>
        <v>1</v>
      </c>
      <c r="AF7" s="46">
        <f t="shared" si="0"/>
        <v>1</v>
      </c>
      <c r="AG7" s="46">
        <f t="shared" si="0"/>
        <v>1</v>
      </c>
    </row>
  </sheetData>
  <phoneticPr fontId="43" type="noConversion"/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F10FF2-ECF9-4738-A8F6-8214BE375F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24EBB6-C50B-4DC1-91E0-9482941589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741899-C4AC-41A8-9A45-59D3B1E55980}">
  <ds:schemaRefs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40f4d404-d193-41dc-bb72-733c1e77420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SYVbT_DV-Regis</vt:lpstr>
      <vt:lpstr>BAADTbVT_DV-km</vt:lpstr>
      <vt:lpstr>DV-CAGR_mod</vt:lpstr>
      <vt:lpstr>DV-CAGR</vt:lpstr>
      <vt:lpstr>Rail2019-psgr</vt:lpstr>
      <vt:lpstr>Rail2020-psgr</vt:lpstr>
      <vt:lpstr>Rail2021-psgr</vt:lpstr>
      <vt:lpstr>Rail2019-freight</vt:lpstr>
      <vt:lpstr>Rail2020-freight</vt:lpstr>
      <vt:lpstr>Rail2021-freight</vt:lpstr>
      <vt:lpstr>BAADTbVT_Rail-CAGR</vt:lpstr>
      <vt:lpstr>Rail-Cal</vt:lpstr>
      <vt:lpstr>Air2019</vt:lpstr>
      <vt:lpstr>Air2020</vt:lpstr>
      <vt:lpstr>Air2021</vt:lpstr>
      <vt:lpstr>Air-CAGR</vt:lpstr>
      <vt:lpstr>Air-Cal</vt:lpstr>
      <vt:lpstr>BAADTbVT_Ships-Cal psgr CAGR</vt:lpstr>
      <vt:lpstr>Ships-freight CAGR</vt:lpstr>
      <vt:lpstr>BCDTRtSY-psgr</vt:lpstr>
      <vt:lpstr>BCDTRtSY-frgt</vt:lpstr>
    </vt:vector>
  </TitlesOfParts>
  <Manager/>
  <Company>EnergyInnovation.org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2015-03-31T22:53:51Z</dcterms:created>
  <dcterms:modified xsi:type="dcterms:W3CDTF">2025-10-01T14:15:11Z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