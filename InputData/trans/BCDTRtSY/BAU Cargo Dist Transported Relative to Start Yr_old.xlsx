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BCDTRtSY\"/>
    </mc:Choice>
  </mc:AlternateContent>
  <xr:revisionPtr revIDLastSave="0" documentId="8_{2325345A-E81B-477C-92DB-973E84EAD8FA}" xr6:coauthVersionLast="47" xr6:coauthVersionMax="47" xr10:uidLastSave="{00000000-0000-0000-0000-000000000000}"/>
  <bookViews>
    <workbookView xWindow="46635" yWindow="2760" windowWidth="20145" windowHeight="11235" tabRatio="772" xr2:uid="{00000000-000D-0000-FFFF-FFFF00000000}"/>
  </bookViews>
  <sheets>
    <sheet name="About" sheetId="1" r:id="rId1"/>
    <sheet name="SYVbT_DV-Regis" sheetId="35" r:id="rId2"/>
    <sheet name="BAADTbVT_DV-km" sheetId="37" r:id="rId3"/>
    <sheet name="DV-CAGR_mod" sheetId="70" r:id="rId4"/>
    <sheet name="DV-CAGR" sheetId="69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71" r:id="rId14"/>
    <sheet name="AIR2020" sheetId="72" r:id="rId15"/>
    <sheet name="AIR2021" sheetId="73" r:id="rId16"/>
    <sheet name="AIR2022" sheetId="74" r:id="rId17"/>
    <sheet name="AIR2023" sheetId="75" r:id="rId18"/>
    <sheet name="AIR2024" sheetId="76" r:id="rId19"/>
    <sheet name="AIR-Cal" sheetId="77" r:id="rId20"/>
    <sheet name="Air-CAGR" sheetId="67" r:id="rId21"/>
    <sheet name="BAADTbVT_Ships-Cal psgr CAGR" sheetId="49" r:id="rId22"/>
    <sheet name="Ships-freight CAGR" sheetId="55" r:id="rId23"/>
    <sheet name="BCDTRtSY-psgr" sheetId="6" r:id="rId24"/>
    <sheet name="BCDTRtSY-frgt" sheetId="12" r:id="rId25"/>
  </sheets>
  <externalReferences>
    <externalReference r:id="rId26"/>
  </externalReferences>
  <definedNames>
    <definedName name="Eno_TM" localSheetId="3">'[1]1997  Table 1a Modified'!#REF!</definedName>
    <definedName name="Eno_TM">'[1]1997  Table 1a Modified'!#REF!</definedName>
    <definedName name="Eno_Tons" localSheetId="3">'[1]1997  Table 1a Modified'!#REF!</definedName>
    <definedName name="Eno_Tons">'[1]1997  Table 1a Modified'!#REF!</definedName>
    <definedName name="Sum_T2" localSheetId="3">'[1]1997  Table 1a Modified'!#REF!</definedName>
    <definedName name="Sum_T2">'[1]1997  Table 1a Modified'!#REF!</definedName>
    <definedName name="Sum_TTM" localSheetId="3">'[1]1997  Table 1a Modified'!#REF!</definedName>
    <definedName name="Sum_TTM">'[1]1997  Table 1a Modified'!#REF!</definedName>
    <definedName name="ti_tbl_50" localSheetId="3">#REF!</definedName>
    <definedName name="ti_tbl_50">#REF!</definedName>
    <definedName name="ti_tbl_69" localSheetId="3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2" l="1"/>
  <c r="D4" i="12"/>
  <c r="E4" i="12"/>
  <c r="F4" i="12"/>
  <c r="B4" i="12"/>
  <c r="H4" i="6"/>
  <c r="G4" i="6"/>
  <c r="F4" i="6"/>
  <c r="C4" i="6"/>
  <c r="D4" i="6"/>
  <c r="E4" i="6"/>
  <c r="B4" i="6"/>
  <c r="E7" i="77"/>
  <c r="D7" i="77"/>
  <c r="B7" i="77"/>
  <c r="G6" i="77"/>
  <c r="G8" i="77" s="1"/>
  <c r="F6" i="77"/>
  <c r="F8" i="77" s="1"/>
  <c r="E6" i="77"/>
  <c r="E8" i="77" s="1"/>
  <c r="D6" i="77"/>
  <c r="D8" i="77" s="1"/>
  <c r="C6" i="77"/>
  <c r="C8" i="77" s="1"/>
  <c r="B6" i="77"/>
  <c r="B8" i="77" s="1"/>
  <c r="G5" i="77"/>
  <c r="G7" i="77" s="1"/>
  <c r="F5" i="77"/>
  <c r="F7" i="77" s="1"/>
  <c r="E5" i="77"/>
  <c r="D5" i="77"/>
  <c r="C5" i="77"/>
  <c r="C7" i="77" s="1"/>
  <c r="B5" i="77"/>
  <c r="G4" i="77"/>
  <c r="F4" i="77"/>
  <c r="E4" i="77"/>
  <c r="D4" i="77"/>
  <c r="C4" i="77"/>
  <c r="B4" i="77"/>
  <c r="G3" i="77"/>
  <c r="F3" i="77"/>
  <c r="E3" i="77"/>
  <c r="D3" i="77"/>
  <c r="C3" i="77"/>
  <c r="B3" i="77"/>
  <c r="AF40" i="70"/>
  <c r="AE40" i="70"/>
  <c r="Y56" i="70"/>
  <c r="W42" i="70" l="1"/>
  <c r="X42" i="70"/>
  <c r="Y42" i="70"/>
  <c r="Z42" i="70"/>
  <c r="AA42" i="70"/>
  <c r="AB42" i="70"/>
  <c r="AC42" i="70"/>
  <c r="U49" i="70" s="1"/>
  <c r="AD42" i="70"/>
  <c r="V49" i="70" s="1"/>
  <c r="C2" i="12" s="1"/>
  <c r="AE42" i="70"/>
  <c r="W49" i="70" s="1"/>
  <c r="D2" i="12" s="1"/>
  <c r="AF42" i="70"/>
  <c r="X49" i="70" s="1"/>
  <c r="E2" i="12" s="1"/>
  <c r="AG42" i="70"/>
  <c r="Y49" i="70" s="1"/>
  <c r="W43" i="70"/>
  <c r="X43" i="70"/>
  <c r="Y43" i="70"/>
  <c r="Z43" i="70"/>
  <c r="AA43" i="70"/>
  <c r="AB43" i="70"/>
  <c r="AC43" i="70"/>
  <c r="U50" i="70" s="1"/>
  <c r="B3" i="12" s="1"/>
  <c r="AD43" i="70"/>
  <c r="V50" i="70" s="1"/>
  <c r="C3" i="12" s="1"/>
  <c r="AE43" i="70"/>
  <c r="W50" i="70" s="1"/>
  <c r="D3" i="12" s="1"/>
  <c r="AF43" i="70"/>
  <c r="X50" i="70" s="1"/>
  <c r="E3" i="12" s="1"/>
  <c r="AG43" i="70"/>
  <c r="Y50" i="70" s="1"/>
  <c r="V43" i="70"/>
  <c r="V42" i="70"/>
  <c r="W41" i="70"/>
  <c r="X41" i="70"/>
  <c r="Y41" i="70"/>
  <c r="Z41" i="70"/>
  <c r="AA41" i="70"/>
  <c r="AB41" i="70"/>
  <c r="AC41" i="70"/>
  <c r="U48" i="70" s="1"/>
  <c r="AD41" i="70"/>
  <c r="V48" i="70" s="1"/>
  <c r="C3" i="6" s="1"/>
  <c r="AE41" i="70"/>
  <c r="W48" i="70" s="1"/>
  <c r="D3" i="6" s="1"/>
  <c r="AF41" i="70"/>
  <c r="X48" i="70" s="1"/>
  <c r="E3" i="6" s="1"/>
  <c r="AG41" i="70"/>
  <c r="Y48" i="70" s="1"/>
  <c r="V41" i="70"/>
  <c r="W40" i="70"/>
  <c r="X40" i="70"/>
  <c r="Y40" i="70"/>
  <c r="Z40" i="70"/>
  <c r="AA40" i="70"/>
  <c r="AB40" i="70"/>
  <c r="AC40" i="70"/>
  <c r="U47" i="70" s="1"/>
  <c r="AD40" i="70"/>
  <c r="V47" i="70" s="1"/>
  <c r="C2" i="6" s="1"/>
  <c r="W47" i="70"/>
  <c r="X47" i="70"/>
  <c r="E2" i="6" s="1"/>
  <c r="AG40" i="70"/>
  <c r="Y47" i="70" s="1"/>
  <c r="V40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D2" i="6" l="1"/>
  <c r="Y55" i="70"/>
  <c r="F2" i="12"/>
  <c r="AH42" i="70"/>
  <c r="Z49" i="70" s="1"/>
  <c r="B2" i="6"/>
  <c r="B3" i="6"/>
  <c r="B2" i="12"/>
  <c r="F2" i="6"/>
  <c r="AH43" i="70"/>
  <c r="Z50" i="70" s="1"/>
  <c r="AH41" i="70"/>
  <c r="F3" i="6"/>
  <c r="Z48" i="70"/>
  <c r="F3" i="12"/>
  <c r="AH40" i="70"/>
  <c r="Z47" i="70" s="1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AA50" i="70" l="1"/>
  <c r="G3" i="12"/>
  <c r="AA49" i="70"/>
  <c r="G2" i="12"/>
  <c r="AA48" i="70"/>
  <c r="G3" i="6"/>
  <c r="AA47" i="70"/>
  <c r="G2" i="6"/>
  <c r="N80" i="69"/>
  <c r="N79" i="69"/>
  <c r="N78" i="69"/>
  <c r="N77" i="69"/>
  <c r="AB47" i="70" l="1"/>
  <c r="H2" i="6"/>
  <c r="AB48" i="70"/>
  <c r="H3" i="6"/>
  <c r="AB49" i="70"/>
  <c r="H2" i="12"/>
  <c r="AB50" i="70"/>
  <c r="H3" i="12"/>
  <c r="F23" i="37"/>
  <c r="N23" i="70" s="1"/>
  <c r="N40" i="70" l="1"/>
  <c r="AC49" i="70"/>
  <c r="I2" i="12"/>
  <c r="AC50" i="70"/>
  <c r="I3" i="12"/>
  <c r="I3" i="6"/>
  <c r="AC48" i="70"/>
  <c r="AC47" i="70"/>
  <c r="I2" i="6"/>
  <c r="M63" i="69"/>
  <c r="M64" i="69"/>
  <c r="M65" i="69"/>
  <c r="M66" i="69"/>
  <c r="M67" i="69"/>
  <c r="M61" i="69"/>
  <c r="M40" i="69"/>
  <c r="M41" i="69"/>
  <c r="M42" i="69"/>
  <c r="M43" i="69"/>
  <c r="M44" i="69"/>
  <c r="M45" i="69"/>
  <c r="M46" i="69"/>
  <c r="M48" i="69"/>
  <c r="M49" i="69"/>
  <c r="M50" i="69"/>
  <c r="M51" i="69"/>
  <c r="M52" i="69"/>
  <c r="J3" i="6" l="1"/>
  <c r="AD48" i="70"/>
  <c r="AD50" i="70"/>
  <c r="J3" i="12"/>
  <c r="AD49" i="70"/>
  <c r="J2" i="12"/>
  <c r="AD47" i="70"/>
  <c r="J2" i="6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K2" i="12" l="1"/>
  <c r="AE49" i="70"/>
  <c r="K2" i="6"/>
  <c r="AE47" i="70"/>
  <c r="AE50" i="70"/>
  <c r="K3" i="12"/>
  <c r="AE48" i="70"/>
  <c r="K3" i="6"/>
  <c r="K6" i="68"/>
  <c r="K5" i="68"/>
  <c r="K4" i="68"/>
  <c r="K3" i="68"/>
  <c r="L3" i="6" l="1"/>
  <c r="AF48" i="70"/>
  <c r="AF50" i="70"/>
  <c r="L3" i="12"/>
  <c r="AF47" i="70"/>
  <c r="L2" i="6"/>
  <c r="AF49" i="70"/>
  <c r="L2" i="12"/>
  <c r="F65" i="69"/>
  <c r="G65" i="69"/>
  <c r="H65" i="69"/>
  <c r="I65" i="69"/>
  <c r="J65" i="69"/>
  <c r="K65" i="69"/>
  <c r="L65" i="69"/>
  <c r="F66" i="69"/>
  <c r="G66" i="69"/>
  <c r="H66" i="69"/>
  <c r="I66" i="69"/>
  <c r="J66" i="69"/>
  <c r="K66" i="69"/>
  <c r="L66" i="69"/>
  <c r="F67" i="69"/>
  <c r="G67" i="69"/>
  <c r="H67" i="69"/>
  <c r="I67" i="69"/>
  <c r="J67" i="69"/>
  <c r="K67" i="69"/>
  <c r="L67" i="69"/>
  <c r="F48" i="69"/>
  <c r="G48" i="69"/>
  <c r="H48" i="69"/>
  <c r="I48" i="69"/>
  <c r="J48" i="69"/>
  <c r="K48" i="69"/>
  <c r="L48" i="69"/>
  <c r="F49" i="69"/>
  <c r="G49" i="69"/>
  <c r="H49" i="69"/>
  <c r="I49" i="69"/>
  <c r="J49" i="69"/>
  <c r="K49" i="69"/>
  <c r="L49" i="69"/>
  <c r="F50" i="69"/>
  <c r="G50" i="69"/>
  <c r="H50" i="69"/>
  <c r="I50" i="69"/>
  <c r="J50" i="69"/>
  <c r="K50" i="69"/>
  <c r="L50" i="69"/>
  <c r="F51" i="69"/>
  <c r="G51" i="69"/>
  <c r="H51" i="69"/>
  <c r="I51" i="69"/>
  <c r="J51" i="69"/>
  <c r="K51" i="69"/>
  <c r="L51" i="69"/>
  <c r="F52" i="69"/>
  <c r="G52" i="69"/>
  <c r="H52" i="69"/>
  <c r="I52" i="69"/>
  <c r="J52" i="69"/>
  <c r="K52" i="69"/>
  <c r="L52" i="69"/>
  <c r="F40" i="69"/>
  <c r="G40" i="69"/>
  <c r="H40" i="69"/>
  <c r="I40" i="69"/>
  <c r="J40" i="69"/>
  <c r="K40" i="69"/>
  <c r="L40" i="69"/>
  <c r="F41" i="69"/>
  <c r="G41" i="69"/>
  <c r="H41" i="69"/>
  <c r="I41" i="69"/>
  <c r="J41" i="69"/>
  <c r="K41" i="69"/>
  <c r="L41" i="69"/>
  <c r="F42" i="69"/>
  <c r="G42" i="69"/>
  <c r="H42" i="69"/>
  <c r="I42" i="69"/>
  <c r="J42" i="69"/>
  <c r="K42" i="69"/>
  <c r="L42" i="69"/>
  <c r="F43" i="69"/>
  <c r="G43" i="69"/>
  <c r="H43" i="69"/>
  <c r="I43" i="69"/>
  <c r="J43" i="69"/>
  <c r="K43" i="69"/>
  <c r="L43" i="69"/>
  <c r="F44" i="69"/>
  <c r="G44" i="69"/>
  <c r="H44" i="69"/>
  <c r="I44" i="69"/>
  <c r="J44" i="69"/>
  <c r="K44" i="69"/>
  <c r="L44" i="69"/>
  <c r="F45" i="69"/>
  <c r="G45" i="69"/>
  <c r="H45" i="69"/>
  <c r="I45" i="69"/>
  <c r="J45" i="69"/>
  <c r="K45" i="69"/>
  <c r="L45" i="69"/>
  <c r="F46" i="69"/>
  <c r="G46" i="69"/>
  <c r="H46" i="69"/>
  <c r="I46" i="69"/>
  <c r="J46" i="69"/>
  <c r="K46" i="69"/>
  <c r="L46" i="69"/>
  <c r="E52" i="69"/>
  <c r="E51" i="69"/>
  <c r="E50" i="69"/>
  <c r="E49" i="69"/>
  <c r="E48" i="69"/>
  <c r="E46" i="69"/>
  <c r="E45" i="69"/>
  <c r="E44" i="69"/>
  <c r="E43" i="69"/>
  <c r="E42" i="69"/>
  <c r="E41" i="69"/>
  <c r="E40" i="69"/>
  <c r="E67" i="69"/>
  <c r="E66" i="69"/>
  <c r="E65" i="69"/>
  <c r="F64" i="69"/>
  <c r="G64" i="69"/>
  <c r="H64" i="69"/>
  <c r="I64" i="69"/>
  <c r="J64" i="69"/>
  <c r="K64" i="69"/>
  <c r="L64" i="69"/>
  <c r="E64" i="69"/>
  <c r="F61" i="69"/>
  <c r="G61" i="69"/>
  <c r="H61" i="69"/>
  <c r="I61" i="69"/>
  <c r="J61" i="69"/>
  <c r="K61" i="69"/>
  <c r="L61" i="69"/>
  <c r="E61" i="69"/>
  <c r="F63" i="69"/>
  <c r="G63" i="69"/>
  <c r="H63" i="69"/>
  <c r="I63" i="69"/>
  <c r="J63" i="69"/>
  <c r="K63" i="69"/>
  <c r="L63" i="69"/>
  <c r="E63" i="69"/>
  <c r="F13" i="37"/>
  <c r="AG49" i="70" l="1"/>
  <c r="M2" i="12"/>
  <c r="AG47" i="70"/>
  <c r="M2" i="6"/>
  <c r="N13" i="69"/>
  <c r="N64" i="69" s="1"/>
  <c r="N13" i="70"/>
  <c r="AG50" i="70"/>
  <c r="M3" i="12"/>
  <c r="M3" i="6"/>
  <c r="AG48" i="70"/>
  <c r="D42" i="55"/>
  <c r="C42" i="55"/>
  <c r="B42" i="55"/>
  <c r="N64" i="70" l="1"/>
  <c r="AH50" i="70"/>
  <c r="N3" i="12"/>
  <c r="AH47" i="70"/>
  <c r="N2" i="6"/>
  <c r="AH48" i="70"/>
  <c r="N3" i="6"/>
  <c r="N2" i="12"/>
  <c r="AH49" i="70"/>
  <c r="D43" i="55"/>
  <c r="C43" i="55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AI47" i="70" l="1"/>
  <c r="O2" i="6"/>
  <c r="O3" i="6"/>
  <c r="AI48" i="70"/>
  <c r="AI50" i="70"/>
  <c r="O3" i="12"/>
  <c r="O2" i="12"/>
  <c r="AI49" i="70"/>
  <c r="P2" i="12" l="1"/>
  <c r="AJ49" i="70"/>
  <c r="AJ50" i="70"/>
  <c r="P3" i="12"/>
  <c r="AJ48" i="70"/>
  <c r="P3" i="6"/>
  <c r="AJ47" i="70"/>
  <c r="P2" i="6"/>
  <c r="G4" i="12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AK48" i="70" l="1"/>
  <c r="Q3" i="6"/>
  <c r="AK50" i="70"/>
  <c r="Q3" i="12"/>
  <c r="AK49" i="70"/>
  <c r="Q2" i="12"/>
  <c r="AK47" i="70"/>
  <c r="Q2" i="6"/>
  <c r="B3" i="56"/>
  <c r="D4" i="5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D3" i="56"/>
  <c r="AG4" i="12"/>
  <c r="AF4" i="12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R2" i="6" l="1"/>
  <c r="AL47" i="70"/>
  <c r="AL50" i="70"/>
  <c r="R3" i="12"/>
  <c r="R2" i="12"/>
  <c r="AL49" i="70"/>
  <c r="AL48" i="70"/>
  <c r="R3" i="6"/>
  <c r="C4" i="56"/>
  <c r="C5" i="6" s="1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AM48" i="70" l="1"/>
  <c r="S3" i="6"/>
  <c r="S2" i="12"/>
  <c r="AM49" i="70"/>
  <c r="AM50" i="70"/>
  <c r="S3" i="12"/>
  <c r="S2" i="6"/>
  <c r="AM47" i="70"/>
  <c r="E62" i="49"/>
  <c r="G62" i="49" s="1"/>
  <c r="C16" i="56"/>
  <c r="C5" i="12" s="1"/>
  <c r="O31" i="49"/>
  <c r="D16" i="56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AN47" i="70" l="1"/>
  <c r="T2" i="6"/>
  <c r="I4" i="6"/>
  <c r="AN50" i="70"/>
  <c r="T3" i="12"/>
  <c r="AN49" i="70"/>
  <c r="T2" i="12"/>
  <c r="AN48" i="70"/>
  <c r="T3" i="6"/>
  <c r="C65" i="49"/>
  <c r="AO50" i="70" l="1"/>
  <c r="U3" i="12"/>
  <c r="AO48" i="70"/>
  <c r="U3" i="6"/>
  <c r="AO49" i="70"/>
  <c r="U2" i="12"/>
  <c r="J4" i="6"/>
  <c r="AO47" i="70"/>
  <c r="U2" i="6"/>
  <c r="G65" i="49"/>
  <c r="C66" i="49"/>
  <c r="C6" i="6" s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P36" i="49"/>
  <c r="P37" i="49"/>
  <c r="P38" i="49"/>
  <c r="P39" i="49"/>
  <c r="P40" i="49"/>
  <c r="P41" i="49"/>
  <c r="P42" i="49"/>
  <c r="P43" i="49"/>
  <c r="P44" i="49"/>
  <c r="P45" i="49"/>
  <c r="P46" i="49"/>
  <c r="V2" i="12" l="1"/>
  <c r="AP49" i="70"/>
  <c r="AP47" i="70"/>
  <c r="V2" i="6"/>
  <c r="AP48" i="70"/>
  <c r="V3" i="6"/>
  <c r="K4" i="6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P50" i="70"/>
  <c r="V3" i="12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AG4" i="6" l="1"/>
  <c r="AF4" i="6"/>
  <c r="AQ50" i="70"/>
  <c r="W3" i="12"/>
  <c r="AQ48" i="70"/>
  <c r="W3" i="6"/>
  <c r="AQ47" i="70"/>
  <c r="W2" i="6"/>
  <c r="AQ49" i="70"/>
  <c r="W2" i="12"/>
  <c r="N63" i="49"/>
  <c r="AR49" i="70" l="1"/>
  <c r="X2" i="12"/>
  <c r="AR50" i="70"/>
  <c r="X3" i="12"/>
  <c r="AR47" i="70"/>
  <c r="X2" i="6"/>
  <c r="AR48" i="70"/>
  <c r="X3" i="6"/>
  <c r="N47" i="49"/>
  <c r="M47" i="49"/>
  <c r="O47" i="49" s="1"/>
  <c r="AS50" i="70" l="1"/>
  <c r="Y3" i="12"/>
  <c r="Y2" i="6"/>
  <c r="AS47" i="70"/>
  <c r="AS48" i="70"/>
  <c r="Y3" i="6"/>
  <c r="AS49" i="70"/>
  <c r="Y2" i="12"/>
  <c r="M64" i="49"/>
  <c r="O64" i="49" s="1"/>
  <c r="N64" i="49"/>
  <c r="N48" i="49"/>
  <c r="M48" i="49"/>
  <c r="O48" i="49" s="1"/>
  <c r="Z2" i="12" l="1"/>
  <c r="AT49" i="70"/>
  <c r="AT48" i="70"/>
  <c r="Z3" i="6"/>
  <c r="AT47" i="70"/>
  <c r="Z2" i="6"/>
  <c r="AT50" i="70"/>
  <c r="Z3" i="12"/>
  <c r="N49" i="49"/>
  <c r="M49" i="49"/>
  <c r="O49" i="49" s="1"/>
  <c r="N65" i="49"/>
  <c r="M65" i="49"/>
  <c r="O65" i="49" s="1"/>
  <c r="AU50" i="70" l="1"/>
  <c r="AA3" i="12"/>
  <c r="AU48" i="70"/>
  <c r="AA3" i="6"/>
  <c r="AA2" i="12"/>
  <c r="AU49" i="70"/>
  <c r="AU47" i="70"/>
  <c r="AA2" i="6"/>
  <c r="N50" i="49"/>
  <c r="M50" i="49"/>
  <c r="O50" i="49" s="1"/>
  <c r="AV47" i="70" l="1"/>
  <c r="AB2" i="6"/>
  <c r="AV48" i="70"/>
  <c r="AB3" i="6"/>
  <c r="AV49" i="70"/>
  <c r="AB2" i="12"/>
  <c r="AV50" i="70"/>
  <c r="AB3" i="12"/>
  <c r="N51" i="49"/>
  <c r="M51" i="49"/>
  <c r="O51" i="49" s="1"/>
  <c r="AW50" i="70" l="1"/>
  <c r="AC3" i="12"/>
  <c r="AW48" i="70"/>
  <c r="AC3" i="6"/>
  <c r="AC2" i="12"/>
  <c r="AW49" i="70"/>
  <c r="AW47" i="70"/>
  <c r="AC2" i="6"/>
  <c r="N52" i="49"/>
  <c r="M52" i="49"/>
  <c r="O52" i="49" s="1"/>
  <c r="F37" i="37"/>
  <c r="F35" i="37"/>
  <c r="F36" i="37"/>
  <c r="F33" i="37"/>
  <c r="F29" i="37"/>
  <c r="F25" i="37"/>
  <c r="N23" i="69"/>
  <c r="N40" i="69" s="1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69" l="1"/>
  <c r="N7" i="70"/>
  <c r="AX47" i="70"/>
  <c r="AD2" i="6"/>
  <c r="N24" i="69"/>
  <c r="N41" i="69" s="1"/>
  <c r="N24" i="70"/>
  <c r="AX49" i="70"/>
  <c r="AD2" i="12"/>
  <c r="N27" i="69"/>
  <c r="N42" i="69" s="1"/>
  <c r="M74" i="69" s="1"/>
  <c r="M84" i="69" s="1"/>
  <c r="N27" i="70"/>
  <c r="N12" i="69"/>
  <c r="O12" i="69" s="1"/>
  <c r="N61" i="69" s="1"/>
  <c r="N12" i="70"/>
  <c r="O12" i="70" s="1"/>
  <c r="N61" i="70" s="1"/>
  <c r="N9" i="69"/>
  <c r="N9" i="70"/>
  <c r="N33" i="69"/>
  <c r="N50" i="69" s="1"/>
  <c r="N33" i="70"/>
  <c r="N28" i="69"/>
  <c r="N43" i="69" s="1"/>
  <c r="N28" i="70"/>
  <c r="N43" i="70" s="1"/>
  <c r="N36" i="69"/>
  <c r="N46" i="69" s="1"/>
  <c r="N36" i="70"/>
  <c r="AD3" i="6"/>
  <c r="AX48" i="70"/>
  <c r="N14" i="69"/>
  <c r="N65" i="69" s="1"/>
  <c r="E73" i="69" s="1"/>
  <c r="N14" i="70"/>
  <c r="N29" i="69"/>
  <c r="N49" i="69" s="1"/>
  <c r="N29" i="70"/>
  <c r="N20" i="69"/>
  <c r="N67" i="69" s="1"/>
  <c r="N20" i="70"/>
  <c r="N67" i="70" s="1"/>
  <c r="N35" i="69"/>
  <c r="N51" i="69" s="1"/>
  <c r="N35" i="70"/>
  <c r="N31" i="69"/>
  <c r="N44" i="69" s="1"/>
  <c r="N31" i="70"/>
  <c r="N8" i="69"/>
  <c r="J60" i="69" s="1"/>
  <c r="N8" i="70"/>
  <c r="N32" i="69"/>
  <c r="N45" i="69" s="1"/>
  <c r="N32" i="70"/>
  <c r="N45" i="70" s="1"/>
  <c r="N10" i="69"/>
  <c r="O10" i="69" s="1"/>
  <c r="N63" i="69" s="1"/>
  <c r="N10" i="70"/>
  <c r="O10" i="70" s="1"/>
  <c r="N63" i="70" s="1"/>
  <c r="N25" i="69"/>
  <c r="N48" i="69" s="1"/>
  <c r="N25" i="70"/>
  <c r="N18" i="69"/>
  <c r="N18" i="70"/>
  <c r="N19" i="69"/>
  <c r="N66" i="69" s="1"/>
  <c r="N19" i="70"/>
  <c r="N17" i="69"/>
  <c r="J62" i="69" s="1"/>
  <c r="N17" i="70"/>
  <c r="N37" i="69"/>
  <c r="N52" i="69" s="1"/>
  <c r="M75" i="69" s="1"/>
  <c r="M85" i="69" s="1"/>
  <c r="N37" i="70"/>
  <c r="N52" i="70" s="1"/>
  <c r="AX50" i="70"/>
  <c r="AD3" i="12"/>
  <c r="K60" i="69"/>
  <c r="G60" i="69"/>
  <c r="O7" i="69"/>
  <c r="N60" i="69" s="1"/>
  <c r="H60" i="69"/>
  <c r="O23" i="69"/>
  <c r="O35" i="69"/>
  <c r="O25" i="69"/>
  <c r="O29" i="69"/>
  <c r="O33" i="69"/>
  <c r="G62" i="69"/>
  <c r="K62" i="69"/>
  <c r="F62" i="69"/>
  <c r="L62" i="69"/>
  <c r="N53" i="49"/>
  <c r="M53" i="49"/>
  <c r="O53" i="49" s="1"/>
  <c r="G23" i="37"/>
  <c r="G17" i="37"/>
  <c r="G27" i="37"/>
  <c r="G31" i="37"/>
  <c r="G7" i="37"/>
  <c r="G12" i="37"/>
  <c r="N66" i="70" l="1"/>
  <c r="O19" i="70"/>
  <c r="O31" i="70"/>
  <c r="N44" i="70"/>
  <c r="O36" i="70"/>
  <c r="N46" i="70"/>
  <c r="AY49" i="70"/>
  <c r="AE2" i="12"/>
  <c r="I60" i="69"/>
  <c r="H62" i="69"/>
  <c r="N51" i="70"/>
  <c r="O35" i="70"/>
  <c r="N41" i="70"/>
  <c r="O23" i="70"/>
  <c r="E62" i="69"/>
  <c r="M73" i="69"/>
  <c r="M83" i="69" s="1"/>
  <c r="N65" i="70"/>
  <c r="G73" i="70" s="1"/>
  <c r="G83" i="70" s="1"/>
  <c r="O13" i="70"/>
  <c r="O27" i="70"/>
  <c r="N42" i="70"/>
  <c r="O17" i="69"/>
  <c r="N62" i="69" s="1"/>
  <c r="F72" i="69" s="1"/>
  <c r="F82" i="69" s="1"/>
  <c r="M60" i="69"/>
  <c r="M72" i="69" s="1"/>
  <c r="M82" i="69" s="1"/>
  <c r="N48" i="70"/>
  <c r="O25" i="70"/>
  <c r="O33" i="70"/>
  <c r="N50" i="70"/>
  <c r="H73" i="69"/>
  <c r="H83" i="69" s="1"/>
  <c r="L73" i="69"/>
  <c r="L83" i="69" s="1"/>
  <c r="E90" i="69" s="1"/>
  <c r="I73" i="69"/>
  <c r="I83" i="69" s="1"/>
  <c r="O19" i="69"/>
  <c r="F60" i="69"/>
  <c r="AY47" i="70"/>
  <c r="AE2" i="6"/>
  <c r="H62" i="70"/>
  <c r="L62" i="70"/>
  <c r="K62" i="70"/>
  <c r="J62" i="70"/>
  <c r="I62" i="70"/>
  <c r="M62" i="70"/>
  <c r="G62" i="70"/>
  <c r="E62" i="70"/>
  <c r="O17" i="70"/>
  <c r="N62" i="70" s="1"/>
  <c r="F62" i="70"/>
  <c r="M62" i="69"/>
  <c r="I62" i="69"/>
  <c r="O36" i="69"/>
  <c r="E60" i="69"/>
  <c r="E72" i="69" s="1"/>
  <c r="O31" i="69"/>
  <c r="L60" i="69"/>
  <c r="I73" i="70"/>
  <c r="I83" i="70" s="1"/>
  <c r="F73" i="70"/>
  <c r="F83" i="70" s="1"/>
  <c r="L73" i="70"/>
  <c r="L83" i="70" s="1"/>
  <c r="E90" i="70" s="1"/>
  <c r="E73" i="70"/>
  <c r="E83" i="70" s="1"/>
  <c r="J73" i="70"/>
  <c r="J83" i="70" s="1"/>
  <c r="H73" i="70"/>
  <c r="H83" i="70" s="1"/>
  <c r="M73" i="70"/>
  <c r="K73" i="70"/>
  <c r="K83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E72" i="70" s="1"/>
  <c r="E82" i="70" s="1"/>
  <c r="AY48" i="70"/>
  <c r="AE3" i="6"/>
  <c r="O13" i="69"/>
  <c r="O27" i="69"/>
  <c r="AY50" i="70"/>
  <c r="AE3" i="12"/>
  <c r="N73" i="69"/>
  <c r="E83" i="69"/>
  <c r="O83" i="69" s="1"/>
  <c r="F90" i="69" s="1"/>
  <c r="G90" i="69" s="1"/>
  <c r="H90" i="69" s="1"/>
  <c r="I90" i="69" s="1"/>
  <c r="J90" i="69" s="1"/>
  <c r="K90" i="69" s="1"/>
  <c r="L90" i="69" s="1"/>
  <c r="M90" i="69" s="1"/>
  <c r="N90" i="69" s="1"/>
  <c r="O90" i="69" s="1"/>
  <c r="P90" i="69" s="1"/>
  <c r="Q90" i="69" s="1"/>
  <c r="R90" i="69" s="1"/>
  <c r="S90" i="69" s="1"/>
  <c r="T90" i="69" s="1"/>
  <c r="U90" i="69" s="1"/>
  <c r="V90" i="69" s="1"/>
  <c r="W90" i="69" s="1"/>
  <c r="X90" i="69" s="1"/>
  <c r="Y90" i="69" s="1"/>
  <c r="Z90" i="69" s="1"/>
  <c r="AA90" i="69" s="1"/>
  <c r="AB90" i="69" s="1"/>
  <c r="AC90" i="69" s="1"/>
  <c r="AD90" i="69" s="1"/>
  <c r="AE90" i="69" s="1"/>
  <c r="AF90" i="69" s="1"/>
  <c r="AG90" i="69" s="1"/>
  <c r="AH90" i="69" s="1"/>
  <c r="AI90" i="69" s="1"/>
  <c r="AJ90" i="69" s="1"/>
  <c r="G73" i="69"/>
  <c r="G83" i="69" s="1"/>
  <c r="F73" i="69"/>
  <c r="F83" i="69" s="1"/>
  <c r="J74" i="69"/>
  <c r="J84" i="69" s="1"/>
  <c r="G74" i="69"/>
  <c r="G84" i="69" s="1"/>
  <c r="K74" i="69"/>
  <c r="K84" i="69" s="1"/>
  <c r="L74" i="69"/>
  <c r="L84" i="69" s="1"/>
  <c r="E91" i="69" s="1"/>
  <c r="E74" i="69"/>
  <c r="E84" i="69" s="1"/>
  <c r="O84" i="69" s="1"/>
  <c r="I74" i="69"/>
  <c r="I84" i="69" s="1"/>
  <c r="F74" i="69"/>
  <c r="F84" i="69" s="1"/>
  <c r="H74" i="69"/>
  <c r="H84" i="69" s="1"/>
  <c r="K73" i="69"/>
  <c r="K83" i="69" s="1"/>
  <c r="J73" i="69"/>
  <c r="J83" i="69" s="1"/>
  <c r="J72" i="69"/>
  <c r="J82" i="69" s="1"/>
  <c r="H72" i="69"/>
  <c r="H82" i="69" s="1"/>
  <c r="F75" i="69"/>
  <c r="F85" i="69" s="1"/>
  <c r="K75" i="69"/>
  <c r="K85" i="69" s="1"/>
  <c r="G75" i="69"/>
  <c r="G85" i="69" s="1"/>
  <c r="H75" i="69"/>
  <c r="H85" i="69" s="1"/>
  <c r="L75" i="69"/>
  <c r="L85" i="69" s="1"/>
  <c r="E92" i="69" s="1"/>
  <c r="E75" i="69"/>
  <c r="I75" i="69"/>
  <c r="I85" i="69" s="1"/>
  <c r="J75" i="69"/>
  <c r="J85" i="69" s="1"/>
  <c r="I72" i="69"/>
  <c r="I82" i="69" s="1"/>
  <c r="K72" i="69"/>
  <c r="K82" i="69" s="1"/>
  <c r="N54" i="49"/>
  <c r="M54" i="49"/>
  <c r="O54" i="49" s="1"/>
  <c r="G72" i="69" l="1"/>
  <c r="G82" i="69" s="1"/>
  <c r="L72" i="69"/>
  <c r="L82" i="69" s="1"/>
  <c r="E89" i="69" s="1"/>
  <c r="AF2" i="6"/>
  <c r="AZ47" i="70"/>
  <c r="AG2" i="6" s="1"/>
  <c r="AZ48" i="70"/>
  <c r="AG3" i="6" s="1"/>
  <c r="AF3" i="6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AZ49" i="70"/>
  <c r="AG2" i="12" s="1"/>
  <c r="AF2" i="12"/>
  <c r="M72" i="70"/>
  <c r="G72" i="70"/>
  <c r="G82" i="70" s="1"/>
  <c r="AZ50" i="70"/>
  <c r="AG3" i="12" s="1"/>
  <c r="AF3" i="12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M8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83" i="69"/>
  <c r="F91" i="69"/>
  <c r="N84" i="69"/>
  <c r="N72" i="69"/>
  <c r="E82" i="69"/>
  <c r="N82" i="69" s="1"/>
  <c r="N75" i="69"/>
  <c r="E85" i="69"/>
  <c r="N74" i="69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G91" i="69"/>
  <c r="O82" i="69"/>
  <c r="F89" i="69" s="1"/>
  <c r="O85" i="69"/>
  <c r="F92" i="69" s="1"/>
  <c r="N85" i="69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G92" i="69"/>
  <c r="G89" i="69"/>
  <c r="H91" i="69"/>
  <c r="N57" i="49"/>
  <c r="M57" i="49"/>
  <c r="O57" i="49" s="1"/>
  <c r="M63" i="49"/>
  <c r="O63" i="49" s="1"/>
  <c r="H89" i="69" l="1"/>
  <c r="I91" i="69"/>
  <c r="H92" i="69"/>
  <c r="N58" i="49"/>
  <c r="M58" i="49"/>
  <c r="O58" i="49" s="1"/>
  <c r="J91" i="69" l="1"/>
  <c r="I92" i="69"/>
  <c r="I89" i="69"/>
  <c r="N59" i="49"/>
  <c r="M59" i="49"/>
  <c r="O59" i="49" s="1"/>
  <c r="J89" i="69" l="1"/>
  <c r="J92" i="69"/>
  <c r="K91" i="69"/>
  <c r="N60" i="49"/>
  <c r="M60" i="49"/>
  <c r="O60" i="49" s="1"/>
  <c r="L91" i="69" l="1"/>
  <c r="K92" i="69"/>
  <c r="K89" i="69"/>
  <c r="N61" i="49"/>
  <c r="M61" i="49"/>
  <c r="O61" i="49" s="1"/>
  <c r="L89" i="69" l="1"/>
  <c r="L92" i="69"/>
  <c r="M91" i="69"/>
  <c r="N62" i="49"/>
  <c r="M62" i="49"/>
  <c r="O62" i="49" s="1"/>
  <c r="N91" i="69" l="1"/>
  <c r="M92" i="69"/>
  <c r="M89" i="69"/>
  <c r="N89" i="69" l="1"/>
  <c r="N92" i="69"/>
  <c r="O91" i="69"/>
  <c r="P91" i="69" l="1"/>
  <c r="O92" i="69"/>
  <c r="O89" i="69"/>
  <c r="P89" i="69" l="1"/>
  <c r="P92" i="69"/>
  <c r="Q91" i="69"/>
  <c r="R91" i="69" l="1"/>
  <c r="Q92" i="69"/>
  <c r="Q89" i="69"/>
  <c r="R89" i="69" l="1"/>
  <c r="R92" i="69"/>
  <c r="S91" i="69"/>
  <c r="T91" i="69" l="1"/>
  <c r="S92" i="69"/>
  <c r="S89" i="69"/>
  <c r="T89" i="69" l="1"/>
  <c r="T92" i="69"/>
  <c r="U91" i="69"/>
  <c r="U92" i="69" l="1"/>
  <c r="V91" i="69"/>
  <c r="U89" i="69"/>
  <c r="V89" i="69" l="1"/>
  <c r="W91" i="69"/>
  <c r="V92" i="69"/>
  <c r="W92" i="69" l="1"/>
  <c r="X91" i="69"/>
  <c r="W89" i="69"/>
  <c r="Y91" i="69" l="1"/>
  <c r="X89" i="69"/>
  <c r="X92" i="69"/>
  <c r="Y92" i="69" l="1"/>
  <c r="Y89" i="69"/>
  <c r="Z91" i="69"/>
  <c r="AA91" i="69" l="1"/>
  <c r="Z89" i="69"/>
  <c r="Z92" i="69"/>
  <c r="AA92" i="69" l="1"/>
  <c r="AA89" i="69"/>
  <c r="AB91" i="69"/>
  <c r="AC91" i="69" l="1"/>
  <c r="AB89" i="69"/>
  <c r="AB92" i="69"/>
  <c r="AC92" i="69" l="1"/>
  <c r="AC89" i="69"/>
  <c r="AD91" i="69"/>
  <c r="AE91" i="69" l="1"/>
  <c r="AD89" i="69"/>
  <c r="AD92" i="69"/>
  <c r="AE92" i="69" l="1"/>
  <c r="AE89" i="69"/>
  <c r="AF91" i="69"/>
  <c r="AG91" i="69" l="1"/>
  <c r="AF89" i="69"/>
  <c r="AF92" i="69"/>
  <c r="AG89" i="69" l="1"/>
  <c r="AG92" i="69"/>
  <c r="AH91" i="69"/>
  <c r="AI91" i="69" l="1"/>
  <c r="AH92" i="69"/>
  <c r="AH89" i="69"/>
  <c r="AI89" i="69" l="1"/>
  <c r="AI92" i="69"/>
  <c r="AJ91" i="69"/>
  <c r="AJ92" i="69" l="1"/>
  <c r="AJ89" i="6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</commentList>
</comments>
</file>

<file path=xl/sharedStrings.xml><?xml version="1.0" encoding="utf-8"?>
<sst xmlns="http://schemas.openxmlformats.org/spreadsheetml/2006/main" count="2496" uniqueCount="955">
  <si>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</si>
  <si>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</si>
  <si>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</si>
  <si>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</si>
  <si>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</si>
  <si>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</si>
  <si>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</si>
  <si>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</si>
  <si>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</si>
  <si>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</si>
  <si>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</si>
  <si>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</si>
  <si>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</si>
  <si>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</si>
  <si>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</si>
  <si>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</si>
  <si>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</si>
  <si>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</si>
  <si>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</si>
  <si>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</si>
  <si>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</si>
  <si>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</si>
  <si>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</si>
  <si>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</si>
  <si>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</si>
  <si>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</si>
  <si>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</si>
  <si>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</si>
  <si>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</si>
  <si>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</si>
  <si>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</si>
  <si>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</si>
  <si>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</si>
  <si>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</si>
  <si>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</si>
  <si>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</si>
  <si>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</si>
  <si>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</si>
  <si>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</si>
  <si>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</si>
  <si>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</si>
  <si>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</si>
  <si>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</si>
  <si>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</si>
  <si>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</si>
  <si>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</si>
  <si>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</si>
  <si>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</si>
  <si>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</si>
  <si>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</si>
  <si>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</si>
  <si>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</si>
  <si>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</si>
  <si>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</si>
  <si>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</si>
  <si>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조회년월: 2024.12</t>
    <phoneticPr fontId="43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</si>
  <si>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</si>
  <si>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</si>
  <si>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</si>
  <si>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</si>
  <si>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</si>
  <si>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</si>
  <si>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</si>
  <si>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</si>
  <si>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</si>
  <si>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</si>
  <si>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</si>
  <si>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</si>
  <si>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</si>
  <si>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</si>
  <si>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</si>
  <si>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</si>
  <si>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</si>
  <si>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</si>
  <si>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</si>
  <si>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</si>
  <si>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</si>
  <si>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</si>
  <si>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</si>
  <si>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</si>
  <si>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</si>
  <si>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</si>
  <si>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</si>
  <si>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</si>
  <si>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</si>
  <si>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</si>
  <si>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</si>
  <si>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</si>
  <si>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</si>
  <si>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</si>
  <si>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</si>
  <si>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</si>
  <si>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</si>
  <si>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</si>
  <si>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</si>
  <si>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</si>
  <si>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</si>
  <si>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</si>
  <si>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</si>
  <si>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</si>
  <si>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</si>
  <si>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</si>
  <si>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</si>
  <si>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</si>
  <si>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</si>
  <si>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</si>
  <si>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</si>
  <si>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</si>
  <si>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</si>
  <si>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</si>
  <si>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</si>
  <si>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</si>
  <si>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</si>
  <si>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</si>
  <si>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</si>
  <si>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</si>
  <si>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</si>
  <si>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</si>
  <si>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</si>
  <si>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</si>
  <si>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</si>
  <si>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</si>
  <si>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</si>
  <si>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</si>
  <si>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</si>
  <si>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</si>
  <si>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</si>
  <si>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</si>
  <si>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</si>
  <si>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</si>
  <si>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</si>
  <si>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</si>
  <si>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</si>
  <si>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</si>
  <si>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</si>
  <si>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</si>
  <si>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</si>
  <si>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</si>
  <si>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</si>
  <si>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</si>
  <si>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</si>
  <si>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</si>
  <si>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</si>
  <si>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</si>
  <si>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</si>
  <si>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</si>
  <si>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</si>
  <si>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</si>
  <si>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</si>
  <si>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</si>
  <si>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</si>
  <si>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</si>
  <si>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</si>
  <si>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</si>
  <si>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</si>
  <si>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</si>
  <si>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</si>
  <si>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</si>
  <si>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</si>
  <si>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</si>
  <si>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</si>
  <si>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</si>
  <si>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</si>
  <si>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</si>
  <si>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</si>
  <si>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</si>
  <si>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</si>
  <si>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</si>
  <si>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</si>
  <si>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</si>
  <si>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</si>
  <si>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</si>
  <si>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</si>
  <si>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</si>
  <si>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</si>
  <si>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</si>
  <si>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</si>
  <si>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</si>
  <si>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</si>
  <si>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</si>
  <si>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</si>
  <si>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</si>
  <si>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</si>
  <si>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</si>
  <si>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</si>
  <si>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</si>
  <si>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</si>
  <si>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</si>
  <si>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</si>
  <si>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</si>
  <si>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</si>
  <si>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</si>
  <si>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</si>
  <si>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</si>
  <si>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</si>
  <si>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</si>
  <si>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</si>
  <si>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</si>
  <si>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</si>
  <si>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</si>
  <si>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</si>
  <si>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</si>
  <si>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</si>
  <si>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</si>
  <si>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</si>
  <si>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</si>
  <si>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</si>
  <si>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</si>
  <si>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</si>
  <si>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</si>
  <si>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</si>
  <si>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</si>
  <si>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</si>
  <si>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</si>
  <si>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</si>
  <si>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</si>
  <si>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</si>
  <si>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</si>
  <si>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</si>
  <si>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</si>
  <si>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</si>
  <si>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</si>
  <si>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</si>
  <si>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</si>
  <si>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</si>
  <si>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</si>
  <si>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</si>
  <si>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</si>
  <si>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</si>
  <si>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</si>
  <si>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</si>
  <si>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</si>
  <si>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</si>
  <si>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</si>
  <si>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</si>
  <si>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</si>
  <si>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</si>
  <si>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</si>
  <si>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</si>
  <si>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</si>
  <si>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</si>
  <si>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</si>
  <si>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</si>
  <si>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1일 평균주행거리 (㎞/대)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</si>
  <si>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</si>
  <si>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</si>
  <si>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</si>
  <si>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</si>
  <si>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</si>
  <si>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</si>
  <si>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</si>
  <si>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승용</t>
    <phoneticPr fontId="43" type="noConversion"/>
  </si>
  <si>
    <t>일반(경,소,중)</t>
    <phoneticPr fontId="43" type="noConversion"/>
  </si>
  <si>
    <t>다목적(중)</t>
    <phoneticPr fontId="43" type="noConversion"/>
  </si>
  <si>
    <t>승합</t>
    <phoneticPr fontId="43" type="noConversion"/>
  </si>
  <si>
    <t>일반(소,중)</t>
    <phoneticPr fontId="43" type="noConversion"/>
  </si>
  <si>
    <t>passenger-HDVs</t>
    <phoneticPr fontId="43" type="noConversion"/>
  </si>
  <si>
    <t>일반(대)</t>
    <phoneticPr fontId="43" type="noConversion"/>
  </si>
  <si>
    <t>다목적(대)</t>
    <phoneticPr fontId="43" type="noConversion"/>
  </si>
  <si>
    <t>기타(대)</t>
    <phoneticPr fontId="43" type="noConversion"/>
  </si>
  <si>
    <t>특수용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</si>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</sst>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</numFmts>
  <fonts count="1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</fonts>
  <fills count="7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00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169" fontId="0" fillId="29" borderId="0" xfId="0" applyNumberFormat="1" applyFill="1"/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69" fontId="124" fillId="0" borderId="0" xfId="0" applyNumberFormat="1" applyFont="1"/>
    <xf numFmtId="11" fontId="0" fillId="0" borderId="0" xfId="0" applyNumberFormat="1" applyAlignment="1">
      <alignment vertical="center"/>
    </xf>
    <xf numFmtId="11" fontId="0" fillId="0" borderId="0" xfId="0" applyNumberFormat="1"/>
    <xf numFmtId="38" fontId="0" fillId="0" borderId="38" xfId="0" applyNumberFormat="1" applyBorder="1" applyAlignment="1">
      <alignment vertical="center"/>
    </xf>
    <xf numFmtId="0" fontId="0" fillId="34" borderId="56" xfId="0" applyFill="1" applyBorder="1" applyAlignment="1">
      <alignment vertical="center"/>
    </xf>
    <xf numFmtId="164" fontId="0" fillId="0" borderId="0" xfId="4708" applyFont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164" fontId="0" fillId="29" borderId="0" xfId="4708" applyFont="1" applyFill="1" applyAlignment="1">
      <alignment vertical="center"/>
    </xf>
    <xf numFmtId="169" fontId="124" fillId="29" borderId="0" xfId="0" applyNumberFormat="1" applyFont="1" applyFill="1"/>
    <xf numFmtId="164" fontId="0" fillId="0" borderId="0" xfId="4708" applyFont="1" applyFill="1" applyAlignment="1">
      <alignment vertical="center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1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0" fillId="0" borderId="40" xfId="0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953258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abSelected="1" topLeftCell="A57" workbookViewId="0">
      <selection activeCell="A72" sqref="A72"/>
    </sheetView>
  </sheetViews>
  <sheetFormatPr defaultColWidth="9" defaultRowHeight="14.4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</row>
    <row r="4" spans="1:15">
      <c r="B4" t="s">
        <v>3</v>
      </c>
    </row>
    <row r="5" spans="1:15">
      <c r="B5" t="s">
        <v>4</v>
      </c>
    </row>
    <row r="6" spans="1:15">
      <c r="B6" t="s">
        <v>5</v>
      </c>
    </row>
    <row r="7" spans="1:15">
      <c r="B7" s="65" t="s">
        <v>6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7.399999999999999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954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</hyperlinks>
  <pageMargins left="0.7" right="0.7" top="0.75" bottom="0.75" header="0.3" footer="0.3"/>
  <pageSetup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workbookViewId="0">
      <selection activeCell="A3" sqref="A3"/>
    </sheetView>
  </sheetViews>
  <sheetFormatPr defaultColWidth="9" defaultRowHeight="13.8"/>
  <cols>
    <col min="1" max="1" width="4" style="5" customWidth="1"/>
    <col min="2" max="2" width="3.33203125" style="5" customWidth="1"/>
    <col min="3" max="4" width="1.6640625" style="5" customWidth="1"/>
    <col min="5" max="5" width="23.21875" style="5" customWidth="1"/>
    <col min="6" max="6" width="12.66406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55</v>
      </c>
      <c r="B2" s="7"/>
    </row>
    <row r="3" spans="1:6">
      <c r="A3" s="85"/>
      <c r="B3" s="85"/>
      <c r="C3" s="85"/>
      <c r="D3" s="85"/>
      <c r="E3" s="85" t="s">
        <v>56</v>
      </c>
      <c r="F3" s="86" t="s">
        <v>57</v>
      </c>
    </row>
    <row r="4" spans="1:6">
      <c r="A4" s="87" t="s">
        <v>58</v>
      </c>
      <c r="B4" s="87"/>
      <c r="C4" s="87"/>
      <c r="D4" s="87"/>
      <c r="E4" s="87"/>
      <c r="F4" s="84">
        <v>26297919</v>
      </c>
    </row>
    <row r="5" spans="1:6">
      <c r="A5" s="87"/>
      <c r="B5" s="87" t="s">
        <v>59</v>
      </c>
      <c r="C5" s="87"/>
      <c r="D5" s="87"/>
      <c r="E5" s="87"/>
      <c r="F5" s="84">
        <v>21771120</v>
      </c>
    </row>
    <row r="6" spans="1:6">
      <c r="A6" s="87"/>
      <c r="B6" s="87"/>
      <c r="C6" s="87" t="s">
        <v>60</v>
      </c>
      <c r="D6" s="87"/>
      <c r="E6" s="87"/>
      <c r="F6" s="84">
        <v>13486440</v>
      </c>
    </row>
    <row r="7" spans="1:6">
      <c r="A7" s="87"/>
      <c r="B7" s="87"/>
      <c r="C7" s="87"/>
      <c r="D7" s="87" t="s">
        <v>61</v>
      </c>
      <c r="E7" s="87"/>
      <c r="F7" s="84">
        <v>11161612</v>
      </c>
    </row>
    <row r="8" spans="1:6">
      <c r="A8" s="87"/>
      <c r="B8" s="87"/>
      <c r="C8" s="87"/>
      <c r="D8" s="87"/>
      <c r="E8" s="87" t="s">
        <v>62</v>
      </c>
      <c r="F8" s="84">
        <v>55596</v>
      </c>
    </row>
    <row r="9" spans="1:6">
      <c r="A9" s="87"/>
      <c r="B9" s="87"/>
      <c r="C9" s="87"/>
      <c r="D9" s="87"/>
      <c r="E9" s="87" t="s">
        <v>63</v>
      </c>
      <c r="F9" s="84">
        <v>1946010</v>
      </c>
    </row>
    <row r="10" spans="1:6">
      <c r="A10" s="87"/>
      <c r="B10" s="87"/>
      <c r="C10" s="87"/>
      <c r="D10" s="87"/>
      <c r="E10" s="87" t="s">
        <v>64</v>
      </c>
      <c r="F10" s="84">
        <v>487666</v>
      </c>
    </row>
    <row r="11" spans="1:6">
      <c r="A11" s="87"/>
      <c r="B11" s="87"/>
      <c r="C11" s="87"/>
      <c r="D11" s="87"/>
      <c r="E11" s="87" t="s">
        <v>65</v>
      </c>
      <c r="F11" s="84">
        <v>5498906</v>
      </c>
    </row>
    <row r="12" spans="1:6">
      <c r="A12" s="87"/>
      <c r="B12" s="87"/>
      <c r="C12" s="87"/>
      <c r="D12" s="87"/>
      <c r="E12" s="87" t="s">
        <v>66</v>
      </c>
      <c r="F12" s="84">
        <v>1440310</v>
      </c>
    </row>
    <row r="13" spans="1:6">
      <c r="A13" s="87"/>
      <c r="B13" s="87"/>
      <c r="C13" s="87"/>
      <c r="D13" s="87"/>
      <c r="E13" s="87" t="s">
        <v>67</v>
      </c>
      <c r="F13" s="84">
        <v>782270</v>
      </c>
    </row>
    <row r="14" spans="1:6">
      <c r="A14" s="87"/>
      <c r="B14" s="87"/>
      <c r="C14" s="87"/>
      <c r="D14" s="87"/>
      <c r="E14" s="87" t="s">
        <v>68</v>
      </c>
      <c r="F14" s="84">
        <v>610967</v>
      </c>
    </row>
    <row r="15" spans="1:6">
      <c r="A15" s="87"/>
      <c r="B15" s="87"/>
      <c r="C15" s="87"/>
      <c r="D15" s="87"/>
      <c r="E15" s="87" t="s">
        <v>69</v>
      </c>
      <c r="F15" s="84">
        <v>232107</v>
      </c>
    </row>
    <row r="16" spans="1:6">
      <c r="A16" s="87"/>
      <c r="B16" s="87"/>
      <c r="C16" s="87"/>
      <c r="D16" s="87"/>
      <c r="E16" s="87" t="s">
        <v>70</v>
      </c>
      <c r="F16" s="84">
        <v>1190</v>
      </c>
    </row>
    <row r="17" spans="1:6">
      <c r="A17" s="87"/>
      <c r="B17" s="87"/>
      <c r="C17" s="87"/>
      <c r="D17" s="87"/>
      <c r="E17" s="87" t="s">
        <v>71</v>
      </c>
      <c r="F17" s="84">
        <v>5492</v>
      </c>
    </row>
    <row r="18" spans="1:6">
      <c r="A18" s="87"/>
      <c r="B18" s="87"/>
      <c r="C18" s="87"/>
      <c r="D18" s="87"/>
      <c r="E18" s="87" t="s">
        <v>72</v>
      </c>
      <c r="F18" s="84">
        <v>18625</v>
      </c>
    </row>
    <row r="19" spans="1:6">
      <c r="A19" s="87"/>
      <c r="B19" s="87"/>
      <c r="C19" s="87"/>
      <c r="D19" s="87"/>
      <c r="E19" s="87" t="s">
        <v>73</v>
      </c>
      <c r="F19" s="84">
        <v>16</v>
      </c>
    </row>
    <row r="20" spans="1:6">
      <c r="A20" s="87"/>
      <c r="B20" s="87"/>
      <c r="C20" s="87"/>
      <c r="D20" s="87"/>
      <c r="E20" s="87" t="s">
        <v>74</v>
      </c>
      <c r="F20" s="84">
        <v>82457</v>
      </c>
    </row>
    <row r="21" spans="1:6">
      <c r="A21" s="87"/>
      <c r="B21" s="87"/>
      <c r="C21" s="87"/>
      <c r="D21" s="87" t="s">
        <v>75</v>
      </c>
      <c r="E21" s="87"/>
      <c r="F21" s="84">
        <v>2324828</v>
      </c>
    </row>
    <row r="22" spans="1:6">
      <c r="A22" s="87"/>
      <c r="B22" s="87"/>
      <c r="C22" s="87"/>
      <c r="D22" s="87"/>
      <c r="E22" s="87" t="s">
        <v>76</v>
      </c>
      <c r="F22" s="84">
        <v>2358</v>
      </c>
    </row>
    <row r="23" spans="1:6">
      <c r="A23" s="87"/>
      <c r="B23" s="87"/>
      <c r="C23" s="87"/>
      <c r="D23" s="87"/>
      <c r="E23" s="87" t="s">
        <v>77</v>
      </c>
      <c r="F23" s="84">
        <v>1906</v>
      </c>
    </row>
    <row r="24" spans="1:6">
      <c r="A24" s="87"/>
      <c r="B24" s="87"/>
      <c r="C24" s="87"/>
      <c r="D24" s="87"/>
      <c r="E24" s="87" t="s">
        <v>78</v>
      </c>
      <c r="F24" s="84">
        <v>175092</v>
      </c>
    </row>
    <row r="25" spans="1:6">
      <c r="A25" s="87"/>
      <c r="B25" s="87"/>
      <c r="C25" s="87"/>
      <c r="D25" s="87"/>
      <c r="E25" s="87" t="s">
        <v>79</v>
      </c>
      <c r="F25" s="84">
        <v>1224660</v>
      </c>
    </row>
    <row r="26" spans="1:6">
      <c r="A26" s="87"/>
      <c r="B26" s="87"/>
      <c r="C26" s="87"/>
      <c r="D26" s="87"/>
      <c r="E26" s="87" t="s">
        <v>80</v>
      </c>
      <c r="F26" s="84">
        <v>280391</v>
      </c>
    </row>
    <row r="27" spans="1:6">
      <c r="A27" s="87"/>
      <c r="B27" s="87"/>
      <c r="C27" s="87"/>
      <c r="D27" s="87"/>
      <c r="E27" s="87" t="s">
        <v>81</v>
      </c>
      <c r="F27" s="84">
        <v>308382</v>
      </c>
    </row>
    <row r="28" spans="1:6">
      <c r="A28" s="87"/>
      <c r="B28" s="87"/>
      <c r="C28" s="87"/>
      <c r="D28" s="87"/>
      <c r="E28" s="87" t="s">
        <v>82</v>
      </c>
      <c r="F28" s="84">
        <v>101515</v>
      </c>
    </row>
    <row r="29" spans="1:6">
      <c r="A29" s="87"/>
      <c r="B29" s="87"/>
      <c r="C29" s="87"/>
      <c r="D29" s="87"/>
      <c r="E29" s="87" t="s">
        <v>83</v>
      </c>
      <c r="F29" s="84">
        <v>71697</v>
      </c>
    </row>
    <row r="30" spans="1:6">
      <c r="A30" s="87"/>
      <c r="B30" s="87"/>
      <c r="C30" s="87"/>
      <c r="D30" s="87"/>
      <c r="E30" s="87" t="s">
        <v>84</v>
      </c>
      <c r="F30" s="84">
        <v>17158</v>
      </c>
    </row>
    <row r="31" spans="1:6">
      <c r="A31" s="87"/>
      <c r="B31" s="87"/>
      <c r="C31" s="87"/>
      <c r="D31" s="87"/>
      <c r="E31" s="87" t="s">
        <v>85</v>
      </c>
      <c r="F31" s="84">
        <v>17563</v>
      </c>
    </row>
    <row r="32" spans="1:6">
      <c r="A32" s="87"/>
      <c r="B32" s="87"/>
      <c r="C32" s="87"/>
      <c r="D32" s="87"/>
      <c r="E32" s="87" t="s">
        <v>86</v>
      </c>
      <c r="F32" s="84">
        <v>24540</v>
      </c>
    </row>
    <row r="33" spans="1:6">
      <c r="A33" s="87"/>
      <c r="B33" s="87"/>
      <c r="C33" s="87"/>
      <c r="D33" s="87"/>
      <c r="E33" s="87" t="s">
        <v>87</v>
      </c>
      <c r="F33" s="84">
        <v>0</v>
      </c>
    </row>
    <row r="34" spans="1:6">
      <c r="A34" s="87"/>
      <c r="B34" s="87"/>
      <c r="C34" s="87"/>
      <c r="D34" s="87"/>
      <c r="E34" s="87" t="s">
        <v>88</v>
      </c>
      <c r="F34" s="84">
        <v>99566</v>
      </c>
    </row>
    <row r="35" spans="1:6">
      <c r="A35" s="87"/>
      <c r="B35" s="87"/>
      <c r="C35" s="87" t="s">
        <v>89</v>
      </c>
      <c r="D35" s="87"/>
      <c r="E35" s="87"/>
      <c r="F35" s="84">
        <v>103013</v>
      </c>
    </row>
    <row r="36" spans="1:6">
      <c r="A36" s="87"/>
      <c r="B36" s="87"/>
      <c r="C36" s="87"/>
      <c r="D36" s="87"/>
      <c r="E36" s="87" t="s">
        <v>90</v>
      </c>
      <c r="F36" s="84">
        <v>97221</v>
      </c>
    </row>
    <row r="37" spans="1:6">
      <c r="A37" s="87"/>
      <c r="B37" s="87"/>
      <c r="C37" s="87"/>
      <c r="D37" s="87"/>
      <c r="E37" s="87" t="s">
        <v>91</v>
      </c>
      <c r="F37" s="84">
        <v>43</v>
      </c>
    </row>
    <row r="38" spans="1:6">
      <c r="A38" s="87"/>
      <c r="B38" s="87"/>
      <c r="C38" s="87"/>
      <c r="D38" s="87"/>
      <c r="E38" s="87" t="s">
        <v>92</v>
      </c>
      <c r="F38" s="84">
        <v>2870</v>
      </c>
    </row>
    <row r="39" spans="1:6">
      <c r="A39" s="87"/>
      <c r="B39" s="87"/>
      <c r="C39" s="87"/>
      <c r="D39" s="87"/>
      <c r="E39" s="87" t="s">
        <v>93</v>
      </c>
      <c r="F39" s="84">
        <v>242</v>
      </c>
    </row>
    <row r="40" spans="1:6">
      <c r="A40" s="87"/>
      <c r="B40" s="87"/>
      <c r="C40" s="87"/>
      <c r="D40" s="87"/>
      <c r="E40" s="87" t="s">
        <v>94</v>
      </c>
      <c r="F40" s="84">
        <v>49</v>
      </c>
    </row>
    <row r="41" spans="1:6">
      <c r="A41" s="87"/>
      <c r="B41" s="87"/>
      <c r="C41" s="87"/>
      <c r="D41" s="87"/>
      <c r="E41" s="87" t="s">
        <v>95</v>
      </c>
      <c r="F41" s="84">
        <v>496</v>
      </c>
    </row>
    <row r="42" spans="1:6">
      <c r="A42" s="87"/>
      <c r="B42" s="87"/>
      <c r="C42" s="87"/>
      <c r="D42" s="87"/>
      <c r="E42" s="87" t="s">
        <v>96</v>
      </c>
      <c r="F42" s="84">
        <v>0</v>
      </c>
    </row>
    <row r="43" spans="1:6">
      <c r="A43" s="87"/>
      <c r="B43" s="87"/>
      <c r="C43" s="87"/>
      <c r="D43" s="87"/>
      <c r="E43" s="87" t="s">
        <v>97</v>
      </c>
      <c r="F43" s="84">
        <v>2092</v>
      </c>
    </row>
    <row r="44" spans="1:6">
      <c r="A44" s="87"/>
      <c r="B44" s="87"/>
      <c r="C44" s="87" t="s">
        <v>98</v>
      </c>
      <c r="D44" s="87"/>
      <c r="E44" s="87"/>
      <c r="F44" s="84">
        <v>6504809</v>
      </c>
    </row>
    <row r="45" spans="1:6">
      <c r="A45" s="87"/>
      <c r="B45" s="87"/>
      <c r="C45" s="87"/>
      <c r="D45" s="87"/>
      <c r="E45" s="87" t="s">
        <v>99</v>
      </c>
      <c r="F45" s="84">
        <v>147989</v>
      </c>
    </row>
    <row r="46" spans="1:6">
      <c r="A46" s="87"/>
      <c r="B46" s="87"/>
      <c r="C46" s="87"/>
      <c r="D46" s="87"/>
      <c r="E46" s="87" t="s">
        <v>100</v>
      </c>
      <c r="F46" s="84">
        <v>3951371</v>
      </c>
    </row>
    <row r="47" spans="1:6">
      <c r="A47" s="87"/>
      <c r="B47" s="87"/>
      <c r="C47" s="87"/>
      <c r="D47" s="87"/>
      <c r="E47" s="87" t="s">
        <v>101</v>
      </c>
      <c r="F47" s="84">
        <v>1229314</v>
      </c>
    </row>
    <row r="48" spans="1:6">
      <c r="A48" s="87"/>
      <c r="B48" s="87"/>
      <c r="C48" s="87"/>
      <c r="D48" s="87"/>
      <c r="E48" s="87" t="s">
        <v>102</v>
      </c>
      <c r="F48" s="84">
        <v>572637</v>
      </c>
    </row>
    <row r="49" spans="1:6">
      <c r="A49" s="87"/>
      <c r="B49" s="87"/>
      <c r="C49" s="87"/>
      <c r="D49" s="87"/>
      <c r="E49" s="87" t="s">
        <v>103</v>
      </c>
      <c r="F49" s="84">
        <v>71421</v>
      </c>
    </row>
    <row r="50" spans="1:6">
      <c r="A50" s="87"/>
      <c r="B50" s="87"/>
      <c r="C50" s="87"/>
      <c r="D50" s="87"/>
      <c r="E50" s="87" t="s">
        <v>104</v>
      </c>
      <c r="F50" s="84">
        <v>196961</v>
      </c>
    </row>
    <row r="51" spans="1:6">
      <c r="A51" s="87"/>
      <c r="B51" s="87"/>
      <c r="C51" s="87"/>
      <c r="D51" s="87"/>
      <c r="E51" s="87" t="s">
        <v>105</v>
      </c>
      <c r="F51" s="84">
        <v>8</v>
      </c>
    </row>
    <row r="52" spans="1:6">
      <c r="A52" s="87"/>
      <c r="B52" s="87"/>
      <c r="C52" s="87"/>
      <c r="D52" s="87"/>
      <c r="E52" s="87" t="s">
        <v>106</v>
      </c>
      <c r="F52" s="84">
        <v>335108</v>
      </c>
    </row>
    <row r="53" spans="1:6">
      <c r="A53" s="87"/>
      <c r="B53" s="87"/>
      <c r="C53" s="87" t="s">
        <v>107</v>
      </c>
      <c r="D53" s="87"/>
      <c r="E53" s="87"/>
      <c r="F53" s="84">
        <v>1676858</v>
      </c>
    </row>
    <row r="54" spans="1:6">
      <c r="A54" s="87"/>
      <c r="B54" s="87"/>
      <c r="C54" s="87"/>
      <c r="D54" s="87"/>
      <c r="E54" s="87" t="s">
        <v>108</v>
      </c>
      <c r="F54" s="84">
        <v>230729</v>
      </c>
    </row>
    <row r="55" spans="1:6">
      <c r="A55" s="87"/>
      <c r="B55" s="87"/>
      <c r="C55" s="87"/>
      <c r="D55" s="87"/>
      <c r="E55" s="87" t="s">
        <v>109</v>
      </c>
      <c r="F55" s="84">
        <v>670787</v>
      </c>
    </row>
    <row r="56" spans="1:6">
      <c r="A56" s="87"/>
      <c r="B56" s="87"/>
      <c r="C56" s="87"/>
      <c r="D56" s="87"/>
      <c r="E56" s="87" t="s">
        <v>110</v>
      </c>
      <c r="F56" s="84">
        <v>577067</v>
      </c>
    </row>
    <row r="57" spans="1:6">
      <c r="A57" s="87"/>
      <c r="B57" s="87"/>
      <c r="C57" s="87"/>
      <c r="D57" s="87"/>
      <c r="E57" s="87" t="s">
        <v>111</v>
      </c>
      <c r="F57" s="84">
        <v>18690</v>
      </c>
    </row>
    <row r="58" spans="1:6">
      <c r="A58" s="87"/>
      <c r="B58" s="87"/>
      <c r="C58" s="87"/>
      <c r="D58" s="87"/>
      <c r="E58" s="87" t="s">
        <v>112</v>
      </c>
      <c r="F58" s="84">
        <v>132422</v>
      </c>
    </row>
    <row r="59" spans="1:6">
      <c r="A59" s="87"/>
      <c r="B59" s="87"/>
      <c r="C59" s="87"/>
      <c r="D59" s="87"/>
      <c r="E59" s="87" t="s">
        <v>113</v>
      </c>
      <c r="F59" s="84">
        <v>1985</v>
      </c>
    </row>
    <row r="60" spans="1:6">
      <c r="A60" s="87"/>
      <c r="B60" s="87"/>
      <c r="C60" s="87"/>
      <c r="D60" s="87"/>
      <c r="E60" s="87" t="s">
        <v>114</v>
      </c>
      <c r="F60" s="84">
        <v>618</v>
      </c>
    </row>
    <row r="61" spans="1:6">
      <c r="A61" s="87"/>
      <c r="B61" s="87"/>
      <c r="C61" s="87"/>
      <c r="D61" s="87"/>
      <c r="E61" s="87" t="s">
        <v>115</v>
      </c>
      <c r="F61" s="84">
        <v>44560</v>
      </c>
    </row>
    <row r="62" spans="1:6">
      <c r="A62" s="87"/>
      <c r="B62" s="87" t="s">
        <v>116</v>
      </c>
      <c r="C62" s="87"/>
      <c r="D62" s="87"/>
      <c r="E62" s="87"/>
      <c r="F62" s="84">
        <v>666166</v>
      </c>
    </row>
    <row r="63" spans="1:6">
      <c r="A63" s="87"/>
      <c r="B63" s="87"/>
      <c r="C63" s="87" t="s">
        <v>117</v>
      </c>
      <c r="D63" s="87"/>
      <c r="E63" s="87"/>
      <c r="F63" s="84">
        <v>627835</v>
      </c>
    </row>
    <row r="64" spans="1:6">
      <c r="A64" s="87"/>
      <c r="B64" s="87"/>
      <c r="C64" s="87"/>
      <c r="D64" s="87" t="s">
        <v>118</v>
      </c>
      <c r="E64" s="87"/>
      <c r="F64" s="84">
        <v>41193</v>
      </c>
    </row>
    <row r="65" spans="1:6">
      <c r="A65" s="87"/>
      <c r="B65" s="87"/>
      <c r="C65" s="87"/>
      <c r="D65" s="87" t="s">
        <v>119</v>
      </c>
      <c r="E65" s="87"/>
      <c r="F65" s="84">
        <v>24202</v>
      </c>
    </row>
    <row r="66" spans="1:6">
      <c r="A66" s="87"/>
      <c r="B66" s="87"/>
      <c r="C66" s="87"/>
      <c r="D66" s="87" t="s">
        <v>120</v>
      </c>
      <c r="E66" s="87"/>
      <c r="F66" s="84">
        <v>38561</v>
      </c>
    </row>
    <row r="67" spans="1:6">
      <c r="A67" s="87"/>
      <c r="B67" s="87"/>
      <c r="C67" s="87"/>
      <c r="D67" s="87" t="s">
        <v>121</v>
      </c>
      <c r="E67" s="87"/>
      <c r="F67" s="84">
        <v>18</v>
      </c>
    </row>
    <row r="68" spans="1:6">
      <c r="A68" s="87"/>
      <c r="B68" s="87"/>
      <c r="C68" s="87"/>
      <c r="D68" s="87" t="s">
        <v>122</v>
      </c>
      <c r="E68" s="87"/>
      <c r="F68" s="84">
        <v>0</v>
      </c>
    </row>
    <row r="69" spans="1:6">
      <c r="A69" s="87"/>
      <c r="B69" s="87"/>
      <c r="C69" s="87"/>
      <c r="D69" s="87" t="s">
        <v>123</v>
      </c>
      <c r="E69" s="87"/>
      <c r="F69" s="84">
        <v>0</v>
      </c>
    </row>
    <row r="70" spans="1:6">
      <c r="A70" s="87"/>
      <c r="B70" s="87"/>
      <c r="C70" s="87"/>
      <c r="D70" s="87" t="s">
        <v>124</v>
      </c>
      <c r="E70" s="87"/>
      <c r="F70" s="84">
        <v>523861</v>
      </c>
    </row>
    <row r="71" spans="1:6">
      <c r="A71" s="87"/>
      <c r="B71" s="87"/>
      <c r="C71" s="87"/>
      <c r="D71" s="87"/>
      <c r="E71" s="87" t="s">
        <v>125</v>
      </c>
      <c r="F71" s="84">
        <v>478640</v>
      </c>
    </row>
    <row r="72" spans="1:6">
      <c r="A72" s="87"/>
      <c r="B72" s="87"/>
      <c r="C72" s="87"/>
      <c r="D72" s="87"/>
      <c r="E72" s="87" t="s">
        <v>126</v>
      </c>
      <c r="F72" s="84">
        <v>16483</v>
      </c>
    </row>
    <row r="73" spans="1:6">
      <c r="A73" s="87"/>
      <c r="B73" s="87"/>
      <c r="C73" s="87"/>
      <c r="D73" s="87"/>
      <c r="E73" s="87" t="s">
        <v>127</v>
      </c>
      <c r="F73" s="84">
        <v>10453</v>
      </c>
    </row>
    <row r="74" spans="1:6">
      <c r="A74" s="87"/>
      <c r="B74" s="87"/>
      <c r="C74" s="87"/>
      <c r="D74" s="87"/>
      <c r="E74" s="87" t="s">
        <v>128</v>
      </c>
      <c r="F74" s="84">
        <v>17548</v>
      </c>
    </row>
    <row r="75" spans="1:6">
      <c r="A75" s="87"/>
      <c r="B75" s="87"/>
      <c r="C75" s="87"/>
      <c r="D75" s="87"/>
      <c r="E75" s="87" t="s">
        <v>129</v>
      </c>
      <c r="F75" s="84">
        <v>737</v>
      </c>
    </row>
    <row r="76" spans="1:6">
      <c r="A76" s="87"/>
      <c r="B76" s="87"/>
      <c r="C76" s="87" t="s">
        <v>130</v>
      </c>
      <c r="D76" s="87"/>
      <c r="E76" s="87"/>
      <c r="F76" s="84">
        <v>38331</v>
      </c>
    </row>
    <row r="77" spans="1:6">
      <c r="A77" s="87"/>
      <c r="B77" s="87"/>
      <c r="C77" s="87"/>
      <c r="D77" s="87" t="s">
        <v>131</v>
      </c>
      <c r="E77" s="87"/>
      <c r="F77" s="84">
        <v>6701</v>
      </c>
    </row>
    <row r="78" spans="1:6">
      <c r="A78" s="87"/>
      <c r="B78" s="87"/>
      <c r="C78" s="87"/>
      <c r="D78" s="87" t="s">
        <v>132</v>
      </c>
      <c r="E78" s="87"/>
      <c r="F78" s="84">
        <v>279</v>
      </c>
    </row>
    <row r="79" spans="1:6">
      <c r="A79" s="87"/>
      <c r="B79" s="87"/>
      <c r="C79" s="87"/>
      <c r="D79" s="87" t="s">
        <v>133</v>
      </c>
      <c r="E79" s="87"/>
      <c r="F79" s="84">
        <v>4</v>
      </c>
    </row>
    <row r="80" spans="1:6">
      <c r="A80" s="87"/>
      <c r="B80" s="87"/>
      <c r="C80" s="87"/>
      <c r="D80" s="87" t="s">
        <v>134</v>
      </c>
      <c r="E80" s="87"/>
      <c r="F80" s="84">
        <v>57</v>
      </c>
    </row>
    <row r="81" spans="1:6">
      <c r="A81" s="87"/>
      <c r="B81" s="87"/>
      <c r="C81" s="87"/>
      <c r="D81" s="87" t="s">
        <v>135</v>
      </c>
      <c r="E81" s="87"/>
      <c r="F81" s="84">
        <v>15097</v>
      </c>
    </row>
    <row r="82" spans="1:6">
      <c r="A82" s="87"/>
      <c r="B82" s="87"/>
      <c r="C82" s="87"/>
      <c r="D82" s="87" t="s">
        <v>136</v>
      </c>
      <c r="E82" s="87"/>
      <c r="F82" s="84">
        <v>16193</v>
      </c>
    </row>
    <row r="83" spans="1:6">
      <c r="A83" s="87"/>
      <c r="B83" s="87" t="s">
        <v>137</v>
      </c>
      <c r="C83" s="87"/>
      <c r="D83" s="87"/>
      <c r="E83" s="87"/>
      <c r="F83" s="84">
        <v>3716743</v>
      </c>
    </row>
    <row r="84" spans="1:6">
      <c r="A84" s="87"/>
      <c r="B84" s="87"/>
      <c r="C84" s="87" t="s">
        <v>138</v>
      </c>
      <c r="D84" s="87"/>
      <c r="E84" s="87"/>
      <c r="F84" s="84">
        <v>2644492</v>
      </c>
    </row>
    <row r="85" spans="1:6">
      <c r="A85" s="87"/>
      <c r="B85" s="87"/>
      <c r="C85" s="87"/>
      <c r="D85" s="87" t="s">
        <v>139</v>
      </c>
      <c r="E85" s="87"/>
      <c r="F85" s="84">
        <v>367221</v>
      </c>
    </row>
    <row r="86" spans="1:6">
      <c r="A86" s="87"/>
      <c r="B86" s="87"/>
      <c r="C86" s="87"/>
      <c r="D86" s="87" t="s">
        <v>140</v>
      </c>
      <c r="E86" s="87"/>
      <c r="F86" s="84">
        <v>2277271</v>
      </c>
    </row>
    <row r="87" spans="1:6">
      <c r="A87" s="87"/>
      <c r="B87" s="87"/>
      <c r="C87" s="87"/>
      <c r="D87" s="87"/>
      <c r="E87" s="87" t="s">
        <v>141</v>
      </c>
      <c r="F87" s="84">
        <v>1830751</v>
      </c>
    </row>
    <row r="88" spans="1:6">
      <c r="A88" s="87"/>
      <c r="B88" s="87"/>
      <c r="C88" s="87"/>
      <c r="D88" s="87"/>
      <c r="E88" s="87" t="s">
        <v>142</v>
      </c>
      <c r="F88" s="84">
        <v>158365</v>
      </c>
    </row>
    <row r="89" spans="1:6">
      <c r="A89" s="87"/>
      <c r="B89" s="87"/>
      <c r="C89" s="87"/>
      <c r="D89" s="87"/>
      <c r="E89" s="87" t="s">
        <v>143</v>
      </c>
      <c r="F89" s="84">
        <v>128229</v>
      </c>
    </row>
    <row r="90" spans="1:6">
      <c r="A90" s="87"/>
      <c r="B90" s="87"/>
      <c r="C90" s="87"/>
      <c r="D90" s="87"/>
      <c r="E90" s="87" t="s">
        <v>144</v>
      </c>
      <c r="F90" s="84">
        <v>72530</v>
      </c>
    </row>
    <row r="91" spans="1:6">
      <c r="A91" s="87"/>
      <c r="B91" s="87"/>
      <c r="C91" s="87"/>
      <c r="D91" s="87"/>
      <c r="E91" s="87" t="s">
        <v>145</v>
      </c>
      <c r="F91" s="84">
        <v>23658</v>
      </c>
    </row>
    <row r="92" spans="1:6">
      <c r="A92" s="87"/>
      <c r="B92" s="87"/>
      <c r="C92" s="87"/>
      <c r="D92" s="87"/>
      <c r="E92" s="87" t="s">
        <v>146</v>
      </c>
      <c r="F92" s="84">
        <v>6661</v>
      </c>
    </row>
    <row r="93" spans="1:6">
      <c r="A93" s="87"/>
      <c r="B93" s="87"/>
      <c r="C93" s="87"/>
      <c r="D93" s="87"/>
      <c r="E93" s="87" t="s">
        <v>147</v>
      </c>
      <c r="F93" s="84">
        <v>57077</v>
      </c>
    </row>
    <row r="94" spans="1:6">
      <c r="A94" s="87"/>
      <c r="B94" s="87"/>
      <c r="C94" s="87" t="s">
        <v>148</v>
      </c>
      <c r="D94" s="87"/>
      <c r="E94" s="87"/>
      <c r="F94" s="84">
        <v>53428</v>
      </c>
    </row>
    <row r="95" spans="1:6">
      <c r="A95" s="87"/>
      <c r="B95" s="87"/>
      <c r="C95" s="87"/>
      <c r="D95" s="87"/>
      <c r="E95" s="87" t="s">
        <v>149</v>
      </c>
      <c r="F95" s="84">
        <v>32903</v>
      </c>
    </row>
    <row r="96" spans="1:6">
      <c r="A96" s="87"/>
      <c r="B96" s="87"/>
      <c r="C96" s="87"/>
      <c r="D96" s="87"/>
      <c r="E96" s="87" t="s">
        <v>150</v>
      </c>
      <c r="F96" s="84">
        <v>13477</v>
      </c>
    </row>
    <row r="97" spans="1:6">
      <c r="A97" s="87"/>
      <c r="B97" s="87"/>
      <c r="C97" s="87"/>
      <c r="D97" s="87"/>
      <c r="E97" s="87" t="s">
        <v>151</v>
      </c>
      <c r="F97" s="84">
        <v>6769</v>
      </c>
    </row>
    <row r="98" spans="1:6">
      <c r="A98" s="87"/>
      <c r="B98" s="87"/>
      <c r="C98" s="87"/>
      <c r="D98" s="87"/>
      <c r="E98" s="87" t="s">
        <v>152</v>
      </c>
      <c r="F98" s="84">
        <v>279</v>
      </c>
    </row>
    <row r="99" spans="1:6">
      <c r="A99" s="87"/>
      <c r="B99" s="87"/>
      <c r="C99" s="87" t="s">
        <v>153</v>
      </c>
      <c r="D99" s="87"/>
      <c r="E99" s="87"/>
      <c r="F99" s="84">
        <v>337802</v>
      </c>
    </row>
    <row r="100" spans="1:6">
      <c r="A100" s="87"/>
      <c r="B100" s="87"/>
      <c r="C100" s="87"/>
      <c r="D100" s="87"/>
      <c r="E100" s="87" t="s">
        <v>154</v>
      </c>
      <c r="F100" s="84">
        <v>332770</v>
      </c>
    </row>
    <row r="101" spans="1:6">
      <c r="A101" s="87"/>
      <c r="B101" s="87"/>
      <c r="C101" s="87"/>
      <c r="D101" s="87"/>
      <c r="E101" s="87" t="s">
        <v>155</v>
      </c>
      <c r="F101" s="84">
        <v>4884</v>
      </c>
    </row>
    <row r="102" spans="1:6">
      <c r="A102" s="87"/>
      <c r="B102" s="87"/>
      <c r="C102" s="87"/>
      <c r="D102" s="87"/>
      <c r="E102" s="87" t="s">
        <v>156</v>
      </c>
      <c r="F102" s="84">
        <v>148</v>
      </c>
    </row>
    <row r="103" spans="1:6">
      <c r="A103" s="87"/>
      <c r="B103" s="87"/>
      <c r="C103" s="87" t="s">
        <v>157</v>
      </c>
      <c r="D103" s="87"/>
      <c r="E103" s="87"/>
      <c r="F103" s="84">
        <v>681021</v>
      </c>
    </row>
    <row r="104" spans="1:6">
      <c r="A104" s="87"/>
      <c r="B104" s="87"/>
      <c r="C104" s="87"/>
      <c r="D104" s="87" t="s">
        <v>158</v>
      </c>
      <c r="E104" s="87"/>
      <c r="F104" s="84">
        <v>14428</v>
      </c>
    </row>
    <row r="105" spans="1:6">
      <c r="A105" s="87"/>
      <c r="B105" s="87"/>
      <c r="C105" s="87"/>
      <c r="D105" s="87" t="s">
        <v>159</v>
      </c>
      <c r="E105" s="87"/>
      <c r="F105" s="84">
        <v>2186</v>
      </c>
    </row>
    <row r="106" spans="1:6">
      <c r="A106" s="87"/>
      <c r="B106" s="87"/>
      <c r="C106" s="87"/>
      <c r="D106" s="87" t="s">
        <v>160</v>
      </c>
      <c r="E106" s="87"/>
      <c r="F106" s="84">
        <v>1303</v>
      </c>
    </row>
    <row r="107" spans="1:6">
      <c r="A107" s="87"/>
      <c r="B107" s="87"/>
      <c r="C107" s="87"/>
      <c r="D107" s="87" t="s">
        <v>161</v>
      </c>
      <c r="E107" s="87"/>
      <c r="F107" s="84">
        <v>4709</v>
      </c>
    </row>
    <row r="108" spans="1:6">
      <c r="A108" s="87"/>
      <c r="B108" s="87"/>
      <c r="C108" s="87"/>
      <c r="D108" s="87" t="s">
        <v>162</v>
      </c>
      <c r="E108" s="87"/>
      <c r="F108" s="84">
        <v>136301</v>
      </c>
    </row>
    <row r="109" spans="1:6">
      <c r="A109" s="87"/>
      <c r="B109" s="87"/>
      <c r="C109" s="87"/>
      <c r="D109" s="87" t="s">
        <v>163</v>
      </c>
      <c r="E109" s="87"/>
      <c r="F109" s="84">
        <v>2685</v>
      </c>
    </row>
    <row r="110" spans="1:6">
      <c r="A110" s="87"/>
      <c r="B110" s="87"/>
      <c r="C110" s="87"/>
      <c r="D110" s="87" t="s">
        <v>164</v>
      </c>
      <c r="E110" s="87"/>
      <c r="F110" s="84">
        <v>12704</v>
      </c>
    </row>
    <row r="111" spans="1:6">
      <c r="A111" s="87"/>
      <c r="B111" s="87"/>
      <c r="C111" s="87"/>
      <c r="D111" s="87"/>
      <c r="E111" s="87" t="s">
        <v>165</v>
      </c>
      <c r="F111" s="84">
        <v>258</v>
      </c>
    </row>
    <row r="112" spans="1:6">
      <c r="A112" s="87"/>
      <c r="B112" s="87"/>
      <c r="C112" s="87"/>
      <c r="D112" s="87"/>
      <c r="E112" s="87" t="s">
        <v>166</v>
      </c>
      <c r="F112" s="84">
        <v>85</v>
      </c>
    </row>
    <row r="113" spans="1:6">
      <c r="A113" s="87"/>
      <c r="B113" s="87"/>
      <c r="C113" s="87"/>
      <c r="D113" s="87"/>
      <c r="E113" s="87" t="s">
        <v>167</v>
      </c>
      <c r="F113" s="84">
        <v>11027</v>
      </c>
    </row>
    <row r="114" spans="1:6">
      <c r="A114" s="87"/>
      <c r="B114" s="87"/>
      <c r="C114" s="87"/>
      <c r="D114" s="87"/>
      <c r="E114" s="87" t="s">
        <v>168</v>
      </c>
      <c r="F114" s="84">
        <v>59</v>
      </c>
    </row>
    <row r="115" spans="1:6">
      <c r="A115" s="87"/>
      <c r="B115" s="87"/>
      <c r="C115" s="87"/>
      <c r="D115" s="87"/>
      <c r="E115" s="87" t="s">
        <v>169</v>
      </c>
      <c r="F115" s="84">
        <v>1275</v>
      </c>
    </row>
    <row r="116" spans="1:6">
      <c r="A116" s="87"/>
      <c r="B116" s="87"/>
      <c r="C116" s="87"/>
      <c r="D116" s="87" t="s">
        <v>170</v>
      </c>
      <c r="E116" s="87"/>
      <c r="F116" s="84">
        <v>10499</v>
      </c>
    </row>
    <row r="117" spans="1:6">
      <c r="A117" s="87"/>
      <c r="B117" s="87"/>
      <c r="C117" s="87"/>
      <c r="D117" s="87"/>
      <c r="E117" s="87" t="s">
        <v>171</v>
      </c>
      <c r="F117" s="84">
        <v>298</v>
      </c>
    </row>
    <row r="118" spans="1:6">
      <c r="A118" s="87"/>
      <c r="B118" s="87"/>
      <c r="C118" s="87"/>
      <c r="D118" s="87"/>
      <c r="E118" s="87" t="s">
        <v>172</v>
      </c>
      <c r="F118" s="84">
        <v>945</v>
      </c>
    </row>
    <row r="119" spans="1:6">
      <c r="A119" s="87"/>
      <c r="B119" s="87"/>
      <c r="C119" s="87"/>
      <c r="D119" s="87"/>
      <c r="E119" s="87" t="s">
        <v>173</v>
      </c>
      <c r="F119" s="84">
        <v>367</v>
      </c>
    </row>
    <row r="120" spans="1:6">
      <c r="A120" s="87"/>
      <c r="B120" s="87"/>
      <c r="C120" s="87"/>
      <c r="D120" s="87"/>
      <c r="E120" s="87" t="s">
        <v>174</v>
      </c>
      <c r="F120" s="84">
        <v>8889</v>
      </c>
    </row>
    <row r="121" spans="1:6">
      <c r="A121" s="87"/>
      <c r="B121" s="87"/>
      <c r="C121" s="87"/>
      <c r="D121" s="87" t="s">
        <v>175</v>
      </c>
      <c r="E121" s="87"/>
      <c r="F121" s="84">
        <v>123479</v>
      </c>
    </row>
    <row r="122" spans="1:6">
      <c r="A122" s="87"/>
      <c r="B122" s="87"/>
      <c r="C122" s="87"/>
      <c r="D122" s="87"/>
      <c r="E122" s="87" t="s">
        <v>176</v>
      </c>
      <c r="F122" s="84">
        <v>16412</v>
      </c>
    </row>
    <row r="123" spans="1:6">
      <c r="A123" s="87"/>
      <c r="B123" s="87"/>
      <c r="C123" s="87"/>
      <c r="D123" s="87"/>
      <c r="E123" s="87" t="s">
        <v>177</v>
      </c>
      <c r="F123" s="84">
        <v>4792</v>
      </c>
    </row>
    <row r="124" spans="1:6">
      <c r="A124" s="87"/>
      <c r="B124" s="87"/>
      <c r="C124" s="87"/>
      <c r="D124" s="87"/>
      <c r="E124" s="87" t="s">
        <v>178</v>
      </c>
      <c r="F124" s="84">
        <v>12689</v>
      </c>
    </row>
    <row r="125" spans="1:6">
      <c r="A125" s="87"/>
      <c r="B125" s="87"/>
      <c r="C125" s="87"/>
      <c r="D125" s="87"/>
      <c r="E125" s="87" t="s">
        <v>179</v>
      </c>
      <c r="F125" s="84">
        <v>37125</v>
      </c>
    </row>
    <row r="126" spans="1:6">
      <c r="A126" s="87"/>
      <c r="B126" s="87"/>
      <c r="C126" s="87"/>
      <c r="D126" s="87"/>
      <c r="E126" s="87" t="s">
        <v>180</v>
      </c>
      <c r="F126" s="84">
        <v>52461</v>
      </c>
    </row>
    <row r="127" spans="1:6">
      <c r="A127" s="87"/>
      <c r="B127" s="87"/>
      <c r="C127" s="87"/>
      <c r="D127" s="87" t="s">
        <v>181</v>
      </c>
      <c r="E127" s="87"/>
      <c r="F127" s="84">
        <v>372727</v>
      </c>
    </row>
    <row r="128" spans="1:6">
      <c r="A128" s="87"/>
      <c r="B128" s="87" t="s">
        <v>182</v>
      </c>
      <c r="C128" s="87"/>
      <c r="D128" s="87"/>
      <c r="E128" s="87"/>
      <c r="F128" s="84">
        <v>143890</v>
      </c>
    </row>
    <row r="129" spans="1:6">
      <c r="A129" s="87"/>
      <c r="B129" s="87"/>
      <c r="C129" s="87" t="s">
        <v>183</v>
      </c>
      <c r="D129" s="87"/>
      <c r="E129" s="87"/>
      <c r="F129" s="84">
        <v>10226</v>
      </c>
    </row>
    <row r="130" spans="1:6">
      <c r="A130" s="87"/>
      <c r="B130" s="87"/>
      <c r="C130" s="87"/>
      <c r="D130" s="87"/>
      <c r="E130" s="87" t="s">
        <v>184</v>
      </c>
      <c r="F130" s="84">
        <v>9525</v>
      </c>
    </row>
    <row r="131" spans="1:6">
      <c r="A131" s="87"/>
      <c r="B131" s="87"/>
      <c r="C131" s="87"/>
      <c r="D131" s="87"/>
      <c r="E131" s="87" t="s">
        <v>185</v>
      </c>
      <c r="F131" s="84">
        <v>332</v>
      </c>
    </row>
    <row r="132" spans="1:6">
      <c r="A132" s="87"/>
      <c r="B132" s="87"/>
      <c r="C132" s="87"/>
      <c r="D132" s="87"/>
      <c r="E132" s="87" t="s">
        <v>186</v>
      </c>
      <c r="F132" s="84">
        <v>369</v>
      </c>
    </row>
    <row r="133" spans="1:6">
      <c r="A133" s="87"/>
      <c r="B133" s="87"/>
      <c r="C133" s="87" t="s">
        <v>187</v>
      </c>
      <c r="D133" s="87"/>
      <c r="E133" s="87"/>
      <c r="F133" s="84">
        <v>40407</v>
      </c>
    </row>
    <row r="134" spans="1:6">
      <c r="A134" s="87"/>
      <c r="B134" s="87"/>
      <c r="C134" s="87"/>
      <c r="D134" s="87"/>
      <c r="E134" s="87" t="s">
        <v>188</v>
      </c>
      <c r="F134" s="84">
        <v>317</v>
      </c>
    </row>
    <row r="135" spans="1:6">
      <c r="A135" s="87"/>
      <c r="B135" s="87"/>
      <c r="C135" s="87"/>
      <c r="D135" s="87"/>
      <c r="E135" s="87" t="s">
        <v>189</v>
      </c>
      <c r="F135" s="84">
        <v>362</v>
      </c>
    </row>
    <row r="136" spans="1:6">
      <c r="A136" s="87"/>
      <c r="B136" s="87"/>
      <c r="C136" s="87"/>
      <c r="D136" s="87"/>
      <c r="E136" s="87" t="s">
        <v>190</v>
      </c>
      <c r="F136" s="84">
        <v>39728</v>
      </c>
    </row>
    <row r="137" spans="1:6">
      <c r="A137" s="87"/>
      <c r="B137" s="87"/>
      <c r="C137" s="87" t="s">
        <v>191</v>
      </c>
      <c r="D137" s="87"/>
      <c r="E137" s="87"/>
      <c r="F137" s="84">
        <v>93257</v>
      </c>
    </row>
    <row r="138" spans="1:6">
      <c r="A138" s="87"/>
      <c r="B138" s="87"/>
      <c r="C138" s="87"/>
      <c r="D138" s="87" t="s">
        <v>192</v>
      </c>
      <c r="E138" s="87"/>
      <c r="F138" s="84">
        <v>31441</v>
      </c>
    </row>
    <row r="139" spans="1:6">
      <c r="A139" s="87"/>
      <c r="B139" s="87"/>
      <c r="C139" s="87"/>
      <c r="D139" s="87" t="s">
        <v>193</v>
      </c>
      <c r="E139" s="87"/>
      <c r="F139" s="84">
        <v>1083</v>
      </c>
    </row>
    <row r="140" spans="1:6">
      <c r="A140" s="87"/>
      <c r="B140" s="87"/>
      <c r="C140" s="87"/>
      <c r="D140" s="87" t="s">
        <v>194</v>
      </c>
      <c r="E140" s="87"/>
      <c r="F140" s="84">
        <v>2</v>
      </c>
    </row>
    <row r="141" spans="1:6">
      <c r="A141" s="87"/>
      <c r="B141" s="87"/>
      <c r="C141" s="87"/>
      <c r="D141" s="87" t="s">
        <v>195</v>
      </c>
      <c r="E141" s="87"/>
      <c r="F141" s="84">
        <v>13283</v>
      </c>
    </row>
    <row r="142" spans="1:6">
      <c r="A142" s="87"/>
      <c r="B142" s="87"/>
      <c r="C142" s="87"/>
      <c r="D142" s="87" t="s">
        <v>196</v>
      </c>
      <c r="E142" s="87"/>
      <c r="F142" s="84">
        <v>47448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workbookViewId="0">
      <selection activeCell="F27" sqref="F27"/>
    </sheetView>
  </sheetViews>
  <sheetFormatPr defaultColWidth="9" defaultRowHeight="13.8"/>
  <cols>
    <col min="1" max="4" width="9" style="8"/>
    <col min="5" max="5" width="8" style="8" customWidth="1"/>
    <col min="6" max="6" width="10.88671875" style="8" bestFit="1" customWidth="1"/>
    <col min="7" max="16384" width="9" style="8"/>
  </cols>
  <sheetData>
    <row r="1" spans="1:8" ht="17.25" customHeight="1">
      <c r="A1" s="170" t="s">
        <v>197</v>
      </c>
      <c r="B1" s="170"/>
      <c r="C1" s="170"/>
      <c r="D1" s="170"/>
      <c r="E1" s="170"/>
    </row>
    <row r="2" spans="1:8" ht="27.6">
      <c r="A2" s="175" t="s">
        <v>198</v>
      </c>
      <c r="B2" s="175" t="s">
        <v>199</v>
      </c>
      <c r="C2" s="175" t="s">
        <v>200</v>
      </c>
      <c r="D2" s="175" t="s">
        <v>201</v>
      </c>
      <c r="E2" s="88" t="s">
        <v>202</v>
      </c>
      <c r="F2" s="166" t="s">
        <v>203</v>
      </c>
      <c r="G2" s="167"/>
    </row>
    <row r="3" spans="1:8" ht="32.25" customHeight="1" thickBot="1">
      <c r="A3" s="176"/>
      <c r="B3" s="177"/>
      <c r="C3" s="177"/>
      <c r="D3" s="177"/>
      <c r="E3" s="89" t="s">
        <v>204</v>
      </c>
      <c r="F3" s="90" t="s">
        <v>205</v>
      </c>
      <c r="G3" s="91" t="s">
        <v>206</v>
      </c>
      <c r="H3" s="20" t="s">
        <v>207</v>
      </c>
    </row>
    <row r="4" spans="1:8" ht="14.4" thickTop="1">
      <c r="A4" s="171" t="s">
        <v>208</v>
      </c>
      <c r="B4" s="19" t="s">
        <v>209</v>
      </c>
      <c r="C4" s="11" t="s">
        <v>209</v>
      </c>
      <c r="D4" s="11" t="s">
        <v>209</v>
      </c>
      <c r="E4" s="11">
        <v>38.5</v>
      </c>
      <c r="F4" s="12"/>
      <c r="G4" s="13"/>
    </row>
    <row r="5" spans="1:8">
      <c r="A5" s="172" t="s">
        <v>208</v>
      </c>
      <c r="B5" s="168" t="s">
        <v>210</v>
      </c>
      <c r="C5" s="92" t="s">
        <v>209</v>
      </c>
      <c r="D5" s="92" t="s">
        <v>209</v>
      </c>
      <c r="E5" s="92">
        <v>35.1</v>
      </c>
      <c r="F5" s="93"/>
      <c r="G5" s="14"/>
    </row>
    <row r="6" spans="1:8">
      <c r="A6" s="172" t="s">
        <v>208</v>
      </c>
      <c r="B6" s="168" t="s">
        <v>210</v>
      </c>
      <c r="C6" s="173" t="s">
        <v>211</v>
      </c>
      <c r="D6" s="92" t="s">
        <v>209</v>
      </c>
      <c r="E6" s="92">
        <v>33.6</v>
      </c>
      <c r="F6" s="93"/>
      <c r="G6" s="14"/>
    </row>
    <row r="7" spans="1:8">
      <c r="A7" s="172" t="s">
        <v>208</v>
      </c>
      <c r="B7" s="168" t="s">
        <v>210</v>
      </c>
      <c r="C7" s="173" t="s">
        <v>211</v>
      </c>
      <c r="D7" s="92" t="s">
        <v>212</v>
      </c>
      <c r="E7" s="94">
        <v>25</v>
      </c>
      <c r="F7" s="95">
        <f>SUM('SYVbT_DV-Regis'!F8:F9,'SYVbT_DV-Regis'!F22:F23,'SYVbT_DV-Regis'!F19:F20,'SYVbT_DV-Regis'!F33:F34)</f>
        <v>2187909</v>
      </c>
      <c r="G7" s="14">
        <f>SUMPRODUCT(E7:E10,F7:F10)/SUM(F7:F10)</f>
        <v>33.094917453065392</v>
      </c>
    </row>
    <row r="8" spans="1:8">
      <c r="A8" s="172" t="s">
        <v>208</v>
      </c>
      <c r="B8" s="168" t="s">
        <v>210</v>
      </c>
      <c r="C8" s="173" t="s">
        <v>211</v>
      </c>
      <c r="D8" s="92" t="s">
        <v>213</v>
      </c>
      <c r="E8" s="94">
        <v>20.6</v>
      </c>
      <c r="F8" s="95">
        <f>SUM('SYVbT_DV-Regis'!F10,'SYVbT_DV-Regis'!F24,'SYVbT_DV-Regis'!F36)</f>
        <v>759979</v>
      </c>
      <c r="G8" s="14"/>
    </row>
    <row r="9" spans="1:8">
      <c r="A9" s="172" t="s">
        <v>208</v>
      </c>
      <c r="B9" s="168" t="s">
        <v>210</v>
      </c>
      <c r="C9" s="173" t="s">
        <v>211</v>
      </c>
      <c r="D9" s="92" t="s">
        <v>214</v>
      </c>
      <c r="E9" s="94">
        <v>35.1</v>
      </c>
      <c r="F9" s="95">
        <f>SUM('SYVbT_DV-Regis'!F11,'SYVbT_DV-Regis'!F25,'SYVbT_DV-Regis'!F37)</f>
        <v>6723609</v>
      </c>
      <c r="G9" s="14"/>
    </row>
    <row r="10" spans="1:8">
      <c r="A10" s="172" t="s">
        <v>208</v>
      </c>
      <c r="B10" s="168" t="s">
        <v>210</v>
      </c>
      <c r="C10" s="173" t="s">
        <v>211</v>
      </c>
      <c r="D10" s="92" t="s">
        <v>215</v>
      </c>
      <c r="E10" s="96">
        <v>36.6</v>
      </c>
      <c r="F10" s="95">
        <f>SUM('SYVbT_DV-Regis'!F12:F18,'SYVbT_DV-Regis'!F26:F32,'SYVbT_DV-Regis'!F38:F41)</f>
        <v>3915864</v>
      </c>
      <c r="G10" s="14"/>
    </row>
    <row r="11" spans="1:8">
      <c r="A11" s="172" t="s">
        <v>208</v>
      </c>
      <c r="B11" s="168" t="s">
        <v>210</v>
      </c>
      <c r="C11" s="173" t="s">
        <v>216</v>
      </c>
      <c r="D11" s="92" t="s">
        <v>209</v>
      </c>
      <c r="E11" s="92">
        <v>39.1</v>
      </c>
      <c r="F11" s="95"/>
      <c r="G11" s="14"/>
    </row>
    <row r="12" spans="1:8">
      <c r="A12" s="172" t="s">
        <v>208</v>
      </c>
      <c r="B12" s="168" t="s">
        <v>210</v>
      </c>
      <c r="C12" s="173" t="s">
        <v>216</v>
      </c>
      <c r="D12" s="92" t="s">
        <v>214</v>
      </c>
      <c r="E12" s="94">
        <v>39.200000000000003</v>
      </c>
      <c r="F12" s="95">
        <f>SUM('SYVbT_DV-Regis'!F45:F46,'SYVbT_DV-Regis'!F51:F52)</f>
        <v>4434476</v>
      </c>
      <c r="G12" s="14">
        <f>SUMPRODUCT(E12:E13,F12:F13)/SUM(F12:F13)</f>
        <v>39.104516812100101</v>
      </c>
    </row>
    <row r="13" spans="1:8">
      <c r="A13" s="172" t="s">
        <v>208</v>
      </c>
      <c r="B13" s="168" t="s">
        <v>210</v>
      </c>
      <c r="C13" s="173" t="s">
        <v>216</v>
      </c>
      <c r="D13" s="92" t="s">
        <v>215</v>
      </c>
      <c r="E13" s="96">
        <v>38.9</v>
      </c>
      <c r="F13" s="95">
        <f>SUM('SYVbT_DV-Regis'!F47:F50)</f>
        <v>2070333</v>
      </c>
      <c r="G13" s="14"/>
    </row>
    <row r="14" spans="1:8">
      <c r="A14" s="172" t="s">
        <v>208</v>
      </c>
      <c r="B14" s="168" t="s">
        <v>210</v>
      </c>
      <c r="C14" s="92" t="s">
        <v>217</v>
      </c>
      <c r="D14" s="92" t="s">
        <v>209</v>
      </c>
      <c r="E14" s="96">
        <v>37.700000000000003</v>
      </c>
      <c r="F14" s="95">
        <f>'SYVbT_DV-Regis'!F53</f>
        <v>1676858</v>
      </c>
      <c r="G14" s="14"/>
      <c r="H14" s="8" t="s">
        <v>218</v>
      </c>
    </row>
    <row r="15" spans="1:8">
      <c r="A15" s="172" t="s">
        <v>208</v>
      </c>
      <c r="B15" s="168" t="s">
        <v>219</v>
      </c>
      <c r="C15" s="92" t="s">
        <v>209</v>
      </c>
      <c r="D15" s="92" t="s">
        <v>209</v>
      </c>
      <c r="E15" s="92">
        <v>59.2</v>
      </c>
      <c r="F15" s="95"/>
      <c r="G15" s="14"/>
    </row>
    <row r="16" spans="1:8">
      <c r="A16" s="172" t="s">
        <v>208</v>
      </c>
      <c r="B16" s="168" t="s">
        <v>219</v>
      </c>
      <c r="C16" s="173" t="s">
        <v>211</v>
      </c>
      <c r="D16" s="92" t="s">
        <v>209</v>
      </c>
      <c r="E16" s="92">
        <v>60.5</v>
      </c>
      <c r="F16" s="95"/>
      <c r="G16" s="14"/>
    </row>
    <row r="17" spans="1:8">
      <c r="A17" s="172" t="s">
        <v>208</v>
      </c>
      <c r="B17" s="168" t="s">
        <v>219</v>
      </c>
      <c r="C17" s="173" t="s">
        <v>211</v>
      </c>
      <c r="D17" s="92" t="s">
        <v>213</v>
      </c>
      <c r="E17" s="94">
        <v>34</v>
      </c>
      <c r="F17" s="95">
        <f>SUM('SYVbT_DV-Regis'!F71)</f>
        <v>478640</v>
      </c>
      <c r="G17" s="14">
        <f>SUMPRODUCT(E17:E19,F17:F19)/SUM(F17:F19)</f>
        <v>65.053963222821281</v>
      </c>
    </row>
    <row r="18" spans="1:8">
      <c r="A18" s="172" t="s">
        <v>208</v>
      </c>
      <c r="B18" s="168" t="s">
        <v>219</v>
      </c>
      <c r="C18" s="173" t="s">
        <v>211</v>
      </c>
      <c r="D18" s="92" t="s">
        <v>214</v>
      </c>
      <c r="E18" s="94">
        <v>43.4</v>
      </c>
      <c r="F18" s="95">
        <f>SUM('SYVbT_DV-Regis'!F72:F73)</f>
        <v>26936</v>
      </c>
      <c r="G18" s="14"/>
    </row>
    <row r="19" spans="1:8">
      <c r="A19" s="172" t="s">
        <v>208</v>
      </c>
      <c r="B19" s="168" t="s">
        <v>219</v>
      </c>
      <c r="C19" s="173" t="s">
        <v>211</v>
      </c>
      <c r="D19" s="92" t="s">
        <v>215</v>
      </c>
      <c r="E19" s="96">
        <v>191.4</v>
      </c>
      <c r="F19" s="95">
        <f>SUM('SYVbT_DV-Regis'!F64:F67,'SYVbT_DV-Regis'!F74:F75)</f>
        <v>122259</v>
      </c>
      <c r="G19" s="14"/>
    </row>
    <row r="20" spans="1:8" ht="14.4" thickBot="1">
      <c r="A20" s="172" t="s">
        <v>208</v>
      </c>
      <c r="B20" s="169" t="s">
        <v>219</v>
      </c>
      <c r="C20" s="15" t="s">
        <v>220</v>
      </c>
      <c r="D20" s="15" t="s">
        <v>209</v>
      </c>
      <c r="E20" s="53">
        <v>28.2</v>
      </c>
      <c r="F20" s="16">
        <f>'SYVbT_DV-Regis'!F76</f>
        <v>38331</v>
      </c>
      <c r="G20" s="17"/>
      <c r="H20" s="8" t="s">
        <v>221</v>
      </c>
    </row>
    <row r="21" spans="1:8">
      <c r="A21" s="172" t="s">
        <v>208</v>
      </c>
      <c r="B21" s="174" t="s">
        <v>222</v>
      </c>
      <c r="C21" s="11" t="s">
        <v>209</v>
      </c>
      <c r="D21" s="11" t="s">
        <v>209</v>
      </c>
      <c r="E21" s="11">
        <v>49.4</v>
      </c>
      <c r="F21" s="18"/>
      <c r="G21" s="13"/>
    </row>
    <row r="22" spans="1:8">
      <c r="A22" s="172" t="s">
        <v>208</v>
      </c>
      <c r="B22" s="168" t="s">
        <v>222</v>
      </c>
      <c r="C22" s="173" t="s">
        <v>211</v>
      </c>
      <c r="D22" s="92" t="s">
        <v>209</v>
      </c>
      <c r="E22" s="92">
        <v>48.3</v>
      </c>
      <c r="F22" s="95"/>
      <c r="G22" s="14"/>
    </row>
    <row r="23" spans="1:8">
      <c r="A23" s="172" t="s">
        <v>208</v>
      </c>
      <c r="B23" s="168" t="s">
        <v>222</v>
      </c>
      <c r="C23" s="173" t="s">
        <v>211</v>
      </c>
      <c r="D23" s="92" t="s">
        <v>213</v>
      </c>
      <c r="E23" s="97">
        <v>39.700000000000003</v>
      </c>
      <c r="F23" s="95">
        <f>SUM('SYVbT_DV-Regis'!F85,'SYVbT_DV-Regis'!F87)</f>
        <v>2197972</v>
      </c>
      <c r="G23" s="14">
        <f>SUMPRODUCT(E23:E25,F23:F25)/SUM(F23:F25)</f>
        <v>46.188127700896807</v>
      </c>
    </row>
    <row r="24" spans="1:8">
      <c r="A24" s="172" t="s">
        <v>208</v>
      </c>
      <c r="B24" s="168" t="s">
        <v>222</v>
      </c>
      <c r="C24" s="173" t="s">
        <v>211</v>
      </c>
      <c r="D24" s="92" t="s">
        <v>214</v>
      </c>
      <c r="E24" s="97">
        <v>46.5</v>
      </c>
      <c r="F24" s="95">
        <f>SUM('SYVbT_DV-Regis'!F88:F89)</f>
        <v>286594</v>
      </c>
      <c r="G24" s="14"/>
    </row>
    <row r="25" spans="1:8">
      <c r="A25" s="172" t="s">
        <v>208</v>
      </c>
      <c r="B25" s="168" t="s">
        <v>222</v>
      </c>
      <c r="C25" s="173" t="s">
        <v>211</v>
      </c>
      <c r="D25" s="92" t="s">
        <v>215</v>
      </c>
      <c r="E25" s="98">
        <v>134.80000000000001</v>
      </c>
      <c r="F25" s="95">
        <f>SUM('SYVbT_DV-Regis'!F90:F93)</f>
        <v>159926</v>
      </c>
      <c r="G25" s="14"/>
    </row>
    <row r="26" spans="1:8">
      <c r="A26" s="172" t="s">
        <v>208</v>
      </c>
      <c r="B26" s="168" t="s">
        <v>222</v>
      </c>
      <c r="C26" s="173" t="s">
        <v>223</v>
      </c>
      <c r="D26" s="92" t="s">
        <v>209</v>
      </c>
      <c r="E26" s="92">
        <v>18.5</v>
      </c>
      <c r="F26" s="95"/>
      <c r="G26" s="14"/>
    </row>
    <row r="27" spans="1:8">
      <c r="A27" s="172" t="s">
        <v>208</v>
      </c>
      <c r="B27" s="168" t="s">
        <v>222</v>
      </c>
      <c r="C27" s="173" t="s">
        <v>223</v>
      </c>
      <c r="D27" s="92" t="s">
        <v>213</v>
      </c>
      <c r="E27" s="97">
        <v>21.3</v>
      </c>
      <c r="F27" s="95">
        <f>'SYVbT_DV-Regis'!F95</f>
        <v>32903</v>
      </c>
      <c r="G27" s="14">
        <f>SUMPRODUCT(E27:E29,F27:F29)/SUM(F27:F29)</f>
        <v>19.396569214644007</v>
      </c>
    </row>
    <row r="28" spans="1:8">
      <c r="A28" s="172" t="s">
        <v>208</v>
      </c>
      <c r="B28" s="168" t="s">
        <v>222</v>
      </c>
      <c r="C28" s="173" t="s">
        <v>223</v>
      </c>
      <c r="D28" s="92" t="s">
        <v>214</v>
      </c>
      <c r="E28" s="97">
        <v>14.8</v>
      </c>
      <c r="F28" s="95">
        <f>'SYVbT_DV-Regis'!F96</f>
        <v>13477</v>
      </c>
      <c r="G28" s="14"/>
    </row>
    <row r="29" spans="1:8">
      <c r="A29" s="172" t="s">
        <v>208</v>
      </c>
      <c r="B29" s="168" t="s">
        <v>222</v>
      </c>
      <c r="C29" s="173" t="s">
        <v>223</v>
      </c>
      <c r="D29" s="92" t="s">
        <v>215</v>
      </c>
      <c r="E29" s="98">
        <v>19.3</v>
      </c>
      <c r="F29" s="95">
        <f>SUM('SYVbT_DV-Regis'!F97:F98)</f>
        <v>7048</v>
      </c>
      <c r="G29" s="14"/>
    </row>
    <row r="30" spans="1:8">
      <c r="A30" s="172" t="s">
        <v>208</v>
      </c>
      <c r="B30" s="168" t="s">
        <v>222</v>
      </c>
      <c r="C30" s="173" t="s">
        <v>224</v>
      </c>
      <c r="D30" s="92" t="s">
        <v>209</v>
      </c>
      <c r="E30" s="92">
        <v>39.9</v>
      </c>
      <c r="F30" s="95"/>
      <c r="G30" s="14"/>
    </row>
    <row r="31" spans="1:8">
      <c r="A31" s="172" t="s">
        <v>208</v>
      </c>
      <c r="B31" s="168" t="s">
        <v>222</v>
      </c>
      <c r="C31" s="173" t="s">
        <v>224</v>
      </c>
      <c r="D31" s="92" t="s">
        <v>213</v>
      </c>
      <c r="E31" s="97">
        <v>41.6</v>
      </c>
      <c r="F31" s="95">
        <f>'SYVbT_DV-Regis'!F100</f>
        <v>332770</v>
      </c>
      <c r="G31" s="14">
        <f>SUMPRODUCT(E31:E32,F31:F32)/SUM(F31:F32)</f>
        <v>41.397410317286457</v>
      </c>
      <c r="H31" s="8" t="s">
        <v>225</v>
      </c>
    </row>
    <row r="32" spans="1:8">
      <c r="A32" s="172" t="s">
        <v>208</v>
      </c>
      <c r="B32" s="168" t="s">
        <v>222</v>
      </c>
      <c r="C32" s="173" t="s">
        <v>224</v>
      </c>
      <c r="D32" s="92" t="s">
        <v>214</v>
      </c>
      <c r="E32" s="97">
        <v>28</v>
      </c>
      <c r="F32" s="95">
        <f>SUM('SYVbT_DV-Regis'!F101:F102)</f>
        <v>5032</v>
      </c>
      <c r="G32" s="14"/>
    </row>
    <row r="33" spans="1:8">
      <c r="A33" s="172" t="s">
        <v>208</v>
      </c>
      <c r="B33" s="168" t="s">
        <v>222</v>
      </c>
      <c r="C33" s="92" t="s">
        <v>220</v>
      </c>
      <c r="D33" s="92" t="s">
        <v>209</v>
      </c>
      <c r="E33" s="99">
        <v>65.099999999999994</v>
      </c>
      <c r="F33" s="95">
        <f>'SYVbT_DV-Regis'!F103</f>
        <v>681021</v>
      </c>
      <c r="G33" s="14"/>
      <c r="H33" s="8" t="s">
        <v>226</v>
      </c>
    </row>
    <row r="34" spans="1:8">
      <c r="A34" s="172" t="s">
        <v>208</v>
      </c>
      <c r="B34" s="168" t="s">
        <v>227</v>
      </c>
      <c r="C34" s="92" t="s">
        <v>209</v>
      </c>
      <c r="D34" s="92" t="s">
        <v>209</v>
      </c>
      <c r="E34" s="92">
        <v>116.9</v>
      </c>
      <c r="F34" s="95"/>
      <c r="G34" s="14"/>
    </row>
    <row r="35" spans="1:8">
      <c r="A35" s="172" t="s">
        <v>208</v>
      </c>
      <c r="B35" s="168" t="s">
        <v>227</v>
      </c>
      <c r="C35" s="92" t="s">
        <v>228</v>
      </c>
      <c r="D35" s="92" t="s">
        <v>209</v>
      </c>
      <c r="E35" s="98">
        <v>225.3</v>
      </c>
      <c r="F35" s="95">
        <f>SUM('SYVbT_DV-Regis'!F133)</f>
        <v>40407</v>
      </c>
      <c r="G35" s="14"/>
      <c r="H35" s="8" t="s">
        <v>229</v>
      </c>
    </row>
    <row r="36" spans="1:8">
      <c r="A36" s="172" t="s">
        <v>208</v>
      </c>
      <c r="B36" s="168" t="s">
        <v>227</v>
      </c>
      <c r="C36" s="92" t="s">
        <v>230</v>
      </c>
      <c r="D36" s="92" t="s">
        <v>209</v>
      </c>
      <c r="E36" s="97">
        <v>60.9</v>
      </c>
      <c r="F36" s="95">
        <f>SUM('SYVbT_DV-Regis'!F129)</f>
        <v>10226</v>
      </c>
      <c r="G36" s="14"/>
      <c r="H36" s="8" t="s">
        <v>231</v>
      </c>
    </row>
    <row r="37" spans="1:8" ht="14.4" thickBot="1">
      <c r="A37" s="172" t="s">
        <v>208</v>
      </c>
      <c r="B37" s="169" t="s">
        <v>227</v>
      </c>
      <c r="C37" s="15" t="s">
        <v>232</v>
      </c>
      <c r="D37" s="15" t="s">
        <v>209</v>
      </c>
      <c r="E37" s="52">
        <v>30.3</v>
      </c>
      <c r="F37" s="16">
        <f>SUM('SYVbT_DV-Regis'!F137)</f>
        <v>93257</v>
      </c>
      <c r="G37" s="17"/>
      <c r="H37" s="8" t="s">
        <v>229</v>
      </c>
    </row>
    <row r="40" spans="1:8">
      <c r="B40" s="9"/>
      <c r="C40" s="9"/>
    </row>
    <row r="41" spans="1:8">
      <c r="B41" s="10"/>
      <c r="C41" s="10"/>
    </row>
  </sheetData>
  <mergeCells count="17"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opLeftCell="V1" workbookViewId="0">
      <selection activeCell="AE6" sqref="AE6"/>
    </sheetView>
  </sheetViews>
  <sheetFormatPr defaultColWidth="9" defaultRowHeight="14.4"/>
  <cols>
    <col min="1" max="1" width="15.6640625" style="4" customWidth="1"/>
    <col min="2" max="2" width="11" style="4" customWidth="1"/>
    <col min="3" max="3" width="9.77734375" style="4" customWidth="1"/>
    <col min="4" max="4" width="5.88671875" style="4" customWidth="1"/>
    <col min="5" max="5" width="9" style="4" customWidth="1"/>
    <col min="6" max="6" width="12.109375" style="4" customWidth="1"/>
    <col min="7" max="13" width="9" style="4" customWidth="1"/>
    <col min="14" max="15" width="9.88671875" style="4" bestFit="1" customWidth="1"/>
    <col min="16" max="20" width="9" style="4"/>
    <col min="21" max="21" width="13" style="4" bestFit="1" customWidth="1"/>
    <col min="22" max="22" width="13.109375" style="4" bestFit="1" customWidth="1"/>
    <col min="23" max="25" width="13" style="4" bestFit="1" customWidth="1"/>
    <col min="26" max="30" width="11.44140625" style="4" bestFit="1" customWidth="1"/>
    <col min="31" max="31" width="11.6640625" style="4" bestFit="1" customWidth="1"/>
    <col min="32" max="33" width="11.44140625" style="4" bestFit="1" customWidth="1"/>
    <col min="34" max="16384" width="9" style="4"/>
  </cols>
  <sheetData>
    <row r="1" spans="1:34" ht="20.100000000000001" customHeight="1" thickBot="1">
      <c r="A1" s="185" t="s">
        <v>807</v>
      </c>
      <c r="B1" s="187" t="s">
        <v>808</v>
      </c>
      <c r="C1" s="187" t="s">
        <v>791</v>
      </c>
      <c r="D1" s="149" t="s">
        <v>805</v>
      </c>
      <c r="E1" s="100" t="s">
        <v>234</v>
      </c>
      <c r="F1" s="100" t="s">
        <v>235</v>
      </c>
      <c r="G1" s="100" t="s">
        <v>236</v>
      </c>
      <c r="H1" s="100" t="s">
        <v>237</v>
      </c>
      <c r="I1" s="100" t="s">
        <v>238</v>
      </c>
      <c r="J1" s="100" t="s">
        <v>239</v>
      </c>
      <c r="K1" s="100" t="s">
        <v>240</v>
      </c>
      <c r="L1" s="100" t="s">
        <v>241</v>
      </c>
      <c r="M1" s="100" t="s">
        <v>242</v>
      </c>
      <c r="R1" s="151" t="s">
        <v>789</v>
      </c>
      <c r="S1" s="151" t="s">
        <v>790</v>
      </c>
      <c r="T1" s="151" t="s">
        <v>791</v>
      </c>
      <c r="U1" s="151" t="s">
        <v>792</v>
      </c>
      <c r="V1" s="178" t="s">
        <v>841</v>
      </c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4" t="s">
        <v>840</v>
      </c>
    </row>
    <row r="2" spans="1:34" ht="20.100000000000001" customHeight="1">
      <c r="A2" s="186" t="s">
        <v>233</v>
      </c>
      <c r="B2" s="186" t="s">
        <v>199</v>
      </c>
      <c r="C2" s="186" t="s">
        <v>200</v>
      </c>
      <c r="D2" s="100" t="s">
        <v>805</v>
      </c>
      <c r="E2" s="100" t="s">
        <v>838</v>
      </c>
      <c r="F2" s="100" t="s">
        <v>838</v>
      </c>
      <c r="G2" s="100" t="s">
        <v>838</v>
      </c>
      <c r="H2" s="100" t="s">
        <v>838</v>
      </c>
      <c r="I2" s="100" t="s">
        <v>838</v>
      </c>
      <c r="J2" s="100" t="s">
        <v>838</v>
      </c>
      <c r="K2" s="100" t="s">
        <v>838</v>
      </c>
      <c r="L2" s="100" t="s">
        <v>838</v>
      </c>
      <c r="M2" s="100" t="s">
        <v>838</v>
      </c>
      <c r="N2" s="184" t="s">
        <v>839</v>
      </c>
      <c r="R2" s="151"/>
      <c r="S2" s="151"/>
      <c r="T2" s="151"/>
      <c r="U2" s="151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186" t="s">
        <v>233</v>
      </c>
      <c r="B3" s="186" t="s">
        <v>199</v>
      </c>
      <c r="C3" s="186" t="s">
        <v>200</v>
      </c>
      <c r="D3" s="100" t="s">
        <v>805</v>
      </c>
      <c r="E3" s="100" t="s">
        <v>837</v>
      </c>
      <c r="F3" s="100" t="s">
        <v>837</v>
      </c>
      <c r="G3" s="100" t="s">
        <v>837</v>
      </c>
      <c r="H3" s="100" t="s">
        <v>837</v>
      </c>
      <c r="I3" s="100" t="s">
        <v>837</v>
      </c>
      <c r="J3" s="100" t="s">
        <v>837</v>
      </c>
      <c r="K3" s="100" t="s">
        <v>837</v>
      </c>
      <c r="L3" s="100" t="s">
        <v>837</v>
      </c>
      <c r="M3" s="100" t="s">
        <v>837</v>
      </c>
      <c r="N3" s="184"/>
      <c r="R3" s="180" t="s">
        <v>208</v>
      </c>
      <c r="S3" s="138" t="s">
        <v>333</v>
      </c>
      <c r="T3" s="138"/>
      <c r="U3" s="138"/>
      <c r="V3" s="139">
        <v>279522620</v>
      </c>
      <c r="W3" s="139">
        <v>277420070</v>
      </c>
      <c r="X3" s="139">
        <v>290008712</v>
      </c>
      <c r="Y3" s="139">
        <v>298322891</v>
      </c>
      <c r="Z3" s="139">
        <v>311236234</v>
      </c>
      <c r="AA3" s="139">
        <v>319870540</v>
      </c>
      <c r="AB3" s="139">
        <v>327072636</v>
      </c>
      <c r="AC3" s="139">
        <v>329553922</v>
      </c>
      <c r="AD3" s="139">
        <v>332023789</v>
      </c>
      <c r="AE3" s="139">
        <v>356371963</v>
      </c>
      <c r="AF3" s="139">
        <v>335630469</v>
      </c>
      <c r="AG3" s="139">
        <v>335459843</v>
      </c>
      <c r="AH3" s="4">
        <f>(AG3/V3)^(1/COUNT(V3:AG3))-1</f>
        <v>1.5317718222495058E-2</v>
      </c>
    </row>
    <row r="4" spans="1:34" ht="20.100000000000001" customHeight="1">
      <c r="A4" s="51" t="s">
        <v>333</v>
      </c>
      <c r="B4" s="51" t="s">
        <v>333</v>
      </c>
      <c r="C4" s="51" t="s">
        <v>333</v>
      </c>
      <c r="D4" s="51" t="s">
        <v>333</v>
      </c>
      <c r="E4" s="101">
        <v>41</v>
      </c>
      <c r="F4" s="101">
        <v>39.700000000000003</v>
      </c>
      <c r="G4" s="101">
        <v>40.200000000000003</v>
      </c>
      <c r="H4" s="101">
        <v>39.799999999999997</v>
      </c>
      <c r="I4" s="101">
        <v>39.700000000000003</v>
      </c>
      <c r="J4" s="101">
        <v>39.5</v>
      </c>
      <c r="K4" s="101">
        <v>39.200000000000003</v>
      </c>
      <c r="L4" s="101">
        <v>38.5</v>
      </c>
      <c r="M4" s="101">
        <v>37.9</v>
      </c>
      <c r="R4" s="180" t="s">
        <v>208</v>
      </c>
      <c r="S4" s="180" t="s">
        <v>829</v>
      </c>
      <c r="T4" s="138" t="s">
        <v>333</v>
      </c>
      <c r="U4" s="138"/>
      <c r="V4" s="139">
        <v>196405681</v>
      </c>
      <c r="W4" s="139">
        <v>195120900</v>
      </c>
      <c r="X4" s="139">
        <v>205518897</v>
      </c>
      <c r="Y4" s="139">
        <v>212722011</v>
      </c>
      <c r="Z4" s="139">
        <v>224023930</v>
      </c>
      <c r="AA4" s="139">
        <v>231274268</v>
      </c>
      <c r="AB4" s="139">
        <v>239853756</v>
      </c>
      <c r="AC4" s="139">
        <v>242695454</v>
      </c>
      <c r="AD4" s="139">
        <v>246980201</v>
      </c>
      <c r="AE4" s="139">
        <v>273294902</v>
      </c>
      <c r="AF4" s="139">
        <v>249049553</v>
      </c>
      <c r="AG4" s="139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245</v>
      </c>
      <c r="B5" s="51" t="s">
        <v>809</v>
      </c>
      <c r="C5" s="51" t="s">
        <v>333</v>
      </c>
      <c r="D5" s="51" t="s">
        <v>333</v>
      </c>
      <c r="E5" s="101">
        <v>37.5</v>
      </c>
      <c r="F5" s="101">
        <v>36</v>
      </c>
      <c r="G5" s="101">
        <v>36.5</v>
      </c>
      <c r="H5" s="101">
        <v>36.1</v>
      </c>
      <c r="I5" s="101">
        <v>36.1</v>
      </c>
      <c r="J5" s="101">
        <v>35.799999999999997</v>
      </c>
      <c r="K5" s="101">
        <v>35.799999999999997</v>
      </c>
      <c r="L5" s="101">
        <v>35.1</v>
      </c>
      <c r="M5" s="101">
        <v>34.700000000000003</v>
      </c>
      <c r="R5" s="180" t="s">
        <v>208</v>
      </c>
      <c r="S5" s="180" t="s">
        <v>210</v>
      </c>
      <c r="T5" s="180" t="s">
        <v>797</v>
      </c>
      <c r="U5" s="138" t="s">
        <v>333</v>
      </c>
      <c r="V5" s="139">
        <v>144234076</v>
      </c>
      <c r="W5" s="139">
        <v>142204857</v>
      </c>
      <c r="X5" s="139">
        <v>149772888</v>
      </c>
      <c r="Y5" s="139">
        <v>153773499</v>
      </c>
      <c r="Z5" s="139">
        <v>158604609</v>
      </c>
      <c r="AA5" s="139">
        <v>162012522</v>
      </c>
      <c r="AB5" s="139">
        <v>165063203</v>
      </c>
      <c r="AC5" s="139">
        <v>163646581</v>
      </c>
      <c r="AD5" s="139">
        <v>161758068</v>
      </c>
      <c r="AE5" s="139">
        <v>177295830</v>
      </c>
      <c r="AF5" s="139">
        <v>156079591</v>
      </c>
      <c r="AG5" s="139">
        <v>154334440</v>
      </c>
      <c r="AH5" s="4">
        <f t="shared" si="0"/>
        <v>5.6563058643044339E-3</v>
      </c>
    </row>
    <row r="6" spans="1:34" ht="20.100000000000001" customHeight="1">
      <c r="A6" s="49" t="s">
        <v>245</v>
      </c>
      <c r="B6" s="49" t="s">
        <v>245</v>
      </c>
      <c r="C6" s="152" t="s">
        <v>806</v>
      </c>
      <c r="D6" s="51" t="s">
        <v>794</v>
      </c>
      <c r="E6" s="101">
        <v>36.1</v>
      </c>
      <c r="F6" s="101">
        <v>34.700000000000003</v>
      </c>
      <c r="G6" s="101">
        <v>35.4</v>
      </c>
      <c r="H6" s="101">
        <v>35.1</v>
      </c>
      <c r="I6" s="101">
        <v>34.799999999999997</v>
      </c>
      <c r="J6" s="101">
        <v>34.5</v>
      </c>
      <c r="K6" s="101">
        <v>34.299999999999997</v>
      </c>
      <c r="L6" s="101">
        <v>33.6</v>
      </c>
      <c r="M6" s="101">
        <v>32.700000000000003</v>
      </c>
      <c r="R6" s="180" t="s">
        <v>208</v>
      </c>
      <c r="S6" s="180" t="s">
        <v>210</v>
      </c>
      <c r="T6" s="180" t="s">
        <v>211</v>
      </c>
      <c r="U6" s="138" t="s">
        <v>793</v>
      </c>
      <c r="V6" s="140">
        <v>12348088</v>
      </c>
      <c r="W6" s="140">
        <v>12619516</v>
      </c>
      <c r="X6" s="140">
        <v>13395420</v>
      </c>
      <c r="Y6" s="140">
        <v>14675459</v>
      </c>
      <c r="Z6" s="140">
        <v>16056977</v>
      </c>
      <c r="AA6" s="140">
        <v>16145739</v>
      </c>
      <c r="AB6" s="140">
        <v>16270699</v>
      </c>
      <c r="AC6" s="140">
        <v>17604753</v>
      </c>
      <c r="AD6" s="140">
        <v>17453996</v>
      </c>
      <c r="AE6" s="140">
        <v>18937624</v>
      </c>
      <c r="AF6" s="140">
        <v>16378931</v>
      </c>
      <c r="AG6" s="140">
        <v>16276937</v>
      </c>
      <c r="AH6" s="4">
        <f t="shared" si="0"/>
        <v>2.3287684258518127E-2</v>
      </c>
    </row>
    <row r="7" spans="1:34" ht="20.100000000000001" customHeight="1">
      <c r="A7" s="49" t="s">
        <v>245</v>
      </c>
      <c r="B7" s="49" t="s">
        <v>245</v>
      </c>
      <c r="C7" s="49" t="s">
        <v>245</v>
      </c>
      <c r="D7" s="51" t="s">
        <v>794</v>
      </c>
      <c r="E7" s="102">
        <v>25.8</v>
      </c>
      <c r="F7" s="102">
        <v>24.5</v>
      </c>
      <c r="G7" s="102">
        <v>24.2</v>
      </c>
      <c r="H7" s="102">
        <v>24.7</v>
      </c>
      <c r="I7" s="102">
        <v>25.5</v>
      </c>
      <c r="J7" s="102">
        <v>24.4</v>
      </c>
      <c r="K7" s="102">
        <v>23.7</v>
      </c>
      <c r="L7" s="102">
        <v>25</v>
      </c>
      <c r="M7" s="102">
        <v>24.2</v>
      </c>
      <c r="N7" s="30">
        <f>'BAADTbVT_DV-km'!F7</f>
        <v>2187909</v>
      </c>
      <c r="O7" s="30">
        <f>SUM(N7:N9)</f>
        <v>9671497</v>
      </c>
      <c r="R7" s="180" t="s">
        <v>208</v>
      </c>
      <c r="S7" s="180" t="s">
        <v>210</v>
      </c>
      <c r="T7" s="180" t="s">
        <v>211</v>
      </c>
      <c r="U7" s="138" t="s">
        <v>794</v>
      </c>
      <c r="V7" s="140">
        <v>10623011</v>
      </c>
      <c r="W7" s="140">
        <v>8098668</v>
      </c>
      <c r="X7" s="140">
        <v>7041951</v>
      </c>
      <c r="Y7" s="140">
        <v>5751244</v>
      </c>
      <c r="Z7" s="140">
        <v>5004545</v>
      </c>
      <c r="AA7" s="140">
        <v>4162197</v>
      </c>
      <c r="AB7" s="140">
        <v>3542304</v>
      </c>
      <c r="AC7" s="140">
        <v>2972117</v>
      </c>
      <c r="AD7" s="140">
        <v>2538140</v>
      </c>
      <c r="AE7" s="140">
        <v>2668498</v>
      </c>
      <c r="AF7" s="140">
        <v>1913212</v>
      </c>
      <c r="AG7" s="140">
        <v>1655372</v>
      </c>
      <c r="AH7" s="4">
        <f t="shared" si="0"/>
        <v>-0.14351321895380431</v>
      </c>
    </row>
    <row r="8" spans="1:34" ht="20.100000000000001" customHeight="1">
      <c r="A8" s="49" t="s">
        <v>245</v>
      </c>
      <c r="B8" s="49" t="s">
        <v>245</v>
      </c>
      <c r="C8" s="49" t="s">
        <v>245</v>
      </c>
      <c r="D8" s="51" t="s">
        <v>795</v>
      </c>
      <c r="E8" s="102">
        <v>24.7</v>
      </c>
      <c r="F8" s="102">
        <v>22.6</v>
      </c>
      <c r="G8" s="102">
        <v>23.1</v>
      </c>
      <c r="H8" s="102">
        <v>22.3</v>
      </c>
      <c r="I8" s="102">
        <v>22.7</v>
      </c>
      <c r="J8" s="102">
        <v>22</v>
      </c>
      <c r="K8" s="102">
        <v>21.6</v>
      </c>
      <c r="L8" s="102">
        <v>20.6</v>
      </c>
      <c r="M8" s="102">
        <v>20</v>
      </c>
      <c r="N8" s="30">
        <f>'BAADTbVT_DV-km'!F8</f>
        <v>759979</v>
      </c>
      <c r="O8" s="30"/>
      <c r="R8" s="180" t="s">
        <v>208</v>
      </c>
      <c r="S8" s="180" t="s">
        <v>210</v>
      </c>
      <c r="T8" s="180" t="s">
        <v>211</v>
      </c>
      <c r="U8" s="138" t="s">
        <v>795</v>
      </c>
      <c r="V8" s="140">
        <v>87673971</v>
      </c>
      <c r="W8" s="140">
        <v>87314819</v>
      </c>
      <c r="X8" s="140">
        <v>92337218</v>
      </c>
      <c r="Y8" s="140">
        <v>94487907</v>
      </c>
      <c r="Z8" s="140">
        <v>95272787</v>
      </c>
      <c r="AA8" s="140">
        <v>97122109</v>
      </c>
      <c r="AB8" s="140">
        <v>98302117</v>
      </c>
      <c r="AC8" s="140">
        <v>96591294</v>
      </c>
      <c r="AD8" s="140">
        <v>93395076</v>
      </c>
      <c r="AE8" s="140">
        <v>100839839</v>
      </c>
      <c r="AF8" s="140">
        <v>89337661</v>
      </c>
      <c r="AG8" s="140">
        <v>88690849</v>
      </c>
      <c r="AH8" s="4">
        <f t="shared" si="0"/>
        <v>9.6143326268527396E-4</v>
      </c>
    </row>
    <row r="9" spans="1:34" ht="20.100000000000001" customHeight="1">
      <c r="A9" s="49" t="s">
        <v>245</v>
      </c>
      <c r="B9" s="49" t="s">
        <v>245</v>
      </c>
      <c r="C9" s="49" t="s">
        <v>245</v>
      </c>
      <c r="D9" s="51" t="s">
        <v>796</v>
      </c>
      <c r="E9" s="102">
        <v>38.200000000000003</v>
      </c>
      <c r="F9" s="102">
        <v>36.700000000000003</v>
      </c>
      <c r="G9" s="102">
        <v>37.5</v>
      </c>
      <c r="H9" s="102">
        <v>37.1</v>
      </c>
      <c r="I9" s="102">
        <v>36.1</v>
      </c>
      <c r="J9" s="102">
        <v>35.9</v>
      </c>
      <c r="K9" s="102">
        <v>35.9</v>
      </c>
      <c r="L9" s="102">
        <v>35.1</v>
      </c>
      <c r="M9" s="102">
        <v>33.799999999999997</v>
      </c>
      <c r="N9" s="30">
        <f>'BAADTbVT_DV-km'!F9</f>
        <v>6723609</v>
      </c>
      <c r="O9" s="30"/>
      <c r="R9" s="180" t="s">
        <v>208</v>
      </c>
      <c r="S9" s="180" t="s">
        <v>210</v>
      </c>
      <c r="T9" s="180" t="s">
        <v>211</v>
      </c>
      <c r="U9" s="138" t="s">
        <v>796</v>
      </c>
      <c r="V9" s="141">
        <v>33589006</v>
      </c>
      <c r="W9" s="141">
        <v>34171853</v>
      </c>
      <c r="X9" s="141">
        <v>36998299</v>
      </c>
      <c r="Y9" s="141">
        <v>38858889</v>
      </c>
      <c r="Z9" s="141">
        <v>42270299</v>
      </c>
      <c r="AA9" s="141">
        <v>44582475</v>
      </c>
      <c r="AB9" s="141">
        <v>46948084</v>
      </c>
      <c r="AC9" s="141">
        <v>46478417</v>
      </c>
      <c r="AD9" s="141">
        <v>48370856</v>
      </c>
      <c r="AE9" s="141">
        <v>54849869</v>
      </c>
      <c r="AF9" s="141">
        <v>48449788</v>
      </c>
      <c r="AG9" s="141">
        <v>47711283</v>
      </c>
      <c r="AH9" s="4">
        <f t="shared" si="0"/>
        <v>2.9679331347456595E-2</v>
      </c>
    </row>
    <row r="10" spans="1:34" ht="20.100000000000001" customHeight="1">
      <c r="A10" s="49" t="s">
        <v>245</v>
      </c>
      <c r="B10" s="49" t="s">
        <v>245</v>
      </c>
      <c r="C10" s="49" t="s">
        <v>245</v>
      </c>
      <c r="D10" s="51" t="s">
        <v>333</v>
      </c>
      <c r="E10" s="103">
        <v>42.7</v>
      </c>
      <c r="F10" s="103">
        <v>40.299999999999997</v>
      </c>
      <c r="G10" s="103">
        <v>40.6</v>
      </c>
      <c r="H10" s="103">
        <v>39.5</v>
      </c>
      <c r="I10" s="103">
        <v>39.700000000000003</v>
      </c>
      <c r="J10" s="103">
        <v>38.9</v>
      </c>
      <c r="K10" s="103">
        <v>38.700000000000003</v>
      </c>
      <c r="L10" s="103">
        <v>36.6</v>
      </c>
      <c r="M10" s="103">
        <v>36.200000000000003</v>
      </c>
      <c r="N10" s="30">
        <f>'BAADTbVT_DV-km'!F10</f>
        <v>3915864</v>
      </c>
      <c r="O10" s="30">
        <f>N10</f>
        <v>3915864</v>
      </c>
      <c r="R10" s="180" t="s">
        <v>208</v>
      </c>
      <c r="S10" s="180" t="s">
        <v>210</v>
      </c>
      <c r="T10" s="180" t="s">
        <v>798</v>
      </c>
      <c r="U10" s="138" t="s">
        <v>333</v>
      </c>
      <c r="V10" s="139">
        <v>38586519</v>
      </c>
      <c r="W10" s="139">
        <v>40375396</v>
      </c>
      <c r="X10" s="139">
        <v>44084729</v>
      </c>
      <c r="Y10" s="139">
        <v>47377467</v>
      </c>
      <c r="Z10" s="139">
        <v>53066646</v>
      </c>
      <c r="AA10" s="139">
        <v>56186364</v>
      </c>
      <c r="AB10" s="139">
        <v>61233566</v>
      </c>
      <c r="AC10" s="139">
        <v>64124524</v>
      </c>
      <c r="AD10" s="139">
        <v>67780430</v>
      </c>
      <c r="AE10" s="139">
        <v>75674412</v>
      </c>
      <c r="AF10" s="139">
        <v>73320449</v>
      </c>
      <c r="AG10" s="139">
        <v>77369200</v>
      </c>
      <c r="AH10" s="4">
        <f t="shared" si="0"/>
        <v>5.9687249363133521E-2</v>
      </c>
    </row>
    <row r="11" spans="1:34" ht="20.100000000000001" customHeight="1">
      <c r="A11" s="49" t="s">
        <v>245</v>
      </c>
      <c r="B11" s="49" t="s">
        <v>245</v>
      </c>
      <c r="C11" s="152" t="s">
        <v>812</v>
      </c>
      <c r="D11" s="51" t="s">
        <v>794</v>
      </c>
      <c r="E11" s="101">
        <v>42.5</v>
      </c>
      <c r="F11" s="101">
        <v>40.9</v>
      </c>
      <c r="G11" s="101">
        <v>40.799999999999997</v>
      </c>
      <c r="H11" s="101">
        <v>39.9</v>
      </c>
      <c r="I11" s="101">
        <v>40.4</v>
      </c>
      <c r="J11" s="101">
        <v>40</v>
      </c>
      <c r="K11" s="101">
        <v>39.9</v>
      </c>
      <c r="L11" s="101">
        <v>39.1</v>
      </c>
      <c r="M11" s="101">
        <v>39.299999999999997</v>
      </c>
      <c r="N11" s="30"/>
      <c r="O11" s="30"/>
      <c r="R11" s="180" t="s">
        <v>208</v>
      </c>
      <c r="S11" s="180" t="s">
        <v>210</v>
      </c>
      <c r="T11" s="180" t="s">
        <v>216</v>
      </c>
      <c r="U11" s="138" t="s">
        <v>795</v>
      </c>
      <c r="V11" s="140">
        <v>21678728</v>
      </c>
      <c r="W11" s="140">
        <v>23775414</v>
      </c>
      <c r="X11" s="140">
        <v>27416045</v>
      </c>
      <c r="Y11" s="140">
        <v>30241896</v>
      </c>
      <c r="Z11" s="140">
        <v>35179354</v>
      </c>
      <c r="AA11" s="140">
        <v>37847636</v>
      </c>
      <c r="AB11" s="140">
        <v>42189170</v>
      </c>
      <c r="AC11" s="140">
        <v>44538327</v>
      </c>
      <c r="AD11" s="140">
        <v>47840800</v>
      </c>
      <c r="AE11" s="140">
        <v>50621401</v>
      </c>
      <c r="AF11" s="140">
        <v>49164957</v>
      </c>
      <c r="AG11" s="140">
        <v>52097664</v>
      </c>
      <c r="AH11" s="4">
        <f t="shared" si="0"/>
        <v>7.5801233347525976E-2</v>
      </c>
    </row>
    <row r="12" spans="1:34" ht="20.100000000000001" customHeight="1">
      <c r="A12" s="49" t="s">
        <v>245</v>
      </c>
      <c r="B12" s="49" t="s">
        <v>245</v>
      </c>
      <c r="C12" s="49" t="s">
        <v>245</v>
      </c>
      <c r="D12" s="51" t="s">
        <v>795</v>
      </c>
      <c r="E12" s="102">
        <v>42.4</v>
      </c>
      <c r="F12" s="102">
        <v>40.4</v>
      </c>
      <c r="G12" s="102">
        <v>40.700000000000003</v>
      </c>
      <c r="H12" s="102">
        <v>39.6</v>
      </c>
      <c r="I12" s="102">
        <v>40.6</v>
      </c>
      <c r="J12" s="102">
        <v>40.200000000000003</v>
      </c>
      <c r="K12" s="102">
        <v>40.299999999999997</v>
      </c>
      <c r="L12" s="102">
        <v>39.200000000000003</v>
      </c>
      <c r="M12" s="102">
        <v>39.799999999999997</v>
      </c>
      <c r="N12" s="30">
        <f>'BAADTbVT_DV-km'!F12</f>
        <v>4434476</v>
      </c>
      <c r="O12" s="30">
        <f>N12</f>
        <v>4434476</v>
      </c>
      <c r="R12" s="180" t="s">
        <v>208</v>
      </c>
      <c r="S12" s="180" t="s">
        <v>210</v>
      </c>
      <c r="T12" s="180" t="s">
        <v>216</v>
      </c>
      <c r="U12" s="138" t="s">
        <v>796</v>
      </c>
      <c r="V12" s="141">
        <v>16907791</v>
      </c>
      <c r="W12" s="141">
        <v>16599983</v>
      </c>
      <c r="X12" s="141">
        <v>16668684</v>
      </c>
      <c r="Y12" s="141">
        <v>17135571</v>
      </c>
      <c r="Z12" s="141">
        <v>17887292</v>
      </c>
      <c r="AA12" s="141">
        <v>18338728</v>
      </c>
      <c r="AB12" s="141">
        <v>19044396</v>
      </c>
      <c r="AC12" s="141">
        <v>19586197</v>
      </c>
      <c r="AD12" s="141">
        <v>19939630</v>
      </c>
      <c r="AE12" s="141">
        <v>25053011</v>
      </c>
      <c r="AF12" s="141">
        <v>24155492</v>
      </c>
      <c r="AG12" s="141">
        <v>25271536</v>
      </c>
      <c r="AH12" s="4">
        <f t="shared" si="0"/>
        <v>3.4059186857813284E-2</v>
      </c>
    </row>
    <row r="13" spans="1:34" ht="20.100000000000001" customHeight="1">
      <c r="A13" s="49" t="s">
        <v>245</v>
      </c>
      <c r="B13" s="49" t="s">
        <v>245</v>
      </c>
      <c r="C13" s="49" t="s">
        <v>245</v>
      </c>
      <c r="D13" s="51" t="s">
        <v>796</v>
      </c>
      <c r="E13" s="103">
        <v>42.7</v>
      </c>
      <c r="F13" s="103">
        <v>41.6</v>
      </c>
      <c r="G13" s="103">
        <v>40.799999999999997</v>
      </c>
      <c r="H13" s="103">
        <v>40.4</v>
      </c>
      <c r="I13" s="103">
        <v>39.9</v>
      </c>
      <c r="J13" s="103">
        <v>39.700000000000003</v>
      </c>
      <c r="K13" s="103">
        <v>39</v>
      </c>
      <c r="L13" s="103">
        <v>38.9</v>
      </c>
      <c r="M13" s="103">
        <v>38.1</v>
      </c>
      <c r="N13" s="30">
        <f>'BAADTbVT_DV-km'!F13</f>
        <v>2070333</v>
      </c>
      <c r="O13" s="30">
        <f>SUM(N13:N14)</f>
        <v>3747191</v>
      </c>
      <c r="R13" s="180" t="s">
        <v>208</v>
      </c>
      <c r="S13" s="180" t="s">
        <v>210</v>
      </c>
      <c r="T13" s="138" t="s">
        <v>340</v>
      </c>
      <c r="U13" s="138" t="s">
        <v>333</v>
      </c>
      <c r="V13" s="139">
        <v>13585086</v>
      </c>
      <c r="W13" s="139">
        <v>12540647</v>
      </c>
      <c r="X13" s="139">
        <v>11661280</v>
      </c>
      <c r="Y13" s="139">
        <v>11571045</v>
      </c>
      <c r="Z13" s="139">
        <v>12352675</v>
      </c>
      <c r="AA13" s="139">
        <v>13075381</v>
      </c>
      <c r="AB13" s="139">
        <v>13556987</v>
      </c>
      <c r="AC13" s="139">
        <v>14924349</v>
      </c>
      <c r="AD13" s="139">
        <v>17441704</v>
      </c>
      <c r="AE13" s="139">
        <v>20324659</v>
      </c>
      <c r="AF13" s="139">
        <v>19649513</v>
      </c>
      <c r="AG13" s="139">
        <v>21221332</v>
      </c>
      <c r="AH13" s="4">
        <f t="shared" si="0"/>
        <v>3.786895315167782E-2</v>
      </c>
    </row>
    <row r="14" spans="1:34" ht="20.100000000000001" customHeight="1">
      <c r="A14" s="49" t="s">
        <v>245</v>
      </c>
      <c r="B14" s="49" t="s">
        <v>245</v>
      </c>
      <c r="C14" s="51" t="s">
        <v>340</v>
      </c>
      <c r="D14" s="51" t="s">
        <v>333</v>
      </c>
      <c r="E14" s="103">
        <v>39.799999999999997</v>
      </c>
      <c r="F14" s="103">
        <v>38.1</v>
      </c>
      <c r="G14" s="103">
        <v>36.9</v>
      </c>
      <c r="H14" s="103">
        <v>36.299999999999997</v>
      </c>
      <c r="I14" s="103">
        <v>36.6</v>
      </c>
      <c r="J14" s="103">
        <v>36.6</v>
      </c>
      <c r="K14" s="103">
        <v>37.200000000000003</v>
      </c>
      <c r="L14" s="103">
        <v>37.700000000000003</v>
      </c>
      <c r="M14" s="103">
        <v>38.6</v>
      </c>
      <c r="N14" s="30">
        <f>'BAADTbVT_DV-km'!F14</f>
        <v>1676858</v>
      </c>
      <c r="O14" s="30"/>
      <c r="R14" s="180" t="s">
        <v>208</v>
      </c>
      <c r="S14" s="180" t="s">
        <v>799</v>
      </c>
      <c r="T14" s="138" t="s">
        <v>333</v>
      </c>
      <c r="U14" s="138"/>
      <c r="V14" s="139">
        <v>20738233</v>
      </c>
      <c r="W14" s="139">
        <v>19600278</v>
      </c>
      <c r="X14" s="139">
        <v>20736159</v>
      </c>
      <c r="Y14" s="139">
        <v>19817825</v>
      </c>
      <c r="Z14" s="139">
        <v>19857080</v>
      </c>
      <c r="AA14" s="139">
        <v>19318379</v>
      </c>
      <c r="AB14" s="139">
        <v>18645489</v>
      </c>
      <c r="AC14" s="139">
        <v>17904372</v>
      </c>
      <c r="AD14" s="139">
        <v>16065637</v>
      </c>
      <c r="AE14" s="139">
        <v>13797082</v>
      </c>
      <c r="AF14" s="139">
        <v>14132168</v>
      </c>
      <c r="AG14" s="139">
        <v>14029164</v>
      </c>
      <c r="AH14" s="4">
        <f t="shared" si="0"/>
        <v>-3.2045365489573041E-2</v>
      </c>
    </row>
    <row r="15" spans="1:34" ht="20.100000000000001" customHeight="1">
      <c r="A15" s="49" t="s">
        <v>245</v>
      </c>
      <c r="B15" s="51" t="s">
        <v>810</v>
      </c>
      <c r="C15" s="51" t="s">
        <v>333</v>
      </c>
      <c r="D15" s="51" t="s">
        <v>794</v>
      </c>
      <c r="E15" s="101">
        <v>56.7</v>
      </c>
      <c r="F15" s="101">
        <v>54.6</v>
      </c>
      <c r="G15" s="101">
        <v>59.2</v>
      </c>
      <c r="H15" s="101">
        <v>57.9</v>
      </c>
      <c r="I15" s="101">
        <v>59.9</v>
      </c>
      <c r="J15" s="101">
        <v>60.1</v>
      </c>
      <c r="K15" s="101">
        <v>59.8</v>
      </c>
      <c r="L15" s="101">
        <v>59.2</v>
      </c>
      <c r="M15" s="101">
        <v>55.1</v>
      </c>
      <c r="N15" s="30"/>
      <c r="O15" s="30"/>
      <c r="R15" s="180" t="s">
        <v>208</v>
      </c>
      <c r="S15" s="180" t="s">
        <v>219</v>
      </c>
      <c r="T15" s="180" t="s">
        <v>797</v>
      </c>
      <c r="U15" s="138" t="s">
        <v>333</v>
      </c>
      <c r="V15" s="139">
        <v>20495430</v>
      </c>
      <c r="W15" s="139">
        <v>19342905</v>
      </c>
      <c r="X15" s="139">
        <v>20448102</v>
      </c>
      <c r="Y15" s="139">
        <v>19499698</v>
      </c>
      <c r="Z15" s="139">
        <v>19505341</v>
      </c>
      <c r="AA15" s="139">
        <v>18954472</v>
      </c>
      <c r="AB15" s="139">
        <v>18293460</v>
      </c>
      <c r="AC15" s="139">
        <v>17564562</v>
      </c>
      <c r="AD15" s="139">
        <v>15733219</v>
      </c>
      <c r="AE15" s="139">
        <v>13483615</v>
      </c>
      <c r="AF15" s="139">
        <v>13772124</v>
      </c>
      <c r="AG15" s="139">
        <v>13637869</v>
      </c>
      <c r="AH15" s="4">
        <f t="shared" si="0"/>
        <v>-3.3376260904269262E-2</v>
      </c>
    </row>
    <row r="16" spans="1:34" ht="20.100000000000001" customHeight="1">
      <c r="A16" s="49" t="s">
        <v>245</v>
      </c>
      <c r="B16" s="49" t="s">
        <v>245</v>
      </c>
      <c r="C16" s="51" t="s">
        <v>813</v>
      </c>
      <c r="D16" s="51" t="s">
        <v>795</v>
      </c>
      <c r="E16" s="101">
        <v>57</v>
      </c>
      <c r="F16" s="101">
        <v>54.8</v>
      </c>
      <c r="G16" s="101">
        <v>59.5</v>
      </c>
      <c r="H16" s="101">
        <v>58.2</v>
      </c>
      <c r="I16" s="101">
        <v>60.3</v>
      </c>
      <c r="J16" s="101">
        <v>60.8</v>
      </c>
      <c r="K16" s="101">
        <v>60.7</v>
      </c>
      <c r="L16" s="101">
        <v>60.5</v>
      </c>
      <c r="M16" s="101">
        <v>56.5</v>
      </c>
      <c r="N16" s="30"/>
      <c r="O16" s="30"/>
      <c r="R16" s="180" t="s">
        <v>208</v>
      </c>
      <c r="S16" s="180" t="s">
        <v>219</v>
      </c>
      <c r="T16" s="180" t="s">
        <v>211</v>
      </c>
      <c r="U16" s="138" t="s">
        <v>794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245</v>
      </c>
      <c r="B17" s="49" t="s">
        <v>245</v>
      </c>
      <c r="C17" s="49"/>
      <c r="D17" s="51" t="s">
        <v>796</v>
      </c>
      <c r="E17" s="102">
        <v>40.4</v>
      </c>
      <c r="F17" s="102">
        <v>35.299999999999997</v>
      </c>
      <c r="G17" s="102">
        <v>39.299999999999997</v>
      </c>
      <c r="H17" s="102">
        <v>36</v>
      </c>
      <c r="I17" s="102">
        <v>38.299999999999997</v>
      </c>
      <c r="J17" s="102">
        <v>35.700000000000003</v>
      </c>
      <c r="K17" s="102">
        <v>36.4</v>
      </c>
      <c r="L17" s="102">
        <v>34</v>
      </c>
      <c r="M17" s="102">
        <v>35</v>
      </c>
      <c r="N17" s="30">
        <f>'BAADTbVT_DV-km'!F17</f>
        <v>478640</v>
      </c>
      <c r="O17" s="30">
        <f>SUM(N17:N18)</f>
        <v>505576</v>
      </c>
      <c r="R17" s="180" t="s">
        <v>208</v>
      </c>
      <c r="S17" s="180" t="s">
        <v>219</v>
      </c>
      <c r="T17" s="180" t="s">
        <v>211</v>
      </c>
      <c r="U17" s="138" t="s">
        <v>795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245</v>
      </c>
      <c r="B18" s="49" t="s">
        <v>245</v>
      </c>
      <c r="C18" s="49" t="s">
        <v>245</v>
      </c>
      <c r="D18" s="51" t="s">
        <v>333</v>
      </c>
      <c r="E18" s="102">
        <v>43.9</v>
      </c>
      <c r="F18" s="102">
        <v>41.7</v>
      </c>
      <c r="G18" s="102">
        <v>46.1</v>
      </c>
      <c r="H18" s="102">
        <v>44</v>
      </c>
      <c r="I18" s="102">
        <v>45</v>
      </c>
      <c r="J18" s="102">
        <v>44.5</v>
      </c>
      <c r="K18" s="102">
        <v>43.9</v>
      </c>
      <c r="L18" s="102">
        <v>43.4</v>
      </c>
      <c r="M18" s="102">
        <v>40.200000000000003</v>
      </c>
      <c r="N18" s="30">
        <f>'BAADTbVT_DV-km'!F18</f>
        <v>26936</v>
      </c>
      <c r="O18" s="30"/>
      <c r="R18" s="180" t="s">
        <v>208</v>
      </c>
      <c r="S18" s="180" t="s">
        <v>219</v>
      </c>
      <c r="T18" s="180" t="s">
        <v>211</v>
      </c>
      <c r="U18" s="138" t="s">
        <v>796</v>
      </c>
      <c r="V18" s="141">
        <v>6193273</v>
      </c>
      <c r="W18" s="141">
        <v>6165410</v>
      </c>
      <c r="X18" s="141">
        <v>6339741</v>
      </c>
      <c r="Y18" s="141">
        <v>6500925</v>
      </c>
      <c r="Z18" s="141">
        <v>6700887</v>
      </c>
      <c r="AA18" s="141">
        <v>6841141</v>
      </c>
      <c r="AB18" s="141">
        <v>6796745</v>
      </c>
      <c r="AC18" s="141">
        <v>6688681</v>
      </c>
      <c r="AD18" s="141">
        <v>6035557</v>
      </c>
      <c r="AE18" s="141">
        <v>4975089</v>
      </c>
      <c r="AF18" s="141">
        <v>5032542</v>
      </c>
      <c r="AG18" s="141">
        <v>5592448</v>
      </c>
      <c r="AH18" s="4">
        <f t="shared" si="0"/>
        <v>-8.4678265071237435E-3</v>
      </c>
    </row>
    <row r="19" spans="1:34" ht="20.100000000000001" customHeight="1">
      <c r="A19" s="49" t="s">
        <v>245</v>
      </c>
      <c r="B19" s="49" t="s">
        <v>245</v>
      </c>
      <c r="C19" s="49" t="s">
        <v>245</v>
      </c>
      <c r="D19" s="51" t="s">
        <v>794</v>
      </c>
      <c r="E19" s="103">
        <v>201</v>
      </c>
      <c r="F19" s="103">
        <v>194.8</v>
      </c>
      <c r="G19" s="103">
        <v>193.1</v>
      </c>
      <c r="H19" s="103">
        <v>191.1</v>
      </c>
      <c r="I19" s="103">
        <v>193.1</v>
      </c>
      <c r="J19" s="103">
        <v>195</v>
      </c>
      <c r="K19" s="103">
        <v>193.3</v>
      </c>
      <c r="L19" s="103">
        <v>191.4</v>
      </c>
      <c r="M19" s="103">
        <v>173.9</v>
      </c>
      <c r="N19" s="30">
        <f>'BAADTbVT_DV-km'!F19</f>
        <v>122259</v>
      </c>
      <c r="O19" s="30">
        <f>SUM(N19:N20)</f>
        <v>160590</v>
      </c>
      <c r="R19" s="180" t="s">
        <v>208</v>
      </c>
      <c r="S19" s="180" t="s">
        <v>219</v>
      </c>
      <c r="T19" s="138" t="s">
        <v>798</v>
      </c>
      <c r="U19" s="138" t="s">
        <v>333</v>
      </c>
      <c r="V19" s="141">
        <v>242803</v>
      </c>
      <c r="W19" s="141">
        <v>257373</v>
      </c>
      <c r="X19" s="141">
        <v>288057</v>
      </c>
      <c r="Y19" s="141">
        <v>318127</v>
      </c>
      <c r="Z19" s="141">
        <v>351739</v>
      </c>
      <c r="AA19" s="141">
        <v>363907</v>
      </c>
      <c r="AB19" s="141">
        <v>352029</v>
      </c>
      <c r="AC19" s="141">
        <v>339810</v>
      </c>
      <c r="AD19" s="141">
        <v>332418</v>
      </c>
      <c r="AE19" s="141">
        <v>313467</v>
      </c>
      <c r="AF19" s="141">
        <v>360044</v>
      </c>
      <c r="AG19" s="141">
        <v>391295</v>
      </c>
      <c r="AH19" s="4">
        <f t="shared" si="0"/>
        <v>4.0568929688704625E-2</v>
      </c>
    </row>
    <row r="20" spans="1:34" ht="20.100000000000001" customHeight="1">
      <c r="A20" s="49" t="s">
        <v>245</v>
      </c>
      <c r="B20" s="49" t="s">
        <v>245</v>
      </c>
      <c r="C20" s="51" t="s">
        <v>814</v>
      </c>
      <c r="D20" s="51" t="s">
        <v>795</v>
      </c>
      <c r="E20" s="103">
        <v>42.4</v>
      </c>
      <c r="F20" s="103">
        <v>42.3</v>
      </c>
      <c r="G20" s="103">
        <v>43.1</v>
      </c>
      <c r="H20" s="103">
        <v>43.3</v>
      </c>
      <c r="I20" s="103">
        <v>42.7</v>
      </c>
      <c r="J20" s="103">
        <v>39.1</v>
      </c>
      <c r="K20" s="103">
        <v>33.1</v>
      </c>
      <c r="L20" s="103">
        <v>28.2</v>
      </c>
      <c r="M20" s="103">
        <v>25.2</v>
      </c>
      <c r="N20" s="30">
        <f>'BAADTbVT_DV-km'!F20</f>
        <v>38331</v>
      </c>
      <c r="O20" s="30"/>
      <c r="R20" s="180" t="s">
        <v>208</v>
      </c>
      <c r="S20" s="180" t="s">
        <v>800</v>
      </c>
      <c r="U20" s="138"/>
      <c r="V20" s="139">
        <v>59323777</v>
      </c>
      <c r="W20" s="139">
        <v>59586892</v>
      </c>
      <c r="X20" s="139">
        <v>60472558</v>
      </c>
      <c r="Y20" s="139">
        <v>62371335</v>
      </c>
      <c r="Z20" s="139">
        <v>63689270</v>
      </c>
      <c r="AA20" s="139">
        <v>65374340</v>
      </c>
      <c r="AB20" s="139">
        <v>64652723</v>
      </c>
      <c r="AC20" s="139">
        <v>64973932</v>
      </c>
      <c r="AD20" s="139">
        <v>65018813</v>
      </c>
      <c r="AE20" s="139">
        <v>65047326</v>
      </c>
      <c r="AF20" s="139">
        <v>68125917</v>
      </c>
      <c r="AG20" s="139">
        <v>64181226</v>
      </c>
      <c r="AH20" s="4">
        <f t="shared" si="0"/>
        <v>6.5799325257638319E-3</v>
      </c>
    </row>
    <row r="21" spans="1:34" ht="20.100000000000001" customHeight="1">
      <c r="A21" s="49" t="s">
        <v>245</v>
      </c>
      <c r="B21" s="51" t="s">
        <v>800</v>
      </c>
      <c r="C21" s="51" t="s">
        <v>333</v>
      </c>
      <c r="D21" s="51" t="s">
        <v>796</v>
      </c>
      <c r="E21" s="101">
        <v>50.2</v>
      </c>
      <c r="F21" s="101">
        <v>49.9</v>
      </c>
      <c r="G21" s="101">
        <v>49.8</v>
      </c>
      <c r="H21" s="101">
        <v>50.3</v>
      </c>
      <c r="I21" s="101">
        <v>50.2</v>
      </c>
      <c r="J21" s="101">
        <v>50.9</v>
      </c>
      <c r="K21" s="101">
        <v>49.7</v>
      </c>
      <c r="L21" s="101">
        <v>49.4</v>
      </c>
      <c r="M21" s="101">
        <v>49.4</v>
      </c>
      <c r="N21" s="30"/>
      <c r="O21" s="30"/>
      <c r="R21" s="180" t="s">
        <v>208</v>
      </c>
      <c r="S21" s="180" t="s">
        <v>222</v>
      </c>
      <c r="T21" s="180" t="s">
        <v>797</v>
      </c>
      <c r="U21" s="138" t="s">
        <v>333</v>
      </c>
      <c r="V21" s="139">
        <v>42624707</v>
      </c>
      <c r="W21" s="139">
        <v>42875461</v>
      </c>
      <c r="X21" s="139">
        <v>43554553</v>
      </c>
      <c r="Y21" s="139">
        <v>45349046</v>
      </c>
      <c r="Z21" s="139">
        <v>45841789</v>
      </c>
      <c r="AA21" s="139">
        <v>47399695</v>
      </c>
      <c r="AB21" s="139">
        <v>46796448</v>
      </c>
      <c r="AC21" s="139">
        <v>44912306</v>
      </c>
      <c r="AD21" s="139">
        <v>45038225</v>
      </c>
      <c r="AE21" s="139">
        <v>46627307</v>
      </c>
      <c r="AF21" s="139">
        <v>47192923</v>
      </c>
      <c r="AG21" s="139">
        <v>45421622</v>
      </c>
      <c r="AH21" s="4">
        <f t="shared" si="0"/>
        <v>5.3102316896584956E-3</v>
      </c>
    </row>
    <row r="22" spans="1:34" ht="20.100000000000001" customHeight="1">
      <c r="A22" s="49" t="s">
        <v>245</v>
      </c>
      <c r="B22" s="49" t="s">
        <v>245</v>
      </c>
      <c r="C22" s="51" t="s">
        <v>813</v>
      </c>
      <c r="D22" s="51" t="s">
        <v>333</v>
      </c>
      <c r="E22" s="101">
        <v>52.7</v>
      </c>
      <c r="F22" s="101">
        <v>52.3</v>
      </c>
      <c r="G22" s="101">
        <v>51.8</v>
      </c>
      <c r="H22" s="101">
        <v>52.5</v>
      </c>
      <c r="I22" s="101">
        <v>51.7</v>
      </c>
      <c r="J22" s="101">
        <v>52.6</v>
      </c>
      <c r="K22" s="101">
        <v>51.1</v>
      </c>
      <c r="L22" s="101">
        <v>48.3</v>
      </c>
      <c r="M22" s="101">
        <v>48.1</v>
      </c>
      <c r="N22" s="30"/>
      <c r="O22" s="30"/>
      <c r="R22" s="180" t="s">
        <v>208</v>
      </c>
      <c r="S22" s="180" t="s">
        <v>222</v>
      </c>
      <c r="T22" s="180" t="s">
        <v>211</v>
      </c>
      <c r="U22" s="138" t="s">
        <v>794</v>
      </c>
      <c r="V22" s="142">
        <v>24561995</v>
      </c>
      <c r="W22" s="142">
        <v>25136372</v>
      </c>
      <c r="X22" s="142">
        <v>25832045</v>
      </c>
      <c r="Y22" s="142">
        <v>27341597</v>
      </c>
      <c r="Z22" s="142">
        <v>27894196</v>
      </c>
      <c r="AA22" s="142">
        <v>29234415</v>
      </c>
      <c r="AB22" s="142">
        <v>29351912</v>
      </c>
      <c r="AC22" s="142">
        <v>28332591</v>
      </c>
      <c r="AD22" s="142">
        <v>28600525</v>
      </c>
      <c r="AE22" s="142">
        <v>30122120</v>
      </c>
      <c r="AF22" s="142">
        <v>30816989</v>
      </c>
      <c r="AG22" s="142">
        <v>28936686</v>
      </c>
      <c r="AH22" s="4">
        <f t="shared" si="0"/>
        <v>1.3752868483151603E-2</v>
      </c>
    </row>
    <row r="23" spans="1:34" ht="20.100000000000001" customHeight="1">
      <c r="A23" s="49" t="s">
        <v>245</v>
      </c>
      <c r="B23" s="49" t="s">
        <v>245</v>
      </c>
      <c r="C23" s="49" t="s">
        <v>245</v>
      </c>
      <c r="D23" s="51" t="s">
        <v>794</v>
      </c>
      <c r="E23" s="104">
        <v>43.7</v>
      </c>
      <c r="F23" s="104">
        <v>43.6</v>
      </c>
      <c r="G23" s="104">
        <v>43.2</v>
      </c>
      <c r="H23" s="104">
        <v>43.9</v>
      </c>
      <c r="I23" s="104">
        <v>43</v>
      </c>
      <c r="J23" s="104">
        <v>43.7</v>
      </c>
      <c r="K23" s="104">
        <v>42.6</v>
      </c>
      <c r="L23" s="104">
        <v>39.700000000000003</v>
      </c>
      <c r="M23" s="104">
        <v>39.200000000000003</v>
      </c>
      <c r="N23" s="30">
        <f>'BAADTbVT_DV-km'!F23</f>
        <v>2197972</v>
      </c>
      <c r="O23" s="30">
        <f>SUM(N23:N24)</f>
        <v>2484566</v>
      </c>
      <c r="R23" s="180" t="s">
        <v>208</v>
      </c>
      <c r="S23" s="180" t="s">
        <v>222</v>
      </c>
      <c r="T23" s="180" t="s">
        <v>211</v>
      </c>
      <c r="U23" s="138" t="s">
        <v>795</v>
      </c>
      <c r="V23" s="142">
        <v>9783723</v>
      </c>
      <c r="W23" s="142">
        <v>9308598</v>
      </c>
      <c r="X23" s="142">
        <v>8926124</v>
      </c>
      <c r="Y23" s="142">
        <v>8893382</v>
      </c>
      <c r="Z23" s="142">
        <v>8617056</v>
      </c>
      <c r="AA23" s="142">
        <v>8300131</v>
      </c>
      <c r="AB23" s="142">
        <v>7547996</v>
      </c>
      <c r="AC23" s="142">
        <v>6712613</v>
      </c>
      <c r="AD23" s="142">
        <v>6750838</v>
      </c>
      <c r="AE23" s="142">
        <v>6392232</v>
      </c>
      <c r="AF23" s="142">
        <v>6311866</v>
      </c>
      <c r="AG23" s="142">
        <v>6149557</v>
      </c>
      <c r="AH23" s="4">
        <f t="shared" si="0"/>
        <v>-3.7955915336251311E-2</v>
      </c>
    </row>
    <row r="24" spans="1:34" ht="20.100000000000001" customHeight="1">
      <c r="A24" s="49" t="s">
        <v>245</v>
      </c>
      <c r="B24" s="49" t="s">
        <v>245</v>
      </c>
      <c r="C24" s="49" t="s">
        <v>245</v>
      </c>
      <c r="D24" s="51" t="s">
        <v>795</v>
      </c>
      <c r="E24" s="104">
        <v>53.3</v>
      </c>
      <c r="F24" s="104">
        <v>51.8</v>
      </c>
      <c r="G24" s="104">
        <v>50.5</v>
      </c>
      <c r="H24" s="104">
        <v>51.4</v>
      </c>
      <c r="I24" s="104">
        <v>51.3</v>
      </c>
      <c r="J24" s="104">
        <v>51.7</v>
      </c>
      <c r="K24" s="104">
        <v>49.3</v>
      </c>
      <c r="L24" s="104">
        <v>46.5</v>
      </c>
      <c r="M24" s="104">
        <v>50.6</v>
      </c>
      <c r="N24" s="30">
        <f>'BAADTbVT_DV-km'!F24</f>
        <v>286594</v>
      </c>
      <c r="O24" s="30"/>
      <c r="R24" s="180" t="s">
        <v>208</v>
      </c>
      <c r="S24" s="180" t="s">
        <v>222</v>
      </c>
      <c r="T24" s="180" t="s">
        <v>211</v>
      </c>
      <c r="U24" s="138" t="s">
        <v>796</v>
      </c>
      <c r="V24" s="143">
        <v>8278988</v>
      </c>
      <c r="W24" s="143">
        <v>8430491</v>
      </c>
      <c r="X24" s="143">
        <v>8796384</v>
      </c>
      <c r="Y24" s="143">
        <v>9114066</v>
      </c>
      <c r="Z24" s="143">
        <v>9330537</v>
      </c>
      <c r="AA24" s="143">
        <v>9865148</v>
      </c>
      <c r="AB24" s="143">
        <v>9896539</v>
      </c>
      <c r="AC24" s="143">
        <v>9867102</v>
      </c>
      <c r="AD24" s="143">
        <v>9686862</v>
      </c>
      <c r="AE24" s="143">
        <v>10112955</v>
      </c>
      <c r="AF24" s="143">
        <v>10064069</v>
      </c>
      <c r="AG24" s="143">
        <v>10335379</v>
      </c>
      <c r="AH24" s="4">
        <f t="shared" si="0"/>
        <v>1.8659632256605052E-2</v>
      </c>
    </row>
    <row r="25" spans="1:34" ht="20.100000000000001" customHeight="1">
      <c r="A25" s="49" t="s">
        <v>245</v>
      </c>
      <c r="B25" s="49" t="s">
        <v>245</v>
      </c>
      <c r="C25" s="49" t="s">
        <v>245</v>
      </c>
      <c r="D25" s="51" t="s">
        <v>796</v>
      </c>
      <c r="E25" s="105">
        <v>130.9</v>
      </c>
      <c r="F25" s="105">
        <v>131</v>
      </c>
      <c r="G25" s="105">
        <v>133</v>
      </c>
      <c r="H25" s="105">
        <v>134.4</v>
      </c>
      <c r="I25" s="105">
        <v>134.5</v>
      </c>
      <c r="J25" s="105">
        <v>137.9</v>
      </c>
      <c r="K25" s="105">
        <v>135.69999999999999</v>
      </c>
      <c r="L25" s="105">
        <v>134.80000000000001</v>
      </c>
      <c r="M25" s="105">
        <v>133.1</v>
      </c>
      <c r="N25" s="30">
        <f>'BAADTbVT_DV-km'!F25</f>
        <v>159926</v>
      </c>
      <c r="O25" s="30">
        <f>N25</f>
        <v>159926</v>
      </c>
      <c r="R25" s="180" t="s">
        <v>208</v>
      </c>
      <c r="S25" s="180" t="s">
        <v>222</v>
      </c>
      <c r="T25" s="180" t="s">
        <v>804</v>
      </c>
      <c r="U25" s="138" t="s">
        <v>333</v>
      </c>
      <c r="V25" s="139">
        <v>355600</v>
      </c>
      <c r="W25" s="139">
        <v>350790</v>
      </c>
      <c r="X25" s="139">
        <v>349807</v>
      </c>
      <c r="Y25" s="139">
        <v>353691</v>
      </c>
      <c r="Z25" s="139">
        <v>367605</v>
      </c>
      <c r="AA25" s="139">
        <v>378248</v>
      </c>
      <c r="AB25" s="139">
        <v>376751</v>
      </c>
      <c r="AC25" s="139">
        <v>373440</v>
      </c>
      <c r="AD25" s="139">
        <v>374965</v>
      </c>
      <c r="AE25" s="139">
        <v>388079</v>
      </c>
      <c r="AF25" s="139">
        <v>368544</v>
      </c>
      <c r="AG25" s="139">
        <v>338210</v>
      </c>
      <c r="AH25" s="4">
        <f t="shared" si="0"/>
        <v>-4.1695746935809241E-3</v>
      </c>
    </row>
    <row r="26" spans="1:34" ht="20.100000000000001" customHeight="1">
      <c r="A26" s="49" t="s">
        <v>245</v>
      </c>
      <c r="B26" s="49" t="s">
        <v>245</v>
      </c>
      <c r="C26" s="51" t="s">
        <v>815</v>
      </c>
      <c r="D26" s="51" t="s">
        <v>333</v>
      </c>
      <c r="E26" s="101">
        <v>20.399999999999999</v>
      </c>
      <c r="F26" s="101">
        <v>19.8</v>
      </c>
      <c r="G26" s="101">
        <v>19.3</v>
      </c>
      <c r="H26" s="101">
        <v>19.100000000000001</v>
      </c>
      <c r="I26" s="101">
        <v>19.3</v>
      </c>
      <c r="J26" s="101">
        <v>19.399999999999999</v>
      </c>
      <c r="K26" s="101">
        <v>19</v>
      </c>
      <c r="L26" s="101">
        <v>18.5</v>
      </c>
      <c r="M26" s="101">
        <v>18.600000000000001</v>
      </c>
      <c r="N26" s="30"/>
      <c r="O26" s="30"/>
      <c r="R26" s="180" t="s">
        <v>208</v>
      </c>
      <c r="S26" s="180" t="s">
        <v>222</v>
      </c>
      <c r="T26" s="180" t="s">
        <v>223</v>
      </c>
      <c r="U26" s="138" t="s">
        <v>794</v>
      </c>
      <c r="V26" s="142">
        <v>119552</v>
      </c>
      <c r="W26" s="142">
        <v>131475</v>
      </c>
      <c r="X26" s="142">
        <v>143670</v>
      </c>
      <c r="Y26" s="142">
        <v>155424</v>
      </c>
      <c r="Z26" s="142">
        <v>169127</v>
      </c>
      <c r="AA26" s="142">
        <v>181003</v>
      </c>
      <c r="AB26" s="142">
        <v>193176</v>
      </c>
      <c r="AC26" s="142">
        <v>199040</v>
      </c>
      <c r="AD26" s="142">
        <v>206142</v>
      </c>
      <c r="AE26" s="142">
        <v>218172</v>
      </c>
      <c r="AF26" s="142">
        <v>211922</v>
      </c>
      <c r="AG26" s="142">
        <v>205355</v>
      </c>
      <c r="AH26" s="4">
        <f t="shared" si="0"/>
        <v>4.6114053157867207E-2</v>
      </c>
    </row>
    <row r="27" spans="1:34" ht="20.100000000000001" customHeight="1">
      <c r="A27" s="49" t="s">
        <v>245</v>
      </c>
      <c r="B27" s="49" t="s">
        <v>245</v>
      </c>
      <c r="C27" s="49" t="s">
        <v>245</v>
      </c>
      <c r="D27" s="51" t="s">
        <v>794</v>
      </c>
      <c r="E27" s="104">
        <v>19.899999999999999</v>
      </c>
      <c r="F27" s="104">
        <v>20.399999999999999</v>
      </c>
      <c r="G27" s="104">
        <v>20.9</v>
      </c>
      <c r="H27" s="104">
        <v>21</v>
      </c>
      <c r="I27" s="104">
        <v>21.3</v>
      </c>
      <c r="J27" s="104">
        <v>21.4</v>
      </c>
      <c r="K27" s="104">
        <v>21.7</v>
      </c>
      <c r="L27" s="104">
        <v>21.3</v>
      </c>
      <c r="M27" s="104">
        <v>21.4</v>
      </c>
      <c r="N27" s="30">
        <f>'BAADTbVT_DV-km'!F27</f>
        <v>32903</v>
      </c>
      <c r="O27" s="30">
        <f>SUM(N27:N28)</f>
        <v>46380</v>
      </c>
      <c r="R27" s="180" t="s">
        <v>208</v>
      </c>
      <c r="S27" s="180" t="s">
        <v>222</v>
      </c>
      <c r="T27" s="180" t="s">
        <v>223</v>
      </c>
      <c r="U27" s="138" t="s">
        <v>795</v>
      </c>
      <c r="V27" s="142">
        <v>172929</v>
      </c>
      <c r="W27" s="142">
        <v>160739</v>
      </c>
      <c r="X27" s="142">
        <v>148898</v>
      </c>
      <c r="Y27" s="142">
        <v>140335</v>
      </c>
      <c r="Z27" s="142">
        <v>136775</v>
      </c>
      <c r="AA27" s="142">
        <v>131813</v>
      </c>
      <c r="AB27" s="142">
        <v>120701</v>
      </c>
      <c r="AC27" s="142">
        <v>112016</v>
      </c>
      <c r="AD27" s="142">
        <v>104923</v>
      </c>
      <c r="AE27" s="142">
        <v>100432</v>
      </c>
      <c r="AF27" s="142">
        <v>91749</v>
      </c>
      <c r="AG27" s="142">
        <v>75648</v>
      </c>
      <c r="AH27" s="4">
        <f t="shared" si="0"/>
        <v>-6.6579212771151863E-2</v>
      </c>
    </row>
    <row r="28" spans="1:34" ht="20.100000000000001" customHeight="1">
      <c r="A28" s="49" t="s">
        <v>245</v>
      </c>
      <c r="B28" s="49" t="s">
        <v>245</v>
      </c>
      <c r="C28" s="49" t="s">
        <v>245</v>
      </c>
      <c r="D28" s="51" t="s">
        <v>795</v>
      </c>
      <c r="E28" s="104">
        <v>20.399999999999999</v>
      </c>
      <c r="F28" s="104">
        <v>19.3</v>
      </c>
      <c r="G28" s="104">
        <v>18.100000000000001</v>
      </c>
      <c r="H28" s="104">
        <v>17.3</v>
      </c>
      <c r="I28" s="104">
        <v>17</v>
      </c>
      <c r="J28" s="104">
        <v>16.7</v>
      </c>
      <c r="K28" s="104">
        <v>15.6</v>
      </c>
      <c r="L28" s="104">
        <v>14.8</v>
      </c>
      <c r="M28" s="104">
        <v>14.4</v>
      </c>
      <c r="N28" s="30">
        <f>'BAADTbVT_DV-km'!F28</f>
        <v>13477</v>
      </c>
      <c r="O28" s="30"/>
      <c r="R28" s="180" t="s">
        <v>208</v>
      </c>
      <c r="S28" s="180" t="s">
        <v>222</v>
      </c>
      <c r="T28" s="180" t="s">
        <v>223</v>
      </c>
      <c r="U28" s="138" t="s">
        <v>796</v>
      </c>
      <c r="V28" s="143">
        <v>63119</v>
      </c>
      <c r="W28" s="143">
        <v>58575</v>
      </c>
      <c r="X28" s="143">
        <v>57238</v>
      </c>
      <c r="Y28" s="143">
        <v>57933</v>
      </c>
      <c r="Z28" s="143">
        <v>61704</v>
      </c>
      <c r="AA28" s="143">
        <v>65431</v>
      </c>
      <c r="AB28" s="143">
        <v>62874</v>
      </c>
      <c r="AC28" s="143">
        <v>62384</v>
      </c>
      <c r="AD28" s="143">
        <v>63900</v>
      </c>
      <c r="AE28" s="143">
        <v>69474</v>
      </c>
      <c r="AF28" s="143">
        <v>64872</v>
      </c>
      <c r="AG28" s="143">
        <v>57208</v>
      </c>
      <c r="AH28" s="4">
        <f t="shared" si="0"/>
        <v>-8.1605276987979369E-3</v>
      </c>
    </row>
    <row r="29" spans="1:34" ht="20.100000000000001" customHeight="1">
      <c r="A29" s="49" t="s">
        <v>245</v>
      </c>
      <c r="B29" s="49" t="s">
        <v>245</v>
      </c>
      <c r="C29" s="49" t="s">
        <v>245</v>
      </c>
      <c r="D29" s="51" t="s">
        <v>796</v>
      </c>
      <c r="E29" s="105">
        <v>21.5</v>
      </c>
      <c r="F29" s="105">
        <v>19.8</v>
      </c>
      <c r="G29" s="105">
        <v>19.100000000000001</v>
      </c>
      <c r="H29" s="105">
        <v>19.3</v>
      </c>
      <c r="I29" s="105">
        <v>20.2</v>
      </c>
      <c r="J29" s="105">
        <v>20.9</v>
      </c>
      <c r="K29" s="105">
        <v>19.7</v>
      </c>
      <c r="L29" s="105">
        <v>19.3</v>
      </c>
      <c r="M29" s="105">
        <v>19.7</v>
      </c>
      <c r="N29" s="30">
        <f>'BAADTbVT_DV-km'!F29</f>
        <v>7048</v>
      </c>
      <c r="O29" s="30">
        <f>N29</f>
        <v>7048</v>
      </c>
      <c r="R29" s="180" t="s">
        <v>208</v>
      </c>
      <c r="S29" s="180" t="s">
        <v>222</v>
      </c>
      <c r="T29" s="180" t="s">
        <v>799</v>
      </c>
      <c r="U29" s="138" t="s">
        <v>333</v>
      </c>
      <c r="V29" s="139">
        <v>8945957</v>
      </c>
      <c r="W29" s="139">
        <v>8426321</v>
      </c>
      <c r="X29" s="139">
        <v>8271062</v>
      </c>
      <c r="Y29" s="139">
        <v>7806793</v>
      </c>
      <c r="Z29" s="139">
        <v>7690895</v>
      </c>
      <c r="AA29" s="139">
        <v>6951602</v>
      </c>
      <c r="AB29" s="139">
        <v>6775159</v>
      </c>
      <c r="AC29" s="139">
        <v>6417014</v>
      </c>
      <c r="AD29" s="139">
        <v>5890275</v>
      </c>
      <c r="AE29" s="139">
        <v>5284726</v>
      </c>
      <c r="AF29" s="139">
        <v>5186638</v>
      </c>
      <c r="AG29" s="139">
        <v>4891965</v>
      </c>
      <c r="AH29" s="4">
        <f t="shared" si="0"/>
        <v>-4.9056506573116554E-2</v>
      </c>
    </row>
    <row r="30" spans="1:34" ht="20.100000000000001" customHeight="1">
      <c r="A30" s="49" t="s">
        <v>245</v>
      </c>
      <c r="B30" s="49" t="s">
        <v>245</v>
      </c>
      <c r="C30" s="51" t="s">
        <v>799</v>
      </c>
      <c r="D30" s="51" t="s">
        <v>333</v>
      </c>
      <c r="E30" s="101">
        <v>39.6</v>
      </c>
      <c r="F30" s="101">
        <v>38.799999999999997</v>
      </c>
      <c r="G30" s="101">
        <v>39.6</v>
      </c>
      <c r="H30" s="101">
        <v>38.9</v>
      </c>
      <c r="I30" s="101">
        <v>39.9</v>
      </c>
      <c r="J30" s="101">
        <v>38.200000000000003</v>
      </c>
      <c r="K30" s="101">
        <v>39.4</v>
      </c>
      <c r="L30" s="101">
        <v>39.9</v>
      </c>
      <c r="M30" s="101">
        <v>40.1</v>
      </c>
      <c r="N30" s="30"/>
      <c r="O30" s="30"/>
      <c r="R30" s="180" t="s">
        <v>208</v>
      </c>
      <c r="S30" s="180" t="s">
        <v>222</v>
      </c>
      <c r="T30" s="180" t="s">
        <v>224</v>
      </c>
      <c r="U30" s="138" t="s">
        <v>794</v>
      </c>
      <c r="V30" s="142">
        <v>7029117</v>
      </c>
      <c r="W30" s="142">
        <v>6725071</v>
      </c>
      <c r="X30" s="142">
        <v>6755600</v>
      </c>
      <c r="Y30" s="142">
        <v>6497082</v>
      </c>
      <c r="Z30" s="142">
        <v>6567076</v>
      </c>
      <c r="AA30" s="142">
        <v>6090180</v>
      </c>
      <c r="AB30" s="142">
        <v>6037645</v>
      </c>
      <c r="AC30" s="142">
        <v>5862646</v>
      </c>
      <c r="AD30" s="142">
        <v>5488103</v>
      </c>
      <c r="AE30" s="142">
        <v>4994886</v>
      </c>
      <c r="AF30" s="142">
        <v>4971729</v>
      </c>
      <c r="AG30" s="142">
        <v>4743607</v>
      </c>
      <c r="AH30" s="4">
        <f t="shared" si="0"/>
        <v>-3.2240758129605362E-2</v>
      </c>
    </row>
    <row r="31" spans="1:34" ht="20.100000000000001" customHeight="1">
      <c r="A31" s="49" t="s">
        <v>245</v>
      </c>
      <c r="B31" s="49" t="s">
        <v>245</v>
      </c>
      <c r="C31" s="49" t="s">
        <v>245</v>
      </c>
      <c r="D31" s="51" t="s">
        <v>794</v>
      </c>
      <c r="E31" s="104">
        <v>39.299999999999997</v>
      </c>
      <c r="F31" s="104">
        <v>38.9</v>
      </c>
      <c r="G31" s="104">
        <v>40.299999999999997</v>
      </c>
      <c r="H31" s="104">
        <v>39.799999999999997</v>
      </c>
      <c r="I31" s="104">
        <v>41.3</v>
      </c>
      <c r="J31" s="104">
        <v>39.799999999999997</v>
      </c>
      <c r="K31" s="104">
        <v>40.9</v>
      </c>
      <c r="L31" s="104">
        <v>41.6</v>
      </c>
      <c r="M31" s="104">
        <v>41.7</v>
      </c>
      <c r="N31" s="30">
        <f>'BAADTbVT_DV-km'!F31</f>
        <v>332770</v>
      </c>
      <c r="O31" s="30">
        <f>SUM(N31:N32)</f>
        <v>337802</v>
      </c>
      <c r="R31" s="180" t="s">
        <v>208</v>
      </c>
      <c r="S31" s="180" t="s">
        <v>222</v>
      </c>
      <c r="T31" s="180" t="s">
        <v>224</v>
      </c>
      <c r="U31" s="138" t="s">
        <v>795</v>
      </c>
      <c r="V31" s="142">
        <v>1916840</v>
      </c>
      <c r="W31" s="142">
        <v>1701250</v>
      </c>
      <c r="X31" s="142">
        <v>1515462</v>
      </c>
      <c r="Y31" s="142">
        <v>1309711</v>
      </c>
      <c r="Z31" s="142">
        <v>1123819</v>
      </c>
      <c r="AA31" s="142">
        <v>861421</v>
      </c>
      <c r="AB31" s="142">
        <v>737514</v>
      </c>
      <c r="AC31" s="142">
        <v>554367</v>
      </c>
      <c r="AD31" s="142">
        <v>402172</v>
      </c>
      <c r="AE31" s="142">
        <v>289840</v>
      </c>
      <c r="AF31" s="142">
        <v>214909</v>
      </c>
      <c r="AG31" s="142">
        <v>148358</v>
      </c>
      <c r="AH31" s="4">
        <f t="shared" si="0"/>
        <v>-0.19203274747378496</v>
      </c>
    </row>
    <row r="32" spans="1:34" ht="20.100000000000001" customHeight="1">
      <c r="A32" s="49" t="s">
        <v>245</v>
      </c>
      <c r="B32" s="49" t="s">
        <v>245</v>
      </c>
      <c r="C32" s="49" t="s">
        <v>245</v>
      </c>
      <c r="D32" s="51" t="s">
        <v>795</v>
      </c>
      <c r="E32" s="104">
        <v>41.1</v>
      </c>
      <c r="F32" s="104">
        <v>38.700000000000003</v>
      </c>
      <c r="G32" s="104">
        <v>36.9</v>
      </c>
      <c r="H32" s="104">
        <v>34.799999999999997</v>
      </c>
      <c r="I32" s="104">
        <v>33.4</v>
      </c>
      <c r="J32" s="104">
        <v>29.9</v>
      </c>
      <c r="K32" s="104">
        <v>30.4</v>
      </c>
      <c r="L32" s="104">
        <v>28</v>
      </c>
      <c r="M32" s="104">
        <v>26.1</v>
      </c>
      <c r="N32" s="30">
        <f>'BAADTbVT_DV-km'!F32</f>
        <v>5032</v>
      </c>
      <c r="O32" s="30"/>
      <c r="R32" s="180" t="s">
        <v>208</v>
      </c>
      <c r="S32" s="180" t="s">
        <v>222</v>
      </c>
      <c r="T32" s="138" t="s">
        <v>798</v>
      </c>
      <c r="U32" s="138" t="s">
        <v>796</v>
      </c>
      <c r="V32" s="143">
        <v>7397513</v>
      </c>
      <c r="W32" s="143">
        <v>7934320</v>
      </c>
      <c r="X32" s="143">
        <v>8297137</v>
      </c>
      <c r="Y32" s="143">
        <v>8861805</v>
      </c>
      <c r="Z32" s="143">
        <v>9788981</v>
      </c>
      <c r="AA32" s="143">
        <v>10644794</v>
      </c>
      <c r="AB32" s="143">
        <v>10704365</v>
      </c>
      <c r="AC32" s="143">
        <v>13271172</v>
      </c>
      <c r="AD32" s="143">
        <v>13715348</v>
      </c>
      <c r="AE32" s="143">
        <v>12747214</v>
      </c>
      <c r="AF32" s="143">
        <v>15377813</v>
      </c>
      <c r="AG32" s="143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245</v>
      </c>
      <c r="C33" s="51" t="s">
        <v>814</v>
      </c>
      <c r="D33" s="51" t="s">
        <v>796</v>
      </c>
      <c r="E33" s="105">
        <v>56.7</v>
      </c>
      <c r="F33" s="105">
        <v>57.4</v>
      </c>
      <c r="G33" s="105">
        <v>56.4</v>
      </c>
      <c r="H33" s="105">
        <v>56.1</v>
      </c>
      <c r="I33" s="105">
        <v>57.4</v>
      </c>
      <c r="J33" s="105">
        <v>58.4</v>
      </c>
      <c r="K33" s="105">
        <v>55.2</v>
      </c>
      <c r="L33" s="105">
        <v>65.099999999999994</v>
      </c>
      <c r="M33" s="105">
        <v>64.599999999999994</v>
      </c>
      <c r="N33" s="30">
        <f>'BAADTbVT_DV-km'!F33</f>
        <v>681021</v>
      </c>
      <c r="O33" s="30">
        <f>N33</f>
        <v>681021</v>
      </c>
      <c r="R33" s="180" t="s">
        <v>208</v>
      </c>
      <c r="S33" s="180" t="s">
        <v>803</v>
      </c>
      <c r="T33" s="138" t="s">
        <v>333</v>
      </c>
      <c r="U33" s="138" t="s">
        <v>333</v>
      </c>
      <c r="V33" s="139">
        <v>3054929</v>
      </c>
      <c r="W33" s="139">
        <v>3112000</v>
      </c>
      <c r="X33" s="139">
        <v>3281098</v>
      </c>
      <c r="Y33" s="139">
        <v>3411719</v>
      </c>
      <c r="Z33" s="139">
        <v>3665954</v>
      </c>
      <c r="AA33" s="139">
        <v>3903551</v>
      </c>
      <c r="AB33" s="139">
        <v>3920668</v>
      </c>
      <c r="AC33" s="139">
        <v>3980166</v>
      </c>
      <c r="AD33" s="139">
        <v>3959137</v>
      </c>
      <c r="AE33" s="139">
        <v>4232654</v>
      </c>
      <c r="AF33" s="139">
        <v>4322830</v>
      </c>
      <c r="AG33" s="139">
        <v>4324481</v>
      </c>
      <c r="AH33" s="4">
        <f t="shared" si="0"/>
        <v>2.9384772076687993E-2</v>
      </c>
    </row>
    <row r="34" spans="1:52" ht="20.100000000000001" customHeight="1">
      <c r="A34" s="49" t="s">
        <v>245</v>
      </c>
      <c r="B34" s="51" t="s">
        <v>811</v>
      </c>
      <c r="C34" s="51" t="s">
        <v>333</v>
      </c>
      <c r="D34" s="51" t="s">
        <v>333</v>
      </c>
      <c r="E34" s="101">
        <v>137.30000000000001</v>
      </c>
      <c r="F34" s="101">
        <v>132.69999999999999</v>
      </c>
      <c r="G34" s="101">
        <v>132.5</v>
      </c>
      <c r="H34" s="101">
        <v>129.4</v>
      </c>
      <c r="I34" s="101">
        <v>128.69999999999999</v>
      </c>
      <c r="J34" s="101">
        <v>128</v>
      </c>
      <c r="K34" s="101">
        <v>121.5</v>
      </c>
      <c r="L34" s="101">
        <v>116.9</v>
      </c>
      <c r="M34" s="101">
        <v>108.7</v>
      </c>
      <c r="N34" s="30"/>
      <c r="O34" s="30"/>
      <c r="R34" s="180" t="s">
        <v>208</v>
      </c>
      <c r="S34" s="180" t="s">
        <v>227</v>
      </c>
      <c r="T34" s="138" t="s">
        <v>801</v>
      </c>
      <c r="U34" s="138" t="s">
        <v>794</v>
      </c>
      <c r="V34" s="143">
        <v>2638813</v>
      </c>
      <c r="W34" s="143">
        <v>2667608</v>
      </c>
      <c r="X34" s="143">
        <v>2819614</v>
      </c>
      <c r="Y34" s="143">
        <v>2896454</v>
      </c>
      <c r="Z34" s="143">
        <v>3071024</v>
      </c>
      <c r="AA34" s="143">
        <v>3259770</v>
      </c>
      <c r="AB34" s="143">
        <v>3223628</v>
      </c>
      <c r="AC34" s="143">
        <v>3248148</v>
      </c>
      <c r="AD34" s="143">
        <v>3184097</v>
      </c>
      <c r="AE34" s="143">
        <v>3357317</v>
      </c>
      <c r="AF34" s="143">
        <v>3389498</v>
      </c>
      <c r="AG34" s="143">
        <v>3320917</v>
      </c>
      <c r="AH34" s="4">
        <f t="shared" si="0"/>
        <v>1.9344030333672491E-2</v>
      </c>
    </row>
    <row r="35" spans="1:52" ht="20.100000000000001" customHeight="1">
      <c r="A35" s="49" t="s">
        <v>245</v>
      </c>
      <c r="B35" s="49" t="s">
        <v>245</v>
      </c>
      <c r="C35" s="51" t="s">
        <v>801</v>
      </c>
      <c r="D35" s="51" t="s">
        <v>794</v>
      </c>
      <c r="E35" s="105">
        <v>215.1</v>
      </c>
      <c r="F35" s="105">
        <v>210.9</v>
      </c>
      <c r="G35" s="105">
        <v>212.3</v>
      </c>
      <c r="H35" s="105">
        <v>216.7</v>
      </c>
      <c r="I35" s="105">
        <v>221.7</v>
      </c>
      <c r="J35" s="105">
        <v>228.4</v>
      </c>
      <c r="K35" s="105">
        <v>224.2</v>
      </c>
      <c r="L35" s="105">
        <v>225.3</v>
      </c>
      <c r="M35" s="105">
        <v>220.7</v>
      </c>
      <c r="N35" s="30">
        <f>'BAADTbVT_DV-km'!F35</f>
        <v>40407</v>
      </c>
      <c r="O35" s="30">
        <f>SUM(N35,N37)</f>
        <v>133664</v>
      </c>
      <c r="R35" s="180" t="s">
        <v>208</v>
      </c>
      <c r="S35" s="180" t="s">
        <v>227</v>
      </c>
      <c r="T35" s="138" t="s">
        <v>802</v>
      </c>
      <c r="U35" s="138" t="s">
        <v>795</v>
      </c>
      <c r="V35" s="142">
        <v>248142</v>
      </c>
      <c r="W35" s="142">
        <v>253734</v>
      </c>
      <c r="X35" s="142">
        <v>237812</v>
      </c>
      <c r="Y35" s="142">
        <v>255059</v>
      </c>
      <c r="Z35" s="142">
        <v>270813</v>
      </c>
      <c r="AA35" s="142">
        <v>275726</v>
      </c>
      <c r="AB35" s="142">
        <v>281752</v>
      </c>
      <c r="AC35" s="142">
        <v>273880</v>
      </c>
      <c r="AD35" s="142">
        <v>268866</v>
      </c>
      <c r="AE35" s="142">
        <v>271257</v>
      </c>
      <c r="AF35" s="142">
        <v>261719</v>
      </c>
      <c r="AG35" s="142">
        <v>262163</v>
      </c>
      <c r="AH35" s="4">
        <f t="shared" si="0"/>
        <v>4.5909466495832607E-3</v>
      </c>
    </row>
    <row r="36" spans="1:52" ht="20.100000000000001" customHeight="1">
      <c r="A36" s="49" t="s">
        <v>245</v>
      </c>
      <c r="B36" s="49" t="s">
        <v>245</v>
      </c>
      <c r="C36" s="51" t="s">
        <v>802</v>
      </c>
      <c r="D36" s="51" t="s">
        <v>795</v>
      </c>
      <c r="E36" s="104">
        <v>60</v>
      </c>
      <c r="F36" s="104">
        <v>60</v>
      </c>
      <c r="G36" s="104">
        <v>58.3</v>
      </c>
      <c r="H36" s="104">
        <v>57.4</v>
      </c>
      <c r="I36" s="104">
        <v>59.9</v>
      </c>
      <c r="J36" s="104">
        <v>60.3</v>
      </c>
      <c r="K36" s="104">
        <v>62.2</v>
      </c>
      <c r="L36" s="104">
        <v>60.9</v>
      </c>
      <c r="M36" s="104">
        <v>61.6</v>
      </c>
      <c r="N36" s="30">
        <f>'BAADTbVT_DV-km'!F36</f>
        <v>10226</v>
      </c>
      <c r="O36" s="30">
        <f>N36</f>
        <v>10226</v>
      </c>
      <c r="R36" s="180" t="s">
        <v>208</v>
      </c>
      <c r="S36" s="180" t="s">
        <v>227</v>
      </c>
      <c r="T36" s="138" t="s">
        <v>816</v>
      </c>
      <c r="U36" s="138" t="s">
        <v>333</v>
      </c>
      <c r="V36" s="143">
        <v>167974</v>
      </c>
      <c r="W36" s="143">
        <v>190658</v>
      </c>
      <c r="X36" s="143">
        <v>223673</v>
      </c>
      <c r="Y36" s="143">
        <v>260206</v>
      </c>
      <c r="Z36" s="143">
        <v>324117</v>
      </c>
      <c r="AA36" s="143">
        <v>368054</v>
      </c>
      <c r="AB36" s="143">
        <v>415288</v>
      </c>
      <c r="AC36" s="143">
        <v>458138</v>
      </c>
      <c r="AD36" s="143">
        <v>506173</v>
      </c>
      <c r="AE36" s="143">
        <v>604080</v>
      </c>
      <c r="AF36" s="143">
        <v>671613</v>
      </c>
      <c r="AG36" s="143">
        <v>741401</v>
      </c>
      <c r="AH36" s="4">
        <f t="shared" si="0"/>
        <v>0.13170766824755398</v>
      </c>
    </row>
    <row r="37" spans="1:52" ht="20.100000000000001" customHeight="1">
      <c r="A37" s="106" t="s">
        <v>245</v>
      </c>
      <c r="B37" s="106" t="s">
        <v>245</v>
      </c>
      <c r="C37" s="107" t="s">
        <v>816</v>
      </c>
      <c r="D37" s="107" t="s">
        <v>333</v>
      </c>
      <c r="E37" s="105">
        <v>28.7</v>
      </c>
      <c r="F37" s="105">
        <v>29</v>
      </c>
      <c r="G37" s="105">
        <v>30.2</v>
      </c>
      <c r="H37" s="105">
        <v>30.4</v>
      </c>
      <c r="I37" s="105">
        <v>32</v>
      </c>
      <c r="J37" s="105">
        <v>31.6</v>
      </c>
      <c r="K37" s="105">
        <v>31.1</v>
      </c>
      <c r="L37" s="105">
        <v>30.3</v>
      </c>
      <c r="M37" s="105">
        <v>28.7</v>
      </c>
      <c r="N37" s="30">
        <f>'BAADTbVT_DV-km'!F37</f>
        <v>93257</v>
      </c>
      <c r="O37" s="30"/>
    </row>
    <row r="39" spans="1:52">
      <c r="D39" s="4" t="s">
        <v>246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244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817</v>
      </c>
      <c r="C40" s="179" t="s">
        <v>247</v>
      </c>
      <c r="D40" s="179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2197972</v>
      </c>
      <c r="U40" s="4" t="s">
        <v>779</v>
      </c>
      <c r="V40" s="144">
        <f>SUM(V6:V8,V11,V16:V17)</f>
        <v>146625955</v>
      </c>
      <c r="W40" s="144">
        <f t="shared" ref="W40:AG40" si="2">SUM(W6:W8,W11,W16:W17)</f>
        <v>144985911</v>
      </c>
      <c r="X40" s="144">
        <f t="shared" si="2"/>
        <v>154298995</v>
      </c>
      <c r="Y40" s="144">
        <f t="shared" si="2"/>
        <v>158155279</v>
      </c>
      <c r="Z40" s="144">
        <f t="shared" si="2"/>
        <v>164318117</v>
      </c>
      <c r="AA40" s="144">
        <f t="shared" si="2"/>
        <v>167391011</v>
      </c>
      <c r="AB40" s="144">
        <f t="shared" si="2"/>
        <v>171801005</v>
      </c>
      <c r="AC40" s="144">
        <f t="shared" si="2"/>
        <v>172582372</v>
      </c>
      <c r="AD40" s="144">
        <f t="shared" si="2"/>
        <v>170925674</v>
      </c>
      <c r="AE40" s="144">
        <f>SUM(AE6:AE8,AE11,AE16:AE17)</f>
        <v>181575888</v>
      </c>
      <c r="AF40" s="144">
        <f>SUM(AF6:AF8,AF11,AF16:AF17)</f>
        <v>165534343</v>
      </c>
      <c r="AG40" s="144">
        <f t="shared" si="2"/>
        <v>166766243</v>
      </c>
      <c r="AH40" s="4">
        <f>(AG40/V40)^(1/COUNT(V40:AG40))-1</f>
        <v>1.0783415502262361E-2</v>
      </c>
    </row>
    <row r="41" spans="1:52">
      <c r="A41" s="4" t="s">
        <v>818</v>
      </c>
      <c r="C41" s="179"/>
      <c r="D41" s="179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286594</v>
      </c>
      <c r="U41" s="4" t="s">
        <v>780</v>
      </c>
      <c r="V41" s="144">
        <f>SUM(V9,V12,V18:V19)</f>
        <v>56932873</v>
      </c>
      <c r="W41" s="144">
        <f t="shared" ref="W41:AG41" si="3">SUM(W9,W12,W18:W19)</f>
        <v>57194619</v>
      </c>
      <c r="X41" s="144">
        <f t="shared" si="3"/>
        <v>60294781</v>
      </c>
      <c r="Y41" s="144">
        <f t="shared" si="3"/>
        <v>62813512</v>
      </c>
      <c r="Z41" s="144">
        <f t="shared" si="3"/>
        <v>67210217</v>
      </c>
      <c r="AA41" s="144">
        <f t="shared" si="3"/>
        <v>70126251</v>
      </c>
      <c r="AB41" s="144">
        <f t="shared" si="3"/>
        <v>73141254</v>
      </c>
      <c r="AC41" s="144">
        <f t="shared" si="3"/>
        <v>73093105</v>
      </c>
      <c r="AD41" s="144">
        <f t="shared" si="3"/>
        <v>74678461</v>
      </c>
      <c r="AE41" s="144">
        <f t="shared" si="3"/>
        <v>85191436</v>
      </c>
      <c r="AF41" s="144">
        <f t="shared" si="3"/>
        <v>77997866</v>
      </c>
      <c r="AG41" s="144">
        <f t="shared" si="3"/>
        <v>78966562</v>
      </c>
      <c r="AH41" s="4">
        <f>(AG41/V41)^(1/COUNT(V41:AG41))-1</f>
        <v>2.7637658361554074E-2</v>
      </c>
    </row>
    <row r="42" spans="1:52">
      <c r="A42" s="4" t="s">
        <v>819</v>
      </c>
      <c r="C42" s="179"/>
      <c r="D42" s="179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32903</v>
      </c>
      <c r="U42" s="4" t="s">
        <v>777</v>
      </c>
      <c r="V42" s="144">
        <f t="shared" ref="V42:AG42" si="5">SUM(V22:V23,V26:V27,V30:V31,V35)</f>
        <v>43832298</v>
      </c>
      <c r="W42" s="144">
        <f t="shared" si="5"/>
        <v>43417239</v>
      </c>
      <c r="X42" s="144">
        <f t="shared" si="5"/>
        <v>43559611</v>
      </c>
      <c r="Y42" s="144">
        <f t="shared" si="5"/>
        <v>44592590</v>
      </c>
      <c r="Z42" s="144">
        <f t="shared" si="5"/>
        <v>44778862</v>
      </c>
      <c r="AA42" s="144">
        <f t="shared" si="5"/>
        <v>45074689</v>
      </c>
      <c r="AB42" s="144">
        <f t="shared" si="5"/>
        <v>44270696</v>
      </c>
      <c r="AC42" s="144">
        <f t="shared" si="5"/>
        <v>42047153</v>
      </c>
      <c r="AD42" s="144">
        <f t="shared" si="5"/>
        <v>41821569</v>
      </c>
      <c r="AE42" s="144">
        <f t="shared" si="5"/>
        <v>42388939</v>
      </c>
      <c r="AF42" s="144">
        <f t="shared" si="5"/>
        <v>42880883</v>
      </c>
      <c r="AG42" s="144">
        <f t="shared" si="5"/>
        <v>40521374</v>
      </c>
      <c r="AH42" s="4">
        <f>(AG42/V42)^(1/COUNT(V42:AG42))-1</f>
        <v>-6.5237403119994264E-3</v>
      </c>
    </row>
    <row r="43" spans="1:52">
      <c r="A43" s="4" t="s">
        <v>820</v>
      </c>
      <c r="C43" s="179"/>
      <c r="D43" s="179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13477</v>
      </c>
      <c r="U43" s="4" t="s">
        <v>778</v>
      </c>
      <c r="V43" s="144">
        <f t="shared" ref="V43:AG43" si="6">SUM(V24,V28,V32,V34,V36)</f>
        <v>18546407</v>
      </c>
      <c r="W43" s="144">
        <f t="shared" si="6"/>
        <v>19281652</v>
      </c>
      <c r="X43" s="144">
        <f t="shared" si="6"/>
        <v>20194046</v>
      </c>
      <c r="Y43" s="144">
        <f t="shared" si="6"/>
        <v>21190464</v>
      </c>
      <c r="Z43" s="144">
        <f t="shared" si="6"/>
        <v>22576363</v>
      </c>
      <c r="AA43" s="144">
        <f t="shared" si="6"/>
        <v>24203197</v>
      </c>
      <c r="AB43" s="144">
        <f t="shared" si="6"/>
        <v>24302694</v>
      </c>
      <c r="AC43" s="144">
        <f t="shared" si="6"/>
        <v>26906944</v>
      </c>
      <c r="AD43" s="144">
        <f t="shared" si="6"/>
        <v>27156380</v>
      </c>
      <c r="AE43" s="144">
        <f t="shared" si="6"/>
        <v>26891040</v>
      </c>
      <c r="AF43" s="144">
        <f t="shared" si="6"/>
        <v>29567865</v>
      </c>
      <c r="AG43" s="144">
        <f t="shared" si="6"/>
        <v>27984334</v>
      </c>
      <c r="AH43" s="4">
        <f>(AG43/V43)^(1/COUNT(V43:AG43))-1</f>
        <v>3.4875087818156292E-2</v>
      </c>
    </row>
    <row r="44" spans="1:52">
      <c r="A44" s="4" t="s">
        <v>821</v>
      </c>
      <c r="C44" s="179"/>
      <c r="D44" s="179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332770</v>
      </c>
    </row>
    <row r="45" spans="1:52">
      <c r="A45" s="4" t="s">
        <v>822</v>
      </c>
      <c r="C45" s="179"/>
      <c r="D45" s="179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5032</v>
      </c>
    </row>
    <row r="46" spans="1:52">
      <c r="A46" s="4" t="s">
        <v>823</v>
      </c>
      <c r="C46" s="179"/>
      <c r="D46" s="179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10226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779</v>
      </c>
      <c r="U47" s="150">
        <f>AC40</f>
        <v>172582372</v>
      </c>
      <c r="V47" s="153">
        <f t="shared" ref="V47:Y47" si="9">AD40</f>
        <v>170925674</v>
      </c>
      <c r="W47" s="153">
        <f t="shared" si="9"/>
        <v>181575888</v>
      </c>
      <c r="X47" s="153">
        <f t="shared" si="9"/>
        <v>165534343</v>
      </c>
      <c r="Y47" s="150">
        <f t="shared" si="9"/>
        <v>166766243</v>
      </c>
      <c r="Z47" s="4">
        <f>Y47*(1+$AH40)</f>
        <v>168564552.69002026</v>
      </c>
      <c r="AA47" s="4">
        <f t="shared" ref="AA47:AZ50" si="10">Z47*(1+$AH40)</f>
        <v>170382254.30062973</v>
      </c>
      <c r="AB47" s="4">
        <f t="shared" si="10"/>
        <v>172219556.94296557</v>
      </c>
      <c r="AC47" s="4">
        <f t="shared" si="10"/>
        <v>174076671.98309711</v>
      </c>
      <c r="AD47" s="4">
        <f t="shared" si="10"/>
        <v>175953813.06634188</v>
      </c>
      <c r="AE47" s="4">
        <f t="shared" si="10"/>
        <v>177851196.14184365</v>
      </c>
      <c r="AF47" s="4">
        <f t="shared" si="10"/>
        <v>179769039.48741549</v>
      </c>
      <c r="AG47" s="4">
        <f t="shared" si="10"/>
        <v>181707563.73465091</v>
      </c>
      <c r="AH47" s="4">
        <f t="shared" si="10"/>
        <v>183666991.89430547</v>
      </c>
      <c r="AI47" s="4">
        <f t="shared" si="10"/>
        <v>185647549.3819524</v>
      </c>
      <c r="AJ47" s="4">
        <f t="shared" si="10"/>
        <v>187649464.04391477</v>
      </c>
      <c r="AK47" s="4">
        <f t="shared" si="10"/>
        <v>189672966.18347713</v>
      </c>
      <c r="AL47" s="4">
        <f t="shared" si="10"/>
        <v>191718288.58738011</v>
      </c>
      <c r="AM47" s="4">
        <f t="shared" si="10"/>
        <v>193785666.55260047</v>
      </c>
      <c r="AN47" s="4">
        <f t="shared" si="10"/>
        <v>195875337.91342002</v>
      </c>
      <c r="AO47" s="4">
        <f t="shared" si="10"/>
        <v>197987543.06878647</v>
      </c>
      <c r="AP47" s="4">
        <f t="shared" si="10"/>
        <v>200122525.00996926</v>
      </c>
      <c r="AQ47" s="4">
        <f t="shared" si="10"/>
        <v>202280529.34851366</v>
      </c>
      <c r="AR47" s="4">
        <f t="shared" si="10"/>
        <v>204461804.34449625</v>
      </c>
      <c r="AS47" s="4">
        <f t="shared" si="10"/>
        <v>206666600.93508524</v>
      </c>
      <c r="AT47" s="4">
        <f t="shared" si="10"/>
        <v>208895172.76340851</v>
      </c>
      <c r="AU47" s="4">
        <f t="shared" si="10"/>
        <v>211147776.20773321</v>
      </c>
      <c r="AV47" s="4">
        <f t="shared" si="10"/>
        <v>213424670.4109599</v>
      </c>
      <c r="AW47" s="4">
        <f t="shared" si="10"/>
        <v>215726117.31043467</v>
      </c>
      <c r="AX47" s="4">
        <f t="shared" si="10"/>
        <v>218052381.66808289</v>
      </c>
      <c r="AY47" s="4">
        <f t="shared" si="10"/>
        <v>220403731.10086772</v>
      </c>
      <c r="AZ47" s="4">
        <f t="shared" si="10"/>
        <v>222780436.11157727</v>
      </c>
    </row>
    <row r="48" spans="1:52">
      <c r="A48" s="4" t="s">
        <v>824</v>
      </c>
      <c r="C48" s="179" t="s">
        <v>248</v>
      </c>
      <c r="D48" s="179"/>
      <c r="E48" s="50">
        <f t="shared" ref="E48:N48" si="11">E25</f>
        <v>130.9</v>
      </c>
      <c r="F48" s="50">
        <f t="shared" si="11"/>
        <v>131</v>
      </c>
      <c r="G48" s="50">
        <f t="shared" si="11"/>
        <v>133</v>
      </c>
      <c r="H48" s="50">
        <f t="shared" si="11"/>
        <v>134.4</v>
      </c>
      <c r="I48" s="50">
        <f t="shared" si="11"/>
        <v>134.5</v>
      </c>
      <c r="J48" s="50">
        <f t="shared" si="11"/>
        <v>137.9</v>
      </c>
      <c r="K48" s="50">
        <f t="shared" si="11"/>
        <v>135.69999999999999</v>
      </c>
      <c r="L48" s="50">
        <f t="shared" si="11"/>
        <v>134.80000000000001</v>
      </c>
      <c r="M48" s="50">
        <f t="shared" si="11"/>
        <v>133.1</v>
      </c>
      <c r="N48" s="22">
        <f t="shared" si="11"/>
        <v>159926</v>
      </c>
      <c r="T48" s="4" t="s">
        <v>780</v>
      </c>
      <c r="U48" s="150">
        <f t="shared" ref="U48:U50" si="12">AC41</f>
        <v>73093105</v>
      </c>
      <c r="V48" s="153">
        <f t="shared" ref="V48:V50" si="13">AD41</f>
        <v>74678461</v>
      </c>
      <c r="W48" s="153">
        <f t="shared" ref="W48:W50" si="14">AE41</f>
        <v>85191436</v>
      </c>
      <c r="X48" s="153">
        <f t="shared" ref="X48:X50" si="15">AF41</f>
        <v>77997866</v>
      </c>
      <c r="Y48" s="150">
        <f t="shared" ref="Y48:Y50" si="16">AG41</f>
        <v>78966562</v>
      </c>
      <c r="Z48" s="4">
        <f>Y48*(1+$AH41)</f>
        <v>81149012.86254248</v>
      </c>
      <c r="AA48" s="4">
        <f t="shared" ref="AA48:AO48" si="17">Z48*(1+$AH41)</f>
        <v>83391781.556414783</v>
      </c>
      <c r="AB48" s="4">
        <f t="shared" si="17"/>
        <v>85696535.125232324</v>
      </c>
      <c r="AC48" s="4">
        <f t="shared" si="17"/>
        <v>88064986.685792416</v>
      </c>
      <c r="AD48" s="4">
        <f t="shared" si="17"/>
        <v>90498896.701429158</v>
      </c>
      <c r="AE48" s="4">
        <f t="shared" si="17"/>
        <v>93000074.290560827</v>
      </c>
      <c r="AF48" s="4">
        <f t="shared" si="17"/>
        <v>95570378.57140249</v>
      </c>
      <c r="AG48" s="4">
        <f t="shared" si="17"/>
        <v>98211720.043843299</v>
      </c>
      <c r="AH48" s="4">
        <f t="shared" si="17"/>
        <v>100926062.00951563</v>
      </c>
      <c r="AI48" s="4">
        <f t="shared" si="17"/>
        <v>103715422.03111164</v>
      </c>
      <c r="AJ48" s="4">
        <f t="shared" si="17"/>
        <v>106581873.4320319</v>
      </c>
      <c r="AK48" s="4">
        <f t="shared" si="17"/>
        <v>109527546.8374808</v>
      </c>
      <c r="AL48" s="4">
        <f t="shared" si="17"/>
        <v>112554631.7581542</v>
      </c>
      <c r="AM48" s="4">
        <f t="shared" si="17"/>
        <v>115665378.21769659</v>
      </c>
      <c r="AN48" s="4">
        <f t="shared" si="17"/>
        <v>118862098.42513722</v>
      </c>
      <c r="AO48" s="4">
        <f t="shared" si="17"/>
        <v>122147168.49354857</v>
      </c>
      <c r="AP48" s="4">
        <f t="shared" si="10"/>
        <v>125523030.20620444</v>
      </c>
      <c r="AQ48" s="4">
        <f t="shared" si="10"/>
        <v>128992192.83155055</v>
      </c>
      <c r="AR48" s="4">
        <f t="shared" si="10"/>
        <v>132557234.98833665</v>
      </c>
      <c r="AS48" s="4">
        <f t="shared" si="10"/>
        <v>136220806.56229654</v>
      </c>
      <c r="AT48" s="4">
        <f t="shared" si="10"/>
        <v>139985630.67580062</v>
      </c>
      <c r="AU48" s="4">
        <f t="shared" si="10"/>
        <v>143854505.71194509</v>
      </c>
      <c r="AV48" s="4">
        <f t="shared" si="10"/>
        <v>147830307.39458206</v>
      </c>
      <c r="AW48" s="4">
        <f t="shared" si="10"/>
        <v>151915990.92583704</v>
      </c>
      <c r="AX48" s="4">
        <f t="shared" si="10"/>
        <v>156114593.18270227</v>
      </c>
      <c r="AY48" s="4">
        <f t="shared" si="10"/>
        <v>160429234.9743388</v>
      </c>
      <c r="AZ48" s="4">
        <f t="shared" si="10"/>
        <v>164863123.36176506</v>
      </c>
    </row>
    <row r="49" spans="1:52">
      <c r="A49" s="4" t="s">
        <v>825</v>
      </c>
      <c r="C49" s="179"/>
      <c r="D49" s="179"/>
      <c r="E49" s="50">
        <f t="shared" ref="E49:N49" si="18">E29</f>
        <v>21.5</v>
      </c>
      <c r="F49" s="50">
        <f t="shared" si="18"/>
        <v>19.8</v>
      </c>
      <c r="G49" s="50">
        <f t="shared" si="18"/>
        <v>19.100000000000001</v>
      </c>
      <c r="H49" s="50">
        <f t="shared" si="18"/>
        <v>19.3</v>
      </c>
      <c r="I49" s="50">
        <f t="shared" si="18"/>
        <v>20.2</v>
      </c>
      <c r="J49" s="50">
        <f t="shared" si="18"/>
        <v>20.9</v>
      </c>
      <c r="K49" s="50">
        <f t="shared" si="18"/>
        <v>19.7</v>
      </c>
      <c r="L49" s="50">
        <f t="shared" si="18"/>
        <v>19.3</v>
      </c>
      <c r="M49" s="50">
        <f t="shared" si="18"/>
        <v>19.7</v>
      </c>
      <c r="N49" s="22">
        <f t="shared" si="18"/>
        <v>7048</v>
      </c>
      <c r="T49" s="4" t="s">
        <v>777</v>
      </c>
      <c r="U49" s="150">
        <f t="shared" si="12"/>
        <v>42047153</v>
      </c>
      <c r="V49" s="155">
        <f t="shared" si="13"/>
        <v>41821569</v>
      </c>
      <c r="W49" s="155">
        <f t="shared" si="14"/>
        <v>42388939</v>
      </c>
      <c r="X49" s="155">
        <f t="shared" si="15"/>
        <v>42880883</v>
      </c>
      <c r="Y49" s="150">
        <f t="shared" si="16"/>
        <v>40521374</v>
      </c>
      <c r="Z49" s="4">
        <f>Y49*(1+$AH42)</f>
        <v>40257023.078938596</v>
      </c>
      <c r="AA49" s="4">
        <f t="shared" si="10"/>
        <v>39994396.714637436</v>
      </c>
      <c r="AB49" s="4">
        <f t="shared" si="10"/>
        <v>39733483.656536058</v>
      </c>
      <c r="AC49" s="4">
        <f t="shared" si="10"/>
        <v>39474272.727469742</v>
      </c>
      <c r="AD49" s="4">
        <f t="shared" si="10"/>
        <v>39216752.823190689</v>
      </c>
      <c r="AE49" s="4">
        <f t="shared" si="10"/>
        <v>38960912.911892325</v>
      </c>
      <c r="AF49" s="4">
        <f t="shared" si="10"/>
        <v>38706742.033736713</v>
      </c>
      <c r="AG49" s="4">
        <f t="shared" si="10"/>
        <v>38454229.300385065</v>
      </c>
      <c r="AH49" s="4">
        <f t="shared" si="10"/>
        <v>38203363.894531272</v>
      </c>
      <c r="AI49" s="4">
        <f t="shared" si="10"/>
        <v>37954135.069438532</v>
      </c>
      <c r="AJ49" s="4">
        <f t="shared" si="10"/>
        <v>37706532.148478962</v>
      </c>
      <c r="AK49" s="4">
        <f t="shared" si="10"/>
        <v>37460544.524676226</v>
      </c>
      <c r="AL49" s="4">
        <f t="shared" si="10"/>
        <v>37216161.660251148</v>
      </c>
      <c r="AM49" s="4">
        <f t="shared" si="10"/>
        <v>36973373.086170278</v>
      </c>
      <c r="AN49" s="4">
        <f t="shared" si="10"/>
        <v>36732168.401697434</v>
      </c>
      <c r="AO49" s="4">
        <f t="shared" si="10"/>
        <v>36492537.273948133</v>
      </c>
      <c r="AP49" s="4">
        <f t="shared" si="10"/>
        <v>36254469.437446937</v>
      </c>
      <c r="AQ49" s="4">
        <f t="shared" si="10"/>
        <v>36017954.693687715</v>
      </c>
      <c r="AR49" s="4">
        <f t="shared" si="10"/>
        <v>35782982.910696737</v>
      </c>
      <c r="AS49" s="4">
        <f t="shared" si="10"/>
        <v>35549544.022598639</v>
      </c>
      <c r="AT49" s="4">
        <f t="shared" si="10"/>
        <v>35317628.029185213</v>
      </c>
      <c r="AU49" s="4">
        <f t="shared" si="10"/>
        <v>35087224.995487019</v>
      </c>
      <c r="AV49" s="4">
        <f t="shared" si="10"/>
        <v>34858325.05134777</v>
      </c>
      <c r="AW49" s="4">
        <f t="shared" si="10"/>
        <v>34630918.391001515</v>
      </c>
      <c r="AX49" s="4">
        <f t="shared" si="10"/>
        <v>34404995.272652574</v>
      </c>
      <c r="AY49" s="4">
        <f t="shared" si="10"/>
        <v>34180546.018058218</v>
      </c>
      <c r="AZ49" s="4">
        <f t="shared" si="10"/>
        <v>33957561.012114063</v>
      </c>
    </row>
    <row r="50" spans="1:52">
      <c r="A50" s="4" t="s">
        <v>826</v>
      </c>
      <c r="C50" s="179"/>
      <c r="D50" s="179"/>
      <c r="E50" s="50">
        <f t="shared" ref="E50:N50" si="19">E33</f>
        <v>56.7</v>
      </c>
      <c r="F50" s="50">
        <f t="shared" si="19"/>
        <v>57.4</v>
      </c>
      <c r="G50" s="50">
        <f t="shared" si="19"/>
        <v>56.4</v>
      </c>
      <c r="H50" s="50">
        <f t="shared" si="19"/>
        <v>56.1</v>
      </c>
      <c r="I50" s="50">
        <f t="shared" si="19"/>
        <v>57.4</v>
      </c>
      <c r="J50" s="50">
        <f t="shared" si="19"/>
        <v>58.4</v>
      </c>
      <c r="K50" s="50">
        <f t="shared" si="19"/>
        <v>55.2</v>
      </c>
      <c r="L50" s="50">
        <f t="shared" si="19"/>
        <v>65.099999999999994</v>
      </c>
      <c r="M50" s="50">
        <f t="shared" si="19"/>
        <v>64.599999999999994</v>
      </c>
      <c r="N50" s="22">
        <f t="shared" si="19"/>
        <v>681021</v>
      </c>
      <c r="T50" s="4" t="s">
        <v>778</v>
      </c>
      <c r="U50" s="150">
        <f t="shared" si="12"/>
        <v>26906944</v>
      </c>
      <c r="V50" s="155">
        <f t="shared" si="13"/>
        <v>27156380</v>
      </c>
      <c r="W50" s="155">
        <f t="shared" si="14"/>
        <v>26891040</v>
      </c>
      <c r="X50" s="155">
        <f t="shared" si="15"/>
        <v>29567865</v>
      </c>
      <c r="Y50" s="150">
        <f t="shared" si="16"/>
        <v>27984334</v>
      </c>
      <c r="Z50" s="4">
        <f>Y50*(1+$AH43)</f>
        <v>28960290.105782617</v>
      </c>
      <c r="AA50" s="4">
        <f t="shared" si="10"/>
        <v>29970282.766461067</v>
      </c>
      <c r="AB50" s="4">
        <f t="shared" si="10"/>
        <v>31015499.009876374</v>
      </c>
      <c r="AC50" s="4">
        <f t="shared" si="10"/>
        <v>32097167.261569753</v>
      </c>
      <c r="AD50" s="4">
        <f t="shared" si="10"/>
        <v>33216558.78853105</v>
      </c>
      <c r="AE50" s="4">
        <f t="shared" si="10"/>
        <v>34374989.193298019</v>
      </c>
      <c r="AF50" s="4">
        <f t="shared" si="10"/>
        <v>35573819.960162461</v>
      </c>
      <c r="AG50" s="4">
        <f t="shared" si="10"/>
        <v>36814460.055300407</v>
      </c>
      <c r="AH50" s="4">
        <f t="shared" si="10"/>
        <v>38098367.582707018</v>
      </c>
      <c r="AI50" s="4">
        <f t="shared" si="10"/>
        <v>39427051.497882321</v>
      </c>
      <c r="AJ50" s="4">
        <f t="shared" si="10"/>
        <v>40802073.381281935</v>
      </c>
      <c r="AK50" s="4">
        <f t="shared" si="10"/>
        <v>42225049.273616999</v>
      </c>
      <c r="AL50" s="4">
        <f t="shared" si="10"/>
        <v>43697651.575160369</v>
      </c>
      <c r="AM50" s="4">
        <f t="shared" si="10"/>
        <v>45221611.01129128</v>
      </c>
      <c r="AN50" s="4">
        <f t="shared" si="10"/>
        <v>46798718.666588567</v>
      </c>
      <c r="AO50" s="4">
        <f t="shared" si="10"/>
        <v>48430828.089863032</v>
      </c>
      <c r="AP50" s="4">
        <f t="shared" si="10"/>
        <v>50119857.472603038</v>
      </c>
      <c r="AQ50" s="4">
        <f t="shared" si="10"/>
        <v>51867791.903393544</v>
      </c>
      <c r="AR50" s="4">
        <f t="shared" si="10"/>
        <v>53676685.700958252</v>
      </c>
      <c r="AS50" s="4">
        <f t="shared" si="10"/>
        <v>55548664.828566745</v>
      </c>
      <c r="AT50" s="4">
        <f t="shared" si="10"/>
        <v>57485929.392644338</v>
      </c>
      <c r="AU50" s="4">
        <f t="shared" si="10"/>
        <v>59490756.228521138</v>
      </c>
      <c r="AV50" s="4">
        <f t="shared" si="10"/>
        <v>61565501.576359339</v>
      </c>
      <c r="AW50" s="4">
        <f t="shared" si="10"/>
        <v>63712603.850403711</v>
      </c>
      <c r="AX50" s="4">
        <f t="shared" si="10"/>
        <v>65934586.504809946</v>
      </c>
      <c r="AY50" s="4">
        <f t="shared" si="10"/>
        <v>68234060.999419019</v>
      </c>
      <c r="AZ50" s="4">
        <f t="shared" si="10"/>
        <v>70613729.868963197</v>
      </c>
    </row>
    <row r="51" spans="1:52">
      <c r="A51" s="4" t="s">
        <v>827</v>
      </c>
      <c r="C51" s="179"/>
      <c r="D51" s="179"/>
      <c r="E51" s="50">
        <f t="shared" ref="E51:N51" si="20">E35</f>
        <v>215.1</v>
      </c>
      <c r="F51" s="50">
        <f t="shared" si="20"/>
        <v>210.9</v>
      </c>
      <c r="G51" s="50">
        <f t="shared" si="20"/>
        <v>212.3</v>
      </c>
      <c r="H51" s="50">
        <f t="shared" si="20"/>
        <v>216.7</v>
      </c>
      <c r="I51" s="50">
        <f t="shared" si="20"/>
        <v>221.7</v>
      </c>
      <c r="J51" s="50">
        <f t="shared" si="20"/>
        <v>228.4</v>
      </c>
      <c r="K51" s="50">
        <f t="shared" si="20"/>
        <v>224.2</v>
      </c>
      <c r="L51" s="50">
        <f t="shared" si="20"/>
        <v>225.3</v>
      </c>
      <c r="M51" s="50">
        <f t="shared" si="20"/>
        <v>220.7</v>
      </c>
      <c r="N51" s="22">
        <f t="shared" si="20"/>
        <v>40407</v>
      </c>
    </row>
    <row r="52" spans="1:52">
      <c r="A52" s="4" t="s">
        <v>828</v>
      </c>
      <c r="C52" s="179"/>
      <c r="D52" s="179"/>
      <c r="E52" s="50">
        <f t="shared" ref="E52:N52" si="21">E37</f>
        <v>28.7</v>
      </c>
      <c r="F52" s="50">
        <f t="shared" si="21"/>
        <v>29</v>
      </c>
      <c r="G52" s="50">
        <f t="shared" si="21"/>
        <v>30.2</v>
      </c>
      <c r="H52" s="50">
        <f t="shared" si="21"/>
        <v>30.4</v>
      </c>
      <c r="I52" s="50">
        <f t="shared" si="21"/>
        <v>32</v>
      </c>
      <c r="J52" s="50">
        <f t="shared" si="21"/>
        <v>31.6</v>
      </c>
      <c r="K52" s="50">
        <f t="shared" si="21"/>
        <v>31.1</v>
      </c>
      <c r="L52" s="50">
        <f t="shared" si="21"/>
        <v>30.3</v>
      </c>
      <c r="M52" s="50">
        <f t="shared" si="21"/>
        <v>28.7</v>
      </c>
      <c r="N52" s="22">
        <f t="shared" si="21"/>
        <v>93257</v>
      </c>
    </row>
    <row r="54" spans="1:52">
      <c r="V54" s="4" t="s">
        <v>781</v>
      </c>
      <c r="W54" s="4">
        <v>2021</v>
      </c>
    </row>
    <row r="55" spans="1:52">
      <c r="V55" s="4" t="s">
        <v>782</v>
      </c>
      <c r="W55" s="146">
        <v>4076090000</v>
      </c>
      <c r="Y55" s="4">
        <f>W47/V47</f>
        <v>1.0623090361486596</v>
      </c>
    </row>
    <row r="56" spans="1:52">
      <c r="V56" s="4" t="s">
        <v>783</v>
      </c>
      <c r="W56" s="146">
        <v>195263000</v>
      </c>
      <c r="Y56" s="4">
        <f>W48/V48</f>
        <v>1.1407765352850536</v>
      </c>
    </row>
    <row r="57" spans="1:52">
      <c r="V57" s="4" t="s">
        <v>784</v>
      </c>
      <c r="W57" s="146">
        <v>93549000000</v>
      </c>
    </row>
    <row r="58" spans="1:52">
      <c r="E58" s="50"/>
      <c r="V58" s="4" t="s">
        <v>785</v>
      </c>
      <c r="W58" s="146">
        <v>43617500000</v>
      </c>
    </row>
    <row r="59" spans="1:52" ht="15" thickBot="1">
      <c r="D59" s="4" t="s">
        <v>246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249</v>
      </c>
      <c r="V59" s="4" t="s">
        <v>786</v>
      </c>
      <c r="W59" s="146">
        <v>15287300000</v>
      </c>
    </row>
    <row r="60" spans="1:52">
      <c r="A60" s="179" t="s">
        <v>250</v>
      </c>
      <c r="B60" s="54" t="s">
        <v>829</v>
      </c>
      <c r="C60" s="55" t="s">
        <v>830</v>
      </c>
      <c r="D60" s="55"/>
      <c r="E60" s="55">
        <f t="shared" ref="E60:M60" si="22">SUMPRODUCT(E7:E9,$N$7:$N$9)/SUM($N$7:$N$9)</f>
        <v>34.33402267508329</v>
      </c>
      <c r="F60" s="55">
        <f t="shared" si="22"/>
        <v>32.832119598444798</v>
      </c>
      <c r="G60" s="55">
        <f t="shared" si="22"/>
        <v>33.359701212749172</v>
      </c>
      <c r="H60" s="55">
        <f t="shared" si="22"/>
        <v>33.131869647480627</v>
      </c>
      <c r="I60" s="55">
        <f t="shared" si="22"/>
        <v>32.64908087134804</v>
      </c>
      <c r="J60" s="55">
        <f t="shared" si="22"/>
        <v>32.206191109814746</v>
      </c>
      <c r="K60" s="55">
        <f t="shared" si="22"/>
        <v>32.016403748044382</v>
      </c>
      <c r="L60" s="55">
        <f t="shared" si="22"/>
        <v>31.675754880552621</v>
      </c>
      <c r="M60" s="55">
        <f t="shared" si="22"/>
        <v>30.543871543360869</v>
      </c>
      <c r="N60" s="56">
        <f>O7</f>
        <v>9671497</v>
      </c>
      <c r="V60" s="4" t="s">
        <v>787</v>
      </c>
      <c r="W60" s="146">
        <v>12322500000</v>
      </c>
    </row>
    <row r="61" spans="1:52">
      <c r="A61" s="179"/>
      <c r="B61" s="57" t="s">
        <v>829</v>
      </c>
      <c r="C61" s="4" t="s">
        <v>831</v>
      </c>
      <c r="E61" s="50">
        <f t="shared" ref="E61:M61" si="23">E12</f>
        <v>42.4</v>
      </c>
      <c r="F61" s="50">
        <f t="shared" si="23"/>
        <v>40.4</v>
      </c>
      <c r="G61" s="50">
        <f t="shared" si="23"/>
        <v>40.700000000000003</v>
      </c>
      <c r="H61" s="50">
        <f t="shared" si="23"/>
        <v>39.6</v>
      </c>
      <c r="I61" s="50">
        <f t="shared" si="23"/>
        <v>40.6</v>
      </c>
      <c r="J61" s="50">
        <f t="shared" si="23"/>
        <v>40.200000000000003</v>
      </c>
      <c r="K61" s="50">
        <f t="shared" si="23"/>
        <v>40.299999999999997</v>
      </c>
      <c r="L61" s="50">
        <f t="shared" si="23"/>
        <v>39.200000000000003</v>
      </c>
      <c r="M61" s="50">
        <f t="shared" si="23"/>
        <v>39.799999999999997</v>
      </c>
      <c r="N61" s="58">
        <f>O12</f>
        <v>4434476</v>
      </c>
      <c r="V61" s="4" t="s">
        <v>788</v>
      </c>
      <c r="W61" s="146">
        <v>283605000</v>
      </c>
    </row>
    <row r="62" spans="1:52" ht="15" thickBot="1">
      <c r="A62" s="179"/>
      <c r="B62" s="59" t="s">
        <v>254</v>
      </c>
      <c r="C62" s="60" t="s">
        <v>832</v>
      </c>
      <c r="D62" s="60"/>
      <c r="E62" s="60">
        <f t="shared" ref="E62:M62" si="24">SUMPRODUCT(E17:E18,$N$17:$N$18)/SUM($N$17:$N$18)</f>
        <v>40.586472459135713</v>
      </c>
      <c r="F62" s="60">
        <f t="shared" si="24"/>
        <v>35.64097821099103</v>
      </c>
      <c r="G62" s="60">
        <f t="shared" si="24"/>
        <v>39.662289349177968</v>
      </c>
      <c r="H62" s="60">
        <f t="shared" si="24"/>
        <v>36.426222763738785</v>
      </c>
      <c r="I62" s="60">
        <f t="shared" si="24"/>
        <v>38.656961564631231</v>
      </c>
      <c r="J62" s="60">
        <f t="shared" si="24"/>
        <v>36.168845040112664</v>
      </c>
      <c r="K62" s="60">
        <f t="shared" si="24"/>
        <v>36.799583841005109</v>
      </c>
      <c r="L62" s="60">
        <f t="shared" si="24"/>
        <v>34.500811747393072</v>
      </c>
      <c r="M62" s="60">
        <f t="shared" si="24"/>
        <v>35.277044796430211</v>
      </c>
      <c r="N62" s="61">
        <f>O17</f>
        <v>505576</v>
      </c>
    </row>
    <row r="63" spans="1:52">
      <c r="A63" s="179" t="s">
        <v>256</v>
      </c>
      <c r="B63" s="54" t="s">
        <v>829</v>
      </c>
      <c r="C63" s="55" t="s">
        <v>833</v>
      </c>
      <c r="D63" s="55"/>
      <c r="E63" s="62">
        <f t="shared" ref="E63:M63" si="25">E10</f>
        <v>42.7</v>
      </c>
      <c r="F63" s="62">
        <f t="shared" si="25"/>
        <v>40.299999999999997</v>
      </c>
      <c r="G63" s="62">
        <f t="shared" si="25"/>
        <v>40.6</v>
      </c>
      <c r="H63" s="62">
        <f t="shared" si="25"/>
        <v>39.5</v>
      </c>
      <c r="I63" s="62">
        <f t="shared" si="25"/>
        <v>39.700000000000003</v>
      </c>
      <c r="J63" s="62">
        <f t="shared" si="25"/>
        <v>38.9</v>
      </c>
      <c r="K63" s="62">
        <f t="shared" si="25"/>
        <v>38.700000000000003</v>
      </c>
      <c r="L63" s="62">
        <f t="shared" si="25"/>
        <v>36.6</v>
      </c>
      <c r="M63" s="62">
        <f t="shared" si="25"/>
        <v>36.200000000000003</v>
      </c>
      <c r="N63" s="56">
        <f>O10</f>
        <v>3915864</v>
      </c>
    </row>
    <row r="64" spans="1:52">
      <c r="A64" s="179"/>
      <c r="B64" s="57" t="s">
        <v>829</v>
      </c>
      <c r="C64" s="4" t="s">
        <v>834</v>
      </c>
      <c r="E64" s="50">
        <f t="shared" ref="E64:M65" si="26">E13</f>
        <v>42.7</v>
      </c>
      <c r="F64" s="50">
        <f t="shared" si="26"/>
        <v>41.6</v>
      </c>
      <c r="G64" s="50">
        <f t="shared" si="26"/>
        <v>40.799999999999997</v>
      </c>
      <c r="H64" s="50">
        <f t="shared" si="26"/>
        <v>40.4</v>
      </c>
      <c r="I64" s="50">
        <f t="shared" si="26"/>
        <v>39.9</v>
      </c>
      <c r="J64" s="50">
        <f t="shared" si="26"/>
        <v>39.700000000000003</v>
      </c>
      <c r="K64" s="50">
        <f t="shared" si="26"/>
        <v>39</v>
      </c>
      <c r="L64" s="50">
        <f t="shared" si="26"/>
        <v>38.9</v>
      </c>
      <c r="M64" s="50">
        <f t="shared" si="26"/>
        <v>38.1</v>
      </c>
      <c r="N64" s="58">
        <f>N13</f>
        <v>2070333</v>
      </c>
    </row>
    <row r="65" spans="1:15">
      <c r="A65" s="179"/>
      <c r="B65" s="57" t="s">
        <v>829</v>
      </c>
      <c r="C65" s="4" t="s">
        <v>835</v>
      </c>
      <c r="E65" s="50">
        <f t="shared" si="26"/>
        <v>39.799999999999997</v>
      </c>
      <c r="F65" s="50">
        <f t="shared" si="26"/>
        <v>38.1</v>
      </c>
      <c r="G65" s="50">
        <f t="shared" si="26"/>
        <v>36.9</v>
      </c>
      <c r="H65" s="50">
        <f t="shared" si="26"/>
        <v>36.299999999999997</v>
      </c>
      <c r="I65" s="50">
        <f t="shared" si="26"/>
        <v>36.6</v>
      </c>
      <c r="J65" s="50">
        <f t="shared" si="26"/>
        <v>36.6</v>
      </c>
      <c r="K65" s="50">
        <f t="shared" si="26"/>
        <v>37.200000000000003</v>
      </c>
      <c r="L65" s="50">
        <f t="shared" si="26"/>
        <v>37.700000000000003</v>
      </c>
      <c r="M65" s="50">
        <f t="shared" si="26"/>
        <v>38.6</v>
      </c>
      <c r="N65" s="58">
        <f>N14</f>
        <v>1676858</v>
      </c>
    </row>
    <row r="66" spans="1:15">
      <c r="A66" s="179"/>
      <c r="B66" s="57" t="s">
        <v>254</v>
      </c>
      <c r="C66" s="4" t="s">
        <v>833</v>
      </c>
      <c r="E66" s="50">
        <f>E19</f>
        <v>201</v>
      </c>
      <c r="F66" s="50">
        <f t="shared" ref="F66:M67" si="27">F19</f>
        <v>194.8</v>
      </c>
      <c r="G66" s="50">
        <f t="shared" si="27"/>
        <v>193.1</v>
      </c>
      <c r="H66" s="50">
        <f t="shared" si="27"/>
        <v>191.1</v>
      </c>
      <c r="I66" s="50">
        <f t="shared" si="27"/>
        <v>193.1</v>
      </c>
      <c r="J66" s="50">
        <f t="shared" si="27"/>
        <v>195</v>
      </c>
      <c r="K66" s="50">
        <f t="shared" si="27"/>
        <v>193.3</v>
      </c>
      <c r="L66" s="50">
        <f t="shared" si="27"/>
        <v>191.4</v>
      </c>
      <c r="M66" s="50">
        <f t="shared" si="27"/>
        <v>173.9</v>
      </c>
      <c r="N66" s="58">
        <f>N19</f>
        <v>122259</v>
      </c>
    </row>
    <row r="67" spans="1:15" ht="15" thickBot="1">
      <c r="A67" s="179"/>
      <c r="B67" s="59" t="s">
        <v>254</v>
      </c>
      <c r="C67" s="60" t="s">
        <v>836</v>
      </c>
      <c r="D67" s="60"/>
      <c r="E67" s="63">
        <f>E20</f>
        <v>42.4</v>
      </c>
      <c r="F67" s="63">
        <f t="shared" si="27"/>
        <v>42.3</v>
      </c>
      <c r="G67" s="63">
        <f t="shared" si="27"/>
        <v>43.1</v>
      </c>
      <c r="H67" s="63">
        <f t="shared" si="27"/>
        <v>43.3</v>
      </c>
      <c r="I67" s="63">
        <f t="shared" si="27"/>
        <v>42.7</v>
      </c>
      <c r="J67" s="63">
        <f t="shared" si="27"/>
        <v>39.1</v>
      </c>
      <c r="K67" s="63">
        <f t="shared" si="27"/>
        <v>33.1</v>
      </c>
      <c r="L67" s="63">
        <f t="shared" si="27"/>
        <v>28.2</v>
      </c>
      <c r="M67" s="63">
        <f t="shared" si="27"/>
        <v>25.2</v>
      </c>
      <c r="N67" s="61">
        <f>N20</f>
        <v>38331</v>
      </c>
    </row>
    <row r="70" spans="1:15">
      <c r="B70" s="83" t="s">
        <v>261</v>
      </c>
    </row>
    <row r="71" spans="1:15" ht="15" thickBot="1"/>
    <row r="72" spans="1:15" ht="15" thickBot="1">
      <c r="B72" s="183" t="s">
        <v>262</v>
      </c>
      <c r="C72" s="55" t="s">
        <v>263</v>
      </c>
      <c r="D72" s="55"/>
      <c r="E72" s="55">
        <f>SUMPRODUCT(E60:E62,$N$60:$N$62)/SUM($N$60:$N$62)</f>
        <v>36.998317296817746</v>
      </c>
      <c r="F72" s="55">
        <f t="shared" ref="F72:M72" si="28">SUMPRODUCT(F60:F62,$N$60:$N$62)/SUM($N$60:$N$62)</f>
        <v>35.226094084891344</v>
      </c>
      <c r="G72" s="55">
        <f t="shared" si="28"/>
        <v>35.805493654368881</v>
      </c>
      <c r="H72" s="55">
        <f t="shared" si="28"/>
        <v>35.208878367379114</v>
      </c>
      <c r="I72" s="55">
        <f t="shared" si="28"/>
        <v>35.269993982157537</v>
      </c>
      <c r="J72" s="55">
        <f t="shared" si="28"/>
        <v>34.769353742029679</v>
      </c>
      <c r="K72" s="55">
        <f t="shared" si="28"/>
        <v>34.695905410165615</v>
      </c>
      <c r="L72" s="55">
        <f t="shared" si="28"/>
        <v>34.057046922266764</v>
      </c>
      <c r="M72" s="55">
        <f t="shared" si="28"/>
        <v>33.516797842583287</v>
      </c>
      <c r="N72" s="78">
        <f>(M72/E72)^(1/8)-1</f>
        <v>-1.2277223783620173E-2</v>
      </c>
    </row>
    <row r="73" spans="1:15" ht="15" thickBot="1">
      <c r="B73" s="182"/>
      <c r="C73" s="60" t="s">
        <v>264</v>
      </c>
      <c r="D73" s="60"/>
      <c r="E73" s="60">
        <f>SUMPRODUCT(E63:E67,$N$63:$N$67)/SUM($N$63:$N$67)</f>
        <v>44.55069902839405</v>
      </c>
      <c r="F73" s="60">
        <f t="shared" ref="F73:M73" si="29">SUMPRODUCT(F63:F67,$N$63:$N$67)/SUM($N$63:$N$67)</f>
        <v>42.596630636998484</v>
      </c>
      <c r="G73" s="60">
        <f t="shared" si="29"/>
        <v>42.25524087557654</v>
      </c>
      <c r="H73" s="60">
        <f t="shared" si="29"/>
        <v>41.439949512024121</v>
      </c>
      <c r="I73" s="60">
        <f t="shared" si="29"/>
        <v>41.500353978228816</v>
      </c>
      <c r="J73" s="60">
        <f t="shared" si="29"/>
        <v>41.059068963379602</v>
      </c>
      <c r="K73" s="60">
        <f t="shared" si="29"/>
        <v>40.846365370616901</v>
      </c>
      <c r="L73" s="60">
        <f t="shared" si="29"/>
        <v>39.822286095547547</v>
      </c>
      <c r="M73" s="60">
        <f t="shared" si="29"/>
        <v>39.315110054201085</v>
      </c>
      <c r="N73" s="78">
        <f>(M73/E73)^(1/8)-1</f>
        <v>-1.5505891317824316E-2</v>
      </c>
    </row>
    <row r="74" spans="1:15" ht="15" thickBot="1">
      <c r="B74" s="181" t="s">
        <v>265</v>
      </c>
      <c r="C74" s="4" t="s">
        <v>263</v>
      </c>
      <c r="E74" s="4">
        <f t="shared" ref="E74:M74" si="30">SUMPRODUCT(E40:E46,$N$40:$N$46)/SUM($N$40:$N$46)</f>
        <v>43.819351373093333</v>
      </c>
      <c r="F74" s="4">
        <f t="shared" si="30"/>
        <v>43.543820506888913</v>
      </c>
      <c r="G74" s="4">
        <f t="shared" si="30"/>
        <v>43.261759710230102</v>
      </c>
      <c r="H74" s="4">
        <f t="shared" si="30"/>
        <v>43.818509475945248</v>
      </c>
      <c r="I74" s="4">
        <f t="shared" si="30"/>
        <v>43.303280370020715</v>
      </c>
      <c r="J74" s="4">
        <f t="shared" si="30"/>
        <v>43.699181340296924</v>
      </c>
      <c r="K74" s="4">
        <f t="shared" si="30"/>
        <v>42.753512431859406</v>
      </c>
      <c r="L74" s="4">
        <f t="shared" si="30"/>
        <v>40.324537248339169</v>
      </c>
      <c r="M74" s="4">
        <f t="shared" si="30"/>
        <v>40.360947198550598</v>
      </c>
      <c r="N74" s="78">
        <f>(M74/E74)^(1/8)-1</f>
        <v>-1.0223984581767875E-2</v>
      </c>
    </row>
    <row r="75" spans="1:15" ht="15" thickBot="1">
      <c r="B75" s="182"/>
      <c r="C75" s="60" t="s">
        <v>264</v>
      </c>
      <c r="D75" s="60"/>
      <c r="E75" s="60">
        <f t="shared" ref="E75:M75" si="31">SUMPRODUCT(E48:E52,$N$48:$N$52)/SUM($N$48:$N$52)</f>
        <v>72.395564753137307</v>
      </c>
      <c r="F75" s="60">
        <f t="shared" si="31"/>
        <v>72.740891796438476</v>
      </c>
      <c r="G75" s="60">
        <f t="shared" si="31"/>
        <v>72.539575045917175</v>
      </c>
      <c r="H75" s="60">
        <f t="shared" si="31"/>
        <v>72.761079560213886</v>
      </c>
      <c r="I75" s="60">
        <f t="shared" si="31"/>
        <v>74.043509915357575</v>
      </c>
      <c r="J75" s="60">
        <f t="shared" si="31"/>
        <v>75.533973609980649</v>
      </c>
      <c r="K75" s="60">
        <f t="shared" si="31"/>
        <v>72.726583365506769</v>
      </c>
      <c r="L75" s="60">
        <f t="shared" si="31"/>
        <v>79.414442795308744</v>
      </c>
      <c r="M75" s="60">
        <f t="shared" si="31"/>
        <v>78.452144380074969</v>
      </c>
      <c r="N75" s="79">
        <f>(M75/E75)^(1/8)-1</f>
        <v>1.0093571887501041E-2</v>
      </c>
    </row>
    <row r="76" spans="1:15" ht="15" thickBot="1"/>
    <row r="77" spans="1:15" ht="15.6" thickTop="1" thickBot="1">
      <c r="B77" s="183" t="s">
        <v>262</v>
      </c>
      <c r="C77" s="55" t="s">
        <v>263</v>
      </c>
      <c r="D77" s="55"/>
      <c r="E77" s="81">
        <v>1458</v>
      </c>
      <c r="F77" s="81">
        <v>1508</v>
      </c>
      <c r="G77" s="81">
        <v>1575</v>
      </c>
      <c r="H77" s="81">
        <v>1656</v>
      </c>
      <c r="I77" s="81">
        <v>1734</v>
      </c>
      <c r="J77" s="81">
        <v>1804</v>
      </c>
      <c r="K77" s="81">
        <v>1868</v>
      </c>
      <c r="L77" s="81">
        <v>1918</v>
      </c>
      <c r="M77" s="81">
        <v>1986</v>
      </c>
      <c r="N77" s="78">
        <f>(M77/E77)^(1/8)-1</f>
        <v>3.938803960192172E-2</v>
      </c>
      <c r="O77" s="25"/>
    </row>
    <row r="78" spans="1:15" ht="15.6" thickTop="1" thickBot="1">
      <c r="B78" s="182"/>
      <c r="C78" s="60" t="s">
        <v>264</v>
      </c>
      <c r="D78" s="55"/>
      <c r="E78" s="82">
        <v>99</v>
      </c>
      <c r="F78" s="82">
        <v>97</v>
      </c>
      <c r="G78" s="82">
        <v>95</v>
      </c>
      <c r="H78" s="82">
        <v>92</v>
      </c>
      <c r="I78" s="82">
        <v>89</v>
      </c>
      <c r="J78" s="82">
        <v>87</v>
      </c>
      <c r="K78" s="82">
        <v>84</v>
      </c>
      <c r="L78" s="82">
        <v>81</v>
      </c>
      <c r="M78" s="82">
        <v>78</v>
      </c>
      <c r="N78" s="78">
        <f>(M78/E78)^(1/8)-1</f>
        <v>-2.9361695407744359E-2</v>
      </c>
      <c r="O78" s="25"/>
    </row>
    <row r="79" spans="1:15" ht="15.6" thickTop="1" thickBot="1">
      <c r="B79" s="181" t="s">
        <v>265</v>
      </c>
      <c r="C79" s="4" t="s">
        <v>263</v>
      </c>
      <c r="D79" s="55"/>
      <c r="E79" s="82">
        <v>324</v>
      </c>
      <c r="F79" s="82">
        <v>329</v>
      </c>
      <c r="G79" s="82">
        <v>335</v>
      </c>
      <c r="H79" s="82">
        <v>343</v>
      </c>
      <c r="I79" s="82">
        <v>349</v>
      </c>
      <c r="J79" s="82">
        <v>354</v>
      </c>
      <c r="K79" s="82">
        <v>359</v>
      </c>
      <c r="L79" s="82">
        <v>359</v>
      </c>
      <c r="M79" s="82">
        <v>362</v>
      </c>
      <c r="N79" s="78">
        <f>(M79/E79)^(1/8)-1</f>
        <v>1.3959118205026488E-2</v>
      </c>
      <c r="O79" s="25"/>
    </row>
    <row r="80" spans="1:15" ht="15.6" thickTop="1" thickBot="1">
      <c r="B80" s="182"/>
      <c r="C80" s="60" t="s">
        <v>264</v>
      </c>
      <c r="D80" s="55"/>
      <c r="E80" s="82">
        <v>324</v>
      </c>
      <c r="F80" s="82">
        <v>329</v>
      </c>
      <c r="G80" s="82">
        <v>335</v>
      </c>
      <c r="H80" s="82">
        <v>343</v>
      </c>
      <c r="I80" s="82">
        <v>349</v>
      </c>
      <c r="J80" s="82">
        <v>354</v>
      </c>
      <c r="K80" s="82">
        <v>359</v>
      </c>
      <c r="L80" s="82">
        <v>359</v>
      </c>
      <c r="M80" s="82">
        <v>362</v>
      </c>
      <c r="N80" s="79">
        <f>(M80/E80)^(1/8)-1</f>
        <v>1.3959118205026488E-2</v>
      </c>
      <c r="O80" s="25"/>
    </row>
    <row r="81" spans="2:36" ht="1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266</v>
      </c>
    </row>
    <row r="82" spans="2:36" ht="15.6" thickTop="1" thickBot="1">
      <c r="B82" s="183" t="s">
        <v>262</v>
      </c>
      <c r="C82" s="55" t="s">
        <v>263</v>
      </c>
      <c r="D82" s="55"/>
      <c r="E82" s="81">
        <f>E72*E77</f>
        <v>53943.546618760272</v>
      </c>
      <c r="F82" s="81">
        <f t="shared" ref="F82:M82" si="32">F72*F77</f>
        <v>53120.949880016145</v>
      </c>
      <c r="G82" s="81">
        <f t="shared" si="32"/>
        <v>56393.652505630991</v>
      </c>
      <c r="H82" s="81">
        <f t="shared" si="32"/>
        <v>58305.902576379813</v>
      </c>
      <c r="I82" s="81">
        <f t="shared" si="32"/>
        <v>61158.169565061173</v>
      </c>
      <c r="J82" s="81">
        <f t="shared" si="32"/>
        <v>62723.914150621538</v>
      </c>
      <c r="K82" s="81">
        <f t="shared" si="32"/>
        <v>64811.951306189367</v>
      </c>
      <c r="L82" s="81">
        <f t="shared" si="32"/>
        <v>65321.41599690765</v>
      </c>
      <c r="M82" s="81">
        <f t="shared" si="32"/>
        <v>66564.360515370412</v>
      </c>
      <c r="N82" s="78">
        <f>(M82/E82)^(1/8)-1</f>
        <v>2.6627240041710687E-2</v>
      </c>
      <c r="O82" s="25">
        <f>(M82-E82)/8</f>
        <v>1577.6017370762675</v>
      </c>
    </row>
    <row r="83" spans="2:36" ht="15.6" thickTop="1" thickBot="1">
      <c r="B83" s="182"/>
      <c r="C83" s="60" t="s">
        <v>264</v>
      </c>
      <c r="D83" s="55"/>
      <c r="E83" s="81">
        <f t="shared" ref="E83:M85" si="33">E73*E78</f>
        <v>4410.5192038110108</v>
      </c>
      <c r="F83" s="81">
        <f t="shared" si="33"/>
        <v>4131.8731717888531</v>
      </c>
      <c r="G83" s="81">
        <f t="shared" si="33"/>
        <v>4014.2478831797712</v>
      </c>
      <c r="H83" s="81">
        <f t="shared" si="33"/>
        <v>3812.475355106219</v>
      </c>
      <c r="I83" s="81">
        <f t="shared" si="33"/>
        <v>3693.5315040623645</v>
      </c>
      <c r="J83" s="81">
        <f t="shared" si="33"/>
        <v>3572.1389998140253</v>
      </c>
      <c r="K83" s="81">
        <f t="shared" si="33"/>
        <v>3431.0946911318197</v>
      </c>
      <c r="L83" s="81">
        <f t="shared" si="33"/>
        <v>3225.6051737393514</v>
      </c>
      <c r="M83" s="81">
        <f t="shared" si="33"/>
        <v>3066.5785842276846</v>
      </c>
      <c r="N83" s="78">
        <f>(M83/E83)^(1/8)-1</f>
        <v>-4.4412307467669221E-2</v>
      </c>
      <c r="O83" s="25">
        <f>(M83-E83)/8</f>
        <v>-167.99257744791578</v>
      </c>
    </row>
    <row r="84" spans="2:36" ht="15.6" thickTop="1" thickBot="1">
      <c r="B84" s="181" t="s">
        <v>265</v>
      </c>
      <c r="C84" s="4" t="s">
        <v>263</v>
      </c>
      <c r="D84" s="55"/>
      <c r="E84" s="81">
        <f t="shared" si="33"/>
        <v>14197.46984488224</v>
      </c>
      <c r="F84" s="81">
        <f t="shared" si="33"/>
        <v>14325.916946766452</v>
      </c>
      <c r="G84" s="81">
        <f t="shared" si="33"/>
        <v>14492.689502927084</v>
      </c>
      <c r="H84" s="81">
        <f t="shared" si="33"/>
        <v>15029.74875024922</v>
      </c>
      <c r="I84" s="81">
        <f t="shared" si="33"/>
        <v>15112.844849137229</v>
      </c>
      <c r="J84" s="81">
        <f t="shared" si="33"/>
        <v>15469.510194465111</v>
      </c>
      <c r="K84" s="81">
        <f t="shared" si="33"/>
        <v>15348.510963037526</v>
      </c>
      <c r="L84" s="81">
        <f t="shared" si="33"/>
        <v>14476.508872153761</v>
      </c>
      <c r="M84" s="81">
        <f t="shared" si="33"/>
        <v>14610.662885875316</v>
      </c>
      <c r="N84" s="78">
        <f>(M84/E84)^(1/8)-1</f>
        <v>3.5924158139553075E-3</v>
      </c>
      <c r="O84" s="25">
        <f>(M84-E84)/8</f>
        <v>51.649130124134444</v>
      </c>
    </row>
    <row r="85" spans="2:36" ht="15.6" thickTop="1" thickBot="1">
      <c r="B85" s="182"/>
      <c r="C85" s="60" t="s">
        <v>264</v>
      </c>
      <c r="D85" s="55"/>
      <c r="E85" s="81">
        <f t="shared" si="33"/>
        <v>23456.162980016488</v>
      </c>
      <c r="F85" s="81">
        <f t="shared" si="33"/>
        <v>23931.753401028258</v>
      </c>
      <c r="G85" s="81">
        <f t="shared" si="33"/>
        <v>24300.757640382253</v>
      </c>
      <c r="H85" s="81">
        <f t="shared" si="33"/>
        <v>24957.050289153362</v>
      </c>
      <c r="I85" s="81">
        <f t="shared" si="33"/>
        <v>25841.184960459792</v>
      </c>
      <c r="J85" s="81">
        <f t="shared" si="33"/>
        <v>26739.026657933151</v>
      </c>
      <c r="K85" s="81">
        <f t="shared" si="33"/>
        <v>26108.843428216929</v>
      </c>
      <c r="L85" s="81">
        <f t="shared" si="33"/>
        <v>28509.784963515838</v>
      </c>
      <c r="M85" s="81">
        <f t="shared" si="33"/>
        <v>28399.676265587139</v>
      </c>
      <c r="N85" s="79">
        <f>(M85/E85)^(1/8)-1</f>
        <v>2.4193587455615839E-2</v>
      </c>
      <c r="O85" s="25">
        <f>(M85-E85)/8</f>
        <v>617.93916069633133</v>
      </c>
    </row>
    <row r="88" spans="2:36" ht="1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" thickBot="1">
      <c r="B89" s="183" t="s">
        <v>262</v>
      </c>
      <c r="C89" s="55" t="s">
        <v>263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34">F89+$O82</f>
        <v>68476.619471060185</v>
      </c>
      <c r="H89" s="45">
        <f t="shared" si="34"/>
        <v>70054.221208136456</v>
      </c>
      <c r="I89" s="45">
        <f t="shared" si="34"/>
        <v>71631.822945212727</v>
      </c>
      <c r="J89" s="45">
        <f t="shared" si="34"/>
        <v>73209.424682288998</v>
      </c>
      <c r="K89" s="45">
        <f t="shared" si="34"/>
        <v>74787.026419365269</v>
      </c>
      <c r="L89" s="45">
        <f t="shared" si="34"/>
        <v>76364.62815644154</v>
      </c>
      <c r="M89" s="45">
        <f t="shared" si="34"/>
        <v>77942.229893517811</v>
      </c>
      <c r="N89" s="45">
        <f t="shared" si="34"/>
        <v>79519.831630594083</v>
      </c>
      <c r="O89" s="45">
        <f t="shared" si="34"/>
        <v>81097.433367670354</v>
      </c>
      <c r="P89" s="45">
        <f t="shared" si="34"/>
        <v>82675.035104746625</v>
      </c>
      <c r="Q89" s="45">
        <f t="shared" si="34"/>
        <v>84252.636841822896</v>
      </c>
      <c r="R89" s="45">
        <f t="shared" si="34"/>
        <v>85830.238578899167</v>
      </c>
      <c r="S89" s="45">
        <f t="shared" si="34"/>
        <v>87407.840315975438</v>
      </c>
      <c r="T89" s="45">
        <f t="shared" si="34"/>
        <v>88985.442053051709</v>
      </c>
      <c r="U89" s="45">
        <f t="shared" si="34"/>
        <v>90563.04379012798</v>
      </c>
      <c r="V89" s="45">
        <f t="shared" si="34"/>
        <v>92140.645527204251</v>
      </c>
      <c r="W89" s="45">
        <f t="shared" si="34"/>
        <v>93718.247264280522</v>
      </c>
      <c r="X89" s="45">
        <f t="shared" si="34"/>
        <v>95295.849001356793</v>
      </c>
      <c r="Y89" s="45">
        <f t="shared" si="34"/>
        <v>96873.450738433065</v>
      </c>
      <c r="Z89" s="45">
        <f t="shared" si="34"/>
        <v>98451.052475509336</v>
      </c>
      <c r="AA89" s="45">
        <f t="shared" si="34"/>
        <v>100028.65421258561</v>
      </c>
      <c r="AB89" s="45">
        <f t="shared" si="34"/>
        <v>101606.25594966188</v>
      </c>
      <c r="AC89" s="45">
        <f t="shared" si="34"/>
        <v>103183.85768673815</v>
      </c>
      <c r="AD89" s="45">
        <f t="shared" si="34"/>
        <v>104761.45942381442</v>
      </c>
      <c r="AE89" s="45">
        <f t="shared" si="34"/>
        <v>106339.06116089069</v>
      </c>
      <c r="AF89" s="45">
        <f t="shared" si="34"/>
        <v>107916.66289796696</v>
      </c>
      <c r="AG89" s="45">
        <f t="shared" si="34"/>
        <v>109494.26463504323</v>
      </c>
      <c r="AH89" s="45">
        <f t="shared" si="34"/>
        <v>111071.8663721195</v>
      </c>
      <c r="AI89" s="45">
        <f t="shared" si="34"/>
        <v>112649.46810919578</v>
      </c>
      <c r="AJ89" s="45">
        <f t="shared" si="34"/>
        <v>114227.06984627205</v>
      </c>
    </row>
    <row r="90" spans="2:36" ht="15" thickBot="1">
      <c r="B90" s="182"/>
      <c r="C90" s="60" t="s">
        <v>264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35">F90+$O83</f>
        <v>2889.62001884352</v>
      </c>
      <c r="H90" s="45">
        <f t="shared" si="35"/>
        <v>2721.6274413956044</v>
      </c>
      <c r="I90" s="45">
        <f t="shared" si="35"/>
        <v>2553.6348639476887</v>
      </c>
      <c r="J90" s="45">
        <f t="shared" si="35"/>
        <v>2385.642286499773</v>
      </c>
      <c r="K90" s="45">
        <f t="shared" si="35"/>
        <v>2217.6497090518574</v>
      </c>
      <c r="L90" s="45">
        <f t="shared" si="35"/>
        <v>2049.6571316039417</v>
      </c>
      <c r="M90" s="45">
        <f t="shared" si="35"/>
        <v>1881.664554156026</v>
      </c>
      <c r="N90" s="45">
        <f t="shared" si="35"/>
        <v>1713.6719767081104</v>
      </c>
      <c r="O90" s="45">
        <f t="shared" si="35"/>
        <v>1545.6793992601947</v>
      </c>
      <c r="P90" s="45">
        <f t="shared" si="35"/>
        <v>1377.686821812279</v>
      </c>
      <c r="Q90" s="45">
        <f t="shared" si="35"/>
        <v>1209.6942443643634</v>
      </c>
      <c r="R90" s="45">
        <f t="shared" si="35"/>
        <v>1041.7016669164477</v>
      </c>
      <c r="S90" s="45">
        <f t="shared" si="35"/>
        <v>873.70908946853194</v>
      </c>
      <c r="T90" s="45">
        <f t="shared" si="35"/>
        <v>705.71651202061616</v>
      </c>
      <c r="U90" s="45">
        <f t="shared" si="35"/>
        <v>537.72393457270039</v>
      </c>
      <c r="V90" s="45">
        <f t="shared" si="34"/>
        <v>369.73135712478461</v>
      </c>
      <c r="W90" s="45">
        <f t="shared" si="34"/>
        <v>201.73877967686883</v>
      </c>
      <c r="X90" s="45">
        <f t="shared" si="34"/>
        <v>33.746202228953052</v>
      </c>
      <c r="Y90" s="45">
        <f t="shared" si="34"/>
        <v>-134.24637521896273</v>
      </c>
      <c r="Z90" s="45">
        <f t="shared" si="34"/>
        <v>-302.2389526668785</v>
      </c>
      <c r="AA90" s="45">
        <f t="shared" si="34"/>
        <v>-470.23153011479428</v>
      </c>
      <c r="AB90" s="45">
        <f t="shared" si="34"/>
        <v>-638.22410756271006</v>
      </c>
      <c r="AC90" s="45">
        <f t="shared" si="34"/>
        <v>-806.21668501062584</v>
      </c>
      <c r="AD90" s="45">
        <f t="shared" si="34"/>
        <v>-974.20926245854162</v>
      </c>
      <c r="AE90" s="45">
        <f t="shared" si="34"/>
        <v>-1142.2018399064573</v>
      </c>
      <c r="AF90" s="45">
        <f t="shared" si="34"/>
        <v>-1310.1944173543729</v>
      </c>
      <c r="AG90" s="45">
        <f t="shared" si="34"/>
        <v>-1478.1869948022886</v>
      </c>
      <c r="AH90" s="45">
        <f t="shared" si="34"/>
        <v>-1646.1795722502043</v>
      </c>
      <c r="AI90" s="45">
        <f t="shared" si="34"/>
        <v>-1814.1721496981199</v>
      </c>
      <c r="AJ90" s="45">
        <f t="shared" si="34"/>
        <v>-1982.1647271460356</v>
      </c>
    </row>
    <row r="91" spans="2:36" ht="15" thickBot="1">
      <c r="B91" s="181" t="s">
        <v>265</v>
      </c>
      <c r="C91" s="4" t="s">
        <v>263</v>
      </c>
      <c r="D91" s="55"/>
      <c r="E91" s="45">
        <f>L84</f>
        <v>14476.508872153761</v>
      </c>
      <c r="F91" s="45">
        <f>E91+$O84</f>
        <v>14528.158002277896</v>
      </c>
      <c r="G91" s="45">
        <f t="shared" si="34"/>
        <v>14579.807132402031</v>
      </c>
      <c r="H91" s="45">
        <f t="shared" si="34"/>
        <v>14631.456262526166</v>
      </c>
      <c r="I91" s="45">
        <f t="shared" si="34"/>
        <v>14683.105392650301</v>
      </c>
      <c r="J91" s="45">
        <f t="shared" si="34"/>
        <v>14734.754522774436</v>
      </c>
      <c r="K91" s="45">
        <f t="shared" si="34"/>
        <v>14786.403652898571</v>
      </c>
      <c r="L91" s="45">
        <f t="shared" si="34"/>
        <v>14838.052783022706</v>
      </c>
      <c r="M91" s="45">
        <f t="shared" si="34"/>
        <v>14889.701913146841</v>
      </c>
      <c r="N91" s="45">
        <f t="shared" si="34"/>
        <v>14941.351043270975</v>
      </c>
      <c r="O91" s="45">
        <f t="shared" si="34"/>
        <v>14993.00017339511</v>
      </c>
      <c r="P91" s="45">
        <f t="shared" si="34"/>
        <v>15044.649303519245</v>
      </c>
      <c r="Q91" s="45">
        <f t="shared" si="34"/>
        <v>15096.29843364338</v>
      </c>
      <c r="R91" s="45">
        <f t="shared" si="34"/>
        <v>15147.947563767515</v>
      </c>
      <c r="S91" s="45">
        <f t="shared" si="34"/>
        <v>15199.59669389165</v>
      </c>
      <c r="T91" s="45">
        <f t="shared" si="34"/>
        <v>15251.245824015785</v>
      </c>
      <c r="U91" s="45">
        <f t="shared" si="34"/>
        <v>15302.89495413992</v>
      </c>
      <c r="V91" s="45">
        <f t="shared" si="34"/>
        <v>15354.544084264055</v>
      </c>
      <c r="W91" s="45">
        <f t="shared" si="34"/>
        <v>15406.19321438819</v>
      </c>
      <c r="X91" s="45">
        <f t="shared" si="34"/>
        <v>15457.842344512324</v>
      </c>
      <c r="Y91" s="45">
        <f t="shared" si="34"/>
        <v>15509.491474636459</v>
      </c>
      <c r="Z91" s="45">
        <f t="shared" si="34"/>
        <v>15561.140604760594</v>
      </c>
      <c r="AA91" s="45">
        <f t="shared" si="34"/>
        <v>15612.789734884729</v>
      </c>
      <c r="AB91" s="45">
        <f t="shared" si="34"/>
        <v>15664.438865008864</v>
      </c>
      <c r="AC91" s="45">
        <f t="shared" si="34"/>
        <v>15716.087995132999</v>
      </c>
      <c r="AD91" s="45">
        <f t="shared" si="34"/>
        <v>15767.737125257134</v>
      </c>
      <c r="AE91" s="45">
        <f t="shared" si="34"/>
        <v>15819.386255381269</v>
      </c>
      <c r="AF91" s="45">
        <f t="shared" si="34"/>
        <v>15871.035385505404</v>
      </c>
      <c r="AG91" s="45">
        <f t="shared" si="34"/>
        <v>15922.684515629539</v>
      </c>
      <c r="AH91" s="45">
        <f t="shared" si="34"/>
        <v>15974.333645753673</v>
      </c>
      <c r="AI91" s="45">
        <f t="shared" si="34"/>
        <v>16025.982775877808</v>
      </c>
      <c r="AJ91" s="45">
        <f t="shared" si="34"/>
        <v>16077.631906001943</v>
      </c>
    </row>
    <row r="92" spans="2:36" ht="15" thickBot="1">
      <c r="B92" s="182"/>
      <c r="C92" s="60" t="s">
        <v>264</v>
      </c>
      <c r="D92" s="55"/>
      <c r="E92" s="45">
        <f>L85</f>
        <v>28509.784963515838</v>
      </c>
      <c r="F92" s="45">
        <f>E92+$O85</f>
        <v>29127.724124212171</v>
      </c>
      <c r="G92" s="45">
        <f t="shared" si="34"/>
        <v>29745.663284908504</v>
      </c>
      <c r="H92" s="45">
        <f t="shared" si="34"/>
        <v>30363.602445604836</v>
      </c>
      <c r="I92" s="45">
        <f t="shared" si="34"/>
        <v>30981.541606301169</v>
      </c>
      <c r="J92" s="45">
        <f t="shared" si="34"/>
        <v>31599.480766997502</v>
      </c>
      <c r="K92" s="45">
        <f t="shared" si="34"/>
        <v>32217.419927693834</v>
      </c>
      <c r="L92" s="45">
        <f t="shared" si="34"/>
        <v>32835.359088390163</v>
      </c>
      <c r="M92" s="45">
        <f t="shared" si="34"/>
        <v>33453.298249086496</v>
      </c>
      <c r="N92" s="45">
        <f t="shared" si="34"/>
        <v>34071.237409782829</v>
      </c>
      <c r="O92" s="45">
        <f t="shared" si="34"/>
        <v>34689.176570479161</v>
      </c>
      <c r="P92" s="45">
        <f t="shared" si="34"/>
        <v>35307.115731175494</v>
      </c>
      <c r="Q92" s="45">
        <f t="shared" si="34"/>
        <v>35925.054891871827</v>
      </c>
      <c r="R92" s="45">
        <f t="shared" si="34"/>
        <v>36542.99405256816</v>
      </c>
      <c r="S92" s="45">
        <f t="shared" si="34"/>
        <v>37160.933213264492</v>
      </c>
      <c r="T92" s="45">
        <f t="shared" si="34"/>
        <v>37778.872373960825</v>
      </c>
      <c r="U92" s="45">
        <f t="shared" si="34"/>
        <v>38396.811534657158</v>
      </c>
      <c r="V92" s="45">
        <f t="shared" si="34"/>
        <v>39014.75069535349</v>
      </c>
      <c r="W92" s="45">
        <f t="shared" si="34"/>
        <v>39632.689856049823</v>
      </c>
      <c r="X92" s="45">
        <f t="shared" si="34"/>
        <v>40250.629016746156</v>
      </c>
      <c r="Y92" s="45">
        <f t="shared" si="34"/>
        <v>40868.568177442488</v>
      </c>
      <c r="Z92" s="45">
        <f t="shared" si="34"/>
        <v>41486.507338138821</v>
      </c>
      <c r="AA92" s="45">
        <f t="shared" si="34"/>
        <v>42104.446498835154</v>
      </c>
      <c r="AB92" s="45">
        <f t="shared" si="34"/>
        <v>42722.385659531486</v>
      </c>
      <c r="AC92" s="45">
        <f t="shared" si="34"/>
        <v>43340.324820227819</v>
      </c>
      <c r="AD92" s="45">
        <f t="shared" si="34"/>
        <v>43958.263980924152</v>
      </c>
      <c r="AE92" s="45">
        <f t="shared" si="34"/>
        <v>44576.203141620485</v>
      </c>
      <c r="AF92" s="45">
        <f t="shared" si="34"/>
        <v>45194.142302316817</v>
      </c>
      <c r="AG92" s="45">
        <f t="shared" si="34"/>
        <v>45812.08146301315</v>
      </c>
      <c r="AH92" s="45">
        <f t="shared" si="34"/>
        <v>46430.020623709483</v>
      </c>
      <c r="AI92" s="45">
        <f t="shared" si="34"/>
        <v>47047.959784405815</v>
      </c>
      <c r="AJ92" s="45">
        <f t="shared" si="34"/>
        <v>47665.898945102148</v>
      </c>
    </row>
  </sheetData>
  <mergeCells count="28"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</mergeCells>
  <phoneticPr fontId="43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AF6E-6FF3-4258-B536-2AC6D3469E02}">
  <dimension ref="A1:AJ92"/>
  <sheetViews>
    <sheetView topLeftCell="A40" workbookViewId="0">
      <selection activeCell="C109" sqref="C109"/>
    </sheetView>
  </sheetViews>
  <sheetFormatPr defaultColWidth="9" defaultRowHeight="14.4"/>
  <cols>
    <col min="1" max="1" width="15.6640625" style="4" customWidth="1"/>
    <col min="2" max="2" width="5.88671875" style="4" customWidth="1"/>
    <col min="3" max="3" width="9.77734375" style="4" customWidth="1"/>
    <col min="4" max="4" width="5.88671875" style="4" customWidth="1"/>
    <col min="5" max="5" width="9" style="4" customWidth="1"/>
    <col min="6" max="6" width="12.109375" style="4" customWidth="1"/>
    <col min="7" max="13" width="9" style="4" customWidth="1"/>
    <col min="14" max="15" width="9.88671875" style="4" bestFit="1" customWidth="1"/>
    <col min="16" max="16384" width="9" style="4"/>
  </cols>
  <sheetData>
    <row r="1" spans="1:15" ht="20.100000000000001" customHeight="1">
      <c r="A1" s="187" t="s">
        <v>233</v>
      </c>
      <c r="B1" s="187" t="s">
        <v>199</v>
      </c>
      <c r="C1" s="187" t="s">
        <v>200</v>
      </c>
      <c r="D1" s="187" t="s">
        <v>201</v>
      </c>
      <c r="E1" s="100" t="s">
        <v>234</v>
      </c>
      <c r="F1" s="100" t="s">
        <v>235</v>
      </c>
      <c r="G1" s="100" t="s">
        <v>236</v>
      </c>
      <c r="H1" s="100" t="s">
        <v>237</v>
      </c>
      <c r="I1" s="100" t="s">
        <v>238</v>
      </c>
      <c r="J1" s="100" t="s">
        <v>239</v>
      </c>
      <c r="K1" s="100" t="s">
        <v>240</v>
      </c>
      <c r="L1" s="100" t="s">
        <v>241</v>
      </c>
      <c r="M1" s="100" t="s">
        <v>242</v>
      </c>
    </row>
    <row r="2" spans="1:15" ht="20.100000000000001" customHeight="1">
      <c r="A2" s="186" t="s">
        <v>233</v>
      </c>
      <c r="B2" s="186" t="s">
        <v>199</v>
      </c>
      <c r="C2" s="186" t="s">
        <v>200</v>
      </c>
      <c r="D2" s="186" t="s">
        <v>201</v>
      </c>
      <c r="E2" s="100" t="s">
        <v>243</v>
      </c>
      <c r="F2" s="100" t="s">
        <v>243</v>
      </c>
      <c r="G2" s="100" t="s">
        <v>243</v>
      </c>
      <c r="H2" s="100" t="s">
        <v>243</v>
      </c>
      <c r="I2" s="100" t="s">
        <v>243</v>
      </c>
      <c r="J2" s="100" t="s">
        <v>243</v>
      </c>
      <c r="K2" s="100" t="s">
        <v>243</v>
      </c>
      <c r="L2" s="100" t="s">
        <v>243</v>
      </c>
      <c r="M2" s="100" t="s">
        <v>243</v>
      </c>
      <c r="N2" s="184" t="s">
        <v>244</v>
      </c>
    </row>
    <row r="3" spans="1:15" ht="20.100000000000001" customHeight="1">
      <c r="A3" s="186" t="s">
        <v>233</v>
      </c>
      <c r="B3" s="186" t="s">
        <v>199</v>
      </c>
      <c r="C3" s="186" t="s">
        <v>200</v>
      </c>
      <c r="D3" s="186" t="s">
        <v>201</v>
      </c>
      <c r="E3" s="100" t="s">
        <v>204</v>
      </c>
      <c r="F3" s="100" t="s">
        <v>204</v>
      </c>
      <c r="G3" s="100" t="s">
        <v>204</v>
      </c>
      <c r="H3" s="100" t="s">
        <v>204</v>
      </c>
      <c r="I3" s="100" t="s">
        <v>204</v>
      </c>
      <c r="J3" s="100" t="s">
        <v>204</v>
      </c>
      <c r="K3" s="100" t="s">
        <v>204</v>
      </c>
      <c r="L3" s="100" t="s">
        <v>204</v>
      </c>
      <c r="M3" s="100" t="s">
        <v>204</v>
      </c>
      <c r="N3" s="184"/>
    </row>
    <row r="4" spans="1:15" ht="20.100000000000001" customHeight="1">
      <c r="A4" s="51" t="s">
        <v>208</v>
      </c>
      <c r="B4" s="51" t="s">
        <v>57</v>
      </c>
      <c r="C4" s="51" t="s">
        <v>57</v>
      </c>
      <c r="D4" s="51" t="s">
        <v>57</v>
      </c>
      <c r="E4" s="101">
        <v>41</v>
      </c>
      <c r="F4" s="101">
        <v>39.700000000000003</v>
      </c>
      <c r="G4" s="101">
        <v>40.200000000000003</v>
      </c>
      <c r="H4" s="101">
        <v>39.799999999999997</v>
      </c>
      <c r="I4" s="101">
        <v>39.700000000000003</v>
      </c>
      <c r="J4" s="101">
        <v>39.5</v>
      </c>
      <c r="K4" s="101">
        <v>39.200000000000003</v>
      </c>
      <c r="L4" s="101">
        <v>38.5</v>
      </c>
      <c r="M4" s="101">
        <v>37.9</v>
      </c>
    </row>
    <row r="5" spans="1:15" ht="20.100000000000001" customHeight="1">
      <c r="A5" s="49" t="s">
        <v>245</v>
      </c>
      <c r="B5" s="51" t="s">
        <v>210</v>
      </c>
      <c r="C5" s="51" t="s">
        <v>57</v>
      </c>
      <c r="D5" s="51" t="s">
        <v>57</v>
      </c>
      <c r="E5" s="101">
        <v>37.5</v>
      </c>
      <c r="F5" s="101">
        <v>36</v>
      </c>
      <c r="G5" s="101">
        <v>36.5</v>
      </c>
      <c r="H5" s="101">
        <v>36.1</v>
      </c>
      <c r="I5" s="101">
        <v>36.1</v>
      </c>
      <c r="J5" s="101">
        <v>35.799999999999997</v>
      </c>
      <c r="K5" s="101">
        <v>35.799999999999997</v>
      </c>
      <c r="L5" s="101">
        <v>35.1</v>
      </c>
      <c r="M5" s="101">
        <v>34.700000000000003</v>
      </c>
    </row>
    <row r="6" spans="1:15" ht="20.100000000000001" customHeight="1">
      <c r="A6" s="49" t="s">
        <v>245</v>
      </c>
      <c r="B6" s="49" t="s">
        <v>245</v>
      </c>
      <c r="C6" s="51" t="s">
        <v>211</v>
      </c>
      <c r="D6" s="51" t="s">
        <v>57</v>
      </c>
      <c r="E6" s="101">
        <v>36.1</v>
      </c>
      <c r="F6" s="101">
        <v>34.700000000000003</v>
      </c>
      <c r="G6" s="101">
        <v>35.4</v>
      </c>
      <c r="H6" s="101">
        <v>35.1</v>
      </c>
      <c r="I6" s="101">
        <v>34.799999999999997</v>
      </c>
      <c r="J6" s="101">
        <v>34.5</v>
      </c>
      <c r="K6" s="101">
        <v>34.299999999999997</v>
      </c>
      <c r="L6" s="101">
        <v>33.6</v>
      </c>
      <c r="M6" s="101">
        <v>32.700000000000003</v>
      </c>
    </row>
    <row r="7" spans="1:15" ht="20.100000000000001" customHeight="1">
      <c r="A7" s="49" t="s">
        <v>245</v>
      </c>
      <c r="B7" s="49" t="s">
        <v>245</v>
      </c>
      <c r="C7" s="49" t="s">
        <v>245</v>
      </c>
      <c r="D7" s="51" t="s">
        <v>212</v>
      </c>
      <c r="E7" s="102">
        <v>25.8</v>
      </c>
      <c r="F7" s="102">
        <v>24.5</v>
      </c>
      <c r="G7" s="102">
        <v>24.2</v>
      </c>
      <c r="H7" s="102">
        <v>24.7</v>
      </c>
      <c r="I7" s="102">
        <v>25.5</v>
      </c>
      <c r="J7" s="102">
        <v>24.4</v>
      </c>
      <c r="K7" s="102">
        <v>23.7</v>
      </c>
      <c r="L7" s="102">
        <v>25</v>
      </c>
      <c r="M7" s="102">
        <v>24.2</v>
      </c>
      <c r="N7" s="30">
        <f>'BAADTbVT_DV-km'!F7</f>
        <v>2187909</v>
      </c>
      <c r="O7" s="30">
        <f>SUM(N7:N9)</f>
        <v>9671497</v>
      </c>
    </row>
    <row r="8" spans="1:15" ht="20.100000000000001" customHeight="1">
      <c r="A8" s="49" t="s">
        <v>245</v>
      </c>
      <c r="B8" s="49" t="s">
        <v>245</v>
      </c>
      <c r="C8" s="49" t="s">
        <v>245</v>
      </c>
      <c r="D8" s="51" t="s">
        <v>213</v>
      </c>
      <c r="E8" s="102">
        <v>24.7</v>
      </c>
      <c r="F8" s="102">
        <v>22.6</v>
      </c>
      <c r="G8" s="102">
        <v>23.1</v>
      </c>
      <c r="H8" s="102">
        <v>22.3</v>
      </c>
      <c r="I8" s="102">
        <v>22.7</v>
      </c>
      <c r="J8" s="102">
        <v>22</v>
      </c>
      <c r="K8" s="102">
        <v>21.6</v>
      </c>
      <c r="L8" s="102">
        <v>20.6</v>
      </c>
      <c r="M8" s="102">
        <v>20</v>
      </c>
      <c r="N8" s="30">
        <f>'BAADTbVT_DV-km'!F8</f>
        <v>759979</v>
      </c>
      <c r="O8" s="30"/>
    </row>
    <row r="9" spans="1:15" ht="20.100000000000001" customHeight="1">
      <c r="A9" s="49" t="s">
        <v>245</v>
      </c>
      <c r="B9" s="49" t="s">
        <v>245</v>
      </c>
      <c r="C9" s="49" t="s">
        <v>245</v>
      </c>
      <c r="D9" s="51" t="s">
        <v>214</v>
      </c>
      <c r="E9" s="102">
        <v>38.200000000000003</v>
      </c>
      <c r="F9" s="102">
        <v>36.700000000000003</v>
      </c>
      <c r="G9" s="102">
        <v>37.5</v>
      </c>
      <c r="H9" s="102">
        <v>37.1</v>
      </c>
      <c r="I9" s="102">
        <v>36.1</v>
      </c>
      <c r="J9" s="102">
        <v>35.9</v>
      </c>
      <c r="K9" s="102">
        <v>35.9</v>
      </c>
      <c r="L9" s="102">
        <v>35.1</v>
      </c>
      <c r="M9" s="102">
        <v>33.799999999999997</v>
      </c>
      <c r="N9" s="30">
        <f>'BAADTbVT_DV-km'!F9</f>
        <v>6723609</v>
      </c>
      <c r="O9" s="30"/>
    </row>
    <row r="10" spans="1:15" ht="20.100000000000001" customHeight="1">
      <c r="A10" s="49" t="s">
        <v>245</v>
      </c>
      <c r="B10" s="49" t="s">
        <v>245</v>
      </c>
      <c r="C10" s="49" t="s">
        <v>245</v>
      </c>
      <c r="D10" s="51" t="s">
        <v>215</v>
      </c>
      <c r="E10" s="103">
        <v>42.7</v>
      </c>
      <c r="F10" s="103">
        <v>40.299999999999997</v>
      </c>
      <c r="G10" s="103">
        <v>40.6</v>
      </c>
      <c r="H10" s="103">
        <v>39.5</v>
      </c>
      <c r="I10" s="103">
        <v>39.700000000000003</v>
      </c>
      <c r="J10" s="103">
        <v>38.9</v>
      </c>
      <c r="K10" s="103">
        <v>38.700000000000003</v>
      </c>
      <c r="L10" s="103">
        <v>36.6</v>
      </c>
      <c r="M10" s="103">
        <v>36.200000000000003</v>
      </c>
      <c r="N10" s="30">
        <f>'BAADTbVT_DV-km'!F10</f>
        <v>3915864</v>
      </c>
      <c r="O10" s="30">
        <f>N10</f>
        <v>3915864</v>
      </c>
    </row>
    <row r="11" spans="1:15" ht="20.100000000000001" customHeight="1">
      <c r="A11" s="49" t="s">
        <v>245</v>
      </c>
      <c r="B11" s="49" t="s">
        <v>245</v>
      </c>
      <c r="C11" s="51" t="s">
        <v>216</v>
      </c>
      <c r="D11" s="51" t="s">
        <v>57</v>
      </c>
      <c r="E11" s="101">
        <v>42.5</v>
      </c>
      <c r="F11" s="101">
        <v>40.9</v>
      </c>
      <c r="G11" s="101">
        <v>40.799999999999997</v>
      </c>
      <c r="H11" s="101">
        <v>39.9</v>
      </c>
      <c r="I11" s="101">
        <v>40.4</v>
      </c>
      <c r="J11" s="101">
        <v>40</v>
      </c>
      <c r="K11" s="101">
        <v>39.9</v>
      </c>
      <c r="L11" s="101">
        <v>39.1</v>
      </c>
      <c r="M11" s="101">
        <v>39.299999999999997</v>
      </c>
      <c r="N11" s="30"/>
      <c r="O11" s="30"/>
    </row>
    <row r="12" spans="1:15" ht="20.100000000000001" customHeight="1">
      <c r="A12" s="49" t="s">
        <v>245</v>
      </c>
      <c r="B12" s="49" t="s">
        <v>245</v>
      </c>
      <c r="C12" s="49" t="s">
        <v>245</v>
      </c>
      <c r="D12" s="51" t="s">
        <v>214</v>
      </c>
      <c r="E12" s="102">
        <v>42.4</v>
      </c>
      <c r="F12" s="102">
        <v>40.4</v>
      </c>
      <c r="G12" s="102">
        <v>40.700000000000003</v>
      </c>
      <c r="H12" s="102">
        <v>39.6</v>
      </c>
      <c r="I12" s="102">
        <v>40.6</v>
      </c>
      <c r="J12" s="102">
        <v>40.200000000000003</v>
      </c>
      <c r="K12" s="102">
        <v>40.299999999999997</v>
      </c>
      <c r="L12" s="102">
        <v>39.200000000000003</v>
      </c>
      <c r="M12" s="102">
        <v>39.799999999999997</v>
      </c>
      <c r="N12" s="30">
        <f>'BAADTbVT_DV-km'!F12</f>
        <v>4434476</v>
      </c>
      <c r="O12" s="30">
        <f>N12</f>
        <v>4434476</v>
      </c>
    </row>
    <row r="13" spans="1:15" ht="20.100000000000001" customHeight="1">
      <c r="A13" s="49" t="s">
        <v>245</v>
      </c>
      <c r="B13" s="49" t="s">
        <v>245</v>
      </c>
      <c r="C13" s="49" t="s">
        <v>245</v>
      </c>
      <c r="D13" s="51" t="s">
        <v>215</v>
      </c>
      <c r="E13" s="103">
        <v>42.7</v>
      </c>
      <c r="F13" s="103">
        <v>41.6</v>
      </c>
      <c r="G13" s="103">
        <v>40.799999999999997</v>
      </c>
      <c r="H13" s="103">
        <v>40.4</v>
      </c>
      <c r="I13" s="103">
        <v>39.9</v>
      </c>
      <c r="J13" s="103">
        <v>39.700000000000003</v>
      </c>
      <c r="K13" s="103">
        <v>39</v>
      </c>
      <c r="L13" s="103">
        <v>38.9</v>
      </c>
      <c r="M13" s="103">
        <v>38.1</v>
      </c>
      <c r="N13" s="30">
        <f>'BAADTbVT_DV-km'!F13</f>
        <v>2070333</v>
      </c>
      <c r="O13" s="30">
        <f>SUM(N13:N14)</f>
        <v>3747191</v>
      </c>
    </row>
    <row r="14" spans="1:15" ht="20.100000000000001" customHeight="1">
      <c r="A14" s="49" t="s">
        <v>245</v>
      </c>
      <c r="B14" s="49" t="s">
        <v>245</v>
      </c>
      <c r="C14" s="51" t="s">
        <v>217</v>
      </c>
      <c r="D14" s="51" t="s">
        <v>57</v>
      </c>
      <c r="E14" s="103">
        <v>39.799999999999997</v>
      </c>
      <c r="F14" s="103">
        <v>38.1</v>
      </c>
      <c r="G14" s="103">
        <v>36.9</v>
      </c>
      <c r="H14" s="103">
        <v>36.299999999999997</v>
      </c>
      <c r="I14" s="103">
        <v>36.6</v>
      </c>
      <c r="J14" s="103">
        <v>36.6</v>
      </c>
      <c r="K14" s="103">
        <v>37.200000000000003</v>
      </c>
      <c r="L14" s="103">
        <v>37.700000000000003</v>
      </c>
      <c r="M14" s="103">
        <v>38.6</v>
      </c>
      <c r="N14" s="30">
        <f>'BAADTbVT_DV-km'!F14</f>
        <v>1676858</v>
      </c>
      <c r="O14" s="30"/>
    </row>
    <row r="15" spans="1:15" ht="20.100000000000001" customHeight="1">
      <c r="A15" s="49" t="s">
        <v>245</v>
      </c>
      <c r="B15" s="51" t="s">
        <v>219</v>
      </c>
      <c r="C15" s="51" t="s">
        <v>57</v>
      </c>
      <c r="D15" s="51" t="s">
        <v>57</v>
      </c>
      <c r="E15" s="101">
        <v>56.7</v>
      </c>
      <c r="F15" s="101">
        <v>54.6</v>
      </c>
      <c r="G15" s="101">
        <v>59.2</v>
      </c>
      <c r="H15" s="101">
        <v>57.9</v>
      </c>
      <c r="I15" s="101">
        <v>59.9</v>
      </c>
      <c r="J15" s="101">
        <v>60.1</v>
      </c>
      <c r="K15" s="101">
        <v>59.8</v>
      </c>
      <c r="L15" s="101">
        <v>59.2</v>
      </c>
      <c r="M15" s="101">
        <v>55.1</v>
      </c>
      <c r="N15" s="30"/>
      <c r="O15" s="30"/>
    </row>
    <row r="16" spans="1:15" ht="20.100000000000001" customHeight="1">
      <c r="A16" s="49" t="s">
        <v>245</v>
      </c>
      <c r="B16" s="49" t="s">
        <v>245</v>
      </c>
      <c r="C16" s="51" t="s">
        <v>211</v>
      </c>
      <c r="D16" s="51" t="s">
        <v>57</v>
      </c>
      <c r="E16" s="101">
        <v>57</v>
      </c>
      <c r="F16" s="101">
        <v>54.8</v>
      </c>
      <c r="G16" s="101">
        <v>59.5</v>
      </c>
      <c r="H16" s="101">
        <v>58.2</v>
      </c>
      <c r="I16" s="101">
        <v>60.3</v>
      </c>
      <c r="J16" s="101">
        <v>60.8</v>
      </c>
      <c r="K16" s="101">
        <v>60.7</v>
      </c>
      <c r="L16" s="101">
        <v>60.5</v>
      </c>
      <c r="M16" s="101">
        <v>56.5</v>
      </c>
      <c r="N16" s="30"/>
      <c r="O16" s="30"/>
    </row>
    <row r="17" spans="1:15" ht="20.100000000000001" customHeight="1">
      <c r="A17" s="49" t="s">
        <v>245</v>
      </c>
      <c r="B17" s="49" t="s">
        <v>245</v>
      </c>
      <c r="C17" s="49" t="s">
        <v>245</v>
      </c>
      <c r="D17" s="51" t="s">
        <v>213</v>
      </c>
      <c r="E17" s="102">
        <v>40.4</v>
      </c>
      <c r="F17" s="102">
        <v>35.299999999999997</v>
      </c>
      <c r="G17" s="102">
        <v>39.299999999999997</v>
      </c>
      <c r="H17" s="102">
        <v>36</v>
      </c>
      <c r="I17" s="102">
        <v>38.299999999999997</v>
      </c>
      <c r="J17" s="102">
        <v>35.700000000000003</v>
      </c>
      <c r="K17" s="102">
        <v>36.4</v>
      </c>
      <c r="L17" s="102">
        <v>34</v>
      </c>
      <c r="M17" s="102">
        <v>35</v>
      </c>
      <c r="N17" s="30">
        <f>'BAADTbVT_DV-km'!F17</f>
        <v>478640</v>
      </c>
      <c r="O17" s="30">
        <f>SUM(N17:N18)</f>
        <v>505576</v>
      </c>
    </row>
    <row r="18" spans="1:15" ht="20.100000000000001" customHeight="1">
      <c r="A18" s="49" t="s">
        <v>245</v>
      </c>
      <c r="B18" s="49" t="s">
        <v>245</v>
      </c>
      <c r="C18" s="49" t="s">
        <v>245</v>
      </c>
      <c r="D18" s="51" t="s">
        <v>214</v>
      </c>
      <c r="E18" s="102">
        <v>43.9</v>
      </c>
      <c r="F18" s="102">
        <v>41.7</v>
      </c>
      <c r="G18" s="102">
        <v>46.1</v>
      </c>
      <c r="H18" s="102">
        <v>44</v>
      </c>
      <c r="I18" s="102">
        <v>45</v>
      </c>
      <c r="J18" s="102">
        <v>44.5</v>
      </c>
      <c r="K18" s="102">
        <v>43.9</v>
      </c>
      <c r="L18" s="102">
        <v>43.4</v>
      </c>
      <c r="M18" s="102">
        <v>40.200000000000003</v>
      </c>
      <c r="N18" s="30">
        <f>'BAADTbVT_DV-km'!F18</f>
        <v>26936</v>
      </c>
      <c r="O18" s="30"/>
    </row>
    <row r="19" spans="1:15" ht="20.100000000000001" customHeight="1">
      <c r="A19" s="49" t="s">
        <v>245</v>
      </c>
      <c r="B19" s="49" t="s">
        <v>245</v>
      </c>
      <c r="C19" s="49" t="s">
        <v>245</v>
      </c>
      <c r="D19" s="51" t="s">
        <v>215</v>
      </c>
      <c r="E19" s="103">
        <v>201</v>
      </c>
      <c r="F19" s="103">
        <v>194.8</v>
      </c>
      <c r="G19" s="103">
        <v>193.1</v>
      </c>
      <c r="H19" s="103">
        <v>191.1</v>
      </c>
      <c r="I19" s="103">
        <v>193.1</v>
      </c>
      <c r="J19" s="103">
        <v>195</v>
      </c>
      <c r="K19" s="103">
        <v>193.3</v>
      </c>
      <c r="L19" s="103">
        <v>191.4</v>
      </c>
      <c r="M19" s="103">
        <v>173.9</v>
      </c>
      <c r="N19" s="30">
        <f>'BAADTbVT_DV-km'!F19</f>
        <v>122259</v>
      </c>
      <c r="O19" s="30">
        <f>SUM(N19:N20)</f>
        <v>160590</v>
      </c>
    </row>
    <row r="20" spans="1:15" ht="20.100000000000001" customHeight="1">
      <c r="A20" s="49" t="s">
        <v>245</v>
      </c>
      <c r="B20" s="49" t="s">
        <v>245</v>
      </c>
      <c r="C20" s="51" t="s">
        <v>220</v>
      </c>
      <c r="D20" s="51" t="s">
        <v>57</v>
      </c>
      <c r="E20" s="103">
        <v>42.4</v>
      </c>
      <c r="F20" s="103">
        <v>42.3</v>
      </c>
      <c r="G20" s="103">
        <v>43.1</v>
      </c>
      <c r="H20" s="103">
        <v>43.3</v>
      </c>
      <c r="I20" s="103">
        <v>42.7</v>
      </c>
      <c r="J20" s="103">
        <v>39.1</v>
      </c>
      <c r="K20" s="103">
        <v>33.1</v>
      </c>
      <c r="L20" s="103">
        <v>28.2</v>
      </c>
      <c r="M20" s="103">
        <v>25.2</v>
      </c>
      <c r="N20" s="30">
        <f>'BAADTbVT_DV-km'!F20</f>
        <v>38331</v>
      </c>
      <c r="O20" s="30"/>
    </row>
    <row r="21" spans="1:15" ht="20.100000000000001" customHeight="1">
      <c r="A21" s="49" t="s">
        <v>245</v>
      </c>
      <c r="B21" s="51" t="s">
        <v>222</v>
      </c>
      <c r="C21" s="51" t="s">
        <v>57</v>
      </c>
      <c r="D21" s="51" t="s">
        <v>57</v>
      </c>
      <c r="E21" s="101">
        <v>50.2</v>
      </c>
      <c r="F21" s="101">
        <v>49.9</v>
      </c>
      <c r="G21" s="101">
        <v>49.8</v>
      </c>
      <c r="H21" s="101">
        <v>50.3</v>
      </c>
      <c r="I21" s="101">
        <v>50.2</v>
      </c>
      <c r="J21" s="101">
        <v>50.9</v>
      </c>
      <c r="K21" s="101">
        <v>49.7</v>
      </c>
      <c r="L21" s="101">
        <v>49.4</v>
      </c>
      <c r="M21" s="101">
        <v>49.4</v>
      </c>
      <c r="N21" s="30"/>
      <c r="O21" s="30"/>
    </row>
    <row r="22" spans="1:15" ht="20.100000000000001" customHeight="1">
      <c r="A22" s="49" t="s">
        <v>245</v>
      </c>
      <c r="B22" s="49" t="s">
        <v>245</v>
      </c>
      <c r="C22" s="51" t="s">
        <v>211</v>
      </c>
      <c r="D22" s="51" t="s">
        <v>57</v>
      </c>
      <c r="E22" s="101">
        <v>52.7</v>
      </c>
      <c r="F22" s="101">
        <v>52.3</v>
      </c>
      <c r="G22" s="101">
        <v>51.8</v>
      </c>
      <c r="H22" s="101">
        <v>52.5</v>
      </c>
      <c r="I22" s="101">
        <v>51.7</v>
      </c>
      <c r="J22" s="101">
        <v>52.6</v>
      </c>
      <c r="K22" s="101">
        <v>51.1</v>
      </c>
      <c r="L22" s="101">
        <v>48.3</v>
      </c>
      <c r="M22" s="101">
        <v>48.1</v>
      </c>
      <c r="N22" s="30"/>
      <c r="O22" s="30"/>
    </row>
    <row r="23" spans="1:15" ht="20.100000000000001" customHeight="1">
      <c r="A23" s="49" t="s">
        <v>245</v>
      </c>
      <c r="B23" s="49" t="s">
        <v>245</v>
      </c>
      <c r="C23" s="49" t="s">
        <v>245</v>
      </c>
      <c r="D23" s="51" t="s">
        <v>213</v>
      </c>
      <c r="E23" s="104">
        <v>43.7</v>
      </c>
      <c r="F23" s="104">
        <v>43.6</v>
      </c>
      <c r="G23" s="104">
        <v>43.2</v>
      </c>
      <c r="H23" s="104">
        <v>43.9</v>
      </c>
      <c r="I23" s="104">
        <v>43</v>
      </c>
      <c r="J23" s="104">
        <v>43.7</v>
      </c>
      <c r="K23" s="104">
        <v>42.6</v>
      </c>
      <c r="L23" s="104">
        <v>39.700000000000003</v>
      </c>
      <c r="M23" s="104">
        <v>39.200000000000003</v>
      </c>
      <c r="N23" s="30">
        <f>'BAADTbVT_DV-km'!F23</f>
        <v>2197972</v>
      </c>
      <c r="O23" s="30">
        <f>SUM(N23:N24)</f>
        <v>2484566</v>
      </c>
    </row>
    <row r="24" spans="1:15" ht="20.100000000000001" customHeight="1">
      <c r="A24" s="49" t="s">
        <v>245</v>
      </c>
      <c r="B24" s="49" t="s">
        <v>245</v>
      </c>
      <c r="C24" s="49" t="s">
        <v>245</v>
      </c>
      <c r="D24" s="51" t="s">
        <v>214</v>
      </c>
      <c r="E24" s="104">
        <v>53.3</v>
      </c>
      <c r="F24" s="104">
        <v>51.8</v>
      </c>
      <c r="G24" s="104">
        <v>50.5</v>
      </c>
      <c r="H24" s="104">
        <v>51.4</v>
      </c>
      <c r="I24" s="104">
        <v>51.3</v>
      </c>
      <c r="J24" s="104">
        <v>51.7</v>
      </c>
      <c r="K24" s="104">
        <v>49.3</v>
      </c>
      <c r="L24" s="104">
        <v>46.5</v>
      </c>
      <c r="M24" s="104">
        <v>50.6</v>
      </c>
      <c r="N24" s="30">
        <f>'BAADTbVT_DV-km'!F24</f>
        <v>286594</v>
      </c>
      <c r="O24" s="30"/>
    </row>
    <row r="25" spans="1:15" ht="20.100000000000001" customHeight="1">
      <c r="A25" s="49" t="s">
        <v>245</v>
      </c>
      <c r="B25" s="49" t="s">
        <v>245</v>
      </c>
      <c r="C25" s="49" t="s">
        <v>245</v>
      </c>
      <c r="D25" s="51" t="s">
        <v>215</v>
      </c>
      <c r="E25" s="105">
        <v>130.9</v>
      </c>
      <c r="F25" s="105">
        <v>131</v>
      </c>
      <c r="G25" s="105">
        <v>133</v>
      </c>
      <c r="H25" s="105">
        <v>134.4</v>
      </c>
      <c r="I25" s="105">
        <v>134.5</v>
      </c>
      <c r="J25" s="105">
        <v>137.9</v>
      </c>
      <c r="K25" s="105">
        <v>135.69999999999999</v>
      </c>
      <c r="L25" s="105">
        <v>134.80000000000001</v>
      </c>
      <c r="M25" s="105">
        <v>133.1</v>
      </c>
      <c r="N25" s="30">
        <f>'BAADTbVT_DV-km'!F25</f>
        <v>159926</v>
      </c>
      <c r="O25" s="30">
        <f>N25</f>
        <v>159926</v>
      </c>
    </row>
    <row r="26" spans="1:15" ht="20.100000000000001" customHeight="1">
      <c r="A26" s="49" t="s">
        <v>245</v>
      </c>
      <c r="B26" s="49" t="s">
        <v>245</v>
      </c>
      <c r="C26" s="51" t="s">
        <v>223</v>
      </c>
      <c r="D26" s="51" t="s">
        <v>57</v>
      </c>
      <c r="E26" s="101">
        <v>20.399999999999999</v>
      </c>
      <c r="F26" s="101">
        <v>19.8</v>
      </c>
      <c r="G26" s="101">
        <v>19.3</v>
      </c>
      <c r="H26" s="101">
        <v>19.100000000000001</v>
      </c>
      <c r="I26" s="101">
        <v>19.3</v>
      </c>
      <c r="J26" s="101">
        <v>19.399999999999999</v>
      </c>
      <c r="K26" s="101">
        <v>19</v>
      </c>
      <c r="L26" s="101">
        <v>18.5</v>
      </c>
      <c r="M26" s="101">
        <v>18.600000000000001</v>
      </c>
      <c r="N26" s="30"/>
      <c r="O26" s="30"/>
    </row>
    <row r="27" spans="1:15" ht="20.100000000000001" customHeight="1">
      <c r="A27" s="49" t="s">
        <v>245</v>
      </c>
      <c r="B27" s="49" t="s">
        <v>245</v>
      </c>
      <c r="C27" s="49" t="s">
        <v>245</v>
      </c>
      <c r="D27" s="51" t="s">
        <v>213</v>
      </c>
      <c r="E27" s="104">
        <v>19.899999999999999</v>
      </c>
      <c r="F27" s="104">
        <v>20.399999999999999</v>
      </c>
      <c r="G27" s="104">
        <v>20.9</v>
      </c>
      <c r="H27" s="104">
        <v>21</v>
      </c>
      <c r="I27" s="104">
        <v>21.3</v>
      </c>
      <c r="J27" s="104">
        <v>21.4</v>
      </c>
      <c r="K27" s="104">
        <v>21.7</v>
      </c>
      <c r="L27" s="104">
        <v>21.3</v>
      </c>
      <c r="M27" s="104">
        <v>21.4</v>
      </c>
      <c r="N27" s="30">
        <f>'BAADTbVT_DV-km'!F27</f>
        <v>32903</v>
      </c>
      <c r="O27" s="30">
        <f>SUM(N27:N28)</f>
        <v>46380</v>
      </c>
    </row>
    <row r="28" spans="1:15" ht="20.100000000000001" customHeight="1">
      <c r="A28" s="49" t="s">
        <v>245</v>
      </c>
      <c r="B28" s="49" t="s">
        <v>245</v>
      </c>
      <c r="C28" s="49" t="s">
        <v>245</v>
      </c>
      <c r="D28" s="51" t="s">
        <v>214</v>
      </c>
      <c r="E28" s="104">
        <v>20.399999999999999</v>
      </c>
      <c r="F28" s="104">
        <v>19.3</v>
      </c>
      <c r="G28" s="104">
        <v>18.100000000000001</v>
      </c>
      <c r="H28" s="104">
        <v>17.3</v>
      </c>
      <c r="I28" s="104">
        <v>17</v>
      </c>
      <c r="J28" s="104">
        <v>16.7</v>
      </c>
      <c r="K28" s="104">
        <v>15.6</v>
      </c>
      <c r="L28" s="104">
        <v>14.8</v>
      </c>
      <c r="M28" s="104">
        <v>14.4</v>
      </c>
      <c r="N28" s="30">
        <f>'BAADTbVT_DV-km'!F28</f>
        <v>13477</v>
      </c>
      <c r="O28" s="30"/>
    </row>
    <row r="29" spans="1:15" ht="20.100000000000001" customHeight="1">
      <c r="A29" s="49" t="s">
        <v>245</v>
      </c>
      <c r="B29" s="49" t="s">
        <v>245</v>
      </c>
      <c r="C29" s="49" t="s">
        <v>245</v>
      </c>
      <c r="D29" s="51" t="s">
        <v>215</v>
      </c>
      <c r="E29" s="105">
        <v>21.5</v>
      </c>
      <c r="F29" s="105">
        <v>19.8</v>
      </c>
      <c r="G29" s="105">
        <v>19.100000000000001</v>
      </c>
      <c r="H29" s="105">
        <v>19.3</v>
      </c>
      <c r="I29" s="105">
        <v>20.2</v>
      </c>
      <c r="J29" s="105">
        <v>20.9</v>
      </c>
      <c r="K29" s="105">
        <v>19.7</v>
      </c>
      <c r="L29" s="105">
        <v>19.3</v>
      </c>
      <c r="M29" s="105">
        <v>19.7</v>
      </c>
      <c r="N29" s="30">
        <f>'BAADTbVT_DV-km'!F29</f>
        <v>7048</v>
      </c>
      <c r="O29" s="30">
        <f>N29</f>
        <v>7048</v>
      </c>
    </row>
    <row r="30" spans="1:15" ht="20.100000000000001" customHeight="1">
      <c r="A30" s="49" t="s">
        <v>245</v>
      </c>
      <c r="B30" s="49" t="s">
        <v>245</v>
      </c>
      <c r="C30" s="51" t="s">
        <v>224</v>
      </c>
      <c r="D30" s="51" t="s">
        <v>57</v>
      </c>
      <c r="E30" s="101">
        <v>39.6</v>
      </c>
      <c r="F30" s="101">
        <v>38.799999999999997</v>
      </c>
      <c r="G30" s="101">
        <v>39.6</v>
      </c>
      <c r="H30" s="101">
        <v>38.9</v>
      </c>
      <c r="I30" s="101">
        <v>39.9</v>
      </c>
      <c r="J30" s="101">
        <v>38.200000000000003</v>
      </c>
      <c r="K30" s="101">
        <v>39.4</v>
      </c>
      <c r="L30" s="101">
        <v>39.9</v>
      </c>
      <c r="M30" s="101">
        <v>40.1</v>
      </c>
      <c r="N30" s="30"/>
      <c r="O30" s="30"/>
    </row>
    <row r="31" spans="1:15" ht="20.100000000000001" customHeight="1">
      <c r="A31" s="49" t="s">
        <v>245</v>
      </c>
      <c r="B31" s="49" t="s">
        <v>245</v>
      </c>
      <c r="C31" s="49" t="s">
        <v>245</v>
      </c>
      <c r="D31" s="51" t="s">
        <v>213</v>
      </c>
      <c r="E31" s="104">
        <v>39.299999999999997</v>
      </c>
      <c r="F31" s="104">
        <v>38.9</v>
      </c>
      <c r="G31" s="104">
        <v>40.299999999999997</v>
      </c>
      <c r="H31" s="104">
        <v>39.799999999999997</v>
      </c>
      <c r="I31" s="104">
        <v>41.3</v>
      </c>
      <c r="J31" s="104">
        <v>39.799999999999997</v>
      </c>
      <c r="K31" s="104">
        <v>40.9</v>
      </c>
      <c r="L31" s="104">
        <v>41.6</v>
      </c>
      <c r="M31" s="104">
        <v>41.7</v>
      </c>
      <c r="N31" s="30">
        <f>'BAADTbVT_DV-km'!F31</f>
        <v>332770</v>
      </c>
      <c r="O31" s="30">
        <f>SUM(N31:N32)</f>
        <v>337802</v>
      </c>
    </row>
    <row r="32" spans="1:15" ht="20.100000000000001" customHeight="1">
      <c r="A32" s="49" t="s">
        <v>245</v>
      </c>
      <c r="B32" s="49" t="s">
        <v>245</v>
      </c>
      <c r="C32" s="49" t="s">
        <v>245</v>
      </c>
      <c r="D32" s="51" t="s">
        <v>214</v>
      </c>
      <c r="E32" s="104">
        <v>41.1</v>
      </c>
      <c r="F32" s="104">
        <v>38.700000000000003</v>
      </c>
      <c r="G32" s="104">
        <v>36.9</v>
      </c>
      <c r="H32" s="104">
        <v>34.799999999999997</v>
      </c>
      <c r="I32" s="104">
        <v>33.4</v>
      </c>
      <c r="J32" s="104">
        <v>29.9</v>
      </c>
      <c r="K32" s="104">
        <v>30.4</v>
      </c>
      <c r="L32" s="104">
        <v>28</v>
      </c>
      <c r="M32" s="104">
        <v>26.1</v>
      </c>
      <c r="N32" s="30">
        <f>'BAADTbVT_DV-km'!F32</f>
        <v>5032</v>
      </c>
      <c r="O32" s="30"/>
    </row>
    <row r="33" spans="1:15" ht="20.100000000000001" customHeight="1">
      <c r="A33" s="49" t="s">
        <v>245</v>
      </c>
      <c r="B33" s="49" t="s">
        <v>245</v>
      </c>
      <c r="C33" s="51" t="s">
        <v>220</v>
      </c>
      <c r="D33" s="51" t="s">
        <v>57</v>
      </c>
      <c r="E33" s="105">
        <v>56.7</v>
      </c>
      <c r="F33" s="105">
        <v>57.4</v>
      </c>
      <c r="G33" s="105">
        <v>56.4</v>
      </c>
      <c r="H33" s="105">
        <v>56.1</v>
      </c>
      <c r="I33" s="105">
        <v>57.4</v>
      </c>
      <c r="J33" s="105">
        <v>58.4</v>
      </c>
      <c r="K33" s="105">
        <v>55.2</v>
      </c>
      <c r="L33" s="105">
        <v>65.099999999999994</v>
      </c>
      <c r="M33" s="105">
        <v>64.599999999999994</v>
      </c>
      <c r="N33" s="30">
        <f>'BAADTbVT_DV-km'!F33</f>
        <v>681021</v>
      </c>
      <c r="O33" s="30">
        <f>N33</f>
        <v>681021</v>
      </c>
    </row>
    <row r="34" spans="1:15" ht="20.100000000000001" customHeight="1">
      <c r="A34" s="49" t="s">
        <v>245</v>
      </c>
      <c r="B34" s="51" t="s">
        <v>227</v>
      </c>
      <c r="C34" s="51" t="s">
        <v>57</v>
      </c>
      <c r="D34" s="51" t="s">
        <v>57</v>
      </c>
      <c r="E34" s="101">
        <v>137.30000000000001</v>
      </c>
      <c r="F34" s="101">
        <v>132.69999999999999</v>
      </c>
      <c r="G34" s="101">
        <v>132.5</v>
      </c>
      <c r="H34" s="101">
        <v>129.4</v>
      </c>
      <c r="I34" s="101">
        <v>128.69999999999999</v>
      </c>
      <c r="J34" s="101">
        <v>128</v>
      </c>
      <c r="K34" s="101">
        <v>121.5</v>
      </c>
      <c r="L34" s="101">
        <v>116.9</v>
      </c>
      <c r="M34" s="101">
        <v>108.7</v>
      </c>
      <c r="N34" s="30"/>
      <c r="O34" s="30"/>
    </row>
    <row r="35" spans="1:15" ht="20.100000000000001" customHeight="1">
      <c r="A35" s="49" t="s">
        <v>245</v>
      </c>
      <c r="B35" s="49" t="s">
        <v>245</v>
      </c>
      <c r="C35" s="51" t="s">
        <v>228</v>
      </c>
      <c r="D35" s="51" t="s">
        <v>57</v>
      </c>
      <c r="E35" s="105">
        <v>215.1</v>
      </c>
      <c r="F35" s="105">
        <v>210.9</v>
      </c>
      <c r="G35" s="105">
        <v>212.3</v>
      </c>
      <c r="H35" s="105">
        <v>216.7</v>
      </c>
      <c r="I35" s="105">
        <v>221.7</v>
      </c>
      <c r="J35" s="105">
        <v>228.4</v>
      </c>
      <c r="K35" s="105">
        <v>224.2</v>
      </c>
      <c r="L35" s="105">
        <v>225.3</v>
      </c>
      <c r="M35" s="105">
        <v>220.7</v>
      </c>
      <c r="N35" s="30">
        <f>'BAADTbVT_DV-km'!F35</f>
        <v>40407</v>
      </c>
      <c r="O35" s="30">
        <f>SUM(N35,N37)</f>
        <v>133664</v>
      </c>
    </row>
    <row r="36" spans="1:15" ht="20.100000000000001" customHeight="1">
      <c r="A36" s="49" t="s">
        <v>245</v>
      </c>
      <c r="B36" s="49" t="s">
        <v>245</v>
      </c>
      <c r="C36" s="51" t="s">
        <v>230</v>
      </c>
      <c r="D36" s="51" t="s">
        <v>57</v>
      </c>
      <c r="E36" s="104">
        <v>60</v>
      </c>
      <c r="F36" s="104">
        <v>60</v>
      </c>
      <c r="G36" s="104">
        <v>58.3</v>
      </c>
      <c r="H36" s="104">
        <v>57.4</v>
      </c>
      <c r="I36" s="104">
        <v>59.9</v>
      </c>
      <c r="J36" s="104">
        <v>60.3</v>
      </c>
      <c r="K36" s="104">
        <v>62.2</v>
      </c>
      <c r="L36" s="104">
        <v>60.9</v>
      </c>
      <c r="M36" s="104">
        <v>61.6</v>
      </c>
      <c r="N36" s="30">
        <f>'BAADTbVT_DV-km'!F36</f>
        <v>10226</v>
      </c>
      <c r="O36" s="30">
        <f>N36</f>
        <v>10226</v>
      </c>
    </row>
    <row r="37" spans="1:15" ht="20.100000000000001" customHeight="1">
      <c r="A37" s="106" t="s">
        <v>245</v>
      </c>
      <c r="B37" s="106" t="s">
        <v>245</v>
      </c>
      <c r="C37" s="107" t="s">
        <v>232</v>
      </c>
      <c r="D37" s="107" t="s">
        <v>57</v>
      </c>
      <c r="E37" s="105">
        <v>28.7</v>
      </c>
      <c r="F37" s="105">
        <v>29</v>
      </c>
      <c r="G37" s="105">
        <v>30.2</v>
      </c>
      <c r="H37" s="105">
        <v>30.4</v>
      </c>
      <c r="I37" s="105">
        <v>32</v>
      </c>
      <c r="J37" s="105">
        <v>31.6</v>
      </c>
      <c r="K37" s="105">
        <v>31.1</v>
      </c>
      <c r="L37" s="105">
        <v>30.3</v>
      </c>
      <c r="M37" s="105">
        <v>28.7</v>
      </c>
      <c r="N37" s="30">
        <f>'BAADTbVT_DV-km'!F37</f>
        <v>93257</v>
      </c>
      <c r="O37" s="30"/>
    </row>
    <row r="39" spans="1:15">
      <c r="D39" s="4" t="s">
        <v>246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244</v>
      </c>
    </row>
    <row r="40" spans="1:15">
      <c r="C40" s="179" t="s">
        <v>247</v>
      </c>
      <c r="D40" s="179"/>
      <c r="E40" s="50">
        <f>E23</f>
        <v>43.7</v>
      </c>
      <c r="F40" s="50">
        <f t="shared" ref="F40:L40" si="0">F23</f>
        <v>43.6</v>
      </c>
      <c r="G40" s="50">
        <f t="shared" si="0"/>
        <v>43.2</v>
      </c>
      <c r="H40" s="50">
        <f t="shared" si="0"/>
        <v>43.9</v>
      </c>
      <c r="I40" s="50">
        <f t="shared" si="0"/>
        <v>43</v>
      </c>
      <c r="J40" s="50">
        <f t="shared" si="0"/>
        <v>43.7</v>
      </c>
      <c r="K40" s="50">
        <f t="shared" si="0"/>
        <v>42.6</v>
      </c>
      <c r="L40" s="50">
        <f t="shared" si="0"/>
        <v>39.700000000000003</v>
      </c>
      <c r="M40" s="50">
        <f>M23</f>
        <v>39.200000000000003</v>
      </c>
      <c r="N40" s="22">
        <f>N23</f>
        <v>2197972</v>
      </c>
    </row>
    <row r="41" spans="1:15">
      <c r="C41" s="179"/>
      <c r="D41" s="179"/>
      <c r="E41" s="50">
        <f>E24</f>
        <v>53.3</v>
      </c>
      <c r="F41" s="50">
        <f t="shared" ref="F41:L41" si="1">F24</f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>M24</f>
        <v>50.6</v>
      </c>
      <c r="N41" s="22">
        <f>N24</f>
        <v>286594</v>
      </c>
    </row>
    <row r="42" spans="1:15">
      <c r="C42" s="179"/>
      <c r="D42" s="179"/>
      <c r="E42" s="50">
        <f>E27</f>
        <v>19.899999999999999</v>
      </c>
      <c r="F42" s="50">
        <f t="shared" ref="F42:L42" si="2">F27</f>
        <v>20.399999999999999</v>
      </c>
      <c r="G42" s="50">
        <f t="shared" si="2"/>
        <v>20.9</v>
      </c>
      <c r="H42" s="50">
        <f t="shared" si="2"/>
        <v>21</v>
      </c>
      <c r="I42" s="50">
        <f t="shared" si="2"/>
        <v>21.3</v>
      </c>
      <c r="J42" s="50">
        <f t="shared" si="2"/>
        <v>21.4</v>
      </c>
      <c r="K42" s="50">
        <f t="shared" si="2"/>
        <v>21.7</v>
      </c>
      <c r="L42" s="50">
        <f t="shared" si="2"/>
        <v>21.3</v>
      </c>
      <c r="M42" s="50">
        <f>M27</f>
        <v>21.4</v>
      </c>
      <c r="N42" s="22">
        <f>N27</f>
        <v>32903</v>
      </c>
    </row>
    <row r="43" spans="1:15">
      <c r="C43" s="179"/>
      <c r="D43" s="179"/>
      <c r="E43" s="50">
        <f>E28</f>
        <v>20.399999999999999</v>
      </c>
      <c r="F43" s="50">
        <f t="shared" ref="F43:L43" si="3">F28</f>
        <v>19.3</v>
      </c>
      <c r="G43" s="50">
        <f t="shared" si="3"/>
        <v>18.100000000000001</v>
      </c>
      <c r="H43" s="50">
        <f t="shared" si="3"/>
        <v>17.3</v>
      </c>
      <c r="I43" s="50">
        <f t="shared" si="3"/>
        <v>17</v>
      </c>
      <c r="J43" s="50">
        <f t="shared" si="3"/>
        <v>16.7</v>
      </c>
      <c r="K43" s="50">
        <f t="shared" si="3"/>
        <v>15.6</v>
      </c>
      <c r="L43" s="50">
        <f t="shared" si="3"/>
        <v>14.8</v>
      </c>
      <c r="M43" s="50">
        <f>M28</f>
        <v>14.4</v>
      </c>
      <c r="N43" s="22">
        <f>N28</f>
        <v>13477</v>
      </c>
    </row>
    <row r="44" spans="1:15">
      <c r="C44" s="179"/>
      <c r="D44" s="179"/>
      <c r="E44" s="50">
        <f>E31</f>
        <v>39.299999999999997</v>
      </c>
      <c r="F44" s="50">
        <f t="shared" ref="F44:L44" si="4">F31</f>
        <v>38.9</v>
      </c>
      <c r="G44" s="50">
        <f t="shared" si="4"/>
        <v>40.299999999999997</v>
      </c>
      <c r="H44" s="50">
        <f t="shared" si="4"/>
        <v>39.799999999999997</v>
      </c>
      <c r="I44" s="50">
        <f t="shared" si="4"/>
        <v>41.3</v>
      </c>
      <c r="J44" s="50">
        <f t="shared" si="4"/>
        <v>39.799999999999997</v>
      </c>
      <c r="K44" s="50">
        <f t="shared" si="4"/>
        <v>40.9</v>
      </c>
      <c r="L44" s="50">
        <f t="shared" si="4"/>
        <v>41.6</v>
      </c>
      <c r="M44" s="50">
        <f>M31</f>
        <v>41.7</v>
      </c>
      <c r="N44" s="22">
        <f>N31</f>
        <v>332770</v>
      </c>
    </row>
    <row r="45" spans="1:15">
      <c r="C45" s="179"/>
      <c r="D45" s="179"/>
      <c r="E45" s="50">
        <f>E32</f>
        <v>41.1</v>
      </c>
      <c r="F45" s="50">
        <f t="shared" ref="F45:L45" si="5">F32</f>
        <v>38.700000000000003</v>
      </c>
      <c r="G45" s="50">
        <f t="shared" si="5"/>
        <v>36.9</v>
      </c>
      <c r="H45" s="50">
        <f t="shared" si="5"/>
        <v>34.799999999999997</v>
      </c>
      <c r="I45" s="50">
        <f t="shared" si="5"/>
        <v>33.4</v>
      </c>
      <c r="J45" s="50">
        <f t="shared" si="5"/>
        <v>29.9</v>
      </c>
      <c r="K45" s="50">
        <f t="shared" si="5"/>
        <v>30.4</v>
      </c>
      <c r="L45" s="50">
        <f t="shared" si="5"/>
        <v>28</v>
      </c>
      <c r="M45" s="50">
        <f>M32</f>
        <v>26.1</v>
      </c>
      <c r="N45" s="22">
        <f>N32</f>
        <v>5032</v>
      </c>
    </row>
    <row r="46" spans="1:15">
      <c r="C46" s="179"/>
      <c r="D46" s="179"/>
      <c r="E46" s="50">
        <f>E36</f>
        <v>60</v>
      </c>
      <c r="F46" s="50">
        <f t="shared" ref="F46:L46" si="6">F36</f>
        <v>60</v>
      </c>
      <c r="G46" s="50">
        <f t="shared" si="6"/>
        <v>58.3</v>
      </c>
      <c r="H46" s="50">
        <f t="shared" si="6"/>
        <v>57.4</v>
      </c>
      <c r="I46" s="50">
        <f t="shared" si="6"/>
        <v>59.9</v>
      </c>
      <c r="J46" s="50">
        <f t="shared" si="6"/>
        <v>60.3</v>
      </c>
      <c r="K46" s="50">
        <f t="shared" si="6"/>
        <v>62.2</v>
      </c>
      <c r="L46" s="50">
        <f t="shared" si="6"/>
        <v>60.9</v>
      </c>
      <c r="M46" s="50">
        <f>M36</f>
        <v>61.6</v>
      </c>
      <c r="N46" s="22">
        <f>N36</f>
        <v>10226</v>
      </c>
    </row>
    <row r="47" spans="1:15">
      <c r="N47" s="22"/>
    </row>
    <row r="48" spans="1:15">
      <c r="C48" s="179" t="s">
        <v>248</v>
      </c>
      <c r="D48" s="179"/>
      <c r="E48" s="50">
        <f t="shared" ref="E48:N48" si="7">E25</f>
        <v>130.9</v>
      </c>
      <c r="F48" s="50">
        <f t="shared" si="7"/>
        <v>131</v>
      </c>
      <c r="G48" s="50">
        <f t="shared" si="7"/>
        <v>133</v>
      </c>
      <c r="H48" s="50">
        <f t="shared" si="7"/>
        <v>134.4</v>
      </c>
      <c r="I48" s="50">
        <f t="shared" si="7"/>
        <v>134.5</v>
      </c>
      <c r="J48" s="50">
        <f t="shared" si="7"/>
        <v>137.9</v>
      </c>
      <c r="K48" s="50">
        <f t="shared" si="7"/>
        <v>135.69999999999999</v>
      </c>
      <c r="L48" s="50">
        <f t="shared" si="7"/>
        <v>134.80000000000001</v>
      </c>
      <c r="M48" s="50">
        <f t="shared" si="7"/>
        <v>133.1</v>
      </c>
      <c r="N48" s="22">
        <f t="shared" si="7"/>
        <v>159926</v>
      </c>
    </row>
    <row r="49" spans="1:14">
      <c r="C49" s="179"/>
      <c r="D49" s="179"/>
      <c r="E49" s="50">
        <f t="shared" ref="E49:N49" si="8">E29</f>
        <v>21.5</v>
      </c>
      <c r="F49" s="50">
        <f t="shared" si="8"/>
        <v>19.8</v>
      </c>
      <c r="G49" s="50">
        <f t="shared" si="8"/>
        <v>19.100000000000001</v>
      </c>
      <c r="H49" s="50">
        <f t="shared" si="8"/>
        <v>19.3</v>
      </c>
      <c r="I49" s="50">
        <f t="shared" si="8"/>
        <v>20.2</v>
      </c>
      <c r="J49" s="50">
        <f t="shared" si="8"/>
        <v>20.9</v>
      </c>
      <c r="K49" s="50">
        <f t="shared" si="8"/>
        <v>19.7</v>
      </c>
      <c r="L49" s="50">
        <f t="shared" si="8"/>
        <v>19.3</v>
      </c>
      <c r="M49" s="50">
        <f t="shared" si="8"/>
        <v>19.7</v>
      </c>
      <c r="N49" s="22">
        <f t="shared" si="8"/>
        <v>7048</v>
      </c>
    </row>
    <row r="50" spans="1:14">
      <c r="C50" s="179"/>
      <c r="D50" s="179"/>
      <c r="E50" s="50">
        <f t="shared" ref="E50:N50" si="9">E33</f>
        <v>56.7</v>
      </c>
      <c r="F50" s="50">
        <f t="shared" si="9"/>
        <v>57.4</v>
      </c>
      <c r="G50" s="50">
        <f t="shared" si="9"/>
        <v>56.4</v>
      </c>
      <c r="H50" s="50">
        <f t="shared" si="9"/>
        <v>56.1</v>
      </c>
      <c r="I50" s="50">
        <f t="shared" si="9"/>
        <v>57.4</v>
      </c>
      <c r="J50" s="50">
        <f t="shared" si="9"/>
        <v>58.4</v>
      </c>
      <c r="K50" s="50">
        <f t="shared" si="9"/>
        <v>55.2</v>
      </c>
      <c r="L50" s="50">
        <f t="shared" si="9"/>
        <v>65.099999999999994</v>
      </c>
      <c r="M50" s="50">
        <f t="shared" si="9"/>
        <v>64.599999999999994</v>
      </c>
      <c r="N50" s="22">
        <f t="shared" si="9"/>
        <v>681021</v>
      </c>
    </row>
    <row r="51" spans="1:14">
      <c r="C51" s="179"/>
      <c r="D51" s="179"/>
      <c r="E51" s="50">
        <f t="shared" ref="E51:N51" si="10">E35</f>
        <v>215.1</v>
      </c>
      <c r="F51" s="50">
        <f t="shared" si="10"/>
        <v>210.9</v>
      </c>
      <c r="G51" s="50">
        <f t="shared" si="10"/>
        <v>212.3</v>
      </c>
      <c r="H51" s="50">
        <f t="shared" si="10"/>
        <v>216.7</v>
      </c>
      <c r="I51" s="50">
        <f t="shared" si="10"/>
        <v>221.7</v>
      </c>
      <c r="J51" s="50">
        <f t="shared" si="10"/>
        <v>228.4</v>
      </c>
      <c r="K51" s="50">
        <f t="shared" si="10"/>
        <v>224.2</v>
      </c>
      <c r="L51" s="50">
        <f t="shared" si="10"/>
        <v>225.3</v>
      </c>
      <c r="M51" s="50">
        <f t="shared" si="10"/>
        <v>220.7</v>
      </c>
      <c r="N51" s="22">
        <f t="shared" si="10"/>
        <v>40407</v>
      </c>
    </row>
    <row r="52" spans="1:14">
      <c r="C52" s="179"/>
      <c r="D52" s="179"/>
      <c r="E52" s="50">
        <f t="shared" ref="E52:N52" si="11">E37</f>
        <v>28.7</v>
      </c>
      <c r="F52" s="50">
        <f t="shared" si="11"/>
        <v>29</v>
      </c>
      <c r="G52" s="50">
        <f t="shared" si="11"/>
        <v>30.2</v>
      </c>
      <c r="H52" s="50">
        <f t="shared" si="11"/>
        <v>30.4</v>
      </c>
      <c r="I52" s="50">
        <f t="shared" si="11"/>
        <v>32</v>
      </c>
      <c r="J52" s="50">
        <f t="shared" si="11"/>
        <v>31.6</v>
      </c>
      <c r="K52" s="50">
        <f t="shared" si="11"/>
        <v>31.1</v>
      </c>
      <c r="L52" s="50">
        <f t="shared" si="11"/>
        <v>30.3</v>
      </c>
      <c r="M52" s="50">
        <f t="shared" si="11"/>
        <v>28.7</v>
      </c>
      <c r="N52" s="22">
        <f t="shared" si="11"/>
        <v>93257</v>
      </c>
    </row>
    <row r="58" spans="1:14">
      <c r="E58" s="50"/>
    </row>
    <row r="59" spans="1:14" ht="15" thickBot="1">
      <c r="D59" s="4" t="s">
        <v>246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249</v>
      </c>
    </row>
    <row r="60" spans="1:14">
      <c r="A60" s="188" t="s">
        <v>250</v>
      </c>
      <c r="B60" s="54" t="s">
        <v>251</v>
      </c>
      <c r="C60" s="55" t="s">
        <v>252</v>
      </c>
      <c r="D60" s="55"/>
      <c r="E60" s="55">
        <f t="shared" ref="E60:M60" si="12">SUMPRODUCT(E7:E9,$N$7:$N$9)/SUM($N$7:$N$9)</f>
        <v>34.33402267508329</v>
      </c>
      <c r="F60" s="55">
        <f t="shared" si="12"/>
        <v>32.832119598444798</v>
      </c>
      <c r="G60" s="55">
        <f t="shared" si="12"/>
        <v>33.359701212749172</v>
      </c>
      <c r="H60" s="55">
        <f t="shared" si="12"/>
        <v>33.131869647480627</v>
      </c>
      <c r="I60" s="55">
        <f t="shared" si="12"/>
        <v>32.64908087134804</v>
      </c>
      <c r="J60" s="55">
        <f t="shared" si="12"/>
        <v>32.206191109814746</v>
      </c>
      <c r="K60" s="55">
        <f t="shared" si="12"/>
        <v>32.016403748044382</v>
      </c>
      <c r="L60" s="55">
        <f t="shared" si="12"/>
        <v>31.675754880552621</v>
      </c>
      <c r="M60" s="55">
        <f t="shared" si="12"/>
        <v>30.543871543360869</v>
      </c>
      <c r="N60" s="56">
        <f>O7</f>
        <v>9671497</v>
      </c>
    </row>
    <row r="61" spans="1:14">
      <c r="A61" s="188"/>
      <c r="B61" s="57" t="s">
        <v>251</v>
      </c>
      <c r="C61" s="4" t="s">
        <v>253</v>
      </c>
      <c r="E61" s="50">
        <f t="shared" ref="E61:M61" si="13">E12</f>
        <v>42.4</v>
      </c>
      <c r="F61" s="50">
        <f t="shared" si="13"/>
        <v>40.4</v>
      </c>
      <c r="G61" s="50">
        <f t="shared" si="13"/>
        <v>40.700000000000003</v>
      </c>
      <c r="H61" s="50">
        <f t="shared" si="13"/>
        <v>39.6</v>
      </c>
      <c r="I61" s="50">
        <f t="shared" si="13"/>
        <v>40.6</v>
      </c>
      <c r="J61" s="50">
        <f t="shared" si="13"/>
        <v>40.200000000000003</v>
      </c>
      <c r="K61" s="50">
        <f t="shared" si="13"/>
        <v>40.299999999999997</v>
      </c>
      <c r="L61" s="50">
        <f t="shared" si="13"/>
        <v>39.200000000000003</v>
      </c>
      <c r="M61" s="50">
        <f t="shared" si="13"/>
        <v>39.799999999999997</v>
      </c>
      <c r="N61" s="58">
        <f>O12</f>
        <v>4434476</v>
      </c>
    </row>
    <row r="62" spans="1:14" ht="15" thickBot="1">
      <c r="A62" s="188"/>
      <c r="B62" s="59" t="s">
        <v>254</v>
      </c>
      <c r="C62" s="60" t="s">
        <v>255</v>
      </c>
      <c r="D62" s="60"/>
      <c r="E62" s="60">
        <f t="shared" ref="E62:M62" si="14">SUMPRODUCT(E17:E18,$N$17:$N$18)/SUM($N$17:$N$18)</f>
        <v>40.586472459135713</v>
      </c>
      <c r="F62" s="60">
        <f t="shared" si="14"/>
        <v>35.64097821099103</v>
      </c>
      <c r="G62" s="60">
        <f t="shared" si="14"/>
        <v>39.662289349177968</v>
      </c>
      <c r="H62" s="60">
        <f t="shared" si="14"/>
        <v>36.426222763738785</v>
      </c>
      <c r="I62" s="60">
        <f t="shared" si="14"/>
        <v>38.656961564631231</v>
      </c>
      <c r="J62" s="60">
        <f t="shared" si="14"/>
        <v>36.168845040112664</v>
      </c>
      <c r="K62" s="60">
        <f t="shared" si="14"/>
        <v>36.799583841005109</v>
      </c>
      <c r="L62" s="60">
        <f t="shared" si="14"/>
        <v>34.500811747393072</v>
      </c>
      <c r="M62" s="60">
        <f t="shared" si="14"/>
        <v>35.277044796430211</v>
      </c>
      <c r="N62" s="61">
        <f>O17</f>
        <v>505576</v>
      </c>
    </row>
    <row r="63" spans="1:14">
      <c r="A63" s="188" t="s">
        <v>256</v>
      </c>
      <c r="B63" s="54" t="s">
        <v>251</v>
      </c>
      <c r="C63" s="55" t="s">
        <v>257</v>
      </c>
      <c r="D63" s="55"/>
      <c r="E63" s="62">
        <f t="shared" ref="E63:L63" si="15">E10</f>
        <v>42.7</v>
      </c>
      <c r="F63" s="62">
        <f t="shared" si="15"/>
        <v>40.299999999999997</v>
      </c>
      <c r="G63" s="62">
        <f t="shared" si="15"/>
        <v>40.6</v>
      </c>
      <c r="H63" s="62">
        <f t="shared" si="15"/>
        <v>39.5</v>
      </c>
      <c r="I63" s="62">
        <f t="shared" si="15"/>
        <v>39.700000000000003</v>
      </c>
      <c r="J63" s="62">
        <f t="shared" si="15"/>
        <v>38.9</v>
      </c>
      <c r="K63" s="62">
        <f t="shared" si="15"/>
        <v>38.700000000000003</v>
      </c>
      <c r="L63" s="62">
        <f t="shared" si="15"/>
        <v>36.6</v>
      </c>
      <c r="M63" s="62">
        <f>M10</f>
        <v>36.200000000000003</v>
      </c>
      <c r="N63" s="148">
        <f>O10</f>
        <v>3915864</v>
      </c>
    </row>
    <row r="64" spans="1:14">
      <c r="A64" s="188"/>
      <c r="B64" s="57" t="s">
        <v>251</v>
      </c>
      <c r="C64" s="4" t="s">
        <v>258</v>
      </c>
      <c r="E64" s="50">
        <f t="shared" ref="E64:L64" si="16">E13</f>
        <v>42.7</v>
      </c>
      <c r="F64" s="50">
        <f t="shared" si="16"/>
        <v>41.6</v>
      </c>
      <c r="G64" s="50">
        <f t="shared" si="16"/>
        <v>40.799999999999997</v>
      </c>
      <c r="H64" s="50">
        <f t="shared" si="16"/>
        <v>40.4</v>
      </c>
      <c r="I64" s="50">
        <f t="shared" si="16"/>
        <v>39.9</v>
      </c>
      <c r="J64" s="50">
        <f t="shared" si="16"/>
        <v>39.700000000000003</v>
      </c>
      <c r="K64" s="50">
        <f t="shared" si="16"/>
        <v>39</v>
      </c>
      <c r="L64" s="50">
        <f t="shared" si="16"/>
        <v>38.9</v>
      </c>
      <c r="M64" s="50">
        <f>M13</f>
        <v>38.1</v>
      </c>
      <c r="N64" s="58">
        <f>N13</f>
        <v>2070333</v>
      </c>
    </row>
    <row r="65" spans="1:15">
      <c r="A65" s="188"/>
      <c r="B65" s="57" t="s">
        <v>251</v>
      </c>
      <c r="C65" s="4" t="s">
        <v>259</v>
      </c>
      <c r="E65" s="50">
        <f t="shared" ref="E65:L65" si="17">E14</f>
        <v>39.799999999999997</v>
      </c>
      <c r="F65" s="50">
        <f t="shared" si="17"/>
        <v>38.1</v>
      </c>
      <c r="G65" s="50">
        <f t="shared" si="17"/>
        <v>36.9</v>
      </c>
      <c r="H65" s="50">
        <f t="shared" si="17"/>
        <v>36.299999999999997</v>
      </c>
      <c r="I65" s="50">
        <f t="shared" si="17"/>
        <v>36.6</v>
      </c>
      <c r="J65" s="50">
        <f t="shared" si="17"/>
        <v>36.6</v>
      </c>
      <c r="K65" s="50">
        <f t="shared" si="17"/>
        <v>37.200000000000003</v>
      </c>
      <c r="L65" s="50">
        <f t="shared" si="17"/>
        <v>37.700000000000003</v>
      </c>
      <c r="M65" s="50">
        <f>M14</f>
        <v>38.6</v>
      </c>
      <c r="N65" s="58">
        <f>N14</f>
        <v>1676858</v>
      </c>
    </row>
    <row r="66" spans="1:15">
      <c r="A66" s="188"/>
      <c r="B66" s="57" t="s">
        <v>254</v>
      </c>
      <c r="C66" s="4" t="s">
        <v>257</v>
      </c>
      <c r="E66" s="50">
        <f>E19</f>
        <v>201</v>
      </c>
      <c r="F66" s="50">
        <f t="shared" ref="F66:L66" si="18">F19</f>
        <v>194.8</v>
      </c>
      <c r="G66" s="50">
        <f t="shared" si="18"/>
        <v>193.1</v>
      </c>
      <c r="H66" s="50">
        <f t="shared" si="18"/>
        <v>191.1</v>
      </c>
      <c r="I66" s="50">
        <f t="shared" si="18"/>
        <v>193.1</v>
      </c>
      <c r="J66" s="50">
        <f t="shared" si="18"/>
        <v>195</v>
      </c>
      <c r="K66" s="50">
        <f t="shared" si="18"/>
        <v>193.3</v>
      </c>
      <c r="L66" s="50">
        <f t="shared" si="18"/>
        <v>191.4</v>
      </c>
      <c r="M66" s="50">
        <f>M19</f>
        <v>173.9</v>
      </c>
      <c r="N66" s="58">
        <f>N19</f>
        <v>122259</v>
      </c>
    </row>
    <row r="67" spans="1:15" ht="15" thickBot="1">
      <c r="A67" s="188"/>
      <c r="B67" s="59" t="s">
        <v>254</v>
      </c>
      <c r="C67" s="60" t="s">
        <v>260</v>
      </c>
      <c r="D67" s="60"/>
      <c r="E67" s="63">
        <f>E20</f>
        <v>42.4</v>
      </c>
      <c r="F67" s="63">
        <f t="shared" ref="F67:L67" si="19">F20</f>
        <v>42.3</v>
      </c>
      <c r="G67" s="63">
        <f t="shared" si="19"/>
        <v>43.1</v>
      </c>
      <c r="H67" s="63">
        <f t="shared" si="19"/>
        <v>43.3</v>
      </c>
      <c r="I67" s="63">
        <f t="shared" si="19"/>
        <v>42.7</v>
      </c>
      <c r="J67" s="63">
        <f t="shared" si="19"/>
        <v>39.1</v>
      </c>
      <c r="K67" s="63">
        <f t="shared" si="19"/>
        <v>33.1</v>
      </c>
      <c r="L67" s="63">
        <f t="shared" si="19"/>
        <v>28.2</v>
      </c>
      <c r="M67" s="63">
        <f>M20</f>
        <v>25.2</v>
      </c>
      <c r="N67" s="61">
        <f>N20</f>
        <v>38331</v>
      </c>
    </row>
    <row r="70" spans="1:15">
      <c r="B70" s="83" t="s">
        <v>261</v>
      </c>
    </row>
    <row r="71" spans="1:15" ht="15" thickBot="1"/>
    <row r="72" spans="1:15" ht="15" thickBot="1">
      <c r="B72" s="183" t="s">
        <v>262</v>
      </c>
      <c r="C72" s="55" t="s">
        <v>263</v>
      </c>
      <c r="D72" s="55"/>
      <c r="E72" s="55">
        <f>SUMPRODUCT(E60:E62,$N$60:$N$62)/SUM($N$60:$N$62)</f>
        <v>36.998317296817746</v>
      </c>
      <c r="F72" s="55">
        <f t="shared" ref="F72:L72" si="20">SUMPRODUCT(F60:F62,$N$60:$N$62)/SUM($N$60:$N$62)</f>
        <v>35.226094084891344</v>
      </c>
      <c r="G72" s="55">
        <f t="shared" si="20"/>
        <v>35.805493654368881</v>
      </c>
      <c r="H72" s="55">
        <f t="shared" si="20"/>
        <v>35.208878367379114</v>
      </c>
      <c r="I72" s="55">
        <f t="shared" si="20"/>
        <v>35.269993982157537</v>
      </c>
      <c r="J72" s="55">
        <f t="shared" si="20"/>
        <v>34.769353742029679</v>
      </c>
      <c r="K72" s="55">
        <f t="shared" si="20"/>
        <v>34.695905410165615</v>
      </c>
      <c r="L72" s="55">
        <f t="shared" si="20"/>
        <v>34.057046922266764</v>
      </c>
      <c r="M72" s="55">
        <f>SUMPRODUCT(M60:M62,$N$60:$N$62)/SUM($N$60:$N$62)</f>
        <v>33.516797842583287</v>
      </c>
      <c r="N72" s="78">
        <f>(M72/E72)^(1/8)-1</f>
        <v>-1.2277223783620173E-2</v>
      </c>
    </row>
    <row r="73" spans="1:15" ht="15" thickBot="1">
      <c r="B73" s="182"/>
      <c r="C73" s="60" t="s">
        <v>264</v>
      </c>
      <c r="D73" s="60"/>
      <c r="E73" s="60">
        <f>SUMPRODUCT(E63:E67,$N$63:$N$67)/SUM($N$63:$N$67)</f>
        <v>44.55069902839405</v>
      </c>
      <c r="F73" s="60">
        <f t="shared" ref="F73:L73" si="21">SUMPRODUCT(F63:F67,$N$63:$N$67)/SUM($N$63:$N$67)</f>
        <v>42.596630636998484</v>
      </c>
      <c r="G73" s="60">
        <f t="shared" si="21"/>
        <v>42.25524087557654</v>
      </c>
      <c r="H73" s="60">
        <f t="shared" si="21"/>
        <v>41.439949512024121</v>
      </c>
      <c r="I73" s="60">
        <f t="shared" si="21"/>
        <v>41.500353978228816</v>
      </c>
      <c r="J73" s="60">
        <f t="shared" si="21"/>
        <v>41.059068963379602</v>
      </c>
      <c r="K73" s="60">
        <f t="shared" si="21"/>
        <v>40.846365370616901</v>
      </c>
      <c r="L73" s="60">
        <f t="shared" si="21"/>
        <v>39.822286095547547</v>
      </c>
      <c r="M73" s="60">
        <f>SUMPRODUCT(M63:M67,$N$63:$N$67)/SUM($N$63:$N$67)</f>
        <v>39.315110054201085</v>
      </c>
      <c r="N73" s="78">
        <f>(M73/E73)^(1/8)-1</f>
        <v>-1.5505891317824316E-2</v>
      </c>
    </row>
    <row r="74" spans="1:15" ht="15" thickBot="1">
      <c r="B74" s="181" t="s">
        <v>265</v>
      </c>
      <c r="C74" s="4" t="s">
        <v>263</v>
      </c>
      <c r="E74" s="4">
        <f t="shared" ref="E74:M74" si="22">SUMPRODUCT(E40:E46,$N$40:$N$46)/SUM($N$40:$N$46)</f>
        <v>43.819351373093333</v>
      </c>
      <c r="F74" s="4">
        <f t="shared" si="22"/>
        <v>43.543820506888913</v>
      </c>
      <c r="G74" s="4">
        <f t="shared" si="22"/>
        <v>43.261759710230102</v>
      </c>
      <c r="H74" s="4">
        <f t="shared" si="22"/>
        <v>43.818509475945248</v>
      </c>
      <c r="I74" s="4">
        <f t="shared" si="22"/>
        <v>43.303280370020715</v>
      </c>
      <c r="J74" s="4">
        <f t="shared" si="22"/>
        <v>43.699181340296924</v>
      </c>
      <c r="K74" s="4">
        <f t="shared" si="22"/>
        <v>42.753512431859406</v>
      </c>
      <c r="L74" s="4">
        <f t="shared" si="22"/>
        <v>40.324537248339169</v>
      </c>
      <c r="M74" s="4">
        <f t="shared" si="22"/>
        <v>40.360947198550598</v>
      </c>
      <c r="N74" s="78">
        <f>(M74/E74)^(1/8)-1</f>
        <v>-1.0223984581767875E-2</v>
      </c>
    </row>
    <row r="75" spans="1:15" ht="15" thickBot="1">
      <c r="B75" s="182"/>
      <c r="C75" s="60" t="s">
        <v>264</v>
      </c>
      <c r="D75" s="60"/>
      <c r="E75" s="60">
        <f t="shared" ref="E75:M75" si="23">SUMPRODUCT(E48:E52,$N$48:$N$52)/SUM($N$48:$N$52)</f>
        <v>72.395564753137307</v>
      </c>
      <c r="F75" s="60">
        <f t="shared" si="23"/>
        <v>72.740891796438476</v>
      </c>
      <c r="G75" s="60">
        <f t="shared" si="23"/>
        <v>72.539575045917175</v>
      </c>
      <c r="H75" s="60">
        <f t="shared" si="23"/>
        <v>72.761079560213886</v>
      </c>
      <c r="I75" s="60">
        <f t="shared" si="23"/>
        <v>74.043509915357575</v>
      </c>
      <c r="J75" s="60">
        <f t="shared" si="23"/>
        <v>75.533973609980649</v>
      </c>
      <c r="K75" s="60">
        <f t="shared" si="23"/>
        <v>72.726583365506769</v>
      </c>
      <c r="L75" s="60">
        <f t="shared" si="23"/>
        <v>79.414442795308744</v>
      </c>
      <c r="M75" s="60">
        <f t="shared" si="23"/>
        <v>78.452144380074969</v>
      </c>
      <c r="N75" s="79">
        <f>(M75/E75)^(1/8)-1</f>
        <v>1.0093571887501041E-2</v>
      </c>
    </row>
    <row r="76" spans="1:15" ht="15" thickBot="1"/>
    <row r="77" spans="1:15" ht="15.6" thickTop="1" thickBot="1">
      <c r="B77" s="183" t="s">
        <v>262</v>
      </c>
      <c r="C77" s="55" t="s">
        <v>263</v>
      </c>
      <c r="D77" s="55"/>
      <c r="E77" s="81">
        <v>1458</v>
      </c>
      <c r="F77" s="81">
        <v>1508</v>
      </c>
      <c r="G77" s="81">
        <v>1575</v>
      </c>
      <c r="H77" s="81">
        <v>1656</v>
      </c>
      <c r="I77" s="81">
        <v>1734</v>
      </c>
      <c r="J77" s="81">
        <v>1804</v>
      </c>
      <c r="K77" s="81">
        <v>1868</v>
      </c>
      <c r="L77" s="81">
        <v>1918</v>
      </c>
      <c r="M77" s="81">
        <v>1986</v>
      </c>
      <c r="N77" s="78">
        <f>(M77/E77)^(1/8)-1</f>
        <v>3.938803960192172E-2</v>
      </c>
      <c r="O77" s="25"/>
    </row>
    <row r="78" spans="1:15" ht="15.6" thickTop="1" thickBot="1">
      <c r="B78" s="182"/>
      <c r="C78" s="60" t="s">
        <v>264</v>
      </c>
      <c r="D78" s="55"/>
      <c r="E78" s="82">
        <v>99</v>
      </c>
      <c r="F78" s="82">
        <v>97</v>
      </c>
      <c r="G78" s="82">
        <v>95</v>
      </c>
      <c r="H78" s="82">
        <v>92</v>
      </c>
      <c r="I78" s="82">
        <v>89</v>
      </c>
      <c r="J78" s="82">
        <v>87</v>
      </c>
      <c r="K78" s="82">
        <v>84</v>
      </c>
      <c r="L78" s="82">
        <v>81</v>
      </c>
      <c r="M78" s="82">
        <v>78</v>
      </c>
      <c r="N78" s="78">
        <f>(M78/E78)^(1/8)-1</f>
        <v>-2.9361695407744359E-2</v>
      </c>
      <c r="O78" s="25"/>
    </row>
    <row r="79" spans="1:15" ht="15.6" thickTop="1" thickBot="1">
      <c r="B79" s="181" t="s">
        <v>265</v>
      </c>
      <c r="C79" s="4" t="s">
        <v>263</v>
      </c>
      <c r="D79" s="55"/>
      <c r="E79" s="82">
        <v>324</v>
      </c>
      <c r="F79" s="82">
        <v>329</v>
      </c>
      <c r="G79" s="82">
        <v>335</v>
      </c>
      <c r="H79" s="82">
        <v>343</v>
      </c>
      <c r="I79" s="82">
        <v>349</v>
      </c>
      <c r="J79" s="82">
        <v>354</v>
      </c>
      <c r="K79" s="82">
        <v>359</v>
      </c>
      <c r="L79" s="82">
        <v>359</v>
      </c>
      <c r="M79" s="82">
        <v>362</v>
      </c>
      <c r="N79" s="78">
        <f>(M79/E79)^(1/8)-1</f>
        <v>1.3959118205026488E-2</v>
      </c>
      <c r="O79" s="25"/>
    </row>
    <row r="80" spans="1:15" ht="15.6" thickTop="1" thickBot="1">
      <c r="B80" s="182"/>
      <c r="C80" s="60" t="s">
        <v>264</v>
      </c>
      <c r="D80" s="55"/>
      <c r="E80" s="82">
        <v>324</v>
      </c>
      <c r="F80" s="82">
        <v>329</v>
      </c>
      <c r="G80" s="82">
        <v>335</v>
      </c>
      <c r="H80" s="82">
        <v>343</v>
      </c>
      <c r="I80" s="82">
        <v>349</v>
      </c>
      <c r="J80" s="82">
        <v>354</v>
      </c>
      <c r="K80" s="82">
        <v>359</v>
      </c>
      <c r="L80" s="82">
        <v>359</v>
      </c>
      <c r="M80" s="82">
        <v>362</v>
      </c>
      <c r="N80" s="79">
        <f>(M80/E80)^(1/8)-1</f>
        <v>1.3959118205026488E-2</v>
      </c>
      <c r="O80" s="25"/>
    </row>
    <row r="81" spans="2:36" ht="1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266</v>
      </c>
    </row>
    <row r="82" spans="2:36" ht="15.6" thickTop="1" thickBot="1">
      <c r="B82" s="183" t="s">
        <v>262</v>
      </c>
      <c r="C82" s="55" t="s">
        <v>263</v>
      </c>
      <c r="D82" s="55"/>
      <c r="E82" s="81">
        <f>E72*E77</f>
        <v>53943.546618760272</v>
      </c>
      <c r="F82" s="81">
        <f t="shared" ref="F82:M82" si="24">F72*F77</f>
        <v>53120.949880016145</v>
      </c>
      <c r="G82" s="81">
        <f t="shared" si="24"/>
        <v>56393.652505630991</v>
      </c>
      <c r="H82" s="81">
        <f t="shared" si="24"/>
        <v>58305.902576379813</v>
      </c>
      <c r="I82" s="81">
        <f t="shared" si="24"/>
        <v>61158.169565061173</v>
      </c>
      <c r="J82" s="81">
        <f t="shared" si="24"/>
        <v>62723.914150621538</v>
      </c>
      <c r="K82" s="81">
        <f t="shared" si="24"/>
        <v>64811.951306189367</v>
      </c>
      <c r="L82" s="81">
        <f t="shared" si="24"/>
        <v>65321.41599690765</v>
      </c>
      <c r="M82" s="81">
        <f t="shared" si="24"/>
        <v>66564.360515370412</v>
      </c>
      <c r="N82" s="78">
        <f>(M82/E82)^(1/8)-1</f>
        <v>2.6627240041710687E-2</v>
      </c>
      <c r="O82" s="25">
        <f>(M82-E82)/8</f>
        <v>1577.6017370762675</v>
      </c>
    </row>
    <row r="83" spans="2:36" ht="15.6" thickTop="1" thickBot="1">
      <c r="B83" s="182"/>
      <c r="C83" s="60" t="s">
        <v>264</v>
      </c>
      <c r="D83" s="55"/>
      <c r="E83" s="81">
        <f t="shared" ref="E83:M83" si="25">E73*E78</f>
        <v>4410.5192038110108</v>
      </c>
      <c r="F83" s="81">
        <f t="shared" si="25"/>
        <v>4131.8731717888531</v>
      </c>
      <c r="G83" s="81">
        <f t="shared" si="25"/>
        <v>4014.2478831797712</v>
      </c>
      <c r="H83" s="81">
        <f t="shared" si="25"/>
        <v>3812.475355106219</v>
      </c>
      <c r="I83" s="81">
        <f t="shared" si="25"/>
        <v>3693.5315040623645</v>
      </c>
      <c r="J83" s="81">
        <f t="shared" si="25"/>
        <v>3572.1389998140253</v>
      </c>
      <c r="K83" s="81">
        <f t="shared" si="25"/>
        <v>3431.0946911318197</v>
      </c>
      <c r="L83" s="81">
        <f t="shared" si="25"/>
        <v>3225.6051737393514</v>
      </c>
      <c r="M83" s="81">
        <f t="shared" si="25"/>
        <v>3066.5785842276846</v>
      </c>
      <c r="N83" s="78">
        <f>(M83/E83)^(1/8)-1</f>
        <v>-4.4412307467669221E-2</v>
      </c>
      <c r="O83" s="25">
        <f>(M83-E83)/8</f>
        <v>-167.99257744791578</v>
      </c>
    </row>
    <row r="84" spans="2:36" ht="15.6" thickTop="1" thickBot="1">
      <c r="B84" s="181" t="s">
        <v>265</v>
      </c>
      <c r="C84" s="4" t="s">
        <v>263</v>
      </c>
      <c r="D84" s="55"/>
      <c r="E84" s="81">
        <f t="shared" ref="E84:M84" si="26">E74*E79</f>
        <v>14197.46984488224</v>
      </c>
      <c r="F84" s="81">
        <f t="shared" si="26"/>
        <v>14325.916946766452</v>
      </c>
      <c r="G84" s="81">
        <f t="shared" si="26"/>
        <v>14492.689502927084</v>
      </c>
      <c r="H84" s="81">
        <f t="shared" si="26"/>
        <v>15029.74875024922</v>
      </c>
      <c r="I84" s="81">
        <f t="shared" si="26"/>
        <v>15112.844849137229</v>
      </c>
      <c r="J84" s="81">
        <f t="shared" si="26"/>
        <v>15469.510194465111</v>
      </c>
      <c r="K84" s="81">
        <f t="shared" si="26"/>
        <v>15348.510963037526</v>
      </c>
      <c r="L84" s="81">
        <f t="shared" si="26"/>
        <v>14476.508872153761</v>
      </c>
      <c r="M84" s="81">
        <f t="shared" si="26"/>
        <v>14610.662885875316</v>
      </c>
      <c r="N84" s="78">
        <f>(M84/E84)^(1/8)-1</f>
        <v>3.5924158139553075E-3</v>
      </c>
      <c r="O84" s="25">
        <f>(M84-E84)/8</f>
        <v>51.649130124134444</v>
      </c>
    </row>
    <row r="85" spans="2:36" ht="15.6" thickTop="1" thickBot="1">
      <c r="B85" s="182"/>
      <c r="C85" s="60" t="s">
        <v>264</v>
      </c>
      <c r="D85" s="55"/>
      <c r="E85" s="81">
        <f t="shared" ref="E85:M85" si="27">E75*E80</f>
        <v>23456.162980016488</v>
      </c>
      <c r="F85" s="81">
        <f t="shared" si="27"/>
        <v>23931.753401028258</v>
      </c>
      <c r="G85" s="81">
        <f t="shared" si="27"/>
        <v>24300.757640382253</v>
      </c>
      <c r="H85" s="81">
        <f t="shared" si="27"/>
        <v>24957.050289153362</v>
      </c>
      <c r="I85" s="81">
        <f t="shared" si="27"/>
        <v>25841.184960459792</v>
      </c>
      <c r="J85" s="81">
        <f t="shared" si="27"/>
        <v>26739.026657933151</v>
      </c>
      <c r="K85" s="81">
        <f t="shared" si="27"/>
        <v>26108.843428216929</v>
      </c>
      <c r="L85" s="81">
        <f t="shared" si="27"/>
        <v>28509.784963515838</v>
      </c>
      <c r="M85" s="81">
        <f t="shared" si="27"/>
        <v>28399.676265587139</v>
      </c>
      <c r="N85" s="79">
        <f>(M85/E85)^(1/8)-1</f>
        <v>2.4193587455615839E-2</v>
      </c>
      <c r="O85" s="25">
        <f>(M85-E85)/8</f>
        <v>617.93916069633133</v>
      </c>
    </row>
    <row r="88" spans="2:36" ht="1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" thickBot="1">
      <c r="B89" s="183" t="s">
        <v>262</v>
      </c>
      <c r="C89" s="55" t="s">
        <v>263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28">F89+$O82</f>
        <v>68476.619471060185</v>
      </c>
      <c r="H89" s="45">
        <f t="shared" si="28"/>
        <v>70054.221208136456</v>
      </c>
      <c r="I89" s="45">
        <f t="shared" si="28"/>
        <v>71631.822945212727</v>
      </c>
      <c r="J89" s="45">
        <f t="shared" si="28"/>
        <v>73209.424682288998</v>
      </c>
      <c r="K89" s="45">
        <f t="shared" si="28"/>
        <v>74787.026419365269</v>
      </c>
      <c r="L89" s="45">
        <f t="shared" si="28"/>
        <v>76364.62815644154</v>
      </c>
      <c r="M89" s="45">
        <f t="shared" si="28"/>
        <v>77942.229893517811</v>
      </c>
      <c r="N89" s="45">
        <f t="shared" si="28"/>
        <v>79519.831630594083</v>
      </c>
      <c r="O89" s="45">
        <f t="shared" si="28"/>
        <v>81097.433367670354</v>
      </c>
      <c r="P89" s="45">
        <f t="shared" si="28"/>
        <v>82675.035104746625</v>
      </c>
      <c r="Q89" s="45">
        <f t="shared" si="28"/>
        <v>84252.636841822896</v>
      </c>
      <c r="R89" s="45">
        <f t="shared" si="28"/>
        <v>85830.238578899167</v>
      </c>
      <c r="S89" s="45">
        <f t="shared" si="28"/>
        <v>87407.840315975438</v>
      </c>
      <c r="T89" s="45">
        <f t="shared" si="28"/>
        <v>88985.442053051709</v>
      </c>
      <c r="U89" s="45">
        <f t="shared" si="28"/>
        <v>90563.04379012798</v>
      </c>
      <c r="V89" s="45">
        <f t="shared" si="28"/>
        <v>92140.645527204251</v>
      </c>
      <c r="W89" s="45">
        <f t="shared" si="28"/>
        <v>93718.247264280522</v>
      </c>
      <c r="X89" s="45">
        <f t="shared" si="28"/>
        <v>95295.849001356793</v>
      </c>
      <c r="Y89" s="45">
        <f t="shared" si="28"/>
        <v>96873.450738433065</v>
      </c>
      <c r="Z89" s="45">
        <f t="shared" si="28"/>
        <v>98451.052475509336</v>
      </c>
      <c r="AA89" s="45">
        <f t="shared" si="28"/>
        <v>100028.65421258561</v>
      </c>
      <c r="AB89" s="45">
        <f t="shared" si="28"/>
        <v>101606.25594966188</v>
      </c>
      <c r="AC89" s="45">
        <f t="shared" si="28"/>
        <v>103183.85768673815</v>
      </c>
      <c r="AD89" s="45">
        <f t="shared" si="28"/>
        <v>104761.45942381442</v>
      </c>
      <c r="AE89" s="45">
        <f t="shared" si="28"/>
        <v>106339.06116089069</v>
      </c>
      <c r="AF89" s="45">
        <f t="shared" si="28"/>
        <v>107916.66289796696</v>
      </c>
      <c r="AG89" s="45">
        <f t="shared" si="28"/>
        <v>109494.26463504323</v>
      </c>
      <c r="AH89" s="45">
        <f t="shared" si="28"/>
        <v>111071.8663721195</v>
      </c>
      <c r="AI89" s="45">
        <f t="shared" si="28"/>
        <v>112649.46810919578</v>
      </c>
      <c r="AJ89" s="45">
        <f t="shared" si="28"/>
        <v>114227.06984627205</v>
      </c>
    </row>
    <row r="90" spans="2:36" ht="15" thickBot="1">
      <c r="B90" s="182"/>
      <c r="C90" s="60" t="s">
        <v>264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29">F90+$O83</f>
        <v>2889.62001884352</v>
      </c>
      <c r="H90" s="45">
        <f t="shared" si="29"/>
        <v>2721.6274413956044</v>
      </c>
      <c r="I90" s="45">
        <f t="shared" si="29"/>
        <v>2553.6348639476887</v>
      </c>
      <c r="J90" s="45">
        <f t="shared" si="29"/>
        <v>2385.642286499773</v>
      </c>
      <c r="K90" s="45">
        <f t="shared" si="29"/>
        <v>2217.6497090518574</v>
      </c>
      <c r="L90" s="45">
        <f t="shared" si="29"/>
        <v>2049.6571316039417</v>
      </c>
      <c r="M90" s="45">
        <f t="shared" si="29"/>
        <v>1881.664554156026</v>
      </c>
      <c r="N90" s="45">
        <f t="shared" si="29"/>
        <v>1713.6719767081104</v>
      </c>
      <c r="O90" s="45">
        <f t="shared" si="29"/>
        <v>1545.6793992601947</v>
      </c>
      <c r="P90" s="45">
        <f t="shared" si="29"/>
        <v>1377.686821812279</v>
      </c>
      <c r="Q90" s="45">
        <f t="shared" si="29"/>
        <v>1209.6942443643634</v>
      </c>
      <c r="R90" s="45">
        <f t="shared" si="29"/>
        <v>1041.7016669164477</v>
      </c>
      <c r="S90" s="45">
        <f t="shared" si="29"/>
        <v>873.70908946853194</v>
      </c>
      <c r="T90" s="45">
        <f t="shared" si="29"/>
        <v>705.71651202061616</v>
      </c>
      <c r="U90" s="45">
        <f t="shared" si="29"/>
        <v>537.72393457270039</v>
      </c>
      <c r="V90" s="45">
        <f t="shared" si="28"/>
        <v>369.73135712478461</v>
      </c>
      <c r="W90" s="45">
        <f t="shared" si="28"/>
        <v>201.73877967686883</v>
      </c>
      <c r="X90" s="45">
        <f t="shared" si="28"/>
        <v>33.746202228953052</v>
      </c>
      <c r="Y90" s="45">
        <f t="shared" si="28"/>
        <v>-134.24637521896273</v>
      </c>
      <c r="Z90" s="45">
        <f t="shared" si="28"/>
        <v>-302.2389526668785</v>
      </c>
      <c r="AA90" s="45">
        <f t="shared" si="28"/>
        <v>-470.23153011479428</v>
      </c>
      <c r="AB90" s="45">
        <f t="shared" si="28"/>
        <v>-638.22410756271006</v>
      </c>
      <c r="AC90" s="45">
        <f t="shared" si="28"/>
        <v>-806.21668501062584</v>
      </c>
      <c r="AD90" s="45">
        <f t="shared" si="28"/>
        <v>-974.20926245854162</v>
      </c>
      <c r="AE90" s="45">
        <f t="shared" si="28"/>
        <v>-1142.2018399064573</v>
      </c>
      <c r="AF90" s="45">
        <f t="shared" si="28"/>
        <v>-1310.1944173543729</v>
      </c>
      <c r="AG90" s="45">
        <f t="shared" si="28"/>
        <v>-1478.1869948022886</v>
      </c>
      <c r="AH90" s="45">
        <f t="shared" si="28"/>
        <v>-1646.1795722502043</v>
      </c>
      <c r="AI90" s="45">
        <f t="shared" si="28"/>
        <v>-1814.1721496981199</v>
      </c>
      <c r="AJ90" s="45">
        <f t="shared" si="28"/>
        <v>-1982.1647271460356</v>
      </c>
    </row>
    <row r="91" spans="2:36" ht="15" thickBot="1">
      <c r="B91" s="181" t="s">
        <v>265</v>
      </c>
      <c r="C91" s="4" t="s">
        <v>263</v>
      </c>
      <c r="D91" s="55"/>
      <c r="E91" s="45">
        <f>L84</f>
        <v>14476.508872153761</v>
      </c>
      <c r="F91" s="45">
        <f>E91+$O84</f>
        <v>14528.158002277896</v>
      </c>
      <c r="G91" s="45">
        <f t="shared" si="28"/>
        <v>14579.807132402031</v>
      </c>
      <c r="H91" s="45">
        <f t="shared" si="28"/>
        <v>14631.456262526166</v>
      </c>
      <c r="I91" s="45">
        <f t="shared" si="28"/>
        <v>14683.105392650301</v>
      </c>
      <c r="J91" s="45">
        <f t="shared" si="28"/>
        <v>14734.754522774436</v>
      </c>
      <c r="K91" s="45">
        <f t="shared" si="28"/>
        <v>14786.403652898571</v>
      </c>
      <c r="L91" s="45">
        <f t="shared" si="28"/>
        <v>14838.052783022706</v>
      </c>
      <c r="M91" s="45">
        <f t="shared" si="28"/>
        <v>14889.701913146841</v>
      </c>
      <c r="N91" s="45">
        <f t="shared" si="28"/>
        <v>14941.351043270975</v>
      </c>
      <c r="O91" s="45">
        <f t="shared" si="28"/>
        <v>14993.00017339511</v>
      </c>
      <c r="P91" s="45">
        <f t="shared" si="28"/>
        <v>15044.649303519245</v>
      </c>
      <c r="Q91" s="45">
        <f t="shared" si="28"/>
        <v>15096.29843364338</v>
      </c>
      <c r="R91" s="45">
        <f t="shared" si="28"/>
        <v>15147.947563767515</v>
      </c>
      <c r="S91" s="45">
        <f t="shared" si="28"/>
        <v>15199.59669389165</v>
      </c>
      <c r="T91" s="45">
        <f t="shared" si="28"/>
        <v>15251.245824015785</v>
      </c>
      <c r="U91" s="45">
        <f t="shared" si="28"/>
        <v>15302.89495413992</v>
      </c>
      <c r="V91" s="45">
        <f t="shared" si="28"/>
        <v>15354.544084264055</v>
      </c>
      <c r="W91" s="45">
        <f t="shared" si="28"/>
        <v>15406.19321438819</v>
      </c>
      <c r="X91" s="45">
        <f t="shared" si="28"/>
        <v>15457.842344512324</v>
      </c>
      <c r="Y91" s="45">
        <f t="shared" si="28"/>
        <v>15509.491474636459</v>
      </c>
      <c r="Z91" s="45">
        <f t="shared" si="28"/>
        <v>15561.140604760594</v>
      </c>
      <c r="AA91" s="45">
        <f t="shared" si="28"/>
        <v>15612.789734884729</v>
      </c>
      <c r="AB91" s="45">
        <f t="shared" si="28"/>
        <v>15664.438865008864</v>
      </c>
      <c r="AC91" s="45">
        <f t="shared" si="28"/>
        <v>15716.087995132999</v>
      </c>
      <c r="AD91" s="45">
        <f t="shared" si="28"/>
        <v>15767.737125257134</v>
      </c>
      <c r="AE91" s="45">
        <f t="shared" si="28"/>
        <v>15819.386255381269</v>
      </c>
      <c r="AF91" s="45">
        <f t="shared" si="28"/>
        <v>15871.035385505404</v>
      </c>
      <c r="AG91" s="45">
        <f t="shared" si="28"/>
        <v>15922.684515629539</v>
      </c>
      <c r="AH91" s="45">
        <f t="shared" si="28"/>
        <v>15974.333645753673</v>
      </c>
      <c r="AI91" s="45">
        <f t="shared" si="28"/>
        <v>16025.982775877808</v>
      </c>
      <c r="AJ91" s="45">
        <f t="shared" si="28"/>
        <v>16077.631906001943</v>
      </c>
    </row>
    <row r="92" spans="2:36" ht="15" thickBot="1">
      <c r="B92" s="182"/>
      <c r="C92" s="60" t="s">
        <v>264</v>
      </c>
      <c r="D92" s="55"/>
      <c r="E92" s="45">
        <f>L85</f>
        <v>28509.784963515838</v>
      </c>
      <c r="F92" s="45">
        <f>E92+$O85</f>
        <v>29127.724124212171</v>
      </c>
      <c r="G92" s="45">
        <f t="shared" si="28"/>
        <v>29745.663284908504</v>
      </c>
      <c r="H92" s="45">
        <f t="shared" si="28"/>
        <v>30363.602445604836</v>
      </c>
      <c r="I92" s="45">
        <f t="shared" si="28"/>
        <v>30981.541606301169</v>
      </c>
      <c r="J92" s="45">
        <f t="shared" si="28"/>
        <v>31599.480766997502</v>
      </c>
      <c r="K92" s="45">
        <f t="shared" si="28"/>
        <v>32217.419927693834</v>
      </c>
      <c r="L92" s="45">
        <f t="shared" si="28"/>
        <v>32835.359088390163</v>
      </c>
      <c r="M92" s="45">
        <f t="shared" si="28"/>
        <v>33453.298249086496</v>
      </c>
      <c r="N92" s="45">
        <f t="shared" si="28"/>
        <v>34071.237409782829</v>
      </c>
      <c r="O92" s="45">
        <f t="shared" si="28"/>
        <v>34689.176570479161</v>
      </c>
      <c r="P92" s="45">
        <f t="shared" si="28"/>
        <v>35307.115731175494</v>
      </c>
      <c r="Q92" s="45">
        <f t="shared" si="28"/>
        <v>35925.054891871827</v>
      </c>
      <c r="R92" s="45">
        <f t="shared" si="28"/>
        <v>36542.99405256816</v>
      </c>
      <c r="S92" s="45">
        <f t="shared" si="28"/>
        <v>37160.933213264492</v>
      </c>
      <c r="T92" s="45">
        <f t="shared" si="28"/>
        <v>37778.872373960825</v>
      </c>
      <c r="U92" s="45">
        <f t="shared" si="28"/>
        <v>38396.811534657158</v>
      </c>
      <c r="V92" s="45">
        <f t="shared" si="28"/>
        <v>39014.75069535349</v>
      </c>
      <c r="W92" s="45">
        <f t="shared" si="28"/>
        <v>39632.689856049823</v>
      </c>
      <c r="X92" s="45">
        <f t="shared" si="28"/>
        <v>40250.629016746156</v>
      </c>
      <c r="Y92" s="45">
        <f t="shared" si="28"/>
        <v>40868.568177442488</v>
      </c>
      <c r="Z92" s="45">
        <f t="shared" si="28"/>
        <v>41486.507338138821</v>
      </c>
      <c r="AA92" s="45">
        <f t="shared" si="28"/>
        <v>42104.446498835154</v>
      </c>
      <c r="AB92" s="45">
        <f t="shared" si="28"/>
        <v>42722.385659531486</v>
      </c>
      <c r="AC92" s="45">
        <f t="shared" si="28"/>
        <v>43340.324820227819</v>
      </c>
      <c r="AD92" s="45">
        <f t="shared" si="28"/>
        <v>43958.263980924152</v>
      </c>
      <c r="AE92" s="45">
        <f t="shared" si="28"/>
        <v>44576.203141620485</v>
      </c>
      <c r="AF92" s="45">
        <f t="shared" si="28"/>
        <v>45194.142302316817</v>
      </c>
      <c r="AG92" s="45">
        <f t="shared" si="28"/>
        <v>45812.08146301315</v>
      </c>
      <c r="AH92" s="45">
        <f t="shared" si="28"/>
        <v>46430.020623709483</v>
      </c>
      <c r="AI92" s="45">
        <f t="shared" si="28"/>
        <v>47047.959784405815</v>
      </c>
      <c r="AJ92" s="45">
        <f t="shared" si="28"/>
        <v>47665.898945102148</v>
      </c>
    </row>
  </sheetData>
  <mergeCells count="17">
    <mergeCell ref="B89:B90"/>
    <mergeCell ref="B91:B92"/>
    <mergeCell ref="B79:B80"/>
    <mergeCell ref="B77:B78"/>
    <mergeCell ref="B82:B83"/>
    <mergeCell ref="B84:B85"/>
    <mergeCell ref="D1:D3"/>
    <mergeCell ref="N2:N3"/>
    <mergeCell ref="B72:B73"/>
    <mergeCell ref="B74:B75"/>
    <mergeCell ref="A1:A3"/>
    <mergeCell ref="B1:B3"/>
    <mergeCell ref="C1:C3"/>
    <mergeCell ref="A60:A62"/>
    <mergeCell ref="A63:A67"/>
    <mergeCell ref="C40:D46"/>
    <mergeCell ref="C48:D52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4.4"/>
  <cols>
    <col min="1" max="1" width="19" customWidth="1"/>
  </cols>
  <sheetData>
    <row r="1" spans="1:21">
      <c r="A1" s="189" t="s">
        <v>267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</row>
    <row r="3" spans="1:21">
      <c r="A3" s="108" t="s">
        <v>268</v>
      </c>
      <c r="B3" s="108" t="s">
        <v>269</v>
      </c>
      <c r="C3" s="108" t="s">
        <v>270</v>
      </c>
      <c r="D3" s="108" t="s">
        <v>271</v>
      </c>
      <c r="E3" s="108" t="s">
        <v>272</v>
      </c>
      <c r="F3" s="108" t="s">
        <v>273</v>
      </c>
      <c r="G3" s="108" t="s">
        <v>274</v>
      </c>
      <c r="H3" s="108" t="s">
        <v>275</v>
      </c>
      <c r="I3" s="108" t="s">
        <v>276</v>
      </c>
      <c r="J3" s="108" t="s">
        <v>277</v>
      </c>
      <c r="K3" s="108" t="s">
        <v>278</v>
      </c>
      <c r="L3" s="108" t="s">
        <v>279</v>
      </c>
      <c r="M3" s="108" t="s">
        <v>280</v>
      </c>
      <c r="N3" s="108" t="s">
        <v>281</v>
      </c>
      <c r="O3" s="108" t="s">
        <v>282</v>
      </c>
      <c r="P3" s="108" t="s">
        <v>283</v>
      </c>
      <c r="Q3" s="108" t="s">
        <v>284</v>
      </c>
      <c r="R3" s="108" t="s">
        <v>285</v>
      </c>
      <c r="S3" s="108" t="s">
        <v>286</v>
      </c>
      <c r="T3" s="108" t="s">
        <v>287</v>
      </c>
      <c r="U3" s="108" t="s">
        <v>288</v>
      </c>
    </row>
    <row r="4" spans="1:21">
      <c r="A4" s="109" t="s">
        <v>289</v>
      </c>
      <c r="B4" s="110">
        <v>145966962</v>
      </c>
      <c r="C4" s="110">
        <v>24032703349.799999</v>
      </c>
      <c r="D4" s="110">
        <v>50676590</v>
      </c>
      <c r="E4" s="110">
        <v>2574826</v>
      </c>
      <c r="F4" s="110">
        <v>54953394</v>
      </c>
      <c r="G4" s="110">
        <v>98356</v>
      </c>
      <c r="H4" s="110">
        <v>2170961</v>
      </c>
      <c r="I4" s="110">
        <v>14397753</v>
      </c>
      <c r="J4" s="110">
        <v>8822135</v>
      </c>
      <c r="K4" s="110">
        <v>6055793</v>
      </c>
      <c r="L4" s="110">
        <v>5837108</v>
      </c>
      <c r="M4" s="110">
        <v>12516805081.700001</v>
      </c>
      <c r="N4" s="110">
        <v>277945321.5</v>
      </c>
      <c r="O4" s="110">
        <v>5142229708.6000004</v>
      </c>
      <c r="P4" s="110">
        <v>3599159.8</v>
      </c>
      <c r="Q4" s="110">
        <v>184719636.19999999</v>
      </c>
      <c r="R4" s="110">
        <v>3269489589.5</v>
      </c>
      <c r="S4" s="110">
        <v>1120628230</v>
      </c>
      <c r="T4" s="110">
        <v>437791017.39999998</v>
      </c>
      <c r="U4" s="110">
        <v>1074619275.0999999</v>
      </c>
    </row>
    <row r="5" spans="1:21">
      <c r="A5" s="109" t="s">
        <v>290</v>
      </c>
      <c r="B5" s="110">
        <v>12712280</v>
      </c>
      <c r="C5" s="110">
        <v>2103078249.2</v>
      </c>
      <c r="D5" s="110">
        <v>4559033</v>
      </c>
      <c r="E5" s="110">
        <v>203288</v>
      </c>
      <c r="F5" s="110">
        <v>4606108</v>
      </c>
      <c r="G5" s="110">
        <v>0</v>
      </c>
      <c r="H5" s="110">
        <v>190912</v>
      </c>
      <c r="I5" s="110">
        <v>1310086</v>
      </c>
      <c r="J5" s="110">
        <v>787485</v>
      </c>
      <c r="K5" s="110">
        <v>491991</v>
      </c>
      <c r="L5" s="110">
        <v>531912</v>
      </c>
      <c r="M5" s="110">
        <v>1122829600.4000001</v>
      </c>
      <c r="N5" s="110">
        <v>20689576.100000001</v>
      </c>
      <c r="O5" s="110">
        <v>423928885.69999999</v>
      </c>
      <c r="P5" s="110">
        <v>0</v>
      </c>
      <c r="Q5" s="110">
        <v>15778589.1</v>
      </c>
      <c r="R5" s="110">
        <v>288475791</v>
      </c>
      <c r="S5" s="110">
        <v>98438779.599999994</v>
      </c>
      <c r="T5" s="110">
        <v>35676501.899999999</v>
      </c>
      <c r="U5" s="110">
        <v>96853276.400000006</v>
      </c>
    </row>
    <row r="6" spans="1:21">
      <c r="A6" s="109" t="s">
        <v>291</v>
      </c>
      <c r="B6" s="110">
        <v>12283577</v>
      </c>
      <c r="C6" s="110">
        <v>2012396494.8</v>
      </c>
      <c r="D6" s="110">
        <v>4491635</v>
      </c>
      <c r="E6" s="110">
        <v>201229</v>
      </c>
      <c r="F6" s="110">
        <v>4412512</v>
      </c>
      <c r="G6" s="110">
        <v>0</v>
      </c>
      <c r="H6" s="110">
        <v>190421</v>
      </c>
      <c r="I6" s="110">
        <v>1218948</v>
      </c>
      <c r="J6" s="110">
        <v>791845</v>
      </c>
      <c r="K6" s="110">
        <v>501614</v>
      </c>
      <c r="L6" s="110">
        <v>452535</v>
      </c>
      <c r="M6" s="110">
        <v>1093657270.5</v>
      </c>
      <c r="N6" s="110">
        <v>21762718</v>
      </c>
      <c r="O6" s="110">
        <v>400700363.30000001</v>
      </c>
      <c r="P6" s="110">
        <v>0</v>
      </c>
      <c r="Q6" s="110">
        <v>15525968.4</v>
      </c>
      <c r="R6" s="110">
        <v>266113052.09999999</v>
      </c>
      <c r="S6" s="110">
        <v>97498622.400000006</v>
      </c>
      <c r="T6" s="110">
        <v>36376036.899999999</v>
      </c>
      <c r="U6" s="110">
        <v>80480124.200000003</v>
      </c>
    </row>
    <row r="7" spans="1:21">
      <c r="A7" s="109" t="s">
        <v>292</v>
      </c>
      <c r="B7" s="110">
        <v>12563757</v>
      </c>
      <c r="C7" s="110">
        <v>2051290651.8</v>
      </c>
      <c r="D7" s="110">
        <v>4412644</v>
      </c>
      <c r="E7" s="110">
        <v>222149</v>
      </c>
      <c r="F7" s="110">
        <v>4619113</v>
      </c>
      <c r="G7" s="110">
        <v>0</v>
      </c>
      <c r="H7" s="110">
        <v>199016</v>
      </c>
      <c r="I7" s="110">
        <v>1248712</v>
      </c>
      <c r="J7" s="110">
        <v>786100</v>
      </c>
      <c r="K7" s="110">
        <v>545794</v>
      </c>
      <c r="L7" s="110">
        <v>497597</v>
      </c>
      <c r="M7" s="110">
        <v>1084457401.7</v>
      </c>
      <c r="N7" s="110">
        <v>24737098.100000001</v>
      </c>
      <c r="O7" s="110">
        <v>423702445.39999998</v>
      </c>
      <c r="P7" s="110">
        <v>0</v>
      </c>
      <c r="Q7" s="110">
        <v>16248521</v>
      </c>
      <c r="R7" s="110">
        <v>276114924.30000001</v>
      </c>
      <c r="S7" s="110">
        <v>96222718.599999994</v>
      </c>
      <c r="T7" s="110">
        <v>39758413.399999999</v>
      </c>
      <c r="U7" s="110">
        <v>89639839.299999997</v>
      </c>
    </row>
    <row r="8" spans="1:21">
      <c r="A8" s="109" t="s">
        <v>293</v>
      </c>
      <c r="B8" s="110">
        <v>12133823</v>
      </c>
      <c r="C8" s="110">
        <v>1996316889.7</v>
      </c>
      <c r="D8" s="110">
        <v>4151026</v>
      </c>
      <c r="E8" s="110">
        <v>211730</v>
      </c>
      <c r="F8" s="110">
        <v>4612431</v>
      </c>
      <c r="G8" s="110">
        <v>0</v>
      </c>
      <c r="H8" s="110">
        <v>195275</v>
      </c>
      <c r="I8" s="110">
        <v>1237012</v>
      </c>
      <c r="J8" s="110">
        <v>736330</v>
      </c>
      <c r="K8" s="110">
        <v>499492</v>
      </c>
      <c r="L8" s="110">
        <v>461094</v>
      </c>
      <c r="M8" s="110">
        <v>1027408546.6</v>
      </c>
      <c r="N8" s="110">
        <v>24259617.600000001</v>
      </c>
      <c r="O8" s="110">
        <v>436476777.19999999</v>
      </c>
      <c r="P8" s="110">
        <v>0</v>
      </c>
      <c r="Q8" s="110">
        <v>16622442.1</v>
      </c>
      <c r="R8" s="110">
        <v>276899640.89999998</v>
      </c>
      <c r="S8" s="110">
        <v>95175596.200000003</v>
      </c>
      <c r="T8" s="110">
        <v>36389279.600000001</v>
      </c>
      <c r="U8" s="110">
        <v>82715844.5</v>
      </c>
    </row>
    <row r="9" spans="1:21">
      <c r="A9" s="109" t="s">
        <v>294</v>
      </c>
      <c r="B9" s="110">
        <v>12658841</v>
      </c>
      <c r="C9" s="110">
        <v>2141027875.2</v>
      </c>
      <c r="D9" s="110">
        <v>4317003</v>
      </c>
      <c r="E9" s="110">
        <v>224074</v>
      </c>
      <c r="F9" s="110">
        <v>4721313</v>
      </c>
      <c r="G9" s="110">
        <v>0</v>
      </c>
      <c r="H9" s="110">
        <v>190597</v>
      </c>
      <c r="I9" s="110">
        <v>1280732</v>
      </c>
      <c r="J9" s="110">
        <v>758602</v>
      </c>
      <c r="K9" s="110">
        <v>548014</v>
      </c>
      <c r="L9" s="110">
        <v>578787</v>
      </c>
      <c r="M9" s="110">
        <v>1102517515.7</v>
      </c>
      <c r="N9" s="110">
        <v>23964619.300000001</v>
      </c>
      <c r="O9" s="110">
        <v>458993003.39999998</v>
      </c>
      <c r="P9" s="110">
        <v>0</v>
      </c>
      <c r="Q9" s="110">
        <v>16373678</v>
      </c>
      <c r="R9" s="110">
        <v>290060068.80000001</v>
      </c>
      <c r="S9" s="110">
        <v>101028610.2</v>
      </c>
      <c r="T9" s="110">
        <v>39332539.899999999</v>
      </c>
      <c r="U9" s="110">
        <v>108227845.90000001</v>
      </c>
    </row>
    <row r="10" spans="1:21">
      <c r="A10" s="109" t="s">
        <v>295</v>
      </c>
      <c r="B10" s="110">
        <v>11807648</v>
      </c>
      <c r="C10" s="110">
        <v>1953652296.4000001</v>
      </c>
      <c r="D10" s="110">
        <v>3996755</v>
      </c>
      <c r="E10" s="110">
        <v>196214</v>
      </c>
      <c r="F10" s="110">
        <v>4444527</v>
      </c>
      <c r="G10" s="110">
        <v>0</v>
      </c>
      <c r="H10" s="110">
        <v>183810</v>
      </c>
      <c r="I10" s="110">
        <v>1229829</v>
      </c>
      <c r="J10" s="110">
        <v>684205</v>
      </c>
      <c r="K10" s="110">
        <v>497497</v>
      </c>
      <c r="L10" s="110">
        <v>538177</v>
      </c>
      <c r="M10" s="110">
        <v>1003178344.7</v>
      </c>
      <c r="N10" s="110">
        <v>20143596.5</v>
      </c>
      <c r="O10" s="110">
        <v>415624170.89999998</v>
      </c>
      <c r="P10" s="110">
        <v>0</v>
      </c>
      <c r="Q10" s="110">
        <v>15331081.800000001</v>
      </c>
      <c r="R10" s="110">
        <v>275887832.30000001</v>
      </c>
      <c r="S10" s="110">
        <v>87288306.400000006</v>
      </c>
      <c r="T10" s="110">
        <v>35180276.700000003</v>
      </c>
      <c r="U10" s="110">
        <v>100543934.09999999</v>
      </c>
    </row>
    <row r="11" spans="1:21">
      <c r="A11" s="109" t="s">
        <v>296</v>
      </c>
      <c r="B11" s="110">
        <v>12025237</v>
      </c>
      <c r="C11" s="110">
        <v>1973597164.9000001</v>
      </c>
      <c r="D11" s="110">
        <v>4118766</v>
      </c>
      <c r="E11" s="110">
        <v>217291</v>
      </c>
      <c r="F11" s="110">
        <v>4553979</v>
      </c>
      <c r="G11" s="110">
        <v>0</v>
      </c>
      <c r="H11" s="110">
        <v>181923</v>
      </c>
      <c r="I11" s="110">
        <v>1194953</v>
      </c>
      <c r="J11" s="110">
        <v>718449</v>
      </c>
      <c r="K11" s="110">
        <v>514638</v>
      </c>
      <c r="L11" s="110">
        <v>490892</v>
      </c>
      <c r="M11" s="110">
        <v>1022071663.3</v>
      </c>
      <c r="N11" s="110">
        <v>23184653.5</v>
      </c>
      <c r="O11" s="110">
        <v>422312939.80000001</v>
      </c>
      <c r="P11" s="110">
        <v>0</v>
      </c>
      <c r="Q11" s="110">
        <v>15367975.1</v>
      </c>
      <c r="R11" s="110">
        <v>271339900.60000002</v>
      </c>
      <c r="S11" s="110">
        <v>90876466.299999997</v>
      </c>
      <c r="T11" s="110">
        <v>37471521.700000003</v>
      </c>
      <c r="U11" s="110">
        <v>90537472.599999994</v>
      </c>
    </row>
    <row r="12" spans="1:21">
      <c r="A12" s="109" t="s">
        <v>297</v>
      </c>
      <c r="B12" s="110">
        <v>13025005</v>
      </c>
      <c r="C12" s="110">
        <v>2103477401.7</v>
      </c>
      <c r="D12" s="110">
        <v>4466485</v>
      </c>
      <c r="E12" s="110">
        <v>252620</v>
      </c>
      <c r="F12" s="110">
        <v>5024623</v>
      </c>
      <c r="G12" s="110">
        <v>0</v>
      </c>
      <c r="H12" s="110">
        <v>183485</v>
      </c>
      <c r="I12" s="110">
        <v>1211950</v>
      </c>
      <c r="J12" s="110">
        <v>773546</v>
      </c>
      <c r="K12" s="110">
        <v>551961</v>
      </c>
      <c r="L12" s="110">
        <v>529681</v>
      </c>
      <c r="M12" s="110">
        <v>1083778350.9000001</v>
      </c>
      <c r="N12" s="110">
        <v>27617235.300000001</v>
      </c>
      <c r="O12" s="110">
        <v>462210316.60000002</v>
      </c>
      <c r="P12" s="110">
        <v>0</v>
      </c>
      <c r="Q12" s="110">
        <v>15894235.800000001</v>
      </c>
      <c r="R12" s="110">
        <v>278921832.5</v>
      </c>
      <c r="S12" s="110">
        <v>97094973.799999997</v>
      </c>
      <c r="T12" s="110">
        <v>40110989.700000003</v>
      </c>
      <c r="U12" s="110">
        <v>97466959.099999994</v>
      </c>
    </row>
    <row r="13" spans="1:21">
      <c r="A13" s="109" t="s">
        <v>298</v>
      </c>
      <c r="B13" s="110">
        <v>11928672</v>
      </c>
      <c r="C13" s="110">
        <v>1930172000</v>
      </c>
      <c r="D13" s="110">
        <v>4164729</v>
      </c>
      <c r="E13" s="110">
        <v>227782</v>
      </c>
      <c r="F13" s="110">
        <v>4579232</v>
      </c>
      <c r="G13" s="110">
        <v>0</v>
      </c>
      <c r="H13" s="110">
        <v>167921</v>
      </c>
      <c r="I13" s="110">
        <v>1134905</v>
      </c>
      <c r="J13" s="110">
        <v>692920</v>
      </c>
      <c r="K13" s="110">
        <v>498286</v>
      </c>
      <c r="L13" s="110">
        <v>436268</v>
      </c>
      <c r="M13" s="110">
        <v>1008206360.9</v>
      </c>
      <c r="N13" s="110">
        <v>25044924.5</v>
      </c>
      <c r="O13" s="110">
        <v>415896355.30000001</v>
      </c>
      <c r="P13" s="110">
        <v>0</v>
      </c>
      <c r="Q13" s="110">
        <v>14478655</v>
      </c>
      <c r="R13" s="110">
        <v>264043264.30000001</v>
      </c>
      <c r="S13" s="110">
        <v>86021483.599999994</v>
      </c>
      <c r="T13" s="110">
        <v>35732022.299999997</v>
      </c>
      <c r="U13" s="110">
        <v>80413229.099999994</v>
      </c>
    </row>
    <row r="14" spans="1:21">
      <c r="A14" s="109" t="s">
        <v>299</v>
      </c>
      <c r="B14" s="110">
        <v>12140375</v>
      </c>
      <c r="C14" s="110">
        <v>1925427886.8</v>
      </c>
      <c r="D14" s="110">
        <v>4077024</v>
      </c>
      <c r="E14" s="110">
        <v>218062</v>
      </c>
      <c r="F14" s="110">
        <v>4799277</v>
      </c>
      <c r="G14" s="110">
        <v>40556</v>
      </c>
      <c r="H14" s="110">
        <v>174228</v>
      </c>
      <c r="I14" s="110">
        <v>1144556</v>
      </c>
      <c r="J14" s="110">
        <v>745936</v>
      </c>
      <c r="K14" s="110">
        <v>500043</v>
      </c>
      <c r="L14" s="110">
        <v>413936</v>
      </c>
      <c r="M14" s="110">
        <v>983008431.10000002</v>
      </c>
      <c r="N14" s="110">
        <v>22563556.800000001</v>
      </c>
      <c r="O14" s="110">
        <v>433150532.80000001</v>
      </c>
      <c r="P14" s="110">
        <v>1490969.6000000001</v>
      </c>
      <c r="Q14" s="110">
        <v>15000778.800000001</v>
      </c>
      <c r="R14" s="110">
        <v>265539544.90000001</v>
      </c>
      <c r="S14" s="110">
        <v>91735079.299999997</v>
      </c>
      <c r="T14" s="110">
        <v>36313439.100000001</v>
      </c>
      <c r="U14" s="110">
        <v>76286868.400000006</v>
      </c>
    </row>
    <row r="15" spans="1:21">
      <c r="A15" s="109" t="s">
        <v>300</v>
      </c>
      <c r="B15" s="110">
        <v>11440634</v>
      </c>
      <c r="C15" s="110">
        <v>1964384785.7</v>
      </c>
      <c r="D15" s="110">
        <v>4018154</v>
      </c>
      <c r="E15" s="110">
        <v>202175</v>
      </c>
      <c r="F15" s="110">
        <v>4313750</v>
      </c>
      <c r="G15" s="110">
        <v>28438</v>
      </c>
      <c r="H15" s="110">
        <v>156814</v>
      </c>
      <c r="I15" s="110">
        <v>1096801</v>
      </c>
      <c r="J15" s="110">
        <v>692534</v>
      </c>
      <c r="K15" s="110">
        <v>450117</v>
      </c>
      <c r="L15" s="110">
        <v>451959</v>
      </c>
      <c r="M15" s="110">
        <v>1017886439.1</v>
      </c>
      <c r="N15" s="110">
        <v>22317791.399999999</v>
      </c>
      <c r="O15" s="110">
        <v>436160959.80000001</v>
      </c>
      <c r="P15" s="110">
        <v>1036149.2</v>
      </c>
      <c r="Q15" s="110">
        <v>14341231.1</v>
      </c>
      <c r="R15" s="110">
        <v>258677873.59999999</v>
      </c>
      <c r="S15" s="110">
        <v>95577133.200000003</v>
      </c>
      <c r="T15" s="110">
        <v>32868552.800000001</v>
      </c>
      <c r="U15" s="110">
        <v>85133462.5</v>
      </c>
    </row>
    <row r="16" spans="1:21">
      <c r="A16" s="109" t="s">
        <v>301</v>
      </c>
      <c r="B16" s="110">
        <v>11247113</v>
      </c>
      <c r="C16" s="110">
        <v>1877881653.5999999</v>
      </c>
      <c r="D16" s="110">
        <v>3903336</v>
      </c>
      <c r="E16" s="110">
        <v>198212</v>
      </c>
      <c r="F16" s="110">
        <v>4266529</v>
      </c>
      <c r="G16" s="110">
        <v>29362</v>
      </c>
      <c r="H16" s="110">
        <v>156559</v>
      </c>
      <c r="I16" s="110">
        <v>1089269</v>
      </c>
      <c r="J16" s="110">
        <v>654183</v>
      </c>
      <c r="K16" s="110">
        <v>456346</v>
      </c>
      <c r="L16" s="110">
        <v>454270</v>
      </c>
      <c r="M16" s="110">
        <v>967805156.79999995</v>
      </c>
      <c r="N16" s="110">
        <v>21659934.399999999</v>
      </c>
      <c r="O16" s="110">
        <v>413072958.39999998</v>
      </c>
      <c r="P16" s="110">
        <v>1072041</v>
      </c>
      <c r="Q16" s="110">
        <v>13756480</v>
      </c>
      <c r="R16" s="110">
        <v>257415864.19999999</v>
      </c>
      <c r="S16" s="110">
        <v>83670460.400000006</v>
      </c>
      <c r="T16" s="110">
        <v>32581443.399999999</v>
      </c>
      <c r="U16" s="110">
        <v>86320419</v>
      </c>
    </row>
    <row r="18" spans="1:21">
      <c r="A18" s="191" t="s">
        <v>302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4.4"/>
  <cols>
    <col min="1" max="1" width="19" customWidth="1"/>
  </cols>
  <sheetData>
    <row r="1" spans="1:21">
      <c r="A1" s="189" t="s">
        <v>267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</row>
    <row r="3" spans="1:21">
      <c r="A3" s="108" t="s">
        <v>268</v>
      </c>
      <c r="B3" s="108" t="s">
        <v>269</v>
      </c>
      <c r="C3" s="108" t="s">
        <v>270</v>
      </c>
      <c r="D3" s="108" t="s">
        <v>271</v>
      </c>
      <c r="E3" s="108" t="s">
        <v>272</v>
      </c>
      <c r="F3" s="108" t="s">
        <v>273</v>
      </c>
      <c r="G3" s="108" t="s">
        <v>274</v>
      </c>
      <c r="H3" s="108" t="s">
        <v>275</v>
      </c>
      <c r="I3" s="108" t="s">
        <v>276</v>
      </c>
      <c r="J3" s="108" t="s">
        <v>277</v>
      </c>
      <c r="K3" s="108" t="s">
        <v>278</v>
      </c>
      <c r="L3" s="108" t="s">
        <v>279</v>
      </c>
      <c r="M3" s="108" t="s">
        <v>280</v>
      </c>
      <c r="N3" s="108" t="s">
        <v>281</v>
      </c>
      <c r="O3" s="108" t="s">
        <v>282</v>
      </c>
      <c r="P3" s="108" t="s">
        <v>283</v>
      </c>
      <c r="Q3" s="108" t="s">
        <v>284</v>
      </c>
      <c r="R3" s="108" t="s">
        <v>285</v>
      </c>
      <c r="S3" s="108" t="s">
        <v>286</v>
      </c>
      <c r="T3" s="108" t="s">
        <v>287</v>
      </c>
      <c r="U3" s="108" t="s">
        <v>288</v>
      </c>
    </row>
    <row r="4" spans="1:21">
      <c r="A4" s="109" t="s">
        <v>289</v>
      </c>
      <c r="B4" s="110">
        <v>89273008</v>
      </c>
      <c r="C4" s="110">
        <v>14078054915.200001</v>
      </c>
      <c r="D4" s="110">
        <v>29541047</v>
      </c>
      <c r="E4" s="110">
        <v>1279303</v>
      </c>
      <c r="F4" s="110">
        <v>33772319</v>
      </c>
      <c r="G4" s="110">
        <v>112056</v>
      </c>
      <c r="H4" s="110">
        <v>979721</v>
      </c>
      <c r="I4" s="110">
        <v>9838063</v>
      </c>
      <c r="J4" s="110">
        <v>5522650</v>
      </c>
      <c r="K4" s="110">
        <v>3876109</v>
      </c>
      <c r="L4" s="110">
        <v>4181270</v>
      </c>
      <c r="M4" s="110">
        <v>7042857647.3999996</v>
      </c>
      <c r="N4" s="110">
        <v>125521866.8</v>
      </c>
      <c r="O4" s="110">
        <v>2947627971.0999999</v>
      </c>
      <c r="P4" s="110">
        <v>1481025</v>
      </c>
      <c r="Q4" s="110">
        <v>86615548.299999997</v>
      </c>
      <c r="R4" s="110">
        <v>2168361019.9000001</v>
      </c>
      <c r="S4" s="110">
        <v>672684664.79999995</v>
      </c>
      <c r="T4" s="110">
        <v>272262613</v>
      </c>
      <c r="U4" s="110">
        <v>757759700.89999998</v>
      </c>
    </row>
    <row r="5" spans="1:21">
      <c r="A5" s="109" t="s">
        <v>303</v>
      </c>
      <c r="B5" s="110">
        <v>5506359</v>
      </c>
      <c r="C5" s="110">
        <v>823128516.5</v>
      </c>
      <c r="D5" s="110">
        <v>1854192</v>
      </c>
      <c r="E5" s="110">
        <v>71468</v>
      </c>
      <c r="F5" s="110">
        <v>2052036</v>
      </c>
      <c r="G5" s="110">
        <v>9124</v>
      </c>
      <c r="H5" s="110">
        <v>44824</v>
      </c>
      <c r="I5" s="110">
        <v>617532</v>
      </c>
      <c r="J5" s="110">
        <v>382599</v>
      </c>
      <c r="K5" s="110">
        <v>226418</v>
      </c>
      <c r="L5" s="110">
        <v>241894</v>
      </c>
      <c r="M5" s="110">
        <v>417780155.39999998</v>
      </c>
      <c r="N5" s="110">
        <v>6637197</v>
      </c>
      <c r="O5" s="110">
        <v>164389167.09999999</v>
      </c>
      <c r="P5" s="110">
        <v>118673</v>
      </c>
      <c r="Q5" s="110">
        <v>3805335.4</v>
      </c>
      <c r="R5" s="110">
        <v>129711575.5</v>
      </c>
      <c r="S5" s="110">
        <v>43288461.799999997</v>
      </c>
      <c r="T5" s="110">
        <v>15420101.4</v>
      </c>
      <c r="U5" s="110">
        <v>41858947.899999999</v>
      </c>
    </row>
    <row r="6" spans="1:21">
      <c r="A6" s="109" t="s">
        <v>304</v>
      </c>
      <c r="B6" s="110">
        <v>8454424</v>
      </c>
      <c r="C6" s="110">
        <v>1318819358.8</v>
      </c>
      <c r="D6" s="110">
        <v>2865735</v>
      </c>
      <c r="E6" s="110">
        <v>125805</v>
      </c>
      <c r="F6" s="110">
        <v>3151843</v>
      </c>
      <c r="G6" s="110">
        <v>11696</v>
      </c>
      <c r="H6" s="110">
        <v>75508</v>
      </c>
      <c r="I6" s="110">
        <v>939612</v>
      </c>
      <c r="J6" s="110">
        <v>537421</v>
      </c>
      <c r="K6" s="110">
        <v>351665</v>
      </c>
      <c r="L6" s="110">
        <v>387806</v>
      </c>
      <c r="M6" s="110">
        <v>669172199.5</v>
      </c>
      <c r="N6" s="110">
        <v>12136391.5</v>
      </c>
      <c r="O6" s="110">
        <v>266520477.19999999</v>
      </c>
      <c r="P6" s="110">
        <v>154521.4</v>
      </c>
      <c r="Q6" s="110">
        <v>6846132.7999999998</v>
      </c>
      <c r="R6" s="110">
        <v>204631554.40000001</v>
      </c>
      <c r="S6" s="110">
        <v>63955409.600000001</v>
      </c>
      <c r="T6" s="110">
        <v>24854951.800000001</v>
      </c>
      <c r="U6" s="110">
        <v>70408583.599999994</v>
      </c>
    </row>
    <row r="7" spans="1:21">
      <c r="A7" s="109" t="s">
        <v>305</v>
      </c>
      <c r="B7" s="110">
        <v>8264652</v>
      </c>
      <c r="C7" s="110">
        <v>1284842719.9000001</v>
      </c>
      <c r="D7" s="110">
        <v>2718686</v>
      </c>
      <c r="E7" s="110">
        <v>137014</v>
      </c>
      <c r="F7" s="110">
        <v>3111380</v>
      </c>
      <c r="G7" s="110">
        <v>11504</v>
      </c>
      <c r="H7" s="110">
        <v>87342</v>
      </c>
      <c r="I7" s="110">
        <v>899305</v>
      </c>
      <c r="J7" s="110">
        <v>533582</v>
      </c>
      <c r="K7" s="110">
        <v>365205</v>
      </c>
      <c r="L7" s="110">
        <v>389898</v>
      </c>
      <c r="M7" s="110">
        <v>637421390.70000005</v>
      </c>
      <c r="N7" s="110">
        <v>13526308.5</v>
      </c>
      <c r="O7" s="110">
        <v>267340234.19999999</v>
      </c>
      <c r="P7" s="110">
        <v>151812.6</v>
      </c>
      <c r="Q7" s="110">
        <v>8038032.2000000002</v>
      </c>
      <c r="R7" s="110">
        <v>197320885.59999999</v>
      </c>
      <c r="S7" s="110">
        <v>64146154.899999999</v>
      </c>
      <c r="T7" s="110">
        <v>26189217</v>
      </c>
      <c r="U7" s="110">
        <v>70505175.200000003</v>
      </c>
    </row>
    <row r="8" spans="1:21">
      <c r="A8" s="109" t="s">
        <v>306</v>
      </c>
      <c r="B8" s="110">
        <v>6066458</v>
      </c>
      <c r="C8" s="110">
        <v>898323839.5</v>
      </c>
      <c r="D8" s="110">
        <v>1917232</v>
      </c>
      <c r="E8" s="110">
        <v>83138</v>
      </c>
      <c r="F8" s="110">
        <v>2386562</v>
      </c>
      <c r="G8" s="110">
        <v>7925</v>
      </c>
      <c r="H8" s="110">
        <v>60784</v>
      </c>
      <c r="I8" s="110">
        <v>668446</v>
      </c>
      <c r="J8" s="110">
        <v>388059</v>
      </c>
      <c r="K8" s="110">
        <v>266241</v>
      </c>
      <c r="L8" s="110">
        <v>275633</v>
      </c>
      <c r="M8" s="110">
        <v>434046590.10000002</v>
      </c>
      <c r="N8" s="110">
        <v>7815729.0999999996</v>
      </c>
      <c r="O8" s="110">
        <v>197057005.80000001</v>
      </c>
      <c r="P8" s="110">
        <v>103619.4</v>
      </c>
      <c r="Q8" s="110">
        <v>5329507.8</v>
      </c>
      <c r="R8" s="110">
        <v>142394880.90000001</v>
      </c>
      <c r="S8" s="110">
        <v>44081850.5</v>
      </c>
      <c r="T8" s="110">
        <v>18377774.199999999</v>
      </c>
      <c r="U8" s="110">
        <v>48881072.700000003</v>
      </c>
    </row>
    <row r="9" spans="1:21">
      <c r="A9" s="109" t="s">
        <v>307</v>
      </c>
      <c r="B9" s="110">
        <v>7927771</v>
      </c>
      <c r="C9" s="110">
        <v>1310277042.2</v>
      </c>
      <c r="D9" s="110">
        <v>2739187</v>
      </c>
      <c r="E9" s="110">
        <v>116068</v>
      </c>
      <c r="F9" s="110">
        <v>2849407</v>
      </c>
      <c r="G9" s="110">
        <v>9001</v>
      </c>
      <c r="H9" s="110">
        <v>40192</v>
      </c>
      <c r="I9" s="110">
        <v>866693</v>
      </c>
      <c r="J9" s="110">
        <v>510458</v>
      </c>
      <c r="K9" s="110">
        <v>347491</v>
      </c>
      <c r="L9" s="110">
        <v>434118</v>
      </c>
      <c r="M9" s="110">
        <v>676744063.60000002</v>
      </c>
      <c r="N9" s="110">
        <v>11463296.9</v>
      </c>
      <c r="O9" s="110">
        <v>254377659.90000001</v>
      </c>
      <c r="P9" s="110">
        <v>120234.4</v>
      </c>
      <c r="Q9" s="110">
        <v>3097609.6</v>
      </c>
      <c r="R9" s="110">
        <v>193732096.69999999</v>
      </c>
      <c r="S9" s="110">
        <v>64754190.399999999</v>
      </c>
      <c r="T9" s="110">
        <v>24309270.399999999</v>
      </c>
      <c r="U9" s="110">
        <v>81391093.299999997</v>
      </c>
    </row>
    <row r="10" spans="1:21">
      <c r="A10" s="109" t="s">
        <v>308</v>
      </c>
      <c r="B10" s="110">
        <v>8633421</v>
      </c>
      <c r="C10" s="110">
        <v>1370059886</v>
      </c>
      <c r="D10" s="110">
        <v>2906385</v>
      </c>
      <c r="E10" s="110">
        <v>114202</v>
      </c>
      <c r="F10" s="110">
        <v>3204130</v>
      </c>
      <c r="G10" s="110">
        <v>8773</v>
      </c>
      <c r="H10" s="110">
        <v>83632</v>
      </c>
      <c r="I10" s="110">
        <v>932880</v>
      </c>
      <c r="J10" s="110">
        <v>517343</v>
      </c>
      <c r="K10" s="110">
        <v>405811</v>
      </c>
      <c r="L10" s="110">
        <v>446086</v>
      </c>
      <c r="M10" s="110">
        <v>697428862.60000002</v>
      </c>
      <c r="N10" s="110">
        <v>10630183.6</v>
      </c>
      <c r="O10" s="110">
        <v>275822761.19999999</v>
      </c>
      <c r="P10" s="110">
        <v>117394.6</v>
      </c>
      <c r="Q10" s="110">
        <v>7351801.7000000002</v>
      </c>
      <c r="R10" s="110">
        <v>205888779.90000001</v>
      </c>
      <c r="S10" s="110">
        <v>62032115.700000003</v>
      </c>
      <c r="T10" s="110">
        <v>28274685</v>
      </c>
      <c r="U10" s="110">
        <v>82244470.700000003</v>
      </c>
    </row>
    <row r="11" spans="1:21">
      <c r="A11" s="109" t="s">
        <v>309</v>
      </c>
      <c r="B11" s="110">
        <v>7812478</v>
      </c>
      <c r="C11" s="110">
        <v>1209413392.9000001</v>
      </c>
      <c r="D11" s="110">
        <v>2557280</v>
      </c>
      <c r="E11" s="110">
        <v>100344</v>
      </c>
      <c r="F11" s="110">
        <v>3008035</v>
      </c>
      <c r="G11" s="110">
        <v>10258</v>
      </c>
      <c r="H11" s="110">
        <v>81027</v>
      </c>
      <c r="I11" s="110">
        <v>866980</v>
      </c>
      <c r="J11" s="110">
        <v>468981</v>
      </c>
      <c r="K11" s="110">
        <v>330647</v>
      </c>
      <c r="L11" s="110">
        <v>375124</v>
      </c>
      <c r="M11" s="110">
        <v>599887827.29999995</v>
      </c>
      <c r="N11" s="110">
        <v>9167126.4000000004</v>
      </c>
      <c r="O11" s="110">
        <v>256266409.69999999</v>
      </c>
      <c r="P11" s="110">
        <v>135103.6</v>
      </c>
      <c r="Q11" s="110">
        <v>7152823.7999999998</v>
      </c>
      <c r="R11" s="110">
        <v>189693415.30000001</v>
      </c>
      <c r="S11" s="110">
        <v>55896072.5</v>
      </c>
      <c r="T11" s="110">
        <v>23108578.5</v>
      </c>
      <c r="U11" s="110">
        <v>67844595.799999997</v>
      </c>
    </row>
    <row r="12" spans="1:21">
      <c r="A12" s="109" t="s">
        <v>310</v>
      </c>
      <c r="B12" s="110">
        <v>7875367</v>
      </c>
      <c r="C12" s="110">
        <v>1242815064.8</v>
      </c>
      <c r="D12" s="110">
        <v>2502874</v>
      </c>
      <c r="E12" s="110">
        <v>104524</v>
      </c>
      <c r="F12" s="110">
        <v>3050766</v>
      </c>
      <c r="G12" s="110">
        <v>10329</v>
      </c>
      <c r="H12" s="110">
        <v>112783</v>
      </c>
      <c r="I12" s="110">
        <v>883859</v>
      </c>
      <c r="J12" s="110">
        <v>487143</v>
      </c>
      <c r="K12" s="110">
        <v>340474</v>
      </c>
      <c r="L12" s="110">
        <v>368350</v>
      </c>
      <c r="M12" s="110">
        <v>598864137.89999998</v>
      </c>
      <c r="N12" s="110">
        <v>9953657.5</v>
      </c>
      <c r="O12" s="110">
        <v>272243391.5</v>
      </c>
      <c r="P12" s="110">
        <v>136143.20000000001</v>
      </c>
      <c r="Q12" s="110">
        <v>10449289.9</v>
      </c>
      <c r="R12" s="110">
        <v>198522853.19999999</v>
      </c>
      <c r="S12" s="110">
        <v>60760661.899999999</v>
      </c>
      <c r="T12" s="110">
        <v>24400330.600000001</v>
      </c>
      <c r="U12" s="110">
        <v>67214742.099999994</v>
      </c>
    </row>
    <row r="13" spans="1:21">
      <c r="A13" s="109" t="s">
        <v>311</v>
      </c>
      <c r="B13" s="110">
        <v>5577505</v>
      </c>
      <c r="C13" s="110">
        <v>843809408.20000005</v>
      </c>
      <c r="D13" s="110">
        <v>1682897</v>
      </c>
      <c r="E13" s="110">
        <v>70916</v>
      </c>
      <c r="F13" s="110">
        <v>2238353</v>
      </c>
      <c r="G13" s="110">
        <v>7576</v>
      </c>
      <c r="H13" s="110">
        <v>94264</v>
      </c>
      <c r="I13" s="110">
        <v>621075</v>
      </c>
      <c r="J13" s="110">
        <v>326079</v>
      </c>
      <c r="K13" s="110">
        <v>260716</v>
      </c>
      <c r="L13" s="110">
        <v>256577</v>
      </c>
      <c r="M13" s="110">
        <v>395969481.69999999</v>
      </c>
      <c r="N13" s="110">
        <v>6498670.5999999996</v>
      </c>
      <c r="O13" s="110">
        <v>192857349.40000001</v>
      </c>
      <c r="P13" s="110">
        <v>98984.8</v>
      </c>
      <c r="Q13" s="110">
        <v>8228921.7000000002</v>
      </c>
      <c r="R13" s="110">
        <v>137083173</v>
      </c>
      <c r="S13" s="110">
        <v>38794949.899999999</v>
      </c>
      <c r="T13" s="110">
        <v>18223241.899999999</v>
      </c>
      <c r="U13" s="110">
        <v>45702127.200000003</v>
      </c>
    </row>
    <row r="14" spans="1:21">
      <c r="A14" s="109" t="s">
        <v>312</v>
      </c>
      <c r="B14" s="110">
        <v>4085433</v>
      </c>
      <c r="C14" s="110">
        <v>589485639.10000002</v>
      </c>
      <c r="D14" s="110">
        <v>1170072</v>
      </c>
      <c r="E14" s="110">
        <v>51355</v>
      </c>
      <c r="F14" s="110">
        <v>1675193</v>
      </c>
      <c r="G14" s="110">
        <v>6597</v>
      </c>
      <c r="H14" s="110">
        <v>69633</v>
      </c>
      <c r="I14" s="110">
        <v>462835</v>
      </c>
      <c r="J14" s="110">
        <v>228609</v>
      </c>
      <c r="K14" s="110">
        <v>222315</v>
      </c>
      <c r="L14" s="110">
        <v>194264</v>
      </c>
      <c r="M14" s="110">
        <v>265927665.59999999</v>
      </c>
      <c r="N14" s="110">
        <v>4499979.9000000004</v>
      </c>
      <c r="O14" s="110">
        <v>137681761.5</v>
      </c>
      <c r="P14" s="110">
        <v>86990</v>
      </c>
      <c r="Q14" s="110">
        <v>5766035</v>
      </c>
      <c r="R14" s="110">
        <v>100589936.59999999</v>
      </c>
      <c r="S14" s="110">
        <v>25611289.100000001</v>
      </c>
      <c r="T14" s="110">
        <v>14951865.4</v>
      </c>
      <c r="U14" s="110">
        <v>34318056</v>
      </c>
    </row>
    <row r="15" spans="1:21">
      <c r="A15" s="109" t="s">
        <v>313</v>
      </c>
      <c r="B15" s="110">
        <v>7039739</v>
      </c>
      <c r="C15" s="110">
        <v>1116088292</v>
      </c>
      <c r="D15" s="110">
        <v>2297164</v>
      </c>
      <c r="E15" s="110">
        <v>94712</v>
      </c>
      <c r="F15" s="110">
        <v>2722161</v>
      </c>
      <c r="G15" s="110">
        <v>8118</v>
      </c>
      <c r="H15" s="110">
        <v>83853</v>
      </c>
      <c r="I15" s="110">
        <v>809764</v>
      </c>
      <c r="J15" s="110">
        <v>405406</v>
      </c>
      <c r="K15" s="110">
        <v>306938</v>
      </c>
      <c r="L15" s="110">
        <v>295660</v>
      </c>
      <c r="M15" s="110">
        <v>556517437</v>
      </c>
      <c r="N15" s="110">
        <v>8956982</v>
      </c>
      <c r="O15" s="110">
        <v>238481076.90000001</v>
      </c>
      <c r="P15" s="110">
        <v>107405.2</v>
      </c>
      <c r="Q15" s="110">
        <v>7050772.0999999996</v>
      </c>
      <c r="R15" s="110">
        <v>182118038.40000001</v>
      </c>
      <c r="S15" s="110">
        <v>48666341</v>
      </c>
      <c r="T15" s="110">
        <v>21260278.600000001</v>
      </c>
      <c r="U15" s="110">
        <v>52719219.799999997</v>
      </c>
    </row>
    <row r="16" spans="1:21">
      <c r="A16" s="109" t="s">
        <v>314</v>
      </c>
      <c r="B16" s="110">
        <v>12029401</v>
      </c>
      <c r="C16" s="110">
        <v>2070991755.3</v>
      </c>
      <c r="D16" s="110">
        <v>4329343</v>
      </c>
      <c r="E16" s="110">
        <v>209757</v>
      </c>
      <c r="F16" s="110">
        <v>4322453</v>
      </c>
      <c r="G16" s="110">
        <v>11155</v>
      </c>
      <c r="H16" s="110">
        <v>145879</v>
      </c>
      <c r="I16" s="110">
        <v>1269082</v>
      </c>
      <c r="J16" s="110">
        <v>736970</v>
      </c>
      <c r="K16" s="110">
        <v>452188</v>
      </c>
      <c r="L16" s="110">
        <v>515860</v>
      </c>
      <c r="M16" s="110">
        <v>1093097836</v>
      </c>
      <c r="N16" s="110">
        <v>24236343.800000001</v>
      </c>
      <c r="O16" s="110">
        <v>424590676.69999999</v>
      </c>
      <c r="P16" s="110">
        <v>150142.79999999999</v>
      </c>
      <c r="Q16" s="110">
        <v>13499286.300000001</v>
      </c>
      <c r="R16" s="110">
        <v>286673830.39999998</v>
      </c>
      <c r="S16" s="110">
        <v>100697167.5</v>
      </c>
      <c r="T16" s="110">
        <v>32892318.199999999</v>
      </c>
      <c r="U16" s="110">
        <v>94671616.599999994</v>
      </c>
    </row>
    <row r="18" spans="1:21">
      <c r="A18" s="191" t="s">
        <v>302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4.4"/>
  <cols>
    <col min="1" max="1" width="19" customWidth="1"/>
  </cols>
  <sheetData>
    <row r="1" spans="1:21">
      <c r="A1" s="189" t="s">
        <v>267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</row>
    <row r="3" spans="1:21">
      <c r="A3" s="108" t="s">
        <v>268</v>
      </c>
      <c r="B3" s="108" t="s">
        <v>269</v>
      </c>
      <c r="C3" s="108" t="s">
        <v>270</v>
      </c>
      <c r="D3" s="108" t="s">
        <v>271</v>
      </c>
      <c r="E3" s="108" t="s">
        <v>272</v>
      </c>
      <c r="F3" s="108" t="s">
        <v>273</v>
      </c>
      <c r="G3" s="108" t="s">
        <v>274</v>
      </c>
      <c r="H3" s="108" t="s">
        <v>275</v>
      </c>
      <c r="I3" s="108" t="s">
        <v>276</v>
      </c>
      <c r="J3" s="108" t="s">
        <v>277</v>
      </c>
      <c r="K3" s="108" t="s">
        <v>278</v>
      </c>
      <c r="L3" s="108" t="s">
        <v>279</v>
      </c>
      <c r="M3" s="108" t="s">
        <v>280</v>
      </c>
      <c r="N3" s="108" t="s">
        <v>281</v>
      </c>
      <c r="O3" s="108" t="s">
        <v>282</v>
      </c>
      <c r="P3" s="108" t="s">
        <v>283</v>
      </c>
      <c r="Q3" s="108" t="s">
        <v>284</v>
      </c>
      <c r="R3" s="108" t="s">
        <v>285</v>
      </c>
      <c r="S3" s="108" t="s">
        <v>286</v>
      </c>
      <c r="T3" s="108" t="s">
        <v>287</v>
      </c>
      <c r="U3" s="108" t="s">
        <v>288</v>
      </c>
    </row>
    <row r="4" spans="1:21">
      <c r="A4" s="109" t="s">
        <v>289</v>
      </c>
      <c r="B4" s="110">
        <v>53490530</v>
      </c>
      <c r="C4" s="110">
        <v>8316622244.8000002</v>
      </c>
      <c r="D4" s="110">
        <v>17951420</v>
      </c>
      <c r="E4" s="110">
        <v>729978</v>
      </c>
      <c r="F4" s="110">
        <v>19600645</v>
      </c>
      <c r="G4" s="110">
        <v>82994</v>
      </c>
      <c r="H4" s="110">
        <v>302916</v>
      </c>
      <c r="I4" s="110">
        <v>5965781</v>
      </c>
      <c r="J4" s="110">
        <v>3267845</v>
      </c>
      <c r="K4" s="110">
        <v>2222522</v>
      </c>
      <c r="L4" s="110">
        <v>2629453</v>
      </c>
      <c r="M4" s="110">
        <v>4168533768.8000002</v>
      </c>
      <c r="N4" s="110">
        <v>69015688.799999997</v>
      </c>
      <c r="O4" s="110">
        <v>1649097565.4000001</v>
      </c>
      <c r="P4" s="110">
        <v>1092481.3999999999</v>
      </c>
      <c r="Q4" s="110">
        <v>20942675.800000001</v>
      </c>
      <c r="R4" s="110">
        <v>1282308430.9000001</v>
      </c>
      <c r="S4" s="110">
        <v>399974481.19999999</v>
      </c>
      <c r="T4" s="110">
        <v>157088856.80000001</v>
      </c>
      <c r="U4" s="110">
        <v>472057331.80000001</v>
      </c>
    </row>
    <row r="5" spans="1:21">
      <c r="A5" s="109" t="s">
        <v>315</v>
      </c>
      <c r="B5" s="110">
        <v>7666397</v>
      </c>
      <c r="C5" s="110">
        <v>1189495157.2</v>
      </c>
      <c r="D5" s="110">
        <v>2503479</v>
      </c>
      <c r="E5" s="110">
        <v>102179</v>
      </c>
      <c r="F5" s="110">
        <v>2839927</v>
      </c>
      <c r="G5" s="110">
        <v>11862</v>
      </c>
      <c r="H5" s="110">
        <v>44852</v>
      </c>
      <c r="I5" s="110">
        <v>878310</v>
      </c>
      <c r="J5" s="110">
        <v>446485</v>
      </c>
      <c r="K5" s="110">
        <v>321798</v>
      </c>
      <c r="L5" s="110">
        <v>409261</v>
      </c>
      <c r="M5" s="110">
        <v>581038162.60000002</v>
      </c>
      <c r="N5" s="110">
        <v>9622795.3000000007</v>
      </c>
      <c r="O5" s="110">
        <v>239428825.90000001</v>
      </c>
      <c r="P5" s="110">
        <v>157533.4</v>
      </c>
      <c r="Q5" s="110">
        <v>3012548.2</v>
      </c>
      <c r="R5" s="110">
        <v>189699079.69999999</v>
      </c>
      <c r="S5" s="110">
        <v>55491690</v>
      </c>
      <c r="T5" s="110">
        <v>22405068.600000001</v>
      </c>
      <c r="U5" s="110">
        <v>74371563.5</v>
      </c>
    </row>
    <row r="6" spans="1:21">
      <c r="A6" s="109" t="s">
        <v>316</v>
      </c>
      <c r="B6" s="110">
        <v>8575737</v>
      </c>
      <c r="C6" s="110">
        <v>1353595335</v>
      </c>
      <c r="D6" s="110">
        <v>2924568</v>
      </c>
      <c r="E6" s="110">
        <v>114429</v>
      </c>
      <c r="F6" s="110">
        <v>3070452</v>
      </c>
      <c r="G6" s="110">
        <v>13310</v>
      </c>
      <c r="H6" s="110">
        <v>51043</v>
      </c>
      <c r="I6" s="110">
        <v>968406</v>
      </c>
      <c r="J6" s="110">
        <v>507687</v>
      </c>
      <c r="K6" s="110">
        <v>359601</v>
      </c>
      <c r="L6" s="110">
        <v>441685</v>
      </c>
      <c r="M6" s="110">
        <v>684813834.10000002</v>
      </c>
      <c r="N6" s="110">
        <v>10784535.699999999</v>
      </c>
      <c r="O6" s="110">
        <v>259136216.69999999</v>
      </c>
      <c r="P6" s="110">
        <v>174602.6</v>
      </c>
      <c r="Q6" s="110">
        <v>3431781</v>
      </c>
      <c r="R6" s="110">
        <v>210082356.69999999</v>
      </c>
      <c r="S6" s="110">
        <v>63180581</v>
      </c>
      <c r="T6" s="110">
        <v>25382211</v>
      </c>
      <c r="U6" s="110">
        <v>80112573.900000006</v>
      </c>
    </row>
    <row r="7" spans="1:21">
      <c r="A7" s="109" t="s">
        <v>317</v>
      </c>
      <c r="B7" s="110">
        <v>8972979</v>
      </c>
      <c r="C7" s="110">
        <v>1411608122.9000001</v>
      </c>
      <c r="D7" s="110">
        <v>3016517</v>
      </c>
      <c r="E7" s="110">
        <v>122680</v>
      </c>
      <c r="F7" s="110">
        <v>3253476</v>
      </c>
      <c r="G7" s="110">
        <v>13674</v>
      </c>
      <c r="H7" s="110">
        <v>49106</v>
      </c>
      <c r="I7" s="110">
        <v>1001172</v>
      </c>
      <c r="J7" s="110">
        <v>555709</v>
      </c>
      <c r="K7" s="110">
        <v>385498</v>
      </c>
      <c r="L7" s="110">
        <v>444374</v>
      </c>
      <c r="M7" s="110">
        <v>705624309.10000002</v>
      </c>
      <c r="N7" s="110">
        <v>11666111.5</v>
      </c>
      <c r="O7" s="110">
        <v>278303358.80000001</v>
      </c>
      <c r="P7" s="110">
        <v>181274.6</v>
      </c>
      <c r="Q7" s="110">
        <v>3469731.8</v>
      </c>
      <c r="R7" s="110">
        <v>217237382</v>
      </c>
      <c r="S7" s="110">
        <v>69121438.400000006</v>
      </c>
      <c r="T7" s="110">
        <v>27979320</v>
      </c>
      <c r="U7" s="110">
        <v>80470850.200000003</v>
      </c>
    </row>
    <row r="8" spans="1:21">
      <c r="A8" s="109" t="s">
        <v>318</v>
      </c>
      <c r="B8" s="110">
        <v>8161437</v>
      </c>
      <c r="C8" s="110">
        <v>1253571981.7</v>
      </c>
      <c r="D8" s="110">
        <v>2700723</v>
      </c>
      <c r="E8" s="110">
        <v>109416</v>
      </c>
      <c r="F8" s="110">
        <v>3031443</v>
      </c>
      <c r="G8" s="110">
        <v>12842</v>
      </c>
      <c r="H8" s="110">
        <v>44660</v>
      </c>
      <c r="I8" s="110">
        <v>920809</v>
      </c>
      <c r="J8" s="110">
        <v>493479</v>
      </c>
      <c r="K8" s="110">
        <v>347599</v>
      </c>
      <c r="L8" s="110">
        <v>387838</v>
      </c>
      <c r="M8" s="110">
        <v>622178900.39999998</v>
      </c>
      <c r="N8" s="110">
        <v>10187504.800000001</v>
      </c>
      <c r="O8" s="110">
        <v>251314160.19999999</v>
      </c>
      <c r="P8" s="110">
        <v>169539</v>
      </c>
      <c r="Q8" s="110">
        <v>3143341</v>
      </c>
      <c r="R8" s="110">
        <v>198380877.40000001</v>
      </c>
      <c r="S8" s="110">
        <v>59346740.600000001</v>
      </c>
      <c r="T8" s="110">
        <v>24678070.399999999</v>
      </c>
      <c r="U8" s="110">
        <v>69209040.599999994</v>
      </c>
    </row>
    <row r="9" spans="1:21">
      <c r="A9" s="109" t="s">
        <v>319</v>
      </c>
      <c r="B9" s="110">
        <v>7992796</v>
      </c>
      <c r="C9" s="110">
        <v>1213670425.5</v>
      </c>
      <c r="D9" s="110">
        <v>2596938</v>
      </c>
      <c r="E9" s="110">
        <v>103384</v>
      </c>
      <c r="F9" s="110">
        <v>3044596</v>
      </c>
      <c r="G9" s="110">
        <v>11782</v>
      </c>
      <c r="H9" s="110">
        <v>46858</v>
      </c>
      <c r="I9" s="110">
        <v>900559</v>
      </c>
      <c r="J9" s="110">
        <v>487964</v>
      </c>
      <c r="K9" s="110">
        <v>329788</v>
      </c>
      <c r="L9" s="110">
        <v>365851</v>
      </c>
      <c r="M9" s="110">
        <v>595452882.60000002</v>
      </c>
      <c r="N9" s="110">
        <v>9581050.4000000004</v>
      </c>
      <c r="O9" s="110">
        <v>252005687.5</v>
      </c>
      <c r="P9" s="110">
        <v>154881.20000000001</v>
      </c>
      <c r="Q9" s="110">
        <v>3219424.5</v>
      </c>
      <c r="R9" s="110">
        <v>193002243.59999999</v>
      </c>
      <c r="S9" s="110">
        <v>58015486</v>
      </c>
      <c r="T9" s="110">
        <v>23320786</v>
      </c>
      <c r="U9" s="110">
        <v>65194438.799999997</v>
      </c>
    </row>
    <row r="10" spans="1:21">
      <c r="A10" s="109" t="s">
        <v>320</v>
      </c>
      <c r="B10" s="110">
        <v>6477296</v>
      </c>
      <c r="C10" s="110">
        <v>1027545275.2</v>
      </c>
      <c r="D10" s="110">
        <v>2220989</v>
      </c>
      <c r="E10" s="110">
        <v>96552</v>
      </c>
      <c r="F10" s="110">
        <v>2336534</v>
      </c>
      <c r="G10" s="110">
        <v>9600</v>
      </c>
      <c r="H10" s="110">
        <v>36016</v>
      </c>
      <c r="I10" s="110">
        <v>698394</v>
      </c>
      <c r="J10" s="110">
        <v>409771</v>
      </c>
      <c r="K10" s="110">
        <v>257366</v>
      </c>
      <c r="L10" s="110">
        <v>325304</v>
      </c>
      <c r="M10" s="110">
        <v>524065821.69999999</v>
      </c>
      <c r="N10" s="110">
        <v>9657590.9000000004</v>
      </c>
      <c r="O10" s="110">
        <v>202123883</v>
      </c>
      <c r="P10" s="110">
        <v>126433.4</v>
      </c>
      <c r="Q10" s="110">
        <v>2462893.9</v>
      </c>
      <c r="R10" s="110">
        <v>149863118.69999999</v>
      </c>
      <c r="S10" s="110">
        <v>51217318.299999997</v>
      </c>
      <c r="T10" s="110">
        <v>18139830.100000001</v>
      </c>
      <c r="U10" s="110">
        <v>58815380.200000003</v>
      </c>
    </row>
    <row r="11" spans="1:21">
      <c r="A11" s="109" t="s">
        <v>321</v>
      </c>
      <c r="B11" s="110">
        <v>5643888</v>
      </c>
      <c r="C11" s="110">
        <v>867135947.29999995</v>
      </c>
      <c r="D11" s="110">
        <v>1988206</v>
      </c>
      <c r="E11" s="110">
        <v>81338</v>
      </c>
      <c r="F11" s="110">
        <v>2024217</v>
      </c>
      <c r="G11" s="110">
        <v>9924</v>
      </c>
      <c r="H11" s="110">
        <v>30381</v>
      </c>
      <c r="I11" s="110">
        <v>598131</v>
      </c>
      <c r="J11" s="110">
        <v>366750</v>
      </c>
      <c r="K11" s="110">
        <v>220872</v>
      </c>
      <c r="L11" s="110">
        <v>255140</v>
      </c>
      <c r="M11" s="110">
        <v>455359858.30000001</v>
      </c>
      <c r="N11" s="110">
        <v>7516100.2000000002</v>
      </c>
      <c r="O11" s="110">
        <v>166785433.30000001</v>
      </c>
      <c r="P11" s="110">
        <v>128217.2</v>
      </c>
      <c r="Q11" s="110">
        <v>2202955.4</v>
      </c>
      <c r="R11" s="110">
        <v>124043372.8</v>
      </c>
      <c r="S11" s="110">
        <v>43601226.899999999</v>
      </c>
      <c r="T11" s="110">
        <v>15183570.699999999</v>
      </c>
      <c r="U11" s="110">
        <v>43883484.600000001</v>
      </c>
    </row>
    <row r="13" spans="1:21">
      <c r="A13" s="191" t="s">
        <v>302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4.4"/>
  <cols>
    <col min="1" max="1" width="19" customWidth="1"/>
  </cols>
  <sheetData>
    <row r="1" spans="1:11">
      <c r="A1" s="189" t="s">
        <v>322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3" spans="1:11">
      <c r="A3" s="108" t="s">
        <v>323</v>
      </c>
      <c r="B3" s="108" t="s">
        <v>57</v>
      </c>
      <c r="C3" s="108" t="s">
        <v>324</v>
      </c>
      <c r="D3" s="108" t="s">
        <v>325</v>
      </c>
      <c r="E3" s="108" t="s">
        <v>326</v>
      </c>
      <c r="F3" s="108" t="s">
        <v>327</v>
      </c>
      <c r="G3" s="108" t="s">
        <v>328</v>
      </c>
      <c r="H3" s="108" t="s">
        <v>329</v>
      </c>
      <c r="I3" s="108" t="s">
        <v>330</v>
      </c>
      <c r="J3" s="108" t="s">
        <v>331</v>
      </c>
      <c r="K3" s="108" t="s">
        <v>332</v>
      </c>
    </row>
    <row r="4" spans="1:11">
      <c r="A4" s="108" t="s">
        <v>323</v>
      </c>
      <c r="B4" s="108" t="s">
        <v>333</v>
      </c>
      <c r="C4" s="108" t="s">
        <v>334</v>
      </c>
      <c r="D4" s="108" t="s">
        <v>335</v>
      </c>
      <c r="E4" s="108" t="s">
        <v>336</v>
      </c>
      <c r="F4" s="108" t="s">
        <v>337</v>
      </c>
      <c r="G4" s="108" t="s">
        <v>338</v>
      </c>
      <c r="H4" s="108" t="s">
        <v>339</v>
      </c>
      <c r="I4" s="108" t="s">
        <v>340</v>
      </c>
      <c r="J4" s="108" t="s">
        <v>340</v>
      </c>
      <c r="K4" s="108" t="s">
        <v>341</v>
      </c>
    </row>
    <row r="5" spans="1:11">
      <c r="A5" s="109" t="s">
        <v>57</v>
      </c>
      <c r="B5" s="110">
        <v>28676683</v>
      </c>
      <c r="C5" s="110">
        <v>9473824</v>
      </c>
      <c r="D5" s="110">
        <v>11328900</v>
      </c>
      <c r="E5" s="110">
        <v>1589208</v>
      </c>
      <c r="F5" s="110">
        <v>165481</v>
      </c>
      <c r="G5" s="110">
        <v>1276326</v>
      </c>
      <c r="H5" s="110">
        <v>2516072</v>
      </c>
      <c r="I5" s="110">
        <v>1801165</v>
      </c>
      <c r="J5" s="110">
        <v>105958</v>
      </c>
      <c r="K5" s="110">
        <v>419749</v>
      </c>
    </row>
    <row r="6" spans="1:11">
      <c r="A6" s="111">
        <v>201912</v>
      </c>
      <c r="B6" s="110">
        <v>2484700</v>
      </c>
      <c r="C6" s="110">
        <v>826254</v>
      </c>
      <c r="D6" s="110">
        <v>984672</v>
      </c>
      <c r="E6" s="110">
        <v>136000</v>
      </c>
      <c r="F6" s="110">
        <v>17657</v>
      </c>
      <c r="G6" s="110">
        <v>106683</v>
      </c>
      <c r="H6" s="110">
        <v>209723</v>
      </c>
      <c r="I6" s="110">
        <v>166978</v>
      </c>
      <c r="J6" s="110">
        <v>10261</v>
      </c>
      <c r="K6" s="110">
        <v>26472</v>
      </c>
    </row>
    <row r="7" spans="1:11">
      <c r="A7" s="111">
        <v>201911</v>
      </c>
      <c r="B7" s="110">
        <v>2257740</v>
      </c>
      <c r="C7" s="110">
        <v>703115</v>
      </c>
      <c r="D7" s="110">
        <v>945919</v>
      </c>
      <c r="E7" s="110">
        <v>119523</v>
      </c>
      <c r="F7" s="110">
        <v>17693</v>
      </c>
      <c r="G7" s="110">
        <v>100887</v>
      </c>
      <c r="H7" s="110">
        <v>185026</v>
      </c>
      <c r="I7" s="110">
        <v>153249</v>
      </c>
      <c r="J7" s="110">
        <v>3054</v>
      </c>
      <c r="K7" s="110">
        <v>29274</v>
      </c>
    </row>
    <row r="8" spans="1:11">
      <c r="A8" s="111">
        <v>201910</v>
      </c>
      <c r="B8" s="110">
        <v>2407594</v>
      </c>
      <c r="C8" s="110">
        <v>784302</v>
      </c>
      <c r="D8" s="110">
        <v>1005132</v>
      </c>
      <c r="E8" s="110">
        <v>131930</v>
      </c>
      <c r="F8" s="110">
        <v>17191</v>
      </c>
      <c r="G8" s="110">
        <v>97046</v>
      </c>
      <c r="H8" s="110">
        <v>190313</v>
      </c>
      <c r="I8" s="110">
        <v>138054</v>
      </c>
      <c r="J8" s="110">
        <v>8536</v>
      </c>
      <c r="K8" s="110">
        <v>35090</v>
      </c>
    </row>
    <row r="9" spans="1:11">
      <c r="A9" s="111">
        <v>201909</v>
      </c>
      <c r="B9" s="110">
        <v>2111762</v>
      </c>
      <c r="C9" s="110">
        <v>736963</v>
      </c>
      <c r="D9" s="110">
        <v>778408</v>
      </c>
      <c r="E9" s="110">
        <v>134094</v>
      </c>
      <c r="F9" s="110">
        <v>11659</v>
      </c>
      <c r="G9" s="110">
        <v>95755</v>
      </c>
      <c r="H9" s="110">
        <v>190545</v>
      </c>
      <c r="I9" s="110">
        <v>129372</v>
      </c>
      <c r="J9" s="110">
        <v>4356</v>
      </c>
      <c r="K9" s="110">
        <v>30610</v>
      </c>
    </row>
    <row r="10" spans="1:11">
      <c r="A10" s="111">
        <v>201908</v>
      </c>
      <c r="B10" s="110">
        <v>2360683</v>
      </c>
      <c r="C10" s="110">
        <v>817198</v>
      </c>
      <c r="D10" s="110">
        <v>873099</v>
      </c>
      <c r="E10" s="110">
        <v>137913</v>
      </c>
      <c r="F10" s="110">
        <v>16585</v>
      </c>
      <c r="G10" s="110">
        <v>107445</v>
      </c>
      <c r="H10" s="110">
        <v>220886</v>
      </c>
      <c r="I10" s="110">
        <v>145407</v>
      </c>
      <c r="J10" s="110">
        <v>7722</v>
      </c>
      <c r="K10" s="110">
        <v>34428</v>
      </c>
    </row>
    <row r="11" spans="1:11">
      <c r="A11" s="111">
        <v>201907</v>
      </c>
      <c r="B11" s="110">
        <v>2491094</v>
      </c>
      <c r="C11" s="110">
        <v>829871</v>
      </c>
      <c r="D11" s="110">
        <v>977346</v>
      </c>
      <c r="E11" s="110">
        <v>114710</v>
      </c>
      <c r="F11" s="110">
        <v>16748</v>
      </c>
      <c r="G11" s="110">
        <v>108616</v>
      </c>
      <c r="H11" s="110">
        <v>228530</v>
      </c>
      <c r="I11" s="110">
        <v>155995</v>
      </c>
      <c r="J11" s="110">
        <v>15930</v>
      </c>
      <c r="K11" s="110">
        <v>43348</v>
      </c>
    </row>
    <row r="12" spans="1:11">
      <c r="A12" s="111">
        <v>201906</v>
      </c>
      <c r="B12" s="110">
        <v>2431144</v>
      </c>
      <c r="C12" s="110">
        <v>741986</v>
      </c>
      <c r="D12" s="110">
        <v>1043455</v>
      </c>
      <c r="E12" s="110">
        <v>108940</v>
      </c>
      <c r="F12" s="110">
        <v>13172</v>
      </c>
      <c r="G12" s="110">
        <v>104944</v>
      </c>
      <c r="H12" s="110">
        <v>216722</v>
      </c>
      <c r="I12" s="110">
        <v>147566</v>
      </c>
      <c r="J12" s="110">
        <v>13100</v>
      </c>
      <c r="K12" s="110">
        <v>41259</v>
      </c>
    </row>
    <row r="13" spans="1:11">
      <c r="A13" s="111">
        <v>201905</v>
      </c>
      <c r="B13" s="110">
        <v>2673002</v>
      </c>
      <c r="C13" s="110">
        <v>830892</v>
      </c>
      <c r="D13" s="110">
        <v>1122387</v>
      </c>
      <c r="E13" s="110">
        <v>149680</v>
      </c>
      <c r="F13" s="110">
        <v>9661</v>
      </c>
      <c r="G13" s="110">
        <v>112954</v>
      </c>
      <c r="H13" s="110">
        <v>229845</v>
      </c>
      <c r="I13" s="110">
        <v>164435</v>
      </c>
      <c r="J13" s="110">
        <v>8663</v>
      </c>
      <c r="K13" s="110">
        <v>44485</v>
      </c>
    </row>
    <row r="14" spans="1:11">
      <c r="A14" s="111">
        <v>201904</v>
      </c>
      <c r="B14" s="110">
        <v>2646958</v>
      </c>
      <c r="C14" s="110">
        <v>840934</v>
      </c>
      <c r="D14" s="110">
        <v>1108739</v>
      </c>
      <c r="E14" s="110">
        <v>154488</v>
      </c>
      <c r="F14" s="110">
        <v>8410</v>
      </c>
      <c r="G14" s="110">
        <v>119876</v>
      </c>
      <c r="H14" s="110">
        <v>215313</v>
      </c>
      <c r="I14" s="110">
        <v>141426</v>
      </c>
      <c r="J14" s="110">
        <v>12362</v>
      </c>
      <c r="K14" s="110">
        <v>45410</v>
      </c>
    </row>
    <row r="15" spans="1:11">
      <c r="A15" s="111">
        <v>201903</v>
      </c>
      <c r="B15" s="110">
        <v>2613538</v>
      </c>
      <c r="C15" s="110">
        <v>791898</v>
      </c>
      <c r="D15" s="110">
        <v>1111531</v>
      </c>
      <c r="E15" s="110">
        <v>148340</v>
      </c>
      <c r="F15" s="110">
        <v>10004</v>
      </c>
      <c r="G15" s="110">
        <v>118843</v>
      </c>
      <c r="H15" s="110">
        <v>219779</v>
      </c>
      <c r="I15" s="110">
        <v>168771</v>
      </c>
      <c r="J15" s="110">
        <v>5566</v>
      </c>
      <c r="K15" s="110">
        <v>38806</v>
      </c>
    </row>
    <row r="16" spans="1:11">
      <c r="A16" s="111">
        <v>201902</v>
      </c>
      <c r="B16" s="110">
        <v>1897115</v>
      </c>
      <c r="C16" s="110">
        <v>693111</v>
      </c>
      <c r="D16" s="110">
        <v>622372</v>
      </c>
      <c r="E16" s="110">
        <v>112477</v>
      </c>
      <c r="F16" s="110">
        <v>10519</v>
      </c>
      <c r="G16" s="110">
        <v>97974</v>
      </c>
      <c r="H16" s="110">
        <v>190630</v>
      </c>
      <c r="I16" s="110">
        <v>138752</v>
      </c>
      <c r="J16" s="110">
        <v>4896</v>
      </c>
      <c r="K16" s="110">
        <v>26384</v>
      </c>
    </row>
    <row r="17" spans="1:11">
      <c r="A17" s="111">
        <v>201901</v>
      </c>
      <c r="B17" s="110">
        <v>2301353</v>
      </c>
      <c r="C17" s="110">
        <v>877300</v>
      </c>
      <c r="D17" s="110">
        <v>755840</v>
      </c>
      <c r="E17" s="110">
        <v>141113</v>
      </c>
      <c r="F17" s="110">
        <v>16182</v>
      </c>
      <c r="G17" s="110">
        <v>105303</v>
      </c>
      <c r="H17" s="110">
        <v>218760</v>
      </c>
      <c r="I17" s="110">
        <v>151160</v>
      </c>
      <c r="J17" s="110">
        <v>11512</v>
      </c>
      <c r="K17" s="110">
        <v>24183</v>
      </c>
    </row>
    <row r="19" spans="1:11">
      <c r="A19" s="191" t="s">
        <v>302</v>
      </c>
      <c r="B19" s="190"/>
      <c r="C19" s="190"/>
      <c r="D19" s="190"/>
      <c r="E19" s="190"/>
      <c r="F19" s="190"/>
      <c r="G19" s="190"/>
      <c r="H19" s="190"/>
      <c r="I19" s="190"/>
      <c r="J19" s="190"/>
      <c r="K19" s="44">
        <v>44452.580671828706</v>
      </c>
    </row>
    <row r="20" spans="1:11">
      <c r="A20" t="s">
        <v>342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A20" sqref="A20"/>
    </sheetView>
  </sheetViews>
  <sheetFormatPr defaultColWidth="19" defaultRowHeight="14.4"/>
  <cols>
    <col min="1" max="1" width="19" customWidth="1"/>
  </cols>
  <sheetData>
    <row r="1" spans="1:11">
      <c r="A1" s="189" t="s">
        <v>322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3" spans="1:11">
      <c r="A3" s="108" t="s">
        <v>323</v>
      </c>
      <c r="B3" s="108" t="s">
        <v>57</v>
      </c>
      <c r="C3" s="108" t="s">
        <v>324</v>
      </c>
      <c r="D3" s="108" t="s">
        <v>325</v>
      </c>
      <c r="E3" s="108" t="s">
        <v>326</v>
      </c>
      <c r="F3" s="108" t="s">
        <v>327</v>
      </c>
      <c r="G3" s="108" t="s">
        <v>328</v>
      </c>
      <c r="H3" s="108" t="s">
        <v>329</v>
      </c>
      <c r="I3" s="108" t="s">
        <v>330</v>
      </c>
      <c r="J3" s="108" t="s">
        <v>331</v>
      </c>
      <c r="K3" s="108" t="s">
        <v>332</v>
      </c>
    </row>
    <row r="4" spans="1:11">
      <c r="A4" s="108" t="s">
        <v>323</v>
      </c>
      <c r="B4" s="108" t="s">
        <v>333</v>
      </c>
      <c r="C4" s="108" t="s">
        <v>334</v>
      </c>
      <c r="D4" s="108" t="s">
        <v>335</v>
      </c>
      <c r="E4" s="108" t="s">
        <v>336</v>
      </c>
      <c r="F4" s="108" t="s">
        <v>337</v>
      </c>
      <c r="G4" s="108" t="s">
        <v>338</v>
      </c>
      <c r="H4" s="108" t="s">
        <v>339</v>
      </c>
      <c r="I4" s="108" t="s">
        <v>340</v>
      </c>
      <c r="J4" s="108" t="s">
        <v>340</v>
      </c>
      <c r="K4" s="108" t="s">
        <v>341</v>
      </c>
    </row>
    <row r="5" spans="1:11">
      <c r="A5" s="109" t="s">
        <v>57</v>
      </c>
      <c r="B5" s="110">
        <v>26302456</v>
      </c>
      <c r="C5" s="110">
        <v>8842071</v>
      </c>
      <c r="D5" s="110">
        <v>10256445</v>
      </c>
      <c r="E5" s="110">
        <v>1443733</v>
      </c>
      <c r="F5" s="110">
        <v>187842</v>
      </c>
      <c r="G5" s="110">
        <v>1116876</v>
      </c>
      <c r="H5" s="110">
        <v>2319610</v>
      </c>
      <c r="I5" s="110">
        <v>1648991</v>
      </c>
      <c r="J5" s="110">
        <v>58637</v>
      </c>
      <c r="K5" s="110">
        <v>428251</v>
      </c>
    </row>
    <row r="6" spans="1:11">
      <c r="A6" s="111">
        <v>202012</v>
      </c>
      <c r="B6" s="110">
        <v>2237539</v>
      </c>
      <c r="C6" s="110">
        <v>749798</v>
      </c>
      <c r="D6" s="110">
        <v>872098</v>
      </c>
      <c r="E6" s="110">
        <v>132480</v>
      </c>
      <c r="F6" s="110">
        <v>12614</v>
      </c>
      <c r="G6" s="110">
        <v>99823</v>
      </c>
      <c r="H6" s="110">
        <v>210859</v>
      </c>
      <c r="I6" s="110">
        <v>130138</v>
      </c>
      <c r="J6" s="110">
        <v>2943</v>
      </c>
      <c r="K6" s="110">
        <v>26786</v>
      </c>
    </row>
    <row r="7" spans="1:11">
      <c r="A7" s="111">
        <v>202011</v>
      </c>
      <c r="B7" s="110">
        <v>2480690</v>
      </c>
      <c r="C7" s="110">
        <v>790579</v>
      </c>
      <c r="D7" s="110">
        <v>1051693</v>
      </c>
      <c r="E7" s="110">
        <v>145650</v>
      </c>
      <c r="F7" s="110">
        <v>18398</v>
      </c>
      <c r="G7" s="110">
        <v>102406</v>
      </c>
      <c r="H7" s="110">
        <v>202017</v>
      </c>
      <c r="I7" s="110">
        <v>129778</v>
      </c>
      <c r="J7" s="110">
        <v>3344</v>
      </c>
      <c r="K7" s="110">
        <v>36825</v>
      </c>
    </row>
    <row r="8" spans="1:11">
      <c r="A8" s="111">
        <v>202010</v>
      </c>
      <c r="B8" s="110">
        <v>2325684</v>
      </c>
      <c r="C8" s="110">
        <v>745468</v>
      </c>
      <c r="D8" s="110">
        <v>962293</v>
      </c>
      <c r="E8" s="110">
        <v>109004</v>
      </c>
      <c r="F8" s="110">
        <v>17406</v>
      </c>
      <c r="G8" s="110">
        <v>102483</v>
      </c>
      <c r="H8" s="110">
        <v>194320</v>
      </c>
      <c r="I8" s="110">
        <v>145477</v>
      </c>
      <c r="J8" s="110">
        <v>13000</v>
      </c>
      <c r="K8" s="110">
        <v>36233</v>
      </c>
    </row>
    <row r="9" spans="1:11">
      <c r="A9" s="111">
        <v>202009</v>
      </c>
      <c r="B9" s="110">
        <v>2081644</v>
      </c>
      <c r="C9" s="110">
        <v>737643</v>
      </c>
      <c r="D9" s="110">
        <v>814897</v>
      </c>
      <c r="E9" s="110">
        <v>79669</v>
      </c>
      <c r="F9" s="110">
        <v>11461</v>
      </c>
      <c r="G9" s="110">
        <v>79440</v>
      </c>
      <c r="H9" s="110">
        <v>187635</v>
      </c>
      <c r="I9" s="110">
        <v>134471</v>
      </c>
      <c r="J9" s="110">
        <v>5226</v>
      </c>
      <c r="K9" s="110">
        <v>31202</v>
      </c>
    </row>
    <row r="10" spans="1:11">
      <c r="A10" s="111">
        <v>202008</v>
      </c>
      <c r="B10" s="110">
        <v>1504352</v>
      </c>
      <c r="C10" s="110">
        <v>635420</v>
      </c>
      <c r="D10" s="110">
        <v>404846</v>
      </c>
      <c r="E10" s="110">
        <v>82210</v>
      </c>
      <c r="F10" s="110">
        <v>6625</v>
      </c>
      <c r="G10" s="110">
        <v>47285</v>
      </c>
      <c r="H10" s="110">
        <v>168989</v>
      </c>
      <c r="I10" s="110">
        <v>117328</v>
      </c>
      <c r="J10" s="110">
        <v>3780</v>
      </c>
      <c r="K10" s="110">
        <v>37869</v>
      </c>
    </row>
    <row r="11" spans="1:11">
      <c r="A11" s="111">
        <v>202007</v>
      </c>
      <c r="B11" s="110">
        <v>2196514</v>
      </c>
      <c r="C11" s="110">
        <v>763818</v>
      </c>
      <c r="D11" s="110">
        <v>818343</v>
      </c>
      <c r="E11" s="110">
        <v>139303</v>
      </c>
      <c r="F11" s="110">
        <v>16372</v>
      </c>
      <c r="G11" s="110">
        <v>82175</v>
      </c>
      <c r="H11" s="110">
        <v>194648</v>
      </c>
      <c r="I11" s="110">
        <v>140315</v>
      </c>
      <c r="J11" s="110">
        <v>2200</v>
      </c>
      <c r="K11" s="110">
        <v>39340</v>
      </c>
    </row>
    <row r="12" spans="1:11">
      <c r="A12" s="111">
        <v>202006</v>
      </c>
      <c r="B12" s="110">
        <v>2173085</v>
      </c>
      <c r="C12" s="110">
        <v>636631</v>
      </c>
      <c r="D12" s="110">
        <v>960874</v>
      </c>
      <c r="E12" s="110">
        <v>142408</v>
      </c>
      <c r="F12" s="110">
        <v>18103</v>
      </c>
      <c r="G12" s="110">
        <v>88752</v>
      </c>
      <c r="H12" s="110">
        <v>158418</v>
      </c>
      <c r="I12" s="110">
        <v>118938</v>
      </c>
      <c r="J12" s="110">
        <v>2603</v>
      </c>
      <c r="K12" s="110">
        <v>46358</v>
      </c>
    </row>
    <row r="13" spans="1:11">
      <c r="A13" s="111">
        <v>202005</v>
      </c>
      <c r="B13" s="110">
        <v>2230384</v>
      </c>
      <c r="C13" s="110">
        <v>667064</v>
      </c>
      <c r="D13" s="110">
        <v>971775</v>
      </c>
      <c r="E13" s="110">
        <v>137036</v>
      </c>
      <c r="F13" s="110">
        <v>19092</v>
      </c>
      <c r="G13" s="110">
        <v>96109</v>
      </c>
      <c r="H13" s="110">
        <v>166867</v>
      </c>
      <c r="I13" s="110">
        <v>130123</v>
      </c>
      <c r="J13" s="110">
        <v>3374</v>
      </c>
      <c r="K13" s="110">
        <v>38944</v>
      </c>
    </row>
    <row r="14" spans="1:11">
      <c r="A14" s="111">
        <v>202004</v>
      </c>
      <c r="B14" s="110">
        <v>2394640</v>
      </c>
      <c r="C14" s="110">
        <v>726150</v>
      </c>
      <c r="D14" s="110">
        <v>1032291</v>
      </c>
      <c r="E14" s="110">
        <v>134187</v>
      </c>
      <c r="F14" s="110">
        <v>18201</v>
      </c>
      <c r="G14" s="110">
        <v>104162</v>
      </c>
      <c r="H14" s="110">
        <v>191414</v>
      </c>
      <c r="I14" s="110">
        <v>145963</v>
      </c>
      <c r="J14" s="110">
        <v>2729</v>
      </c>
      <c r="K14" s="110">
        <v>39543</v>
      </c>
    </row>
    <row r="15" spans="1:11">
      <c r="A15" s="111">
        <v>202003</v>
      </c>
      <c r="B15" s="110">
        <v>2484472</v>
      </c>
      <c r="C15" s="110">
        <v>818032</v>
      </c>
      <c r="D15" s="110">
        <v>989861</v>
      </c>
      <c r="E15" s="110">
        <v>121347</v>
      </c>
      <c r="F15" s="110">
        <v>19294</v>
      </c>
      <c r="G15" s="110">
        <v>106262</v>
      </c>
      <c r="H15" s="110">
        <v>218800</v>
      </c>
      <c r="I15" s="110">
        <v>163500</v>
      </c>
      <c r="J15" s="110">
        <v>3242</v>
      </c>
      <c r="K15" s="110">
        <v>44134</v>
      </c>
    </row>
    <row r="16" spans="1:11">
      <c r="A16" s="111">
        <v>202002</v>
      </c>
      <c r="B16" s="110">
        <v>2163356</v>
      </c>
      <c r="C16" s="110">
        <v>766715</v>
      </c>
      <c r="D16" s="110">
        <v>748314</v>
      </c>
      <c r="E16" s="110">
        <v>112754</v>
      </c>
      <c r="F16" s="110">
        <v>13272</v>
      </c>
      <c r="G16" s="110">
        <v>106351</v>
      </c>
      <c r="H16" s="110">
        <v>223045</v>
      </c>
      <c r="I16" s="110">
        <v>148937</v>
      </c>
      <c r="J16" s="110">
        <v>12774</v>
      </c>
      <c r="K16" s="110">
        <v>31194</v>
      </c>
    </row>
    <row r="17" spans="1:11">
      <c r="A17" s="111">
        <v>202001</v>
      </c>
      <c r="B17" s="110">
        <v>2030096</v>
      </c>
      <c r="C17" s="110">
        <v>804753</v>
      </c>
      <c r="D17" s="110">
        <v>629160</v>
      </c>
      <c r="E17" s="110">
        <v>107685</v>
      </c>
      <c r="F17" s="110">
        <v>17004</v>
      </c>
      <c r="G17" s="110">
        <v>101628</v>
      </c>
      <c r="H17" s="110">
        <v>202598</v>
      </c>
      <c r="I17" s="110">
        <v>144023</v>
      </c>
      <c r="J17" s="110">
        <v>3422</v>
      </c>
      <c r="K17" s="110">
        <v>19823</v>
      </c>
    </row>
    <row r="19" spans="1:11">
      <c r="A19" s="191" t="s">
        <v>302</v>
      </c>
      <c r="B19" s="190"/>
      <c r="C19" s="190"/>
      <c r="D19" s="190"/>
      <c r="E19" s="190"/>
      <c r="F19" s="190"/>
      <c r="G19" s="190"/>
      <c r="H19" s="190"/>
      <c r="I19" s="190"/>
      <c r="J19" s="190"/>
      <c r="K19" s="44">
        <v>44452.580602870381</v>
      </c>
    </row>
    <row r="20" spans="1:11">
      <c r="A20" t="s">
        <v>342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4.4"/>
  <cols>
    <col min="1" max="1" width="19" customWidth="1"/>
  </cols>
  <sheetData>
    <row r="1" spans="1:11">
      <c r="A1" s="189" t="s">
        <v>322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3" spans="1:11">
      <c r="A3" s="108" t="s">
        <v>323</v>
      </c>
      <c r="B3" s="108" t="s">
        <v>57</v>
      </c>
      <c r="C3" s="108" t="s">
        <v>324</v>
      </c>
      <c r="D3" s="108" t="s">
        <v>325</v>
      </c>
      <c r="E3" s="108" t="s">
        <v>326</v>
      </c>
      <c r="F3" s="108" t="s">
        <v>327</v>
      </c>
      <c r="G3" s="108" t="s">
        <v>328</v>
      </c>
      <c r="H3" s="108" t="s">
        <v>329</v>
      </c>
      <c r="I3" s="108" t="s">
        <v>330</v>
      </c>
      <c r="J3" s="108" t="s">
        <v>331</v>
      </c>
      <c r="K3" s="108" t="s">
        <v>332</v>
      </c>
    </row>
    <row r="4" spans="1:11">
      <c r="A4" s="108" t="s">
        <v>323</v>
      </c>
      <c r="B4" s="108" t="s">
        <v>333</v>
      </c>
      <c r="C4" s="108" t="s">
        <v>334</v>
      </c>
      <c r="D4" s="108" t="s">
        <v>335</v>
      </c>
      <c r="E4" s="108" t="s">
        <v>336</v>
      </c>
      <c r="F4" s="108" t="s">
        <v>337</v>
      </c>
      <c r="G4" s="108" t="s">
        <v>338</v>
      </c>
      <c r="H4" s="108" t="s">
        <v>339</v>
      </c>
      <c r="I4" s="108" t="s">
        <v>340</v>
      </c>
      <c r="J4" s="108" t="s">
        <v>340</v>
      </c>
      <c r="K4" s="108" t="s">
        <v>341</v>
      </c>
    </row>
    <row r="5" spans="1:11">
      <c r="A5" s="109" t="s">
        <v>57</v>
      </c>
      <c r="B5" s="110">
        <v>8650541</v>
      </c>
      <c r="C5" s="110">
        <v>3097769</v>
      </c>
      <c r="D5" s="110">
        <v>3171883</v>
      </c>
      <c r="E5" s="110">
        <v>420072</v>
      </c>
      <c r="F5" s="110">
        <v>62689</v>
      </c>
      <c r="G5" s="110">
        <v>383915</v>
      </c>
      <c r="H5" s="110">
        <v>828559</v>
      </c>
      <c r="I5" s="110">
        <v>557710</v>
      </c>
      <c r="J5" s="110">
        <v>17721</v>
      </c>
      <c r="K5" s="110">
        <v>110223</v>
      </c>
    </row>
    <row r="6" spans="1:11">
      <c r="A6" s="111">
        <v>202104</v>
      </c>
      <c r="B6" s="110">
        <v>2381380</v>
      </c>
      <c r="C6" s="110">
        <v>816111</v>
      </c>
      <c r="D6" s="110">
        <v>953717</v>
      </c>
      <c r="E6" s="110">
        <v>115251</v>
      </c>
      <c r="F6" s="110">
        <v>10969</v>
      </c>
      <c r="G6" s="110">
        <v>101188</v>
      </c>
      <c r="H6" s="110">
        <v>194246</v>
      </c>
      <c r="I6" s="110">
        <v>146868</v>
      </c>
      <c r="J6" s="110">
        <v>4766</v>
      </c>
      <c r="K6" s="110">
        <v>38264</v>
      </c>
    </row>
    <row r="7" spans="1:11">
      <c r="A7" s="111">
        <v>202103</v>
      </c>
      <c r="B7" s="110">
        <v>2495179</v>
      </c>
      <c r="C7" s="110">
        <v>885725</v>
      </c>
      <c r="D7" s="110">
        <v>981805</v>
      </c>
      <c r="E7" s="110">
        <v>105492</v>
      </c>
      <c r="F7" s="110">
        <v>17519</v>
      </c>
      <c r="G7" s="110">
        <v>93706</v>
      </c>
      <c r="H7" s="110">
        <v>227441</v>
      </c>
      <c r="I7" s="110">
        <v>144340</v>
      </c>
      <c r="J7" s="110">
        <v>5541</v>
      </c>
      <c r="K7" s="110">
        <v>33610</v>
      </c>
    </row>
    <row r="8" spans="1:11">
      <c r="A8" s="111">
        <v>202102</v>
      </c>
      <c r="B8" s="110">
        <v>1772636</v>
      </c>
      <c r="C8" s="110">
        <v>665846</v>
      </c>
      <c r="D8" s="110">
        <v>573032</v>
      </c>
      <c r="E8" s="110">
        <v>85870</v>
      </c>
      <c r="F8" s="110">
        <v>14781</v>
      </c>
      <c r="G8" s="110">
        <v>91362</v>
      </c>
      <c r="H8" s="110">
        <v>193214</v>
      </c>
      <c r="I8" s="110">
        <v>123742</v>
      </c>
      <c r="J8" s="110">
        <v>3807</v>
      </c>
      <c r="K8" s="110">
        <v>20982</v>
      </c>
    </row>
    <row r="9" spans="1:11">
      <c r="A9" s="111">
        <v>202101</v>
      </c>
      <c r="B9" s="110">
        <v>2001346</v>
      </c>
      <c r="C9" s="110">
        <v>730087</v>
      </c>
      <c r="D9" s="110">
        <v>663329</v>
      </c>
      <c r="E9" s="110">
        <v>113459</v>
      </c>
      <c r="F9" s="110">
        <v>19420</v>
      </c>
      <c r="G9" s="110">
        <v>97659</v>
      </c>
      <c r="H9" s="110">
        <v>213658</v>
      </c>
      <c r="I9" s="110">
        <v>142760</v>
      </c>
      <c r="J9" s="110">
        <v>3607</v>
      </c>
      <c r="K9" s="110">
        <v>17367</v>
      </c>
    </row>
    <row r="11" spans="1:11">
      <c r="A11" s="191" t="s">
        <v>302</v>
      </c>
      <c r="B11" s="190"/>
      <c r="C11" s="190"/>
      <c r="D11" s="190"/>
      <c r="E11" s="190"/>
      <c r="F11" s="190"/>
      <c r="G11" s="190"/>
      <c r="H11" s="190"/>
      <c r="I11" s="190"/>
      <c r="J11" s="190"/>
      <c r="K11" s="44">
        <v>44452.580524965277</v>
      </c>
    </row>
    <row r="12" spans="1:11">
      <c r="A12" t="s">
        <v>342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F30" sqref="F30"/>
    </sheetView>
  </sheetViews>
  <sheetFormatPr defaultColWidth="9" defaultRowHeight="14.4"/>
  <cols>
    <col min="1" max="1" width="19.21875" style="4" bestFit="1" customWidth="1"/>
    <col min="2" max="2" width="20.109375" style="4" bestFit="1" customWidth="1"/>
    <col min="3" max="3" width="15.33203125" style="4" bestFit="1" customWidth="1"/>
    <col min="4" max="4" width="15.33203125" style="4" customWidth="1"/>
    <col min="5" max="7" width="15.33203125" style="4" bestFit="1" customWidth="1"/>
    <col min="8" max="10" width="14.77734375" style="4" bestFit="1" customWidth="1"/>
    <col min="11" max="16384" width="9" style="4"/>
  </cols>
  <sheetData>
    <row r="1" spans="1:11" ht="15" thickBot="1">
      <c r="A1" s="25" t="s">
        <v>343</v>
      </c>
    </row>
    <row r="2" spans="1:11" ht="20.100000000000001" customHeight="1">
      <c r="A2" s="112" t="s">
        <v>344</v>
      </c>
      <c r="B2" s="112" t="s">
        <v>345</v>
      </c>
      <c r="C2" s="113">
        <v>2011</v>
      </c>
      <c r="D2" s="113">
        <v>2012</v>
      </c>
      <c r="E2" s="113">
        <v>2013</v>
      </c>
      <c r="F2" s="113">
        <v>2014</v>
      </c>
      <c r="G2" s="113">
        <v>2015</v>
      </c>
      <c r="H2" s="113">
        <v>2016</v>
      </c>
      <c r="I2" s="113">
        <v>2017</v>
      </c>
      <c r="J2" s="113">
        <v>2018</v>
      </c>
      <c r="K2" s="64" t="s">
        <v>346</v>
      </c>
    </row>
    <row r="3" spans="1:11" ht="20.100000000000001" customHeight="1">
      <c r="A3" s="51" t="s">
        <v>347</v>
      </c>
      <c r="B3" s="114" t="s">
        <v>348</v>
      </c>
      <c r="C3" s="115">
        <v>1118621000</v>
      </c>
      <c r="D3" s="115">
        <v>1149340000</v>
      </c>
      <c r="E3" s="115">
        <v>1224820000</v>
      </c>
      <c r="F3" s="115">
        <v>1263472000</v>
      </c>
      <c r="G3" s="115">
        <v>1269417000</v>
      </c>
      <c r="H3" s="115">
        <v>1449535000</v>
      </c>
      <c r="I3" s="115">
        <v>1490319000</v>
      </c>
      <c r="J3" s="115">
        <v>1521590000</v>
      </c>
      <c r="K3" s="116">
        <f>(J3/C3)^(1/7)-1</f>
        <v>4.4931475049839742E-2</v>
      </c>
    </row>
    <row r="4" spans="1:11" ht="20.100000000000001" customHeight="1">
      <c r="A4" s="49" t="s">
        <v>245</v>
      </c>
      <c r="B4" s="114" t="s">
        <v>349</v>
      </c>
      <c r="C4" s="115">
        <v>36784000000</v>
      </c>
      <c r="D4" s="115">
        <v>42493000000</v>
      </c>
      <c r="E4" s="115">
        <v>38531000000</v>
      </c>
      <c r="F4" s="115">
        <v>39500000000</v>
      </c>
      <c r="G4" s="115">
        <v>40343000000</v>
      </c>
      <c r="H4" s="115">
        <v>43384000000</v>
      </c>
      <c r="I4" s="115">
        <v>46295000000</v>
      </c>
      <c r="J4" s="115">
        <v>48027000000</v>
      </c>
      <c r="K4" s="117">
        <f>(J4/C4)^(1/7)-1</f>
        <v>3.8835168293443356E-2</v>
      </c>
    </row>
    <row r="5" spans="1:11" ht="20.100000000000001" customHeight="1">
      <c r="A5" s="51" t="s">
        <v>350</v>
      </c>
      <c r="B5" s="114" t="s">
        <v>351</v>
      </c>
      <c r="C5" s="115">
        <v>40011987</v>
      </c>
      <c r="D5" s="115">
        <v>40308928</v>
      </c>
      <c r="E5" s="115">
        <v>39822270</v>
      </c>
      <c r="F5" s="115">
        <v>37379168</v>
      </c>
      <c r="G5" s="115">
        <v>37093642</v>
      </c>
      <c r="H5" s="118">
        <v>32555441</v>
      </c>
      <c r="I5" s="118">
        <v>31669610</v>
      </c>
      <c r="J5" s="118">
        <v>30914733</v>
      </c>
      <c r="K5" s="116">
        <f>(J5/C5)^(1/7)-1</f>
        <v>-3.6178781626822532E-2</v>
      </c>
    </row>
    <row r="6" spans="1:11" ht="20.100000000000001" customHeight="1" thickBot="1">
      <c r="A6" s="106" t="s">
        <v>245</v>
      </c>
      <c r="B6" s="114" t="s">
        <v>352</v>
      </c>
      <c r="C6" s="115">
        <v>9996737509</v>
      </c>
      <c r="D6" s="115">
        <v>10458878979</v>
      </c>
      <c r="E6" s="115">
        <v>10458878979</v>
      </c>
      <c r="F6" s="115">
        <v>9563602650</v>
      </c>
      <c r="G6" s="115">
        <v>9479257421</v>
      </c>
      <c r="H6" s="118">
        <v>8414121799.3000002</v>
      </c>
      <c r="I6" s="118">
        <v>8229194875.5</v>
      </c>
      <c r="J6" s="118">
        <v>7877511771.6429996</v>
      </c>
      <c r="K6" s="119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D23"/>
  <sheetViews>
    <sheetView workbookViewId="0">
      <selection activeCell="A24" sqref="A24"/>
    </sheetView>
  </sheetViews>
  <sheetFormatPr defaultRowHeight="14.4"/>
  <cols>
    <col min="15" max="16" width="9.33203125" bestFit="1" customWidth="1"/>
    <col min="17" max="17" width="11.6640625" bestFit="1" customWidth="1"/>
  </cols>
  <sheetData>
    <row r="1" spans="1:4">
      <c r="A1" s="192" t="s">
        <v>353</v>
      </c>
      <c r="B1" s="192"/>
      <c r="C1" s="192"/>
      <c r="D1" s="192"/>
    </row>
    <row r="2" spans="1:4">
      <c r="A2" s="120"/>
      <c r="B2" s="120">
        <v>2019</v>
      </c>
      <c r="C2" s="120">
        <v>2020</v>
      </c>
      <c r="D2" s="120">
        <v>2021</v>
      </c>
    </row>
    <row r="3" spans="1:4">
      <c r="A3" s="120" t="s">
        <v>354</v>
      </c>
      <c r="B3" s="120">
        <f>SUM(B5:B11)</f>
        <v>83614684</v>
      </c>
      <c r="C3" s="120">
        <f>SUM(C5:C11)</f>
        <v>53053344</v>
      </c>
      <c r="D3" s="120">
        <f>SUM(D5:D11)</f>
        <v>53490530</v>
      </c>
    </row>
    <row r="4" spans="1:4">
      <c r="A4" s="120" t="s">
        <v>355</v>
      </c>
      <c r="B4" s="120"/>
      <c r="C4" s="121">
        <f>C3/$B$3</f>
        <v>0.63449793100934282</v>
      </c>
      <c r="D4" s="121">
        <f>D3/$B$3</f>
        <v>0.63972651023832128</v>
      </c>
    </row>
    <row r="5" spans="1:4">
      <c r="A5" s="120" t="s">
        <v>356</v>
      </c>
      <c r="B5" s="120">
        <f>'Rail2019-psgr'!B16</f>
        <v>11247113</v>
      </c>
      <c r="C5" s="120">
        <f>'Rail2020-psgr'!B16</f>
        <v>12029401</v>
      </c>
      <c r="D5" s="120">
        <f>'Rail2021-psgr'!B11</f>
        <v>5643888</v>
      </c>
    </row>
    <row r="6" spans="1:4">
      <c r="A6" s="120" t="s">
        <v>357</v>
      </c>
      <c r="B6" s="120">
        <f>'Rail2019-psgr'!B15</f>
        <v>11440634</v>
      </c>
      <c r="C6" s="120">
        <f>'Rail2020-psgr'!B15</f>
        <v>7039739</v>
      </c>
      <c r="D6" s="120">
        <f>'Rail2021-psgr'!B10</f>
        <v>6477296</v>
      </c>
    </row>
    <row r="7" spans="1:4">
      <c r="A7" s="120" t="s">
        <v>358</v>
      </c>
      <c r="B7" s="120">
        <f>'Rail2019-psgr'!B14</f>
        <v>12140375</v>
      </c>
      <c r="C7" s="120">
        <f>'Rail2020-psgr'!B14</f>
        <v>4085433</v>
      </c>
      <c r="D7" s="120">
        <f>'Rail2021-psgr'!B9</f>
        <v>7992796</v>
      </c>
    </row>
    <row r="8" spans="1:4">
      <c r="A8" s="120" t="s">
        <v>359</v>
      </c>
      <c r="B8" s="120">
        <f>'Rail2019-psgr'!B13</f>
        <v>11928672</v>
      </c>
      <c r="C8" s="120">
        <f>'Rail2020-psgr'!B13</f>
        <v>5577505</v>
      </c>
      <c r="D8" s="120">
        <f>'Rail2021-psgr'!B8</f>
        <v>8161437</v>
      </c>
    </row>
    <row r="9" spans="1:4">
      <c r="A9" s="120" t="s">
        <v>360</v>
      </c>
      <c r="B9" s="120">
        <f>'Rail2019-psgr'!B12</f>
        <v>13025005</v>
      </c>
      <c r="C9" s="120">
        <f>'Rail2020-psgr'!B12</f>
        <v>7875367</v>
      </c>
      <c r="D9" s="120">
        <f>'Rail2021-psgr'!B7</f>
        <v>8972979</v>
      </c>
    </row>
    <row r="10" spans="1:4">
      <c r="A10" s="120" t="s">
        <v>361</v>
      </c>
      <c r="B10" s="120">
        <f>'Rail2019-psgr'!B11</f>
        <v>12025237</v>
      </c>
      <c r="C10" s="120">
        <f>'Rail2020-psgr'!B11</f>
        <v>7812478</v>
      </c>
      <c r="D10" s="120">
        <f>'Rail2021-psgr'!B6</f>
        <v>8575737</v>
      </c>
    </row>
    <row r="11" spans="1:4">
      <c r="A11" s="120" t="s">
        <v>362</v>
      </c>
      <c r="B11" s="120">
        <f>'Rail2019-psgr'!B10</f>
        <v>11807648</v>
      </c>
      <c r="C11" s="120">
        <f>'Rail2020-psgr'!B10</f>
        <v>8633421</v>
      </c>
      <c r="D11" s="120">
        <f>'Rail2021-psgr'!B5</f>
        <v>7666397</v>
      </c>
    </row>
    <row r="13" spans="1:4">
      <c r="A13" s="192" t="s">
        <v>363</v>
      </c>
      <c r="B13" s="192"/>
      <c r="C13" s="192"/>
      <c r="D13" s="192"/>
    </row>
    <row r="14" spans="1:4">
      <c r="A14" s="120"/>
      <c r="B14" s="120">
        <v>2019</v>
      </c>
      <c r="C14" s="120">
        <v>2020</v>
      </c>
      <c r="D14" s="120">
        <v>2021</v>
      </c>
    </row>
    <row r="15" spans="1:4">
      <c r="A15" s="120" t="s">
        <v>364</v>
      </c>
      <c r="B15" s="120">
        <f>SUM(B17:B20)</f>
        <v>9458964</v>
      </c>
      <c r="C15" s="120">
        <f>SUM(C17:C20)</f>
        <v>9072564</v>
      </c>
      <c r="D15" s="120">
        <f>SUM(D17:D20)</f>
        <v>8650541</v>
      </c>
    </row>
    <row r="16" spans="1:4">
      <c r="A16" s="120" t="s">
        <v>355</v>
      </c>
      <c r="B16" s="120"/>
      <c r="C16" s="121">
        <f>C15/$B$15</f>
        <v>0.95914986038640171</v>
      </c>
      <c r="D16" s="121">
        <f>D15/$B$15</f>
        <v>0.91453366351748455</v>
      </c>
    </row>
    <row r="17" spans="1:4">
      <c r="A17" s="120" t="s">
        <v>356</v>
      </c>
      <c r="B17" s="120">
        <f>'Rail2019-freight'!B17</f>
        <v>2301353</v>
      </c>
      <c r="C17" s="120">
        <f>'Rail2020-freight'!B17</f>
        <v>2030096</v>
      </c>
      <c r="D17" s="120">
        <f>'Rail2021-freight'!B9</f>
        <v>2001346</v>
      </c>
    </row>
    <row r="18" spans="1:4">
      <c r="A18" s="120" t="s">
        <v>357</v>
      </c>
      <c r="B18" s="120">
        <f>'Rail2019-freight'!B16</f>
        <v>1897115</v>
      </c>
      <c r="C18" s="120">
        <f>'Rail2020-freight'!B16</f>
        <v>2163356</v>
      </c>
      <c r="D18" s="120">
        <f>'Rail2021-freight'!B8</f>
        <v>1772636</v>
      </c>
    </row>
    <row r="19" spans="1:4">
      <c r="A19" s="120" t="s">
        <v>358</v>
      </c>
      <c r="B19" s="120">
        <f>'Rail2019-freight'!B15</f>
        <v>2613538</v>
      </c>
      <c r="C19" s="120">
        <f>'Rail2020-freight'!B15</f>
        <v>2484472</v>
      </c>
      <c r="D19" s="120">
        <f>'Rail2021-freight'!B7</f>
        <v>2495179</v>
      </c>
    </row>
    <row r="20" spans="1:4">
      <c r="A20" s="120" t="s">
        <v>359</v>
      </c>
      <c r="B20" s="120">
        <f>'Rail2019-freight'!B14</f>
        <v>2646958</v>
      </c>
      <c r="C20" s="120">
        <f>'Rail2020-freight'!B14</f>
        <v>2394640</v>
      </c>
      <c r="D20" s="120">
        <f>'Rail2021-freight'!B6</f>
        <v>2381380</v>
      </c>
    </row>
    <row r="22" spans="1:4">
      <c r="A22" s="21" t="s">
        <v>365</v>
      </c>
    </row>
    <row r="23" spans="1:4">
      <c r="A23" t="s">
        <v>366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4.4"/>
  <cols>
    <col min="1" max="1" width="5" style="157" bestFit="1" customWidth="1"/>
    <col min="2" max="2" width="21" style="157" customWidth="1"/>
    <col min="3" max="3" width="10.44140625" style="157" bestFit="1" customWidth="1"/>
    <col min="4" max="4" width="8.33203125" style="157" bestFit="1" customWidth="1"/>
    <col min="5" max="5" width="10.44140625" style="157" bestFit="1" customWidth="1"/>
    <col min="6" max="6" width="8.44140625" style="157" bestFit="1" customWidth="1"/>
    <col min="7" max="16384" width="31" style="157"/>
  </cols>
  <sheetData>
    <row r="1" spans="1:6">
      <c r="A1" s="156" t="s">
        <v>843</v>
      </c>
      <c r="B1" s="156" t="s">
        <v>367</v>
      </c>
      <c r="C1" s="156" t="s">
        <v>368</v>
      </c>
      <c r="D1" s="156" t="s">
        <v>369</v>
      </c>
      <c r="E1" s="156" t="s">
        <v>370</v>
      </c>
      <c r="F1" s="156" t="s">
        <v>371</v>
      </c>
    </row>
    <row r="2" spans="1:6">
      <c r="A2" s="157">
        <v>0</v>
      </c>
      <c r="B2" s="157" t="s">
        <v>372</v>
      </c>
      <c r="C2" s="157">
        <v>186054312</v>
      </c>
      <c r="D2" s="157">
        <v>918941</v>
      </c>
      <c r="E2" s="157">
        <v>157673444</v>
      </c>
      <c r="F2" s="157">
        <v>4533446</v>
      </c>
    </row>
    <row r="3" spans="1:6">
      <c r="A3" s="157">
        <v>1</v>
      </c>
      <c r="B3" s="157" t="s">
        <v>844</v>
      </c>
      <c r="C3" s="157">
        <v>15616550</v>
      </c>
      <c r="D3" s="157">
        <v>77117</v>
      </c>
      <c r="E3" s="157">
        <v>13219221</v>
      </c>
      <c r="F3" s="157">
        <v>394679</v>
      </c>
    </row>
    <row r="4" spans="1:6">
      <c r="A4" s="157">
        <v>1</v>
      </c>
      <c r="B4" s="157" t="s">
        <v>845</v>
      </c>
      <c r="C4" s="157">
        <v>14920350</v>
      </c>
      <c r="D4" s="157">
        <v>73624</v>
      </c>
      <c r="E4" s="157">
        <v>12802171</v>
      </c>
      <c r="F4" s="157">
        <v>392205</v>
      </c>
    </row>
    <row r="5" spans="1:6">
      <c r="A5" s="157">
        <v>1</v>
      </c>
      <c r="B5" s="157" t="s">
        <v>846</v>
      </c>
      <c r="C5" s="157">
        <v>15714630</v>
      </c>
      <c r="D5" s="157">
        <v>76649</v>
      </c>
      <c r="E5" s="157">
        <v>13536971</v>
      </c>
      <c r="F5" s="157">
        <v>397611</v>
      </c>
    </row>
    <row r="6" spans="1:6">
      <c r="A6" s="157">
        <v>1</v>
      </c>
      <c r="B6" s="157" t="s">
        <v>847</v>
      </c>
      <c r="C6" s="157">
        <v>15131451</v>
      </c>
      <c r="D6" s="157">
        <v>73865</v>
      </c>
      <c r="E6" s="157">
        <v>12051697</v>
      </c>
      <c r="F6" s="157">
        <v>368181</v>
      </c>
    </row>
    <row r="7" spans="1:6">
      <c r="A7" s="157">
        <v>1</v>
      </c>
      <c r="B7" s="157" t="s">
        <v>848</v>
      </c>
      <c r="C7" s="157">
        <v>16551415</v>
      </c>
      <c r="D7" s="157">
        <v>81444</v>
      </c>
      <c r="E7" s="157">
        <v>14281476</v>
      </c>
      <c r="F7" s="157">
        <v>386244</v>
      </c>
    </row>
    <row r="8" spans="1:6">
      <c r="A8" s="157">
        <v>1</v>
      </c>
      <c r="B8" s="157" t="s">
        <v>849</v>
      </c>
      <c r="C8" s="157">
        <v>16180785</v>
      </c>
      <c r="D8" s="157">
        <v>80159</v>
      </c>
      <c r="E8" s="157">
        <v>13569860</v>
      </c>
      <c r="F8" s="157">
        <v>376640</v>
      </c>
    </row>
    <row r="9" spans="1:6">
      <c r="A9" s="157">
        <v>1</v>
      </c>
      <c r="B9" s="157" t="s">
        <v>850</v>
      </c>
      <c r="C9" s="157">
        <v>15682718</v>
      </c>
      <c r="D9" s="157">
        <v>77696</v>
      </c>
      <c r="E9" s="157">
        <v>13484287</v>
      </c>
      <c r="F9" s="157">
        <v>369680</v>
      </c>
    </row>
    <row r="10" spans="1:6">
      <c r="A10" s="157">
        <v>1</v>
      </c>
      <c r="B10" s="157" t="s">
        <v>851</v>
      </c>
      <c r="C10" s="157">
        <v>16029617</v>
      </c>
      <c r="D10" s="157">
        <v>79058</v>
      </c>
      <c r="E10" s="157">
        <v>13298391</v>
      </c>
      <c r="F10" s="157">
        <v>370085</v>
      </c>
    </row>
    <row r="11" spans="1:6">
      <c r="A11" s="157">
        <v>1</v>
      </c>
      <c r="B11" s="157" t="s">
        <v>852</v>
      </c>
      <c r="C11" s="157">
        <v>15252118</v>
      </c>
      <c r="D11" s="157">
        <v>75292</v>
      </c>
      <c r="E11" s="157">
        <v>13018518</v>
      </c>
      <c r="F11" s="157">
        <v>371192</v>
      </c>
    </row>
    <row r="12" spans="1:6">
      <c r="A12" s="157">
        <v>1</v>
      </c>
      <c r="B12" s="157" t="s">
        <v>853</v>
      </c>
      <c r="C12" s="157">
        <v>15318615</v>
      </c>
      <c r="D12" s="157">
        <v>76728</v>
      </c>
      <c r="E12" s="157">
        <v>12747086</v>
      </c>
      <c r="F12" s="157">
        <v>396068</v>
      </c>
    </row>
    <row r="13" spans="1:6">
      <c r="A13" s="157">
        <v>1</v>
      </c>
      <c r="B13" s="157" t="s">
        <v>854</v>
      </c>
      <c r="C13" s="157">
        <v>14144794</v>
      </c>
      <c r="D13" s="157">
        <v>70105</v>
      </c>
      <c r="E13" s="157">
        <v>12454255</v>
      </c>
      <c r="F13" s="157">
        <v>328546</v>
      </c>
    </row>
    <row r="14" spans="1:6">
      <c r="A14" s="157">
        <v>1</v>
      </c>
      <c r="B14" s="157" t="s">
        <v>855</v>
      </c>
      <c r="C14" s="157">
        <v>15511269</v>
      </c>
      <c r="D14" s="157">
        <v>77204</v>
      </c>
      <c r="E14" s="157">
        <v>13209511</v>
      </c>
      <c r="F14" s="157">
        <v>382316</v>
      </c>
    </row>
    <row r="15" spans="1:6" s="158" customFormat="1">
      <c r="A15" s="158">
        <v>2</v>
      </c>
      <c r="B15" s="158" t="s">
        <v>373</v>
      </c>
      <c r="C15" s="158">
        <v>148977763</v>
      </c>
      <c r="D15" s="158">
        <v>737460</v>
      </c>
      <c r="E15" s="158">
        <v>127631572</v>
      </c>
      <c r="F15" s="158">
        <v>3144023</v>
      </c>
    </row>
    <row r="16" spans="1:6">
      <c r="A16" s="157">
        <v>3</v>
      </c>
      <c r="B16" s="157" t="s">
        <v>374</v>
      </c>
      <c r="C16" s="157">
        <v>43334255</v>
      </c>
      <c r="D16" s="157">
        <v>213665</v>
      </c>
      <c r="E16" s="157">
        <v>35495253</v>
      </c>
      <c r="F16" s="157">
        <v>1694440</v>
      </c>
    </row>
    <row r="17" spans="1:6">
      <c r="A17" s="157">
        <v>4</v>
      </c>
      <c r="B17" s="157" t="s">
        <v>375</v>
      </c>
      <c r="C17" s="157">
        <v>31132992</v>
      </c>
      <c r="D17" s="157">
        <v>139456</v>
      </c>
      <c r="E17" s="157">
        <v>26749766</v>
      </c>
      <c r="F17" s="157">
        <v>984940</v>
      </c>
    </row>
    <row r="18" spans="1:6">
      <c r="A18" s="157">
        <v>5</v>
      </c>
      <c r="B18" s="157" t="s">
        <v>376</v>
      </c>
      <c r="C18" s="157">
        <v>20341692</v>
      </c>
      <c r="D18" s="157">
        <v>107661</v>
      </c>
      <c r="E18" s="157">
        <v>18277271</v>
      </c>
      <c r="F18" s="157">
        <v>120460</v>
      </c>
    </row>
    <row r="19" spans="1:6">
      <c r="A19" s="157">
        <v>6</v>
      </c>
      <c r="B19" s="157" t="s">
        <v>377</v>
      </c>
      <c r="C19" s="157">
        <v>13871478</v>
      </c>
      <c r="D19" s="157">
        <v>65029</v>
      </c>
      <c r="E19" s="157">
        <v>12376909</v>
      </c>
      <c r="F19" s="157">
        <v>107023</v>
      </c>
    </row>
    <row r="20" spans="1:6">
      <c r="A20" s="157">
        <v>7</v>
      </c>
      <c r="B20" s="157" t="s">
        <v>378</v>
      </c>
      <c r="C20" s="157">
        <v>14754252</v>
      </c>
      <c r="D20" s="157">
        <v>76887</v>
      </c>
      <c r="E20" s="157">
        <v>12253343</v>
      </c>
      <c r="F20" s="157">
        <v>73804</v>
      </c>
    </row>
    <row r="21" spans="1:6">
      <c r="A21" s="157">
        <v>8</v>
      </c>
      <c r="B21" s="157" t="s">
        <v>379</v>
      </c>
      <c r="C21" s="157">
        <v>10583625</v>
      </c>
      <c r="D21" s="157">
        <v>54851</v>
      </c>
      <c r="E21" s="157">
        <v>9360221</v>
      </c>
      <c r="F21" s="157">
        <v>55962</v>
      </c>
    </row>
    <row r="22" spans="1:6">
      <c r="A22" s="157">
        <v>9</v>
      </c>
      <c r="B22" s="157" t="s">
        <v>380</v>
      </c>
      <c r="C22" s="157">
        <v>12595707</v>
      </c>
      <c r="D22" s="157">
        <v>66711</v>
      </c>
      <c r="E22" s="157">
        <v>11065496</v>
      </c>
      <c r="F22" s="157">
        <v>72578</v>
      </c>
    </row>
    <row r="23" spans="1:6">
      <c r="A23" s="157">
        <v>10</v>
      </c>
      <c r="B23" s="157" t="s">
        <v>856</v>
      </c>
      <c r="C23" s="157">
        <v>0</v>
      </c>
      <c r="D23" s="157">
        <v>1268</v>
      </c>
      <c r="E23" s="157">
        <v>0</v>
      </c>
      <c r="F23" s="157">
        <v>17761</v>
      </c>
    </row>
    <row r="24" spans="1:6">
      <c r="A24" s="157">
        <v>11</v>
      </c>
      <c r="B24" s="157" t="s">
        <v>381</v>
      </c>
      <c r="C24" s="157">
        <v>2296802</v>
      </c>
      <c r="D24" s="157">
        <v>11572</v>
      </c>
      <c r="E24" s="157">
        <v>2008071</v>
      </c>
      <c r="F24" s="157">
        <v>16818</v>
      </c>
    </row>
    <row r="25" spans="1:6">
      <c r="A25" s="157">
        <v>14</v>
      </c>
      <c r="B25" s="157" t="s">
        <v>857</v>
      </c>
      <c r="C25" s="157">
        <v>66960</v>
      </c>
      <c r="D25" s="157">
        <v>360</v>
      </c>
      <c r="E25" s="157">
        <v>45242</v>
      </c>
      <c r="F25" s="157">
        <v>236</v>
      </c>
    </row>
    <row r="26" spans="1:6">
      <c r="A26" s="157">
        <v>99</v>
      </c>
      <c r="B26" s="157" t="s">
        <v>382</v>
      </c>
      <c r="C26" s="157">
        <v>37076549</v>
      </c>
      <c r="D26" s="157">
        <v>181481</v>
      </c>
      <c r="E26" s="157">
        <v>30041872</v>
      </c>
      <c r="F26" s="157">
        <v>1389423</v>
      </c>
    </row>
    <row r="27" spans="1:6">
      <c r="A27" s="157">
        <v>100</v>
      </c>
      <c r="B27" s="157" t="s">
        <v>858</v>
      </c>
      <c r="C27" s="157">
        <v>742</v>
      </c>
      <c r="D27" s="157">
        <v>7</v>
      </c>
      <c r="E27" s="157">
        <v>635</v>
      </c>
      <c r="F27" s="157">
        <v>7</v>
      </c>
    </row>
    <row r="28" spans="1:6">
      <c r="A28" s="157">
        <v>100</v>
      </c>
      <c r="B28" s="157" t="s">
        <v>481</v>
      </c>
      <c r="C28" s="157">
        <v>302678</v>
      </c>
      <c r="D28" s="157">
        <v>1410</v>
      </c>
      <c r="E28" s="157">
        <v>238516</v>
      </c>
      <c r="F28" s="157">
        <v>6687</v>
      </c>
    </row>
    <row r="29" spans="1:6">
      <c r="A29" s="157">
        <v>100</v>
      </c>
      <c r="B29" s="157" t="s">
        <v>480</v>
      </c>
      <c r="C29" s="157">
        <v>550192</v>
      </c>
      <c r="D29" s="157">
        <v>2557</v>
      </c>
      <c r="E29" s="157">
        <v>495972</v>
      </c>
      <c r="F29" s="157">
        <v>6640</v>
      </c>
    </row>
    <row r="30" spans="1:6">
      <c r="A30" s="157">
        <v>100</v>
      </c>
      <c r="B30" s="157" t="s">
        <v>508</v>
      </c>
      <c r="C30" s="157">
        <v>728</v>
      </c>
      <c r="D30" s="157">
        <v>2</v>
      </c>
      <c r="E30" s="157">
        <v>468</v>
      </c>
      <c r="F30" s="157">
        <v>8</v>
      </c>
    </row>
    <row r="31" spans="1:6">
      <c r="A31" s="157">
        <v>100</v>
      </c>
      <c r="B31" s="157" t="s">
        <v>479</v>
      </c>
      <c r="C31" s="157">
        <v>158344</v>
      </c>
      <c r="D31" s="157">
        <v>540</v>
      </c>
      <c r="E31" s="157">
        <v>132678</v>
      </c>
      <c r="F31" s="157">
        <v>6623</v>
      </c>
    </row>
    <row r="32" spans="1:6">
      <c r="A32" s="157">
        <v>100</v>
      </c>
      <c r="B32" s="157" t="s">
        <v>478</v>
      </c>
      <c r="C32" s="157">
        <v>967693</v>
      </c>
      <c r="D32" s="157">
        <v>4209</v>
      </c>
      <c r="E32" s="157">
        <v>800049</v>
      </c>
      <c r="F32" s="157">
        <v>17033</v>
      </c>
    </row>
    <row r="33" spans="1:6">
      <c r="A33" s="157">
        <v>100</v>
      </c>
      <c r="B33" s="157" t="s">
        <v>477</v>
      </c>
      <c r="C33" s="157">
        <v>815492</v>
      </c>
      <c r="D33" s="157">
        <v>4523</v>
      </c>
      <c r="E33" s="157">
        <v>651590</v>
      </c>
      <c r="F33" s="157">
        <v>6774</v>
      </c>
    </row>
    <row r="34" spans="1:6">
      <c r="A34" s="157">
        <v>100</v>
      </c>
      <c r="B34" s="157" t="s">
        <v>476</v>
      </c>
      <c r="C34" s="157">
        <v>247274</v>
      </c>
      <c r="D34" s="157">
        <v>724</v>
      </c>
      <c r="E34" s="157">
        <v>214986</v>
      </c>
      <c r="F34" s="157">
        <v>14850</v>
      </c>
    </row>
    <row r="35" spans="1:6">
      <c r="A35" s="157">
        <v>100</v>
      </c>
      <c r="B35" s="157" t="s">
        <v>475</v>
      </c>
      <c r="C35" s="157">
        <v>963900</v>
      </c>
      <c r="D35" s="157">
        <v>5355</v>
      </c>
      <c r="E35" s="157">
        <v>729457</v>
      </c>
      <c r="F35" s="157">
        <v>4654</v>
      </c>
    </row>
    <row r="36" spans="1:6">
      <c r="A36" s="157">
        <v>100</v>
      </c>
      <c r="B36" s="157" t="s">
        <v>474</v>
      </c>
      <c r="C36" s="157">
        <v>320368</v>
      </c>
      <c r="D36" s="157">
        <v>878</v>
      </c>
      <c r="E36" s="157">
        <v>283010</v>
      </c>
      <c r="F36" s="157">
        <v>18047</v>
      </c>
    </row>
    <row r="37" spans="1:6">
      <c r="A37" s="157">
        <v>100</v>
      </c>
      <c r="B37" s="157" t="s">
        <v>473</v>
      </c>
      <c r="C37" s="157">
        <v>170016</v>
      </c>
      <c r="D37" s="157">
        <v>610</v>
      </c>
      <c r="E37" s="157">
        <v>146066</v>
      </c>
      <c r="F37" s="157">
        <v>7409</v>
      </c>
    </row>
    <row r="38" spans="1:6">
      <c r="A38" s="157">
        <v>100</v>
      </c>
      <c r="B38" s="157" t="s">
        <v>472</v>
      </c>
      <c r="C38" s="157">
        <v>0</v>
      </c>
      <c r="D38" s="157">
        <v>3701</v>
      </c>
      <c r="E38" s="157">
        <v>0</v>
      </c>
      <c r="F38" s="157">
        <v>113206</v>
      </c>
    </row>
    <row r="39" spans="1:6">
      <c r="A39" s="157">
        <v>100</v>
      </c>
      <c r="B39" s="157" t="s">
        <v>471</v>
      </c>
      <c r="C39" s="157">
        <v>0</v>
      </c>
      <c r="D39" s="157">
        <v>2612</v>
      </c>
      <c r="E39" s="157">
        <v>0</v>
      </c>
      <c r="F39" s="157">
        <v>54374</v>
      </c>
    </row>
    <row r="40" spans="1:6">
      <c r="A40" s="157">
        <v>100</v>
      </c>
      <c r="B40" s="157" t="s">
        <v>470</v>
      </c>
      <c r="C40" s="157">
        <v>422100</v>
      </c>
      <c r="D40" s="157">
        <v>2347</v>
      </c>
      <c r="E40" s="157">
        <v>347079</v>
      </c>
      <c r="F40" s="157">
        <v>3552</v>
      </c>
    </row>
    <row r="41" spans="1:6">
      <c r="A41" s="157">
        <v>100</v>
      </c>
      <c r="B41" s="157" t="s">
        <v>469</v>
      </c>
      <c r="C41" s="157">
        <v>12528</v>
      </c>
      <c r="D41" s="157">
        <v>81</v>
      </c>
      <c r="E41" s="157">
        <v>9323</v>
      </c>
      <c r="F41" s="157">
        <v>103</v>
      </c>
    </row>
    <row r="42" spans="1:6">
      <c r="A42" s="157">
        <v>100</v>
      </c>
      <c r="B42" s="157" t="s">
        <v>468</v>
      </c>
      <c r="C42" s="157">
        <v>372562</v>
      </c>
      <c r="D42" s="157">
        <v>1336</v>
      </c>
      <c r="E42" s="157">
        <v>332162</v>
      </c>
      <c r="F42" s="157">
        <v>31113</v>
      </c>
    </row>
    <row r="43" spans="1:6">
      <c r="A43" s="157">
        <v>100</v>
      </c>
      <c r="B43" s="157" t="s">
        <v>467</v>
      </c>
      <c r="C43" s="157">
        <v>1384884</v>
      </c>
      <c r="D43" s="157">
        <v>4106</v>
      </c>
      <c r="E43" s="157">
        <v>1090558</v>
      </c>
      <c r="F43" s="157">
        <v>49118</v>
      </c>
    </row>
    <row r="44" spans="1:6">
      <c r="A44" s="157">
        <v>100</v>
      </c>
      <c r="B44" s="157" t="s">
        <v>466</v>
      </c>
      <c r="C44" s="157">
        <v>792196</v>
      </c>
      <c r="D44" s="157">
        <v>2108</v>
      </c>
      <c r="E44" s="157">
        <v>643534</v>
      </c>
      <c r="F44" s="157">
        <v>14548</v>
      </c>
    </row>
    <row r="45" spans="1:6">
      <c r="A45" s="157">
        <v>100</v>
      </c>
      <c r="B45" s="157" t="s">
        <v>465</v>
      </c>
      <c r="C45" s="157">
        <v>206280</v>
      </c>
      <c r="D45" s="157">
        <v>1146</v>
      </c>
      <c r="E45" s="157">
        <v>175961</v>
      </c>
      <c r="F45" s="157">
        <v>1734</v>
      </c>
    </row>
    <row r="46" spans="1:6">
      <c r="A46" s="157">
        <v>100</v>
      </c>
      <c r="B46" s="157" t="s">
        <v>464</v>
      </c>
      <c r="C46" s="157">
        <v>181170</v>
      </c>
      <c r="D46" s="157">
        <v>1053</v>
      </c>
      <c r="E46" s="157">
        <v>139899</v>
      </c>
      <c r="F46" s="157">
        <v>2233</v>
      </c>
    </row>
    <row r="47" spans="1:6">
      <c r="A47" s="157">
        <v>100</v>
      </c>
      <c r="B47" s="157" t="s">
        <v>463</v>
      </c>
      <c r="C47" s="157">
        <v>1241746</v>
      </c>
      <c r="D47" s="157">
        <v>4349</v>
      </c>
      <c r="E47" s="157">
        <v>1009940</v>
      </c>
      <c r="F47" s="157">
        <v>50425</v>
      </c>
    </row>
    <row r="48" spans="1:6">
      <c r="A48" s="157">
        <v>100</v>
      </c>
      <c r="B48" s="157" t="s">
        <v>462</v>
      </c>
      <c r="C48" s="157">
        <v>0</v>
      </c>
      <c r="D48" s="157">
        <v>137</v>
      </c>
      <c r="E48" s="157">
        <v>0</v>
      </c>
      <c r="F48" s="157">
        <v>3534</v>
      </c>
    </row>
    <row r="49" spans="1:6">
      <c r="A49" s="157">
        <v>100</v>
      </c>
      <c r="B49" s="157" t="s">
        <v>461</v>
      </c>
      <c r="C49" s="157">
        <v>279774</v>
      </c>
      <c r="D49" s="157">
        <v>1224</v>
      </c>
      <c r="E49" s="157">
        <v>230849</v>
      </c>
      <c r="F49" s="157">
        <v>59618</v>
      </c>
    </row>
    <row r="50" spans="1:6">
      <c r="A50" s="157">
        <v>100</v>
      </c>
      <c r="B50" s="157" t="s">
        <v>460</v>
      </c>
      <c r="C50" s="157">
        <v>0</v>
      </c>
      <c r="D50" s="157">
        <v>300</v>
      </c>
      <c r="E50" s="157">
        <v>0</v>
      </c>
      <c r="F50" s="157">
        <v>13945</v>
      </c>
    </row>
    <row r="51" spans="1:6">
      <c r="A51" s="157">
        <v>100</v>
      </c>
      <c r="B51" s="157" t="s">
        <v>459</v>
      </c>
      <c r="C51" s="157">
        <v>0</v>
      </c>
      <c r="D51" s="157">
        <v>90</v>
      </c>
      <c r="E51" s="157">
        <v>0</v>
      </c>
      <c r="F51" s="157">
        <v>2684</v>
      </c>
    </row>
    <row r="52" spans="1:6">
      <c r="A52" s="157">
        <v>100</v>
      </c>
      <c r="B52" s="157" t="s">
        <v>458</v>
      </c>
      <c r="C52" s="157">
        <v>117816</v>
      </c>
      <c r="D52" s="157">
        <v>744</v>
      </c>
      <c r="E52" s="157">
        <v>92864</v>
      </c>
      <c r="F52" s="157">
        <v>1639</v>
      </c>
    </row>
    <row r="53" spans="1:6">
      <c r="A53" s="157">
        <v>100</v>
      </c>
      <c r="B53" s="157" t="s">
        <v>457</v>
      </c>
      <c r="C53" s="157">
        <v>1056996</v>
      </c>
      <c r="D53" s="157">
        <v>5780</v>
      </c>
      <c r="E53" s="157">
        <v>909787</v>
      </c>
      <c r="F53" s="157">
        <v>9678</v>
      </c>
    </row>
    <row r="54" spans="1:6">
      <c r="A54" s="157">
        <v>100</v>
      </c>
      <c r="B54" s="157" t="s">
        <v>456</v>
      </c>
      <c r="C54" s="157">
        <v>105294</v>
      </c>
      <c r="D54" s="157">
        <v>381</v>
      </c>
      <c r="E54" s="157">
        <v>85188</v>
      </c>
      <c r="F54" s="157">
        <v>4585</v>
      </c>
    </row>
    <row r="55" spans="1:6">
      <c r="A55" s="157">
        <v>100</v>
      </c>
      <c r="B55" s="157" t="s">
        <v>455</v>
      </c>
      <c r="C55" s="157">
        <v>187042</v>
      </c>
      <c r="D55" s="157">
        <v>1054</v>
      </c>
      <c r="E55" s="157">
        <v>167696</v>
      </c>
      <c r="F55" s="157">
        <v>2002</v>
      </c>
    </row>
    <row r="56" spans="1:6">
      <c r="A56" s="157">
        <v>100</v>
      </c>
      <c r="B56" s="157" t="s">
        <v>454</v>
      </c>
      <c r="C56" s="157">
        <v>19944</v>
      </c>
      <c r="D56" s="157">
        <v>110</v>
      </c>
      <c r="E56" s="157">
        <v>14040</v>
      </c>
      <c r="F56" s="157">
        <v>133</v>
      </c>
    </row>
    <row r="57" spans="1:6">
      <c r="A57" s="157">
        <v>100</v>
      </c>
      <c r="B57" s="157" t="s">
        <v>453</v>
      </c>
      <c r="C57" s="157">
        <v>986211</v>
      </c>
      <c r="D57" s="157">
        <v>4174</v>
      </c>
      <c r="E57" s="157">
        <v>838334</v>
      </c>
      <c r="F57" s="157">
        <v>24318</v>
      </c>
    </row>
    <row r="58" spans="1:6">
      <c r="A58" s="157">
        <v>100</v>
      </c>
      <c r="B58" s="157" t="s">
        <v>452</v>
      </c>
      <c r="C58" s="157">
        <v>0</v>
      </c>
      <c r="D58" s="157">
        <v>544</v>
      </c>
      <c r="E58" s="157">
        <v>0</v>
      </c>
      <c r="F58" s="157">
        <v>30222</v>
      </c>
    </row>
    <row r="59" spans="1:6">
      <c r="A59" s="157">
        <v>100</v>
      </c>
      <c r="B59" s="157" t="s">
        <v>451</v>
      </c>
      <c r="C59" s="157">
        <v>125546</v>
      </c>
      <c r="D59" s="157">
        <v>730</v>
      </c>
      <c r="E59" s="157">
        <v>95589</v>
      </c>
      <c r="F59" s="157">
        <v>1746</v>
      </c>
    </row>
    <row r="60" spans="1:6">
      <c r="A60" s="157">
        <v>100</v>
      </c>
      <c r="B60" s="157" t="s">
        <v>450</v>
      </c>
      <c r="C60" s="157">
        <v>0</v>
      </c>
      <c r="D60" s="157">
        <v>186</v>
      </c>
      <c r="E60" s="157">
        <v>0</v>
      </c>
      <c r="F60" s="157">
        <v>1388</v>
      </c>
    </row>
    <row r="61" spans="1:6">
      <c r="A61" s="157">
        <v>100</v>
      </c>
      <c r="B61" s="157" t="s">
        <v>449</v>
      </c>
      <c r="C61" s="157">
        <v>212096</v>
      </c>
      <c r="D61" s="157">
        <v>1266</v>
      </c>
      <c r="E61" s="157">
        <v>159688</v>
      </c>
      <c r="F61" s="157">
        <v>3588</v>
      </c>
    </row>
    <row r="62" spans="1:6">
      <c r="A62" s="157">
        <v>100</v>
      </c>
      <c r="B62" s="157" t="s">
        <v>448</v>
      </c>
      <c r="C62" s="157">
        <v>0</v>
      </c>
      <c r="D62" s="157">
        <v>16</v>
      </c>
      <c r="E62" s="157">
        <v>0</v>
      </c>
      <c r="F62" s="157">
        <v>248</v>
      </c>
    </row>
    <row r="63" spans="1:6">
      <c r="A63" s="157">
        <v>100</v>
      </c>
      <c r="B63" s="157" t="s">
        <v>447</v>
      </c>
      <c r="C63" s="157">
        <v>27056</v>
      </c>
      <c r="D63" s="157">
        <v>160</v>
      </c>
      <c r="E63" s="157">
        <v>22522</v>
      </c>
      <c r="F63" s="157">
        <v>230</v>
      </c>
    </row>
    <row r="64" spans="1:6">
      <c r="A64" s="157">
        <v>100</v>
      </c>
      <c r="B64" s="157" t="s">
        <v>446</v>
      </c>
      <c r="C64" s="157">
        <v>3005784</v>
      </c>
      <c r="D64" s="157">
        <v>15621</v>
      </c>
      <c r="E64" s="157">
        <v>2380343</v>
      </c>
      <c r="F64" s="157">
        <v>47724</v>
      </c>
    </row>
    <row r="65" spans="1:6">
      <c r="A65" s="157">
        <v>100</v>
      </c>
      <c r="B65" s="157" t="s">
        <v>445</v>
      </c>
      <c r="C65" s="157">
        <v>2663952</v>
      </c>
      <c r="D65" s="157">
        <v>14981</v>
      </c>
      <c r="E65" s="157">
        <v>2142980</v>
      </c>
      <c r="F65" s="157">
        <v>43514</v>
      </c>
    </row>
    <row r="66" spans="1:6">
      <c r="A66" s="157">
        <v>100</v>
      </c>
      <c r="B66" s="157" t="s">
        <v>444</v>
      </c>
      <c r="C66" s="157">
        <v>234382</v>
      </c>
      <c r="D66" s="157">
        <v>1484</v>
      </c>
      <c r="E66" s="157">
        <v>215916</v>
      </c>
      <c r="F66" s="157">
        <v>3271</v>
      </c>
    </row>
    <row r="67" spans="1:6">
      <c r="A67" s="157">
        <v>100</v>
      </c>
      <c r="B67" s="157" t="s">
        <v>443</v>
      </c>
      <c r="C67" s="157">
        <v>1537421</v>
      </c>
      <c r="D67" s="157">
        <v>8065</v>
      </c>
      <c r="E67" s="157">
        <v>1250721</v>
      </c>
      <c r="F67" s="157">
        <v>30204</v>
      </c>
    </row>
    <row r="68" spans="1:6">
      <c r="A68" s="157">
        <v>100</v>
      </c>
      <c r="B68" s="157" t="s">
        <v>442</v>
      </c>
      <c r="C68" s="157">
        <v>35176</v>
      </c>
      <c r="D68" s="157">
        <v>195</v>
      </c>
      <c r="E68" s="157">
        <v>32015</v>
      </c>
      <c r="F68" s="157">
        <v>337</v>
      </c>
    </row>
    <row r="69" spans="1:6">
      <c r="A69" s="157">
        <v>100</v>
      </c>
      <c r="B69" s="157" t="s">
        <v>500</v>
      </c>
      <c r="C69" s="157">
        <v>6700</v>
      </c>
      <c r="D69" s="157">
        <v>20</v>
      </c>
      <c r="E69" s="157">
        <v>5851</v>
      </c>
      <c r="F69" s="157">
        <v>77</v>
      </c>
    </row>
    <row r="70" spans="1:6">
      <c r="A70" s="157">
        <v>100</v>
      </c>
      <c r="B70" s="157" t="s">
        <v>441</v>
      </c>
      <c r="C70" s="157">
        <v>520927</v>
      </c>
      <c r="D70" s="157">
        <v>2182</v>
      </c>
      <c r="E70" s="157">
        <v>414726</v>
      </c>
      <c r="F70" s="157">
        <v>8972</v>
      </c>
    </row>
    <row r="71" spans="1:6">
      <c r="A71" s="157">
        <v>100</v>
      </c>
      <c r="B71" s="157" t="s">
        <v>440</v>
      </c>
      <c r="C71" s="157">
        <v>821986</v>
      </c>
      <c r="D71" s="157">
        <v>3627</v>
      </c>
      <c r="E71" s="157">
        <v>676588</v>
      </c>
      <c r="F71" s="157">
        <v>15995</v>
      </c>
    </row>
    <row r="72" spans="1:6">
      <c r="A72" s="157">
        <v>100</v>
      </c>
      <c r="B72" s="157" t="s">
        <v>439</v>
      </c>
      <c r="C72" s="157">
        <v>105728</v>
      </c>
      <c r="D72" s="157">
        <v>414</v>
      </c>
      <c r="E72" s="157">
        <v>64727</v>
      </c>
      <c r="F72" s="157">
        <v>3926</v>
      </c>
    </row>
    <row r="73" spans="1:6">
      <c r="A73" s="157">
        <v>100</v>
      </c>
      <c r="B73" s="157" t="s">
        <v>438</v>
      </c>
      <c r="C73" s="157">
        <v>9238</v>
      </c>
      <c r="D73" s="157">
        <v>62</v>
      </c>
      <c r="E73" s="157">
        <v>5894</v>
      </c>
      <c r="F73" s="157">
        <v>77</v>
      </c>
    </row>
    <row r="74" spans="1:6">
      <c r="A74" s="157">
        <v>100</v>
      </c>
      <c r="B74" s="157" t="s">
        <v>437</v>
      </c>
      <c r="C74" s="157">
        <v>0</v>
      </c>
      <c r="D74" s="157">
        <v>3029</v>
      </c>
      <c r="E74" s="157">
        <v>0</v>
      </c>
      <c r="F74" s="157">
        <v>38203</v>
      </c>
    </row>
    <row r="75" spans="1:6">
      <c r="A75" s="157">
        <v>100</v>
      </c>
      <c r="B75" s="157" t="s">
        <v>436</v>
      </c>
      <c r="C75" s="157">
        <v>52992</v>
      </c>
      <c r="D75" s="157">
        <v>288</v>
      </c>
      <c r="E75" s="157">
        <v>47497</v>
      </c>
      <c r="F75" s="157">
        <v>811</v>
      </c>
    </row>
    <row r="76" spans="1:6">
      <c r="A76" s="157">
        <v>100</v>
      </c>
      <c r="B76" s="157" t="s">
        <v>435</v>
      </c>
      <c r="C76" s="157">
        <v>261739</v>
      </c>
      <c r="D76" s="157">
        <v>1008</v>
      </c>
      <c r="E76" s="157">
        <v>207146</v>
      </c>
      <c r="F76" s="157">
        <v>13340</v>
      </c>
    </row>
    <row r="77" spans="1:6">
      <c r="A77" s="157">
        <v>100</v>
      </c>
      <c r="B77" s="157" t="s">
        <v>434</v>
      </c>
      <c r="C77" s="157">
        <v>0</v>
      </c>
      <c r="D77" s="157">
        <v>28</v>
      </c>
      <c r="E77" s="157">
        <v>0</v>
      </c>
      <c r="F77" s="157">
        <v>1546</v>
      </c>
    </row>
    <row r="78" spans="1:6">
      <c r="A78" s="157">
        <v>100</v>
      </c>
      <c r="B78" s="157" t="s">
        <v>433</v>
      </c>
      <c r="C78" s="157">
        <v>33283</v>
      </c>
      <c r="D78" s="157">
        <v>199</v>
      </c>
      <c r="E78" s="157">
        <v>21847</v>
      </c>
      <c r="F78" s="157">
        <v>253</v>
      </c>
    </row>
    <row r="79" spans="1:6">
      <c r="A79" s="157">
        <v>100</v>
      </c>
      <c r="B79" s="157" t="s">
        <v>432</v>
      </c>
      <c r="C79" s="157">
        <v>181546</v>
      </c>
      <c r="D79" s="157">
        <v>782</v>
      </c>
      <c r="E79" s="157">
        <v>151232</v>
      </c>
      <c r="F79" s="157">
        <v>7771</v>
      </c>
    </row>
    <row r="80" spans="1:6">
      <c r="A80" s="157">
        <v>100</v>
      </c>
      <c r="B80" s="157" t="s">
        <v>431</v>
      </c>
      <c r="C80" s="157">
        <v>67918</v>
      </c>
      <c r="D80" s="157">
        <v>358</v>
      </c>
      <c r="E80" s="157">
        <v>61970</v>
      </c>
      <c r="F80" s="157">
        <v>648</v>
      </c>
    </row>
    <row r="81" spans="1:6">
      <c r="A81" s="157">
        <v>100</v>
      </c>
      <c r="B81" s="157" t="s">
        <v>430</v>
      </c>
      <c r="C81" s="157">
        <v>415032</v>
      </c>
      <c r="D81" s="157">
        <v>3217</v>
      </c>
      <c r="E81" s="157">
        <v>294241</v>
      </c>
      <c r="F81" s="157">
        <v>3814</v>
      </c>
    </row>
    <row r="82" spans="1:6">
      <c r="A82" s="157">
        <v>100</v>
      </c>
      <c r="B82" s="157" t="s">
        <v>429</v>
      </c>
      <c r="C82" s="157">
        <v>154312</v>
      </c>
      <c r="D82" s="157">
        <v>720</v>
      </c>
      <c r="E82" s="157">
        <v>135528</v>
      </c>
      <c r="F82" s="157">
        <v>8138</v>
      </c>
    </row>
    <row r="83" spans="1:6">
      <c r="A83" s="157">
        <v>100</v>
      </c>
      <c r="B83" s="157" t="s">
        <v>428</v>
      </c>
      <c r="C83" s="157">
        <v>300948</v>
      </c>
      <c r="D83" s="157">
        <v>732</v>
      </c>
      <c r="E83" s="157">
        <v>227736</v>
      </c>
      <c r="F83" s="157">
        <v>11899</v>
      </c>
    </row>
    <row r="84" spans="1:6">
      <c r="A84" s="157">
        <v>100</v>
      </c>
      <c r="B84" s="157" t="s">
        <v>427</v>
      </c>
      <c r="C84" s="157">
        <v>253236</v>
      </c>
      <c r="D84" s="157">
        <v>1078</v>
      </c>
      <c r="E84" s="157">
        <v>87683</v>
      </c>
      <c r="F84" s="157">
        <v>7102</v>
      </c>
    </row>
    <row r="85" spans="1:6">
      <c r="A85" s="157">
        <v>100</v>
      </c>
      <c r="B85" s="157" t="s">
        <v>426</v>
      </c>
      <c r="C85" s="157">
        <v>0</v>
      </c>
      <c r="D85" s="157">
        <v>618</v>
      </c>
      <c r="E85" s="157">
        <v>0</v>
      </c>
      <c r="F85" s="157">
        <v>20099</v>
      </c>
    </row>
    <row r="86" spans="1:6">
      <c r="A86" s="157">
        <v>100</v>
      </c>
      <c r="B86" s="157" t="s">
        <v>425</v>
      </c>
      <c r="C86" s="157">
        <v>439518</v>
      </c>
      <c r="D86" s="157">
        <v>1395</v>
      </c>
      <c r="E86" s="157">
        <v>390613</v>
      </c>
      <c r="F86" s="157">
        <v>23678</v>
      </c>
    </row>
    <row r="87" spans="1:6">
      <c r="A87" s="157">
        <v>100</v>
      </c>
      <c r="B87" s="157" t="s">
        <v>859</v>
      </c>
      <c r="C87" s="157">
        <v>0</v>
      </c>
      <c r="D87" s="157">
        <v>648</v>
      </c>
      <c r="E87" s="157">
        <v>0</v>
      </c>
      <c r="F87" s="157">
        <v>21536</v>
      </c>
    </row>
    <row r="88" spans="1:6">
      <c r="A88" s="157">
        <v>100</v>
      </c>
      <c r="B88" s="157" t="s">
        <v>424</v>
      </c>
      <c r="C88" s="157">
        <v>1079311</v>
      </c>
      <c r="D88" s="157">
        <v>2863</v>
      </c>
      <c r="E88" s="157">
        <v>833544</v>
      </c>
      <c r="F88" s="157">
        <v>21243</v>
      </c>
    </row>
    <row r="89" spans="1:6">
      <c r="A89" s="157">
        <v>100</v>
      </c>
      <c r="B89" s="157" t="s">
        <v>423</v>
      </c>
      <c r="C89" s="157">
        <v>153792</v>
      </c>
      <c r="D89" s="157">
        <v>754</v>
      </c>
      <c r="E89" s="157">
        <v>114009</v>
      </c>
      <c r="F89" s="157">
        <v>3060</v>
      </c>
    </row>
    <row r="90" spans="1:6">
      <c r="A90" s="157">
        <v>100</v>
      </c>
      <c r="B90" s="157" t="s">
        <v>422</v>
      </c>
      <c r="C90" s="157">
        <v>0</v>
      </c>
      <c r="D90" s="157">
        <v>756</v>
      </c>
      <c r="E90" s="157">
        <v>0</v>
      </c>
      <c r="F90" s="157">
        <v>28051</v>
      </c>
    </row>
    <row r="91" spans="1:6">
      <c r="A91" s="157">
        <v>100</v>
      </c>
      <c r="B91" s="157" t="s">
        <v>421</v>
      </c>
      <c r="C91" s="157">
        <v>241318</v>
      </c>
      <c r="D91" s="157">
        <v>1436</v>
      </c>
      <c r="E91" s="157">
        <v>201466</v>
      </c>
      <c r="F91" s="157">
        <v>3643</v>
      </c>
    </row>
    <row r="92" spans="1:6">
      <c r="A92" s="157">
        <v>100</v>
      </c>
      <c r="B92" s="157" t="s">
        <v>420</v>
      </c>
      <c r="C92" s="157">
        <v>0</v>
      </c>
      <c r="D92" s="157">
        <v>207</v>
      </c>
      <c r="E92" s="157">
        <v>0</v>
      </c>
      <c r="F92" s="157">
        <v>7451</v>
      </c>
    </row>
    <row r="93" spans="1:6">
      <c r="A93" s="157">
        <v>100</v>
      </c>
      <c r="B93" s="157" t="s">
        <v>419</v>
      </c>
      <c r="C93" s="157">
        <v>735115</v>
      </c>
      <c r="D93" s="157">
        <v>3130</v>
      </c>
      <c r="E93" s="157">
        <v>649555</v>
      </c>
      <c r="F93" s="157">
        <v>17974</v>
      </c>
    </row>
    <row r="94" spans="1:6">
      <c r="A94" s="157">
        <v>100</v>
      </c>
      <c r="B94" s="157" t="s">
        <v>418</v>
      </c>
      <c r="C94" s="157">
        <v>381446</v>
      </c>
      <c r="D94" s="157">
        <v>734</v>
      </c>
      <c r="E94" s="157">
        <v>322479</v>
      </c>
      <c r="F94" s="157">
        <v>14650</v>
      </c>
    </row>
    <row r="95" spans="1:6">
      <c r="A95" s="157">
        <v>100</v>
      </c>
      <c r="B95" s="157" t="s">
        <v>417</v>
      </c>
      <c r="C95" s="157">
        <v>37174</v>
      </c>
      <c r="D95" s="157">
        <v>284</v>
      </c>
      <c r="E95" s="157">
        <v>22573</v>
      </c>
      <c r="F95" s="157">
        <v>240</v>
      </c>
    </row>
    <row r="96" spans="1:6">
      <c r="A96" s="157">
        <v>100</v>
      </c>
      <c r="B96" s="157" t="s">
        <v>416</v>
      </c>
      <c r="C96" s="157">
        <v>6518</v>
      </c>
      <c r="D96" s="157">
        <v>33</v>
      </c>
      <c r="E96" s="157">
        <v>3341</v>
      </c>
      <c r="F96" s="157">
        <v>30</v>
      </c>
    </row>
    <row r="97" spans="1:6">
      <c r="A97" s="157">
        <v>100</v>
      </c>
      <c r="B97" s="157" t="s">
        <v>415</v>
      </c>
      <c r="C97" s="157">
        <v>102986</v>
      </c>
      <c r="D97" s="157">
        <v>412</v>
      </c>
      <c r="E97" s="157">
        <v>86166</v>
      </c>
      <c r="F97" s="157">
        <v>4135</v>
      </c>
    </row>
    <row r="98" spans="1:6">
      <c r="A98" s="157">
        <v>100</v>
      </c>
      <c r="B98" s="157" t="s">
        <v>414</v>
      </c>
      <c r="C98" s="157">
        <v>0</v>
      </c>
      <c r="D98" s="157">
        <v>3</v>
      </c>
      <c r="E98" s="157">
        <v>0</v>
      </c>
      <c r="F98" s="157">
        <v>188</v>
      </c>
    </row>
    <row r="99" spans="1:6">
      <c r="A99" s="157">
        <v>100</v>
      </c>
      <c r="B99" s="157" t="s">
        <v>413</v>
      </c>
      <c r="C99" s="157">
        <v>0</v>
      </c>
      <c r="D99" s="157">
        <v>1348</v>
      </c>
      <c r="E99" s="157">
        <v>0</v>
      </c>
      <c r="F99" s="157">
        <v>71912</v>
      </c>
    </row>
    <row r="100" spans="1:6">
      <c r="A100" s="157">
        <v>100</v>
      </c>
      <c r="B100" s="157" t="s">
        <v>494</v>
      </c>
      <c r="C100" s="157">
        <v>0</v>
      </c>
      <c r="D100" s="157">
        <v>1</v>
      </c>
      <c r="E100" s="157">
        <v>0</v>
      </c>
      <c r="F100" s="157">
        <v>8</v>
      </c>
    </row>
    <row r="101" spans="1:6">
      <c r="A101" s="157">
        <v>100</v>
      </c>
      <c r="B101" s="157" t="s">
        <v>412</v>
      </c>
      <c r="C101" s="157">
        <v>104309</v>
      </c>
      <c r="D101" s="157">
        <v>430</v>
      </c>
      <c r="E101" s="157">
        <v>85439</v>
      </c>
      <c r="F101" s="157">
        <v>4271</v>
      </c>
    </row>
    <row r="102" spans="1:6">
      <c r="A102" s="157">
        <v>100</v>
      </c>
      <c r="B102" s="157" t="s">
        <v>411</v>
      </c>
      <c r="C102" s="157">
        <v>0</v>
      </c>
      <c r="D102" s="157">
        <v>4</v>
      </c>
      <c r="E102" s="157">
        <v>0</v>
      </c>
      <c r="F102" s="157">
        <v>4</v>
      </c>
    </row>
    <row r="103" spans="1:6">
      <c r="A103" s="157">
        <v>100</v>
      </c>
      <c r="B103" s="157" t="s">
        <v>410</v>
      </c>
      <c r="C103" s="157">
        <v>208536</v>
      </c>
      <c r="D103" s="157">
        <v>732</v>
      </c>
      <c r="E103" s="157">
        <v>189433</v>
      </c>
      <c r="F103" s="157">
        <v>9189</v>
      </c>
    </row>
    <row r="104" spans="1:6">
      <c r="A104" s="157">
        <v>100</v>
      </c>
      <c r="B104" s="157" t="s">
        <v>409</v>
      </c>
      <c r="C104" s="157">
        <v>917468</v>
      </c>
      <c r="D104" s="157">
        <v>2994</v>
      </c>
      <c r="E104" s="157">
        <v>776072</v>
      </c>
      <c r="F104" s="157">
        <v>43269</v>
      </c>
    </row>
    <row r="105" spans="1:6">
      <c r="A105" s="157">
        <v>100</v>
      </c>
      <c r="B105" s="157" t="s">
        <v>408</v>
      </c>
      <c r="C105" s="157">
        <v>0</v>
      </c>
      <c r="D105" s="157">
        <v>304</v>
      </c>
      <c r="E105" s="157">
        <v>0</v>
      </c>
      <c r="F105" s="157">
        <v>17290</v>
      </c>
    </row>
    <row r="106" spans="1:6">
      <c r="A106" s="157">
        <v>100</v>
      </c>
      <c r="B106" s="157" t="s">
        <v>407</v>
      </c>
      <c r="C106" s="157">
        <v>33382</v>
      </c>
      <c r="D106" s="157">
        <v>207</v>
      </c>
      <c r="E106" s="157">
        <v>29076</v>
      </c>
      <c r="F106" s="157">
        <v>399</v>
      </c>
    </row>
    <row r="107" spans="1:6">
      <c r="A107" s="157">
        <v>100</v>
      </c>
      <c r="B107" s="157" t="s">
        <v>406</v>
      </c>
      <c r="C107" s="157">
        <v>262310</v>
      </c>
      <c r="D107" s="157">
        <v>1556</v>
      </c>
      <c r="E107" s="157">
        <v>221048</v>
      </c>
      <c r="F107" s="157">
        <v>2524</v>
      </c>
    </row>
    <row r="108" spans="1:6">
      <c r="A108" s="157">
        <v>100</v>
      </c>
      <c r="B108" s="157" t="s">
        <v>405</v>
      </c>
      <c r="C108" s="157">
        <v>114884</v>
      </c>
      <c r="D108" s="157">
        <v>312</v>
      </c>
      <c r="E108" s="157">
        <v>102774</v>
      </c>
      <c r="F108" s="157">
        <v>2706</v>
      </c>
    </row>
    <row r="109" spans="1:6">
      <c r="A109" s="157">
        <v>100</v>
      </c>
      <c r="B109" s="157" t="s">
        <v>404</v>
      </c>
      <c r="C109" s="157">
        <v>73156</v>
      </c>
      <c r="D109" s="157">
        <v>367</v>
      </c>
      <c r="E109" s="157">
        <v>62884</v>
      </c>
      <c r="F109" s="157">
        <v>629</v>
      </c>
    </row>
    <row r="110" spans="1:6">
      <c r="A110" s="157">
        <v>100</v>
      </c>
      <c r="B110" s="157" t="s">
        <v>403</v>
      </c>
      <c r="C110" s="157">
        <v>579424</v>
      </c>
      <c r="D110" s="157">
        <v>2177</v>
      </c>
      <c r="E110" s="157">
        <v>422453</v>
      </c>
      <c r="F110" s="157">
        <v>10461</v>
      </c>
    </row>
    <row r="111" spans="1:6">
      <c r="A111" s="157">
        <v>100</v>
      </c>
      <c r="B111" s="157" t="s">
        <v>402</v>
      </c>
      <c r="C111" s="157">
        <v>435024</v>
      </c>
      <c r="D111" s="157">
        <v>2371</v>
      </c>
      <c r="E111" s="157">
        <v>357416</v>
      </c>
      <c r="F111" s="157">
        <v>5960</v>
      </c>
    </row>
    <row r="112" spans="1:6">
      <c r="A112" s="157">
        <v>100</v>
      </c>
      <c r="B112" s="157" t="s">
        <v>401</v>
      </c>
      <c r="C112" s="157">
        <v>1185202</v>
      </c>
      <c r="D112" s="157">
        <v>6932</v>
      </c>
      <c r="E112" s="157">
        <v>939324</v>
      </c>
      <c r="F112" s="157">
        <v>16914</v>
      </c>
    </row>
    <row r="113" spans="1:6">
      <c r="A113" s="157">
        <v>100</v>
      </c>
      <c r="B113" s="157" t="s">
        <v>400</v>
      </c>
      <c r="C113" s="157">
        <v>81020</v>
      </c>
      <c r="D113" s="157">
        <v>421</v>
      </c>
      <c r="E113" s="157">
        <v>58352</v>
      </c>
      <c r="F113" s="157">
        <v>878</v>
      </c>
    </row>
    <row r="114" spans="1:6">
      <c r="A114" s="157">
        <v>100</v>
      </c>
      <c r="B114" s="157" t="s">
        <v>487</v>
      </c>
      <c r="C114" s="157">
        <v>0</v>
      </c>
      <c r="D114" s="157">
        <v>2</v>
      </c>
      <c r="E114" s="157">
        <v>0</v>
      </c>
      <c r="F114" s="157">
        <v>73</v>
      </c>
    </row>
    <row r="115" spans="1:6">
      <c r="A115" s="157">
        <v>100</v>
      </c>
      <c r="B115" s="157" t="s">
        <v>399</v>
      </c>
      <c r="C115" s="157">
        <v>2282472</v>
      </c>
      <c r="D115" s="157">
        <v>10418</v>
      </c>
      <c r="E115" s="157">
        <v>1797706</v>
      </c>
      <c r="F115" s="157">
        <v>21617</v>
      </c>
    </row>
    <row r="116" spans="1:6">
      <c r="A116" s="157">
        <v>100</v>
      </c>
      <c r="B116" s="157" t="s">
        <v>398</v>
      </c>
      <c r="C116" s="157">
        <v>63764</v>
      </c>
      <c r="D116" s="157">
        <v>406</v>
      </c>
      <c r="E116" s="157">
        <v>43975</v>
      </c>
      <c r="F116" s="157">
        <v>962</v>
      </c>
    </row>
    <row r="117" spans="1:6">
      <c r="A117" s="157">
        <v>100</v>
      </c>
      <c r="B117" s="157" t="s">
        <v>397</v>
      </c>
      <c r="C117" s="157">
        <v>63672</v>
      </c>
      <c r="D117" s="157">
        <v>344</v>
      </c>
      <c r="E117" s="157">
        <v>60227</v>
      </c>
      <c r="F117" s="157">
        <v>599</v>
      </c>
    </row>
    <row r="118" spans="1:6">
      <c r="A118" s="157">
        <v>100</v>
      </c>
      <c r="B118" s="157" t="s">
        <v>396</v>
      </c>
      <c r="C118" s="157">
        <v>0</v>
      </c>
      <c r="D118" s="157">
        <v>9</v>
      </c>
      <c r="E118" s="157">
        <v>0</v>
      </c>
      <c r="F118" s="157">
        <v>327</v>
      </c>
    </row>
    <row r="119" spans="1:6">
      <c r="A119" s="157">
        <v>100</v>
      </c>
      <c r="B119" s="157" t="s">
        <v>395</v>
      </c>
      <c r="C119" s="157">
        <v>1567860</v>
      </c>
      <c r="D119" s="157">
        <v>6211</v>
      </c>
      <c r="E119" s="157">
        <v>1310334</v>
      </c>
      <c r="F119" s="157">
        <v>50573</v>
      </c>
    </row>
    <row r="120" spans="1:6">
      <c r="A120" s="157">
        <v>100</v>
      </c>
      <c r="B120" s="157" t="s">
        <v>860</v>
      </c>
      <c r="C120" s="157">
        <v>47168</v>
      </c>
      <c r="D120" s="157">
        <v>240</v>
      </c>
      <c r="E120" s="157">
        <v>28307</v>
      </c>
      <c r="F120" s="157">
        <v>289</v>
      </c>
    </row>
    <row r="121" spans="1:6">
      <c r="A121" s="157">
        <v>100</v>
      </c>
      <c r="B121" s="157" t="s">
        <v>486</v>
      </c>
      <c r="C121" s="157">
        <v>4512</v>
      </c>
      <c r="D121" s="157">
        <v>32</v>
      </c>
      <c r="E121" s="157">
        <v>1273</v>
      </c>
      <c r="F121" s="157">
        <v>20</v>
      </c>
    </row>
    <row r="122" spans="1:6">
      <c r="A122" s="157">
        <v>100</v>
      </c>
      <c r="B122" s="157" t="s">
        <v>394</v>
      </c>
      <c r="C122" s="157">
        <v>0</v>
      </c>
      <c r="D122" s="157">
        <v>332</v>
      </c>
      <c r="E122" s="157">
        <v>0</v>
      </c>
      <c r="F122" s="157">
        <v>12895</v>
      </c>
    </row>
    <row r="123" spans="1:6">
      <c r="A123" s="157">
        <v>100</v>
      </c>
      <c r="B123" s="157" t="s">
        <v>393</v>
      </c>
      <c r="C123" s="157">
        <v>269068</v>
      </c>
      <c r="D123" s="157">
        <v>1182</v>
      </c>
      <c r="E123" s="157">
        <v>214067</v>
      </c>
      <c r="F123" s="157">
        <v>5566</v>
      </c>
    </row>
    <row r="124" spans="1:6">
      <c r="A124" s="157">
        <v>100</v>
      </c>
      <c r="B124" s="157" t="s">
        <v>392</v>
      </c>
      <c r="C124" s="157">
        <v>388400</v>
      </c>
      <c r="D124" s="157">
        <v>1228</v>
      </c>
      <c r="E124" s="157">
        <v>288073</v>
      </c>
      <c r="F124" s="157">
        <v>16425</v>
      </c>
    </row>
    <row r="125" spans="1:6">
      <c r="A125" s="157">
        <v>100</v>
      </c>
      <c r="B125" s="157" t="s">
        <v>391</v>
      </c>
      <c r="C125" s="157">
        <v>35670</v>
      </c>
      <c r="D125" s="157">
        <v>206</v>
      </c>
      <c r="E125" s="157">
        <v>25712</v>
      </c>
      <c r="F125" s="157">
        <v>266</v>
      </c>
    </row>
    <row r="126" spans="1:6">
      <c r="A126" s="157">
        <v>100</v>
      </c>
      <c r="B126" s="157" t="s">
        <v>390</v>
      </c>
      <c r="C126" s="157">
        <v>0</v>
      </c>
      <c r="D126" s="157">
        <v>836</v>
      </c>
      <c r="E126" s="157">
        <v>0</v>
      </c>
      <c r="F126" s="157">
        <v>17132</v>
      </c>
    </row>
    <row r="127" spans="1:6">
      <c r="A127" s="157">
        <v>100</v>
      </c>
      <c r="B127" s="157" t="s">
        <v>389</v>
      </c>
      <c r="C127" s="157">
        <v>449034</v>
      </c>
      <c r="D127" s="157">
        <v>1316</v>
      </c>
      <c r="E127" s="157">
        <v>400728</v>
      </c>
      <c r="F127" s="157">
        <v>19062</v>
      </c>
    </row>
    <row r="128" spans="1:6">
      <c r="A128" s="157">
        <v>100</v>
      </c>
      <c r="B128" s="157" t="s">
        <v>388</v>
      </c>
      <c r="C128" s="157">
        <v>340424</v>
      </c>
      <c r="D128" s="157">
        <v>972</v>
      </c>
      <c r="E128" s="157">
        <v>268405</v>
      </c>
      <c r="F128" s="157">
        <v>10551</v>
      </c>
    </row>
    <row r="129" spans="1:6">
      <c r="A129" s="157">
        <v>100</v>
      </c>
      <c r="B129" s="157" t="s">
        <v>518</v>
      </c>
      <c r="C129" s="157">
        <v>0</v>
      </c>
      <c r="D129" s="157">
        <v>10</v>
      </c>
      <c r="E129" s="157">
        <v>0</v>
      </c>
      <c r="F129" s="157">
        <v>453</v>
      </c>
    </row>
    <row r="130" spans="1:6">
      <c r="A130" s="157">
        <v>100</v>
      </c>
      <c r="B130" s="157" t="s">
        <v>387</v>
      </c>
      <c r="C130" s="157">
        <v>96166</v>
      </c>
      <c r="D130" s="157">
        <v>670</v>
      </c>
      <c r="E130" s="157">
        <v>61682</v>
      </c>
      <c r="F130" s="157">
        <v>1140</v>
      </c>
    </row>
    <row r="131" spans="1:6">
      <c r="A131" s="157">
        <v>100</v>
      </c>
      <c r="B131" s="157" t="s">
        <v>386</v>
      </c>
      <c r="C131" s="157">
        <v>761164</v>
      </c>
      <c r="D131" s="157">
        <v>2686</v>
      </c>
      <c r="E131" s="157">
        <v>680606</v>
      </c>
      <c r="F131" s="157">
        <v>29236</v>
      </c>
    </row>
    <row r="132" spans="1:6">
      <c r="A132" s="157">
        <v>100</v>
      </c>
      <c r="B132" s="157" t="s">
        <v>483</v>
      </c>
      <c r="C132" s="157">
        <v>11368</v>
      </c>
      <c r="D132" s="157">
        <v>38</v>
      </c>
      <c r="E132" s="157">
        <v>9460</v>
      </c>
      <c r="F132" s="157">
        <v>505</v>
      </c>
    </row>
    <row r="133" spans="1:6">
      <c r="A133" s="157">
        <v>100</v>
      </c>
      <c r="B133" s="157" t="s">
        <v>385</v>
      </c>
      <c r="C133" s="157">
        <v>224868</v>
      </c>
      <c r="D133" s="157">
        <v>726</v>
      </c>
      <c r="E133" s="157">
        <v>203903</v>
      </c>
      <c r="F133" s="157">
        <v>20001</v>
      </c>
    </row>
    <row r="134" spans="1:6">
      <c r="A134" s="157">
        <v>100</v>
      </c>
      <c r="B134" s="157" t="s">
        <v>384</v>
      </c>
      <c r="C134" s="157">
        <v>408078</v>
      </c>
      <c r="D134" s="157">
        <v>1390</v>
      </c>
      <c r="E134" s="157">
        <v>296316</v>
      </c>
      <c r="F134" s="157">
        <v>12425</v>
      </c>
    </row>
    <row r="135" spans="1:6">
      <c r="A135" s="157">
        <v>100</v>
      </c>
      <c r="B135" s="157" t="s">
        <v>383</v>
      </c>
      <c r="C135" s="157">
        <v>0</v>
      </c>
      <c r="D135" s="157">
        <v>158</v>
      </c>
      <c r="E135" s="157">
        <v>0</v>
      </c>
      <c r="F135" s="157">
        <v>595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4.4"/>
  <cols>
    <col min="1" max="1" width="5" style="160" bestFit="1" customWidth="1"/>
    <col min="2" max="2" width="31" style="160"/>
    <col min="3" max="3" width="9.44140625" style="160" bestFit="1" customWidth="1"/>
    <col min="4" max="4" width="8.33203125" style="160" bestFit="1" customWidth="1"/>
    <col min="5" max="5" width="9.44140625" style="160" bestFit="1" customWidth="1"/>
    <col min="6" max="6" width="8.44140625" style="160" bestFit="1" customWidth="1"/>
    <col min="7" max="16384" width="31" style="160"/>
  </cols>
  <sheetData>
    <row r="1" spans="1:6">
      <c r="A1" s="159" t="s">
        <v>843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</row>
    <row r="2" spans="1:6">
      <c r="A2" s="160">
        <v>0</v>
      </c>
      <c r="B2" s="160" t="s">
        <v>372</v>
      </c>
      <c r="C2" s="160">
        <v>89899739</v>
      </c>
      <c r="D2" s="160">
        <v>511980</v>
      </c>
      <c r="E2" s="160">
        <v>65027063</v>
      </c>
      <c r="F2" s="160">
        <v>3434562</v>
      </c>
    </row>
    <row r="3" spans="1:6">
      <c r="A3" s="160">
        <v>1</v>
      </c>
      <c r="B3" s="160" t="s">
        <v>861</v>
      </c>
      <c r="C3" s="160">
        <v>5882019</v>
      </c>
      <c r="D3" s="160">
        <v>37767</v>
      </c>
      <c r="E3" s="160">
        <v>3675700</v>
      </c>
      <c r="F3" s="160">
        <v>305282</v>
      </c>
    </row>
    <row r="4" spans="1:6">
      <c r="A4" s="160">
        <v>1</v>
      </c>
      <c r="B4" s="160" t="s">
        <v>862</v>
      </c>
      <c r="C4" s="160">
        <v>7815401</v>
      </c>
      <c r="D4" s="160">
        <v>46748</v>
      </c>
      <c r="E4" s="160">
        <v>6128194</v>
      </c>
      <c r="F4" s="160">
        <v>305938</v>
      </c>
    </row>
    <row r="5" spans="1:6">
      <c r="A5" s="160">
        <v>1</v>
      </c>
      <c r="B5" s="160" t="s">
        <v>863</v>
      </c>
      <c r="C5" s="160">
        <v>7674502</v>
      </c>
      <c r="D5" s="160">
        <v>45368</v>
      </c>
      <c r="E5" s="160">
        <v>5739856</v>
      </c>
      <c r="F5" s="160">
        <v>299110</v>
      </c>
    </row>
    <row r="6" spans="1:6">
      <c r="A6" s="160">
        <v>1</v>
      </c>
      <c r="B6" s="160" t="s">
        <v>864</v>
      </c>
      <c r="C6" s="160">
        <v>5623520</v>
      </c>
      <c r="D6" s="160">
        <v>34819</v>
      </c>
      <c r="E6" s="160">
        <v>3923569</v>
      </c>
      <c r="F6" s="160">
        <v>284825</v>
      </c>
    </row>
    <row r="7" spans="1:6">
      <c r="A7" s="160">
        <v>1</v>
      </c>
      <c r="B7" s="160" t="s">
        <v>865</v>
      </c>
      <c r="C7" s="160">
        <v>7864844</v>
      </c>
      <c r="D7" s="160">
        <v>44804</v>
      </c>
      <c r="E7" s="160">
        <v>5935376</v>
      </c>
      <c r="F7" s="160">
        <v>274504</v>
      </c>
    </row>
    <row r="8" spans="1:6">
      <c r="A8" s="160">
        <v>1</v>
      </c>
      <c r="B8" s="160" t="s">
        <v>866</v>
      </c>
      <c r="C8" s="160">
        <v>6963220</v>
      </c>
      <c r="D8" s="160">
        <v>41207</v>
      </c>
      <c r="E8" s="160">
        <v>5200429</v>
      </c>
      <c r="F8" s="160">
        <v>270994</v>
      </c>
    </row>
    <row r="9" spans="1:6">
      <c r="A9" s="160">
        <v>1</v>
      </c>
      <c r="B9" s="160" t="s">
        <v>867</v>
      </c>
      <c r="C9" s="160">
        <v>6063956</v>
      </c>
      <c r="D9" s="160">
        <v>37098</v>
      </c>
      <c r="E9" s="160">
        <v>4543203</v>
      </c>
      <c r="F9" s="160">
        <v>245336</v>
      </c>
    </row>
    <row r="10" spans="1:6">
      <c r="A10" s="160">
        <v>1</v>
      </c>
      <c r="B10" s="160" t="s">
        <v>868</v>
      </c>
      <c r="C10" s="160">
        <v>5557478</v>
      </c>
      <c r="D10" s="160">
        <v>34879</v>
      </c>
      <c r="E10" s="160">
        <v>3945339</v>
      </c>
      <c r="F10" s="160">
        <v>247623</v>
      </c>
    </row>
    <row r="11" spans="1:6">
      <c r="A11" s="160">
        <v>1</v>
      </c>
      <c r="B11" s="160" t="s">
        <v>869</v>
      </c>
      <c r="C11" s="160">
        <v>3948855</v>
      </c>
      <c r="D11" s="160">
        <v>25446</v>
      </c>
      <c r="E11" s="160">
        <v>2571085</v>
      </c>
      <c r="F11" s="160">
        <v>241004</v>
      </c>
    </row>
    <row r="12" spans="1:6">
      <c r="A12" s="160">
        <v>1</v>
      </c>
      <c r="B12" s="160" t="s">
        <v>870</v>
      </c>
      <c r="C12" s="160">
        <v>4586367</v>
      </c>
      <c r="D12" s="160">
        <v>26231</v>
      </c>
      <c r="E12" s="160">
        <v>2854062</v>
      </c>
      <c r="F12" s="160">
        <v>273377</v>
      </c>
    </row>
    <row r="13" spans="1:6">
      <c r="A13" s="160">
        <v>1</v>
      </c>
      <c r="B13" s="160" t="s">
        <v>871</v>
      </c>
      <c r="C13" s="160">
        <v>11830922</v>
      </c>
      <c r="D13" s="160">
        <v>58637</v>
      </c>
      <c r="E13" s="160">
        <v>7059948</v>
      </c>
      <c r="F13" s="160">
        <v>314883</v>
      </c>
    </row>
    <row r="14" spans="1:6">
      <c r="A14" s="160">
        <v>1</v>
      </c>
      <c r="B14" s="160" t="s">
        <v>872</v>
      </c>
      <c r="C14" s="160">
        <v>16088655</v>
      </c>
      <c r="D14" s="160">
        <v>78976</v>
      </c>
      <c r="E14" s="160">
        <v>13450302</v>
      </c>
      <c r="F14" s="160">
        <v>371685</v>
      </c>
    </row>
    <row r="15" spans="1:6" s="161" customFormat="1">
      <c r="A15" s="161">
        <v>2</v>
      </c>
      <c r="B15" s="161" t="s">
        <v>373</v>
      </c>
      <c r="C15" s="161">
        <v>81733099</v>
      </c>
      <c r="D15" s="161">
        <v>447751</v>
      </c>
      <c r="E15" s="161">
        <v>60307896</v>
      </c>
      <c r="F15" s="161">
        <v>2528167</v>
      </c>
    </row>
    <row r="16" spans="1:6">
      <c r="A16" s="160">
        <v>3</v>
      </c>
      <c r="B16" s="160" t="s">
        <v>374</v>
      </c>
      <c r="C16" s="160">
        <v>17590258</v>
      </c>
      <c r="D16" s="160">
        <v>112677</v>
      </c>
      <c r="E16" s="160">
        <v>11759020</v>
      </c>
      <c r="F16" s="160">
        <v>1503995</v>
      </c>
    </row>
    <row r="17" spans="1:6">
      <c r="A17" s="160">
        <v>4</v>
      </c>
      <c r="B17" s="160" t="s">
        <v>375</v>
      </c>
      <c r="C17" s="160">
        <v>16206884</v>
      </c>
      <c r="D17" s="160">
        <v>85125</v>
      </c>
      <c r="E17" s="160">
        <v>10999742</v>
      </c>
      <c r="F17" s="160">
        <v>815433</v>
      </c>
    </row>
    <row r="18" spans="1:6">
      <c r="A18" s="160">
        <v>5</v>
      </c>
      <c r="B18" s="160" t="s">
        <v>376</v>
      </c>
      <c r="C18" s="160">
        <v>12003201</v>
      </c>
      <c r="D18" s="160">
        <v>63560</v>
      </c>
      <c r="E18" s="160">
        <v>9843178</v>
      </c>
      <c r="F18" s="160">
        <v>47410</v>
      </c>
    </row>
    <row r="19" spans="1:6">
      <c r="A19" s="160">
        <v>6</v>
      </c>
      <c r="B19" s="160" t="s">
        <v>377</v>
      </c>
      <c r="C19" s="160">
        <v>10603233</v>
      </c>
      <c r="D19" s="160">
        <v>53580</v>
      </c>
      <c r="E19" s="160">
        <v>7972047</v>
      </c>
      <c r="F19" s="160">
        <v>49168</v>
      </c>
    </row>
    <row r="20" spans="1:6">
      <c r="A20" s="160">
        <v>7</v>
      </c>
      <c r="B20" s="160" t="s">
        <v>378</v>
      </c>
      <c r="C20" s="160">
        <v>9774630</v>
      </c>
      <c r="D20" s="160">
        <v>50208</v>
      </c>
      <c r="E20" s="160">
        <v>7187743</v>
      </c>
      <c r="F20" s="160">
        <v>38963</v>
      </c>
    </row>
    <row r="21" spans="1:6">
      <c r="A21" s="160">
        <v>8</v>
      </c>
      <c r="B21" s="160" t="s">
        <v>379</v>
      </c>
      <c r="C21" s="160">
        <v>1948425</v>
      </c>
      <c r="D21" s="160">
        <v>10122</v>
      </c>
      <c r="E21" s="160">
        <v>1555938</v>
      </c>
      <c r="F21" s="160">
        <v>8605</v>
      </c>
    </row>
    <row r="22" spans="1:6">
      <c r="A22" s="160">
        <v>9</v>
      </c>
      <c r="B22" s="160" t="s">
        <v>380</v>
      </c>
      <c r="C22" s="160">
        <v>10586273</v>
      </c>
      <c r="D22" s="160">
        <v>56083</v>
      </c>
      <c r="E22" s="160">
        <v>8578024</v>
      </c>
      <c r="F22" s="160">
        <v>41175</v>
      </c>
    </row>
    <row r="23" spans="1:6">
      <c r="A23" s="160">
        <v>10</v>
      </c>
      <c r="B23" s="160" t="s">
        <v>856</v>
      </c>
      <c r="C23" s="160">
        <v>0</v>
      </c>
      <c r="D23" s="160">
        <v>1381</v>
      </c>
      <c r="E23" s="160">
        <v>0</v>
      </c>
      <c r="F23" s="160">
        <v>12346</v>
      </c>
    </row>
    <row r="24" spans="1:6">
      <c r="A24" s="160">
        <v>11</v>
      </c>
      <c r="B24" s="160" t="s">
        <v>381</v>
      </c>
      <c r="C24" s="160">
        <v>2458475</v>
      </c>
      <c r="D24" s="160">
        <v>11991</v>
      </c>
      <c r="E24" s="160">
        <v>2111200</v>
      </c>
      <c r="F24" s="160">
        <v>9351</v>
      </c>
    </row>
    <row r="25" spans="1:6">
      <c r="A25" s="160">
        <v>14</v>
      </c>
      <c r="B25" s="160" t="s">
        <v>857</v>
      </c>
      <c r="C25" s="160">
        <v>561720</v>
      </c>
      <c r="D25" s="160">
        <v>3024</v>
      </c>
      <c r="E25" s="160">
        <v>301004</v>
      </c>
      <c r="F25" s="160">
        <v>1722</v>
      </c>
    </row>
    <row r="26" spans="1:6">
      <c r="A26" s="160">
        <v>99</v>
      </c>
      <c r="B26" s="160" t="s">
        <v>382</v>
      </c>
      <c r="C26" s="160">
        <v>8166640</v>
      </c>
      <c r="D26" s="160">
        <v>64229</v>
      </c>
      <c r="E26" s="160">
        <v>4719167</v>
      </c>
      <c r="F26" s="160">
        <v>906395</v>
      </c>
    </row>
    <row r="27" spans="1:6">
      <c r="A27" s="160">
        <v>100</v>
      </c>
      <c r="B27" s="160" t="s">
        <v>509</v>
      </c>
      <c r="C27" s="160">
        <v>0</v>
      </c>
      <c r="D27" s="160">
        <v>2</v>
      </c>
      <c r="E27" s="160">
        <v>0</v>
      </c>
      <c r="F27" s="160">
        <v>45</v>
      </c>
    </row>
    <row r="28" spans="1:6">
      <c r="A28" s="160">
        <v>100</v>
      </c>
      <c r="B28" s="160" t="s">
        <v>481</v>
      </c>
      <c r="C28" s="160">
        <v>24828</v>
      </c>
      <c r="D28" s="160">
        <v>102</v>
      </c>
      <c r="E28" s="160">
        <v>17037</v>
      </c>
      <c r="F28" s="160">
        <v>635</v>
      </c>
    </row>
    <row r="29" spans="1:6">
      <c r="A29" s="160">
        <v>100</v>
      </c>
      <c r="B29" s="160" t="s">
        <v>480</v>
      </c>
      <c r="C29" s="160">
        <v>64072</v>
      </c>
      <c r="D29" s="160">
        <v>312</v>
      </c>
      <c r="E29" s="160">
        <v>48116</v>
      </c>
      <c r="F29" s="160">
        <v>721</v>
      </c>
    </row>
    <row r="30" spans="1:6">
      <c r="A30" s="160">
        <v>100</v>
      </c>
      <c r="B30" s="160" t="s">
        <v>508</v>
      </c>
      <c r="C30" s="160">
        <v>0</v>
      </c>
      <c r="D30" s="160">
        <v>106</v>
      </c>
      <c r="E30" s="160">
        <v>0</v>
      </c>
      <c r="F30" s="160">
        <v>290</v>
      </c>
    </row>
    <row r="31" spans="1:6">
      <c r="A31" s="160">
        <v>100</v>
      </c>
      <c r="B31" s="160" t="s">
        <v>507</v>
      </c>
      <c r="C31" s="160">
        <v>669</v>
      </c>
      <c r="D31" s="160">
        <v>8</v>
      </c>
      <c r="E31" s="160">
        <v>391</v>
      </c>
      <c r="F31" s="160">
        <v>11</v>
      </c>
    </row>
    <row r="32" spans="1:6">
      <c r="A32" s="160">
        <v>100</v>
      </c>
      <c r="B32" s="160" t="s">
        <v>479</v>
      </c>
      <c r="C32" s="160">
        <v>29646</v>
      </c>
      <c r="D32" s="160">
        <v>405</v>
      </c>
      <c r="E32" s="160">
        <v>21688</v>
      </c>
      <c r="F32" s="160">
        <v>4513</v>
      </c>
    </row>
    <row r="33" spans="1:6">
      <c r="A33" s="160">
        <v>100</v>
      </c>
      <c r="B33" s="160" t="s">
        <v>478</v>
      </c>
      <c r="C33" s="160">
        <v>155612</v>
      </c>
      <c r="D33" s="160">
        <v>754</v>
      </c>
      <c r="E33" s="160">
        <v>105890</v>
      </c>
      <c r="F33" s="160">
        <v>3358</v>
      </c>
    </row>
    <row r="34" spans="1:6">
      <c r="A34" s="160">
        <v>100</v>
      </c>
      <c r="B34" s="160" t="s">
        <v>477</v>
      </c>
      <c r="C34" s="160">
        <v>160956</v>
      </c>
      <c r="D34" s="160">
        <v>896</v>
      </c>
      <c r="E34" s="160">
        <v>112616</v>
      </c>
      <c r="F34" s="160">
        <v>1181</v>
      </c>
    </row>
    <row r="35" spans="1:6">
      <c r="A35" s="160">
        <v>100</v>
      </c>
      <c r="B35" s="160" t="s">
        <v>476</v>
      </c>
      <c r="C35" s="160">
        <v>95110</v>
      </c>
      <c r="D35" s="160">
        <v>439</v>
      </c>
      <c r="E35" s="160">
        <v>41456</v>
      </c>
      <c r="F35" s="160">
        <v>9510</v>
      </c>
    </row>
    <row r="36" spans="1:6">
      <c r="A36" s="160">
        <v>100</v>
      </c>
      <c r="B36" s="160" t="s">
        <v>475</v>
      </c>
      <c r="C36" s="160">
        <v>128520</v>
      </c>
      <c r="D36" s="160">
        <v>714</v>
      </c>
      <c r="E36" s="160">
        <v>85034</v>
      </c>
      <c r="F36" s="160">
        <v>573</v>
      </c>
    </row>
    <row r="37" spans="1:6">
      <c r="A37" s="160">
        <v>100</v>
      </c>
      <c r="B37" s="160" t="s">
        <v>474</v>
      </c>
      <c r="C37" s="160">
        <v>104643</v>
      </c>
      <c r="D37" s="160">
        <v>297</v>
      </c>
      <c r="E37" s="160">
        <v>44795</v>
      </c>
      <c r="F37" s="160">
        <v>6682</v>
      </c>
    </row>
    <row r="38" spans="1:6">
      <c r="A38" s="160">
        <v>100</v>
      </c>
      <c r="B38" s="160" t="s">
        <v>473</v>
      </c>
      <c r="C38" s="160">
        <v>102900</v>
      </c>
      <c r="D38" s="160">
        <v>414</v>
      </c>
      <c r="E38" s="160">
        <v>58452</v>
      </c>
      <c r="F38" s="160">
        <v>5138</v>
      </c>
    </row>
    <row r="39" spans="1:6">
      <c r="A39" s="160">
        <v>100</v>
      </c>
      <c r="B39" s="160" t="s">
        <v>472</v>
      </c>
      <c r="C39" s="160">
        <v>0</v>
      </c>
      <c r="D39" s="160">
        <v>3421</v>
      </c>
      <c r="E39" s="160">
        <v>0</v>
      </c>
      <c r="F39" s="160">
        <v>95615</v>
      </c>
    </row>
    <row r="40" spans="1:6">
      <c r="A40" s="160">
        <v>100</v>
      </c>
      <c r="B40" s="160" t="s">
        <v>506</v>
      </c>
      <c r="C40" s="160">
        <v>0</v>
      </c>
      <c r="D40" s="160">
        <v>3</v>
      </c>
      <c r="E40" s="160">
        <v>0</v>
      </c>
      <c r="F40" s="160">
        <v>30</v>
      </c>
    </row>
    <row r="41" spans="1:6">
      <c r="A41" s="160">
        <v>100</v>
      </c>
      <c r="B41" s="160" t="s">
        <v>471</v>
      </c>
      <c r="C41" s="160">
        <v>0</v>
      </c>
      <c r="D41" s="160">
        <v>2943</v>
      </c>
      <c r="E41" s="160">
        <v>0</v>
      </c>
      <c r="F41" s="160">
        <v>59283</v>
      </c>
    </row>
    <row r="42" spans="1:6">
      <c r="A42" s="160">
        <v>100</v>
      </c>
      <c r="B42" s="160" t="s">
        <v>470</v>
      </c>
      <c r="C42" s="160">
        <v>80280</v>
      </c>
      <c r="D42" s="160">
        <v>446</v>
      </c>
      <c r="E42" s="160">
        <v>57991</v>
      </c>
      <c r="F42" s="160">
        <v>610</v>
      </c>
    </row>
    <row r="43" spans="1:6">
      <c r="A43" s="160">
        <v>100</v>
      </c>
      <c r="B43" s="160" t="s">
        <v>505</v>
      </c>
      <c r="C43" s="160">
        <v>620</v>
      </c>
      <c r="D43" s="160">
        <v>2</v>
      </c>
      <c r="E43" s="160">
        <v>284</v>
      </c>
      <c r="F43" s="160">
        <v>3</v>
      </c>
    </row>
    <row r="44" spans="1:6">
      <c r="A44" s="160">
        <v>100</v>
      </c>
      <c r="B44" s="160" t="s">
        <v>504</v>
      </c>
      <c r="C44" s="160">
        <v>0</v>
      </c>
      <c r="D44" s="160">
        <v>292</v>
      </c>
      <c r="E44" s="160">
        <v>0</v>
      </c>
      <c r="F44" s="160">
        <v>2732</v>
      </c>
    </row>
    <row r="45" spans="1:6">
      <c r="A45" s="160">
        <v>100</v>
      </c>
      <c r="B45" s="160" t="s">
        <v>468</v>
      </c>
      <c r="C45" s="160">
        <v>114914</v>
      </c>
      <c r="D45" s="160">
        <v>576</v>
      </c>
      <c r="E45" s="160">
        <v>67130</v>
      </c>
      <c r="F45" s="160">
        <v>21639</v>
      </c>
    </row>
    <row r="46" spans="1:6">
      <c r="A46" s="160">
        <v>100</v>
      </c>
      <c r="B46" s="160" t="s">
        <v>503</v>
      </c>
      <c r="C46" s="160">
        <v>432</v>
      </c>
      <c r="D46" s="160">
        <v>2</v>
      </c>
      <c r="E46" s="160">
        <v>186</v>
      </c>
      <c r="F46" s="160">
        <v>7</v>
      </c>
    </row>
    <row r="47" spans="1:6">
      <c r="A47" s="160">
        <v>100</v>
      </c>
      <c r="B47" s="160" t="s">
        <v>467</v>
      </c>
      <c r="C47" s="160">
        <v>247588</v>
      </c>
      <c r="D47" s="160">
        <v>837</v>
      </c>
      <c r="E47" s="160">
        <v>159036</v>
      </c>
      <c r="F47" s="160">
        <v>13271</v>
      </c>
    </row>
    <row r="48" spans="1:6">
      <c r="A48" s="160">
        <v>100</v>
      </c>
      <c r="B48" s="160" t="s">
        <v>466</v>
      </c>
      <c r="C48" s="160">
        <v>152619</v>
      </c>
      <c r="D48" s="160">
        <v>409</v>
      </c>
      <c r="E48" s="160">
        <v>98287</v>
      </c>
      <c r="F48" s="160">
        <v>2863</v>
      </c>
    </row>
    <row r="49" spans="1:6">
      <c r="A49" s="160">
        <v>100</v>
      </c>
      <c r="B49" s="160" t="s">
        <v>465</v>
      </c>
      <c r="C49" s="160">
        <v>39960</v>
      </c>
      <c r="D49" s="160">
        <v>226</v>
      </c>
      <c r="E49" s="160">
        <v>26310</v>
      </c>
      <c r="F49" s="160">
        <v>258</v>
      </c>
    </row>
    <row r="50" spans="1:6">
      <c r="A50" s="160">
        <v>100</v>
      </c>
      <c r="B50" s="160" t="s">
        <v>502</v>
      </c>
      <c r="C50" s="160">
        <v>600</v>
      </c>
      <c r="D50" s="160">
        <v>2</v>
      </c>
      <c r="E50" s="160">
        <v>332</v>
      </c>
      <c r="F50" s="160">
        <v>10</v>
      </c>
    </row>
    <row r="51" spans="1:6">
      <c r="A51" s="160">
        <v>100</v>
      </c>
      <c r="B51" s="160" t="s">
        <v>464</v>
      </c>
      <c r="C51" s="160">
        <v>18710</v>
      </c>
      <c r="D51" s="160">
        <v>110</v>
      </c>
      <c r="E51" s="160">
        <v>11144</v>
      </c>
      <c r="F51" s="160">
        <v>211</v>
      </c>
    </row>
    <row r="52" spans="1:6">
      <c r="A52" s="160">
        <v>100</v>
      </c>
      <c r="B52" s="160" t="s">
        <v>463</v>
      </c>
      <c r="C52" s="160">
        <v>149034</v>
      </c>
      <c r="D52" s="160">
        <v>888</v>
      </c>
      <c r="E52" s="160">
        <v>108428</v>
      </c>
      <c r="F52" s="160">
        <v>16520</v>
      </c>
    </row>
    <row r="53" spans="1:6">
      <c r="A53" s="160">
        <v>100</v>
      </c>
      <c r="B53" s="160" t="s">
        <v>462</v>
      </c>
      <c r="C53" s="160">
        <v>150</v>
      </c>
      <c r="D53" s="160">
        <v>1495</v>
      </c>
      <c r="E53" s="160">
        <v>123</v>
      </c>
      <c r="F53" s="160">
        <v>3963</v>
      </c>
    </row>
    <row r="54" spans="1:6">
      <c r="A54" s="160">
        <v>100</v>
      </c>
      <c r="B54" s="160" t="s">
        <v>461</v>
      </c>
      <c r="C54" s="160">
        <v>275849</v>
      </c>
      <c r="D54" s="160">
        <v>1183</v>
      </c>
      <c r="E54" s="160">
        <v>88571</v>
      </c>
      <c r="F54" s="160">
        <v>55190</v>
      </c>
    </row>
    <row r="55" spans="1:6">
      <c r="A55" s="160">
        <v>100</v>
      </c>
      <c r="B55" s="160" t="s">
        <v>460</v>
      </c>
      <c r="C55" s="160">
        <v>0</v>
      </c>
      <c r="D55" s="160">
        <v>308</v>
      </c>
      <c r="E55" s="160">
        <v>0</v>
      </c>
      <c r="F55" s="160">
        <v>17598</v>
      </c>
    </row>
    <row r="56" spans="1:6">
      <c r="A56" s="160">
        <v>100</v>
      </c>
      <c r="B56" s="160" t="s">
        <v>459</v>
      </c>
      <c r="C56" s="160">
        <v>0</v>
      </c>
      <c r="D56" s="160">
        <v>16</v>
      </c>
      <c r="E56" s="160">
        <v>0</v>
      </c>
      <c r="F56" s="160">
        <v>524</v>
      </c>
    </row>
    <row r="57" spans="1:6">
      <c r="A57" s="160">
        <v>100</v>
      </c>
      <c r="B57" s="160" t="s">
        <v>458</v>
      </c>
      <c r="C57" s="160">
        <v>44448</v>
      </c>
      <c r="D57" s="160">
        <v>276</v>
      </c>
      <c r="E57" s="160">
        <v>27706</v>
      </c>
      <c r="F57" s="160">
        <v>673</v>
      </c>
    </row>
    <row r="58" spans="1:6">
      <c r="A58" s="160">
        <v>100</v>
      </c>
      <c r="B58" s="160" t="s">
        <v>873</v>
      </c>
      <c r="C58" s="160">
        <v>189</v>
      </c>
      <c r="D58" s="160">
        <v>2</v>
      </c>
      <c r="E58" s="160">
        <v>136</v>
      </c>
      <c r="F58" s="160">
        <v>4</v>
      </c>
    </row>
    <row r="59" spans="1:6">
      <c r="A59" s="160">
        <v>100</v>
      </c>
      <c r="B59" s="160" t="s">
        <v>457</v>
      </c>
      <c r="C59" s="160">
        <v>152666</v>
      </c>
      <c r="D59" s="160">
        <v>854</v>
      </c>
      <c r="E59" s="160">
        <v>111925</v>
      </c>
      <c r="F59" s="160">
        <v>1158</v>
      </c>
    </row>
    <row r="60" spans="1:6">
      <c r="A60" s="160">
        <v>100</v>
      </c>
      <c r="B60" s="160" t="s">
        <v>456</v>
      </c>
      <c r="C60" s="160">
        <v>18216</v>
      </c>
      <c r="D60" s="160">
        <v>66</v>
      </c>
      <c r="E60" s="160">
        <v>13436</v>
      </c>
      <c r="F60" s="160">
        <v>788</v>
      </c>
    </row>
    <row r="61" spans="1:6">
      <c r="A61" s="160">
        <v>100</v>
      </c>
      <c r="B61" s="160" t="s">
        <v>455</v>
      </c>
      <c r="C61" s="160">
        <v>15972</v>
      </c>
      <c r="D61" s="160">
        <v>88</v>
      </c>
      <c r="E61" s="160">
        <v>11876</v>
      </c>
      <c r="F61" s="160">
        <v>140</v>
      </c>
    </row>
    <row r="62" spans="1:6">
      <c r="A62" s="160">
        <v>100</v>
      </c>
      <c r="B62" s="160" t="s">
        <v>501</v>
      </c>
      <c r="C62" s="160">
        <v>615</v>
      </c>
      <c r="D62" s="160">
        <v>4</v>
      </c>
      <c r="E62" s="160">
        <v>364</v>
      </c>
      <c r="F62" s="160">
        <v>10</v>
      </c>
    </row>
    <row r="63" spans="1:6">
      <c r="A63" s="160">
        <v>100</v>
      </c>
      <c r="B63" s="160" t="s">
        <v>453</v>
      </c>
      <c r="C63" s="160">
        <v>199558</v>
      </c>
      <c r="D63" s="160">
        <v>1557</v>
      </c>
      <c r="E63" s="160">
        <v>118980</v>
      </c>
      <c r="F63" s="160">
        <v>17347</v>
      </c>
    </row>
    <row r="64" spans="1:6">
      <c r="A64" s="160">
        <v>100</v>
      </c>
      <c r="B64" s="160" t="s">
        <v>452</v>
      </c>
      <c r="C64" s="160">
        <v>0</v>
      </c>
      <c r="D64" s="160">
        <v>542</v>
      </c>
      <c r="E64" s="160">
        <v>0</v>
      </c>
      <c r="F64" s="160">
        <v>36616</v>
      </c>
    </row>
    <row r="65" spans="1:6">
      <c r="A65" s="160">
        <v>100</v>
      </c>
      <c r="B65" s="160" t="s">
        <v>451</v>
      </c>
      <c r="C65" s="160">
        <v>46730</v>
      </c>
      <c r="D65" s="160">
        <v>211</v>
      </c>
      <c r="E65" s="160">
        <v>26409</v>
      </c>
      <c r="F65" s="160">
        <v>1150</v>
      </c>
    </row>
    <row r="66" spans="1:6">
      <c r="A66" s="160">
        <v>100</v>
      </c>
      <c r="B66" s="160" t="s">
        <v>450</v>
      </c>
      <c r="C66" s="160">
        <v>0</v>
      </c>
      <c r="D66" s="160">
        <v>430</v>
      </c>
      <c r="E66" s="160">
        <v>0</v>
      </c>
      <c r="F66" s="160">
        <v>4370</v>
      </c>
    </row>
    <row r="67" spans="1:6">
      <c r="A67" s="160">
        <v>100</v>
      </c>
      <c r="B67" s="160" t="s">
        <v>449</v>
      </c>
      <c r="C67" s="160">
        <v>33606</v>
      </c>
      <c r="D67" s="160">
        <v>202</v>
      </c>
      <c r="E67" s="160">
        <v>21045</v>
      </c>
      <c r="F67" s="160">
        <v>503</v>
      </c>
    </row>
    <row r="68" spans="1:6">
      <c r="A68" s="160">
        <v>100</v>
      </c>
      <c r="B68" s="160" t="s">
        <v>448</v>
      </c>
      <c r="C68" s="160">
        <v>0</v>
      </c>
      <c r="D68" s="160">
        <v>12</v>
      </c>
      <c r="E68" s="160">
        <v>0</v>
      </c>
      <c r="F68" s="160">
        <v>177</v>
      </c>
    </row>
    <row r="69" spans="1:6">
      <c r="A69" s="160">
        <v>100</v>
      </c>
      <c r="B69" s="160" t="s">
        <v>447</v>
      </c>
      <c r="C69" s="160">
        <v>4080</v>
      </c>
      <c r="D69" s="160">
        <v>24</v>
      </c>
      <c r="E69" s="160">
        <v>2317</v>
      </c>
      <c r="F69" s="160">
        <v>23</v>
      </c>
    </row>
    <row r="70" spans="1:6">
      <c r="A70" s="160">
        <v>100</v>
      </c>
      <c r="B70" s="160" t="s">
        <v>446</v>
      </c>
      <c r="C70" s="160">
        <v>378476</v>
      </c>
      <c r="D70" s="160">
        <v>2272</v>
      </c>
      <c r="E70" s="160">
        <v>241245</v>
      </c>
      <c r="F70" s="160">
        <v>7969</v>
      </c>
    </row>
    <row r="71" spans="1:6">
      <c r="A71" s="160">
        <v>100</v>
      </c>
      <c r="B71" s="160" t="s">
        <v>445</v>
      </c>
      <c r="C71" s="160">
        <v>385530</v>
      </c>
      <c r="D71" s="160">
        <v>2283</v>
      </c>
      <c r="E71" s="160">
        <v>246105</v>
      </c>
      <c r="F71" s="160">
        <v>7660</v>
      </c>
    </row>
    <row r="72" spans="1:6">
      <c r="A72" s="160">
        <v>100</v>
      </c>
      <c r="B72" s="160" t="s">
        <v>444</v>
      </c>
      <c r="C72" s="160">
        <v>29062</v>
      </c>
      <c r="D72" s="160">
        <v>184</v>
      </c>
      <c r="E72" s="160">
        <v>22365</v>
      </c>
      <c r="F72" s="160">
        <v>332</v>
      </c>
    </row>
    <row r="73" spans="1:6">
      <c r="A73" s="160">
        <v>100</v>
      </c>
      <c r="B73" s="160" t="s">
        <v>443</v>
      </c>
      <c r="C73" s="160">
        <v>259334</v>
      </c>
      <c r="D73" s="160">
        <v>1784</v>
      </c>
      <c r="E73" s="160">
        <v>168349</v>
      </c>
      <c r="F73" s="160">
        <v>11731</v>
      </c>
    </row>
    <row r="74" spans="1:6">
      <c r="A74" s="160">
        <v>100</v>
      </c>
      <c r="B74" s="160" t="s">
        <v>442</v>
      </c>
      <c r="C74" s="160">
        <v>17702</v>
      </c>
      <c r="D74" s="160">
        <v>98</v>
      </c>
      <c r="E74" s="160">
        <v>12538</v>
      </c>
      <c r="F74" s="160">
        <v>113</v>
      </c>
    </row>
    <row r="75" spans="1:6">
      <c r="A75" s="160">
        <v>100</v>
      </c>
      <c r="B75" s="160" t="s">
        <v>500</v>
      </c>
      <c r="C75" s="160">
        <v>19430</v>
      </c>
      <c r="D75" s="160">
        <v>58</v>
      </c>
      <c r="E75" s="160">
        <v>13722</v>
      </c>
      <c r="F75" s="160">
        <v>296</v>
      </c>
    </row>
    <row r="76" spans="1:6">
      <c r="A76" s="160">
        <v>100</v>
      </c>
      <c r="B76" s="160" t="s">
        <v>441</v>
      </c>
      <c r="C76" s="160">
        <v>97396</v>
      </c>
      <c r="D76" s="160">
        <v>407</v>
      </c>
      <c r="E76" s="160">
        <v>57653</v>
      </c>
      <c r="F76" s="160">
        <v>1971</v>
      </c>
    </row>
    <row r="77" spans="1:6">
      <c r="A77" s="160">
        <v>100</v>
      </c>
      <c r="B77" s="160" t="s">
        <v>440</v>
      </c>
      <c r="C77" s="160">
        <v>150044</v>
      </c>
      <c r="D77" s="160">
        <v>746</v>
      </c>
      <c r="E77" s="160">
        <v>98310</v>
      </c>
      <c r="F77" s="160">
        <v>3867</v>
      </c>
    </row>
    <row r="78" spans="1:6">
      <c r="A78" s="160">
        <v>100</v>
      </c>
      <c r="B78" s="160" t="s">
        <v>439</v>
      </c>
      <c r="C78" s="160">
        <v>20992</v>
      </c>
      <c r="D78" s="160">
        <v>136</v>
      </c>
      <c r="E78" s="160">
        <v>15074</v>
      </c>
      <c r="F78" s="160">
        <v>1632</v>
      </c>
    </row>
    <row r="79" spans="1:6">
      <c r="A79" s="160">
        <v>100</v>
      </c>
      <c r="B79" s="160" t="s">
        <v>499</v>
      </c>
      <c r="C79" s="160">
        <v>624</v>
      </c>
      <c r="D79" s="160">
        <v>2</v>
      </c>
      <c r="E79" s="160">
        <v>172</v>
      </c>
      <c r="F79" s="160">
        <v>5</v>
      </c>
    </row>
    <row r="80" spans="1:6">
      <c r="A80" s="160">
        <v>100</v>
      </c>
      <c r="B80" s="160" t="s">
        <v>437</v>
      </c>
      <c r="C80" s="160">
        <v>0</v>
      </c>
      <c r="D80" s="160">
        <v>3442</v>
      </c>
      <c r="E80" s="160">
        <v>0</v>
      </c>
      <c r="F80" s="160">
        <v>37726</v>
      </c>
    </row>
    <row r="81" spans="1:6">
      <c r="A81" s="160">
        <v>100</v>
      </c>
      <c r="B81" s="160" t="s">
        <v>436</v>
      </c>
      <c r="C81" s="160">
        <v>8832</v>
      </c>
      <c r="D81" s="160">
        <v>48</v>
      </c>
      <c r="E81" s="160">
        <v>6384</v>
      </c>
      <c r="F81" s="160">
        <v>128</v>
      </c>
    </row>
    <row r="82" spans="1:6">
      <c r="A82" s="160">
        <v>100</v>
      </c>
      <c r="B82" s="160" t="s">
        <v>435</v>
      </c>
      <c r="C82" s="160">
        <v>82993</v>
      </c>
      <c r="D82" s="160">
        <v>490</v>
      </c>
      <c r="E82" s="160">
        <v>41319</v>
      </c>
      <c r="F82" s="160">
        <v>6352</v>
      </c>
    </row>
    <row r="83" spans="1:6">
      <c r="A83" s="160">
        <v>100</v>
      </c>
      <c r="B83" s="160" t="s">
        <v>498</v>
      </c>
      <c r="C83" s="160">
        <v>1044</v>
      </c>
      <c r="D83" s="160">
        <v>4</v>
      </c>
      <c r="E83" s="160">
        <v>19</v>
      </c>
      <c r="F83" s="160">
        <v>47</v>
      </c>
    </row>
    <row r="84" spans="1:6">
      <c r="A84" s="160">
        <v>100</v>
      </c>
      <c r="B84" s="160" t="s">
        <v>434</v>
      </c>
      <c r="C84" s="160">
        <v>0</v>
      </c>
      <c r="D84" s="160">
        <v>11</v>
      </c>
      <c r="E84" s="160">
        <v>0</v>
      </c>
      <c r="F84" s="160">
        <v>138</v>
      </c>
    </row>
    <row r="85" spans="1:6">
      <c r="A85" s="160">
        <v>100</v>
      </c>
      <c r="B85" s="160" t="s">
        <v>432</v>
      </c>
      <c r="C85" s="160">
        <v>43312</v>
      </c>
      <c r="D85" s="160">
        <v>220</v>
      </c>
      <c r="E85" s="160">
        <v>29234</v>
      </c>
      <c r="F85" s="160">
        <v>2374</v>
      </c>
    </row>
    <row r="86" spans="1:6">
      <c r="A86" s="160">
        <v>100</v>
      </c>
      <c r="B86" s="160" t="s">
        <v>431</v>
      </c>
      <c r="C86" s="160">
        <v>6034</v>
      </c>
      <c r="D86" s="160">
        <v>62</v>
      </c>
      <c r="E86" s="160">
        <v>4807</v>
      </c>
      <c r="F86" s="160">
        <v>201</v>
      </c>
    </row>
    <row r="87" spans="1:6">
      <c r="A87" s="160">
        <v>100</v>
      </c>
      <c r="B87" s="160" t="s">
        <v>430</v>
      </c>
      <c r="C87" s="160">
        <v>96806</v>
      </c>
      <c r="D87" s="160">
        <v>756</v>
      </c>
      <c r="E87" s="160">
        <v>56093</v>
      </c>
      <c r="F87" s="160">
        <v>744</v>
      </c>
    </row>
    <row r="88" spans="1:6">
      <c r="A88" s="160">
        <v>100</v>
      </c>
      <c r="B88" s="160" t="s">
        <v>429</v>
      </c>
      <c r="C88" s="160">
        <v>36416</v>
      </c>
      <c r="D88" s="160">
        <v>300</v>
      </c>
      <c r="E88" s="160">
        <v>25489</v>
      </c>
      <c r="F88" s="160">
        <v>3044</v>
      </c>
    </row>
    <row r="89" spans="1:6">
      <c r="A89" s="160">
        <v>100</v>
      </c>
      <c r="B89" s="160" t="s">
        <v>497</v>
      </c>
      <c r="C89" s="160">
        <v>500</v>
      </c>
      <c r="D89" s="160">
        <v>4</v>
      </c>
      <c r="E89" s="160">
        <v>420</v>
      </c>
      <c r="F89" s="160">
        <v>23</v>
      </c>
    </row>
    <row r="90" spans="1:6">
      <c r="A90" s="160">
        <v>100</v>
      </c>
      <c r="B90" s="160" t="s">
        <v>428</v>
      </c>
      <c r="C90" s="160">
        <v>209912</v>
      </c>
      <c r="D90" s="160">
        <v>656</v>
      </c>
      <c r="E90" s="160">
        <v>60449</v>
      </c>
      <c r="F90" s="160">
        <v>12176</v>
      </c>
    </row>
    <row r="91" spans="1:6">
      <c r="A91" s="160">
        <v>100</v>
      </c>
      <c r="B91" s="160" t="s">
        <v>427</v>
      </c>
      <c r="C91" s="160">
        <v>129185</v>
      </c>
      <c r="D91" s="160">
        <v>790</v>
      </c>
      <c r="E91" s="160">
        <v>28393</v>
      </c>
      <c r="F91" s="160">
        <v>11398</v>
      </c>
    </row>
    <row r="92" spans="1:6">
      <c r="A92" s="160">
        <v>100</v>
      </c>
      <c r="B92" s="160" t="s">
        <v>426</v>
      </c>
      <c r="C92" s="160">
        <v>0</v>
      </c>
      <c r="D92" s="160">
        <v>636</v>
      </c>
      <c r="E92" s="160">
        <v>0</v>
      </c>
      <c r="F92" s="160">
        <v>21819</v>
      </c>
    </row>
    <row r="93" spans="1:6">
      <c r="A93" s="160">
        <v>100</v>
      </c>
      <c r="B93" s="160" t="s">
        <v>425</v>
      </c>
      <c r="C93" s="160">
        <v>176151</v>
      </c>
      <c r="D93" s="160">
        <v>693</v>
      </c>
      <c r="E93" s="160">
        <v>94116</v>
      </c>
      <c r="F93" s="160">
        <v>9903</v>
      </c>
    </row>
    <row r="94" spans="1:6">
      <c r="A94" s="160">
        <v>100</v>
      </c>
      <c r="B94" s="160" t="s">
        <v>859</v>
      </c>
      <c r="C94" s="160">
        <v>0</v>
      </c>
      <c r="D94" s="160">
        <v>510</v>
      </c>
      <c r="E94" s="160">
        <v>0</v>
      </c>
      <c r="F94" s="160">
        <v>16432</v>
      </c>
    </row>
    <row r="95" spans="1:6">
      <c r="A95" s="160">
        <v>100</v>
      </c>
      <c r="B95" s="160" t="s">
        <v>424</v>
      </c>
      <c r="C95" s="160">
        <v>214850</v>
      </c>
      <c r="D95" s="160">
        <v>574</v>
      </c>
      <c r="E95" s="160">
        <v>133871</v>
      </c>
      <c r="F95" s="160">
        <v>5291</v>
      </c>
    </row>
    <row r="96" spans="1:6">
      <c r="A96" s="160">
        <v>100</v>
      </c>
      <c r="B96" s="160" t="s">
        <v>423</v>
      </c>
      <c r="C96" s="160">
        <v>38672</v>
      </c>
      <c r="D96" s="160">
        <v>202</v>
      </c>
      <c r="E96" s="160">
        <v>28083</v>
      </c>
      <c r="F96" s="160">
        <v>956</v>
      </c>
    </row>
    <row r="97" spans="1:6">
      <c r="A97" s="160">
        <v>100</v>
      </c>
      <c r="B97" s="160" t="s">
        <v>496</v>
      </c>
      <c r="C97" s="160">
        <v>900</v>
      </c>
      <c r="D97" s="160">
        <v>10</v>
      </c>
      <c r="E97" s="160">
        <v>545</v>
      </c>
      <c r="F97" s="160">
        <v>18</v>
      </c>
    </row>
    <row r="98" spans="1:6">
      <c r="A98" s="160">
        <v>100</v>
      </c>
      <c r="B98" s="160" t="s">
        <v>422</v>
      </c>
      <c r="C98" s="160">
        <v>0</v>
      </c>
      <c r="D98" s="160">
        <v>719</v>
      </c>
      <c r="E98" s="160">
        <v>0</v>
      </c>
      <c r="F98" s="160">
        <v>26830</v>
      </c>
    </row>
    <row r="99" spans="1:6">
      <c r="A99" s="160">
        <v>100</v>
      </c>
      <c r="B99" s="160" t="s">
        <v>421</v>
      </c>
      <c r="C99" s="160">
        <v>27438</v>
      </c>
      <c r="D99" s="160">
        <v>158</v>
      </c>
      <c r="E99" s="160">
        <v>17836</v>
      </c>
      <c r="F99" s="160">
        <v>402</v>
      </c>
    </row>
    <row r="100" spans="1:6">
      <c r="A100" s="160">
        <v>100</v>
      </c>
      <c r="B100" s="160" t="s">
        <v>495</v>
      </c>
      <c r="C100" s="160">
        <v>0</v>
      </c>
      <c r="D100" s="160">
        <v>24</v>
      </c>
      <c r="E100" s="160">
        <v>0</v>
      </c>
      <c r="F100" s="160">
        <v>154</v>
      </c>
    </row>
    <row r="101" spans="1:6">
      <c r="A101" s="160">
        <v>100</v>
      </c>
      <c r="B101" s="160" t="s">
        <v>420</v>
      </c>
      <c r="C101" s="160">
        <v>0</v>
      </c>
      <c r="D101" s="160">
        <v>667</v>
      </c>
      <c r="E101" s="160">
        <v>0</v>
      </c>
      <c r="F101" s="160">
        <v>22551</v>
      </c>
    </row>
    <row r="102" spans="1:6">
      <c r="A102" s="160">
        <v>100</v>
      </c>
      <c r="B102" s="160" t="s">
        <v>419</v>
      </c>
      <c r="C102" s="160">
        <v>174334</v>
      </c>
      <c r="D102" s="160">
        <v>1103</v>
      </c>
      <c r="E102" s="160">
        <v>87138</v>
      </c>
      <c r="F102" s="160">
        <v>12664</v>
      </c>
    </row>
    <row r="103" spans="1:6">
      <c r="A103" s="160">
        <v>100</v>
      </c>
      <c r="B103" s="160" t="s">
        <v>418</v>
      </c>
      <c r="C103" s="160">
        <v>178440</v>
      </c>
      <c r="D103" s="160">
        <v>633</v>
      </c>
      <c r="E103" s="160">
        <v>85837</v>
      </c>
      <c r="F103" s="160">
        <v>12928</v>
      </c>
    </row>
    <row r="104" spans="1:6">
      <c r="A104" s="160">
        <v>100</v>
      </c>
      <c r="B104" s="160" t="s">
        <v>417</v>
      </c>
      <c r="C104" s="160">
        <v>5120</v>
      </c>
      <c r="D104" s="160">
        <v>34</v>
      </c>
      <c r="E104" s="160">
        <v>2192</v>
      </c>
      <c r="F104" s="160">
        <v>25</v>
      </c>
    </row>
    <row r="105" spans="1:6">
      <c r="A105" s="160">
        <v>100</v>
      </c>
      <c r="B105" s="160" t="s">
        <v>415</v>
      </c>
      <c r="C105" s="160">
        <v>19000</v>
      </c>
      <c r="D105" s="160">
        <v>96</v>
      </c>
      <c r="E105" s="160">
        <v>14396</v>
      </c>
      <c r="F105" s="160">
        <v>898</v>
      </c>
    </row>
    <row r="106" spans="1:6">
      <c r="A106" s="160">
        <v>100</v>
      </c>
      <c r="B106" s="160" t="s">
        <v>413</v>
      </c>
      <c r="C106" s="160">
        <v>0</v>
      </c>
      <c r="D106" s="160">
        <v>2335</v>
      </c>
      <c r="E106" s="160">
        <v>0</v>
      </c>
      <c r="F106" s="160">
        <v>59567</v>
      </c>
    </row>
    <row r="107" spans="1:6">
      <c r="A107" s="160">
        <v>100</v>
      </c>
      <c r="B107" s="160" t="s">
        <v>494</v>
      </c>
      <c r="C107" s="160">
        <v>0</v>
      </c>
      <c r="D107" s="160">
        <v>1</v>
      </c>
      <c r="E107" s="160">
        <v>0</v>
      </c>
      <c r="F107" s="160">
        <v>0</v>
      </c>
    </row>
    <row r="108" spans="1:6">
      <c r="A108" s="160">
        <v>100</v>
      </c>
      <c r="B108" s="160" t="s">
        <v>524</v>
      </c>
      <c r="C108" s="160">
        <v>0</v>
      </c>
      <c r="D108" s="160">
        <v>11</v>
      </c>
      <c r="E108" s="160">
        <v>0</v>
      </c>
      <c r="F108" s="160">
        <v>141</v>
      </c>
    </row>
    <row r="109" spans="1:6">
      <c r="A109" s="160">
        <v>100</v>
      </c>
      <c r="B109" s="160" t="s">
        <v>412</v>
      </c>
      <c r="C109" s="160">
        <v>60750</v>
      </c>
      <c r="D109" s="160">
        <v>251</v>
      </c>
      <c r="E109" s="160">
        <v>32862</v>
      </c>
      <c r="F109" s="160">
        <v>2353</v>
      </c>
    </row>
    <row r="110" spans="1:6">
      <c r="A110" s="160">
        <v>100</v>
      </c>
      <c r="B110" s="160" t="s">
        <v>493</v>
      </c>
      <c r="C110" s="160">
        <v>0</v>
      </c>
      <c r="D110" s="160">
        <v>2</v>
      </c>
      <c r="E110" s="160">
        <v>0</v>
      </c>
      <c r="F110" s="160">
        <v>24</v>
      </c>
    </row>
    <row r="111" spans="1:6">
      <c r="A111" s="160">
        <v>100</v>
      </c>
      <c r="B111" s="160" t="s">
        <v>411</v>
      </c>
      <c r="C111" s="160">
        <v>0</v>
      </c>
      <c r="D111" s="160">
        <v>1</v>
      </c>
      <c r="E111" s="160">
        <v>0</v>
      </c>
      <c r="F111" s="160">
        <v>4</v>
      </c>
    </row>
    <row r="112" spans="1:6">
      <c r="A112" s="160">
        <v>100</v>
      </c>
      <c r="B112" s="160" t="s">
        <v>410</v>
      </c>
      <c r="C112" s="160">
        <v>78814</v>
      </c>
      <c r="D112" s="160">
        <v>2052</v>
      </c>
      <c r="E112" s="160">
        <v>47753</v>
      </c>
      <c r="F112" s="160">
        <v>10520</v>
      </c>
    </row>
    <row r="113" spans="1:6">
      <c r="A113" s="160">
        <v>100</v>
      </c>
      <c r="B113" s="160" t="s">
        <v>409</v>
      </c>
      <c r="C113" s="160">
        <v>271932</v>
      </c>
      <c r="D113" s="160">
        <v>849</v>
      </c>
      <c r="E113" s="160">
        <v>119241</v>
      </c>
      <c r="F113" s="160">
        <v>12749</v>
      </c>
    </row>
    <row r="114" spans="1:6">
      <c r="A114" s="160">
        <v>100</v>
      </c>
      <c r="B114" s="160" t="s">
        <v>492</v>
      </c>
      <c r="C114" s="160">
        <v>0</v>
      </c>
      <c r="D114" s="160">
        <v>131</v>
      </c>
      <c r="E114" s="160">
        <v>0</v>
      </c>
      <c r="F114" s="160">
        <v>2575</v>
      </c>
    </row>
    <row r="115" spans="1:6">
      <c r="A115" s="160">
        <v>100</v>
      </c>
      <c r="B115" s="160" t="s">
        <v>408</v>
      </c>
      <c r="C115" s="160">
        <v>0</v>
      </c>
      <c r="D115" s="160">
        <v>357</v>
      </c>
      <c r="E115" s="160">
        <v>0</v>
      </c>
      <c r="F115" s="160">
        <v>24497</v>
      </c>
    </row>
    <row r="116" spans="1:6">
      <c r="A116" s="160">
        <v>100</v>
      </c>
      <c r="B116" s="160" t="s">
        <v>491</v>
      </c>
      <c r="C116" s="160">
        <v>194</v>
      </c>
      <c r="D116" s="160">
        <v>2</v>
      </c>
      <c r="E116" s="160">
        <v>110</v>
      </c>
      <c r="F116" s="160">
        <v>2</v>
      </c>
    </row>
    <row r="117" spans="1:6">
      <c r="A117" s="160">
        <v>100</v>
      </c>
      <c r="B117" s="160" t="s">
        <v>406</v>
      </c>
      <c r="C117" s="160">
        <v>59684</v>
      </c>
      <c r="D117" s="160">
        <v>348</v>
      </c>
      <c r="E117" s="160">
        <v>44794</v>
      </c>
      <c r="F117" s="160">
        <v>600</v>
      </c>
    </row>
    <row r="118" spans="1:6">
      <c r="A118" s="160">
        <v>100</v>
      </c>
      <c r="B118" s="160" t="s">
        <v>490</v>
      </c>
      <c r="C118" s="160">
        <v>378</v>
      </c>
      <c r="D118" s="160">
        <v>92</v>
      </c>
      <c r="E118" s="160">
        <v>103</v>
      </c>
      <c r="F118" s="160">
        <v>969</v>
      </c>
    </row>
    <row r="119" spans="1:6">
      <c r="A119" s="160">
        <v>100</v>
      </c>
      <c r="B119" s="160" t="s">
        <v>405</v>
      </c>
      <c r="C119" s="160">
        <v>42840</v>
      </c>
      <c r="D119" s="160">
        <v>130</v>
      </c>
      <c r="E119" s="160">
        <v>15178</v>
      </c>
      <c r="F119" s="160">
        <v>1204</v>
      </c>
    </row>
    <row r="120" spans="1:6">
      <c r="A120" s="160">
        <v>100</v>
      </c>
      <c r="B120" s="160" t="s">
        <v>489</v>
      </c>
      <c r="C120" s="160">
        <v>651</v>
      </c>
      <c r="D120" s="160">
        <v>7</v>
      </c>
      <c r="E120" s="160">
        <v>46</v>
      </c>
      <c r="F120" s="160">
        <v>32</v>
      </c>
    </row>
    <row r="121" spans="1:6">
      <c r="A121" s="160">
        <v>100</v>
      </c>
      <c r="B121" s="160" t="s">
        <v>404</v>
      </c>
      <c r="C121" s="160">
        <v>37036</v>
      </c>
      <c r="D121" s="160">
        <v>200</v>
      </c>
      <c r="E121" s="160">
        <v>25160</v>
      </c>
      <c r="F121" s="160">
        <v>256</v>
      </c>
    </row>
    <row r="122" spans="1:6">
      <c r="A122" s="160">
        <v>100</v>
      </c>
      <c r="B122" s="160" t="s">
        <v>488</v>
      </c>
      <c r="C122" s="160">
        <v>1726</v>
      </c>
      <c r="D122" s="160">
        <v>8</v>
      </c>
      <c r="E122" s="160">
        <v>868</v>
      </c>
      <c r="F122" s="160">
        <v>79</v>
      </c>
    </row>
    <row r="123" spans="1:6">
      <c r="A123" s="160">
        <v>100</v>
      </c>
      <c r="B123" s="160" t="s">
        <v>403</v>
      </c>
      <c r="C123" s="160">
        <v>114410</v>
      </c>
      <c r="D123" s="160">
        <v>465</v>
      </c>
      <c r="E123" s="160">
        <v>62976</v>
      </c>
      <c r="F123" s="160">
        <v>2789</v>
      </c>
    </row>
    <row r="124" spans="1:6">
      <c r="A124" s="160">
        <v>100</v>
      </c>
      <c r="B124" s="160" t="s">
        <v>402</v>
      </c>
      <c r="C124" s="160">
        <v>49036</v>
      </c>
      <c r="D124" s="160">
        <v>237</v>
      </c>
      <c r="E124" s="160">
        <v>31589</v>
      </c>
      <c r="F124" s="160">
        <v>612</v>
      </c>
    </row>
    <row r="125" spans="1:6">
      <c r="A125" s="160">
        <v>100</v>
      </c>
      <c r="B125" s="160" t="s">
        <v>401</v>
      </c>
      <c r="C125" s="160">
        <v>167270</v>
      </c>
      <c r="D125" s="160">
        <v>1767</v>
      </c>
      <c r="E125" s="160">
        <v>107318</v>
      </c>
      <c r="F125" s="160">
        <v>6146</v>
      </c>
    </row>
    <row r="126" spans="1:6">
      <c r="A126" s="160">
        <v>100</v>
      </c>
      <c r="B126" s="160" t="s">
        <v>400</v>
      </c>
      <c r="C126" s="160">
        <v>12624</v>
      </c>
      <c r="D126" s="160">
        <v>126</v>
      </c>
      <c r="E126" s="160">
        <v>6556</v>
      </c>
      <c r="F126" s="160">
        <v>455</v>
      </c>
    </row>
    <row r="127" spans="1:6">
      <c r="A127" s="160">
        <v>100</v>
      </c>
      <c r="B127" s="160" t="s">
        <v>487</v>
      </c>
      <c r="C127" s="160">
        <v>1967</v>
      </c>
      <c r="D127" s="160">
        <v>8</v>
      </c>
      <c r="E127" s="160">
        <v>922</v>
      </c>
      <c r="F127" s="160">
        <v>85</v>
      </c>
    </row>
    <row r="128" spans="1:6">
      <c r="A128" s="160">
        <v>100</v>
      </c>
      <c r="B128" s="160" t="s">
        <v>399</v>
      </c>
      <c r="C128" s="160">
        <v>428146</v>
      </c>
      <c r="D128" s="160">
        <v>2003</v>
      </c>
      <c r="E128" s="160">
        <v>291135</v>
      </c>
      <c r="F128" s="160">
        <v>3892</v>
      </c>
    </row>
    <row r="129" spans="1:6">
      <c r="A129" s="160">
        <v>100</v>
      </c>
      <c r="B129" s="160" t="s">
        <v>522</v>
      </c>
      <c r="C129" s="160">
        <v>18270</v>
      </c>
      <c r="D129" s="160">
        <v>180</v>
      </c>
      <c r="E129" s="160">
        <v>306</v>
      </c>
      <c r="F129" s="160">
        <v>1327</v>
      </c>
    </row>
    <row r="130" spans="1:6">
      <c r="A130" s="160">
        <v>100</v>
      </c>
      <c r="B130" s="160" t="s">
        <v>398</v>
      </c>
      <c r="C130" s="160">
        <v>11772</v>
      </c>
      <c r="D130" s="160">
        <v>74</v>
      </c>
      <c r="E130" s="160">
        <v>5850</v>
      </c>
      <c r="F130" s="160">
        <v>132</v>
      </c>
    </row>
    <row r="131" spans="1:6">
      <c r="A131" s="160">
        <v>100</v>
      </c>
      <c r="B131" s="160" t="s">
        <v>397</v>
      </c>
      <c r="C131" s="160">
        <v>5676</v>
      </c>
      <c r="D131" s="160">
        <v>32</v>
      </c>
      <c r="E131" s="160">
        <v>4494</v>
      </c>
      <c r="F131" s="160">
        <v>46</v>
      </c>
    </row>
    <row r="132" spans="1:6">
      <c r="A132" s="160">
        <v>100</v>
      </c>
      <c r="B132" s="160" t="s">
        <v>396</v>
      </c>
      <c r="C132" s="160">
        <v>0</v>
      </c>
      <c r="D132" s="160">
        <v>29</v>
      </c>
      <c r="E132" s="160">
        <v>0</v>
      </c>
      <c r="F132" s="160">
        <v>1138</v>
      </c>
    </row>
    <row r="133" spans="1:6">
      <c r="A133" s="160">
        <v>100</v>
      </c>
      <c r="B133" s="160" t="s">
        <v>395</v>
      </c>
      <c r="C133" s="160">
        <v>292130</v>
      </c>
      <c r="D133" s="160">
        <v>1302</v>
      </c>
      <c r="E133" s="160">
        <v>210113</v>
      </c>
      <c r="F133" s="160">
        <v>11442</v>
      </c>
    </row>
    <row r="134" spans="1:6">
      <c r="A134" s="160">
        <v>100</v>
      </c>
      <c r="B134" s="160" t="s">
        <v>860</v>
      </c>
      <c r="C134" s="160">
        <v>48400</v>
      </c>
      <c r="D134" s="160">
        <v>351</v>
      </c>
      <c r="E134" s="160">
        <v>23141</v>
      </c>
      <c r="F134" s="160">
        <v>2013</v>
      </c>
    </row>
    <row r="135" spans="1:6">
      <c r="A135" s="160">
        <v>100</v>
      </c>
      <c r="B135" s="160" t="s">
        <v>486</v>
      </c>
      <c r="C135" s="160">
        <v>30082</v>
      </c>
      <c r="D135" s="160">
        <v>240</v>
      </c>
      <c r="E135" s="160">
        <v>17964</v>
      </c>
      <c r="F135" s="160">
        <v>628</v>
      </c>
    </row>
    <row r="136" spans="1:6">
      <c r="A136" s="160">
        <v>100</v>
      </c>
      <c r="B136" s="160" t="s">
        <v>521</v>
      </c>
      <c r="C136" s="160">
        <v>3276</v>
      </c>
      <c r="D136" s="160">
        <v>28</v>
      </c>
      <c r="E136" s="160">
        <v>2641</v>
      </c>
      <c r="F136" s="160">
        <v>89</v>
      </c>
    </row>
    <row r="137" spans="1:6">
      <c r="A137" s="160">
        <v>100</v>
      </c>
      <c r="B137" s="160" t="s">
        <v>394</v>
      </c>
      <c r="C137" s="160">
        <v>0</v>
      </c>
      <c r="D137" s="160">
        <v>1440</v>
      </c>
      <c r="E137" s="160">
        <v>0</v>
      </c>
      <c r="F137" s="160">
        <v>48390</v>
      </c>
    </row>
    <row r="138" spans="1:6">
      <c r="A138" s="160">
        <v>100</v>
      </c>
      <c r="B138" s="160" t="s">
        <v>393</v>
      </c>
      <c r="C138" s="160">
        <v>50294</v>
      </c>
      <c r="D138" s="160">
        <v>244</v>
      </c>
      <c r="E138" s="160">
        <v>35448</v>
      </c>
      <c r="F138" s="160">
        <v>1951</v>
      </c>
    </row>
    <row r="139" spans="1:6">
      <c r="A139" s="160">
        <v>100</v>
      </c>
      <c r="B139" s="160" t="s">
        <v>392</v>
      </c>
      <c r="C139" s="160">
        <v>68964</v>
      </c>
      <c r="D139" s="160">
        <v>542</v>
      </c>
      <c r="E139" s="160">
        <v>44171</v>
      </c>
      <c r="F139" s="160">
        <v>9049</v>
      </c>
    </row>
    <row r="140" spans="1:6">
      <c r="A140" s="160">
        <v>100</v>
      </c>
      <c r="B140" s="160" t="s">
        <v>874</v>
      </c>
      <c r="C140" s="160">
        <v>0</v>
      </c>
      <c r="D140" s="160">
        <v>134</v>
      </c>
      <c r="E140" s="160">
        <v>0</v>
      </c>
      <c r="F140" s="160">
        <v>840</v>
      </c>
    </row>
    <row r="141" spans="1:6">
      <c r="A141" s="160">
        <v>100</v>
      </c>
      <c r="B141" s="160" t="s">
        <v>391</v>
      </c>
      <c r="C141" s="160">
        <v>15324</v>
      </c>
      <c r="D141" s="160">
        <v>96</v>
      </c>
      <c r="E141" s="160">
        <v>11660</v>
      </c>
      <c r="F141" s="160">
        <v>166</v>
      </c>
    </row>
    <row r="142" spans="1:6">
      <c r="A142" s="160">
        <v>100</v>
      </c>
      <c r="B142" s="160" t="s">
        <v>390</v>
      </c>
      <c r="C142" s="160">
        <v>0</v>
      </c>
      <c r="D142" s="160">
        <v>916</v>
      </c>
      <c r="E142" s="160">
        <v>0</v>
      </c>
      <c r="F142" s="160">
        <v>17738</v>
      </c>
    </row>
    <row r="143" spans="1:6">
      <c r="A143" s="160">
        <v>100</v>
      </c>
      <c r="B143" s="160" t="s">
        <v>389</v>
      </c>
      <c r="C143" s="160">
        <v>127405</v>
      </c>
      <c r="D143" s="160">
        <v>395</v>
      </c>
      <c r="E143" s="160">
        <v>73902</v>
      </c>
      <c r="F143" s="160">
        <v>5960</v>
      </c>
    </row>
    <row r="144" spans="1:6">
      <c r="A144" s="160">
        <v>100</v>
      </c>
      <c r="B144" s="160" t="s">
        <v>485</v>
      </c>
      <c r="C144" s="160">
        <v>0</v>
      </c>
      <c r="D144" s="160">
        <v>6</v>
      </c>
      <c r="E144" s="160">
        <v>0</v>
      </c>
      <c r="F144" s="160">
        <v>136</v>
      </c>
    </row>
    <row r="145" spans="1:6">
      <c r="A145" s="160">
        <v>100</v>
      </c>
      <c r="B145" s="160" t="s">
        <v>484</v>
      </c>
      <c r="C145" s="160">
        <v>470</v>
      </c>
      <c r="D145" s="160">
        <v>6</v>
      </c>
      <c r="E145" s="160">
        <v>95</v>
      </c>
      <c r="F145" s="160">
        <v>25</v>
      </c>
    </row>
    <row r="146" spans="1:6">
      <c r="A146" s="160">
        <v>100</v>
      </c>
      <c r="B146" s="160" t="s">
        <v>388</v>
      </c>
      <c r="C146" s="160">
        <v>54636</v>
      </c>
      <c r="D146" s="160">
        <v>192</v>
      </c>
      <c r="E146" s="160">
        <v>37128</v>
      </c>
      <c r="F146" s="160">
        <v>2193</v>
      </c>
    </row>
    <row r="147" spans="1:6">
      <c r="A147" s="160">
        <v>100</v>
      </c>
      <c r="B147" s="160" t="s">
        <v>518</v>
      </c>
      <c r="C147" s="160">
        <v>0</v>
      </c>
      <c r="D147" s="160">
        <v>8</v>
      </c>
      <c r="E147" s="160">
        <v>0</v>
      </c>
      <c r="F147" s="160">
        <v>205</v>
      </c>
    </row>
    <row r="148" spans="1:6">
      <c r="A148" s="160">
        <v>100</v>
      </c>
      <c r="B148" s="160" t="s">
        <v>387</v>
      </c>
      <c r="C148" s="160">
        <v>21224</v>
      </c>
      <c r="D148" s="160">
        <v>152</v>
      </c>
      <c r="E148" s="160">
        <v>14323</v>
      </c>
      <c r="F148" s="160">
        <v>309</v>
      </c>
    </row>
    <row r="149" spans="1:6">
      <c r="A149" s="160">
        <v>100</v>
      </c>
      <c r="B149" s="160" t="s">
        <v>386</v>
      </c>
      <c r="C149" s="160">
        <v>477117</v>
      </c>
      <c r="D149" s="160">
        <v>2122</v>
      </c>
      <c r="E149" s="160">
        <v>206684</v>
      </c>
      <c r="F149" s="160">
        <v>21114</v>
      </c>
    </row>
    <row r="150" spans="1:6">
      <c r="A150" s="160">
        <v>100</v>
      </c>
      <c r="B150" s="160" t="s">
        <v>483</v>
      </c>
      <c r="C150" s="160">
        <v>32373</v>
      </c>
      <c r="D150" s="160">
        <v>146</v>
      </c>
      <c r="E150" s="160">
        <v>21848</v>
      </c>
      <c r="F150" s="160">
        <v>1666</v>
      </c>
    </row>
    <row r="151" spans="1:6">
      <c r="A151" s="160">
        <v>100</v>
      </c>
      <c r="B151" s="160" t="s">
        <v>385</v>
      </c>
      <c r="C151" s="160">
        <v>167614</v>
      </c>
      <c r="D151" s="160">
        <v>522</v>
      </c>
      <c r="E151" s="160">
        <v>69173</v>
      </c>
      <c r="F151" s="160">
        <v>11880</v>
      </c>
    </row>
    <row r="152" spans="1:6">
      <c r="A152" s="160">
        <v>100</v>
      </c>
      <c r="B152" s="160" t="s">
        <v>482</v>
      </c>
      <c r="C152" s="160">
        <v>0</v>
      </c>
      <c r="D152" s="160">
        <v>14</v>
      </c>
      <c r="E152" s="160">
        <v>0</v>
      </c>
      <c r="F152" s="160">
        <v>149</v>
      </c>
    </row>
    <row r="153" spans="1:6">
      <c r="A153" s="160">
        <v>100</v>
      </c>
      <c r="B153" s="160" t="s">
        <v>384</v>
      </c>
      <c r="C153" s="160">
        <v>141834</v>
      </c>
      <c r="D153" s="160">
        <v>556</v>
      </c>
      <c r="E153" s="160">
        <v>73970</v>
      </c>
      <c r="F153" s="160">
        <v>7781</v>
      </c>
    </row>
    <row r="154" spans="1:6">
      <c r="A154" s="160">
        <v>100</v>
      </c>
      <c r="B154" s="160" t="s">
        <v>383</v>
      </c>
      <c r="C154" s="160">
        <v>0</v>
      </c>
      <c r="D154" s="160">
        <v>424</v>
      </c>
      <c r="E154" s="160">
        <v>0</v>
      </c>
      <c r="F154" s="160">
        <v>3664</v>
      </c>
    </row>
    <row r="155" spans="1:6">
      <c r="A155" s="160">
        <v>100</v>
      </c>
      <c r="B155" s="160" t="s">
        <v>875</v>
      </c>
      <c r="C155" s="160">
        <v>0</v>
      </c>
      <c r="D155" s="160">
        <v>2</v>
      </c>
      <c r="E155" s="160">
        <v>0</v>
      </c>
      <c r="F155" s="160">
        <v>21</v>
      </c>
    </row>
    <row r="156" spans="1:6">
      <c r="A156" s="160">
        <v>100</v>
      </c>
      <c r="B156" s="160" t="s">
        <v>514</v>
      </c>
      <c r="C156" s="160">
        <v>0</v>
      </c>
      <c r="D156" s="160">
        <v>2</v>
      </c>
      <c r="E156" s="160">
        <v>0</v>
      </c>
      <c r="F156" s="160">
        <v>32</v>
      </c>
    </row>
    <row r="157" spans="1:6">
      <c r="A157" s="160">
        <v>100</v>
      </c>
      <c r="B157" s="160" t="s">
        <v>876</v>
      </c>
      <c r="C157" s="160">
        <v>0</v>
      </c>
      <c r="D157" s="160">
        <v>3</v>
      </c>
      <c r="E157" s="160">
        <v>0</v>
      </c>
      <c r="F157" s="160">
        <v>21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4.4"/>
  <cols>
    <col min="1" max="1" width="5" style="160" bestFit="1" customWidth="1"/>
    <col min="2" max="2" width="38.44140625" style="160" bestFit="1" customWidth="1"/>
    <col min="3" max="3" width="9.44140625" style="160" bestFit="1" customWidth="1"/>
    <col min="4" max="4" width="8.33203125" style="160" bestFit="1" customWidth="1"/>
    <col min="5" max="5" width="9.44140625" style="160" bestFit="1" customWidth="1"/>
    <col min="6" max="6" width="8.44140625" style="160" bestFit="1" customWidth="1"/>
    <col min="7" max="16384" width="31" style="160"/>
  </cols>
  <sheetData>
    <row r="1" spans="1:6">
      <c r="A1" s="159" t="s">
        <v>843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</row>
    <row r="2" spans="1:6">
      <c r="A2" s="160">
        <v>0</v>
      </c>
      <c r="B2" s="160" t="s">
        <v>372</v>
      </c>
      <c r="C2" s="160">
        <v>91113062</v>
      </c>
      <c r="D2" s="160">
        <v>556828</v>
      </c>
      <c r="E2" s="160">
        <v>70003126</v>
      </c>
      <c r="F2" s="160">
        <v>3829409</v>
      </c>
    </row>
    <row r="3" spans="1:6">
      <c r="A3" s="160">
        <v>1</v>
      </c>
      <c r="B3" s="160" t="s">
        <v>877</v>
      </c>
      <c r="C3" s="160">
        <v>8383491</v>
      </c>
      <c r="D3" s="160">
        <v>50805</v>
      </c>
      <c r="E3" s="160">
        <v>6333784</v>
      </c>
      <c r="F3" s="160">
        <v>338624</v>
      </c>
    </row>
    <row r="4" spans="1:6">
      <c r="A4" s="160">
        <v>1</v>
      </c>
      <c r="B4" s="160" t="s">
        <v>878</v>
      </c>
      <c r="C4" s="160">
        <v>8162415</v>
      </c>
      <c r="D4" s="160">
        <v>50162</v>
      </c>
      <c r="E4" s="160">
        <v>6967216</v>
      </c>
      <c r="F4" s="160">
        <v>333780</v>
      </c>
    </row>
    <row r="5" spans="1:6">
      <c r="A5" s="160">
        <v>1</v>
      </c>
      <c r="B5" s="160" t="s">
        <v>879</v>
      </c>
      <c r="C5" s="160">
        <v>8591555</v>
      </c>
      <c r="D5" s="160">
        <v>51799</v>
      </c>
      <c r="E5" s="160">
        <v>6941412</v>
      </c>
      <c r="F5" s="160">
        <v>337273</v>
      </c>
    </row>
    <row r="6" spans="1:6">
      <c r="A6" s="160">
        <v>1</v>
      </c>
      <c r="B6" s="160" t="s">
        <v>880</v>
      </c>
      <c r="C6" s="160">
        <v>7358233</v>
      </c>
      <c r="D6" s="160">
        <v>45085</v>
      </c>
      <c r="E6" s="160">
        <v>5405895</v>
      </c>
      <c r="F6" s="160">
        <v>329432</v>
      </c>
    </row>
    <row r="7" spans="1:6">
      <c r="A7" s="160">
        <v>1</v>
      </c>
      <c r="B7" s="160" t="s">
        <v>881</v>
      </c>
      <c r="C7" s="160">
        <v>7759844</v>
      </c>
      <c r="D7" s="160">
        <v>46676</v>
      </c>
      <c r="E7" s="160">
        <v>5781112</v>
      </c>
      <c r="F7" s="160">
        <v>316233</v>
      </c>
    </row>
    <row r="8" spans="1:6">
      <c r="A8" s="160">
        <v>1</v>
      </c>
      <c r="B8" s="160" t="s">
        <v>882</v>
      </c>
      <c r="C8" s="160">
        <v>8386173</v>
      </c>
      <c r="D8" s="160">
        <v>49781</v>
      </c>
      <c r="E8" s="160">
        <v>6186936</v>
      </c>
      <c r="F8" s="160">
        <v>327380</v>
      </c>
    </row>
    <row r="9" spans="1:6">
      <c r="A9" s="160">
        <v>1</v>
      </c>
      <c r="B9" s="160" t="s">
        <v>883</v>
      </c>
      <c r="C9" s="160">
        <v>8006419</v>
      </c>
      <c r="D9" s="160">
        <v>48165</v>
      </c>
      <c r="E9" s="160">
        <v>6377291</v>
      </c>
      <c r="F9" s="160">
        <v>316819</v>
      </c>
    </row>
    <row r="10" spans="1:6">
      <c r="A10" s="160">
        <v>1</v>
      </c>
      <c r="B10" s="160" t="s">
        <v>884</v>
      </c>
      <c r="C10" s="160">
        <v>8435829</v>
      </c>
      <c r="D10" s="160">
        <v>50636</v>
      </c>
      <c r="E10" s="160">
        <v>6491440</v>
      </c>
      <c r="F10" s="160">
        <v>321616</v>
      </c>
    </row>
    <row r="11" spans="1:6">
      <c r="A11" s="160">
        <v>1</v>
      </c>
      <c r="B11" s="160" t="s">
        <v>885</v>
      </c>
      <c r="C11" s="160">
        <v>8083175</v>
      </c>
      <c r="D11" s="160">
        <v>49438</v>
      </c>
      <c r="E11" s="160">
        <v>6180787</v>
      </c>
      <c r="F11" s="160">
        <v>318845</v>
      </c>
    </row>
    <row r="12" spans="1:6">
      <c r="A12" s="160">
        <v>1</v>
      </c>
      <c r="B12" s="160" t="s">
        <v>886</v>
      </c>
      <c r="C12" s="160">
        <v>7198956</v>
      </c>
      <c r="D12" s="160">
        <v>45502</v>
      </c>
      <c r="E12" s="160">
        <v>5401925</v>
      </c>
      <c r="F12" s="160">
        <v>325946</v>
      </c>
    </row>
    <row r="13" spans="1:6">
      <c r="A13" s="160">
        <v>1</v>
      </c>
      <c r="B13" s="160" t="s">
        <v>887</v>
      </c>
      <c r="C13" s="160">
        <v>6325161</v>
      </c>
      <c r="D13" s="160">
        <v>39096</v>
      </c>
      <c r="E13" s="160">
        <v>4796571</v>
      </c>
      <c r="F13" s="160">
        <v>273906</v>
      </c>
    </row>
    <row r="14" spans="1:6">
      <c r="A14" s="160">
        <v>1</v>
      </c>
      <c r="B14" s="160" t="s">
        <v>888</v>
      </c>
      <c r="C14" s="160">
        <v>4421811</v>
      </c>
      <c r="D14" s="160">
        <v>29683</v>
      </c>
      <c r="E14" s="160">
        <v>3138757</v>
      </c>
      <c r="F14" s="160">
        <v>289556</v>
      </c>
    </row>
    <row r="15" spans="1:6" s="161" customFormat="1">
      <c r="A15" s="161">
        <v>2</v>
      </c>
      <c r="B15" s="161" t="s">
        <v>373</v>
      </c>
      <c r="C15" s="161">
        <v>87172330</v>
      </c>
      <c r="D15" s="161">
        <v>498205</v>
      </c>
      <c r="E15" s="161">
        <v>68628366</v>
      </c>
      <c r="F15" s="161">
        <v>2779004</v>
      </c>
    </row>
    <row r="16" spans="1:6">
      <c r="A16" s="160">
        <v>3</v>
      </c>
      <c r="B16" s="160" t="s">
        <v>374</v>
      </c>
      <c r="C16" s="160">
        <v>16047534</v>
      </c>
      <c r="D16" s="160">
        <v>115097</v>
      </c>
      <c r="E16" s="160">
        <v>10748954</v>
      </c>
      <c r="F16" s="160">
        <v>1737216</v>
      </c>
    </row>
    <row r="17" spans="1:6">
      <c r="A17" s="160">
        <v>4</v>
      </c>
      <c r="B17" s="160" t="s">
        <v>375</v>
      </c>
      <c r="C17" s="160">
        <v>13690597</v>
      </c>
      <c r="D17" s="160">
        <v>80680</v>
      </c>
      <c r="E17" s="160">
        <v>9673464</v>
      </c>
      <c r="F17" s="160">
        <v>808797</v>
      </c>
    </row>
    <row r="18" spans="1:6">
      <c r="A18" s="160">
        <v>5</v>
      </c>
      <c r="B18" s="160" t="s">
        <v>376</v>
      </c>
      <c r="C18" s="160">
        <v>14763357</v>
      </c>
      <c r="D18" s="160">
        <v>78587</v>
      </c>
      <c r="E18" s="160">
        <v>13056191</v>
      </c>
      <c r="F18" s="160">
        <v>51389</v>
      </c>
    </row>
    <row r="19" spans="1:6">
      <c r="A19" s="160">
        <v>6</v>
      </c>
      <c r="B19" s="160" t="s">
        <v>377</v>
      </c>
      <c r="C19" s="160">
        <v>14679946</v>
      </c>
      <c r="D19" s="160">
        <v>77488</v>
      </c>
      <c r="E19" s="160">
        <v>11731561</v>
      </c>
      <c r="F19" s="160">
        <v>54885</v>
      </c>
    </row>
    <row r="20" spans="1:6">
      <c r="A20" s="160">
        <v>7</v>
      </c>
      <c r="B20" s="160" t="s">
        <v>378</v>
      </c>
      <c r="C20" s="160">
        <v>11353279</v>
      </c>
      <c r="D20" s="160">
        <v>57286</v>
      </c>
      <c r="E20" s="160">
        <v>9009003</v>
      </c>
      <c r="F20" s="160">
        <v>41966</v>
      </c>
    </row>
    <row r="21" spans="1:6">
      <c r="A21" s="160">
        <v>9</v>
      </c>
      <c r="B21" s="160" t="s">
        <v>380</v>
      </c>
      <c r="C21" s="160">
        <v>11774889</v>
      </c>
      <c r="D21" s="160">
        <v>62672</v>
      </c>
      <c r="E21" s="160">
        <v>10321021</v>
      </c>
      <c r="F21" s="160">
        <v>44463</v>
      </c>
    </row>
    <row r="22" spans="1:6">
      <c r="A22" s="160">
        <v>10</v>
      </c>
      <c r="B22" s="160" t="s">
        <v>856</v>
      </c>
      <c r="C22" s="160">
        <v>0</v>
      </c>
      <c r="D22" s="160">
        <v>2384</v>
      </c>
      <c r="E22" s="160">
        <v>0</v>
      </c>
      <c r="F22" s="160">
        <v>26174</v>
      </c>
    </row>
    <row r="23" spans="1:6">
      <c r="A23" s="160">
        <v>11</v>
      </c>
      <c r="B23" s="160" t="s">
        <v>381</v>
      </c>
      <c r="C23" s="160">
        <v>3664990</v>
      </c>
      <c r="D23" s="160">
        <v>17922</v>
      </c>
      <c r="E23" s="160">
        <v>3378124</v>
      </c>
      <c r="F23" s="160">
        <v>10343</v>
      </c>
    </row>
    <row r="24" spans="1:6">
      <c r="A24" s="160">
        <v>12</v>
      </c>
      <c r="B24" s="160" t="s">
        <v>511</v>
      </c>
      <c r="C24" s="160">
        <v>202086</v>
      </c>
      <c r="D24" s="160">
        <v>657</v>
      </c>
      <c r="E24" s="160">
        <v>163554</v>
      </c>
      <c r="F24" s="160">
        <v>662</v>
      </c>
    </row>
    <row r="25" spans="1:6">
      <c r="A25" s="160">
        <v>13</v>
      </c>
      <c r="B25" s="160" t="s">
        <v>510</v>
      </c>
      <c r="C25" s="160">
        <v>510120</v>
      </c>
      <c r="D25" s="160">
        <v>2834</v>
      </c>
      <c r="E25" s="160">
        <v>272786</v>
      </c>
      <c r="F25" s="160">
        <v>1535</v>
      </c>
    </row>
    <row r="26" spans="1:6">
      <c r="A26" s="160">
        <v>14</v>
      </c>
      <c r="B26" s="160" t="s">
        <v>857</v>
      </c>
      <c r="C26" s="160">
        <v>485532</v>
      </c>
      <c r="D26" s="160">
        <v>2598</v>
      </c>
      <c r="E26" s="160">
        <v>273708</v>
      </c>
      <c r="F26" s="160">
        <v>1575</v>
      </c>
    </row>
    <row r="27" spans="1:6">
      <c r="A27" s="160">
        <v>99</v>
      </c>
      <c r="B27" s="160" t="s">
        <v>382</v>
      </c>
      <c r="C27" s="160">
        <v>3940732</v>
      </c>
      <c r="D27" s="160">
        <v>58623</v>
      </c>
      <c r="E27" s="160">
        <v>1374760</v>
      </c>
      <c r="F27" s="160">
        <v>1050405</v>
      </c>
    </row>
    <row r="28" spans="1:6">
      <c r="A28" s="160">
        <v>100</v>
      </c>
      <c r="B28" s="160" t="s">
        <v>481</v>
      </c>
      <c r="C28" s="160">
        <v>0</v>
      </c>
      <c r="D28" s="160">
        <v>200</v>
      </c>
      <c r="E28" s="160">
        <v>0</v>
      </c>
      <c r="F28" s="160">
        <v>3941</v>
      </c>
    </row>
    <row r="29" spans="1:6">
      <c r="A29" s="160">
        <v>100</v>
      </c>
      <c r="B29" s="160" t="s">
        <v>508</v>
      </c>
      <c r="C29" s="160">
        <v>0</v>
      </c>
      <c r="D29" s="160">
        <v>285</v>
      </c>
      <c r="E29" s="160">
        <v>0</v>
      </c>
      <c r="F29" s="160">
        <v>884</v>
      </c>
    </row>
    <row r="30" spans="1:6">
      <c r="A30" s="160">
        <v>100</v>
      </c>
      <c r="B30" s="160" t="s">
        <v>532</v>
      </c>
      <c r="C30" s="160">
        <v>0</v>
      </c>
      <c r="D30" s="160">
        <v>6</v>
      </c>
      <c r="E30" s="160">
        <v>0</v>
      </c>
      <c r="F30" s="160">
        <v>53</v>
      </c>
    </row>
    <row r="31" spans="1:6">
      <c r="A31" s="160">
        <v>100</v>
      </c>
      <c r="B31" s="160" t="s">
        <v>479</v>
      </c>
      <c r="C31" s="160">
        <v>66904</v>
      </c>
      <c r="D31" s="160">
        <v>398</v>
      </c>
      <c r="E31" s="160">
        <v>19731</v>
      </c>
      <c r="F31" s="160">
        <v>5637</v>
      </c>
    </row>
    <row r="32" spans="1:6">
      <c r="A32" s="160">
        <v>100</v>
      </c>
      <c r="B32" s="160" t="s">
        <v>478</v>
      </c>
      <c r="C32" s="160">
        <v>15977</v>
      </c>
      <c r="D32" s="160">
        <v>294</v>
      </c>
      <c r="E32" s="160">
        <v>3283</v>
      </c>
      <c r="F32" s="160">
        <v>3634</v>
      </c>
    </row>
    <row r="33" spans="1:6">
      <c r="A33" s="160">
        <v>100</v>
      </c>
      <c r="B33" s="160" t="s">
        <v>476</v>
      </c>
      <c r="C33" s="160">
        <v>114103</v>
      </c>
      <c r="D33" s="160">
        <v>585</v>
      </c>
      <c r="E33" s="160">
        <v>23116</v>
      </c>
      <c r="F33" s="160">
        <v>14817</v>
      </c>
    </row>
    <row r="34" spans="1:6">
      <c r="A34" s="160">
        <v>100</v>
      </c>
      <c r="B34" s="160" t="s">
        <v>474</v>
      </c>
      <c r="C34" s="160">
        <v>121715</v>
      </c>
      <c r="D34" s="160">
        <v>359</v>
      </c>
      <c r="E34" s="160">
        <v>31246</v>
      </c>
      <c r="F34" s="160">
        <v>9042</v>
      </c>
    </row>
    <row r="35" spans="1:6">
      <c r="A35" s="160">
        <v>100</v>
      </c>
      <c r="B35" s="160" t="s">
        <v>473</v>
      </c>
      <c r="C35" s="160">
        <v>106344</v>
      </c>
      <c r="D35" s="160">
        <v>431</v>
      </c>
      <c r="E35" s="160">
        <v>48870</v>
      </c>
      <c r="F35" s="160">
        <v>5464</v>
      </c>
    </row>
    <row r="36" spans="1:6">
      <c r="A36" s="160">
        <v>100</v>
      </c>
      <c r="B36" s="160" t="s">
        <v>472</v>
      </c>
      <c r="C36" s="160">
        <v>0</v>
      </c>
      <c r="D36" s="160">
        <v>3709</v>
      </c>
      <c r="E36" s="160">
        <v>0</v>
      </c>
      <c r="F36" s="160">
        <v>112073</v>
      </c>
    </row>
    <row r="37" spans="1:6">
      <c r="A37" s="160">
        <v>100</v>
      </c>
      <c r="B37" s="160" t="s">
        <v>471</v>
      </c>
      <c r="C37" s="160">
        <v>0</v>
      </c>
      <c r="D37" s="160">
        <v>2902</v>
      </c>
      <c r="E37" s="160">
        <v>0</v>
      </c>
      <c r="F37" s="160">
        <v>66689</v>
      </c>
    </row>
    <row r="38" spans="1:6">
      <c r="A38" s="160">
        <v>100</v>
      </c>
      <c r="B38" s="160" t="s">
        <v>504</v>
      </c>
      <c r="C38" s="160">
        <v>0</v>
      </c>
      <c r="D38" s="160">
        <v>1274</v>
      </c>
      <c r="E38" s="160">
        <v>0</v>
      </c>
      <c r="F38" s="160">
        <v>12484</v>
      </c>
    </row>
    <row r="39" spans="1:6">
      <c r="A39" s="160">
        <v>100</v>
      </c>
      <c r="B39" s="160" t="s">
        <v>468</v>
      </c>
      <c r="C39" s="160">
        <v>112029</v>
      </c>
      <c r="D39" s="160">
        <v>702</v>
      </c>
      <c r="E39" s="160">
        <v>47814</v>
      </c>
      <c r="F39" s="160">
        <v>26213</v>
      </c>
    </row>
    <row r="40" spans="1:6">
      <c r="A40" s="160">
        <v>100</v>
      </c>
      <c r="B40" s="160" t="s">
        <v>467</v>
      </c>
      <c r="C40" s="160">
        <v>88375</v>
      </c>
      <c r="D40" s="160">
        <v>538</v>
      </c>
      <c r="E40" s="160">
        <v>17560</v>
      </c>
      <c r="F40" s="160">
        <v>11860</v>
      </c>
    </row>
    <row r="41" spans="1:6">
      <c r="A41" s="160">
        <v>100</v>
      </c>
      <c r="B41" s="160" t="s">
        <v>466</v>
      </c>
      <c r="C41" s="160">
        <v>0</v>
      </c>
      <c r="D41" s="160">
        <v>56</v>
      </c>
      <c r="E41" s="160">
        <v>0</v>
      </c>
      <c r="F41" s="160">
        <v>1299</v>
      </c>
    </row>
    <row r="42" spans="1:6">
      <c r="A42" s="160">
        <v>100</v>
      </c>
      <c r="B42" s="160" t="s">
        <v>463</v>
      </c>
      <c r="C42" s="160">
        <v>24314</v>
      </c>
      <c r="D42" s="160">
        <v>628</v>
      </c>
      <c r="E42" s="160">
        <v>3723</v>
      </c>
      <c r="F42" s="160">
        <v>13877</v>
      </c>
    </row>
    <row r="43" spans="1:6">
      <c r="A43" s="160">
        <v>100</v>
      </c>
      <c r="B43" s="160" t="s">
        <v>531</v>
      </c>
      <c r="C43" s="160">
        <v>0</v>
      </c>
      <c r="D43" s="160">
        <v>28</v>
      </c>
      <c r="E43" s="160">
        <v>0</v>
      </c>
      <c r="F43" s="160">
        <v>118</v>
      </c>
    </row>
    <row r="44" spans="1:6">
      <c r="A44" s="160">
        <v>100</v>
      </c>
      <c r="B44" s="160" t="s">
        <v>462</v>
      </c>
      <c r="C44" s="160">
        <v>0</v>
      </c>
      <c r="D44" s="160">
        <v>3615</v>
      </c>
      <c r="E44" s="160">
        <v>0</v>
      </c>
      <c r="F44" s="160">
        <v>17764</v>
      </c>
    </row>
    <row r="45" spans="1:6">
      <c r="A45" s="160">
        <v>100</v>
      </c>
      <c r="B45" s="160" t="s">
        <v>461</v>
      </c>
      <c r="C45" s="160">
        <v>261208</v>
      </c>
      <c r="D45" s="160">
        <v>1240</v>
      </c>
      <c r="E45" s="160">
        <v>97216</v>
      </c>
      <c r="F45" s="160">
        <v>59743</v>
      </c>
    </row>
    <row r="46" spans="1:6">
      <c r="A46" s="160">
        <v>100</v>
      </c>
      <c r="B46" s="160" t="s">
        <v>460</v>
      </c>
      <c r="C46" s="160">
        <v>0</v>
      </c>
      <c r="D46" s="160">
        <v>404</v>
      </c>
      <c r="E46" s="160">
        <v>0</v>
      </c>
      <c r="F46" s="160">
        <v>21404</v>
      </c>
    </row>
    <row r="47" spans="1:6">
      <c r="A47" s="160">
        <v>100</v>
      </c>
      <c r="B47" s="160" t="s">
        <v>459</v>
      </c>
      <c r="C47" s="160">
        <v>0</v>
      </c>
      <c r="D47" s="160">
        <v>156</v>
      </c>
      <c r="E47" s="160">
        <v>0</v>
      </c>
      <c r="F47" s="160">
        <v>6231</v>
      </c>
    </row>
    <row r="48" spans="1:6">
      <c r="A48" s="160">
        <v>100</v>
      </c>
      <c r="B48" s="160" t="s">
        <v>458</v>
      </c>
      <c r="C48" s="160">
        <v>37580</v>
      </c>
      <c r="D48" s="160">
        <v>210</v>
      </c>
      <c r="E48" s="160">
        <v>17983</v>
      </c>
      <c r="F48" s="160">
        <v>552</v>
      </c>
    </row>
    <row r="49" spans="1:6">
      <c r="A49" s="160">
        <v>100</v>
      </c>
      <c r="B49" s="160" t="s">
        <v>457</v>
      </c>
      <c r="C49" s="160">
        <v>27628</v>
      </c>
      <c r="D49" s="160">
        <v>142</v>
      </c>
      <c r="E49" s="160">
        <v>16489</v>
      </c>
      <c r="F49" s="160">
        <v>365</v>
      </c>
    </row>
    <row r="50" spans="1:6">
      <c r="A50" s="160">
        <v>100</v>
      </c>
      <c r="B50" s="160" t="s">
        <v>530</v>
      </c>
      <c r="C50" s="160">
        <v>86130</v>
      </c>
      <c r="D50" s="160">
        <v>560</v>
      </c>
      <c r="E50" s="160">
        <v>6354</v>
      </c>
      <c r="F50" s="160">
        <v>6179</v>
      </c>
    </row>
    <row r="51" spans="1:6">
      <c r="A51" s="160">
        <v>100</v>
      </c>
      <c r="B51" s="160" t="s">
        <v>453</v>
      </c>
      <c r="C51" s="160">
        <v>15084</v>
      </c>
      <c r="D51" s="160">
        <v>1176</v>
      </c>
      <c r="E51" s="160">
        <v>763</v>
      </c>
      <c r="F51" s="160">
        <v>18191</v>
      </c>
    </row>
    <row r="52" spans="1:6">
      <c r="A52" s="160">
        <v>100</v>
      </c>
      <c r="B52" s="160" t="s">
        <v>452</v>
      </c>
      <c r="C52" s="160">
        <v>0</v>
      </c>
      <c r="D52" s="160">
        <v>570</v>
      </c>
      <c r="E52" s="160">
        <v>0</v>
      </c>
      <c r="F52" s="160">
        <v>42693</v>
      </c>
    </row>
    <row r="53" spans="1:6">
      <c r="A53" s="160">
        <v>100</v>
      </c>
      <c r="B53" s="160" t="s">
        <v>451</v>
      </c>
      <c r="C53" s="160">
        <v>32508</v>
      </c>
      <c r="D53" s="160">
        <v>174</v>
      </c>
      <c r="E53" s="160">
        <v>13028</v>
      </c>
      <c r="F53" s="160">
        <v>629</v>
      </c>
    </row>
    <row r="54" spans="1:6">
      <c r="A54" s="160">
        <v>100</v>
      </c>
      <c r="B54" s="160" t="s">
        <v>450</v>
      </c>
      <c r="C54" s="160">
        <v>0</v>
      </c>
      <c r="D54" s="160">
        <v>758</v>
      </c>
      <c r="E54" s="160">
        <v>0</v>
      </c>
      <c r="F54" s="160">
        <v>7340</v>
      </c>
    </row>
    <row r="55" spans="1:6">
      <c r="A55" s="160">
        <v>100</v>
      </c>
      <c r="B55" s="160" t="s">
        <v>449</v>
      </c>
      <c r="C55" s="160">
        <v>14522</v>
      </c>
      <c r="D55" s="160">
        <v>84</v>
      </c>
      <c r="E55" s="160">
        <v>7733</v>
      </c>
      <c r="F55" s="160">
        <v>274</v>
      </c>
    </row>
    <row r="56" spans="1:6">
      <c r="A56" s="160">
        <v>100</v>
      </c>
      <c r="B56" s="160" t="s">
        <v>448</v>
      </c>
      <c r="C56" s="160">
        <v>0</v>
      </c>
      <c r="D56" s="160">
        <v>2</v>
      </c>
      <c r="E56" s="160">
        <v>0</v>
      </c>
      <c r="F56" s="160">
        <v>8</v>
      </c>
    </row>
    <row r="57" spans="1:6">
      <c r="A57" s="160">
        <v>100</v>
      </c>
      <c r="B57" s="160" t="s">
        <v>446</v>
      </c>
      <c r="C57" s="160">
        <v>37920</v>
      </c>
      <c r="D57" s="160">
        <v>1058</v>
      </c>
      <c r="E57" s="160">
        <v>27060</v>
      </c>
      <c r="F57" s="160">
        <v>13051</v>
      </c>
    </row>
    <row r="58" spans="1:6">
      <c r="A58" s="160">
        <v>100</v>
      </c>
      <c r="B58" s="160" t="s">
        <v>445</v>
      </c>
      <c r="C58" s="160">
        <v>60028</v>
      </c>
      <c r="D58" s="160">
        <v>256</v>
      </c>
      <c r="E58" s="160">
        <v>35173</v>
      </c>
      <c r="F58" s="160">
        <v>2822</v>
      </c>
    </row>
    <row r="59" spans="1:6">
      <c r="A59" s="160">
        <v>100</v>
      </c>
      <c r="B59" s="160" t="s">
        <v>443</v>
      </c>
      <c r="C59" s="160">
        <v>43520</v>
      </c>
      <c r="D59" s="160">
        <v>528</v>
      </c>
      <c r="E59" s="160">
        <v>22295</v>
      </c>
      <c r="F59" s="160">
        <v>6143</v>
      </c>
    </row>
    <row r="60" spans="1:6">
      <c r="A60" s="160">
        <v>100</v>
      </c>
      <c r="B60" s="160" t="s">
        <v>442</v>
      </c>
      <c r="C60" s="160">
        <v>1302</v>
      </c>
      <c r="D60" s="160">
        <v>14</v>
      </c>
      <c r="E60" s="160">
        <v>1049</v>
      </c>
      <c r="F60" s="160">
        <v>37</v>
      </c>
    </row>
    <row r="61" spans="1:6">
      <c r="A61" s="160">
        <v>100</v>
      </c>
      <c r="B61" s="160" t="s">
        <v>441</v>
      </c>
      <c r="C61" s="160">
        <v>0</v>
      </c>
      <c r="D61" s="160">
        <v>532</v>
      </c>
      <c r="E61" s="160">
        <v>0</v>
      </c>
      <c r="F61" s="160">
        <v>17514</v>
      </c>
    </row>
    <row r="62" spans="1:6">
      <c r="A62" s="160">
        <v>100</v>
      </c>
      <c r="B62" s="160" t="s">
        <v>440</v>
      </c>
      <c r="C62" s="160">
        <v>0</v>
      </c>
      <c r="D62" s="160">
        <v>24</v>
      </c>
      <c r="E62" s="160">
        <v>0</v>
      </c>
      <c r="F62" s="160">
        <v>193</v>
      </c>
    </row>
    <row r="63" spans="1:6">
      <c r="A63" s="160">
        <v>100</v>
      </c>
      <c r="B63" s="160" t="s">
        <v>439</v>
      </c>
      <c r="C63" s="160">
        <v>3328</v>
      </c>
      <c r="D63" s="160">
        <v>141</v>
      </c>
      <c r="E63" s="160">
        <v>1908</v>
      </c>
      <c r="F63" s="160">
        <v>1232</v>
      </c>
    </row>
    <row r="64" spans="1:6">
      <c r="A64" s="160">
        <v>100</v>
      </c>
      <c r="B64" s="160" t="s">
        <v>437</v>
      </c>
      <c r="C64" s="160">
        <v>0</v>
      </c>
      <c r="D64" s="160">
        <v>4902</v>
      </c>
      <c r="E64" s="160">
        <v>0</v>
      </c>
      <c r="F64" s="160">
        <v>46804</v>
      </c>
    </row>
    <row r="65" spans="1:6">
      <c r="A65" s="160">
        <v>100</v>
      </c>
      <c r="B65" s="160" t="s">
        <v>435</v>
      </c>
      <c r="C65" s="160">
        <v>143954</v>
      </c>
      <c r="D65" s="160">
        <v>832</v>
      </c>
      <c r="E65" s="160">
        <v>59305</v>
      </c>
      <c r="F65" s="160">
        <v>13651</v>
      </c>
    </row>
    <row r="66" spans="1:6">
      <c r="A66" s="160">
        <v>100</v>
      </c>
      <c r="B66" s="160" t="s">
        <v>529</v>
      </c>
      <c r="C66" s="160">
        <v>0</v>
      </c>
      <c r="D66" s="160">
        <v>2</v>
      </c>
      <c r="E66" s="160">
        <v>0</v>
      </c>
      <c r="F66" s="160">
        <v>27</v>
      </c>
    </row>
    <row r="67" spans="1:6">
      <c r="A67" s="160">
        <v>100</v>
      </c>
      <c r="B67" s="160" t="s">
        <v>434</v>
      </c>
      <c r="C67" s="160">
        <v>0</v>
      </c>
      <c r="D67" s="160">
        <v>492</v>
      </c>
      <c r="E67" s="160">
        <v>0</v>
      </c>
      <c r="F67" s="160">
        <v>1470</v>
      </c>
    </row>
    <row r="68" spans="1:6">
      <c r="A68" s="160">
        <v>100</v>
      </c>
      <c r="B68" s="160" t="s">
        <v>528</v>
      </c>
      <c r="C68" s="160">
        <v>15317</v>
      </c>
      <c r="D68" s="160">
        <v>68</v>
      </c>
      <c r="E68" s="160">
        <v>5777</v>
      </c>
      <c r="F68" s="160">
        <v>774</v>
      </c>
    </row>
    <row r="69" spans="1:6">
      <c r="A69" s="160">
        <v>100</v>
      </c>
      <c r="B69" s="160" t="s">
        <v>527</v>
      </c>
      <c r="C69" s="160">
        <v>0</v>
      </c>
      <c r="D69" s="160">
        <v>1</v>
      </c>
      <c r="E69" s="160">
        <v>0</v>
      </c>
      <c r="F69" s="160">
        <v>21</v>
      </c>
    </row>
    <row r="70" spans="1:6">
      <c r="A70" s="160">
        <v>100</v>
      </c>
      <c r="B70" s="160" t="s">
        <v>432</v>
      </c>
      <c r="C70" s="160">
        <v>41544</v>
      </c>
      <c r="D70" s="160">
        <v>458</v>
      </c>
      <c r="E70" s="160">
        <v>21493</v>
      </c>
      <c r="F70" s="160">
        <v>6209</v>
      </c>
    </row>
    <row r="71" spans="1:6">
      <c r="A71" s="160">
        <v>100</v>
      </c>
      <c r="B71" s="160" t="s">
        <v>526</v>
      </c>
      <c r="C71" s="160">
        <v>0</v>
      </c>
      <c r="D71" s="160">
        <v>6</v>
      </c>
      <c r="E71" s="160">
        <v>0</v>
      </c>
      <c r="F71" s="160">
        <v>78</v>
      </c>
    </row>
    <row r="72" spans="1:6">
      <c r="A72" s="160">
        <v>100</v>
      </c>
      <c r="B72" s="160" t="s">
        <v>430</v>
      </c>
      <c r="C72" s="160">
        <v>28032</v>
      </c>
      <c r="D72" s="160">
        <v>219</v>
      </c>
      <c r="E72" s="160">
        <v>12418</v>
      </c>
      <c r="F72" s="160">
        <v>321</v>
      </c>
    </row>
    <row r="73" spans="1:6">
      <c r="A73" s="160">
        <v>100</v>
      </c>
      <c r="B73" s="160" t="s">
        <v>429</v>
      </c>
      <c r="C73" s="160">
        <v>0</v>
      </c>
      <c r="D73" s="160">
        <v>32</v>
      </c>
      <c r="E73" s="160">
        <v>0</v>
      </c>
      <c r="F73" s="160">
        <v>415</v>
      </c>
    </row>
    <row r="74" spans="1:6">
      <c r="A74" s="160">
        <v>100</v>
      </c>
      <c r="B74" s="160" t="s">
        <v>497</v>
      </c>
      <c r="C74" s="160">
        <v>0</v>
      </c>
      <c r="D74" s="160">
        <v>10</v>
      </c>
      <c r="E74" s="160">
        <v>0</v>
      </c>
      <c r="F74" s="160">
        <v>109</v>
      </c>
    </row>
    <row r="75" spans="1:6">
      <c r="A75" s="160">
        <v>100</v>
      </c>
      <c r="B75" s="160" t="s">
        <v>428</v>
      </c>
      <c r="C75" s="160">
        <v>218141</v>
      </c>
      <c r="D75" s="160">
        <v>774</v>
      </c>
      <c r="E75" s="160">
        <v>46723</v>
      </c>
      <c r="F75" s="160">
        <v>15296</v>
      </c>
    </row>
    <row r="76" spans="1:6">
      <c r="A76" s="160">
        <v>100</v>
      </c>
      <c r="B76" s="160" t="s">
        <v>427</v>
      </c>
      <c r="C76" s="160">
        <v>156750</v>
      </c>
      <c r="D76" s="160">
        <v>838</v>
      </c>
      <c r="E76" s="160">
        <v>18493</v>
      </c>
      <c r="F76" s="160">
        <v>15832</v>
      </c>
    </row>
    <row r="77" spans="1:6">
      <c r="A77" s="160">
        <v>100</v>
      </c>
      <c r="B77" s="160" t="s">
        <v>426</v>
      </c>
      <c r="C77" s="160">
        <v>0</v>
      </c>
      <c r="D77" s="160">
        <v>622</v>
      </c>
      <c r="E77" s="160">
        <v>0</v>
      </c>
      <c r="F77" s="160">
        <v>22766</v>
      </c>
    </row>
    <row r="78" spans="1:6">
      <c r="A78" s="160">
        <v>100</v>
      </c>
      <c r="B78" s="160" t="s">
        <v>425</v>
      </c>
      <c r="C78" s="160">
        <v>163716</v>
      </c>
      <c r="D78" s="160">
        <v>1054</v>
      </c>
      <c r="E78" s="160">
        <v>64684</v>
      </c>
      <c r="F78" s="160">
        <v>14409</v>
      </c>
    </row>
    <row r="79" spans="1:6">
      <c r="A79" s="160">
        <v>100</v>
      </c>
      <c r="B79" s="160" t="s">
        <v>859</v>
      </c>
      <c r="C79" s="160">
        <v>0</v>
      </c>
      <c r="D79" s="160">
        <v>98</v>
      </c>
      <c r="E79" s="160">
        <v>0</v>
      </c>
      <c r="F79" s="160">
        <v>3422</v>
      </c>
    </row>
    <row r="80" spans="1:6">
      <c r="A80" s="160">
        <v>100</v>
      </c>
      <c r="B80" s="160" t="s">
        <v>424</v>
      </c>
      <c r="C80" s="160">
        <v>0</v>
      </c>
      <c r="D80" s="160">
        <v>252</v>
      </c>
      <c r="E80" s="160">
        <v>0</v>
      </c>
      <c r="F80" s="160">
        <v>4808</v>
      </c>
    </row>
    <row r="81" spans="1:6">
      <c r="A81" s="160">
        <v>100</v>
      </c>
      <c r="B81" s="160" t="s">
        <v>423</v>
      </c>
      <c r="C81" s="160">
        <v>27274</v>
      </c>
      <c r="D81" s="160">
        <v>154</v>
      </c>
      <c r="E81" s="160">
        <v>17876</v>
      </c>
      <c r="F81" s="160">
        <v>779</v>
      </c>
    </row>
    <row r="82" spans="1:6">
      <c r="A82" s="160">
        <v>100</v>
      </c>
      <c r="B82" s="160" t="s">
        <v>496</v>
      </c>
      <c r="C82" s="160">
        <v>0</v>
      </c>
      <c r="D82" s="160">
        <v>4</v>
      </c>
      <c r="E82" s="160">
        <v>0</v>
      </c>
      <c r="F82" s="160">
        <v>19</v>
      </c>
    </row>
    <row r="83" spans="1:6">
      <c r="A83" s="160">
        <v>100</v>
      </c>
      <c r="B83" s="160" t="s">
        <v>422</v>
      </c>
      <c r="C83" s="160">
        <v>0</v>
      </c>
      <c r="D83" s="160">
        <v>873</v>
      </c>
      <c r="E83" s="160">
        <v>0</v>
      </c>
      <c r="F83" s="160">
        <v>41927</v>
      </c>
    </row>
    <row r="84" spans="1:6">
      <c r="A84" s="160">
        <v>100</v>
      </c>
      <c r="B84" s="160" t="s">
        <v>420</v>
      </c>
      <c r="C84" s="160">
        <v>0</v>
      </c>
      <c r="D84" s="160">
        <v>718</v>
      </c>
      <c r="E84" s="160">
        <v>0</v>
      </c>
      <c r="F84" s="160">
        <v>21617</v>
      </c>
    </row>
    <row r="85" spans="1:6">
      <c r="A85" s="160">
        <v>100</v>
      </c>
      <c r="B85" s="160" t="s">
        <v>419</v>
      </c>
      <c r="C85" s="160">
        <v>44154</v>
      </c>
      <c r="D85" s="160">
        <v>1001</v>
      </c>
      <c r="E85" s="160">
        <v>3125</v>
      </c>
      <c r="F85" s="160">
        <v>15018</v>
      </c>
    </row>
    <row r="86" spans="1:6">
      <c r="A86" s="160">
        <v>100</v>
      </c>
      <c r="B86" s="160" t="s">
        <v>418</v>
      </c>
      <c r="C86" s="160">
        <v>237910</v>
      </c>
      <c r="D86" s="160">
        <v>736</v>
      </c>
      <c r="E86" s="160">
        <v>99307</v>
      </c>
      <c r="F86" s="160">
        <v>18059</v>
      </c>
    </row>
    <row r="87" spans="1:6">
      <c r="A87" s="160">
        <v>100</v>
      </c>
      <c r="B87" s="160" t="s">
        <v>525</v>
      </c>
      <c r="C87" s="160">
        <v>0</v>
      </c>
      <c r="D87" s="160">
        <v>128</v>
      </c>
      <c r="E87" s="160">
        <v>0</v>
      </c>
      <c r="F87" s="160">
        <v>984</v>
      </c>
    </row>
    <row r="88" spans="1:6">
      <c r="A88" s="160">
        <v>100</v>
      </c>
      <c r="B88" s="160" t="s">
        <v>414</v>
      </c>
      <c r="C88" s="160">
        <v>0</v>
      </c>
      <c r="D88" s="160">
        <v>4</v>
      </c>
      <c r="E88" s="160">
        <v>0</v>
      </c>
      <c r="F88" s="160">
        <v>159</v>
      </c>
    </row>
    <row r="89" spans="1:6">
      <c r="A89" s="160">
        <v>100</v>
      </c>
      <c r="B89" s="160" t="s">
        <v>413</v>
      </c>
      <c r="C89" s="160">
        <v>0</v>
      </c>
      <c r="D89" s="160">
        <v>3667</v>
      </c>
      <c r="E89" s="160">
        <v>0</v>
      </c>
      <c r="F89" s="160">
        <v>62709</v>
      </c>
    </row>
    <row r="90" spans="1:6">
      <c r="A90" s="160">
        <v>100</v>
      </c>
      <c r="B90" s="160" t="s">
        <v>494</v>
      </c>
      <c r="C90" s="160">
        <v>0</v>
      </c>
      <c r="D90" s="160">
        <v>6</v>
      </c>
      <c r="E90" s="160">
        <v>0</v>
      </c>
      <c r="F90" s="160">
        <v>46</v>
      </c>
    </row>
    <row r="91" spans="1:6">
      <c r="A91" s="160">
        <v>100</v>
      </c>
      <c r="B91" s="160" t="s">
        <v>524</v>
      </c>
      <c r="C91" s="160">
        <v>0</v>
      </c>
      <c r="D91" s="160">
        <v>36</v>
      </c>
      <c r="E91" s="160">
        <v>0</v>
      </c>
      <c r="F91" s="160">
        <v>502</v>
      </c>
    </row>
    <row r="92" spans="1:6">
      <c r="A92" s="160">
        <v>100</v>
      </c>
      <c r="B92" s="160" t="s">
        <v>412</v>
      </c>
      <c r="C92" s="160">
        <v>51030</v>
      </c>
      <c r="D92" s="160">
        <v>210</v>
      </c>
      <c r="E92" s="160">
        <v>24246</v>
      </c>
      <c r="F92" s="160">
        <v>2373</v>
      </c>
    </row>
    <row r="93" spans="1:6">
      <c r="A93" s="160">
        <v>100</v>
      </c>
      <c r="B93" s="160" t="s">
        <v>411</v>
      </c>
      <c r="C93" s="160">
        <v>0</v>
      </c>
      <c r="D93" s="160">
        <v>7</v>
      </c>
      <c r="E93" s="160">
        <v>0</v>
      </c>
      <c r="F93" s="160">
        <v>47</v>
      </c>
    </row>
    <row r="94" spans="1:6">
      <c r="A94" s="160">
        <v>100</v>
      </c>
      <c r="B94" s="160" t="s">
        <v>410</v>
      </c>
      <c r="C94" s="160">
        <v>101726</v>
      </c>
      <c r="D94" s="160">
        <v>2835</v>
      </c>
      <c r="E94" s="160">
        <v>59028</v>
      </c>
      <c r="F94" s="160">
        <v>25445</v>
      </c>
    </row>
    <row r="95" spans="1:6">
      <c r="A95" s="160">
        <v>100</v>
      </c>
      <c r="B95" s="160" t="s">
        <v>409</v>
      </c>
      <c r="C95" s="160">
        <v>217422</v>
      </c>
      <c r="D95" s="160">
        <v>630</v>
      </c>
      <c r="E95" s="160">
        <v>51141</v>
      </c>
      <c r="F95" s="160">
        <v>11901</v>
      </c>
    </row>
    <row r="96" spans="1:6">
      <c r="A96" s="160">
        <v>100</v>
      </c>
      <c r="B96" s="160" t="s">
        <v>492</v>
      </c>
      <c r="C96" s="160">
        <v>0</v>
      </c>
      <c r="D96" s="160">
        <v>110</v>
      </c>
      <c r="E96" s="160">
        <v>0</v>
      </c>
      <c r="F96" s="160">
        <v>1646</v>
      </c>
    </row>
    <row r="97" spans="1:6">
      <c r="A97" s="160">
        <v>100</v>
      </c>
      <c r="B97" s="160" t="s">
        <v>408</v>
      </c>
      <c r="C97" s="160">
        <v>0</v>
      </c>
      <c r="D97" s="160">
        <v>376</v>
      </c>
      <c r="E97" s="160">
        <v>0</v>
      </c>
      <c r="F97" s="160">
        <v>24987</v>
      </c>
    </row>
    <row r="98" spans="1:6">
      <c r="A98" s="160">
        <v>100</v>
      </c>
      <c r="B98" s="160" t="s">
        <v>406</v>
      </c>
      <c r="C98" s="160">
        <v>31252</v>
      </c>
      <c r="D98" s="160">
        <v>180</v>
      </c>
      <c r="E98" s="160">
        <v>15173</v>
      </c>
      <c r="F98" s="160">
        <v>460</v>
      </c>
    </row>
    <row r="99" spans="1:6">
      <c r="A99" s="160">
        <v>100</v>
      </c>
      <c r="B99" s="160" t="s">
        <v>490</v>
      </c>
      <c r="C99" s="160">
        <v>0</v>
      </c>
      <c r="D99" s="160">
        <v>70</v>
      </c>
      <c r="E99" s="160">
        <v>0</v>
      </c>
      <c r="F99" s="160">
        <v>643</v>
      </c>
    </row>
    <row r="100" spans="1:6">
      <c r="A100" s="160">
        <v>100</v>
      </c>
      <c r="B100" s="160" t="s">
        <v>405</v>
      </c>
      <c r="C100" s="160">
        <v>33450</v>
      </c>
      <c r="D100" s="160">
        <v>100</v>
      </c>
      <c r="E100" s="160">
        <v>3583</v>
      </c>
      <c r="F100" s="160">
        <v>924</v>
      </c>
    </row>
    <row r="101" spans="1:6">
      <c r="A101" s="160">
        <v>100</v>
      </c>
      <c r="B101" s="160" t="s">
        <v>523</v>
      </c>
      <c r="C101" s="160">
        <v>0</v>
      </c>
      <c r="D101" s="160">
        <v>74</v>
      </c>
      <c r="E101" s="160">
        <v>0</v>
      </c>
      <c r="F101" s="160">
        <v>1666</v>
      </c>
    </row>
    <row r="102" spans="1:6">
      <c r="A102" s="160">
        <v>100</v>
      </c>
      <c r="B102" s="160" t="s">
        <v>488</v>
      </c>
      <c r="C102" s="160">
        <v>27450</v>
      </c>
      <c r="D102" s="160">
        <v>104</v>
      </c>
      <c r="E102" s="160">
        <v>5885</v>
      </c>
      <c r="F102" s="160">
        <v>1403</v>
      </c>
    </row>
    <row r="103" spans="1:6">
      <c r="A103" s="160">
        <v>100</v>
      </c>
      <c r="B103" s="160" t="s">
        <v>403</v>
      </c>
      <c r="C103" s="160">
        <v>79544</v>
      </c>
      <c r="D103" s="160">
        <v>276</v>
      </c>
      <c r="E103" s="160">
        <v>10602</v>
      </c>
      <c r="F103" s="160">
        <v>2870</v>
      </c>
    </row>
    <row r="104" spans="1:6">
      <c r="A104" s="160">
        <v>100</v>
      </c>
      <c r="B104" s="160" t="s">
        <v>401</v>
      </c>
      <c r="C104" s="160">
        <v>36480</v>
      </c>
      <c r="D104" s="160">
        <v>552</v>
      </c>
      <c r="E104" s="160">
        <v>23391</v>
      </c>
      <c r="F104" s="160">
        <v>2181</v>
      </c>
    </row>
    <row r="105" spans="1:6">
      <c r="A105" s="160">
        <v>100</v>
      </c>
      <c r="B105" s="160" t="s">
        <v>487</v>
      </c>
      <c r="C105" s="160">
        <v>0</v>
      </c>
      <c r="D105" s="160">
        <v>78</v>
      </c>
      <c r="E105" s="160">
        <v>0</v>
      </c>
      <c r="F105" s="160">
        <v>1030</v>
      </c>
    </row>
    <row r="106" spans="1:6">
      <c r="A106" s="160">
        <v>100</v>
      </c>
      <c r="B106" s="160" t="s">
        <v>399</v>
      </c>
      <c r="C106" s="160">
        <v>7940</v>
      </c>
      <c r="D106" s="160">
        <v>447</v>
      </c>
      <c r="E106" s="160">
        <v>6591</v>
      </c>
      <c r="F106" s="160">
        <v>4270</v>
      </c>
    </row>
    <row r="107" spans="1:6">
      <c r="A107" s="160">
        <v>100</v>
      </c>
      <c r="B107" s="160" t="s">
        <v>522</v>
      </c>
      <c r="C107" s="160">
        <v>7540</v>
      </c>
      <c r="D107" s="160">
        <v>52</v>
      </c>
      <c r="E107" s="160">
        <v>189</v>
      </c>
      <c r="F107" s="160">
        <v>443</v>
      </c>
    </row>
    <row r="108" spans="1:6">
      <c r="A108" s="160">
        <v>100</v>
      </c>
      <c r="B108" s="160" t="s">
        <v>396</v>
      </c>
      <c r="C108" s="160">
        <v>0</v>
      </c>
      <c r="D108" s="160">
        <v>33</v>
      </c>
      <c r="E108" s="160">
        <v>0</v>
      </c>
      <c r="F108" s="160">
        <v>1755</v>
      </c>
    </row>
    <row r="109" spans="1:6">
      <c r="A109" s="160">
        <v>100</v>
      </c>
      <c r="B109" s="160" t="s">
        <v>395</v>
      </c>
      <c r="C109" s="160">
        <v>24492</v>
      </c>
      <c r="D109" s="160">
        <v>456</v>
      </c>
      <c r="E109" s="160">
        <v>13767</v>
      </c>
      <c r="F109" s="160">
        <v>7493</v>
      </c>
    </row>
    <row r="110" spans="1:6">
      <c r="A110" s="160">
        <v>100</v>
      </c>
      <c r="B110" s="160" t="s">
        <v>860</v>
      </c>
      <c r="C110" s="160">
        <v>14792</v>
      </c>
      <c r="D110" s="160">
        <v>572</v>
      </c>
      <c r="E110" s="160">
        <v>13992</v>
      </c>
      <c r="F110" s="160">
        <v>9808</v>
      </c>
    </row>
    <row r="111" spans="1:6">
      <c r="A111" s="160">
        <v>100</v>
      </c>
      <c r="B111" s="160" t="s">
        <v>486</v>
      </c>
      <c r="C111" s="160">
        <v>36160</v>
      </c>
      <c r="D111" s="160">
        <v>262</v>
      </c>
      <c r="E111" s="160">
        <v>22676</v>
      </c>
      <c r="F111" s="160">
        <v>916</v>
      </c>
    </row>
    <row r="112" spans="1:6">
      <c r="A112" s="160">
        <v>100</v>
      </c>
      <c r="B112" s="160" t="s">
        <v>521</v>
      </c>
      <c r="C112" s="160">
        <v>10620</v>
      </c>
      <c r="D112" s="160">
        <v>101</v>
      </c>
      <c r="E112" s="160">
        <v>6461</v>
      </c>
      <c r="F112" s="160">
        <v>418</v>
      </c>
    </row>
    <row r="113" spans="1:6">
      <c r="A113" s="160">
        <v>100</v>
      </c>
      <c r="B113" s="160" t="s">
        <v>394</v>
      </c>
      <c r="C113" s="160">
        <v>0</v>
      </c>
      <c r="D113" s="160">
        <v>2120</v>
      </c>
      <c r="E113" s="160">
        <v>0</v>
      </c>
      <c r="F113" s="160">
        <v>33074</v>
      </c>
    </row>
    <row r="114" spans="1:6">
      <c r="A114" s="160">
        <v>100</v>
      </c>
      <c r="B114" s="160" t="s">
        <v>393</v>
      </c>
      <c r="C114" s="160">
        <v>34004</v>
      </c>
      <c r="D114" s="160">
        <v>400</v>
      </c>
      <c r="E114" s="160">
        <v>25022</v>
      </c>
      <c r="F114" s="160">
        <v>3746</v>
      </c>
    </row>
    <row r="115" spans="1:6">
      <c r="A115" s="160">
        <v>100</v>
      </c>
      <c r="B115" s="160" t="s">
        <v>520</v>
      </c>
      <c r="C115" s="160">
        <v>0</v>
      </c>
      <c r="D115" s="160">
        <v>2</v>
      </c>
      <c r="E115" s="160">
        <v>0</v>
      </c>
      <c r="F115" s="160">
        <v>26</v>
      </c>
    </row>
    <row r="116" spans="1:6">
      <c r="A116" s="160">
        <v>100</v>
      </c>
      <c r="B116" s="160" t="s">
        <v>392</v>
      </c>
      <c r="C116" s="160">
        <v>588</v>
      </c>
      <c r="D116" s="160">
        <v>656</v>
      </c>
      <c r="E116" s="160">
        <v>69</v>
      </c>
      <c r="F116" s="160">
        <v>11734</v>
      </c>
    </row>
    <row r="117" spans="1:6">
      <c r="A117" s="160">
        <v>100</v>
      </c>
      <c r="B117" s="160" t="s">
        <v>519</v>
      </c>
      <c r="C117" s="160">
        <v>0</v>
      </c>
      <c r="D117" s="160">
        <v>4</v>
      </c>
      <c r="E117" s="160">
        <v>0</v>
      </c>
      <c r="F117" s="160">
        <v>62</v>
      </c>
    </row>
    <row r="118" spans="1:6">
      <c r="A118" s="160">
        <v>100</v>
      </c>
      <c r="B118" s="160" t="s">
        <v>874</v>
      </c>
      <c r="C118" s="160">
        <v>0</v>
      </c>
      <c r="D118" s="160">
        <v>530</v>
      </c>
      <c r="E118" s="160">
        <v>0</v>
      </c>
      <c r="F118" s="160">
        <v>4505</v>
      </c>
    </row>
    <row r="119" spans="1:6">
      <c r="A119" s="160">
        <v>100</v>
      </c>
      <c r="B119" s="160" t="s">
        <v>391</v>
      </c>
      <c r="C119" s="160">
        <v>0</v>
      </c>
      <c r="D119" s="160">
        <v>138</v>
      </c>
      <c r="E119" s="160">
        <v>0</v>
      </c>
      <c r="F119" s="160">
        <v>557</v>
      </c>
    </row>
    <row r="120" spans="1:6">
      <c r="A120" s="160">
        <v>100</v>
      </c>
      <c r="B120" s="160" t="s">
        <v>390</v>
      </c>
      <c r="C120" s="160">
        <v>0</v>
      </c>
      <c r="D120" s="160">
        <v>1510</v>
      </c>
      <c r="E120" s="160">
        <v>0</v>
      </c>
      <c r="F120" s="160">
        <v>18877</v>
      </c>
    </row>
    <row r="121" spans="1:6">
      <c r="A121" s="160">
        <v>100</v>
      </c>
      <c r="B121" s="160" t="s">
        <v>389</v>
      </c>
      <c r="C121" s="160">
        <v>147413</v>
      </c>
      <c r="D121" s="160">
        <v>487</v>
      </c>
      <c r="E121" s="160">
        <v>65838</v>
      </c>
      <c r="F121" s="160">
        <v>7862</v>
      </c>
    </row>
    <row r="122" spans="1:6">
      <c r="A122" s="160">
        <v>100</v>
      </c>
      <c r="B122" s="160" t="s">
        <v>485</v>
      </c>
      <c r="C122" s="160">
        <v>0</v>
      </c>
      <c r="D122" s="160">
        <v>10</v>
      </c>
      <c r="E122" s="160">
        <v>0</v>
      </c>
      <c r="F122" s="160">
        <v>375</v>
      </c>
    </row>
    <row r="123" spans="1:6">
      <c r="A123" s="160">
        <v>100</v>
      </c>
      <c r="B123" s="160" t="s">
        <v>388</v>
      </c>
      <c r="C123" s="160">
        <v>35492</v>
      </c>
      <c r="D123" s="160">
        <v>104</v>
      </c>
      <c r="E123" s="160">
        <v>19436</v>
      </c>
      <c r="F123" s="160">
        <v>1871</v>
      </c>
    </row>
    <row r="124" spans="1:6">
      <c r="A124" s="160">
        <v>100</v>
      </c>
      <c r="B124" s="160" t="s">
        <v>518</v>
      </c>
      <c r="C124" s="160">
        <v>0</v>
      </c>
      <c r="D124" s="160">
        <v>2</v>
      </c>
      <c r="E124" s="160">
        <v>0</v>
      </c>
      <c r="F124" s="160">
        <v>52</v>
      </c>
    </row>
    <row r="125" spans="1:6">
      <c r="A125" s="160">
        <v>100</v>
      </c>
      <c r="B125" s="160" t="s">
        <v>517</v>
      </c>
      <c r="C125" s="160">
        <v>0</v>
      </c>
      <c r="D125" s="160">
        <v>2</v>
      </c>
      <c r="E125" s="160">
        <v>0</v>
      </c>
      <c r="F125" s="160">
        <v>4</v>
      </c>
    </row>
    <row r="126" spans="1:6">
      <c r="A126" s="160">
        <v>100</v>
      </c>
      <c r="B126" s="160" t="s">
        <v>387</v>
      </c>
      <c r="C126" s="160">
        <v>8126</v>
      </c>
      <c r="D126" s="160">
        <v>58</v>
      </c>
      <c r="E126" s="160">
        <v>5424</v>
      </c>
      <c r="F126" s="160">
        <v>176</v>
      </c>
    </row>
    <row r="127" spans="1:6">
      <c r="A127" s="160">
        <v>100</v>
      </c>
      <c r="B127" s="160" t="s">
        <v>516</v>
      </c>
      <c r="C127" s="160">
        <v>0</v>
      </c>
      <c r="D127" s="160">
        <v>2</v>
      </c>
      <c r="E127" s="160">
        <v>0</v>
      </c>
      <c r="F127" s="160">
        <v>71</v>
      </c>
    </row>
    <row r="128" spans="1:6">
      <c r="A128" s="160">
        <v>100</v>
      </c>
      <c r="B128" s="160" t="s">
        <v>386</v>
      </c>
      <c r="C128" s="160">
        <v>437651</v>
      </c>
      <c r="D128" s="160">
        <v>1480</v>
      </c>
      <c r="E128" s="160">
        <v>138096</v>
      </c>
      <c r="F128" s="160">
        <v>18954</v>
      </c>
    </row>
    <row r="129" spans="1:6">
      <c r="A129" s="160">
        <v>100</v>
      </c>
      <c r="B129" s="160" t="s">
        <v>483</v>
      </c>
      <c r="C129" s="160">
        <v>7194</v>
      </c>
      <c r="D129" s="160">
        <v>111</v>
      </c>
      <c r="E129" s="160">
        <v>970</v>
      </c>
      <c r="F129" s="160">
        <v>1731</v>
      </c>
    </row>
    <row r="130" spans="1:6">
      <c r="A130" s="160">
        <v>100</v>
      </c>
      <c r="B130" s="160" t="s">
        <v>385</v>
      </c>
      <c r="C130" s="160">
        <v>184596</v>
      </c>
      <c r="D130" s="160">
        <v>508</v>
      </c>
      <c r="E130" s="160">
        <v>56542</v>
      </c>
      <c r="F130" s="160">
        <v>12643</v>
      </c>
    </row>
    <row r="131" spans="1:6">
      <c r="A131" s="160">
        <v>100</v>
      </c>
      <c r="B131" s="160" t="s">
        <v>482</v>
      </c>
      <c r="C131" s="160">
        <v>0</v>
      </c>
      <c r="D131" s="160">
        <v>88</v>
      </c>
      <c r="E131" s="160">
        <v>0</v>
      </c>
      <c r="F131" s="160">
        <v>2496</v>
      </c>
    </row>
    <row r="132" spans="1:6">
      <c r="A132" s="160">
        <v>100</v>
      </c>
      <c r="B132" s="160" t="s">
        <v>384</v>
      </c>
      <c r="C132" s="160">
        <v>58459</v>
      </c>
      <c r="D132" s="160">
        <v>271</v>
      </c>
      <c r="E132" s="160">
        <v>15043</v>
      </c>
      <c r="F132" s="160">
        <v>5275</v>
      </c>
    </row>
    <row r="133" spans="1:6">
      <c r="A133" s="160">
        <v>100</v>
      </c>
      <c r="B133" s="160" t="s">
        <v>383</v>
      </c>
      <c r="C133" s="160">
        <v>0</v>
      </c>
      <c r="D133" s="160">
        <v>564</v>
      </c>
      <c r="E133" s="160">
        <v>0</v>
      </c>
      <c r="F133" s="160">
        <v>4815</v>
      </c>
    </row>
    <row r="134" spans="1:6">
      <c r="A134" s="160">
        <v>100</v>
      </c>
      <c r="B134" s="160" t="s">
        <v>515</v>
      </c>
      <c r="C134" s="160">
        <v>0</v>
      </c>
      <c r="D134" s="160">
        <v>2</v>
      </c>
      <c r="E134" s="160">
        <v>0</v>
      </c>
      <c r="F134" s="160">
        <v>26</v>
      </c>
    </row>
    <row r="135" spans="1:6">
      <c r="A135" s="160">
        <v>100</v>
      </c>
      <c r="B135" s="160" t="s">
        <v>514</v>
      </c>
      <c r="C135" s="160">
        <v>0</v>
      </c>
      <c r="D135" s="160">
        <v>2</v>
      </c>
      <c r="E135" s="160">
        <v>0</v>
      </c>
      <c r="F135" s="160">
        <v>32</v>
      </c>
    </row>
    <row r="136" spans="1:6">
      <c r="A136" s="160">
        <v>100</v>
      </c>
      <c r="B136" s="160" t="s">
        <v>513</v>
      </c>
      <c r="C136" s="160">
        <v>0</v>
      </c>
      <c r="D136" s="160">
        <v>16</v>
      </c>
      <c r="E136" s="160">
        <v>0</v>
      </c>
      <c r="F136" s="160">
        <v>51</v>
      </c>
    </row>
    <row r="137" spans="1:6">
      <c r="A137" s="160">
        <v>100</v>
      </c>
      <c r="B137" s="160" t="s">
        <v>512</v>
      </c>
      <c r="C137" s="160">
        <v>0</v>
      </c>
      <c r="D137" s="160">
        <v>4</v>
      </c>
      <c r="E137" s="160">
        <v>0</v>
      </c>
      <c r="F137" s="160">
        <v>22</v>
      </c>
    </row>
    <row r="138" spans="1:6">
      <c r="A138" s="160">
        <v>100</v>
      </c>
      <c r="B138" s="160" t="s">
        <v>889</v>
      </c>
      <c r="C138" s="160">
        <v>0</v>
      </c>
      <c r="D138" s="160">
        <v>1</v>
      </c>
      <c r="E138" s="160">
        <v>0</v>
      </c>
      <c r="F138" s="160">
        <v>9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4.4"/>
  <cols>
    <col min="1" max="1" width="5" style="160" bestFit="1" customWidth="1"/>
    <col min="2" max="2" width="38.44140625" style="160" bestFit="1" customWidth="1"/>
    <col min="3" max="3" width="10.44140625" style="160" bestFit="1" customWidth="1"/>
    <col min="4" max="4" width="8.33203125" style="160" bestFit="1" customWidth="1"/>
    <col min="5" max="5" width="9.44140625" style="160" bestFit="1" customWidth="1"/>
    <col min="6" max="6" width="8.44140625" style="160" bestFit="1" customWidth="1"/>
    <col min="7" max="16384" width="31" style="160"/>
  </cols>
  <sheetData>
    <row r="1" spans="1:6">
      <c r="A1" s="159" t="s">
        <v>843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</row>
    <row r="2" spans="1:6">
      <c r="A2" s="160">
        <v>0</v>
      </c>
      <c r="B2" s="160" t="s">
        <v>372</v>
      </c>
      <c r="C2" s="160">
        <v>109953321</v>
      </c>
      <c r="D2" s="160">
        <v>615652</v>
      </c>
      <c r="E2" s="160">
        <v>92839882</v>
      </c>
      <c r="F2" s="160">
        <v>3779147</v>
      </c>
    </row>
    <row r="3" spans="1:6">
      <c r="A3" s="160">
        <v>1</v>
      </c>
      <c r="B3" s="160" t="s">
        <v>890</v>
      </c>
      <c r="C3" s="160">
        <v>10644268</v>
      </c>
      <c r="D3" s="160">
        <v>55785</v>
      </c>
      <c r="E3" s="160">
        <v>9129055</v>
      </c>
      <c r="F3" s="160">
        <v>334595</v>
      </c>
    </row>
    <row r="4" spans="1:6">
      <c r="A4" s="160">
        <v>1</v>
      </c>
      <c r="B4" s="160" t="s">
        <v>891</v>
      </c>
      <c r="C4" s="160">
        <v>10271022</v>
      </c>
      <c r="D4" s="160">
        <v>55024</v>
      </c>
      <c r="E4" s="160">
        <v>8843993</v>
      </c>
      <c r="F4" s="160">
        <v>323525</v>
      </c>
    </row>
    <row r="5" spans="1:6">
      <c r="A5" s="160">
        <v>1</v>
      </c>
      <c r="B5" s="160" t="s">
        <v>892</v>
      </c>
      <c r="C5" s="160">
        <v>10447535</v>
      </c>
      <c r="D5" s="160">
        <v>55513</v>
      </c>
      <c r="E5" s="160">
        <v>9344317</v>
      </c>
      <c r="F5" s="160">
        <v>324240</v>
      </c>
    </row>
    <row r="6" spans="1:6">
      <c r="A6" s="160">
        <v>1</v>
      </c>
      <c r="B6" s="160" t="s">
        <v>893</v>
      </c>
      <c r="C6" s="160">
        <v>9351712</v>
      </c>
      <c r="D6" s="160">
        <v>50401</v>
      </c>
      <c r="E6" s="160">
        <v>7591039</v>
      </c>
      <c r="F6" s="160">
        <v>302629</v>
      </c>
    </row>
    <row r="7" spans="1:6">
      <c r="A7" s="160">
        <v>1</v>
      </c>
      <c r="B7" s="160" t="s">
        <v>894</v>
      </c>
      <c r="C7" s="160">
        <v>10133099</v>
      </c>
      <c r="D7" s="160">
        <v>54580</v>
      </c>
      <c r="E7" s="160">
        <v>8565460</v>
      </c>
      <c r="F7" s="160">
        <v>312252</v>
      </c>
    </row>
    <row r="8" spans="1:6">
      <c r="A8" s="160">
        <v>1</v>
      </c>
      <c r="B8" s="160" t="s">
        <v>895</v>
      </c>
      <c r="C8" s="160">
        <v>9763145</v>
      </c>
      <c r="D8" s="160">
        <v>53495</v>
      </c>
      <c r="E8" s="160">
        <v>8246091</v>
      </c>
      <c r="F8" s="160">
        <v>307036</v>
      </c>
    </row>
    <row r="9" spans="1:6">
      <c r="A9" s="160">
        <v>1</v>
      </c>
      <c r="B9" s="160" t="s">
        <v>896</v>
      </c>
      <c r="C9" s="160">
        <v>8863530</v>
      </c>
      <c r="D9" s="160">
        <v>50307</v>
      </c>
      <c r="E9" s="160">
        <v>8007402</v>
      </c>
      <c r="F9" s="160">
        <v>311124</v>
      </c>
    </row>
    <row r="10" spans="1:6">
      <c r="A10" s="160">
        <v>1</v>
      </c>
      <c r="B10" s="160" t="s">
        <v>897</v>
      </c>
      <c r="C10" s="160">
        <v>8881536</v>
      </c>
      <c r="D10" s="160">
        <v>51215</v>
      </c>
      <c r="E10" s="160">
        <v>7929739</v>
      </c>
      <c r="F10" s="160">
        <v>317957</v>
      </c>
    </row>
    <row r="11" spans="1:6">
      <c r="A11" s="160">
        <v>1</v>
      </c>
      <c r="B11" s="160" t="s">
        <v>898</v>
      </c>
      <c r="C11" s="160">
        <v>8095692</v>
      </c>
      <c r="D11" s="160">
        <v>47708</v>
      </c>
      <c r="E11" s="160">
        <v>7026204</v>
      </c>
      <c r="F11" s="160">
        <v>314295</v>
      </c>
    </row>
    <row r="12" spans="1:6">
      <c r="A12" s="160">
        <v>1</v>
      </c>
      <c r="B12" s="160" t="s">
        <v>899</v>
      </c>
      <c r="C12" s="160">
        <v>7528328</v>
      </c>
      <c r="D12" s="160">
        <v>46059</v>
      </c>
      <c r="E12" s="160">
        <v>5353872</v>
      </c>
      <c r="F12" s="160">
        <v>325947</v>
      </c>
    </row>
    <row r="13" spans="1:6">
      <c r="A13" s="160">
        <v>1</v>
      </c>
      <c r="B13" s="160" t="s">
        <v>900</v>
      </c>
      <c r="C13" s="160">
        <v>7791467</v>
      </c>
      <c r="D13" s="160">
        <v>46040</v>
      </c>
      <c r="E13" s="160">
        <v>6132411</v>
      </c>
      <c r="F13" s="160">
        <v>283267</v>
      </c>
    </row>
    <row r="14" spans="1:6">
      <c r="A14" s="160">
        <v>1</v>
      </c>
      <c r="B14" s="160" t="s">
        <v>901</v>
      </c>
      <c r="C14" s="160">
        <v>8181987</v>
      </c>
      <c r="D14" s="160">
        <v>49525</v>
      </c>
      <c r="E14" s="160">
        <v>6670299</v>
      </c>
      <c r="F14" s="160">
        <v>322281</v>
      </c>
    </row>
    <row r="15" spans="1:6" s="161" customFormat="1">
      <c r="A15" s="161">
        <v>2</v>
      </c>
      <c r="B15" s="161" t="s">
        <v>373</v>
      </c>
      <c r="C15" s="161">
        <v>100310666</v>
      </c>
      <c r="D15" s="161">
        <v>542408</v>
      </c>
      <c r="E15" s="161">
        <v>85817133</v>
      </c>
      <c r="F15" s="161">
        <v>2724721</v>
      </c>
    </row>
    <row r="16" spans="1:6">
      <c r="A16" s="160">
        <v>3</v>
      </c>
      <c r="B16" s="160" t="s">
        <v>374</v>
      </c>
      <c r="C16" s="160">
        <v>21588495</v>
      </c>
      <c r="D16" s="160">
        <v>131688</v>
      </c>
      <c r="E16" s="160">
        <v>17638503</v>
      </c>
      <c r="F16" s="160">
        <v>1615928</v>
      </c>
    </row>
    <row r="17" spans="1:6">
      <c r="A17" s="160">
        <v>4</v>
      </c>
      <c r="B17" s="160" t="s">
        <v>375</v>
      </c>
      <c r="C17" s="160">
        <v>16525831</v>
      </c>
      <c r="D17" s="160">
        <v>89486</v>
      </c>
      <c r="E17" s="160">
        <v>13457338</v>
      </c>
      <c r="F17" s="160">
        <v>773132</v>
      </c>
    </row>
    <row r="18" spans="1:6">
      <c r="A18" s="160">
        <v>5</v>
      </c>
      <c r="B18" s="160" t="s">
        <v>376</v>
      </c>
      <c r="C18" s="160">
        <v>15893859</v>
      </c>
      <c r="D18" s="160">
        <v>85160</v>
      </c>
      <c r="E18" s="160">
        <v>14533268</v>
      </c>
      <c r="F18" s="160">
        <v>78368</v>
      </c>
    </row>
    <row r="19" spans="1:6">
      <c r="A19" s="160">
        <v>6</v>
      </c>
      <c r="B19" s="160" t="s">
        <v>377</v>
      </c>
      <c r="C19" s="160">
        <v>15669237</v>
      </c>
      <c r="D19" s="160">
        <v>81461</v>
      </c>
      <c r="E19" s="160">
        <v>13168783</v>
      </c>
      <c r="F19" s="160">
        <v>72248</v>
      </c>
    </row>
    <row r="20" spans="1:6">
      <c r="A20" s="160">
        <v>7</v>
      </c>
      <c r="B20" s="160" t="s">
        <v>378</v>
      </c>
      <c r="C20" s="160">
        <v>12406221</v>
      </c>
      <c r="D20" s="160">
        <v>60409</v>
      </c>
      <c r="E20" s="160">
        <v>10668189</v>
      </c>
      <c r="F20" s="160">
        <v>54452</v>
      </c>
    </row>
    <row r="21" spans="1:6">
      <c r="A21" s="160">
        <v>9</v>
      </c>
      <c r="B21" s="160" t="s">
        <v>380</v>
      </c>
      <c r="C21" s="160">
        <v>12628351</v>
      </c>
      <c r="D21" s="160">
        <v>63088</v>
      </c>
      <c r="E21" s="160">
        <v>11344017</v>
      </c>
      <c r="F21" s="160">
        <v>62330</v>
      </c>
    </row>
    <row r="22" spans="1:6">
      <c r="A22" s="160">
        <v>10</v>
      </c>
      <c r="B22" s="160" t="s">
        <v>856</v>
      </c>
      <c r="C22" s="160">
        <v>0</v>
      </c>
      <c r="D22" s="160">
        <v>3337</v>
      </c>
      <c r="E22" s="160">
        <v>0</v>
      </c>
      <c r="F22" s="160">
        <v>37783</v>
      </c>
    </row>
    <row r="23" spans="1:6">
      <c r="A23" s="160">
        <v>11</v>
      </c>
      <c r="B23" s="160" t="s">
        <v>381</v>
      </c>
      <c r="C23" s="160">
        <v>3708940</v>
      </c>
      <c r="D23" s="160">
        <v>17574</v>
      </c>
      <c r="E23" s="160">
        <v>3455976</v>
      </c>
      <c r="F23" s="160">
        <v>13802</v>
      </c>
    </row>
    <row r="24" spans="1:6">
      <c r="A24" s="160">
        <v>12</v>
      </c>
      <c r="B24" s="160" t="s">
        <v>511</v>
      </c>
      <c r="C24" s="160">
        <v>133076</v>
      </c>
      <c r="D24" s="160">
        <v>680</v>
      </c>
      <c r="E24" s="160">
        <v>98788</v>
      </c>
      <c r="F24" s="160">
        <v>8341</v>
      </c>
    </row>
    <row r="25" spans="1:6">
      <c r="A25" s="160">
        <v>13</v>
      </c>
      <c r="B25" s="160" t="s">
        <v>510</v>
      </c>
      <c r="C25" s="160">
        <v>767520</v>
      </c>
      <c r="D25" s="160">
        <v>4264</v>
      </c>
      <c r="E25" s="160">
        <v>737614</v>
      </c>
      <c r="F25" s="160">
        <v>4413</v>
      </c>
    </row>
    <row r="26" spans="1:6">
      <c r="A26" s="160">
        <v>14</v>
      </c>
      <c r="B26" s="160" t="s">
        <v>857</v>
      </c>
      <c r="C26" s="160">
        <v>989136</v>
      </c>
      <c r="D26" s="160">
        <v>5261</v>
      </c>
      <c r="E26" s="160">
        <v>714657</v>
      </c>
      <c r="F26" s="160">
        <v>3922</v>
      </c>
    </row>
    <row r="27" spans="1:6">
      <c r="A27" s="160">
        <v>99</v>
      </c>
      <c r="B27" s="160" t="s">
        <v>382</v>
      </c>
      <c r="C27" s="160">
        <v>9642655</v>
      </c>
      <c r="D27" s="160">
        <v>73244</v>
      </c>
      <c r="E27" s="160">
        <v>7022749</v>
      </c>
      <c r="F27" s="160">
        <v>1054425</v>
      </c>
    </row>
    <row r="28" spans="1:6">
      <c r="A28" s="160">
        <v>100</v>
      </c>
      <c r="B28" s="160" t="s">
        <v>858</v>
      </c>
      <c r="C28" s="160">
        <v>2548</v>
      </c>
      <c r="D28" s="160">
        <v>26</v>
      </c>
      <c r="E28" s="160">
        <v>1868</v>
      </c>
      <c r="F28" s="160">
        <v>24</v>
      </c>
    </row>
    <row r="29" spans="1:6">
      <c r="A29" s="160">
        <v>100</v>
      </c>
      <c r="B29" s="160" t="s">
        <v>481</v>
      </c>
      <c r="C29" s="160">
        <v>34186</v>
      </c>
      <c r="D29" s="160">
        <v>246</v>
      </c>
      <c r="E29" s="160">
        <v>15413</v>
      </c>
      <c r="F29" s="160">
        <v>3110</v>
      </c>
    </row>
    <row r="30" spans="1:6">
      <c r="A30" s="160">
        <v>100</v>
      </c>
      <c r="B30" s="160" t="s">
        <v>480</v>
      </c>
      <c r="C30" s="160">
        <v>19552</v>
      </c>
      <c r="D30" s="160">
        <v>104</v>
      </c>
      <c r="E30" s="160">
        <v>16275</v>
      </c>
      <c r="F30" s="160">
        <v>206</v>
      </c>
    </row>
    <row r="31" spans="1:6">
      <c r="A31" s="160">
        <v>100</v>
      </c>
      <c r="B31" s="160" t="s">
        <v>508</v>
      </c>
      <c r="C31" s="160">
        <v>7722</v>
      </c>
      <c r="D31" s="160">
        <v>316</v>
      </c>
      <c r="E31" s="160">
        <v>7280</v>
      </c>
      <c r="F31" s="160">
        <v>1154</v>
      </c>
    </row>
    <row r="32" spans="1:6">
      <c r="A32" s="160">
        <v>100</v>
      </c>
      <c r="B32" s="160" t="s">
        <v>902</v>
      </c>
      <c r="C32" s="160">
        <v>514</v>
      </c>
      <c r="D32" s="160">
        <v>32</v>
      </c>
      <c r="E32" s="160">
        <v>204</v>
      </c>
      <c r="F32" s="160">
        <v>258</v>
      </c>
    </row>
    <row r="33" spans="1:6">
      <c r="A33" s="160">
        <v>100</v>
      </c>
      <c r="B33" s="160" t="s">
        <v>903</v>
      </c>
      <c r="C33" s="160">
        <v>7127</v>
      </c>
      <c r="D33" s="160">
        <v>28</v>
      </c>
      <c r="E33" s="160">
        <v>2993</v>
      </c>
      <c r="F33" s="160">
        <v>86</v>
      </c>
    </row>
    <row r="34" spans="1:6">
      <c r="A34" s="160">
        <v>100</v>
      </c>
      <c r="B34" s="160" t="s">
        <v>479</v>
      </c>
      <c r="C34" s="160">
        <v>132258</v>
      </c>
      <c r="D34" s="160">
        <v>466</v>
      </c>
      <c r="E34" s="160">
        <v>82261</v>
      </c>
      <c r="F34" s="160">
        <v>6424</v>
      </c>
    </row>
    <row r="35" spans="1:6">
      <c r="A35" s="160">
        <v>100</v>
      </c>
      <c r="B35" s="160" t="s">
        <v>478</v>
      </c>
      <c r="C35" s="160">
        <v>231915</v>
      </c>
      <c r="D35" s="160">
        <v>1070</v>
      </c>
      <c r="E35" s="160">
        <v>150670</v>
      </c>
      <c r="F35" s="160">
        <v>6401</v>
      </c>
    </row>
    <row r="36" spans="1:6">
      <c r="A36" s="160">
        <v>100</v>
      </c>
      <c r="B36" s="160" t="s">
        <v>477</v>
      </c>
      <c r="C36" s="160">
        <v>77148</v>
      </c>
      <c r="D36" s="160">
        <v>428</v>
      </c>
      <c r="E36" s="160">
        <v>51591</v>
      </c>
      <c r="F36" s="160">
        <v>617</v>
      </c>
    </row>
    <row r="37" spans="1:6">
      <c r="A37" s="160">
        <v>100</v>
      </c>
      <c r="B37" s="160" t="s">
        <v>476</v>
      </c>
      <c r="C37" s="160">
        <v>123152</v>
      </c>
      <c r="D37" s="160">
        <v>438</v>
      </c>
      <c r="E37" s="160">
        <v>78704</v>
      </c>
      <c r="F37" s="160">
        <v>9912</v>
      </c>
    </row>
    <row r="38" spans="1:6">
      <c r="A38" s="160">
        <v>100</v>
      </c>
      <c r="B38" s="160" t="s">
        <v>475</v>
      </c>
      <c r="C38" s="160">
        <v>87120</v>
      </c>
      <c r="D38" s="160">
        <v>484</v>
      </c>
      <c r="E38" s="160">
        <v>62334</v>
      </c>
      <c r="F38" s="160">
        <v>546</v>
      </c>
    </row>
    <row r="39" spans="1:6">
      <c r="A39" s="160">
        <v>100</v>
      </c>
      <c r="B39" s="160" t="s">
        <v>474</v>
      </c>
      <c r="C39" s="160">
        <v>164068</v>
      </c>
      <c r="D39" s="160">
        <v>434</v>
      </c>
      <c r="E39" s="160">
        <v>124583</v>
      </c>
      <c r="F39" s="160">
        <v>9144</v>
      </c>
    </row>
    <row r="40" spans="1:6">
      <c r="A40" s="160">
        <v>100</v>
      </c>
      <c r="B40" s="160" t="s">
        <v>473</v>
      </c>
      <c r="C40" s="160">
        <v>173796</v>
      </c>
      <c r="D40" s="160">
        <v>662</v>
      </c>
      <c r="E40" s="160">
        <v>143508</v>
      </c>
      <c r="F40" s="160">
        <v>9698</v>
      </c>
    </row>
    <row r="41" spans="1:6">
      <c r="A41" s="160">
        <v>100</v>
      </c>
      <c r="B41" s="160" t="s">
        <v>472</v>
      </c>
      <c r="C41" s="160">
        <v>0</v>
      </c>
      <c r="D41" s="160">
        <v>3433</v>
      </c>
      <c r="E41" s="160">
        <v>0</v>
      </c>
      <c r="F41" s="160">
        <v>112481</v>
      </c>
    </row>
    <row r="42" spans="1:6">
      <c r="A42" s="160">
        <v>100</v>
      </c>
      <c r="B42" s="160" t="s">
        <v>471</v>
      </c>
      <c r="C42" s="160">
        <v>0</v>
      </c>
      <c r="D42" s="160">
        <v>3303</v>
      </c>
      <c r="E42" s="160">
        <v>0</v>
      </c>
      <c r="F42" s="160">
        <v>71046</v>
      </c>
    </row>
    <row r="43" spans="1:6">
      <c r="A43" s="160">
        <v>100</v>
      </c>
      <c r="B43" s="160" t="s">
        <v>504</v>
      </c>
      <c r="C43" s="160">
        <v>0</v>
      </c>
      <c r="D43" s="160">
        <v>844</v>
      </c>
      <c r="E43" s="160">
        <v>0</v>
      </c>
      <c r="F43" s="160">
        <v>6665</v>
      </c>
    </row>
    <row r="44" spans="1:6">
      <c r="A44" s="160">
        <v>100</v>
      </c>
      <c r="B44" s="160" t="s">
        <v>468</v>
      </c>
      <c r="C44" s="160">
        <v>278740</v>
      </c>
      <c r="D44" s="160">
        <v>1034</v>
      </c>
      <c r="E44" s="160">
        <v>243227</v>
      </c>
      <c r="F44" s="160">
        <v>31330</v>
      </c>
    </row>
    <row r="45" spans="1:6">
      <c r="A45" s="160">
        <v>100</v>
      </c>
      <c r="B45" s="160" t="s">
        <v>467</v>
      </c>
      <c r="C45" s="160">
        <v>373079</v>
      </c>
      <c r="D45" s="160">
        <v>1264</v>
      </c>
      <c r="E45" s="160">
        <v>265503</v>
      </c>
      <c r="F45" s="160">
        <v>20203</v>
      </c>
    </row>
    <row r="46" spans="1:6">
      <c r="A46" s="160">
        <v>100</v>
      </c>
      <c r="B46" s="160" t="s">
        <v>466</v>
      </c>
      <c r="C46" s="160">
        <v>151776</v>
      </c>
      <c r="D46" s="160">
        <v>408</v>
      </c>
      <c r="E46" s="160">
        <v>125944</v>
      </c>
      <c r="F46" s="160">
        <v>3096</v>
      </c>
    </row>
    <row r="47" spans="1:6">
      <c r="A47" s="160">
        <v>100</v>
      </c>
      <c r="B47" s="160" t="s">
        <v>465</v>
      </c>
      <c r="C47" s="160">
        <v>31680</v>
      </c>
      <c r="D47" s="160">
        <v>176</v>
      </c>
      <c r="E47" s="160">
        <v>21467</v>
      </c>
      <c r="F47" s="160">
        <v>308</v>
      </c>
    </row>
    <row r="48" spans="1:6">
      <c r="A48" s="160">
        <v>100</v>
      </c>
      <c r="B48" s="160" t="s">
        <v>463</v>
      </c>
      <c r="C48" s="160">
        <v>116781</v>
      </c>
      <c r="D48" s="160">
        <v>882</v>
      </c>
      <c r="E48" s="160">
        <v>84258</v>
      </c>
      <c r="F48" s="160">
        <v>17073</v>
      </c>
    </row>
    <row r="49" spans="1:6">
      <c r="A49" s="160">
        <v>100</v>
      </c>
      <c r="B49" s="160" t="s">
        <v>531</v>
      </c>
      <c r="C49" s="160">
        <v>0</v>
      </c>
      <c r="D49" s="160">
        <v>8</v>
      </c>
      <c r="E49" s="160">
        <v>0</v>
      </c>
      <c r="F49" s="160">
        <v>29</v>
      </c>
    </row>
    <row r="50" spans="1:6">
      <c r="A50" s="160">
        <v>100</v>
      </c>
      <c r="B50" s="160" t="s">
        <v>462</v>
      </c>
      <c r="C50" s="160">
        <v>0</v>
      </c>
      <c r="D50" s="160">
        <v>3855</v>
      </c>
      <c r="E50" s="160">
        <v>0</v>
      </c>
      <c r="F50" s="160">
        <v>31004</v>
      </c>
    </row>
    <row r="51" spans="1:6">
      <c r="A51" s="160">
        <v>100</v>
      </c>
      <c r="B51" s="160" t="s">
        <v>461</v>
      </c>
      <c r="C51" s="160">
        <v>284464</v>
      </c>
      <c r="D51" s="160">
        <v>1148</v>
      </c>
      <c r="E51" s="160">
        <v>229606</v>
      </c>
      <c r="F51" s="160">
        <v>55556</v>
      </c>
    </row>
    <row r="52" spans="1:6">
      <c r="A52" s="160">
        <v>100</v>
      </c>
      <c r="B52" s="160" t="s">
        <v>460</v>
      </c>
      <c r="C52" s="160">
        <v>0</v>
      </c>
      <c r="D52" s="160">
        <v>337</v>
      </c>
      <c r="E52" s="160">
        <v>0</v>
      </c>
      <c r="F52" s="160">
        <v>22464</v>
      </c>
    </row>
    <row r="53" spans="1:6">
      <c r="A53" s="160">
        <v>100</v>
      </c>
      <c r="B53" s="160" t="s">
        <v>459</v>
      </c>
      <c r="C53" s="160">
        <v>0</v>
      </c>
      <c r="D53" s="160">
        <v>270</v>
      </c>
      <c r="E53" s="160">
        <v>0</v>
      </c>
      <c r="F53" s="160">
        <v>12076</v>
      </c>
    </row>
    <row r="54" spans="1:6">
      <c r="A54" s="160">
        <v>100</v>
      </c>
      <c r="B54" s="160" t="s">
        <v>458</v>
      </c>
      <c r="C54" s="160">
        <v>24300</v>
      </c>
      <c r="D54" s="160">
        <v>135</v>
      </c>
      <c r="E54" s="160">
        <v>15513</v>
      </c>
      <c r="F54" s="160">
        <v>448</v>
      </c>
    </row>
    <row r="55" spans="1:6">
      <c r="A55" s="160">
        <v>100</v>
      </c>
      <c r="B55" s="160" t="s">
        <v>457</v>
      </c>
      <c r="C55" s="160">
        <v>32432</v>
      </c>
      <c r="D55" s="160">
        <v>150</v>
      </c>
      <c r="E55" s="160">
        <v>21510</v>
      </c>
      <c r="F55" s="160">
        <v>500</v>
      </c>
    </row>
    <row r="56" spans="1:6">
      <c r="A56" s="160">
        <v>100</v>
      </c>
      <c r="B56" s="160" t="s">
        <v>530</v>
      </c>
      <c r="C56" s="160">
        <v>170230</v>
      </c>
      <c r="D56" s="160">
        <v>680</v>
      </c>
      <c r="E56" s="160">
        <v>86198</v>
      </c>
      <c r="F56" s="160">
        <v>7203</v>
      </c>
    </row>
    <row r="57" spans="1:6">
      <c r="A57" s="160">
        <v>100</v>
      </c>
      <c r="B57" s="160" t="s">
        <v>453</v>
      </c>
      <c r="C57" s="160">
        <v>198581</v>
      </c>
      <c r="D57" s="160">
        <v>1730</v>
      </c>
      <c r="E57" s="160">
        <v>74025</v>
      </c>
      <c r="F57" s="160">
        <v>23851</v>
      </c>
    </row>
    <row r="58" spans="1:6">
      <c r="A58" s="160">
        <v>100</v>
      </c>
      <c r="B58" s="160" t="s">
        <v>452</v>
      </c>
      <c r="C58" s="160">
        <v>0</v>
      </c>
      <c r="D58" s="160">
        <v>538</v>
      </c>
      <c r="E58" s="160">
        <v>0</v>
      </c>
      <c r="F58" s="160">
        <v>35332</v>
      </c>
    </row>
    <row r="59" spans="1:6">
      <c r="A59" s="160">
        <v>100</v>
      </c>
      <c r="B59" s="160" t="s">
        <v>451</v>
      </c>
      <c r="C59" s="160">
        <v>41536</v>
      </c>
      <c r="D59" s="160">
        <v>218</v>
      </c>
      <c r="E59" s="160">
        <v>25778</v>
      </c>
      <c r="F59" s="160">
        <v>965</v>
      </c>
    </row>
    <row r="60" spans="1:6">
      <c r="A60" s="160">
        <v>100</v>
      </c>
      <c r="B60" s="160" t="s">
        <v>450</v>
      </c>
      <c r="C60" s="160">
        <v>0</v>
      </c>
      <c r="D60" s="160">
        <v>598</v>
      </c>
      <c r="E60" s="160">
        <v>0</v>
      </c>
      <c r="F60" s="160">
        <v>5108</v>
      </c>
    </row>
    <row r="61" spans="1:6">
      <c r="A61" s="160">
        <v>100</v>
      </c>
      <c r="B61" s="160" t="s">
        <v>449</v>
      </c>
      <c r="C61" s="160">
        <v>24438</v>
      </c>
      <c r="D61" s="160">
        <v>106</v>
      </c>
      <c r="E61" s="160">
        <v>17632</v>
      </c>
      <c r="F61" s="160">
        <v>596</v>
      </c>
    </row>
    <row r="62" spans="1:6">
      <c r="A62" s="160">
        <v>100</v>
      </c>
      <c r="B62" s="160" t="s">
        <v>448</v>
      </c>
      <c r="C62" s="160">
        <v>0</v>
      </c>
      <c r="D62" s="160">
        <v>158</v>
      </c>
      <c r="E62" s="160">
        <v>0</v>
      </c>
      <c r="F62" s="160">
        <v>2199</v>
      </c>
    </row>
    <row r="63" spans="1:6">
      <c r="A63" s="160">
        <v>100</v>
      </c>
      <c r="B63" s="160" t="s">
        <v>446</v>
      </c>
      <c r="C63" s="160">
        <v>55994</v>
      </c>
      <c r="D63" s="160">
        <v>1220</v>
      </c>
      <c r="E63" s="160">
        <v>37070</v>
      </c>
      <c r="F63" s="160">
        <v>14445</v>
      </c>
    </row>
    <row r="64" spans="1:6">
      <c r="A64" s="160">
        <v>100</v>
      </c>
      <c r="B64" s="160" t="s">
        <v>445</v>
      </c>
      <c r="C64" s="160">
        <v>53250</v>
      </c>
      <c r="D64" s="160">
        <v>474</v>
      </c>
      <c r="E64" s="160">
        <v>30181</v>
      </c>
      <c r="F64" s="160">
        <v>2456</v>
      </c>
    </row>
    <row r="65" spans="1:6">
      <c r="A65" s="160">
        <v>100</v>
      </c>
      <c r="B65" s="160" t="s">
        <v>444</v>
      </c>
      <c r="C65" s="160">
        <v>10836</v>
      </c>
      <c r="D65" s="160">
        <v>42</v>
      </c>
      <c r="E65" s="160">
        <v>4928</v>
      </c>
      <c r="F65" s="160">
        <v>130</v>
      </c>
    </row>
    <row r="66" spans="1:6">
      <c r="A66" s="160">
        <v>100</v>
      </c>
      <c r="B66" s="160" t="s">
        <v>443</v>
      </c>
      <c r="C66" s="160">
        <v>43923</v>
      </c>
      <c r="D66" s="160">
        <v>186</v>
      </c>
      <c r="E66" s="160">
        <v>26909</v>
      </c>
      <c r="F66" s="160">
        <v>1049</v>
      </c>
    </row>
    <row r="67" spans="1:6">
      <c r="A67" s="160">
        <v>100</v>
      </c>
      <c r="B67" s="160" t="s">
        <v>442</v>
      </c>
      <c r="C67" s="160">
        <v>10788</v>
      </c>
      <c r="D67" s="160">
        <v>64</v>
      </c>
      <c r="E67" s="160">
        <v>8906</v>
      </c>
      <c r="F67" s="160">
        <v>141</v>
      </c>
    </row>
    <row r="68" spans="1:6">
      <c r="A68" s="160">
        <v>100</v>
      </c>
      <c r="B68" s="160" t="s">
        <v>500</v>
      </c>
      <c r="C68" s="160">
        <v>17085</v>
      </c>
      <c r="D68" s="160">
        <v>52</v>
      </c>
      <c r="E68" s="160">
        <v>15701</v>
      </c>
      <c r="F68" s="160">
        <v>368</v>
      </c>
    </row>
    <row r="69" spans="1:6">
      <c r="A69" s="160">
        <v>100</v>
      </c>
      <c r="B69" s="160" t="s">
        <v>441</v>
      </c>
      <c r="C69" s="160">
        <v>74924</v>
      </c>
      <c r="D69" s="160">
        <v>1040</v>
      </c>
      <c r="E69" s="160">
        <v>61677</v>
      </c>
      <c r="F69" s="160">
        <v>17965</v>
      </c>
    </row>
    <row r="70" spans="1:6">
      <c r="A70" s="160">
        <v>100</v>
      </c>
      <c r="B70" s="160" t="s">
        <v>440</v>
      </c>
      <c r="C70" s="160">
        <v>105656</v>
      </c>
      <c r="D70" s="160">
        <v>462</v>
      </c>
      <c r="E70" s="160">
        <v>72026</v>
      </c>
      <c r="F70" s="160">
        <v>2004</v>
      </c>
    </row>
    <row r="71" spans="1:6">
      <c r="A71" s="160">
        <v>100</v>
      </c>
      <c r="B71" s="160" t="s">
        <v>904</v>
      </c>
      <c r="C71" s="160">
        <v>0</v>
      </c>
      <c r="D71" s="160">
        <v>2</v>
      </c>
      <c r="E71" s="160">
        <v>0</v>
      </c>
      <c r="F71" s="160">
        <v>5</v>
      </c>
    </row>
    <row r="72" spans="1:6">
      <c r="A72" s="160">
        <v>100</v>
      </c>
      <c r="B72" s="160" t="s">
        <v>439</v>
      </c>
      <c r="C72" s="160">
        <v>53760</v>
      </c>
      <c r="D72" s="160">
        <v>210</v>
      </c>
      <c r="E72" s="160">
        <v>44632</v>
      </c>
      <c r="F72" s="160">
        <v>2235</v>
      </c>
    </row>
    <row r="73" spans="1:6">
      <c r="A73" s="160">
        <v>100</v>
      </c>
      <c r="B73" s="160" t="s">
        <v>438</v>
      </c>
      <c r="C73" s="160">
        <v>0</v>
      </c>
      <c r="D73" s="160">
        <v>8</v>
      </c>
      <c r="E73" s="160">
        <v>0</v>
      </c>
      <c r="F73" s="160">
        <v>114</v>
      </c>
    </row>
    <row r="74" spans="1:6">
      <c r="A74" s="160">
        <v>100</v>
      </c>
      <c r="B74" s="160" t="s">
        <v>437</v>
      </c>
      <c r="C74" s="160">
        <v>0</v>
      </c>
      <c r="D74" s="160">
        <v>5053</v>
      </c>
      <c r="E74" s="160">
        <v>0</v>
      </c>
      <c r="F74" s="160">
        <v>60222</v>
      </c>
    </row>
    <row r="75" spans="1:6">
      <c r="A75" s="160">
        <v>100</v>
      </c>
      <c r="B75" s="160" t="s">
        <v>435</v>
      </c>
      <c r="C75" s="160">
        <v>182093</v>
      </c>
      <c r="D75" s="160">
        <v>749</v>
      </c>
      <c r="E75" s="160">
        <v>150759</v>
      </c>
      <c r="F75" s="160">
        <v>13485</v>
      </c>
    </row>
    <row r="76" spans="1:6">
      <c r="A76" s="160">
        <v>100</v>
      </c>
      <c r="B76" s="160" t="s">
        <v>434</v>
      </c>
      <c r="C76" s="160">
        <v>0</v>
      </c>
      <c r="D76" s="160">
        <v>45</v>
      </c>
      <c r="E76" s="160">
        <v>0</v>
      </c>
      <c r="F76" s="160">
        <v>1</v>
      </c>
    </row>
    <row r="77" spans="1:6">
      <c r="A77" s="160">
        <v>100</v>
      </c>
      <c r="B77" s="160" t="s">
        <v>528</v>
      </c>
      <c r="C77" s="160">
        <v>4624</v>
      </c>
      <c r="D77" s="160">
        <v>18</v>
      </c>
      <c r="E77" s="160">
        <v>1399</v>
      </c>
      <c r="F77" s="160">
        <v>229</v>
      </c>
    </row>
    <row r="78" spans="1:6">
      <c r="A78" s="160">
        <v>100</v>
      </c>
      <c r="B78" s="160" t="s">
        <v>432</v>
      </c>
      <c r="C78" s="160">
        <v>105298</v>
      </c>
      <c r="D78" s="160">
        <v>716</v>
      </c>
      <c r="E78" s="160">
        <v>74125</v>
      </c>
      <c r="F78" s="160">
        <v>10513</v>
      </c>
    </row>
    <row r="79" spans="1:6">
      <c r="A79" s="160">
        <v>100</v>
      </c>
      <c r="B79" s="160" t="s">
        <v>431</v>
      </c>
      <c r="C79" s="160">
        <v>0</v>
      </c>
      <c r="D79" s="160">
        <v>12</v>
      </c>
      <c r="E79" s="160">
        <v>0</v>
      </c>
      <c r="F79" s="160">
        <v>34</v>
      </c>
    </row>
    <row r="80" spans="1:6">
      <c r="A80" s="160">
        <v>100</v>
      </c>
      <c r="B80" s="160" t="s">
        <v>430</v>
      </c>
      <c r="C80" s="160">
        <v>2560</v>
      </c>
      <c r="D80" s="160">
        <v>20</v>
      </c>
      <c r="E80" s="160">
        <v>1146</v>
      </c>
      <c r="F80" s="160">
        <v>37</v>
      </c>
    </row>
    <row r="81" spans="1:6">
      <c r="A81" s="160">
        <v>100</v>
      </c>
      <c r="B81" s="160" t="s">
        <v>497</v>
      </c>
      <c r="C81" s="160">
        <v>0</v>
      </c>
      <c r="D81" s="160">
        <v>4</v>
      </c>
      <c r="E81" s="160">
        <v>0</v>
      </c>
      <c r="F81" s="160">
        <v>38</v>
      </c>
    </row>
    <row r="82" spans="1:6">
      <c r="A82" s="160">
        <v>100</v>
      </c>
      <c r="B82" s="160" t="s">
        <v>428</v>
      </c>
      <c r="C82" s="160">
        <v>234427</v>
      </c>
      <c r="D82" s="160">
        <v>728</v>
      </c>
      <c r="E82" s="160">
        <v>174241</v>
      </c>
      <c r="F82" s="160">
        <v>13810</v>
      </c>
    </row>
    <row r="83" spans="1:6">
      <c r="A83" s="160">
        <v>100</v>
      </c>
      <c r="B83" s="160" t="s">
        <v>427</v>
      </c>
      <c r="C83" s="160">
        <v>147232</v>
      </c>
      <c r="D83" s="160">
        <v>985</v>
      </c>
      <c r="E83" s="160">
        <v>53349</v>
      </c>
      <c r="F83" s="160">
        <v>24664</v>
      </c>
    </row>
    <row r="84" spans="1:6">
      <c r="A84" s="160">
        <v>100</v>
      </c>
      <c r="B84" s="160" t="s">
        <v>426</v>
      </c>
      <c r="C84" s="160">
        <v>0</v>
      </c>
      <c r="D84" s="160">
        <v>624</v>
      </c>
      <c r="E84" s="160">
        <v>0</v>
      </c>
      <c r="F84" s="160">
        <v>22416</v>
      </c>
    </row>
    <row r="85" spans="1:6">
      <c r="A85" s="160">
        <v>100</v>
      </c>
      <c r="B85" s="160" t="s">
        <v>425</v>
      </c>
      <c r="C85" s="160">
        <v>305896</v>
      </c>
      <c r="D85" s="160">
        <v>1347</v>
      </c>
      <c r="E85" s="160">
        <v>261057</v>
      </c>
      <c r="F85" s="160">
        <v>19170</v>
      </c>
    </row>
    <row r="86" spans="1:6">
      <c r="A86" s="160">
        <v>100</v>
      </c>
      <c r="B86" s="160" t="s">
        <v>424</v>
      </c>
      <c r="C86" s="160">
        <v>94587</v>
      </c>
      <c r="D86" s="160">
        <v>332</v>
      </c>
      <c r="E86" s="160">
        <v>66766</v>
      </c>
      <c r="F86" s="160">
        <v>5286</v>
      </c>
    </row>
    <row r="87" spans="1:6">
      <c r="A87" s="160">
        <v>100</v>
      </c>
      <c r="B87" s="160" t="s">
        <v>423</v>
      </c>
      <c r="C87" s="160">
        <v>95136</v>
      </c>
      <c r="D87" s="160">
        <v>444</v>
      </c>
      <c r="E87" s="160">
        <v>77341</v>
      </c>
      <c r="F87" s="160">
        <v>2622</v>
      </c>
    </row>
    <row r="88" spans="1:6">
      <c r="A88" s="160">
        <v>100</v>
      </c>
      <c r="B88" s="160" t="s">
        <v>422</v>
      </c>
      <c r="C88" s="160">
        <v>0</v>
      </c>
      <c r="D88" s="160">
        <v>164</v>
      </c>
      <c r="E88" s="160">
        <v>0</v>
      </c>
      <c r="F88" s="160">
        <v>7706</v>
      </c>
    </row>
    <row r="89" spans="1:6">
      <c r="A89" s="160">
        <v>100</v>
      </c>
      <c r="B89" s="160" t="s">
        <v>420</v>
      </c>
      <c r="C89" s="160">
        <v>0</v>
      </c>
      <c r="D89" s="160">
        <v>1720</v>
      </c>
      <c r="E89" s="160">
        <v>0</v>
      </c>
      <c r="F89" s="160">
        <v>22328</v>
      </c>
    </row>
    <row r="90" spans="1:6">
      <c r="A90" s="160">
        <v>100</v>
      </c>
      <c r="B90" s="160" t="s">
        <v>419</v>
      </c>
      <c r="C90" s="160">
        <v>153333</v>
      </c>
      <c r="D90" s="160">
        <v>1298</v>
      </c>
      <c r="E90" s="160">
        <v>56526</v>
      </c>
      <c r="F90" s="160">
        <v>16826</v>
      </c>
    </row>
    <row r="91" spans="1:6">
      <c r="A91" s="160">
        <v>100</v>
      </c>
      <c r="B91" s="160" t="s">
        <v>418</v>
      </c>
      <c r="C91" s="160">
        <v>322206</v>
      </c>
      <c r="D91" s="160">
        <v>756</v>
      </c>
      <c r="E91" s="160">
        <v>272149</v>
      </c>
      <c r="F91" s="160">
        <v>17439</v>
      </c>
    </row>
    <row r="92" spans="1:6">
      <c r="A92" s="160">
        <v>100</v>
      </c>
      <c r="B92" s="160" t="s">
        <v>414</v>
      </c>
      <c r="C92" s="160">
        <v>0</v>
      </c>
      <c r="D92" s="160">
        <v>7</v>
      </c>
      <c r="E92" s="160">
        <v>0</v>
      </c>
      <c r="F92" s="160">
        <v>297</v>
      </c>
    </row>
    <row r="93" spans="1:6">
      <c r="A93" s="160">
        <v>100</v>
      </c>
      <c r="B93" s="160" t="s">
        <v>413</v>
      </c>
      <c r="C93" s="160">
        <v>0</v>
      </c>
      <c r="D93" s="160">
        <v>4965</v>
      </c>
      <c r="E93" s="160">
        <v>0</v>
      </c>
      <c r="F93" s="160">
        <v>64300</v>
      </c>
    </row>
    <row r="94" spans="1:6">
      <c r="A94" s="160">
        <v>100</v>
      </c>
      <c r="B94" s="160" t="s">
        <v>412</v>
      </c>
      <c r="C94" s="160">
        <v>20898</v>
      </c>
      <c r="D94" s="160">
        <v>86</v>
      </c>
      <c r="E94" s="160">
        <v>12091</v>
      </c>
      <c r="F94" s="160">
        <v>977</v>
      </c>
    </row>
    <row r="95" spans="1:6">
      <c r="A95" s="160">
        <v>100</v>
      </c>
      <c r="B95" s="160" t="s">
        <v>410</v>
      </c>
      <c r="C95" s="160">
        <v>170010</v>
      </c>
      <c r="D95" s="160">
        <v>1126</v>
      </c>
      <c r="E95" s="160">
        <v>144447</v>
      </c>
      <c r="F95" s="160">
        <v>11384</v>
      </c>
    </row>
    <row r="96" spans="1:6">
      <c r="A96" s="160">
        <v>100</v>
      </c>
      <c r="B96" s="160" t="s">
        <v>905</v>
      </c>
      <c r="C96" s="160">
        <v>0</v>
      </c>
      <c r="D96" s="160">
        <v>32</v>
      </c>
      <c r="E96" s="160">
        <v>0</v>
      </c>
      <c r="F96" s="160">
        <v>381</v>
      </c>
    </row>
    <row r="97" spans="1:6">
      <c r="A97" s="160">
        <v>100</v>
      </c>
      <c r="B97" s="160" t="s">
        <v>409</v>
      </c>
      <c r="C97" s="160">
        <v>408746</v>
      </c>
      <c r="D97" s="160">
        <v>1474</v>
      </c>
      <c r="E97" s="160">
        <v>351813</v>
      </c>
      <c r="F97" s="160">
        <v>20363</v>
      </c>
    </row>
    <row r="98" spans="1:6">
      <c r="A98" s="160">
        <v>100</v>
      </c>
      <c r="B98" s="160" t="s">
        <v>492</v>
      </c>
      <c r="C98" s="160">
        <v>0</v>
      </c>
      <c r="D98" s="160">
        <v>32</v>
      </c>
      <c r="E98" s="160">
        <v>0</v>
      </c>
      <c r="F98" s="160">
        <v>283</v>
      </c>
    </row>
    <row r="99" spans="1:6">
      <c r="A99" s="160">
        <v>100</v>
      </c>
      <c r="B99" s="160" t="s">
        <v>408</v>
      </c>
      <c r="C99" s="160">
        <v>0</v>
      </c>
      <c r="D99" s="160">
        <v>336</v>
      </c>
      <c r="E99" s="160">
        <v>0</v>
      </c>
      <c r="F99" s="160">
        <v>22113</v>
      </c>
    </row>
    <row r="100" spans="1:6">
      <c r="A100" s="160">
        <v>100</v>
      </c>
      <c r="B100" s="160" t="s">
        <v>406</v>
      </c>
      <c r="C100" s="160">
        <v>9646</v>
      </c>
      <c r="D100" s="160">
        <v>63</v>
      </c>
      <c r="E100" s="160">
        <v>3655</v>
      </c>
      <c r="F100" s="160">
        <v>111</v>
      </c>
    </row>
    <row r="101" spans="1:6">
      <c r="A101" s="160">
        <v>100</v>
      </c>
      <c r="B101" s="160" t="s">
        <v>405</v>
      </c>
      <c r="C101" s="160">
        <v>231152</v>
      </c>
      <c r="D101" s="160">
        <v>714</v>
      </c>
      <c r="E101" s="160">
        <v>174428</v>
      </c>
      <c r="F101" s="160">
        <v>3872</v>
      </c>
    </row>
    <row r="102" spans="1:6">
      <c r="A102" s="160">
        <v>100</v>
      </c>
      <c r="B102" s="160" t="s">
        <v>404</v>
      </c>
      <c r="C102" s="160">
        <v>32400</v>
      </c>
      <c r="D102" s="160">
        <v>171</v>
      </c>
      <c r="E102" s="160">
        <v>19698</v>
      </c>
      <c r="F102" s="160">
        <v>408</v>
      </c>
    </row>
    <row r="103" spans="1:6">
      <c r="A103" s="160">
        <v>100</v>
      </c>
      <c r="B103" s="160" t="s">
        <v>488</v>
      </c>
      <c r="C103" s="160">
        <v>35476</v>
      </c>
      <c r="D103" s="160">
        <v>128</v>
      </c>
      <c r="E103" s="160">
        <v>23931</v>
      </c>
      <c r="F103" s="160">
        <v>1854</v>
      </c>
    </row>
    <row r="104" spans="1:6">
      <c r="A104" s="160">
        <v>100</v>
      </c>
      <c r="B104" s="160" t="s">
        <v>403</v>
      </c>
      <c r="C104" s="160">
        <v>244198</v>
      </c>
      <c r="D104" s="160">
        <v>821</v>
      </c>
      <c r="E104" s="160">
        <v>125150</v>
      </c>
      <c r="F104" s="160">
        <v>5075</v>
      </c>
    </row>
    <row r="105" spans="1:6">
      <c r="A105" s="160">
        <v>100</v>
      </c>
      <c r="B105" s="160" t="s">
        <v>402</v>
      </c>
      <c r="C105" s="160">
        <v>14820</v>
      </c>
      <c r="D105" s="160">
        <v>52</v>
      </c>
      <c r="E105" s="160">
        <v>8417</v>
      </c>
      <c r="F105" s="160">
        <v>195</v>
      </c>
    </row>
    <row r="106" spans="1:6">
      <c r="A106" s="160">
        <v>100</v>
      </c>
      <c r="B106" s="160" t="s">
        <v>401</v>
      </c>
      <c r="C106" s="160">
        <v>25696</v>
      </c>
      <c r="D106" s="160">
        <v>146</v>
      </c>
      <c r="E106" s="160">
        <v>18738</v>
      </c>
      <c r="F106" s="160">
        <v>521</v>
      </c>
    </row>
    <row r="107" spans="1:6">
      <c r="A107" s="160">
        <v>100</v>
      </c>
      <c r="B107" s="160" t="s">
        <v>487</v>
      </c>
      <c r="C107" s="160">
        <v>35996</v>
      </c>
      <c r="D107" s="160">
        <v>192</v>
      </c>
      <c r="E107" s="160">
        <v>20161</v>
      </c>
      <c r="F107" s="160">
        <v>2410</v>
      </c>
    </row>
    <row r="108" spans="1:6">
      <c r="A108" s="160">
        <v>100</v>
      </c>
      <c r="B108" s="160" t="s">
        <v>399</v>
      </c>
      <c r="C108" s="160">
        <v>1297810</v>
      </c>
      <c r="D108" s="160">
        <v>5648</v>
      </c>
      <c r="E108" s="160">
        <v>947613</v>
      </c>
      <c r="F108" s="160">
        <v>14306</v>
      </c>
    </row>
    <row r="109" spans="1:6">
      <c r="A109" s="160">
        <v>100</v>
      </c>
      <c r="B109" s="160" t="s">
        <v>398</v>
      </c>
      <c r="C109" s="160">
        <v>4488</v>
      </c>
      <c r="D109" s="160">
        <v>28</v>
      </c>
      <c r="E109" s="160">
        <v>2346</v>
      </c>
      <c r="F109" s="160">
        <v>44</v>
      </c>
    </row>
    <row r="110" spans="1:6">
      <c r="A110" s="160">
        <v>100</v>
      </c>
      <c r="B110" s="160" t="s">
        <v>397</v>
      </c>
      <c r="C110" s="160">
        <v>174</v>
      </c>
      <c r="D110" s="160">
        <v>2</v>
      </c>
      <c r="E110" s="160">
        <v>36</v>
      </c>
      <c r="F110" s="160">
        <v>1</v>
      </c>
    </row>
    <row r="111" spans="1:6">
      <c r="A111" s="160">
        <v>100</v>
      </c>
      <c r="B111" s="160" t="s">
        <v>396</v>
      </c>
      <c r="C111" s="160">
        <v>0</v>
      </c>
      <c r="D111" s="160">
        <v>11</v>
      </c>
      <c r="E111" s="160">
        <v>0</v>
      </c>
      <c r="F111" s="160">
        <v>286</v>
      </c>
    </row>
    <row r="112" spans="1:6">
      <c r="A112" s="160">
        <v>100</v>
      </c>
      <c r="B112" s="160" t="s">
        <v>395</v>
      </c>
      <c r="C112" s="160">
        <v>666305</v>
      </c>
      <c r="D112" s="160">
        <v>2505</v>
      </c>
      <c r="E112" s="160">
        <v>509557</v>
      </c>
      <c r="F112" s="160">
        <v>24908</v>
      </c>
    </row>
    <row r="113" spans="1:6">
      <c r="A113" s="160">
        <v>100</v>
      </c>
      <c r="B113" s="160" t="s">
        <v>860</v>
      </c>
      <c r="C113" s="160">
        <v>98798</v>
      </c>
      <c r="D113" s="160">
        <v>644</v>
      </c>
      <c r="E113" s="160">
        <v>80402</v>
      </c>
      <c r="F113" s="160">
        <v>4235</v>
      </c>
    </row>
    <row r="114" spans="1:6">
      <c r="A114" s="160">
        <v>100</v>
      </c>
      <c r="B114" s="160" t="s">
        <v>486</v>
      </c>
      <c r="C114" s="160">
        <v>42498</v>
      </c>
      <c r="D114" s="160">
        <v>298</v>
      </c>
      <c r="E114" s="160">
        <v>24653</v>
      </c>
      <c r="F114" s="160">
        <v>991</v>
      </c>
    </row>
    <row r="115" spans="1:6">
      <c r="A115" s="160">
        <v>100</v>
      </c>
      <c r="B115" s="160" t="s">
        <v>521</v>
      </c>
      <c r="C115" s="160">
        <v>8820</v>
      </c>
      <c r="D115" s="160">
        <v>96</v>
      </c>
      <c r="E115" s="160">
        <v>5844</v>
      </c>
      <c r="F115" s="160">
        <v>293</v>
      </c>
    </row>
    <row r="116" spans="1:6">
      <c r="A116" s="160">
        <v>100</v>
      </c>
      <c r="B116" s="160" t="s">
        <v>393</v>
      </c>
      <c r="C116" s="160">
        <v>171524</v>
      </c>
      <c r="D116" s="160">
        <v>1024</v>
      </c>
      <c r="E116" s="160">
        <v>137052</v>
      </c>
      <c r="F116" s="160">
        <v>5405</v>
      </c>
    </row>
    <row r="117" spans="1:6">
      <c r="A117" s="160">
        <v>100</v>
      </c>
      <c r="B117" s="160" t="s">
        <v>906</v>
      </c>
      <c r="C117" s="160">
        <v>0</v>
      </c>
      <c r="D117" s="160">
        <v>4</v>
      </c>
      <c r="E117" s="160">
        <v>0</v>
      </c>
      <c r="F117" s="160">
        <v>1</v>
      </c>
    </row>
    <row r="118" spans="1:6">
      <c r="A118" s="160">
        <v>100</v>
      </c>
      <c r="B118" s="160" t="s">
        <v>392</v>
      </c>
      <c r="C118" s="160">
        <v>107296</v>
      </c>
      <c r="D118" s="160">
        <v>676</v>
      </c>
      <c r="E118" s="160">
        <v>76306</v>
      </c>
      <c r="F118" s="160">
        <v>11232</v>
      </c>
    </row>
    <row r="119" spans="1:6">
      <c r="A119" s="160">
        <v>100</v>
      </c>
      <c r="B119" s="160" t="s">
        <v>519</v>
      </c>
      <c r="C119" s="160">
        <v>0</v>
      </c>
      <c r="D119" s="160">
        <v>4</v>
      </c>
      <c r="E119" s="160">
        <v>0</v>
      </c>
      <c r="F119" s="160">
        <v>29</v>
      </c>
    </row>
    <row r="120" spans="1:6">
      <c r="A120" s="160">
        <v>100</v>
      </c>
      <c r="B120" s="160" t="s">
        <v>874</v>
      </c>
      <c r="C120" s="160">
        <v>0</v>
      </c>
      <c r="D120" s="160">
        <v>516</v>
      </c>
      <c r="E120" s="160">
        <v>0</v>
      </c>
      <c r="F120" s="160">
        <v>4708</v>
      </c>
    </row>
    <row r="121" spans="1:6">
      <c r="A121" s="160">
        <v>100</v>
      </c>
      <c r="B121" s="160" t="s">
        <v>390</v>
      </c>
      <c r="C121" s="160">
        <v>0</v>
      </c>
      <c r="D121" s="160">
        <v>1979</v>
      </c>
      <c r="E121" s="160">
        <v>0</v>
      </c>
      <c r="F121" s="160">
        <v>16596</v>
      </c>
    </row>
    <row r="122" spans="1:6">
      <c r="A122" s="160">
        <v>100</v>
      </c>
      <c r="B122" s="160" t="s">
        <v>389</v>
      </c>
      <c r="C122" s="160">
        <v>310608</v>
      </c>
      <c r="D122" s="160">
        <v>1000</v>
      </c>
      <c r="E122" s="160">
        <v>255339</v>
      </c>
      <c r="F122" s="160">
        <v>13808</v>
      </c>
    </row>
    <row r="123" spans="1:6">
      <c r="A123" s="160">
        <v>100</v>
      </c>
      <c r="B123" s="160" t="s">
        <v>388</v>
      </c>
      <c r="C123" s="160">
        <v>7638</v>
      </c>
      <c r="D123" s="160">
        <v>19</v>
      </c>
      <c r="E123" s="160">
        <v>3733</v>
      </c>
      <c r="F123" s="160">
        <v>403</v>
      </c>
    </row>
    <row r="124" spans="1:6">
      <c r="A124" s="160">
        <v>100</v>
      </c>
      <c r="B124" s="160" t="s">
        <v>387</v>
      </c>
      <c r="C124" s="160">
        <v>51432</v>
      </c>
      <c r="D124" s="160">
        <v>357</v>
      </c>
      <c r="E124" s="160">
        <v>36297</v>
      </c>
      <c r="F124" s="160">
        <v>859</v>
      </c>
    </row>
    <row r="125" spans="1:6">
      <c r="A125" s="160">
        <v>100</v>
      </c>
      <c r="B125" s="160" t="s">
        <v>516</v>
      </c>
      <c r="C125" s="160">
        <v>0</v>
      </c>
      <c r="D125" s="160">
        <v>3</v>
      </c>
      <c r="E125" s="160">
        <v>0</v>
      </c>
      <c r="F125" s="160">
        <v>49</v>
      </c>
    </row>
    <row r="126" spans="1:6">
      <c r="A126" s="160">
        <v>100</v>
      </c>
      <c r="B126" s="160" t="s">
        <v>386</v>
      </c>
      <c r="C126" s="160">
        <v>535926</v>
      </c>
      <c r="D126" s="160">
        <v>1833</v>
      </c>
      <c r="E126" s="160">
        <v>443536</v>
      </c>
      <c r="F126" s="160">
        <v>21141</v>
      </c>
    </row>
    <row r="127" spans="1:6">
      <c r="A127" s="160">
        <v>100</v>
      </c>
      <c r="B127" s="160" t="s">
        <v>483</v>
      </c>
      <c r="C127" s="160">
        <v>40414</v>
      </c>
      <c r="D127" s="160">
        <v>167</v>
      </c>
      <c r="E127" s="160">
        <v>32965</v>
      </c>
      <c r="F127" s="160">
        <v>2309</v>
      </c>
    </row>
    <row r="128" spans="1:6">
      <c r="A128" s="160">
        <v>100</v>
      </c>
      <c r="B128" s="160" t="s">
        <v>385</v>
      </c>
      <c r="C128" s="160">
        <v>133474</v>
      </c>
      <c r="D128" s="160">
        <v>741</v>
      </c>
      <c r="E128" s="160">
        <v>79906</v>
      </c>
      <c r="F128" s="160">
        <v>5836</v>
      </c>
    </row>
    <row r="129" spans="1:6">
      <c r="A129" s="160">
        <v>100</v>
      </c>
      <c r="B129" s="160" t="s">
        <v>482</v>
      </c>
      <c r="C129" s="160">
        <v>0</v>
      </c>
      <c r="D129" s="160">
        <v>45</v>
      </c>
      <c r="E129" s="160">
        <v>0</v>
      </c>
      <c r="F129" s="160">
        <v>1750</v>
      </c>
    </row>
    <row r="130" spans="1:6">
      <c r="A130" s="160">
        <v>100</v>
      </c>
      <c r="B130" s="160" t="s">
        <v>384</v>
      </c>
      <c r="C130" s="160">
        <v>65381</v>
      </c>
      <c r="D130" s="160">
        <v>245</v>
      </c>
      <c r="E130" s="160">
        <v>39346</v>
      </c>
      <c r="F130" s="160">
        <v>3815</v>
      </c>
    </row>
    <row r="131" spans="1:6">
      <c r="A131" s="160">
        <v>100</v>
      </c>
      <c r="B131" s="160" t="s">
        <v>383</v>
      </c>
      <c r="C131" s="160">
        <v>0</v>
      </c>
      <c r="D131" s="160">
        <v>168</v>
      </c>
      <c r="E131" s="160">
        <v>0</v>
      </c>
      <c r="F131" s="160">
        <v>1493</v>
      </c>
    </row>
    <row r="132" spans="1:6">
      <c r="A132" s="160">
        <v>100</v>
      </c>
      <c r="B132" s="160" t="s">
        <v>513</v>
      </c>
      <c r="C132" s="160">
        <v>8280</v>
      </c>
      <c r="D132" s="160">
        <v>48</v>
      </c>
      <c r="E132" s="160">
        <v>6056</v>
      </c>
      <c r="F132" s="160">
        <v>63</v>
      </c>
    </row>
    <row r="133" spans="1:6">
      <c r="A133" s="160">
        <v>100</v>
      </c>
      <c r="B133" s="160" t="s">
        <v>512</v>
      </c>
      <c r="C133" s="160">
        <v>0</v>
      </c>
      <c r="D133" s="160">
        <v>6</v>
      </c>
      <c r="E133" s="160">
        <v>0</v>
      </c>
      <c r="F133" s="160">
        <v>48</v>
      </c>
    </row>
    <row r="134" spans="1:6">
      <c r="A134" s="160">
        <v>100</v>
      </c>
      <c r="B134" s="160" t="s">
        <v>907</v>
      </c>
      <c r="C134" s="160">
        <v>0</v>
      </c>
      <c r="D134" s="160">
        <v>48</v>
      </c>
      <c r="E134" s="160">
        <v>0</v>
      </c>
      <c r="F134" s="160">
        <v>420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4.4"/>
  <cols>
    <col min="1" max="1" width="5" style="160" bestFit="1" customWidth="1"/>
    <col min="2" max="2" width="38.44140625" style="160" bestFit="1" customWidth="1"/>
    <col min="3" max="3" width="10.44140625" style="160" bestFit="1" customWidth="1"/>
    <col min="4" max="4" width="8.33203125" style="160" bestFit="1" customWidth="1"/>
    <col min="5" max="5" width="10.44140625" style="160" bestFit="1" customWidth="1"/>
    <col min="6" max="6" width="8.44140625" style="160" bestFit="1" customWidth="1"/>
    <col min="7" max="16384" width="31" style="160"/>
  </cols>
  <sheetData>
    <row r="1" spans="1:6">
      <c r="A1" s="159" t="s">
        <v>843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</row>
    <row r="2" spans="1:6">
      <c r="A2" s="160">
        <v>0</v>
      </c>
      <c r="B2" s="160" t="s">
        <v>372</v>
      </c>
      <c r="C2" s="160">
        <v>155852832</v>
      </c>
      <c r="D2" s="160">
        <v>793427</v>
      </c>
      <c r="E2" s="160">
        <v>133588039</v>
      </c>
      <c r="F2" s="160">
        <v>4166357</v>
      </c>
    </row>
    <row r="3" spans="1:6">
      <c r="A3" s="160">
        <v>1</v>
      </c>
      <c r="B3" s="160" t="s">
        <v>908</v>
      </c>
      <c r="C3" s="160">
        <v>14316433</v>
      </c>
      <c r="D3" s="160">
        <v>72639</v>
      </c>
      <c r="E3" s="160">
        <v>11948032</v>
      </c>
      <c r="F3" s="160">
        <v>381959</v>
      </c>
    </row>
    <row r="4" spans="1:6">
      <c r="A4" s="160">
        <v>1</v>
      </c>
      <c r="B4" s="160" t="s">
        <v>909</v>
      </c>
      <c r="C4" s="160">
        <v>13651641</v>
      </c>
      <c r="D4" s="160">
        <v>69565</v>
      </c>
      <c r="E4" s="160">
        <v>11570899</v>
      </c>
      <c r="F4" s="160">
        <v>370990</v>
      </c>
    </row>
    <row r="5" spans="1:6">
      <c r="A5" s="160">
        <v>1</v>
      </c>
      <c r="B5" s="160" t="s">
        <v>910</v>
      </c>
      <c r="C5" s="160">
        <v>14402461</v>
      </c>
      <c r="D5" s="160">
        <v>72753</v>
      </c>
      <c r="E5" s="160">
        <v>12497747</v>
      </c>
      <c r="F5" s="160">
        <v>370858</v>
      </c>
    </row>
    <row r="6" spans="1:6">
      <c r="A6" s="160">
        <v>1</v>
      </c>
      <c r="B6" s="160" t="s">
        <v>911</v>
      </c>
      <c r="C6" s="160">
        <v>13446807</v>
      </c>
      <c r="D6" s="160">
        <v>68494</v>
      </c>
      <c r="E6" s="160">
        <v>11200926</v>
      </c>
      <c r="F6" s="160">
        <v>352527</v>
      </c>
    </row>
    <row r="7" spans="1:6">
      <c r="A7" s="160">
        <v>1</v>
      </c>
      <c r="B7" s="160" t="s">
        <v>912</v>
      </c>
      <c r="C7" s="160">
        <v>13896983</v>
      </c>
      <c r="D7" s="160">
        <v>70343</v>
      </c>
      <c r="E7" s="160">
        <v>12222751</v>
      </c>
      <c r="F7" s="160">
        <v>360097</v>
      </c>
    </row>
    <row r="8" spans="1:6">
      <c r="A8" s="160">
        <v>1</v>
      </c>
      <c r="B8" s="160" t="s">
        <v>913</v>
      </c>
      <c r="C8" s="160">
        <v>13684976</v>
      </c>
      <c r="D8" s="160">
        <v>69339</v>
      </c>
      <c r="E8" s="160">
        <v>11643666</v>
      </c>
      <c r="F8" s="160">
        <v>357750</v>
      </c>
    </row>
    <row r="9" spans="1:6">
      <c r="A9" s="160">
        <v>1</v>
      </c>
      <c r="B9" s="160" t="s">
        <v>914</v>
      </c>
      <c r="C9" s="160">
        <v>12981028</v>
      </c>
      <c r="D9" s="160">
        <v>66072</v>
      </c>
      <c r="E9" s="160">
        <v>11247581</v>
      </c>
      <c r="F9" s="160">
        <v>341374</v>
      </c>
    </row>
    <row r="10" spans="1:6">
      <c r="A10" s="160">
        <v>1</v>
      </c>
      <c r="B10" s="160" t="s">
        <v>915</v>
      </c>
      <c r="C10" s="160">
        <v>13216558</v>
      </c>
      <c r="D10" s="160">
        <v>66845</v>
      </c>
      <c r="E10" s="160">
        <v>11072342</v>
      </c>
      <c r="F10" s="160">
        <v>328183</v>
      </c>
    </row>
    <row r="11" spans="1:6">
      <c r="A11" s="160">
        <v>1</v>
      </c>
      <c r="B11" s="160" t="s">
        <v>916</v>
      </c>
      <c r="C11" s="160">
        <v>12243293</v>
      </c>
      <c r="D11" s="160">
        <v>62430</v>
      </c>
      <c r="E11" s="160">
        <v>10458043</v>
      </c>
      <c r="F11" s="160">
        <v>329242</v>
      </c>
    </row>
    <row r="12" spans="1:6">
      <c r="A12" s="160">
        <v>1</v>
      </c>
      <c r="B12" s="160" t="s">
        <v>917</v>
      </c>
      <c r="C12" s="160">
        <v>11871844</v>
      </c>
      <c r="D12" s="160">
        <v>61182</v>
      </c>
      <c r="E12" s="160">
        <v>9982204</v>
      </c>
      <c r="F12" s="160">
        <v>344820</v>
      </c>
    </row>
    <row r="13" spans="1:6">
      <c r="A13" s="160">
        <v>1</v>
      </c>
      <c r="B13" s="160" t="s">
        <v>918</v>
      </c>
      <c r="C13" s="160">
        <v>10730314</v>
      </c>
      <c r="D13" s="160">
        <v>55121</v>
      </c>
      <c r="E13" s="160">
        <v>9770828</v>
      </c>
      <c r="F13" s="160">
        <v>312839</v>
      </c>
    </row>
    <row r="14" spans="1:6">
      <c r="A14" s="160">
        <v>1</v>
      </c>
      <c r="B14" s="160" t="s">
        <v>919</v>
      </c>
      <c r="C14" s="160">
        <v>11410494</v>
      </c>
      <c r="D14" s="160">
        <v>58644</v>
      </c>
      <c r="E14" s="160">
        <v>9973020</v>
      </c>
      <c r="F14" s="160">
        <v>315719</v>
      </c>
    </row>
    <row r="15" spans="1:6" s="161" customFormat="1">
      <c r="A15" s="161">
        <v>2</v>
      </c>
      <c r="B15" s="161" t="s">
        <v>373</v>
      </c>
      <c r="C15" s="161">
        <v>128552398</v>
      </c>
      <c r="D15" s="161">
        <v>652159</v>
      </c>
      <c r="E15" s="161">
        <v>112378126</v>
      </c>
      <c r="F15" s="161">
        <v>2968321</v>
      </c>
    </row>
    <row r="16" spans="1:6">
      <c r="A16" s="160">
        <v>3</v>
      </c>
      <c r="B16" s="160" t="s">
        <v>374</v>
      </c>
      <c r="C16" s="160">
        <v>31623215</v>
      </c>
      <c r="D16" s="160">
        <v>162366</v>
      </c>
      <c r="E16" s="160">
        <v>26549034</v>
      </c>
      <c r="F16" s="160">
        <v>1607667</v>
      </c>
    </row>
    <row r="17" spans="1:6">
      <c r="A17" s="160">
        <v>4</v>
      </c>
      <c r="B17" s="160" t="s">
        <v>375</v>
      </c>
      <c r="C17" s="160">
        <v>23348419</v>
      </c>
      <c r="D17" s="160">
        <v>110303</v>
      </c>
      <c r="E17" s="160">
        <v>19162423</v>
      </c>
      <c r="F17" s="160">
        <v>810298</v>
      </c>
    </row>
    <row r="18" spans="1:6">
      <c r="A18" s="160">
        <v>5</v>
      </c>
      <c r="B18" s="160" t="s">
        <v>376</v>
      </c>
      <c r="C18" s="160">
        <v>18909549</v>
      </c>
      <c r="D18" s="160">
        <v>101703</v>
      </c>
      <c r="E18" s="160">
        <v>17368133</v>
      </c>
      <c r="F18" s="160">
        <v>142723</v>
      </c>
    </row>
    <row r="19" spans="1:6">
      <c r="A19" s="160">
        <v>6</v>
      </c>
      <c r="B19" s="160" t="s">
        <v>377</v>
      </c>
      <c r="C19" s="160">
        <v>16624484</v>
      </c>
      <c r="D19" s="160">
        <v>82949</v>
      </c>
      <c r="E19" s="160">
        <v>14728863</v>
      </c>
      <c r="F19" s="160">
        <v>110755</v>
      </c>
    </row>
    <row r="20" spans="1:6">
      <c r="A20" s="160">
        <v>7</v>
      </c>
      <c r="B20" s="160" t="s">
        <v>378</v>
      </c>
      <c r="C20" s="160">
        <v>12860469</v>
      </c>
      <c r="D20" s="160">
        <v>64100</v>
      </c>
      <c r="E20" s="160">
        <v>11406451</v>
      </c>
      <c r="F20" s="160">
        <v>73898</v>
      </c>
    </row>
    <row r="21" spans="1:6">
      <c r="A21" s="160">
        <v>8</v>
      </c>
      <c r="B21" s="160" t="s">
        <v>379</v>
      </c>
      <c r="C21" s="160">
        <v>3986766</v>
      </c>
      <c r="D21" s="160">
        <v>21104</v>
      </c>
      <c r="E21" s="160">
        <v>3754624</v>
      </c>
      <c r="F21" s="160">
        <v>16902</v>
      </c>
    </row>
    <row r="22" spans="1:6">
      <c r="A22" s="160">
        <v>9</v>
      </c>
      <c r="B22" s="160" t="s">
        <v>380</v>
      </c>
      <c r="C22" s="160">
        <v>15698524</v>
      </c>
      <c r="D22" s="160">
        <v>80312</v>
      </c>
      <c r="E22" s="160">
        <v>14491778</v>
      </c>
      <c r="F22" s="160">
        <v>108685</v>
      </c>
    </row>
    <row r="23" spans="1:6">
      <c r="A23" s="160">
        <v>10</v>
      </c>
      <c r="B23" s="160" t="s">
        <v>856</v>
      </c>
      <c r="C23" s="160">
        <v>0</v>
      </c>
      <c r="D23" s="160">
        <v>3556</v>
      </c>
      <c r="E23" s="160">
        <v>0</v>
      </c>
      <c r="F23" s="160">
        <v>39323</v>
      </c>
    </row>
    <row r="24" spans="1:6">
      <c r="A24" s="160">
        <v>11</v>
      </c>
      <c r="B24" s="160" t="s">
        <v>381</v>
      </c>
      <c r="C24" s="160">
        <v>3247090</v>
      </c>
      <c r="D24" s="160">
        <v>15381</v>
      </c>
      <c r="E24" s="160">
        <v>3015076</v>
      </c>
      <c r="F24" s="160">
        <v>20046</v>
      </c>
    </row>
    <row r="25" spans="1:6">
      <c r="A25" s="160">
        <v>12</v>
      </c>
      <c r="B25" s="160" t="s">
        <v>511</v>
      </c>
      <c r="C25" s="160">
        <v>778141</v>
      </c>
      <c r="D25" s="160">
        <v>2432</v>
      </c>
      <c r="E25" s="160">
        <v>674547</v>
      </c>
      <c r="F25" s="160">
        <v>30228</v>
      </c>
    </row>
    <row r="26" spans="1:6">
      <c r="A26" s="160">
        <v>13</v>
      </c>
      <c r="B26" s="160" t="s">
        <v>510</v>
      </c>
      <c r="C26" s="160">
        <v>1107000</v>
      </c>
      <c r="D26" s="160">
        <v>6150</v>
      </c>
      <c r="E26" s="160">
        <v>970543</v>
      </c>
      <c r="F26" s="160">
        <v>5859</v>
      </c>
    </row>
    <row r="27" spans="1:6">
      <c r="A27" s="160">
        <v>14</v>
      </c>
      <c r="B27" s="160" t="s">
        <v>857</v>
      </c>
      <c r="C27" s="160">
        <v>368741</v>
      </c>
      <c r="D27" s="160">
        <v>1803</v>
      </c>
      <c r="E27" s="160">
        <v>256654</v>
      </c>
      <c r="F27" s="160">
        <v>1935</v>
      </c>
    </row>
    <row r="28" spans="1:6">
      <c r="A28" s="160">
        <v>99</v>
      </c>
      <c r="B28" s="160" t="s">
        <v>382</v>
      </c>
      <c r="C28" s="160">
        <v>27300434</v>
      </c>
      <c r="D28" s="160">
        <v>141268</v>
      </c>
      <c r="E28" s="160">
        <v>21209913</v>
      </c>
      <c r="F28" s="160">
        <v>1198037</v>
      </c>
    </row>
    <row r="29" spans="1:6">
      <c r="A29" s="160">
        <v>100</v>
      </c>
      <c r="B29" s="160" t="s">
        <v>858</v>
      </c>
      <c r="C29" s="160">
        <v>7642</v>
      </c>
      <c r="D29" s="160">
        <v>78</v>
      </c>
      <c r="E29" s="160">
        <v>6851</v>
      </c>
      <c r="F29" s="160">
        <v>88</v>
      </c>
    </row>
    <row r="30" spans="1:6">
      <c r="A30" s="160">
        <v>100</v>
      </c>
      <c r="B30" s="160" t="s">
        <v>481</v>
      </c>
      <c r="C30" s="160">
        <v>83444</v>
      </c>
      <c r="D30" s="160">
        <v>424</v>
      </c>
      <c r="E30" s="160">
        <v>69815</v>
      </c>
      <c r="F30" s="160">
        <v>1567</v>
      </c>
    </row>
    <row r="31" spans="1:6">
      <c r="A31" s="160">
        <v>100</v>
      </c>
      <c r="B31" s="160" t="s">
        <v>480</v>
      </c>
      <c r="C31" s="160">
        <v>435568</v>
      </c>
      <c r="D31" s="160">
        <v>2120</v>
      </c>
      <c r="E31" s="160">
        <v>370523</v>
      </c>
      <c r="F31" s="160">
        <v>4044</v>
      </c>
    </row>
    <row r="32" spans="1:6">
      <c r="A32" s="160">
        <v>100</v>
      </c>
      <c r="B32" s="160" t="s">
        <v>508</v>
      </c>
      <c r="C32" s="160">
        <v>108576</v>
      </c>
      <c r="D32" s="160">
        <v>424</v>
      </c>
      <c r="E32" s="160">
        <v>93299</v>
      </c>
      <c r="F32" s="160">
        <v>2800</v>
      </c>
    </row>
    <row r="33" spans="1:6">
      <c r="A33" s="160">
        <v>100</v>
      </c>
      <c r="B33" s="160" t="s">
        <v>902</v>
      </c>
      <c r="C33" s="160">
        <v>508</v>
      </c>
      <c r="D33" s="160">
        <v>2</v>
      </c>
      <c r="E33" s="160">
        <v>160</v>
      </c>
      <c r="F33" s="160">
        <v>5</v>
      </c>
    </row>
    <row r="34" spans="1:6">
      <c r="A34" s="160">
        <v>100</v>
      </c>
      <c r="B34" s="160" t="s">
        <v>903</v>
      </c>
      <c r="C34" s="160">
        <v>7008</v>
      </c>
      <c r="D34" s="160">
        <v>24</v>
      </c>
      <c r="E34" s="160">
        <v>4891</v>
      </c>
      <c r="F34" s="160">
        <v>155</v>
      </c>
    </row>
    <row r="35" spans="1:6">
      <c r="A35" s="160">
        <v>100</v>
      </c>
      <c r="B35" s="160" t="s">
        <v>479</v>
      </c>
      <c r="C35" s="160">
        <v>153768</v>
      </c>
      <c r="D35" s="160">
        <v>525</v>
      </c>
      <c r="E35" s="160">
        <v>128789</v>
      </c>
      <c r="F35" s="160">
        <v>8058</v>
      </c>
    </row>
    <row r="36" spans="1:6">
      <c r="A36" s="160">
        <v>100</v>
      </c>
      <c r="B36" s="160" t="s">
        <v>478</v>
      </c>
      <c r="C36" s="160">
        <v>824371</v>
      </c>
      <c r="D36" s="160">
        <v>3809</v>
      </c>
      <c r="E36" s="160">
        <v>649622</v>
      </c>
      <c r="F36" s="160">
        <v>12535</v>
      </c>
    </row>
    <row r="37" spans="1:6">
      <c r="A37" s="160">
        <v>100</v>
      </c>
      <c r="B37" s="160" t="s">
        <v>477</v>
      </c>
      <c r="C37" s="160">
        <v>314706</v>
      </c>
      <c r="D37" s="160">
        <v>1743</v>
      </c>
      <c r="E37" s="160">
        <v>232847</v>
      </c>
      <c r="F37" s="160">
        <v>2506</v>
      </c>
    </row>
    <row r="38" spans="1:6">
      <c r="A38" s="160">
        <v>100</v>
      </c>
      <c r="B38" s="160" t="s">
        <v>476</v>
      </c>
      <c r="C38" s="160">
        <v>238198</v>
      </c>
      <c r="D38" s="160">
        <v>716</v>
      </c>
      <c r="E38" s="160">
        <v>192578</v>
      </c>
      <c r="F38" s="160">
        <v>15180</v>
      </c>
    </row>
    <row r="39" spans="1:6">
      <c r="A39" s="160">
        <v>100</v>
      </c>
      <c r="B39" s="160" t="s">
        <v>475</v>
      </c>
      <c r="C39" s="160">
        <v>535976</v>
      </c>
      <c r="D39" s="160">
        <v>2856</v>
      </c>
      <c r="E39" s="160">
        <v>471831</v>
      </c>
      <c r="F39" s="160">
        <v>3837</v>
      </c>
    </row>
    <row r="40" spans="1:6">
      <c r="A40" s="160">
        <v>100</v>
      </c>
      <c r="B40" s="160" t="s">
        <v>474</v>
      </c>
      <c r="C40" s="160">
        <v>249344</v>
      </c>
      <c r="D40" s="160">
        <v>670</v>
      </c>
      <c r="E40" s="160">
        <v>213371</v>
      </c>
      <c r="F40" s="160">
        <v>12033</v>
      </c>
    </row>
    <row r="41" spans="1:6">
      <c r="A41" s="160">
        <v>100</v>
      </c>
      <c r="B41" s="160" t="s">
        <v>473</v>
      </c>
      <c r="C41" s="160">
        <v>240366</v>
      </c>
      <c r="D41" s="160">
        <v>855</v>
      </c>
      <c r="E41" s="160">
        <v>209171</v>
      </c>
      <c r="F41" s="160">
        <v>10988</v>
      </c>
    </row>
    <row r="42" spans="1:6">
      <c r="A42" s="160">
        <v>100</v>
      </c>
      <c r="B42" s="160" t="s">
        <v>472</v>
      </c>
      <c r="C42" s="160">
        <v>0</v>
      </c>
      <c r="D42" s="160">
        <v>2998</v>
      </c>
      <c r="E42" s="160">
        <v>0</v>
      </c>
      <c r="F42" s="160">
        <v>101252</v>
      </c>
    </row>
    <row r="43" spans="1:6">
      <c r="A43" s="160">
        <v>100</v>
      </c>
      <c r="B43" s="160" t="s">
        <v>471</v>
      </c>
      <c r="C43" s="160">
        <v>0</v>
      </c>
      <c r="D43" s="160">
        <v>3214</v>
      </c>
      <c r="E43" s="160">
        <v>0</v>
      </c>
      <c r="F43" s="160">
        <v>66356</v>
      </c>
    </row>
    <row r="44" spans="1:6">
      <c r="A44" s="160">
        <v>100</v>
      </c>
      <c r="B44" s="160" t="s">
        <v>920</v>
      </c>
      <c r="C44" s="160">
        <v>0</v>
      </c>
      <c r="D44" s="160">
        <v>62</v>
      </c>
      <c r="E44" s="160">
        <v>0</v>
      </c>
      <c r="F44" s="160">
        <v>1701</v>
      </c>
    </row>
    <row r="45" spans="1:6">
      <c r="A45" s="160">
        <v>100</v>
      </c>
      <c r="B45" s="160" t="s">
        <v>504</v>
      </c>
      <c r="C45" s="160">
        <v>0</v>
      </c>
      <c r="D45" s="160">
        <v>230</v>
      </c>
      <c r="E45" s="160">
        <v>0</v>
      </c>
      <c r="F45" s="160">
        <v>1060</v>
      </c>
    </row>
    <row r="46" spans="1:6">
      <c r="A46" s="160">
        <v>100</v>
      </c>
      <c r="B46" s="160" t="s">
        <v>468</v>
      </c>
      <c r="C46" s="160">
        <v>399954</v>
      </c>
      <c r="D46" s="160">
        <v>1348</v>
      </c>
      <c r="E46" s="160">
        <v>356815</v>
      </c>
      <c r="F46" s="160">
        <v>36473</v>
      </c>
    </row>
    <row r="47" spans="1:6">
      <c r="A47" s="160">
        <v>100</v>
      </c>
      <c r="B47" s="160" t="s">
        <v>467</v>
      </c>
      <c r="C47" s="160">
        <v>672068</v>
      </c>
      <c r="D47" s="160">
        <v>2174</v>
      </c>
      <c r="E47" s="160">
        <v>490875</v>
      </c>
      <c r="F47" s="160">
        <v>26664</v>
      </c>
    </row>
    <row r="48" spans="1:6">
      <c r="A48" s="160">
        <v>100</v>
      </c>
      <c r="B48" s="160" t="s">
        <v>466</v>
      </c>
      <c r="C48" s="160">
        <v>392386</v>
      </c>
      <c r="D48" s="160">
        <v>1050</v>
      </c>
      <c r="E48" s="160">
        <v>323776</v>
      </c>
      <c r="F48" s="160">
        <v>8445</v>
      </c>
    </row>
    <row r="49" spans="1:6">
      <c r="A49" s="160">
        <v>100</v>
      </c>
      <c r="B49" s="160" t="s">
        <v>465</v>
      </c>
      <c r="C49" s="160">
        <v>364500</v>
      </c>
      <c r="D49" s="160">
        <v>2025</v>
      </c>
      <c r="E49" s="160">
        <v>302830</v>
      </c>
      <c r="F49" s="160">
        <v>3548</v>
      </c>
    </row>
    <row r="50" spans="1:6">
      <c r="A50" s="160">
        <v>100</v>
      </c>
      <c r="B50" s="160" t="s">
        <v>463</v>
      </c>
      <c r="C50" s="160">
        <v>791536</v>
      </c>
      <c r="D50" s="160">
        <v>2787</v>
      </c>
      <c r="E50" s="160">
        <v>656753</v>
      </c>
      <c r="F50" s="160">
        <v>31695</v>
      </c>
    </row>
    <row r="51" spans="1:6">
      <c r="A51" s="160">
        <v>100</v>
      </c>
      <c r="B51" s="160" t="s">
        <v>462</v>
      </c>
      <c r="C51" s="160">
        <v>0</v>
      </c>
      <c r="D51" s="160">
        <v>1345</v>
      </c>
      <c r="E51" s="160">
        <v>0</v>
      </c>
      <c r="F51" s="160">
        <v>17372</v>
      </c>
    </row>
    <row r="52" spans="1:6">
      <c r="A52" s="160">
        <v>100</v>
      </c>
      <c r="B52" s="160" t="s">
        <v>461</v>
      </c>
      <c r="C52" s="160">
        <v>287862</v>
      </c>
      <c r="D52" s="160">
        <v>1133</v>
      </c>
      <c r="E52" s="160">
        <v>264570</v>
      </c>
      <c r="F52" s="160">
        <v>47271</v>
      </c>
    </row>
    <row r="53" spans="1:6">
      <c r="A53" s="160">
        <v>100</v>
      </c>
      <c r="B53" s="160" t="s">
        <v>460</v>
      </c>
      <c r="C53" s="160">
        <v>0</v>
      </c>
      <c r="D53" s="160">
        <v>311</v>
      </c>
      <c r="E53" s="160">
        <v>0</v>
      </c>
      <c r="F53" s="160">
        <v>18730</v>
      </c>
    </row>
    <row r="54" spans="1:6">
      <c r="A54" s="160">
        <v>100</v>
      </c>
      <c r="B54" s="160" t="s">
        <v>459</v>
      </c>
      <c r="C54" s="160">
        <v>0</v>
      </c>
      <c r="D54" s="160">
        <v>275</v>
      </c>
      <c r="E54" s="160">
        <v>0</v>
      </c>
      <c r="F54" s="160">
        <v>11161</v>
      </c>
    </row>
    <row r="55" spans="1:6">
      <c r="A55" s="160">
        <v>100</v>
      </c>
      <c r="B55" s="160" t="s">
        <v>458</v>
      </c>
      <c r="C55" s="160">
        <v>90184</v>
      </c>
      <c r="D55" s="160">
        <v>546</v>
      </c>
      <c r="E55" s="160">
        <v>49674</v>
      </c>
      <c r="F55" s="160">
        <v>739</v>
      </c>
    </row>
    <row r="56" spans="1:6">
      <c r="A56" s="160">
        <v>100</v>
      </c>
      <c r="B56" s="160" t="s">
        <v>457</v>
      </c>
      <c r="C56" s="160">
        <v>477218</v>
      </c>
      <c r="D56" s="160">
        <v>2565</v>
      </c>
      <c r="E56" s="160">
        <v>377388</v>
      </c>
      <c r="F56" s="160">
        <v>3373</v>
      </c>
    </row>
    <row r="57" spans="1:6">
      <c r="A57" s="160">
        <v>100</v>
      </c>
      <c r="B57" s="160" t="s">
        <v>455</v>
      </c>
      <c r="C57" s="160">
        <v>83808</v>
      </c>
      <c r="D57" s="160">
        <v>460</v>
      </c>
      <c r="E57" s="160">
        <v>50391</v>
      </c>
      <c r="F57" s="160">
        <v>664</v>
      </c>
    </row>
    <row r="58" spans="1:6">
      <c r="A58" s="160">
        <v>100</v>
      </c>
      <c r="B58" s="160" t="s">
        <v>454</v>
      </c>
      <c r="C58" s="160">
        <v>5928</v>
      </c>
      <c r="D58" s="160">
        <v>32</v>
      </c>
      <c r="E58" s="160">
        <v>1872</v>
      </c>
      <c r="F58" s="160">
        <v>17</v>
      </c>
    </row>
    <row r="59" spans="1:6">
      <c r="A59" s="160">
        <v>100</v>
      </c>
      <c r="B59" s="160" t="s">
        <v>530</v>
      </c>
      <c r="C59" s="160">
        <v>251926</v>
      </c>
      <c r="D59" s="160">
        <v>869</v>
      </c>
      <c r="E59" s="160">
        <v>184363</v>
      </c>
      <c r="F59" s="160">
        <v>8702</v>
      </c>
    </row>
    <row r="60" spans="1:6">
      <c r="A60" s="160">
        <v>100</v>
      </c>
      <c r="B60" s="160" t="s">
        <v>453</v>
      </c>
      <c r="C60" s="160">
        <v>746007</v>
      </c>
      <c r="D60" s="160">
        <v>3103</v>
      </c>
      <c r="E60" s="160">
        <v>594909</v>
      </c>
      <c r="F60" s="160">
        <v>21991</v>
      </c>
    </row>
    <row r="61" spans="1:6">
      <c r="A61" s="160">
        <v>100</v>
      </c>
      <c r="B61" s="160" t="s">
        <v>452</v>
      </c>
      <c r="C61" s="160">
        <v>0</v>
      </c>
      <c r="D61" s="160">
        <v>482</v>
      </c>
      <c r="E61" s="160">
        <v>0</v>
      </c>
      <c r="F61" s="160">
        <v>30858</v>
      </c>
    </row>
    <row r="62" spans="1:6">
      <c r="A62" s="160">
        <v>100</v>
      </c>
      <c r="B62" s="160" t="s">
        <v>451</v>
      </c>
      <c r="C62" s="160">
        <v>108824</v>
      </c>
      <c r="D62" s="160">
        <v>618</v>
      </c>
      <c r="E62" s="160">
        <v>87356</v>
      </c>
      <c r="F62" s="160">
        <v>1936</v>
      </c>
    </row>
    <row r="63" spans="1:6">
      <c r="A63" s="160">
        <v>100</v>
      </c>
      <c r="B63" s="160" t="s">
        <v>450</v>
      </c>
      <c r="C63" s="160">
        <v>0</v>
      </c>
      <c r="D63" s="160">
        <v>504</v>
      </c>
      <c r="E63" s="160">
        <v>0</v>
      </c>
      <c r="F63" s="160">
        <v>3218</v>
      </c>
    </row>
    <row r="64" spans="1:6">
      <c r="A64" s="160">
        <v>100</v>
      </c>
      <c r="B64" s="160" t="s">
        <v>449</v>
      </c>
      <c r="C64" s="160">
        <v>159130</v>
      </c>
      <c r="D64" s="160">
        <v>950</v>
      </c>
      <c r="E64" s="160">
        <v>110912</v>
      </c>
      <c r="F64" s="160">
        <v>2685</v>
      </c>
    </row>
    <row r="65" spans="1:6">
      <c r="A65" s="160">
        <v>100</v>
      </c>
      <c r="B65" s="160" t="s">
        <v>448</v>
      </c>
      <c r="C65" s="160">
        <v>0</v>
      </c>
      <c r="D65" s="160">
        <v>48</v>
      </c>
      <c r="E65" s="160">
        <v>0</v>
      </c>
      <c r="F65" s="160">
        <v>902</v>
      </c>
    </row>
    <row r="66" spans="1:6">
      <c r="A66" s="160">
        <v>100</v>
      </c>
      <c r="B66" s="160" t="s">
        <v>446</v>
      </c>
      <c r="C66" s="160">
        <v>1661634</v>
      </c>
      <c r="D66" s="160">
        <v>9025</v>
      </c>
      <c r="E66" s="160">
        <v>1092936</v>
      </c>
      <c r="F66" s="160">
        <v>28304</v>
      </c>
    </row>
    <row r="67" spans="1:6">
      <c r="A67" s="160">
        <v>100</v>
      </c>
      <c r="B67" s="160" t="s">
        <v>445</v>
      </c>
      <c r="C67" s="160">
        <v>1325620</v>
      </c>
      <c r="D67" s="160">
        <v>7200</v>
      </c>
      <c r="E67" s="160">
        <v>936998</v>
      </c>
      <c r="F67" s="160">
        <v>18670</v>
      </c>
    </row>
    <row r="68" spans="1:6">
      <c r="A68" s="160">
        <v>100</v>
      </c>
      <c r="B68" s="160" t="s">
        <v>444</v>
      </c>
      <c r="C68" s="160">
        <v>198894</v>
      </c>
      <c r="D68" s="160">
        <v>1146</v>
      </c>
      <c r="E68" s="160">
        <v>142289</v>
      </c>
      <c r="F68" s="160">
        <v>1673</v>
      </c>
    </row>
    <row r="69" spans="1:6">
      <c r="A69" s="160">
        <v>100</v>
      </c>
      <c r="B69" s="160" t="s">
        <v>443</v>
      </c>
      <c r="C69" s="160">
        <v>817288</v>
      </c>
      <c r="D69" s="160">
        <v>4618</v>
      </c>
      <c r="E69" s="160">
        <v>491205</v>
      </c>
      <c r="F69" s="160">
        <v>8427</v>
      </c>
    </row>
    <row r="70" spans="1:6">
      <c r="A70" s="160">
        <v>100</v>
      </c>
      <c r="B70" s="160" t="s">
        <v>442</v>
      </c>
      <c r="C70" s="160">
        <v>74586</v>
      </c>
      <c r="D70" s="160">
        <v>401</v>
      </c>
      <c r="E70" s="160">
        <v>59840</v>
      </c>
      <c r="F70" s="160">
        <v>801</v>
      </c>
    </row>
    <row r="71" spans="1:6">
      <c r="A71" s="160">
        <v>100</v>
      </c>
      <c r="B71" s="160" t="s">
        <v>500</v>
      </c>
      <c r="C71" s="160">
        <v>110215</v>
      </c>
      <c r="D71" s="160">
        <v>329</v>
      </c>
      <c r="E71" s="160">
        <v>95671</v>
      </c>
      <c r="F71" s="160">
        <v>2368</v>
      </c>
    </row>
    <row r="72" spans="1:6">
      <c r="A72" s="160">
        <v>100</v>
      </c>
      <c r="B72" s="160" t="s">
        <v>441</v>
      </c>
      <c r="C72" s="160">
        <v>386357</v>
      </c>
      <c r="D72" s="160">
        <v>2630</v>
      </c>
      <c r="E72" s="160">
        <v>338865</v>
      </c>
      <c r="F72" s="160">
        <v>21764</v>
      </c>
    </row>
    <row r="73" spans="1:6">
      <c r="A73" s="160">
        <v>100</v>
      </c>
      <c r="B73" s="160" t="s">
        <v>440</v>
      </c>
      <c r="C73" s="160">
        <v>423884</v>
      </c>
      <c r="D73" s="160">
        <v>2191</v>
      </c>
      <c r="E73" s="160">
        <v>363682</v>
      </c>
      <c r="F73" s="160">
        <v>7722</v>
      </c>
    </row>
    <row r="74" spans="1:6">
      <c r="A74" s="160">
        <v>100</v>
      </c>
      <c r="B74" s="160" t="s">
        <v>904</v>
      </c>
      <c r="C74" s="160">
        <v>0</v>
      </c>
      <c r="D74" s="160">
        <v>4</v>
      </c>
      <c r="E74" s="160">
        <v>0</v>
      </c>
      <c r="F74" s="160">
        <v>11</v>
      </c>
    </row>
    <row r="75" spans="1:6">
      <c r="A75" s="160">
        <v>100</v>
      </c>
      <c r="B75" s="160" t="s">
        <v>439</v>
      </c>
      <c r="C75" s="160">
        <v>95744</v>
      </c>
      <c r="D75" s="160">
        <v>376</v>
      </c>
      <c r="E75" s="160">
        <v>73372</v>
      </c>
      <c r="F75" s="160">
        <v>4233</v>
      </c>
    </row>
    <row r="76" spans="1:6">
      <c r="A76" s="160">
        <v>100</v>
      </c>
      <c r="B76" s="160" t="s">
        <v>438</v>
      </c>
      <c r="C76" s="160">
        <v>0</v>
      </c>
      <c r="D76" s="160">
        <v>5</v>
      </c>
      <c r="E76" s="160">
        <v>0</v>
      </c>
      <c r="F76" s="160">
        <v>65</v>
      </c>
    </row>
    <row r="77" spans="1:6">
      <c r="A77" s="160">
        <v>100</v>
      </c>
      <c r="B77" s="160" t="s">
        <v>437</v>
      </c>
      <c r="C77" s="160">
        <v>0</v>
      </c>
      <c r="D77" s="160">
        <v>2808</v>
      </c>
      <c r="E77" s="160">
        <v>0</v>
      </c>
      <c r="F77" s="160">
        <v>47342</v>
      </c>
    </row>
    <row r="78" spans="1:6">
      <c r="A78" s="160">
        <v>100</v>
      </c>
      <c r="B78" s="160" t="s">
        <v>435</v>
      </c>
      <c r="C78" s="160">
        <v>284049</v>
      </c>
      <c r="D78" s="160">
        <v>1080</v>
      </c>
      <c r="E78" s="160">
        <v>260611</v>
      </c>
      <c r="F78" s="160">
        <v>18479</v>
      </c>
    </row>
    <row r="79" spans="1:6">
      <c r="A79" s="160">
        <v>100</v>
      </c>
      <c r="B79" s="160" t="s">
        <v>432</v>
      </c>
      <c r="C79" s="160">
        <v>179304</v>
      </c>
      <c r="D79" s="160">
        <v>804</v>
      </c>
      <c r="E79" s="160">
        <v>141410</v>
      </c>
      <c r="F79" s="160">
        <v>7689</v>
      </c>
    </row>
    <row r="80" spans="1:6">
      <c r="A80" s="160">
        <v>100</v>
      </c>
      <c r="B80" s="160" t="s">
        <v>428</v>
      </c>
      <c r="C80" s="160">
        <v>240334</v>
      </c>
      <c r="D80" s="160">
        <v>754</v>
      </c>
      <c r="E80" s="160">
        <v>206002</v>
      </c>
      <c r="F80" s="160">
        <v>13502</v>
      </c>
    </row>
    <row r="81" spans="1:6">
      <c r="A81" s="160">
        <v>100</v>
      </c>
      <c r="B81" s="160" t="s">
        <v>427</v>
      </c>
      <c r="C81" s="160">
        <v>257842</v>
      </c>
      <c r="D81" s="160">
        <v>1295</v>
      </c>
      <c r="E81" s="160">
        <v>101752</v>
      </c>
      <c r="F81" s="160">
        <v>18427</v>
      </c>
    </row>
    <row r="82" spans="1:6">
      <c r="A82" s="160">
        <v>100</v>
      </c>
      <c r="B82" s="160" t="s">
        <v>426</v>
      </c>
      <c r="C82" s="160">
        <v>0</v>
      </c>
      <c r="D82" s="160">
        <v>610</v>
      </c>
      <c r="E82" s="160">
        <v>0</v>
      </c>
      <c r="F82" s="160">
        <v>24429</v>
      </c>
    </row>
    <row r="83" spans="1:6">
      <c r="A83" s="160">
        <v>100</v>
      </c>
      <c r="B83" s="160" t="s">
        <v>425</v>
      </c>
      <c r="C83" s="160">
        <v>406990</v>
      </c>
      <c r="D83" s="160">
        <v>1368</v>
      </c>
      <c r="E83" s="160">
        <v>398592</v>
      </c>
      <c r="F83" s="160">
        <v>24118</v>
      </c>
    </row>
    <row r="84" spans="1:6">
      <c r="A84" s="160">
        <v>100</v>
      </c>
      <c r="B84" s="160" t="s">
        <v>424</v>
      </c>
      <c r="C84" s="160">
        <v>478890</v>
      </c>
      <c r="D84" s="160">
        <v>1318</v>
      </c>
      <c r="E84" s="160">
        <v>356820</v>
      </c>
      <c r="F84" s="160">
        <v>11220</v>
      </c>
    </row>
    <row r="85" spans="1:6">
      <c r="A85" s="160">
        <v>100</v>
      </c>
      <c r="B85" s="160" t="s">
        <v>423</v>
      </c>
      <c r="C85" s="160">
        <v>130512</v>
      </c>
      <c r="D85" s="160">
        <v>642</v>
      </c>
      <c r="E85" s="160">
        <v>106031</v>
      </c>
      <c r="F85" s="160">
        <v>3104</v>
      </c>
    </row>
    <row r="86" spans="1:6">
      <c r="A86" s="160">
        <v>100</v>
      </c>
      <c r="B86" s="160" t="s">
        <v>421</v>
      </c>
      <c r="C86" s="160">
        <v>96654</v>
      </c>
      <c r="D86" s="160">
        <v>552</v>
      </c>
      <c r="E86" s="160">
        <v>70000</v>
      </c>
      <c r="F86" s="160">
        <v>980</v>
      </c>
    </row>
    <row r="87" spans="1:6">
      <c r="A87" s="160">
        <v>100</v>
      </c>
      <c r="B87" s="160" t="s">
        <v>420</v>
      </c>
      <c r="C87" s="160">
        <v>0</v>
      </c>
      <c r="D87" s="160">
        <v>919</v>
      </c>
      <c r="E87" s="160">
        <v>0</v>
      </c>
      <c r="F87" s="160">
        <v>21229</v>
      </c>
    </row>
    <row r="88" spans="1:6">
      <c r="A88" s="160">
        <v>100</v>
      </c>
      <c r="B88" s="160" t="s">
        <v>921</v>
      </c>
      <c r="C88" s="160">
        <v>23287</v>
      </c>
      <c r="D88" s="160">
        <v>165</v>
      </c>
      <c r="E88" s="160">
        <v>11411</v>
      </c>
      <c r="F88" s="160">
        <v>209</v>
      </c>
    </row>
    <row r="89" spans="1:6">
      <c r="A89" s="160">
        <v>100</v>
      </c>
      <c r="B89" s="160" t="s">
        <v>419</v>
      </c>
      <c r="C89" s="160">
        <v>588938</v>
      </c>
      <c r="D89" s="160">
        <v>2156</v>
      </c>
      <c r="E89" s="160">
        <v>456999</v>
      </c>
      <c r="F89" s="160">
        <v>17855</v>
      </c>
    </row>
    <row r="90" spans="1:6">
      <c r="A90" s="160">
        <v>100</v>
      </c>
      <c r="B90" s="160" t="s">
        <v>418</v>
      </c>
      <c r="C90" s="160">
        <v>367755</v>
      </c>
      <c r="D90" s="160">
        <v>731</v>
      </c>
      <c r="E90" s="160">
        <v>336018</v>
      </c>
      <c r="F90" s="160">
        <v>14783</v>
      </c>
    </row>
    <row r="91" spans="1:6">
      <c r="A91" s="160">
        <v>100</v>
      </c>
      <c r="B91" s="160" t="s">
        <v>922</v>
      </c>
      <c r="C91" s="160">
        <v>0</v>
      </c>
      <c r="D91" s="160">
        <v>12</v>
      </c>
      <c r="E91" s="160">
        <v>0</v>
      </c>
      <c r="F91" s="160">
        <v>566</v>
      </c>
    </row>
    <row r="92" spans="1:6">
      <c r="A92" s="160">
        <v>100</v>
      </c>
      <c r="B92" s="160" t="s">
        <v>414</v>
      </c>
      <c r="C92" s="160">
        <v>0</v>
      </c>
      <c r="D92" s="160">
        <v>4</v>
      </c>
      <c r="E92" s="160">
        <v>0</v>
      </c>
      <c r="F92" s="160">
        <v>154</v>
      </c>
    </row>
    <row r="93" spans="1:6">
      <c r="A93" s="160">
        <v>100</v>
      </c>
      <c r="B93" s="160" t="s">
        <v>413</v>
      </c>
      <c r="C93" s="160">
        <v>378</v>
      </c>
      <c r="D93" s="160">
        <v>3812</v>
      </c>
      <c r="E93" s="160">
        <v>262</v>
      </c>
      <c r="F93" s="160">
        <v>40345</v>
      </c>
    </row>
    <row r="94" spans="1:6">
      <c r="A94" s="160">
        <v>100</v>
      </c>
      <c r="B94" s="160" t="s">
        <v>410</v>
      </c>
      <c r="C94" s="160">
        <v>200660</v>
      </c>
      <c r="D94" s="160">
        <v>730</v>
      </c>
      <c r="E94" s="160">
        <v>189483</v>
      </c>
      <c r="F94" s="160">
        <v>7996</v>
      </c>
    </row>
    <row r="95" spans="1:6">
      <c r="A95" s="160">
        <v>100</v>
      </c>
      <c r="B95" s="160" t="s">
        <v>905</v>
      </c>
      <c r="C95" s="160">
        <v>0</v>
      </c>
      <c r="D95" s="160">
        <v>480</v>
      </c>
      <c r="E95" s="160">
        <v>0</v>
      </c>
      <c r="F95" s="160">
        <v>4265</v>
      </c>
    </row>
    <row r="96" spans="1:6">
      <c r="A96" s="160">
        <v>100</v>
      </c>
      <c r="B96" s="160" t="s">
        <v>409</v>
      </c>
      <c r="C96" s="160">
        <v>895132</v>
      </c>
      <c r="D96" s="160">
        <v>3300</v>
      </c>
      <c r="E96" s="160">
        <v>764625</v>
      </c>
      <c r="F96" s="160">
        <v>45439</v>
      </c>
    </row>
    <row r="97" spans="1:6">
      <c r="A97" s="160">
        <v>100</v>
      </c>
      <c r="B97" s="160" t="s">
        <v>408</v>
      </c>
      <c r="C97" s="160">
        <v>0</v>
      </c>
      <c r="D97" s="160">
        <v>277</v>
      </c>
      <c r="E97" s="160">
        <v>0</v>
      </c>
      <c r="F97" s="160">
        <v>18668</v>
      </c>
    </row>
    <row r="98" spans="1:6">
      <c r="A98" s="160">
        <v>100</v>
      </c>
      <c r="B98" s="160" t="s">
        <v>923</v>
      </c>
      <c r="C98" s="160">
        <v>13650</v>
      </c>
      <c r="D98" s="160">
        <v>91</v>
      </c>
      <c r="E98" s="160">
        <v>8567</v>
      </c>
      <c r="F98" s="160">
        <v>79</v>
      </c>
    </row>
    <row r="99" spans="1:6">
      <c r="A99" s="160">
        <v>100</v>
      </c>
      <c r="B99" s="160" t="s">
        <v>405</v>
      </c>
      <c r="C99" s="160">
        <v>475355</v>
      </c>
      <c r="D99" s="160">
        <v>1478</v>
      </c>
      <c r="E99" s="160">
        <v>413275</v>
      </c>
      <c r="F99" s="160">
        <v>6256</v>
      </c>
    </row>
    <row r="100" spans="1:6">
      <c r="A100" s="160">
        <v>100</v>
      </c>
      <c r="B100" s="160" t="s">
        <v>404</v>
      </c>
      <c r="C100" s="160">
        <v>108218</v>
      </c>
      <c r="D100" s="160">
        <v>594</v>
      </c>
      <c r="E100" s="160">
        <v>86832</v>
      </c>
      <c r="F100" s="160">
        <v>1250</v>
      </c>
    </row>
    <row r="101" spans="1:6">
      <c r="A101" s="160">
        <v>100</v>
      </c>
      <c r="B101" s="160" t="s">
        <v>924</v>
      </c>
      <c r="C101" s="160">
        <v>164</v>
      </c>
      <c r="D101" s="160">
        <v>2</v>
      </c>
      <c r="E101" s="160">
        <v>143</v>
      </c>
      <c r="F101" s="160">
        <v>3</v>
      </c>
    </row>
    <row r="102" spans="1:6">
      <c r="A102" s="160">
        <v>100</v>
      </c>
      <c r="B102" s="160" t="s">
        <v>488</v>
      </c>
      <c r="C102" s="160">
        <v>59916</v>
      </c>
      <c r="D102" s="160">
        <v>210</v>
      </c>
      <c r="E102" s="160">
        <v>40501</v>
      </c>
      <c r="F102" s="160">
        <v>2805</v>
      </c>
    </row>
    <row r="103" spans="1:6">
      <c r="A103" s="160">
        <v>100</v>
      </c>
      <c r="B103" s="160" t="s">
        <v>925</v>
      </c>
      <c r="C103" s="160">
        <v>0</v>
      </c>
      <c r="D103" s="160">
        <v>8</v>
      </c>
      <c r="E103" s="160">
        <v>0</v>
      </c>
      <c r="F103" s="160">
        <v>219</v>
      </c>
    </row>
    <row r="104" spans="1:6">
      <c r="A104" s="160">
        <v>100</v>
      </c>
      <c r="B104" s="160" t="s">
        <v>926</v>
      </c>
      <c r="C104" s="160">
        <v>0</v>
      </c>
      <c r="D104" s="160">
        <v>1290</v>
      </c>
      <c r="E104" s="160">
        <v>0</v>
      </c>
      <c r="F104" s="160">
        <v>10548</v>
      </c>
    </row>
    <row r="105" spans="1:6">
      <c r="A105" s="160">
        <v>100</v>
      </c>
      <c r="B105" s="160" t="s">
        <v>403</v>
      </c>
      <c r="C105" s="160">
        <v>501454</v>
      </c>
      <c r="D105" s="160">
        <v>2336</v>
      </c>
      <c r="E105" s="160">
        <v>364265</v>
      </c>
      <c r="F105" s="160">
        <v>4846</v>
      </c>
    </row>
    <row r="106" spans="1:6">
      <c r="A106" s="160">
        <v>100</v>
      </c>
      <c r="B106" s="160" t="s">
        <v>402</v>
      </c>
      <c r="C106" s="160">
        <v>227566</v>
      </c>
      <c r="D106" s="160">
        <v>1008</v>
      </c>
      <c r="E106" s="160">
        <v>153151</v>
      </c>
      <c r="F106" s="160">
        <v>2429</v>
      </c>
    </row>
    <row r="107" spans="1:6">
      <c r="A107" s="160">
        <v>100</v>
      </c>
      <c r="B107" s="160" t="s">
        <v>401</v>
      </c>
      <c r="C107" s="160">
        <v>600636</v>
      </c>
      <c r="D107" s="160">
        <v>3478</v>
      </c>
      <c r="E107" s="160">
        <v>367215</v>
      </c>
      <c r="F107" s="160">
        <v>7001</v>
      </c>
    </row>
    <row r="108" spans="1:6">
      <c r="A108" s="160">
        <v>100</v>
      </c>
      <c r="B108" s="160" t="s">
        <v>400</v>
      </c>
      <c r="C108" s="160">
        <v>96903</v>
      </c>
      <c r="D108" s="160">
        <v>521</v>
      </c>
      <c r="E108" s="160">
        <v>58482</v>
      </c>
      <c r="F108" s="160">
        <v>756</v>
      </c>
    </row>
    <row r="109" spans="1:6">
      <c r="A109" s="160">
        <v>100</v>
      </c>
      <c r="B109" s="160" t="s">
        <v>487</v>
      </c>
      <c r="C109" s="160">
        <v>120356</v>
      </c>
      <c r="D109" s="160">
        <v>392</v>
      </c>
      <c r="E109" s="160">
        <v>70069</v>
      </c>
      <c r="F109" s="160">
        <v>4213</v>
      </c>
    </row>
    <row r="110" spans="1:6">
      <c r="A110" s="160">
        <v>100</v>
      </c>
      <c r="B110" s="160" t="s">
        <v>927</v>
      </c>
      <c r="C110" s="160">
        <v>16060</v>
      </c>
      <c r="D110" s="160">
        <v>73</v>
      </c>
      <c r="E110" s="160">
        <v>12927</v>
      </c>
      <c r="F110" s="160">
        <v>133</v>
      </c>
    </row>
    <row r="111" spans="1:6">
      <c r="A111" s="160">
        <v>100</v>
      </c>
      <c r="B111" s="160" t="s">
        <v>399</v>
      </c>
      <c r="C111" s="160">
        <v>3352154</v>
      </c>
      <c r="D111" s="160">
        <v>14569</v>
      </c>
      <c r="E111" s="160">
        <v>2611776</v>
      </c>
      <c r="F111" s="160">
        <v>35658</v>
      </c>
    </row>
    <row r="112" spans="1:6">
      <c r="A112" s="160">
        <v>100</v>
      </c>
      <c r="B112" s="160" t="s">
        <v>398</v>
      </c>
      <c r="C112" s="160">
        <v>42672</v>
      </c>
      <c r="D112" s="160">
        <v>280</v>
      </c>
      <c r="E112" s="160">
        <v>23029</v>
      </c>
      <c r="F112" s="160">
        <v>436</v>
      </c>
    </row>
    <row r="113" spans="1:6">
      <c r="A113" s="160">
        <v>100</v>
      </c>
      <c r="B113" s="160" t="s">
        <v>397</v>
      </c>
      <c r="C113" s="160">
        <v>4944</v>
      </c>
      <c r="D113" s="160">
        <v>28</v>
      </c>
      <c r="E113" s="160">
        <v>2592</v>
      </c>
      <c r="F113" s="160">
        <v>31</v>
      </c>
    </row>
    <row r="114" spans="1:6">
      <c r="A114" s="160">
        <v>100</v>
      </c>
      <c r="B114" s="160" t="s">
        <v>395</v>
      </c>
      <c r="C114" s="160">
        <v>1581590</v>
      </c>
      <c r="D114" s="160">
        <v>5955</v>
      </c>
      <c r="E114" s="160">
        <v>1245107</v>
      </c>
      <c r="F114" s="160">
        <v>45138</v>
      </c>
    </row>
    <row r="115" spans="1:6">
      <c r="A115" s="160">
        <v>100</v>
      </c>
      <c r="B115" s="160" t="s">
        <v>860</v>
      </c>
      <c r="C115" s="160">
        <v>118626</v>
      </c>
      <c r="D115" s="160">
        <v>598</v>
      </c>
      <c r="E115" s="160">
        <v>99056</v>
      </c>
      <c r="F115" s="160">
        <v>2044</v>
      </c>
    </row>
    <row r="116" spans="1:6">
      <c r="A116" s="160">
        <v>100</v>
      </c>
      <c r="B116" s="160" t="s">
        <v>486</v>
      </c>
      <c r="C116" s="160">
        <v>47824</v>
      </c>
      <c r="D116" s="160">
        <v>332</v>
      </c>
      <c r="E116" s="160">
        <v>30110</v>
      </c>
      <c r="F116" s="160">
        <v>951</v>
      </c>
    </row>
    <row r="117" spans="1:6">
      <c r="A117" s="160">
        <v>100</v>
      </c>
      <c r="B117" s="160" t="s">
        <v>521</v>
      </c>
      <c r="C117" s="160">
        <v>12128</v>
      </c>
      <c r="D117" s="160">
        <v>102</v>
      </c>
      <c r="E117" s="160">
        <v>7501</v>
      </c>
      <c r="F117" s="160">
        <v>230</v>
      </c>
    </row>
    <row r="118" spans="1:6">
      <c r="A118" s="160">
        <v>100</v>
      </c>
      <c r="B118" s="160" t="s">
        <v>393</v>
      </c>
      <c r="C118" s="160">
        <v>329942</v>
      </c>
      <c r="D118" s="160">
        <v>1826</v>
      </c>
      <c r="E118" s="160">
        <v>272076</v>
      </c>
      <c r="F118" s="160">
        <v>7405</v>
      </c>
    </row>
    <row r="119" spans="1:6">
      <c r="A119" s="160">
        <v>100</v>
      </c>
      <c r="B119" s="160" t="s">
        <v>906</v>
      </c>
      <c r="C119" s="160">
        <v>0</v>
      </c>
      <c r="D119" s="160">
        <v>2</v>
      </c>
      <c r="E119" s="160">
        <v>0</v>
      </c>
      <c r="F119" s="160">
        <v>2</v>
      </c>
    </row>
    <row r="120" spans="1:6">
      <c r="A120" s="160">
        <v>100</v>
      </c>
      <c r="B120" s="160" t="s">
        <v>928</v>
      </c>
      <c r="C120" s="160">
        <v>62316</v>
      </c>
      <c r="D120" s="160">
        <v>344</v>
      </c>
      <c r="E120" s="160">
        <v>44374</v>
      </c>
      <c r="F120" s="160">
        <v>605</v>
      </c>
    </row>
    <row r="121" spans="1:6">
      <c r="A121" s="160">
        <v>100</v>
      </c>
      <c r="B121" s="160" t="s">
        <v>392</v>
      </c>
      <c r="C121" s="160">
        <v>202876</v>
      </c>
      <c r="D121" s="160">
        <v>702</v>
      </c>
      <c r="E121" s="160">
        <v>148630</v>
      </c>
      <c r="F121" s="160">
        <v>9789</v>
      </c>
    </row>
    <row r="122" spans="1:6">
      <c r="A122" s="160">
        <v>100</v>
      </c>
      <c r="B122" s="160" t="s">
        <v>874</v>
      </c>
      <c r="C122" s="160">
        <v>0</v>
      </c>
      <c r="D122" s="160">
        <v>352</v>
      </c>
      <c r="E122" s="160">
        <v>0</v>
      </c>
      <c r="F122" s="160">
        <v>3021</v>
      </c>
    </row>
    <row r="123" spans="1:6">
      <c r="A123" s="160">
        <v>100</v>
      </c>
      <c r="B123" s="160" t="s">
        <v>391</v>
      </c>
      <c r="C123" s="160">
        <v>48240</v>
      </c>
      <c r="D123" s="160">
        <v>276</v>
      </c>
      <c r="E123" s="160">
        <v>39764</v>
      </c>
      <c r="F123" s="160">
        <v>405</v>
      </c>
    </row>
    <row r="124" spans="1:6">
      <c r="A124" s="160">
        <v>100</v>
      </c>
      <c r="B124" s="160" t="s">
        <v>390</v>
      </c>
      <c r="C124" s="160">
        <v>0</v>
      </c>
      <c r="D124" s="160">
        <v>924</v>
      </c>
      <c r="E124" s="160">
        <v>0</v>
      </c>
      <c r="F124" s="160">
        <v>19310</v>
      </c>
    </row>
    <row r="125" spans="1:6">
      <c r="A125" s="160">
        <v>100</v>
      </c>
      <c r="B125" s="160" t="s">
        <v>389</v>
      </c>
      <c r="C125" s="160">
        <v>420067</v>
      </c>
      <c r="D125" s="160">
        <v>1245</v>
      </c>
      <c r="E125" s="160">
        <v>358377</v>
      </c>
      <c r="F125" s="160">
        <v>16317</v>
      </c>
    </row>
    <row r="126" spans="1:6">
      <c r="A126" s="160">
        <v>100</v>
      </c>
      <c r="B126" s="160" t="s">
        <v>387</v>
      </c>
      <c r="C126" s="160">
        <v>106006</v>
      </c>
      <c r="D126" s="160">
        <v>734</v>
      </c>
      <c r="E126" s="160">
        <v>88276</v>
      </c>
      <c r="F126" s="160">
        <v>1493</v>
      </c>
    </row>
    <row r="127" spans="1:6">
      <c r="A127" s="160">
        <v>100</v>
      </c>
      <c r="B127" s="160" t="s">
        <v>386</v>
      </c>
      <c r="C127" s="160">
        <v>888098</v>
      </c>
      <c r="D127" s="160">
        <v>2988</v>
      </c>
      <c r="E127" s="160">
        <v>783770</v>
      </c>
      <c r="F127" s="160">
        <v>34551</v>
      </c>
    </row>
    <row r="128" spans="1:6">
      <c r="A128" s="160">
        <v>100</v>
      </c>
      <c r="B128" s="160" t="s">
        <v>483</v>
      </c>
      <c r="C128" s="160">
        <v>91484</v>
      </c>
      <c r="D128" s="160">
        <v>304</v>
      </c>
      <c r="E128" s="160">
        <v>67730</v>
      </c>
      <c r="F128" s="160">
        <v>3786</v>
      </c>
    </row>
    <row r="129" spans="1:6">
      <c r="A129" s="160">
        <v>100</v>
      </c>
      <c r="B129" s="160" t="s">
        <v>385</v>
      </c>
      <c r="C129" s="160">
        <v>207534</v>
      </c>
      <c r="D129" s="160">
        <v>1182</v>
      </c>
      <c r="E129" s="160">
        <v>123123</v>
      </c>
      <c r="F129" s="160">
        <v>7130</v>
      </c>
    </row>
    <row r="130" spans="1:6">
      <c r="A130" s="160">
        <v>100</v>
      </c>
      <c r="B130" s="160" t="s">
        <v>482</v>
      </c>
      <c r="C130" s="160">
        <v>0</v>
      </c>
      <c r="D130" s="160">
        <v>34</v>
      </c>
      <c r="E130" s="160">
        <v>0</v>
      </c>
      <c r="F130" s="160">
        <v>1213</v>
      </c>
    </row>
    <row r="131" spans="1:6">
      <c r="A131" s="160">
        <v>100</v>
      </c>
      <c r="B131" s="160" t="s">
        <v>929</v>
      </c>
      <c r="C131" s="160">
        <v>90</v>
      </c>
      <c r="D131" s="160">
        <v>6</v>
      </c>
      <c r="E131" s="160">
        <v>12</v>
      </c>
      <c r="F131" s="160">
        <v>0</v>
      </c>
    </row>
    <row r="132" spans="1:6">
      <c r="A132" s="160">
        <v>100</v>
      </c>
      <c r="B132" s="160" t="s">
        <v>930</v>
      </c>
      <c r="C132" s="160">
        <v>89208</v>
      </c>
      <c r="D132" s="160">
        <v>472</v>
      </c>
      <c r="E132" s="160">
        <v>53587</v>
      </c>
      <c r="F132" s="160">
        <v>762</v>
      </c>
    </row>
    <row r="133" spans="1:6">
      <c r="A133" s="160">
        <v>100</v>
      </c>
      <c r="B133" s="160" t="s">
        <v>384</v>
      </c>
      <c r="C133" s="160">
        <v>148234</v>
      </c>
      <c r="D133" s="160">
        <v>546</v>
      </c>
      <c r="E133" s="160">
        <v>102783</v>
      </c>
      <c r="F133" s="160">
        <v>4756</v>
      </c>
    </row>
    <row r="134" spans="1:6">
      <c r="A134" s="160">
        <v>100</v>
      </c>
      <c r="B134" s="160" t="s">
        <v>383</v>
      </c>
      <c r="C134" s="160">
        <v>0</v>
      </c>
      <c r="D134" s="160">
        <v>302</v>
      </c>
      <c r="E134" s="160">
        <v>0</v>
      </c>
      <c r="F134" s="160">
        <v>4252</v>
      </c>
    </row>
    <row r="135" spans="1:6">
      <c r="A135" s="160">
        <v>100</v>
      </c>
      <c r="B135" s="160" t="s">
        <v>513</v>
      </c>
      <c r="C135" s="160">
        <v>50370</v>
      </c>
      <c r="D135" s="160">
        <v>286</v>
      </c>
      <c r="E135" s="160">
        <v>41707</v>
      </c>
      <c r="F135" s="160">
        <v>463</v>
      </c>
    </row>
    <row r="136" spans="1:6">
      <c r="A136" s="160">
        <v>100</v>
      </c>
      <c r="B136" s="160" t="s">
        <v>931</v>
      </c>
      <c r="C136" s="160">
        <v>0</v>
      </c>
      <c r="D136" s="160">
        <v>1</v>
      </c>
      <c r="E136" s="160">
        <v>0</v>
      </c>
      <c r="F136" s="160">
        <v>0</v>
      </c>
    </row>
    <row r="137" spans="1:6">
      <c r="A137" s="160">
        <v>100</v>
      </c>
      <c r="B137" s="160" t="s">
        <v>907</v>
      </c>
      <c r="C137" s="160">
        <v>0</v>
      </c>
      <c r="D137" s="160">
        <v>280</v>
      </c>
      <c r="E137" s="160">
        <v>0</v>
      </c>
      <c r="F137" s="160">
        <v>2307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4.4"/>
  <cols>
    <col min="1" max="1" width="5" style="160" bestFit="1" customWidth="1"/>
    <col min="2" max="2" width="38.44140625" style="160" bestFit="1" customWidth="1"/>
    <col min="3" max="3" width="10.44140625" style="160" bestFit="1" customWidth="1"/>
    <col min="4" max="4" width="8.33203125" style="160" bestFit="1" customWidth="1"/>
    <col min="5" max="5" width="10.44140625" style="160" bestFit="1" customWidth="1"/>
    <col min="6" max="6" width="8.44140625" style="160" bestFit="1" customWidth="1"/>
    <col min="7" max="16384" width="31" style="160"/>
  </cols>
  <sheetData>
    <row r="1" spans="1:6">
      <c r="A1" s="159" t="s">
        <v>843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</row>
    <row r="2" spans="1:6">
      <c r="A2" s="160">
        <v>0</v>
      </c>
      <c r="B2" s="160" t="s">
        <v>372</v>
      </c>
      <c r="C2" s="160">
        <v>176031539</v>
      </c>
      <c r="D2" s="160">
        <v>892653</v>
      </c>
      <c r="E2" s="160">
        <v>152131118</v>
      </c>
      <c r="F2" s="160">
        <v>4599107</v>
      </c>
    </row>
    <row r="3" spans="1:6">
      <c r="A3" s="160">
        <v>1</v>
      </c>
      <c r="B3" s="160" t="s">
        <v>932</v>
      </c>
      <c r="C3" s="160">
        <v>15048649</v>
      </c>
      <c r="D3" s="160">
        <v>76393</v>
      </c>
      <c r="E3" s="160">
        <v>13038715</v>
      </c>
      <c r="F3" s="160">
        <v>407470</v>
      </c>
    </row>
    <row r="4" spans="1:6">
      <c r="A4" s="160">
        <v>1</v>
      </c>
      <c r="B4" s="160" t="s">
        <v>933</v>
      </c>
      <c r="C4" s="160">
        <v>14148248</v>
      </c>
      <c r="D4" s="160">
        <v>71914</v>
      </c>
      <c r="E4" s="160">
        <v>12548930</v>
      </c>
      <c r="F4" s="160">
        <v>396649</v>
      </c>
    </row>
    <row r="5" spans="1:6">
      <c r="A5" s="160">
        <v>1</v>
      </c>
      <c r="B5" s="160" t="s">
        <v>934</v>
      </c>
      <c r="C5" s="160">
        <v>15269336</v>
      </c>
      <c r="D5" s="160">
        <v>77562</v>
      </c>
      <c r="E5" s="160">
        <v>13319275</v>
      </c>
      <c r="F5" s="160">
        <v>399436</v>
      </c>
    </row>
    <row r="6" spans="1:6">
      <c r="A6" s="160">
        <v>1</v>
      </c>
      <c r="B6" s="160" t="s">
        <v>935</v>
      </c>
      <c r="C6" s="160">
        <v>14765096</v>
      </c>
      <c r="D6" s="160">
        <v>74693</v>
      </c>
      <c r="E6" s="160">
        <v>12429249</v>
      </c>
      <c r="F6" s="160">
        <v>370305</v>
      </c>
    </row>
    <row r="7" spans="1:6">
      <c r="A7" s="160">
        <v>1</v>
      </c>
      <c r="B7" s="160" t="s">
        <v>936</v>
      </c>
      <c r="C7" s="160">
        <v>15495284</v>
      </c>
      <c r="D7" s="160">
        <v>78253</v>
      </c>
      <c r="E7" s="160">
        <v>13571149</v>
      </c>
      <c r="F7" s="160">
        <v>386376</v>
      </c>
    </row>
    <row r="8" spans="1:6">
      <c r="A8" s="160">
        <v>1</v>
      </c>
      <c r="B8" s="160" t="s">
        <v>937</v>
      </c>
      <c r="C8" s="160">
        <v>15165837</v>
      </c>
      <c r="D8" s="160">
        <v>77138</v>
      </c>
      <c r="E8" s="160">
        <v>12891593</v>
      </c>
      <c r="F8" s="160">
        <v>385956</v>
      </c>
    </row>
    <row r="9" spans="1:6">
      <c r="A9" s="160">
        <v>1</v>
      </c>
      <c r="B9" s="160" t="s">
        <v>938</v>
      </c>
      <c r="C9" s="160">
        <v>14487976</v>
      </c>
      <c r="D9" s="160">
        <v>73705</v>
      </c>
      <c r="E9" s="160">
        <v>12583679</v>
      </c>
      <c r="F9" s="160">
        <v>384391</v>
      </c>
    </row>
    <row r="10" spans="1:6">
      <c r="A10" s="160">
        <v>1</v>
      </c>
      <c r="B10" s="160" t="s">
        <v>939</v>
      </c>
      <c r="C10" s="160">
        <v>14773774</v>
      </c>
      <c r="D10" s="160">
        <v>74922</v>
      </c>
      <c r="E10" s="160">
        <v>12702734</v>
      </c>
      <c r="F10" s="160">
        <v>384700</v>
      </c>
    </row>
    <row r="11" spans="1:6">
      <c r="A11" s="160">
        <v>1</v>
      </c>
      <c r="B11" s="160" t="s">
        <v>940</v>
      </c>
      <c r="C11" s="160">
        <v>14095114</v>
      </c>
      <c r="D11" s="160">
        <v>71699</v>
      </c>
      <c r="E11" s="160">
        <v>12322315</v>
      </c>
      <c r="F11" s="160">
        <v>374114</v>
      </c>
    </row>
    <row r="12" spans="1:6">
      <c r="A12" s="160">
        <v>1</v>
      </c>
      <c r="B12" s="160" t="s">
        <v>941</v>
      </c>
      <c r="C12" s="160">
        <v>14426559</v>
      </c>
      <c r="D12" s="160">
        <v>73307</v>
      </c>
      <c r="E12" s="160">
        <v>12185698</v>
      </c>
      <c r="F12" s="160">
        <v>393539</v>
      </c>
    </row>
    <row r="13" spans="1:6">
      <c r="A13" s="160">
        <v>1</v>
      </c>
      <c r="B13" s="160" t="s">
        <v>942</v>
      </c>
      <c r="C13" s="160">
        <v>13809397</v>
      </c>
      <c r="D13" s="160">
        <v>69498</v>
      </c>
      <c r="E13" s="160">
        <v>12104088</v>
      </c>
      <c r="F13" s="160">
        <v>349258</v>
      </c>
    </row>
    <row r="14" spans="1:6">
      <c r="A14" s="160">
        <v>1</v>
      </c>
      <c r="B14" s="160" t="s">
        <v>943</v>
      </c>
      <c r="C14" s="160">
        <v>14546269</v>
      </c>
      <c r="D14" s="160">
        <v>73569</v>
      </c>
      <c r="E14" s="160">
        <v>12433693</v>
      </c>
      <c r="F14" s="160">
        <v>366913</v>
      </c>
    </row>
    <row r="15" spans="1:6" s="161" customFormat="1">
      <c r="A15" s="161">
        <v>2</v>
      </c>
      <c r="B15" s="161" t="s">
        <v>373</v>
      </c>
      <c r="C15" s="161">
        <v>141563277</v>
      </c>
      <c r="D15" s="161">
        <v>713450</v>
      </c>
      <c r="E15" s="161">
        <v>124320320</v>
      </c>
      <c r="F15" s="161">
        <v>3240482</v>
      </c>
    </row>
    <row r="16" spans="1:6">
      <c r="A16" s="160">
        <v>3</v>
      </c>
      <c r="B16" s="160" t="s">
        <v>374</v>
      </c>
      <c r="C16" s="160">
        <v>36286228</v>
      </c>
      <c r="D16" s="160">
        <v>185452</v>
      </c>
      <c r="E16" s="160">
        <v>30530690</v>
      </c>
      <c r="F16" s="160">
        <v>1745015</v>
      </c>
    </row>
    <row r="17" spans="1:6">
      <c r="A17" s="160">
        <v>4</v>
      </c>
      <c r="B17" s="160" t="s">
        <v>375</v>
      </c>
      <c r="C17" s="160">
        <v>24973968</v>
      </c>
      <c r="D17" s="160">
        <v>114343</v>
      </c>
      <c r="E17" s="160">
        <v>21396275</v>
      </c>
      <c r="F17" s="160">
        <v>862638</v>
      </c>
    </row>
    <row r="18" spans="1:6">
      <c r="A18" s="160">
        <v>5</v>
      </c>
      <c r="B18" s="160" t="s">
        <v>376</v>
      </c>
      <c r="C18" s="160">
        <v>20035341</v>
      </c>
      <c r="D18" s="160">
        <v>108152</v>
      </c>
      <c r="E18" s="160">
        <v>18264159</v>
      </c>
      <c r="F18" s="160">
        <v>157198</v>
      </c>
    </row>
    <row r="19" spans="1:6">
      <c r="A19" s="160">
        <v>6</v>
      </c>
      <c r="B19" s="160" t="s">
        <v>377</v>
      </c>
      <c r="C19" s="160">
        <v>17831337</v>
      </c>
      <c r="D19" s="160">
        <v>88549</v>
      </c>
      <c r="E19" s="160">
        <v>15666040</v>
      </c>
      <c r="F19" s="160">
        <v>127553</v>
      </c>
    </row>
    <row r="20" spans="1:6">
      <c r="A20" s="160">
        <v>7</v>
      </c>
      <c r="B20" s="160" t="s">
        <v>378</v>
      </c>
      <c r="C20" s="160">
        <v>13118579</v>
      </c>
      <c r="D20" s="160">
        <v>64532</v>
      </c>
      <c r="E20" s="160">
        <v>11777980</v>
      </c>
      <c r="F20" s="160">
        <v>80531</v>
      </c>
    </row>
    <row r="21" spans="1:6">
      <c r="A21" s="160">
        <v>8</v>
      </c>
      <c r="B21" s="160" t="s">
        <v>379</v>
      </c>
      <c r="C21" s="160">
        <v>7835094</v>
      </c>
      <c r="D21" s="160">
        <v>41550</v>
      </c>
      <c r="E21" s="160">
        <v>7203869</v>
      </c>
      <c r="F21" s="160">
        <v>39424</v>
      </c>
    </row>
    <row r="22" spans="1:6">
      <c r="A22" s="160">
        <v>9</v>
      </c>
      <c r="B22" s="160" t="s">
        <v>380</v>
      </c>
      <c r="C22" s="160">
        <v>15839769</v>
      </c>
      <c r="D22" s="160">
        <v>80664</v>
      </c>
      <c r="E22" s="160">
        <v>14442218</v>
      </c>
      <c r="F22" s="160">
        <v>120004</v>
      </c>
    </row>
    <row r="23" spans="1:6">
      <c r="A23" s="160">
        <v>10</v>
      </c>
      <c r="B23" s="160" t="s">
        <v>856</v>
      </c>
      <c r="C23" s="160">
        <v>0</v>
      </c>
      <c r="D23" s="160">
        <v>3384</v>
      </c>
      <c r="E23" s="160">
        <v>0</v>
      </c>
      <c r="F23" s="160">
        <v>39929</v>
      </c>
    </row>
    <row r="24" spans="1:6">
      <c r="A24" s="160">
        <v>11</v>
      </c>
      <c r="B24" s="160" t="s">
        <v>381</v>
      </c>
      <c r="C24" s="160">
        <v>2965850</v>
      </c>
      <c r="D24" s="160">
        <v>14108</v>
      </c>
      <c r="E24" s="160">
        <v>2738015</v>
      </c>
      <c r="F24" s="160">
        <v>20652</v>
      </c>
    </row>
    <row r="25" spans="1:6">
      <c r="A25" s="160">
        <v>12</v>
      </c>
      <c r="B25" s="160" t="s">
        <v>511</v>
      </c>
      <c r="C25" s="160">
        <v>889531</v>
      </c>
      <c r="D25" s="160">
        <v>2783</v>
      </c>
      <c r="E25" s="160">
        <v>769156</v>
      </c>
      <c r="F25" s="160">
        <v>37422</v>
      </c>
    </row>
    <row r="26" spans="1:6">
      <c r="A26" s="160">
        <v>13</v>
      </c>
      <c r="B26" s="160" t="s">
        <v>510</v>
      </c>
      <c r="C26" s="160">
        <v>1787580</v>
      </c>
      <c r="D26" s="160">
        <v>9933</v>
      </c>
      <c r="E26" s="160">
        <v>1531918</v>
      </c>
      <c r="F26" s="160">
        <v>10117</v>
      </c>
    </row>
    <row r="27" spans="1:6">
      <c r="A27" s="160">
        <v>99</v>
      </c>
      <c r="B27" s="160" t="s">
        <v>382</v>
      </c>
      <c r="C27" s="160">
        <v>34468262</v>
      </c>
      <c r="D27" s="160">
        <v>179203</v>
      </c>
      <c r="E27" s="160">
        <v>27810798</v>
      </c>
      <c r="F27" s="160">
        <v>1358624</v>
      </c>
    </row>
    <row r="28" spans="1:6">
      <c r="A28" s="160">
        <v>100</v>
      </c>
      <c r="B28" s="160" t="s">
        <v>858</v>
      </c>
      <c r="C28" s="160">
        <v>9642</v>
      </c>
      <c r="D28" s="160">
        <v>99</v>
      </c>
      <c r="E28" s="160">
        <v>8059</v>
      </c>
      <c r="F28" s="160">
        <v>101</v>
      </c>
    </row>
    <row r="29" spans="1:6">
      <c r="A29" s="160">
        <v>100</v>
      </c>
      <c r="B29" s="160" t="s">
        <v>481</v>
      </c>
      <c r="C29" s="160">
        <v>143932</v>
      </c>
      <c r="D29" s="160">
        <v>660</v>
      </c>
      <c r="E29" s="160">
        <v>114278</v>
      </c>
      <c r="F29" s="160">
        <v>3260</v>
      </c>
    </row>
    <row r="30" spans="1:6">
      <c r="A30" s="160">
        <v>100</v>
      </c>
      <c r="B30" s="160" t="s">
        <v>480</v>
      </c>
      <c r="C30" s="160">
        <v>670648</v>
      </c>
      <c r="D30" s="160">
        <v>3154</v>
      </c>
      <c r="E30" s="160">
        <v>544650</v>
      </c>
      <c r="F30" s="160">
        <v>5776</v>
      </c>
    </row>
    <row r="31" spans="1:6">
      <c r="A31" s="160">
        <v>100</v>
      </c>
      <c r="B31" s="160" t="s">
        <v>508</v>
      </c>
      <c r="C31" s="160">
        <v>108904</v>
      </c>
      <c r="D31" s="160">
        <v>370</v>
      </c>
      <c r="E31" s="160">
        <v>94132</v>
      </c>
      <c r="F31" s="160">
        <v>3199</v>
      </c>
    </row>
    <row r="32" spans="1:6">
      <c r="A32" s="160">
        <v>100</v>
      </c>
      <c r="B32" s="160" t="s">
        <v>903</v>
      </c>
      <c r="C32" s="160">
        <v>6778</v>
      </c>
      <c r="D32" s="160">
        <v>36</v>
      </c>
      <c r="E32" s="160">
        <v>3586</v>
      </c>
      <c r="F32" s="160">
        <v>77</v>
      </c>
    </row>
    <row r="33" spans="1:6">
      <c r="A33" s="160">
        <v>100</v>
      </c>
      <c r="B33" s="160" t="s">
        <v>479</v>
      </c>
      <c r="C33" s="160">
        <v>153148</v>
      </c>
      <c r="D33" s="160">
        <v>522</v>
      </c>
      <c r="E33" s="160">
        <v>122625</v>
      </c>
      <c r="F33" s="160">
        <v>7486</v>
      </c>
    </row>
    <row r="34" spans="1:6">
      <c r="A34" s="160">
        <v>100</v>
      </c>
      <c r="B34" s="160" t="s">
        <v>478</v>
      </c>
      <c r="C34" s="160">
        <v>715506</v>
      </c>
      <c r="D34" s="160">
        <v>3277</v>
      </c>
      <c r="E34" s="160">
        <v>603132</v>
      </c>
      <c r="F34" s="160">
        <v>11462</v>
      </c>
    </row>
    <row r="35" spans="1:6">
      <c r="A35" s="160">
        <v>100</v>
      </c>
      <c r="B35" s="160" t="s">
        <v>477</v>
      </c>
      <c r="C35" s="160">
        <v>224952</v>
      </c>
      <c r="D35" s="160">
        <v>1248</v>
      </c>
      <c r="E35" s="160">
        <v>182437</v>
      </c>
      <c r="F35" s="160">
        <v>2197</v>
      </c>
    </row>
    <row r="36" spans="1:6">
      <c r="A36" s="160">
        <v>100</v>
      </c>
      <c r="B36" s="160" t="s">
        <v>476</v>
      </c>
      <c r="C36" s="160">
        <v>233214</v>
      </c>
      <c r="D36" s="160">
        <v>708</v>
      </c>
      <c r="E36" s="160">
        <v>185742</v>
      </c>
      <c r="F36" s="160">
        <v>15427</v>
      </c>
    </row>
    <row r="37" spans="1:6">
      <c r="A37" s="160">
        <v>100</v>
      </c>
      <c r="B37" s="160" t="s">
        <v>475</v>
      </c>
      <c r="C37" s="160">
        <v>663880</v>
      </c>
      <c r="D37" s="160">
        <v>3657</v>
      </c>
      <c r="E37" s="160">
        <v>594630</v>
      </c>
      <c r="F37" s="160">
        <v>4818</v>
      </c>
    </row>
    <row r="38" spans="1:6">
      <c r="A38" s="160">
        <v>100</v>
      </c>
      <c r="B38" s="160" t="s">
        <v>474</v>
      </c>
      <c r="C38" s="160">
        <v>263174</v>
      </c>
      <c r="D38" s="160">
        <v>702</v>
      </c>
      <c r="E38" s="160">
        <v>218279</v>
      </c>
      <c r="F38" s="160">
        <v>13178</v>
      </c>
    </row>
    <row r="39" spans="1:6">
      <c r="A39" s="160">
        <v>100</v>
      </c>
      <c r="B39" s="160" t="s">
        <v>473</v>
      </c>
      <c r="C39" s="160">
        <v>241374</v>
      </c>
      <c r="D39" s="160">
        <v>871</v>
      </c>
      <c r="E39" s="160">
        <v>190945</v>
      </c>
      <c r="F39" s="160">
        <v>9952</v>
      </c>
    </row>
    <row r="40" spans="1:6">
      <c r="A40" s="160">
        <v>100</v>
      </c>
      <c r="B40" s="160" t="s">
        <v>472</v>
      </c>
      <c r="C40" s="160">
        <v>0</v>
      </c>
      <c r="D40" s="160">
        <v>1507</v>
      </c>
      <c r="E40" s="160">
        <v>0</v>
      </c>
      <c r="F40" s="160">
        <v>52100</v>
      </c>
    </row>
    <row r="41" spans="1:6">
      <c r="A41" s="160">
        <v>100</v>
      </c>
      <c r="B41" s="160" t="s">
        <v>471</v>
      </c>
      <c r="C41" s="160">
        <v>0</v>
      </c>
      <c r="D41" s="160">
        <v>3613</v>
      </c>
      <c r="E41" s="160">
        <v>0</v>
      </c>
      <c r="F41" s="160">
        <v>70479</v>
      </c>
    </row>
    <row r="42" spans="1:6">
      <c r="A42" s="160">
        <v>100</v>
      </c>
      <c r="B42" s="160" t="s">
        <v>920</v>
      </c>
      <c r="C42" s="160">
        <v>0</v>
      </c>
      <c r="D42" s="160">
        <v>100</v>
      </c>
      <c r="E42" s="160">
        <v>0</v>
      </c>
      <c r="F42" s="160">
        <v>3050</v>
      </c>
    </row>
    <row r="43" spans="1:6">
      <c r="A43" s="160">
        <v>100</v>
      </c>
      <c r="B43" s="160" t="s">
        <v>504</v>
      </c>
      <c r="C43" s="160">
        <v>0</v>
      </c>
      <c r="D43" s="160">
        <v>446</v>
      </c>
      <c r="E43" s="160">
        <v>0</v>
      </c>
      <c r="F43" s="160">
        <v>3258</v>
      </c>
    </row>
    <row r="44" spans="1:6">
      <c r="A44" s="160">
        <v>100</v>
      </c>
      <c r="B44" s="160" t="s">
        <v>468</v>
      </c>
      <c r="C44" s="160">
        <v>400652</v>
      </c>
      <c r="D44" s="160">
        <v>1352</v>
      </c>
      <c r="E44" s="160">
        <v>343200</v>
      </c>
      <c r="F44" s="160">
        <v>40404</v>
      </c>
    </row>
    <row r="45" spans="1:6">
      <c r="A45" s="160">
        <v>100</v>
      </c>
      <c r="B45" s="160" t="s">
        <v>467</v>
      </c>
      <c r="C45" s="160">
        <v>713681</v>
      </c>
      <c r="D45" s="160">
        <v>2191</v>
      </c>
      <c r="E45" s="160">
        <v>501053</v>
      </c>
      <c r="F45" s="160">
        <v>30464</v>
      </c>
    </row>
    <row r="46" spans="1:6">
      <c r="A46" s="160">
        <v>100</v>
      </c>
      <c r="B46" s="160" t="s">
        <v>466</v>
      </c>
      <c r="C46" s="160">
        <v>453825</v>
      </c>
      <c r="D46" s="160">
        <v>1231</v>
      </c>
      <c r="E46" s="160">
        <v>365496</v>
      </c>
      <c r="F46" s="160">
        <v>9628</v>
      </c>
    </row>
    <row r="47" spans="1:6">
      <c r="A47" s="160">
        <v>100</v>
      </c>
      <c r="B47" s="160" t="s">
        <v>465</v>
      </c>
      <c r="C47" s="160">
        <v>450540</v>
      </c>
      <c r="D47" s="160">
        <v>2503</v>
      </c>
      <c r="E47" s="160">
        <v>357661</v>
      </c>
      <c r="F47" s="160">
        <v>4066</v>
      </c>
    </row>
    <row r="48" spans="1:6">
      <c r="A48" s="160">
        <v>100</v>
      </c>
      <c r="B48" s="160" t="s">
        <v>463</v>
      </c>
      <c r="C48" s="160">
        <v>854007</v>
      </c>
      <c r="D48" s="160">
        <v>3020</v>
      </c>
      <c r="E48" s="160">
        <v>697037</v>
      </c>
      <c r="F48" s="160">
        <v>35016</v>
      </c>
    </row>
    <row r="49" spans="1:6">
      <c r="A49" s="160">
        <v>100</v>
      </c>
      <c r="B49" s="160" t="s">
        <v>462</v>
      </c>
      <c r="C49" s="160">
        <v>0</v>
      </c>
      <c r="D49" s="160">
        <v>2110</v>
      </c>
      <c r="E49" s="160">
        <v>0</v>
      </c>
      <c r="F49" s="160">
        <v>35086</v>
      </c>
    </row>
    <row r="50" spans="1:6">
      <c r="A50" s="160">
        <v>100</v>
      </c>
      <c r="B50" s="160" t="s">
        <v>461</v>
      </c>
      <c r="C50" s="160">
        <v>310310</v>
      </c>
      <c r="D50" s="160">
        <v>1214</v>
      </c>
      <c r="E50" s="160">
        <v>277004</v>
      </c>
      <c r="F50" s="160">
        <v>46155</v>
      </c>
    </row>
    <row r="51" spans="1:6">
      <c r="A51" s="160">
        <v>100</v>
      </c>
      <c r="B51" s="160" t="s">
        <v>944</v>
      </c>
      <c r="C51" s="160">
        <v>23028</v>
      </c>
      <c r="D51" s="160">
        <v>114</v>
      </c>
      <c r="E51" s="160">
        <v>13373</v>
      </c>
      <c r="F51" s="160">
        <v>363</v>
      </c>
    </row>
    <row r="52" spans="1:6">
      <c r="A52" s="160">
        <v>100</v>
      </c>
      <c r="B52" s="160" t="s">
        <v>460</v>
      </c>
      <c r="C52" s="160">
        <v>0</v>
      </c>
      <c r="D52" s="160">
        <v>312</v>
      </c>
      <c r="E52" s="160">
        <v>0</v>
      </c>
      <c r="F52" s="160">
        <v>17244</v>
      </c>
    </row>
    <row r="53" spans="1:6">
      <c r="A53" s="160">
        <v>100</v>
      </c>
      <c r="B53" s="160" t="s">
        <v>459</v>
      </c>
      <c r="C53" s="160">
        <v>0</v>
      </c>
      <c r="D53" s="160">
        <v>304</v>
      </c>
      <c r="E53" s="160">
        <v>0</v>
      </c>
      <c r="F53" s="160">
        <v>14913</v>
      </c>
    </row>
    <row r="54" spans="1:6">
      <c r="A54" s="160">
        <v>100</v>
      </c>
      <c r="B54" s="160" t="s">
        <v>458</v>
      </c>
      <c r="C54" s="160">
        <v>147574</v>
      </c>
      <c r="D54" s="160">
        <v>870</v>
      </c>
      <c r="E54" s="160">
        <v>103193</v>
      </c>
      <c r="F54" s="160">
        <v>1516</v>
      </c>
    </row>
    <row r="55" spans="1:6">
      <c r="A55" s="160">
        <v>100</v>
      </c>
      <c r="B55" s="160" t="s">
        <v>457</v>
      </c>
      <c r="C55" s="160">
        <v>1081048</v>
      </c>
      <c r="D55" s="160">
        <v>5830</v>
      </c>
      <c r="E55" s="160">
        <v>923075</v>
      </c>
      <c r="F55" s="160">
        <v>7687</v>
      </c>
    </row>
    <row r="56" spans="1:6">
      <c r="A56" s="160">
        <v>100</v>
      </c>
      <c r="B56" s="160" t="s">
        <v>455</v>
      </c>
      <c r="C56" s="160">
        <v>104458</v>
      </c>
      <c r="D56" s="160">
        <v>616</v>
      </c>
      <c r="E56" s="160">
        <v>67996</v>
      </c>
      <c r="F56" s="160">
        <v>867</v>
      </c>
    </row>
    <row r="57" spans="1:6">
      <c r="A57" s="160">
        <v>100</v>
      </c>
      <c r="B57" s="160" t="s">
        <v>454</v>
      </c>
      <c r="C57" s="160">
        <v>29964</v>
      </c>
      <c r="D57" s="160">
        <v>162</v>
      </c>
      <c r="E57" s="160">
        <v>21772</v>
      </c>
      <c r="F57" s="160">
        <v>195</v>
      </c>
    </row>
    <row r="58" spans="1:6">
      <c r="A58" s="160">
        <v>100</v>
      </c>
      <c r="B58" s="160" t="s">
        <v>530</v>
      </c>
      <c r="C58" s="160">
        <v>211700</v>
      </c>
      <c r="D58" s="160">
        <v>730</v>
      </c>
      <c r="E58" s="160">
        <v>177140</v>
      </c>
      <c r="F58" s="160">
        <v>6688</v>
      </c>
    </row>
    <row r="59" spans="1:6">
      <c r="A59" s="160">
        <v>100</v>
      </c>
      <c r="B59" s="160" t="s">
        <v>453</v>
      </c>
      <c r="C59" s="160">
        <v>931256</v>
      </c>
      <c r="D59" s="160">
        <v>4200</v>
      </c>
      <c r="E59" s="160">
        <v>786461</v>
      </c>
      <c r="F59" s="160">
        <v>23994</v>
      </c>
    </row>
    <row r="60" spans="1:6">
      <c r="A60" s="160">
        <v>100</v>
      </c>
      <c r="B60" s="160" t="s">
        <v>452</v>
      </c>
      <c r="C60" s="160">
        <v>0</v>
      </c>
      <c r="D60" s="160">
        <v>272</v>
      </c>
      <c r="E60" s="160">
        <v>0</v>
      </c>
      <c r="F60" s="160">
        <v>18563</v>
      </c>
    </row>
    <row r="61" spans="1:6">
      <c r="A61" s="160">
        <v>100</v>
      </c>
      <c r="B61" s="160" t="s">
        <v>451</v>
      </c>
      <c r="C61" s="160">
        <v>237706</v>
      </c>
      <c r="D61" s="160">
        <v>1482</v>
      </c>
      <c r="E61" s="160">
        <v>164242</v>
      </c>
      <c r="F61" s="160">
        <v>2768</v>
      </c>
    </row>
    <row r="62" spans="1:6">
      <c r="A62" s="160">
        <v>100</v>
      </c>
      <c r="B62" s="160" t="s">
        <v>450</v>
      </c>
      <c r="C62" s="160">
        <v>0</v>
      </c>
      <c r="D62" s="160">
        <v>516</v>
      </c>
      <c r="E62" s="160">
        <v>0</v>
      </c>
      <c r="F62" s="160">
        <v>4581</v>
      </c>
    </row>
    <row r="63" spans="1:6">
      <c r="A63" s="160">
        <v>100</v>
      </c>
      <c r="B63" s="160" t="s">
        <v>945</v>
      </c>
      <c r="C63" s="160">
        <v>39060</v>
      </c>
      <c r="D63" s="160">
        <v>211</v>
      </c>
      <c r="E63" s="160">
        <v>24418</v>
      </c>
      <c r="F63" s="160">
        <v>250</v>
      </c>
    </row>
    <row r="64" spans="1:6">
      <c r="A64" s="160">
        <v>100</v>
      </c>
      <c r="B64" s="160" t="s">
        <v>449</v>
      </c>
      <c r="C64" s="160">
        <v>273148</v>
      </c>
      <c r="D64" s="160">
        <v>1670</v>
      </c>
      <c r="E64" s="160">
        <v>215685</v>
      </c>
      <c r="F64" s="160">
        <v>3593</v>
      </c>
    </row>
    <row r="65" spans="1:6">
      <c r="A65" s="160">
        <v>100</v>
      </c>
      <c r="B65" s="160" t="s">
        <v>448</v>
      </c>
      <c r="C65" s="160">
        <v>0</v>
      </c>
      <c r="D65" s="160">
        <v>163</v>
      </c>
      <c r="E65" s="160">
        <v>0</v>
      </c>
      <c r="F65" s="160">
        <v>1577</v>
      </c>
    </row>
    <row r="66" spans="1:6">
      <c r="A66" s="160">
        <v>100</v>
      </c>
      <c r="B66" s="160" t="s">
        <v>447</v>
      </c>
      <c r="C66" s="160">
        <v>7160</v>
      </c>
      <c r="D66" s="160">
        <v>42</v>
      </c>
      <c r="E66" s="160">
        <v>3165</v>
      </c>
      <c r="F66" s="160">
        <v>28</v>
      </c>
    </row>
    <row r="67" spans="1:6">
      <c r="A67" s="160">
        <v>100</v>
      </c>
      <c r="B67" s="160" t="s">
        <v>446</v>
      </c>
      <c r="C67" s="160">
        <v>2867934</v>
      </c>
      <c r="D67" s="160">
        <v>16456</v>
      </c>
      <c r="E67" s="160">
        <v>2196692</v>
      </c>
      <c r="F67" s="160">
        <v>49085</v>
      </c>
    </row>
    <row r="68" spans="1:6">
      <c r="A68" s="160">
        <v>100</v>
      </c>
      <c r="B68" s="160" t="s">
        <v>445</v>
      </c>
      <c r="C68" s="160">
        <v>2137142</v>
      </c>
      <c r="D68" s="160">
        <v>12230</v>
      </c>
      <c r="E68" s="160">
        <v>1647915</v>
      </c>
      <c r="F68" s="160">
        <v>30072</v>
      </c>
    </row>
    <row r="69" spans="1:6">
      <c r="A69" s="160">
        <v>100</v>
      </c>
      <c r="B69" s="160" t="s">
        <v>444</v>
      </c>
      <c r="C69" s="160">
        <v>319628</v>
      </c>
      <c r="D69" s="160">
        <v>1788</v>
      </c>
      <c r="E69" s="160">
        <v>250379</v>
      </c>
      <c r="F69" s="160">
        <v>2535</v>
      </c>
    </row>
    <row r="70" spans="1:6">
      <c r="A70" s="160">
        <v>100</v>
      </c>
      <c r="B70" s="160" t="s">
        <v>443</v>
      </c>
      <c r="C70" s="160">
        <v>1369247</v>
      </c>
      <c r="D70" s="160">
        <v>7550</v>
      </c>
      <c r="E70" s="160">
        <v>1025611</v>
      </c>
      <c r="F70" s="160">
        <v>18637</v>
      </c>
    </row>
    <row r="71" spans="1:6">
      <c r="A71" s="160">
        <v>100</v>
      </c>
      <c r="B71" s="160" t="s">
        <v>442</v>
      </c>
      <c r="C71" s="160">
        <v>22506</v>
      </c>
      <c r="D71" s="160">
        <v>121</v>
      </c>
      <c r="E71" s="160">
        <v>20123</v>
      </c>
      <c r="F71" s="160">
        <v>281</v>
      </c>
    </row>
    <row r="72" spans="1:6">
      <c r="A72" s="160">
        <v>100</v>
      </c>
      <c r="B72" s="160" t="s">
        <v>500</v>
      </c>
      <c r="C72" s="160">
        <v>232490</v>
      </c>
      <c r="D72" s="160">
        <v>695</v>
      </c>
      <c r="E72" s="160">
        <v>198355</v>
      </c>
      <c r="F72" s="160">
        <v>5702</v>
      </c>
    </row>
    <row r="73" spans="1:6">
      <c r="A73" s="160">
        <v>100</v>
      </c>
      <c r="B73" s="160" t="s">
        <v>441</v>
      </c>
      <c r="C73" s="160">
        <v>452934</v>
      </c>
      <c r="D73" s="160">
        <v>2708</v>
      </c>
      <c r="E73" s="160">
        <v>398730</v>
      </c>
      <c r="F73" s="160">
        <v>23553</v>
      </c>
    </row>
    <row r="74" spans="1:6">
      <c r="A74" s="160">
        <v>100</v>
      </c>
      <c r="B74" s="160" t="s">
        <v>946</v>
      </c>
      <c r="C74" s="160">
        <v>0</v>
      </c>
      <c r="D74" s="160">
        <v>222</v>
      </c>
      <c r="E74" s="160">
        <v>0</v>
      </c>
      <c r="F74" s="160">
        <v>1888</v>
      </c>
    </row>
    <row r="75" spans="1:6">
      <c r="A75" s="160">
        <v>100</v>
      </c>
      <c r="B75" s="160" t="s">
        <v>947</v>
      </c>
      <c r="C75" s="160">
        <v>5152</v>
      </c>
      <c r="D75" s="160">
        <v>28</v>
      </c>
      <c r="E75" s="160">
        <v>3942</v>
      </c>
      <c r="F75" s="160">
        <v>28</v>
      </c>
    </row>
    <row r="76" spans="1:6">
      <c r="A76" s="160">
        <v>100</v>
      </c>
      <c r="B76" s="160" t="s">
        <v>440</v>
      </c>
      <c r="C76" s="160">
        <v>477249</v>
      </c>
      <c r="D76" s="160">
        <v>2630</v>
      </c>
      <c r="E76" s="160">
        <v>428683</v>
      </c>
      <c r="F76" s="160">
        <v>19254</v>
      </c>
    </row>
    <row r="77" spans="1:6">
      <c r="A77" s="160">
        <v>100</v>
      </c>
      <c r="B77" s="160" t="s">
        <v>904</v>
      </c>
      <c r="C77" s="160">
        <v>0</v>
      </c>
      <c r="D77" s="160">
        <v>4</v>
      </c>
      <c r="E77" s="160">
        <v>0</v>
      </c>
      <c r="F77" s="160">
        <v>7</v>
      </c>
    </row>
    <row r="78" spans="1:6">
      <c r="A78" s="160">
        <v>100</v>
      </c>
      <c r="B78" s="160" t="s">
        <v>439</v>
      </c>
      <c r="C78" s="160">
        <v>105984</v>
      </c>
      <c r="D78" s="160">
        <v>414</v>
      </c>
      <c r="E78" s="160">
        <v>86811</v>
      </c>
      <c r="F78" s="160">
        <v>5478</v>
      </c>
    </row>
    <row r="79" spans="1:6">
      <c r="A79" s="160">
        <v>100</v>
      </c>
      <c r="B79" s="160" t="s">
        <v>437</v>
      </c>
      <c r="C79" s="160">
        <v>0</v>
      </c>
      <c r="D79" s="160">
        <v>2872</v>
      </c>
      <c r="E79" s="160">
        <v>0</v>
      </c>
      <c r="F79" s="160">
        <v>47332</v>
      </c>
    </row>
    <row r="80" spans="1:6">
      <c r="A80" s="160">
        <v>100</v>
      </c>
      <c r="B80" s="160" t="s">
        <v>435</v>
      </c>
      <c r="C80" s="160">
        <v>339223</v>
      </c>
      <c r="D80" s="160">
        <v>1274</v>
      </c>
      <c r="E80" s="160">
        <v>288030</v>
      </c>
      <c r="F80" s="160">
        <v>19904</v>
      </c>
    </row>
    <row r="81" spans="1:6">
      <c r="A81" s="160">
        <v>100</v>
      </c>
      <c r="B81" s="160" t="s">
        <v>948</v>
      </c>
      <c r="C81" s="160">
        <v>46080</v>
      </c>
      <c r="D81" s="160">
        <v>144</v>
      </c>
      <c r="E81" s="160">
        <v>44691</v>
      </c>
      <c r="F81" s="160">
        <v>1899</v>
      </c>
    </row>
    <row r="82" spans="1:6">
      <c r="A82" s="160">
        <v>100</v>
      </c>
      <c r="B82" s="160" t="s">
        <v>432</v>
      </c>
      <c r="C82" s="160">
        <v>180614</v>
      </c>
      <c r="D82" s="160">
        <v>726</v>
      </c>
      <c r="E82" s="160">
        <v>160480</v>
      </c>
      <c r="F82" s="160">
        <v>6840</v>
      </c>
    </row>
    <row r="83" spans="1:6">
      <c r="A83" s="160">
        <v>100</v>
      </c>
      <c r="B83" s="160" t="s">
        <v>431</v>
      </c>
      <c r="C83" s="160">
        <v>9450</v>
      </c>
      <c r="D83" s="160">
        <v>50</v>
      </c>
      <c r="E83" s="160">
        <v>7299</v>
      </c>
      <c r="F83" s="160">
        <v>67</v>
      </c>
    </row>
    <row r="84" spans="1:6">
      <c r="A84" s="160">
        <v>100</v>
      </c>
      <c r="B84" s="160" t="s">
        <v>428</v>
      </c>
      <c r="C84" s="160">
        <v>302161</v>
      </c>
      <c r="D84" s="160">
        <v>1012</v>
      </c>
      <c r="E84" s="160">
        <v>240980</v>
      </c>
      <c r="F84" s="160">
        <v>17532</v>
      </c>
    </row>
    <row r="85" spans="1:6">
      <c r="A85" s="160">
        <v>100</v>
      </c>
      <c r="B85" s="160" t="s">
        <v>427</v>
      </c>
      <c r="C85" s="160">
        <v>282858</v>
      </c>
      <c r="D85" s="160">
        <v>1548</v>
      </c>
      <c r="E85" s="160">
        <v>117594</v>
      </c>
      <c r="F85" s="160">
        <v>19751</v>
      </c>
    </row>
    <row r="86" spans="1:6">
      <c r="A86" s="160">
        <v>100</v>
      </c>
      <c r="B86" s="160" t="s">
        <v>426</v>
      </c>
      <c r="C86" s="160">
        <v>0</v>
      </c>
      <c r="D86" s="160">
        <v>614</v>
      </c>
      <c r="E86" s="160">
        <v>0</v>
      </c>
      <c r="F86" s="160">
        <v>26261</v>
      </c>
    </row>
    <row r="87" spans="1:6">
      <c r="A87" s="160">
        <v>100</v>
      </c>
      <c r="B87" s="160" t="s">
        <v>425</v>
      </c>
      <c r="C87" s="160">
        <v>506334</v>
      </c>
      <c r="D87" s="160">
        <v>1594</v>
      </c>
      <c r="E87" s="160">
        <v>490889</v>
      </c>
      <c r="F87" s="160">
        <v>25913</v>
      </c>
    </row>
    <row r="88" spans="1:6">
      <c r="A88" s="160">
        <v>100</v>
      </c>
      <c r="B88" s="160" t="s">
        <v>859</v>
      </c>
      <c r="C88" s="160">
        <v>188892</v>
      </c>
      <c r="D88" s="160">
        <v>584</v>
      </c>
      <c r="E88" s="160">
        <v>125354</v>
      </c>
      <c r="F88" s="160">
        <v>3570</v>
      </c>
    </row>
    <row r="89" spans="1:6">
      <c r="A89" s="160">
        <v>100</v>
      </c>
      <c r="B89" s="160" t="s">
        <v>424</v>
      </c>
      <c r="C89" s="160">
        <v>437374</v>
      </c>
      <c r="D89" s="160">
        <v>1182</v>
      </c>
      <c r="E89" s="160">
        <v>350400</v>
      </c>
      <c r="F89" s="160">
        <v>11566</v>
      </c>
    </row>
    <row r="90" spans="1:6">
      <c r="A90" s="160">
        <v>100</v>
      </c>
      <c r="B90" s="160" t="s">
        <v>949</v>
      </c>
      <c r="C90" s="160">
        <v>107322</v>
      </c>
      <c r="D90" s="160">
        <v>578</v>
      </c>
      <c r="E90" s="160">
        <v>82716</v>
      </c>
      <c r="F90" s="160">
        <v>596</v>
      </c>
    </row>
    <row r="91" spans="1:6">
      <c r="A91" s="160">
        <v>100</v>
      </c>
      <c r="B91" s="160" t="s">
        <v>423</v>
      </c>
      <c r="C91" s="160">
        <v>147330</v>
      </c>
      <c r="D91" s="160">
        <v>744</v>
      </c>
      <c r="E91" s="160">
        <v>114372</v>
      </c>
      <c r="F91" s="160">
        <v>3502</v>
      </c>
    </row>
    <row r="92" spans="1:6">
      <c r="A92" s="160">
        <v>100</v>
      </c>
      <c r="B92" s="160" t="s">
        <v>421</v>
      </c>
      <c r="C92" s="160">
        <v>217184</v>
      </c>
      <c r="D92" s="160">
        <v>1281</v>
      </c>
      <c r="E92" s="160">
        <v>162137</v>
      </c>
      <c r="F92" s="160">
        <v>2585</v>
      </c>
    </row>
    <row r="93" spans="1:6">
      <c r="A93" s="160">
        <v>100</v>
      </c>
      <c r="B93" s="160" t="s">
        <v>420</v>
      </c>
      <c r="C93" s="160">
        <v>0</v>
      </c>
      <c r="D93" s="160">
        <v>1012</v>
      </c>
      <c r="E93" s="160">
        <v>0</v>
      </c>
      <c r="F93" s="160">
        <v>29460</v>
      </c>
    </row>
    <row r="94" spans="1:6">
      <c r="A94" s="160">
        <v>100</v>
      </c>
      <c r="B94" s="160" t="s">
        <v>921</v>
      </c>
      <c r="C94" s="160">
        <v>71115</v>
      </c>
      <c r="D94" s="160">
        <v>501</v>
      </c>
      <c r="E94" s="160">
        <v>48948</v>
      </c>
      <c r="F94" s="160">
        <v>890</v>
      </c>
    </row>
    <row r="95" spans="1:6">
      <c r="A95" s="160">
        <v>100</v>
      </c>
      <c r="B95" s="160" t="s">
        <v>419</v>
      </c>
      <c r="C95" s="160">
        <v>614478</v>
      </c>
      <c r="D95" s="160">
        <v>2450</v>
      </c>
      <c r="E95" s="160">
        <v>537231</v>
      </c>
      <c r="F95" s="160">
        <v>20087</v>
      </c>
    </row>
    <row r="96" spans="1:6">
      <c r="A96" s="160">
        <v>100</v>
      </c>
      <c r="B96" s="160" t="s">
        <v>418</v>
      </c>
      <c r="C96" s="160">
        <v>474198</v>
      </c>
      <c r="D96" s="160">
        <v>1004</v>
      </c>
      <c r="E96" s="160">
        <v>384237</v>
      </c>
      <c r="F96" s="160">
        <v>19864</v>
      </c>
    </row>
    <row r="97" spans="1:6">
      <c r="A97" s="160">
        <v>100</v>
      </c>
      <c r="B97" s="160" t="s">
        <v>414</v>
      </c>
      <c r="C97" s="160">
        <v>0</v>
      </c>
      <c r="D97" s="160">
        <v>2</v>
      </c>
      <c r="E97" s="160">
        <v>0</v>
      </c>
      <c r="F97" s="160">
        <v>83</v>
      </c>
    </row>
    <row r="98" spans="1:6">
      <c r="A98" s="160">
        <v>100</v>
      </c>
      <c r="B98" s="160" t="s">
        <v>413</v>
      </c>
      <c r="C98" s="160">
        <v>756</v>
      </c>
      <c r="D98" s="160">
        <v>4294</v>
      </c>
      <c r="E98" s="160">
        <v>634</v>
      </c>
      <c r="F98" s="160">
        <v>40144</v>
      </c>
    </row>
    <row r="99" spans="1:6">
      <c r="A99" s="160">
        <v>100</v>
      </c>
      <c r="B99" s="160" t="s">
        <v>412</v>
      </c>
      <c r="C99" s="160">
        <v>73332</v>
      </c>
      <c r="D99" s="160">
        <v>300</v>
      </c>
      <c r="E99" s="160">
        <v>61873</v>
      </c>
      <c r="F99" s="160">
        <v>2612</v>
      </c>
    </row>
    <row r="100" spans="1:6">
      <c r="A100" s="160">
        <v>100</v>
      </c>
      <c r="B100" s="160" t="s">
        <v>410</v>
      </c>
      <c r="C100" s="160">
        <v>206912</v>
      </c>
      <c r="D100" s="160">
        <v>732</v>
      </c>
      <c r="E100" s="160">
        <v>188809</v>
      </c>
      <c r="F100" s="160">
        <v>8455</v>
      </c>
    </row>
    <row r="101" spans="1:6">
      <c r="A101" s="160">
        <v>100</v>
      </c>
      <c r="B101" s="160" t="s">
        <v>905</v>
      </c>
      <c r="C101" s="160">
        <v>0</v>
      </c>
      <c r="D101" s="160">
        <v>138</v>
      </c>
      <c r="E101" s="160">
        <v>0</v>
      </c>
      <c r="F101" s="160">
        <v>1850</v>
      </c>
    </row>
    <row r="102" spans="1:6">
      <c r="A102" s="160">
        <v>100</v>
      </c>
      <c r="B102" s="160" t="s">
        <v>409</v>
      </c>
      <c r="C102" s="160">
        <v>1016812</v>
      </c>
      <c r="D102" s="160">
        <v>3938</v>
      </c>
      <c r="E102" s="160">
        <v>856161</v>
      </c>
      <c r="F102" s="160">
        <v>53693</v>
      </c>
    </row>
    <row r="103" spans="1:6">
      <c r="A103" s="160">
        <v>100</v>
      </c>
      <c r="B103" s="160" t="s">
        <v>408</v>
      </c>
      <c r="C103" s="160">
        <v>0</v>
      </c>
      <c r="D103" s="160">
        <v>242</v>
      </c>
      <c r="E103" s="160">
        <v>0</v>
      </c>
      <c r="F103" s="160">
        <v>20152</v>
      </c>
    </row>
    <row r="104" spans="1:6">
      <c r="A104" s="160">
        <v>100</v>
      </c>
      <c r="B104" s="160" t="s">
        <v>950</v>
      </c>
      <c r="C104" s="160">
        <v>0</v>
      </c>
      <c r="D104" s="160">
        <v>10</v>
      </c>
      <c r="E104" s="160">
        <v>0</v>
      </c>
      <c r="F104" s="160">
        <v>49</v>
      </c>
    </row>
    <row r="105" spans="1:6">
      <c r="A105" s="160">
        <v>100</v>
      </c>
      <c r="B105" s="160" t="s">
        <v>923</v>
      </c>
      <c r="C105" s="160">
        <v>16050</v>
      </c>
      <c r="D105" s="160">
        <v>107</v>
      </c>
      <c r="E105" s="160">
        <v>10748</v>
      </c>
      <c r="F105" s="160">
        <v>102</v>
      </c>
    </row>
    <row r="106" spans="1:6">
      <c r="A106" s="160">
        <v>100</v>
      </c>
      <c r="B106" s="160" t="s">
        <v>405</v>
      </c>
      <c r="C106" s="160">
        <v>427318</v>
      </c>
      <c r="D106" s="160">
        <v>1340</v>
      </c>
      <c r="E106" s="160">
        <v>365627</v>
      </c>
      <c r="F106" s="160">
        <v>7357</v>
      </c>
    </row>
    <row r="107" spans="1:6">
      <c r="A107" s="160">
        <v>100</v>
      </c>
      <c r="B107" s="160" t="s">
        <v>404</v>
      </c>
      <c r="C107" s="160">
        <v>139472</v>
      </c>
      <c r="D107" s="160">
        <v>697</v>
      </c>
      <c r="E107" s="160">
        <v>105653</v>
      </c>
      <c r="F107" s="160">
        <v>1418</v>
      </c>
    </row>
    <row r="108" spans="1:6">
      <c r="A108" s="160">
        <v>100</v>
      </c>
      <c r="B108" s="160" t="s">
        <v>523</v>
      </c>
      <c r="C108" s="160">
        <v>30960</v>
      </c>
      <c r="D108" s="160">
        <v>144</v>
      </c>
      <c r="E108" s="160">
        <v>29208</v>
      </c>
      <c r="F108" s="160">
        <v>2182</v>
      </c>
    </row>
    <row r="109" spans="1:6">
      <c r="A109" s="160">
        <v>100</v>
      </c>
      <c r="B109" s="160" t="s">
        <v>488</v>
      </c>
      <c r="C109" s="160">
        <v>62652</v>
      </c>
      <c r="D109" s="160">
        <v>215</v>
      </c>
      <c r="E109" s="160">
        <v>39505</v>
      </c>
      <c r="F109" s="160">
        <v>3508</v>
      </c>
    </row>
    <row r="110" spans="1:6">
      <c r="A110" s="160">
        <v>100</v>
      </c>
      <c r="B110" s="160" t="s">
        <v>925</v>
      </c>
      <c r="C110" s="160">
        <v>0</v>
      </c>
      <c r="D110" s="160">
        <v>41</v>
      </c>
      <c r="E110" s="160">
        <v>0</v>
      </c>
      <c r="F110" s="160">
        <v>784</v>
      </c>
    </row>
    <row r="111" spans="1:6">
      <c r="A111" s="160">
        <v>100</v>
      </c>
      <c r="B111" s="160" t="s">
        <v>926</v>
      </c>
      <c r="C111" s="160">
        <v>0</v>
      </c>
      <c r="D111" s="160">
        <v>922</v>
      </c>
      <c r="E111" s="160">
        <v>0</v>
      </c>
      <c r="F111" s="160">
        <v>8486</v>
      </c>
    </row>
    <row r="112" spans="1:6">
      <c r="A112" s="160">
        <v>100</v>
      </c>
      <c r="B112" s="160" t="s">
        <v>403</v>
      </c>
      <c r="C112" s="160">
        <v>540848</v>
      </c>
      <c r="D112" s="160">
        <v>2098</v>
      </c>
      <c r="E112" s="160">
        <v>426491</v>
      </c>
      <c r="F112" s="160">
        <v>8620</v>
      </c>
    </row>
    <row r="113" spans="1:6">
      <c r="A113" s="160">
        <v>100</v>
      </c>
      <c r="B113" s="160" t="s">
        <v>402</v>
      </c>
      <c r="C113" s="160">
        <v>444805</v>
      </c>
      <c r="D113" s="160">
        <v>2170</v>
      </c>
      <c r="E113" s="160">
        <v>359409</v>
      </c>
      <c r="F113" s="160">
        <v>6689</v>
      </c>
    </row>
    <row r="114" spans="1:6">
      <c r="A114" s="160">
        <v>100</v>
      </c>
      <c r="B114" s="160" t="s">
        <v>401</v>
      </c>
      <c r="C114" s="160">
        <v>1175416</v>
      </c>
      <c r="D114" s="160">
        <v>6793</v>
      </c>
      <c r="E114" s="160">
        <v>868801</v>
      </c>
      <c r="F114" s="160">
        <v>16223</v>
      </c>
    </row>
    <row r="115" spans="1:6">
      <c r="A115" s="160">
        <v>100</v>
      </c>
      <c r="B115" s="160" t="s">
        <v>400</v>
      </c>
      <c r="C115" s="160">
        <v>147844</v>
      </c>
      <c r="D115" s="160">
        <v>810</v>
      </c>
      <c r="E115" s="160">
        <v>123413</v>
      </c>
      <c r="F115" s="160">
        <v>1663</v>
      </c>
    </row>
    <row r="116" spans="1:6">
      <c r="A116" s="160">
        <v>100</v>
      </c>
      <c r="B116" s="160" t="s">
        <v>487</v>
      </c>
      <c r="C116" s="160">
        <v>47674</v>
      </c>
      <c r="D116" s="160">
        <v>158</v>
      </c>
      <c r="E116" s="160">
        <v>20812</v>
      </c>
      <c r="F116" s="160">
        <v>1641</v>
      </c>
    </row>
    <row r="117" spans="1:6">
      <c r="A117" s="160">
        <v>100</v>
      </c>
      <c r="B117" s="160" t="s">
        <v>927</v>
      </c>
      <c r="C117" s="160">
        <v>2420</v>
      </c>
      <c r="D117" s="160">
        <v>11</v>
      </c>
      <c r="E117" s="160">
        <v>2181</v>
      </c>
      <c r="F117" s="160">
        <v>23</v>
      </c>
    </row>
    <row r="118" spans="1:6">
      <c r="A118" s="160">
        <v>100</v>
      </c>
      <c r="B118" s="160" t="s">
        <v>399</v>
      </c>
      <c r="C118" s="160">
        <v>3519130</v>
      </c>
      <c r="D118" s="160">
        <v>15724</v>
      </c>
      <c r="E118" s="160">
        <v>2937873</v>
      </c>
      <c r="F118" s="160">
        <v>39837</v>
      </c>
    </row>
    <row r="119" spans="1:6">
      <c r="A119" s="160">
        <v>100</v>
      </c>
      <c r="B119" s="160" t="s">
        <v>398</v>
      </c>
      <c r="C119" s="160">
        <v>47100</v>
      </c>
      <c r="D119" s="160">
        <v>314</v>
      </c>
      <c r="E119" s="160">
        <v>28088</v>
      </c>
      <c r="F119" s="160">
        <v>593</v>
      </c>
    </row>
    <row r="120" spans="1:6">
      <c r="A120" s="160">
        <v>100</v>
      </c>
      <c r="B120" s="160" t="s">
        <v>397</v>
      </c>
      <c r="C120" s="160">
        <v>39190</v>
      </c>
      <c r="D120" s="160">
        <v>220</v>
      </c>
      <c r="E120" s="160">
        <v>27606</v>
      </c>
      <c r="F120" s="160">
        <v>266</v>
      </c>
    </row>
    <row r="121" spans="1:6">
      <c r="A121" s="160">
        <v>100</v>
      </c>
      <c r="B121" s="160" t="s">
        <v>395</v>
      </c>
      <c r="C121" s="160">
        <v>1649230</v>
      </c>
      <c r="D121" s="160">
        <v>6052</v>
      </c>
      <c r="E121" s="160">
        <v>1375734</v>
      </c>
      <c r="F121" s="160">
        <v>54435</v>
      </c>
    </row>
    <row r="122" spans="1:6">
      <c r="A122" s="160">
        <v>100</v>
      </c>
      <c r="B122" s="160" t="s">
        <v>860</v>
      </c>
      <c r="C122" s="160">
        <v>33984</v>
      </c>
      <c r="D122" s="160">
        <v>178</v>
      </c>
      <c r="E122" s="160">
        <v>30759</v>
      </c>
      <c r="F122" s="160">
        <v>334</v>
      </c>
    </row>
    <row r="123" spans="1:6">
      <c r="A123" s="160">
        <v>100</v>
      </c>
      <c r="B123" s="160" t="s">
        <v>486</v>
      </c>
      <c r="C123" s="160">
        <v>50160</v>
      </c>
      <c r="D123" s="160">
        <v>352</v>
      </c>
      <c r="E123" s="160">
        <v>33341</v>
      </c>
      <c r="F123" s="160">
        <v>898</v>
      </c>
    </row>
    <row r="124" spans="1:6">
      <c r="A124" s="160">
        <v>100</v>
      </c>
      <c r="B124" s="160" t="s">
        <v>521</v>
      </c>
      <c r="C124" s="160">
        <v>17352</v>
      </c>
      <c r="D124" s="160">
        <v>100</v>
      </c>
      <c r="E124" s="160">
        <v>7698</v>
      </c>
      <c r="F124" s="160">
        <v>247</v>
      </c>
    </row>
    <row r="125" spans="1:6">
      <c r="A125" s="160">
        <v>100</v>
      </c>
      <c r="B125" s="160" t="s">
        <v>393</v>
      </c>
      <c r="C125" s="160">
        <v>372306</v>
      </c>
      <c r="D125" s="160">
        <v>1775</v>
      </c>
      <c r="E125" s="160">
        <v>305780</v>
      </c>
      <c r="F125" s="160">
        <v>9012</v>
      </c>
    </row>
    <row r="126" spans="1:6">
      <c r="A126" s="160">
        <v>100</v>
      </c>
      <c r="B126" s="160" t="s">
        <v>928</v>
      </c>
      <c r="C126" s="160">
        <v>129420</v>
      </c>
      <c r="D126" s="160">
        <v>710</v>
      </c>
      <c r="E126" s="160">
        <v>101288</v>
      </c>
      <c r="F126" s="160">
        <v>1523</v>
      </c>
    </row>
    <row r="127" spans="1:6">
      <c r="A127" s="160">
        <v>100</v>
      </c>
      <c r="B127" s="160" t="s">
        <v>392</v>
      </c>
      <c r="C127" s="160">
        <v>250394</v>
      </c>
      <c r="D127" s="160">
        <v>870</v>
      </c>
      <c r="E127" s="160">
        <v>182443</v>
      </c>
      <c r="F127" s="160">
        <v>12662</v>
      </c>
    </row>
    <row r="128" spans="1:6">
      <c r="A128" s="160">
        <v>100</v>
      </c>
      <c r="B128" s="160" t="s">
        <v>874</v>
      </c>
      <c r="C128" s="160">
        <v>0</v>
      </c>
      <c r="D128" s="160">
        <v>810</v>
      </c>
      <c r="E128" s="160">
        <v>0</v>
      </c>
      <c r="F128" s="160">
        <v>8681</v>
      </c>
    </row>
    <row r="129" spans="1:6">
      <c r="A129" s="160">
        <v>100</v>
      </c>
      <c r="B129" s="160" t="s">
        <v>391</v>
      </c>
      <c r="C129" s="160">
        <v>137604</v>
      </c>
      <c r="D129" s="160">
        <v>790</v>
      </c>
      <c r="E129" s="160">
        <v>116958</v>
      </c>
      <c r="F129" s="160">
        <v>1159</v>
      </c>
    </row>
    <row r="130" spans="1:6">
      <c r="A130" s="160">
        <v>100</v>
      </c>
      <c r="B130" s="160" t="s">
        <v>390</v>
      </c>
      <c r="C130" s="160">
        <v>0</v>
      </c>
      <c r="D130" s="160">
        <v>616</v>
      </c>
      <c r="E130" s="160">
        <v>0</v>
      </c>
      <c r="F130" s="160">
        <v>14642</v>
      </c>
    </row>
    <row r="131" spans="1:6">
      <c r="A131" s="160">
        <v>100</v>
      </c>
      <c r="B131" s="160" t="s">
        <v>389</v>
      </c>
      <c r="C131" s="160">
        <v>419586</v>
      </c>
      <c r="D131" s="160">
        <v>1244</v>
      </c>
      <c r="E131" s="160">
        <v>363745</v>
      </c>
      <c r="F131" s="160">
        <v>17865</v>
      </c>
    </row>
    <row r="132" spans="1:6">
      <c r="A132" s="160">
        <v>100</v>
      </c>
      <c r="B132" s="160" t="s">
        <v>951</v>
      </c>
      <c r="C132" s="160">
        <v>12272</v>
      </c>
      <c r="D132" s="160">
        <v>66</v>
      </c>
      <c r="E132" s="160">
        <v>7962</v>
      </c>
      <c r="F132" s="160">
        <v>70</v>
      </c>
    </row>
    <row r="133" spans="1:6">
      <c r="A133" s="160">
        <v>100</v>
      </c>
      <c r="B133" s="160" t="s">
        <v>952</v>
      </c>
      <c r="C133" s="160">
        <v>8556</v>
      </c>
      <c r="D133" s="160">
        <v>46</v>
      </c>
      <c r="E133" s="160">
        <v>4200</v>
      </c>
      <c r="F133" s="160">
        <v>46</v>
      </c>
    </row>
    <row r="134" spans="1:6">
      <c r="A134" s="160">
        <v>100</v>
      </c>
      <c r="B134" s="160" t="s">
        <v>387</v>
      </c>
      <c r="C134" s="160">
        <v>116520</v>
      </c>
      <c r="D134" s="160">
        <v>801</v>
      </c>
      <c r="E134" s="160">
        <v>88839</v>
      </c>
      <c r="F134" s="160">
        <v>1514</v>
      </c>
    </row>
    <row r="135" spans="1:6">
      <c r="A135" s="160">
        <v>100</v>
      </c>
      <c r="B135" s="160" t="s">
        <v>386</v>
      </c>
      <c r="C135" s="160">
        <v>1018979</v>
      </c>
      <c r="D135" s="160">
        <v>3436</v>
      </c>
      <c r="E135" s="160">
        <v>881581</v>
      </c>
      <c r="F135" s="160">
        <v>39733</v>
      </c>
    </row>
    <row r="136" spans="1:6">
      <c r="A136" s="160">
        <v>100</v>
      </c>
      <c r="B136" s="160" t="s">
        <v>483</v>
      </c>
      <c r="C136" s="160">
        <v>38548</v>
      </c>
      <c r="D136" s="160">
        <v>128</v>
      </c>
      <c r="E136" s="160">
        <v>30803</v>
      </c>
      <c r="F136" s="160">
        <v>1543</v>
      </c>
    </row>
    <row r="137" spans="1:6">
      <c r="A137" s="160">
        <v>100</v>
      </c>
      <c r="B137" s="160" t="s">
        <v>385</v>
      </c>
      <c r="C137" s="160">
        <v>204432</v>
      </c>
      <c r="D137" s="160">
        <v>585</v>
      </c>
      <c r="E137" s="160">
        <v>181793</v>
      </c>
      <c r="F137" s="160">
        <v>11616</v>
      </c>
    </row>
    <row r="138" spans="1:6">
      <c r="A138" s="160">
        <v>100</v>
      </c>
      <c r="B138" s="160" t="s">
        <v>482</v>
      </c>
      <c r="C138" s="160">
        <v>0</v>
      </c>
      <c r="D138" s="160">
        <v>50</v>
      </c>
      <c r="E138" s="160">
        <v>0</v>
      </c>
      <c r="F138" s="160">
        <v>2550</v>
      </c>
    </row>
    <row r="139" spans="1:6">
      <c r="A139" s="160">
        <v>100</v>
      </c>
      <c r="B139" s="160" t="s">
        <v>929</v>
      </c>
      <c r="C139" s="160">
        <v>30</v>
      </c>
      <c r="D139" s="160">
        <v>2</v>
      </c>
      <c r="E139" s="160">
        <v>5</v>
      </c>
      <c r="F139" s="160">
        <v>0</v>
      </c>
    </row>
    <row r="140" spans="1:6">
      <c r="A140" s="160">
        <v>100</v>
      </c>
      <c r="B140" s="160" t="s">
        <v>930</v>
      </c>
      <c r="C140" s="160">
        <v>141156</v>
      </c>
      <c r="D140" s="160">
        <v>756</v>
      </c>
      <c r="E140" s="160">
        <v>98409</v>
      </c>
      <c r="F140" s="160">
        <v>1423</v>
      </c>
    </row>
    <row r="141" spans="1:6">
      <c r="A141" s="160">
        <v>100</v>
      </c>
      <c r="B141" s="160" t="s">
        <v>384</v>
      </c>
      <c r="C141" s="160">
        <v>291204</v>
      </c>
      <c r="D141" s="160">
        <v>1068</v>
      </c>
      <c r="E141" s="160">
        <v>217940</v>
      </c>
      <c r="F141" s="160">
        <v>9401</v>
      </c>
    </row>
    <row r="142" spans="1:6">
      <c r="A142" s="160">
        <v>100</v>
      </c>
      <c r="B142" s="160" t="s">
        <v>383</v>
      </c>
      <c r="C142" s="160">
        <v>0</v>
      </c>
      <c r="D142" s="160">
        <v>1130</v>
      </c>
      <c r="E142" s="160">
        <v>0</v>
      </c>
      <c r="F142" s="160">
        <v>17077</v>
      </c>
    </row>
    <row r="143" spans="1:6">
      <c r="A143" s="160">
        <v>100</v>
      </c>
      <c r="B143" s="160" t="s">
        <v>513</v>
      </c>
      <c r="C143" s="160">
        <v>18690</v>
      </c>
      <c r="D143" s="160">
        <v>112</v>
      </c>
      <c r="E143" s="160">
        <v>11563</v>
      </c>
      <c r="F143" s="160">
        <v>141</v>
      </c>
    </row>
    <row r="144" spans="1:6">
      <c r="A144" s="160">
        <v>100</v>
      </c>
      <c r="B144" s="160" t="s">
        <v>931</v>
      </c>
      <c r="C144" s="160">
        <v>0</v>
      </c>
      <c r="D144" s="160">
        <v>1</v>
      </c>
      <c r="E144" s="160">
        <v>0</v>
      </c>
      <c r="F144" s="160">
        <v>7</v>
      </c>
    </row>
    <row r="145" spans="1:6">
      <c r="A145" s="160">
        <v>100</v>
      </c>
      <c r="B145" s="160" t="s">
        <v>907</v>
      </c>
      <c r="C145" s="160">
        <v>0</v>
      </c>
      <c r="D145" s="160">
        <v>4</v>
      </c>
      <c r="E145" s="160">
        <v>0</v>
      </c>
      <c r="F145" s="160">
        <v>8</v>
      </c>
    </row>
  </sheetData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G17"/>
  <sheetViews>
    <sheetView workbookViewId="0">
      <selection activeCell="A18" sqref="A18"/>
    </sheetView>
  </sheetViews>
  <sheetFormatPr defaultColWidth="9" defaultRowHeight="14.4"/>
  <cols>
    <col min="1" max="1" width="9" style="160"/>
    <col min="2" max="2" width="13" style="160" bestFit="1" customWidth="1"/>
    <col min="3" max="4" width="11.88671875" style="160" bestFit="1" customWidth="1"/>
    <col min="5" max="7" width="13" style="160" bestFit="1" customWidth="1"/>
    <col min="8" max="16384" width="9" style="160"/>
  </cols>
  <sheetData>
    <row r="1" spans="1:7">
      <c r="A1" s="162" t="s">
        <v>540</v>
      </c>
    </row>
    <row r="2" spans="1:7">
      <c r="A2" s="163" t="s">
        <v>542</v>
      </c>
      <c r="B2" s="163">
        <v>2019</v>
      </c>
      <c r="C2" s="163">
        <v>2020</v>
      </c>
      <c r="D2" s="163">
        <v>2021</v>
      </c>
      <c r="E2" s="163">
        <v>2022</v>
      </c>
      <c r="F2" s="163">
        <v>2023</v>
      </c>
      <c r="G2" s="163">
        <v>2024</v>
      </c>
    </row>
    <row r="3" spans="1:7">
      <c r="A3" s="164" t="s">
        <v>543</v>
      </c>
      <c r="B3" s="165">
        <f>'AIR2019'!C15</f>
        <v>148977763</v>
      </c>
      <c r="C3" s="165">
        <f>'AIR2020'!C15</f>
        <v>81733099</v>
      </c>
      <c r="D3" s="165">
        <f>'AIR2021'!C15</f>
        <v>87172330</v>
      </c>
      <c r="E3" s="165">
        <f>'AIR2022'!C15</f>
        <v>100310666</v>
      </c>
      <c r="F3" s="165">
        <f>'AIR2023'!C15</f>
        <v>128552398</v>
      </c>
      <c r="G3" s="165">
        <f>'AIR2024'!C15</f>
        <v>141563277</v>
      </c>
    </row>
    <row r="4" spans="1:7">
      <c r="A4" s="164" t="s">
        <v>544</v>
      </c>
      <c r="B4" s="165">
        <f>'AIR2019'!D15</f>
        <v>737460</v>
      </c>
      <c r="C4" s="165">
        <f>'AIR2020'!D15</f>
        <v>447751</v>
      </c>
      <c r="D4" s="165">
        <f>'AIR2021'!D15</f>
        <v>498205</v>
      </c>
      <c r="E4" s="165">
        <f>'AIR2022'!D15</f>
        <v>542408</v>
      </c>
      <c r="F4" s="165">
        <f>'AIR2023'!D15</f>
        <v>652159</v>
      </c>
      <c r="G4" s="165">
        <f>'AIR2024'!D15</f>
        <v>713450</v>
      </c>
    </row>
    <row r="5" spans="1:7">
      <c r="A5" s="164" t="s">
        <v>545</v>
      </c>
      <c r="B5" s="165">
        <f>'AIR2019'!E15</f>
        <v>127631572</v>
      </c>
      <c r="C5" s="165">
        <f>'AIR2020'!E15</f>
        <v>60307896</v>
      </c>
      <c r="D5" s="165">
        <f>'AIR2021'!E15</f>
        <v>68628366</v>
      </c>
      <c r="E5" s="165">
        <f>'AIR2022'!E15</f>
        <v>85817133</v>
      </c>
      <c r="F5" s="165">
        <f>'AIR2023'!E15</f>
        <v>112378126</v>
      </c>
      <c r="G5" s="165">
        <f>'AIR2024'!E15</f>
        <v>124320320</v>
      </c>
    </row>
    <row r="6" spans="1:7">
      <c r="A6" s="164" t="s">
        <v>546</v>
      </c>
      <c r="B6" s="165">
        <f>'AIR2019'!F15</f>
        <v>3144023</v>
      </c>
      <c r="C6" s="165">
        <f>'AIR2020'!F15</f>
        <v>2528167</v>
      </c>
      <c r="D6" s="165">
        <f>'AIR2021'!F15</f>
        <v>2779004</v>
      </c>
      <c r="E6" s="165">
        <f>'AIR2022'!F15</f>
        <v>2724721</v>
      </c>
      <c r="F6" s="165">
        <f>'AIR2023'!F15</f>
        <v>2968321</v>
      </c>
      <c r="G6" s="165">
        <f>'AIR2024'!F15</f>
        <v>3240482</v>
      </c>
    </row>
    <row r="7" spans="1:7">
      <c r="A7" s="164" t="s">
        <v>548</v>
      </c>
      <c r="B7" s="160">
        <f>B5/$B$5</f>
        <v>1</v>
      </c>
      <c r="C7" s="160">
        <f t="shared" ref="C7:G7" si="0">C5/$B$5</f>
        <v>0.47251549953486432</v>
      </c>
      <c r="D7" s="160">
        <f t="shared" si="0"/>
        <v>0.53770681442362867</v>
      </c>
      <c r="E7" s="160">
        <f t="shared" si="0"/>
        <v>0.67238169721830265</v>
      </c>
      <c r="F7" s="160">
        <f t="shared" si="0"/>
        <v>0.88048845782452634</v>
      </c>
      <c r="G7" s="160">
        <f t="shared" si="0"/>
        <v>0.97405616848470689</v>
      </c>
    </row>
    <row r="8" spans="1:7">
      <c r="A8" s="164" t="s">
        <v>549</v>
      </c>
      <c r="B8" s="160">
        <f>B6/$B$6</f>
        <v>1</v>
      </c>
      <c r="C8" s="160">
        <f>C6/$B$6</f>
        <v>0.80411848132154251</v>
      </c>
      <c r="D8" s="160">
        <f t="shared" ref="D8:G8" si="1">D6/$B$6</f>
        <v>0.88390065848754928</v>
      </c>
      <c r="E8" s="160">
        <f t="shared" si="1"/>
        <v>0.86663519955165724</v>
      </c>
      <c r="F8" s="160">
        <f t="shared" si="1"/>
        <v>0.94411554877302106</v>
      </c>
      <c r="G8" s="160">
        <f t="shared" si="1"/>
        <v>1.0306801190703758</v>
      </c>
    </row>
    <row r="10" spans="1:7">
      <c r="A10" s="164" t="s">
        <v>365</v>
      </c>
    </row>
    <row r="17" spans="1:1">
      <c r="A17" s="160" t="s">
        <v>953</v>
      </c>
    </row>
  </sheetData>
  <phoneticPr fontId="43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3" workbookViewId="0">
      <selection activeCell="I56" sqref="I56:J56"/>
    </sheetView>
  </sheetViews>
  <sheetFormatPr defaultColWidth="9" defaultRowHeight="14.4"/>
  <cols>
    <col min="1" max="1" width="9" style="4"/>
    <col min="2" max="2" width="12.109375" style="4" bestFit="1" customWidth="1"/>
    <col min="3" max="3" width="15.88671875" style="4" bestFit="1" customWidth="1"/>
    <col min="4" max="4" width="10.21875" style="4" bestFit="1" customWidth="1"/>
    <col min="5" max="5" width="14.77734375" style="4" bestFit="1" customWidth="1"/>
    <col min="6" max="6" width="9.109375" style="4" bestFit="1" customWidth="1"/>
    <col min="7" max="7" width="13.6640625" style="4" bestFit="1" customWidth="1"/>
    <col min="8" max="8" width="12.77734375" style="4" bestFit="1" customWidth="1"/>
    <col min="9" max="9" width="11" style="4" customWidth="1"/>
    <col min="10" max="10" width="12.21875" style="4" bestFit="1" customWidth="1"/>
    <col min="11" max="11" width="15.88671875" style="4" bestFit="1" customWidth="1"/>
    <col min="12" max="12" width="9.109375" style="4" bestFit="1" customWidth="1"/>
    <col min="13" max="13" width="15.88671875" style="4" bestFit="1" customWidth="1"/>
    <col min="14" max="14" width="17.77734375" style="4" bestFit="1" customWidth="1"/>
    <col min="15" max="15" width="12.77734375" style="4" bestFit="1" customWidth="1"/>
    <col min="16" max="16384" width="9" style="4"/>
  </cols>
  <sheetData>
    <row r="1" spans="1:7">
      <c r="A1" s="25" t="s">
        <v>533</v>
      </c>
    </row>
    <row r="2" spans="1:7">
      <c r="A2" s="37" t="s">
        <v>534</v>
      </c>
      <c r="B2" s="37" t="s">
        <v>370</v>
      </c>
      <c r="C2" s="37" t="s">
        <v>535</v>
      </c>
      <c r="D2" s="37" t="s">
        <v>371</v>
      </c>
      <c r="E2" s="37" t="s">
        <v>536</v>
      </c>
      <c r="F2" s="37" t="s">
        <v>537</v>
      </c>
      <c r="G2" s="37" t="s">
        <v>538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539</v>
      </c>
    </row>
    <row r="37" spans="1:7">
      <c r="A37" s="25" t="s">
        <v>540</v>
      </c>
      <c r="F37" s="179" t="s">
        <v>541</v>
      </c>
      <c r="G37" s="179"/>
    </row>
    <row r="38" spans="1:7">
      <c r="A38" s="37" t="s">
        <v>542</v>
      </c>
      <c r="B38" s="25" t="s">
        <v>543</v>
      </c>
      <c r="C38" s="25" t="s">
        <v>544</v>
      </c>
      <c r="D38" s="25" t="s">
        <v>545</v>
      </c>
      <c r="E38" s="25" t="s">
        <v>546</v>
      </c>
      <c r="F38" s="25" t="s">
        <v>545</v>
      </c>
      <c r="G38" s="25" t="s">
        <v>546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365</v>
      </c>
      <c r="B52" s="4" t="s">
        <v>842</v>
      </c>
    </row>
    <row r="53" spans="1:10">
      <c r="I53" s="179" t="s">
        <v>547</v>
      </c>
      <c r="J53" s="179"/>
    </row>
    <row r="54" spans="1:10">
      <c r="I54" s="25" t="s">
        <v>545</v>
      </c>
      <c r="J54" s="25" t="s">
        <v>546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zoomScale="70" zoomScaleNormal="70" workbookViewId="0">
      <selection activeCell="A66" sqref="A66"/>
    </sheetView>
  </sheetViews>
  <sheetFormatPr defaultColWidth="9" defaultRowHeight="14.4"/>
  <cols>
    <col min="1" max="1" width="9.77734375" style="4" bestFit="1" customWidth="1"/>
    <col min="2" max="2" width="13.88671875" style="4" bestFit="1" customWidth="1"/>
    <col min="3" max="3" width="15.109375" style="4" bestFit="1" customWidth="1"/>
    <col min="4" max="4" width="18.33203125" style="4" bestFit="1" customWidth="1"/>
    <col min="5" max="5" width="15.109375" style="4" bestFit="1" customWidth="1"/>
    <col min="6" max="6" width="15.88671875" style="4" bestFit="1" customWidth="1"/>
    <col min="7" max="7" width="14" style="4" bestFit="1" customWidth="1"/>
    <col min="8" max="8" width="12.77734375" style="4" bestFit="1" customWidth="1"/>
    <col min="9" max="11" width="11.21875" style="4" bestFit="1" customWidth="1"/>
    <col min="12" max="12" width="15.77734375" style="4" customWidth="1"/>
    <col min="13" max="13" width="11.21875" style="4" bestFit="1" customWidth="1"/>
    <col min="14" max="15" width="13.33203125" style="4" bestFit="1" customWidth="1"/>
    <col min="16" max="16" width="12.88671875" style="4" customWidth="1"/>
    <col min="17" max="17" width="13.33203125" style="4" bestFit="1" customWidth="1"/>
    <col min="18" max="18" width="21.6640625" style="4" bestFit="1" customWidth="1"/>
    <col min="19" max="19" width="18.33203125" style="4" bestFit="1" customWidth="1"/>
    <col min="20" max="20" width="19.77734375" style="4" customWidth="1"/>
    <col min="21" max="22" width="15.109375" style="4" bestFit="1" customWidth="1"/>
    <col min="23" max="23" width="15.77734375" style="4" bestFit="1" customWidth="1"/>
    <col min="24" max="25" width="15.109375" style="4" bestFit="1" customWidth="1"/>
    <col min="26" max="26" width="9.33203125" style="4" bestFit="1" customWidth="1"/>
    <col min="27" max="28" width="11" style="4" customWidth="1"/>
    <col min="29" max="29" width="15.88671875" style="4" bestFit="1" customWidth="1"/>
    <col min="30" max="16384" width="9" style="4"/>
  </cols>
  <sheetData>
    <row r="1" spans="1:157">
      <c r="A1" s="25" t="s">
        <v>550</v>
      </c>
    </row>
    <row r="2" spans="1:157" ht="20.100000000000001" customHeight="1">
      <c r="A2" s="112" t="s">
        <v>551</v>
      </c>
      <c r="B2" s="112" t="s">
        <v>552</v>
      </c>
      <c r="C2" s="122" t="s">
        <v>238</v>
      </c>
      <c r="D2" s="122" t="s">
        <v>239</v>
      </c>
      <c r="E2" s="122" t="s">
        <v>240</v>
      </c>
    </row>
    <row r="3" spans="1:157" ht="20.100000000000001" customHeight="1">
      <c r="A3" s="123" t="s">
        <v>553</v>
      </c>
      <c r="B3" s="123" t="s">
        <v>554</v>
      </c>
      <c r="C3" s="124">
        <v>15422957</v>
      </c>
      <c r="D3" s="124">
        <v>16909861</v>
      </c>
      <c r="E3" s="124">
        <v>14625484</v>
      </c>
    </row>
    <row r="4" spans="1:157" ht="20.100000000000001" customHeight="1">
      <c r="A4" s="23" t="s">
        <v>245</v>
      </c>
      <c r="B4" s="123" t="s">
        <v>555</v>
      </c>
      <c r="C4" s="124">
        <v>30912922</v>
      </c>
      <c r="D4" s="124">
        <v>32406255</v>
      </c>
      <c r="E4" s="124">
        <v>31600610</v>
      </c>
    </row>
    <row r="5" spans="1:157" ht="20.100000000000001" customHeight="1">
      <c r="A5" s="23" t="s">
        <v>245</v>
      </c>
      <c r="B5" s="123" t="s">
        <v>556</v>
      </c>
      <c r="C5" s="124">
        <v>839080084</v>
      </c>
      <c r="D5" s="124">
        <v>915668809</v>
      </c>
      <c r="E5" s="124">
        <v>822233607</v>
      </c>
    </row>
    <row r="6" spans="1:157" ht="20.100000000000001" customHeight="1">
      <c r="A6" s="23" t="s">
        <v>245</v>
      </c>
      <c r="B6" s="123" t="s">
        <v>557</v>
      </c>
      <c r="C6" s="124">
        <v>11819784935</v>
      </c>
      <c r="D6" s="124">
        <v>12243233861</v>
      </c>
      <c r="E6" s="124">
        <v>11882156510</v>
      </c>
    </row>
    <row r="7" spans="1:157" ht="20.100000000000001" customHeight="1">
      <c r="A7" s="123" t="s">
        <v>558</v>
      </c>
      <c r="B7" s="123" t="s">
        <v>554</v>
      </c>
      <c r="C7" s="124">
        <v>2776696</v>
      </c>
      <c r="D7" s="124">
        <v>2728147</v>
      </c>
      <c r="E7" s="124" t="s">
        <v>559</v>
      </c>
    </row>
    <row r="8" spans="1:157" ht="20.100000000000001" customHeight="1">
      <c r="A8" s="23" t="s">
        <v>245</v>
      </c>
      <c r="B8" s="123" t="s">
        <v>555</v>
      </c>
      <c r="C8" s="124">
        <v>73000810</v>
      </c>
      <c r="D8" s="124">
        <v>76955719</v>
      </c>
      <c r="E8" s="124">
        <v>85925288</v>
      </c>
    </row>
    <row r="9" spans="1:157" ht="20.100000000000001" customHeight="1">
      <c r="A9" s="23" t="s">
        <v>245</v>
      </c>
      <c r="B9" s="123" t="s">
        <v>556</v>
      </c>
      <c r="C9" s="124" t="s">
        <v>559</v>
      </c>
      <c r="D9" s="124" t="s">
        <v>559</v>
      </c>
      <c r="E9" s="124" t="s">
        <v>559</v>
      </c>
    </row>
    <row r="10" spans="1:157" ht="20.100000000000001" customHeight="1">
      <c r="A10" s="125" t="s">
        <v>245</v>
      </c>
      <c r="B10" s="126" t="s">
        <v>557</v>
      </c>
      <c r="C10" s="124">
        <v>212261253909</v>
      </c>
      <c r="D10" s="124">
        <v>231398037659</v>
      </c>
      <c r="E10" s="124">
        <v>251747144593</v>
      </c>
    </row>
    <row r="11" spans="1:157">
      <c r="A11" s="25" t="s">
        <v>560</v>
      </c>
    </row>
    <row r="12" spans="1:157" ht="20.100000000000001" customHeight="1">
      <c r="A12" s="112" t="s">
        <v>561</v>
      </c>
      <c r="B12" s="112" t="s">
        <v>562</v>
      </c>
      <c r="C12" s="122" t="s">
        <v>563</v>
      </c>
      <c r="D12" s="122" t="s">
        <v>564</v>
      </c>
      <c r="E12" s="122" t="s">
        <v>565</v>
      </c>
      <c r="F12" s="122" t="s">
        <v>566</v>
      </c>
      <c r="G12" s="122" t="s">
        <v>567</v>
      </c>
      <c r="H12" s="122" t="s">
        <v>568</v>
      </c>
      <c r="I12" s="122" t="s">
        <v>569</v>
      </c>
      <c r="J12" s="122" t="s">
        <v>570</v>
      </c>
      <c r="K12" s="122" t="s">
        <v>571</v>
      </c>
      <c r="L12" s="122" t="s">
        <v>572</v>
      </c>
      <c r="M12" s="122" t="s">
        <v>573</v>
      </c>
      <c r="N12" s="122" t="s">
        <v>574</v>
      </c>
      <c r="O12" s="122" t="s">
        <v>575</v>
      </c>
      <c r="P12" s="122" t="s">
        <v>576</v>
      </c>
      <c r="Q12" s="122" t="s">
        <v>577</v>
      </c>
      <c r="R12" s="122" t="s">
        <v>578</v>
      </c>
      <c r="S12" s="122" t="s">
        <v>579</v>
      </c>
      <c r="T12" s="122" t="s">
        <v>580</v>
      </c>
      <c r="U12" s="122" t="s">
        <v>581</v>
      </c>
      <c r="V12" s="122" t="s">
        <v>582</v>
      </c>
      <c r="W12" s="122" t="s">
        <v>583</v>
      </c>
      <c r="X12" s="122" t="s">
        <v>584</v>
      </c>
      <c r="Y12" s="122" t="s">
        <v>585</v>
      </c>
      <c r="Z12" s="122" t="s">
        <v>586</v>
      </c>
      <c r="AA12" s="122" t="s">
        <v>587</v>
      </c>
      <c r="AB12" s="122" t="s">
        <v>588</v>
      </c>
      <c r="AC12" s="122" t="s">
        <v>589</v>
      </c>
      <c r="AD12" s="122" t="s">
        <v>590</v>
      </c>
      <c r="AE12" s="122" t="s">
        <v>591</v>
      </c>
      <c r="AF12" s="122" t="s">
        <v>592</v>
      </c>
      <c r="AG12" s="122" t="s">
        <v>593</v>
      </c>
      <c r="AH12" s="122" t="s">
        <v>594</v>
      </c>
      <c r="AI12" s="122" t="s">
        <v>595</v>
      </c>
      <c r="AJ12" s="122" t="s">
        <v>596</v>
      </c>
      <c r="AK12" s="122" t="s">
        <v>597</v>
      </c>
      <c r="AL12" s="122" t="s">
        <v>598</v>
      </c>
      <c r="AM12" s="122" t="s">
        <v>599</v>
      </c>
      <c r="AN12" s="122" t="s">
        <v>600</v>
      </c>
      <c r="AO12" s="122" t="s">
        <v>601</v>
      </c>
      <c r="AP12" s="122" t="s">
        <v>602</v>
      </c>
      <c r="AQ12" s="122" t="s">
        <v>603</v>
      </c>
      <c r="AR12" s="122" t="s">
        <v>604</v>
      </c>
      <c r="AS12" s="122" t="s">
        <v>605</v>
      </c>
      <c r="AT12" s="122" t="s">
        <v>606</v>
      </c>
      <c r="AU12" s="122" t="s">
        <v>607</v>
      </c>
      <c r="AV12" s="122" t="s">
        <v>608</v>
      </c>
      <c r="AW12" s="122" t="s">
        <v>609</v>
      </c>
      <c r="AX12" s="122" t="s">
        <v>610</v>
      </c>
      <c r="AY12" s="122" t="s">
        <v>611</v>
      </c>
      <c r="AZ12" s="122" t="s">
        <v>612</v>
      </c>
      <c r="BA12" s="122" t="s">
        <v>613</v>
      </c>
      <c r="BB12" s="122" t="s">
        <v>614</v>
      </c>
      <c r="BC12" s="122" t="s">
        <v>615</v>
      </c>
      <c r="BD12" s="122" t="s">
        <v>616</v>
      </c>
      <c r="BE12" s="122" t="s">
        <v>617</v>
      </c>
      <c r="BF12" s="122" t="s">
        <v>618</v>
      </c>
      <c r="BG12" s="122" t="s">
        <v>619</v>
      </c>
      <c r="BH12" s="122" t="s">
        <v>620</v>
      </c>
      <c r="BI12" s="122" t="s">
        <v>621</v>
      </c>
      <c r="BJ12" s="122" t="s">
        <v>622</v>
      </c>
      <c r="BK12" s="122" t="s">
        <v>623</v>
      </c>
      <c r="BL12" s="122" t="s">
        <v>624</v>
      </c>
      <c r="BM12" s="122" t="s">
        <v>625</v>
      </c>
      <c r="BN12" s="122" t="s">
        <v>626</v>
      </c>
      <c r="BO12" s="122" t="s">
        <v>627</v>
      </c>
      <c r="BP12" s="122" t="s">
        <v>628</v>
      </c>
      <c r="BQ12" s="122" t="s">
        <v>629</v>
      </c>
      <c r="BR12" s="122" t="s">
        <v>630</v>
      </c>
      <c r="BS12" s="122" t="s">
        <v>631</v>
      </c>
      <c r="BT12" s="122" t="s">
        <v>632</v>
      </c>
      <c r="BU12" s="122" t="s">
        <v>633</v>
      </c>
      <c r="BV12" s="122" t="s">
        <v>634</v>
      </c>
      <c r="BW12" s="122" t="s">
        <v>635</v>
      </c>
      <c r="BX12" s="122" t="s">
        <v>636</v>
      </c>
      <c r="BY12" s="122" t="s">
        <v>637</v>
      </c>
      <c r="BZ12" s="122" t="s">
        <v>638</v>
      </c>
      <c r="CA12" s="122" t="s">
        <v>639</v>
      </c>
      <c r="CB12" s="122" t="s">
        <v>640</v>
      </c>
      <c r="CC12" s="122" t="s">
        <v>641</v>
      </c>
      <c r="CD12" s="122" t="s">
        <v>642</v>
      </c>
      <c r="CE12" s="122" t="s">
        <v>643</v>
      </c>
      <c r="CF12" s="122" t="s">
        <v>644</v>
      </c>
      <c r="CG12" s="122" t="s">
        <v>645</v>
      </c>
      <c r="CH12" s="122" t="s">
        <v>646</v>
      </c>
      <c r="CI12" s="122" t="s">
        <v>647</v>
      </c>
      <c r="CJ12" s="122" t="s">
        <v>648</v>
      </c>
      <c r="CK12" s="122" t="s">
        <v>649</v>
      </c>
      <c r="CL12" s="122" t="s">
        <v>650</v>
      </c>
      <c r="CM12" s="122" t="s">
        <v>651</v>
      </c>
      <c r="CN12" s="122" t="s">
        <v>652</v>
      </c>
      <c r="CO12" s="122" t="s">
        <v>653</v>
      </c>
      <c r="CP12" s="122" t="s">
        <v>654</v>
      </c>
      <c r="CQ12" s="122" t="s">
        <v>655</v>
      </c>
      <c r="CR12" s="122" t="s">
        <v>656</v>
      </c>
      <c r="CS12" s="122" t="s">
        <v>657</v>
      </c>
      <c r="CT12" s="122" t="s">
        <v>658</v>
      </c>
      <c r="CU12" s="122" t="s">
        <v>659</v>
      </c>
      <c r="CV12" s="122" t="s">
        <v>660</v>
      </c>
      <c r="CW12" s="122" t="s">
        <v>661</v>
      </c>
      <c r="CX12" s="122" t="s">
        <v>662</v>
      </c>
      <c r="CY12" s="122" t="s">
        <v>663</v>
      </c>
      <c r="CZ12" s="122" t="s">
        <v>664</v>
      </c>
      <c r="DA12" s="122" t="s">
        <v>665</v>
      </c>
      <c r="DB12" s="122" t="s">
        <v>666</v>
      </c>
      <c r="DC12" s="122" t="s">
        <v>667</v>
      </c>
      <c r="DD12" s="122" t="s">
        <v>668</v>
      </c>
      <c r="DE12" s="122" t="s">
        <v>669</v>
      </c>
      <c r="DF12" s="122" t="s">
        <v>670</v>
      </c>
      <c r="DG12" s="122" t="s">
        <v>671</v>
      </c>
      <c r="DH12" s="122" t="s">
        <v>672</v>
      </c>
      <c r="DI12" s="122" t="s">
        <v>673</v>
      </c>
      <c r="DJ12" s="122" t="s">
        <v>674</v>
      </c>
      <c r="DK12" s="122" t="s">
        <v>675</v>
      </c>
      <c r="DL12" s="122" t="s">
        <v>676</v>
      </c>
      <c r="DM12" s="122" t="s">
        <v>677</v>
      </c>
      <c r="DN12" s="122" t="s">
        <v>678</v>
      </c>
      <c r="DO12" s="122" t="s">
        <v>679</v>
      </c>
      <c r="DP12" s="122" t="s">
        <v>680</v>
      </c>
      <c r="DQ12" s="122" t="s">
        <v>681</v>
      </c>
      <c r="DR12" s="122" t="s">
        <v>682</v>
      </c>
      <c r="DS12" s="122" t="s">
        <v>683</v>
      </c>
      <c r="DT12" s="122" t="s">
        <v>684</v>
      </c>
      <c r="DU12" s="122" t="s">
        <v>685</v>
      </c>
      <c r="DV12" s="122" t="s">
        <v>686</v>
      </c>
      <c r="DW12" s="122" t="s">
        <v>687</v>
      </c>
      <c r="DX12" s="122" t="s">
        <v>688</v>
      </c>
      <c r="DY12" s="122" t="s">
        <v>689</v>
      </c>
      <c r="DZ12" s="122" t="s">
        <v>690</v>
      </c>
      <c r="EA12" s="122" t="s">
        <v>691</v>
      </c>
      <c r="EB12" s="122" t="s">
        <v>692</v>
      </c>
      <c r="EC12" s="122" t="s">
        <v>693</v>
      </c>
      <c r="ED12" s="122" t="s">
        <v>694</v>
      </c>
      <c r="EE12" s="122" t="s">
        <v>695</v>
      </c>
      <c r="EF12" s="122" t="s">
        <v>696</v>
      </c>
      <c r="EG12" s="122" t="s">
        <v>697</v>
      </c>
      <c r="EH12" s="122" t="s">
        <v>698</v>
      </c>
      <c r="EI12" s="122" t="s">
        <v>699</v>
      </c>
      <c r="EJ12" s="122" t="s">
        <v>700</v>
      </c>
      <c r="EK12" s="122" t="s">
        <v>701</v>
      </c>
      <c r="EL12" s="122" t="s">
        <v>702</v>
      </c>
      <c r="EM12" s="122" t="s">
        <v>703</v>
      </c>
      <c r="EN12" s="122" t="s">
        <v>704</v>
      </c>
      <c r="EO12" s="122" t="s">
        <v>705</v>
      </c>
      <c r="EP12" s="122" t="s">
        <v>706</v>
      </c>
      <c r="EQ12" s="122" t="s">
        <v>707</v>
      </c>
      <c r="ER12" s="122" t="s">
        <v>708</v>
      </c>
      <c r="ES12" s="122" t="s">
        <v>709</v>
      </c>
      <c r="ET12" s="122" t="s">
        <v>710</v>
      </c>
      <c r="EU12" s="122" t="s">
        <v>711</v>
      </c>
      <c r="EV12" s="122" t="s">
        <v>712</v>
      </c>
      <c r="EW12" s="122" t="s">
        <v>713</v>
      </c>
      <c r="EX12" s="122" t="s">
        <v>714</v>
      </c>
      <c r="EY12" s="122" t="s">
        <v>715</v>
      </c>
      <c r="EZ12" s="122" t="s">
        <v>716</v>
      </c>
      <c r="FA12" s="122" t="s">
        <v>717</v>
      </c>
    </row>
    <row r="13" spans="1:157" ht="20.100000000000001" customHeight="1">
      <c r="A13" s="123" t="s">
        <v>553</v>
      </c>
      <c r="B13" s="123" t="s">
        <v>57</v>
      </c>
      <c r="C13" s="124">
        <v>595272320</v>
      </c>
      <c r="D13" s="124">
        <v>621239664</v>
      </c>
      <c r="E13" s="124">
        <v>700344184</v>
      </c>
      <c r="F13" s="124">
        <v>567023195</v>
      </c>
      <c r="G13" s="124">
        <v>567344200</v>
      </c>
      <c r="H13" s="124">
        <v>676315453</v>
      </c>
      <c r="I13" s="124">
        <v>721822691</v>
      </c>
      <c r="J13" s="124">
        <v>772444316</v>
      </c>
      <c r="K13" s="124">
        <v>758315596</v>
      </c>
      <c r="L13" s="124">
        <v>679412965</v>
      </c>
      <c r="M13" s="124">
        <v>687451212</v>
      </c>
      <c r="N13" s="124">
        <v>56080572</v>
      </c>
      <c r="O13" s="124">
        <v>54825756</v>
      </c>
      <c r="P13" s="124">
        <v>57161659</v>
      </c>
      <c r="Q13" s="124">
        <v>58392931</v>
      </c>
      <c r="R13" s="124">
        <v>59763150</v>
      </c>
      <c r="S13" s="124">
        <v>58231499</v>
      </c>
      <c r="T13" s="124">
        <v>56572624</v>
      </c>
      <c r="U13" s="124">
        <v>56112587</v>
      </c>
      <c r="V13" s="124">
        <v>58516121</v>
      </c>
      <c r="W13" s="124">
        <v>60695990</v>
      </c>
      <c r="X13" s="124">
        <v>57461547</v>
      </c>
      <c r="Y13" s="124">
        <v>56964040</v>
      </c>
      <c r="Z13" s="124">
        <v>57950364</v>
      </c>
      <c r="AA13" s="124">
        <v>56843979</v>
      </c>
      <c r="AB13" s="124">
        <v>59369471</v>
      </c>
      <c r="AC13" s="124">
        <v>59748875</v>
      </c>
      <c r="AD13" s="124">
        <v>60576452</v>
      </c>
      <c r="AE13" s="124">
        <v>60353498</v>
      </c>
      <c r="AF13" s="124">
        <v>58712222</v>
      </c>
      <c r="AG13" s="124">
        <v>58989227</v>
      </c>
      <c r="AH13" s="124">
        <v>59909506</v>
      </c>
      <c r="AI13" s="124">
        <v>61361275</v>
      </c>
      <c r="AJ13" s="124">
        <v>60401219</v>
      </c>
      <c r="AK13" s="124">
        <v>61005759</v>
      </c>
      <c r="AL13" s="124">
        <v>59137520</v>
      </c>
      <c r="AM13" s="124">
        <v>57871646</v>
      </c>
      <c r="AN13" s="124">
        <v>61509159</v>
      </c>
      <c r="AO13" s="124">
        <v>61243019</v>
      </c>
      <c r="AP13" s="124">
        <v>61659465</v>
      </c>
      <c r="AQ13" s="124">
        <v>60761327</v>
      </c>
      <c r="AR13" s="124">
        <v>61119952</v>
      </c>
      <c r="AS13" s="124">
        <v>60613441</v>
      </c>
      <c r="AT13" s="124">
        <v>61386242</v>
      </c>
      <c r="AU13" s="124">
        <v>63231326</v>
      </c>
      <c r="AV13" s="124">
        <v>61043684</v>
      </c>
      <c r="AW13" s="124">
        <v>60248745</v>
      </c>
      <c r="AX13" s="124">
        <v>60376458</v>
      </c>
      <c r="AY13" s="124">
        <v>60263022</v>
      </c>
      <c r="AZ13" s="124">
        <v>63981588</v>
      </c>
      <c r="BA13" s="124">
        <v>64934061</v>
      </c>
      <c r="BB13" s="124">
        <v>64980430</v>
      </c>
      <c r="BC13" s="124">
        <v>63467496</v>
      </c>
      <c r="BD13" s="124">
        <v>64075052</v>
      </c>
      <c r="BE13" s="124">
        <v>63653300</v>
      </c>
      <c r="BF13" s="124">
        <v>65302883</v>
      </c>
      <c r="BG13" s="124">
        <v>66251299</v>
      </c>
      <c r="BH13" s="124">
        <v>65174664</v>
      </c>
      <c r="BI13" s="124">
        <v>64218363</v>
      </c>
      <c r="BJ13" s="124">
        <v>63186365</v>
      </c>
      <c r="BK13" s="124">
        <v>61698492</v>
      </c>
      <c r="BL13" s="124">
        <v>66151489</v>
      </c>
      <c r="BM13" s="124">
        <v>66261054</v>
      </c>
      <c r="BN13" s="124">
        <v>66599215</v>
      </c>
      <c r="BO13" s="124">
        <v>65608968</v>
      </c>
      <c r="BP13" s="124">
        <v>64398781</v>
      </c>
      <c r="BQ13" s="124">
        <v>63039418</v>
      </c>
      <c r="BR13" s="124">
        <v>63092034</v>
      </c>
      <c r="BS13" s="124">
        <v>64569496</v>
      </c>
      <c r="BT13" s="124">
        <v>67948877</v>
      </c>
      <c r="BU13" s="124">
        <v>65476342</v>
      </c>
      <c r="BV13" s="124">
        <v>62449195</v>
      </c>
      <c r="BW13" s="124">
        <v>61414084</v>
      </c>
      <c r="BX13" s="124">
        <v>66930418</v>
      </c>
      <c r="BY13" s="124">
        <v>66790386</v>
      </c>
      <c r="BZ13" s="124">
        <v>66599215</v>
      </c>
      <c r="CA13" s="124">
        <v>65945949</v>
      </c>
      <c r="CB13" s="124">
        <v>64398781</v>
      </c>
      <c r="CC13" s="124">
        <v>64218520</v>
      </c>
      <c r="CD13" s="124">
        <v>64814588</v>
      </c>
      <c r="CE13" s="124">
        <v>67411275</v>
      </c>
      <c r="CF13" s="124">
        <v>67948877</v>
      </c>
      <c r="CG13" s="124">
        <v>65839355</v>
      </c>
      <c r="CH13" s="124">
        <v>73499611</v>
      </c>
      <c r="CI13" s="124">
        <v>70705774</v>
      </c>
      <c r="CJ13" s="124">
        <v>76095011</v>
      </c>
      <c r="CK13" s="124">
        <v>75129468</v>
      </c>
      <c r="CL13" s="124">
        <v>75656868</v>
      </c>
      <c r="CM13" s="124">
        <v>75000303</v>
      </c>
      <c r="CN13" s="124">
        <v>75662591</v>
      </c>
      <c r="CO13" s="124">
        <v>70169560</v>
      </c>
      <c r="CP13" s="124">
        <v>74179930</v>
      </c>
      <c r="CQ13" s="124">
        <v>77235033</v>
      </c>
      <c r="CR13" s="124">
        <v>75518286</v>
      </c>
      <c r="CS13" s="124">
        <v>73697996</v>
      </c>
      <c r="CT13" s="124">
        <v>71911186</v>
      </c>
      <c r="CU13" s="124">
        <v>68666202</v>
      </c>
      <c r="CV13" s="124">
        <v>75157956</v>
      </c>
      <c r="CW13" s="124">
        <v>73568520</v>
      </c>
      <c r="CX13" s="124">
        <v>74040388</v>
      </c>
      <c r="CY13" s="124">
        <v>75119275</v>
      </c>
      <c r="CZ13" s="124">
        <v>72126529</v>
      </c>
      <c r="DA13" s="124">
        <v>72852462</v>
      </c>
      <c r="DB13" s="124">
        <v>72402080</v>
      </c>
      <c r="DC13" s="124">
        <v>75075197</v>
      </c>
      <c r="DD13" s="124">
        <v>75000710</v>
      </c>
      <c r="DE13" s="124">
        <v>73391281</v>
      </c>
      <c r="DF13" s="124">
        <v>63388271</v>
      </c>
      <c r="DG13" s="124">
        <v>60760139</v>
      </c>
      <c r="DH13" s="124">
        <v>65784262</v>
      </c>
      <c r="DI13" s="124">
        <v>65547050</v>
      </c>
      <c r="DJ13" s="124">
        <v>65998059</v>
      </c>
      <c r="DK13" s="124">
        <v>66001586</v>
      </c>
      <c r="DL13" s="124">
        <v>65240808</v>
      </c>
      <c r="DM13" s="124">
        <v>63564047</v>
      </c>
      <c r="DN13" s="124">
        <v>64859702</v>
      </c>
      <c r="DO13" s="124">
        <v>77642564</v>
      </c>
      <c r="DP13" s="124">
        <v>76890838</v>
      </c>
      <c r="DQ13" s="124">
        <v>74950685</v>
      </c>
      <c r="DR13" s="124" t="s">
        <v>559</v>
      </c>
      <c r="DS13" s="124" t="s">
        <v>559</v>
      </c>
      <c r="DT13" s="124" t="s">
        <v>559</v>
      </c>
      <c r="DU13" s="124" t="s">
        <v>559</v>
      </c>
      <c r="DV13" s="124" t="s">
        <v>559</v>
      </c>
      <c r="DW13" s="124" t="s">
        <v>559</v>
      </c>
      <c r="DX13" s="124" t="s">
        <v>559</v>
      </c>
      <c r="DY13" s="124" t="s">
        <v>559</v>
      </c>
      <c r="DZ13" s="124" t="s">
        <v>559</v>
      </c>
      <c r="EA13" s="124" t="s">
        <v>559</v>
      </c>
      <c r="EB13" s="124" t="s">
        <v>559</v>
      </c>
      <c r="EC13" s="124" t="s">
        <v>559</v>
      </c>
      <c r="ED13" s="124" t="s">
        <v>559</v>
      </c>
      <c r="EE13" s="124" t="s">
        <v>559</v>
      </c>
      <c r="EF13" s="124" t="s">
        <v>559</v>
      </c>
      <c r="EG13" s="124" t="s">
        <v>559</v>
      </c>
      <c r="EH13" s="124" t="s">
        <v>559</v>
      </c>
      <c r="EI13" s="124" t="s">
        <v>559</v>
      </c>
      <c r="EJ13" s="124" t="s">
        <v>559</v>
      </c>
      <c r="EK13" s="124" t="s">
        <v>559</v>
      </c>
      <c r="EL13" s="124" t="s">
        <v>559</v>
      </c>
      <c r="EM13" s="124" t="s">
        <v>559</v>
      </c>
      <c r="EN13" s="124" t="s">
        <v>559</v>
      </c>
      <c r="EO13" s="124" t="s">
        <v>559</v>
      </c>
      <c r="EP13" s="124" t="s">
        <v>559</v>
      </c>
      <c r="EQ13" s="124" t="s">
        <v>559</v>
      </c>
      <c r="ER13" s="124" t="s">
        <v>559</v>
      </c>
      <c r="ES13" s="124" t="s">
        <v>559</v>
      </c>
      <c r="ET13" s="124" t="s">
        <v>559</v>
      </c>
      <c r="EU13" s="124" t="s">
        <v>559</v>
      </c>
      <c r="EV13" s="124" t="s">
        <v>559</v>
      </c>
      <c r="EW13" s="124" t="s">
        <v>559</v>
      </c>
      <c r="EX13" s="124" t="s">
        <v>559</v>
      </c>
      <c r="EY13" s="124" t="s">
        <v>559</v>
      </c>
      <c r="EZ13" s="124" t="s">
        <v>559</v>
      </c>
      <c r="FA13" s="124" t="s">
        <v>559</v>
      </c>
    </row>
    <row r="14" spans="1:157" ht="20.100000000000001" customHeight="1">
      <c r="A14" s="23" t="s">
        <v>245</v>
      </c>
      <c r="B14" s="123" t="s">
        <v>718</v>
      </c>
      <c r="C14" s="124">
        <v>57469339</v>
      </c>
      <c r="D14" s="124">
        <v>53526971</v>
      </c>
      <c r="E14" s="124">
        <v>53827826</v>
      </c>
      <c r="F14" s="124">
        <v>43344820</v>
      </c>
      <c r="G14" s="124">
        <v>42080967</v>
      </c>
      <c r="H14" s="124">
        <v>45239839</v>
      </c>
      <c r="I14" s="124">
        <v>45122332</v>
      </c>
      <c r="J14" s="124">
        <v>45732629</v>
      </c>
      <c r="K14" s="124">
        <v>47109970</v>
      </c>
      <c r="L14" s="124">
        <v>44512467</v>
      </c>
      <c r="M14" s="124">
        <v>41668802</v>
      </c>
      <c r="N14" s="124">
        <v>3000989</v>
      </c>
      <c r="O14" s="124">
        <v>3058861</v>
      </c>
      <c r="P14" s="124">
        <v>3632421</v>
      </c>
      <c r="Q14" s="124">
        <v>3874998</v>
      </c>
      <c r="R14" s="124">
        <v>3908205</v>
      </c>
      <c r="S14" s="124">
        <v>3723069</v>
      </c>
      <c r="T14" s="124">
        <v>3035281</v>
      </c>
      <c r="U14" s="124">
        <v>3582249</v>
      </c>
      <c r="V14" s="124">
        <v>3865430</v>
      </c>
      <c r="W14" s="124">
        <v>3663709</v>
      </c>
      <c r="X14" s="124">
        <v>4060887</v>
      </c>
      <c r="Y14" s="124">
        <v>3934481</v>
      </c>
      <c r="Z14" s="124">
        <v>3319263</v>
      </c>
      <c r="AA14" s="124">
        <v>2974849</v>
      </c>
      <c r="AB14" s="124">
        <v>3914912</v>
      </c>
      <c r="AC14" s="124">
        <v>3924455</v>
      </c>
      <c r="AD14" s="124">
        <v>3895774</v>
      </c>
      <c r="AE14" s="124">
        <v>3703086</v>
      </c>
      <c r="AF14" s="124">
        <v>3476431</v>
      </c>
      <c r="AG14" s="124">
        <v>3444103</v>
      </c>
      <c r="AH14" s="124">
        <v>3235934</v>
      </c>
      <c r="AI14" s="124">
        <v>4309512</v>
      </c>
      <c r="AJ14" s="124">
        <v>4230336</v>
      </c>
      <c r="AK14" s="124">
        <v>4133124</v>
      </c>
      <c r="AL14" s="124">
        <v>3419470</v>
      </c>
      <c r="AM14" s="124">
        <v>3070669</v>
      </c>
      <c r="AN14" s="124">
        <v>4048396</v>
      </c>
      <c r="AO14" s="124">
        <v>4239781</v>
      </c>
      <c r="AP14" s="124">
        <v>4417651</v>
      </c>
      <c r="AQ14" s="124">
        <v>4193394</v>
      </c>
      <c r="AR14" s="124">
        <v>4096204</v>
      </c>
      <c r="AS14" s="124">
        <v>3809148</v>
      </c>
      <c r="AT14" s="124">
        <v>3863128</v>
      </c>
      <c r="AU14" s="124">
        <v>4322695</v>
      </c>
      <c r="AV14" s="124">
        <v>3876609</v>
      </c>
      <c r="AW14" s="124">
        <v>3448543</v>
      </c>
      <c r="AX14" s="124">
        <v>2346643</v>
      </c>
      <c r="AY14" s="124">
        <v>2621495</v>
      </c>
      <c r="AZ14" s="124">
        <v>3438099</v>
      </c>
      <c r="BA14" s="124">
        <v>3572112</v>
      </c>
      <c r="BB14" s="124">
        <v>3666841</v>
      </c>
      <c r="BC14" s="124">
        <v>3591244</v>
      </c>
      <c r="BD14" s="124">
        <v>3280017</v>
      </c>
      <c r="BE14" s="124">
        <v>3288796</v>
      </c>
      <c r="BF14" s="124">
        <v>3463755</v>
      </c>
      <c r="BG14" s="124">
        <v>3426784</v>
      </c>
      <c r="BH14" s="124">
        <v>2994640</v>
      </c>
      <c r="BI14" s="124">
        <v>3207278</v>
      </c>
      <c r="BJ14" s="124">
        <v>2588834</v>
      </c>
      <c r="BK14" s="124">
        <v>2590708</v>
      </c>
      <c r="BL14" s="124">
        <v>3510581</v>
      </c>
      <c r="BM14" s="124">
        <v>3754282</v>
      </c>
      <c r="BN14" s="124">
        <v>3674631</v>
      </c>
      <c r="BO14" s="124">
        <v>3651789</v>
      </c>
      <c r="BP14" s="124">
        <v>3360575</v>
      </c>
      <c r="BQ14" s="124">
        <v>3058764</v>
      </c>
      <c r="BR14" s="124">
        <v>2759690</v>
      </c>
      <c r="BS14" s="124">
        <v>3460098</v>
      </c>
      <c r="BT14" s="124">
        <v>3542581</v>
      </c>
      <c r="BU14" s="124">
        <v>3264912</v>
      </c>
      <c r="BV14" s="124">
        <v>2567788</v>
      </c>
      <c r="BW14" s="124">
        <v>2470106</v>
      </c>
      <c r="BX14" s="124">
        <v>3675088</v>
      </c>
      <c r="BY14" s="124">
        <v>3757325</v>
      </c>
      <c r="BZ14" s="124">
        <v>3674631</v>
      </c>
      <c r="CA14" s="124">
        <v>3605712</v>
      </c>
      <c r="CB14" s="124">
        <v>3360575</v>
      </c>
      <c r="CC14" s="124">
        <v>3227277</v>
      </c>
      <c r="CD14" s="124">
        <v>3298026</v>
      </c>
      <c r="CE14" s="124">
        <v>3635453</v>
      </c>
      <c r="CF14" s="124">
        <v>3542581</v>
      </c>
      <c r="CG14" s="124">
        <v>3469153</v>
      </c>
      <c r="CH14" s="124">
        <v>2689011</v>
      </c>
      <c r="CI14" s="124">
        <v>2933099</v>
      </c>
      <c r="CJ14" s="124">
        <v>3605834</v>
      </c>
      <c r="CK14" s="124">
        <v>3557410</v>
      </c>
      <c r="CL14" s="124">
        <v>3807425</v>
      </c>
      <c r="CM14" s="124">
        <v>3731815</v>
      </c>
      <c r="CN14" s="124">
        <v>3506984</v>
      </c>
      <c r="CO14" s="124">
        <v>3046520</v>
      </c>
      <c r="CP14" s="124">
        <v>3080181</v>
      </c>
      <c r="CQ14" s="124">
        <v>3592844</v>
      </c>
      <c r="CR14" s="124">
        <v>3592416</v>
      </c>
      <c r="CS14" s="124">
        <v>3165389</v>
      </c>
      <c r="CT14" s="124">
        <v>2909186</v>
      </c>
      <c r="CU14" s="124">
        <v>2717781</v>
      </c>
      <c r="CV14" s="124">
        <v>3639589</v>
      </c>
      <c r="CW14" s="124">
        <v>3807309</v>
      </c>
      <c r="CX14" s="124">
        <v>3984681</v>
      </c>
      <c r="CY14" s="124">
        <v>3565386</v>
      </c>
      <c r="CZ14" s="124">
        <v>3437362</v>
      </c>
      <c r="DA14" s="124">
        <v>3313811</v>
      </c>
      <c r="DB14" s="124">
        <v>3026376</v>
      </c>
      <c r="DC14" s="124">
        <v>3689731</v>
      </c>
      <c r="DD14" s="124">
        <v>3587288</v>
      </c>
      <c r="DE14" s="124">
        <v>2143770</v>
      </c>
      <c r="DF14" s="124">
        <v>2534655</v>
      </c>
      <c r="DG14" s="124">
        <v>2602407</v>
      </c>
      <c r="DH14" s="124">
        <v>3382487</v>
      </c>
      <c r="DI14" s="124">
        <v>3450747</v>
      </c>
      <c r="DJ14" s="124">
        <v>3362860</v>
      </c>
      <c r="DK14" s="124">
        <v>3210007</v>
      </c>
      <c r="DL14" s="124">
        <v>3314427</v>
      </c>
      <c r="DM14" s="124">
        <v>3008351</v>
      </c>
      <c r="DN14" s="124">
        <v>2892065</v>
      </c>
      <c r="DO14" s="124">
        <v>3346101</v>
      </c>
      <c r="DP14" s="124">
        <v>3224812</v>
      </c>
      <c r="DQ14" s="124">
        <v>3050249</v>
      </c>
      <c r="DR14" s="124">
        <v>2734664</v>
      </c>
      <c r="DS14" s="124">
        <v>2344967</v>
      </c>
      <c r="DT14" s="124">
        <v>3251254</v>
      </c>
      <c r="DU14" s="124">
        <v>3250163</v>
      </c>
      <c r="DV14" s="124">
        <v>3217001</v>
      </c>
      <c r="DW14" s="124">
        <v>3287290</v>
      </c>
      <c r="DX14" s="124">
        <v>3274352</v>
      </c>
      <c r="DY14" s="124">
        <v>3014957</v>
      </c>
      <c r="DZ14" s="124">
        <v>2907906</v>
      </c>
      <c r="EA14" s="124">
        <v>3409564</v>
      </c>
      <c r="EB14" s="124">
        <v>3167879</v>
      </c>
      <c r="EC14" s="124">
        <v>3233645</v>
      </c>
      <c r="ED14" s="124">
        <v>2622245</v>
      </c>
      <c r="EE14" s="124">
        <v>2471111</v>
      </c>
      <c r="EF14" s="124">
        <v>3286290</v>
      </c>
      <c r="EG14" s="124">
        <v>3118350</v>
      </c>
      <c r="EH14" s="124">
        <v>3188390</v>
      </c>
      <c r="EI14" s="124">
        <v>3105722</v>
      </c>
      <c r="EJ14" s="124">
        <v>3009458</v>
      </c>
      <c r="EK14" s="124">
        <v>3024435</v>
      </c>
      <c r="EL14" s="124">
        <v>2527637</v>
      </c>
      <c r="EM14" s="124">
        <v>1883222</v>
      </c>
      <c r="EN14" s="124">
        <v>1898447</v>
      </c>
      <c r="EO14" s="124">
        <v>2420134</v>
      </c>
      <c r="EP14" s="124">
        <v>2151665</v>
      </c>
      <c r="EQ14" s="124">
        <v>2402359</v>
      </c>
      <c r="ER14" s="124">
        <v>2905635</v>
      </c>
      <c r="ES14" s="124">
        <v>2868040</v>
      </c>
      <c r="ET14" s="124">
        <v>2890323</v>
      </c>
      <c r="EU14" s="124">
        <v>2775104</v>
      </c>
      <c r="EV14" s="124">
        <v>2525432</v>
      </c>
      <c r="EW14" s="124">
        <v>2505020</v>
      </c>
      <c r="EX14" s="124">
        <v>2783365</v>
      </c>
      <c r="EY14" s="124">
        <v>2429279</v>
      </c>
      <c r="EZ14" s="124">
        <v>2860412</v>
      </c>
      <c r="FA14" s="124">
        <v>2572976</v>
      </c>
    </row>
    <row r="15" spans="1:157" ht="20.100000000000001" customHeight="1">
      <c r="A15" s="23" t="s">
        <v>245</v>
      </c>
      <c r="B15" s="123" t="s">
        <v>719</v>
      </c>
      <c r="C15" s="124">
        <v>408368372</v>
      </c>
      <c r="D15" s="124">
        <v>426413788</v>
      </c>
      <c r="E15" s="124">
        <v>499083185</v>
      </c>
      <c r="F15" s="124">
        <v>408136000</v>
      </c>
      <c r="G15" s="124">
        <v>401177000</v>
      </c>
      <c r="H15" s="124">
        <v>496174000</v>
      </c>
      <c r="I15" s="124">
        <v>535725000</v>
      </c>
      <c r="J15" s="124">
        <v>584573000</v>
      </c>
      <c r="K15" s="124">
        <v>565456252</v>
      </c>
      <c r="L15" s="124">
        <v>518855708</v>
      </c>
      <c r="M15" s="124">
        <v>526000147</v>
      </c>
      <c r="N15" s="124">
        <v>43309017</v>
      </c>
      <c r="O15" s="124">
        <v>42999385</v>
      </c>
      <c r="P15" s="124">
        <v>43331211</v>
      </c>
      <c r="Q15" s="124">
        <v>44167415</v>
      </c>
      <c r="R15" s="124">
        <v>44953006</v>
      </c>
      <c r="S15" s="124">
        <v>44307841</v>
      </c>
      <c r="T15" s="124">
        <v>44590048</v>
      </c>
      <c r="U15" s="124">
        <v>42994062</v>
      </c>
      <c r="V15" s="124">
        <v>44998500</v>
      </c>
      <c r="W15" s="124">
        <v>46923771</v>
      </c>
      <c r="X15" s="124">
        <v>43894486</v>
      </c>
      <c r="Y15" s="124">
        <v>42809129</v>
      </c>
      <c r="Z15" s="124">
        <v>44917100</v>
      </c>
      <c r="AA15" s="124">
        <v>45536597</v>
      </c>
      <c r="AB15" s="124">
        <v>45393591</v>
      </c>
      <c r="AC15" s="124">
        <v>45896203</v>
      </c>
      <c r="AD15" s="124">
        <v>45883342</v>
      </c>
      <c r="AE15" s="124">
        <v>45791504</v>
      </c>
      <c r="AF15" s="124">
        <v>45166795</v>
      </c>
      <c r="AG15" s="124">
        <v>45996175</v>
      </c>
      <c r="AH15" s="124">
        <v>46793231</v>
      </c>
      <c r="AI15" s="124">
        <v>46658698</v>
      </c>
      <c r="AJ15" s="124">
        <v>45879483</v>
      </c>
      <c r="AK15" s="124">
        <v>46351752</v>
      </c>
      <c r="AL15" s="124">
        <v>45005689</v>
      </c>
      <c r="AM15" s="124">
        <v>45383050</v>
      </c>
      <c r="AN15" s="124">
        <v>46158592</v>
      </c>
      <c r="AO15" s="124">
        <v>46365508</v>
      </c>
      <c r="AP15" s="124">
        <v>46236132</v>
      </c>
      <c r="AQ15" s="124">
        <v>46508927</v>
      </c>
      <c r="AR15" s="124">
        <v>46595820</v>
      </c>
      <c r="AS15" s="124">
        <v>46217048</v>
      </c>
      <c r="AT15" s="124">
        <v>47109328</v>
      </c>
      <c r="AU15" s="124">
        <v>47749743</v>
      </c>
      <c r="AV15" s="124">
        <v>46588269</v>
      </c>
      <c r="AW15" s="124">
        <v>45883239</v>
      </c>
      <c r="AX15" s="124">
        <v>49031750</v>
      </c>
      <c r="AY15" s="124">
        <v>48637977</v>
      </c>
      <c r="AZ15" s="124">
        <v>50507890</v>
      </c>
      <c r="BA15" s="124">
        <v>50561749</v>
      </c>
      <c r="BB15" s="124">
        <v>50283974</v>
      </c>
      <c r="BC15" s="124">
        <v>50536333</v>
      </c>
      <c r="BD15" s="124">
        <v>50545724</v>
      </c>
      <c r="BE15" s="124">
        <v>50508637</v>
      </c>
      <c r="BF15" s="124">
        <v>51113078</v>
      </c>
      <c r="BG15" s="124">
        <v>52749720</v>
      </c>
      <c r="BH15" s="124">
        <v>51842183</v>
      </c>
      <c r="BI15" s="124">
        <v>51161310</v>
      </c>
      <c r="BJ15" s="124">
        <v>51144826</v>
      </c>
      <c r="BK15" s="124">
        <v>50764398</v>
      </c>
      <c r="BL15" s="124">
        <v>52494343</v>
      </c>
      <c r="BM15" s="124">
        <v>51933773</v>
      </c>
      <c r="BN15" s="124">
        <v>51570955</v>
      </c>
      <c r="BO15" s="124">
        <v>51673455</v>
      </c>
      <c r="BP15" s="124">
        <v>51564008</v>
      </c>
      <c r="BQ15" s="124">
        <v>50778956</v>
      </c>
      <c r="BR15" s="124">
        <v>51643833</v>
      </c>
      <c r="BS15" s="124">
        <v>50654485</v>
      </c>
      <c r="BT15" s="124">
        <v>53367764</v>
      </c>
      <c r="BU15" s="124">
        <v>51938851</v>
      </c>
      <c r="BV15" s="124">
        <v>51385569</v>
      </c>
      <c r="BW15" s="124">
        <v>51228249</v>
      </c>
      <c r="BX15" s="124">
        <v>53250737</v>
      </c>
      <c r="BY15" s="124">
        <v>53084007</v>
      </c>
      <c r="BZ15" s="124">
        <v>51570955</v>
      </c>
      <c r="CA15" s="124">
        <v>52801732</v>
      </c>
      <c r="CB15" s="124">
        <v>51564008</v>
      </c>
      <c r="CC15" s="124">
        <v>52036861</v>
      </c>
      <c r="CD15" s="124">
        <v>53242152</v>
      </c>
      <c r="CE15" s="124">
        <v>54581252</v>
      </c>
      <c r="CF15" s="124">
        <v>53367764</v>
      </c>
      <c r="CG15" s="124">
        <v>53061782</v>
      </c>
      <c r="CH15" s="124">
        <v>60713663</v>
      </c>
      <c r="CI15" s="124">
        <v>58612836</v>
      </c>
      <c r="CJ15" s="124">
        <v>62357794</v>
      </c>
      <c r="CK15" s="124">
        <v>61080942</v>
      </c>
      <c r="CL15" s="124">
        <v>61000089</v>
      </c>
      <c r="CM15" s="124">
        <v>60632011</v>
      </c>
      <c r="CN15" s="124">
        <v>61612048</v>
      </c>
      <c r="CO15" s="124">
        <v>58311599</v>
      </c>
      <c r="CP15" s="124">
        <v>61772727</v>
      </c>
      <c r="CQ15" s="124">
        <v>63544929</v>
      </c>
      <c r="CR15" s="124">
        <v>61876148</v>
      </c>
      <c r="CS15" s="124">
        <v>61404133</v>
      </c>
      <c r="CT15" s="124">
        <v>60029250</v>
      </c>
      <c r="CU15" s="124">
        <v>57908135</v>
      </c>
      <c r="CV15" s="124">
        <v>61166814</v>
      </c>
      <c r="CW15" s="124">
        <v>59638979</v>
      </c>
      <c r="CX15" s="124">
        <v>59697842</v>
      </c>
      <c r="CY15" s="124">
        <v>60980828</v>
      </c>
      <c r="CZ15" s="124">
        <v>58956901</v>
      </c>
      <c r="DA15" s="124">
        <v>59527635</v>
      </c>
      <c r="DB15" s="124">
        <v>60060883</v>
      </c>
      <c r="DC15" s="124">
        <v>61429400</v>
      </c>
      <c r="DD15" s="124">
        <v>60949738</v>
      </c>
      <c r="DE15" s="124">
        <v>61030314</v>
      </c>
      <c r="DF15" s="124">
        <v>50748466</v>
      </c>
      <c r="DG15" s="124">
        <v>49637621</v>
      </c>
      <c r="DH15" s="124">
        <v>51867701</v>
      </c>
      <c r="DI15" s="124">
        <v>51806931</v>
      </c>
      <c r="DJ15" s="124">
        <v>52512074</v>
      </c>
      <c r="DK15" s="124">
        <v>52459071</v>
      </c>
      <c r="DL15" s="124">
        <v>52125555</v>
      </c>
      <c r="DM15" s="124">
        <v>51221834</v>
      </c>
      <c r="DN15" s="124">
        <v>53274948</v>
      </c>
      <c r="DO15" s="124">
        <v>63839968</v>
      </c>
      <c r="DP15" s="124">
        <v>63077511</v>
      </c>
      <c r="DQ15" s="124">
        <v>62473956</v>
      </c>
      <c r="DR15" s="124" t="s">
        <v>559</v>
      </c>
      <c r="DS15" s="124" t="s">
        <v>559</v>
      </c>
      <c r="DT15" s="124" t="s">
        <v>559</v>
      </c>
      <c r="DU15" s="124" t="s">
        <v>559</v>
      </c>
      <c r="DV15" s="124" t="s">
        <v>559</v>
      </c>
      <c r="DW15" s="124" t="s">
        <v>559</v>
      </c>
      <c r="DX15" s="124" t="s">
        <v>559</v>
      </c>
      <c r="DY15" s="124" t="s">
        <v>559</v>
      </c>
      <c r="DZ15" s="124" t="s">
        <v>559</v>
      </c>
      <c r="EA15" s="124" t="s">
        <v>559</v>
      </c>
      <c r="EB15" s="124" t="s">
        <v>559</v>
      </c>
      <c r="EC15" s="124" t="s">
        <v>559</v>
      </c>
      <c r="ED15" s="124" t="s">
        <v>559</v>
      </c>
      <c r="EE15" s="124" t="s">
        <v>559</v>
      </c>
      <c r="EF15" s="124" t="s">
        <v>559</v>
      </c>
      <c r="EG15" s="124" t="s">
        <v>559</v>
      </c>
      <c r="EH15" s="124" t="s">
        <v>559</v>
      </c>
      <c r="EI15" s="124" t="s">
        <v>559</v>
      </c>
      <c r="EJ15" s="124" t="s">
        <v>559</v>
      </c>
      <c r="EK15" s="124" t="s">
        <v>559</v>
      </c>
      <c r="EL15" s="124" t="s">
        <v>559</v>
      </c>
      <c r="EM15" s="124" t="s">
        <v>559</v>
      </c>
      <c r="EN15" s="124" t="s">
        <v>559</v>
      </c>
      <c r="EO15" s="124" t="s">
        <v>559</v>
      </c>
      <c r="EP15" s="124" t="s">
        <v>559</v>
      </c>
      <c r="EQ15" s="124" t="s">
        <v>559</v>
      </c>
      <c r="ER15" s="124" t="s">
        <v>559</v>
      </c>
      <c r="ES15" s="124" t="s">
        <v>559</v>
      </c>
      <c r="ET15" s="124" t="s">
        <v>559</v>
      </c>
      <c r="EU15" s="124" t="s">
        <v>559</v>
      </c>
      <c r="EV15" s="124" t="s">
        <v>559</v>
      </c>
      <c r="EW15" s="124" t="s">
        <v>559</v>
      </c>
      <c r="EX15" s="124" t="s">
        <v>559</v>
      </c>
      <c r="EY15" s="124" t="s">
        <v>559</v>
      </c>
      <c r="EZ15" s="124" t="s">
        <v>559</v>
      </c>
      <c r="FA15" s="124" t="s">
        <v>559</v>
      </c>
    </row>
    <row r="16" spans="1:157" ht="20.100000000000001" customHeight="1">
      <c r="A16" s="23" t="s">
        <v>245</v>
      </c>
      <c r="B16" s="123" t="s">
        <v>720</v>
      </c>
      <c r="C16" s="124">
        <v>129111889</v>
      </c>
      <c r="D16" s="124">
        <v>140947542</v>
      </c>
      <c r="E16" s="124">
        <v>147045854</v>
      </c>
      <c r="F16" s="124">
        <v>115178828</v>
      </c>
      <c r="G16" s="124">
        <v>123692958</v>
      </c>
      <c r="H16" s="124">
        <v>134467386</v>
      </c>
      <c r="I16" s="124">
        <v>140544327</v>
      </c>
      <c r="J16" s="124">
        <v>141705985</v>
      </c>
      <c r="K16" s="124">
        <v>145326809</v>
      </c>
      <c r="L16" s="124">
        <v>115635806</v>
      </c>
      <c r="M16" s="124">
        <v>119409878</v>
      </c>
      <c r="N16" s="124">
        <v>9738061</v>
      </c>
      <c r="O16" s="124">
        <v>8736249</v>
      </c>
      <c r="P16" s="124">
        <v>10159869</v>
      </c>
      <c r="Q16" s="124">
        <v>10318433</v>
      </c>
      <c r="R16" s="124">
        <v>10875542</v>
      </c>
      <c r="S16" s="124">
        <v>10176447</v>
      </c>
      <c r="T16" s="124">
        <v>8922508</v>
      </c>
      <c r="U16" s="124">
        <v>9508569</v>
      </c>
      <c r="V16" s="124">
        <v>9623495</v>
      </c>
      <c r="W16" s="124">
        <v>10080784</v>
      </c>
      <c r="X16" s="124">
        <v>9476104</v>
      </c>
      <c r="Y16" s="124">
        <v>10188715</v>
      </c>
      <c r="Z16" s="124">
        <v>9683037</v>
      </c>
      <c r="AA16" s="124">
        <v>8303819</v>
      </c>
      <c r="AB16" s="124">
        <v>10030594</v>
      </c>
      <c r="AC16" s="124">
        <v>9901094</v>
      </c>
      <c r="AD16" s="124">
        <v>10773610</v>
      </c>
      <c r="AE16" s="124">
        <v>10836921</v>
      </c>
      <c r="AF16" s="124">
        <v>10045722</v>
      </c>
      <c r="AG16" s="124">
        <v>9523785</v>
      </c>
      <c r="AH16" s="124">
        <v>9855583</v>
      </c>
      <c r="AI16" s="124">
        <v>10364414</v>
      </c>
      <c r="AJ16" s="124">
        <v>10264772</v>
      </c>
      <c r="AK16" s="124">
        <v>10495848</v>
      </c>
      <c r="AL16" s="124">
        <v>10688920</v>
      </c>
      <c r="AM16" s="124">
        <v>9393702</v>
      </c>
      <c r="AN16" s="124">
        <v>11280292</v>
      </c>
      <c r="AO16" s="124">
        <v>10617605</v>
      </c>
      <c r="AP16" s="124">
        <v>10986885</v>
      </c>
      <c r="AQ16" s="124">
        <v>10042801</v>
      </c>
      <c r="AR16" s="124">
        <v>10412026</v>
      </c>
      <c r="AS16" s="124">
        <v>10565833</v>
      </c>
      <c r="AT16" s="124">
        <v>10392834</v>
      </c>
      <c r="AU16" s="124">
        <v>11133933</v>
      </c>
      <c r="AV16" s="124">
        <v>10555440</v>
      </c>
      <c r="AW16" s="124">
        <v>10893983</v>
      </c>
      <c r="AX16" s="124">
        <v>8974859</v>
      </c>
      <c r="AY16" s="124">
        <v>8981640</v>
      </c>
      <c r="AZ16" s="124">
        <v>10011138</v>
      </c>
      <c r="BA16" s="124">
        <v>10778696</v>
      </c>
      <c r="BB16" s="124">
        <v>11010533</v>
      </c>
      <c r="BC16" s="124">
        <v>9320761</v>
      </c>
      <c r="BD16" s="124">
        <v>10229614</v>
      </c>
      <c r="BE16" s="124">
        <v>9832618</v>
      </c>
      <c r="BF16" s="124">
        <v>10702641</v>
      </c>
      <c r="BG16" s="124">
        <v>10051092</v>
      </c>
      <c r="BH16" s="124">
        <v>10313579</v>
      </c>
      <c r="BI16" s="124">
        <v>9824739</v>
      </c>
      <c r="BJ16" s="124">
        <v>9430070</v>
      </c>
      <c r="BK16" s="124">
        <v>8320019</v>
      </c>
      <c r="BL16" s="124">
        <v>10121805</v>
      </c>
      <c r="BM16" s="124">
        <v>10549394</v>
      </c>
      <c r="BN16" s="124">
        <v>11332909</v>
      </c>
      <c r="BO16" s="124">
        <v>10265194</v>
      </c>
      <c r="BP16" s="124">
        <v>9454720</v>
      </c>
      <c r="BQ16" s="124">
        <v>9179380</v>
      </c>
      <c r="BR16" s="124">
        <v>8666415</v>
      </c>
      <c r="BS16" s="124">
        <v>10431587</v>
      </c>
      <c r="BT16" s="124">
        <v>11017860</v>
      </c>
      <c r="BU16" s="124">
        <v>10252227</v>
      </c>
      <c r="BV16" s="124">
        <v>8476082</v>
      </c>
      <c r="BW16" s="124">
        <v>7694920</v>
      </c>
      <c r="BX16" s="124">
        <v>9977314</v>
      </c>
      <c r="BY16" s="124">
        <v>9924708</v>
      </c>
      <c r="BZ16" s="124">
        <v>11332909</v>
      </c>
      <c r="CA16" s="124">
        <v>9518360</v>
      </c>
      <c r="CB16" s="124">
        <v>9454720</v>
      </c>
      <c r="CC16" s="124">
        <v>8930073</v>
      </c>
      <c r="CD16" s="124">
        <v>8250502</v>
      </c>
      <c r="CE16" s="124">
        <v>9168212</v>
      </c>
      <c r="CF16" s="124">
        <v>11017860</v>
      </c>
      <c r="CG16" s="124">
        <v>9282482</v>
      </c>
      <c r="CH16" s="124">
        <v>10071298</v>
      </c>
      <c r="CI16" s="124">
        <v>9136628</v>
      </c>
      <c r="CJ16" s="124">
        <v>10105857</v>
      </c>
      <c r="CK16" s="124">
        <v>10466553</v>
      </c>
      <c r="CL16" s="124">
        <v>10826504</v>
      </c>
      <c r="CM16" s="124">
        <v>10615448</v>
      </c>
      <c r="CN16" s="124">
        <v>10522564</v>
      </c>
      <c r="CO16" s="124">
        <v>8789748</v>
      </c>
      <c r="CP16" s="124">
        <v>9307097</v>
      </c>
      <c r="CQ16" s="124">
        <v>10075289</v>
      </c>
      <c r="CR16" s="124">
        <v>10030050</v>
      </c>
      <c r="CS16" s="124">
        <v>9110271</v>
      </c>
      <c r="CT16" s="124">
        <v>8952710</v>
      </c>
      <c r="CU16" s="124">
        <v>8020408</v>
      </c>
      <c r="CV16" s="124">
        <v>10328866</v>
      </c>
      <c r="CW16" s="124">
        <v>10099682</v>
      </c>
      <c r="CX16" s="124">
        <v>10338088</v>
      </c>
      <c r="CY16" s="124">
        <v>10554611</v>
      </c>
      <c r="CZ16" s="124">
        <v>9712420</v>
      </c>
      <c r="DA16" s="124">
        <v>9989191</v>
      </c>
      <c r="DB16" s="124">
        <v>9293279</v>
      </c>
      <c r="DC16" s="124">
        <v>9933424</v>
      </c>
      <c r="DD16" s="124">
        <v>10441517</v>
      </c>
      <c r="DE16" s="124">
        <v>10195914</v>
      </c>
      <c r="DF16" s="124">
        <v>10082417</v>
      </c>
      <c r="DG16" s="124">
        <v>8498818</v>
      </c>
      <c r="DH16" s="124">
        <v>10511377</v>
      </c>
      <c r="DI16" s="124">
        <v>10266192</v>
      </c>
      <c r="DJ16" s="124">
        <v>10102259</v>
      </c>
      <c r="DK16" s="124">
        <v>10311627</v>
      </c>
      <c r="DL16" s="124">
        <v>9776873</v>
      </c>
      <c r="DM16" s="124">
        <v>9307408</v>
      </c>
      <c r="DN16" s="124">
        <v>8666943</v>
      </c>
      <c r="DO16" s="124">
        <v>10430332</v>
      </c>
      <c r="DP16" s="124">
        <v>10564679</v>
      </c>
      <c r="DQ16" s="124">
        <v>9401163</v>
      </c>
      <c r="DR16" s="124">
        <v>9634525</v>
      </c>
      <c r="DS16" s="124">
        <v>8554106</v>
      </c>
      <c r="DT16" s="124">
        <v>10026694</v>
      </c>
      <c r="DU16" s="124">
        <v>10476782</v>
      </c>
      <c r="DV16" s="124">
        <v>10655900</v>
      </c>
      <c r="DW16" s="124">
        <v>10763392</v>
      </c>
      <c r="DX16" s="124">
        <v>10480933</v>
      </c>
      <c r="DY16" s="124">
        <v>10933588</v>
      </c>
      <c r="DZ16" s="124">
        <v>10979171</v>
      </c>
      <c r="EA16" s="124">
        <v>12016779</v>
      </c>
      <c r="EB16" s="124">
        <v>11687739</v>
      </c>
      <c r="EC16" s="124">
        <v>12401621</v>
      </c>
      <c r="ED16" s="124">
        <v>12107753</v>
      </c>
      <c r="EE16" s="124">
        <v>10375643</v>
      </c>
      <c r="EF16" s="124">
        <v>12883162</v>
      </c>
      <c r="EG16" s="124">
        <v>12080222</v>
      </c>
      <c r="EH16" s="124">
        <v>12258058</v>
      </c>
      <c r="EI16" s="124">
        <v>12188677</v>
      </c>
      <c r="EJ16" s="124">
        <v>11901355</v>
      </c>
      <c r="EK16" s="124">
        <v>11685562</v>
      </c>
      <c r="EL16" s="124">
        <v>10862620</v>
      </c>
      <c r="EM16" s="124">
        <v>12544187</v>
      </c>
      <c r="EN16" s="124">
        <v>12229103</v>
      </c>
      <c r="EO16" s="124">
        <v>12111006</v>
      </c>
      <c r="EP16" s="124">
        <v>15872211</v>
      </c>
      <c r="EQ16" s="124">
        <v>13216846</v>
      </c>
      <c r="ER16" s="124">
        <v>12398437</v>
      </c>
      <c r="ES16" s="124">
        <v>12014717</v>
      </c>
      <c r="ET16" s="124">
        <v>12453431</v>
      </c>
      <c r="EU16" s="124">
        <v>11960941</v>
      </c>
      <c r="EV16" s="124">
        <v>10973679</v>
      </c>
      <c r="EW16" s="124">
        <v>11180290</v>
      </c>
      <c r="EX16" s="124">
        <v>10516491</v>
      </c>
      <c r="EY16" s="124">
        <v>9820041</v>
      </c>
      <c r="EZ16" s="124">
        <v>11024011</v>
      </c>
      <c r="FA16" s="124">
        <v>11156212</v>
      </c>
    </row>
    <row r="17" spans="1:157" ht="20.100000000000001" customHeight="1">
      <c r="A17" s="23" t="s">
        <v>245</v>
      </c>
      <c r="B17" s="123" t="s">
        <v>721</v>
      </c>
      <c r="C17" s="124">
        <v>322720</v>
      </c>
      <c r="D17" s="124">
        <v>351363</v>
      </c>
      <c r="E17" s="124">
        <v>387319</v>
      </c>
      <c r="F17" s="124">
        <v>363547</v>
      </c>
      <c r="G17" s="124">
        <v>393275</v>
      </c>
      <c r="H17" s="124">
        <v>434228</v>
      </c>
      <c r="I17" s="124">
        <v>431032</v>
      </c>
      <c r="J17" s="124">
        <v>432702</v>
      </c>
      <c r="K17" s="124">
        <v>422565</v>
      </c>
      <c r="L17" s="124">
        <v>408984</v>
      </c>
      <c r="M17" s="124">
        <v>372385</v>
      </c>
      <c r="N17" s="124">
        <v>32505</v>
      </c>
      <c r="O17" s="124">
        <v>31261</v>
      </c>
      <c r="P17" s="124">
        <v>38158</v>
      </c>
      <c r="Q17" s="124">
        <v>32085</v>
      </c>
      <c r="R17" s="124">
        <v>26397</v>
      </c>
      <c r="S17" s="124">
        <v>24142</v>
      </c>
      <c r="T17" s="124">
        <v>24787</v>
      </c>
      <c r="U17" s="124">
        <v>27707</v>
      </c>
      <c r="V17" s="124">
        <v>28696</v>
      </c>
      <c r="W17" s="124">
        <v>27726</v>
      </c>
      <c r="X17" s="124">
        <v>30070</v>
      </c>
      <c r="Y17" s="124">
        <v>31715</v>
      </c>
      <c r="Z17" s="124">
        <v>30964</v>
      </c>
      <c r="AA17" s="124">
        <v>28714</v>
      </c>
      <c r="AB17" s="124">
        <v>30374</v>
      </c>
      <c r="AC17" s="124">
        <v>27123</v>
      </c>
      <c r="AD17" s="124">
        <v>23726</v>
      </c>
      <c r="AE17" s="124">
        <v>21987</v>
      </c>
      <c r="AF17" s="124">
        <v>23274</v>
      </c>
      <c r="AG17" s="124">
        <v>25164</v>
      </c>
      <c r="AH17" s="124">
        <v>24758</v>
      </c>
      <c r="AI17" s="124">
        <v>28651</v>
      </c>
      <c r="AJ17" s="124">
        <v>26628</v>
      </c>
      <c r="AK17" s="124">
        <v>25035</v>
      </c>
      <c r="AL17" s="124">
        <v>23441</v>
      </c>
      <c r="AM17" s="124">
        <v>24225</v>
      </c>
      <c r="AN17" s="124">
        <v>21879</v>
      </c>
      <c r="AO17" s="124">
        <v>20125</v>
      </c>
      <c r="AP17" s="124">
        <v>18797</v>
      </c>
      <c r="AQ17" s="124">
        <v>16205</v>
      </c>
      <c r="AR17" s="124">
        <v>15902</v>
      </c>
      <c r="AS17" s="124">
        <v>21412</v>
      </c>
      <c r="AT17" s="124">
        <v>20952</v>
      </c>
      <c r="AU17" s="124">
        <v>24955</v>
      </c>
      <c r="AV17" s="124">
        <v>23366</v>
      </c>
      <c r="AW17" s="124">
        <v>22980</v>
      </c>
      <c r="AX17" s="124">
        <v>23206</v>
      </c>
      <c r="AY17" s="124">
        <v>21910</v>
      </c>
      <c r="AZ17" s="124">
        <v>24461</v>
      </c>
      <c r="BA17" s="124">
        <v>21504</v>
      </c>
      <c r="BB17" s="124">
        <v>19082</v>
      </c>
      <c r="BC17" s="124">
        <v>19158</v>
      </c>
      <c r="BD17" s="124">
        <v>19697</v>
      </c>
      <c r="BE17" s="124">
        <v>23249</v>
      </c>
      <c r="BF17" s="124">
        <v>23409</v>
      </c>
      <c r="BG17" s="124">
        <v>23703</v>
      </c>
      <c r="BH17" s="124">
        <v>24262</v>
      </c>
      <c r="BI17" s="124">
        <v>25036</v>
      </c>
      <c r="BJ17" s="124">
        <v>22635</v>
      </c>
      <c r="BK17" s="124">
        <v>23367</v>
      </c>
      <c r="BL17" s="124">
        <v>24760</v>
      </c>
      <c r="BM17" s="124">
        <v>23605</v>
      </c>
      <c r="BN17" s="124">
        <v>20720</v>
      </c>
      <c r="BO17" s="124">
        <v>18530</v>
      </c>
      <c r="BP17" s="124">
        <v>19478</v>
      </c>
      <c r="BQ17" s="124">
        <v>22318</v>
      </c>
      <c r="BR17" s="124">
        <v>22096</v>
      </c>
      <c r="BS17" s="124">
        <v>23326</v>
      </c>
      <c r="BT17" s="124">
        <v>20672</v>
      </c>
      <c r="BU17" s="124">
        <v>20352</v>
      </c>
      <c r="BV17" s="124">
        <v>19756</v>
      </c>
      <c r="BW17" s="124">
        <v>20809</v>
      </c>
      <c r="BX17" s="124">
        <v>27279</v>
      </c>
      <c r="BY17" s="124">
        <v>24346</v>
      </c>
      <c r="BZ17" s="124">
        <v>20720</v>
      </c>
      <c r="CA17" s="124">
        <v>20145</v>
      </c>
      <c r="CB17" s="124">
        <v>19478</v>
      </c>
      <c r="CC17" s="124">
        <v>24309</v>
      </c>
      <c r="CD17" s="124">
        <v>23908</v>
      </c>
      <c r="CE17" s="124">
        <v>26358</v>
      </c>
      <c r="CF17" s="124">
        <v>20672</v>
      </c>
      <c r="CG17" s="124">
        <v>25938</v>
      </c>
      <c r="CH17" s="124">
        <v>25639</v>
      </c>
      <c r="CI17" s="124">
        <v>23211</v>
      </c>
      <c r="CJ17" s="124">
        <v>25526</v>
      </c>
      <c r="CK17" s="124">
        <v>24563</v>
      </c>
      <c r="CL17" s="124">
        <v>22850</v>
      </c>
      <c r="CM17" s="124">
        <v>21029</v>
      </c>
      <c r="CN17" s="124">
        <v>20995</v>
      </c>
      <c r="CO17" s="124">
        <v>21693</v>
      </c>
      <c r="CP17" s="124">
        <v>19925</v>
      </c>
      <c r="CQ17" s="124">
        <v>21971</v>
      </c>
      <c r="CR17" s="124">
        <v>19672</v>
      </c>
      <c r="CS17" s="124">
        <v>18203</v>
      </c>
      <c r="CT17" s="124">
        <v>20040</v>
      </c>
      <c r="CU17" s="124">
        <v>19878</v>
      </c>
      <c r="CV17" s="124">
        <v>22687</v>
      </c>
      <c r="CW17" s="124">
        <v>22550</v>
      </c>
      <c r="CX17" s="124">
        <v>19777</v>
      </c>
      <c r="CY17" s="124">
        <v>18450</v>
      </c>
      <c r="CZ17" s="124">
        <v>19846</v>
      </c>
      <c r="DA17" s="124">
        <v>21825</v>
      </c>
      <c r="DB17" s="124">
        <v>21542</v>
      </c>
      <c r="DC17" s="124">
        <v>22642</v>
      </c>
      <c r="DD17" s="124">
        <v>22167</v>
      </c>
      <c r="DE17" s="124">
        <v>21283</v>
      </c>
      <c r="DF17" s="124">
        <v>22733</v>
      </c>
      <c r="DG17" s="124">
        <v>21293</v>
      </c>
      <c r="DH17" s="124">
        <v>22697</v>
      </c>
      <c r="DI17" s="124">
        <v>23180</v>
      </c>
      <c r="DJ17" s="124">
        <v>20866</v>
      </c>
      <c r="DK17" s="124">
        <v>20881</v>
      </c>
      <c r="DL17" s="124">
        <v>23953</v>
      </c>
      <c r="DM17" s="124">
        <v>26454</v>
      </c>
      <c r="DN17" s="124">
        <v>25746</v>
      </c>
      <c r="DO17" s="124">
        <v>26163</v>
      </c>
      <c r="DP17" s="124">
        <v>23836</v>
      </c>
      <c r="DQ17" s="124">
        <v>25317</v>
      </c>
      <c r="DR17" s="124">
        <v>24502</v>
      </c>
      <c r="DS17" s="124">
        <v>25316</v>
      </c>
      <c r="DT17" s="124">
        <v>25026</v>
      </c>
      <c r="DU17" s="124">
        <v>24622</v>
      </c>
      <c r="DV17" s="124">
        <v>23458</v>
      </c>
      <c r="DW17" s="124">
        <v>18814</v>
      </c>
      <c r="DX17" s="124">
        <v>21312</v>
      </c>
      <c r="DY17" s="124">
        <v>25130</v>
      </c>
      <c r="DZ17" s="124">
        <v>24803</v>
      </c>
      <c r="EA17" s="124">
        <v>25921</v>
      </c>
      <c r="EB17" s="124">
        <v>23847</v>
      </c>
      <c r="EC17" s="124">
        <v>25031</v>
      </c>
      <c r="ED17" s="124">
        <v>24933</v>
      </c>
      <c r="EE17" s="124">
        <v>24549</v>
      </c>
      <c r="EF17" s="124">
        <v>24435</v>
      </c>
      <c r="EG17" s="124">
        <v>23540</v>
      </c>
      <c r="EH17" s="124">
        <v>22778</v>
      </c>
      <c r="EI17" s="124">
        <v>22597</v>
      </c>
      <c r="EJ17" s="124">
        <v>25134</v>
      </c>
      <c r="EK17" s="124">
        <v>25654</v>
      </c>
      <c r="EL17" s="124">
        <v>25674</v>
      </c>
      <c r="EM17" s="124">
        <v>26830</v>
      </c>
      <c r="EN17" s="124">
        <v>23002</v>
      </c>
      <c r="EO17" s="124">
        <v>23758</v>
      </c>
      <c r="EP17" s="124">
        <v>26368</v>
      </c>
      <c r="EQ17" s="124">
        <v>23154</v>
      </c>
      <c r="ER17" s="124">
        <v>24160</v>
      </c>
      <c r="ES17" s="124">
        <v>23379</v>
      </c>
      <c r="ET17" s="124">
        <v>23574</v>
      </c>
      <c r="EU17" s="124">
        <v>22570</v>
      </c>
      <c r="EV17" s="124">
        <v>24120</v>
      </c>
      <c r="EW17" s="124">
        <v>26200</v>
      </c>
      <c r="EX17" s="124">
        <v>26053</v>
      </c>
      <c r="EY17" s="124">
        <v>25548</v>
      </c>
      <c r="EZ17" s="124">
        <v>22547</v>
      </c>
      <c r="FA17" s="124">
        <v>22454</v>
      </c>
    </row>
    <row r="18" spans="1:157" ht="20.100000000000001" customHeight="1">
      <c r="A18" s="123" t="s">
        <v>558</v>
      </c>
      <c r="B18" s="123" t="s">
        <v>57</v>
      </c>
      <c r="C18" s="124">
        <v>405714274</v>
      </c>
      <c r="D18" s="124">
        <v>442551230</v>
      </c>
      <c r="E18" s="124">
        <v>486661311</v>
      </c>
      <c r="F18" s="124">
        <v>476222728</v>
      </c>
      <c r="G18" s="124">
        <v>533902560</v>
      </c>
      <c r="H18" s="124">
        <v>571548755</v>
      </c>
      <c r="I18" s="124">
        <v>612773903</v>
      </c>
      <c r="J18" s="124">
        <v>637622077</v>
      </c>
      <c r="K18" s="124">
        <v>669816827</v>
      </c>
      <c r="L18" s="124">
        <v>735946247</v>
      </c>
      <c r="M18" s="124">
        <v>757553023</v>
      </c>
      <c r="N18" s="124">
        <v>71712480</v>
      </c>
      <c r="O18" s="124">
        <v>60371386</v>
      </c>
      <c r="P18" s="124">
        <v>69621029</v>
      </c>
      <c r="Q18" s="124">
        <v>66572995</v>
      </c>
      <c r="R18" s="124">
        <v>69341698</v>
      </c>
      <c r="S18" s="124">
        <v>65346873</v>
      </c>
      <c r="T18" s="124">
        <v>67351512</v>
      </c>
      <c r="U18" s="124">
        <v>66247601</v>
      </c>
      <c r="V18" s="124">
        <v>68907654</v>
      </c>
      <c r="W18" s="124">
        <v>66330190</v>
      </c>
      <c r="X18" s="124">
        <v>67877209</v>
      </c>
      <c r="Y18" s="124">
        <v>73002511</v>
      </c>
      <c r="Z18" s="124">
        <v>69823227</v>
      </c>
      <c r="AA18" s="124">
        <v>64765263</v>
      </c>
      <c r="AB18" s="124">
        <v>72893625</v>
      </c>
      <c r="AC18" s="124">
        <v>73768125</v>
      </c>
      <c r="AD18" s="124">
        <v>76886281</v>
      </c>
      <c r="AE18" s="124">
        <v>71823800</v>
      </c>
      <c r="AF18" s="124">
        <v>74787624</v>
      </c>
      <c r="AG18" s="124">
        <v>70166140</v>
      </c>
      <c r="AH18" s="124">
        <v>69525067</v>
      </c>
      <c r="AI18" s="124">
        <v>73019869</v>
      </c>
      <c r="AJ18" s="124">
        <v>69080081</v>
      </c>
      <c r="AK18" s="124">
        <v>79122341</v>
      </c>
      <c r="AL18" s="124">
        <v>76217972</v>
      </c>
      <c r="AM18" s="124">
        <v>68383491</v>
      </c>
      <c r="AN18" s="124">
        <v>80098146</v>
      </c>
      <c r="AO18" s="124">
        <v>75323826</v>
      </c>
      <c r="AP18" s="124">
        <v>78086486</v>
      </c>
      <c r="AQ18" s="124">
        <v>71914259</v>
      </c>
      <c r="AR18" s="124">
        <v>81232962</v>
      </c>
      <c r="AS18" s="124">
        <v>75588855</v>
      </c>
      <c r="AT18" s="124">
        <v>74979218</v>
      </c>
      <c r="AU18" s="124">
        <v>75772750</v>
      </c>
      <c r="AV18" s="124">
        <v>71295784</v>
      </c>
      <c r="AW18" s="124">
        <v>67040000</v>
      </c>
      <c r="AX18" s="124">
        <v>65569343</v>
      </c>
      <c r="AY18" s="124">
        <v>61834770</v>
      </c>
      <c r="AZ18" s="124">
        <v>70424452</v>
      </c>
      <c r="BA18" s="124">
        <v>65689263</v>
      </c>
      <c r="BB18" s="124">
        <v>70037813</v>
      </c>
      <c r="BC18" s="124">
        <v>67870082</v>
      </c>
      <c r="BD18" s="124">
        <v>72048511</v>
      </c>
      <c r="BE18" s="124">
        <v>71855645</v>
      </c>
      <c r="BF18" s="124">
        <v>73407082</v>
      </c>
      <c r="BG18" s="124">
        <v>80797905</v>
      </c>
      <c r="BH18" s="124">
        <v>74599247</v>
      </c>
      <c r="BI18" s="124">
        <v>77037000</v>
      </c>
      <c r="BJ18" s="124">
        <v>79753982</v>
      </c>
      <c r="BK18" s="124">
        <v>70655920</v>
      </c>
      <c r="BL18" s="124">
        <v>83172463</v>
      </c>
      <c r="BM18" s="124">
        <v>79083912</v>
      </c>
      <c r="BN18" s="124">
        <v>84226201</v>
      </c>
      <c r="BO18" s="124">
        <v>80146202</v>
      </c>
      <c r="BP18" s="124">
        <v>82414666</v>
      </c>
      <c r="BQ18" s="124">
        <v>79967287</v>
      </c>
      <c r="BR18" s="124">
        <v>78656024</v>
      </c>
      <c r="BS18" s="124">
        <v>82449817</v>
      </c>
      <c r="BT18" s="124">
        <v>86266955</v>
      </c>
      <c r="BU18" s="124">
        <v>82726797</v>
      </c>
      <c r="BV18" s="124">
        <v>89570617</v>
      </c>
      <c r="BW18" s="124">
        <v>78587466</v>
      </c>
      <c r="BX18" s="124">
        <v>92243362</v>
      </c>
      <c r="BY18" s="124">
        <v>89599038</v>
      </c>
      <c r="BZ18" s="124">
        <v>84226201</v>
      </c>
      <c r="CA18" s="124">
        <v>85373450</v>
      </c>
      <c r="CB18" s="124">
        <v>82414666</v>
      </c>
      <c r="CC18" s="124">
        <v>88260910</v>
      </c>
      <c r="CD18" s="124">
        <v>85833636</v>
      </c>
      <c r="CE18" s="124">
        <v>92305861</v>
      </c>
      <c r="CF18" s="124">
        <v>86266955</v>
      </c>
      <c r="CG18" s="124">
        <v>96588328</v>
      </c>
      <c r="CH18" s="124">
        <v>95141585</v>
      </c>
      <c r="CI18" s="124">
        <v>86679451</v>
      </c>
      <c r="CJ18" s="124">
        <v>95604137</v>
      </c>
      <c r="CK18" s="124">
        <v>92108043</v>
      </c>
      <c r="CL18" s="124">
        <v>95001421</v>
      </c>
      <c r="CM18" s="124">
        <v>90663146</v>
      </c>
      <c r="CN18" s="124">
        <v>94259481</v>
      </c>
      <c r="CO18" s="124">
        <v>84101404</v>
      </c>
      <c r="CP18" s="124">
        <v>96606494</v>
      </c>
      <c r="CQ18" s="124">
        <v>94290831</v>
      </c>
      <c r="CR18" s="124">
        <v>93160394</v>
      </c>
      <c r="CS18" s="124">
        <v>94130663</v>
      </c>
      <c r="CT18" s="124">
        <v>98476563</v>
      </c>
      <c r="CU18" s="124">
        <v>84993652</v>
      </c>
      <c r="CV18" s="124">
        <v>99928409</v>
      </c>
      <c r="CW18" s="124">
        <v>92464787</v>
      </c>
      <c r="CX18" s="124">
        <v>91080175</v>
      </c>
      <c r="CY18" s="124">
        <v>93047685</v>
      </c>
      <c r="CZ18" s="124">
        <v>94901896</v>
      </c>
      <c r="DA18" s="124">
        <v>91665688</v>
      </c>
      <c r="DB18" s="124">
        <v>90190630</v>
      </c>
      <c r="DC18" s="124">
        <v>93990009</v>
      </c>
      <c r="DD18" s="124">
        <v>94976891</v>
      </c>
      <c r="DE18" s="124">
        <v>100734923</v>
      </c>
      <c r="DF18" s="124">
        <v>104668191</v>
      </c>
      <c r="DG18" s="124">
        <v>88531214</v>
      </c>
      <c r="DH18" s="124">
        <v>105712440</v>
      </c>
      <c r="DI18" s="124">
        <v>98444070</v>
      </c>
      <c r="DJ18" s="124">
        <v>97944495</v>
      </c>
      <c r="DK18" s="124">
        <v>96424428</v>
      </c>
      <c r="DL18" s="124">
        <v>99657093</v>
      </c>
      <c r="DM18" s="124">
        <v>97870590</v>
      </c>
      <c r="DN18" s="124">
        <v>95267783</v>
      </c>
      <c r="DO18" s="124">
        <v>101918922</v>
      </c>
      <c r="DP18" s="124">
        <v>99645838</v>
      </c>
      <c r="DQ18" s="124">
        <v>101966872</v>
      </c>
      <c r="DR18" s="124">
        <v>106393448</v>
      </c>
      <c r="DS18" s="124">
        <v>95823656</v>
      </c>
      <c r="DT18" s="124">
        <v>104300962</v>
      </c>
      <c r="DU18" s="124">
        <v>100643276</v>
      </c>
      <c r="DV18" s="124">
        <v>102262911</v>
      </c>
      <c r="DW18" s="124">
        <v>100526977</v>
      </c>
      <c r="DX18" s="124">
        <v>101861350</v>
      </c>
      <c r="DY18" s="124">
        <v>101383136</v>
      </c>
      <c r="DZ18" s="124">
        <v>99204577</v>
      </c>
      <c r="EA18" s="124">
        <v>102969388</v>
      </c>
      <c r="EB18" s="124">
        <v>98207343</v>
      </c>
      <c r="EC18" s="124">
        <v>106723474</v>
      </c>
      <c r="ED18" s="124">
        <v>105610122</v>
      </c>
      <c r="EE18" s="124">
        <v>96221146</v>
      </c>
      <c r="EF18" s="124">
        <v>108494284</v>
      </c>
      <c r="EG18" s="124">
        <v>99251751</v>
      </c>
      <c r="EH18" s="124">
        <v>106800199</v>
      </c>
      <c r="EI18" s="124">
        <v>100979850</v>
      </c>
      <c r="EJ18" s="124">
        <v>105802676</v>
      </c>
      <c r="EK18" s="124">
        <v>98031206</v>
      </c>
      <c r="EL18" s="124">
        <v>102167608</v>
      </c>
      <c r="EM18" s="124">
        <v>108983802</v>
      </c>
      <c r="EN18" s="124">
        <v>103444358</v>
      </c>
      <c r="EO18" s="124">
        <v>110590967</v>
      </c>
      <c r="EP18" s="124">
        <v>109874598</v>
      </c>
      <c r="EQ18" s="124">
        <v>95966406</v>
      </c>
      <c r="ER18" s="124">
        <v>115933464</v>
      </c>
      <c r="ES18" s="124">
        <v>109383174</v>
      </c>
      <c r="ET18" s="124">
        <v>108440461</v>
      </c>
      <c r="EU18" s="124">
        <v>114766282</v>
      </c>
      <c r="EV18" s="124">
        <v>114130689</v>
      </c>
      <c r="EW18" s="124">
        <v>108142899</v>
      </c>
      <c r="EX18" s="124">
        <v>106043438</v>
      </c>
      <c r="EY18" s="124">
        <v>107899248</v>
      </c>
      <c r="EZ18" s="124">
        <v>110895591</v>
      </c>
      <c r="FA18" s="124">
        <v>115044738</v>
      </c>
    </row>
    <row r="19" spans="1:157" ht="20.100000000000001" customHeight="1">
      <c r="A19" s="23" t="s">
        <v>245</v>
      </c>
      <c r="B19" s="123" t="s">
        <v>720</v>
      </c>
      <c r="C19" s="124">
        <v>404423525</v>
      </c>
      <c r="D19" s="124">
        <v>441120256</v>
      </c>
      <c r="E19" s="124">
        <v>485030237</v>
      </c>
      <c r="F19" s="124">
        <v>474751966</v>
      </c>
      <c r="G19" s="124">
        <v>532183132</v>
      </c>
      <c r="H19" s="124">
        <v>569599403</v>
      </c>
      <c r="I19" s="124">
        <v>610910071</v>
      </c>
      <c r="J19" s="124">
        <v>635545272</v>
      </c>
      <c r="K19" s="124">
        <v>667608033</v>
      </c>
      <c r="L19" s="124">
        <v>733377114</v>
      </c>
      <c r="M19" s="124">
        <v>754936409</v>
      </c>
      <c r="N19" s="124">
        <v>71498130</v>
      </c>
      <c r="O19" s="124">
        <v>60166069</v>
      </c>
      <c r="P19" s="124">
        <v>69374069</v>
      </c>
      <c r="Q19" s="124">
        <v>66339706</v>
      </c>
      <c r="R19" s="124">
        <v>69117840</v>
      </c>
      <c r="S19" s="124">
        <v>65117487</v>
      </c>
      <c r="T19" s="124">
        <v>67115143</v>
      </c>
      <c r="U19" s="124">
        <v>66003023</v>
      </c>
      <c r="V19" s="124">
        <v>68654939</v>
      </c>
      <c r="W19" s="124">
        <v>66074528</v>
      </c>
      <c r="X19" s="124">
        <v>67618421</v>
      </c>
      <c r="Y19" s="124">
        <v>72750249</v>
      </c>
      <c r="Z19" s="124">
        <v>69590357</v>
      </c>
      <c r="AA19" s="124">
        <v>64537815</v>
      </c>
      <c r="AB19" s="124">
        <v>72622148</v>
      </c>
      <c r="AC19" s="124">
        <v>73509257</v>
      </c>
      <c r="AD19" s="124">
        <v>76631162</v>
      </c>
      <c r="AE19" s="124">
        <v>71565233</v>
      </c>
      <c r="AF19" s="124">
        <v>74523211</v>
      </c>
      <c r="AG19" s="124">
        <v>69898301</v>
      </c>
      <c r="AH19" s="124">
        <v>69256753</v>
      </c>
      <c r="AI19" s="124">
        <v>72739050</v>
      </c>
      <c r="AJ19" s="124">
        <v>68798775</v>
      </c>
      <c r="AK19" s="124">
        <v>78851416</v>
      </c>
      <c r="AL19" s="124">
        <v>75959392</v>
      </c>
      <c r="AM19" s="124">
        <v>68140334</v>
      </c>
      <c r="AN19" s="124">
        <v>79822102</v>
      </c>
      <c r="AO19" s="124">
        <v>75061658</v>
      </c>
      <c r="AP19" s="124">
        <v>77827643</v>
      </c>
      <c r="AQ19" s="124">
        <v>71656309</v>
      </c>
      <c r="AR19" s="124">
        <v>80974587</v>
      </c>
      <c r="AS19" s="124">
        <v>75332082</v>
      </c>
      <c r="AT19" s="124">
        <v>74737590</v>
      </c>
      <c r="AU19" s="124">
        <v>75520078</v>
      </c>
      <c r="AV19" s="124">
        <v>71068306</v>
      </c>
      <c r="AW19" s="124">
        <v>66836301</v>
      </c>
      <c r="AX19" s="124">
        <v>65372953</v>
      </c>
      <c r="AY19" s="124">
        <v>61631352</v>
      </c>
      <c r="AZ19" s="124">
        <v>70188547</v>
      </c>
      <c r="BA19" s="124">
        <v>65463381</v>
      </c>
      <c r="BB19" s="124">
        <v>69809347</v>
      </c>
      <c r="BC19" s="124">
        <v>67640916</v>
      </c>
      <c r="BD19" s="124">
        <v>71802669</v>
      </c>
      <c r="BE19" s="124">
        <v>71606954</v>
      </c>
      <c r="BF19" s="124">
        <v>73154152</v>
      </c>
      <c r="BG19" s="124">
        <v>80532236</v>
      </c>
      <c r="BH19" s="124">
        <v>74325677</v>
      </c>
      <c r="BI19" s="124">
        <v>76770460</v>
      </c>
      <c r="BJ19" s="124">
        <v>79496585</v>
      </c>
      <c r="BK19" s="124">
        <v>70408567</v>
      </c>
      <c r="BL19" s="124">
        <v>82877407</v>
      </c>
      <c r="BM19" s="124">
        <v>78804243</v>
      </c>
      <c r="BN19" s="124">
        <v>83933977</v>
      </c>
      <c r="BO19" s="124">
        <v>79870634</v>
      </c>
      <c r="BP19" s="124">
        <v>82128859</v>
      </c>
      <c r="BQ19" s="124">
        <v>79693904</v>
      </c>
      <c r="BR19" s="124">
        <v>78388759</v>
      </c>
      <c r="BS19" s="124">
        <v>82156187</v>
      </c>
      <c r="BT19" s="124">
        <v>85987952</v>
      </c>
      <c r="BU19" s="124">
        <v>82446268</v>
      </c>
      <c r="BV19" s="124">
        <v>89299706</v>
      </c>
      <c r="BW19" s="124">
        <v>78345814</v>
      </c>
      <c r="BX19" s="124">
        <v>91950050</v>
      </c>
      <c r="BY19" s="124">
        <v>89330061</v>
      </c>
      <c r="BZ19" s="124">
        <v>83933977</v>
      </c>
      <c r="CA19" s="124">
        <v>85107490</v>
      </c>
      <c r="CB19" s="124">
        <v>82128859</v>
      </c>
      <c r="CC19" s="124">
        <v>87989584</v>
      </c>
      <c r="CD19" s="124">
        <v>85571617</v>
      </c>
      <c r="CE19" s="124">
        <v>92026295</v>
      </c>
      <c r="CF19" s="124">
        <v>85987952</v>
      </c>
      <c r="CG19" s="124">
        <v>96314793</v>
      </c>
      <c r="CH19" s="124">
        <v>94896714</v>
      </c>
      <c r="CI19" s="124">
        <v>86421173</v>
      </c>
      <c r="CJ19" s="124">
        <v>95324695</v>
      </c>
      <c r="CK19" s="124">
        <v>91848315</v>
      </c>
      <c r="CL19" s="124">
        <v>94739877</v>
      </c>
      <c r="CM19" s="124">
        <v>90395008</v>
      </c>
      <c r="CN19" s="124">
        <v>93986459</v>
      </c>
      <c r="CO19" s="124">
        <v>83830349</v>
      </c>
      <c r="CP19" s="124">
        <v>96334454</v>
      </c>
      <c r="CQ19" s="124">
        <v>94013869</v>
      </c>
      <c r="CR19" s="124">
        <v>92884917</v>
      </c>
      <c r="CS19" s="124">
        <v>93862440</v>
      </c>
      <c r="CT19" s="124">
        <v>98223778</v>
      </c>
      <c r="CU19" s="124">
        <v>84760248</v>
      </c>
      <c r="CV19" s="124">
        <v>99639144</v>
      </c>
      <c r="CW19" s="124">
        <v>92195514</v>
      </c>
      <c r="CX19" s="124">
        <v>90811456</v>
      </c>
      <c r="CY19" s="124">
        <v>92780740</v>
      </c>
      <c r="CZ19" s="124">
        <v>94631597</v>
      </c>
      <c r="DA19" s="124">
        <v>91391060</v>
      </c>
      <c r="DB19" s="124">
        <v>89923450</v>
      </c>
      <c r="DC19" s="124">
        <v>93702614</v>
      </c>
      <c r="DD19" s="124">
        <v>94690782</v>
      </c>
      <c r="DE19" s="124">
        <v>100454672</v>
      </c>
      <c r="DF19" s="124">
        <v>104396105</v>
      </c>
      <c r="DG19" s="124">
        <v>88282914</v>
      </c>
      <c r="DH19" s="124">
        <v>105411161</v>
      </c>
      <c r="DI19" s="124">
        <v>98161977</v>
      </c>
      <c r="DJ19" s="124">
        <v>97666692</v>
      </c>
      <c r="DK19" s="124">
        <v>96148308</v>
      </c>
      <c r="DL19" s="124">
        <v>99369439</v>
      </c>
      <c r="DM19" s="124">
        <v>97579420</v>
      </c>
      <c r="DN19" s="124">
        <v>94990644</v>
      </c>
      <c r="DO19" s="124">
        <v>101618359</v>
      </c>
      <c r="DP19" s="124">
        <v>99343048</v>
      </c>
      <c r="DQ19" s="124">
        <v>101673127</v>
      </c>
      <c r="DR19" s="124">
        <v>106111429</v>
      </c>
      <c r="DS19" s="124">
        <v>95552893</v>
      </c>
      <c r="DT19" s="124">
        <v>103983109</v>
      </c>
      <c r="DU19" s="124">
        <v>100344125</v>
      </c>
      <c r="DV19" s="124">
        <v>101967710</v>
      </c>
      <c r="DW19" s="124">
        <v>100255921</v>
      </c>
      <c r="DX19" s="124">
        <v>101580882</v>
      </c>
      <c r="DY19" s="124">
        <v>101090659</v>
      </c>
      <c r="DZ19" s="124">
        <v>98915618</v>
      </c>
      <c r="EA19" s="124">
        <v>102656683</v>
      </c>
      <c r="EB19" s="124">
        <v>97901217</v>
      </c>
      <c r="EC19" s="124">
        <v>106421480</v>
      </c>
      <c r="ED19" s="124">
        <v>105315336</v>
      </c>
      <c r="EE19" s="124">
        <v>95956187</v>
      </c>
      <c r="EF19" s="124">
        <v>108177404</v>
      </c>
      <c r="EG19" s="124">
        <v>98943999</v>
      </c>
      <c r="EH19" s="124">
        <v>106497406</v>
      </c>
      <c r="EI19" s="124">
        <v>100665074</v>
      </c>
      <c r="EJ19" s="124">
        <v>105480287</v>
      </c>
      <c r="EK19" s="124">
        <v>97716091</v>
      </c>
      <c r="EL19" s="124">
        <v>101849677</v>
      </c>
      <c r="EM19" s="124">
        <v>108638653</v>
      </c>
      <c r="EN19" s="124">
        <v>103108914</v>
      </c>
      <c r="EO19" s="124">
        <v>110248033</v>
      </c>
      <c r="EP19" s="124">
        <v>109551763</v>
      </c>
      <c r="EQ19" s="124">
        <v>95660622</v>
      </c>
      <c r="ER19" s="124">
        <v>115581807</v>
      </c>
      <c r="ES19" s="124">
        <v>109053490</v>
      </c>
      <c r="ET19" s="124">
        <v>108120113</v>
      </c>
      <c r="EU19" s="124">
        <v>114441570</v>
      </c>
      <c r="EV19" s="124">
        <v>113793969</v>
      </c>
      <c r="EW19" s="124">
        <v>107805399</v>
      </c>
      <c r="EX19" s="124">
        <v>105698271</v>
      </c>
      <c r="EY19" s="124">
        <v>107560077</v>
      </c>
      <c r="EZ19" s="124">
        <v>110537249</v>
      </c>
      <c r="FA19" s="124">
        <v>114685144</v>
      </c>
    </row>
    <row r="20" spans="1:157" ht="20.100000000000001" customHeight="1">
      <c r="A20" s="125" t="s">
        <v>245</v>
      </c>
      <c r="B20" s="126" t="s">
        <v>721</v>
      </c>
      <c r="C20" s="124">
        <v>1290749</v>
      </c>
      <c r="D20" s="124">
        <v>1430974</v>
      </c>
      <c r="E20" s="124">
        <v>1631074</v>
      </c>
      <c r="F20" s="124">
        <v>1470762</v>
      </c>
      <c r="G20" s="124">
        <v>1719428</v>
      </c>
      <c r="H20" s="124">
        <v>1949352</v>
      </c>
      <c r="I20" s="124">
        <v>1863832</v>
      </c>
      <c r="J20" s="124">
        <v>2076805</v>
      </c>
      <c r="K20" s="124">
        <v>2208794</v>
      </c>
      <c r="L20" s="124">
        <v>2569133</v>
      </c>
      <c r="M20" s="124">
        <v>2616614</v>
      </c>
      <c r="N20" s="124">
        <v>214350</v>
      </c>
      <c r="O20" s="124">
        <v>205317</v>
      </c>
      <c r="P20" s="124">
        <v>246960</v>
      </c>
      <c r="Q20" s="124">
        <v>233289</v>
      </c>
      <c r="R20" s="124">
        <v>223858</v>
      </c>
      <c r="S20" s="124">
        <v>229386</v>
      </c>
      <c r="T20" s="124">
        <v>236369</v>
      </c>
      <c r="U20" s="124">
        <v>244578</v>
      </c>
      <c r="V20" s="124">
        <v>252715</v>
      </c>
      <c r="W20" s="124">
        <v>255662</v>
      </c>
      <c r="X20" s="124">
        <v>258788</v>
      </c>
      <c r="Y20" s="124">
        <v>252262</v>
      </c>
      <c r="Z20" s="124">
        <v>232870</v>
      </c>
      <c r="AA20" s="124">
        <v>227448</v>
      </c>
      <c r="AB20" s="124">
        <v>271477</v>
      </c>
      <c r="AC20" s="124">
        <v>258868</v>
      </c>
      <c r="AD20" s="124">
        <v>255119</v>
      </c>
      <c r="AE20" s="124">
        <v>258567</v>
      </c>
      <c r="AF20" s="124">
        <v>264413</v>
      </c>
      <c r="AG20" s="124">
        <v>267839</v>
      </c>
      <c r="AH20" s="124">
        <v>268314</v>
      </c>
      <c r="AI20" s="124">
        <v>280819</v>
      </c>
      <c r="AJ20" s="124">
        <v>281306</v>
      </c>
      <c r="AK20" s="124">
        <v>270925</v>
      </c>
      <c r="AL20" s="124">
        <v>258580</v>
      </c>
      <c r="AM20" s="124">
        <v>243157</v>
      </c>
      <c r="AN20" s="124">
        <v>276044</v>
      </c>
      <c r="AO20" s="124">
        <v>262168</v>
      </c>
      <c r="AP20" s="124">
        <v>258843</v>
      </c>
      <c r="AQ20" s="124">
        <v>257950</v>
      </c>
      <c r="AR20" s="124">
        <v>258375</v>
      </c>
      <c r="AS20" s="124">
        <v>256773</v>
      </c>
      <c r="AT20" s="124">
        <v>241628</v>
      </c>
      <c r="AU20" s="124">
        <v>252672</v>
      </c>
      <c r="AV20" s="124">
        <v>227478</v>
      </c>
      <c r="AW20" s="124">
        <v>203699</v>
      </c>
      <c r="AX20" s="124">
        <v>196390</v>
      </c>
      <c r="AY20" s="124">
        <v>203418</v>
      </c>
      <c r="AZ20" s="124">
        <v>235905</v>
      </c>
      <c r="BA20" s="124">
        <v>225882</v>
      </c>
      <c r="BB20" s="124">
        <v>228466</v>
      </c>
      <c r="BC20" s="124">
        <v>229166</v>
      </c>
      <c r="BD20" s="124">
        <v>245842</v>
      </c>
      <c r="BE20" s="124">
        <v>248691</v>
      </c>
      <c r="BF20" s="124">
        <v>252930</v>
      </c>
      <c r="BG20" s="124">
        <v>265669</v>
      </c>
      <c r="BH20" s="124">
        <v>273570</v>
      </c>
      <c r="BI20" s="124">
        <v>266540</v>
      </c>
      <c r="BJ20" s="124">
        <v>257397</v>
      </c>
      <c r="BK20" s="124">
        <v>247353</v>
      </c>
      <c r="BL20" s="124">
        <v>295056</v>
      </c>
      <c r="BM20" s="124">
        <v>279669</v>
      </c>
      <c r="BN20" s="124">
        <v>292224</v>
      </c>
      <c r="BO20" s="124">
        <v>275568</v>
      </c>
      <c r="BP20" s="124">
        <v>285807</v>
      </c>
      <c r="BQ20" s="124">
        <v>273383</v>
      </c>
      <c r="BR20" s="124">
        <v>267265</v>
      </c>
      <c r="BS20" s="124">
        <v>293630</v>
      </c>
      <c r="BT20" s="124">
        <v>279003</v>
      </c>
      <c r="BU20" s="124">
        <v>280529</v>
      </c>
      <c r="BV20" s="124">
        <v>270911</v>
      </c>
      <c r="BW20" s="124">
        <v>241652</v>
      </c>
      <c r="BX20" s="124">
        <v>293312</v>
      </c>
      <c r="BY20" s="124">
        <v>268977</v>
      </c>
      <c r="BZ20" s="124">
        <v>292224</v>
      </c>
      <c r="CA20" s="124">
        <v>265960</v>
      </c>
      <c r="CB20" s="124">
        <v>285807</v>
      </c>
      <c r="CC20" s="124">
        <v>271326</v>
      </c>
      <c r="CD20" s="124">
        <v>262019</v>
      </c>
      <c r="CE20" s="124">
        <v>279566</v>
      </c>
      <c r="CF20" s="124">
        <v>279003</v>
      </c>
      <c r="CG20" s="124">
        <v>273535</v>
      </c>
      <c r="CH20" s="124">
        <v>244871</v>
      </c>
      <c r="CI20" s="124">
        <v>258278</v>
      </c>
      <c r="CJ20" s="124">
        <v>279442</v>
      </c>
      <c r="CK20" s="124">
        <v>259728</v>
      </c>
      <c r="CL20" s="124">
        <v>261544</v>
      </c>
      <c r="CM20" s="124">
        <v>268138</v>
      </c>
      <c r="CN20" s="124">
        <v>273022</v>
      </c>
      <c r="CO20" s="124">
        <v>271055</v>
      </c>
      <c r="CP20" s="124">
        <v>272040</v>
      </c>
      <c r="CQ20" s="124">
        <v>276962</v>
      </c>
      <c r="CR20" s="124">
        <v>275477</v>
      </c>
      <c r="CS20" s="124">
        <v>268223</v>
      </c>
      <c r="CT20" s="124">
        <v>252785</v>
      </c>
      <c r="CU20" s="124">
        <v>233404</v>
      </c>
      <c r="CV20" s="124">
        <v>289265</v>
      </c>
      <c r="CW20" s="124">
        <v>269273</v>
      </c>
      <c r="CX20" s="124">
        <v>268719</v>
      </c>
      <c r="CY20" s="124">
        <v>266945</v>
      </c>
      <c r="CZ20" s="124">
        <v>270299</v>
      </c>
      <c r="DA20" s="124">
        <v>274628</v>
      </c>
      <c r="DB20" s="124">
        <v>267180</v>
      </c>
      <c r="DC20" s="124">
        <v>287395</v>
      </c>
      <c r="DD20" s="124">
        <v>286109</v>
      </c>
      <c r="DE20" s="124">
        <v>280251</v>
      </c>
      <c r="DF20" s="124">
        <v>272086</v>
      </c>
      <c r="DG20" s="124">
        <v>248300</v>
      </c>
      <c r="DH20" s="124">
        <v>301279</v>
      </c>
      <c r="DI20" s="124">
        <v>282093</v>
      </c>
      <c r="DJ20" s="124">
        <v>277803</v>
      </c>
      <c r="DK20" s="124">
        <v>276120</v>
      </c>
      <c r="DL20" s="124">
        <v>287654</v>
      </c>
      <c r="DM20" s="124">
        <v>291170</v>
      </c>
      <c r="DN20" s="124">
        <v>277139</v>
      </c>
      <c r="DO20" s="124">
        <v>300563</v>
      </c>
      <c r="DP20" s="124">
        <v>302790</v>
      </c>
      <c r="DQ20" s="124">
        <v>293745</v>
      </c>
      <c r="DR20" s="124">
        <v>282019</v>
      </c>
      <c r="DS20" s="124">
        <v>270763</v>
      </c>
      <c r="DT20" s="124">
        <v>317853</v>
      </c>
      <c r="DU20" s="124">
        <v>299151</v>
      </c>
      <c r="DV20" s="124">
        <v>295201</v>
      </c>
      <c r="DW20" s="124">
        <v>271056</v>
      </c>
      <c r="DX20" s="124">
        <v>280468</v>
      </c>
      <c r="DY20" s="124">
        <v>292477</v>
      </c>
      <c r="DZ20" s="124">
        <v>288959</v>
      </c>
      <c r="EA20" s="124">
        <v>312705</v>
      </c>
      <c r="EB20" s="124">
        <v>306126</v>
      </c>
      <c r="EC20" s="124">
        <v>301994</v>
      </c>
      <c r="ED20" s="124">
        <v>294786</v>
      </c>
      <c r="EE20" s="124">
        <v>264959</v>
      </c>
      <c r="EF20" s="124">
        <v>316880</v>
      </c>
      <c r="EG20" s="124">
        <v>307752</v>
      </c>
      <c r="EH20" s="124">
        <v>302793</v>
      </c>
      <c r="EI20" s="124">
        <v>314776</v>
      </c>
      <c r="EJ20" s="124">
        <v>322389</v>
      </c>
      <c r="EK20" s="124">
        <v>315115</v>
      </c>
      <c r="EL20" s="124">
        <v>317931</v>
      </c>
      <c r="EM20" s="124">
        <v>345149</v>
      </c>
      <c r="EN20" s="124">
        <v>335444</v>
      </c>
      <c r="EO20" s="124">
        <v>342934</v>
      </c>
      <c r="EP20" s="124">
        <v>322835</v>
      </c>
      <c r="EQ20" s="124">
        <v>305784</v>
      </c>
      <c r="ER20" s="124">
        <v>351657</v>
      </c>
      <c r="ES20" s="124">
        <v>329684</v>
      </c>
      <c r="ET20" s="124">
        <v>320348</v>
      </c>
      <c r="EU20" s="124">
        <v>324712</v>
      </c>
      <c r="EV20" s="124">
        <v>336720</v>
      </c>
      <c r="EW20" s="124">
        <v>337500</v>
      </c>
      <c r="EX20" s="124">
        <v>345167</v>
      </c>
      <c r="EY20" s="124">
        <v>339171</v>
      </c>
      <c r="EZ20" s="124">
        <v>358342</v>
      </c>
      <c r="FA20" s="124">
        <v>359594</v>
      </c>
    </row>
    <row r="21" spans="1:157" ht="20.100000000000001" customHeight="1">
      <c r="A21" s="25" t="s">
        <v>722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7" t="s">
        <v>561</v>
      </c>
      <c r="B22" s="127" t="s">
        <v>562</v>
      </c>
      <c r="C22" s="128">
        <v>1995</v>
      </c>
      <c r="D22" s="128">
        <v>1996</v>
      </c>
      <c r="E22" s="128">
        <v>1997</v>
      </c>
      <c r="F22" s="128">
        <v>1998</v>
      </c>
      <c r="G22" s="128">
        <v>1999</v>
      </c>
      <c r="H22" s="128">
        <v>2000</v>
      </c>
      <c r="I22" s="128">
        <v>2001</v>
      </c>
      <c r="J22" s="128">
        <v>2002</v>
      </c>
      <c r="K22" s="128">
        <v>2003</v>
      </c>
      <c r="L22" s="128">
        <v>2004</v>
      </c>
      <c r="M22" s="128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194" t="s">
        <v>553</v>
      </c>
      <c r="B23" s="123" t="s">
        <v>57</v>
      </c>
      <c r="C23" s="124">
        <v>595272320</v>
      </c>
      <c r="D23" s="124">
        <v>621239664</v>
      </c>
      <c r="E23" s="124">
        <v>700344184</v>
      </c>
      <c r="F23" s="124">
        <v>567023195</v>
      </c>
      <c r="G23" s="124">
        <v>567344200</v>
      </c>
      <c r="H23" s="124">
        <v>676315453</v>
      </c>
      <c r="I23" s="124">
        <v>721822691</v>
      </c>
      <c r="J23" s="124">
        <v>772444316</v>
      </c>
      <c r="K23" s="124">
        <v>758315596</v>
      </c>
      <c r="L23" s="124">
        <v>679412965</v>
      </c>
      <c r="M23" s="124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195"/>
      <c r="B24" s="123" t="s">
        <v>718</v>
      </c>
      <c r="C24" s="124">
        <v>57469339</v>
      </c>
      <c r="D24" s="124">
        <v>53526971</v>
      </c>
      <c r="E24" s="124">
        <v>53827826</v>
      </c>
      <c r="F24" s="124">
        <v>43344820</v>
      </c>
      <c r="G24" s="124">
        <v>42080967</v>
      </c>
      <c r="H24" s="124">
        <v>45239839</v>
      </c>
      <c r="I24" s="124">
        <v>45122332</v>
      </c>
      <c r="J24" s="124">
        <v>45732629</v>
      </c>
      <c r="K24" s="124">
        <v>47109970</v>
      </c>
      <c r="L24" s="124">
        <v>44512467</v>
      </c>
      <c r="M24" s="124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195"/>
      <c r="B25" s="123" t="s">
        <v>719</v>
      </c>
      <c r="C25" s="124">
        <v>408368372</v>
      </c>
      <c r="D25" s="124">
        <v>426413788</v>
      </c>
      <c r="E25" s="124">
        <v>499083185</v>
      </c>
      <c r="F25" s="124">
        <v>408136000</v>
      </c>
      <c r="G25" s="124">
        <v>401177000</v>
      </c>
      <c r="H25" s="124">
        <v>496174000</v>
      </c>
      <c r="I25" s="124">
        <v>535725000</v>
      </c>
      <c r="J25" s="124">
        <v>584573000</v>
      </c>
      <c r="K25" s="124">
        <v>565456252</v>
      </c>
      <c r="L25" s="124">
        <v>518855708</v>
      </c>
      <c r="M25" s="124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195"/>
      <c r="B26" s="123" t="s">
        <v>720</v>
      </c>
      <c r="C26" s="124">
        <v>129111889</v>
      </c>
      <c r="D26" s="124">
        <v>140947542</v>
      </c>
      <c r="E26" s="124">
        <v>147045854</v>
      </c>
      <c r="F26" s="124">
        <v>115178828</v>
      </c>
      <c r="G26" s="124">
        <v>123692958</v>
      </c>
      <c r="H26" s="124">
        <v>134467386</v>
      </c>
      <c r="I26" s="124">
        <v>140544327</v>
      </c>
      <c r="J26" s="124">
        <v>141705985</v>
      </c>
      <c r="K26" s="124">
        <v>145326809</v>
      </c>
      <c r="L26" s="124">
        <v>115635806</v>
      </c>
      <c r="M26" s="124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196"/>
      <c r="B27" s="123" t="s">
        <v>721</v>
      </c>
      <c r="C27" s="124">
        <v>322720</v>
      </c>
      <c r="D27" s="124">
        <v>351363</v>
      </c>
      <c r="E27" s="124">
        <v>387319</v>
      </c>
      <c r="F27" s="124">
        <v>363547</v>
      </c>
      <c r="G27" s="124">
        <v>393275</v>
      </c>
      <c r="H27" s="124">
        <v>434228</v>
      </c>
      <c r="I27" s="124">
        <v>431032</v>
      </c>
      <c r="J27" s="124">
        <v>432702</v>
      </c>
      <c r="K27" s="124">
        <v>422565</v>
      </c>
      <c r="L27" s="124">
        <v>408984</v>
      </c>
      <c r="M27" s="124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194" t="s">
        <v>558</v>
      </c>
      <c r="B28" s="123" t="s">
        <v>57</v>
      </c>
      <c r="C28" s="124">
        <v>405714274</v>
      </c>
      <c r="D28" s="124">
        <v>442551230</v>
      </c>
      <c r="E28" s="124">
        <v>486661311</v>
      </c>
      <c r="F28" s="124">
        <v>476222728</v>
      </c>
      <c r="G28" s="124">
        <v>533902560</v>
      </c>
      <c r="H28" s="124">
        <v>571548755</v>
      </c>
      <c r="I28" s="124">
        <v>612773903</v>
      </c>
      <c r="J28" s="124">
        <v>637622077</v>
      </c>
      <c r="K28" s="124">
        <v>669816827</v>
      </c>
      <c r="L28" s="124">
        <v>735946247</v>
      </c>
      <c r="M28" s="124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195"/>
      <c r="B29" s="123" t="s">
        <v>720</v>
      </c>
      <c r="C29" s="124">
        <v>404423525</v>
      </c>
      <c r="D29" s="124">
        <v>441120256</v>
      </c>
      <c r="E29" s="124">
        <v>485030237</v>
      </c>
      <c r="F29" s="124">
        <v>474751966</v>
      </c>
      <c r="G29" s="124">
        <v>532183132</v>
      </c>
      <c r="H29" s="124">
        <v>569599403</v>
      </c>
      <c r="I29" s="124">
        <v>610910071</v>
      </c>
      <c r="J29" s="124">
        <v>635545272</v>
      </c>
      <c r="K29" s="124">
        <v>667608033</v>
      </c>
      <c r="L29" s="124">
        <v>733377114</v>
      </c>
      <c r="M29" s="124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196"/>
      <c r="B30" s="126" t="s">
        <v>721</v>
      </c>
      <c r="C30" s="124">
        <v>1290749</v>
      </c>
      <c r="D30" s="124">
        <v>1430974</v>
      </c>
      <c r="E30" s="124">
        <v>1631074</v>
      </c>
      <c r="F30" s="124">
        <v>1470762</v>
      </c>
      <c r="G30" s="124">
        <v>1719428</v>
      </c>
      <c r="H30" s="124">
        <v>1949352</v>
      </c>
      <c r="I30" s="124">
        <v>1863832</v>
      </c>
      <c r="J30" s="124">
        <v>2076805</v>
      </c>
      <c r="K30" s="124">
        <v>2208794</v>
      </c>
      <c r="L30" s="124">
        <v>2569133</v>
      </c>
      <c r="M30" s="124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193" t="s">
        <v>723</v>
      </c>
      <c r="B31" s="126" t="s">
        <v>724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193"/>
      <c r="B32" s="126" t="s">
        <v>725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726</v>
      </c>
      <c r="K33" s="25" t="s">
        <v>727</v>
      </c>
    </row>
    <row r="34" spans="1:21">
      <c r="A34" s="32" t="s">
        <v>548</v>
      </c>
      <c r="B34" s="197" t="s">
        <v>728</v>
      </c>
      <c r="C34" s="197"/>
      <c r="D34" s="197" t="s">
        <v>729</v>
      </c>
      <c r="E34" s="197"/>
      <c r="F34" s="197" t="s">
        <v>723</v>
      </c>
      <c r="G34" s="197"/>
      <c r="I34" s="32" t="s">
        <v>549</v>
      </c>
      <c r="J34" s="198" t="s">
        <v>728</v>
      </c>
      <c r="K34" s="198"/>
      <c r="L34" s="197" t="s">
        <v>729</v>
      </c>
      <c r="M34" s="197"/>
      <c r="N34" s="197" t="s">
        <v>723</v>
      </c>
      <c r="O34" s="197"/>
      <c r="P34" s="25"/>
      <c r="Q34" s="25"/>
      <c r="T34" s="25"/>
      <c r="U34" s="25"/>
    </row>
    <row r="35" spans="1:21">
      <c r="A35" s="37" t="s">
        <v>730</v>
      </c>
      <c r="B35" s="25" t="s">
        <v>731</v>
      </c>
      <c r="C35" s="25" t="s">
        <v>732</v>
      </c>
      <c r="D35" s="25" t="s">
        <v>731</v>
      </c>
      <c r="E35" s="25" t="s">
        <v>732</v>
      </c>
      <c r="F35" s="25" t="s">
        <v>731</v>
      </c>
      <c r="G35" s="25" t="s">
        <v>732</v>
      </c>
      <c r="I35" s="37" t="s">
        <v>730</v>
      </c>
      <c r="J35" s="37" t="s">
        <v>733</v>
      </c>
      <c r="K35" s="37" t="s">
        <v>734</v>
      </c>
      <c r="L35" s="37" t="s">
        <v>733</v>
      </c>
      <c r="M35" s="37" t="s">
        <v>734</v>
      </c>
      <c r="N35" s="37" t="s">
        <v>733</v>
      </c>
      <c r="O35" s="37" t="s">
        <v>734</v>
      </c>
      <c r="P35" s="37" t="s">
        <v>735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736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zoomScale="70" zoomScaleNormal="70" workbookViewId="0">
      <selection activeCell="C42" sqref="C42"/>
    </sheetView>
  </sheetViews>
  <sheetFormatPr defaultColWidth="9" defaultRowHeight="14.4"/>
  <cols>
    <col min="1" max="1" width="9" style="4"/>
    <col min="2" max="2" width="11.21875" style="4" bestFit="1" customWidth="1"/>
    <col min="3" max="5" width="11.88671875" style="4" bestFit="1" customWidth="1"/>
    <col min="6" max="7" width="11" style="4" bestFit="1" customWidth="1"/>
    <col min="8" max="13" width="11.88671875" style="4" bestFit="1" customWidth="1"/>
    <col min="14" max="17" width="10.21875" style="4" bestFit="1" customWidth="1"/>
    <col min="18" max="19" width="11" style="4" bestFit="1" customWidth="1"/>
    <col min="20" max="20" width="10.21875" style="4" bestFit="1" customWidth="1"/>
    <col min="21" max="22" width="11" style="4" bestFit="1" customWidth="1"/>
    <col min="23" max="16384" width="9" style="4"/>
  </cols>
  <sheetData>
    <row r="1" spans="1:22">
      <c r="A1" s="25" t="s">
        <v>737</v>
      </c>
    </row>
    <row r="2" spans="1:22">
      <c r="A2" s="199" t="s">
        <v>245</v>
      </c>
      <c r="B2" s="199"/>
      <c r="C2" s="199" t="s">
        <v>58</v>
      </c>
      <c r="D2" s="199"/>
      <c r="E2" s="199"/>
      <c r="F2" s="199"/>
      <c r="G2" s="199"/>
      <c r="H2" s="199" t="s">
        <v>738</v>
      </c>
      <c r="I2" s="199"/>
      <c r="J2" s="199"/>
      <c r="K2" s="199"/>
      <c r="L2" s="199"/>
      <c r="M2" s="199"/>
      <c r="N2" s="199"/>
      <c r="O2" s="199"/>
      <c r="P2" s="199"/>
      <c r="Q2" s="199" t="s">
        <v>739</v>
      </c>
      <c r="R2" s="199"/>
      <c r="S2" s="199"/>
      <c r="T2" s="199"/>
      <c r="U2" s="199"/>
      <c r="V2" s="199"/>
    </row>
    <row r="3" spans="1:22">
      <c r="A3" s="199"/>
      <c r="B3" s="199"/>
      <c r="C3" s="199" t="s">
        <v>245</v>
      </c>
      <c r="D3" s="199"/>
      <c r="E3" s="199"/>
      <c r="F3" s="199"/>
      <c r="G3" s="199"/>
      <c r="H3" s="199" t="s">
        <v>57</v>
      </c>
      <c r="I3" s="199"/>
      <c r="J3" s="199"/>
      <c r="K3" s="199" t="s">
        <v>740</v>
      </c>
      <c r="L3" s="199"/>
      <c r="M3" s="199"/>
      <c r="N3" s="199" t="s">
        <v>741</v>
      </c>
      <c r="O3" s="199"/>
      <c r="P3" s="199"/>
      <c r="Q3" s="199" t="s">
        <v>57</v>
      </c>
      <c r="R3" s="199"/>
      <c r="S3" s="199"/>
      <c r="T3" s="199" t="s">
        <v>742</v>
      </c>
      <c r="U3" s="199"/>
      <c r="V3" s="199"/>
    </row>
    <row r="4" spans="1:22">
      <c r="A4" s="129" t="s">
        <v>743</v>
      </c>
      <c r="B4" s="129" t="s">
        <v>744</v>
      </c>
      <c r="C4" s="129" t="s">
        <v>209</v>
      </c>
      <c r="D4" s="129" t="s">
        <v>745</v>
      </c>
      <c r="E4" s="129" t="s">
        <v>746</v>
      </c>
      <c r="F4" s="129" t="s">
        <v>747</v>
      </c>
      <c r="G4" s="129" t="s">
        <v>748</v>
      </c>
      <c r="H4" s="129" t="s">
        <v>209</v>
      </c>
      <c r="I4" s="129" t="s">
        <v>745</v>
      </c>
      <c r="J4" s="129" t="s">
        <v>746</v>
      </c>
      <c r="K4" s="129" t="s">
        <v>209</v>
      </c>
      <c r="L4" s="129" t="s">
        <v>746</v>
      </c>
      <c r="M4" s="129" t="s">
        <v>745</v>
      </c>
      <c r="N4" s="129" t="s">
        <v>209</v>
      </c>
      <c r="O4" s="129" t="s">
        <v>745</v>
      </c>
      <c r="P4" s="129" t="s">
        <v>746</v>
      </c>
      <c r="Q4" s="129" t="s">
        <v>209</v>
      </c>
      <c r="R4" s="129" t="s">
        <v>747</v>
      </c>
      <c r="S4" s="129" t="s">
        <v>748</v>
      </c>
      <c r="T4" s="129" t="s">
        <v>209</v>
      </c>
      <c r="U4" s="129" t="s">
        <v>747</v>
      </c>
      <c r="V4" s="129" t="s">
        <v>748</v>
      </c>
    </row>
    <row r="5" spans="1:22">
      <c r="A5" s="199" t="s">
        <v>57</v>
      </c>
      <c r="B5" s="199"/>
      <c r="C5" s="130">
        <v>4080872227.8000002</v>
      </c>
      <c r="D5" s="130">
        <v>1202471060</v>
      </c>
      <c r="E5" s="130">
        <v>2288324061</v>
      </c>
      <c r="F5" s="130">
        <v>567174054</v>
      </c>
      <c r="G5" s="130">
        <v>22903052.799999997</v>
      </c>
      <c r="H5" s="130">
        <v>3490795121</v>
      </c>
      <c r="I5" s="130">
        <v>1202471060</v>
      </c>
      <c r="J5" s="130">
        <v>2288324061</v>
      </c>
      <c r="K5" s="130">
        <v>3119141853</v>
      </c>
      <c r="L5" s="130">
        <v>2070251346</v>
      </c>
      <c r="M5" s="130">
        <v>1048890507</v>
      </c>
      <c r="N5" s="130">
        <v>371653268</v>
      </c>
      <c r="O5" s="130">
        <v>153580553</v>
      </c>
      <c r="P5" s="130">
        <v>218072715</v>
      </c>
      <c r="Q5" s="130">
        <v>590077106.79999995</v>
      </c>
      <c r="R5" s="130">
        <v>567174054</v>
      </c>
      <c r="S5" s="130">
        <v>22903052.799999997</v>
      </c>
      <c r="T5" s="130">
        <v>590077106.79999995</v>
      </c>
      <c r="U5" s="130">
        <v>567174054</v>
      </c>
      <c r="V5" s="130">
        <v>22903052.799999997</v>
      </c>
    </row>
    <row r="6" spans="1:22" ht="15" thickBot="1">
      <c r="A6" s="199" t="s">
        <v>749</v>
      </c>
      <c r="B6" s="199"/>
      <c r="C6" s="131">
        <v>1655997518</v>
      </c>
      <c r="D6" s="130">
        <v>501303813</v>
      </c>
      <c r="E6" s="130">
        <v>927845761</v>
      </c>
      <c r="F6" s="130">
        <v>214816744</v>
      </c>
      <c r="G6" s="130">
        <v>12031199.999999998</v>
      </c>
      <c r="H6" s="130">
        <v>1429149574</v>
      </c>
      <c r="I6" s="130">
        <v>501303813</v>
      </c>
      <c r="J6" s="130">
        <v>927845761</v>
      </c>
      <c r="K6" s="130">
        <v>1287227799</v>
      </c>
      <c r="L6" s="130">
        <v>848994050</v>
      </c>
      <c r="M6" s="130">
        <v>438233749</v>
      </c>
      <c r="N6" s="130">
        <v>141921775</v>
      </c>
      <c r="O6" s="130">
        <v>63070064</v>
      </c>
      <c r="P6" s="130">
        <v>78851711</v>
      </c>
      <c r="Q6" s="130">
        <v>226847944.00000006</v>
      </c>
      <c r="R6" s="130">
        <v>214816744</v>
      </c>
      <c r="S6" s="130">
        <v>12031200</v>
      </c>
      <c r="T6" s="130">
        <v>226847944</v>
      </c>
      <c r="U6" s="130">
        <v>214816744</v>
      </c>
      <c r="V6" s="130">
        <v>12031200</v>
      </c>
    </row>
    <row r="7" spans="1:22">
      <c r="A7" s="199" t="s">
        <v>241</v>
      </c>
      <c r="B7" s="132" t="s">
        <v>750</v>
      </c>
      <c r="C7" s="48">
        <v>141879802.19999999</v>
      </c>
      <c r="D7" s="133">
        <v>40206142</v>
      </c>
      <c r="E7" s="134">
        <v>81746229</v>
      </c>
      <c r="F7" s="134">
        <v>18920074</v>
      </c>
      <c r="G7" s="134">
        <v>1007357.2</v>
      </c>
      <c r="H7" s="134">
        <v>121952371</v>
      </c>
      <c r="I7" s="134">
        <v>40206142</v>
      </c>
      <c r="J7" s="134">
        <v>81746229</v>
      </c>
      <c r="K7" s="134">
        <v>110775808</v>
      </c>
      <c r="L7" s="134">
        <v>75603191</v>
      </c>
      <c r="M7" s="134">
        <v>35172617</v>
      </c>
      <c r="N7" s="134">
        <v>11176563</v>
      </c>
      <c r="O7" s="134">
        <v>5033525</v>
      </c>
      <c r="P7" s="134">
        <v>6143038</v>
      </c>
      <c r="Q7" s="134">
        <v>19927431.199999999</v>
      </c>
      <c r="R7" s="134">
        <v>18920074</v>
      </c>
      <c r="S7" s="134">
        <v>1007357.2</v>
      </c>
      <c r="T7" s="134">
        <v>19927431.199999999</v>
      </c>
      <c r="U7" s="134">
        <v>18920074</v>
      </c>
      <c r="V7" s="134">
        <v>1007357.2</v>
      </c>
    </row>
    <row r="8" spans="1:22">
      <c r="A8" s="199"/>
      <c r="B8" s="132" t="s">
        <v>751</v>
      </c>
      <c r="C8" s="135">
        <v>122901029.2</v>
      </c>
      <c r="D8" s="133">
        <v>39342779</v>
      </c>
      <c r="E8" s="134">
        <v>67179791</v>
      </c>
      <c r="F8" s="134">
        <v>15309700</v>
      </c>
      <c r="G8" s="134">
        <v>1068759.2</v>
      </c>
      <c r="H8" s="134">
        <v>106522570</v>
      </c>
      <c r="I8" s="134">
        <v>39342779</v>
      </c>
      <c r="J8" s="134">
        <v>67179791</v>
      </c>
      <c r="K8" s="134">
        <v>96535010</v>
      </c>
      <c r="L8" s="134">
        <v>61932308</v>
      </c>
      <c r="M8" s="134">
        <v>34602702</v>
      </c>
      <c r="N8" s="134">
        <v>9987560</v>
      </c>
      <c r="O8" s="134">
        <v>4740077</v>
      </c>
      <c r="P8" s="134">
        <v>5247483</v>
      </c>
      <c r="Q8" s="134">
        <v>16378459.199999999</v>
      </c>
      <c r="R8" s="134">
        <v>15309700</v>
      </c>
      <c r="S8" s="134">
        <v>1068759.2</v>
      </c>
      <c r="T8" s="134">
        <v>16378459.199999999</v>
      </c>
      <c r="U8" s="134">
        <v>15309700</v>
      </c>
      <c r="V8" s="134">
        <v>1068759.2</v>
      </c>
    </row>
    <row r="9" spans="1:22">
      <c r="A9" s="199"/>
      <c r="B9" s="132" t="s">
        <v>752</v>
      </c>
      <c r="C9" s="135">
        <v>137462172.90000001</v>
      </c>
      <c r="D9" s="133">
        <v>43941974</v>
      </c>
      <c r="E9" s="134">
        <v>75823870</v>
      </c>
      <c r="F9" s="134">
        <v>16519256</v>
      </c>
      <c r="G9" s="134">
        <v>1177072.8999999999</v>
      </c>
      <c r="H9" s="134">
        <v>119765844</v>
      </c>
      <c r="I9" s="134">
        <v>43941974</v>
      </c>
      <c r="J9" s="134">
        <v>75823870</v>
      </c>
      <c r="K9" s="134">
        <v>107257057</v>
      </c>
      <c r="L9" s="134">
        <v>69359797</v>
      </c>
      <c r="M9" s="134">
        <v>37897260</v>
      </c>
      <c r="N9" s="134">
        <v>12508787</v>
      </c>
      <c r="O9" s="134">
        <v>6044714</v>
      </c>
      <c r="P9" s="134">
        <v>6464073</v>
      </c>
      <c r="Q9" s="134">
        <v>17696328.899999999</v>
      </c>
      <c r="R9" s="134">
        <v>16519256</v>
      </c>
      <c r="S9" s="134">
        <v>1177072.8999999999</v>
      </c>
      <c r="T9" s="134">
        <v>17696328.899999999</v>
      </c>
      <c r="U9" s="134">
        <v>16519256</v>
      </c>
      <c r="V9" s="134">
        <v>1177072.8999999999</v>
      </c>
    </row>
    <row r="10" spans="1:22">
      <c r="A10" s="199"/>
      <c r="B10" s="132" t="s">
        <v>753</v>
      </c>
      <c r="C10" s="135">
        <v>134906133.80000001</v>
      </c>
      <c r="D10" s="133">
        <v>40584940</v>
      </c>
      <c r="E10" s="134">
        <v>76407179</v>
      </c>
      <c r="F10" s="134">
        <v>16771920</v>
      </c>
      <c r="G10" s="134">
        <v>1142094.8</v>
      </c>
      <c r="H10" s="134">
        <v>116992119</v>
      </c>
      <c r="I10" s="134">
        <v>40584940</v>
      </c>
      <c r="J10" s="134">
        <v>76407179</v>
      </c>
      <c r="K10" s="134">
        <v>105463822</v>
      </c>
      <c r="L10" s="134">
        <v>69703937</v>
      </c>
      <c r="M10" s="134">
        <v>35759885</v>
      </c>
      <c r="N10" s="134">
        <v>11528297</v>
      </c>
      <c r="O10" s="134">
        <v>4825055</v>
      </c>
      <c r="P10" s="134">
        <v>6703242</v>
      </c>
      <c r="Q10" s="134">
        <v>17914014.800000001</v>
      </c>
      <c r="R10" s="134">
        <v>16771920</v>
      </c>
      <c r="S10" s="134">
        <v>1142094.8</v>
      </c>
      <c r="T10" s="134">
        <v>17914014.800000001</v>
      </c>
      <c r="U10" s="134">
        <v>16771920</v>
      </c>
      <c r="V10" s="134">
        <v>1142094.8</v>
      </c>
    </row>
    <row r="11" spans="1:22">
      <c r="A11" s="199"/>
      <c r="B11" s="132" t="s">
        <v>754</v>
      </c>
      <c r="C11" s="135">
        <v>135909559.30000001</v>
      </c>
      <c r="D11" s="133">
        <v>42314187</v>
      </c>
      <c r="E11" s="134">
        <v>74341806</v>
      </c>
      <c r="F11" s="134">
        <v>18325816</v>
      </c>
      <c r="G11" s="134">
        <v>927750.3</v>
      </c>
      <c r="H11" s="134">
        <v>116655993</v>
      </c>
      <c r="I11" s="134">
        <v>42314187</v>
      </c>
      <c r="J11" s="134">
        <v>74341806</v>
      </c>
      <c r="K11" s="134">
        <v>105413524</v>
      </c>
      <c r="L11" s="134">
        <v>67983285</v>
      </c>
      <c r="M11" s="134">
        <v>37430239</v>
      </c>
      <c r="N11" s="134">
        <v>11242469</v>
      </c>
      <c r="O11" s="134">
        <v>4883948</v>
      </c>
      <c r="P11" s="134">
        <v>6358521</v>
      </c>
      <c r="Q11" s="134">
        <v>19253566.300000001</v>
      </c>
      <c r="R11" s="134">
        <v>18325816</v>
      </c>
      <c r="S11" s="134">
        <v>927750.3</v>
      </c>
      <c r="T11" s="134">
        <v>19253566.300000001</v>
      </c>
      <c r="U11" s="134">
        <v>18325816</v>
      </c>
      <c r="V11" s="134">
        <v>927750.3</v>
      </c>
    </row>
    <row r="12" spans="1:22">
      <c r="A12" s="199"/>
      <c r="B12" s="132" t="s">
        <v>755</v>
      </c>
      <c r="C12" s="135">
        <v>140568903.90000001</v>
      </c>
      <c r="D12" s="133">
        <v>45054426</v>
      </c>
      <c r="E12" s="134">
        <v>76594470</v>
      </c>
      <c r="F12" s="134">
        <v>18081540</v>
      </c>
      <c r="G12" s="134">
        <v>838467.9</v>
      </c>
      <c r="H12" s="134">
        <v>121648896</v>
      </c>
      <c r="I12" s="134">
        <v>45054426</v>
      </c>
      <c r="J12" s="134">
        <v>76594470</v>
      </c>
      <c r="K12" s="134">
        <v>110416441</v>
      </c>
      <c r="L12" s="134">
        <v>70773809</v>
      </c>
      <c r="M12" s="134">
        <v>39642632</v>
      </c>
      <c r="N12" s="134">
        <v>11232455</v>
      </c>
      <c r="O12" s="134">
        <v>5411794</v>
      </c>
      <c r="P12" s="134">
        <v>5820661</v>
      </c>
      <c r="Q12" s="134">
        <v>18920007.899999999</v>
      </c>
      <c r="R12" s="134">
        <v>18081540</v>
      </c>
      <c r="S12" s="134">
        <v>838467.9</v>
      </c>
      <c r="T12" s="134">
        <v>18920007.899999999</v>
      </c>
      <c r="U12" s="134">
        <v>18081540</v>
      </c>
      <c r="V12" s="134">
        <v>838467.9</v>
      </c>
    </row>
    <row r="13" spans="1:22" ht="15" thickBot="1">
      <c r="A13" s="199"/>
      <c r="B13" s="132" t="s">
        <v>756</v>
      </c>
      <c r="C13" s="136">
        <v>141716895.59999999</v>
      </c>
      <c r="D13" s="133">
        <v>44021099</v>
      </c>
      <c r="E13" s="134">
        <v>79641797</v>
      </c>
      <c r="F13" s="134">
        <v>17242094</v>
      </c>
      <c r="G13" s="134">
        <v>811905.6</v>
      </c>
      <c r="H13" s="134">
        <v>123662896</v>
      </c>
      <c r="I13" s="134">
        <v>44021099</v>
      </c>
      <c r="J13" s="134">
        <v>79641797</v>
      </c>
      <c r="K13" s="134">
        <v>111724995</v>
      </c>
      <c r="L13" s="134">
        <v>72974163</v>
      </c>
      <c r="M13" s="134">
        <v>38750832</v>
      </c>
      <c r="N13" s="134">
        <v>11937901</v>
      </c>
      <c r="O13" s="134">
        <v>5270267</v>
      </c>
      <c r="P13" s="134">
        <v>6667634</v>
      </c>
      <c r="Q13" s="134">
        <v>18053999.600000001</v>
      </c>
      <c r="R13" s="134">
        <v>17242094</v>
      </c>
      <c r="S13" s="134">
        <v>811905.6</v>
      </c>
      <c r="T13" s="134">
        <v>18053999.600000001</v>
      </c>
      <c r="U13" s="134">
        <v>17242094</v>
      </c>
      <c r="V13" s="134">
        <v>811905.6</v>
      </c>
    </row>
    <row r="14" spans="1:22">
      <c r="A14" s="199"/>
      <c r="B14" s="129" t="s">
        <v>757</v>
      </c>
      <c r="C14" s="137">
        <v>144636616.90000001</v>
      </c>
      <c r="D14" s="134">
        <v>42000091</v>
      </c>
      <c r="E14" s="134">
        <v>83597003</v>
      </c>
      <c r="F14" s="134">
        <v>17829324</v>
      </c>
      <c r="G14" s="134">
        <v>1210198.8999999999</v>
      </c>
      <c r="H14" s="134">
        <v>125597094</v>
      </c>
      <c r="I14" s="134">
        <v>42000091</v>
      </c>
      <c r="J14" s="134">
        <v>83597003</v>
      </c>
      <c r="K14" s="134">
        <v>112804299</v>
      </c>
      <c r="L14" s="134">
        <v>76377281</v>
      </c>
      <c r="M14" s="134">
        <v>36427018</v>
      </c>
      <c r="N14" s="134">
        <v>12792795</v>
      </c>
      <c r="O14" s="134">
        <v>5573073</v>
      </c>
      <c r="P14" s="134">
        <v>7219722</v>
      </c>
      <c r="Q14" s="134">
        <v>19039522.899999999</v>
      </c>
      <c r="R14" s="134">
        <v>17829324</v>
      </c>
      <c r="S14" s="134">
        <v>1210198.8999999999</v>
      </c>
      <c r="T14" s="134">
        <v>19039522.899999999</v>
      </c>
      <c r="U14" s="134">
        <v>17829324</v>
      </c>
      <c r="V14" s="134">
        <v>1210198.8999999999</v>
      </c>
    </row>
    <row r="15" spans="1:22">
      <c r="A15" s="199"/>
      <c r="B15" s="129" t="s">
        <v>758</v>
      </c>
      <c r="C15" s="134">
        <v>128724363.09999999</v>
      </c>
      <c r="D15" s="134">
        <v>38320959</v>
      </c>
      <c r="E15" s="134">
        <v>74183485</v>
      </c>
      <c r="F15" s="134">
        <v>15388082</v>
      </c>
      <c r="G15" s="134">
        <v>831837.1</v>
      </c>
      <c r="H15" s="134">
        <v>112504444</v>
      </c>
      <c r="I15" s="134">
        <v>38320959</v>
      </c>
      <c r="J15" s="134">
        <v>74183485</v>
      </c>
      <c r="K15" s="134">
        <v>100937710</v>
      </c>
      <c r="L15" s="134">
        <v>67125532</v>
      </c>
      <c r="M15" s="134">
        <v>33812178</v>
      </c>
      <c r="N15" s="134">
        <v>11566734</v>
      </c>
      <c r="O15" s="134">
        <v>4508781</v>
      </c>
      <c r="P15" s="134">
        <v>7057953</v>
      </c>
      <c r="Q15" s="134">
        <v>16219919.1</v>
      </c>
      <c r="R15" s="134">
        <v>15388082</v>
      </c>
      <c r="S15" s="134">
        <v>831837.1</v>
      </c>
      <c r="T15" s="134">
        <v>16219919.1</v>
      </c>
      <c r="U15" s="134">
        <v>15388082</v>
      </c>
      <c r="V15" s="134">
        <v>831837.1</v>
      </c>
    </row>
    <row r="16" spans="1:22">
      <c r="A16" s="199"/>
      <c r="B16" s="129" t="s">
        <v>759</v>
      </c>
      <c r="C16" s="134">
        <v>142059677</v>
      </c>
      <c r="D16" s="134">
        <v>42250195</v>
      </c>
      <c r="E16" s="134">
        <v>78656951</v>
      </c>
      <c r="F16" s="134">
        <v>20125314</v>
      </c>
      <c r="G16" s="134">
        <v>1027217</v>
      </c>
      <c r="H16" s="134">
        <v>120907146</v>
      </c>
      <c r="I16" s="134">
        <v>42250195</v>
      </c>
      <c r="J16" s="134">
        <v>78656951</v>
      </c>
      <c r="K16" s="134">
        <v>108798595</v>
      </c>
      <c r="L16" s="134">
        <v>71690379</v>
      </c>
      <c r="M16" s="134">
        <v>37108216</v>
      </c>
      <c r="N16" s="134">
        <v>12108551</v>
      </c>
      <c r="O16" s="134">
        <v>5141979</v>
      </c>
      <c r="P16" s="134">
        <v>6966572</v>
      </c>
      <c r="Q16" s="134">
        <v>21152531</v>
      </c>
      <c r="R16" s="134">
        <v>20125314</v>
      </c>
      <c r="S16" s="134">
        <v>1027217</v>
      </c>
      <c r="T16" s="134">
        <v>21152531</v>
      </c>
      <c r="U16" s="134">
        <v>20125314</v>
      </c>
      <c r="V16" s="134">
        <v>1027217</v>
      </c>
    </row>
    <row r="17" spans="1:22">
      <c r="A17" s="199"/>
      <c r="B17" s="129" t="s">
        <v>760</v>
      </c>
      <c r="C17" s="134">
        <v>135528745.90000001</v>
      </c>
      <c r="D17" s="134">
        <v>39333375</v>
      </c>
      <c r="E17" s="134">
        <v>75010749</v>
      </c>
      <c r="F17" s="134">
        <v>20213098</v>
      </c>
      <c r="G17" s="134">
        <v>971523.9</v>
      </c>
      <c r="H17" s="134">
        <v>114344124</v>
      </c>
      <c r="I17" s="134">
        <v>39333375</v>
      </c>
      <c r="J17" s="134">
        <v>75010749</v>
      </c>
      <c r="K17" s="134">
        <v>101576994</v>
      </c>
      <c r="L17" s="134">
        <v>67475115</v>
      </c>
      <c r="M17" s="134">
        <v>34101879</v>
      </c>
      <c r="N17" s="134">
        <v>12767130</v>
      </c>
      <c r="O17" s="134">
        <v>5231496</v>
      </c>
      <c r="P17" s="134">
        <v>7535634</v>
      </c>
      <c r="Q17" s="134">
        <v>21184621.899999999</v>
      </c>
      <c r="R17" s="134">
        <v>20213098</v>
      </c>
      <c r="S17" s="134">
        <v>971523.9</v>
      </c>
      <c r="T17" s="134">
        <v>21184621.899999999</v>
      </c>
      <c r="U17" s="134">
        <v>20213098</v>
      </c>
      <c r="V17" s="134">
        <v>971523.9</v>
      </c>
    </row>
    <row r="18" spans="1:22">
      <c r="A18" s="199"/>
      <c r="B18" s="129" t="s">
        <v>761</v>
      </c>
      <c r="C18" s="134">
        <v>149703618.19999999</v>
      </c>
      <c r="D18" s="134">
        <v>43933646</v>
      </c>
      <c r="E18" s="134">
        <v>84662431</v>
      </c>
      <c r="F18" s="134">
        <v>20090526</v>
      </c>
      <c r="G18" s="134">
        <v>1017015.2</v>
      </c>
      <c r="H18" s="134">
        <v>128596077</v>
      </c>
      <c r="I18" s="134">
        <v>43933646</v>
      </c>
      <c r="J18" s="134">
        <v>84662431</v>
      </c>
      <c r="K18" s="134">
        <v>115523544</v>
      </c>
      <c r="L18" s="134">
        <v>77995253</v>
      </c>
      <c r="M18" s="134">
        <v>37528291</v>
      </c>
      <c r="N18" s="134">
        <v>13072533</v>
      </c>
      <c r="O18" s="134">
        <v>6405355</v>
      </c>
      <c r="P18" s="134">
        <v>6667178</v>
      </c>
      <c r="Q18" s="134">
        <v>21107541.199999999</v>
      </c>
      <c r="R18" s="134">
        <v>20090526</v>
      </c>
      <c r="S18" s="134">
        <v>1017015.2</v>
      </c>
      <c r="T18" s="134">
        <v>21107541.199999999</v>
      </c>
      <c r="U18" s="134">
        <v>20090526</v>
      </c>
      <c r="V18" s="134">
        <v>1017015.2</v>
      </c>
    </row>
    <row r="19" spans="1:22" ht="15" thickBot="1">
      <c r="A19" s="199" t="s">
        <v>762</v>
      </c>
      <c r="B19" s="199"/>
      <c r="C19" s="131">
        <v>1510125438.8</v>
      </c>
      <c r="D19" s="130">
        <v>431786143</v>
      </c>
      <c r="E19" s="130">
        <v>844441495</v>
      </c>
      <c r="F19" s="130">
        <v>223025948</v>
      </c>
      <c r="G19" s="130">
        <v>10871852.800000001</v>
      </c>
      <c r="H19" s="130">
        <v>1276227638</v>
      </c>
      <c r="I19" s="130">
        <v>431786143</v>
      </c>
      <c r="J19" s="130">
        <v>844441495</v>
      </c>
      <c r="K19" s="130">
        <v>1137843309</v>
      </c>
      <c r="L19" s="130">
        <v>759067449</v>
      </c>
      <c r="M19" s="130">
        <v>378775860</v>
      </c>
      <c r="N19" s="130">
        <v>138384329</v>
      </c>
      <c r="O19" s="130">
        <v>53010283</v>
      </c>
      <c r="P19" s="130">
        <v>85374046</v>
      </c>
      <c r="Q19" s="130">
        <v>233897800.80000001</v>
      </c>
      <c r="R19" s="130">
        <v>223025948</v>
      </c>
      <c r="S19" s="130">
        <v>10871852.799999999</v>
      </c>
      <c r="T19" s="130">
        <v>233897800.80000001</v>
      </c>
      <c r="U19" s="130">
        <v>223025948</v>
      </c>
      <c r="V19" s="130">
        <v>10871852.799999999</v>
      </c>
    </row>
    <row r="20" spans="1:22">
      <c r="A20" s="199" t="s">
        <v>242</v>
      </c>
      <c r="B20" s="132" t="s">
        <v>750</v>
      </c>
      <c r="C20" s="48">
        <v>131982794.09999999</v>
      </c>
      <c r="D20" s="133">
        <v>35998113</v>
      </c>
      <c r="E20" s="134">
        <v>76334956</v>
      </c>
      <c r="F20" s="134">
        <v>18712742</v>
      </c>
      <c r="G20" s="134">
        <v>936983.1</v>
      </c>
      <c r="H20" s="134">
        <v>112333069</v>
      </c>
      <c r="I20" s="134">
        <v>35998113</v>
      </c>
      <c r="J20" s="134">
        <v>76334956</v>
      </c>
      <c r="K20" s="134">
        <v>101067323</v>
      </c>
      <c r="L20" s="134">
        <v>69641720</v>
      </c>
      <c r="M20" s="134">
        <v>31425603</v>
      </c>
      <c r="N20" s="134">
        <v>11265746</v>
      </c>
      <c r="O20" s="134">
        <v>4572510</v>
      </c>
      <c r="P20" s="134">
        <v>6693236</v>
      </c>
      <c r="Q20" s="134">
        <v>19649725.100000001</v>
      </c>
      <c r="R20" s="134">
        <v>18712742</v>
      </c>
      <c r="S20" s="134">
        <v>936983.1</v>
      </c>
      <c r="T20" s="134">
        <v>19649725.100000001</v>
      </c>
      <c r="U20" s="134">
        <v>18712742</v>
      </c>
      <c r="V20" s="134">
        <v>936983.1</v>
      </c>
    </row>
    <row r="21" spans="1:22">
      <c r="A21" s="199"/>
      <c r="B21" s="132" t="s">
        <v>751</v>
      </c>
      <c r="C21" s="135">
        <v>121910527.2</v>
      </c>
      <c r="D21" s="133">
        <v>36779988</v>
      </c>
      <c r="E21" s="134">
        <v>65574161</v>
      </c>
      <c r="F21" s="134">
        <v>18759508</v>
      </c>
      <c r="G21" s="134">
        <v>796870.2</v>
      </c>
      <c r="H21" s="134">
        <v>102354149</v>
      </c>
      <c r="I21" s="134">
        <v>36779988</v>
      </c>
      <c r="J21" s="134">
        <v>65574161</v>
      </c>
      <c r="K21" s="134">
        <v>92087289</v>
      </c>
      <c r="L21" s="134">
        <v>59114975</v>
      </c>
      <c r="M21" s="134">
        <v>32972314</v>
      </c>
      <c r="N21" s="134">
        <v>10266860</v>
      </c>
      <c r="O21" s="134">
        <v>3807674</v>
      </c>
      <c r="P21" s="134">
        <v>6459186</v>
      </c>
      <c r="Q21" s="134">
        <v>19556378.199999999</v>
      </c>
      <c r="R21" s="134">
        <v>18759508</v>
      </c>
      <c r="S21" s="134">
        <v>796870.2</v>
      </c>
      <c r="T21" s="134">
        <v>19556378.199999999</v>
      </c>
      <c r="U21" s="134">
        <v>18759508</v>
      </c>
      <c r="V21" s="134">
        <v>796870.2</v>
      </c>
    </row>
    <row r="22" spans="1:22">
      <c r="A22" s="199"/>
      <c r="B22" s="132" t="s">
        <v>752</v>
      </c>
      <c r="C22" s="135">
        <v>135028283.80000001</v>
      </c>
      <c r="D22" s="133">
        <v>39110498</v>
      </c>
      <c r="E22" s="134">
        <v>75567972</v>
      </c>
      <c r="F22" s="134">
        <v>19456076</v>
      </c>
      <c r="G22" s="134">
        <v>893737.8</v>
      </c>
      <c r="H22" s="134">
        <v>114678470</v>
      </c>
      <c r="I22" s="134">
        <v>39110498</v>
      </c>
      <c r="J22" s="134">
        <v>75567972</v>
      </c>
      <c r="K22" s="134">
        <v>103304094</v>
      </c>
      <c r="L22" s="134">
        <v>68429458</v>
      </c>
      <c r="M22" s="134">
        <v>34874636</v>
      </c>
      <c r="N22" s="134">
        <v>11374376</v>
      </c>
      <c r="O22" s="134">
        <v>4235862</v>
      </c>
      <c r="P22" s="134">
        <v>7138514</v>
      </c>
      <c r="Q22" s="134">
        <v>20349813.800000001</v>
      </c>
      <c r="R22" s="134">
        <v>19456076</v>
      </c>
      <c r="S22" s="134">
        <v>893737.8</v>
      </c>
      <c r="T22" s="134">
        <v>20349813.800000001</v>
      </c>
      <c r="U22" s="134">
        <v>19456076</v>
      </c>
      <c r="V22" s="134">
        <v>893737.8</v>
      </c>
    </row>
    <row r="23" spans="1:22">
      <c r="A23" s="199"/>
      <c r="B23" s="132" t="s">
        <v>753</v>
      </c>
      <c r="C23" s="135">
        <v>123685442.3</v>
      </c>
      <c r="D23" s="133">
        <v>33797397</v>
      </c>
      <c r="E23" s="134">
        <v>70190298</v>
      </c>
      <c r="F23" s="134">
        <v>18787186</v>
      </c>
      <c r="G23" s="134">
        <v>910561.3</v>
      </c>
      <c r="H23" s="134">
        <v>103987695</v>
      </c>
      <c r="I23" s="134">
        <v>33797397</v>
      </c>
      <c r="J23" s="134">
        <v>70190298</v>
      </c>
      <c r="K23" s="134">
        <v>92664568</v>
      </c>
      <c r="L23" s="134">
        <v>63051420</v>
      </c>
      <c r="M23" s="134">
        <v>29613148</v>
      </c>
      <c r="N23" s="134">
        <v>11323127</v>
      </c>
      <c r="O23" s="134">
        <v>4184249</v>
      </c>
      <c r="P23" s="134">
        <v>7138878</v>
      </c>
      <c r="Q23" s="134">
        <v>19697747.300000001</v>
      </c>
      <c r="R23" s="134">
        <v>18787186</v>
      </c>
      <c r="S23" s="134">
        <v>910561.3</v>
      </c>
      <c r="T23" s="134">
        <v>19697747.300000001</v>
      </c>
      <c r="U23" s="134">
        <v>18787186</v>
      </c>
      <c r="V23" s="134">
        <v>910561.3</v>
      </c>
    </row>
    <row r="24" spans="1:22">
      <c r="A24" s="199"/>
      <c r="B24" s="132" t="s">
        <v>754</v>
      </c>
      <c r="C24" s="135">
        <v>122490207.7</v>
      </c>
      <c r="D24" s="133">
        <v>32485853</v>
      </c>
      <c r="E24" s="134">
        <v>69988868</v>
      </c>
      <c r="F24" s="134">
        <v>19050512</v>
      </c>
      <c r="G24" s="134">
        <v>964974.7</v>
      </c>
      <c r="H24" s="134">
        <v>102474721</v>
      </c>
      <c r="I24" s="134">
        <v>32485853</v>
      </c>
      <c r="J24" s="134">
        <v>69988868</v>
      </c>
      <c r="K24" s="134">
        <v>90798396</v>
      </c>
      <c r="L24" s="134">
        <v>62835647</v>
      </c>
      <c r="M24" s="134">
        <v>27962749</v>
      </c>
      <c r="N24" s="134">
        <v>11676325</v>
      </c>
      <c r="O24" s="134">
        <v>4523104</v>
      </c>
      <c r="P24" s="134">
        <v>7153221</v>
      </c>
      <c r="Q24" s="134">
        <v>20015486.699999999</v>
      </c>
      <c r="R24" s="134">
        <v>19050512</v>
      </c>
      <c r="S24" s="134">
        <v>964974.7</v>
      </c>
      <c r="T24" s="134">
        <v>20015486.699999999</v>
      </c>
      <c r="U24" s="134">
        <v>19050512</v>
      </c>
      <c r="V24" s="134">
        <v>964974.7</v>
      </c>
    </row>
    <row r="25" spans="1:22">
      <c r="A25" s="199"/>
      <c r="B25" s="132" t="s">
        <v>755</v>
      </c>
      <c r="C25" s="135">
        <v>116998895.7</v>
      </c>
      <c r="D25" s="133">
        <v>33207306</v>
      </c>
      <c r="E25" s="134">
        <v>64955743</v>
      </c>
      <c r="F25" s="134">
        <v>17986582</v>
      </c>
      <c r="G25" s="134">
        <v>849264.7</v>
      </c>
      <c r="H25" s="134">
        <v>98163049</v>
      </c>
      <c r="I25" s="134">
        <v>33207306</v>
      </c>
      <c r="J25" s="134">
        <v>64955743</v>
      </c>
      <c r="K25" s="134">
        <v>87925918</v>
      </c>
      <c r="L25" s="134">
        <v>58928586</v>
      </c>
      <c r="M25" s="134">
        <v>28997332</v>
      </c>
      <c r="N25" s="134">
        <v>10237131</v>
      </c>
      <c r="O25" s="134">
        <v>4209974</v>
      </c>
      <c r="P25" s="134">
        <v>6027157</v>
      </c>
      <c r="Q25" s="134">
        <v>18835846.699999999</v>
      </c>
      <c r="R25" s="134">
        <v>17986582</v>
      </c>
      <c r="S25" s="134">
        <v>849264.7</v>
      </c>
      <c r="T25" s="134">
        <v>18835846.699999999</v>
      </c>
      <c r="U25" s="134">
        <v>17986582</v>
      </c>
      <c r="V25" s="134">
        <v>849264.7</v>
      </c>
    </row>
    <row r="26" spans="1:22" ht="15" thickBot="1">
      <c r="A26" s="199"/>
      <c r="B26" s="132" t="s">
        <v>756</v>
      </c>
      <c r="C26" s="136">
        <v>122376934.40000001</v>
      </c>
      <c r="D26" s="133">
        <v>35578559</v>
      </c>
      <c r="E26" s="134">
        <v>68226669</v>
      </c>
      <c r="F26" s="134">
        <v>17678414</v>
      </c>
      <c r="G26" s="134">
        <v>893292.4</v>
      </c>
      <c r="H26" s="134">
        <v>103805228</v>
      </c>
      <c r="I26" s="134">
        <v>35578559</v>
      </c>
      <c r="J26" s="134">
        <v>68226669</v>
      </c>
      <c r="K26" s="134">
        <v>92283923</v>
      </c>
      <c r="L26" s="134">
        <v>61048238</v>
      </c>
      <c r="M26" s="134">
        <v>31235685</v>
      </c>
      <c r="N26" s="134">
        <v>11521305</v>
      </c>
      <c r="O26" s="134">
        <v>4342874</v>
      </c>
      <c r="P26" s="134">
        <v>7178431</v>
      </c>
      <c r="Q26" s="134">
        <v>18571706.399999999</v>
      </c>
      <c r="R26" s="134">
        <v>17678414</v>
      </c>
      <c r="S26" s="134">
        <v>893292.4</v>
      </c>
      <c r="T26" s="134">
        <v>18571706.399999999</v>
      </c>
      <c r="U26" s="134">
        <v>17678414</v>
      </c>
      <c r="V26" s="134">
        <v>893292.4</v>
      </c>
    </row>
    <row r="27" spans="1:22">
      <c r="A27" s="199"/>
      <c r="B27" s="129" t="s">
        <v>757</v>
      </c>
      <c r="C27" s="137">
        <v>119246018.3</v>
      </c>
      <c r="D27" s="134">
        <v>34501324</v>
      </c>
      <c r="E27" s="134">
        <v>67122767</v>
      </c>
      <c r="F27" s="134">
        <v>16709346</v>
      </c>
      <c r="G27" s="134">
        <v>912581.3</v>
      </c>
      <c r="H27" s="134">
        <v>101624091</v>
      </c>
      <c r="I27" s="134">
        <v>34501324</v>
      </c>
      <c r="J27" s="134">
        <v>67122767</v>
      </c>
      <c r="K27" s="134">
        <v>90943317</v>
      </c>
      <c r="L27" s="134">
        <v>60577924</v>
      </c>
      <c r="M27" s="134">
        <v>30365393</v>
      </c>
      <c r="N27" s="134">
        <v>10680774</v>
      </c>
      <c r="O27" s="134">
        <v>4135931</v>
      </c>
      <c r="P27" s="134">
        <v>6544843</v>
      </c>
      <c r="Q27" s="134">
        <v>17621927.300000001</v>
      </c>
      <c r="R27" s="134">
        <v>16709346</v>
      </c>
      <c r="S27" s="134">
        <v>912581.3</v>
      </c>
      <c r="T27" s="134">
        <v>17621927.300000001</v>
      </c>
      <c r="U27" s="134">
        <v>16709346</v>
      </c>
      <c r="V27" s="134">
        <v>912581.3</v>
      </c>
    </row>
    <row r="28" spans="1:22">
      <c r="A28" s="199"/>
      <c r="B28" s="129" t="s">
        <v>758</v>
      </c>
      <c r="C28" s="134">
        <v>124574771.7</v>
      </c>
      <c r="D28" s="134">
        <v>37493792</v>
      </c>
      <c r="E28" s="134">
        <v>69231908</v>
      </c>
      <c r="F28" s="134">
        <v>16986568</v>
      </c>
      <c r="G28" s="134">
        <v>862503.7</v>
      </c>
      <c r="H28" s="134">
        <v>106725700</v>
      </c>
      <c r="I28" s="134">
        <v>37493792</v>
      </c>
      <c r="J28" s="134">
        <v>69231908</v>
      </c>
      <c r="K28" s="134">
        <v>95818634</v>
      </c>
      <c r="L28" s="134">
        <v>62741329</v>
      </c>
      <c r="M28" s="134">
        <v>33077305</v>
      </c>
      <c r="N28" s="134">
        <v>10907066</v>
      </c>
      <c r="O28" s="134">
        <v>4416487</v>
      </c>
      <c r="P28" s="134">
        <v>6490579</v>
      </c>
      <c r="Q28" s="134">
        <v>17849071.699999999</v>
      </c>
      <c r="R28" s="134">
        <v>16986568</v>
      </c>
      <c r="S28" s="134">
        <v>862503.7</v>
      </c>
      <c r="T28" s="134">
        <v>17849071.699999999</v>
      </c>
      <c r="U28" s="134">
        <v>16986568</v>
      </c>
      <c r="V28" s="134">
        <v>862503.7</v>
      </c>
    </row>
    <row r="29" spans="1:22">
      <c r="A29" s="199"/>
      <c r="B29" s="129" t="s">
        <v>759</v>
      </c>
      <c r="C29" s="134">
        <v>129858628.90000001</v>
      </c>
      <c r="D29" s="134">
        <v>37169750</v>
      </c>
      <c r="E29" s="134">
        <v>72595976</v>
      </c>
      <c r="F29" s="134">
        <v>19096224</v>
      </c>
      <c r="G29" s="134">
        <v>996678.9</v>
      </c>
      <c r="H29" s="134">
        <v>109765726</v>
      </c>
      <c r="I29" s="134">
        <v>37169750</v>
      </c>
      <c r="J29" s="134">
        <v>72595976</v>
      </c>
      <c r="K29" s="134">
        <v>96470806</v>
      </c>
      <c r="L29" s="134">
        <v>64372189</v>
      </c>
      <c r="M29" s="134">
        <v>32098617</v>
      </c>
      <c r="N29" s="134">
        <v>13294920</v>
      </c>
      <c r="O29" s="134">
        <v>5071133</v>
      </c>
      <c r="P29" s="134">
        <v>8223787</v>
      </c>
      <c r="Q29" s="134">
        <v>20092902.899999999</v>
      </c>
      <c r="R29" s="134">
        <v>19096224</v>
      </c>
      <c r="S29" s="134">
        <v>996678.9</v>
      </c>
      <c r="T29" s="134">
        <v>20092902.899999999</v>
      </c>
      <c r="U29" s="134">
        <v>19096224</v>
      </c>
      <c r="V29" s="134">
        <v>996678.9</v>
      </c>
    </row>
    <row r="30" spans="1:22">
      <c r="A30" s="199"/>
      <c r="B30" s="129" t="s">
        <v>760</v>
      </c>
      <c r="C30" s="134">
        <v>131895940.40000001</v>
      </c>
      <c r="D30" s="134">
        <v>38503322</v>
      </c>
      <c r="E30" s="134">
        <v>72558784</v>
      </c>
      <c r="F30" s="134">
        <v>19910252</v>
      </c>
      <c r="G30" s="134">
        <v>923582.4</v>
      </c>
      <c r="H30" s="134">
        <v>111062106</v>
      </c>
      <c r="I30" s="134">
        <v>38503322</v>
      </c>
      <c r="J30" s="134">
        <v>72558784</v>
      </c>
      <c r="K30" s="134">
        <v>98394261</v>
      </c>
      <c r="L30" s="134">
        <v>64693273</v>
      </c>
      <c r="M30" s="134">
        <v>33700988</v>
      </c>
      <c r="N30" s="134">
        <v>12667845</v>
      </c>
      <c r="O30" s="134">
        <v>4802334</v>
      </c>
      <c r="P30" s="134">
        <v>7865511</v>
      </c>
      <c r="Q30" s="134">
        <v>20833834.399999999</v>
      </c>
      <c r="R30" s="134">
        <v>19910252</v>
      </c>
      <c r="S30" s="134">
        <v>923582.4</v>
      </c>
      <c r="T30" s="134">
        <v>20833834.399999999</v>
      </c>
      <c r="U30" s="134">
        <v>19910252</v>
      </c>
      <c r="V30" s="134">
        <v>923582.4</v>
      </c>
    </row>
    <row r="31" spans="1:22">
      <c r="A31" s="199"/>
      <c r="B31" s="129" t="s">
        <v>761</v>
      </c>
      <c r="C31" s="134">
        <v>130076994.3</v>
      </c>
      <c r="D31" s="134">
        <v>37160241</v>
      </c>
      <c r="E31" s="134">
        <v>72093393</v>
      </c>
      <c r="F31" s="134">
        <v>19892538</v>
      </c>
      <c r="G31" s="134">
        <v>930822.3</v>
      </c>
      <c r="H31" s="134">
        <v>109253634</v>
      </c>
      <c r="I31" s="134">
        <v>37160241</v>
      </c>
      <c r="J31" s="134">
        <v>72093393</v>
      </c>
      <c r="K31" s="134">
        <v>96084780</v>
      </c>
      <c r="L31" s="134">
        <v>63632690</v>
      </c>
      <c r="M31" s="134">
        <v>32452090</v>
      </c>
      <c r="N31" s="134">
        <v>13168854</v>
      </c>
      <c r="O31" s="134">
        <v>4708151</v>
      </c>
      <c r="P31" s="134">
        <v>8460703</v>
      </c>
      <c r="Q31" s="134">
        <v>20823360.300000001</v>
      </c>
      <c r="R31" s="134">
        <v>19892538</v>
      </c>
      <c r="S31" s="134">
        <v>930822.3</v>
      </c>
      <c r="T31" s="134">
        <v>20823360.300000001</v>
      </c>
      <c r="U31" s="134">
        <v>19892538</v>
      </c>
      <c r="V31" s="134">
        <v>930822.3</v>
      </c>
    </row>
    <row r="32" spans="1:22" ht="15" thickBot="1">
      <c r="A32" s="199" t="s">
        <v>763</v>
      </c>
      <c r="B32" s="199"/>
      <c r="C32" s="131">
        <v>914749271</v>
      </c>
      <c r="D32" s="130">
        <v>269381104</v>
      </c>
      <c r="E32" s="130">
        <v>516036805</v>
      </c>
      <c r="F32" s="130">
        <v>129331362</v>
      </c>
      <c r="G32" s="130">
        <v>0</v>
      </c>
      <c r="H32" s="130">
        <v>785417909</v>
      </c>
      <c r="I32" s="130">
        <v>269381104</v>
      </c>
      <c r="J32" s="130">
        <v>516036805</v>
      </c>
      <c r="K32" s="130">
        <v>694070745</v>
      </c>
      <c r="L32" s="130">
        <v>462189847</v>
      </c>
      <c r="M32" s="130">
        <v>231880898</v>
      </c>
      <c r="N32" s="130">
        <v>91347164</v>
      </c>
      <c r="O32" s="130">
        <v>37500206</v>
      </c>
      <c r="P32" s="130">
        <v>53846958</v>
      </c>
      <c r="Q32" s="130">
        <v>129331362</v>
      </c>
      <c r="R32" s="130">
        <v>129331362</v>
      </c>
      <c r="S32" s="130">
        <v>0</v>
      </c>
      <c r="T32" s="130">
        <v>129331362</v>
      </c>
      <c r="U32" s="130">
        <v>129331362</v>
      </c>
      <c r="V32" s="130">
        <v>0</v>
      </c>
    </row>
    <row r="33" spans="1:22">
      <c r="A33" s="199" t="s">
        <v>764</v>
      </c>
      <c r="B33" s="132" t="s">
        <v>750</v>
      </c>
      <c r="C33" s="48">
        <v>129950859</v>
      </c>
      <c r="D33" s="133">
        <v>37267495</v>
      </c>
      <c r="E33" s="134">
        <v>74656662</v>
      </c>
      <c r="F33" s="134">
        <v>18026702</v>
      </c>
      <c r="G33" s="134">
        <v>0</v>
      </c>
      <c r="H33" s="134">
        <v>111924157</v>
      </c>
      <c r="I33" s="134">
        <v>37267495</v>
      </c>
      <c r="J33" s="134">
        <v>74656662</v>
      </c>
      <c r="K33" s="134">
        <v>99060696</v>
      </c>
      <c r="L33" s="134">
        <v>67045905</v>
      </c>
      <c r="M33" s="134">
        <v>32014791</v>
      </c>
      <c r="N33" s="134">
        <v>12863461</v>
      </c>
      <c r="O33" s="134">
        <v>5252704</v>
      </c>
      <c r="P33" s="134">
        <v>7610757</v>
      </c>
      <c r="Q33" s="134">
        <v>18026702</v>
      </c>
      <c r="R33" s="134">
        <v>18026702</v>
      </c>
      <c r="S33" s="134">
        <v>0</v>
      </c>
      <c r="T33" s="134">
        <v>18026702</v>
      </c>
      <c r="U33" s="134">
        <v>18026702</v>
      </c>
      <c r="V33" s="134">
        <v>0</v>
      </c>
    </row>
    <row r="34" spans="1:22">
      <c r="A34" s="199"/>
      <c r="B34" s="132" t="s">
        <v>751</v>
      </c>
      <c r="C34" s="135">
        <v>119329884</v>
      </c>
      <c r="D34" s="133">
        <v>34298389</v>
      </c>
      <c r="E34" s="134">
        <v>69387301</v>
      </c>
      <c r="F34" s="134">
        <v>15644194</v>
      </c>
      <c r="G34" s="134">
        <v>0</v>
      </c>
      <c r="H34" s="134">
        <v>103685690</v>
      </c>
      <c r="I34" s="134">
        <v>34298389</v>
      </c>
      <c r="J34" s="134">
        <v>69387301</v>
      </c>
      <c r="K34" s="134">
        <v>92060501</v>
      </c>
      <c r="L34" s="134">
        <v>62644295</v>
      </c>
      <c r="M34" s="134">
        <v>29416206</v>
      </c>
      <c r="N34" s="134">
        <v>11625189</v>
      </c>
      <c r="O34" s="134">
        <v>4882183</v>
      </c>
      <c r="P34" s="134">
        <v>6743006</v>
      </c>
      <c r="Q34" s="134">
        <v>15644194</v>
      </c>
      <c r="R34" s="134">
        <v>15644194</v>
      </c>
      <c r="S34" s="134">
        <v>0</v>
      </c>
      <c r="T34" s="134">
        <v>15644194</v>
      </c>
      <c r="U34" s="134">
        <v>15644194</v>
      </c>
      <c r="V34" s="134">
        <v>0</v>
      </c>
    </row>
    <row r="35" spans="1:22">
      <c r="A35" s="199"/>
      <c r="B35" s="132" t="s">
        <v>752</v>
      </c>
      <c r="C35" s="135">
        <v>137236582</v>
      </c>
      <c r="D35" s="133">
        <v>41392368</v>
      </c>
      <c r="E35" s="134">
        <v>76544300</v>
      </c>
      <c r="F35" s="134">
        <v>19299914</v>
      </c>
      <c r="G35" s="134">
        <v>0</v>
      </c>
      <c r="H35" s="134">
        <v>117936668</v>
      </c>
      <c r="I35" s="134">
        <v>41392368</v>
      </c>
      <c r="J35" s="134">
        <v>76544300</v>
      </c>
      <c r="K35" s="134">
        <v>103184226</v>
      </c>
      <c r="L35" s="134">
        <v>67093792</v>
      </c>
      <c r="M35" s="134">
        <v>36090434</v>
      </c>
      <c r="N35" s="134">
        <v>14752442</v>
      </c>
      <c r="O35" s="134">
        <v>5301934</v>
      </c>
      <c r="P35" s="134">
        <v>9450508</v>
      </c>
      <c r="Q35" s="134">
        <v>19299914</v>
      </c>
      <c r="R35" s="134">
        <v>19299914</v>
      </c>
      <c r="S35" s="134">
        <v>0</v>
      </c>
      <c r="T35" s="134">
        <v>19299914</v>
      </c>
      <c r="U35" s="134">
        <v>19299914</v>
      </c>
      <c r="V35" s="134">
        <v>0</v>
      </c>
    </row>
    <row r="36" spans="1:22">
      <c r="A36" s="199"/>
      <c r="B36" s="132" t="s">
        <v>753</v>
      </c>
      <c r="C36" s="135">
        <v>130919972</v>
      </c>
      <c r="D36" s="133">
        <v>39344962</v>
      </c>
      <c r="E36" s="134">
        <v>72321368</v>
      </c>
      <c r="F36" s="134">
        <v>19253642</v>
      </c>
      <c r="G36" s="134">
        <v>0</v>
      </c>
      <c r="H36" s="134">
        <v>111666330</v>
      </c>
      <c r="I36" s="134">
        <v>39344962</v>
      </c>
      <c r="J36" s="134">
        <v>72321368</v>
      </c>
      <c r="K36" s="134">
        <v>98865889</v>
      </c>
      <c r="L36" s="134">
        <v>65390509</v>
      </c>
      <c r="M36" s="134">
        <v>33475380</v>
      </c>
      <c r="N36" s="134">
        <v>12800441</v>
      </c>
      <c r="O36" s="134">
        <v>5869582</v>
      </c>
      <c r="P36" s="134">
        <v>6930859</v>
      </c>
      <c r="Q36" s="134">
        <v>19253642</v>
      </c>
      <c r="R36" s="134">
        <v>19253642</v>
      </c>
      <c r="S36" s="134">
        <v>0</v>
      </c>
      <c r="T36" s="134">
        <v>19253642</v>
      </c>
      <c r="U36" s="134">
        <v>19253642</v>
      </c>
      <c r="V36" s="134">
        <v>0</v>
      </c>
    </row>
    <row r="37" spans="1:22">
      <c r="A37" s="199"/>
      <c r="B37" s="132" t="s">
        <v>754</v>
      </c>
      <c r="C37" s="135">
        <v>131095350</v>
      </c>
      <c r="D37" s="133">
        <v>40068557</v>
      </c>
      <c r="E37" s="134">
        <v>71532317</v>
      </c>
      <c r="F37" s="134">
        <v>19494476</v>
      </c>
      <c r="G37" s="134">
        <v>0</v>
      </c>
      <c r="H37" s="134">
        <v>111600874</v>
      </c>
      <c r="I37" s="134">
        <v>40068557</v>
      </c>
      <c r="J37" s="134">
        <v>71532317</v>
      </c>
      <c r="K37" s="134">
        <v>98609204</v>
      </c>
      <c r="L37" s="134">
        <v>64038210</v>
      </c>
      <c r="M37" s="134">
        <v>34570994</v>
      </c>
      <c r="N37" s="134">
        <v>12991670</v>
      </c>
      <c r="O37" s="134">
        <v>5497563</v>
      </c>
      <c r="P37" s="134">
        <v>7494107</v>
      </c>
      <c r="Q37" s="134">
        <v>19494476</v>
      </c>
      <c r="R37" s="134">
        <v>19494476</v>
      </c>
      <c r="S37" s="134">
        <v>0</v>
      </c>
      <c r="T37" s="134">
        <v>19494476</v>
      </c>
      <c r="U37" s="134">
        <v>19494476</v>
      </c>
      <c r="V37" s="134">
        <v>0</v>
      </c>
    </row>
    <row r="38" spans="1:22">
      <c r="A38" s="199"/>
      <c r="B38" s="132" t="s">
        <v>755</v>
      </c>
      <c r="C38" s="135">
        <v>129028649</v>
      </c>
      <c r="D38" s="133">
        <v>37720168</v>
      </c>
      <c r="E38" s="134">
        <v>72586655</v>
      </c>
      <c r="F38" s="134">
        <v>18721826</v>
      </c>
      <c r="G38" s="134">
        <v>0</v>
      </c>
      <c r="H38" s="134">
        <v>110306823</v>
      </c>
      <c r="I38" s="134">
        <v>37720168</v>
      </c>
      <c r="J38" s="134">
        <v>72586655</v>
      </c>
      <c r="K38" s="134">
        <v>97963787</v>
      </c>
      <c r="L38" s="134">
        <v>65092001</v>
      </c>
      <c r="M38" s="134">
        <v>32871786</v>
      </c>
      <c r="N38" s="134">
        <v>12343036</v>
      </c>
      <c r="O38" s="134">
        <v>4848382</v>
      </c>
      <c r="P38" s="134">
        <v>7494654</v>
      </c>
      <c r="Q38" s="134">
        <v>18721826</v>
      </c>
      <c r="R38" s="134">
        <v>18721826</v>
      </c>
      <c r="S38" s="134">
        <v>0</v>
      </c>
      <c r="T38" s="134">
        <v>18721826</v>
      </c>
      <c r="U38" s="134">
        <v>18721826</v>
      </c>
      <c r="V38" s="134">
        <v>0</v>
      </c>
    </row>
    <row r="39" spans="1:22" ht="15" thickBot="1">
      <c r="A39" s="199"/>
      <c r="B39" s="132" t="s">
        <v>756</v>
      </c>
      <c r="C39" s="136">
        <v>137187975</v>
      </c>
      <c r="D39" s="133">
        <v>39289165</v>
      </c>
      <c r="E39" s="134">
        <v>79008202</v>
      </c>
      <c r="F39" s="134">
        <v>18890608</v>
      </c>
      <c r="G39" s="134">
        <v>0</v>
      </c>
      <c r="H39" s="134">
        <v>118297367</v>
      </c>
      <c r="I39" s="134">
        <v>39289165</v>
      </c>
      <c r="J39" s="134">
        <v>79008202</v>
      </c>
      <c r="K39" s="134">
        <v>104326442</v>
      </c>
      <c r="L39" s="134">
        <v>70885135</v>
      </c>
      <c r="M39" s="134">
        <v>33441307</v>
      </c>
      <c r="N39" s="134">
        <v>13970925</v>
      </c>
      <c r="O39" s="134">
        <v>5847858</v>
      </c>
      <c r="P39" s="134">
        <v>8123067</v>
      </c>
      <c r="Q39" s="134">
        <v>18890608</v>
      </c>
      <c r="R39" s="134">
        <v>18890608</v>
      </c>
      <c r="S39" s="134">
        <v>0</v>
      </c>
      <c r="T39" s="134">
        <v>18890608</v>
      </c>
      <c r="U39" s="134">
        <v>18890608</v>
      </c>
      <c r="V39" s="134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765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365</v>
      </c>
    </row>
    <row r="46" spans="1:22">
      <c r="A46" s="29" t="s">
        <v>766</v>
      </c>
    </row>
    <row r="47" spans="1:22">
      <c r="A47" s="29"/>
    </row>
    <row r="48" spans="1:22">
      <c r="A48" s="4" t="s">
        <v>767</v>
      </c>
    </row>
    <row r="49" spans="1:2">
      <c r="A49" s="4" t="s">
        <v>768</v>
      </c>
    </row>
    <row r="50" spans="1:2">
      <c r="A50" s="47">
        <v>6.0000000000000001E-3</v>
      </c>
      <c r="B50" s="4" t="s">
        <v>769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6"/>
  <sheetViews>
    <sheetView workbookViewId="0">
      <selection activeCell="J17" sqref="J17"/>
    </sheetView>
  </sheetViews>
  <sheetFormatPr defaultColWidth="9.109375" defaultRowHeight="14.4"/>
  <cols>
    <col min="1" max="1" width="16.6640625" customWidth="1"/>
    <col min="2" max="2" width="10.33203125" bestFit="1" customWidth="1"/>
  </cols>
  <sheetData>
    <row r="1" spans="1:33" ht="72">
      <c r="A1" s="3" t="s">
        <v>770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771</v>
      </c>
      <c r="B2" s="145">
        <f>'DV-CAGR_mod'!U47/'DV-CAGR_mod'!$V47</f>
        <v>1.0096925052932657</v>
      </c>
      <c r="C2" s="145">
        <f>'DV-CAGR_mod'!V47/'DV-CAGR_mod'!$V47</f>
        <v>1</v>
      </c>
      <c r="D2" s="154">
        <f>'DV-CAGR_mod'!W47/'DV-CAGR_mod'!$V47</f>
        <v>1.0623090361486596</v>
      </c>
      <c r="E2" s="154">
        <f>'DV-CAGR_mod'!X47/'DV-CAGR_mod'!$V47</f>
        <v>0.96845803866773106</v>
      </c>
      <c r="F2" s="145">
        <f>'DV-CAGR_mod'!Y47/'DV-CAGR_mod'!$V47</f>
        <v>0.97566526489168615</v>
      </c>
      <c r="G2" s="145">
        <f>'DV-CAGR_mod'!Z47/'DV-CAGR_mod'!$V47</f>
        <v>0.98618626883413818</v>
      </c>
      <c r="H2" s="145">
        <f>'DV-CAGR_mod'!AA47/'DV-CAGR_mod'!$V47</f>
        <v>0.99682072513360243</v>
      </c>
      <c r="I2" s="145">
        <f>'DV-CAGR_mod'!AB47/'DV-CAGR_mod'!$V47</f>
        <v>1.0075698571939846</v>
      </c>
      <c r="J2" s="145">
        <f>'DV-CAGR_mod'!AC47/'DV-CAGR_mod'!$V47</f>
        <v>1.0184349016116625</v>
      </c>
      <c r="K2" s="145">
        <f>'DV-CAGR_mod'!AD47/'DV-CAGR_mod'!$V47</f>
        <v>1.0294171083177468</v>
      </c>
      <c r="L2" s="145">
        <f>'DV-CAGR_mod'!AE47/'DV-CAGR_mod'!$V47</f>
        <v>1.0405177407218744</v>
      </c>
      <c r="M2" s="145">
        <f>'DV-CAGR_mod'!AF47/'DV-CAGR_mod'!$V47</f>
        <v>1.0517380758575536</v>
      </c>
      <c r="N2" s="145">
        <f>'DV-CAGR_mod'!AG47/'DV-CAGR_mod'!$V47</f>
        <v>1.0630794045290757</v>
      </c>
      <c r="O2" s="145">
        <f>'DV-CAGR_mod'!AH47/'DV-CAGR_mod'!$V47</f>
        <v>1.0745430314600104</v>
      </c>
      <c r="P2" s="145">
        <f>'DV-CAGR_mod'!AI47/'DV-CAGR_mod'!$V47</f>
        <v>1.0861302754433042</v>
      </c>
      <c r="Q2" s="145">
        <f>'DV-CAGR_mod'!AJ47/'DV-CAGR_mod'!$V47</f>
        <v>1.097842469492996</v>
      </c>
      <c r="R2" s="145">
        <f>'DV-CAGR_mod'!AK47/'DV-CAGR_mod'!$V47</f>
        <v>1.1096809609975686</v>
      </c>
      <c r="S2" s="145">
        <f>'DV-CAGR_mod'!AL47/'DV-CAGR_mod'!$V47</f>
        <v>1.1216471118749551</v>
      </c>
      <c r="T2" s="145">
        <f>'DV-CAGR_mod'!AM47/'DV-CAGR_mod'!$V47</f>
        <v>1.1337422987292154</v>
      </c>
      <c r="U2" s="145">
        <f>'DV-CAGR_mod'!AN47/'DV-CAGR_mod'!$V47</f>
        <v>1.1459679130089024</v>
      </c>
      <c r="V2" s="145">
        <f>'DV-CAGR_mod'!AO47/'DV-CAGR_mod'!$V47</f>
        <v>1.1583253611671378</v>
      </c>
      <c r="W2" s="145">
        <f>'DV-CAGR_mod'!AP47/'DV-CAGR_mod'!$V47</f>
        <v>1.1708160648234114</v>
      </c>
      <c r="X2" s="145">
        <f>'DV-CAGR_mod'!AQ47/'DV-CAGR_mod'!$V47</f>
        <v>1.183441460927126</v>
      </c>
      <c r="Y2" s="145">
        <f>'DV-CAGR_mod'!AR47/'DV-CAGR_mod'!$V47</f>
        <v>1.1962030019229075</v>
      </c>
      <c r="Z2" s="145">
        <f>'DV-CAGR_mod'!AS47/'DV-CAGR_mod'!$V47</f>
        <v>1.2091021559176958</v>
      </c>
      <c r="AA2" s="145">
        <f>'DV-CAGR_mod'!AT47/'DV-CAGR_mod'!$V47</f>
        <v>1.2221404068496375</v>
      </c>
      <c r="AB2" s="145">
        <f>'DV-CAGR_mod'!AU47/'DV-CAGR_mod'!$V47</f>
        <v>1.235319254658801</v>
      </c>
      <c r="AC2" s="145">
        <f>'DV-CAGR_mod'!AV47/'DV-CAGR_mod'!$V47</f>
        <v>1.248640215459732</v>
      </c>
      <c r="AD2" s="145">
        <f>'DV-CAGR_mod'!AW47/'DV-CAGR_mod'!$V47</f>
        <v>1.2621048217158686</v>
      </c>
      <c r="AE2" s="145">
        <f>'DV-CAGR_mod'!AX47/'DV-CAGR_mod'!$V47</f>
        <v>1.2757146224158395</v>
      </c>
      <c r="AF2" s="145">
        <f>'DV-CAGR_mod'!AY47/'DV-CAGR_mod'!$V47</f>
        <v>1.2894711832516612</v>
      </c>
      <c r="AG2" s="145">
        <f>'DV-CAGR_mod'!AZ47/'DV-CAGR_mod'!$V47</f>
        <v>1.3033760867988577</v>
      </c>
    </row>
    <row r="3" spans="1:33" s="46" customFormat="1">
      <c r="A3" t="s">
        <v>772</v>
      </c>
      <c r="B3" s="145">
        <f>'DV-CAGR_mod'!U48/'DV-CAGR_mod'!$V48</f>
        <v>0.97877090691518132</v>
      </c>
      <c r="C3" s="145">
        <f>'DV-CAGR_mod'!V48/'DV-CAGR_mod'!$V48</f>
        <v>1</v>
      </c>
      <c r="D3" s="154">
        <f>'DV-CAGR_mod'!W48/'DV-CAGR_mod'!$V48</f>
        <v>1.1407765352850536</v>
      </c>
      <c r="E3" s="154">
        <f>'DV-CAGR_mod'!X48/'DV-CAGR_mod'!$V48</f>
        <v>1.0444492957614646</v>
      </c>
      <c r="F3" s="145">
        <f>'DV-CAGR_mod'!Y48/'DV-CAGR_mod'!$V48</f>
        <v>1.0574208539193115</v>
      </c>
      <c r="G3" s="145">
        <f>'DV-CAGR_mod'!Z48/'DV-CAGR_mod'!$V48</f>
        <v>1.0866454902243161</v>
      </c>
      <c r="H3" s="145">
        <f>'DV-CAGR_mod'!AA48/'DV-CAGR_mod'!$V48</f>
        <v>1.1166778270432594</v>
      </c>
      <c r="I3" s="145">
        <f>'DV-CAGR_mod'!AB48/'DV-CAGR_mod'!$V48</f>
        <v>1.1475401873270035</v>
      </c>
      <c r="J3" s="145">
        <f>'DV-CAGR_mod'!AC48/'DV-CAGR_mod'!$V48</f>
        <v>1.179255510980501</v>
      </c>
      <c r="K3" s="145">
        <f>'DV-CAGR_mod'!AD48/'DV-CAGR_mod'!$V48</f>
        <v>1.21184737191396</v>
      </c>
      <c r="L3" s="145">
        <f>'DV-CAGR_mod'!AE48/'DV-CAGR_mod'!$V48</f>
        <v>1.2453399955652651</v>
      </c>
      <c r="M3" s="145">
        <f>'DV-CAGR_mod'!AF48/'DV-CAGR_mod'!$V48</f>
        <v>1.2797582769066771</v>
      </c>
      <c r="N3" s="145">
        <f>'DV-CAGR_mod'!AG48/'DV-CAGR_mod'!$V48</f>
        <v>1.315127798949195</v>
      </c>
      <c r="O3" s="145">
        <f>'DV-CAGR_mod'!AH48/'DV-CAGR_mod'!$V48</f>
        <v>1.3514748517583353</v>
      </c>
      <c r="P3" s="145">
        <f>'DV-CAGR_mod'!AI48/'DV-CAGR_mod'!$V48</f>
        <v>1.3888264519954641</v>
      </c>
      <c r="Q3" s="145">
        <f>'DV-CAGR_mod'!AJ48/'DV-CAGR_mod'!$V48</f>
        <v>1.4272103629992041</v>
      </c>
      <c r="R3" s="145">
        <f>'DV-CAGR_mod'!AK48/'DV-CAGR_mod'!$V48</f>
        <v>1.4666551154218457</v>
      </c>
      <c r="S3" s="145">
        <f>'DV-CAGR_mod'!AL48/'DV-CAGR_mod'!$V48</f>
        <v>1.5071900284361002</v>
      </c>
      <c r="T3" s="145">
        <f>'DV-CAGR_mod'!AM48/'DV-CAGR_mod'!$V48</f>
        <v>1.5488452315279582</v>
      </c>
      <c r="U3" s="145">
        <f>'DV-CAGR_mod'!AN48/'DV-CAGR_mod'!$V48</f>
        <v>1.5916516868918498</v>
      </c>
      <c r="V3" s="145">
        <f>'DV-CAGR_mod'!AO48/'DV-CAGR_mod'!$V48</f>
        <v>1.6356412124447579</v>
      </c>
      <c r="W3" s="145">
        <f>'DV-CAGR_mod'!AP48/'DV-CAGR_mod'!$V48</f>
        <v>1.6808465054763841</v>
      </c>
      <c r="X3" s="145">
        <f>'DV-CAGR_mod'!AQ48/'DV-CAGR_mod'!$V48</f>
        <v>1.7273011669529525</v>
      </c>
      <c r="Y3" s="145">
        <f>'DV-CAGR_mod'!AR48/'DV-CAGR_mod'!$V48</f>
        <v>1.7750397264927118</v>
      </c>
      <c r="Z3" s="145">
        <f>'DV-CAGR_mod'!AS48/'DV-CAGR_mod'!$V48</f>
        <v>1.8240976680317038</v>
      </c>
      <c r="AA3" s="145">
        <f>'DV-CAGR_mod'!AT48/'DV-CAGR_mod'!$V48</f>
        <v>1.8745114561988714</v>
      </c>
      <c r="AB3" s="145">
        <f>'DV-CAGR_mod'!AU48/'DV-CAGR_mod'!$V48</f>
        <v>1.926318563420115</v>
      </c>
      <c r="AC3" s="145">
        <f>'DV-CAGR_mod'!AV48/'DV-CAGR_mod'!$V48</f>
        <v>1.9795574977714399</v>
      </c>
      <c r="AD3" s="145">
        <f>'DV-CAGR_mod'!AW48/'DV-CAGR_mod'!$V48</f>
        <v>2.0342678316018996</v>
      </c>
      <c r="AE3" s="145">
        <f>'DV-CAGR_mod'!AX48/'DV-CAGR_mod'!$V48</f>
        <v>2.0904902309476125</v>
      </c>
      <c r="AF3" s="145">
        <f>'DV-CAGR_mod'!AY48/'DV-CAGR_mod'!$V48</f>
        <v>2.1482664857587088</v>
      </c>
      <c r="AG3" s="145">
        <f>'DV-CAGR_mod'!AZ48/'DV-CAGR_mod'!$V48</f>
        <v>2.2076395409616847</v>
      </c>
    </row>
    <row r="4" spans="1:33" s="46" customFormat="1">
      <c r="A4" t="s">
        <v>773</v>
      </c>
      <c r="B4" s="46">
        <f>'AIR-Cal'!B7</f>
        <v>1</v>
      </c>
      <c r="C4" s="46">
        <f>'AIR-Cal'!C7</f>
        <v>0.47251549953486432</v>
      </c>
      <c r="D4" s="46">
        <f>'AIR-Cal'!D7</f>
        <v>0.53770681442362867</v>
      </c>
      <c r="E4" s="46">
        <f>'AIR-Cal'!E7</f>
        <v>0.67238169721830265</v>
      </c>
      <c r="F4" s="46">
        <f>'AIR-Cal'!F7</f>
        <v>0.88048845782452634</v>
      </c>
      <c r="G4" s="46">
        <f>'AIR-Cal'!G7</f>
        <v>0.97405616848470689</v>
      </c>
      <c r="H4" s="46">
        <f>G4*'Air-CAGR'!$I$56</f>
        <v>0.97892644932713035</v>
      </c>
      <c r="I4" s="46">
        <f>H4*'Air-CAGR'!$I$56</f>
        <v>0.98382108157376591</v>
      </c>
      <c r="J4" s="46">
        <f>I4*'Air-CAGR'!$I$56</f>
        <v>0.98874018698163468</v>
      </c>
      <c r="K4" s="46">
        <f>J4*'Air-CAGR'!$I$56</f>
        <v>0.99368388791654272</v>
      </c>
      <c r="L4" s="46">
        <f>K4*'Air-CAGR'!$I$56</f>
        <v>0.99865230735612531</v>
      </c>
      <c r="M4" s="46">
        <f>L4*'Air-CAGR'!$I$56</f>
        <v>1.0036455688929058</v>
      </c>
      <c r="N4" s="46">
        <f>M4*'Air-CAGR'!$I$56</f>
        <v>1.0086637967373702</v>
      </c>
      <c r="O4" s="46">
        <f>N4*'Air-CAGR'!$I$56</f>
        <v>1.0137071157210569</v>
      </c>
      <c r="P4" s="46">
        <f>O4*'Air-CAGR'!$I$56</f>
        <v>1.018775651299662</v>
      </c>
      <c r="Q4" s="46">
        <f>P4*'Air-CAGR'!$I$56</f>
        <v>1.0238695295561602</v>
      </c>
      <c r="R4" s="46">
        <f>Q4*'Air-CAGR'!$I$56</f>
        <v>1.0289888772039408</v>
      </c>
      <c r="S4" s="46">
        <f>R4*'Air-CAGR'!$I$56</f>
        <v>1.0341338215899605</v>
      </c>
      <c r="T4" s="46">
        <f>S4*'Air-CAGR'!$I$56</f>
        <v>1.0393044906979101</v>
      </c>
      <c r="U4" s="46">
        <f>T4*'Air-CAGR'!$I$56</f>
        <v>1.0445010131513994</v>
      </c>
      <c r="V4" s="46">
        <f>U4*'Air-CAGR'!$I$56</f>
        <v>1.0497235182171563</v>
      </c>
      <c r="W4" s="46">
        <f>V4*'Air-CAGR'!$I$56</f>
        <v>1.054972135808242</v>
      </c>
      <c r="X4" s="46">
        <f>W4*'Air-CAGR'!$I$56</f>
        <v>1.0602469964872832</v>
      </c>
      <c r="Y4" s="46">
        <f>X4*'Air-CAGR'!$I$56</f>
        <v>1.0655482314697196</v>
      </c>
      <c r="Z4" s="46">
        <f>Y4*'Air-CAGR'!$I$56</f>
        <v>1.070875972627068</v>
      </c>
      <c r="AA4" s="46">
        <f>Z4*'Air-CAGR'!$I$56</f>
        <v>1.0762303524902033</v>
      </c>
      <c r="AB4" s="46">
        <f>AA4*'Air-CAGR'!$I$56</f>
        <v>1.0816115042526542</v>
      </c>
      <c r="AC4" s="46">
        <f>AB4*'Air-CAGR'!$I$56</f>
        <v>1.0870195617739173</v>
      </c>
      <c r="AD4" s="46">
        <f>AC4*'Air-CAGR'!$I$56</f>
        <v>1.0924546595827869</v>
      </c>
      <c r="AE4" s="46">
        <f>AD4*'Air-CAGR'!$I$56</f>
        <v>1.0979169328807006</v>
      </c>
      <c r="AF4" s="46">
        <f>AE4</f>
        <v>1.0979169328807006</v>
      </c>
      <c r="AG4" s="46">
        <f>AE4</f>
        <v>1.0979169328807006</v>
      </c>
    </row>
    <row r="5" spans="1:33" s="46" customFormat="1">
      <c r="A5" t="s">
        <v>774</v>
      </c>
      <c r="B5" s="46">
        <v>1</v>
      </c>
      <c r="C5" s="46">
        <f>'Rail-Cal'!C4</f>
        <v>0.63449793100934282</v>
      </c>
      <c r="D5" s="46">
        <f>'Rail-Cal'!D4</f>
        <v>0.63972651023832128</v>
      </c>
      <c r="E5" s="46">
        <f>D5*(1+'BAADTbVT_Rail-CAGR'!$K$4)</f>
        <v>0.6645703969252037</v>
      </c>
      <c r="F5" s="46">
        <f>E5*(1+'BAADTbVT_Rail-CAGR'!$K$4)</f>
        <v>0.69037910013263448</v>
      </c>
      <c r="G5" s="46">
        <f>F5*(1+'BAADTbVT_Rail-CAGR'!$K$4)</f>
        <v>0.71719008867256129</v>
      </c>
      <c r="H5" s="46">
        <f>G5*(1+'BAADTbVT_Rail-CAGR'!$K$4)</f>
        <v>0.74504228646454973</v>
      </c>
      <c r="I5" s="46">
        <f>H5*(1+'BAADTbVT_Rail-CAGR'!$K$4)</f>
        <v>0.77397612904513235</v>
      </c>
      <c r="J5" s="46">
        <f>I5*(1+'BAADTbVT_Rail-CAGR'!$K$4)</f>
        <v>0.80403362227170794</v>
      </c>
      <c r="K5" s="46">
        <f>J5*(1+'BAADTbVT_Rail-CAGR'!$K$4)</f>
        <v>0.83525840330621659</v>
      </c>
      <c r="L5" s="46">
        <f>K5*(1+'BAADTbVT_Rail-CAGR'!$K$4)</f>
        <v>0.86769580396712631</v>
      </c>
      <c r="M5" s="46">
        <f>L5*(1+'BAADTbVT_Rail-CAGR'!$K$4)</f>
        <v>0.90139291654170428</v>
      </c>
      <c r="N5" s="46">
        <f>M5*(1+'BAADTbVT_Rail-CAGR'!$K$4)</f>
        <v>0.93639866215411915</v>
      </c>
      <c r="O5" s="46">
        <f>N5*(1+'BAADTbVT_Rail-CAGR'!$K$4)</f>
        <v>0.97276386178862961</v>
      </c>
      <c r="P5" s="46">
        <f>O5*(1+'BAADTbVT_Rail-CAGR'!$K$4)</f>
        <v>1.0105413100709708</v>
      </c>
      <c r="Q5" s="46">
        <f>P5*(1+'BAADTbVT_Rail-CAGR'!$K$4)</f>
        <v>1.0497858519150536</v>
      </c>
      <c r="R5" s="46">
        <f>Q5*(1+'BAADTbVT_Rail-CAGR'!$K$4)</f>
        <v>1.0905544621462504</v>
      </c>
      <c r="S5" s="46">
        <f>R5*(1+'BAADTbVT_Rail-CAGR'!$K$4)</f>
        <v>1.1329063282168657</v>
      </c>
      <c r="T5" s="46">
        <f>S5*(1+'BAADTbVT_Rail-CAGR'!$K$4)</f>
        <v>1.1769029361338745</v>
      </c>
      <c r="U5" s="46">
        <f>T5*(1+'BAADTbVT_Rail-CAGR'!$K$4)</f>
        <v>1.2226081597236811</v>
      </c>
      <c r="V5" s="46">
        <f>U5*(1+'BAADTbVT_Rail-CAGR'!$K$4)</f>
        <v>1.2700883533634872</v>
      </c>
      <c r="W5" s="46">
        <f>V5*(1+'BAADTbVT_Rail-CAGR'!$K$4)</f>
        <v>1.3194124483139007</v>
      </c>
      <c r="X5" s="46">
        <f>W5*(1+'BAADTbVT_Rail-CAGR'!$K$4)</f>
        <v>1.3706520527926351</v>
      </c>
      <c r="Y5" s="46">
        <f>X5*(1+'BAADTbVT_Rail-CAGR'!$K$4)</f>
        <v>1.4238815559345908</v>
      </c>
      <c r="Z5" s="46">
        <f>Y5*(1+'BAADTbVT_Rail-CAGR'!$K$4)</f>
        <v>1.4791782357892407</v>
      </c>
      <c r="AA5" s="46">
        <f>Z5*(1+'BAADTbVT_Rail-CAGR'!$K$4)</f>
        <v>1.5366223715121146</v>
      </c>
      <c r="AB5" s="46">
        <f>AA5*(1+'BAADTbVT_Rail-CAGR'!$K$4)</f>
        <v>1.5962973599132575</v>
      </c>
      <c r="AC5" s="46">
        <f>AB5*(1+'BAADTbVT_Rail-CAGR'!$K$4)</f>
        <v>1.6582898365318681</v>
      </c>
      <c r="AD5" s="46">
        <f>AC5*(1+'BAADTbVT_Rail-CAGR'!$K$4)</f>
        <v>1.72268980141289</v>
      </c>
      <c r="AE5" s="46">
        <f>AD5*(1+'BAADTbVT_Rail-CAGR'!$K$4)</f>
        <v>1.789590749768158</v>
      </c>
      <c r="AF5" s="46">
        <f>AE5*(1+'BAADTbVT_Rail-CAGR'!$K$4)</f>
        <v>1.8590898077117939</v>
      </c>
      <c r="AG5" s="46">
        <f>AF5*(1+'BAADTbVT_Rail-CAGR'!$K$4)</f>
        <v>1.9312878732669065</v>
      </c>
    </row>
    <row r="6" spans="1:33" s="46" customFormat="1">
      <c r="A6" t="s">
        <v>775</v>
      </c>
      <c r="B6" s="46">
        <v>1</v>
      </c>
      <c r="C6" s="46">
        <f>B6*(1+'BAADTbVT_Ships-Cal psgr CAGR'!$C$66)</f>
        <v>0.98896712459176861</v>
      </c>
      <c r="D6" s="46">
        <f>C6*(1+'BAADTbVT_Ships-Cal psgr CAGR'!$C$66)</f>
        <v>0.97805597352331075</v>
      </c>
      <c r="E6" s="46">
        <f>D6*(1+'BAADTbVT_Ships-Cal psgr CAGR'!$C$66)</f>
        <v>0.96726520382515158</v>
      </c>
      <c r="F6" s="46">
        <f>E6*(1+'BAADTbVT_Ships-Cal psgr CAGR'!$C$66)</f>
        <v>0.95659348734463112</v>
      </c>
      <c r="G6" s="46">
        <f>F6*(1+'BAADTbVT_Ships-Cal psgr CAGR'!$C$66)</f>
        <v>0.94603951058243219</v>
      </c>
      <c r="H6" s="46">
        <f>G6*(1+'BAADTbVT_Ships-Cal psgr CAGR'!$C$66)</f>
        <v>0.93560197453091198</v>
      </c>
      <c r="I6" s="46">
        <f>H6*(1+'BAADTbVT_Ships-Cal psgr CAGR'!$C$66)</f>
        <v>0.92527959451421715</v>
      </c>
      <c r="J6" s="46">
        <f>I6*(1+'BAADTbVT_Ships-Cal psgr CAGR'!$C$66)</f>
        <v>0.9150711000301629</v>
      </c>
      <c r="K6" s="46">
        <f>J6*(1+'BAADTbVT_Ships-Cal psgr CAGR'!$C$66)</f>
        <v>0.90497523459385687</v>
      </c>
      <c r="L6" s="46">
        <f>K6*(1+'BAADTbVT_Ships-Cal psgr CAGR'!$C$66)</f>
        <v>0.89499075558304786</v>
      </c>
      <c r="M6" s="46">
        <f>L6*(1+'BAADTbVT_Ships-Cal psgr CAGR'!$C$66)</f>
        <v>0.88511643408518126</v>
      </c>
      <c r="N6" s="46">
        <f>M6*(1+'BAADTbVT_Ships-Cal psgr CAGR'!$C$66)</f>
        <v>0.87535105474614139</v>
      </c>
      <c r="O6" s="46">
        <f>N6*(1+'BAADTbVT_Ships-Cal psgr CAGR'!$C$66)</f>
        <v>0.86569341562066326</v>
      </c>
      <c r="P6" s="46">
        <f>O6*(1+'BAADTbVT_Ships-Cal psgr CAGR'!$C$66)</f>
        <v>0.85614232802439416</v>
      </c>
      <c r="Q6" s="46">
        <f>P6*(1+'BAADTbVT_Ships-Cal psgr CAGR'!$C$66)</f>
        <v>0.84669661638758786</v>
      </c>
      <c r="R6" s="46">
        <f>Q6*(1+'BAADTbVT_Ships-Cal psgr CAGR'!$C$66)</f>
        <v>0.83735511811041252</v>
      </c>
      <c r="S6" s="46">
        <f>R6*(1+'BAADTbVT_Ships-Cal psgr CAGR'!$C$66)</f>
        <v>0.82811668341985545</v>
      </c>
      <c r="T6" s="46">
        <f>S6*(1+'BAADTbVT_Ships-Cal psgr CAGR'!$C$66)</f>
        <v>0.81898017522820643</v>
      </c>
      <c r="U6" s="46">
        <f>T6*(1+'BAADTbVT_Ships-Cal psgr CAGR'!$C$66)</f>
        <v>0.80994446899310213</v>
      </c>
      <c r="V6" s="46">
        <f>U6*(1+'BAADTbVT_Ships-Cal psgr CAGR'!$C$66)</f>
        <v>0.80100845257911513</v>
      </c>
      <c r="W6" s="46">
        <f>V6*(1+'BAADTbVT_Ships-Cal psgr CAGR'!$C$66)</f>
        <v>0.79217102612086954</v>
      </c>
      <c r="X6" s="46">
        <f>W6*(1+'BAADTbVT_Ships-Cal psgr CAGR'!$C$66)</f>
        <v>0.78343110188766718</v>
      </c>
      <c r="Y6" s="46">
        <f>X6*(1+'BAADTbVT_Ships-Cal psgr CAGR'!$C$66)</f>
        <v>0.77478760414960712</v>
      </c>
      <c r="Z6" s="46">
        <f>Y6*(1+'BAADTbVT_Ships-Cal psgr CAGR'!$C$66)</f>
        <v>0.76623946904518236</v>
      </c>
      <c r="AA6" s="46">
        <f>Z6*(1+'BAADTbVT_Ships-Cal psgr CAGR'!$C$66)</f>
        <v>0.75778564445033747</v>
      </c>
      <c r="AB6" s="46">
        <f>AA6*(1+'BAADTbVT_Ships-Cal psgr CAGR'!$C$66)</f>
        <v>0.7494250898489706</v>
      </c>
      <c r="AC6" s="46">
        <f>AB6*(1+'BAADTbVT_Ships-Cal psgr CAGR'!$C$66)</f>
        <v>0.74115677620486431</v>
      </c>
      <c r="AD6" s="46">
        <f>AC6*(1+'BAADTbVT_Ships-Cal psgr CAGR'!$C$66)</f>
        <v>0.73297968583502959</v>
      </c>
      <c r="AE6" s="46">
        <f>AD6*(1+'BAADTbVT_Ships-Cal psgr CAGR'!$C$66)</f>
        <v>0.72489281228444713</v>
      </c>
      <c r="AF6" s="46">
        <f>AE6*(1+'BAADTbVT_Ships-Cal psgr CAGR'!$C$66)</f>
        <v>0.71689516020219035</v>
      </c>
      <c r="AG6" s="46">
        <f>AF6*(1+'BAADTbVT_Ships-Cal psgr CAGR'!$C$66)</f>
        <v>0.70898574521891555</v>
      </c>
    </row>
    <row r="7" spans="1:33" s="46" customFormat="1">
      <c r="A7" t="s">
        <v>776</v>
      </c>
      <c r="B7" s="80">
        <v>1</v>
      </c>
      <c r="C7" s="46">
        <v>1</v>
      </c>
      <c r="D7" s="46">
        <v>1</v>
      </c>
      <c r="E7" s="46">
        <v>1</v>
      </c>
      <c r="F7" s="46">
        <v>1</v>
      </c>
      <c r="G7" s="46">
        <v>1</v>
      </c>
      <c r="H7" s="46">
        <v>1</v>
      </c>
      <c r="I7" s="46">
        <v>1</v>
      </c>
      <c r="J7" s="46">
        <v>1</v>
      </c>
      <c r="K7" s="46">
        <v>1</v>
      </c>
      <c r="L7" s="46">
        <v>1</v>
      </c>
      <c r="M7" s="46">
        <v>1</v>
      </c>
      <c r="N7" s="46">
        <v>1</v>
      </c>
      <c r="O7" s="46">
        <v>1</v>
      </c>
      <c r="P7" s="46">
        <v>1</v>
      </c>
      <c r="Q7" s="46">
        <v>1</v>
      </c>
      <c r="R7" s="46">
        <v>1</v>
      </c>
      <c r="S7" s="46">
        <v>1</v>
      </c>
      <c r="T7" s="46">
        <v>1</v>
      </c>
      <c r="U7" s="46">
        <v>1</v>
      </c>
      <c r="V7" s="46">
        <v>1</v>
      </c>
      <c r="W7" s="46">
        <v>1</v>
      </c>
      <c r="X7" s="46">
        <v>1</v>
      </c>
      <c r="Y7" s="46">
        <v>1</v>
      </c>
      <c r="Z7" s="46">
        <v>1</v>
      </c>
      <c r="AA7" s="46">
        <v>1</v>
      </c>
      <c r="AB7" s="46">
        <v>1</v>
      </c>
      <c r="AC7" s="46">
        <v>1</v>
      </c>
      <c r="AD7" s="46">
        <v>1</v>
      </c>
      <c r="AE7" s="46">
        <v>1</v>
      </c>
      <c r="AF7" s="46">
        <v>1</v>
      </c>
      <c r="AG7" s="46">
        <v>1</v>
      </c>
    </row>
    <row r="15" spans="1:33">
      <c r="B15" s="147"/>
      <c r="C15" s="147"/>
      <c r="D15" s="147"/>
      <c r="E15" s="147"/>
      <c r="F15" s="147"/>
      <c r="G15" s="147"/>
      <c r="H15" s="147"/>
    </row>
    <row r="16" spans="1:33">
      <c r="C16" s="147"/>
      <c r="D16" s="147"/>
      <c r="E16" s="147"/>
      <c r="F16" s="147"/>
      <c r="G16" s="147"/>
      <c r="H16" s="147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T15" sqref="T15"/>
    </sheetView>
  </sheetViews>
  <sheetFormatPr defaultColWidth="9.109375" defaultRowHeight="14.4"/>
  <cols>
    <col min="1" max="1" width="16.6640625" customWidth="1"/>
    <col min="3" max="3" width="9.33203125" bestFit="1" customWidth="1"/>
  </cols>
  <sheetData>
    <row r="1" spans="1:33" ht="72">
      <c r="A1" s="3" t="s">
        <v>770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771</v>
      </c>
      <c r="B2" s="145">
        <f>'DV-CAGR_mod'!U49/'DV-CAGR_mod'!$V49</f>
        <v>1.0053939631007149</v>
      </c>
      <c r="C2" s="145">
        <f>'DV-CAGR_mod'!V49/'DV-CAGR_mod'!$V49</f>
        <v>1</v>
      </c>
      <c r="D2" s="154">
        <f>'DV-CAGR_mod'!W49/'DV-CAGR_mod'!$V49</f>
        <v>1.0135664446257384</v>
      </c>
      <c r="E2" s="154">
        <f>'DV-CAGR_mod'!X49/'DV-CAGR_mod'!$V49</f>
        <v>1.0253293701152149</v>
      </c>
      <c r="F2" s="154">
        <f>'DV-CAGR_mod'!Y49/'DV-CAGR_mod'!$V49</f>
        <v>0.96891089858441226</v>
      </c>
      <c r="G2" s="145">
        <f>'DV-CAGR_mod'!Z49/'DV-CAGR_mod'!$V49</f>
        <v>0.96258997549658154</v>
      </c>
      <c r="H2" s="145">
        <f>'DV-CAGR_mod'!AA49/'DV-CAGR_mod'!$V49</f>
        <v>0.95631028846950805</v>
      </c>
      <c r="I2" s="145">
        <f>'DV-CAGR_mod'!AB49/'DV-CAGR_mod'!$V49</f>
        <v>0.95007156848983976</v>
      </c>
      <c r="J2" s="145">
        <f>'DV-CAGR_mod'!AC49/'DV-CAGR_mod'!$V49</f>
        <v>0.94387354829919801</v>
      </c>
      <c r="K2" s="145">
        <f>'DV-CAGR_mod'!AD49/'DV-CAGR_mod'!$V49</f>
        <v>0.93771596238272859</v>
      </c>
      <c r="L2" s="145">
        <f>'DV-CAGR_mod'!AE49/'DV-CAGR_mod'!$V49</f>
        <v>0.93159854695772715</v>
      </c>
      <c r="M2" s="145">
        <f>'DV-CAGR_mod'!AF49/'DV-CAGR_mod'!$V49</f>
        <v>0.92552103996233892</v>
      </c>
      <c r="N2" s="145">
        <f>'DV-CAGR_mod'!AG49/'DV-CAGR_mod'!$V49</f>
        <v>0.91948318104433302</v>
      </c>
      <c r="O2" s="145">
        <f>'DV-CAGR_mod'!AH49/'DV-CAGR_mod'!$V49</f>
        <v>0.91348471154994859</v>
      </c>
      <c r="P2" s="145">
        <f>'DV-CAGR_mod'!AI49/'DV-CAGR_mod'!$V49</f>
        <v>0.90752537451281501</v>
      </c>
      <c r="Q2" s="145">
        <f>'DV-CAGR_mod'!AJ49/'DV-CAGR_mod'!$V49</f>
        <v>0.90160491464294323</v>
      </c>
      <c r="R2" s="145">
        <f>'DV-CAGR_mod'!AK49/'DV-CAGR_mod'!$V49</f>
        <v>0.89572307831579023</v>
      </c>
      <c r="S2" s="145">
        <f>'DV-CAGR_mod'!AL49/'DV-CAGR_mod'!$V49</f>
        <v>0.88987961356139333</v>
      </c>
      <c r="T2" s="145">
        <f>'DV-CAGR_mod'!AM49/'DV-CAGR_mod'!$V49</f>
        <v>0.88407427005357642</v>
      </c>
      <c r="U2" s="145">
        <f>'DV-CAGR_mod'!AN49/'DV-CAGR_mod'!$V49</f>
        <v>0.87830679909922638</v>
      </c>
      <c r="V2" s="145">
        <f>'DV-CAGR_mod'!AO49/'DV-CAGR_mod'!$V49</f>
        <v>0.87257695362763965</v>
      </c>
      <c r="W2" s="145">
        <f>'DV-CAGR_mod'!AP49/'DV-CAGR_mod'!$V49</f>
        <v>0.86688448817993746</v>
      </c>
      <c r="X2" s="145">
        <f>'DV-CAGR_mod'!AQ49/'DV-CAGR_mod'!$V49</f>
        <v>0.86122915889855101</v>
      </c>
      <c r="Y2" s="145">
        <f>'DV-CAGR_mod'!AR49/'DV-CAGR_mod'!$V49</f>
        <v>0.85561072351677525</v>
      </c>
      <c r="Z2" s="145">
        <f>'DV-CAGR_mod'!AS49/'DV-CAGR_mod'!$V49</f>
        <v>0.8500289413483898</v>
      </c>
      <c r="AA2" s="145">
        <f>'DV-CAGR_mod'!AT49/'DV-CAGR_mod'!$V49</f>
        <v>0.84448357327734913</v>
      </c>
      <c r="AB2" s="145">
        <f>'DV-CAGR_mod'!AU49/'DV-CAGR_mod'!$V49</f>
        <v>0.83897438174753847</v>
      </c>
      <c r="AC2" s="145">
        <f>'DV-CAGR_mod'!AV49/'DV-CAGR_mod'!$V49</f>
        <v>0.83350113075259735</v>
      </c>
      <c r="AD2" s="145">
        <f>'DV-CAGR_mod'!AW49/'DV-CAGR_mod'!$V49</f>
        <v>0.82806358582580952</v>
      </c>
      <c r="AE2" s="145">
        <f>'DV-CAGR_mod'!AX49/'DV-CAGR_mod'!$V49</f>
        <v>0.82266151403005883</v>
      </c>
      <c r="AF2" s="145">
        <f>'DV-CAGR_mod'!AY49/'DV-CAGR_mod'!$V49</f>
        <v>0.81729468394785043</v>
      </c>
      <c r="AG2" s="145">
        <f>'DV-CAGR_mod'!AZ49/'DV-CAGR_mod'!$V49</f>
        <v>0.81196286567139708</v>
      </c>
    </row>
    <row r="3" spans="1:33" s="46" customFormat="1">
      <c r="A3" t="s">
        <v>772</v>
      </c>
      <c r="B3" s="145">
        <f>'DV-CAGR_mod'!U50/'DV-CAGR_mod'!$V50</f>
        <v>0.99081482878056648</v>
      </c>
      <c r="C3" s="145">
        <f>'DV-CAGR_mod'!V50/'DV-CAGR_mod'!$V50</f>
        <v>1</v>
      </c>
      <c r="D3" s="154">
        <f>'DV-CAGR_mod'!W50/'DV-CAGR_mod'!$V50</f>
        <v>0.99022918371299862</v>
      </c>
      <c r="E3" s="154">
        <f>'DV-CAGR_mod'!X50/'DV-CAGR_mod'!$V50</f>
        <v>1.0887999431441158</v>
      </c>
      <c r="F3" s="154">
        <f>'DV-CAGR_mod'!Y50/'DV-CAGR_mod'!$V50</f>
        <v>1.0304883787898091</v>
      </c>
      <c r="G3" s="145">
        <f>'DV-CAGR_mod'!Z50/'DV-CAGR_mod'!$V50</f>
        <v>1.0664267514956933</v>
      </c>
      <c r="H3" s="145">
        <f>'DV-CAGR_mod'!AA50/'DV-CAGR_mod'!$V50</f>
        <v>1.1036184781057368</v>
      </c>
      <c r="I3" s="145">
        <f>'DV-CAGR_mod'!AB50/'DV-CAGR_mod'!$V50</f>
        <v>1.1421072694474144</v>
      </c>
      <c r="J3" s="145">
        <f>'DV-CAGR_mod'!AC50/'DV-CAGR_mod'!$V50</f>
        <v>1.1819383607671476</v>
      </c>
      <c r="K3" s="145">
        <f>'DV-CAGR_mod'!AD50/'DV-CAGR_mod'!$V50</f>
        <v>1.2231585648945495</v>
      </c>
      <c r="L3" s="145">
        <f>'DV-CAGR_mod'!AE50/'DV-CAGR_mod'!$V50</f>
        <v>1.265816327260777</v>
      </c>
      <c r="M3" s="145">
        <f>'DV-CAGR_mod'!AF50/'DV-CAGR_mod'!$V50</f>
        <v>1.3099617828356527</v>
      </c>
      <c r="N3" s="145">
        <f>'DV-CAGR_mod'!AG50/'DV-CAGR_mod'!$V50</f>
        <v>1.3556468150504746</v>
      </c>
      <c r="O3" s="145">
        <f>'DV-CAGR_mod'!AH50/'DV-CAGR_mod'!$V50</f>
        <v>1.4029251167757639</v>
      </c>
      <c r="P3" s="145">
        <f>'DV-CAGR_mod'!AI50/'DV-CAGR_mod'!$V50</f>
        <v>1.4518522534256157</v>
      </c>
      <c r="Q3" s="145">
        <f>'DV-CAGR_mod'!AJ50/'DV-CAGR_mod'!$V50</f>
        <v>1.5024857282628221</v>
      </c>
      <c r="R3" s="145">
        <f>'DV-CAGR_mod'!AK50/'DV-CAGR_mod'!$V50</f>
        <v>1.5548850499815146</v>
      </c>
      <c r="S3" s="145">
        <f>'DV-CAGR_mod'!AL50/'DV-CAGR_mod'!$V50</f>
        <v>1.6091118026467581</v>
      </c>
      <c r="T3" s="145">
        <f>'DV-CAGR_mod'!AM50/'DV-CAGR_mod'!$V50</f>
        <v>1.6652297180732956</v>
      </c>
      <c r="U3" s="145">
        <f>'DV-CAGR_mod'!AN50/'DV-CAGR_mod'!$V50</f>
        <v>1.7233047507285053</v>
      </c>
      <c r="V3" s="145">
        <f>'DV-CAGR_mod'!AO50/'DV-CAGR_mod'!$V50</f>
        <v>1.7834051552476078</v>
      </c>
      <c r="W3" s="145">
        <f>'DV-CAGR_mod'!AP50/'DV-CAGR_mod'!$V50</f>
        <v>1.845601566652221</v>
      </c>
      <c r="X3" s="145">
        <f>'DV-CAGR_mod'!AQ50/'DV-CAGR_mod'!$V50</f>
        <v>1.9099670833665439</v>
      </c>
      <c r="Y3" s="145">
        <f>'DV-CAGR_mod'!AR50/'DV-CAGR_mod'!$V50</f>
        <v>1.9765773531287401</v>
      </c>
      <c r="Z3" s="145">
        <f>'DV-CAGR_mod'!AS50/'DV-CAGR_mod'!$V50</f>
        <v>2.0455106618984837</v>
      </c>
      <c r="AA3" s="145">
        <f>'DV-CAGR_mod'!AT50/'DV-CAGR_mod'!$V50</f>
        <v>2.1168480258651683</v>
      </c>
      <c r="AB3" s="145">
        <f>'DV-CAGR_mod'!AU50/'DV-CAGR_mod'!$V50</f>
        <v>2.1906732866649068</v>
      </c>
      <c r="AC3" s="145">
        <f>'DV-CAGR_mod'!AV50/'DV-CAGR_mod'!$V50</f>
        <v>2.2670732099182342</v>
      </c>
      <c r="AD3" s="145">
        <f>'DV-CAGR_mod'!AW50/'DV-CAGR_mod'!$V50</f>
        <v>2.3461375872043222</v>
      </c>
      <c r="AE3" s="145">
        <f>'DV-CAGR_mod'!AX50/'DV-CAGR_mod'!$V50</f>
        <v>2.4279593415915501</v>
      </c>
      <c r="AF3" s="145">
        <f>'DV-CAGR_mod'!AY50/'DV-CAGR_mod'!$V50</f>
        <v>2.5126346368484689</v>
      </c>
      <c r="AG3" s="145">
        <f>'DV-CAGR_mod'!AZ50/'DV-CAGR_mod'!$V50</f>
        <v>2.6002629904635004</v>
      </c>
    </row>
    <row r="4" spans="1:33" s="46" customFormat="1">
      <c r="A4" t="s">
        <v>773</v>
      </c>
      <c r="B4" s="46">
        <f>'AIR-Cal'!B8</f>
        <v>1</v>
      </c>
      <c r="C4" s="46">
        <f>'AIR-Cal'!C8</f>
        <v>0.80411848132154251</v>
      </c>
      <c r="D4" s="46">
        <f>'AIR-Cal'!D8</f>
        <v>0.88390065848754928</v>
      </c>
      <c r="E4" s="46">
        <f>'AIR-Cal'!E8</f>
        <v>0.86663519955165724</v>
      </c>
      <c r="F4" s="46">
        <f>'AIR-Cal'!F8</f>
        <v>0.94411554877302106</v>
      </c>
      <c r="G4" s="46">
        <f>F4*'Air-CAGR'!$J$56</f>
        <v>0.94883612651688609</v>
      </c>
      <c r="H4" s="46">
        <f>G4*'Air-CAGR'!$J$56</f>
        <v>0.9535803071494704</v>
      </c>
      <c r="I4" s="46">
        <f>H4*'Air-CAGR'!$J$56</f>
        <v>0.95834820868521764</v>
      </c>
      <c r="J4" s="46">
        <f>I4*'Air-CAGR'!$J$56</f>
        <v>0.96313994972864359</v>
      </c>
      <c r="K4" s="46">
        <f>J4*'Air-CAGR'!$J$56</f>
        <v>0.96795564947728674</v>
      </c>
      <c r="L4" s="46">
        <f>K4*'Air-CAGR'!$J$56</f>
        <v>0.97279542772467309</v>
      </c>
      <c r="M4" s="46">
        <f>L4*'Air-CAGR'!$J$56</f>
        <v>0.97765940486329639</v>
      </c>
      <c r="N4" s="46">
        <f>M4*'Air-CAGR'!$J$56</f>
        <v>0.98254770188761276</v>
      </c>
      <c r="O4" s="46">
        <f>N4*'Air-CAGR'!$J$56</f>
        <v>0.98746044039705072</v>
      </c>
      <c r="P4" s="46">
        <f>O4*'Air-CAGR'!$J$56</f>
        <v>0.9923977425990359</v>
      </c>
      <c r="Q4" s="46">
        <f>P4*'Air-CAGR'!$J$56</f>
        <v>0.99735973131203093</v>
      </c>
      <c r="R4" s="46">
        <f>Q4*'Air-CAGR'!$J$56</f>
        <v>1.002346529968591</v>
      </c>
      <c r="S4" s="46">
        <f>R4*'Air-CAGR'!$J$56</f>
        <v>1.0073582626184339</v>
      </c>
      <c r="T4" s="46">
        <f>S4*'Air-CAGR'!$J$56</f>
        <v>1.0123950539315258</v>
      </c>
      <c r="U4" s="46">
        <f>T4*'Air-CAGR'!$J$56</f>
        <v>1.0174570292011833</v>
      </c>
      <c r="V4" s="46">
        <f>U4*'Air-CAGR'!$J$56</f>
        <v>1.0225443143471891</v>
      </c>
      <c r="W4" s="46">
        <f>V4*'Air-CAGR'!$J$56</f>
        <v>1.027657035918925</v>
      </c>
      <c r="X4" s="46">
        <f>W4*'Air-CAGR'!$J$56</f>
        <v>1.0327953210985195</v>
      </c>
      <c r="Y4" s="46">
        <f>X4*'Air-CAGR'!$J$56</f>
        <v>1.037959297704012</v>
      </c>
      <c r="Z4" s="46">
        <f>Y4*'Air-CAGR'!$J$56</f>
        <v>1.0431490941925319</v>
      </c>
      <c r="AA4" s="46">
        <f>Z4*'Air-CAGR'!$J$56</f>
        <v>1.0483648396634944</v>
      </c>
      <c r="AB4" s="46">
        <f>AA4*'Air-CAGR'!$J$56</f>
        <v>1.0536066638618118</v>
      </c>
      <c r="AC4" s="46">
        <f>AB4*'Air-CAGR'!$J$56</f>
        <v>1.0588746971811207</v>
      </c>
      <c r="AD4" s="46">
        <f>AC4*'Air-CAGR'!$J$56</f>
        <v>1.0641690706670262</v>
      </c>
      <c r="AE4" s="46">
        <f>AD4*'Air-CAGR'!$J$56</f>
        <v>1.0694899160203613</v>
      </c>
      <c r="AF4" s="46">
        <f>AE4</f>
        <v>1.0694899160203613</v>
      </c>
      <c r="AG4" s="46">
        <f>AE4</f>
        <v>1.0694899160203613</v>
      </c>
    </row>
    <row r="5" spans="1:33" s="46" customFormat="1">
      <c r="A5" t="s">
        <v>774</v>
      </c>
      <c r="B5" s="46">
        <v>1</v>
      </c>
      <c r="C5" s="46">
        <f>'Rail-Cal'!C16</f>
        <v>0.95914986038640171</v>
      </c>
      <c r="D5" s="46">
        <f>'Rail-Cal'!D16</f>
        <v>0.91453366351748455</v>
      </c>
      <c r="E5" s="46">
        <f>D5*(1+'BAADTbVT_Rail-CAGR'!$K$6)</f>
        <v>0.88393102617206043</v>
      </c>
      <c r="F5" s="46">
        <f>E5*(1+'BAADTbVT_Rail-CAGR'!$K$6)</f>
        <v>0.85435243140686623</v>
      </c>
      <c r="G5" s="46">
        <f>F5*(1+'BAADTbVT_Rail-CAGR'!$K$6)</f>
        <v>0.82576361213588945</v>
      </c>
      <c r="H5" s="46">
        <f>G5*(1+'BAADTbVT_Rail-CAGR'!$K$6)</f>
        <v>0.79813144793753033</v>
      </c>
      <c r="I5" s="46">
        <f>H5*(1+'BAADTbVT_Rail-CAGR'!$K$6)</f>
        <v>0.77142392668427517</v>
      </c>
      <c r="J5" s="46">
        <f>I5*(1+'BAADTbVT_Rail-CAGR'!$K$6)</f>
        <v>0.74561010745633971</v>
      </c>
      <c r="K5" s="46">
        <f>J5*(1+'BAADTbVT_Rail-CAGR'!$K$6)</f>
        <v>0.72066008469631604</v>
      </c>
      <c r="L5" s="46">
        <f>K5*(1+'BAADTbVT_Rail-CAGR'!$K$6)</f>
        <v>0.69654495356329749</v>
      </c>
      <c r="M5" s="46">
        <f>L5*(1+'BAADTbVT_Rail-CAGR'!$K$6)</f>
        <v>0.67323677644634294</v>
      </c>
      <c r="N5" s="46">
        <f>M5*(1+'BAADTbVT_Rail-CAGR'!$K$6)</f>
        <v>0.65070855059848609</v>
      </c>
      <c r="O5" s="46">
        <f>N5*(1+'BAADTbVT_Rail-CAGR'!$K$6)</f>
        <v>0.62893417685379416</v>
      </c>
      <c r="P5" s="46">
        <f>O5*(1+'BAADTbVT_Rail-CAGR'!$K$6)</f>
        <v>0.60788842939123344</v>
      </c>
      <c r="Q5" s="46">
        <f>P5*(1+'BAADTbVT_Rail-CAGR'!$K$6)</f>
        <v>0.58754692651031326</v>
      </c>
      <c r="R5" s="46">
        <f>Q5*(1+'BAADTbVT_Rail-CAGR'!$K$6)</f>
        <v>0.56788610238465231</v>
      </c>
      <c r="S5" s="46">
        <f>R5*(1+'BAADTbVT_Rail-CAGR'!$K$6)</f>
        <v>0.54888317976074208</v>
      </c>
      <c r="T5" s="46">
        <f>S5*(1+'BAADTbVT_Rail-CAGR'!$K$6)</f>
        <v>0.53051614357028032</v>
      </c>
      <c r="U5" s="46">
        <f>T5*(1+'BAADTbVT_Rail-CAGR'!$K$6)</f>
        <v>0.51276371542550292</v>
      </c>
      <c r="V5" s="46">
        <f>U5*(1+'BAADTbVT_Rail-CAGR'!$K$6)</f>
        <v>0.49560532896796722</v>
      </c>
      <c r="W5" s="46">
        <f>V5*(1+'BAADTbVT_Rail-CAGR'!$K$6)</f>
        <v>0.47902110604222869</v>
      </c>
      <c r="X5" s="46">
        <f>W5*(1+'BAADTbVT_Rail-CAGR'!$K$6)</f>
        <v>0.46299183366680674</v>
      </c>
      <c r="Y5" s="46">
        <f>X5*(1+'BAADTbVT_Rail-CAGR'!$K$6)</f>
        <v>0.44749894177576122</v>
      </c>
      <c r="Z5" s="46">
        <f>Y5*(1+'BAADTbVT_Rail-CAGR'!$K$6)</f>
        <v>0.43252448170509283</v>
      </c>
      <c r="AA5" s="46">
        <f>Z5*(1+'BAADTbVT_Rail-CAGR'!$K$6)</f>
        <v>0.4180511053990435</v>
      </c>
      <c r="AB5" s="46">
        <f>AA5*(1+'BAADTbVT_Rail-CAGR'!$K$6)</f>
        <v>0.40406204531220724</v>
      </c>
      <c r="AC5" s="46">
        <f>AB5*(1+'BAADTbVT_Rail-CAGR'!$K$6)</f>
        <v>0.39054109498416784</v>
      </c>
      <c r="AD5" s="46">
        <f>AC5*(1+'BAADTbVT_Rail-CAGR'!$K$6)</f>
        <v>0.37747259026415891</v>
      </c>
      <c r="AE5" s="46">
        <f>AD5*(1+'BAADTbVT_Rail-CAGR'!$K$6)</f>
        <v>0.36484139116399472</v>
      </c>
      <c r="AF5" s="46">
        <f>AE5*(1+'BAADTbVT_Rail-CAGR'!$K$6)</f>
        <v>0.35263286431824864</v>
      </c>
      <c r="AG5" s="46">
        <f>AF5*(1+'BAADTbVT_Rail-CAGR'!$K$6)</f>
        <v>0.34083286603135871</v>
      </c>
    </row>
    <row r="6" spans="1:33" s="46" customFormat="1">
      <c r="A6" t="s">
        <v>775</v>
      </c>
      <c r="B6" s="46">
        <v>1</v>
      </c>
      <c r="C6" s="46">
        <f>B6*(1+'Ships-freight CAGR'!$C$43)</f>
        <v>0.91534842984659492</v>
      </c>
      <c r="D6" s="46">
        <f>C6*(1+'Ships-freight CAGR'!$D$43)</f>
        <v>0.95750723845510444</v>
      </c>
      <c r="E6" s="46">
        <f>D6*(1+'Ships-freight CAGR'!$D$43)</f>
        <v>1.0016077832214909</v>
      </c>
      <c r="F6" s="46">
        <f>E6*(1+'Ships-freight CAGR'!$A$50)</f>
        <v>1.0076174299208198</v>
      </c>
      <c r="G6" s="46">
        <f>F6*(1+'Ships-freight CAGR'!$A$50)</f>
        <v>1.0136631345003448</v>
      </c>
      <c r="H6" s="46">
        <f>G6*(1+'Ships-freight CAGR'!$A$50)</f>
        <v>1.019745113307347</v>
      </c>
      <c r="I6" s="46">
        <f>H6*(1+'Ships-freight CAGR'!$A$50)</f>
        <v>1.025863583987191</v>
      </c>
      <c r="J6" s="46">
        <f>I6*(1+'Ships-freight CAGR'!$A$50)</f>
        <v>1.0320187654911142</v>
      </c>
      <c r="K6" s="46">
        <f>J6*(1+'Ships-freight CAGR'!$A$50)</f>
        <v>1.0382108780840609</v>
      </c>
      <c r="L6" s="46">
        <f>K6*(1+'Ships-freight CAGR'!$A$50)</f>
        <v>1.0444401433525652</v>
      </c>
      <c r="M6" s="46">
        <f>L6*(1+'Ships-freight CAGR'!$A$50)</f>
        <v>1.0507067842126805</v>
      </c>
      <c r="N6" s="46">
        <f>M6*(1+'Ships-freight CAGR'!$A$50)</f>
        <v>1.0570110249179565</v>
      </c>
      <c r="O6" s="46">
        <f>N6*(1+'Ships-freight CAGR'!$A$50)</f>
        <v>1.0633530910674642</v>
      </c>
      <c r="P6" s="46">
        <f>O6*(1+'Ships-freight CAGR'!$A$50)</f>
        <v>1.069733209613869</v>
      </c>
      <c r="Q6" s="46">
        <f>P6*(1+'Ships-freight CAGR'!$A$50)</f>
        <v>1.0761516088715521</v>
      </c>
      <c r="R6" s="46">
        <f>Q6*(1+'Ships-freight CAGR'!$A$50)</f>
        <v>1.0826085185247816</v>
      </c>
      <c r="S6" s="46">
        <f>R6*(1+'Ships-freight CAGR'!$A$50)</f>
        <v>1.0891041696359303</v>
      </c>
      <c r="T6" s="46">
        <f>S6*(1+'Ships-freight CAGR'!$A$50)</f>
        <v>1.0956387946537458</v>
      </c>
      <c r="U6" s="46">
        <f>T6*(1+'Ships-freight CAGR'!$A$50)</f>
        <v>1.1022126274216684</v>
      </c>
      <c r="V6" s="46">
        <f>U6*(1+'Ships-freight CAGR'!$A$50)</f>
        <v>1.1088259031861984</v>
      </c>
      <c r="W6" s="46">
        <f>V6*(1+'Ships-freight CAGR'!$A$50)</f>
        <v>1.1154788586053157</v>
      </c>
      <c r="X6" s="46">
        <f>W6*(1+'Ships-freight CAGR'!$A$50)</f>
        <v>1.1221717317569475</v>
      </c>
      <c r="Y6" s="46">
        <f>X6*(1+'Ships-freight CAGR'!$A$50)</f>
        <v>1.1289047621474892</v>
      </c>
      <c r="Z6" s="46">
        <f>Y6*(1+'Ships-freight CAGR'!$A$50)</f>
        <v>1.1356781907203741</v>
      </c>
      <c r="AA6" s="46">
        <f>Z6*(1+'Ships-freight CAGR'!$A$50)</f>
        <v>1.1424922598646963</v>
      </c>
      <c r="AB6" s="46">
        <f>AA6*(1+'Ships-freight CAGR'!$A$50)</f>
        <v>1.1493472134238845</v>
      </c>
      <c r="AC6" s="46">
        <f>AB6*(1+'Ships-freight CAGR'!$A$50)</f>
        <v>1.1562432967044278</v>
      </c>
      <c r="AD6" s="46">
        <f>AC6*(1+'Ships-freight CAGR'!$A$50)</f>
        <v>1.1631807564846544</v>
      </c>
      <c r="AE6" s="46">
        <f>AD6*(1+'Ships-freight CAGR'!$A$50)</f>
        <v>1.1701598410235623</v>
      </c>
      <c r="AF6" s="46">
        <f>AE6*(1+'Ships-freight CAGR'!$A$50)</f>
        <v>1.1771808000697037</v>
      </c>
      <c r="AG6" s="46">
        <f>AF6*(1+'Ships-freight CAGR'!$A$50)</f>
        <v>1.184243884870122</v>
      </c>
    </row>
    <row r="7" spans="1:33" s="46" customFormat="1">
      <c r="A7" t="s">
        <v>776</v>
      </c>
      <c r="B7" s="46">
        <v>1</v>
      </c>
      <c r="C7" s="46">
        <f>B7</f>
        <v>1</v>
      </c>
      <c r="D7" s="46">
        <f t="shared" ref="D7:AG7" si="0">C7</f>
        <v>1</v>
      </c>
      <c r="E7" s="46">
        <f t="shared" si="0"/>
        <v>1</v>
      </c>
      <c r="F7" s="46">
        <f t="shared" si="0"/>
        <v>1</v>
      </c>
      <c r="G7" s="46">
        <f t="shared" si="0"/>
        <v>1</v>
      </c>
      <c r="H7" s="46">
        <f t="shared" si="0"/>
        <v>1</v>
      </c>
      <c r="I7" s="46">
        <f t="shared" si="0"/>
        <v>1</v>
      </c>
      <c r="J7" s="46">
        <f t="shared" si="0"/>
        <v>1</v>
      </c>
      <c r="K7" s="46">
        <f t="shared" si="0"/>
        <v>1</v>
      </c>
      <c r="L7" s="46">
        <f t="shared" si="0"/>
        <v>1</v>
      </c>
      <c r="M7" s="46">
        <f t="shared" si="0"/>
        <v>1</v>
      </c>
      <c r="N7" s="46">
        <f t="shared" si="0"/>
        <v>1</v>
      </c>
      <c r="O7" s="46">
        <f t="shared" si="0"/>
        <v>1</v>
      </c>
      <c r="P7" s="46">
        <f t="shared" si="0"/>
        <v>1</v>
      </c>
      <c r="Q7" s="46">
        <f t="shared" si="0"/>
        <v>1</v>
      </c>
      <c r="R7" s="46">
        <f t="shared" si="0"/>
        <v>1</v>
      </c>
      <c r="S7" s="46">
        <f t="shared" si="0"/>
        <v>1</v>
      </c>
      <c r="T7" s="46">
        <f t="shared" si="0"/>
        <v>1</v>
      </c>
      <c r="U7" s="46">
        <f t="shared" si="0"/>
        <v>1</v>
      </c>
      <c r="V7" s="46">
        <f t="shared" si="0"/>
        <v>1</v>
      </c>
      <c r="W7" s="46">
        <f t="shared" si="0"/>
        <v>1</v>
      </c>
      <c r="X7" s="46">
        <f t="shared" si="0"/>
        <v>1</v>
      </c>
      <c r="Y7" s="46">
        <f t="shared" si="0"/>
        <v>1</v>
      </c>
      <c r="Z7" s="46">
        <f t="shared" si="0"/>
        <v>1</v>
      </c>
      <c r="AA7" s="46">
        <f t="shared" si="0"/>
        <v>1</v>
      </c>
      <c r="AB7" s="46">
        <f t="shared" si="0"/>
        <v>1</v>
      </c>
      <c r="AC7" s="46">
        <f t="shared" si="0"/>
        <v>1</v>
      </c>
      <c r="AD7" s="46">
        <f t="shared" si="0"/>
        <v>1</v>
      </c>
      <c r="AE7" s="46">
        <f t="shared" si="0"/>
        <v>1</v>
      </c>
      <c r="AF7" s="46">
        <f t="shared" si="0"/>
        <v>1</v>
      </c>
      <c r="AG7" s="46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SYVbT_DV-Regis</vt:lpstr>
      <vt:lpstr>BAADTbVT_DV-km</vt:lpstr>
      <vt:lpstr>DV-CAGR_mod</vt:lpstr>
      <vt:lpstr>DV-CAGR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2015-03-31T22:53:51Z</dcterms:created>
  <dcterms:modified xsi:type="dcterms:W3CDTF">2025-10-16T16:48:39Z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