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trans\BHNVFEAL\"/>
    </mc:Choice>
  </mc:AlternateContent>
  <xr:revisionPtr revIDLastSave="0" documentId="13_ncr:1_{AA058888-C78D-483F-ADF0-78F5156E3061}" xr6:coauthVersionLast="47" xr6:coauthVersionMax="47" xr10:uidLastSave="{00000000-0000-0000-0000-000000000000}"/>
  <bookViews>
    <workbookView xWindow="-33555" yWindow="-1320" windowWidth="28800" windowHeight="15225" activeTab="1" xr2:uid="{00000000-000D-0000-FFFF-FFFF00000000}"/>
  </bookViews>
  <sheets>
    <sheet name="About" sheetId="1" r:id="rId1"/>
    <sheet name="SYFAFE-psgr" sheetId="28" r:id="rId2"/>
    <sheet name="SYFAFE-frgt" sheetId="29" r:id="rId3"/>
    <sheet name="BHNVFEAL-LDVs-psgr" sheetId="2" r:id="rId4"/>
    <sheet name="BHNVFEAL-LDVs-frgt" sheetId="5" r:id="rId5"/>
    <sheet name="BHNVFEAL-HDVs-psgr" sheetId="6" r:id="rId6"/>
    <sheet name="BHNVFEAL-HDVs-frgt" sheetId="7" r:id="rId7"/>
    <sheet name="BHNVFEAL-aircraft-psgr" sheetId="8" r:id="rId8"/>
    <sheet name="BHNVFEAL-aircraft-frgt" sheetId="9" r:id="rId9"/>
    <sheet name="BHNVFEAL-rail-psgr" sheetId="10" r:id="rId10"/>
    <sheet name="BHNVFEAL-rail-frgt" sheetId="11" r:id="rId11"/>
    <sheet name="BHNVFEAL-ships-psgr" sheetId="12" r:id="rId12"/>
    <sheet name="BHNVFEAL-ships-frgt" sheetId="13" r:id="rId13"/>
    <sheet name="BHNVFEAL-motorbikes-psgr" sheetId="14" r:id="rId14"/>
    <sheet name="BHNVFEAL-motorbikes-frgt" sheetId="15" r:id="rId15"/>
  </sheets>
  <externalReferences>
    <externalReference r:id="rId16"/>
    <externalReference r:id="rId17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7" i="29" l="1"/>
  <c r="H5" i="29"/>
  <c r="G5" i="29"/>
  <c r="F5" i="29"/>
  <c r="E5" i="29"/>
  <c r="D5" i="29"/>
  <c r="C5" i="29"/>
  <c r="B5" i="29"/>
  <c r="H4" i="29"/>
  <c r="G4" i="29"/>
  <c r="F4" i="29"/>
  <c r="E4" i="29"/>
  <c r="D4" i="29"/>
  <c r="C4" i="29"/>
  <c r="B4" i="29"/>
  <c r="H3" i="29"/>
  <c r="G3" i="29"/>
  <c r="F3" i="29"/>
  <c r="E3" i="29"/>
  <c r="D3" i="29"/>
  <c r="C3" i="29"/>
  <c r="B3" i="29"/>
  <c r="H2" i="29"/>
  <c r="G2" i="29"/>
  <c r="F2" i="29"/>
  <c r="E2" i="29"/>
  <c r="D2" i="29"/>
  <c r="C2" i="29"/>
  <c r="B2" i="29"/>
  <c r="D7" i="28"/>
  <c r="H5" i="28"/>
  <c r="G5" i="28"/>
  <c r="F5" i="28"/>
  <c r="E5" i="28"/>
  <c r="D5" i="28"/>
  <c r="C5" i="28"/>
  <c r="B5" i="28"/>
  <c r="H4" i="28"/>
  <c r="G4" i="28"/>
  <c r="F4" i="28"/>
  <c r="E4" i="28"/>
  <c r="D4" i="28"/>
  <c r="C4" i="28"/>
  <c r="B4" i="28"/>
  <c r="H3" i="28"/>
  <c r="G3" i="28"/>
  <c r="F3" i="28"/>
  <c r="E3" i="28"/>
  <c r="D3" i="28"/>
  <c r="C3" i="28"/>
  <c r="B3" i="28"/>
  <c r="H2" i="28"/>
  <c r="G2" i="28"/>
  <c r="F2" i="28"/>
  <c r="E2" i="28"/>
  <c r="D2" i="28"/>
  <c r="C2" i="28"/>
  <c r="B2" i="28"/>
  <c r="B2" i="15" l="1" a="1"/>
  <c r="B3" i="15" s="1"/>
  <c r="C3" i="15" s="1"/>
  <c r="D3" i="15" s="1"/>
  <c r="E3" i="15" s="1"/>
  <c r="F3" i="15" s="1"/>
  <c r="G3" i="15" s="1"/>
  <c r="H3" i="15" s="1"/>
  <c r="I3" i="15" s="1"/>
  <c r="J3" i="15" s="1"/>
  <c r="K3" i="15" s="1"/>
  <c r="L3" i="15" s="1"/>
  <c r="M3" i="15" s="1"/>
  <c r="N3" i="15" s="1"/>
  <c r="O3" i="15" s="1"/>
  <c r="P3" i="15" s="1"/>
  <c r="Q3" i="15" s="1"/>
  <c r="R3" i="15" s="1"/>
  <c r="S3" i="15" s="1"/>
  <c r="T3" i="15" s="1"/>
  <c r="U3" i="15" s="1"/>
  <c r="V3" i="15" s="1"/>
  <c r="W3" i="15" s="1"/>
  <c r="X3" i="15" s="1"/>
  <c r="Y3" i="15" s="1"/>
  <c r="Z3" i="15" s="1"/>
  <c r="AA3" i="15" s="1"/>
  <c r="AB3" i="15" s="1"/>
  <c r="AC3" i="15" s="1"/>
  <c r="AD3" i="15" s="1"/>
  <c r="AE3" i="15" s="1"/>
  <c r="AF3" i="15" s="1"/>
  <c r="B2" i="14" a="1"/>
  <c r="B6" i="14" s="1"/>
  <c r="B2" i="13" a="1"/>
  <c r="B2" i="13" s="1"/>
  <c r="C2" i="13" s="1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B2" i="12" a="1"/>
  <c r="B5" i="12" s="1"/>
  <c r="B2" i="11" a="1"/>
  <c r="B6" i="11" s="1"/>
  <c r="C6" i="11" s="1"/>
  <c r="D6" i="11" s="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B2" i="10" a="1"/>
  <c r="B6" i="10" s="1"/>
  <c r="C6" i="10" s="1"/>
  <c r="D6" i="10" s="1"/>
  <c r="E6" i="10" s="1"/>
  <c r="F6" i="10" s="1"/>
  <c r="G6" i="10" s="1"/>
  <c r="H6" i="10" s="1"/>
  <c r="I6" i="10" s="1"/>
  <c r="J6" i="10" s="1"/>
  <c r="K6" i="10" s="1"/>
  <c r="L6" i="10" s="1"/>
  <c r="M6" i="10" s="1"/>
  <c r="N6" i="10" s="1"/>
  <c r="O6" i="10" s="1"/>
  <c r="P6" i="10" s="1"/>
  <c r="Q6" i="10" s="1"/>
  <c r="R6" i="10" s="1"/>
  <c r="S6" i="10" s="1"/>
  <c r="T6" i="10" s="1"/>
  <c r="U6" i="10" s="1"/>
  <c r="V6" i="10" s="1"/>
  <c r="W6" i="10" s="1"/>
  <c r="X6" i="10" s="1"/>
  <c r="Y6" i="10" s="1"/>
  <c r="Z6" i="10" s="1"/>
  <c r="AA6" i="10" s="1"/>
  <c r="AB6" i="10" s="1"/>
  <c r="AC6" i="10" s="1"/>
  <c r="AD6" i="10" s="1"/>
  <c r="AE6" i="10" s="1"/>
  <c r="AF6" i="10" s="1"/>
  <c r="B2" i="9" a="1"/>
  <c r="B2" i="9" s="1"/>
  <c r="C2" i="9" s="1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B2" i="8" a="1"/>
  <c r="B6" i="8" s="1"/>
  <c r="C6" i="8" s="1"/>
  <c r="D6" i="8" s="1"/>
  <c r="E6" i="8" s="1"/>
  <c r="F6" i="8" s="1"/>
  <c r="G6" i="8" s="1"/>
  <c r="H6" i="8" s="1"/>
  <c r="I6" i="8" s="1"/>
  <c r="J6" i="8" s="1"/>
  <c r="K6" i="8" s="1"/>
  <c r="L6" i="8" s="1"/>
  <c r="M6" i="8" s="1"/>
  <c r="N6" i="8" s="1"/>
  <c r="O6" i="8" s="1"/>
  <c r="P6" i="8" s="1"/>
  <c r="Q6" i="8" s="1"/>
  <c r="R6" i="8" s="1"/>
  <c r="S6" i="8" s="1"/>
  <c r="T6" i="8" s="1"/>
  <c r="U6" i="8" s="1"/>
  <c r="V6" i="8" s="1"/>
  <c r="W6" i="8" s="1"/>
  <c r="X6" i="8" s="1"/>
  <c r="Y6" i="8" s="1"/>
  <c r="Z6" i="8" s="1"/>
  <c r="AA6" i="8" s="1"/>
  <c r="AB6" i="8" s="1"/>
  <c r="AC6" i="8" s="1"/>
  <c r="AD6" i="8" s="1"/>
  <c r="AE6" i="8" s="1"/>
  <c r="AF6" i="8" s="1"/>
  <c r="B2" i="7" a="1"/>
  <c r="B2" i="7" s="1"/>
  <c r="B2" i="6" a="1"/>
  <c r="B3" i="6" s="1"/>
  <c r="B2" i="5" a="1"/>
  <c r="B6" i="5" s="1"/>
  <c r="B2" i="2" a="1"/>
  <c r="B2" i="2" s="1"/>
  <c r="C2" i="2" s="1"/>
  <c r="D2" i="2" s="1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B5" i="14" l="1"/>
  <c r="B8" i="15"/>
  <c r="C8" i="15" s="1"/>
  <c r="D8" i="15" s="1"/>
  <c r="E8" i="15" s="1"/>
  <c r="F8" i="15" s="1"/>
  <c r="G8" i="15" s="1"/>
  <c r="H8" i="15" s="1"/>
  <c r="I8" i="15" s="1"/>
  <c r="J8" i="15" s="1"/>
  <c r="K8" i="15" s="1"/>
  <c r="L8" i="15" s="1"/>
  <c r="M8" i="15" s="1"/>
  <c r="N8" i="15" s="1"/>
  <c r="O8" i="15" s="1"/>
  <c r="P8" i="15" s="1"/>
  <c r="Q8" i="15" s="1"/>
  <c r="R8" i="15" s="1"/>
  <c r="S8" i="15" s="1"/>
  <c r="T8" i="15" s="1"/>
  <c r="U8" i="15" s="1"/>
  <c r="V8" i="15" s="1"/>
  <c r="W8" i="15" s="1"/>
  <c r="X8" i="15" s="1"/>
  <c r="Y8" i="15" s="1"/>
  <c r="Z8" i="15" s="1"/>
  <c r="AA8" i="15" s="1"/>
  <c r="AB8" i="15" s="1"/>
  <c r="AC8" i="15" s="1"/>
  <c r="AD8" i="15" s="1"/>
  <c r="AE8" i="15" s="1"/>
  <c r="AF8" i="15" s="1"/>
  <c r="B2" i="15"/>
  <c r="C2" i="15" s="1"/>
  <c r="D2" i="15" s="1"/>
  <c r="E2" i="15" s="1"/>
  <c r="F2" i="15" s="1"/>
  <c r="G2" i="15" s="1"/>
  <c r="H2" i="15" s="1"/>
  <c r="I2" i="15" s="1"/>
  <c r="J2" i="15" s="1"/>
  <c r="K2" i="15" s="1"/>
  <c r="L2" i="15" s="1"/>
  <c r="M2" i="15" s="1"/>
  <c r="N2" i="15" s="1"/>
  <c r="O2" i="15" s="1"/>
  <c r="P2" i="15" s="1"/>
  <c r="Q2" i="15" s="1"/>
  <c r="R2" i="15" s="1"/>
  <c r="S2" i="15" s="1"/>
  <c r="T2" i="15" s="1"/>
  <c r="U2" i="15" s="1"/>
  <c r="V2" i="15" s="1"/>
  <c r="W2" i="15" s="1"/>
  <c r="X2" i="15" s="1"/>
  <c r="Y2" i="15" s="1"/>
  <c r="Z2" i="15" s="1"/>
  <c r="AA2" i="15" s="1"/>
  <c r="AB2" i="15" s="1"/>
  <c r="AC2" i="15" s="1"/>
  <c r="AD2" i="15" s="1"/>
  <c r="AE2" i="15" s="1"/>
  <c r="AF2" i="15" s="1"/>
  <c r="B7" i="15"/>
  <c r="C7" i="15" s="1"/>
  <c r="D7" i="15" s="1"/>
  <c r="E7" i="15" s="1"/>
  <c r="F7" i="15" s="1"/>
  <c r="G7" i="15" s="1"/>
  <c r="H7" i="15" s="1"/>
  <c r="I7" i="15" s="1"/>
  <c r="J7" i="15" s="1"/>
  <c r="K7" i="15" s="1"/>
  <c r="L7" i="15" s="1"/>
  <c r="M7" i="15" s="1"/>
  <c r="N7" i="15" s="1"/>
  <c r="O7" i="15" s="1"/>
  <c r="P7" i="15" s="1"/>
  <c r="Q7" i="15" s="1"/>
  <c r="R7" i="15" s="1"/>
  <c r="S7" i="15" s="1"/>
  <c r="T7" i="15" s="1"/>
  <c r="U7" i="15" s="1"/>
  <c r="V7" i="15" s="1"/>
  <c r="W7" i="15" s="1"/>
  <c r="X7" i="15" s="1"/>
  <c r="Y7" i="15" s="1"/>
  <c r="Z7" i="15" s="1"/>
  <c r="AA7" i="15" s="1"/>
  <c r="AB7" i="15" s="1"/>
  <c r="AC7" i="15" s="1"/>
  <c r="AD7" i="15" s="1"/>
  <c r="AE7" i="15" s="1"/>
  <c r="AF7" i="15" s="1"/>
  <c r="B6" i="15"/>
  <c r="C6" i="15" s="1"/>
  <c r="D6" i="15" s="1"/>
  <c r="E6" i="15" s="1"/>
  <c r="F6" i="15" s="1"/>
  <c r="G6" i="15" s="1"/>
  <c r="H6" i="15" s="1"/>
  <c r="I6" i="15" s="1"/>
  <c r="J6" i="15" s="1"/>
  <c r="K6" i="15" s="1"/>
  <c r="L6" i="15" s="1"/>
  <c r="M6" i="15" s="1"/>
  <c r="N6" i="15" s="1"/>
  <c r="O6" i="15" s="1"/>
  <c r="P6" i="15" s="1"/>
  <c r="Q6" i="15" s="1"/>
  <c r="R6" i="15" s="1"/>
  <c r="S6" i="15" s="1"/>
  <c r="T6" i="15" s="1"/>
  <c r="U6" i="15" s="1"/>
  <c r="V6" i="15" s="1"/>
  <c r="W6" i="15" s="1"/>
  <c r="X6" i="15" s="1"/>
  <c r="Y6" i="15" s="1"/>
  <c r="Z6" i="15" s="1"/>
  <c r="AA6" i="15" s="1"/>
  <c r="AB6" i="15" s="1"/>
  <c r="AC6" i="15" s="1"/>
  <c r="AD6" i="15" s="1"/>
  <c r="AE6" i="15" s="1"/>
  <c r="AF6" i="15" s="1"/>
  <c r="B5" i="15"/>
  <c r="C5" i="15" s="1"/>
  <c r="D5" i="15" s="1"/>
  <c r="E5" i="15" s="1"/>
  <c r="F5" i="15" s="1"/>
  <c r="G5" i="15" s="1"/>
  <c r="H5" i="15" s="1"/>
  <c r="I5" i="15" s="1"/>
  <c r="J5" i="15" s="1"/>
  <c r="K5" i="15" s="1"/>
  <c r="L5" i="15" s="1"/>
  <c r="M5" i="15" s="1"/>
  <c r="N5" i="15" s="1"/>
  <c r="O5" i="15" s="1"/>
  <c r="P5" i="15" s="1"/>
  <c r="Q5" i="15" s="1"/>
  <c r="R5" i="15" s="1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B4" i="15"/>
  <c r="C4" i="15" s="1"/>
  <c r="D4" i="15" s="1"/>
  <c r="E4" i="15" s="1"/>
  <c r="F4" i="15" s="1"/>
  <c r="G4" i="15" s="1"/>
  <c r="H4" i="15" s="1"/>
  <c r="I4" i="15" s="1"/>
  <c r="J4" i="15" s="1"/>
  <c r="K4" i="15" s="1"/>
  <c r="L4" i="15" s="1"/>
  <c r="M4" i="15" s="1"/>
  <c r="N4" i="15" s="1"/>
  <c r="O4" i="15" s="1"/>
  <c r="P4" i="15" s="1"/>
  <c r="Q4" i="15" s="1"/>
  <c r="R4" i="15" s="1"/>
  <c r="S4" i="15" s="1"/>
  <c r="T4" i="15" s="1"/>
  <c r="U4" i="15" s="1"/>
  <c r="V4" i="15" s="1"/>
  <c r="W4" i="15" s="1"/>
  <c r="X4" i="15" s="1"/>
  <c r="Y4" i="15" s="1"/>
  <c r="Z4" i="15" s="1"/>
  <c r="AA4" i="15" s="1"/>
  <c r="AB4" i="15" s="1"/>
  <c r="AC4" i="15" s="1"/>
  <c r="AD4" i="15" s="1"/>
  <c r="AE4" i="15" s="1"/>
  <c r="AF4" i="15" s="1"/>
  <c r="B8" i="14"/>
  <c r="B4" i="14"/>
  <c r="B3" i="14"/>
  <c r="B2" i="14"/>
  <c r="B7" i="14"/>
  <c r="B7" i="13"/>
  <c r="C7" i="13" s="1"/>
  <c r="D7" i="13" s="1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B6" i="13"/>
  <c r="C6" i="13" s="1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B8" i="13"/>
  <c r="C8" i="13" s="1"/>
  <c r="D8" i="13" s="1"/>
  <c r="E8" i="13" s="1"/>
  <c r="F8" i="13" s="1"/>
  <c r="G8" i="13" s="1"/>
  <c r="H8" i="13" s="1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B4" i="13"/>
  <c r="C4" i="13" s="1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B3" i="13"/>
  <c r="C3" i="13" s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B8" i="12"/>
  <c r="B4" i="12"/>
  <c r="B3" i="12"/>
  <c r="B2" i="12"/>
  <c r="B7" i="12"/>
  <c r="B6" i="12"/>
  <c r="B8" i="11"/>
  <c r="C8" i="11" s="1"/>
  <c r="D8" i="11" s="1"/>
  <c r="E8" i="11" s="1"/>
  <c r="F8" i="11" s="1"/>
  <c r="G8" i="11" s="1"/>
  <c r="H8" i="11" s="1"/>
  <c r="I8" i="11" s="1"/>
  <c r="J8" i="11" s="1"/>
  <c r="K8" i="11" s="1"/>
  <c r="L8" i="11" s="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B5" i="11"/>
  <c r="C5" i="11" s="1"/>
  <c r="D5" i="11" s="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B4" i="11"/>
  <c r="C4" i="11" s="1"/>
  <c r="D4" i="11" s="1"/>
  <c r="E4" i="11" s="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B3" i="11"/>
  <c r="C3" i="11" s="1"/>
  <c r="D3" i="11" s="1"/>
  <c r="E3" i="11" s="1"/>
  <c r="F3" i="11" s="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B2" i="11"/>
  <c r="C2" i="11" s="1"/>
  <c r="D2" i="11" s="1"/>
  <c r="E2" i="11" s="1"/>
  <c r="F2" i="11" s="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B7" i="11"/>
  <c r="C7" i="11" s="1"/>
  <c r="D7" i="11" s="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B8" i="10"/>
  <c r="C8" i="10" s="1"/>
  <c r="D8" i="10" s="1"/>
  <c r="E8" i="10" s="1"/>
  <c r="F8" i="10" s="1"/>
  <c r="G8" i="10" s="1"/>
  <c r="H8" i="10" s="1"/>
  <c r="I8" i="10" s="1"/>
  <c r="J8" i="10" s="1"/>
  <c r="K8" i="10" s="1"/>
  <c r="L8" i="10" s="1"/>
  <c r="M8" i="10" s="1"/>
  <c r="N8" i="10" s="1"/>
  <c r="O8" i="10" s="1"/>
  <c r="P8" i="10" s="1"/>
  <c r="Q8" i="10" s="1"/>
  <c r="R8" i="10" s="1"/>
  <c r="S8" i="10" s="1"/>
  <c r="T8" i="10" s="1"/>
  <c r="U8" i="10" s="1"/>
  <c r="V8" i="10" s="1"/>
  <c r="W8" i="10" s="1"/>
  <c r="X8" i="10" s="1"/>
  <c r="Y8" i="10" s="1"/>
  <c r="Z8" i="10" s="1"/>
  <c r="AA8" i="10" s="1"/>
  <c r="AB8" i="10" s="1"/>
  <c r="AC8" i="10" s="1"/>
  <c r="AD8" i="10" s="1"/>
  <c r="AE8" i="10" s="1"/>
  <c r="AF8" i="10" s="1"/>
  <c r="B5" i="10"/>
  <c r="C5" i="10" s="1"/>
  <c r="D5" i="10" s="1"/>
  <c r="E5" i="10" s="1"/>
  <c r="F5" i="10" s="1"/>
  <c r="G5" i="10" s="1"/>
  <c r="H5" i="10" s="1"/>
  <c r="I5" i="10" s="1"/>
  <c r="J5" i="10" s="1"/>
  <c r="K5" i="10" s="1"/>
  <c r="L5" i="10" s="1"/>
  <c r="M5" i="10" s="1"/>
  <c r="N5" i="10" s="1"/>
  <c r="O5" i="10" s="1"/>
  <c r="P5" i="10" s="1"/>
  <c r="Q5" i="10" s="1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B4" i="10"/>
  <c r="C4" i="10" s="1"/>
  <c r="D4" i="10" s="1"/>
  <c r="E4" i="10" s="1"/>
  <c r="F4" i="10" s="1"/>
  <c r="G4" i="10" s="1"/>
  <c r="H4" i="10" s="1"/>
  <c r="I4" i="10" s="1"/>
  <c r="J4" i="10" s="1"/>
  <c r="K4" i="10" s="1"/>
  <c r="L4" i="10" s="1"/>
  <c r="M4" i="10" s="1"/>
  <c r="N4" i="10" s="1"/>
  <c r="O4" i="10" s="1"/>
  <c r="P4" i="10" s="1"/>
  <c r="Q4" i="10" s="1"/>
  <c r="R4" i="10" s="1"/>
  <c r="S4" i="10" s="1"/>
  <c r="T4" i="10" s="1"/>
  <c r="U4" i="10" s="1"/>
  <c r="V4" i="10" s="1"/>
  <c r="W4" i="10" s="1"/>
  <c r="X4" i="10" s="1"/>
  <c r="Y4" i="10" s="1"/>
  <c r="Z4" i="10" s="1"/>
  <c r="AA4" i="10" s="1"/>
  <c r="AB4" i="10" s="1"/>
  <c r="AC4" i="10" s="1"/>
  <c r="AD4" i="10" s="1"/>
  <c r="AE4" i="10" s="1"/>
  <c r="AF4" i="10" s="1"/>
  <c r="B3" i="10"/>
  <c r="C3" i="10" s="1"/>
  <c r="D3" i="10" s="1"/>
  <c r="E3" i="10" s="1"/>
  <c r="F3" i="10" s="1"/>
  <c r="G3" i="10" s="1"/>
  <c r="H3" i="10" s="1"/>
  <c r="I3" i="10" s="1"/>
  <c r="J3" i="10" s="1"/>
  <c r="K3" i="10" s="1"/>
  <c r="L3" i="10" s="1"/>
  <c r="M3" i="10" s="1"/>
  <c r="N3" i="10" s="1"/>
  <c r="O3" i="10" s="1"/>
  <c r="P3" i="10" s="1"/>
  <c r="Q3" i="10" s="1"/>
  <c r="R3" i="10" s="1"/>
  <c r="S3" i="10" s="1"/>
  <c r="T3" i="10" s="1"/>
  <c r="U3" i="10" s="1"/>
  <c r="V3" i="10" s="1"/>
  <c r="W3" i="10" s="1"/>
  <c r="X3" i="10" s="1"/>
  <c r="Y3" i="10" s="1"/>
  <c r="Z3" i="10" s="1"/>
  <c r="AA3" i="10" s="1"/>
  <c r="AB3" i="10" s="1"/>
  <c r="AC3" i="10" s="1"/>
  <c r="AD3" i="10" s="1"/>
  <c r="AE3" i="10" s="1"/>
  <c r="AF3" i="10" s="1"/>
  <c r="B2" i="10"/>
  <c r="C2" i="10" s="1"/>
  <c r="D2" i="10" s="1"/>
  <c r="E2" i="10" s="1"/>
  <c r="F2" i="10" s="1"/>
  <c r="G2" i="10" s="1"/>
  <c r="H2" i="10" s="1"/>
  <c r="I2" i="10" s="1"/>
  <c r="J2" i="10" s="1"/>
  <c r="K2" i="10" s="1"/>
  <c r="L2" i="10" s="1"/>
  <c r="M2" i="10" s="1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X2" i="10" s="1"/>
  <c r="Y2" i="10" s="1"/>
  <c r="Z2" i="10" s="1"/>
  <c r="AA2" i="10" s="1"/>
  <c r="AB2" i="10" s="1"/>
  <c r="AC2" i="10" s="1"/>
  <c r="AD2" i="10" s="1"/>
  <c r="AE2" i="10" s="1"/>
  <c r="AF2" i="10" s="1"/>
  <c r="B7" i="10"/>
  <c r="C7" i="10" s="1"/>
  <c r="D7" i="10" s="1"/>
  <c r="E7" i="10" s="1"/>
  <c r="F7" i="10" s="1"/>
  <c r="G7" i="10" s="1"/>
  <c r="H7" i="10" s="1"/>
  <c r="I7" i="10" s="1"/>
  <c r="J7" i="10" s="1"/>
  <c r="K7" i="10" s="1"/>
  <c r="L7" i="10" s="1"/>
  <c r="M7" i="10" s="1"/>
  <c r="N7" i="10" s="1"/>
  <c r="O7" i="10" s="1"/>
  <c r="P7" i="10" s="1"/>
  <c r="Q7" i="10" s="1"/>
  <c r="R7" i="10" s="1"/>
  <c r="S7" i="10" s="1"/>
  <c r="T7" i="10" s="1"/>
  <c r="U7" i="10" s="1"/>
  <c r="V7" i="10" s="1"/>
  <c r="W7" i="10" s="1"/>
  <c r="X7" i="10" s="1"/>
  <c r="Y7" i="10" s="1"/>
  <c r="Z7" i="10" s="1"/>
  <c r="AA7" i="10" s="1"/>
  <c r="AB7" i="10" s="1"/>
  <c r="AC7" i="10" s="1"/>
  <c r="AD7" i="10" s="1"/>
  <c r="AE7" i="10" s="1"/>
  <c r="AF7" i="10" s="1"/>
  <c r="B8" i="9"/>
  <c r="C8" i="9" s="1"/>
  <c r="D8" i="9" s="1"/>
  <c r="E8" i="9" s="1"/>
  <c r="F8" i="9" s="1"/>
  <c r="G8" i="9" s="1"/>
  <c r="H8" i="9" s="1"/>
  <c r="I8" i="9" s="1"/>
  <c r="J8" i="9" s="1"/>
  <c r="K8" i="9" s="1"/>
  <c r="L8" i="9" s="1"/>
  <c r="M8" i="9" s="1"/>
  <c r="N8" i="9" s="1"/>
  <c r="O8" i="9" s="1"/>
  <c r="P8" i="9" s="1"/>
  <c r="Q8" i="9" s="1"/>
  <c r="R8" i="9" s="1"/>
  <c r="S8" i="9" s="1"/>
  <c r="T8" i="9" s="1"/>
  <c r="U8" i="9" s="1"/>
  <c r="V8" i="9" s="1"/>
  <c r="W8" i="9" s="1"/>
  <c r="X8" i="9" s="1"/>
  <c r="Y8" i="9" s="1"/>
  <c r="Z8" i="9" s="1"/>
  <c r="AA8" i="9" s="1"/>
  <c r="AB8" i="9" s="1"/>
  <c r="AC8" i="9" s="1"/>
  <c r="AD8" i="9" s="1"/>
  <c r="AE8" i="9" s="1"/>
  <c r="AF8" i="9" s="1"/>
  <c r="B7" i="9"/>
  <c r="C7" i="9" s="1"/>
  <c r="D7" i="9" s="1"/>
  <c r="E7" i="9" s="1"/>
  <c r="F7" i="9" s="1"/>
  <c r="G7" i="9" s="1"/>
  <c r="H7" i="9" s="1"/>
  <c r="I7" i="9" s="1"/>
  <c r="J7" i="9" s="1"/>
  <c r="K7" i="9" s="1"/>
  <c r="L7" i="9" s="1"/>
  <c r="M7" i="9" s="1"/>
  <c r="N7" i="9" s="1"/>
  <c r="O7" i="9" s="1"/>
  <c r="P7" i="9" s="1"/>
  <c r="Q7" i="9" s="1"/>
  <c r="R7" i="9" s="1"/>
  <c r="S7" i="9" s="1"/>
  <c r="T7" i="9" s="1"/>
  <c r="U7" i="9" s="1"/>
  <c r="V7" i="9" s="1"/>
  <c r="W7" i="9" s="1"/>
  <c r="X7" i="9" s="1"/>
  <c r="Y7" i="9" s="1"/>
  <c r="Z7" i="9" s="1"/>
  <c r="AA7" i="9" s="1"/>
  <c r="AB7" i="9" s="1"/>
  <c r="AC7" i="9" s="1"/>
  <c r="AD7" i="9" s="1"/>
  <c r="AE7" i="9" s="1"/>
  <c r="AF7" i="9" s="1"/>
  <c r="B5" i="9"/>
  <c r="C5" i="9" s="1"/>
  <c r="D5" i="9" s="1"/>
  <c r="E5" i="9" s="1"/>
  <c r="F5" i="9" s="1"/>
  <c r="G5" i="9" s="1"/>
  <c r="H5" i="9" s="1"/>
  <c r="I5" i="9" s="1"/>
  <c r="J5" i="9" s="1"/>
  <c r="K5" i="9" s="1"/>
  <c r="L5" i="9" s="1"/>
  <c r="M5" i="9" s="1"/>
  <c r="N5" i="9" s="1"/>
  <c r="O5" i="9" s="1"/>
  <c r="P5" i="9" s="1"/>
  <c r="Q5" i="9" s="1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B4" i="9"/>
  <c r="C4" i="9" s="1"/>
  <c r="D4" i="9" s="1"/>
  <c r="E4" i="9" s="1"/>
  <c r="F4" i="9" s="1"/>
  <c r="G4" i="9" s="1"/>
  <c r="H4" i="9" s="1"/>
  <c r="I4" i="9" s="1"/>
  <c r="J4" i="9" s="1"/>
  <c r="K4" i="9" s="1"/>
  <c r="L4" i="9" s="1"/>
  <c r="M4" i="9" s="1"/>
  <c r="N4" i="9" s="1"/>
  <c r="O4" i="9" s="1"/>
  <c r="P4" i="9" s="1"/>
  <c r="Q4" i="9" s="1"/>
  <c r="R4" i="9" s="1"/>
  <c r="S4" i="9" s="1"/>
  <c r="T4" i="9" s="1"/>
  <c r="U4" i="9" s="1"/>
  <c r="V4" i="9" s="1"/>
  <c r="W4" i="9" s="1"/>
  <c r="X4" i="9" s="1"/>
  <c r="Y4" i="9" s="1"/>
  <c r="Z4" i="9" s="1"/>
  <c r="AA4" i="9" s="1"/>
  <c r="AB4" i="9" s="1"/>
  <c r="AC4" i="9" s="1"/>
  <c r="AD4" i="9" s="1"/>
  <c r="AE4" i="9" s="1"/>
  <c r="AF4" i="9" s="1"/>
  <c r="B6" i="9"/>
  <c r="C6" i="9" s="1"/>
  <c r="D6" i="9" s="1"/>
  <c r="E6" i="9" s="1"/>
  <c r="F6" i="9" s="1"/>
  <c r="G6" i="9" s="1"/>
  <c r="H6" i="9" s="1"/>
  <c r="I6" i="9" s="1"/>
  <c r="J6" i="9" s="1"/>
  <c r="K6" i="9" s="1"/>
  <c r="L6" i="9" s="1"/>
  <c r="M6" i="9" s="1"/>
  <c r="N6" i="9" s="1"/>
  <c r="O6" i="9" s="1"/>
  <c r="P6" i="9" s="1"/>
  <c r="Q6" i="9" s="1"/>
  <c r="R6" i="9" s="1"/>
  <c r="S6" i="9" s="1"/>
  <c r="T6" i="9" s="1"/>
  <c r="U6" i="9" s="1"/>
  <c r="V6" i="9" s="1"/>
  <c r="W6" i="9" s="1"/>
  <c r="X6" i="9" s="1"/>
  <c r="Y6" i="9" s="1"/>
  <c r="Z6" i="9" s="1"/>
  <c r="AA6" i="9" s="1"/>
  <c r="AB6" i="9" s="1"/>
  <c r="AC6" i="9" s="1"/>
  <c r="AD6" i="9" s="1"/>
  <c r="AE6" i="9" s="1"/>
  <c r="AF6" i="9" s="1"/>
  <c r="B3" i="9"/>
  <c r="C3" i="9" s="1"/>
  <c r="D3" i="9" s="1"/>
  <c r="E3" i="9" s="1"/>
  <c r="F3" i="9" s="1"/>
  <c r="G3" i="9" s="1"/>
  <c r="H3" i="9" s="1"/>
  <c r="I3" i="9" s="1"/>
  <c r="J3" i="9" s="1"/>
  <c r="K3" i="9" s="1"/>
  <c r="L3" i="9" s="1"/>
  <c r="M3" i="9" s="1"/>
  <c r="N3" i="9" s="1"/>
  <c r="O3" i="9" s="1"/>
  <c r="P3" i="9" s="1"/>
  <c r="Q3" i="9" s="1"/>
  <c r="R3" i="9" s="1"/>
  <c r="S3" i="9" s="1"/>
  <c r="T3" i="9" s="1"/>
  <c r="U3" i="9" s="1"/>
  <c r="V3" i="9" s="1"/>
  <c r="W3" i="9" s="1"/>
  <c r="X3" i="9" s="1"/>
  <c r="Y3" i="9" s="1"/>
  <c r="Z3" i="9" s="1"/>
  <c r="AA3" i="9" s="1"/>
  <c r="AB3" i="9" s="1"/>
  <c r="AC3" i="9" s="1"/>
  <c r="AD3" i="9" s="1"/>
  <c r="AE3" i="9" s="1"/>
  <c r="AF3" i="9" s="1"/>
  <c r="B8" i="8"/>
  <c r="C8" i="8" s="1"/>
  <c r="D8" i="8" s="1"/>
  <c r="E8" i="8" s="1"/>
  <c r="F8" i="8" s="1"/>
  <c r="G8" i="8" s="1"/>
  <c r="H8" i="8" s="1"/>
  <c r="I8" i="8" s="1"/>
  <c r="J8" i="8" s="1"/>
  <c r="K8" i="8" s="1"/>
  <c r="L8" i="8" s="1"/>
  <c r="M8" i="8" s="1"/>
  <c r="N8" i="8" s="1"/>
  <c r="O8" i="8" s="1"/>
  <c r="P8" i="8" s="1"/>
  <c r="Q8" i="8" s="1"/>
  <c r="R8" i="8" s="1"/>
  <c r="S8" i="8" s="1"/>
  <c r="T8" i="8" s="1"/>
  <c r="U8" i="8" s="1"/>
  <c r="V8" i="8" s="1"/>
  <c r="W8" i="8" s="1"/>
  <c r="X8" i="8" s="1"/>
  <c r="Y8" i="8" s="1"/>
  <c r="Z8" i="8" s="1"/>
  <c r="AA8" i="8" s="1"/>
  <c r="AB8" i="8" s="1"/>
  <c r="AC8" i="8" s="1"/>
  <c r="AD8" i="8" s="1"/>
  <c r="AE8" i="8" s="1"/>
  <c r="AF8" i="8" s="1"/>
  <c r="B5" i="8"/>
  <c r="C5" i="8" s="1"/>
  <c r="D5" i="8" s="1"/>
  <c r="E5" i="8" s="1"/>
  <c r="F5" i="8" s="1"/>
  <c r="G5" i="8" s="1"/>
  <c r="H5" i="8" s="1"/>
  <c r="I5" i="8" s="1"/>
  <c r="J5" i="8" s="1"/>
  <c r="K5" i="8" s="1"/>
  <c r="L5" i="8" s="1"/>
  <c r="M5" i="8" s="1"/>
  <c r="N5" i="8" s="1"/>
  <c r="O5" i="8" s="1"/>
  <c r="P5" i="8" s="1"/>
  <c r="Q5" i="8" s="1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B4" i="8"/>
  <c r="C4" i="8" s="1"/>
  <c r="D4" i="8" s="1"/>
  <c r="E4" i="8" s="1"/>
  <c r="F4" i="8" s="1"/>
  <c r="G4" i="8" s="1"/>
  <c r="H4" i="8" s="1"/>
  <c r="I4" i="8" s="1"/>
  <c r="J4" i="8" s="1"/>
  <c r="K4" i="8" s="1"/>
  <c r="L4" i="8" s="1"/>
  <c r="M4" i="8" s="1"/>
  <c r="N4" i="8" s="1"/>
  <c r="O4" i="8" s="1"/>
  <c r="P4" i="8" s="1"/>
  <c r="Q4" i="8" s="1"/>
  <c r="R4" i="8" s="1"/>
  <c r="S4" i="8" s="1"/>
  <c r="T4" i="8" s="1"/>
  <c r="U4" i="8" s="1"/>
  <c r="V4" i="8" s="1"/>
  <c r="W4" i="8" s="1"/>
  <c r="X4" i="8" s="1"/>
  <c r="Y4" i="8" s="1"/>
  <c r="Z4" i="8" s="1"/>
  <c r="AA4" i="8" s="1"/>
  <c r="AB4" i="8" s="1"/>
  <c r="AC4" i="8" s="1"/>
  <c r="AD4" i="8" s="1"/>
  <c r="AE4" i="8" s="1"/>
  <c r="AF4" i="8" s="1"/>
  <c r="B3" i="8"/>
  <c r="C3" i="8" s="1"/>
  <c r="D3" i="8" s="1"/>
  <c r="E3" i="8" s="1"/>
  <c r="F3" i="8" s="1"/>
  <c r="G3" i="8" s="1"/>
  <c r="H3" i="8" s="1"/>
  <c r="I3" i="8" s="1"/>
  <c r="J3" i="8" s="1"/>
  <c r="K3" i="8" s="1"/>
  <c r="L3" i="8" s="1"/>
  <c r="M3" i="8" s="1"/>
  <c r="N3" i="8" s="1"/>
  <c r="O3" i="8" s="1"/>
  <c r="P3" i="8" s="1"/>
  <c r="Q3" i="8" s="1"/>
  <c r="R3" i="8" s="1"/>
  <c r="S3" i="8" s="1"/>
  <c r="T3" i="8" s="1"/>
  <c r="U3" i="8" s="1"/>
  <c r="V3" i="8" s="1"/>
  <c r="W3" i="8" s="1"/>
  <c r="X3" i="8" s="1"/>
  <c r="Y3" i="8" s="1"/>
  <c r="Z3" i="8" s="1"/>
  <c r="AA3" i="8" s="1"/>
  <c r="AB3" i="8" s="1"/>
  <c r="AC3" i="8" s="1"/>
  <c r="AD3" i="8" s="1"/>
  <c r="AE3" i="8" s="1"/>
  <c r="AF3" i="8" s="1"/>
  <c r="B2" i="8"/>
  <c r="C2" i="8" s="1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B7" i="8"/>
  <c r="C7" i="8" s="1"/>
  <c r="D7" i="8" s="1"/>
  <c r="E7" i="8" s="1"/>
  <c r="F7" i="8" s="1"/>
  <c r="G7" i="8" s="1"/>
  <c r="H7" i="8" s="1"/>
  <c r="I7" i="8" s="1"/>
  <c r="J7" i="8" s="1"/>
  <c r="K7" i="8" s="1"/>
  <c r="L7" i="8" s="1"/>
  <c r="M7" i="8" s="1"/>
  <c r="N7" i="8" s="1"/>
  <c r="O7" i="8" s="1"/>
  <c r="P7" i="8" s="1"/>
  <c r="Q7" i="8" s="1"/>
  <c r="R7" i="8" s="1"/>
  <c r="S7" i="8" s="1"/>
  <c r="T7" i="8" s="1"/>
  <c r="U7" i="8" s="1"/>
  <c r="V7" i="8" s="1"/>
  <c r="W7" i="8" s="1"/>
  <c r="X7" i="8" s="1"/>
  <c r="Y7" i="8" s="1"/>
  <c r="Z7" i="8" s="1"/>
  <c r="AA7" i="8" s="1"/>
  <c r="AB7" i="8" s="1"/>
  <c r="AC7" i="8" s="1"/>
  <c r="AD7" i="8" s="1"/>
  <c r="AE7" i="8" s="1"/>
  <c r="AF7" i="8" s="1"/>
  <c r="B8" i="7"/>
  <c r="B7" i="7"/>
  <c r="B6" i="7"/>
  <c r="B3" i="7"/>
  <c r="B5" i="7"/>
  <c r="B4" i="7"/>
  <c r="B8" i="6"/>
  <c r="B7" i="6"/>
  <c r="B6" i="6"/>
  <c r="B4" i="6"/>
  <c r="B2" i="6"/>
  <c r="B5" i="6"/>
  <c r="B8" i="5"/>
  <c r="B5" i="5"/>
  <c r="B4" i="5"/>
  <c r="B3" i="5"/>
  <c r="B2" i="5"/>
  <c r="B7" i="5"/>
  <c r="B7" i="2"/>
  <c r="C7" i="2" s="1"/>
  <c r="D7" i="2" s="1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B8" i="2"/>
  <c r="C8" i="2" s="1"/>
  <c r="D8" i="2" s="1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B6" i="2"/>
  <c r="C6" i="2" s="1"/>
  <c r="D6" i="2" s="1"/>
  <c r="E6" i="2" s="1"/>
  <c r="F6" i="2" s="1"/>
  <c r="G6" i="2" s="1"/>
  <c r="H6" i="2" s="1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AC6" i="2" s="1"/>
  <c r="AD6" i="2" s="1"/>
  <c r="AE6" i="2" s="1"/>
  <c r="AF6" i="2" s="1"/>
  <c r="B4" i="2"/>
  <c r="C4" i="2" s="1"/>
  <c r="D4" i="2" s="1"/>
  <c r="E4" i="2" s="1"/>
  <c r="F4" i="2" s="1"/>
  <c r="G4" i="2" s="1"/>
  <c r="H4" i="2" s="1"/>
  <c r="I4" i="2" s="1"/>
  <c r="J4" i="2" s="1"/>
  <c r="K4" i="2" s="1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B3" i="2"/>
  <c r="C3" i="2" s="1"/>
  <c r="D3" i="2" s="1"/>
  <c r="E3" i="2" s="1"/>
  <c r="F3" i="2" s="1"/>
  <c r="G3" i="2" s="1"/>
  <c r="H3" i="2" s="1"/>
  <c r="I3" i="2" s="1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B5" i="2"/>
  <c r="C5" i="2" s="1"/>
  <c r="D5" i="2" s="1"/>
  <c r="E5" i="2" s="1"/>
  <c r="F5" i="2" s="1"/>
  <c r="G5" i="2" s="1"/>
  <c r="H5" i="2" s="1"/>
  <c r="I5" i="2" s="1"/>
  <c r="J5" i="2" s="1"/>
  <c r="K5" i="2" s="1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C3" i="14" l="1"/>
  <c r="D3" i="14" s="1"/>
  <c r="E3" i="14" s="1"/>
  <c r="F3" i="14" s="1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AF3" i="14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C2" i="14" l="1"/>
  <c r="D2" i="14" s="1"/>
  <c r="E2" i="14" s="1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AF2" i="14" s="1"/>
  <c r="C8" i="14"/>
  <c r="D8" i="14" s="1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AF8" i="14" s="1"/>
  <c r="C7" i="14"/>
  <c r="D7" i="14" s="1"/>
  <c r="E7" i="14" s="1"/>
  <c r="F7" i="14" s="1"/>
  <c r="G7" i="14" s="1"/>
  <c r="H7" i="14" s="1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AF7" i="14" s="1"/>
  <c r="C6" i="14"/>
  <c r="D6" i="14" s="1"/>
  <c r="E6" i="14" s="1"/>
  <c r="F6" i="14" s="1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AF6" i="14" s="1"/>
  <c r="C5" i="14"/>
  <c r="D5" i="14" s="1"/>
  <c r="E5" i="14" s="1"/>
  <c r="F5" i="14" s="1"/>
  <c r="G5" i="14" s="1"/>
  <c r="H5" i="14" s="1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AF5" i="14" s="1"/>
  <c r="C4" i="14"/>
  <c r="D4" i="14" s="1"/>
  <c r="E4" i="14" s="1"/>
  <c r="F4" i="14" s="1"/>
  <c r="G4" i="14" s="1"/>
  <c r="H4" i="14" s="1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AF4" i="14" s="1"/>
  <c r="C8" i="12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C6" i="12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C4" i="12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C3" i="12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C3" i="7" l="1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C3" i="6"/>
  <c r="D3" i="6" s="1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C3" i="5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C2" i="7" l="1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6"/>
  <c r="D2" i="6" s="1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AF2" i="6" s="1"/>
  <c r="C6" i="7"/>
  <c r="D6" i="7" s="1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AF6" i="7" s="1"/>
  <c r="C5" i="7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C4" i="7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C8" i="7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AF8" i="7" s="1"/>
  <c r="C7" i="7"/>
  <c r="D7" i="7" s="1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C7" i="6"/>
  <c r="D7" i="6" s="1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C6" i="6"/>
  <c r="D6" i="6" s="1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C5" i="6"/>
  <c r="D5" i="6" s="1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C8" i="6"/>
  <c r="D8" i="6" s="1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C4" i="6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C8" i="5"/>
  <c r="D8" i="5" s="1"/>
  <c r="E8" i="5" s="1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C7" i="5"/>
  <c r="D7" i="5" s="1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C6" i="5"/>
  <c r="D6" i="5" s="1"/>
  <c r="E6" i="5" s="1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C5" i="5"/>
  <c r="D5" i="5" s="1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AF5" i="5" s="1"/>
  <c r="C4" i="5"/>
  <c r="D4" i="5" s="1"/>
  <c r="E4" i="5" s="1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</calcChain>
</file>

<file path=xl/sharedStrings.xml><?xml version="1.0" encoding="utf-8"?>
<sst xmlns="http://schemas.openxmlformats.org/spreadsheetml/2006/main" count="127" uniqueCount="19">
  <si>
    <t>Sources:</t>
  </si>
  <si>
    <t>battery electric vehicle</t>
  </si>
  <si>
    <t>natural gas vehicle</t>
  </si>
  <si>
    <t>gasoline vehicle</t>
  </si>
  <si>
    <t>diesel vehicle</t>
  </si>
  <si>
    <t>plugin hybrid vehicle</t>
  </si>
  <si>
    <t>aircraft</t>
  </si>
  <si>
    <t>HDVs</t>
  </si>
  <si>
    <t>BHNVFEAL BAU Historical New Vehicle Fuel Economy After Lifetime</t>
  </si>
  <si>
    <t>LDVs</t>
  </si>
  <si>
    <t>rail</t>
  </si>
  <si>
    <t>ships</t>
  </si>
  <si>
    <t>motorbikes</t>
  </si>
  <si>
    <t>LPG vehicle</t>
  </si>
  <si>
    <t>hydrogen vehicle</t>
  </si>
  <si>
    <t>Fuel Economy ((thing*miles)/BTU)</t>
  </si>
  <si>
    <t>Fuel Economy (passenger*miles/BTU)</t>
  </si>
  <si>
    <t>Fuel Economy (freight ton*miles/BTU)</t>
  </si>
  <si>
    <t>Korea SYFAFE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</si>
</sst>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0.00_)"/>
    <numFmt numFmtId="165" formatCode="#,##0_)"/>
    <numFmt numFmtId="166" formatCode="_(* #,##0.000000_);_(* \(#,##0.000000\);_(* &quot;-&quot;??_);_(@_)"/>
    <numFmt numFmtId="167" formatCode="0.000E+00"/>
  </numFmts>
  <fonts count="4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5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55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>
      <alignment horizontal="left" vertical="center"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2" fillId="0" borderId="0" applyFont="0" applyFill="0" applyBorder="0" applyAlignment="0" applyProtection="0"/>
    <xf numFmtId="164" fontId="14" fillId="0" borderId="8" applyNumberFormat="0" applyFill="0">
      <alignment horizontal="right"/>
    </xf>
    <xf numFmtId="164" fontId="15" fillId="0" borderId="8" applyNumberFormat="0" applyFill="0">
      <alignment horizontal="right"/>
    </xf>
    <xf numFmtId="165" fontId="16" fillId="0" borderId="8">
      <alignment horizontal="right" vertical="center"/>
    </xf>
    <xf numFmtId="49" fontId="17" fillId="0" borderId="8">
      <alignment horizontal="left" vertical="center"/>
    </xf>
    <xf numFmtId="164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4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2" fillId="3" borderId="0" xfId="0" applyFont="1" applyFill="1"/>
    <xf numFmtId="11" fontId="0" fillId="0" borderId="0" xfId="0" applyNumberFormat="1"/>
    <xf numFmtId="0" fontId="2" fillId="0" borderId="0" xfId="0" applyFont="1" applyAlignment="1">
      <alignment wrapText="1"/>
    </xf>
    <xf numFmtId="166" fontId="0" fillId="0" borderId="0" xfId="153" applyNumberFormat="1" applyFont="1"/>
    <xf numFmtId="9" fontId="0" fillId="0" borderId="0" xfId="154" applyFont="1"/>
    <xf numFmtId="0" fontId="41" fillId="0" borderId="0" xfId="0" applyFont="1" applyAlignment="1">
      <alignment horizontal="right"/>
    </xf>
    <xf numFmtId="9" fontId="0" fillId="0" borderId="0" xfId="154" applyFont="1" applyAlignment="1"/>
    <xf numFmtId="167" fontId="0" fillId="0" borderId="0" xfId="154" applyNumberFormat="1" applyFont="1" applyAlignment="1"/>
    <xf numFmtId="0" fontId="0" fillId="0" borderId="0" xfId="0" applyAlignment="1">
      <alignment horizontal="right"/>
    </xf>
    <xf numFmtId="11" fontId="0" fillId="28" borderId="0" xfId="0" applyNumberFormat="1" applyFill="1"/>
  </cellXfs>
  <cellStyles count="155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" xfId="153" builtinId="3"/>
    <cellStyle name="Comma 2" xfId="37" xr:uid="{00000000-0005-0000-0000-00001F000000}"/>
    <cellStyle name="Comma 2 2" xfId="38" xr:uid="{00000000-0005-0000-0000-000020000000}"/>
    <cellStyle name="Comma 3" xfId="39" xr:uid="{00000000-0005-0000-0000-000021000000}"/>
    <cellStyle name="Comma 4" xfId="40" xr:uid="{00000000-0005-0000-0000-000022000000}"/>
    <cellStyle name="Comma 5" xfId="41" xr:uid="{00000000-0005-0000-0000-000023000000}"/>
    <cellStyle name="Comma 6" xfId="42" xr:uid="{00000000-0005-0000-0000-000024000000}"/>
    <cellStyle name="Comma 7" xfId="43" xr:uid="{00000000-0005-0000-0000-000025000000}"/>
    <cellStyle name="Comma 8" xfId="44" xr:uid="{00000000-0005-0000-0000-000026000000}"/>
    <cellStyle name="Corner heading" xfId="45" xr:uid="{00000000-0005-0000-0000-000027000000}"/>
    <cellStyle name="Currency 2" xfId="46" xr:uid="{00000000-0005-0000-0000-000028000000}"/>
    <cellStyle name="Currency 3" xfId="47" xr:uid="{00000000-0005-0000-0000-000029000000}"/>
    <cellStyle name="Currency 3 2" xfId="48" xr:uid="{00000000-0005-0000-0000-00002A000000}"/>
    <cellStyle name="Data" xfId="49" xr:uid="{00000000-0005-0000-0000-00002B000000}"/>
    <cellStyle name="Data 2" xfId="50" xr:uid="{00000000-0005-0000-0000-00002C000000}"/>
    <cellStyle name="Data no deci" xfId="51" xr:uid="{00000000-0005-0000-0000-00002D000000}"/>
    <cellStyle name="Data Superscript" xfId="52" xr:uid="{00000000-0005-0000-0000-00002E000000}"/>
    <cellStyle name="Data_1-1A-Regular" xfId="53" xr:uid="{00000000-0005-0000-0000-00002F000000}"/>
    <cellStyle name="Explanatory Text 2" xfId="54" xr:uid="{00000000-0005-0000-0000-000030000000}"/>
    <cellStyle name="Font: Calibri, 9pt regular" xfId="6" xr:uid="{00000000-0005-0000-0000-000031000000}"/>
    <cellStyle name="Font: Calibri, 9pt regular 2" xfId="55" xr:uid="{00000000-0005-0000-0000-000032000000}"/>
    <cellStyle name="Footnotes: top row" xfId="2" xr:uid="{00000000-0005-0000-0000-000033000000}"/>
    <cellStyle name="Footnotes: top row 2" xfId="56" xr:uid="{00000000-0005-0000-0000-000034000000}"/>
    <cellStyle name="Good 2" xfId="57" xr:uid="{00000000-0005-0000-0000-000035000000}"/>
    <cellStyle name="Header: bottom row" xfId="5" xr:uid="{00000000-0005-0000-0000-000036000000}"/>
    <cellStyle name="Header: bottom row 2" xfId="58" xr:uid="{00000000-0005-0000-0000-000037000000}"/>
    <cellStyle name="Heading 1 2" xfId="59" xr:uid="{00000000-0005-0000-0000-000038000000}"/>
    <cellStyle name="Heading 2 2" xfId="60" xr:uid="{00000000-0005-0000-0000-000039000000}"/>
    <cellStyle name="Heading 3 2" xfId="61" xr:uid="{00000000-0005-0000-0000-00003A000000}"/>
    <cellStyle name="Heading 4 2" xfId="62" xr:uid="{00000000-0005-0000-0000-00003B000000}"/>
    <cellStyle name="Hed Side" xfId="63" xr:uid="{00000000-0005-0000-0000-00003C000000}"/>
    <cellStyle name="Hed Side 2" xfId="64" xr:uid="{00000000-0005-0000-0000-00003D000000}"/>
    <cellStyle name="Hed Side bold" xfId="65" xr:uid="{00000000-0005-0000-0000-00003E000000}"/>
    <cellStyle name="Hed Side Indent" xfId="66" xr:uid="{00000000-0005-0000-0000-00003F000000}"/>
    <cellStyle name="Hed Side Regular" xfId="67" xr:uid="{00000000-0005-0000-0000-000040000000}"/>
    <cellStyle name="Hed Side_1-1A-Regular" xfId="68" xr:uid="{00000000-0005-0000-0000-000041000000}"/>
    <cellStyle name="Hed Top" xfId="69" xr:uid="{00000000-0005-0000-0000-000042000000}"/>
    <cellStyle name="Hed Top - SECTION" xfId="70" xr:uid="{00000000-0005-0000-0000-000043000000}"/>
    <cellStyle name="Hed Top_3-new4" xfId="71" xr:uid="{00000000-0005-0000-0000-000044000000}"/>
    <cellStyle name="Hyperlink 2" xfId="72" xr:uid="{00000000-0005-0000-0000-000046000000}"/>
    <cellStyle name="Input 2" xfId="73" xr:uid="{00000000-0005-0000-0000-000047000000}"/>
    <cellStyle name="Linked Cell 2" xfId="74" xr:uid="{00000000-0005-0000-0000-000048000000}"/>
    <cellStyle name="Neutral 2" xfId="75" xr:uid="{00000000-0005-0000-0000-000049000000}"/>
    <cellStyle name="Normal" xfId="0" builtinId="0"/>
    <cellStyle name="Normal 10" xfId="76" xr:uid="{00000000-0005-0000-0000-00004B000000}"/>
    <cellStyle name="Normal 11" xfId="77" xr:uid="{00000000-0005-0000-0000-00004C000000}"/>
    <cellStyle name="Normal 2" xfId="1" xr:uid="{00000000-0005-0000-0000-00004D000000}"/>
    <cellStyle name="Normal 2 2" xfId="78" xr:uid="{00000000-0005-0000-0000-00004E000000}"/>
    <cellStyle name="Normal 2 3" xfId="79" xr:uid="{00000000-0005-0000-0000-00004F000000}"/>
    <cellStyle name="Normal 3" xfId="80" xr:uid="{00000000-0005-0000-0000-000050000000}"/>
    <cellStyle name="Normal 3 2" xfId="81" xr:uid="{00000000-0005-0000-0000-000051000000}"/>
    <cellStyle name="Normal 3 2 2" xfId="82" xr:uid="{00000000-0005-0000-0000-000052000000}"/>
    <cellStyle name="Normal 3 2 2 2" xfId="83" xr:uid="{00000000-0005-0000-0000-000053000000}"/>
    <cellStyle name="Normal 3 2 3" xfId="84" xr:uid="{00000000-0005-0000-0000-000054000000}"/>
    <cellStyle name="Normal 3 3" xfId="85" xr:uid="{00000000-0005-0000-0000-000055000000}"/>
    <cellStyle name="Normal 3 3 2" xfId="86" xr:uid="{00000000-0005-0000-0000-000056000000}"/>
    <cellStyle name="Normal 3 3 2 2" xfId="87" xr:uid="{00000000-0005-0000-0000-000057000000}"/>
    <cellStyle name="Normal 3 3 3" xfId="88" xr:uid="{00000000-0005-0000-0000-000058000000}"/>
    <cellStyle name="Normal 3 4" xfId="89" xr:uid="{00000000-0005-0000-0000-000059000000}"/>
    <cellStyle name="Normal 3 4 2" xfId="90" xr:uid="{00000000-0005-0000-0000-00005A000000}"/>
    <cellStyle name="Normal 3 5" xfId="91" xr:uid="{00000000-0005-0000-0000-00005B000000}"/>
    <cellStyle name="Normal 3 6" xfId="92" xr:uid="{00000000-0005-0000-0000-00005C000000}"/>
    <cellStyle name="Normal 3 7" xfId="93" xr:uid="{00000000-0005-0000-0000-00005D000000}"/>
    <cellStyle name="Normal 4" xfId="94" xr:uid="{00000000-0005-0000-0000-00005E000000}"/>
    <cellStyle name="Normal 4 2" xfId="95" xr:uid="{00000000-0005-0000-0000-00005F000000}"/>
    <cellStyle name="Normal 4 2 2" xfId="96" xr:uid="{00000000-0005-0000-0000-000060000000}"/>
    <cellStyle name="Normal 4 2 2 2" xfId="97" xr:uid="{00000000-0005-0000-0000-000061000000}"/>
    <cellStyle name="Normal 4 2 3" xfId="98" xr:uid="{00000000-0005-0000-0000-000062000000}"/>
    <cellStyle name="Normal 4 3" xfId="99" xr:uid="{00000000-0005-0000-0000-000063000000}"/>
    <cellStyle name="Normal 4 3 2" xfId="100" xr:uid="{00000000-0005-0000-0000-000064000000}"/>
    <cellStyle name="Normal 4 3 2 2" xfId="101" xr:uid="{00000000-0005-0000-0000-000065000000}"/>
    <cellStyle name="Normal 4 3 3" xfId="102" xr:uid="{00000000-0005-0000-0000-000066000000}"/>
    <cellStyle name="Normal 4 4" xfId="103" xr:uid="{00000000-0005-0000-0000-000067000000}"/>
    <cellStyle name="Normal 4 4 2" xfId="104" xr:uid="{00000000-0005-0000-0000-000068000000}"/>
    <cellStyle name="Normal 4 5" xfId="105" xr:uid="{00000000-0005-0000-0000-000069000000}"/>
    <cellStyle name="Normal 4 6" xfId="106" xr:uid="{00000000-0005-0000-0000-00006A000000}"/>
    <cellStyle name="Normal 4 7" xfId="107" xr:uid="{00000000-0005-0000-0000-00006B000000}"/>
    <cellStyle name="Normal 5" xfId="108" xr:uid="{00000000-0005-0000-0000-00006C000000}"/>
    <cellStyle name="Normal 5 2" xfId="109" xr:uid="{00000000-0005-0000-0000-00006D000000}"/>
    <cellStyle name="Normal 5 3" xfId="110" xr:uid="{00000000-0005-0000-0000-00006E000000}"/>
    <cellStyle name="Normal 6" xfId="111" xr:uid="{00000000-0005-0000-0000-00006F000000}"/>
    <cellStyle name="Normal 6 2" xfId="112" xr:uid="{00000000-0005-0000-0000-000070000000}"/>
    <cellStyle name="Normal 7" xfId="113" xr:uid="{00000000-0005-0000-0000-000071000000}"/>
    <cellStyle name="Normal 7 2" xfId="114" xr:uid="{00000000-0005-0000-0000-000072000000}"/>
    <cellStyle name="Normal 8" xfId="115" xr:uid="{00000000-0005-0000-0000-000073000000}"/>
    <cellStyle name="Normal 9" xfId="116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" xfId="154" builtinId="5"/>
    <cellStyle name="Percent 2" xfId="121" xr:uid="{00000000-0005-0000-0000-00007B000000}"/>
    <cellStyle name="Percent 2 2" xfId="122" xr:uid="{00000000-0005-0000-0000-00007C000000}"/>
    <cellStyle name="Percent 3" xfId="123" xr:uid="{00000000-0005-0000-0000-00007D000000}"/>
    <cellStyle name="Percent 3 2" xfId="124" xr:uid="{00000000-0005-0000-0000-00007E000000}"/>
    <cellStyle name="Percent 4" xfId="125" xr:uid="{00000000-0005-0000-0000-00007F000000}"/>
    <cellStyle name="Reference" xfId="126" xr:uid="{00000000-0005-0000-0000-000080000000}"/>
    <cellStyle name="Row heading" xfId="127" xr:uid="{00000000-0005-0000-0000-000081000000}"/>
    <cellStyle name="Source Hed" xfId="128" xr:uid="{00000000-0005-0000-0000-000082000000}"/>
    <cellStyle name="Source Letter" xfId="129" xr:uid="{00000000-0005-0000-0000-000083000000}"/>
    <cellStyle name="Source Superscript" xfId="130" xr:uid="{00000000-0005-0000-0000-000084000000}"/>
    <cellStyle name="Source Superscript 2" xfId="131" xr:uid="{00000000-0005-0000-0000-000085000000}"/>
    <cellStyle name="Source Text" xfId="132" xr:uid="{00000000-0005-0000-0000-000086000000}"/>
    <cellStyle name="Source Text 2" xfId="133" xr:uid="{00000000-0005-0000-0000-000087000000}"/>
    <cellStyle name="State" xfId="134" xr:uid="{00000000-0005-0000-0000-000088000000}"/>
    <cellStyle name="Superscript" xfId="135" xr:uid="{00000000-0005-0000-0000-000089000000}"/>
    <cellStyle name="Table Data" xfId="136" xr:uid="{00000000-0005-0000-0000-00008A000000}"/>
    <cellStyle name="Table Head Top" xfId="137" xr:uid="{00000000-0005-0000-0000-00008B000000}"/>
    <cellStyle name="Table Hed Side" xfId="138" xr:uid="{00000000-0005-0000-0000-00008C000000}"/>
    <cellStyle name="Table title" xfId="7" xr:uid="{00000000-0005-0000-0000-00008D000000}"/>
    <cellStyle name="Table title 2" xfId="139" xr:uid="{00000000-0005-0000-0000-00008E000000}"/>
    <cellStyle name="Title 2" xfId="140" xr:uid="{00000000-0005-0000-0000-00008F000000}"/>
    <cellStyle name="Title Text" xfId="141" xr:uid="{00000000-0005-0000-0000-000090000000}"/>
    <cellStyle name="Title Text 1" xfId="142" xr:uid="{00000000-0005-0000-0000-000091000000}"/>
    <cellStyle name="Title Text 2" xfId="143" xr:uid="{00000000-0005-0000-0000-000092000000}"/>
    <cellStyle name="Title-1" xfId="144" xr:uid="{00000000-0005-0000-0000-000093000000}"/>
    <cellStyle name="Title-2" xfId="145" xr:uid="{00000000-0005-0000-0000-000094000000}"/>
    <cellStyle name="Title-3" xfId="146" xr:uid="{00000000-0005-0000-0000-000095000000}"/>
    <cellStyle name="Total 2" xfId="147" xr:uid="{00000000-0005-0000-0000-000096000000}"/>
    <cellStyle name="Warning Text 2" xfId="148" xr:uid="{00000000-0005-0000-0000-000097000000}"/>
    <cellStyle name="Wrap" xfId="149" xr:uid="{00000000-0005-0000-0000-000098000000}"/>
    <cellStyle name="Wrap Bold" xfId="150" xr:uid="{00000000-0005-0000-0000-000099000000}"/>
    <cellStyle name="Wrap Title" xfId="151" xr:uid="{00000000-0005-0000-0000-00009A000000}"/>
    <cellStyle name="Wrap_NTS99-~11" xfId="152" xr:uid="{00000000-0005-0000-0000-00009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chel%20Goldstein\AppData\Local\Temp\1d09d4ec-eaf1-46f0-8e03-6a6d813c68f1_updata_files%20(002).zip.8f1\updata_files\transportation\Start%20Year%20Fleet%20Avg%20Fuel%20Economy_new.xlsx" TargetMode="External"/><Relationship Id="rId1" Type="http://schemas.openxmlformats.org/officeDocument/2006/relationships/externalLinkPath" Target="/Users/Rachel%20Goldstein/AppData/Local/Temp/1d09d4ec-eaf1-46f0-8e03-6a6d813c68f1_updata_files%20(002).zip.8f1/updata_files/transportation/Start%20Year%20Fleet%20Avg%20Fuel%20Economy_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SYVbT-passenger"/>
      <sheetName val="SYVbT-freight"/>
      <sheetName val="AVLo-passengers"/>
      <sheetName val="AVLo-freight"/>
      <sheetName val="BAADTbVT-Passenger"/>
      <sheetName val="BAADTbVT-Freight"/>
      <sheetName val="BCDTRTSY_Passenger"/>
      <sheetName val="BCDTRTSY_freight"/>
      <sheetName val="Total_CargoDistance"/>
      <sheetName val="Total_CargoDistance_annual"/>
      <sheetName val="Road"/>
      <sheetName val="Motobikes"/>
      <sheetName val="aircraft"/>
      <sheetName val="rail"/>
      <sheetName val="ships"/>
      <sheetName val="AEO 7"/>
      <sheetName val="SYFAFE-psgr"/>
      <sheetName val="SYFAFE-frg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42">
          <cell r="C42">
            <v>3.4494855384074131E-4</v>
          </cell>
          <cell r="D42">
            <v>4.537587230344271E-4</v>
          </cell>
          <cell r="E42">
            <v>3.3955214948039873E-4</v>
          </cell>
          <cell r="F42">
            <v>3.8835543291031518E-4</v>
          </cell>
          <cell r="G42">
            <v>1.147549878921855E-4</v>
          </cell>
          <cell r="H42">
            <v>4.3237660652546884E-4</v>
          </cell>
          <cell r="I42">
            <v>1.9715881593092513E-4</v>
          </cell>
        </row>
        <row r="43">
          <cell r="C43">
            <v>4.3725550386066337E-4</v>
          </cell>
          <cell r="D43">
            <v>5.6725587224799282E-4</v>
          </cell>
          <cell r="E43">
            <v>4.3041504176466358E-4</v>
          </cell>
          <cell r="F43">
            <v>5.3012016240422985E-4</v>
          </cell>
          <cell r="G43">
            <v>1.454629958370202E-4</v>
          </cell>
          <cell r="H43">
            <v>5.4052551857085361E-4</v>
          </cell>
          <cell r="I43">
            <v>2.4647349003975621E-4</v>
          </cell>
        </row>
        <row r="44">
          <cell r="C44">
            <v>7.2592367078105297E-5</v>
          </cell>
          <cell r="D44">
            <v>1.7537305636668391E-4</v>
          </cell>
          <cell r="E44">
            <v>6.4283975580087249E-5</v>
          </cell>
          <cell r="F44">
            <v>1.1078813107746625E-4</v>
          </cell>
          <cell r="G44">
            <v>0</v>
          </cell>
          <cell r="H44">
            <v>7.6997048982108972E-5</v>
          </cell>
          <cell r="I44">
            <v>0</v>
          </cell>
        </row>
        <row r="45">
          <cell r="C45">
            <v>5.8062169096135046E-3</v>
          </cell>
          <cell r="D45">
            <v>0</v>
          </cell>
          <cell r="E45">
            <v>5.1416797805848074E-3</v>
          </cell>
          <cell r="F45">
            <v>9.5424417025899051E-3</v>
          </cell>
          <cell r="G45">
            <v>0</v>
          </cell>
          <cell r="H45">
            <v>6.0736454453848921E-3</v>
          </cell>
          <cell r="I45">
            <v>0</v>
          </cell>
        </row>
      </sheetData>
      <sheetData sheetId="12">
        <row r="18">
          <cell r="D18">
            <v>5.9831905534842047E-5</v>
          </cell>
        </row>
        <row r="19">
          <cell r="D19">
            <v>5.983190553484204E-5</v>
          </cell>
        </row>
      </sheetData>
      <sheetData sheetId="13">
        <row r="23">
          <cell r="C23">
            <v>0</v>
          </cell>
          <cell r="D23">
            <v>0</v>
          </cell>
          <cell r="E23">
            <v>0</v>
          </cell>
          <cell r="F23">
            <v>6.3999198108760673E-3</v>
          </cell>
          <cell r="G23">
            <v>0</v>
          </cell>
          <cell r="H23">
            <v>0</v>
          </cell>
          <cell r="I23">
            <v>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2.992789097910166E-2</v>
          </cell>
          <cell r="G24">
            <v>0</v>
          </cell>
          <cell r="H24">
            <v>0</v>
          </cell>
          <cell r="I24">
            <v>0</v>
          </cell>
        </row>
      </sheetData>
      <sheetData sheetId="14">
        <row r="22">
          <cell r="C22">
            <v>7.8030705230531052E-4</v>
          </cell>
          <cell r="D22">
            <v>0</v>
          </cell>
          <cell r="E22">
            <v>0</v>
          </cell>
          <cell r="F22">
            <v>5.5294125429859176E-3</v>
          </cell>
          <cell r="G22">
            <v>0</v>
          </cell>
          <cell r="H22">
            <v>0</v>
          </cell>
          <cell r="I22">
            <v>0</v>
          </cell>
        </row>
        <row r="23">
          <cell r="C23">
            <v>1.0021251453207708E-3</v>
          </cell>
          <cell r="D23">
            <v>0</v>
          </cell>
          <cell r="E23">
            <v>0</v>
          </cell>
          <cell r="F23">
            <v>1.6108650602655154E-2</v>
          </cell>
          <cell r="G23">
            <v>0</v>
          </cell>
          <cell r="H23">
            <v>0</v>
          </cell>
          <cell r="I23">
            <v>0</v>
          </cell>
        </row>
      </sheetData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>
      <selection activeCell="B8" sqref="B8"/>
    </sheetView>
  </sheetViews>
  <sheetFormatPr defaultRowHeight="14.5"/>
  <cols>
    <col min="1" max="1" width="13.36328125" customWidth="1"/>
    <col min="2" max="2" width="107.36328125" customWidth="1"/>
  </cols>
  <sheetData>
    <row r="1" spans="1:2">
      <c r="A1" s="1" t="s">
        <v>8</v>
      </c>
    </row>
    <row r="3" spans="1:2">
      <c r="A3" s="1" t="s">
        <v>0</v>
      </c>
      <c r="B3" s="2" t="s">
        <v>18</v>
      </c>
    </row>
    <row r="5" spans="1:2">
      <c r="A5" s="1"/>
    </row>
  </sheetData>
  <phoneticPr fontId="4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8C21D-4939-4BB5-83B1-F132ABBAD71C}">
  <dimension ref="A1:H13"/>
  <sheetViews>
    <sheetView tabSelected="1" workbookViewId="0">
      <selection activeCell="I13" sqref="I13"/>
    </sheetView>
  </sheetViews>
  <sheetFormatPr defaultColWidth="9" defaultRowHeight="14.5"/>
  <cols>
    <col min="1" max="1" width="22.08984375" bestFit="1" customWidth="1"/>
    <col min="2" max="2" width="20.81640625" bestFit="1" customWidth="1"/>
    <col min="3" max="3" width="17.1796875" bestFit="1" customWidth="1"/>
    <col min="4" max="4" width="14.81640625" bestFit="1" customWidth="1"/>
    <col min="5" max="5" width="12.36328125" bestFit="1" customWidth="1"/>
    <col min="6" max="6" width="19.1796875" bestFit="1" customWidth="1"/>
    <col min="7" max="7" width="10.90625" bestFit="1" customWidth="1"/>
    <col min="8" max="8" width="15.90625" bestFit="1" customWidth="1"/>
  </cols>
  <sheetData>
    <row r="1" spans="1:8" ht="29">
      <c r="A1" s="4" t="s">
        <v>16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13</v>
      </c>
      <c r="H1" s="7" t="s">
        <v>14</v>
      </c>
    </row>
    <row r="2" spans="1:8">
      <c r="A2" t="s">
        <v>9</v>
      </c>
      <c r="B2" s="3">
        <f>[2]Road!C42</f>
        <v>3.4494855384074131E-4</v>
      </c>
      <c r="C2" s="3">
        <f>[2]Road!D42</f>
        <v>4.537587230344271E-4</v>
      </c>
      <c r="D2" s="3">
        <f>[2]Road!E42</f>
        <v>3.3955214948039873E-4</v>
      </c>
      <c r="E2" s="3">
        <f>[2]Road!F42</f>
        <v>3.8835543291031518E-4</v>
      </c>
      <c r="F2" s="3">
        <f>[2]Road!G42</f>
        <v>1.147549878921855E-4</v>
      </c>
      <c r="G2" s="3">
        <f>[2]Road!H42</f>
        <v>4.3237660652546884E-4</v>
      </c>
      <c r="H2" s="3">
        <f>[2]Road!I42</f>
        <v>1.9715881593092513E-4</v>
      </c>
    </row>
    <row r="3" spans="1:8">
      <c r="A3" t="s">
        <v>7</v>
      </c>
      <c r="B3" s="3">
        <f>[2]Road!C43</f>
        <v>4.3725550386066337E-4</v>
      </c>
      <c r="C3" s="3">
        <f>[2]Road!D43</f>
        <v>5.6725587224799282E-4</v>
      </c>
      <c r="D3" s="3">
        <f>[2]Road!E43</f>
        <v>4.3041504176466358E-4</v>
      </c>
      <c r="E3" s="3">
        <f>[2]Road!F43</f>
        <v>5.3012016240422985E-4</v>
      </c>
      <c r="F3" s="3">
        <f>[2]Road!G43</f>
        <v>1.454629958370202E-4</v>
      </c>
      <c r="G3" s="3">
        <f>[2]Road!H43</f>
        <v>5.4052551857085361E-4</v>
      </c>
      <c r="H3" s="3">
        <f>[2]Road!I43</f>
        <v>2.4647349003975621E-4</v>
      </c>
    </row>
    <row r="4" spans="1:8">
      <c r="A4" t="s">
        <v>6</v>
      </c>
      <c r="B4" s="3">
        <f>[2]aircraft!C23</f>
        <v>0</v>
      </c>
      <c r="C4" s="3">
        <f>[2]aircraft!D23</f>
        <v>0</v>
      </c>
      <c r="D4" s="3">
        <f>[2]aircraft!E23</f>
        <v>0</v>
      </c>
      <c r="E4" s="3">
        <f>[2]aircraft!F23</f>
        <v>6.3999198108760673E-3</v>
      </c>
      <c r="F4" s="3">
        <f>[2]aircraft!G23</f>
        <v>0</v>
      </c>
      <c r="G4" s="3">
        <f>[2]aircraft!H23</f>
        <v>0</v>
      </c>
      <c r="H4" s="3">
        <f>[2]aircraft!I23</f>
        <v>0</v>
      </c>
    </row>
    <row r="5" spans="1:8">
      <c r="A5" t="s">
        <v>10</v>
      </c>
      <c r="B5" s="3">
        <f>[2]rail!C22</f>
        <v>7.8030705230531052E-4</v>
      </c>
      <c r="C5" s="3">
        <f>[2]rail!D22</f>
        <v>0</v>
      </c>
      <c r="D5" s="3">
        <f>[2]rail!E22</f>
        <v>0</v>
      </c>
      <c r="E5" s="3">
        <f>[2]rail!F22</f>
        <v>5.5294125429859176E-3</v>
      </c>
      <c r="F5" s="3">
        <f>[2]rail!G22</f>
        <v>0</v>
      </c>
      <c r="G5" s="3">
        <f>[2]rail!H22</f>
        <v>0</v>
      </c>
      <c r="H5" s="3">
        <f>[2]rail!I22</f>
        <v>0</v>
      </c>
    </row>
    <row r="6" spans="1:8">
      <c r="A6" t="s">
        <v>11</v>
      </c>
      <c r="B6" s="3">
        <v>3.2293482418666772E-5</v>
      </c>
      <c r="C6" s="3">
        <v>0</v>
      </c>
      <c r="D6" s="3">
        <v>1.0049397002369564E-5</v>
      </c>
      <c r="E6" s="3">
        <v>1.0049397002369565E-5</v>
      </c>
      <c r="F6" s="3">
        <v>0</v>
      </c>
      <c r="G6" s="3">
        <v>0</v>
      </c>
      <c r="H6" s="3">
        <v>3.0148191007108693E-5</v>
      </c>
    </row>
    <row r="7" spans="1:8">
      <c r="A7" t="s">
        <v>12</v>
      </c>
      <c r="B7" s="3">
        <v>0</v>
      </c>
      <c r="C7" s="3">
        <v>0</v>
      </c>
      <c r="D7" s="3">
        <f>[2]Motobikes!D18</f>
        <v>5.9831905534842047E-5</v>
      </c>
      <c r="E7" s="3">
        <v>0</v>
      </c>
      <c r="F7" s="3">
        <v>0</v>
      </c>
      <c r="G7" s="3">
        <v>0</v>
      </c>
      <c r="H7" s="3">
        <v>0</v>
      </c>
    </row>
    <row r="10" spans="1:8">
      <c r="B10" s="8"/>
      <c r="C10" s="8"/>
      <c r="D10" s="8"/>
      <c r="E10" s="9"/>
      <c r="F10" s="8"/>
      <c r="G10" s="8"/>
      <c r="H10" s="8"/>
    </row>
    <row r="11" spans="1:8">
      <c r="B11" s="8"/>
      <c r="C11" s="8"/>
      <c r="D11" s="8"/>
      <c r="E11" s="8"/>
      <c r="F11" s="8"/>
      <c r="G11" s="8"/>
      <c r="H11" s="8"/>
    </row>
    <row r="12" spans="1:8">
      <c r="B12" s="8"/>
      <c r="C12" s="8"/>
      <c r="D12" s="8"/>
      <c r="E12" s="8"/>
      <c r="F12" s="8"/>
      <c r="G12" s="8"/>
      <c r="H12" s="8"/>
    </row>
    <row r="13" spans="1:8">
      <c r="B13" s="8"/>
      <c r="C13" s="8"/>
      <c r="D13" s="8"/>
      <c r="E13" s="8"/>
      <c r="F13" s="8"/>
      <c r="G13" s="8"/>
      <c r="H13" s="8"/>
    </row>
  </sheetData>
  <phoneticPr fontId="4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3F229-11AA-46C5-A65C-D98510BBA29C}">
  <dimension ref="A1:H10"/>
  <sheetViews>
    <sheetView workbookViewId="0">
      <selection activeCell="I7" sqref="I7"/>
    </sheetView>
  </sheetViews>
  <sheetFormatPr defaultColWidth="9" defaultRowHeight="14.5"/>
  <cols>
    <col min="1" max="1" width="21.36328125" bestFit="1" customWidth="1"/>
    <col min="2" max="2" width="27.453125" customWidth="1"/>
    <col min="3" max="3" width="17.1796875" bestFit="1" customWidth="1"/>
    <col min="4" max="4" width="14.81640625" bestFit="1" customWidth="1"/>
    <col min="5" max="5" width="12.36328125" bestFit="1" customWidth="1"/>
    <col min="6" max="6" width="19.1796875" bestFit="1" customWidth="1"/>
    <col min="7" max="7" width="10.90625" bestFit="1" customWidth="1"/>
    <col min="8" max="8" width="15.90625" bestFit="1" customWidth="1"/>
  </cols>
  <sheetData>
    <row r="1" spans="1:8" ht="29">
      <c r="A1" s="4" t="s">
        <v>17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13</v>
      </c>
      <c r="H1" s="10" t="s">
        <v>14</v>
      </c>
    </row>
    <row r="2" spans="1:8">
      <c r="A2" t="s">
        <v>9</v>
      </c>
      <c r="B2" s="3">
        <f>[2]Road!C44</f>
        <v>7.2592367078105297E-5</v>
      </c>
      <c r="C2" s="3">
        <f>[2]Road!D44</f>
        <v>1.7537305636668391E-4</v>
      </c>
      <c r="D2" s="3">
        <f>[2]Road!E44</f>
        <v>6.4283975580087249E-5</v>
      </c>
      <c r="E2" s="3">
        <f>[2]Road!F44</f>
        <v>1.1078813107746625E-4</v>
      </c>
      <c r="F2" s="3">
        <f>[2]Road!G44</f>
        <v>0</v>
      </c>
      <c r="G2" s="3">
        <f>[2]Road!H44</f>
        <v>7.6997048982108972E-5</v>
      </c>
      <c r="H2" s="3">
        <f>[2]Road!I44</f>
        <v>0</v>
      </c>
    </row>
    <row r="3" spans="1:8">
      <c r="A3" t="s">
        <v>7</v>
      </c>
      <c r="B3" s="3">
        <f>[2]Road!C45</f>
        <v>5.8062169096135046E-3</v>
      </c>
      <c r="C3" s="3">
        <f>[2]Road!D45</f>
        <v>0</v>
      </c>
      <c r="D3" s="3">
        <f>[2]Road!E45</f>
        <v>5.1416797805848074E-3</v>
      </c>
      <c r="E3" s="3">
        <f>[2]Road!F45</f>
        <v>9.5424417025899051E-3</v>
      </c>
      <c r="F3" s="3">
        <f>[2]Road!G45</f>
        <v>0</v>
      </c>
      <c r="G3" s="3">
        <f>[2]Road!H45</f>
        <v>6.0736454453848921E-3</v>
      </c>
      <c r="H3" s="3">
        <f>[2]Road!I45</f>
        <v>0</v>
      </c>
    </row>
    <row r="4" spans="1:8">
      <c r="A4" t="s">
        <v>6</v>
      </c>
      <c r="B4" s="3">
        <f>[2]aircraft!C24</f>
        <v>0</v>
      </c>
      <c r="C4" s="3">
        <f>[2]aircraft!D24</f>
        <v>0</v>
      </c>
      <c r="D4" s="3">
        <f>[2]aircraft!E24</f>
        <v>0</v>
      </c>
      <c r="E4" s="3">
        <f>[2]aircraft!F24</f>
        <v>2.992789097910166E-2</v>
      </c>
      <c r="F4" s="3">
        <f>[2]aircraft!G24</f>
        <v>0</v>
      </c>
      <c r="G4" s="3">
        <f>[2]aircraft!H24</f>
        <v>0</v>
      </c>
      <c r="H4" s="3">
        <f>[2]aircraft!I24</f>
        <v>0</v>
      </c>
    </row>
    <row r="5" spans="1:8">
      <c r="A5" t="s">
        <v>10</v>
      </c>
      <c r="B5" s="3">
        <f>[2]rail!C23</f>
        <v>1.0021251453207708E-3</v>
      </c>
      <c r="C5" s="3">
        <f>[2]rail!D23</f>
        <v>0</v>
      </c>
      <c r="D5" s="3">
        <f>[2]rail!E23</f>
        <v>0</v>
      </c>
      <c r="E5" s="3">
        <f>[2]rail!F23</f>
        <v>1.6108650602655154E-2</v>
      </c>
      <c r="F5" s="3">
        <f>[2]rail!G23</f>
        <v>0</v>
      </c>
      <c r="G5" s="3">
        <f>[2]rail!H23</f>
        <v>0</v>
      </c>
      <c r="H5" s="3">
        <f>[2]rail!I23</f>
        <v>0</v>
      </c>
    </row>
    <row r="6" spans="1:8">
      <c r="A6" t="s">
        <v>11</v>
      </c>
      <c r="B6" s="3">
        <v>1.5467626362604087E-2</v>
      </c>
      <c r="C6" s="3">
        <v>4.813365E-3</v>
      </c>
      <c r="D6" s="3">
        <v>4.813365E-3</v>
      </c>
      <c r="E6" s="11">
        <v>4.813365E-3</v>
      </c>
      <c r="F6" s="3">
        <v>0</v>
      </c>
      <c r="G6" s="3">
        <v>0</v>
      </c>
      <c r="H6" s="3">
        <v>1.4440094999999998E-2</v>
      </c>
    </row>
    <row r="7" spans="1:8">
      <c r="A7" t="s">
        <v>12</v>
      </c>
      <c r="B7" s="3">
        <v>0</v>
      </c>
      <c r="C7" s="3">
        <v>0</v>
      </c>
      <c r="D7" s="3">
        <f>[2]Motobikes!D19</f>
        <v>5.983190553484204E-5</v>
      </c>
      <c r="E7" s="3">
        <v>0</v>
      </c>
      <c r="F7" s="3">
        <v>0</v>
      </c>
      <c r="G7" s="3">
        <v>0</v>
      </c>
      <c r="H7" s="3">
        <v>0</v>
      </c>
    </row>
    <row r="10" spans="1:8">
      <c r="B10" s="9"/>
      <c r="C10" s="8"/>
      <c r="D10" s="8"/>
      <c r="E10" s="8"/>
      <c r="F10" s="8"/>
      <c r="G10" s="8"/>
      <c r="H10" s="8"/>
    </row>
  </sheetData>
  <phoneticPr fontId="4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I10"/>
  <sheetViews>
    <sheetView workbookViewId="0">
      <selection activeCell="I7" sqref="I7"/>
    </sheetView>
  </sheetViews>
  <sheetFormatPr defaultRowHeight="14.5"/>
  <cols>
    <col min="1" max="1" width="31.08984375" customWidth="1"/>
  </cols>
  <sheetData>
    <row r="1" spans="1:35">
      <c r="A1" s="4" t="s">
        <v>15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1</v>
      </c>
      <c r="B2" s="3">
        <f t="array" ref="B2:B8">TRANSPOSE('SYFAFE-psgr'!B2:H2)</f>
        <v>3.4494855384074131E-4</v>
      </c>
      <c r="C2" s="3">
        <f>B2</f>
        <v>3.4494855384074131E-4</v>
      </c>
      <c r="D2" s="3">
        <f t="shared" ref="D2:AF8" si="0">C2</f>
        <v>3.4494855384074131E-4</v>
      </c>
      <c r="E2" s="3">
        <f t="shared" si="0"/>
        <v>3.4494855384074131E-4</v>
      </c>
      <c r="F2" s="3">
        <f t="shared" si="0"/>
        <v>3.4494855384074131E-4</v>
      </c>
      <c r="G2" s="3">
        <f t="shared" si="0"/>
        <v>3.4494855384074131E-4</v>
      </c>
      <c r="H2" s="3">
        <f t="shared" si="0"/>
        <v>3.4494855384074131E-4</v>
      </c>
      <c r="I2" s="3">
        <f t="shared" si="0"/>
        <v>3.4494855384074131E-4</v>
      </c>
      <c r="J2" s="3">
        <f t="shared" si="0"/>
        <v>3.4494855384074131E-4</v>
      </c>
      <c r="K2" s="3">
        <f t="shared" si="0"/>
        <v>3.4494855384074131E-4</v>
      </c>
      <c r="L2" s="3">
        <f t="shared" si="0"/>
        <v>3.4494855384074131E-4</v>
      </c>
      <c r="M2" s="3">
        <f t="shared" si="0"/>
        <v>3.4494855384074131E-4</v>
      </c>
      <c r="N2" s="3">
        <f t="shared" si="0"/>
        <v>3.4494855384074131E-4</v>
      </c>
      <c r="O2" s="3">
        <f t="shared" si="0"/>
        <v>3.4494855384074131E-4</v>
      </c>
      <c r="P2" s="3">
        <f t="shared" si="0"/>
        <v>3.4494855384074131E-4</v>
      </c>
      <c r="Q2" s="3">
        <f t="shared" si="0"/>
        <v>3.4494855384074131E-4</v>
      </c>
      <c r="R2" s="3">
        <f t="shared" si="0"/>
        <v>3.4494855384074131E-4</v>
      </c>
      <c r="S2" s="3">
        <f t="shared" si="0"/>
        <v>3.4494855384074131E-4</v>
      </c>
      <c r="T2" s="3">
        <f t="shared" si="0"/>
        <v>3.4494855384074131E-4</v>
      </c>
      <c r="U2" s="3">
        <f t="shared" si="0"/>
        <v>3.4494855384074131E-4</v>
      </c>
      <c r="V2" s="3">
        <f t="shared" si="0"/>
        <v>3.4494855384074131E-4</v>
      </c>
      <c r="W2" s="3">
        <f t="shared" si="0"/>
        <v>3.4494855384074131E-4</v>
      </c>
      <c r="X2" s="3">
        <f t="shared" si="0"/>
        <v>3.4494855384074131E-4</v>
      </c>
      <c r="Y2" s="3">
        <f t="shared" si="0"/>
        <v>3.4494855384074131E-4</v>
      </c>
      <c r="Z2" s="3">
        <f t="shared" si="0"/>
        <v>3.4494855384074131E-4</v>
      </c>
      <c r="AA2" s="3">
        <f t="shared" si="0"/>
        <v>3.4494855384074131E-4</v>
      </c>
      <c r="AB2" s="3">
        <f t="shared" si="0"/>
        <v>3.4494855384074131E-4</v>
      </c>
      <c r="AC2" s="3">
        <f t="shared" si="0"/>
        <v>3.4494855384074131E-4</v>
      </c>
      <c r="AD2" s="3">
        <f t="shared" si="0"/>
        <v>3.4494855384074131E-4</v>
      </c>
      <c r="AE2" s="3">
        <f t="shared" si="0"/>
        <v>3.4494855384074131E-4</v>
      </c>
      <c r="AF2" s="3">
        <f t="shared" si="0"/>
        <v>3.4494855384074131E-4</v>
      </c>
      <c r="AH2" s="3"/>
      <c r="AI2" s="3"/>
    </row>
    <row r="3" spans="1:35">
      <c r="A3" t="s">
        <v>2</v>
      </c>
      <c r="B3" s="3">
        <v>4.537587230344271E-4</v>
      </c>
      <c r="C3" s="3">
        <f t="shared" ref="C3:R8" si="1">B3</f>
        <v>4.537587230344271E-4</v>
      </c>
      <c r="D3" s="3">
        <f t="shared" si="1"/>
        <v>4.537587230344271E-4</v>
      </c>
      <c r="E3" s="3">
        <f t="shared" si="1"/>
        <v>4.537587230344271E-4</v>
      </c>
      <c r="F3" s="3">
        <f t="shared" si="1"/>
        <v>4.537587230344271E-4</v>
      </c>
      <c r="G3" s="3">
        <f t="shared" si="1"/>
        <v>4.537587230344271E-4</v>
      </c>
      <c r="H3" s="3">
        <f t="shared" si="1"/>
        <v>4.537587230344271E-4</v>
      </c>
      <c r="I3" s="3">
        <f t="shared" si="1"/>
        <v>4.537587230344271E-4</v>
      </c>
      <c r="J3" s="3">
        <f t="shared" si="1"/>
        <v>4.537587230344271E-4</v>
      </c>
      <c r="K3" s="3">
        <f t="shared" si="1"/>
        <v>4.537587230344271E-4</v>
      </c>
      <c r="L3" s="3">
        <f t="shared" si="1"/>
        <v>4.537587230344271E-4</v>
      </c>
      <c r="M3" s="3">
        <f t="shared" si="1"/>
        <v>4.537587230344271E-4</v>
      </c>
      <c r="N3" s="3">
        <f t="shared" si="1"/>
        <v>4.537587230344271E-4</v>
      </c>
      <c r="O3" s="3">
        <f t="shared" si="1"/>
        <v>4.537587230344271E-4</v>
      </c>
      <c r="P3" s="3">
        <f t="shared" si="1"/>
        <v>4.537587230344271E-4</v>
      </c>
      <c r="Q3" s="3">
        <f t="shared" si="1"/>
        <v>4.537587230344271E-4</v>
      </c>
      <c r="R3" s="3">
        <f t="shared" si="1"/>
        <v>4.537587230344271E-4</v>
      </c>
      <c r="S3" s="3">
        <f t="shared" si="0"/>
        <v>4.537587230344271E-4</v>
      </c>
      <c r="T3" s="3">
        <f t="shared" si="0"/>
        <v>4.537587230344271E-4</v>
      </c>
      <c r="U3" s="3">
        <f t="shared" si="0"/>
        <v>4.537587230344271E-4</v>
      </c>
      <c r="V3" s="3">
        <f t="shared" si="0"/>
        <v>4.537587230344271E-4</v>
      </c>
      <c r="W3" s="3">
        <f t="shared" si="0"/>
        <v>4.537587230344271E-4</v>
      </c>
      <c r="X3" s="3">
        <f t="shared" si="0"/>
        <v>4.537587230344271E-4</v>
      </c>
      <c r="Y3" s="3">
        <f t="shared" si="0"/>
        <v>4.537587230344271E-4</v>
      </c>
      <c r="Z3" s="3">
        <f t="shared" si="0"/>
        <v>4.537587230344271E-4</v>
      </c>
      <c r="AA3" s="3">
        <f t="shared" si="0"/>
        <v>4.537587230344271E-4</v>
      </c>
      <c r="AB3" s="3">
        <f t="shared" si="0"/>
        <v>4.537587230344271E-4</v>
      </c>
      <c r="AC3" s="3">
        <f t="shared" si="0"/>
        <v>4.537587230344271E-4</v>
      </c>
      <c r="AD3" s="3">
        <f t="shared" si="0"/>
        <v>4.537587230344271E-4</v>
      </c>
      <c r="AE3" s="3">
        <f t="shared" si="0"/>
        <v>4.537587230344271E-4</v>
      </c>
      <c r="AF3" s="3">
        <f t="shared" si="0"/>
        <v>4.537587230344271E-4</v>
      </c>
      <c r="AH3" s="3"/>
      <c r="AI3" s="3"/>
    </row>
    <row r="4" spans="1:35">
      <c r="A4" t="s">
        <v>3</v>
      </c>
      <c r="B4" s="3">
        <v>3.3955214948039873E-4</v>
      </c>
      <c r="C4" s="3">
        <f t="shared" si="1"/>
        <v>3.3955214948039873E-4</v>
      </c>
      <c r="D4" s="3">
        <f t="shared" si="0"/>
        <v>3.3955214948039873E-4</v>
      </c>
      <c r="E4" s="3">
        <f t="shared" si="0"/>
        <v>3.3955214948039873E-4</v>
      </c>
      <c r="F4" s="3">
        <f t="shared" si="0"/>
        <v>3.3955214948039873E-4</v>
      </c>
      <c r="G4" s="3">
        <f t="shared" si="0"/>
        <v>3.3955214948039873E-4</v>
      </c>
      <c r="H4" s="3">
        <f t="shared" si="0"/>
        <v>3.3955214948039873E-4</v>
      </c>
      <c r="I4" s="3">
        <f t="shared" si="0"/>
        <v>3.3955214948039873E-4</v>
      </c>
      <c r="J4" s="3">
        <f t="shared" si="0"/>
        <v>3.3955214948039873E-4</v>
      </c>
      <c r="K4" s="3">
        <f t="shared" si="0"/>
        <v>3.3955214948039873E-4</v>
      </c>
      <c r="L4" s="3">
        <f t="shared" si="0"/>
        <v>3.3955214948039873E-4</v>
      </c>
      <c r="M4" s="3">
        <f t="shared" si="0"/>
        <v>3.3955214948039873E-4</v>
      </c>
      <c r="N4" s="3">
        <f t="shared" si="0"/>
        <v>3.3955214948039873E-4</v>
      </c>
      <c r="O4" s="3">
        <f t="shared" si="0"/>
        <v>3.3955214948039873E-4</v>
      </c>
      <c r="P4" s="3">
        <f t="shared" si="0"/>
        <v>3.3955214948039873E-4</v>
      </c>
      <c r="Q4" s="3">
        <f t="shared" si="0"/>
        <v>3.3955214948039873E-4</v>
      </c>
      <c r="R4" s="3">
        <f t="shared" si="0"/>
        <v>3.3955214948039873E-4</v>
      </c>
      <c r="S4" s="3">
        <f t="shared" si="0"/>
        <v>3.3955214948039873E-4</v>
      </c>
      <c r="T4" s="3">
        <f t="shared" si="0"/>
        <v>3.3955214948039873E-4</v>
      </c>
      <c r="U4" s="3">
        <f t="shared" si="0"/>
        <v>3.3955214948039873E-4</v>
      </c>
      <c r="V4" s="3">
        <f t="shared" si="0"/>
        <v>3.3955214948039873E-4</v>
      </c>
      <c r="W4" s="3">
        <f t="shared" si="0"/>
        <v>3.3955214948039873E-4</v>
      </c>
      <c r="X4" s="3">
        <f t="shared" si="0"/>
        <v>3.3955214948039873E-4</v>
      </c>
      <c r="Y4" s="3">
        <f t="shared" si="0"/>
        <v>3.3955214948039873E-4</v>
      </c>
      <c r="Z4" s="3">
        <f t="shared" si="0"/>
        <v>3.3955214948039873E-4</v>
      </c>
      <c r="AA4" s="3">
        <f t="shared" si="0"/>
        <v>3.3955214948039873E-4</v>
      </c>
      <c r="AB4" s="3">
        <f t="shared" si="0"/>
        <v>3.3955214948039873E-4</v>
      </c>
      <c r="AC4" s="3">
        <f t="shared" si="0"/>
        <v>3.3955214948039873E-4</v>
      </c>
      <c r="AD4" s="3">
        <f t="shared" si="0"/>
        <v>3.3955214948039873E-4</v>
      </c>
      <c r="AE4" s="3">
        <f t="shared" si="0"/>
        <v>3.3955214948039873E-4</v>
      </c>
      <c r="AF4" s="3">
        <f t="shared" si="0"/>
        <v>3.3955214948039873E-4</v>
      </c>
      <c r="AH4" s="3"/>
      <c r="AI4" s="3"/>
    </row>
    <row r="5" spans="1:35">
      <c r="A5" t="s">
        <v>4</v>
      </c>
      <c r="B5" s="3">
        <v>3.8835543291031518E-4</v>
      </c>
      <c r="C5" s="3">
        <f t="shared" si="1"/>
        <v>3.8835543291031518E-4</v>
      </c>
      <c r="D5" s="3">
        <f t="shared" si="0"/>
        <v>3.8835543291031518E-4</v>
      </c>
      <c r="E5" s="3">
        <f t="shared" si="0"/>
        <v>3.8835543291031518E-4</v>
      </c>
      <c r="F5" s="3">
        <f t="shared" si="0"/>
        <v>3.8835543291031518E-4</v>
      </c>
      <c r="G5" s="3">
        <f t="shared" si="0"/>
        <v>3.8835543291031518E-4</v>
      </c>
      <c r="H5" s="3">
        <f t="shared" si="0"/>
        <v>3.8835543291031518E-4</v>
      </c>
      <c r="I5" s="3">
        <f t="shared" si="0"/>
        <v>3.8835543291031518E-4</v>
      </c>
      <c r="J5" s="3">
        <f t="shared" si="0"/>
        <v>3.8835543291031518E-4</v>
      </c>
      <c r="K5" s="3">
        <f t="shared" si="0"/>
        <v>3.8835543291031518E-4</v>
      </c>
      <c r="L5" s="3">
        <f t="shared" si="0"/>
        <v>3.8835543291031518E-4</v>
      </c>
      <c r="M5" s="3">
        <f t="shared" si="0"/>
        <v>3.8835543291031518E-4</v>
      </c>
      <c r="N5" s="3">
        <f t="shared" si="0"/>
        <v>3.8835543291031518E-4</v>
      </c>
      <c r="O5" s="3">
        <f t="shared" si="0"/>
        <v>3.8835543291031518E-4</v>
      </c>
      <c r="P5" s="3">
        <f t="shared" si="0"/>
        <v>3.8835543291031518E-4</v>
      </c>
      <c r="Q5" s="3">
        <f t="shared" si="0"/>
        <v>3.8835543291031518E-4</v>
      </c>
      <c r="R5" s="3">
        <f t="shared" si="0"/>
        <v>3.8835543291031518E-4</v>
      </c>
      <c r="S5" s="3">
        <f t="shared" si="0"/>
        <v>3.8835543291031518E-4</v>
      </c>
      <c r="T5" s="3">
        <f t="shared" si="0"/>
        <v>3.8835543291031518E-4</v>
      </c>
      <c r="U5" s="3">
        <f t="shared" si="0"/>
        <v>3.8835543291031518E-4</v>
      </c>
      <c r="V5" s="3">
        <f t="shared" si="0"/>
        <v>3.8835543291031518E-4</v>
      </c>
      <c r="W5" s="3">
        <f t="shared" si="0"/>
        <v>3.8835543291031518E-4</v>
      </c>
      <c r="X5" s="3">
        <f t="shared" si="0"/>
        <v>3.8835543291031518E-4</v>
      </c>
      <c r="Y5" s="3">
        <f t="shared" si="0"/>
        <v>3.8835543291031518E-4</v>
      </c>
      <c r="Z5" s="3">
        <f t="shared" si="0"/>
        <v>3.8835543291031518E-4</v>
      </c>
      <c r="AA5" s="3">
        <f t="shared" si="0"/>
        <v>3.8835543291031518E-4</v>
      </c>
      <c r="AB5" s="3">
        <f t="shared" si="0"/>
        <v>3.8835543291031518E-4</v>
      </c>
      <c r="AC5" s="3">
        <f t="shared" si="0"/>
        <v>3.8835543291031518E-4</v>
      </c>
      <c r="AD5" s="3">
        <f t="shared" si="0"/>
        <v>3.8835543291031518E-4</v>
      </c>
      <c r="AE5" s="3">
        <f t="shared" si="0"/>
        <v>3.8835543291031518E-4</v>
      </c>
      <c r="AF5" s="3">
        <f t="shared" si="0"/>
        <v>3.8835543291031518E-4</v>
      </c>
      <c r="AH5" s="3"/>
      <c r="AI5" s="3"/>
    </row>
    <row r="6" spans="1:35">
      <c r="A6" t="s">
        <v>5</v>
      </c>
      <c r="B6" s="3">
        <v>1.147549878921855E-4</v>
      </c>
      <c r="C6" s="3">
        <f t="shared" si="1"/>
        <v>1.147549878921855E-4</v>
      </c>
      <c r="D6" s="3">
        <f t="shared" si="0"/>
        <v>1.147549878921855E-4</v>
      </c>
      <c r="E6" s="3">
        <f t="shared" si="0"/>
        <v>1.147549878921855E-4</v>
      </c>
      <c r="F6" s="3">
        <f t="shared" si="0"/>
        <v>1.147549878921855E-4</v>
      </c>
      <c r="G6" s="3">
        <f t="shared" si="0"/>
        <v>1.147549878921855E-4</v>
      </c>
      <c r="H6" s="3">
        <f t="shared" si="0"/>
        <v>1.147549878921855E-4</v>
      </c>
      <c r="I6" s="3">
        <f t="shared" si="0"/>
        <v>1.147549878921855E-4</v>
      </c>
      <c r="J6" s="3">
        <f t="shared" si="0"/>
        <v>1.147549878921855E-4</v>
      </c>
      <c r="K6" s="3">
        <f t="shared" si="0"/>
        <v>1.147549878921855E-4</v>
      </c>
      <c r="L6" s="3">
        <f t="shared" si="0"/>
        <v>1.147549878921855E-4</v>
      </c>
      <c r="M6" s="3">
        <f t="shared" si="0"/>
        <v>1.147549878921855E-4</v>
      </c>
      <c r="N6" s="3">
        <f t="shared" si="0"/>
        <v>1.147549878921855E-4</v>
      </c>
      <c r="O6" s="3">
        <f t="shared" si="0"/>
        <v>1.147549878921855E-4</v>
      </c>
      <c r="P6" s="3">
        <f t="shared" si="0"/>
        <v>1.147549878921855E-4</v>
      </c>
      <c r="Q6" s="3">
        <f t="shared" si="0"/>
        <v>1.147549878921855E-4</v>
      </c>
      <c r="R6" s="3">
        <f t="shared" si="0"/>
        <v>1.147549878921855E-4</v>
      </c>
      <c r="S6" s="3">
        <f t="shared" si="0"/>
        <v>1.147549878921855E-4</v>
      </c>
      <c r="T6" s="3">
        <f t="shared" si="0"/>
        <v>1.147549878921855E-4</v>
      </c>
      <c r="U6" s="3">
        <f t="shared" si="0"/>
        <v>1.147549878921855E-4</v>
      </c>
      <c r="V6" s="3">
        <f t="shared" si="0"/>
        <v>1.147549878921855E-4</v>
      </c>
      <c r="W6" s="3">
        <f t="shared" si="0"/>
        <v>1.147549878921855E-4</v>
      </c>
      <c r="X6" s="3">
        <f t="shared" si="0"/>
        <v>1.147549878921855E-4</v>
      </c>
      <c r="Y6" s="3">
        <f t="shared" si="0"/>
        <v>1.147549878921855E-4</v>
      </c>
      <c r="Z6" s="3">
        <f t="shared" si="0"/>
        <v>1.147549878921855E-4</v>
      </c>
      <c r="AA6" s="3">
        <f t="shared" si="0"/>
        <v>1.147549878921855E-4</v>
      </c>
      <c r="AB6" s="3">
        <f t="shared" si="0"/>
        <v>1.147549878921855E-4</v>
      </c>
      <c r="AC6" s="3">
        <f t="shared" si="0"/>
        <v>1.147549878921855E-4</v>
      </c>
      <c r="AD6" s="3">
        <f t="shared" si="0"/>
        <v>1.147549878921855E-4</v>
      </c>
      <c r="AE6" s="3">
        <f t="shared" si="0"/>
        <v>1.147549878921855E-4</v>
      </c>
      <c r="AF6" s="3">
        <f t="shared" si="0"/>
        <v>1.147549878921855E-4</v>
      </c>
      <c r="AH6" s="3"/>
      <c r="AI6" s="3"/>
    </row>
    <row r="7" spans="1:35">
      <c r="A7" t="s">
        <v>13</v>
      </c>
      <c r="B7" s="3">
        <v>4.3237660652546884E-4</v>
      </c>
      <c r="C7" s="3">
        <f t="shared" si="1"/>
        <v>4.3237660652546884E-4</v>
      </c>
      <c r="D7" s="3">
        <f t="shared" si="0"/>
        <v>4.3237660652546884E-4</v>
      </c>
      <c r="E7" s="3">
        <f t="shared" si="0"/>
        <v>4.3237660652546884E-4</v>
      </c>
      <c r="F7" s="3">
        <f t="shared" si="0"/>
        <v>4.3237660652546884E-4</v>
      </c>
      <c r="G7" s="3">
        <f t="shared" si="0"/>
        <v>4.3237660652546884E-4</v>
      </c>
      <c r="H7" s="3">
        <f t="shared" si="0"/>
        <v>4.3237660652546884E-4</v>
      </c>
      <c r="I7" s="3">
        <f t="shared" si="0"/>
        <v>4.3237660652546884E-4</v>
      </c>
      <c r="J7" s="3">
        <f t="shared" si="0"/>
        <v>4.3237660652546884E-4</v>
      </c>
      <c r="K7" s="3">
        <f t="shared" si="0"/>
        <v>4.3237660652546884E-4</v>
      </c>
      <c r="L7" s="3">
        <f t="shared" si="0"/>
        <v>4.3237660652546884E-4</v>
      </c>
      <c r="M7" s="3">
        <f t="shared" si="0"/>
        <v>4.3237660652546884E-4</v>
      </c>
      <c r="N7" s="3">
        <f t="shared" si="0"/>
        <v>4.3237660652546884E-4</v>
      </c>
      <c r="O7" s="3">
        <f t="shared" si="0"/>
        <v>4.3237660652546884E-4</v>
      </c>
      <c r="P7" s="3">
        <f t="shared" si="0"/>
        <v>4.3237660652546884E-4</v>
      </c>
      <c r="Q7" s="3">
        <f t="shared" si="0"/>
        <v>4.3237660652546884E-4</v>
      </c>
      <c r="R7" s="3">
        <f t="shared" si="0"/>
        <v>4.3237660652546884E-4</v>
      </c>
      <c r="S7" s="3">
        <f t="shared" si="0"/>
        <v>4.3237660652546884E-4</v>
      </c>
      <c r="T7" s="3">
        <f t="shared" si="0"/>
        <v>4.3237660652546884E-4</v>
      </c>
      <c r="U7" s="3">
        <f t="shared" si="0"/>
        <v>4.3237660652546884E-4</v>
      </c>
      <c r="V7" s="3">
        <f t="shared" si="0"/>
        <v>4.3237660652546884E-4</v>
      </c>
      <c r="W7" s="3">
        <f t="shared" si="0"/>
        <v>4.3237660652546884E-4</v>
      </c>
      <c r="X7" s="3">
        <f t="shared" si="0"/>
        <v>4.3237660652546884E-4</v>
      </c>
      <c r="Y7" s="3">
        <f t="shared" si="0"/>
        <v>4.3237660652546884E-4</v>
      </c>
      <c r="Z7" s="3">
        <f t="shared" si="0"/>
        <v>4.3237660652546884E-4</v>
      </c>
      <c r="AA7" s="3">
        <f t="shared" si="0"/>
        <v>4.3237660652546884E-4</v>
      </c>
      <c r="AB7" s="3">
        <f t="shared" si="0"/>
        <v>4.3237660652546884E-4</v>
      </c>
      <c r="AC7" s="3">
        <f t="shared" si="0"/>
        <v>4.3237660652546884E-4</v>
      </c>
      <c r="AD7" s="3">
        <f t="shared" si="0"/>
        <v>4.3237660652546884E-4</v>
      </c>
      <c r="AE7" s="3">
        <f t="shared" si="0"/>
        <v>4.3237660652546884E-4</v>
      </c>
      <c r="AF7" s="3">
        <f t="shared" si="0"/>
        <v>4.3237660652546884E-4</v>
      </c>
      <c r="AH7" s="3"/>
      <c r="AI7" s="3"/>
    </row>
    <row r="8" spans="1:35">
      <c r="A8" t="s">
        <v>14</v>
      </c>
      <c r="B8" s="3">
        <v>1.9715881593092513E-4</v>
      </c>
      <c r="C8" s="3">
        <f t="shared" si="1"/>
        <v>1.9715881593092513E-4</v>
      </c>
      <c r="D8" s="3">
        <f t="shared" si="0"/>
        <v>1.9715881593092513E-4</v>
      </c>
      <c r="E8" s="3">
        <f t="shared" si="0"/>
        <v>1.9715881593092513E-4</v>
      </c>
      <c r="F8" s="3">
        <f t="shared" si="0"/>
        <v>1.9715881593092513E-4</v>
      </c>
      <c r="G8" s="3">
        <f t="shared" si="0"/>
        <v>1.9715881593092513E-4</v>
      </c>
      <c r="H8" s="3">
        <f t="shared" si="0"/>
        <v>1.9715881593092513E-4</v>
      </c>
      <c r="I8" s="3">
        <f t="shared" si="0"/>
        <v>1.9715881593092513E-4</v>
      </c>
      <c r="J8" s="3">
        <f t="shared" si="0"/>
        <v>1.9715881593092513E-4</v>
      </c>
      <c r="K8" s="3">
        <f t="shared" si="0"/>
        <v>1.9715881593092513E-4</v>
      </c>
      <c r="L8" s="3">
        <f t="shared" si="0"/>
        <v>1.9715881593092513E-4</v>
      </c>
      <c r="M8" s="3">
        <f t="shared" si="0"/>
        <v>1.9715881593092513E-4</v>
      </c>
      <c r="N8" s="3">
        <f t="shared" si="0"/>
        <v>1.9715881593092513E-4</v>
      </c>
      <c r="O8" s="3">
        <f t="shared" si="0"/>
        <v>1.9715881593092513E-4</v>
      </c>
      <c r="P8" s="3">
        <f t="shared" si="0"/>
        <v>1.9715881593092513E-4</v>
      </c>
      <c r="Q8" s="3">
        <f t="shared" si="0"/>
        <v>1.9715881593092513E-4</v>
      </c>
      <c r="R8" s="3">
        <f t="shared" si="0"/>
        <v>1.9715881593092513E-4</v>
      </c>
      <c r="S8" s="3">
        <f t="shared" si="0"/>
        <v>1.9715881593092513E-4</v>
      </c>
      <c r="T8" s="3">
        <f t="shared" si="0"/>
        <v>1.9715881593092513E-4</v>
      </c>
      <c r="U8" s="3">
        <f t="shared" si="0"/>
        <v>1.9715881593092513E-4</v>
      </c>
      <c r="V8" s="3">
        <f t="shared" si="0"/>
        <v>1.9715881593092513E-4</v>
      </c>
      <c r="W8" s="3">
        <f t="shared" si="0"/>
        <v>1.9715881593092513E-4</v>
      </c>
      <c r="X8" s="3">
        <f t="shared" si="0"/>
        <v>1.9715881593092513E-4</v>
      </c>
      <c r="Y8" s="3">
        <f t="shared" si="0"/>
        <v>1.9715881593092513E-4</v>
      </c>
      <c r="Z8" s="3">
        <f t="shared" si="0"/>
        <v>1.9715881593092513E-4</v>
      </c>
      <c r="AA8" s="3">
        <f t="shared" si="0"/>
        <v>1.9715881593092513E-4</v>
      </c>
      <c r="AB8" s="3">
        <f t="shared" si="0"/>
        <v>1.9715881593092513E-4</v>
      </c>
      <c r="AC8" s="3">
        <f t="shared" si="0"/>
        <v>1.9715881593092513E-4</v>
      </c>
      <c r="AD8" s="3">
        <f t="shared" si="0"/>
        <v>1.9715881593092513E-4</v>
      </c>
      <c r="AE8" s="3">
        <f t="shared" si="0"/>
        <v>1.9715881593092513E-4</v>
      </c>
      <c r="AF8" s="3">
        <f t="shared" si="0"/>
        <v>1.9715881593092513E-4</v>
      </c>
      <c r="AH8" s="3"/>
      <c r="AI8" s="3"/>
    </row>
    <row r="10" spans="1:35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</sheetData>
  <phoneticPr fontId="4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I8"/>
  <sheetViews>
    <sheetView workbookViewId="0">
      <selection activeCell="D13" sqref="D13"/>
    </sheetView>
  </sheetViews>
  <sheetFormatPr defaultRowHeight="14.5"/>
  <cols>
    <col min="1" max="1" width="31.08984375" customWidth="1"/>
  </cols>
  <sheetData>
    <row r="1" spans="1:35">
      <c r="A1" s="4" t="s">
        <v>15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1</v>
      </c>
      <c r="B2" s="3">
        <f t="array" ref="B2:B8">TRANSPOSE('SYFAFE-frgt'!B2:H2)</f>
        <v>7.2592367078105297E-5</v>
      </c>
      <c r="C2" s="3">
        <f>B2</f>
        <v>7.2592367078105297E-5</v>
      </c>
      <c r="D2" s="3">
        <f t="shared" ref="D2:AF8" si="0">C2</f>
        <v>7.2592367078105297E-5</v>
      </c>
      <c r="E2" s="3">
        <f t="shared" si="0"/>
        <v>7.2592367078105297E-5</v>
      </c>
      <c r="F2" s="3">
        <f t="shared" si="0"/>
        <v>7.2592367078105297E-5</v>
      </c>
      <c r="G2" s="3">
        <f t="shared" si="0"/>
        <v>7.2592367078105297E-5</v>
      </c>
      <c r="H2" s="3">
        <f t="shared" si="0"/>
        <v>7.2592367078105297E-5</v>
      </c>
      <c r="I2" s="3">
        <f t="shared" si="0"/>
        <v>7.2592367078105297E-5</v>
      </c>
      <c r="J2" s="3">
        <f t="shared" si="0"/>
        <v>7.2592367078105297E-5</v>
      </c>
      <c r="K2" s="3">
        <f t="shared" si="0"/>
        <v>7.2592367078105297E-5</v>
      </c>
      <c r="L2" s="3">
        <f t="shared" si="0"/>
        <v>7.2592367078105297E-5</v>
      </c>
      <c r="M2" s="3">
        <f t="shared" si="0"/>
        <v>7.2592367078105297E-5</v>
      </c>
      <c r="N2" s="3">
        <f t="shared" si="0"/>
        <v>7.2592367078105297E-5</v>
      </c>
      <c r="O2" s="3">
        <f t="shared" si="0"/>
        <v>7.2592367078105297E-5</v>
      </c>
      <c r="P2" s="3">
        <f t="shared" si="0"/>
        <v>7.2592367078105297E-5</v>
      </c>
      <c r="Q2" s="3">
        <f t="shared" si="0"/>
        <v>7.2592367078105297E-5</v>
      </c>
      <c r="R2" s="3">
        <f t="shared" si="0"/>
        <v>7.2592367078105297E-5</v>
      </c>
      <c r="S2" s="3">
        <f t="shared" si="0"/>
        <v>7.2592367078105297E-5</v>
      </c>
      <c r="T2" s="3">
        <f t="shared" si="0"/>
        <v>7.2592367078105297E-5</v>
      </c>
      <c r="U2" s="3">
        <f t="shared" si="0"/>
        <v>7.2592367078105297E-5</v>
      </c>
      <c r="V2" s="3">
        <f t="shared" si="0"/>
        <v>7.2592367078105297E-5</v>
      </c>
      <c r="W2" s="3">
        <f t="shared" si="0"/>
        <v>7.2592367078105297E-5</v>
      </c>
      <c r="X2" s="3">
        <f t="shared" si="0"/>
        <v>7.2592367078105297E-5</v>
      </c>
      <c r="Y2" s="3">
        <f t="shared" si="0"/>
        <v>7.2592367078105297E-5</v>
      </c>
      <c r="Z2" s="3">
        <f t="shared" si="0"/>
        <v>7.2592367078105297E-5</v>
      </c>
      <c r="AA2" s="3">
        <f t="shared" si="0"/>
        <v>7.2592367078105297E-5</v>
      </c>
      <c r="AB2" s="3">
        <f t="shared" si="0"/>
        <v>7.2592367078105297E-5</v>
      </c>
      <c r="AC2" s="3">
        <f t="shared" si="0"/>
        <v>7.2592367078105297E-5</v>
      </c>
      <c r="AD2" s="3">
        <f t="shared" si="0"/>
        <v>7.2592367078105297E-5</v>
      </c>
      <c r="AE2" s="3">
        <f t="shared" si="0"/>
        <v>7.2592367078105297E-5</v>
      </c>
      <c r="AF2" s="3">
        <f t="shared" si="0"/>
        <v>7.2592367078105297E-5</v>
      </c>
      <c r="AH2" s="3"/>
      <c r="AI2" s="3"/>
    </row>
    <row r="3" spans="1:35">
      <c r="A3" t="s">
        <v>2</v>
      </c>
      <c r="B3" s="3">
        <v>1.7537305636668391E-4</v>
      </c>
      <c r="C3" s="3">
        <f t="shared" ref="C3:R8" si="1">B3</f>
        <v>1.7537305636668391E-4</v>
      </c>
      <c r="D3" s="3">
        <f t="shared" si="1"/>
        <v>1.7537305636668391E-4</v>
      </c>
      <c r="E3" s="3">
        <f t="shared" si="1"/>
        <v>1.7537305636668391E-4</v>
      </c>
      <c r="F3" s="3">
        <f t="shared" si="1"/>
        <v>1.7537305636668391E-4</v>
      </c>
      <c r="G3" s="3">
        <f t="shared" si="1"/>
        <v>1.7537305636668391E-4</v>
      </c>
      <c r="H3" s="3">
        <f t="shared" si="1"/>
        <v>1.7537305636668391E-4</v>
      </c>
      <c r="I3" s="3">
        <f t="shared" si="1"/>
        <v>1.7537305636668391E-4</v>
      </c>
      <c r="J3" s="3">
        <f t="shared" si="1"/>
        <v>1.7537305636668391E-4</v>
      </c>
      <c r="K3" s="3">
        <f t="shared" si="1"/>
        <v>1.7537305636668391E-4</v>
      </c>
      <c r="L3" s="3">
        <f t="shared" si="1"/>
        <v>1.7537305636668391E-4</v>
      </c>
      <c r="M3" s="3">
        <f t="shared" si="1"/>
        <v>1.7537305636668391E-4</v>
      </c>
      <c r="N3" s="3">
        <f t="shared" si="1"/>
        <v>1.7537305636668391E-4</v>
      </c>
      <c r="O3" s="3">
        <f t="shared" si="1"/>
        <v>1.7537305636668391E-4</v>
      </c>
      <c r="P3" s="3">
        <f t="shared" si="1"/>
        <v>1.7537305636668391E-4</v>
      </c>
      <c r="Q3" s="3">
        <f t="shared" si="1"/>
        <v>1.7537305636668391E-4</v>
      </c>
      <c r="R3" s="3">
        <f t="shared" si="1"/>
        <v>1.7537305636668391E-4</v>
      </c>
      <c r="S3" s="3">
        <f t="shared" si="0"/>
        <v>1.7537305636668391E-4</v>
      </c>
      <c r="T3" s="3">
        <f t="shared" si="0"/>
        <v>1.7537305636668391E-4</v>
      </c>
      <c r="U3" s="3">
        <f t="shared" si="0"/>
        <v>1.7537305636668391E-4</v>
      </c>
      <c r="V3" s="3">
        <f t="shared" si="0"/>
        <v>1.7537305636668391E-4</v>
      </c>
      <c r="W3" s="3">
        <f t="shared" si="0"/>
        <v>1.7537305636668391E-4</v>
      </c>
      <c r="X3" s="3">
        <f t="shared" si="0"/>
        <v>1.7537305636668391E-4</v>
      </c>
      <c r="Y3" s="3">
        <f t="shared" si="0"/>
        <v>1.7537305636668391E-4</v>
      </c>
      <c r="Z3" s="3">
        <f t="shared" si="0"/>
        <v>1.7537305636668391E-4</v>
      </c>
      <c r="AA3" s="3">
        <f t="shared" si="0"/>
        <v>1.7537305636668391E-4</v>
      </c>
      <c r="AB3" s="3">
        <f t="shared" si="0"/>
        <v>1.7537305636668391E-4</v>
      </c>
      <c r="AC3" s="3">
        <f t="shared" si="0"/>
        <v>1.7537305636668391E-4</v>
      </c>
      <c r="AD3" s="3">
        <f t="shared" si="0"/>
        <v>1.7537305636668391E-4</v>
      </c>
      <c r="AE3" s="3">
        <f t="shared" si="0"/>
        <v>1.7537305636668391E-4</v>
      </c>
      <c r="AF3" s="3">
        <f t="shared" si="0"/>
        <v>1.7537305636668391E-4</v>
      </c>
      <c r="AH3" s="3"/>
      <c r="AI3" s="3"/>
    </row>
    <row r="4" spans="1:35">
      <c r="A4" t="s">
        <v>3</v>
      </c>
      <c r="B4" s="3">
        <v>6.4283975580087249E-5</v>
      </c>
      <c r="C4" s="3">
        <f t="shared" si="1"/>
        <v>6.4283975580087249E-5</v>
      </c>
      <c r="D4" s="3">
        <f t="shared" si="0"/>
        <v>6.4283975580087249E-5</v>
      </c>
      <c r="E4" s="3">
        <f t="shared" si="0"/>
        <v>6.4283975580087249E-5</v>
      </c>
      <c r="F4" s="3">
        <f t="shared" si="0"/>
        <v>6.4283975580087249E-5</v>
      </c>
      <c r="G4" s="3">
        <f t="shared" si="0"/>
        <v>6.4283975580087249E-5</v>
      </c>
      <c r="H4" s="3">
        <f t="shared" si="0"/>
        <v>6.4283975580087249E-5</v>
      </c>
      <c r="I4" s="3">
        <f t="shared" si="0"/>
        <v>6.4283975580087249E-5</v>
      </c>
      <c r="J4" s="3">
        <f t="shared" si="0"/>
        <v>6.4283975580087249E-5</v>
      </c>
      <c r="K4" s="3">
        <f t="shared" si="0"/>
        <v>6.4283975580087249E-5</v>
      </c>
      <c r="L4" s="3">
        <f t="shared" si="0"/>
        <v>6.4283975580087249E-5</v>
      </c>
      <c r="M4" s="3">
        <f t="shared" si="0"/>
        <v>6.4283975580087249E-5</v>
      </c>
      <c r="N4" s="3">
        <f t="shared" si="0"/>
        <v>6.4283975580087249E-5</v>
      </c>
      <c r="O4" s="3">
        <f t="shared" si="0"/>
        <v>6.4283975580087249E-5</v>
      </c>
      <c r="P4" s="3">
        <f t="shared" si="0"/>
        <v>6.4283975580087249E-5</v>
      </c>
      <c r="Q4" s="3">
        <f t="shared" si="0"/>
        <v>6.4283975580087249E-5</v>
      </c>
      <c r="R4" s="3">
        <f t="shared" si="0"/>
        <v>6.4283975580087249E-5</v>
      </c>
      <c r="S4" s="3">
        <f t="shared" si="0"/>
        <v>6.4283975580087249E-5</v>
      </c>
      <c r="T4" s="3">
        <f t="shared" si="0"/>
        <v>6.4283975580087249E-5</v>
      </c>
      <c r="U4" s="3">
        <f t="shared" si="0"/>
        <v>6.4283975580087249E-5</v>
      </c>
      <c r="V4" s="3">
        <f t="shared" si="0"/>
        <v>6.4283975580087249E-5</v>
      </c>
      <c r="W4" s="3">
        <f t="shared" si="0"/>
        <v>6.4283975580087249E-5</v>
      </c>
      <c r="X4" s="3">
        <f t="shared" si="0"/>
        <v>6.4283975580087249E-5</v>
      </c>
      <c r="Y4" s="3">
        <f t="shared" si="0"/>
        <v>6.4283975580087249E-5</v>
      </c>
      <c r="Z4" s="3">
        <f t="shared" si="0"/>
        <v>6.4283975580087249E-5</v>
      </c>
      <c r="AA4" s="3">
        <f t="shared" si="0"/>
        <v>6.4283975580087249E-5</v>
      </c>
      <c r="AB4" s="3">
        <f t="shared" si="0"/>
        <v>6.4283975580087249E-5</v>
      </c>
      <c r="AC4" s="3">
        <f t="shared" si="0"/>
        <v>6.4283975580087249E-5</v>
      </c>
      <c r="AD4" s="3">
        <f t="shared" si="0"/>
        <v>6.4283975580087249E-5</v>
      </c>
      <c r="AE4" s="3">
        <f t="shared" si="0"/>
        <v>6.4283975580087249E-5</v>
      </c>
      <c r="AF4" s="3">
        <f t="shared" si="0"/>
        <v>6.4283975580087249E-5</v>
      </c>
      <c r="AH4" s="3"/>
      <c r="AI4" s="3"/>
    </row>
    <row r="5" spans="1:35">
      <c r="A5" t="s">
        <v>4</v>
      </c>
      <c r="B5" s="3">
        <v>1.1078813107746625E-4</v>
      </c>
      <c r="C5" s="3">
        <f t="shared" si="1"/>
        <v>1.1078813107746625E-4</v>
      </c>
      <c r="D5" s="3">
        <f t="shared" si="0"/>
        <v>1.1078813107746625E-4</v>
      </c>
      <c r="E5" s="3">
        <f t="shared" si="0"/>
        <v>1.1078813107746625E-4</v>
      </c>
      <c r="F5" s="3">
        <f t="shared" si="0"/>
        <v>1.1078813107746625E-4</v>
      </c>
      <c r="G5" s="3">
        <f t="shared" si="0"/>
        <v>1.1078813107746625E-4</v>
      </c>
      <c r="H5" s="3">
        <f t="shared" si="0"/>
        <v>1.1078813107746625E-4</v>
      </c>
      <c r="I5" s="3">
        <f t="shared" si="0"/>
        <v>1.1078813107746625E-4</v>
      </c>
      <c r="J5" s="3">
        <f t="shared" si="0"/>
        <v>1.1078813107746625E-4</v>
      </c>
      <c r="K5" s="3">
        <f t="shared" si="0"/>
        <v>1.1078813107746625E-4</v>
      </c>
      <c r="L5" s="3">
        <f t="shared" si="0"/>
        <v>1.1078813107746625E-4</v>
      </c>
      <c r="M5" s="3">
        <f t="shared" si="0"/>
        <v>1.1078813107746625E-4</v>
      </c>
      <c r="N5" s="3">
        <f t="shared" si="0"/>
        <v>1.1078813107746625E-4</v>
      </c>
      <c r="O5" s="3">
        <f t="shared" si="0"/>
        <v>1.1078813107746625E-4</v>
      </c>
      <c r="P5" s="3">
        <f t="shared" si="0"/>
        <v>1.1078813107746625E-4</v>
      </c>
      <c r="Q5" s="3">
        <f t="shared" si="0"/>
        <v>1.1078813107746625E-4</v>
      </c>
      <c r="R5" s="3">
        <f t="shared" si="0"/>
        <v>1.1078813107746625E-4</v>
      </c>
      <c r="S5" s="3">
        <f t="shared" si="0"/>
        <v>1.1078813107746625E-4</v>
      </c>
      <c r="T5" s="3">
        <f t="shared" si="0"/>
        <v>1.1078813107746625E-4</v>
      </c>
      <c r="U5" s="3">
        <f t="shared" si="0"/>
        <v>1.1078813107746625E-4</v>
      </c>
      <c r="V5" s="3">
        <f t="shared" si="0"/>
        <v>1.1078813107746625E-4</v>
      </c>
      <c r="W5" s="3">
        <f t="shared" si="0"/>
        <v>1.1078813107746625E-4</v>
      </c>
      <c r="X5" s="3">
        <f t="shared" si="0"/>
        <v>1.1078813107746625E-4</v>
      </c>
      <c r="Y5" s="3">
        <f t="shared" si="0"/>
        <v>1.1078813107746625E-4</v>
      </c>
      <c r="Z5" s="3">
        <f t="shared" si="0"/>
        <v>1.1078813107746625E-4</v>
      </c>
      <c r="AA5" s="3">
        <f t="shared" si="0"/>
        <v>1.1078813107746625E-4</v>
      </c>
      <c r="AB5" s="3">
        <f t="shared" si="0"/>
        <v>1.1078813107746625E-4</v>
      </c>
      <c r="AC5" s="3">
        <f t="shared" si="0"/>
        <v>1.1078813107746625E-4</v>
      </c>
      <c r="AD5" s="3">
        <f t="shared" si="0"/>
        <v>1.1078813107746625E-4</v>
      </c>
      <c r="AE5" s="3">
        <f t="shared" si="0"/>
        <v>1.1078813107746625E-4</v>
      </c>
      <c r="AF5" s="3">
        <f t="shared" si="0"/>
        <v>1.1078813107746625E-4</v>
      </c>
      <c r="AH5" s="3"/>
      <c r="AI5" s="3"/>
    </row>
    <row r="6" spans="1:35">
      <c r="A6" t="s">
        <v>5</v>
      </c>
      <c r="B6" s="3"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H6" s="3"/>
      <c r="AI6" s="3"/>
    </row>
    <row r="7" spans="1:35">
      <c r="A7" t="s">
        <v>13</v>
      </c>
      <c r="B7" s="3">
        <v>7.6997048982108972E-5</v>
      </c>
      <c r="C7" s="3">
        <f t="shared" si="1"/>
        <v>7.6997048982108972E-5</v>
      </c>
      <c r="D7" s="3">
        <f t="shared" si="0"/>
        <v>7.6997048982108972E-5</v>
      </c>
      <c r="E7" s="3">
        <f t="shared" si="0"/>
        <v>7.6997048982108972E-5</v>
      </c>
      <c r="F7" s="3">
        <f t="shared" si="0"/>
        <v>7.6997048982108972E-5</v>
      </c>
      <c r="G7" s="3">
        <f t="shared" si="0"/>
        <v>7.6997048982108972E-5</v>
      </c>
      <c r="H7" s="3">
        <f t="shared" si="0"/>
        <v>7.6997048982108972E-5</v>
      </c>
      <c r="I7" s="3">
        <f t="shared" si="0"/>
        <v>7.6997048982108972E-5</v>
      </c>
      <c r="J7" s="3">
        <f t="shared" si="0"/>
        <v>7.6997048982108972E-5</v>
      </c>
      <c r="K7" s="3">
        <f t="shared" si="0"/>
        <v>7.6997048982108972E-5</v>
      </c>
      <c r="L7" s="3">
        <f t="shared" si="0"/>
        <v>7.6997048982108972E-5</v>
      </c>
      <c r="M7" s="3">
        <f t="shared" si="0"/>
        <v>7.6997048982108972E-5</v>
      </c>
      <c r="N7" s="3">
        <f t="shared" si="0"/>
        <v>7.6997048982108972E-5</v>
      </c>
      <c r="O7" s="3">
        <f t="shared" si="0"/>
        <v>7.6997048982108972E-5</v>
      </c>
      <c r="P7" s="3">
        <f t="shared" si="0"/>
        <v>7.6997048982108972E-5</v>
      </c>
      <c r="Q7" s="3">
        <f t="shared" si="0"/>
        <v>7.6997048982108972E-5</v>
      </c>
      <c r="R7" s="3">
        <f t="shared" si="0"/>
        <v>7.6997048982108972E-5</v>
      </c>
      <c r="S7" s="3">
        <f t="shared" si="0"/>
        <v>7.6997048982108972E-5</v>
      </c>
      <c r="T7" s="3">
        <f t="shared" si="0"/>
        <v>7.6997048982108972E-5</v>
      </c>
      <c r="U7" s="3">
        <f t="shared" si="0"/>
        <v>7.6997048982108972E-5</v>
      </c>
      <c r="V7" s="3">
        <f t="shared" si="0"/>
        <v>7.6997048982108972E-5</v>
      </c>
      <c r="W7" s="3">
        <f t="shared" si="0"/>
        <v>7.6997048982108972E-5</v>
      </c>
      <c r="X7" s="3">
        <f t="shared" si="0"/>
        <v>7.6997048982108972E-5</v>
      </c>
      <c r="Y7" s="3">
        <f t="shared" si="0"/>
        <v>7.6997048982108972E-5</v>
      </c>
      <c r="Z7" s="3">
        <f t="shared" si="0"/>
        <v>7.6997048982108972E-5</v>
      </c>
      <c r="AA7" s="3">
        <f t="shared" si="0"/>
        <v>7.6997048982108972E-5</v>
      </c>
      <c r="AB7" s="3">
        <f t="shared" si="0"/>
        <v>7.6997048982108972E-5</v>
      </c>
      <c r="AC7" s="3">
        <f t="shared" si="0"/>
        <v>7.6997048982108972E-5</v>
      </c>
      <c r="AD7" s="3">
        <f t="shared" si="0"/>
        <v>7.6997048982108972E-5</v>
      </c>
      <c r="AE7" s="3">
        <f t="shared" si="0"/>
        <v>7.6997048982108972E-5</v>
      </c>
      <c r="AF7" s="3">
        <f t="shared" si="0"/>
        <v>7.6997048982108972E-5</v>
      </c>
      <c r="AH7" s="3"/>
      <c r="AI7" s="3"/>
    </row>
    <row r="8" spans="1:35">
      <c r="A8" t="s">
        <v>14</v>
      </c>
      <c r="B8" s="3">
        <v>0</v>
      </c>
      <c r="C8" s="3">
        <f t="shared" si="1"/>
        <v>0</v>
      </c>
      <c r="D8" s="3">
        <f t="shared" si="0"/>
        <v>0</v>
      </c>
      <c r="E8" s="3">
        <f t="shared" si="0"/>
        <v>0</v>
      </c>
      <c r="F8" s="3">
        <f t="shared" si="0"/>
        <v>0</v>
      </c>
      <c r="G8" s="3">
        <f t="shared" si="0"/>
        <v>0</v>
      </c>
      <c r="H8" s="3">
        <f t="shared" si="0"/>
        <v>0</v>
      </c>
      <c r="I8" s="3">
        <f t="shared" si="0"/>
        <v>0</v>
      </c>
      <c r="J8" s="3">
        <f t="shared" si="0"/>
        <v>0</v>
      </c>
      <c r="K8" s="3">
        <f t="shared" si="0"/>
        <v>0</v>
      </c>
      <c r="L8" s="3">
        <f t="shared" si="0"/>
        <v>0</v>
      </c>
      <c r="M8" s="3">
        <f t="shared" si="0"/>
        <v>0</v>
      </c>
      <c r="N8" s="3">
        <f t="shared" si="0"/>
        <v>0</v>
      </c>
      <c r="O8" s="3">
        <f t="shared" si="0"/>
        <v>0</v>
      </c>
      <c r="P8" s="3">
        <f t="shared" si="0"/>
        <v>0</v>
      </c>
      <c r="Q8" s="3">
        <f t="shared" si="0"/>
        <v>0</v>
      </c>
      <c r="R8" s="3">
        <f t="shared" si="0"/>
        <v>0</v>
      </c>
      <c r="S8" s="3">
        <f t="shared" si="0"/>
        <v>0</v>
      </c>
      <c r="T8" s="3">
        <f t="shared" si="0"/>
        <v>0</v>
      </c>
      <c r="U8" s="3">
        <f t="shared" si="0"/>
        <v>0</v>
      </c>
      <c r="V8" s="3">
        <f t="shared" si="0"/>
        <v>0</v>
      </c>
      <c r="W8" s="3">
        <f t="shared" si="0"/>
        <v>0</v>
      </c>
      <c r="X8" s="3">
        <f t="shared" si="0"/>
        <v>0</v>
      </c>
      <c r="Y8" s="3">
        <f t="shared" si="0"/>
        <v>0</v>
      </c>
      <c r="Z8" s="3">
        <f t="shared" si="0"/>
        <v>0</v>
      </c>
      <c r="AA8" s="3">
        <f t="shared" si="0"/>
        <v>0</v>
      </c>
      <c r="AB8" s="3">
        <f t="shared" si="0"/>
        <v>0</v>
      </c>
      <c r="AC8" s="3">
        <f t="shared" si="0"/>
        <v>0</v>
      </c>
      <c r="AD8" s="3">
        <f t="shared" si="0"/>
        <v>0</v>
      </c>
      <c r="AE8" s="3">
        <f t="shared" si="0"/>
        <v>0</v>
      </c>
      <c r="AF8" s="3">
        <f t="shared" si="0"/>
        <v>0</v>
      </c>
      <c r="AH8" s="3"/>
      <c r="AI8" s="3"/>
    </row>
  </sheetData>
  <phoneticPr fontId="4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I8"/>
  <sheetViews>
    <sheetView workbookViewId="0">
      <selection activeCell="D13" sqref="D13"/>
    </sheetView>
  </sheetViews>
  <sheetFormatPr defaultRowHeight="14.5"/>
  <cols>
    <col min="1" max="1" width="31.08984375" customWidth="1"/>
  </cols>
  <sheetData>
    <row r="1" spans="1:35">
      <c r="A1" s="4" t="s">
        <v>15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1</v>
      </c>
      <c r="B2" s="3">
        <f t="array" ref="B2:B8">TRANSPOSE('SYFAFE-psgr'!B3:H3)</f>
        <v>4.3725550386066337E-4</v>
      </c>
      <c r="C2" s="3">
        <f>B2</f>
        <v>4.3725550386066337E-4</v>
      </c>
      <c r="D2" s="3">
        <f t="shared" ref="D2:AF8" si="0">C2</f>
        <v>4.3725550386066337E-4</v>
      </c>
      <c r="E2" s="3">
        <f t="shared" si="0"/>
        <v>4.3725550386066337E-4</v>
      </c>
      <c r="F2" s="3">
        <f t="shared" si="0"/>
        <v>4.3725550386066337E-4</v>
      </c>
      <c r="G2" s="3">
        <f t="shared" si="0"/>
        <v>4.3725550386066337E-4</v>
      </c>
      <c r="H2" s="3">
        <f t="shared" si="0"/>
        <v>4.3725550386066337E-4</v>
      </c>
      <c r="I2" s="3">
        <f t="shared" si="0"/>
        <v>4.3725550386066337E-4</v>
      </c>
      <c r="J2" s="3">
        <f t="shared" si="0"/>
        <v>4.3725550386066337E-4</v>
      </c>
      <c r="K2" s="3">
        <f t="shared" si="0"/>
        <v>4.3725550386066337E-4</v>
      </c>
      <c r="L2" s="3">
        <f t="shared" si="0"/>
        <v>4.3725550386066337E-4</v>
      </c>
      <c r="M2" s="3">
        <f t="shared" si="0"/>
        <v>4.3725550386066337E-4</v>
      </c>
      <c r="N2" s="3">
        <f t="shared" si="0"/>
        <v>4.3725550386066337E-4</v>
      </c>
      <c r="O2" s="3">
        <f t="shared" si="0"/>
        <v>4.3725550386066337E-4</v>
      </c>
      <c r="P2" s="3">
        <f t="shared" si="0"/>
        <v>4.3725550386066337E-4</v>
      </c>
      <c r="Q2" s="3">
        <f t="shared" si="0"/>
        <v>4.3725550386066337E-4</v>
      </c>
      <c r="R2" s="3">
        <f t="shared" si="0"/>
        <v>4.3725550386066337E-4</v>
      </c>
      <c r="S2" s="3">
        <f t="shared" si="0"/>
        <v>4.3725550386066337E-4</v>
      </c>
      <c r="T2" s="3">
        <f t="shared" si="0"/>
        <v>4.3725550386066337E-4</v>
      </c>
      <c r="U2" s="3">
        <f t="shared" si="0"/>
        <v>4.3725550386066337E-4</v>
      </c>
      <c r="V2" s="3">
        <f t="shared" si="0"/>
        <v>4.3725550386066337E-4</v>
      </c>
      <c r="W2" s="3">
        <f t="shared" si="0"/>
        <v>4.3725550386066337E-4</v>
      </c>
      <c r="X2" s="3">
        <f t="shared" si="0"/>
        <v>4.3725550386066337E-4</v>
      </c>
      <c r="Y2" s="3">
        <f t="shared" si="0"/>
        <v>4.3725550386066337E-4</v>
      </c>
      <c r="Z2" s="3">
        <f t="shared" si="0"/>
        <v>4.3725550386066337E-4</v>
      </c>
      <c r="AA2" s="3">
        <f t="shared" si="0"/>
        <v>4.3725550386066337E-4</v>
      </c>
      <c r="AB2" s="3">
        <f t="shared" si="0"/>
        <v>4.3725550386066337E-4</v>
      </c>
      <c r="AC2" s="3">
        <f t="shared" si="0"/>
        <v>4.3725550386066337E-4</v>
      </c>
      <c r="AD2" s="3">
        <f t="shared" si="0"/>
        <v>4.3725550386066337E-4</v>
      </c>
      <c r="AE2" s="3">
        <f t="shared" si="0"/>
        <v>4.3725550386066337E-4</v>
      </c>
      <c r="AF2" s="3">
        <f t="shared" si="0"/>
        <v>4.3725550386066337E-4</v>
      </c>
      <c r="AH2" s="3"/>
      <c r="AI2" s="3"/>
    </row>
    <row r="3" spans="1:35">
      <c r="A3" t="s">
        <v>2</v>
      </c>
      <c r="B3" s="3">
        <v>5.6725587224799282E-4</v>
      </c>
      <c r="C3" s="3">
        <f t="shared" ref="C3:R8" si="1">B3</f>
        <v>5.6725587224799282E-4</v>
      </c>
      <c r="D3" s="3">
        <f t="shared" si="1"/>
        <v>5.6725587224799282E-4</v>
      </c>
      <c r="E3" s="3">
        <f t="shared" si="1"/>
        <v>5.6725587224799282E-4</v>
      </c>
      <c r="F3" s="3">
        <f t="shared" si="1"/>
        <v>5.6725587224799282E-4</v>
      </c>
      <c r="G3" s="3">
        <f t="shared" si="1"/>
        <v>5.6725587224799282E-4</v>
      </c>
      <c r="H3" s="3">
        <f t="shared" si="1"/>
        <v>5.6725587224799282E-4</v>
      </c>
      <c r="I3" s="3">
        <f t="shared" si="1"/>
        <v>5.6725587224799282E-4</v>
      </c>
      <c r="J3" s="3">
        <f t="shared" si="1"/>
        <v>5.6725587224799282E-4</v>
      </c>
      <c r="K3" s="3">
        <f t="shared" si="1"/>
        <v>5.6725587224799282E-4</v>
      </c>
      <c r="L3" s="3">
        <f t="shared" si="1"/>
        <v>5.6725587224799282E-4</v>
      </c>
      <c r="M3" s="3">
        <f t="shared" si="1"/>
        <v>5.6725587224799282E-4</v>
      </c>
      <c r="N3" s="3">
        <f t="shared" si="1"/>
        <v>5.6725587224799282E-4</v>
      </c>
      <c r="O3" s="3">
        <f t="shared" si="1"/>
        <v>5.6725587224799282E-4</v>
      </c>
      <c r="P3" s="3">
        <f t="shared" si="1"/>
        <v>5.6725587224799282E-4</v>
      </c>
      <c r="Q3" s="3">
        <f t="shared" si="1"/>
        <v>5.6725587224799282E-4</v>
      </c>
      <c r="R3" s="3">
        <f t="shared" si="1"/>
        <v>5.6725587224799282E-4</v>
      </c>
      <c r="S3" s="3">
        <f t="shared" si="0"/>
        <v>5.6725587224799282E-4</v>
      </c>
      <c r="T3" s="3">
        <f t="shared" si="0"/>
        <v>5.6725587224799282E-4</v>
      </c>
      <c r="U3" s="3">
        <f t="shared" si="0"/>
        <v>5.6725587224799282E-4</v>
      </c>
      <c r="V3" s="3">
        <f t="shared" si="0"/>
        <v>5.6725587224799282E-4</v>
      </c>
      <c r="W3" s="3">
        <f t="shared" si="0"/>
        <v>5.6725587224799282E-4</v>
      </c>
      <c r="X3" s="3">
        <f t="shared" si="0"/>
        <v>5.6725587224799282E-4</v>
      </c>
      <c r="Y3" s="3">
        <f t="shared" si="0"/>
        <v>5.6725587224799282E-4</v>
      </c>
      <c r="Z3" s="3">
        <f t="shared" si="0"/>
        <v>5.6725587224799282E-4</v>
      </c>
      <c r="AA3" s="3">
        <f t="shared" si="0"/>
        <v>5.6725587224799282E-4</v>
      </c>
      <c r="AB3" s="3">
        <f t="shared" si="0"/>
        <v>5.6725587224799282E-4</v>
      </c>
      <c r="AC3" s="3">
        <f t="shared" si="0"/>
        <v>5.6725587224799282E-4</v>
      </c>
      <c r="AD3" s="3">
        <f t="shared" si="0"/>
        <v>5.6725587224799282E-4</v>
      </c>
      <c r="AE3" s="3">
        <f t="shared" si="0"/>
        <v>5.6725587224799282E-4</v>
      </c>
      <c r="AF3" s="3">
        <f t="shared" si="0"/>
        <v>5.6725587224799282E-4</v>
      </c>
      <c r="AH3" s="3"/>
      <c r="AI3" s="3"/>
    </row>
    <row r="4" spans="1:35">
      <c r="A4" t="s">
        <v>3</v>
      </c>
      <c r="B4" s="3">
        <v>4.3041504176466358E-4</v>
      </c>
      <c r="C4" s="3">
        <f t="shared" si="1"/>
        <v>4.3041504176466358E-4</v>
      </c>
      <c r="D4" s="3">
        <f t="shared" si="0"/>
        <v>4.3041504176466358E-4</v>
      </c>
      <c r="E4" s="3">
        <f t="shared" si="0"/>
        <v>4.3041504176466358E-4</v>
      </c>
      <c r="F4" s="3">
        <f t="shared" si="0"/>
        <v>4.3041504176466358E-4</v>
      </c>
      <c r="G4" s="3">
        <f t="shared" si="0"/>
        <v>4.3041504176466358E-4</v>
      </c>
      <c r="H4" s="3">
        <f t="shared" si="0"/>
        <v>4.3041504176466358E-4</v>
      </c>
      <c r="I4" s="3">
        <f t="shared" si="0"/>
        <v>4.3041504176466358E-4</v>
      </c>
      <c r="J4" s="3">
        <f t="shared" si="0"/>
        <v>4.3041504176466358E-4</v>
      </c>
      <c r="K4" s="3">
        <f t="shared" si="0"/>
        <v>4.3041504176466358E-4</v>
      </c>
      <c r="L4" s="3">
        <f t="shared" si="0"/>
        <v>4.3041504176466358E-4</v>
      </c>
      <c r="M4" s="3">
        <f t="shared" si="0"/>
        <v>4.3041504176466358E-4</v>
      </c>
      <c r="N4" s="3">
        <f t="shared" si="0"/>
        <v>4.3041504176466358E-4</v>
      </c>
      <c r="O4" s="3">
        <f t="shared" si="0"/>
        <v>4.3041504176466358E-4</v>
      </c>
      <c r="P4" s="3">
        <f t="shared" si="0"/>
        <v>4.3041504176466358E-4</v>
      </c>
      <c r="Q4" s="3">
        <f t="shared" si="0"/>
        <v>4.3041504176466358E-4</v>
      </c>
      <c r="R4" s="3">
        <f t="shared" si="0"/>
        <v>4.3041504176466358E-4</v>
      </c>
      <c r="S4" s="3">
        <f t="shared" si="0"/>
        <v>4.3041504176466358E-4</v>
      </c>
      <c r="T4" s="3">
        <f t="shared" si="0"/>
        <v>4.3041504176466358E-4</v>
      </c>
      <c r="U4" s="3">
        <f t="shared" si="0"/>
        <v>4.3041504176466358E-4</v>
      </c>
      <c r="V4" s="3">
        <f t="shared" si="0"/>
        <v>4.3041504176466358E-4</v>
      </c>
      <c r="W4" s="3">
        <f t="shared" si="0"/>
        <v>4.3041504176466358E-4</v>
      </c>
      <c r="X4" s="3">
        <f t="shared" si="0"/>
        <v>4.3041504176466358E-4</v>
      </c>
      <c r="Y4" s="3">
        <f t="shared" si="0"/>
        <v>4.3041504176466358E-4</v>
      </c>
      <c r="Z4" s="3">
        <f t="shared" si="0"/>
        <v>4.3041504176466358E-4</v>
      </c>
      <c r="AA4" s="3">
        <f t="shared" si="0"/>
        <v>4.3041504176466358E-4</v>
      </c>
      <c r="AB4" s="3">
        <f t="shared" si="0"/>
        <v>4.3041504176466358E-4</v>
      </c>
      <c r="AC4" s="3">
        <f t="shared" si="0"/>
        <v>4.3041504176466358E-4</v>
      </c>
      <c r="AD4" s="3">
        <f t="shared" si="0"/>
        <v>4.3041504176466358E-4</v>
      </c>
      <c r="AE4" s="3">
        <f t="shared" si="0"/>
        <v>4.3041504176466358E-4</v>
      </c>
      <c r="AF4" s="3">
        <f t="shared" si="0"/>
        <v>4.3041504176466358E-4</v>
      </c>
      <c r="AH4" s="3"/>
      <c r="AI4" s="3"/>
    </row>
    <row r="5" spans="1:35">
      <c r="A5" t="s">
        <v>4</v>
      </c>
      <c r="B5" s="3">
        <v>5.3012016240422985E-4</v>
      </c>
      <c r="C5" s="3">
        <f t="shared" si="1"/>
        <v>5.3012016240422985E-4</v>
      </c>
      <c r="D5" s="3">
        <f t="shared" si="0"/>
        <v>5.3012016240422985E-4</v>
      </c>
      <c r="E5" s="3">
        <f t="shared" si="0"/>
        <v>5.3012016240422985E-4</v>
      </c>
      <c r="F5" s="3">
        <f t="shared" si="0"/>
        <v>5.3012016240422985E-4</v>
      </c>
      <c r="G5" s="3">
        <f t="shared" si="0"/>
        <v>5.3012016240422985E-4</v>
      </c>
      <c r="H5" s="3">
        <f t="shared" si="0"/>
        <v>5.3012016240422985E-4</v>
      </c>
      <c r="I5" s="3">
        <f t="shared" si="0"/>
        <v>5.3012016240422985E-4</v>
      </c>
      <c r="J5" s="3">
        <f t="shared" si="0"/>
        <v>5.3012016240422985E-4</v>
      </c>
      <c r="K5" s="3">
        <f t="shared" si="0"/>
        <v>5.3012016240422985E-4</v>
      </c>
      <c r="L5" s="3">
        <f t="shared" si="0"/>
        <v>5.3012016240422985E-4</v>
      </c>
      <c r="M5" s="3">
        <f t="shared" si="0"/>
        <v>5.3012016240422985E-4</v>
      </c>
      <c r="N5" s="3">
        <f t="shared" si="0"/>
        <v>5.3012016240422985E-4</v>
      </c>
      <c r="O5" s="3">
        <f t="shared" si="0"/>
        <v>5.3012016240422985E-4</v>
      </c>
      <c r="P5" s="3">
        <f t="shared" si="0"/>
        <v>5.3012016240422985E-4</v>
      </c>
      <c r="Q5" s="3">
        <f t="shared" si="0"/>
        <v>5.3012016240422985E-4</v>
      </c>
      <c r="R5" s="3">
        <f t="shared" si="0"/>
        <v>5.3012016240422985E-4</v>
      </c>
      <c r="S5" s="3">
        <f t="shared" si="0"/>
        <v>5.3012016240422985E-4</v>
      </c>
      <c r="T5" s="3">
        <f t="shared" si="0"/>
        <v>5.3012016240422985E-4</v>
      </c>
      <c r="U5" s="3">
        <f t="shared" si="0"/>
        <v>5.3012016240422985E-4</v>
      </c>
      <c r="V5" s="3">
        <f t="shared" si="0"/>
        <v>5.3012016240422985E-4</v>
      </c>
      <c r="W5" s="3">
        <f t="shared" si="0"/>
        <v>5.3012016240422985E-4</v>
      </c>
      <c r="X5" s="3">
        <f t="shared" si="0"/>
        <v>5.3012016240422985E-4</v>
      </c>
      <c r="Y5" s="3">
        <f t="shared" si="0"/>
        <v>5.3012016240422985E-4</v>
      </c>
      <c r="Z5" s="3">
        <f t="shared" si="0"/>
        <v>5.3012016240422985E-4</v>
      </c>
      <c r="AA5" s="3">
        <f t="shared" si="0"/>
        <v>5.3012016240422985E-4</v>
      </c>
      <c r="AB5" s="3">
        <f t="shared" si="0"/>
        <v>5.3012016240422985E-4</v>
      </c>
      <c r="AC5" s="3">
        <f t="shared" si="0"/>
        <v>5.3012016240422985E-4</v>
      </c>
      <c r="AD5" s="3">
        <f t="shared" si="0"/>
        <v>5.3012016240422985E-4</v>
      </c>
      <c r="AE5" s="3">
        <f t="shared" si="0"/>
        <v>5.3012016240422985E-4</v>
      </c>
      <c r="AF5" s="3">
        <f t="shared" si="0"/>
        <v>5.3012016240422985E-4</v>
      </c>
      <c r="AH5" s="3"/>
      <c r="AI5" s="3"/>
    </row>
    <row r="6" spans="1:35">
      <c r="A6" t="s">
        <v>5</v>
      </c>
      <c r="B6" s="3">
        <v>1.454629958370202E-4</v>
      </c>
      <c r="C6" s="3">
        <f t="shared" si="1"/>
        <v>1.454629958370202E-4</v>
      </c>
      <c r="D6" s="3">
        <f t="shared" si="0"/>
        <v>1.454629958370202E-4</v>
      </c>
      <c r="E6" s="3">
        <f t="shared" si="0"/>
        <v>1.454629958370202E-4</v>
      </c>
      <c r="F6" s="3">
        <f t="shared" si="0"/>
        <v>1.454629958370202E-4</v>
      </c>
      <c r="G6" s="3">
        <f t="shared" si="0"/>
        <v>1.454629958370202E-4</v>
      </c>
      <c r="H6" s="3">
        <f t="shared" si="0"/>
        <v>1.454629958370202E-4</v>
      </c>
      <c r="I6" s="3">
        <f t="shared" si="0"/>
        <v>1.454629958370202E-4</v>
      </c>
      <c r="J6" s="3">
        <f t="shared" si="0"/>
        <v>1.454629958370202E-4</v>
      </c>
      <c r="K6" s="3">
        <f t="shared" si="0"/>
        <v>1.454629958370202E-4</v>
      </c>
      <c r="L6" s="3">
        <f t="shared" si="0"/>
        <v>1.454629958370202E-4</v>
      </c>
      <c r="M6" s="3">
        <f t="shared" si="0"/>
        <v>1.454629958370202E-4</v>
      </c>
      <c r="N6" s="3">
        <f t="shared" si="0"/>
        <v>1.454629958370202E-4</v>
      </c>
      <c r="O6" s="3">
        <f t="shared" si="0"/>
        <v>1.454629958370202E-4</v>
      </c>
      <c r="P6" s="3">
        <f t="shared" si="0"/>
        <v>1.454629958370202E-4</v>
      </c>
      <c r="Q6" s="3">
        <f t="shared" si="0"/>
        <v>1.454629958370202E-4</v>
      </c>
      <c r="R6" s="3">
        <f t="shared" si="0"/>
        <v>1.454629958370202E-4</v>
      </c>
      <c r="S6" s="3">
        <f t="shared" si="0"/>
        <v>1.454629958370202E-4</v>
      </c>
      <c r="T6" s="3">
        <f t="shared" si="0"/>
        <v>1.454629958370202E-4</v>
      </c>
      <c r="U6" s="3">
        <f t="shared" si="0"/>
        <v>1.454629958370202E-4</v>
      </c>
      <c r="V6" s="3">
        <f t="shared" si="0"/>
        <v>1.454629958370202E-4</v>
      </c>
      <c r="W6" s="3">
        <f t="shared" si="0"/>
        <v>1.454629958370202E-4</v>
      </c>
      <c r="X6" s="3">
        <f t="shared" si="0"/>
        <v>1.454629958370202E-4</v>
      </c>
      <c r="Y6" s="3">
        <f t="shared" si="0"/>
        <v>1.454629958370202E-4</v>
      </c>
      <c r="Z6" s="3">
        <f t="shared" si="0"/>
        <v>1.454629958370202E-4</v>
      </c>
      <c r="AA6" s="3">
        <f t="shared" si="0"/>
        <v>1.454629958370202E-4</v>
      </c>
      <c r="AB6" s="3">
        <f t="shared" si="0"/>
        <v>1.454629958370202E-4</v>
      </c>
      <c r="AC6" s="3">
        <f t="shared" si="0"/>
        <v>1.454629958370202E-4</v>
      </c>
      <c r="AD6" s="3">
        <f t="shared" si="0"/>
        <v>1.454629958370202E-4</v>
      </c>
      <c r="AE6" s="3">
        <f t="shared" si="0"/>
        <v>1.454629958370202E-4</v>
      </c>
      <c r="AF6" s="3">
        <f t="shared" si="0"/>
        <v>1.454629958370202E-4</v>
      </c>
      <c r="AH6" s="3"/>
      <c r="AI6" s="3"/>
    </row>
    <row r="7" spans="1:35">
      <c r="A7" t="s">
        <v>13</v>
      </c>
      <c r="B7" s="3">
        <v>5.4052551857085361E-4</v>
      </c>
      <c r="C7" s="3">
        <f t="shared" si="1"/>
        <v>5.4052551857085361E-4</v>
      </c>
      <c r="D7" s="3">
        <f t="shared" si="0"/>
        <v>5.4052551857085361E-4</v>
      </c>
      <c r="E7" s="3">
        <f t="shared" si="0"/>
        <v>5.4052551857085361E-4</v>
      </c>
      <c r="F7" s="3">
        <f t="shared" si="0"/>
        <v>5.4052551857085361E-4</v>
      </c>
      <c r="G7" s="3">
        <f t="shared" si="0"/>
        <v>5.4052551857085361E-4</v>
      </c>
      <c r="H7" s="3">
        <f t="shared" si="0"/>
        <v>5.4052551857085361E-4</v>
      </c>
      <c r="I7" s="3">
        <f t="shared" si="0"/>
        <v>5.4052551857085361E-4</v>
      </c>
      <c r="J7" s="3">
        <f t="shared" si="0"/>
        <v>5.4052551857085361E-4</v>
      </c>
      <c r="K7" s="3">
        <f t="shared" si="0"/>
        <v>5.4052551857085361E-4</v>
      </c>
      <c r="L7" s="3">
        <f t="shared" si="0"/>
        <v>5.4052551857085361E-4</v>
      </c>
      <c r="M7" s="3">
        <f t="shared" si="0"/>
        <v>5.4052551857085361E-4</v>
      </c>
      <c r="N7" s="3">
        <f t="shared" si="0"/>
        <v>5.4052551857085361E-4</v>
      </c>
      <c r="O7" s="3">
        <f t="shared" si="0"/>
        <v>5.4052551857085361E-4</v>
      </c>
      <c r="P7" s="3">
        <f t="shared" si="0"/>
        <v>5.4052551857085361E-4</v>
      </c>
      <c r="Q7" s="3">
        <f t="shared" si="0"/>
        <v>5.4052551857085361E-4</v>
      </c>
      <c r="R7" s="3">
        <f t="shared" si="0"/>
        <v>5.4052551857085361E-4</v>
      </c>
      <c r="S7" s="3">
        <f t="shared" si="0"/>
        <v>5.4052551857085361E-4</v>
      </c>
      <c r="T7" s="3">
        <f t="shared" si="0"/>
        <v>5.4052551857085361E-4</v>
      </c>
      <c r="U7" s="3">
        <f t="shared" si="0"/>
        <v>5.4052551857085361E-4</v>
      </c>
      <c r="V7" s="3">
        <f t="shared" si="0"/>
        <v>5.4052551857085361E-4</v>
      </c>
      <c r="W7" s="3">
        <f t="shared" si="0"/>
        <v>5.4052551857085361E-4</v>
      </c>
      <c r="X7" s="3">
        <f t="shared" si="0"/>
        <v>5.4052551857085361E-4</v>
      </c>
      <c r="Y7" s="3">
        <f t="shared" si="0"/>
        <v>5.4052551857085361E-4</v>
      </c>
      <c r="Z7" s="3">
        <f t="shared" si="0"/>
        <v>5.4052551857085361E-4</v>
      </c>
      <c r="AA7" s="3">
        <f t="shared" si="0"/>
        <v>5.4052551857085361E-4</v>
      </c>
      <c r="AB7" s="3">
        <f t="shared" si="0"/>
        <v>5.4052551857085361E-4</v>
      </c>
      <c r="AC7" s="3">
        <f t="shared" si="0"/>
        <v>5.4052551857085361E-4</v>
      </c>
      <c r="AD7" s="3">
        <f t="shared" si="0"/>
        <v>5.4052551857085361E-4</v>
      </c>
      <c r="AE7" s="3">
        <f t="shared" si="0"/>
        <v>5.4052551857085361E-4</v>
      </c>
      <c r="AF7" s="3">
        <f t="shared" si="0"/>
        <v>5.4052551857085361E-4</v>
      </c>
      <c r="AH7" s="3"/>
      <c r="AI7" s="3"/>
    </row>
    <row r="8" spans="1:35">
      <c r="A8" t="s">
        <v>14</v>
      </c>
      <c r="B8" s="3">
        <v>2.4647349003975621E-4</v>
      </c>
      <c r="C8" s="3">
        <f t="shared" si="1"/>
        <v>2.4647349003975621E-4</v>
      </c>
      <c r="D8" s="3">
        <f t="shared" si="0"/>
        <v>2.4647349003975621E-4</v>
      </c>
      <c r="E8" s="3">
        <f t="shared" si="0"/>
        <v>2.4647349003975621E-4</v>
      </c>
      <c r="F8" s="3">
        <f t="shared" si="0"/>
        <v>2.4647349003975621E-4</v>
      </c>
      <c r="G8" s="3">
        <f t="shared" si="0"/>
        <v>2.4647349003975621E-4</v>
      </c>
      <c r="H8" s="3">
        <f t="shared" si="0"/>
        <v>2.4647349003975621E-4</v>
      </c>
      <c r="I8" s="3">
        <f t="shared" si="0"/>
        <v>2.4647349003975621E-4</v>
      </c>
      <c r="J8" s="3">
        <f t="shared" si="0"/>
        <v>2.4647349003975621E-4</v>
      </c>
      <c r="K8" s="3">
        <f t="shared" si="0"/>
        <v>2.4647349003975621E-4</v>
      </c>
      <c r="L8" s="3">
        <f t="shared" si="0"/>
        <v>2.4647349003975621E-4</v>
      </c>
      <c r="M8" s="3">
        <f t="shared" si="0"/>
        <v>2.4647349003975621E-4</v>
      </c>
      <c r="N8" s="3">
        <f t="shared" si="0"/>
        <v>2.4647349003975621E-4</v>
      </c>
      <c r="O8" s="3">
        <f t="shared" si="0"/>
        <v>2.4647349003975621E-4</v>
      </c>
      <c r="P8" s="3">
        <f t="shared" si="0"/>
        <v>2.4647349003975621E-4</v>
      </c>
      <c r="Q8" s="3">
        <f t="shared" si="0"/>
        <v>2.4647349003975621E-4</v>
      </c>
      <c r="R8" s="3">
        <f t="shared" si="0"/>
        <v>2.4647349003975621E-4</v>
      </c>
      <c r="S8" s="3">
        <f t="shared" si="0"/>
        <v>2.4647349003975621E-4</v>
      </c>
      <c r="T8" s="3">
        <f t="shared" si="0"/>
        <v>2.4647349003975621E-4</v>
      </c>
      <c r="U8" s="3">
        <f t="shared" si="0"/>
        <v>2.4647349003975621E-4</v>
      </c>
      <c r="V8" s="3">
        <f t="shared" si="0"/>
        <v>2.4647349003975621E-4</v>
      </c>
      <c r="W8" s="3">
        <f t="shared" si="0"/>
        <v>2.4647349003975621E-4</v>
      </c>
      <c r="X8" s="3">
        <f t="shared" si="0"/>
        <v>2.4647349003975621E-4</v>
      </c>
      <c r="Y8" s="3">
        <f t="shared" si="0"/>
        <v>2.4647349003975621E-4</v>
      </c>
      <c r="Z8" s="3">
        <f t="shared" si="0"/>
        <v>2.4647349003975621E-4</v>
      </c>
      <c r="AA8" s="3">
        <f t="shared" si="0"/>
        <v>2.4647349003975621E-4</v>
      </c>
      <c r="AB8" s="3">
        <f t="shared" si="0"/>
        <v>2.4647349003975621E-4</v>
      </c>
      <c r="AC8" s="3">
        <f t="shared" si="0"/>
        <v>2.4647349003975621E-4</v>
      </c>
      <c r="AD8" s="3">
        <f t="shared" si="0"/>
        <v>2.4647349003975621E-4</v>
      </c>
      <c r="AE8" s="3">
        <f t="shared" si="0"/>
        <v>2.4647349003975621E-4</v>
      </c>
      <c r="AF8" s="3">
        <f t="shared" si="0"/>
        <v>2.4647349003975621E-4</v>
      </c>
      <c r="AH8" s="3"/>
      <c r="AI8" s="3"/>
    </row>
  </sheetData>
  <phoneticPr fontId="4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I8"/>
  <sheetViews>
    <sheetView workbookViewId="0">
      <selection activeCell="D9" sqref="D9"/>
    </sheetView>
  </sheetViews>
  <sheetFormatPr defaultRowHeight="14.5"/>
  <cols>
    <col min="1" max="1" width="31.08984375" customWidth="1"/>
  </cols>
  <sheetData>
    <row r="1" spans="1:35">
      <c r="A1" s="4" t="s">
        <v>15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1</v>
      </c>
      <c r="B2" s="3">
        <f t="array" ref="B2:B8">TRANSPOSE('SYFAFE-frgt'!B3:H3)</f>
        <v>5.8062169096135046E-3</v>
      </c>
      <c r="C2" s="3">
        <f>B2</f>
        <v>5.8062169096135046E-3</v>
      </c>
      <c r="D2" s="3">
        <f t="shared" ref="D2:AF8" si="0">C2</f>
        <v>5.8062169096135046E-3</v>
      </c>
      <c r="E2" s="3">
        <f t="shared" si="0"/>
        <v>5.8062169096135046E-3</v>
      </c>
      <c r="F2" s="3">
        <f t="shared" si="0"/>
        <v>5.8062169096135046E-3</v>
      </c>
      <c r="G2" s="3">
        <f t="shared" si="0"/>
        <v>5.8062169096135046E-3</v>
      </c>
      <c r="H2" s="3">
        <f t="shared" si="0"/>
        <v>5.8062169096135046E-3</v>
      </c>
      <c r="I2" s="3">
        <f t="shared" si="0"/>
        <v>5.8062169096135046E-3</v>
      </c>
      <c r="J2" s="3">
        <f t="shared" si="0"/>
        <v>5.8062169096135046E-3</v>
      </c>
      <c r="K2" s="3">
        <f t="shared" si="0"/>
        <v>5.8062169096135046E-3</v>
      </c>
      <c r="L2" s="3">
        <f t="shared" si="0"/>
        <v>5.8062169096135046E-3</v>
      </c>
      <c r="M2" s="3">
        <f t="shared" si="0"/>
        <v>5.8062169096135046E-3</v>
      </c>
      <c r="N2" s="3">
        <f t="shared" si="0"/>
        <v>5.8062169096135046E-3</v>
      </c>
      <c r="O2" s="3">
        <f t="shared" si="0"/>
        <v>5.8062169096135046E-3</v>
      </c>
      <c r="P2" s="3">
        <f t="shared" si="0"/>
        <v>5.8062169096135046E-3</v>
      </c>
      <c r="Q2" s="3">
        <f t="shared" si="0"/>
        <v>5.8062169096135046E-3</v>
      </c>
      <c r="R2" s="3">
        <f t="shared" si="0"/>
        <v>5.8062169096135046E-3</v>
      </c>
      <c r="S2" s="3">
        <f t="shared" si="0"/>
        <v>5.8062169096135046E-3</v>
      </c>
      <c r="T2" s="3">
        <f t="shared" si="0"/>
        <v>5.8062169096135046E-3</v>
      </c>
      <c r="U2" s="3">
        <f t="shared" si="0"/>
        <v>5.8062169096135046E-3</v>
      </c>
      <c r="V2" s="3">
        <f t="shared" si="0"/>
        <v>5.8062169096135046E-3</v>
      </c>
      <c r="W2" s="3">
        <f t="shared" si="0"/>
        <v>5.8062169096135046E-3</v>
      </c>
      <c r="X2" s="3">
        <f t="shared" si="0"/>
        <v>5.8062169096135046E-3</v>
      </c>
      <c r="Y2" s="3">
        <f t="shared" si="0"/>
        <v>5.8062169096135046E-3</v>
      </c>
      <c r="Z2" s="3">
        <f t="shared" si="0"/>
        <v>5.8062169096135046E-3</v>
      </c>
      <c r="AA2" s="3">
        <f t="shared" si="0"/>
        <v>5.8062169096135046E-3</v>
      </c>
      <c r="AB2" s="3">
        <f t="shared" si="0"/>
        <v>5.8062169096135046E-3</v>
      </c>
      <c r="AC2" s="3">
        <f t="shared" si="0"/>
        <v>5.8062169096135046E-3</v>
      </c>
      <c r="AD2" s="3">
        <f t="shared" si="0"/>
        <v>5.8062169096135046E-3</v>
      </c>
      <c r="AE2" s="3">
        <f t="shared" si="0"/>
        <v>5.8062169096135046E-3</v>
      </c>
      <c r="AF2" s="3">
        <f t="shared" si="0"/>
        <v>5.8062169096135046E-3</v>
      </c>
      <c r="AH2" s="3"/>
      <c r="AI2" s="3"/>
    </row>
    <row r="3" spans="1:35">
      <c r="A3" t="s">
        <v>2</v>
      </c>
      <c r="B3" s="3">
        <v>0</v>
      </c>
      <c r="C3" s="3">
        <f t="shared" ref="C3:R8" si="1">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  <c r="AH3" s="3"/>
      <c r="AI3" s="3"/>
    </row>
    <row r="4" spans="1:35">
      <c r="A4" t="s">
        <v>3</v>
      </c>
      <c r="B4" s="3">
        <v>5.1416797805848074E-3</v>
      </c>
      <c r="C4" s="3">
        <f t="shared" si="1"/>
        <v>5.1416797805848074E-3</v>
      </c>
      <c r="D4" s="3">
        <f t="shared" si="0"/>
        <v>5.1416797805848074E-3</v>
      </c>
      <c r="E4" s="3">
        <f t="shared" si="0"/>
        <v>5.1416797805848074E-3</v>
      </c>
      <c r="F4" s="3">
        <f t="shared" si="0"/>
        <v>5.1416797805848074E-3</v>
      </c>
      <c r="G4" s="3">
        <f t="shared" si="0"/>
        <v>5.1416797805848074E-3</v>
      </c>
      <c r="H4" s="3">
        <f t="shared" si="0"/>
        <v>5.1416797805848074E-3</v>
      </c>
      <c r="I4" s="3">
        <f t="shared" si="0"/>
        <v>5.1416797805848074E-3</v>
      </c>
      <c r="J4" s="3">
        <f t="shared" si="0"/>
        <v>5.1416797805848074E-3</v>
      </c>
      <c r="K4" s="3">
        <f t="shared" si="0"/>
        <v>5.1416797805848074E-3</v>
      </c>
      <c r="L4" s="3">
        <f t="shared" si="0"/>
        <v>5.1416797805848074E-3</v>
      </c>
      <c r="M4" s="3">
        <f t="shared" si="0"/>
        <v>5.1416797805848074E-3</v>
      </c>
      <c r="N4" s="3">
        <f t="shared" si="0"/>
        <v>5.1416797805848074E-3</v>
      </c>
      <c r="O4" s="3">
        <f t="shared" si="0"/>
        <v>5.1416797805848074E-3</v>
      </c>
      <c r="P4" s="3">
        <f t="shared" si="0"/>
        <v>5.1416797805848074E-3</v>
      </c>
      <c r="Q4" s="3">
        <f t="shared" si="0"/>
        <v>5.1416797805848074E-3</v>
      </c>
      <c r="R4" s="3">
        <f t="shared" si="0"/>
        <v>5.1416797805848074E-3</v>
      </c>
      <c r="S4" s="3">
        <f t="shared" si="0"/>
        <v>5.1416797805848074E-3</v>
      </c>
      <c r="T4" s="3">
        <f t="shared" si="0"/>
        <v>5.1416797805848074E-3</v>
      </c>
      <c r="U4" s="3">
        <f t="shared" si="0"/>
        <v>5.1416797805848074E-3</v>
      </c>
      <c r="V4" s="3">
        <f t="shared" si="0"/>
        <v>5.1416797805848074E-3</v>
      </c>
      <c r="W4" s="3">
        <f t="shared" si="0"/>
        <v>5.1416797805848074E-3</v>
      </c>
      <c r="X4" s="3">
        <f t="shared" si="0"/>
        <v>5.1416797805848074E-3</v>
      </c>
      <c r="Y4" s="3">
        <f t="shared" si="0"/>
        <v>5.1416797805848074E-3</v>
      </c>
      <c r="Z4" s="3">
        <f t="shared" si="0"/>
        <v>5.1416797805848074E-3</v>
      </c>
      <c r="AA4" s="3">
        <f t="shared" si="0"/>
        <v>5.1416797805848074E-3</v>
      </c>
      <c r="AB4" s="3">
        <f t="shared" si="0"/>
        <v>5.1416797805848074E-3</v>
      </c>
      <c r="AC4" s="3">
        <f t="shared" si="0"/>
        <v>5.1416797805848074E-3</v>
      </c>
      <c r="AD4" s="3">
        <f t="shared" si="0"/>
        <v>5.1416797805848074E-3</v>
      </c>
      <c r="AE4" s="3">
        <f t="shared" si="0"/>
        <v>5.1416797805848074E-3</v>
      </c>
      <c r="AF4" s="3">
        <f t="shared" si="0"/>
        <v>5.1416797805848074E-3</v>
      </c>
      <c r="AH4" s="3"/>
      <c r="AI4" s="3"/>
    </row>
    <row r="5" spans="1:35">
      <c r="A5" t="s">
        <v>4</v>
      </c>
      <c r="B5" s="3">
        <v>9.5424417025899051E-3</v>
      </c>
      <c r="C5" s="3">
        <f t="shared" si="1"/>
        <v>9.5424417025899051E-3</v>
      </c>
      <c r="D5" s="3">
        <f t="shared" si="0"/>
        <v>9.5424417025899051E-3</v>
      </c>
      <c r="E5" s="3">
        <f t="shared" si="0"/>
        <v>9.5424417025899051E-3</v>
      </c>
      <c r="F5" s="3">
        <f t="shared" si="0"/>
        <v>9.5424417025899051E-3</v>
      </c>
      <c r="G5" s="3">
        <f t="shared" si="0"/>
        <v>9.5424417025899051E-3</v>
      </c>
      <c r="H5" s="3">
        <f t="shared" si="0"/>
        <v>9.5424417025899051E-3</v>
      </c>
      <c r="I5" s="3">
        <f t="shared" si="0"/>
        <v>9.5424417025899051E-3</v>
      </c>
      <c r="J5" s="3">
        <f t="shared" si="0"/>
        <v>9.5424417025899051E-3</v>
      </c>
      <c r="K5" s="3">
        <f t="shared" si="0"/>
        <v>9.5424417025899051E-3</v>
      </c>
      <c r="L5" s="3">
        <f t="shared" si="0"/>
        <v>9.5424417025899051E-3</v>
      </c>
      <c r="M5" s="3">
        <f t="shared" si="0"/>
        <v>9.5424417025899051E-3</v>
      </c>
      <c r="N5" s="3">
        <f t="shared" si="0"/>
        <v>9.5424417025899051E-3</v>
      </c>
      <c r="O5" s="3">
        <f t="shared" si="0"/>
        <v>9.5424417025899051E-3</v>
      </c>
      <c r="P5" s="3">
        <f t="shared" si="0"/>
        <v>9.5424417025899051E-3</v>
      </c>
      <c r="Q5" s="3">
        <f t="shared" si="0"/>
        <v>9.5424417025899051E-3</v>
      </c>
      <c r="R5" s="3">
        <f t="shared" si="0"/>
        <v>9.5424417025899051E-3</v>
      </c>
      <c r="S5" s="3">
        <f t="shared" si="0"/>
        <v>9.5424417025899051E-3</v>
      </c>
      <c r="T5" s="3">
        <f t="shared" si="0"/>
        <v>9.5424417025899051E-3</v>
      </c>
      <c r="U5" s="3">
        <f t="shared" si="0"/>
        <v>9.5424417025899051E-3</v>
      </c>
      <c r="V5" s="3">
        <f t="shared" si="0"/>
        <v>9.5424417025899051E-3</v>
      </c>
      <c r="W5" s="3">
        <f t="shared" si="0"/>
        <v>9.5424417025899051E-3</v>
      </c>
      <c r="X5" s="3">
        <f t="shared" si="0"/>
        <v>9.5424417025899051E-3</v>
      </c>
      <c r="Y5" s="3">
        <f t="shared" si="0"/>
        <v>9.5424417025899051E-3</v>
      </c>
      <c r="Z5" s="3">
        <f t="shared" si="0"/>
        <v>9.5424417025899051E-3</v>
      </c>
      <c r="AA5" s="3">
        <f t="shared" si="0"/>
        <v>9.5424417025899051E-3</v>
      </c>
      <c r="AB5" s="3">
        <f t="shared" si="0"/>
        <v>9.5424417025899051E-3</v>
      </c>
      <c r="AC5" s="3">
        <f t="shared" si="0"/>
        <v>9.5424417025899051E-3</v>
      </c>
      <c r="AD5" s="3">
        <f t="shared" si="0"/>
        <v>9.5424417025899051E-3</v>
      </c>
      <c r="AE5" s="3">
        <f t="shared" si="0"/>
        <v>9.5424417025899051E-3</v>
      </c>
      <c r="AF5" s="3">
        <f t="shared" si="0"/>
        <v>9.5424417025899051E-3</v>
      </c>
      <c r="AH5" s="3"/>
      <c r="AI5" s="3"/>
    </row>
    <row r="6" spans="1:35">
      <c r="A6" t="s">
        <v>5</v>
      </c>
      <c r="B6" s="3"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H6" s="3"/>
      <c r="AI6" s="3"/>
    </row>
    <row r="7" spans="1:35">
      <c r="A7" t="s">
        <v>13</v>
      </c>
      <c r="B7" s="3">
        <v>6.0736454453848921E-3</v>
      </c>
      <c r="C7" s="3">
        <f t="shared" si="1"/>
        <v>6.0736454453848921E-3</v>
      </c>
      <c r="D7" s="3">
        <f t="shared" si="0"/>
        <v>6.0736454453848921E-3</v>
      </c>
      <c r="E7" s="3">
        <f t="shared" si="0"/>
        <v>6.0736454453848921E-3</v>
      </c>
      <c r="F7" s="3">
        <f t="shared" si="0"/>
        <v>6.0736454453848921E-3</v>
      </c>
      <c r="G7" s="3">
        <f t="shared" si="0"/>
        <v>6.0736454453848921E-3</v>
      </c>
      <c r="H7" s="3">
        <f t="shared" si="0"/>
        <v>6.0736454453848921E-3</v>
      </c>
      <c r="I7" s="3">
        <f t="shared" si="0"/>
        <v>6.0736454453848921E-3</v>
      </c>
      <c r="J7" s="3">
        <f t="shared" si="0"/>
        <v>6.0736454453848921E-3</v>
      </c>
      <c r="K7" s="3">
        <f t="shared" si="0"/>
        <v>6.0736454453848921E-3</v>
      </c>
      <c r="L7" s="3">
        <f t="shared" si="0"/>
        <v>6.0736454453848921E-3</v>
      </c>
      <c r="M7" s="3">
        <f t="shared" si="0"/>
        <v>6.0736454453848921E-3</v>
      </c>
      <c r="N7" s="3">
        <f t="shared" si="0"/>
        <v>6.0736454453848921E-3</v>
      </c>
      <c r="O7" s="3">
        <f t="shared" si="0"/>
        <v>6.0736454453848921E-3</v>
      </c>
      <c r="P7" s="3">
        <f t="shared" si="0"/>
        <v>6.0736454453848921E-3</v>
      </c>
      <c r="Q7" s="3">
        <f t="shared" si="0"/>
        <v>6.0736454453848921E-3</v>
      </c>
      <c r="R7" s="3">
        <f t="shared" si="0"/>
        <v>6.0736454453848921E-3</v>
      </c>
      <c r="S7" s="3">
        <f t="shared" si="0"/>
        <v>6.0736454453848921E-3</v>
      </c>
      <c r="T7" s="3">
        <f t="shared" si="0"/>
        <v>6.0736454453848921E-3</v>
      </c>
      <c r="U7" s="3">
        <f t="shared" si="0"/>
        <v>6.0736454453848921E-3</v>
      </c>
      <c r="V7" s="3">
        <f t="shared" si="0"/>
        <v>6.0736454453848921E-3</v>
      </c>
      <c r="W7" s="3">
        <f t="shared" si="0"/>
        <v>6.0736454453848921E-3</v>
      </c>
      <c r="X7" s="3">
        <f t="shared" si="0"/>
        <v>6.0736454453848921E-3</v>
      </c>
      <c r="Y7" s="3">
        <f t="shared" si="0"/>
        <v>6.0736454453848921E-3</v>
      </c>
      <c r="Z7" s="3">
        <f t="shared" si="0"/>
        <v>6.0736454453848921E-3</v>
      </c>
      <c r="AA7" s="3">
        <f t="shared" si="0"/>
        <v>6.0736454453848921E-3</v>
      </c>
      <c r="AB7" s="3">
        <f t="shared" si="0"/>
        <v>6.0736454453848921E-3</v>
      </c>
      <c r="AC7" s="3">
        <f t="shared" si="0"/>
        <v>6.0736454453848921E-3</v>
      </c>
      <c r="AD7" s="3">
        <f t="shared" si="0"/>
        <v>6.0736454453848921E-3</v>
      </c>
      <c r="AE7" s="3">
        <f t="shared" si="0"/>
        <v>6.0736454453848921E-3</v>
      </c>
      <c r="AF7" s="3">
        <f t="shared" si="0"/>
        <v>6.0736454453848921E-3</v>
      </c>
      <c r="AH7" s="3"/>
      <c r="AI7" s="3"/>
    </row>
    <row r="8" spans="1:35">
      <c r="A8" t="s">
        <v>14</v>
      </c>
      <c r="B8" s="3">
        <v>0</v>
      </c>
      <c r="C8" s="3">
        <f t="shared" si="1"/>
        <v>0</v>
      </c>
      <c r="D8" s="3">
        <f t="shared" si="0"/>
        <v>0</v>
      </c>
      <c r="E8" s="3">
        <f t="shared" si="0"/>
        <v>0</v>
      </c>
      <c r="F8" s="3">
        <f t="shared" si="0"/>
        <v>0</v>
      </c>
      <c r="G8" s="3">
        <f t="shared" si="0"/>
        <v>0</v>
      </c>
      <c r="H8" s="3">
        <f t="shared" si="0"/>
        <v>0</v>
      </c>
      <c r="I8" s="3">
        <f t="shared" si="0"/>
        <v>0</v>
      </c>
      <c r="J8" s="3">
        <f t="shared" si="0"/>
        <v>0</v>
      </c>
      <c r="K8" s="3">
        <f t="shared" si="0"/>
        <v>0</v>
      </c>
      <c r="L8" s="3">
        <f t="shared" si="0"/>
        <v>0</v>
      </c>
      <c r="M8" s="3">
        <f t="shared" si="0"/>
        <v>0</v>
      </c>
      <c r="N8" s="3">
        <f t="shared" si="0"/>
        <v>0</v>
      </c>
      <c r="O8" s="3">
        <f t="shared" si="0"/>
        <v>0</v>
      </c>
      <c r="P8" s="3">
        <f t="shared" si="0"/>
        <v>0</v>
      </c>
      <c r="Q8" s="3">
        <f t="shared" si="0"/>
        <v>0</v>
      </c>
      <c r="R8" s="3">
        <f t="shared" si="0"/>
        <v>0</v>
      </c>
      <c r="S8" s="3">
        <f t="shared" si="0"/>
        <v>0</v>
      </c>
      <c r="T8" s="3">
        <f t="shared" si="0"/>
        <v>0</v>
      </c>
      <c r="U8" s="3">
        <f t="shared" si="0"/>
        <v>0</v>
      </c>
      <c r="V8" s="3">
        <f t="shared" si="0"/>
        <v>0</v>
      </c>
      <c r="W8" s="3">
        <f t="shared" si="0"/>
        <v>0</v>
      </c>
      <c r="X8" s="3">
        <f t="shared" si="0"/>
        <v>0</v>
      </c>
      <c r="Y8" s="3">
        <f t="shared" si="0"/>
        <v>0</v>
      </c>
      <c r="Z8" s="3">
        <f t="shared" si="0"/>
        <v>0</v>
      </c>
      <c r="AA8" s="3">
        <f t="shared" si="0"/>
        <v>0</v>
      </c>
      <c r="AB8" s="3">
        <f t="shared" si="0"/>
        <v>0</v>
      </c>
      <c r="AC8" s="3">
        <f t="shared" si="0"/>
        <v>0</v>
      </c>
      <c r="AD8" s="3">
        <f t="shared" si="0"/>
        <v>0</v>
      </c>
      <c r="AE8" s="3">
        <f t="shared" si="0"/>
        <v>0</v>
      </c>
      <c r="AF8" s="3">
        <f t="shared" si="0"/>
        <v>0</v>
      </c>
      <c r="AH8" s="3"/>
      <c r="AI8" s="3"/>
    </row>
  </sheetData>
  <phoneticPr fontId="4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I8"/>
  <sheetViews>
    <sheetView workbookViewId="0">
      <selection activeCell="AA14" sqref="AA14"/>
    </sheetView>
  </sheetViews>
  <sheetFormatPr defaultRowHeight="14.5"/>
  <cols>
    <col min="1" max="1" width="31.08984375" customWidth="1"/>
  </cols>
  <sheetData>
    <row r="1" spans="1:35">
      <c r="A1" s="4" t="s">
        <v>15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1</v>
      </c>
      <c r="B2" s="3">
        <f t="array" ref="B2:B8">TRANSPOSE('SYFAFE-psgr'!B4:H4)</f>
        <v>0</v>
      </c>
      <c r="C2" s="3">
        <f>B2</f>
        <v>0</v>
      </c>
      <c r="D2" s="3">
        <f t="shared" ref="D2:AF8" si="0">C2</f>
        <v>0</v>
      </c>
      <c r="E2" s="3">
        <f t="shared" si="0"/>
        <v>0</v>
      </c>
      <c r="F2" s="3">
        <f t="shared" si="0"/>
        <v>0</v>
      </c>
      <c r="G2" s="3">
        <f t="shared" si="0"/>
        <v>0</v>
      </c>
      <c r="H2" s="3">
        <f t="shared" si="0"/>
        <v>0</v>
      </c>
      <c r="I2" s="3">
        <f t="shared" si="0"/>
        <v>0</v>
      </c>
      <c r="J2" s="3">
        <f t="shared" si="0"/>
        <v>0</v>
      </c>
      <c r="K2" s="3">
        <f t="shared" si="0"/>
        <v>0</v>
      </c>
      <c r="L2" s="3">
        <f t="shared" si="0"/>
        <v>0</v>
      </c>
      <c r="M2" s="3">
        <f t="shared" si="0"/>
        <v>0</v>
      </c>
      <c r="N2" s="3">
        <f t="shared" si="0"/>
        <v>0</v>
      </c>
      <c r="O2" s="3">
        <f t="shared" si="0"/>
        <v>0</v>
      </c>
      <c r="P2" s="3">
        <f t="shared" si="0"/>
        <v>0</v>
      </c>
      <c r="Q2" s="3">
        <f t="shared" si="0"/>
        <v>0</v>
      </c>
      <c r="R2" s="3">
        <f t="shared" si="0"/>
        <v>0</v>
      </c>
      <c r="S2" s="3">
        <f t="shared" si="0"/>
        <v>0</v>
      </c>
      <c r="T2" s="3">
        <f t="shared" si="0"/>
        <v>0</v>
      </c>
      <c r="U2" s="3">
        <f t="shared" si="0"/>
        <v>0</v>
      </c>
      <c r="V2" s="3">
        <f t="shared" si="0"/>
        <v>0</v>
      </c>
      <c r="W2" s="3">
        <f t="shared" si="0"/>
        <v>0</v>
      </c>
      <c r="X2" s="3">
        <f t="shared" si="0"/>
        <v>0</v>
      </c>
      <c r="Y2" s="3">
        <f t="shared" si="0"/>
        <v>0</v>
      </c>
      <c r="Z2" s="3">
        <f t="shared" si="0"/>
        <v>0</v>
      </c>
      <c r="AA2" s="3">
        <f t="shared" si="0"/>
        <v>0</v>
      </c>
      <c r="AB2" s="3">
        <f t="shared" si="0"/>
        <v>0</v>
      </c>
      <c r="AC2" s="3">
        <f t="shared" si="0"/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H2" s="3"/>
      <c r="AI2" s="3"/>
    </row>
    <row r="3" spans="1:35">
      <c r="A3" t="s">
        <v>2</v>
      </c>
      <c r="B3">
        <v>0</v>
      </c>
      <c r="C3" s="3">
        <f t="shared" ref="C3:R8" si="1">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</row>
    <row r="4" spans="1:35">
      <c r="A4" t="s">
        <v>3</v>
      </c>
      <c r="B4">
        <v>0</v>
      </c>
      <c r="C4" s="3">
        <f t="shared" si="1"/>
        <v>0</v>
      </c>
      <c r="D4" s="3">
        <f t="shared" si="0"/>
        <v>0</v>
      </c>
      <c r="E4" s="3">
        <f t="shared" si="0"/>
        <v>0</v>
      </c>
      <c r="F4" s="3">
        <f t="shared" si="0"/>
        <v>0</v>
      </c>
      <c r="G4" s="3">
        <f t="shared" si="0"/>
        <v>0</v>
      </c>
      <c r="H4" s="3">
        <f t="shared" si="0"/>
        <v>0</v>
      </c>
      <c r="I4" s="3">
        <f t="shared" si="0"/>
        <v>0</v>
      </c>
      <c r="J4" s="3">
        <f t="shared" si="0"/>
        <v>0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0</v>
      </c>
      <c r="O4" s="3">
        <f t="shared" si="0"/>
        <v>0</v>
      </c>
      <c r="P4" s="3">
        <f t="shared" si="0"/>
        <v>0</v>
      </c>
      <c r="Q4" s="3">
        <f t="shared" si="0"/>
        <v>0</v>
      </c>
      <c r="R4" s="3">
        <f t="shared" si="0"/>
        <v>0</v>
      </c>
      <c r="S4" s="3">
        <f t="shared" si="0"/>
        <v>0</v>
      </c>
      <c r="T4" s="3">
        <f t="shared" si="0"/>
        <v>0</v>
      </c>
      <c r="U4" s="3">
        <f t="shared" si="0"/>
        <v>0</v>
      </c>
      <c r="V4" s="3">
        <f t="shared" si="0"/>
        <v>0</v>
      </c>
      <c r="W4" s="3">
        <f t="shared" si="0"/>
        <v>0</v>
      </c>
      <c r="X4" s="3">
        <f t="shared" si="0"/>
        <v>0</v>
      </c>
      <c r="Y4" s="3">
        <f t="shared" si="0"/>
        <v>0</v>
      </c>
      <c r="Z4" s="3">
        <f t="shared" si="0"/>
        <v>0</v>
      </c>
      <c r="AA4" s="3">
        <f t="shared" si="0"/>
        <v>0</v>
      </c>
      <c r="AB4" s="3">
        <f t="shared" si="0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</row>
    <row r="5" spans="1:35">
      <c r="A5" t="s">
        <v>4</v>
      </c>
      <c r="B5" s="3">
        <v>6.3999198108760673E-3</v>
      </c>
      <c r="C5" s="3">
        <f t="shared" si="1"/>
        <v>6.3999198108760673E-3</v>
      </c>
      <c r="D5" s="3">
        <f t="shared" si="0"/>
        <v>6.3999198108760673E-3</v>
      </c>
      <c r="E5" s="3">
        <f t="shared" si="0"/>
        <v>6.3999198108760673E-3</v>
      </c>
      <c r="F5" s="3">
        <f t="shared" si="0"/>
        <v>6.3999198108760673E-3</v>
      </c>
      <c r="G5" s="3">
        <f t="shared" si="0"/>
        <v>6.3999198108760673E-3</v>
      </c>
      <c r="H5" s="3">
        <f t="shared" si="0"/>
        <v>6.3999198108760673E-3</v>
      </c>
      <c r="I5" s="3">
        <f t="shared" si="0"/>
        <v>6.3999198108760673E-3</v>
      </c>
      <c r="J5" s="3">
        <f t="shared" si="0"/>
        <v>6.3999198108760673E-3</v>
      </c>
      <c r="K5" s="3">
        <f t="shared" si="0"/>
        <v>6.3999198108760673E-3</v>
      </c>
      <c r="L5" s="3">
        <f t="shared" si="0"/>
        <v>6.3999198108760673E-3</v>
      </c>
      <c r="M5" s="3">
        <f t="shared" si="0"/>
        <v>6.3999198108760673E-3</v>
      </c>
      <c r="N5" s="3">
        <f t="shared" si="0"/>
        <v>6.3999198108760673E-3</v>
      </c>
      <c r="O5" s="3">
        <f t="shared" si="0"/>
        <v>6.3999198108760673E-3</v>
      </c>
      <c r="P5" s="3">
        <f t="shared" si="0"/>
        <v>6.3999198108760673E-3</v>
      </c>
      <c r="Q5" s="3">
        <f t="shared" si="0"/>
        <v>6.3999198108760673E-3</v>
      </c>
      <c r="R5" s="3">
        <f t="shared" si="0"/>
        <v>6.3999198108760673E-3</v>
      </c>
      <c r="S5" s="3">
        <f t="shared" si="0"/>
        <v>6.3999198108760673E-3</v>
      </c>
      <c r="T5" s="3">
        <f t="shared" si="0"/>
        <v>6.3999198108760673E-3</v>
      </c>
      <c r="U5" s="3">
        <f t="shared" si="0"/>
        <v>6.3999198108760673E-3</v>
      </c>
      <c r="V5" s="3">
        <f t="shared" si="0"/>
        <v>6.3999198108760673E-3</v>
      </c>
      <c r="W5" s="3">
        <f t="shared" si="0"/>
        <v>6.3999198108760673E-3</v>
      </c>
      <c r="X5" s="3">
        <f t="shared" si="0"/>
        <v>6.3999198108760673E-3</v>
      </c>
      <c r="Y5" s="3">
        <f t="shared" si="0"/>
        <v>6.3999198108760673E-3</v>
      </c>
      <c r="Z5" s="3">
        <f t="shared" si="0"/>
        <v>6.3999198108760673E-3</v>
      </c>
      <c r="AA5" s="3">
        <f t="shared" si="0"/>
        <v>6.3999198108760673E-3</v>
      </c>
      <c r="AB5" s="3">
        <f t="shared" si="0"/>
        <v>6.3999198108760673E-3</v>
      </c>
      <c r="AC5" s="3">
        <f t="shared" si="0"/>
        <v>6.3999198108760673E-3</v>
      </c>
      <c r="AD5" s="3">
        <f t="shared" si="0"/>
        <v>6.3999198108760673E-3</v>
      </c>
      <c r="AE5" s="3">
        <f t="shared" si="0"/>
        <v>6.3999198108760673E-3</v>
      </c>
      <c r="AF5" s="3">
        <f t="shared" si="0"/>
        <v>6.3999198108760673E-3</v>
      </c>
      <c r="AH5" s="3"/>
      <c r="AI5" s="3"/>
    </row>
    <row r="6" spans="1:35">
      <c r="A6" t="s">
        <v>5</v>
      </c>
      <c r="B6"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</row>
    <row r="7" spans="1:35">
      <c r="A7" t="s">
        <v>13</v>
      </c>
      <c r="B7">
        <v>0</v>
      </c>
      <c r="C7" s="3">
        <f t="shared" si="1"/>
        <v>0</v>
      </c>
      <c r="D7" s="3">
        <f t="shared" si="0"/>
        <v>0</v>
      </c>
      <c r="E7" s="3">
        <f t="shared" si="0"/>
        <v>0</v>
      </c>
      <c r="F7" s="3">
        <f t="shared" si="0"/>
        <v>0</v>
      </c>
      <c r="G7" s="3">
        <f t="shared" si="0"/>
        <v>0</v>
      </c>
      <c r="H7" s="3">
        <f t="shared" si="0"/>
        <v>0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0</v>
      </c>
      <c r="O7" s="3">
        <f t="shared" si="0"/>
        <v>0</v>
      </c>
      <c r="P7" s="3">
        <f t="shared" si="0"/>
        <v>0</v>
      </c>
      <c r="Q7" s="3">
        <f t="shared" si="0"/>
        <v>0</v>
      </c>
      <c r="R7" s="3">
        <f t="shared" si="0"/>
        <v>0</v>
      </c>
      <c r="S7" s="3">
        <f t="shared" si="0"/>
        <v>0</v>
      </c>
      <c r="T7" s="3">
        <f t="shared" si="0"/>
        <v>0</v>
      </c>
      <c r="U7" s="3">
        <f t="shared" si="0"/>
        <v>0</v>
      </c>
      <c r="V7" s="3">
        <f t="shared" si="0"/>
        <v>0</v>
      </c>
      <c r="W7" s="3">
        <f t="shared" si="0"/>
        <v>0</v>
      </c>
      <c r="X7" s="3">
        <f t="shared" si="0"/>
        <v>0</v>
      </c>
      <c r="Y7" s="3">
        <f t="shared" si="0"/>
        <v>0</v>
      </c>
      <c r="Z7" s="3">
        <f t="shared" si="0"/>
        <v>0</v>
      </c>
      <c r="AA7" s="3">
        <f t="shared" si="0"/>
        <v>0</v>
      </c>
      <c r="AB7" s="3">
        <f t="shared" si="0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</row>
    <row r="8" spans="1:35">
      <c r="A8" t="s">
        <v>14</v>
      </c>
      <c r="B8" s="3">
        <v>0</v>
      </c>
      <c r="C8" s="3">
        <f t="shared" si="1"/>
        <v>0</v>
      </c>
      <c r="D8" s="3">
        <f t="shared" si="0"/>
        <v>0</v>
      </c>
      <c r="E8" s="3">
        <f t="shared" si="0"/>
        <v>0</v>
      </c>
      <c r="F8" s="3">
        <f t="shared" si="0"/>
        <v>0</v>
      </c>
      <c r="G8" s="3">
        <f t="shared" si="0"/>
        <v>0</v>
      </c>
      <c r="H8" s="3">
        <f t="shared" si="0"/>
        <v>0</v>
      </c>
      <c r="I8" s="3">
        <f t="shared" si="0"/>
        <v>0</v>
      </c>
      <c r="J8" s="3">
        <f t="shared" si="0"/>
        <v>0</v>
      </c>
      <c r="K8" s="3">
        <f t="shared" si="0"/>
        <v>0</v>
      </c>
      <c r="L8" s="3">
        <f t="shared" si="0"/>
        <v>0</v>
      </c>
      <c r="M8" s="3">
        <f t="shared" si="0"/>
        <v>0</v>
      </c>
      <c r="N8" s="3">
        <f t="shared" si="0"/>
        <v>0</v>
      </c>
      <c r="O8" s="3">
        <f t="shared" si="0"/>
        <v>0</v>
      </c>
      <c r="P8" s="3">
        <f t="shared" si="0"/>
        <v>0</v>
      </c>
      <c r="Q8" s="3">
        <f t="shared" si="0"/>
        <v>0</v>
      </c>
      <c r="R8" s="3">
        <f t="shared" si="0"/>
        <v>0</v>
      </c>
      <c r="S8" s="3">
        <f t="shared" si="0"/>
        <v>0</v>
      </c>
      <c r="T8" s="3">
        <f t="shared" si="0"/>
        <v>0</v>
      </c>
      <c r="U8" s="3">
        <f t="shared" si="0"/>
        <v>0</v>
      </c>
      <c r="V8" s="3">
        <f t="shared" si="0"/>
        <v>0</v>
      </c>
      <c r="W8" s="3">
        <f t="shared" si="0"/>
        <v>0</v>
      </c>
      <c r="X8" s="3">
        <f t="shared" si="0"/>
        <v>0</v>
      </c>
      <c r="Y8" s="3">
        <f t="shared" si="0"/>
        <v>0</v>
      </c>
      <c r="Z8" s="3">
        <f t="shared" si="0"/>
        <v>0</v>
      </c>
      <c r="AA8" s="3">
        <f t="shared" si="0"/>
        <v>0</v>
      </c>
      <c r="AB8" s="3">
        <f t="shared" si="0"/>
        <v>0</v>
      </c>
      <c r="AC8" s="3">
        <f t="shared" si="0"/>
        <v>0</v>
      </c>
      <c r="AD8" s="3">
        <f t="shared" si="0"/>
        <v>0</v>
      </c>
      <c r="AE8" s="3">
        <f t="shared" si="0"/>
        <v>0</v>
      </c>
      <c r="AF8" s="3">
        <f t="shared" si="0"/>
        <v>0</v>
      </c>
      <c r="AH8" s="3"/>
      <c r="AI8" s="3"/>
    </row>
  </sheetData>
  <phoneticPr fontId="4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I8"/>
  <sheetViews>
    <sheetView topLeftCell="E1" workbookViewId="0">
      <selection activeCell="Q30" sqref="Q30"/>
    </sheetView>
  </sheetViews>
  <sheetFormatPr defaultRowHeight="14.5"/>
  <cols>
    <col min="1" max="1" width="31.08984375" customWidth="1"/>
  </cols>
  <sheetData>
    <row r="1" spans="1:35">
      <c r="A1" s="4" t="s">
        <v>15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1</v>
      </c>
      <c r="B2" s="3">
        <f t="array" ref="B2:B8">TRANSPOSE('SYFAFE-frgt'!B4:H4)</f>
        <v>0</v>
      </c>
      <c r="C2" s="3">
        <f>B2</f>
        <v>0</v>
      </c>
      <c r="D2" s="3">
        <f t="shared" ref="D2:AF8" si="0">C2</f>
        <v>0</v>
      </c>
      <c r="E2" s="3">
        <f t="shared" si="0"/>
        <v>0</v>
      </c>
      <c r="F2" s="3">
        <f t="shared" si="0"/>
        <v>0</v>
      </c>
      <c r="G2" s="3">
        <f t="shared" si="0"/>
        <v>0</v>
      </c>
      <c r="H2" s="3">
        <f t="shared" si="0"/>
        <v>0</v>
      </c>
      <c r="I2" s="3">
        <f t="shared" si="0"/>
        <v>0</v>
      </c>
      <c r="J2" s="3">
        <f t="shared" si="0"/>
        <v>0</v>
      </c>
      <c r="K2" s="3">
        <f t="shared" si="0"/>
        <v>0</v>
      </c>
      <c r="L2" s="3">
        <f t="shared" si="0"/>
        <v>0</v>
      </c>
      <c r="M2" s="3">
        <f t="shared" si="0"/>
        <v>0</v>
      </c>
      <c r="N2" s="3">
        <f t="shared" si="0"/>
        <v>0</v>
      </c>
      <c r="O2" s="3">
        <f t="shared" si="0"/>
        <v>0</v>
      </c>
      <c r="P2" s="3">
        <f t="shared" si="0"/>
        <v>0</v>
      </c>
      <c r="Q2" s="3">
        <f t="shared" si="0"/>
        <v>0</v>
      </c>
      <c r="R2" s="3">
        <f t="shared" si="0"/>
        <v>0</v>
      </c>
      <c r="S2" s="3">
        <f t="shared" si="0"/>
        <v>0</v>
      </c>
      <c r="T2" s="3">
        <f t="shared" si="0"/>
        <v>0</v>
      </c>
      <c r="U2" s="3">
        <f t="shared" si="0"/>
        <v>0</v>
      </c>
      <c r="V2" s="3">
        <f t="shared" si="0"/>
        <v>0</v>
      </c>
      <c r="W2" s="3">
        <f t="shared" si="0"/>
        <v>0</v>
      </c>
      <c r="X2" s="3">
        <f t="shared" si="0"/>
        <v>0</v>
      </c>
      <c r="Y2" s="3">
        <f t="shared" si="0"/>
        <v>0</v>
      </c>
      <c r="Z2" s="3">
        <f t="shared" si="0"/>
        <v>0</v>
      </c>
      <c r="AA2" s="3">
        <f t="shared" si="0"/>
        <v>0</v>
      </c>
      <c r="AB2" s="3">
        <f t="shared" si="0"/>
        <v>0</v>
      </c>
      <c r="AC2" s="3">
        <f t="shared" si="0"/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H2" s="3"/>
      <c r="AI2" s="3"/>
    </row>
    <row r="3" spans="1:35">
      <c r="A3" t="s">
        <v>2</v>
      </c>
      <c r="B3">
        <v>0</v>
      </c>
      <c r="C3" s="3">
        <f t="shared" ref="C3:R8" si="1">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</row>
    <row r="4" spans="1:35">
      <c r="A4" t="s">
        <v>3</v>
      </c>
      <c r="B4">
        <v>0</v>
      </c>
      <c r="C4" s="3">
        <f t="shared" si="1"/>
        <v>0</v>
      </c>
      <c r="D4" s="3">
        <f t="shared" si="0"/>
        <v>0</v>
      </c>
      <c r="E4" s="3">
        <f t="shared" si="0"/>
        <v>0</v>
      </c>
      <c r="F4" s="3">
        <f t="shared" si="0"/>
        <v>0</v>
      </c>
      <c r="G4" s="3">
        <f t="shared" si="0"/>
        <v>0</v>
      </c>
      <c r="H4" s="3">
        <f t="shared" si="0"/>
        <v>0</v>
      </c>
      <c r="I4" s="3">
        <f t="shared" si="0"/>
        <v>0</v>
      </c>
      <c r="J4" s="3">
        <f t="shared" si="0"/>
        <v>0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0</v>
      </c>
      <c r="O4" s="3">
        <f t="shared" si="0"/>
        <v>0</v>
      </c>
      <c r="P4" s="3">
        <f t="shared" si="0"/>
        <v>0</v>
      </c>
      <c r="Q4" s="3">
        <f t="shared" si="0"/>
        <v>0</v>
      </c>
      <c r="R4" s="3">
        <f t="shared" si="0"/>
        <v>0</v>
      </c>
      <c r="S4" s="3">
        <f t="shared" si="0"/>
        <v>0</v>
      </c>
      <c r="T4" s="3">
        <f t="shared" si="0"/>
        <v>0</v>
      </c>
      <c r="U4" s="3">
        <f t="shared" si="0"/>
        <v>0</v>
      </c>
      <c r="V4" s="3">
        <f t="shared" si="0"/>
        <v>0</v>
      </c>
      <c r="W4" s="3">
        <f t="shared" si="0"/>
        <v>0</v>
      </c>
      <c r="X4" s="3">
        <f t="shared" si="0"/>
        <v>0</v>
      </c>
      <c r="Y4" s="3">
        <f t="shared" si="0"/>
        <v>0</v>
      </c>
      <c r="Z4" s="3">
        <f t="shared" si="0"/>
        <v>0</v>
      </c>
      <c r="AA4" s="3">
        <f t="shared" si="0"/>
        <v>0</v>
      </c>
      <c r="AB4" s="3">
        <f t="shared" si="0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</row>
    <row r="5" spans="1:35">
      <c r="A5" t="s">
        <v>4</v>
      </c>
      <c r="B5" s="3">
        <v>2.992789097910166E-2</v>
      </c>
      <c r="C5" s="3">
        <f t="shared" si="1"/>
        <v>2.992789097910166E-2</v>
      </c>
      <c r="D5" s="3">
        <f t="shared" si="0"/>
        <v>2.992789097910166E-2</v>
      </c>
      <c r="E5" s="3">
        <f t="shared" si="0"/>
        <v>2.992789097910166E-2</v>
      </c>
      <c r="F5" s="3">
        <f t="shared" si="0"/>
        <v>2.992789097910166E-2</v>
      </c>
      <c r="G5" s="3">
        <f t="shared" si="0"/>
        <v>2.992789097910166E-2</v>
      </c>
      <c r="H5" s="3">
        <f t="shared" si="0"/>
        <v>2.992789097910166E-2</v>
      </c>
      <c r="I5" s="3">
        <f t="shared" si="0"/>
        <v>2.992789097910166E-2</v>
      </c>
      <c r="J5" s="3">
        <f t="shared" si="0"/>
        <v>2.992789097910166E-2</v>
      </c>
      <c r="K5" s="3">
        <f t="shared" si="0"/>
        <v>2.992789097910166E-2</v>
      </c>
      <c r="L5" s="3">
        <f t="shared" si="0"/>
        <v>2.992789097910166E-2</v>
      </c>
      <c r="M5" s="3">
        <f t="shared" si="0"/>
        <v>2.992789097910166E-2</v>
      </c>
      <c r="N5" s="3">
        <f t="shared" si="0"/>
        <v>2.992789097910166E-2</v>
      </c>
      <c r="O5" s="3">
        <f t="shared" si="0"/>
        <v>2.992789097910166E-2</v>
      </c>
      <c r="P5" s="3">
        <f t="shared" si="0"/>
        <v>2.992789097910166E-2</v>
      </c>
      <c r="Q5" s="3">
        <f t="shared" si="0"/>
        <v>2.992789097910166E-2</v>
      </c>
      <c r="R5" s="3">
        <f t="shared" si="0"/>
        <v>2.992789097910166E-2</v>
      </c>
      <c r="S5" s="3">
        <f t="shared" si="0"/>
        <v>2.992789097910166E-2</v>
      </c>
      <c r="T5" s="3">
        <f t="shared" si="0"/>
        <v>2.992789097910166E-2</v>
      </c>
      <c r="U5" s="3">
        <f t="shared" si="0"/>
        <v>2.992789097910166E-2</v>
      </c>
      <c r="V5" s="3">
        <f t="shared" si="0"/>
        <v>2.992789097910166E-2</v>
      </c>
      <c r="W5" s="3">
        <f t="shared" si="0"/>
        <v>2.992789097910166E-2</v>
      </c>
      <c r="X5" s="3">
        <f t="shared" si="0"/>
        <v>2.992789097910166E-2</v>
      </c>
      <c r="Y5" s="3">
        <f t="shared" si="0"/>
        <v>2.992789097910166E-2</v>
      </c>
      <c r="Z5" s="3">
        <f t="shared" si="0"/>
        <v>2.992789097910166E-2</v>
      </c>
      <c r="AA5" s="3">
        <f t="shared" si="0"/>
        <v>2.992789097910166E-2</v>
      </c>
      <c r="AB5" s="3">
        <f t="shared" si="0"/>
        <v>2.992789097910166E-2</v>
      </c>
      <c r="AC5" s="3">
        <f t="shared" si="0"/>
        <v>2.992789097910166E-2</v>
      </c>
      <c r="AD5" s="3">
        <f t="shared" si="0"/>
        <v>2.992789097910166E-2</v>
      </c>
      <c r="AE5" s="3">
        <f t="shared" si="0"/>
        <v>2.992789097910166E-2</v>
      </c>
      <c r="AF5" s="3">
        <f t="shared" si="0"/>
        <v>2.992789097910166E-2</v>
      </c>
      <c r="AH5" s="3"/>
      <c r="AI5" s="3"/>
    </row>
    <row r="6" spans="1:35">
      <c r="A6" t="s">
        <v>5</v>
      </c>
      <c r="B6"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</row>
    <row r="7" spans="1:35">
      <c r="A7" t="s">
        <v>13</v>
      </c>
      <c r="B7">
        <v>0</v>
      </c>
      <c r="C7" s="3">
        <f t="shared" si="1"/>
        <v>0</v>
      </c>
      <c r="D7" s="3">
        <f t="shared" si="0"/>
        <v>0</v>
      </c>
      <c r="E7" s="3">
        <f t="shared" si="0"/>
        <v>0</v>
      </c>
      <c r="F7" s="3">
        <f t="shared" si="0"/>
        <v>0</v>
      </c>
      <c r="G7" s="3">
        <f t="shared" si="0"/>
        <v>0</v>
      </c>
      <c r="H7" s="3">
        <f t="shared" si="0"/>
        <v>0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0</v>
      </c>
      <c r="O7" s="3">
        <f t="shared" si="0"/>
        <v>0</v>
      </c>
      <c r="P7" s="3">
        <f t="shared" si="0"/>
        <v>0</v>
      </c>
      <c r="Q7" s="3">
        <f t="shared" si="0"/>
        <v>0</v>
      </c>
      <c r="R7" s="3">
        <f t="shared" si="0"/>
        <v>0</v>
      </c>
      <c r="S7" s="3">
        <f t="shared" si="0"/>
        <v>0</v>
      </c>
      <c r="T7" s="3">
        <f t="shared" si="0"/>
        <v>0</v>
      </c>
      <c r="U7" s="3">
        <f t="shared" si="0"/>
        <v>0</v>
      </c>
      <c r="V7" s="3">
        <f t="shared" si="0"/>
        <v>0</v>
      </c>
      <c r="W7" s="3">
        <f t="shared" si="0"/>
        <v>0</v>
      </c>
      <c r="X7" s="3">
        <f t="shared" si="0"/>
        <v>0</v>
      </c>
      <c r="Y7" s="3">
        <f t="shared" si="0"/>
        <v>0</v>
      </c>
      <c r="Z7" s="3">
        <f t="shared" si="0"/>
        <v>0</v>
      </c>
      <c r="AA7" s="3">
        <f t="shared" si="0"/>
        <v>0</v>
      </c>
      <c r="AB7" s="3">
        <f t="shared" si="0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</row>
    <row r="8" spans="1:35">
      <c r="A8" t="s">
        <v>14</v>
      </c>
      <c r="B8" s="3">
        <v>0</v>
      </c>
      <c r="C8" s="3">
        <f t="shared" si="1"/>
        <v>0</v>
      </c>
      <c r="D8" s="3">
        <f t="shared" si="0"/>
        <v>0</v>
      </c>
      <c r="E8" s="3">
        <f t="shared" si="0"/>
        <v>0</v>
      </c>
      <c r="F8" s="3">
        <f t="shared" si="0"/>
        <v>0</v>
      </c>
      <c r="G8" s="3">
        <f t="shared" si="0"/>
        <v>0</v>
      </c>
      <c r="H8" s="3">
        <f t="shared" si="0"/>
        <v>0</v>
      </c>
      <c r="I8" s="3">
        <f t="shared" si="0"/>
        <v>0</v>
      </c>
      <c r="J8" s="3">
        <f t="shared" si="0"/>
        <v>0</v>
      </c>
      <c r="K8" s="3">
        <f t="shared" si="0"/>
        <v>0</v>
      </c>
      <c r="L8" s="3">
        <f t="shared" si="0"/>
        <v>0</v>
      </c>
      <c r="M8" s="3">
        <f t="shared" si="0"/>
        <v>0</v>
      </c>
      <c r="N8" s="3">
        <f t="shared" si="0"/>
        <v>0</v>
      </c>
      <c r="O8" s="3">
        <f t="shared" si="0"/>
        <v>0</v>
      </c>
      <c r="P8" s="3">
        <f t="shared" si="0"/>
        <v>0</v>
      </c>
      <c r="Q8" s="3">
        <f t="shared" si="0"/>
        <v>0</v>
      </c>
      <c r="R8" s="3">
        <f t="shared" si="0"/>
        <v>0</v>
      </c>
      <c r="S8" s="3">
        <f t="shared" si="0"/>
        <v>0</v>
      </c>
      <c r="T8" s="3">
        <f t="shared" si="0"/>
        <v>0</v>
      </c>
      <c r="U8" s="3">
        <f t="shared" si="0"/>
        <v>0</v>
      </c>
      <c r="V8" s="3">
        <f t="shared" si="0"/>
        <v>0</v>
      </c>
      <c r="W8" s="3">
        <f t="shared" si="0"/>
        <v>0</v>
      </c>
      <c r="X8" s="3">
        <f t="shared" si="0"/>
        <v>0</v>
      </c>
      <c r="Y8" s="3">
        <f t="shared" si="0"/>
        <v>0</v>
      </c>
      <c r="Z8" s="3">
        <f t="shared" si="0"/>
        <v>0</v>
      </c>
      <c r="AA8" s="3">
        <f t="shared" si="0"/>
        <v>0</v>
      </c>
      <c r="AB8" s="3">
        <f t="shared" si="0"/>
        <v>0</v>
      </c>
      <c r="AC8" s="3">
        <f t="shared" si="0"/>
        <v>0</v>
      </c>
      <c r="AD8" s="3">
        <f t="shared" si="0"/>
        <v>0</v>
      </c>
      <c r="AE8" s="3">
        <f t="shared" si="0"/>
        <v>0</v>
      </c>
      <c r="AF8" s="3">
        <f t="shared" si="0"/>
        <v>0</v>
      </c>
      <c r="AH8" s="3"/>
      <c r="AI8" s="3"/>
    </row>
  </sheetData>
  <phoneticPr fontId="4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I13"/>
  <sheetViews>
    <sheetView topLeftCell="E1" workbookViewId="0">
      <selection activeCell="V30" sqref="V30"/>
    </sheetView>
  </sheetViews>
  <sheetFormatPr defaultRowHeight="14.5"/>
  <cols>
    <col min="1" max="1" width="31.08984375" customWidth="1"/>
    <col min="2" max="2" width="11" customWidth="1"/>
    <col min="3" max="3" width="9.36328125" bestFit="1" customWidth="1"/>
  </cols>
  <sheetData>
    <row r="1" spans="1:35">
      <c r="A1" s="4" t="s">
        <v>15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1</v>
      </c>
      <c r="B2" s="3">
        <f t="array" ref="B2:B8">TRANSPOSE('SYFAFE-psgr'!B5:H5)</f>
        <v>7.8030705230531052E-4</v>
      </c>
      <c r="C2" s="3">
        <f>B2</f>
        <v>7.8030705230531052E-4</v>
      </c>
      <c r="D2" s="3">
        <f t="shared" ref="D2:AF8" si="0">C2</f>
        <v>7.8030705230531052E-4</v>
      </c>
      <c r="E2" s="3">
        <f t="shared" si="0"/>
        <v>7.8030705230531052E-4</v>
      </c>
      <c r="F2" s="3">
        <f t="shared" si="0"/>
        <v>7.8030705230531052E-4</v>
      </c>
      <c r="G2" s="3">
        <f t="shared" si="0"/>
        <v>7.8030705230531052E-4</v>
      </c>
      <c r="H2" s="3">
        <f t="shared" si="0"/>
        <v>7.8030705230531052E-4</v>
      </c>
      <c r="I2" s="3">
        <f t="shared" si="0"/>
        <v>7.8030705230531052E-4</v>
      </c>
      <c r="J2" s="3">
        <f t="shared" si="0"/>
        <v>7.8030705230531052E-4</v>
      </c>
      <c r="K2" s="3">
        <f t="shared" si="0"/>
        <v>7.8030705230531052E-4</v>
      </c>
      <c r="L2" s="3">
        <f t="shared" si="0"/>
        <v>7.8030705230531052E-4</v>
      </c>
      <c r="M2" s="3">
        <f t="shared" si="0"/>
        <v>7.8030705230531052E-4</v>
      </c>
      <c r="N2" s="3">
        <f t="shared" si="0"/>
        <v>7.8030705230531052E-4</v>
      </c>
      <c r="O2" s="3">
        <f t="shared" si="0"/>
        <v>7.8030705230531052E-4</v>
      </c>
      <c r="P2" s="3">
        <f t="shared" si="0"/>
        <v>7.8030705230531052E-4</v>
      </c>
      <c r="Q2" s="3">
        <f t="shared" si="0"/>
        <v>7.8030705230531052E-4</v>
      </c>
      <c r="R2" s="3">
        <f t="shared" si="0"/>
        <v>7.8030705230531052E-4</v>
      </c>
      <c r="S2" s="3">
        <f t="shared" si="0"/>
        <v>7.8030705230531052E-4</v>
      </c>
      <c r="T2" s="3">
        <f t="shared" si="0"/>
        <v>7.8030705230531052E-4</v>
      </c>
      <c r="U2" s="3">
        <f t="shared" si="0"/>
        <v>7.8030705230531052E-4</v>
      </c>
      <c r="V2" s="3">
        <f t="shared" si="0"/>
        <v>7.8030705230531052E-4</v>
      </c>
      <c r="W2" s="3">
        <f t="shared" si="0"/>
        <v>7.8030705230531052E-4</v>
      </c>
      <c r="X2" s="3">
        <f t="shared" si="0"/>
        <v>7.8030705230531052E-4</v>
      </c>
      <c r="Y2" s="3">
        <f t="shared" si="0"/>
        <v>7.8030705230531052E-4</v>
      </c>
      <c r="Z2" s="3">
        <f t="shared" si="0"/>
        <v>7.8030705230531052E-4</v>
      </c>
      <c r="AA2" s="3">
        <f t="shared" si="0"/>
        <v>7.8030705230531052E-4</v>
      </c>
      <c r="AB2" s="3">
        <f t="shared" si="0"/>
        <v>7.8030705230531052E-4</v>
      </c>
      <c r="AC2" s="3">
        <f t="shared" si="0"/>
        <v>7.8030705230531052E-4</v>
      </c>
      <c r="AD2" s="3">
        <f t="shared" si="0"/>
        <v>7.8030705230531052E-4</v>
      </c>
      <c r="AE2" s="3">
        <f t="shared" si="0"/>
        <v>7.8030705230531052E-4</v>
      </c>
      <c r="AF2" s="3">
        <f t="shared" si="0"/>
        <v>7.8030705230531052E-4</v>
      </c>
      <c r="AH2" s="3"/>
      <c r="AI2" s="3"/>
    </row>
    <row r="3" spans="1:35">
      <c r="A3" t="s">
        <v>2</v>
      </c>
      <c r="B3">
        <v>0</v>
      </c>
      <c r="C3" s="3">
        <f t="shared" ref="C3:R8" si="1">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</row>
    <row r="4" spans="1:35">
      <c r="A4" t="s">
        <v>3</v>
      </c>
      <c r="B4">
        <v>0</v>
      </c>
      <c r="C4" s="3">
        <f t="shared" si="1"/>
        <v>0</v>
      </c>
      <c r="D4" s="3">
        <f t="shared" si="0"/>
        <v>0</v>
      </c>
      <c r="E4" s="3">
        <f t="shared" si="0"/>
        <v>0</v>
      </c>
      <c r="F4" s="3">
        <f t="shared" si="0"/>
        <v>0</v>
      </c>
      <c r="G4" s="3">
        <f t="shared" si="0"/>
        <v>0</v>
      </c>
      <c r="H4" s="3">
        <f t="shared" si="0"/>
        <v>0</v>
      </c>
      <c r="I4" s="3">
        <f t="shared" si="0"/>
        <v>0</v>
      </c>
      <c r="J4" s="3">
        <f t="shared" si="0"/>
        <v>0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0</v>
      </c>
      <c r="O4" s="3">
        <f t="shared" si="0"/>
        <v>0</v>
      </c>
      <c r="P4" s="3">
        <f t="shared" si="0"/>
        <v>0</v>
      </c>
      <c r="Q4" s="3">
        <f t="shared" si="0"/>
        <v>0</v>
      </c>
      <c r="R4" s="3">
        <f t="shared" si="0"/>
        <v>0</v>
      </c>
      <c r="S4" s="3">
        <f t="shared" si="0"/>
        <v>0</v>
      </c>
      <c r="T4" s="3">
        <f t="shared" si="0"/>
        <v>0</v>
      </c>
      <c r="U4" s="3">
        <f t="shared" si="0"/>
        <v>0</v>
      </c>
      <c r="V4" s="3">
        <f t="shared" si="0"/>
        <v>0</v>
      </c>
      <c r="W4" s="3">
        <f t="shared" si="0"/>
        <v>0</v>
      </c>
      <c r="X4" s="3">
        <f t="shared" si="0"/>
        <v>0</v>
      </c>
      <c r="Y4" s="3">
        <f t="shared" si="0"/>
        <v>0</v>
      </c>
      <c r="Z4" s="3">
        <f t="shared" si="0"/>
        <v>0</v>
      </c>
      <c r="AA4" s="3">
        <f t="shared" si="0"/>
        <v>0</v>
      </c>
      <c r="AB4" s="3">
        <f t="shared" si="0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</row>
    <row r="5" spans="1:35">
      <c r="A5" t="s">
        <v>4</v>
      </c>
      <c r="B5" s="5">
        <v>5.5294125429859176E-3</v>
      </c>
      <c r="C5" s="3">
        <f t="shared" si="1"/>
        <v>5.5294125429859176E-3</v>
      </c>
      <c r="D5" s="3">
        <f t="shared" si="0"/>
        <v>5.5294125429859176E-3</v>
      </c>
      <c r="E5" s="3">
        <f t="shared" si="0"/>
        <v>5.5294125429859176E-3</v>
      </c>
      <c r="F5" s="3">
        <f t="shared" si="0"/>
        <v>5.5294125429859176E-3</v>
      </c>
      <c r="G5" s="3">
        <f t="shared" si="0"/>
        <v>5.5294125429859176E-3</v>
      </c>
      <c r="H5" s="3">
        <f t="shared" si="0"/>
        <v>5.5294125429859176E-3</v>
      </c>
      <c r="I5" s="3">
        <f t="shared" si="0"/>
        <v>5.5294125429859176E-3</v>
      </c>
      <c r="J5" s="3">
        <f t="shared" si="0"/>
        <v>5.5294125429859176E-3</v>
      </c>
      <c r="K5" s="3">
        <f t="shared" si="0"/>
        <v>5.5294125429859176E-3</v>
      </c>
      <c r="L5" s="3">
        <f t="shared" si="0"/>
        <v>5.5294125429859176E-3</v>
      </c>
      <c r="M5" s="3">
        <f t="shared" si="0"/>
        <v>5.5294125429859176E-3</v>
      </c>
      <c r="N5" s="3">
        <f t="shared" si="0"/>
        <v>5.5294125429859176E-3</v>
      </c>
      <c r="O5" s="3">
        <f t="shared" si="0"/>
        <v>5.5294125429859176E-3</v>
      </c>
      <c r="P5" s="3">
        <f t="shared" si="0"/>
        <v>5.5294125429859176E-3</v>
      </c>
      <c r="Q5" s="3">
        <f t="shared" si="0"/>
        <v>5.5294125429859176E-3</v>
      </c>
      <c r="R5" s="3">
        <f t="shared" si="0"/>
        <v>5.5294125429859176E-3</v>
      </c>
      <c r="S5" s="3">
        <f t="shared" si="0"/>
        <v>5.5294125429859176E-3</v>
      </c>
      <c r="T5" s="3">
        <f t="shared" si="0"/>
        <v>5.5294125429859176E-3</v>
      </c>
      <c r="U5" s="3">
        <f t="shared" si="0"/>
        <v>5.5294125429859176E-3</v>
      </c>
      <c r="V5" s="3">
        <f t="shared" si="0"/>
        <v>5.5294125429859176E-3</v>
      </c>
      <c r="W5" s="3">
        <f t="shared" si="0"/>
        <v>5.5294125429859176E-3</v>
      </c>
      <c r="X5" s="3">
        <f t="shared" si="0"/>
        <v>5.5294125429859176E-3</v>
      </c>
      <c r="Y5" s="3">
        <f t="shared" si="0"/>
        <v>5.5294125429859176E-3</v>
      </c>
      <c r="Z5" s="3">
        <f t="shared" si="0"/>
        <v>5.5294125429859176E-3</v>
      </c>
      <c r="AA5" s="3">
        <f t="shared" si="0"/>
        <v>5.5294125429859176E-3</v>
      </c>
      <c r="AB5" s="3">
        <f t="shared" si="0"/>
        <v>5.5294125429859176E-3</v>
      </c>
      <c r="AC5" s="3">
        <f t="shared" si="0"/>
        <v>5.5294125429859176E-3</v>
      </c>
      <c r="AD5" s="3">
        <f t="shared" si="0"/>
        <v>5.5294125429859176E-3</v>
      </c>
      <c r="AE5" s="3">
        <f t="shared" si="0"/>
        <v>5.5294125429859176E-3</v>
      </c>
      <c r="AF5" s="3">
        <f t="shared" si="0"/>
        <v>5.5294125429859176E-3</v>
      </c>
      <c r="AH5" s="3"/>
      <c r="AI5" s="3"/>
    </row>
    <row r="6" spans="1:35">
      <c r="A6" t="s">
        <v>5</v>
      </c>
      <c r="B6"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</row>
    <row r="7" spans="1:35">
      <c r="A7" t="s">
        <v>13</v>
      </c>
      <c r="B7">
        <v>0</v>
      </c>
      <c r="C7" s="3">
        <f t="shared" si="1"/>
        <v>0</v>
      </c>
      <c r="D7" s="3">
        <f t="shared" si="0"/>
        <v>0</v>
      </c>
      <c r="E7" s="3">
        <f t="shared" si="0"/>
        <v>0</v>
      </c>
      <c r="F7" s="3">
        <f t="shared" si="0"/>
        <v>0</v>
      </c>
      <c r="G7" s="3">
        <f t="shared" si="0"/>
        <v>0</v>
      </c>
      <c r="H7" s="3">
        <f t="shared" si="0"/>
        <v>0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0</v>
      </c>
      <c r="O7" s="3">
        <f t="shared" si="0"/>
        <v>0</v>
      </c>
      <c r="P7" s="3">
        <f t="shared" si="0"/>
        <v>0</v>
      </c>
      <c r="Q7" s="3">
        <f t="shared" si="0"/>
        <v>0</v>
      </c>
      <c r="R7" s="3">
        <f t="shared" si="0"/>
        <v>0</v>
      </c>
      <c r="S7" s="3">
        <f t="shared" si="0"/>
        <v>0</v>
      </c>
      <c r="T7" s="3">
        <f t="shared" si="0"/>
        <v>0</v>
      </c>
      <c r="U7" s="3">
        <f t="shared" si="0"/>
        <v>0</v>
      </c>
      <c r="V7" s="3">
        <f t="shared" si="0"/>
        <v>0</v>
      </c>
      <c r="W7" s="3">
        <f t="shared" si="0"/>
        <v>0</v>
      </c>
      <c r="X7" s="3">
        <f t="shared" si="0"/>
        <v>0</v>
      </c>
      <c r="Y7" s="3">
        <f t="shared" si="0"/>
        <v>0</v>
      </c>
      <c r="Z7" s="3">
        <f t="shared" si="0"/>
        <v>0</v>
      </c>
      <c r="AA7" s="3">
        <f t="shared" si="0"/>
        <v>0</v>
      </c>
      <c r="AB7" s="3">
        <f t="shared" si="0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</row>
    <row r="8" spans="1:35">
      <c r="A8" t="s">
        <v>14</v>
      </c>
      <c r="B8" s="3">
        <v>0</v>
      </c>
      <c r="C8" s="3">
        <f t="shared" si="1"/>
        <v>0</v>
      </c>
      <c r="D8" s="3">
        <f t="shared" si="0"/>
        <v>0</v>
      </c>
      <c r="E8" s="3">
        <f t="shared" si="0"/>
        <v>0</v>
      </c>
      <c r="F8" s="3">
        <f t="shared" si="0"/>
        <v>0</v>
      </c>
      <c r="G8" s="3">
        <f t="shared" si="0"/>
        <v>0</v>
      </c>
      <c r="H8" s="3">
        <f t="shared" si="0"/>
        <v>0</v>
      </c>
      <c r="I8" s="3">
        <f t="shared" si="0"/>
        <v>0</v>
      </c>
      <c r="J8" s="3">
        <f t="shared" si="0"/>
        <v>0</v>
      </c>
      <c r="K8" s="3">
        <f t="shared" si="0"/>
        <v>0</v>
      </c>
      <c r="L8" s="3">
        <f t="shared" si="0"/>
        <v>0</v>
      </c>
      <c r="M8" s="3">
        <f t="shared" si="0"/>
        <v>0</v>
      </c>
      <c r="N8" s="3">
        <f t="shared" si="0"/>
        <v>0</v>
      </c>
      <c r="O8" s="3">
        <f t="shared" si="0"/>
        <v>0</v>
      </c>
      <c r="P8" s="3">
        <f t="shared" si="0"/>
        <v>0</v>
      </c>
      <c r="Q8" s="3">
        <f t="shared" si="0"/>
        <v>0</v>
      </c>
      <c r="R8" s="3">
        <f t="shared" si="0"/>
        <v>0</v>
      </c>
      <c r="S8" s="3">
        <f t="shared" si="0"/>
        <v>0</v>
      </c>
      <c r="T8" s="3">
        <f t="shared" si="0"/>
        <v>0</v>
      </c>
      <c r="U8" s="3">
        <f t="shared" si="0"/>
        <v>0</v>
      </c>
      <c r="V8" s="3">
        <f t="shared" si="0"/>
        <v>0</v>
      </c>
      <c r="W8" s="3">
        <f t="shared" si="0"/>
        <v>0</v>
      </c>
      <c r="X8" s="3">
        <f t="shared" si="0"/>
        <v>0</v>
      </c>
      <c r="Y8" s="3">
        <f t="shared" si="0"/>
        <v>0</v>
      </c>
      <c r="Z8" s="3">
        <f t="shared" si="0"/>
        <v>0</v>
      </c>
      <c r="AA8" s="3">
        <f t="shared" si="0"/>
        <v>0</v>
      </c>
      <c r="AB8" s="3">
        <f t="shared" si="0"/>
        <v>0</v>
      </c>
      <c r="AC8" s="3">
        <f t="shared" si="0"/>
        <v>0</v>
      </c>
      <c r="AD8" s="3">
        <f t="shared" si="0"/>
        <v>0</v>
      </c>
      <c r="AE8" s="3">
        <f t="shared" si="0"/>
        <v>0</v>
      </c>
      <c r="AF8" s="3">
        <f t="shared" si="0"/>
        <v>0</v>
      </c>
      <c r="AH8" s="3"/>
      <c r="AI8" s="3"/>
    </row>
    <row r="13" spans="1:35"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</sheetData>
  <phoneticPr fontId="40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I8"/>
  <sheetViews>
    <sheetView topLeftCell="E1" workbookViewId="0">
      <selection activeCell="T28" sqref="T28"/>
    </sheetView>
  </sheetViews>
  <sheetFormatPr defaultRowHeight="14.5"/>
  <cols>
    <col min="1" max="1" width="31.08984375" customWidth="1"/>
  </cols>
  <sheetData>
    <row r="1" spans="1:35">
      <c r="A1" s="4" t="s">
        <v>15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1</v>
      </c>
      <c r="B2" s="3">
        <f t="array" ref="B2:B8">TRANSPOSE('SYFAFE-frgt'!B5:H5)</f>
        <v>1.0021251453207708E-3</v>
      </c>
      <c r="C2" s="3">
        <f>B2</f>
        <v>1.0021251453207708E-3</v>
      </c>
      <c r="D2" s="3">
        <f t="shared" ref="D2:AF8" si="0">C2</f>
        <v>1.0021251453207708E-3</v>
      </c>
      <c r="E2" s="3">
        <f t="shared" si="0"/>
        <v>1.0021251453207708E-3</v>
      </c>
      <c r="F2" s="3">
        <f t="shared" si="0"/>
        <v>1.0021251453207708E-3</v>
      </c>
      <c r="G2" s="3">
        <f t="shared" si="0"/>
        <v>1.0021251453207708E-3</v>
      </c>
      <c r="H2" s="3">
        <f t="shared" si="0"/>
        <v>1.0021251453207708E-3</v>
      </c>
      <c r="I2" s="3">
        <f t="shared" si="0"/>
        <v>1.0021251453207708E-3</v>
      </c>
      <c r="J2" s="3">
        <f t="shared" si="0"/>
        <v>1.0021251453207708E-3</v>
      </c>
      <c r="K2" s="3">
        <f t="shared" si="0"/>
        <v>1.0021251453207708E-3</v>
      </c>
      <c r="L2" s="3">
        <f t="shared" si="0"/>
        <v>1.0021251453207708E-3</v>
      </c>
      <c r="M2" s="3">
        <f t="shared" si="0"/>
        <v>1.0021251453207708E-3</v>
      </c>
      <c r="N2" s="3">
        <f t="shared" si="0"/>
        <v>1.0021251453207708E-3</v>
      </c>
      <c r="O2" s="3">
        <f t="shared" si="0"/>
        <v>1.0021251453207708E-3</v>
      </c>
      <c r="P2" s="3">
        <f t="shared" si="0"/>
        <v>1.0021251453207708E-3</v>
      </c>
      <c r="Q2" s="3">
        <f t="shared" si="0"/>
        <v>1.0021251453207708E-3</v>
      </c>
      <c r="R2" s="3">
        <f t="shared" si="0"/>
        <v>1.0021251453207708E-3</v>
      </c>
      <c r="S2" s="3">
        <f t="shared" si="0"/>
        <v>1.0021251453207708E-3</v>
      </c>
      <c r="T2" s="3">
        <f t="shared" si="0"/>
        <v>1.0021251453207708E-3</v>
      </c>
      <c r="U2" s="3">
        <f t="shared" si="0"/>
        <v>1.0021251453207708E-3</v>
      </c>
      <c r="V2" s="3">
        <f t="shared" si="0"/>
        <v>1.0021251453207708E-3</v>
      </c>
      <c r="W2" s="3">
        <f t="shared" si="0"/>
        <v>1.0021251453207708E-3</v>
      </c>
      <c r="X2" s="3">
        <f t="shared" si="0"/>
        <v>1.0021251453207708E-3</v>
      </c>
      <c r="Y2" s="3">
        <f t="shared" si="0"/>
        <v>1.0021251453207708E-3</v>
      </c>
      <c r="Z2" s="3">
        <f t="shared" si="0"/>
        <v>1.0021251453207708E-3</v>
      </c>
      <c r="AA2" s="3">
        <f t="shared" si="0"/>
        <v>1.0021251453207708E-3</v>
      </c>
      <c r="AB2" s="3">
        <f t="shared" si="0"/>
        <v>1.0021251453207708E-3</v>
      </c>
      <c r="AC2" s="3">
        <f t="shared" si="0"/>
        <v>1.0021251453207708E-3</v>
      </c>
      <c r="AD2" s="3">
        <f t="shared" si="0"/>
        <v>1.0021251453207708E-3</v>
      </c>
      <c r="AE2" s="3">
        <f t="shared" si="0"/>
        <v>1.0021251453207708E-3</v>
      </c>
      <c r="AF2" s="3">
        <f t="shared" si="0"/>
        <v>1.0021251453207708E-3</v>
      </c>
      <c r="AH2" s="3"/>
      <c r="AI2" s="3"/>
    </row>
    <row r="3" spans="1:35">
      <c r="A3" t="s">
        <v>2</v>
      </c>
      <c r="B3">
        <v>0</v>
      </c>
      <c r="C3" s="3">
        <f t="shared" ref="C3:R8" si="1">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</row>
    <row r="4" spans="1:35">
      <c r="A4" t="s">
        <v>3</v>
      </c>
      <c r="B4">
        <v>0</v>
      </c>
      <c r="C4" s="3">
        <f t="shared" si="1"/>
        <v>0</v>
      </c>
      <c r="D4" s="3">
        <f t="shared" si="0"/>
        <v>0</v>
      </c>
      <c r="E4" s="3">
        <f t="shared" si="0"/>
        <v>0</v>
      </c>
      <c r="F4" s="3">
        <f t="shared" si="0"/>
        <v>0</v>
      </c>
      <c r="G4" s="3">
        <f t="shared" si="0"/>
        <v>0</v>
      </c>
      <c r="H4" s="3">
        <f t="shared" si="0"/>
        <v>0</v>
      </c>
      <c r="I4" s="3">
        <f t="shared" si="0"/>
        <v>0</v>
      </c>
      <c r="J4" s="3">
        <f t="shared" si="0"/>
        <v>0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0</v>
      </c>
      <c r="O4" s="3">
        <f t="shared" si="0"/>
        <v>0</v>
      </c>
      <c r="P4" s="3">
        <f t="shared" si="0"/>
        <v>0</v>
      </c>
      <c r="Q4" s="3">
        <f t="shared" si="0"/>
        <v>0</v>
      </c>
      <c r="R4" s="3">
        <f t="shared" si="0"/>
        <v>0</v>
      </c>
      <c r="S4" s="3">
        <f t="shared" si="0"/>
        <v>0</v>
      </c>
      <c r="T4" s="3">
        <f t="shared" si="0"/>
        <v>0</v>
      </c>
      <c r="U4" s="3">
        <f t="shared" si="0"/>
        <v>0</v>
      </c>
      <c r="V4" s="3">
        <f t="shared" si="0"/>
        <v>0</v>
      </c>
      <c r="W4" s="3">
        <f t="shared" si="0"/>
        <v>0</v>
      </c>
      <c r="X4" s="3">
        <f t="shared" si="0"/>
        <v>0</v>
      </c>
      <c r="Y4" s="3">
        <f t="shared" si="0"/>
        <v>0</v>
      </c>
      <c r="Z4" s="3">
        <f t="shared" si="0"/>
        <v>0</v>
      </c>
      <c r="AA4" s="3">
        <f t="shared" si="0"/>
        <v>0</v>
      </c>
      <c r="AB4" s="3">
        <f t="shared" si="0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</row>
    <row r="5" spans="1:35">
      <c r="A5" t="s">
        <v>4</v>
      </c>
      <c r="B5" s="3">
        <v>1.6108650602655154E-2</v>
      </c>
      <c r="C5" s="3">
        <f t="shared" si="1"/>
        <v>1.6108650602655154E-2</v>
      </c>
      <c r="D5" s="3">
        <f t="shared" si="0"/>
        <v>1.6108650602655154E-2</v>
      </c>
      <c r="E5" s="3">
        <f t="shared" si="0"/>
        <v>1.6108650602655154E-2</v>
      </c>
      <c r="F5" s="3">
        <f t="shared" si="0"/>
        <v>1.6108650602655154E-2</v>
      </c>
      <c r="G5" s="3">
        <f t="shared" si="0"/>
        <v>1.6108650602655154E-2</v>
      </c>
      <c r="H5" s="3">
        <f t="shared" si="0"/>
        <v>1.6108650602655154E-2</v>
      </c>
      <c r="I5" s="3">
        <f t="shared" si="0"/>
        <v>1.6108650602655154E-2</v>
      </c>
      <c r="J5" s="3">
        <f t="shared" si="0"/>
        <v>1.6108650602655154E-2</v>
      </c>
      <c r="K5" s="3">
        <f t="shared" si="0"/>
        <v>1.6108650602655154E-2</v>
      </c>
      <c r="L5" s="3">
        <f t="shared" si="0"/>
        <v>1.6108650602655154E-2</v>
      </c>
      <c r="M5" s="3">
        <f t="shared" si="0"/>
        <v>1.6108650602655154E-2</v>
      </c>
      <c r="N5" s="3">
        <f t="shared" si="0"/>
        <v>1.6108650602655154E-2</v>
      </c>
      <c r="O5" s="3">
        <f t="shared" si="0"/>
        <v>1.6108650602655154E-2</v>
      </c>
      <c r="P5" s="3">
        <f t="shared" si="0"/>
        <v>1.6108650602655154E-2</v>
      </c>
      <c r="Q5" s="3">
        <f t="shared" si="0"/>
        <v>1.6108650602655154E-2</v>
      </c>
      <c r="R5" s="3">
        <f t="shared" si="0"/>
        <v>1.6108650602655154E-2</v>
      </c>
      <c r="S5" s="3">
        <f t="shared" si="0"/>
        <v>1.6108650602655154E-2</v>
      </c>
      <c r="T5" s="3">
        <f t="shared" si="0"/>
        <v>1.6108650602655154E-2</v>
      </c>
      <c r="U5" s="3">
        <f t="shared" si="0"/>
        <v>1.6108650602655154E-2</v>
      </c>
      <c r="V5" s="3">
        <f t="shared" si="0"/>
        <v>1.6108650602655154E-2</v>
      </c>
      <c r="W5" s="3">
        <f t="shared" si="0"/>
        <v>1.6108650602655154E-2</v>
      </c>
      <c r="X5" s="3">
        <f t="shared" si="0"/>
        <v>1.6108650602655154E-2</v>
      </c>
      <c r="Y5" s="3">
        <f t="shared" si="0"/>
        <v>1.6108650602655154E-2</v>
      </c>
      <c r="Z5" s="3">
        <f t="shared" si="0"/>
        <v>1.6108650602655154E-2</v>
      </c>
      <c r="AA5" s="3">
        <f t="shared" si="0"/>
        <v>1.6108650602655154E-2</v>
      </c>
      <c r="AB5" s="3">
        <f t="shared" si="0"/>
        <v>1.6108650602655154E-2</v>
      </c>
      <c r="AC5" s="3">
        <f t="shared" si="0"/>
        <v>1.6108650602655154E-2</v>
      </c>
      <c r="AD5" s="3">
        <f t="shared" si="0"/>
        <v>1.6108650602655154E-2</v>
      </c>
      <c r="AE5" s="3">
        <f t="shared" si="0"/>
        <v>1.6108650602655154E-2</v>
      </c>
      <c r="AF5" s="3">
        <f t="shared" si="0"/>
        <v>1.6108650602655154E-2</v>
      </c>
      <c r="AH5" s="3"/>
      <c r="AI5" s="3"/>
    </row>
    <row r="6" spans="1:35">
      <c r="A6" t="s">
        <v>5</v>
      </c>
      <c r="B6"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</row>
    <row r="7" spans="1:35">
      <c r="A7" t="s">
        <v>13</v>
      </c>
      <c r="B7">
        <v>0</v>
      </c>
      <c r="C7" s="3">
        <f t="shared" si="1"/>
        <v>0</v>
      </c>
      <c r="D7" s="3">
        <f t="shared" si="0"/>
        <v>0</v>
      </c>
      <c r="E7" s="3">
        <f t="shared" si="0"/>
        <v>0</v>
      </c>
      <c r="F7" s="3">
        <f t="shared" si="0"/>
        <v>0</v>
      </c>
      <c r="G7" s="3">
        <f t="shared" si="0"/>
        <v>0</v>
      </c>
      <c r="H7" s="3">
        <f t="shared" si="0"/>
        <v>0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0</v>
      </c>
      <c r="O7" s="3">
        <f t="shared" si="0"/>
        <v>0</v>
      </c>
      <c r="P7" s="3">
        <f t="shared" si="0"/>
        <v>0</v>
      </c>
      <c r="Q7" s="3">
        <f t="shared" si="0"/>
        <v>0</v>
      </c>
      <c r="R7" s="3">
        <f t="shared" si="0"/>
        <v>0</v>
      </c>
      <c r="S7" s="3">
        <f t="shared" si="0"/>
        <v>0</v>
      </c>
      <c r="T7" s="3">
        <f t="shared" si="0"/>
        <v>0</v>
      </c>
      <c r="U7" s="3">
        <f t="shared" si="0"/>
        <v>0</v>
      </c>
      <c r="V7" s="3">
        <f t="shared" si="0"/>
        <v>0</v>
      </c>
      <c r="W7" s="3">
        <f t="shared" si="0"/>
        <v>0</v>
      </c>
      <c r="X7" s="3">
        <f t="shared" si="0"/>
        <v>0</v>
      </c>
      <c r="Y7" s="3">
        <f t="shared" si="0"/>
        <v>0</v>
      </c>
      <c r="Z7" s="3">
        <f t="shared" si="0"/>
        <v>0</v>
      </c>
      <c r="AA7" s="3">
        <f t="shared" si="0"/>
        <v>0</v>
      </c>
      <c r="AB7" s="3">
        <f t="shared" si="0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</row>
    <row r="8" spans="1:35">
      <c r="A8" t="s">
        <v>14</v>
      </c>
      <c r="B8" s="3">
        <v>0</v>
      </c>
      <c r="C8" s="3">
        <f t="shared" si="1"/>
        <v>0</v>
      </c>
      <c r="D8" s="3">
        <f t="shared" si="0"/>
        <v>0</v>
      </c>
      <c r="E8" s="3">
        <f t="shared" si="0"/>
        <v>0</v>
      </c>
      <c r="F8" s="3">
        <f t="shared" si="0"/>
        <v>0</v>
      </c>
      <c r="G8" s="3">
        <f t="shared" si="0"/>
        <v>0</v>
      </c>
      <c r="H8" s="3">
        <f t="shared" si="0"/>
        <v>0</v>
      </c>
      <c r="I8" s="3">
        <f t="shared" si="0"/>
        <v>0</v>
      </c>
      <c r="J8" s="3">
        <f t="shared" si="0"/>
        <v>0</v>
      </c>
      <c r="K8" s="3">
        <f t="shared" si="0"/>
        <v>0</v>
      </c>
      <c r="L8" s="3">
        <f t="shared" si="0"/>
        <v>0</v>
      </c>
      <c r="M8" s="3">
        <f t="shared" si="0"/>
        <v>0</v>
      </c>
      <c r="N8" s="3">
        <f t="shared" si="0"/>
        <v>0</v>
      </c>
      <c r="O8" s="3">
        <f t="shared" si="0"/>
        <v>0</v>
      </c>
      <c r="P8" s="3">
        <f t="shared" si="0"/>
        <v>0</v>
      </c>
      <c r="Q8" s="3">
        <f t="shared" si="0"/>
        <v>0</v>
      </c>
      <c r="R8" s="3">
        <f t="shared" si="0"/>
        <v>0</v>
      </c>
      <c r="S8" s="3">
        <f t="shared" si="0"/>
        <v>0</v>
      </c>
      <c r="T8" s="3">
        <f t="shared" si="0"/>
        <v>0</v>
      </c>
      <c r="U8" s="3">
        <f t="shared" si="0"/>
        <v>0</v>
      </c>
      <c r="V8" s="3">
        <f t="shared" si="0"/>
        <v>0</v>
      </c>
      <c r="W8" s="3">
        <f t="shared" si="0"/>
        <v>0</v>
      </c>
      <c r="X8" s="3">
        <f t="shared" si="0"/>
        <v>0</v>
      </c>
      <c r="Y8" s="3">
        <f t="shared" si="0"/>
        <v>0</v>
      </c>
      <c r="Z8" s="3">
        <f t="shared" si="0"/>
        <v>0</v>
      </c>
      <c r="AA8" s="3">
        <f t="shared" si="0"/>
        <v>0</v>
      </c>
      <c r="AB8" s="3">
        <f t="shared" si="0"/>
        <v>0</v>
      </c>
      <c r="AC8" s="3">
        <f t="shared" si="0"/>
        <v>0</v>
      </c>
      <c r="AD8" s="3">
        <f t="shared" si="0"/>
        <v>0</v>
      </c>
      <c r="AE8" s="3">
        <f t="shared" si="0"/>
        <v>0</v>
      </c>
      <c r="AF8" s="3">
        <f t="shared" si="0"/>
        <v>0</v>
      </c>
      <c r="AH8" s="3"/>
      <c r="AI8" s="3"/>
    </row>
  </sheetData>
  <phoneticPr fontId="4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I8"/>
  <sheetViews>
    <sheetView workbookViewId="0">
      <selection activeCell="C2" sqref="C2"/>
    </sheetView>
  </sheetViews>
  <sheetFormatPr defaultRowHeight="14.5"/>
  <cols>
    <col min="1" max="1" width="31.08984375" customWidth="1"/>
    <col min="2" max="2" width="11.6328125" bestFit="1" customWidth="1"/>
  </cols>
  <sheetData>
    <row r="1" spans="1:35">
      <c r="A1" s="4" t="s">
        <v>15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1</v>
      </c>
      <c r="B2" s="3">
        <f t="array" ref="B2:B8">TRANSPOSE('SYFAFE-psgr'!B6:H6)</f>
        <v>3.2293482418666772E-5</v>
      </c>
      <c r="C2" s="3">
        <f>B2</f>
        <v>3.2293482418666772E-5</v>
      </c>
      <c r="D2" s="3">
        <f t="shared" ref="D2:AF8" si="0">C2</f>
        <v>3.2293482418666772E-5</v>
      </c>
      <c r="E2" s="3">
        <f t="shared" si="0"/>
        <v>3.2293482418666772E-5</v>
      </c>
      <c r="F2" s="3">
        <f t="shared" si="0"/>
        <v>3.2293482418666772E-5</v>
      </c>
      <c r="G2" s="3">
        <f t="shared" si="0"/>
        <v>3.2293482418666772E-5</v>
      </c>
      <c r="H2" s="3">
        <f t="shared" si="0"/>
        <v>3.2293482418666772E-5</v>
      </c>
      <c r="I2" s="3">
        <f t="shared" si="0"/>
        <v>3.2293482418666772E-5</v>
      </c>
      <c r="J2" s="3">
        <f t="shared" si="0"/>
        <v>3.2293482418666772E-5</v>
      </c>
      <c r="K2" s="3">
        <f t="shared" si="0"/>
        <v>3.2293482418666772E-5</v>
      </c>
      <c r="L2" s="3">
        <f t="shared" si="0"/>
        <v>3.2293482418666772E-5</v>
      </c>
      <c r="M2" s="3">
        <f t="shared" si="0"/>
        <v>3.2293482418666772E-5</v>
      </c>
      <c r="N2" s="3">
        <f t="shared" si="0"/>
        <v>3.2293482418666772E-5</v>
      </c>
      <c r="O2" s="3">
        <f t="shared" si="0"/>
        <v>3.2293482418666772E-5</v>
      </c>
      <c r="P2" s="3">
        <f t="shared" si="0"/>
        <v>3.2293482418666772E-5</v>
      </c>
      <c r="Q2" s="3">
        <f t="shared" si="0"/>
        <v>3.2293482418666772E-5</v>
      </c>
      <c r="R2" s="3">
        <f t="shared" si="0"/>
        <v>3.2293482418666772E-5</v>
      </c>
      <c r="S2" s="3">
        <f t="shared" si="0"/>
        <v>3.2293482418666772E-5</v>
      </c>
      <c r="T2" s="3">
        <f t="shared" si="0"/>
        <v>3.2293482418666772E-5</v>
      </c>
      <c r="U2" s="3">
        <f t="shared" si="0"/>
        <v>3.2293482418666772E-5</v>
      </c>
      <c r="V2" s="3">
        <f t="shared" si="0"/>
        <v>3.2293482418666772E-5</v>
      </c>
      <c r="W2" s="3">
        <f t="shared" si="0"/>
        <v>3.2293482418666772E-5</v>
      </c>
      <c r="X2" s="3">
        <f t="shared" si="0"/>
        <v>3.2293482418666772E-5</v>
      </c>
      <c r="Y2" s="3">
        <f t="shared" si="0"/>
        <v>3.2293482418666772E-5</v>
      </c>
      <c r="Z2" s="3">
        <f t="shared" si="0"/>
        <v>3.2293482418666772E-5</v>
      </c>
      <c r="AA2" s="3">
        <f t="shared" si="0"/>
        <v>3.2293482418666772E-5</v>
      </c>
      <c r="AB2" s="3">
        <f t="shared" si="0"/>
        <v>3.2293482418666772E-5</v>
      </c>
      <c r="AC2" s="3">
        <f t="shared" si="0"/>
        <v>3.2293482418666772E-5</v>
      </c>
      <c r="AD2" s="3">
        <f t="shared" si="0"/>
        <v>3.2293482418666772E-5</v>
      </c>
      <c r="AE2" s="3">
        <f t="shared" si="0"/>
        <v>3.2293482418666772E-5</v>
      </c>
      <c r="AF2" s="3">
        <f t="shared" si="0"/>
        <v>3.2293482418666772E-5</v>
      </c>
      <c r="AH2" s="3"/>
      <c r="AI2" s="3"/>
    </row>
    <row r="3" spans="1:35">
      <c r="A3" t="s">
        <v>2</v>
      </c>
      <c r="B3">
        <v>0</v>
      </c>
      <c r="C3" s="3">
        <f t="shared" ref="C3:R8" si="1">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</row>
    <row r="4" spans="1:35">
      <c r="A4" t="s">
        <v>3</v>
      </c>
      <c r="B4" s="3">
        <v>1.0049397002369564E-5</v>
      </c>
      <c r="C4" s="3">
        <f t="shared" si="1"/>
        <v>1.0049397002369564E-5</v>
      </c>
      <c r="D4" s="3">
        <f t="shared" si="0"/>
        <v>1.0049397002369564E-5</v>
      </c>
      <c r="E4" s="3">
        <f t="shared" si="0"/>
        <v>1.0049397002369564E-5</v>
      </c>
      <c r="F4" s="3">
        <f t="shared" si="0"/>
        <v>1.0049397002369564E-5</v>
      </c>
      <c r="G4" s="3">
        <f t="shared" si="0"/>
        <v>1.0049397002369564E-5</v>
      </c>
      <c r="H4" s="3">
        <f t="shared" si="0"/>
        <v>1.0049397002369564E-5</v>
      </c>
      <c r="I4" s="3">
        <f t="shared" si="0"/>
        <v>1.0049397002369564E-5</v>
      </c>
      <c r="J4" s="3">
        <f t="shared" si="0"/>
        <v>1.0049397002369564E-5</v>
      </c>
      <c r="K4" s="3">
        <f t="shared" si="0"/>
        <v>1.0049397002369564E-5</v>
      </c>
      <c r="L4" s="3">
        <f t="shared" si="0"/>
        <v>1.0049397002369564E-5</v>
      </c>
      <c r="M4" s="3">
        <f t="shared" si="0"/>
        <v>1.0049397002369564E-5</v>
      </c>
      <c r="N4" s="3">
        <f t="shared" si="0"/>
        <v>1.0049397002369564E-5</v>
      </c>
      <c r="O4" s="3">
        <f t="shared" si="0"/>
        <v>1.0049397002369564E-5</v>
      </c>
      <c r="P4" s="3">
        <f t="shared" si="0"/>
        <v>1.0049397002369564E-5</v>
      </c>
      <c r="Q4" s="3">
        <f t="shared" si="0"/>
        <v>1.0049397002369564E-5</v>
      </c>
      <c r="R4" s="3">
        <f t="shared" si="0"/>
        <v>1.0049397002369564E-5</v>
      </c>
      <c r="S4" s="3">
        <f t="shared" si="0"/>
        <v>1.0049397002369564E-5</v>
      </c>
      <c r="T4" s="3">
        <f t="shared" si="0"/>
        <v>1.0049397002369564E-5</v>
      </c>
      <c r="U4" s="3">
        <f t="shared" si="0"/>
        <v>1.0049397002369564E-5</v>
      </c>
      <c r="V4" s="3">
        <f t="shared" si="0"/>
        <v>1.0049397002369564E-5</v>
      </c>
      <c r="W4" s="3">
        <f t="shared" si="0"/>
        <v>1.0049397002369564E-5</v>
      </c>
      <c r="X4" s="3">
        <f t="shared" si="0"/>
        <v>1.0049397002369564E-5</v>
      </c>
      <c r="Y4" s="3">
        <f t="shared" si="0"/>
        <v>1.0049397002369564E-5</v>
      </c>
      <c r="Z4" s="3">
        <f t="shared" si="0"/>
        <v>1.0049397002369564E-5</v>
      </c>
      <c r="AA4" s="3">
        <f t="shared" si="0"/>
        <v>1.0049397002369564E-5</v>
      </c>
      <c r="AB4" s="3">
        <f t="shared" si="0"/>
        <v>1.0049397002369564E-5</v>
      </c>
      <c r="AC4" s="3">
        <f t="shared" si="0"/>
        <v>1.0049397002369564E-5</v>
      </c>
      <c r="AD4" s="3">
        <f t="shared" si="0"/>
        <v>1.0049397002369564E-5</v>
      </c>
      <c r="AE4" s="3">
        <f t="shared" si="0"/>
        <v>1.0049397002369564E-5</v>
      </c>
      <c r="AF4" s="3">
        <f t="shared" si="0"/>
        <v>1.0049397002369564E-5</v>
      </c>
    </row>
    <row r="5" spans="1:35">
      <c r="A5" t="s">
        <v>4</v>
      </c>
      <c r="B5" s="3">
        <v>1.0049397002369565E-5</v>
      </c>
      <c r="C5" s="3">
        <f t="shared" si="1"/>
        <v>1.0049397002369565E-5</v>
      </c>
      <c r="D5" s="3">
        <f t="shared" si="0"/>
        <v>1.0049397002369565E-5</v>
      </c>
      <c r="E5" s="3">
        <f t="shared" si="0"/>
        <v>1.0049397002369565E-5</v>
      </c>
      <c r="F5" s="3">
        <f t="shared" si="0"/>
        <v>1.0049397002369565E-5</v>
      </c>
      <c r="G5" s="3">
        <f t="shared" si="0"/>
        <v>1.0049397002369565E-5</v>
      </c>
      <c r="H5" s="3">
        <f t="shared" si="0"/>
        <v>1.0049397002369565E-5</v>
      </c>
      <c r="I5" s="3">
        <f t="shared" si="0"/>
        <v>1.0049397002369565E-5</v>
      </c>
      <c r="J5" s="3">
        <f t="shared" si="0"/>
        <v>1.0049397002369565E-5</v>
      </c>
      <c r="K5" s="3">
        <f t="shared" si="0"/>
        <v>1.0049397002369565E-5</v>
      </c>
      <c r="L5" s="3">
        <f t="shared" si="0"/>
        <v>1.0049397002369565E-5</v>
      </c>
      <c r="M5" s="3">
        <f t="shared" si="0"/>
        <v>1.0049397002369565E-5</v>
      </c>
      <c r="N5" s="3">
        <f t="shared" si="0"/>
        <v>1.0049397002369565E-5</v>
      </c>
      <c r="O5" s="3">
        <f t="shared" si="0"/>
        <v>1.0049397002369565E-5</v>
      </c>
      <c r="P5" s="3">
        <f t="shared" si="0"/>
        <v>1.0049397002369565E-5</v>
      </c>
      <c r="Q5" s="3">
        <f t="shared" si="0"/>
        <v>1.0049397002369565E-5</v>
      </c>
      <c r="R5" s="3">
        <f t="shared" si="0"/>
        <v>1.0049397002369565E-5</v>
      </c>
      <c r="S5" s="3">
        <f t="shared" si="0"/>
        <v>1.0049397002369565E-5</v>
      </c>
      <c r="T5" s="3">
        <f t="shared" si="0"/>
        <v>1.0049397002369565E-5</v>
      </c>
      <c r="U5" s="3">
        <f t="shared" si="0"/>
        <v>1.0049397002369565E-5</v>
      </c>
      <c r="V5" s="3">
        <f t="shared" si="0"/>
        <v>1.0049397002369565E-5</v>
      </c>
      <c r="W5" s="3">
        <f t="shared" si="0"/>
        <v>1.0049397002369565E-5</v>
      </c>
      <c r="X5" s="3">
        <f t="shared" si="0"/>
        <v>1.0049397002369565E-5</v>
      </c>
      <c r="Y5" s="3">
        <f t="shared" si="0"/>
        <v>1.0049397002369565E-5</v>
      </c>
      <c r="Z5" s="3">
        <f t="shared" si="0"/>
        <v>1.0049397002369565E-5</v>
      </c>
      <c r="AA5" s="3">
        <f t="shared" si="0"/>
        <v>1.0049397002369565E-5</v>
      </c>
      <c r="AB5" s="3">
        <f t="shared" si="0"/>
        <v>1.0049397002369565E-5</v>
      </c>
      <c r="AC5" s="3">
        <f t="shared" si="0"/>
        <v>1.0049397002369565E-5</v>
      </c>
      <c r="AD5" s="3">
        <f t="shared" si="0"/>
        <v>1.0049397002369565E-5</v>
      </c>
      <c r="AE5" s="3">
        <f t="shared" si="0"/>
        <v>1.0049397002369565E-5</v>
      </c>
      <c r="AF5" s="3">
        <f t="shared" si="0"/>
        <v>1.0049397002369565E-5</v>
      </c>
      <c r="AH5" s="3"/>
      <c r="AI5" s="3"/>
    </row>
    <row r="6" spans="1:35">
      <c r="A6" t="s">
        <v>5</v>
      </c>
      <c r="B6"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</row>
    <row r="7" spans="1:35">
      <c r="A7" t="s">
        <v>13</v>
      </c>
      <c r="B7">
        <v>0</v>
      </c>
      <c r="C7" s="3">
        <f t="shared" si="1"/>
        <v>0</v>
      </c>
      <c r="D7" s="3">
        <f t="shared" si="0"/>
        <v>0</v>
      </c>
      <c r="E7" s="3">
        <f t="shared" si="0"/>
        <v>0</v>
      </c>
      <c r="F7" s="3">
        <f t="shared" si="0"/>
        <v>0</v>
      </c>
      <c r="G7" s="3">
        <f t="shared" si="0"/>
        <v>0</v>
      </c>
      <c r="H7" s="3">
        <f t="shared" si="0"/>
        <v>0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0</v>
      </c>
      <c r="O7" s="3">
        <f t="shared" si="0"/>
        <v>0</v>
      </c>
      <c r="P7" s="3">
        <f t="shared" si="0"/>
        <v>0</v>
      </c>
      <c r="Q7" s="3">
        <f t="shared" si="0"/>
        <v>0</v>
      </c>
      <c r="R7" s="3">
        <f t="shared" si="0"/>
        <v>0</v>
      </c>
      <c r="S7" s="3">
        <f t="shared" si="0"/>
        <v>0</v>
      </c>
      <c r="T7" s="3">
        <f t="shared" si="0"/>
        <v>0</v>
      </c>
      <c r="U7" s="3">
        <f t="shared" si="0"/>
        <v>0</v>
      </c>
      <c r="V7" s="3">
        <f t="shared" si="0"/>
        <v>0</v>
      </c>
      <c r="W7" s="3">
        <f t="shared" si="0"/>
        <v>0</v>
      </c>
      <c r="X7" s="3">
        <f t="shared" si="0"/>
        <v>0</v>
      </c>
      <c r="Y7" s="3">
        <f t="shared" si="0"/>
        <v>0</v>
      </c>
      <c r="Z7" s="3">
        <f t="shared" si="0"/>
        <v>0</v>
      </c>
      <c r="AA7" s="3">
        <f t="shared" si="0"/>
        <v>0</v>
      </c>
      <c r="AB7" s="3">
        <f t="shared" si="0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</row>
    <row r="8" spans="1:35">
      <c r="A8" t="s">
        <v>14</v>
      </c>
      <c r="B8" s="3">
        <v>3.0148191007108693E-5</v>
      </c>
      <c r="C8" s="3">
        <f t="shared" si="1"/>
        <v>3.0148191007108693E-5</v>
      </c>
      <c r="D8" s="3">
        <f t="shared" si="0"/>
        <v>3.0148191007108693E-5</v>
      </c>
      <c r="E8" s="3">
        <f t="shared" si="0"/>
        <v>3.0148191007108693E-5</v>
      </c>
      <c r="F8" s="3">
        <f t="shared" si="0"/>
        <v>3.0148191007108693E-5</v>
      </c>
      <c r="G8" s="3">
        <f t="shared" si="0"/>
        <v>3.0148191007108693E-5</v>
      </c>
      <c r="H8" s="3">
        <f t="shared" si="0"/>
        <v>3.0148191007108693E-5</v>
      </c>
      <c r="I8" s="3">
        <f t="shared" si="0"/>
        <v>3.0148191007108693E-5</v>
      </c>
      <c r="J8" s="3">
        <f t="shared" si="0"/>
        <v>3.0148191007108693E-5</v>
      </c>
      <c r="K8" s="3">
        <f t="shared" si="0"/>
        <v>3.0148191007108693E-5</v>
      </c>
      <c r="L8" s="3">
        <f t="shared" si="0"/>
        <v>3.0148191007108693E-5</v>
      </c>
      <c r="M8" s="3">
        <f t="shared" si="0"/>
        <v>3.0148191007108693E-5</v>
      </c>
      <c r="N8" s="3">
        <f t="shared" si="0"/>
        <v>3.0148191007108693E-5</v>
      </c>
      <c r="O8" s="3">
        <f t="shared" si="0"/>
        <v>3.0148191007108693E-5</v>
      </c>
      <c r="P8" s="3">
        <f t="shared" si="0"/>
        <v>3.0148191007108693E-5</v>
      </c>
      <c r="Q8" s="3">
        <f t="shared" si="0"/>
        <v>3.0148191007108693E-5</v>
      </c>
      <c r="R8" s="3">
        <f t="shared" si="0"/>
        <v>3.0148191007108693E-5</v>
      </c>
      <c r="S8" s="3">
        <f t="shared" si="0"/>
        <v>3.0148191007108693E-5</v>
      </c>
      <c r="T8" s="3">
        <f t="shared" si="0"/>
        <v>3.0148191007108693E-5</v>
      </c>
      <c r="U8" s="3">
        <f t="shared" si="0"/>
        <v>3.0148191007108693E-5</v>
      </c>
      <c r="V8" s="3">
        <f t="shared" si="0"/>
        <v>3.0148191007108693E-5</v>
      </c>
      <c r="W8" s="3">
        <f t="shared" si="0"/>
        <v>3.0148191007108693E-5</v>
      </c>
      <c r="X8" s="3">
        <f t="shared" si="0"/>
        <v>3.0148191007108693E-5</v>
      </c>
      <c r="Y8" s="3">
        <f t="shared" si="0"/>
        <v>3.0148191007108693E-5</v>
      </c>
      <c r="Z8" s="3">
        <f t="shared" si="0"/>
        <v>3.0148191007108693E-5</v>
      </c>
      <c r="AA8" s="3">
        <f t="shared" si="0"/>
        <v>3.0148191007108693E-5</v>
      </c>
      <c r="AB8" s="3">
        <f t="shared" si="0"/>
        <v>3.0148191007108693E-5</v>
      </c>
      <c r="AC8" s="3">
        <f t="shared" si="0"/>
        <v>3.0148191007108693E-5</v>
      </c>
      <c r="AD8" s="3">
        <f t="shared" si="0"/>
        <v>3.0148191007108693E-5</v>
      </c>
      <c r="AE8" s="3">
        <f t="shared" si="0"/>
        <v>3.0148191007108693E-5</v>
      </c>
      <c r="AF8" s="3">
        <f t="shared" si="0"/>
        <v>3.0148191007108693E-5</v>
      </c>
      <c r="AH8" s="3"/>
      <c r="AI8" s="3"/>
    </row>
  </sheetData>
  <phoneticPr fontId="40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I8"/>
  <sheetViews>
    <sheetView topLeftCell="E1" workbookViewId="0">
      <selection activeCell="U34" sqref="U34"/>
    </sheetView>
  </sheetViews>
  <sheetFormatPr defaultRowHeight="14.5"/>
  <cols>
    <col min="1" max="1" width="31.08984375" customWidth="1"/>
  </cols>
  <sheetData>
    <row r="1" spans="1:35">
      <c r="A1" s="4" t="s">
        <v>15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1</v>
      </c>
      <c r="B2" s="3">
        <f t="array" ref="B2:B8">TRANSPOSE('SYFAFE-frgt'!B6:H6)</f>
        <v>1.5467626362604087E-2</v>
      </c>
      <c r="C2" s="3">
        <f>B2</f>
        <v>1.5467626362604087E-2</v>
      </c>
      <c r="D2" s="3">
        <f t="shared" ref="D2:AF8" si="0">C2</f>
        <v>1.5467626362604087E-2</v>
      </c>
      <c r="E2" s="3">
        <f t="shared" si="0"/>
        <v>1.5467626362604087E-2</v>
      </c>
      <c r="F2" s="3">
        <f t="shared" si="0"/>
        <v>1.5467626362604087E-2</v>
      </c>
      <c r="G2" s="3">
        <f t="shared" si="0"/>
        <v>1.5467626362604087E-2</v>
      </c>
      <c r="H2" s="3">
        <f t="shared" si="0"/>
        <v>1.5467626362604087E-2</v>
      </c>
      <c r="I2" s="3">
        <f t="shared" si="0"/>
        <v>1.5467626362604087E-2</v>
      </c>
      <c r="J2" s="3">
        <f t="shared" si="0"/>
        <v>1.5467626362604087E-2</v>
      </c>
      <c r="K2" s="3">
        <f t="shared" si="0"/>
        <v>1.5467626362604087E-2</v>
      </c>
      <c r="L2" s="3">
        <f t="shared" si="0"/>
        <v>1.5467626362604087E-2</v>
      </c>
      <c r="M2" s="3">
        <f t="shared" si="0"/>
        <v>1.5467626362604087E-2</v>
      </c>
      <c r="N2" s="3">
        <f t="shared" si="0"/>
        <v>1.5467626362604087E-2</v>
      </c>
      <c r="O2" s="3">
        <f t="shared" si="0"/>
        <v>1.5467626362604087E-2</v>
      </c>
      <c r="P2" s="3">
        <f t="shared" si="0"/>
        <v>1.5467626362604087E-2</v>
      </c>
      <c r="Q2" s="3">
        <f t="shared" si="0"/>
        <v>1.5467626362604087E-2</v>
      </c>
      <c r="R2" s="3">
        <f t="shared" si="0"/>
        <v>1.5467626362604087E-2</v>
      </c>
      <c r="S2" s="3">
        <f t="shared" si="0"/>
        <v>1.5467626362604087E-2</v>
      </c>
      <c r="T2" s="3">
        <f t="shared" si="0"/>
        <v>1.5467626362604087E-2</v>
      </c>
      <c r="U2" s="3">
        <f t="shared" si="0"/>
        <v>1.5467626362604087E-2</v>
      </c>
      <c r="V2" s="3">
        <f t="shared" si="0"/>
        <v>1.5467626362604087E-2</v>
      </c>
      <c r="W2" s="3">
        <f t="shared" si="0"/>
        <v>1.5467626362604087E-2</v>
      </c>
      <c r="X2" s="3">
        <f t="shared" si="0"/>
        <v>1.5467626362604087E-2</v>
      </c>
      <c r="Y2" s="3">
        <f t="shared" si="0"/>
        <v>1.5467626362604087E-2</v>
      </c>
      <c r="Z2" s="3">
        <f t="shared" si="0"/>
        <v>1.5467626362604087E-2</v>
      </c>
      <c r="AA2" s="3">
        <f t="shared" si="0"/>
        <v>1.5467626362604087E-2</v>
      </c>
      <c r="AB2" s="3">
        <f t="shared" si="0"/>
        <v>1.5467626362604087E-2</v>
      </c>
      <c r="AC2" s="3">
        <f t="shared" si="0"/>
        <v>1.5467626362604087E-2</v>
      </c>
      <c r="AD2" s="3">
        <f t="shared" si="0"/>
        <v>1.5467626362604087E-2</v>
      </c>
      <c r="AE2" s="3">
        <f t="shared" si="0"/>
        <v>1.5467626362604087E-2</v>
      </c>
      <c r="AF2" s="3">
        <f t="shared" si="0"/>
        <v>1.5467626362604087E-2</v>
      </c>
      <c r="AH2" s="3"/>
      <c r="AI2" s="3"/>
    </row>
    <row r="3" spans="1:35">
      <c r="A3" t="s">
        <v>2</v>
      </c>
      <c r="B3">
        <v>4.813365E-3</v>
      </c>
      <c r="C3" s="3">
        <f t="shared" ref="C3:R8" si="1">B3</f>
        <v>4.813365E-3</v>
      </c>
      <c r="D3" s="3">
        <f t="shared" si="1"/>
        <v>4.813365E-3</v>
      </c>
      <c r="E3" s="3">
        <f t="shared" si="1"/>
        <v>4.813365E-3</v>
      </c>
      <c r="F3" s="3">
        <f t="shared" si="1"/>
        <v>4.813365E-3</v>
      </c>
      <c r="G3" s="3">
        <f t="shared" si="1"/>
        <v>4.813365E-3</v>
      </c>
      <c r="H3" s="3">
        <f t="shared" si="1"/>
        <v>4.813365E-3</v>
      </c>
      <c r="I3" s="3">
        <f t="shared" si="1"/>
        <v>4.813365E-3</v>
      </c>
      <c r="J3" s="3">
        <f t="shared" si="1"/>
        <v>4.813365E-3</v>
      </c>
      <c r="K3" s="3">
        <f t="shared" si="1"/>
        <v>4.813365E-3</v>
      </c>
      <c r="L3" s="3">
        <f t="shared" si="1"/>
        <v>4.813365E-3</v>
      </c>
      <c r="M3" s="3">
        <f t="shared" si="1"/>
        <v>4.813365E-3</v>
      </c>
      <c r="N3" s="3">
        <f t="shared" si="1"/>
        <v>4.813365E-3</v>
      </c>
      <c r="O3" s="3">
        <f t="shared" si="1"/>
        <v>4.813365E-3</v>
      </c>
      <c r="P3" s="3">
        <f t="shared" si="1"/>
        <v>4.813365E-3</v>
      </c>
      <c r="Q3" s="3">
        <f t="shared" si="1"/>
        <v>4.813365E-3</v>
      </c>
      <c r="R3" s="3">
        <f t="shared" si="1"/>
        <v>4.813365E-3</v>
      </c>
      <c r="S3" s="3">
        <f t="shared" si="0"/>
        <v>4.813365E-3</v>
      </c>
      <c r="T3" s="3">
        <f t="shared" si="0"/>
        <v>4.813365E-3</v>
      </c>
      <c r="U3" s="3">
        <f t="shared" si="0"/>
        <v>4.813365E-3</v>
      </c>
      <c r="V3" s="3">
        <f t="shared" si="0"/>
        <v>4.813365E-3</v>
      </c>
      <c r="W3" s="3">
        <f t="shared" si="0"/>
        <v>4.813365E-3</v>
      </c>
      <c r="X3" s="3">
        <f t="shared" si="0"/>
        <v>4.813365E-3</v>
      </c>
      <c r="Y3" s="3">
        <f t="shared" si="0"/>
        <v>4.813365E-3</v>
      </c>
      <c r="Z3" s="3">
        <f t="shared" si="0"/>
        <v>4.813365E-3</v>
      </c>
      <c r="AA3" s="3">
        <f t="shared" si="0"/>
        <v>4.813365E-3</v>
      </c>
      <c r="AB3" s="3">
        <f t="shared" si="0"/>
        <v>4.813365E-3</v>
      </c>
      <c r="AC3" s="3">
        <f t="shared" si="0"/>
        <v>4.813365E-3</v>
      </c>
      <c r="AD3" s="3">
        <f t="shared" si="0"/>
        <v>4.813365E-3</v>
      </c>
      <c r="AE3" s="3">
        <f t="shared" si="0"/>
        <v>4.813365E-3</v>
      </c>
      <c r="AF3" s="3">
        <f t="shared" si="0"/>
        <v>4.813365E-3</v>
      </c>
    </row>
    <row r="4" spans="1:35">
      <c r="A4" t="s">
        <v>3</v>
      </c>
      <c r="B4">
        <v>4.813365E-3</v>
      </c>
      <c r="C4" s="3">
        <f t="shared" si="1"/>
        <v>4.813365E-3</v>
      </c>
      <c r="D4" s="3">
        <f t="shared" si="0"/>
        <v>4.813365E-3</v>
      </c>
      <c r="E4" s="3">
        <f t="shared" si="0"/>
        <v>4.813365E-3</v>
      </c>
      <c r="F4" s="3">
        <f t="shared" si="0"/>
        <v>4.813365E-3</v>
      </c>
      <c r="G4" s="3">
        <f t="shared" si="0"/>
        <v>4.813365E-3</v>
      </c>
      <c r="H4" s="3">
        <f t="shared" si="0"/>
        <v>4.813365E-3</v>
      </c>
      <c r="I4" s="3">
        <f t="shared" si="0"/>
        <v>4.813365E-3</v>
      </c>
      <c r="J4" s="3">
        <f t="shared" si="0"/>
        <v>4.813365E-3</v>
      </c>
      <c r="K4" s="3">
        <f t="shared" si="0"/>
        <v>4.813365E-3</v>
      </c>
      <c r="L4" s="3">
        <f t="shared" si="0"/>
        <v>4.813365E-3</v>
      </c>
      <c r="M4" s="3">
        <f t="shared" si="0"/>
        <v>4.813365E-3</v>
      </c>
      <c r="N4" s="3">
        <f t="shared" si="0"/>
        <v>4.813365E-3</v>
      </c>
      <c r="O4" s="3">
        <f t="shared" si="0"/>
        <v>4.813365E-3</v>
      </c>
      <c r="P4" s="3">
        <f t="shared" si="0"/>
        <v>4.813365E-3</v>
      </c>
      <c r="Q4" s="3">
        <f t="shared" si="0"/>
        <v>4.813365E-3</v>
      </c>
      <c r="R4" s="3">
        <f t="shared" si="0"/>
        <v>4.813365E-3</v>
      </c>
      <c r="S4" s="3">
        <f t="shared" si="0"/>
        <v>4.813365E-3</v>
      </c>
      <c r="T4" s="3">
        <f t="shared" si="0"/>
        <v>4.813365E-3</v>
      </c>
      <c r="U4" s="3">
        <f t="shared" si="0"/>
        <v>4.813365E-3</v>
      </c>
      <c r="V4" s="3">
        <f t="shared" si="0"/>
        <v>4.813365E-3</v>
      </c>
      <c r="W4" s="3">
        <f t="shared" si="0"/>
        <v>4.813365E-3</v>
      </c>
      <c r="X4" s="3">
        <f t="shared" si="0"/>
        <v>4.813365E-3</v>
      </c>
      <c r="Y4" s="3">
        <f t="shared" si="0"/>
        <v>4.813365E-3</v>
      </c>
      <c r="Z4" s="3">
        <f t="shared" si="0"/>
        <v>4.813365E-3</v>
      </c>
      <c r="AA4" s="3">
        <f t="shared" si="0"/>
        <v>4.813365E-3</v>
      </c>
      <c r="AB4" s="3">
        <f t="shared" si="0"/>
        <v>4.813365E-3</v>
      </c>
      <c r="AC4" s="3">
        <f t="shared" si="0"/>
        <v>4.813365E-3</v>
      </c>
      <c r="AD4" s="3">
        <f t="shared" si="0"/>
        <v>4.813365E-3</v>
      </c>
      <c r="AE4" s="3">
        <f t="shared" si="0"/>
        <v>4.813365E-3</v>
      </c>
      <c r="AF4" s="3">
        <f t="shared" si="0"/>
        <v>4.813365E-3</v>
      </c>
    </row>
    <row r="5" spans="1:35">
      <c r="A5" t="s">
        <v>4</v>
      </c>
      <c r="B5" s="3">
        <v>4.813365E-3</v>
      </c>
      <c r="C5" s="3">
        <f t="shared" si="1"/>
        <v>4.813365E-3</v>
      </c>
      <c r="D5" s="3">
        <f t="shared" si="0"/>
        <v>4.813365E-3</v>
      </c>
      <c r="E5" s="3">
        <f t="shared" si="0"/>
        <v>4.813365E-3</v>
      </c>
      <c r="F5" s="3">
        <f t="shared" si="0"/>
        <v>4.813365E-3</v>
      </c>
      <c r="G5" s="3">
        <f t="shared" si="0"/>
        <v>4.813365E-3</v>
      </c>
      <c r="H5" s="3">
        <f t="shared" si="0"/>
        <v>4.813365E-3</v>
      </c>
      <c r="I5" s="3">
        <f t="shared" si="0"/>
        <v>4.813365E-3</v>
      </c>
      <c r="J5" s="3">
        <f t="shared" si="0"/>
        <v>4.813365E-3</v>
      </c>
      <c r="K5" s="3">
        <f t="shared" si="0"/>
        <v>4.813365E-3</v>
      </c>
      <c r="L5" s="3">
        <f t="shared" si="0"/>
        <v>4.813365E-3</v>
      </c>
      <c r="M5" s="3">
        <f t="shared" si="0"/>
        <v>4.813365E-3</v>
      </c>
      <c r="N5" s="3">
        <f t="shared" si="0"/>
        <v>4.813365E-3</v>
      </c>
      <c r="O5" s="3">
        <f t="shared" si="0"/>
        <v>4.813365E-3</v>
      </c>
      <c r="P5" s="3">
        <f t="shared" si="0"/>
        <v>4.813365E-3</v>
      </c>
      <c r="Q5" s="3">
        <f t="shared" si="0"/>
        <v>4.813365E-3</v>
      </c>
      <c r="R5" s="3">
        <f t="shared" si="0"/>
        <v>4.813365E-3</v>
      </c>
      <c r="S5" s="3">
        <f t="shared" si="0"/>
        <v>4.813365E-3</v>
      </c>
      <c r="T5" s="3">
        <f t="shared" si="0"/>
        <v>4.813365E-3</v>
      </c>
      <c r="U5" s="3">
        <f t="shared" si="0"/>
        <v>4.813365E-3</v>
      </c>
      <c r="V5" s="3">
        <f t="shared" si="0"/>
        <v>4.813365E-3</v>
      </c>
      <c r="W5" s="3">
        <f t="shared" si="0"/>
        <v>4.813365E-3</v>
      </c>
      <c r="X5" s="3">
        <f t="shared" si="0"/>
        <v>4.813365E-3</v>
      </c>
      <c r="Y5" s="3">
        <f t="shared" si="0"/>
        <v>4.813365E-3</v>
      </c>
      <c r="Z5" s="3">
        <f t="shared" si="0"/>
        <v>4.813365E-3</v>
      </c>
      <c r="AA5" s="3">
        <f t="shared" si="0"/>
        <v>4.813365E-3</v>
      </c>
      <c r="AB5" s="3">
        <f t="shared" si="0"/>
        <v>4.813365E-3</v>
      </c>
      <c r="AC5" s="3">
        <f t="shared" si="0"/>
        <v>4.813365E-3</v>
      </c>
      <c r="AD5" s="3">
        <f t="shared" si="0"/>
        <v>4.813365E-3</v>
      </c>
      <c r="AE5" s="3">
        <f t="shared" si="0"/>
        <v>4.813365E-3</v>
      </c>
      <c r="AF5" s="3">
        <f t="shared" si="0"/>
        <v>4.813365E-3</v>
      </c>
      <c r="AH5" s="3"/>
      <c r="AI5" s="3"/>
    </row>
    <row r="6" spans="1:35">
      <c r="A6" t="s">
        <v>5</v>
      </c>
      <c r="B6"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</row>
    <row r="7" spans="1:35">
      <c r="A7" t="s">
        <v>13</v>
      </c>
      <c r="B7">
        <v>0</v>
      </c>
      <c r="C7" s="3">
        <f t="shared" si="1"/>
        <v>0</v>
      </c>
      <c r="D7" s="3">
        <f t="shared" si="0"/>
        <v>0</v>
      </c>
      <c r="E7" s="3">
        <f t="shared" si="0"/>
        <v>0</v>
      </c>
      <c r="F7" s="3">
        <f t="shared" si="0"/>
        <v>0</v>
      </c>
      <c r="G7" s="3">
        <f t="shared" si="0"/>
        <v>0</v>
      </c>
      <c r="H7" s="3">
        <f t="shared" si="0"/>
        <v>0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0</v>
      </c>
      <c r="O7" s="3">
        <f t="shared" si="0"/>
        <v>0</v>
      </c>
      <c r="P7" s="3">
        <f t="shared" si="0"/>
        <v>0</v>
      </c>
      <c r="Q7" s="3">
        <f t="shared" si="0"/>
        <v>0</v>
      </c>
      <c r="R7" s="3">
        <f t="shared" si="0"/>
        <v>0</v>
      </c>
      <c r="S7" s="3">
        <f t="shared" si="0"/>
        <v>0</v>
      </c>
      <c r="T7" s="3">
        <f t="shared" si="0"/>
        <v>0</v>
      </c>
      <c r="U7" s="3">
        <f t="shared" si="0"/>
        <v>0</v>
      </c>
      <c r="V7" s="3">
        <f t="shared" si="0"/>
        <v>0</v>
      </c>
      <c r="W7" s="3">
        <f t="shared" si="0"/>
        <v>0</v>
      </c>
      <c r="X7" s="3">
        <f t="shared" si="0"/>
        <v>0</v>
      </c>
      <c r="Y7" s="3">
        <f t="shared" si="0"/>
        <v>0</v>
      </c>
      <c r="Z7" s="3">
        <f t="shared" si="0"/>
        <v>0</v>
      </c>
      <c r="AA7" s="3">
        <f t="shared" si="0"/>
        <v>0</v>
      </c>
      <c r="AB7" s="3">
        <f t="shared" si="0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</row>
    <row r="8" spans="1:35">
      <c r="A8" t="s">
        <v>14</v>
      </c>
      <c r="B8" s="3">
        <v>1.4440094999999998E-2</v>
      </c>
      <c r="C8" s="3">
        <f t="shared" si="1"/>
        <v>1.4440094999999998E-2</v>
      </c>
      <c r="D8" s="3">
        <f t="shared" si="0"/>
        <v>1.4440094999999998E-2</v>
      </c>
      <c r="E8" s="3">
        <f t="shared" si="0"/>
        <v>1.4440094999999998E-2</v>
      </c>
      <c r="F8" s="3">
        <f t="shared" si="0"/>
        <v>1.4440094999999998E-2</v>
      </c>
      <c r="G8" s="3">
        <f t="shared" si="0"/>
        <v>1.4440094999999998E-2</v>
      </c>
      <c r="H8" s="3">
        <f t="shared" si="0"/>
        <v>1.4440094999999998E-2</v>
      </c>
      <c r="I8" s="3">
        <f t="shared" si="0"/>
        <v>1.4440094999999998E-2</v>
      </c>
      <c r="J8" s="3">
        <f t="shared" si="0"/>
        <v>1.4440094999999998E-2</v>
      </c>
      <c r="K8" s="3">
        <f t="shared" si="0"/>
        <v>1.4440094999999998E-2</v>
      </c>
      <c r="L8" s="3">
        <f t="shared" si="0"/>
        <v>1.4440094999999998E-2</v>
      </c>
      <c r="M8" s="3">
        <f t="shared" si="0"/>
        <v>1.4440094999999998E-2</v>
      </c>
      <c r="N8" s="3">
        <f t="shared" si="0"/>
        <v>1.4440094999999998E-2</v>
      </c>
      <c r="O8" s="3">
        <f t="shared" si="0"/>
        <v>1.4440094999999998E-2</v>
      </c>
      <c r="P8" s="3">
        <f t="shared" si="0"/>
        <v>1.4440094999999998E-2</v>
      </c>
      <c r="Q8" s="3">
        <f t="shared" si="0"/>
        <v>1.4440094999999998E-2</v>
      </c>
      <c r="R8" s="3">
        <f t="shared" si="0"/>
        <v>1.4440094999999998E-2</v>
      </c>
      <c r="S8" s="3">
        <f t="shared" si="0"/>
        <v>1.4440094999999998E-2</v>
      </c>
      <c r="T8" s="3">
        <f t="shared" si="0"/>
        <v>1.4440094999999998E-2</v>
      </c>
      <c r="U8" s="3">
        <f t="shared" si="0"/>
        <v>1.4440094999999998E-2</v>
      </c>
      <c r="V8" s="3">
        <f t="shared" si="0"/>
        <v>1.4440094999999998E-2</v>
      </c>
      <c r="W8" s="3">
        <f t="shared" si="0"/>
        <v>1.4440094999999998E-2</v>
      </c>
      <c r="X8" s="3">
        <f t="shared" si="0"/>
        <v>1.4440094999999998E-2</v>
      </c>
      <c r="Y8" s="3">
        <f t="shared" si="0"/>
        <v>1.4440094999999998E-2</v>
      </c>
      <c r="Z8" s="3">
        <f t="shared" si="0"/>
        <v>1.4440094999999998E-2</v>
      </c>
      <c r="AA8" s="3">
        <f t="shared" si="0"/>
        <v>1.4440094999999998E-2</v>
      </c>
      <c r="AB8" s="3">
        <f t="shared" si="0"/>
        <v>1.4440094999999998E-2</v>
      </c>
      <c r="AC8" s="3">
        <f t="shared" si="0"/>
        <v>1.4440094999999998E-2</v>
      </c>
      <c r="AD8" s="3">
        <f t="shared" si="0"/>
        <v>1.4440094999999998E-2</v>
      </c>
      <c r="AE8" s="3">
        <f t="shared" si="0"/>
        <v>1.4440094999999998E-2</v>
      </c>
      <c r="AF8" s="3">
        <f t="shared" si="0"/>
        <v>1.4440094999999998E-2</v>
      </c>
      <c r="AH8" s="3"/>
      <c r="AI8" s="3"/>
    </row>
  </sheetData>
  <phoneticPr fontId="40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I8"/>
  <sheetViews>
    <sheetView workbookViewId="0">
      <selection activeCell="D10" sqref="D10"/>
    </sheetView>
  </sheetViews>
  <sheetFormatPr defaultRowHeight="14.5"/>
  <cols>
    <col min="1" max="1" width="31.08984375" customWidth="1"/>
  </cols>
  <sheetData>
    <row r="1" spans="1:35">
      <c r="A1" s="4" t="s">
        <v>15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t="s">
        <v>1</v>
      </c>
      <c r="B2" s="3">
        <f t="array" ref="B2:B8">TRANSPOSE('SYFAFE-psgr'!B7:H7)</f>
        <v>0</v>
      </c>
      <c r="C2" s="3">
        <f>B2</f>
        <v>0</v>
      </c>
      <c r="D2" s="3">
        <f t="shared" ref="D2:AF8" si="0">C2</f>
        <v>0</v>
      </c>
      <c r="E2" s="3">
        <f t="shared" si="0"/>
        <v>0</v>
      </c>
      <c r="F2" s="3">
        <f t="shared" si="0"/>
        <v>0</v>
      </c>
      <c r="G2" s="3">
        <f t="shared" si="0"/>
        <v>0</v>
      </c>
      <c r="H2" s="3">
        <f t="shared" si="0"/>
        <v>0</v>
      </c>
      <c r="I2" s="3">
        <f t="shared" si="0"/>
        <v>0</v>
      </c>
      <c r="J2" s="3">
        <f t="shared" si="0"/>
        <v>0</v>
      </c>
      <c r="K2" s="3">
        <f t="shared" si="0"/>
        <v>0</v>
      </c>
      <c r="L2" s="3">
        <f t="shared" si="0"/>
        <v>0</v>
      </c>
      <c r="M2" s="3">
        <f t="shared" si="0"/>
        <v>0</v>
      </c>
      <c r="N2" s="3">
        <f t="shared" si="0"/>
        <v>0</v>
      </c>
      <c r="O2" s="3">
        <f t="shared" si="0"/>
        <v>0</v>
      </c>
      <c r="P2" s="3">
        <f t="shared" si="0"/>
        <v>0</v>
      </c>
      <c r="Q2" s="3">
        <f t="shared" si="0"/>
        <v>0</v>
      </c>
      <c r="R2" s="3">
        <f t="shared" si="0"/>
        <v>0</v>
      </c>
      <c r="S2" s="3">
        <f t="shared" si="0"/>
        <v>0</v>
      </c>
      <c r="T2" s="3">
        <f t="shared" si="0"/>
        <v>0</v>
      </c>
      <c r="U2" s="3">
        <f t="shared" si="0"/>
        <v>0</v>
      </c>
      <c r="V2" s="3">
        <f t="shared" si="0"/>
        <v>0</v>
      </c>
      <c r="W2" s="3">
        <f t="shared" si="0"/>
        <v>0</v>
      </c>
      <c r="X2" s="3">
        <f t="shared" si="0"/>
        <v>0</v>
      </c>
      <c r="Y2" s="3">
        <f t="shared" si="0"/>
        <v>0</v>
      </c>
      <c r="Z2" s="3">
        <f t="shared" si="0"/>
        <v>0</v>
      </c>
      <c r="AA2" s="3">
        <f t="shared" si="0"/>
        <v>0</v>
      </c>
      <c r="AB2" s="3">
        <f t="shared" si="0"/>
        <v>0</v>
      </c>
      <c r="AC2" s="3">
        <f t="shared" si="0"/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H2" s="3"/>
      <c r="AI2" s="3"/>
    </row>
    <row r="3" spans="1:35">
      <c r="A3" t="s">
        <v>2</v>
      </c>
      <c r="B3" s="3">
        <v>0</v>
      </c>
      <c r="C3" s="3">
        <f t="shared" ref="C3:R8" si="1">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  <c r="AH3" s="3"/>
      <c r="AI3" s="3"/>
    </row>
    <row r="4" spans="1:35">
      <c r="A4" t="s">
        <v>3</v>
      </c>
      <c r="B4" s="3">
        <v>5.9831905534842047E-5</v>
      </c>
      <c r="C4" s="3">
        <f t="shared" si="1"/>
        <v>5.9831905534842047E-5</v>
      </c>
      <c r="D4" s="3">
        <f t="shared" si="0"/>
        <v>5.9831905534842047E-5</v>
      </c>
      <c r="E4" s="3">
        <f t="shared" si="0"/>
        <v>5.9831905534842047E-5</v>
      </c>
      <c r="F4" s="3">
        <f t="shared" si="0"/>
        <v>5.9831905534842047E-5</v>
      </c>
      <c r="G4" s="3">
        <f t="shared" si="0"/>
        <v>5.9831905534842047E-5</v>
      </c>
      <c r="H4" s="3">
        <f t="shared" si="0"/>
        <v>5.9831905534842047E-5</v>
      </c>
      <c r="I4" s="3">
        <f t="shared" si="0"/>
        <v>5.9831905534842047E-5</v>
      </c>
      <c r="J4" s="3">
        <f t="shared" si="0"/>
        <v>5.9831905534842047E-5</v>
      </c>
      <c r="K4" s="3">
        <f t="shared" si="0"/>
        <v>5.9831905534842047E-5</v>
      </c>
      <c r="L4" s="3">
        <f t="shared" si="0"/>
        <v>5.9831905534842047E-5</v>
      </c>
      <c r="M4" s="3">
        <f t="shared" si="0"/>
        <v>5.9831905534842047E-5</v>
      </c>
      <c r="N4" s="3">
        <f t="shared" si="0"/>
        <v>5.9831905534842047E-5</v>
      </c>
      <c r="O4" s="3">
        <f t="shared" si="0"/>
        <v>5.9831905534842047E-5</v>
      </c>
      <c r="P4" s="3">
        <f t="shared" si="0"/>
        <v>5.9831905534842047E-5</v>
      </c>
      <c r="Q4" s="3">
        <f t="shared" si="0"/>
        <v>5.9831905534842047E-5</v>
      </c>
      <c r="R4" s="3">
        <f t="shared" si="0"/>
        <v>5.9831905534842047E-5</v>
      </c>
      <c r="S4" s="3">
        <f t="shared" si="0"/>
        <v>5.9831905534842047E-5</v>
      </c>
      <c r="T4" s="3">
        <f t="shared" si="0"/>
        <v>5.9831905534842047E-5</v>
      </c>
      <c r="U4" s="3">
        <f t="shared" si="0"/>
        <v>5.9831905534842047E-5</v>
      </c>
      <c r="V4" s="3">
        <f t="shared" si="0"/>
        <v>5.9831905534842047E-5</v>
      </c>
      <c r="W4" s="3">
        <f t="shared" si="0"/>
        <v>5.9831905534842047E-5</v>
      </c>
      <c r="X4" s="3">
        <f t="shared" si="0"/>
        <v>5.9831905534842047E-5</v>
      </c>
      <c r="Y4" s="3">
        <f t="shared" si="0"/>
        <v>5.9831905534842047E-5</v>
      </c>
      <c r="Z4" s="3">
        <f t="shared" si="0"/>
        <v>5.9831905534842047E-5</v>
      </c>
      <c r="AA4" s="3">
        <f t="shared" si="0"/>
        <v>5.9831905534842047E-5</v>
      </c>
      <c r="AB4" s="3">
        <f t="shared" si="0"/>
        <v>5.9831905534842047E-5</v>
      </c>
      <c r="AC4" s="3">
        <f t="shared" si="0"/>
        <v>5.9831905534842047E-5</v>
      </c>
      <c r="AD4" s="3">
        <f t="shared" si="0"/>
        <v>5.9831905534842047E-5</v>
      </c>
      <c r="AE4" s="3">
        <f t="shared" si="0"/>
        <v>5.9831905534842047E-5</v>
      </c>
      <c r="AF4" s="3">
        <f t="shared" si="0"/>
        <v>5.9831905534842047E-5</v>
      </c>
      <c r="AH4" s="3"/>
      <c r="AI4" s="3"/>
    </row>
    <row r="5" spans="1:35">
      <c r="A5" t="s">
        <v>4</v>
      </c>
      <c r="B5" s="3">
        <v>0</v>
      </c>
      <c r="C5" s="3">
        <f t="shared" si="1"/>
        <v>0</v>
      </c>
      <c r="D5" s="3">
        <f t="shared" si="0"/>
        <v>0</v>
      </c>
      <c r="E5" s="3">
        <f t="shared" si="0"/>
        <v>0</v>
      </c>
      <c r="F5" s="3">
        <f t="shared" si="0"/>
        <v>0</v>
      </c>
      <c r="G5" s="3">
        <f t="shared" si="0"/>
        <v>0</v>
      </c>
      <c r="H5" s="3">
        <f t="shared" si="0"/>
        <v>0</v>
      </c>
      <c r="I5" s="3">
        <f t="shared" si="0"/>
        <v>0</v>
      </c>
      <c r="J5" s="3">
        <f t="shared" si="0"/>
        <v>0</v>
      </c>
      <c r="K5" s="3">
        <f t="shared" si="0"/>
        <v>0</v>
      </c>
      <c r="L5" s="3">
        <f t="shared" si="0"/>
        <v>0</v>
      </c>
      <c r="M5" s="3">
        <f t="shared" si="0"/>
        <v>0</v>
      </c>
      <c r="N5" s="3">
        <f t="shared" si="0"/>
        <v>0</v>
      </c>
      <c r="O5" s="3">
        <f t="shared" si="0"/>
        <v>0</v>
      </c>
      <c r="P5" s="3">
        <f t="shared" si="0"/>
        <v>0</v>
      </c>
      <c r="Q5" s="3">
        <f t="shared" si="0"/>
        <v>0</v>
      </c>
      <c r="R5" s="3">
        <f t="shared" si="0"/>
        <v>0</v>
      </c>
      <c r="S5" s="3">
        <f t="shared" si="0"/>
        <v>0</v>
      </c>
      <c r="T5" s="3">
        <f t="shared" si="0"/>
        <v>0</v>
      </c>
      <c r="U5" s="3">
        <f t="shared" si="0"/>
        <v>0</v>
      </c>
      <c r="V5" s="3">
        <f t="shared" si="0"/>
        <v>0</v>
      </c>
      <c r="W5" s="3">
        <f t="shared" si="0"/>
        <v>0</v>
      </c>
      <c r="X5" s="3">
        <f t="shared" si="0"/>
        <v>0</v>
      </c>
      <c r="Y5" s="3">
        <f t="shared" si="0"/>
        <v>0</v>
      </c>
      <c r="Z5" s="3">
        <f t="shared" si="0"/>
        <v>0</v>
      </c>
      <c r="AA5" s="3">
        <f t="shared" si="0"/>
        <v>0</v>
      </c>
      <c r="AB5" s="3">
        <f t="shared" si="0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H5" s="3"/>
      <c r="AI5" s="3"/>
    </row>
    <row r="6" spans="1:35">
      <c r="A6" t="s">
        <v>5</v>
      </c>
      <c r="B6" s="3"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H6" s="3"/>
      <c r="AI6" s="3"/>
    </row>
    <row r="7" spans="1:35">
      <c r="A7" t="s">
        <v>13</v>
      </c>
      <c r="B7" s="3">
        <v>0</v>
      </c>
      <c r="C7" s="3">
        <f t="shared" si="1"/>
        <v>0</v>
      </c>
      <c r="D7" s="3">
        <f t="shared" si="0"/>
        <v>0</v>
      </c>
      <c r="E7" s="3">
        <f t="shared" si="0"/>
        <v>0</v>
      </c>
      <c r="F7" s="3">
        <f t="shared" si="0"/>
        <v>0</v>
      </c>
      <c r="G7" s="3">
        <f t="shared" si="0"/>
        <v>0</v>
      </c>
      <c r="H7" s="3">
        <f t="shared" si="0"/>
        <v>0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0</v>
      </c>
      <c r="O7" s="3">
        <f t="shared" si="0"/>
        <v>0</v>
      </c>
      <c r="P7" s="3">
        <f t="shared" si="0"/>
        <v>0</v>
      </c>
      <c r="Q7" s="3">
        <f t="shared" si="0"/>
        <v>0</v>
      </c>
      <c r="R7" s="3">
        <f t="shared" si="0"/>
        <v>0</v>
      </c>
      <c r="S7" s="3">
        <f t="shared" si="0"/>
        <v>0</v>
      </c>
      <c r="T7" s="3">
        <f t="shared" si="0"/>
        <v>0</v>
      </c>
      <c r="U7" s="3">
        <f t="shared" si="0"/>
        <v>0</v>
      </c>
      <c r="V7" s="3">
        <f t="shared" si="0"/>
        <v>0</v>
      </c>
      <c r="W7" s="3">
        <f t="shared" si="0"/>
        <v>0</v>
      </c>
      <c r="X7" s="3">
        <f t="shared" si="0"/>
        <v>0</v>
      </c>
      <c r="Y7" s="3">
        <f t="shared" si="0"/>
        <v>0</v>
      </c>
      <c r="Z7" s="3">
        <f t="shared" si="0"/>
        <v>0</v>
      </c>
      <c r="AA7" s="3">
        <f t="shared" si="0"/>
        <v>0</v>
      </c>
      <c r="AB7" s="3">
        <f t="shared" si="0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  <c r="AH7" s="3"/>
      <c r="AI7" s="3"/>
    </row>
    <row r="8" spans="1:35">
      <c r="A8" t="s">
        <v>14</v>
      </c>
      <c r="B8" s="3">
        <v>0</v>
      </c>
      <c r="C8" s="3">
        <f t="shared" si="1"/>
        <v>0</v>
      </c>
      <c r="D8" s="3">
        <f t="shared" si="0"/>
        <v>0</v>
      </c>
      <c r="E8" s="3">
        <f t="shared" si="0"/>
        <v>0</v>
      </c>
      <c r="F8" s="3">
        <f t="shared" si="0"/>
        <v>0</v>
      </c>
      <c r="G8" s="3">
        <f t="shared" si="0"/>
        <v>0</v>
      </c>
      <c r="H8" s="3">
        <f t="shared" si="0"/>
        <v>0</v>
      </c>
      <c r="I8" s="3">
        <f t="shared" si="0"/>
        <v>0</v>
      </c>
      <c r="J8" s="3">
        <f t="shared" si="0"/>
        <v>0</v>
      </c>
      <c r="K8" s="3">
        <f t="shared" si="0"/>
        <v>0</v>
      </c>
      <c r="L8" s="3">
        <f t="shared" si="0"/>
        <v>0</v>
      </c>
      <c r="M8" s="3">
        <f t="shared" si="0"/>
        <v>0</v>
      </c>
      <c r="N8" s="3">
        <f t="shared" si="0"/>
        <v>0</v>
      </c>
      <c r="O8" s="3">
        <f t="shared" si="0"/>
        <v>0</v>
      </c>
      <c r="P8" s="3">
        <f t="shared" si="0"/>
        <v>0</v>
      </c>
      <c r="Q8" s="3">
        <f t="shared" si="0"/>
        <v>0</v>
      </c>
      <c r="R8" s="3">
        <f t="shared" si="0"/>
        <v>0</v>
      </c>
      <c r="S8" s="3">
        <f t="shared" si="0"/>
        <v>0</v>
      </c>
      <c r="T8" s="3">
        <f t="shared" si="0"/>
        <v>0</v>
      </c>
      <c r="U8" s="3">
        <f t="shared" si="0"/>
        <v>0</v>
      </c>
      <c r="V8" s="3">
        <f t="shared" si="0"/>
        <v>0</v>
      </c>
      <c r="W8" s="3">
        <f t="shared" si="0"/>
        <v>0</v>
      </c>
      <c r="X8" s="3">
        <f t="shared" si="0"/>
        <v>0</v>
      </c>
      <c r="Y8" s="3">
        <f t="shared" si="0"/>
        <v>0</v>
      </c>
      <c r="Z8" s="3">
        <f t="shared" si="0"/>
        <v>0</v>
      </c>
      <c r="AA8" s="3">
        <f t="shared" si="0"/>
        <v>0</v>
      </c>
      <c r="AB8" s="3">
        <f t="shared" si="0"/>
        <v>0</v>
      </c>
      <c r="AC8" s="3">
        <f t="shared" si="0"/>
        <v>0</v>
      </c>
      <c r="AD8" s="3">
        <f t="shared" si="0"/>
        <v>0</v>
      </c>
      <c r="AE8" s="3">
        <f t="shared" si="0"/>
        <v>0</v>
      </c>
      <c r="AF8" s="3">
        <f t="shared" si="0"/>
        <v>0</v>
      </c>
      <c r="AH8" s="3"/>
      <c r="AI8" s="3"/>
    </row>
  </sheetData>
  <phoneticPr fontId="40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>
      <selection activeCell="AE13" sqref="AE13"/>
    </sheetView>
  </sheetViews>
  <sheetFormatPr defaultRowHeight="14.5"/>
  <cols>
    <col min="1" max="1" width="31.08984375" customWidth="1"/>
  </cols>
  <sheetData>
    <row r="1" spans="1:32">
      <c r="A1" s="4" t="s">
        <v>15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>
      <c r="A2" t="s">
        <v>1</v>
      </c>
      <c r="B2">
        <f t="array" ref="B2:B8">TRANSPOSE('SYFAFE-frgt'!B7:H7)</f>
        <v>0</v>
      </c>
      <c r="C2">
        <f>B2</f>
        <v>0</v>
      </c>
      <c r="D2">
        <f t="shared" ref="D2:AF8" si="0">C2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</row>
    <row r="3" spans="1:32">
      <c r="A3" t="s">
        <v>2</v>
      </c>
      <c r="B3">
        <v>0</v>
      </c>
      <c r="C3">
        <f t="shared" ref="C3:R8" si="1">B3</f>
        <v>0</v>
      </c>
      <c r="D3">
        <f t="shared" si="1"/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0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</row>
    <row r="4" spans="1:32">
      <c r="A4" t="s">
        <v>3</v>
      </c>
      <c r="B4">
        <v>5.983190553484204E-5</v>
      </c>
      <c r="C4">
        <f t="shared" si="1"/>
        <v>5.983190553484204E-5</v>
      </c>
      <c r="D4">
        <f t="shared" si="0"/>
        <v>5.983190553484204E-5</v>
      </c>
      <c r="E4">
        <f t="shared" si="0"/>
        <v>5.983190553484204E-5</v>
      </c>
      <c r="F4">
        <f t="shared" si="0"/>
        <v>5.983190553484204E-5</v>
      </c>
      <c r="G4">
        <f t="shared" si="0"/>
        <v>5.983190553484204E-5</v>
      </c>
      <c r="H4">
        <f t="shared" si="0"/>
        <v>5.983190553484204E-5</v>
      </c>
      <c r="I4">
        <f t="shared" si="0"/>
        <v>5.983190553484204E-5</v>
      </c>
      <c r="J4">
        <f t="shared" si="0"/>
        <v>5.983190553484204E-5</v>
      </c>
      <c r="K4">
        <f t="shared" si="0"/>
        <v>5.983190553484204E-5</v>
      </c>
      <c r="L4">
        <f t="shared" si="0"/>
        <v>5.983190553484204E-5</v>
      </c>
      <c r="M4">
        <f t="shared" si="0"/>
        <v>5.983190553484204E-5</v>
      </c>
      <c r="N4">
        <f t="shared" si="0"/>
        <v>5.983190553484204E-5</v>
      </c>
      <c r="O4">
        <f t="shared" si="0"/>
        <v>5.983190553484204E-5</v>
      </c>
      <c r="P4">
        <f t="shared" si="0"/>
        <v>5.983190553484204E-5</v>
      </c>
      <c r="Q4">
        <f t="shared" si="0"/>
        <v>5.983190553484204E-5</v>
      </c>
      <c r="R4">
        <f t="shared" si="0"/>
        <v>5.983190553484204E-5</v>
      </c>
      <c r="S4">
        <f t="shared" si="0"/>
        <v>5.983190553484204E-5</v>
      </c>
      <c r="T4">
        <f t="shared" si="0"/>
        <v>5.983190553484204E-5</v>
      </c>
      <c r="U4">
        <f t="shared" si="0"/>
        <v>5.983190553484204E-5</v>
      </c>
      <c r="V4">
        <f t="shared" si="0"/>
        <v>5.983190553484204E-5</v>
      </c>
      <c r="W4">
        <f t="shared" si="0"/>
        <v>5.983190553484204E-5</v>
      </c>
      <c r="X4">
        <f t="shared" si="0"/>
        <v>5.983190553484204E-5</v>
      </c>
      <c r="Y4">
        <f t="shared" si="0"/>
        <v>5.983190553484204E-5</v>
      </c>
      <c r="Z4">
        <f t="shared" si="0"/>
        <v>5.983190553484204E-5</v>
      </c>
      <c r="AA4">
        <f t="shared" si="0"/>
        <v>5.983190553484204E-5</v>
      </c>
      <c r="AB4">
        <f t="shared" si="0"/>
        <v>5.983190553484204E-5</v>
      </c>
      <c r="AC4">
        <f t="shared" si="0"/>
        <v>5.983190553484204E-5</v>
      </c>
      <c r="AD4">
        <f t="shared" si="0"/>
        <v>5.983190553484204E-5</v>
      </c>
      <c r="AE4">
        <f t="shared" si="0"/>
        <v>5.983190553484204E-5</v>
      </c>
      <c r="AF4">
        <f t="shared" si="0"/>
        <v>5.983190553484204E-5</v>
      </c>
    </row>
    <row r="5" spans="1:32">
      <c r="A5" t="s">
        <v>4</v>
      </c>
      <c r="B5">
        <v>0</v>
      </c>
      <c r="C5">
        <f t="shared" si="1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</row>
    <row r="6" spans="1:32">
      <c r="A6" t="s">
        <v>5</v>
      </c>
      <c r="B6">
        <v>0</v>
      </c>
      <c r="C6">
        <f t="shared" si="1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</row>
    <row r="7" spans="1:32">
      <c r="A7" t="s">
        <v>13</v>
      </c>
      <c r="B7">
        <v>0</v>
      </c>
      <c r="C7">
        <f t="shared" si="1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f t="shared" si="0"/>
        <v>0</v>
      </c>
      <c r="AB7">
        <f t="shared" si="0"/>
        <v>0</v>
      </c>
      <c r="AC7">
        <f t="shared" si="0"/>
        <v>0</v>
      </c>
      <c r="AD7">
        <f t="shared" si="0"/>
        <v>0</v>
      </c>
      <c r="AE7">
        <f t="shared" si="0"/>
        <v>0</v>
      </c>
      <c r="AF7">
        <f t="shared" si="0"/>
        <v>0</v>
      </c>
    </row>
    <row r="8" spans="1:32">
      <c r="A8" t="s">
        <v>14</v>
      </c>
      <c r="B8">
        <v>0</v>
      </c>
      <c r="C8">
        <f t="shared" si="1"/>
        <v>0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0"/>
        <v>0</v>
      </c>
      <c r="M8">
        <f t="shared" si="0"/>
        <v>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0</v>
      </c>
      <c r="R8">
        <f t="shared" si="0"/>
        <v>0</v>
      </c>
      <c r="S8">
        <f t="shared" si="0"/>
        <v>0</v>
      </c>
      <c r="T8">
        <f t="shared" si="0"/>
        <v>0</v>
      </c>
      <c r="U8">
        <f t="shared" si="0"/>
        <v>0</v>
      </c>
      <c r="V8">
        <f t="shared" si="0"/>
        <v>0</v>
      </c>
      <c r="W8">
        <f t="shared" si="0"/>
        <v>0</v>
      </c>
      <c r="X8">
        <f t="shared" si="0"/>
        <v>0</v>
      </c>
      <c r="Y8">
        <f t="shared" si="0"/>
        <v>0</v>
      </c>
      <c r="Z8">
        <f t="shared" si="0"/>
        <v>0</v>
      </c>
      <c r="AA8">
        <f t="shared" si="0"/>
        <v>0</v>
      </c>
      <c r="AB8">
        <f t="shared" si="0"/>
        <v>0</v>
      </c>
      <c r="AC8">
        <f t="shared" si="0"/>
        <v>0</v>
      </c>
      <c r="AD8">
        <f t="shared" si="0"/>
        <v>0</v>
      </c>
      <c r="AE8">
        <f t="shared" si="0"/>
        <v>0</v>
      </c>
      <c r="AF8">
        <f t="shared" si="0"/>
        <v>0</v>
      </c>
    </row>
  </sheetData>
  <phoneticPr fontId="4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4B8507D-2FDC-44A3-815A-86B4815488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ADC4865-734B-4090-93A2-62178E7C192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B6CFF06-B83B-4A00-9CDB-43AF6F1835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SYFAFE-psgr</vt:lpstr>
      <vt:lpstr>SYFAFE-frgt</vt:lpstr>
      <vt:lpstr>BHNVFEAL-LDVs-psgr</vt:lpstr>
      <vt:lpstr>BHNVFEAL-LDVs-frgt</vt:lpstr>
      <vt:lpstr>BHNVFEAL-HDVs-psgr</vt:lpstr>
      <vt:lpstr>BHNVFEAL-HDVs-frgt</vt:lpstr>
      <vt:lpstr>BHNVFEAL-aircraft-psgr</vt:lpstr>
      <vt:lpstr>BHNVFEAL-aircraft-frgt</vt:lpstr>
      <vt:lpstr>BHNVFEAL-rail-psgr</vt:lpstr>
      <vt:lpstr>BHNVFEAL-rail-frgt</vt:lpstr>
      <vt:lpstr>BHNVFEAL-ships-psgr</vt:lpstr>
      <vt:lpstr>BHNVFEAL-ships-frgt</vt:lpstr>
      <vt:lpstr>BHNVFEAL-motorbikes-psgr</vt:lpstr>
      <vt:lpstr>BHNVFEAL-motorbikes-frgt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2017-06-26T22:04:22Z</dcterms:created>
  <dcterms:modified xsi:type="dcterms:W3CDTF">2026-01-26T15:40:09Z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