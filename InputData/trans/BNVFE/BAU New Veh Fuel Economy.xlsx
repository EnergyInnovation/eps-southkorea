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NVFE\"/>
    </mc:Choice>
  </mc:AlternateContent>
  <xr:revisionPtr revIDLastSave="0" documentId="13_ncr:1_{6F188D68-581F-4326-9C9C-DF71807CD9CA}" xr6:coauthVersionLast="47" xr6:coauthVersionMax="47" xr10:uidLastSave="{00000000-0000-0000-0000-000000000000}"/>
  <bookViews>
    <workbookView xWindow="-24570" yWindow="2205" windowWidth="24345" windowHeight="13980" firstSheet="14" activeTab="19" xr2:uid="{D850E225-7E57-43A0-BCF6-AD6641E8498D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31" l="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16" i="31" l="1"/>
  <c r="C20" i="31" s="1"/>
  <c r="C24" i="31" s="1"/>
  <c r="C15" i="31"/>
  <c r="C19" i="31" s="1"/>
  <c r="C23" i="31" s="1"/>
  <c r="C26" i="31" s="1"/>
  <c r="B8" i="25" l="1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C3" i="24"/>
  <c r="C5" i="24"/>
  <c r="C6" i="24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D25" i="4"/>
  <c r="D27" i="4" s="1"/>
  <c r="C25" i="4"/>
  <c r="B25" i="4"/>
  <c r="F24" i="4"/>
  <c r="E24" i="4"/>
  <c r="D24" i="4"/>
  <c r="D26" i="4" s="1"/>
  <c r="C24" i="4"/>
  <c r="B24" i="4"/>
  <c r="D21" i="4" l="1"/>
  <c r="E26" i="4"/>
  <c r="E27" i="4"/>
  <c r="C27" i="4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3" i="25"/>
  <c r="C3" i="25" s="1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B5" i="25"/>
  <c r="C5" i="25" s="1"/>
  <c r="D5" i="25" s="1"/>
  <c r="E5" i="25" s="1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B6" i="25"/>
  <c r="C6" i="25" s="1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B7" i="25"/>
  <c r="C7" i="25" s="1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37" i="4" l="1"/>
  <c r="D43" i="4"/>
  <c r="D37" i="4"/>
  <c r="B38" i="4"/>
  <c r="D32" i="4"/>
  <c r="B32" i="4"/>
  <c r="C38" i="4"/>
  <c r="C44" i="4"/>
  <c r="D38" i="4"/>
  <c r="B44" i="4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B5" i="26" s="1"/>
  <c r="C41" i="9"/>
  <c r="C42" i="9"/>
  <c r="C43" i="9"/>
  <c r="C37" i="9"/>
  <c r="C31" i="9"/>
  <c r="C32" i="9"/>
  <c r="C33" i="9"/>
  <c r="B5" i="29" s="1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B4" i="23" s="1"/>
  <c r="C4" i="23" s="1"/>
  <c r="D4" i="23" s="1"/>
  <c r="E4" i="23" s="1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C5" i="9"/>
  <c r="C6" i="9"/>
  <c r="C7" i="9"/>
  <c r="C8" i="9"/>
  <c r="C2" i="9"/>
  <c r="C5" i="29" l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5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2" i="26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D5" i="12" l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<sst xmlns="http://schemas.openxmlformats.org/spreadsheetml/2006/main" count="433" uniqueCount="72">
  <si>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</si>
  <si>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</si>
  <si>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</si>
  <si>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Notes</t>
    <phoneticPr fontId="1" type="noConversion"/>
  </si>
  <si>
    <t>Since there are few fuel economy forecast data in Korea, CAGR was extracted and used from US data when estimating fuel economy.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</si>
  <si>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</si>
  <si>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</si>
  <si>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</si>
  <si>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Fuel Economy (passenger*miles/BTU)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</si>
  <si>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</si>
  <si>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</si>
  <si>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</si>
  <si>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</si>
  <si>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</si>
  <si>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</si>
  <si>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</si>
  <si>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</si>
  <si>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</si>
  <si>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</si>
  <si>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</si>
  <si>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</si>
  <si>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</si>
  <si>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(thing*miles/BTU)</t>
  </si>
  <si>
    <t>passenger</t>
    <phoneticPr fontId="1" type="noConversion"/>
  </si>
  <si>
    <t>freight</t>
    <phoneticPr fontId="1" type="noConversion"/>
  </si>
  <si>
    <t>US LDVs</t>
    <phoneticPr fontId="1" type="noConversion"/>
  </si>
  <si>
    <t>diesel vehicle</t>
    <phoneticPr fontId="1" type="noConversion"/>
  </si>
  <si>
    <t>plugin hybrid vehicle</t>
    <phoneticPr fontId="1" type="noConversion"/>
  </si>
  <si>
    <t>hydrogen vehicle</t>
    <phoneticPr fontId="1" type="noConversion"/>
  </si>
  <si>
    <t>psgr</t>
    <phoneticPr fontId="1" type="noConversion"/>
  </si>
  <si>
    <t>frgt</t>
    <phoneticPr fontId="1" type="noConversion"/>
  </si>
  <si>
    <t>psgr - x/disel vehicle</t>
    <phoneticPr fontId="1" type="noConversion"/>
  </si>
  <si>
    <t>frgt - x/disel vehicle</t>
    <phoneticPr fontId="1" type="noConversion"/>
  </si>
  <si>
    <t>US HDVs</t>
    <phoneticPr fontId="1" type="noConversion"/>
  </si>
  <si>
    <t>battery electric vehicle</t>
    <phoneticPr fontId="1" type="noConversion"/>
  </si>
  <si>
    <t>US aircrat</t>
    <phoneticPr fontId="1" type="noConversion"/>
  </si>
  <si>
    <t>x/disel vehicle</t>
    <phoneticPr fontId="1" type="noConversion"/>
  </si>
  <si>
    <t>US rail</t>
    <phoneticPr fontId="1" type="noConversion"/>
  </si>
  <si>
    <t>US ships</t>
    <phoneticPr fontId="1" type="noConversion"/>
  </si>
  <si>
    <t>2020-2050 CAGR</t>
    <phoneticPr fontId="1" type="noConversion"/>
  </si>
  <si>
    <t>Source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</si>
  <si>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</si>
  <si>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</si>
  <si>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</si>
  <si>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2020년 실도로 연비 13.5km/kg, 2030년까지 15km/kg, 해당 비율을 2050까지 적용</t>
    <phoneticPr fontId="1" type="noConversion"/>
  </si>
  <si>
    <t>https://www.cheric.org/PDF/PIC/PC24/PC24-4-0022.pdf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</si>
  <si>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</si>
  <si>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</si>
  <si>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</si>
  <si>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US-rail-psgr</t>
  </si>
  <si>
    <t>US-rail-frgt</t>
    <phoneticPr fontId="1" type="noConversion"/>
  </si>
  <si>
    <t>US-ships-psgr</t>
    <phoneticPr fontId="1" type="noConversion"/>
  </si>
  <si>
    <t>US-ships-frgt</t>
    <phoneticPr fontId="1" type="noConversion"/>
  </si>
  <si>
    <t>US-motorbikes-psgr</t>
    <phoneticPr fontId="1" type="noConversion"/>
  </si>
  <si>
    <t>US-motorbikes-frgt</t>
    <phoneticPr fontId="1" type="noConversion"/>
  </si>
  <si>
    <t>https://theicct.org/sites/default/files/publications/S.Korea%20FE%20GHG%20Policy%20Update_vFinal.pdf</t>
  </si>
  <si>
    <t>passenger vehicles fuel economy</t>
  </si>
  <si>
    <t>Conversion factor</t>
  </si>
  <si>
    <t>btus per liter gasoline</t>
  </si>
  <si>
    <t>km per mile</t>
  </si>
  <si>
    <t>AVLO-psgr-ldvs</t>
  </si>
  <si>
    <t>passenger vehicles</t>
  </si>
  <si>
    <t>km/L</t>
  </si>
  <si>
    <t>light trucks</t>
  </si>
  <si>
    <t>Convert</t>
  </si>
  <si>
    <t>miles/L</t>
  </si>
  <si>
    <t>miles/btu</t>
  </si>
  <si>
    <t>thing*miles/btu</t>
  </si>
  <si>
    <t>average</t>
  </si>
  <si>
    <t>US Fuel economy</t>
  </si>
  <si>
    <t>Trend</t>
  </si>
  <si>
    <t>Fuel Economy (freight ton*miles/BTU)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</si>
</sst>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0" fontId="0" fillId="10" borderId="0" xfId="0" applyFill="1">
      <alignment vertical="center"/>
    </xf>
    <xf numFmtId="11" fontId="9" fillId="0" borderId="0" xfId="0" applyNumberFormat="1" applyFont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'BNVFE-rail-frgt'!$A$2</c:f>
              <c:strCache>
                <c:ptCount val="1"/>
                <c:pt idx="0">
                  <c:v>battery electric vehicle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'BNVFE-rail-frgt'!$B$2:$V$2</c:f>
              <c:numCache>
                <c:formatCode>0.00E+00</c:formatCode>
                <c:ptCount val="21"/>
                <c:pt idx="0">
                  <c:v>4.6989073334332684E-3</c:v>
                </c:pt>
                <c:pt idx="1">
                  <c:v>4.7283986054893245E-3</c:v>
                </c:pt>
                <c:pt idx="2">
                  <c:v>4.7580749706033548E-3</c:v>
                </c:pt>
                <c:pt idx="3">
                  <c:v>4.7879375904560104E-3</c:v>
                </c:pt>
                <c:pt idx="4">
                  <c:v>4.8179876340188792E-3</c:v>
                </c:pt>
                <c:pt idx="5">
                  <c:v>4.8482262776002472E-3</c:v>
                </c:pt>
                <c:pt idx="6">
                  <c:v>4.8786547048911425E-3</c:v>
                </c:pt>
                <c:pt idx="7">
                  <c:v>4.9092741070116729E-3</c:v>
                </c:pt>
                <c:pt idx="8">
                  <c:v>4.9400856825576513E-3</c:v>
                </c:pt>
                <c:pt idx="9">
                  <c:v>4.9710906376475164E-3</c:v>
                </c:pt>
                <c:pt idx="10">
                  <c:v>5.0022901859695431E-3</c:v>
                </c:pt>
                <c:pt idx="11">
                  <c:v>5.0336855488293548E-3</c:v>
                </c:pt>
                <c:pt idx="12">
                  <c:v>5.0652779551977308E-3</c:v>
                </c:pt>
                <c:pt idx="13">
                  <c:v>5.0970686417587136E-3</c:v>
                </c:pt>
                <c:pt idx="14">
                  <c:v>5.1290588529580199E-3</c:v>
                </c:pt>
                <c:pt idx="15">
                  <c:v>5.1612498410517531E-3</c:v>
                </c:pt>
                <c:pt idx="16">
                  <c:v>5.1936428661554252E-3</c:v>
                </c:pt>
                <c:pt idx="17">
                  <c:v>5.2262391962932817E-3</c:v>
                </c:pt>
                <c:pt idx="18">
                  <c:v>5.2590401074479381E-3</c:v>
                </c:pt>
                <c:pt idx="19">
                  <c:v>5.2920468836103306E-3</c:v>
                </c:pt>
                <c:pt idx="20">
                  <c:v>5.3252608168299761E-3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D0-4F2F-BA0A-6213D37F7926}"/>
            </c:ext>
          </c:extLst>
        </c:ser>
        <c:ser>
          <c:idx val="1"/>
          <c:order val="1"/>
          <c:tx>
            <c:strRef>
              <c:f>'BNVFE-rail-frgt'!$A$3</c:f>
              <c:strCache>
                <c:ptCount val="1"/>
                <c:pt idx="0">
                  <c:v>natural gas vehicle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'BNVFE-rail-frgt'!$B$3:$V$3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D0-4F2F-BA0A-6213D37F7926}"/>
            </c:ext>
          </c:extLst>
        </c:ser>
        <c:ser>
          <c:idx val="2"/>
          <c:order val="2"/>
          <c:tx>
            <c:strRef>
              <c:f>'BNVFE-rail-frgt'!$A$4</c:f>
              <c:strCache>
                <c:ptCount val="1"/>
                <c:pt idx="0">
                  <c:v>gasoline vehicle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'BNVFE-rail-frgt'!$B$4:$V$4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D0-4F2F-BA0A-6213D37F7926}"/>
            </c:ext>
          </c:extLst>
        </c:ser>
        <c:ser>
          <c:idx val="3"/>
          <c:order val="3"/>
          <c:tx>
            <c:strRef>
              <c:f>'BNVFE-rail-frgt'!$A$5</c:f>
              <c:strCache>
                <c:ptCount val="1"/>
                <c:pt idx="0">
                  <c:v>diesel vehicle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'BNVFE-rail-frgt'!$B$5:$V$5</c:f>
              <c:numCache>
                <c:formatCode>0.00E+00</c:formatCode>
                <c:ptCount val="21"/>
                <c:pt idx="0">
                  <c:v>1.4622199430811809E-3</c:v>
                </c:pt>
                <c:pt idx="1">
                  <c:v>1.4713971247294281E-3</c:v>
                </c:pt>
                <c:pt idx="2">
                  <c:v>1.4806319041853126E-3</c:v>
                </c:pt>
                <c:pt idx="3">
                  <c:v>1.4899246429440701E-3</c:v>
                </c:pt>
                <c:pt idx="4">
                  <c:v>1.4992757047697521E-3</c:v>
                </c:pt>
                <c:pt idx="5">
                  <c:v>1.5086854557094654E-3</c:v>
                </c:pt>
                <c:pt idx="6">
                  <c:v>1.5181542641077008E-3</c:v>
                </c:pt>
                <c:pt idx="7">
                  <c:v>1.5276825006207517E-3</c:v>
                </c:pt>
                <c:pt idx="8">
                  <c:v>1.537270538231224E-3</c:v>
                </c:pt>
                <c:pt idx="9">
                  <c:v>1.5469187522626363E-3</c:v>
                </c:pt>
                <c:pt idx="10">
                  <c:v>1.5566275203941116E-3</c:v>
                </c:pt>
                <c:pt idx="11">
                  <c:v>1.5663972226751617E-3</c:v>
                </c:pt>
                <c:pt idx="12">
                  <c:v>1.5762282415405649E-3</c:v>
                </c:pt>
                <c:pt idx="13">
                  <c:v>1.5861209618253354E-3</c:v>
                </c:pt>
                <c:pt idx="14">
                  <c:v>1.5960757707797878E-3</c:v>
                </c:pt>
                <c:pt idx="15">
                  <c:v>1.6060930580846971E-3</c:v>
                </c:pt>
                <c:pt idx="16">
                  <c:v>1.6161732158665512E-3</c:v>
                </c:pt>
                <c:pt idx="17">
                  <c:v>1.6263166387129018E-3</c:v>
                </c:pt>
                <c:pt idx="18">
                  <c:v>1.63652372368781E-3</c:v>
                </c:pt>
                <c:pt idx="19">
                  <c:v>1.6467948703473895E-3</c:v>
                </c:pt>
                <c:pt idx="20">
                  <c:v>1.6571304807554473E-3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D0-4F2F-BA0A-6213D37F7926}"/>
            </c:ext>
          </c:extLst>
        </c:ser>
        <c:ser>
          <c:idx val="4"/>
          <c:order val="4"/>
          <c:tx>
            <c:strRef>
              <c:f>'BNVFE-rail-frgt'!$A$6</c:f>
              <c:strCache>
                <c:ptCount val="1"/>
                <c:pt idx="0">
                  <c:v>plugin hybrid vehicle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'BNVFE-rail-frgt'!$B$6:$V$6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D0-4F2F-BA0A-6213D37F7926}"/>
            </c:ext>
          </c:extLst>
        </c:ser>
        <c:ser>
          <c:idx val="5"/>
          <c:order val="5"/>
          <c:tx>
            <c:strRef>
              <c:f>'BNVFE-rail-frgt'!$A$7</c:f>
              <c:strCache>
                <c:ptCount val="1"/>
                <c:pt idx="0">
                  <c:v>LPG vehicle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'BNVFE-rail-frgt'!$B$7:$V$7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D0-4F2F-BA0A-6213D37F7926}"/>
            </c:ext>
          </c:extLst>
        </c:ser>
        <c:ser>
          <c:idx val="6"/>
          <c:order val="6"/>
          <c:tx>
            <c:strRef>
              <c:f>'BNVFE-rail-frgt'!$A$8</c:f>
              <c:strCache>
                <c:ptCount val="1"/>
                <c:pt idx="0">
                  <c:v>hydrogen vehicle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'BNVFE-rail-frgt'!$B$8:$V$8</c:f>
              <c:numCache>
                <c:formatCode>0.00E+00</c:formatCode>
                <c:ptCount val="21"/>
                <c:pt idx="0">
                  <c:v>4.3866598292435421E-3</c:v>
                </c:pt>
                <c:pt idx="1">
                  <c:v>4.4141913741882833E-3</c:v>
                </c:pt>
                <c:pt idx="2">
                  <c:v>4.4418957125559365E-3</c:v>
                </c:pt>
                <c:pt idx="3">
                  <c:v>4.4697739288322089E-3</c:v>
                </c:pt>
                <c:pt idx="4">
                  <c:v>4.497827114309255E-3</c:v>
                </c:pt>
                <c:pt idx="5">
                  <c:v>4.526056367128395E-3</c:v>
                </c:pt>
                <c:pt idx="6">
                  <c:v>4.5544627923231008E-3</c:v>
                </c:pt>
                <c:pt idx="7">
                  <c:v>4.5830475018622538E-3</c:v>
                </c:pt>
                <c:pt idx="8">
                  <c:v>4.6118116146936705E-3</c:v>
                </c:pt>
                <c:pt idx="9">
                  <c:v>4.6407562567879071E-3</c:v>
                </c:pt>
                <c:pt idx="10">
                  <c:v>4.6698825611823326E-3</c:v>
                </c:pt>
                <c:pt idx="11">
                  <c:v>4.6991916680254832E-3</c:v>
                </c:pt>
                <c:pt idx="12">
                  <c:v>4.7286847246216929E-3</c:v>
                </c:pt>
                <c:pt idx="13">
                  <c:v>4.7583628854760036E-3</c:v>
                </c:pt>
                <c:pt idx="14">
                  <c:v>4.7882273123393609E-3</c:v>
                </c:pt>
                <c:pt idx="15">
                  <c:v>4.8182791742540886E-3</c:v>
                </c:pt>
                <c:pt idx="16">
                  <c:v>4.8485196475996509E-3</c:v>
                </c:pt>
                <c:pt idx="17">
                  <c:v>4.8789499161387027E-3</c:v>
                </c:pt>
                <c:pt idx="18">
                  <c:v>4.909571171063427E-3</c:v>
                </c:pt>
                <c:pt idx="19">
                  <c:v>4.9403846110421656E-3</c:v>
                </c:pt>
                <c:pt idx="20">
                  <c:v>4.9713914422663394E-3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D0-4F2F-BA0A-6213D37F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60655"/>
        <c:axId val="62661615"/>
      </c:scatterChart>
      <c:valAx>
        <c:axId val="6266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1615"/>
        <c:crosses val="autoZero"/>
        <c:crossBetween val="midCat"/>
      </c:valAx>
      <c:valAx>
        <c:axId val="6266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100012</xdr:colOff>
      <xdr:row>10</xdr:row>
      <xdr:rowOff>33337</xdr:rowOff>
    </xdr:from>
    <xdr:to>
      <xdr:col>14</xdr:col>
      <xdr:colOff>338137</xdr:colOff>
      <xdr:row>24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408322-D991-FC86-8CBD-ABF99C180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D35" sqref="D35"/>
    </sheetView>
  </sheetViews>
  <sheetFormatPr defaultRowHeight="15"/>
  <sheetData>
    <row r="1" spans="1:2">
      <c r="A1" s="22" t="s">
        <v>0</v>
      </c>
    </row>
    <row r="3" spans="1:2">
      <c r="A3" s="20" t="s">
        <v>1</v>
      </c>
      <c r="B3" t="s">
        <v>2</v>
      </c>
    </row>
    <row r="5" spans="1:2">
      <c r="A5" s="20" t="s">
        <v>3</v>
      </c>
    </row>
    <row r="6" spans="1:2">
      <c r="A6" t="s">
        <v>4</v>
      </c>
    </row>
    <row r="8" spans="1:2">
      <c r="A8" t="s">
        <v>5</v>
      </c>
    </row>
    <row r="9" spans="1:2">
      <c r="A9" s="19" t="s">
        <v>6</v>
      </c>
    </row>
    <row r="10" spans="1:2">
      <c r="A10" s="4" t="s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workbookViewId="0">
      <selection sqref="A1:H3"/>
    </sheetView>
  </sheetViews>
  <sheetFormatPr defaultRowHeight="15"/>
  <cols>
    <col min="1" max="1" width="19.710937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 ht="16.5" customHeight="1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 s="34">
        <v>9.8940000000000009E-4</v>
      </c>
      <c r="C2" s="34">
        <v>2.3039999999999999E-4</v>
      </c>
      <c r="D2" s="34">
        <v>2.9799999999999998E-4</v>
      </c>
      <c r="E2" s="34">
        <v>2.765E-4</v>
      </c>
      <c r="F2" s="34">
        <v>3.4019999999999998E-4</v>
      </c>
      <c r="G2" s="34">
        <v>2.9119999999999998E-4</v>
      </c>
      <c r="H2" s="34">
        <v>1.4943000000000001E-3</v>
      </c>
    </row>
    <row r="3" spans="1:8">
      <c r="A3" s="1" t="s">
        <v>17</v>
      </c>
      <c r="B3" s="34">
        <v>2.0308000000000001E-3</v>
      </c>
      <c r="C3" s="34">
        <v>1.575E-3</v>
      </c>
      <c r="D3" s="34">
        <v>5.7850000000000002E-4</v>
      </c>
      <c r="E3" s="34">
        <v>6.3199999999999997E-4</v>
      </c>
      <c r="F3" s="34">
        <v>1.4013000000000001E-3</v>
      </c>
      <c r="G3" s="34">
        <v>1.0602999999999999E-3</v>
      </c>
      <c r="H3" s="34">
        <v>1.8959000000000001E-3</v>
      </c>
    </row>
    <row r="4" spans="1:8">
      <c r="A4" s="1" t="s">
        <v>18</v>
      </c>
      <c r="B4" s="34">
        <v>7.3141853515822292E-4</v>
      </c>
      <c r="C4" s="34">
        <v>2.2760961548490743E-4</v>
      </c>
      <c r="D4" s="34">
        <v>2.2760961548490743E-4</v>
      </c>
      <c r="E4" s="34">
        <v>2.2760961548490743E-4</v>
      </c>
      <c r="F4" s="34">
        <v>0</v>
      </c>
      <c r="G4" s="34">
        <v>0</v>
      </c>
      <c r="H4" s="34">
        <v>6.8282937766954584E-4</v>
      </c>
    </row>
    <row r="5" spans="1:8">
      <c r="A5" s="1" t="s">
        <v>19</v>
      </c>
      <c r="B5" s="34">
        <v>1.6872999999999999E-2</v>
      </c>
      <c r="C5" s="34">
        <v>1.2658000000000001E-3</v>
      </c>
      <c r="D5" s="34">
        <v>1.2658000000000001E-3</v>
      </c>
      <c r="E5" s="34">
        <v>1.2658000000000001E-3</v>
      </c>
      <c r="F5" s="34">
        <v>0</v>
      </c>
      <c r="G5" s="34">
        <v>0</v>
      </c>
      <c r="H5" s="34">
        <v>3.7975000000000001E-3</v>
      </c>
    </row>
    <row r="6" spans="1:8">
      <c r="A6" s="1" t="s">
        <v>20</v>
      </c>
      <c r="B6" s="34">
        <v>2.9538323562160623E-3</v>
      </c>
      <c r="C6" s="34">
        <v>0</v>
      </c>
      <c r="D6" s="34">
        <v>9.1919916385677981E-4</v>
      </c>
      <c r="E6" s="34">
        <v>9.1919916385677981E-4</v>
      </c>
      <c r="F6" s="34">
        <v>0</v>
      </c>
      <c r="G6" s="34">
        <v>0</v>
      </c>
      <c r="H6" s="34">
        <v>2.7576049190822485E-3</v>
      </c>
    </row>
    <row r="7" spans="1:8">
      <c r="A7" s="1" t="s">
        <v>21</v>
      </c>
      <c r="B7" s="34">
        <v>1.7952599999999999E-2</v>
      </c>
      <c r="C7" s="34">
        <v>5.6379999999999998E-3</v>
      </c>
      <c r="D7" s="34">
        <v>5.6379999999999998E-3</v>
      </c>
      <c r="E7" s="34">
        <v>5.6379999999999998E-3</v>
      </c>
      <c r="F7" s="34">
        <v>1.2411E-2</v>
      </c>
      <c r="G7" s="34">
        <v>4.3695000000000001E-3</v>
      </c>
      <c r="H7" s="34">
        <v>1.6913999999999998E-2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>
      <selection sqref="A1:H3"/>
    </sheetView>
  </sheetViews>
  <sheetFormatPr defaultRowHeight="15"/>
  <cols>
    <col min="1" max="1" width="11.2851562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10">
      <c r="A1" s="1" t="s">
        <v>71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/>
      <c r="J1" s="1"/>
    </row>
    <row r="2" spans="1:10">
      <c r="A2" s="1" t="s">
        <v>16</v>
      </c>
      <c r="B2" s="34">
        <v>1.46E-4</v>
      </c>
      <c r="C2" s="34">
        <v>7.7999999999999999E-5</v>
      </c>
      <c r="D2" s="34">
        <v>1.11E-4</v>
      </c>
      <c r="E2" s="34">
        <v>8.6000000000000003E-5</v>
      </c>
      <c r="F2" s="34">
        <v>1.94E-4</v>
      </c>
      <c r="G2" s="34">
        <v>6.0999999999999999E-5</v>
      </c>
      <c r="H2" s="34">
        <v>9.2999999999999997E-5</v>
      </c>
      <c r="I2" s="1"/>
      <c r="J2" s="1"/>
    </row>
    <row r="3" spans="1:10">
      <c r="A3" s="1" t="s">
        <v>17</v>
      </c>
      <c r="B3" s="34">
        <v>2.2070000000000002E-3</v>
      </c>
      <c r="C3" s="34">
        <v>1.2340000000000001E-3</v>
      </c>
      <c r="D3" s="34">
        <v>1.1720000000000001E-3</v>
      </c>
      <c r="E3" s="34">
        <v>1.165E-3</v>
      </c>
      <c r="F3" s="34">
        <v>0</v>
      </c>
      <c r="G3" s="34">
        <v>1.2470000000000001E-3</v>
      </c>
      <c r="H3" s="34">
        <v>0</v>
      </c>
      <c r="I3" s="1"/>
      <c r="J3" s="1"/>
    </row>
    <row r="4" spans="1:10">
      <c r="A4" s="1" t="s">
        <v>18</v>
      </c>
      <c r="B4" s="34">
        <v>3.1622429237254017E-4</v>
      </c>
      <c r="C4" s="34">
        <v>9.8405668706519375E-5</v>
      </c>
      <c r="D4" s="34">
        <v>9.8405668706519375E-5</v>
      </c>
      <c r="E4" s="34">
        <v>9.8405668706519375E-5</v>
      </c>
      <c r="F4" s="34">
        <v>0</v>
      </c>
      <c r="G4" s="34">
        <v>0</v>
      </c>
      <c r="H4" s="34">
        <v>2.9521700611955811E-4</v>
      </c>
      <c r="I4" s="1"/>
      <c r="J4" s="1"/>
    </row>
    <row r="5" spans="1:10">
      <c r="A5" s="1" t="s">
        <v>19</v>
      </c>
      <c r="B5" s="34">
        <v>4.6696000000000003E-3</v>
      </c>
      <c r="C5" s="34">
        <v>1.4530999999999999E-3</v>
      </c>
      <c r="D5" s="34">
        <v>1.4530999999999999E-3</v>
      </c>
      <c r="E5" s="34">
        <v>1.4530999999999999E-3</v>
      </c>
      <c r="F5" s="34">
        <v>0</v>
      </c>
      <c r="G5" s="34">
        <v>0</v>
      </c>
      <c r="H5" s="34">
        <v>4.3594000000000003E-3</v>
      </c>
      <c r="I5" s="1"/>
      <c r="J5" s="1"/>
    </row>
    <row r="6" spans="1:10">
      <c r="A6" s="1" t="s">
        <v>20</v>
      </c>
      <c r="B6" s="34">
        <v>3.4351010215682137E-3</v>
      </c>
      <c r="C6" s="34">
        <v>1.0689678069647774E-3</v>
      </c>
      <c r="D6" s="34">
        <v>1.0689678069647774E-3</v>
      </c>
      <c r="E6" s="34">
        <v>1.0689678069647774E-3</v>
      </c>
      <c r="F6" s="34">
        <v>0</v>
      </c>
      <c r="G6" s="34">
        <v>0</v>
      </c>
      <c r="H6" s="34">
        <v>3.2069034208943329E-3</v>
      </c>
      <c r="I6" s="1"/>
      <c r="J6" s="1"/>
    </row>
    <row r="7" spans="1:10">
      <c r="A7" s="1" t="s">
        <v>21</v>
      </c>
      <c r="B7" s="34">
        <v>0</v>
      </c>
      <c r="C7" s="34">
        <v>0</v>
      </c>
      <c r="D7" s="34">
        <v>5.9799999999999997E-5</v>
      </c>
      <c r="E7" s="34">
        <v>0</v>
      </c>
      <c r="F7" s="34">
        <v>0</v>
      </c>
      <c r="G7" s="34">
        <v>0</v>
      </c>
      <c r="H7" s="34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10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11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12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13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14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15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10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11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12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13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14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15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10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11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12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13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14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15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10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11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12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13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14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15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12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15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topLeftCell="A2" workbookViewId="0">
      <selection activeCell="A33" sqref="A32:A33"/>
    </sheetView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10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11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12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13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14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15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10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11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12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13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14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15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5"/>
  <cols>
    <col min="1" max="1" width="32.7109375" bestFit="1" customWidth="1"/>
  </cols>
  <sheetData>
    <row r="1" spans="1:36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/>
  </sheetViews>
  <sheetFormatPr defaultRowHeight="15"/>
  <cols>
    <col min="1" max="1" width="14.7109375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>
      <c r="A1" t="s">
        <v>23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18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19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20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21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24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</row>
    <row r="10" spans="1:8">
      <c r="A10" s="1" t="s">
        <v>16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17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18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19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20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21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25</v>
      </c>
      <c r="B17" s="23" t="s">
        <v>26</v>
      </c>
      <c r="C17" s="24" t="s">
        <v>27</v>
      </c>
      <c r="D17" s="23" t="s">
        <v>28</v>
      </c>
    </row>
    <row r="18" spans="1:6">
      <c r="A18" s="1" t="s">
        <v>29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30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31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32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33</v>
      </c>
      <c r="B23" s="20" t="s">
        <v>34</v>
      </c>
      <c r="C23" s="20" t="s">
        <v>10</v>
      </c>
      <c r="D23" s="23" t="s">
        <v>26</v>
      </c>
      <c r="E23" s="24" t="s">
        <v>27</v>
      </c>
      <c r="F23" s="23" t="s">
        <v>28</v>
      </c>
    </row>
    <row r="24" spans="1:6">
      <c r="A24" s="1" t="s">
        <v>29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30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31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32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35</v>
      </c>
      <c r="B29" s="20" t="s">
        <v>34</v>
      </c>
      <c r="C29" s="23" t="s">
        <v>26</v>
      </c>
      <c r="D29" s="23" t="s">
        <v>28</v>
      </c>
    </row>
    <row r="30" spans="1:6">
      <c r="A30" s="1" t="s">
        <v>29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30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36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37</v>
      </c>
      <c r="B34" s="20" t="s">
        <v>34</v>
      </c>
      <c r="C34" s="23" t="s">
        <v>26</v>
      </c>
      <c r="D34" s="23" t="s">
        <v>28</v>
      </c>
    </row>
    <row r="35" spans="1:4">
      <c r="A35" s="1" t="s">
        <v>29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30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31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32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38</v>
      </c>
      <c r="B40" s="20" t="s">
        <v>34</v>
      </c>
      <c r="C40" s="23" t="s">
        <v>26</v>
      </c>
      <c r="D40" s="23" t="s">
        <v>28</v>
      </c>
    </row>
    <row r="41" spans="1:4">
      <c r="A41" s="1" t="s">
        <v>29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30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31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32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>
      <selection activeCell="C9" sqref="C9"/>
    </sheetView>
  </sheetViews>
  <sheetFormatPr defaultRowHeight="15"/>
  <cols>
    <col min="1" max="1" width="17.28515625" bestFit="1" customWidth="1"/>
    <col min="2" max="2" width="21.42578125" bestFit="1" customWidth="1"/>
    <col min="3" max="3" width="18" customWidth="1"/>
    <col min="5" max="5" width="46" customWidth="1"/>
  </cols>
  <sheetData>
    <row r="1" spans="1:6">
      <c r="C1" t="s">
        <v>39</v>
      </c>
      <c r="E1" t="s">
        <v>3</v>
      </c>
      <c r="F1" t="s">
        <v>40</v>
      </c>
    </row>
    <row r="2" spans="1:6">
      <c r="A2" s="9" t="s">
        <v>41</v>
      </c>
      <c r="B2" s="10" t="s">
        <v>9</v>
      </c>
      <c r="C2" s="9">
        <f>IFERROR(('US-LDVs-psgr'!AF2/'US-LDVs-psgr'!B2)^(1/COUNT('US-LDVs-psgr'!$B$1:$AF$1))-1,0)</f>
        <v>-1.5060810674758507E-3</v>
      </c>
    </row>
    <row r="3" spans="1:6">
      <c r="B3" s="1" t="s">
        <v>10</v>
      </c>
      <c r="C3">
        <f>IFERROR(('US-LDVs-psgr'!AF3/'US-LDVs-psgr'!B3)^(1/COUNT('US-LDVs-psgr'!$B$1:$AF$1))-1,0)</f>
        <v>2.5086794556596903E-3</v>
      </c>
    </row>
    <row r="4" spans="1:6">
      <c r="B4" s="1" t="s">
        <v>11</v>
      </c>
      <c r="C4">
        <f>IFERROR(('US-LDVs-psgr'!AF4/'US-LDVs-psgr'!B4)^(1/COUNT('US-LDVs-psgr'!$B$1:$AF$1))-1,0)</f>
        <v>2.9284465081031996E-3</v>
      </c>
    </row>
    <row r="5" spans="1:6">
      <c r="B5" s="1" t="s">
        <v>12</v>
      </c>
      <c r="C5">
        <f>IFERROR(('US-LDVs-psgr'!AF5/'US-LDVs-psgr'!B5)^(1/COUNT('US-LDVs-psgr'!$B$1:$AF$1))-1,0)</f>
        <v>8.8318936721920593E-4</v>
      </c>
    </row>
    <row r="6" spans="1:6">
      <c r="B6" s="1" t="s">
        <v>13</v>
      </c>
      <c r="C6">
        <f>IFERROR(('US-LDVs-psgr'!AF6/'US-LDVs-psgr'!B6)^(1/COUNT('US-LDVs-psgr'!$B$1:$AF$1))-1,0)</f>
        <v>3.2675944403379731E-3</v>
      </c>
    </row>
    <row r="7" spans="1:6">
      <c r="B7" s="1" t="s">
        <v>14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15</v>
      </c>
      <c r="C8" s="11">
        <f>IFERROR(('US-LDVs-psgr'!AF8/'US-LDVs-psgr'!B8)^(1/COUNT('US-LDVs-psgr'!$B$1:$AF$1))-1,0)</f>
        <v>-6.41977670003957E-4</v>
      </c>
    </row>
    <row r="9" spans="1:6">
      <c r="A9" s="9" t="s">
        <v>42</v>
      </c>
      <c r="B9" s="10" t="s">
        <v>9</v>
      </c>
      <c r="C9" s="9">
        <f>IFERROR(('US-LDVs-frgt'!AF2/'US-LDVs-frgt'!B2)^(1/COUNT('US-LDVs-frgt'!$B$1:$AF$1))-1,0)</f>
        <v>1.3090349440243898E-2</v>
      </c>
    </row>
    <row r="10" spans="1:6">
      <c r="B10" s="1" t="s">
        <v>10</v>
      </c>
      <c r="C10">
        <f>IFERROR(('US-LDVs-frgt'!AF3/'US-LDVs-frgt'!B3)^(1/COUNT('US-LDVs-frgt'!$B$1:$AF$1))-1,0)</f>
        <v>-2.5943994809526361E-3</v>
      </c>
    </row>
    <row r="11" spans="1:6">
      <c r="B11" s="1" t="s">
        <v>11</v>
      </c>
      <c r="C11">
        <f>IFERROR(('US-LDVs-frgt'!AF4/'US-LDVs-frgt'!B4)^(1/COUNT('US-LDVs-frgt'!$B$1:$AF$1))-1,0)</f>
        <v>-2.5943994809526361E-3</v>
      </c>
    </row>
    <row r="12" spans="1:6">
      <c r="B12" s="1" t="s">
        <v>12</v>
      </c>
      <c r="C12">
        <f>IFERROR(('US-LDVs-frgt'!AF5/'US-LDVs-frgt'!B5)^(1/COUNT('US-LDVs-frgt'!$B$1:$AF$1))-1,0)</f>
        <v>-2.5943994809526361E-3</v>
      </c>
    </row>
    <row r="13" spans="1:6">
      <c r="B13" s="1" t="s">
        <v>13</v>
      </c>
      <c r="C13">
        <f>IFERROR(('US-LDVs-frgt'!AF6/'US-LDVs-frgt'!B6)^(1/COUNT('US-LDVs-frgt'!$B$1:$AF$1))-1,0)</f>
        <v>7.4585286225954395E-3</v>
      </c>
    </row>
    <row r="14" spans="1:6">
      <c r="B14" s="1" t="s">
        <v>14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15</v>
      </c>
      <c r="C15" s="11">
        <f>IFERROR(('US-LDVs-frgt'!AF8/'US-LDVs-frgt'!B8)^(1/COUNT('US-LDVs-frgt'!$B$1:$AF$1))-1,0)</f>
        <v>-2.5943994809526361E-3</v>
      </c>
    </row>
    <row r="16" spans="1:6">
      <c r="A16" s="9" t="s">
        <v>43</v>
      </c>
      <c r="B16" s="10" t="s">
        <v>9</v>
      </c>
      <c r="C16" s="9">
        <f>IFERROR(('US-HDVs-psgr'!AF2/'US-HDVs-psgr'!B2)^(1/COUNT('US-HDVs-psgr'!$B$1:$AF$1))-1,0)</f>
        <v>1.5972361193876239E-2</v>
      </c>
    </row>
    <row r="17" spans="1:6">
      <c r="B17" s="1" t="s">
        <v>10</v>
      </c>
      <c r="C17">
        <f>IFERROR(('US-HDVs-psgr'!AF3/'US-HDVs-psgr'!B3)^(1/COUNT('US-HDVs-psgr'!$B$1:$AF$1))-1,0)</f>
        <v>7.3900263096151608E-3</v>
      </c>
    </row>
    <row r="18" spans="1:6">
      <c r="B18" s="1" t="s">
        <v>11</v>
      </c>
      <c r="C18">
        <f>IFERROR(('US-HDVs-psgr'!AF4/'US-HDVs-psgr'!B4)^(1/COUNT('US-HDVs-psgr'!$B$1:$AF$1))-1,0)</f>
        <v>7.3900263096151608E-3</v>
      </c>
    </row>
    <row r="19" spans="1:6">
      <c r="B19" s="1" t="s">
        <v>12</v>
      </c>
      <c r="C19">
        <f>IFERROR(('US-HDVs-psgr'!AF5/'US-HDVs-psgr'!B5)^(1/COUNT('US-HDVs-psgr'!$B$1:$AF$1))-1,0)</f>
        <v>7.3900263096151608E-3</v>
      </c>
    </row>
    <row r="20" spans="1:6">
      <c r="B20" s="1" t="s">
        <v>13</v>
      </c>
      <c r="C20">
        <f>IFERROR(('US-HDVs-psgr'!AF6/'US-HDVs-psgr'!B6)^(1/COUNT('US-HDVs-psgr'!$B$1:$AF$1))-1,0)</f>
        <v>7.3900263096151608E-3</v>
      </c>
    </row>
    <row r="21" spans="1:6">
      <c r="B21" s="1" t="s">
        <v>14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15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44</v>
      </c>
      <c r="F22" s="16" t="s">
        <v>45</v>
      </c>
    </row>
    <row r="23" spans="1:6">
      <c r="A23" s="9" t="s">
        <v>46</v>
      </c>
      <c r="B23" s="10" t="s">
        <v>9</v>
      </c>
      <c r="C23" s="9">
        <f>IFERROR(('US-HDVs-frgt'!AF2/'US-HDVs-frgt'!B2)^(1/COUNT('US-HDVs-frgt'!$B$1:$AF$1))-1,0)</f>
        <v>1.5972361193876239E-2</v>
      </c>
    </row>
    <row r="24" spans="1:6">
      <c r="B24" s="1" t="s">
        <v>10</v>
      </c>
      <c r="C24">
        <f>IFERROR(('US-HDVs-frgt'!AF3/'US-HDVs-frgt'!B3)^(1/COUNT('US-HDVs-frgt'!$B$1:$AF$1))-1,0)</f>
        <v>7.3900263096151608E-3</v>
      </c>
    </row>
    <row r="25" spans="1:6">
      <c r="B25" s="1" t="s">
        <v>11</v>
      </c>
      <c r="C25">
        <f>IFERROR(('US-HDVs-frgt'!AF4/'US-HDVs-frgt'!B4)^(1/COUNT('US-HDVs-frgt'!$B$1:$AF$1))-1,0)</f>
        <v>7.3900263096151608E-3</v>
      </c>
    </row>
    <row r="26" spans="1:6">
      <c r="B26" s="1" t="s">
        <v>12</v>
      </c>
      <c r="C26">
        <f>IFERROR(('US-HDVs-frgt'!AF5/'US-HDVs-frgt'!B5)^(1/COUNT('US-HDVs-frgt'!$B$1:$AF$1))-1,0)</f>
        <v>7.3900263096151608E-3</v>
      </c>
    </row>
    <row r="27" spans="1:6">
      <c r="B27" s="1" t="s">
        <v>13</v>
      </c>
      <c r="C27">
        <f>IFERROR(('US-HDVs-frgt'!AF6/'US-HDVs-frgt'!B6)^(1/COUNT('US-HDVs-frgt'!$B$1:$AF$1))-1,0)</f>
        <v>7.3900263096151608E-3</v>
      </c>
    </row>
    <row r="28" spans="1:6">
      <c r="B28" s="1" t="s">
        <v>14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15</v>
      </c>
      <c r="C29" s="11">
        <f>IFERROR(('US-HDVs-frgt'!AF8/'US-HDVs-frgt'!B8)^(1/COUNT('US-HDVs-frgt'!$B$1:$AF$1))-1,0)</f>
        <v>7.3900263096151608E-3</v>
      </c>
    </row>
    <row r="30" spans="1:6">
      <c r="A30" s="9" t="s">
        <v>47</v>
      </c>
      <c r="B30" s="10" t="s">
        <v>9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10</v>
      </c>
      <c r="C31">
        <f>IFERROR(('US-aircraft-psgr'!AF3/'US-aircraft-psgr'!B3)^(1/COUNT('US-aircraft-psgr'!$B$1:$AF$1))-1,0)</f>
        <v>0</v>
      </c>
    </row>
    <row r="32" spans="1:6">
      <c r="B32" s="1" t="s">
        <v>11</v>
      </c>
      <c r="C32">
        <f>IFERROR(('US-aircraft-psgr'!AF4/'US-aircraft-psgr'!B4)^(1/COUNT('US-aircraft-psgr'!$B$1:$AF$1))-1,0)</f>
        <v>0</v>
      </c>
    </row>
    <row r="33" spans="1:3">
      <c r="B33" s="1" t="s">
        <v>12</v>
      </c>
      <c r="C33">
        <f>IFERROR(('US-aircraft-psgr'!AF5/'US-aircraft-psgr'!B5)^(1/COUNT('US-aircraft-psgr'!$B$1:$AF$1))-1,0)</f>
        <v>7.1085127875833987E-3</v>
      </c>
    </row>
    <row r="34" spans="1:3">
      <c r="B34" s="1" t="s">
        <v>13</v>
      </c>
      <c r="C34">
        <f>IFERROR(('US-aircraft-psgr'!AF6/'US-aircraft-psgr'!B6)^(1/COUNT('US-aircraft-psgr'!$B$1:$AF$1))-1,0)</f>
        <v>0</v>
      </c>
    </row>
    <row r="35" spans="1:3">
      <c r="B35" s="1" t="s">
        <v>14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15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48</v>
      </c>
      <c r="B37" s="10" t="s">
        <v>9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10</v>
      </c>
      <c r="C38">
        <f>IFERROR(('US-aircraft-frgt'!AF3/'US-aircraft-frgt'!B3)^(1/COUNT('US-aircraft-frgt'!$B$1:$AF$1))-1,0)</f>
        <v>0</v>
      </c>
    </row>
    <row r="39" spans="1:3">
      <c r="B39" s="1" t="s">
        <v>11</v>
      </c>
      <c r="C39">
        <f>IFERROR(('US-aircraft-frgt'!AF4/'US-aircraft-frgt'!B4)^(1/COUNT('US-aircraft-frgt'!$B$1:$AF$1))-1,0)</f>
        <v>0</v>
      </c>
    </row>
    <row r="40" spans="1:3">
      <c r="B40" s="1" t="s">
        <v>12</v>
      </c>
      <c r="C40">
        <f>IFERROR(('US-aircraft-frgt'!AF5/'US-aircraft-frgt'!B5)^(1/COUNT('US-aircraft-frgt'!$B$1:$AF$1))-1,0)</f>
        <v>7.1085127875833987E-3</v>
      </c>
    </row>
    <row r="41" spans="1:3">
      <c r="B41" s="1" t="s">
        <v>13</v>
      </c>
      <c r="C41">
        <f>IFERROR(('US-aircraft-frgt'!AF6/'US-aircraft-frgt'!B6)^(1/COUNT('US-aircraft-frgt'!$B$1:$AF$1))-1,0)</f>
        <v>0</v>
      </c>
    </row>
    <row r="42" spans="1:3">
      <c r="B42" s="1" t="s">
        <v>14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15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49</v>
      </c>
      <c r="B44" s="10" t="s">
        <v>9</v>
      </c>
      <c r="C44" s="9">
        <f>IFERROR(('US-rail-psgr'!AF2/'US-rail-psgr'!B2)^(1/COUNT('US-rail-psgr'!$B$1:$AF$1))-1,0)</f>
        <v>-3.1790322538460813E-4</v>
      </c>
    </row>
    <row r="45" spans="1:3">
      <c r="B45" s="1" t="s">
        <v>10</v>
      </c>
      <c r="C45">
        <f>IFERROR(('US-rail-psgr'!AF3/'US-rail-psgr'!B3)^(1/COUNT('US-rail-psgr'!$B$1:$AF$1))-1,0)</f>
        <v>0</v>
      </c>
    </row>
    <row r="46" spans="1:3">
      <c r="B46" s="1" t="s">
        <v>11</v>
      </c>
      <c r="C46">
        <f>IFERROR(('US-rail-psgr'!AF4/'US-rail-psgr'!B4)^(1/COUNT('US-rail-psgr'!$B$1:$AF$1))-1,0)</f>
        <v>0</v>
      </c>
    </row>
    <row r="47" spans="1:3">
      <c r="B47" s="1" t="s">
        <v>12</v>
      </c>
      <c r="C47">
        <f>IFERROR(('US-rail-psgr'!AF5/'US-rail-psgr'!B5)^(1/COUNT('US-rail-psgr'!$B$1:$AF$1))-1,0)</f>
        <v>-3.1790322538449711E-4</v>
      </c>
    </row>
    <row r="48" spans="1:3">
      <c r="B48" s="1" t="s">
        <v>13</v>
      </c>
      <c r="C48">
        <f>IFERROR(('US-rail-psgr'!AF6/'US-rail-psgr'!B6)^(1/COUNT('US-rail-psgr'!$B$1:$AF$1))-1,0)</f>
        <v>0</v>
      </c>
    </row>
    <row r="49" spans="1:3">
      <c r="B49" s="1" t="s">
        <v>14</v>
      </c>
      <c r="C49">
        <f>IFERROR(('US-rail-psgr'!AF7/'US-rail-psgr'!B7)^(1/COUNT('US-rail-psgr'!$B$1:$AF$1))-1,0)</f>
        <v>0</v>
      </c>
    </row>
    <row r="50" spans="1:3">
      <c r="A50" s="11"/>
      <c r="B50" s="12" t="s">
        <v>15</v>
      </c>
      <c r="C50" s="11">
        <f>IFERROR(('US-rail-psgr'!AF8/'US-rail-psgr'!B8)^(1/COUNT('US-rail-psgr'!$B$1:$AF$1))-1,0)</f>
        <v>-3.1790322538449711E-4</v>
      </c>
    </row>
    <row r="51" spans="1:3">
      <c r="A51" s="9" t="s">
        <v>50</v>
      </c>
      <c r="B51" s="10" t="s">
        <v>9</v>
      </c>
      <c r="C51" s="9">
        <f>IFERROR(('US-rail-frgt'!AF2/'US-rail-frgt'!B2)^(1/COUNT('US-rail-frgt'!$B$1:$AF$1))-1,0)</f>
        <v>6.2761978399152873E-3</v>
      </c>
    </row>
    <row r="52" spans="1:3">
      <c r="B52" s="1" t="s">
        <v>10</v>
      </c>
      <c r="C52">
        <f>IFERROR(('US-rail-frgt'!AF3/'US-rail-frgt'!B3)^(1/COUNT('US-rail-frgt'!$B$1:$AF$1))-1,0)</f>
        <v>0</v>
      </c>
    </row>
    <row r="53" spans="1:3">
      <c r="B53" s="1" t="s">
        <v>11</v>
      </c>
      <c r="C53">
        <f>IFERROR(('US-rail-frgt'!AF4/'US-rail-frgt'!B4)^(1/COUNT('US-rail-frgt'!$B$1:$AF$1))-1,0)</f>
        <v>0</v>
      </c>
    </row>
    <row r="54" spans="1:3">
      <c r="B54" s="1" t="s">
        <v>12</v>
      </c>
      <c r="C54">
        <f>IFERROR(('US-rail-frgt'!AF5/'US-rail-frgt'!B5)^(1/COUNT('US-rail-frgt'!$B$1:$AF$1))-1,0)</f>
        <v>6.2761978399152873E-3</v>
      </c>
    </row>
    <row r="55" spans="1:3">
      <c r="B55" s="1" t="s">
        <v>13</v>
      </c>
      <c r="C55">
        <f>IFERROR(('US-rail-frgt'!AF6/'US-rail-frgt'!B6)^(1/COUNT('US-rail-frgt'!$B$1:$AF$1))-1,0)</f>
        <v>0</v>
      </c>
    </row>
    <row r="56" spans="1:3">
      <c r="B56" s="1" t="s">
        <v>14</v>
      </c>
      <c r="C56">
        <f>IFERROR(('US-rail-frgt'!AF7/'US-rail-frgt'!B7)^(1/COUNT('US-rail-frgt'!$B$1:$AF$1))-1,0)</f>
        <v>0</v>
      </c>
    </row>
    <row r="57" spans="1:3">
      <c r="A57" s="11"/>
      <c r="B57" s="12" t="s">
        <v>15</v>
      </c>
      <c r="C57" s="11">
        <f>IFERROR(('US-rail-frgt'!AF8/'US-rail-frgt'!B8)^(1/COUNT('US-rail-frgt'!$B$1:$AF$1))-1,0)</f>
        <v>6.2761978399152873E-3</v>
      </c>
    </row>
    <row r="58" spans="1:3">
      <c r="A58" s="9" t="s">
        <v>51</v>
      </c>
      <c r="B58" s="10" t="s">
        <v>9</v>
      </c>
      <c r="C58" s="9">
        <f>IFERROR(('US-ships-psgr'!AF2/'US-ships-psgr'!B2)^(1/COUNT('US-ships-psgr'!$B$1:$AF$1))-1,0)</f>
        <v>0</v>
      </c>
    </row>
    <row r="59" spans="1:3">
      <c r="B59" s="1" t="s">
        <v>10</v>
      </c>
      <c r="C59">
        <f>IFERROR(('US-ships-psgr'!AF3/'US-ships-psgr'!B3)^(1/COUNT('US-ships-psgr'!$B$1:$AF$1))-1,0)</f>
        <v>0</v>
      </c>
    </row>
    <row r="60" spans="1:3">
      <c r="B60" s="1" t="s">
        <v>11</v>
      </c>
      <c r="C60">
        <f>IFERROR(('US-ships-psgr'!AF4/'US-ships-psgr'!B4)^(1/COUNT('US-ships-psgr'!$B$1:$AF$1))-1,0)</f>
        <v>0</v>
      </c>
    </row>
    <row r="61" spans="1:3">
      <c r="B61" s="1" t="s">
        <v>12</v>
      </c>
      <c r="C61">
        <f>IFERROR(('US-ships-psgr'!AF5/'US-ships-psgr'!B5)^(1/COUNT('US-ships-psgr'!$B$1:$AF$1))-1,0)</f>
        <v>0</v>
      </c>
    </row>
    <row r="62" spans="1:3">
      <c r="B62" s="1" t="s">
        <v>13</v>
      </c>
      <c r="C62">
        <f>IFERROR(('US-ships-psgr'!AF6/'US-ships-psgr'!B6)^(1/COUNT('US-ships-psgr'!$B$1:$AF$1))-1,0)</f>
        <v>0</v>
      </c>
    </row>
    <row r="63" spans="1:3">
      <c r="B63" s="1" t="s">
        <v>14</v>
      </c>
      <c r="C63">
        <f>IFERROR(('US-ships-psgr'!AF7/'US-ships-psgr'!B7)^(1/COUNT('US-ships-psgr'!$B$1:$AF$1))-1,0)</f>
        <v>0</v>
      </c>
    </row>
    <row r="64" spans="1:3">
      <c r="A64" s="11"/>
      <c r="B64" s="12" t="s">
        <v>15</v>
      </c>
      <c r="C64" s="11">
        <f>IFERROR(('US-ships-psgr'!AF8/'US-ships-psgr'!B8)^(1/COUNT('US-ships-psgr'!$B$1:$AF$1))-1,0)</f>
        <v>0</v>
      </c>
    </row>
    <row r="65" spans="1:3">
      <c r="A65" s="9" t="s">
        <v>52</v>
      </c>
      <c r="B65" s="10" t="s">
        <v>9</v>
      </c>
      <c r="C65" s="9">
        <f>IFERROR(('US-ships-frgt'!AF2/'US-ships-frgt'!B2)^(1/COUNT('US-ships-frgt'!$B$1:$AF$1))-1,0)</f>
        <v>0</v>
      </c>
    </row>
    <row r="66" spans="1:3">
      <c r="B66" s="1" t="s">
        <v>10</v>
      </c>
      <c r="C66">
        <f>IFERROR(('US-ships-frgt'!AF3/'US-ships-frgt'!B3)^(1/COUNT('US-ships-frgt'!$B$1:$AF$1))-1,0)</f>
        <v>0</v>
      </c>
    </row>
    <row r="67" spans="1:3">
      <c r="B67" s="1" t="s">
        <v>11</v>
      </c>
      <c r="C67">
        <f>IFERROR(('US-ships-frgt'!AF4/'US-ships-frgt'!B4)^(1/COUNT('US-ships-frgt'!$B$1:$AF$1))-1,0)</f>
        <v>0</v>
      </c>
    </row>
    <row r="68" spans="1:3">
      <c r="B68" s="1" t="s">
        <v>12</v>
      </c>
      <c r="C68">
        <f>IFERROR(('US-ships-frgt'!AF5/'US-ships-frgt'!B5)^(1/COUNT('US-ships-frgt'!$B$1:$AF$1))-1,0)</f>
        <v>0</v>
      </c>
    </row>
    <row r="69" spans="1:3">
      <c r="B69" s="1" t="s">
        <v>13</v>
      </c>
      <c r="C69">
        <f>IFERROR(('US-ships-frgt'!AF6/'US-ships-frgt'!B6)^(1/COUNT('US-ships-frgt'!$B$1:$AF$1))-1,0)</f>
        <v>0</v>
      </c>
    </row>
    <row r="70" spans="1:3">
      <c r="B70" s="1" t="s">
        <v>14</v>
      </c>
      <c r="C70">
        <f>IFERROR(('US-ships-frgt'!AF7/'US-ships-frgt'!B7)^(1/COUNT('US-ships-frgt'!$B$1:$AF$1))-1,0)</f>
        <v>0</v>
      </c>
    </row>
    <row r="71" spans="1:3">
      <c r="A71" s="11"/>
      <c r="B71" s="12" t="s">
        <v>15</v>
      </c>
      <c r="C71" s="11">
        <f>IFERROR(('US-ships-frgt'!AF8/'US-ships-frgt'!B8)^(1/COUNT('US-ships-frgt'!$B$1:$AF$1))-1,0)</f>
        <v>0</v>
      </c>
    </row>
    <row r="72" spans="1:3">
      <c r="A72" s="9" t="s">
        <v>53</v>
      </c>
      <c r="B72" s="10" t="s">
        <v>9</v>
      </c>
      <c r="C72" s="9">
        <f>IFERROR(('US-motorbikes-psgr'!AF2/'US-motorbikes-psgr'!B2)^(1/COUNT('US-motorbikes-psgr'!$B$1:$AF$1))-1,0)</f>
        <v>0</v>
      </c>
    </row>
    <row r="73" spans="1:3">
      <c r="B73" s="1" t="s">
        <v>10</v>
      </c>
      <c r="C73">
        <f>IFERROR(('US-motorbikes-psgr'!AF3/'US-motorbikes-psgr'!B3)^(1/COUNT('US-motorbikes-psgr'!$B$1:$AF$1))-1,0)</f>
        <v>0</v>
      </c>
    </row>
    <row r="74" spans="1:3">
      <c r="B74" s="1" t="s">
        <v>11</v>
      </c>
      <c r="C74">
        <f>IFERROR(('US-motorbikes-psgr'!AF4/'US-motorbikes-psgr'!B4)^(1/COUNT('US-motorbikes-psgr'!$B$1:$AF$1))-1,0)</f>
        <v>0</v>
      </c>
    </row>
    <row r="75" spans="1:3">
      <c r="B75" s="1" t="s">
        <v>12</v>
      </c>
      <c r="C75">
        <f>IFERROR(('US-motorbikes-psgr'!AF5/'US-motorbikes-psgr'!B5)^(1/COUNT('US-motorbikes-psgr'!$B$1:$AF$1))-1,0)</f>
        <v>0</v>
      </c>
    </row>
    <row r="76" spans="1:3">
      <c r="B76" s="1" t="s">
        <v>13</v>
      </c>
      <c r="C76">
        <f>IFERROR(('US-motorbikes-psgr'!AF6/'US-motorbikes-psgr'!B6)^(1/COUNT('US-motorbikes-psgr'!$B$1:$AF$1))-1,0)</f>
        <v>0</v>
      </c>
    </row>
    <row r="77" spans="1:3">
      <c r="B77" s="1" t="s">
        <v>14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15</v>
      </c>
      <c r="C78" s="11">
        <f>IFERROR(('US-motorbikes-psgr'!AF8/'US-motorbikes-psgr'!B8)^(1/COUNT('US-motorbikes-psgr'!$B$1:$AF$1))-1,0)</f>
        <v>0</v>
      </c>
    </row>
    <row r="79" spans="1:3">
      <c r="A79" s="9" t="s">
        <v>54</v>
      </c>
      <c r="B79" s="10" t="s">
        <v>9</v>
      </c>
      <c r="C79" s="9">
        <f>IFERROR(('US-motorbikes-frgt'!AF2/'US-motorbikes-frgt'!B2)^(1/COUNT('US-motorbikes-frgt'!$B$1:$AF$1))-1,0)</f>
        <v>0</v>
      </c>
    </row>
    <row r="80" spans="1:3">
      <c r="B80" s="1" t="s">
        <v>10</v>
      </c>
      <c r="C80">
        <f>IFERROR(('US-motorbikes-frgt'!AF3/'US-motorbikes-frgt'!B3)^(1/COUNT('US-motorbikes-frgt'!$B$1:$AF$1))-1,0)</f>
        <v>0</v>
      </c>
    </row>
    <row r="81" spans="1:3">
      <c r="B81" s="1" t="s">
        <v>11</v>
      </c>
      <c r="C81">
        <f>IFERROR(('US-motorbikes-frgt'!AF4/'US-motorbikes-frgt'!B4)^(1/COUNT('US-motorbikes-frgt'!$B$1:$AF$1))-1,0)</f>
        <v>0</v>
      </c>
    </row>
    <row r="82" spans="1:3">
      <c r="B82" s="1" t="s">
        <v>12</v>
      </c>
      <c r="C82">
        <f>IFERROR(('US-motorbikes-frgt'!AF5/'US-motorbikes-frgt'!B5)^(1/COUNT('US-motorbikes-frgt'!$B$1:$AF$1))-1,0)</f>
        <v>0</v>
      </c>
    </row>
    <row r="83" spans="1:3">
      <c r="B83" s="1" t="s">
        <v>13</v>
      </c>
      <c r="C83">
        <f>IFERROR(('US-motorbikes-frgt'!AF6/'US-motorbikes-frgt'!B6)^(1/COUNT('US-motorbikes-frgt'!$B$1:$AF$1))-1,0)</f>
        <v>0</v>
      </c>
    </row>
    <row r="84" spans="1:3">
      <c r="B84" s="1" t="s">
        <v>14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15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/>
  </sheetViews>
  <sheetFormatPr defaultRowHeight="15"/>
  <cols>
    <col min="1" max="1" width="10.7109375" bestFit="1" customWidth="1"/>
    <col min="2" max="2" width="18.28515625" customWidth="1"/>
    <col min="3" max="3" width="11.14062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57</v>
      </c>
    </row>
    <row r="4" spans="1:4">
      <c r="A4" s="27">
        <v>32415.35</v>
      </c>
      <c r="B4" t="s">
        <v>58</v>
      </c>
    </row>
    <row r="5" spans="1:4">
      <c r="A5">
        <v>1.60934</v>
      </c>
      <c r="B5" t="s">
        <v>59</v>
      </c>
    </row>
    <row r="6" spans="1:4">
      <c r="A6">
        <v>1.4</v>
      </c>
      <c r="B6" t="s">
        <v>60</v>
      </c>
    </row>
    <row r="10" spans="1:4">
      <c r="C10" s="22">
        <v>2020</v>
      </c>
    </row>
    <row r="11" spans="1:4">
      <c r="B11" s="29" t="s">
        <v>61</v>
      </c>
      <c r="C11">
        <v>24.1</v>
      </c>
      <c r="D11" t="s">
        <v>62</v>
      </c>
    </row>
    <row r="12" spans="1:4">
      <c r="B12" s="29" t="s">
        <v>63</v>
      </c>
      <c r="C12">
        <v>14.1</v>
      </c>
      <c r="D12" t="s">
        <v>62</v>
      </c>
    </row>
    <row r="14" spans="1:4">
      <c r="A14" s="28" t="s">
        <v>64</v>
      </c>
      <c r="C14" s="22">
        <v>2020</v>
      </c>
    </row>
    <row r="15" spans="1:4">
      <c r="B15" s="29" t="s">
        <v>61</v>
      </c>
      <c r="C15" s="30">
        <f>C11/$A$5</f>
        <v>14.975082953260344</v>
      </c>
      <c r="D15" t="s">
        <v>65</v>
      </c>
    </row>
    <row r="16" spans="1:4">
      <c r="B16" s="29" t="s">
        <v>63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61</v>
      </c>
      <c r="C19" s="31">
        <f>C15/$A$4</f>
        <v>4.6197505050108497E-4</v>
      </c>
      <c r="D19" t="s">
        <v>66</v>
      </c>
    </row>
    <row r="20" spans="1:33">
      <c r="B20" s="29" t="s">
        <v>63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61</v>
      </c>
      <c r="C23" s="31">
        <f>C19*$A$6</f>
        <v>6.4676507070151896E-4</v>
      </c>
      <c r="D23" t="s">
        <v>67</v>
      </c>
    </row>
    <row r="24" spans="1:33">
      <c r="B24" s="29" t="s">
        <v>63</v>
      </c>
      <c r="C24" s="31">
        <f>C20*$A$6</f>
        <v>3.7839782144777654E-4</v>
      </c>
      <c r="D24" t="s">
        <v>67</v>
      </c>
    </row>
    <row r="25" spans="1:33" ht="15.75" thickBot="1"/>
    <row r="26" spans="1:33" ht="15.75" thickBot="1">
      <c r="B26" s="22" t="s">
        <v>68</v>
      </c>
      <c r="C26" s="32">
        <f>AVERAGE(C23:C24)</f>
        <v>5.1258144607464772E-4</v>
      </c>
      <c r="D26" t="s">
        <v>67</v>
      </c>
    </row>
    <row r="29" spans="1:33">
      <c r="A29" s="28" t="s">
        <v>69</v>
      </c>
      <c r="D29" s="14"/>
    </row>
    <row r="30" spans="1:33">
      <c r="B30" t="s">
        <v>22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9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10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3" t="s">
        <v>11</v>
      </c>
      <c r="C33" s="33">
        <v>4.010435677007162E-4</v>
      </c>
      <c r="D33" s="33">
        <v>4.1543936179917892E-4</v>
      </c>
      <c r="E33" s="33">
        <v>4.232456921304615E-4</v>
      </c>
      <c r="F33" s="33">
        <v>4.284224989356039E-4</v>
      </c>
      <c r="G33" s="33">
        <v>4.3223887309206766E-4</v>
      </c>
      <c r="H33" s="33">
        <v>4.3661930301858122E-4</v>
      </c>
      <c r="I33" s="33">
        <v>4.4073837767711228E-4</v>
      </c>
      <c r="J33" s="33">
        <v>4.4130433819121803E-4</v>
      </c>
      <c r="K33" s="33">
        <v>4.4139330713525239E-4</v>
      </c>
      <c r="L33" s="33">
        <v>4.4143859386227608E-4</v>
      </c>
      <c r="M33" s="33">
        <v>4.4252278985937798E-4</v>
      </c>
      <c r="N33" s="33">
        <v>4.4258101673758966E-4</v>
      </c>
      <c r="O33" s="33">
        <v>4.4262644410952699E-4</v>
      </c>
      <c r="P33" s="33">
        <v>4.4263525674443374E-4</v>
      </c>
      <c r="Q33" s="33">
        <v>4.428907913418545E-4</v>
      </c>
      <c r="R33" s="33">
        <v>4.4235185104972023E-4</v>
      </c>
      <c r="S33" s="33">
        <v>4.4180682000362565E-4</v>
      </c>
      <c r="T33" s="33">
        <v>4.415169210975881E-4</v>
      </c>
      <c r="U33" s="33">
        <v>4.4141525513386555E-4</v>
      </c>
      <c r="V33" s="33">
        <v>4.4094858868260617E-4</v>
      </c>
      <c r="W33" s="33">
        <v>4.406528424788466E-4</v>
      </c>
      <c r="X33" s="33">
        <v>4.4046477188487546E-4</v>
      </c>
      <c r="Y33" s="33">
        <v>4.4016736396697124E-4</v>
      </c>
      <c r="Z33" s="33">
        <v>4.3991921468742256E-4</v>
      </c>
      <c r="AA33" s="33">
        <v>4.3980677282836695E-4</v>
      </c>
      <c r="AB33" s="33">
        <v>4.3981133028276362E-4</v>
      </c>
      <c r="AC33" s="33">
        <v>4.3960459654073496E-4</v>
      </c>
      <c r="AD33" s="33">
        <v>4.3945697770705547E-4</v>
      </c>
      <c r="AE33" s="33">
        <v>4.3919624527100954E-4</v>
      </c>
      <c r="AF33" s="33">
        <v>4.3913823303573507E-4</v>
      </c>
      <c r="AG33" s="33">
        <v>4.3909651675542918E-4</v>
      </c>
    </row>
    <row r="34" spans="2:33">
      <c r="B34" t="s">
        <v>12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13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14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15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/>
  </sheetViews>
  <sheetFormatPr defaultRowHeight="1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tabSelected="1" workbookViewId="0">
      <selection activeCell="F20" sqref="F20"/>
    </sheetView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psgr'!$B$2:$H$2,,MATCH($A2,'SYFAFE psgr'!$B$1:$H$1,0))*(1+INDEX(CAGR!$C$2:$C$8,MATCH($A2,CAGR!$B$2:$B$8,0))),0)</f>
        <v>9.8790988339183942E-4</v>
      </c>
      <c r="C2" s="14">
        <f>IFERROR(B2*(1+INDEX(CAGR!$C$2:$C$8,MATCH($A2,CAGR!$B$2:$B$8,0))),0)</f>
        <v>9.8642201102009069E-4</v>
      </c>
      <c r="D2" s="14">
        <f>IFERROR(C2*(1+INDEX(CAGR!$C$2:$C$8,MATCH($A2,CAGR!$B$2:$B$8,0))),0)</f>
        <v>9.849363795047519E-4</v>
      </c>
      <c r="E2" s="14">
        <f>IFERROR(D2*(1+INDEX(CAGR!$C$2:$C$8,MATCH($A2,CAGR!$B$2:$B$8,0))),0)</f>
        <v>9.8345298547091158E-4</v>
      </c>
      <c r="F2" s="14">
        <f>IFERROR(E2*(1+INDEX(CAGR!$C$2:$C$8,MATCH($A2,CAGR!$B$2:$B$8,0))),0)</f>
        <v>9.8197182554874123E-4</v>
      </c>
      <c r="G2" s="14">
        <f>IFERROR(F2*(1+INDEX(CAGR!$C$2:$C$8,MATCH($A2,CAGR!$B$2:$B$8,0))),0)</f>
        <v>9.804928963734875E-4</v>
      </c>
      <c r="H2" s="14">
        <f>IFERROR(G2*(1+INDEX(CAGR!$C$2:$C$8,MATCH($A2,CAGR!$B$2:$B$8,0))),0)</f>
        <v>9.790161945854648E-4</v>
      </c>
      <c r="I2" s="14">
        <f>IFERROR(H2*(1+INDEX(CAGR!$C$2:$C$8,MATCH($A2,CAGR!$B$2:$B$8,0))),0)</f>
        <v>9.7754171683004732E-4</v>
      </c>
      <c r="J2" s="14">
        <f>IFERROR(I2*(1+INDEX(CAGR!$C$2:$C$8,MATCH($A2,CAGR!$B$2:$B$8,0))),0)</f>
        <v>9.7606945975766172E-4</v>
      </c>
      <c r="K2" s="14">
        <f>IFERROR(J2*(1+INDEX(CAGR!$C$2:$C$8,MATCH($A2,CAGR!$B$2:$B$8,0))),0)</f>
        <v>9.7459942002377936E-4</v>
      </c>
      <c r="L2" s="14">
        <f>IFERROR(K2*(1+INDEX(CAGR!$C$2:$C$8,MATCH($A2,CAGR!$B$2:$B$8,0))),0)</f>
        <v>9.7313159428890857E-4</v>
      </c>
      <c r="M2" s="14">
        <f>IFERROR(L2*(1+INDEX(CAGR!$C$2:$C$8,MATCH($A2,CAGR!$B$2:$B$8,0))),0)</f>
        <v>9.7166597921858743E-4</v>
      </c>
      <c r="N2" s="14">
        <f>IFERROR(M2*(1+INDEX(CAGR!$C$2:$C$8,MATCH($A2,CAGR!$B$2:$B$8,0))),0)</f>
        <v>9.702025714833759E-4</v>
      </c>
      <c r="O2" s="14">
        <f>IFERROR(N2*(1+INDEX(CAGR!$C$2:$C$8,MATCH($A2,CAGR!$B$2:$B$8,0))),0)</f>
        <v>9.687413677588484E-4</v>
      </c>
      <c r="P2" s="14">
        <f>IFERROR(O2*(1+INDEX(CAGR!$C$2:$C$8,MATCH($A2,CAGR!$B$2:$B$8,0))),0)</f>
        <v>9.6728236472558619E-4</v>
      </c>
      <c r="Q2" s="14">
        <f>IFERROR(P2*(1+INDEX(CAGR!$C$2:$C$8,MATCH($A2,CAGR!$B$2:$B$8,0))),0)</f>
        <v>9.6582555906916966E-4</v>
      </c>
      <c r="R2" s="14">
        <f>IFERROR(Q2*(1+INDEX(CAGR!$C$2:$C$8,MATCH($A2,CAGR!$B$2:$B$8,0))),0)</f>
        <v>9.6437094748017134E-4</v>
      </c>
      <c r="S2" s="14">
        <f>IFERROR(R2*(1+INDEX(CAGR!$C$2:$C$8,MATCH($A2,CAGR!$B$2:$B$8,0))),0)</f>
        <v>9.629185266541477E-4</v>
      </c>
      <c r="T2" s="14">
        <f>IFERROR(S2*(1+INDEX(CAGR!$C$2:$C$8,MATCH($A2,CAGR!$B$2:$B$8,0))),0)</f>
        <v>9.6146829329163213E-4</v>
      </c>
      <c r="U2" s="14">
        <f>IFERROR(T2*(1+INDEX(CAGR!$C$2:$C$8,MATCH($A2,CAGR!$B$2:$B$8,0))),0)</f>
        <v>9.6002024409812725E-4</v>
      </c>
      <c r="V2" s="14">
        <f>IFERROR(U2*(1+INDEX(CAGR!$C$2:$C$8,MATCH($A2,CAGR!$B$2:$B$8,0))),0)</f>
        <v>9.5857437578409754E-4</v>
      </c>
      <c r="W2" s="14">
        <f>IFERROR(V2*(1+INDEX(CAGR!$C$2:$C$8,MATCH($A2,CAGR!$B$2:$B$8,0))),0)</f>
        <v>9.5713068506496162E-4</v>
      </c>
      <c r="X2" s="14">
        <f>IFERROR(W2*(1+INDEX(CAGR!$C$2:$C$8,MATCH($A2,CAGR!$B$2:$B$8,0))),0)</f>
        <v>9.5568916866108512E-4</v>
      </c>
      <c r="Y2" s="14">
        <f>IFERROR(X2*(1+INDEX(CAGR!$C$2:$C$8,MATCH($A2,CAGR!$B$2:$B$8,0))),0)</f>
        <v>9.5424982329777295E-4</v>
      </c>
      <c r="Z2" s="14">
        <f>IFERROR(Y2*(1+INDEX(CAGR!$C$2:$C$8,MATCH($A2,CAGR!$B$2:$B$8,0))),0)</f>
        <v>9.5281264570526198E-4</v>
      </c>
      <c r="AA2" s="14">
        <f>IFERROR(Z2*(1+INDEX(CAGR!$C$2:$C$8,MATCH($A2,CAGR!$B$2:$B$8,0))),0)</f>
        <v>9.513776326187137E-4</v>
      </c>
      <c r="AB2" s="14">
        <f>IFERROR(AA2*(1+INDEX(CAGR!$C$2:$C$8,MATCH($A2,CAGR!$B$2:$B$8,0))),0)</f>
        <v>9.4994478077820661E-4</v>
      </c>
      <c r="AC2" s="14">
        <f>IFERROR(AB2*(1+INDEX(CAGR!$C$2:$C$8,MATCH($A2,CAGR!$B$2:$B$8,0))),0)</f>
        <v>9.485140869287291E-4</v>
      </c>
      <c r="AD2" s="14">
        <f>IFERROR(AC2*(1+INDEX(CAGR!$C$2:$C$8,MATCH($A2,CAGR!$B$2:$B$8,0))),0)</f>
        <v>9.4708554782017157E-4</v>
      </c>
      <c r="AE2" s="14">
        <f>IFERROR(AD2*(1+INDEX(CAGR!$C$2:$C$8,MATCH($A2,CAGR!$B$2:$B$8,0))),0)</f>
        <v>9.4565916020731959E-4</v>
      </c>
      <c r="AF2" s="14">
        <f>IFERROR(AE2*(1+INDEX(CAGR!$C$2:$C$8,MATCH($A2,CAGR!$B$2:$B$8,0))),0)</f>
        <v>9.442349208498462E-4</v>
      </c>
      <c r="AG2" s="14"/>
    </row>
    <row r="3" spans="1:33">
      <c r="A3" s="1" t="s">
        <v>10</v>
      </c>
      <c r="B3" s="14">
        <f>IFERROR(INDEX('SYFAFE psgr'!$B$2:$H$2,,MATCH($A3,'SYFAFE psgr'!$B$1:$H$1,0))*(1+INDEX(CAGR!$C$2:$C$8,MATCH($A3,CAGR!$B$2:$B$8,0))),0)</f>
        <v>2.3097799974658399E-4</v>
      </c>
      <c r="C3" s="14">
        <f>IFERROR(B3*(1+INDEX(CAGR!$C$2:$C$8,MATCH($A3,CAGR!$B$2:$B$8,0))),0)</f>
        <v>2.3155744950925761E-4</v>
      </c>
      <c r="D3" s="14">
        <f>IFERROR(C3*(1+INDEX(CAGR!$C$2:$C$8,MATCH($A3,CAGR!$B$2:$B$8,0))),0)</f>
        <v>2.3213835292564645E-4</v>
      </c>
      <c r="E3" s="14">
        <f>IFERROR(D3*(1+INDEX(CAGR!$C$2:$C$8,MATCH($A3,CAGR!$B$2:$B$8,0))),0)</f>
        <v>2.3272071364250171E-4</v>
      </c>
      <c r="F3" s="14">
        <f>IFERROR(E3*(1+INDEX(CAGR!$C$2:$C$8,MATCH($A3,CAGR!$B$2:$B$8,0))),0)</f>
        <v>2.3330453531572311E-4</v>
      </c>
      <c r="G3" s="14">
        <f>IFERROR(F3*(1+INDEX(CAGR!$C$2:$C$8,MATCH($A3,CAGR!$B$2:$B$8,0))),0)</f>
        <v>2.338898216103819E-4</v>
      </c>
      <c r="H3" s="14">
        <f>IFERROR(G3*(1+INDEX(CAGR!$C$2:$C$8,MATCH($A3,CAGR!$B$2:$B$8,0))),0)</f>
        <v>2.3447657620074378E-4</v>
      </c>
      <c r="I3" s="14">
        <f>IFERROR(H3*(1+INDEX(CAGR!$C$2:$C$8,MATCH($A3,CAGR!$B$2:$B$8,0))),0)</f>
        <v>2.3506480277029202E-4</v>
      </c>
      <c r="J3" s="14">
        <f>IFERROR(I3*(1+INDEX(CAGR!$C$2:$C$8,MATCH($A3,CAGR!$B$2:$B$8,0))),0)</f>
        <v>2.3565450501175056E-4</v>
      </c>
      <c r="K3" s="14">
        <f>IFERROR(J3*(1+INDEX(CAGR!$C$2:$C$8,MATCH($A3,CAGR!$B$2:$B$8,0))),0)</f>
        <v>2.3624568662710719E-4</v>
      </c>
      <c r="L3" s="14">
        <f>IFERROR(K3*(1+INDEX(CAGR!$C$2:$C$8,MATCH($A3,CAGR!$B$2:$B$8,0))),0)</f>
        <v>2.3683835132763683E-4</v>
      </c>
      <c r="M3" s="14">
        <f>IFERROR(L3*(1+INDEX(CAGR!$C$2:$C$8,MATCH($A3,CAGR!$B$2:$B$8,0))),0)</f>
        <v>2.3743250283392479E-4</v>
      </c>
      <c r="N3" s="14">
        <f>IFERROR(M3*(1+INDEX(CAGR!$C$2:$C$8,MATCH($A3,CAGR!$B$2:$B$8,0))),0)</f>
        <v>2.3802814487589011E-4</v>
      </c>
      <c r="O3" s="14">
        <f>IFERROR(N3*(1+INDEX(CAGR!$C$2:$C$8,MATCH($A3,CAGR!$B$2:$B$8,0))),0)</f>
        <v>2.3862528119280904E-4</v>
      </c>
      <c r="P3" s="14">
        <f>IFERROR(O3*(1+INDEX(CAGR!$C$2:$C$8,MATCH($A3,CAGR!$B$2:$B$8,0))),0)</f>
        <v>2.3922391553333846E-4</v>
      </c>
      <c r="Q3" s="14">
        <f>IFERROR(P3*(1+INDEX(CAGR!$C$2:$C$8,MATCH($A3,CAGR!$B$2:$B$8,0))),0)</f>
        <v>2.3982405165553941E-4</v>
      </c>
      <c r="R3" s="14">
        <f>IFERROR(Q3*(1+INDEX(CAGR!$C$2:$C$8,MATCH($A3,CAGR!$B$2:$B$8,0))),0)</f>
        <v>2.4042569332690072E-4</v>
      </c>
      <c r="S3" s="14">
        <f>IFERROR(R3*(1+INDEX(CAGR!$C$2:$C$8,MATCH($A3,CAGR!$B$2:$B$8,0))),0)</f>
        <v>2.4102884432436266E-4</v>
      </c>
      <c r="T3" s="14">
        <f>IFERROR(S3*(1+INDEX(CAGR!$C$2:$C$8,MATCH($A3,CAGR!$B$2:$B$8,0))),0)</f>
        <v>2.4163350843434058E-4</v>
      </c>
      <c r="U3" s="14">
        <f>IFERROR(T3*(1+INDEX(CAGR!$C$2:$C$8,MATCH($A3,CAGR!$B$2:$B$8,0))),0)</f>
        <v>2.4223968945274877E-4</v>
      </c>
      <c r="V3" s="14">
        <f>IFERROR(U3*(1+INDEX(CAGR!$C$2:$C$8,MATCH($A3,CAGR!$B$2:$B$8,0))),0)</f>
        <v>2.4284739118502426E-4</v>
      </c>
      <c r="W3" s="14">
        <f>IFERROR(V3*(1+INDEX(CAGR!$C$2:$C$8,MATCH($A3,CAGR!$B$2:$B$8,0))),0)</f>
        <v>2.4345661744615068E-4</v>
      </c>
      <c r="X3" s="14">
        <f>IFERROR(W3*(1+INDEX(CAGR!$C$2:$C$8,MATCH($A3,CAGR!$B$2:$B$8,0))),0)</f>
        <v>2.4406737206068225E-4</v>
      </c>
      <c r="Y3" s="14">
        <f>IFERROR(X3*(1+INDEX(CAGR!$C$2:$C$8,MATCH($A3,CAGR!$B$2:$B$8,0))),0)</f>
        <v>2.4467965886276771E-4</v>
      </c>
      <c r="Z3" s="14">
        <f>IFERROR(Y3*(1+INDEX(CAGR!$C$2:$C$8,MATCH($A3,CAGR!$B$2:$B$8,0))),0)</f>
        <v>2.4529348169617454E-4</v>
      </c>
      <c r="AA3" s="14">
        <f>IFERROR(Z3*(1+INDEX(CAGR!$C$2:$C$8,MATCH($A3,CAGR!$B$2:$B$8,0))),0)</f>
        <v>2.4590884441431297E-4</v>
      </c>
      <c r="AB3" s="14">
        <f>IFERROR(AA3*(1+INDEX(CAGR!$C$2:$C$8,MATCH($A3,CAGR!$B$2:$B$8,0))),0)</f>
        <v>2.4652575088026019E-4</v>
      </c>
      <c r="AC3" s="14">
        <f>IFERROR(AB3*(1+INDEX(CAGR!$C$2:$C$8,MATCH($A3,CAGR!$B$2:$B$8,0))),0)</f>
        <v>2.4714420496678457E-4</v>
      </c>
      <c r="AD3" s="14">
        <f>IFERROR(AC3*(1+INDEX(CAGR!$C$2:$C$8,MATCH($A3,CAGR!$B$2:$B$8,0))),0)</f>
        <v>2.4776421055637006E-4</v>
      </c>
      <c r="AE3" s="14">
        <f>IFERROR(AD3*(1+INDEX(CAGR!$C$2:$C$8,MATCH($A3,CAGR!$B$2:$B$8,0))),0)</f>
        <v>2.4838577154124057E-4</v>
      </c>
      <c r="AF3" s="14">
        <f>IFERROR(AE3*(1+INDEX(CAGR!$C$2:$C$8,MATCH($A3,CAGR!$B$2:$B$8,0))),0)</f>
        <v>2.4900889182338424E-4</v>
      </c>
      <c r="AG3" s="14"/>
    </row>
    <row r="4" spans="1:33">
      <c r="A4" s="1" t="s">
        <v>11</v>
      </c>
      <c r="B4" s="14">
        <f>IFERROR(INDEX('SYFAFE psgr'!$B$2:$H$2,,MATCH($A4,'SYFAFE psgr'!$B$1:$H$1,0))*(1+INDEX(CAGR!$C$2:$C$8,MATCH($A4,CAGR!$B$2:$B$8,0))),0)</f>
        <v>2.9887267705941471E-4</v>
      </c>
      <c r="C4" s="14">
        <f>IFERROR(B4*(1+INDEX(CAGR!$C$2:$C$8,MATCH($A4,CAGR!$B$2:$B$8,0))),0)</f>
        <v>2.9974790970691679E-4</v>
      </c>
      <c r="D4" s="14">
        <f>IFERROR(C4*(1+INDEX(CAGR!$C$2:$C$8,MATCH($A4,CAGR!$B$2:$B$8,0))),0)</f>
        <v>3.0062570542640924E-4</v>
      </c>
      <c r="E4" s="14">
        <f>IFERROR(D4*(1+INDEX(CAGR!$C$2:$C$8,MATCH($A4,CAGR!$B$2:$B$8,0))),0)</f>
        <v>3.0150607172371128E-4</v>
      </c>
      <c r="F4" s="14">
        <f>IFERROR(E4*(1+INDEX(CAGR!$C$2:$C$8,MATCH($A4,CAGR!$B$2:$B$8,0))),0)</f>
        <v>3.0238901612662247E-4</v>
      </c>
      <c r="G4" s="14">
        <f>IFERROR(F4*(1+INDEX(CAGR!$C$2:$C$8,MATCH($A4,CAGR!$B$2:$B$8,0))),0)</f>
        <v>3.0327454618498724E-4</v>
      </c>
      <c r="H4" s="14">
        <f>IFERROR(G4*(1+INDEX(CAGR!$C$2:$C$8,MATCH($A4,CAGR!$B$2:$B$8,0))),0)</f>
        <v>3.0416266947075923E-4</v>
      </c>
      <c r="I4" s="14">
        <f>IFERROR(H4*(1+INDEX(CAGR!$C$2:$C$8,MATCH($A4,CAGR!$B$2:$B$8,0))),0)</f>
        <v>3.050533935780662E-4</v>
      </c>
      <c r="J4" s="14">
        <f>IFERROR(I4*(1+INDEX(CAGR!$C$2:$C$8,MATCH($A4,CAGR!$B$2:$B$8,0))),0)</f>
        <v>3.0594672612327493E-4</v>
      </c>
      <c r="K4" s="14">
        <f>IFERROR(J4*(1+INDEX(CAGR!$C$2:$C$8,MATCH($A4,CAGR!$B$2:$B$8,0))),0)</f>
        <v>3.0684267474505626E-4</v>
      </c>
      <c r="L4" s="14">
        <f>IFERROR(K4*(1+INDEX(CAGR!$C$2:$C$8,MATCH($A4,CAGR!$B$2:$B$8,0))),0)</f>
        <v>3.0774124710445045E-4</v>
      </c>
      <c r="M4" s="14">
        <f>IFERROR(L4*(1+INDEX(CAGR!$C$2:$C$8,MATCH($A4,CAGR!$B$2:$B$8,0))),0)</f>
        <v>3.0864245088493277E-4</v>
      </c>
      <c r="N4" s="14">
        <f>IFERROR(M4*(1+INDEX(CAGR!$C$2:$C$8,MATCH($A4,CAGR!$B$2:$B$8,0))),0)</f>
        <v>3.0954629379247918E-4</v>
      </c>
      <c r="O4" s="14">
        <f>IFERROR(N4*(1+INDEX(CAGR!$C$2:$C$8,MATCH($A4,CAGR!$B$2:$B$8,0))),0)</f>
        <v>3.1045278355563207E-4</v>
      </c>
      <c r="P4" s="14">
        <f>IFERROR(O4*(1+INDEX(CAGR!$C$2:$C$8,MATCH($A4,CAGR!$B$2:$B$8,0))),0)</f>
        <v>3.1136192792556648E-4</v>
      </c>
      <c r="Q4" s="14">
        <f>IFERROR(P4*(1+INDEX(CAGR!$C$2:$C$8,MATCH($A4,CAGR!$B$2:$B$8,0))),0)</f>
        <v>3.122737346761564E-4</v>
      </c>
      <c r="R4" s="14">
        <f>IFERROR(Q4*(1+INDEX(CAGR!$C$2:$C$8,MATCH($A4,CAGR!$B$2:$B$8,0))),0)</f>
        <v>3.1318821160404114E-4</v>
      </c>
      <c r="S4" s="14">
        <f>IFERROR(R4*(1+INDEX(CAGR!$C$2:$C$8,MATCH($A4,CAGR!$B$2:$B$8,0))),0)</f>
        <v>3.1410536652869207E-4</v>
      </c>
      <c r="T4" s="14">
        <f>IFERROR(S4*(1+INDEX(CAGR!$C$2:$C$8,MATCH($A4,CAGR!$B$2:$B$8,0))),0)</f>
        <v>3.1502520729247949E-4</v>
      </c>
      <c r="U4" s="14">
        <f>IFERROR(T4*(1+INDEX(CAGR!$C$2:$C$8,MATCH($A4,CAGR!$B$2:$B$8,0))),0)</f>
        <v>3.1594774176073965E-4</v>
      </c>
      <c r="V4" s="14">
        <f>IFERROR(U4*(1+INDEX(CAGR!$C$2:$C$8,MATCH($A4,CAGR!$B$2:$B$8,0))),0)</f>
        <v>3.1687297782184199E-4</v>
      </c>
      <c r="W4" s="14">
        <f>IFERROR(V4*(1+INDEX(CAGR!$C$2:$C$8,MATCH($A4,CAGR!$B$2:$B$8,0))),0)</f>
        <v>3.178009233872566E-4</v>
      </c>
      <c r="X4" s="14">
        <f>IFERROR(W4*(1+INDEX(CAGR!$C$2:$C$8,MATCH($A4,CAGR!$B$2:$B$8,0))),0)</f>
        <v>3.1873158639162199E-4</v>
      </c>
      <c r="Y4" s="14">
        <f>IFERROR(X4*(1+INDEX(CAGR!$C$2:$C$8,MATCH($A4,CAGR!$B$2:$B$8,0))),0)</f>
        <v>3.1966497479281271E-4</v>
      </c>
      <c r="Z4" s="14">
        <f>IFERROR(Y4*(1+INDEX(CAGR!$C$2:$C$8,MATCH($A4,CAGR!$B$2:$B$8,0))),0)</f>
        <v>3.2060109657200761E-4</v>
      </c>
      <c r="AA4" s="14">
        <f>IFERROR(Z4*(1+INDEX(CAGR!$C$2:$C$8,MATCH($A4,CAGR!$B$2:$B$8,0))),0)</f>
        <v>3.2153995973375799E-4</v>
      </c>
      <c r="AB4" s="14">
        <f>IFERROR(AA4*(1+INDEX(CAGR!$C$2:$C$8,MATCH($A4,CAGR!$B$2:$B$8,0))),0)</f>
        <v>3.2248157230605596E-4</v>
      </c>
      <c r="AC4" s="14">
        <f>IFERROR(AB4*(1+INDEX(CAGR!$C$2:$C$8,MATCH($A4,CAGR!$B$2:$B$8,0))),0)</f>
        <v>3.2342594234040326E-4</v>
      </c>
      <c r="AD4" s="14">
        <f>IFERROR(AC4*(1+INDEX(CAGR!$C$2:$C$8,MATCH($A4,CAGR!$B$2:$B$8,0))),0)</f>
        <v>3.2437307791188E-4</v>
      </c>
      <c r="AE4" s="14">
        <f>IFERROR(AD4*(1+INDEX(CAGR!$C$2:$C$8,MATCH($A4,CAGR!$B$2:$B$8,0))),0)</f>
        <v>3.2532298711921375E-4</v>
      </c>
      <c r="AF4" s="14">
        <f>IFERROR(AE4*(1+INDEX(CAGR!$C$2:$C$8,MATCH($A4,CAGR!$B$2:$B$8,0))),0)</f>
        <v>3.2627567808484869E-4</v>
      </c>
      <c r="AG4" s="14"/>
    </row>
    <row r="5" spans="1:33">
      <c r="A5" s="1" t="s">
        <v>12</v>
      </c>
      <c r="B5" s="14">
        <f>IFERROR(INDEX('SYFAFE psgr'!$B$2:$H$2,,MATCH($A5,'SYFAFE psgr'!$B$1:$H$1,0))*(1+INDEX(CAGR!$C$2:$C$8,MATCH($A5,CAGR!$B$2:$B$8,0))),0)</f>
        <v>2.7674420186003611E-4</v>
      </c>
      <c r="C5" s="14">
        <f>IFERROR(B5*(1+INDEX(CAGR!$C$2:$C$8,MATCH($A5,CAGR!$B$2:$B$8,0))),0)</f>
        <v>2.7698861939655844E-4</v>
      </c>
      <c r="D5" s="14">
        <f>IFERROR(C5*(1+INDEX(CAGR!$C$2:$C$8,MATCH($A5,CAGR!$B$2:$B$8,0))),0)</f>
        <v>2.772332528000502E-4</v>
      </c>
      <c r="E5" s="14">
        <f>IFERROR(D5*(1+INDEX(CAGR!$C$2:$C$8,MATCH($A5,CAGR!$B$2:$B$8,0))),0)</f>
        <v>2.7747810226116281E-4</v>
      </c>
      <c r="F5" s="14">
        <f>IFERROR(E5*(1+INDEX(CAGR!$C$2:$C$8,MATCH($A5,CAGR!$B$2:$B$8,0))),0)</f>
        <v>2.7772316797071601E-4</v>
      </c>
      <c r="G5" s="14">
        <f>IFERROR(F5*(1+INDEX(CAGR!$C$2:$C$8,MATCH($A5,CAGR!$B$2:$B$8,0))),0)</f>
        <v>2.7796845011969821E-4</v>
      </c>
      <c r="H5" s="14">
        <f>IFERROR(G5*(1+INDEX(CAGR!$C$2:$C$8,MATCH($A5,CAGR!$B$2:$B$8,0))),0)</f>
        <v>2.7821394889926632E-4</v>
      </c>
      <c r="I5" s="14">
        <f>IFERROR(H5*(1+INDEX(CAGR!$C$2:$C$8,MATCH($A5,CAGR!$B$2:$B$8,0))),0)</f>
        <v>2.784596645007462E-4</v>
      </c>
      <c r="J5" s="14">
        <f>IFERROR(I5*(1+INDEX(CAGR!$C$2:$C$8,MATCH($A5,CAGR!$B$2:$B$8,0))),0)</f>
        <v>2.7870559711563268E-4</v>
      </c>
      <c r="K5" s="14">
        <f>IFERROR(J5*(1+INDEX(CAGR!$C$2:$C$8,MATCH($A5,CAGR!$B$2:$B$8,0))),0)</f>
        <v>2.7895174693558971E-4</v>
      </c>
      <c r="L5" s="14">
        <f>IFERROR(K5*(1+INDEX(CAGR!$C$2:$C$8,MATCH($A5,CAGR!$B$2:$B$8,0))),0)</f>
        <v>2.7919811415245044E-4</v>
      </c>
      <c r="M5" s="14">
        <f>IFERROR(L5*(1+INDEX(CAGR!$C$2:$C$8,MATCH($A5,CAGR!$B$2:$B$8,0))),0)</f>
        <v>2.7944469895821753E-4</v>
      </c>
      <c r="N5" s="14">
        <f>IFERROR(M5*(1+INDEX(CAGR!$C$2:$C$8,MATCH($A5,CAGR!$B$2:$B$8,0))),0)</f>
        <v>2.7969150154506323E-4</v>
      </c>
      <c r="O5" s="14">
        <f>IFERROR(N5*(1+INDEX(CAGR!$C$2:$C$8,MATCH($A5,CAGR!$B$2:$B$8,0))),0)</f>
        <v>2.7993852210532938E-4</v>
      </c>
      <c r="P5" s="14">
        <f>IFERROR(O5*(1+INDEX(CAGR!$C$2:$C$8,MATCH($A5,CAGR!$B$2:$B$8,0))),0)</f>
        <v>2.8018576083152784E-4</v>
      </c>
      <c r="Q5" s="14">
        <f>IFERROR(P5*(1+INDEX(CAGR!$C$2:$C$8,MATCH($A5,CAGR!$B$2:$B$8,0))),0)</f>
        <v>2.8043321791634048E-4</v>
      </c>
      <c r="R5" s="14">
        <f>IFERROR(Q5*(1+INDEX(CAGR!$C$2:$C$8,MATCH($A5,CAGR!$B$2:$B$8,0))),0)</f>
        <v>2.8068089355261927E-4</v>
      </c>
      <c r="S5" s="14">
        <f>IFERROR(R5*(1+INDEX(CAGR!$C$2:$C$8,MATCH($A5,CAGR!$B$2:$B$8,0))),0)</f>
        <v>2.8092878793338651E-4</v>
      </c>
      <c r="T5" s="14">
        <f>IFERROR(S5*(1+INDEX(CAGR!$C$2:$C$8,MATCH($A5,CAGR!$B$2:$B$8,0))),0)</f>
        <v>2.8117690125183505E-4</v>
      </c>
      <c r="U5" s="14">
        <f>IFERROR(T5*(1+INDEX(CAGR!$C$2:$C$8,MATCH($A5,CAGR!$B$2:$B$8,0))),0)</f>
        <v>2.8142523370132833E-4</v>
      </c>
      <c r="V5" s="14">
        <f>IFERROR(U5*(1+INDEX(CAGR!$C$2:$C$8,MATCH($A5,CAGR!$B$2:$B$8,0))),0)</f>
        <v>2.8167378547540051E-4</v>
      </c>
      <c r="W5" s="14">
        <f>IFERROR(V5*(1+INDEX(CAGR!$C$2:$C$8,MATCH($A5,CAGR!$B$2:$B$8,0))),0)</f>
        <v>2.8192255676775678E-4</v>
      </c>
      <c r="X5" s="14">
        <f>IFERROR(W5*(1+INDEX(CAGR!$C$2:$C$8,MATCH($A5,CAGR!$B$2:$B$8,0))),0)</f>
        <v>2.8217154777227329E-4</v>
      </c>
      <c r="Y5" s="14">
        <f>IFERROR(X5*(1+INDEX(CAGR!$C$2:$C$8,MATCH($A5,CAGR!$B$2:$B$8,0))),0)</f>
        <v>2.8242075868299753E-4</v>
      </c>
      <c r="Z5" s="14">
        <f>IFERROR(Y5*(1+INDEX(CAGR!$C$2:$C$8,MATCH($A5,CAGR!$B$2:$B$8,0))),0)</f>
        <v>2.826701896941483E-4</v>
      </c>
      <c r="AA5" s="14">
        <f>IFERROR(Z5*(1+INDEX(CAGR!$C$2:$C$8,MATCH($A5,CAGR!$B$2:$B$8,0))),0)</f>
        <v>2.8291984100011603E-4</v>
      </c>
      <c r="AB5" s="14">
        <f>IFERROR(AA5*(1+INDEX(CAGR!$C$2:$C$8,MATCH($A5,CAGR!$B$2:$B$8,0))),0)</f>
        <v>2.8316971279546268E-4</v>
      </c>
      <c r="AC5" s="14">
        <f>IFERROR(AB5*(1+INDEX(CAGR!$C$2:$C$8,MATCH($A5,CAGR!$B$2:$B$8,0))),0)</f>
        <v>2.8341980527492213E-4</v>
      </c>
      <c r="AD5" s="14">
        <f>IFERROR(AC5*(1+INDEX(CAGR!$C$2:$C$8,MATCH($A5,CAGR!$B$2:$B$8,0))),0)</f>
        <v>2.8367011863340028E-4</v>
      </c>
      <c r="AE5" s="14">
        <f>IFERROR(AD5*(1+INDEX(CAGR!$C$2:$C$8,MATCH($A5,CAGR!$B$2:$B$8,0))),0)</f>
        <v>2.8392065306597511E-4</v>
      </c>
      <c r="AF5" s="14">
        <f>IFERROR(AE5*(1+INDEX(CAGR!$C$2:$C$8,MATCH($A5,CAGR!$B$2:$B$8,0))),0)</f>
        <v>2.8417140876789692E-4</v>
      </c>
      <c r="AG5" s="14"/>
    </row>
    <row r="6" spans="1:33">
      <c r="A6" s="1" t="s">
        <v>13</v>
      </c>
      <c r="B6" s="14">
        <f>IFERROR(INDEX('SYFAFE psgr'!$B$2:$H$2,,MATCH($A6,'SYFAFE psgr'!$B$1:$H$1,0))*(1+INDEX(CAGR!$C$2:$C$8,MATCH($A6,CAGR!$B$2:$B$8,0))),0)</f>
        <v>3.4131163562860293E-4</v>
      </c>
      <c r="C6" s="14">
        <f>IFERROR(B6*(1+INDEX(CAGR!$C$2:$C$8,MATCH($A6,CAGR!$B$2:$B$8,0))),0)</f>
        <v>3.4242690363160564E-4</v>
      </c>
      <c r="D6" s="14">
        <f>IFERROR(C6*(1+INDEX(CAGR!$C$2:$C$8,MATCH($A6,CAGR!$B$2:$B$8,0))),0)</f>
        <v>3.4354581587813443E-4</v>
      </c>
      <c r="E6" s="14">
        <f>IFERROR(D6*(1+INDEX(CAGR!$C$2:$C$8,MATCH($A6,CAGR!$B$2:$B$8,0))),0)</f>
        <v>3.4466838427609918E-4</v>
      </c>
      <c r="F6" s="14">
        <f>IFERROR(E6*(1+INDEX(CAGR!$C$2:$C$8,MATCH($A6,CAGR!$B$2:$B$8,0))),0)</f>
        <v>3.4579462077232001E-4</v>
      </c>
      <c r="G6" s="14">
        <f>IFERROR(F6*(1+INDEX(CAGR!$C$2:$C$8,MATCH($A6,CAGR!$B$2:$B$8,0))),0)</f>
        <v>3.4692453735265443E-4</v>
      </c>
      <c r="H6" s="14">
        <f>IFERROR(G6*(1+INDEX(CAGR!$C$2:$C$8,MATCH($A6,CAGR!$B$2:$B$8,0))),0)</f>
        <v>3.4805814604212478E-4</v>
      </c>
      <c r="I6" s="14">
        <f>IFERROR(H6*(1+INDEX(CAGR!$C$2:$C$8,MATCH($A6,CAGR!$B$2:$B$8,0))),0)</f>
        <v>3.4919545890504635E-4</v>
      </c>
      <c r="J6" s="14">
        <f>IFERROR(I6*(1+INDEX(CAGR!$C$2:$C$8,MATCH($A6,CAGR!$B$2:$B$8,0))),0)</f>
        <v>3.5033648804515575E-4</v>
      </c>
      <c r="K6" s="14">
        <f>IFERROR(J6*(1+INDEX(CAGR!$C$2:$C$8,MATCH($A6,CAGR!$B$2:$B$8,0))),0)</f>
        <v>3.5148124560573964E-4</v>
      </c>
      <c r="L6" s="14">
        <f>IFERROR(K6*(1+INDEX(CAGR!$C$2:$C$8,MATCH($A6,CAGR!$B$2:$B$8,0))),0)</f>
        <v>3.5262974376976401E-4</v>
      </c>
      <c r="M6" s="14">
        <f>IFERROR(L6*(1+INDEX(CAGR!$C$2:$C$8,MATCH($A6,CAGR!$B$2:$B$8,0))),0)</f>
        <v>3.5378199476000392E-4</v>
      </c>
      <c r="N6" s="14">
        <f>IFERROR(M6*(1+INDEX(CAGR!$C$2:$C$8,MATCH($A6,CAGR!$B$2:$B$8,0))),0)</f>
        <v>3.5493801083917337E-4</v>
      </c>
      <c r="O6" s="14">
        <f>IFERROR(N6*(1+INDEX(CAGR!$C$2:$C$8,MATCH($A6,CAGR!$B$2:$B$8,0))),0)</f>
        <v>3.560978043100561E-4</v>
      </c>
      <c r="P6" s="14">
        <f>IFERROR(O6*(1+INDEX(CAGR!$C$2:$C$8,MATCH($A6,CAGR!$B$2:$B$8,0))),0)</f>
        <v>3.5726138751563622E-4</v>
      </c>
      <c r="Q6" s="14">
        <f>IFERROR(P6*(1+INDEX(CAGR!$C$2:$C$8,MATCH($A6,CAGR!$B$2:$B$8,0))),0)</f>
        <v>3.5842877283922972E-4</v>
      </c>
      <c r="R6" s="14">
        <f>IFERROR(Q6*(1+INDEX(CAGR!$C$2:$C$8,MATCH($A6,CAGR!$B$2:$B$8,0))),0)</f>
        <v>3.5959997270461634E-4</v>
      </c>
      <c r="S6" s="14">
        <f>IFERROR(R6*(1+INDEX(CAGR!$C$2:$C$8,MATCH($A6,CAGR!$B$2:$B$8,0))),0)</f>
        <v>3.6077499957617163E-4</v>
      </c>
      <c r="T6" s="14">
        <f>IFERROR(S6*(1+INDEX(CAGR!$C$2:$C$8,MATCH($A6,CAGR!$B$2:$B$8,0))),0)</f>
        <v>3.6195386595899964E-4</v>
      </c>
      <c r="U6" s="14">
        <f>IFERROR(T6*(1+INDEX(CAGR!$C$2:$C$8,MATCH($A6,CAGR!$B$2:$B$8,0))),0)</f>
        <v>3.631365843990661E-4</v>
      </c>
      <c r="V6" s="14">
        <f>IFERROR(U6*(1+INDEX(CAGR!$C$2:$C$8,MATCH($A6,CAGR!$B$2:$B$8,0))),0)</f>
        <v>3.6432316748333178E-4</v>
      </c>
      <c r="W6" s="14">
        <f>IFERROR(V6*(1+INDEX(CAGR!$C$2:$C$8,MATCH($A6,CAGR!$B$2:$B$8,0))),0)</f>
        <v>3.6551362783988662E-4</v>
      </c>
      <c r="X6" s="14">
        <f>IFERROR(W6*(1+INDEX(CAGR!$C$2:$C$8,MATCH($A6,CAGR!$B$2:$B$8,0))),0)</f>
        <v>3.6670797813808401E-4</v>
      </c>
      <c r="Y6" s="14">
        <f>IFERROR(X6*(1+INDEX(CAGR!$C$2:$C$8,MATCH($A6,CAGR!$B$2:$B$8,0))),0)</f>
        <v>3.6790623108867558E-4</v>
      </c>
      <c r="Z6" s="14">
        <f>IFERROR(Y6*(1+INDEX(CAGR!$C$2:$C$8,MATCH($A6,CAGR!$B$2:$B$8,0))),0)</f>
        <v>3.6910839944394661E-4</v>
      </c>
      <c r="AA6" s="14">
        <f>IFERROR(Z6*(1+INDEX(CAGR!$C$2:$C$8,MATCH($A6,CAGR!$B$2:$B$8,0))),0)</f>
        <v>3.7031449599785168E-4</v>
      </c>
      <c r="AB6" s="14">
        <f>IFERROR(AA6*(1+INDEX(CAGR!$C$2:$C$8,MATCH($A6,CAGR!$B$2:$B$8,0))),0)</f>
        <v>3.7152453358615083E-4</v>
      </c>
      <c r="AC6" s="14">
        <f>IFERROR(AB6*(1+INDEX(CAGR!$C$2:$C$8,MATCH($A6,CAGR!$B$2:$B$8,0))),0)</f>
        <v>3.7273852508654608E-4</v>
      </c>
      <c r="AD6" s="14">
        <f>IFERROR(AC6*(1+INDEX(CAGR!$C$2:$C$8,MATCH($A6,CAGR!$B$2:$B$8,0))),0)</f>
        <v>3.7395648341881864E-4</v>
      </c>
      <c r="AE6" s="14">
        <f>IFERROR(AD6*(1+INDEX(CAGR!$C$2:$C$8,MATCH($A6,CAGR!$B$2:$B$8,0))),0)</f>
        <v>3.751784215449663E-4</v>
      </c>
      <c r="AF6" s="14">
        <f>IFERROR(AE6*(1+INDEX(CAGR!$C$2:$C$8,MATCH($A6,CAGR!$B$2:$B$8,0))),0)</f>
        <v>3.7640435246934142E-4</v>
      </c>
      <c r="AG6" s="14"/>
    </row>
    <row r="7" spans="1:33">
      <c r="A7" s="1" t="s">
        <v>14</v>
      </c>
      <c r="B7" s="14">
        <f>IFERROR(INDEX('SYFAFE psgr'!$B$2:$H$2,,MATCH($A7,'SYFAFE psgr'!$B$1:$H$1,0))*(1+INDEX(CAGR!$C$2:$C$8,MATCH($A7,CAGR!$B$2:$B$8,0))),0)</f>
        <v>2.9181761617105628E-4</v>
      </c>
      <c r="C7" s="14">
        <f>IFERROR(B7*(1+INDEX(CAGR!$C$2:$C$8,MATCH($A7,CAGR!$B$2:$B$8,0))),0)</f>
        <v>2.9243654226565223E-4</v>
      </c>
      <c r="D7" s="14">
        <f>IFERROR(C7*(1+INDEX(CAGR!$C$2:$C$8,MATCH($A7,CAGR!$B$2:$B$8,0))),0)</f>
        <v>2.9305678106205009E-4</v>
      </c>
      <c r="E7" s="14">
        <f>IFERROR(D7*(1+INDEX(CAGR!$C$2:$C$8,MATCH($A7,CAGR!$B$2:$B$8,0))),0)</f>
        <v>2.9367833534440455E-4</v>
      </c>
      <c r="F7" s="14">
        <f>IFERROR(E7*(1+INDEX(CAGR!$C$2:$C$8,MATCH($A7,CAGR!$B$2:$B$8,0))),0)</f>
        <v>2.9430120790277541E-4</v>
      </c>
      <c r="G7" s="14">
        <f>IFERROR(F7*(1+INDEX(CAGR!$C$2:$C$8,MATCH($A7,CAGR!$B$2:$B$8,0))),0)</f>
        <v>2.9492540153313993E-4</v>
      </c>
      <c r="H7" s="14">
        <f>IFERROR(G7*(1+INDEX(CAGR!$C$2:$C$8,MATCH($A7,CAGR!$B$2:$B$8,0))),0)</f>
        <v>2.9555091903740548E-4</v>
      </c>
      <c r="I7" s="14">
        <f>IFERROR(H7*(1+INDEX(CAGR!$C$2:$C$8,MATCH($A7,CAGR!$B$2:$B$8,0))),0)</f>
        <v>2.9617776322342213E-4</v>
      </c>
      <c r="J7" s="14">
        <f>IFERROR(I7*(1+INDEX(CAGR!$C$2:$C$8,MATCH($A7,CAGR!$B$2:$B$8,0))),0)</f>
        <v>2.9680593690499513E-4</v>
      </c>
      <c r="K7" s="14">
        <f>IFERROR(J7*(1+INDEX(CAGR!$C$2:$C$8,MATCH($A7,CAGR!$B$2:$B$8,0))),0)</f>
        <v>2.9743544290189775E-4</v>
      </c>
      <c r="L7" s="14">
        <f>IFERROR(K7*(1+INDEX(CAGR!$C$2:$C$8,MATCH($A7,CAGR!$B$2:$B$8,0))),0)</f>
        <v>2.9806628403988367E-4</v>
      </c>
      <c r="M7" s="14">
        <f>IFERROR(L7*(1+INDEX(CAGR!$C$2:$C$8,MATCH($A7,CAGR!$B$2:$B$8,0))),0)</f>
        <v>2.9869846315069989E-4</v>
      </c>
      <c r="N7" s="14">
        <f>IFERROR(M7*(1+INDEX(CAGR!$C$2:$C$8,MATCH($A7,CAGR!$B$2:$B$8,0))),0)</f>
        <v>2.9933198307209938E-4</v>
      </c>
      <c r="O7" s="14">
        <f>IFERROR(N7*(1+INDEX(CAGR!$C$2:$C$8,MATCH($A7,CAGR!$B$2:$B$8,0))),0)</f>
        <v>2.9996684664785375E-4</v>
      </c>
      <c r="P7" s="14">
        <f>IFERROR(O7*(1+INDEX(CAGR!$C$2:$C$8,MATCH($A7,CAGR!$B$2:$B$8,0))),0)</f>
        <v>3.0060305672776607E-4</v>
      </c>
      <c r="Q7" s="14">
        <f>IFERROR(P7*(1+INDEX(CAGR!$C$2:$C$8,MATCH($A7,CAGR!$B$2:$B$8,0))),0)</f>
        <v>3.012406161676837E-4</v>
      </c>
      <c r="R7" s="14">
        <f>IFERROR(Q7*(1+INDEX(CAGR!$C$2:$C$8,MATCH($A7,CAGR!$B$2:$B$8,0))),0)</f>
        <v>3.0187952782951102E-4</v>
      </c>
      <c r="S7" s="14">
        <f>IFERROR(R7*(1+INDEX(CAGR!$C$2:$C$8,MATCH($A7,CAGR!$B$2:$B$8,0))),0)</f>
        <v>3.0251979458122233E-4</v>
      </c>
      <c r="T7" s="14">
        <f>IFERROR(S7*(1+INDEX(CAGR!$C$2:$C$8,MATCH($A7,CAGR!$B$2:$B$8,0))),0)</f>
        <v>3.0316141929687476E-4</v>
      </c>
      <c r="U7" s="14">
        <f>IFERROR(T7*(1+INDEX(CAGR!$C$2:$C$8,MATCH($A7,CAGR!$B$2:$B$8,0))),0)</f>
        <v>3.0380440485662107E-4</v>
      </c>
      <c r="V7" s="14">
        <f>IFERROR(U7*(1+INDEX(CAGR!$C$2:$C$8,MATCH($A7,CAGR!$B$2:$B$8,0))),0)</f>
        <v>3.0444875414672263E-4</v>
      </c>
      <c r="W7" s="14">
        <f>IFERROR(V7*(1+INDEX(CAGR!$C$2:$C$8,MATCH($A7,CAGR!$B$2:$B$8,0))),0)</f>
        <v>3.0509447005956246E-4</v>
      </c>
      <c r="X7" s="14">
        <f>IFERROR(W7*(1+INDEX(CAGR!$C$2:$C$8,MATCH($A7,CAGR!$B$2:$B$8,0))),0)</f>
        <v>3.0574155549365802E-4</v>
      </c>
      <c r="Y7" s="14">
        <f>IFERROR(X7*(1+INDEX(CAGR!$C$2:$C$8,MATCH($A7,CAGR!$B$2:$B$8,0))),0)</f>
        <v>3.0639001335367442E-4</v>
      </c>
      <c r="Z7" s="14">
        <f>IFERROR(Y7*(1+INDEX(CAGR!$C$2:$C$8,MATCH($A7,CAGR!$B$2:$B$8,0))),0)</f>
        <v>3.0703984655043739E-4</v>
      </c>
      <c r="AA7" s="14">
        <f>IFERROR(Z7*(1+INDEX(CAGR!$C$2:$C$8,MATCH($A7,CAGR!$B$2:$B$8,0))),0)</f>
        <v>3.076910580009463E-4</v>
      </c>
      <c r="AB7" s="14">
        <f>IFERROR(AA7*(1+INDEX(CAGR!$C$2:$C$8,MATCH($A7,CAGR!$B$2:$B$8,0))),0)</f>
        <v>3.0834365062838725E-4</v>
      </c>
      <c r="AC7" s="14">
        <f>IFERROR(AB7*(1+INDEX(CAGR!$C$2:$C$8,MATCH($A7,CAGR!$B$2:$B$8,0))),0)</f>
        <v>3.0899762736214626E-4</v>
      </c>
      <c r="AD7" s="14">
        <f>IFERROR(AC7*(1+INDEX(CAGR!$C$2:$C$8,MATCH($A7,CAGR!$B$2:$B$8,0))),0)</f>
        <v>3.0965299113782236E-4</v>
      </c>
      <c r="AE7" s="14">
        <f>IFERROR(AD7*(1+INDEX(CAGR!$C$2:$C$8,MATCH($A7,CAGR!$B$2:$B$8,0))),0)</f>
        <v>3.1030974489724088E-4</v>
      </c>
      <c r="AF7" s="14">
        <f>IFERROR(AE7*(1+INDEX(CAGR!$C$2:$C$8,MATCH($A7,CAGR!$B$2:$B$8,0))),0)</f>
        <v>3.1096789158846646E-4</v>
      </c>
      <c r="AG7" s="14"/>
    </row>
    <row r="8" spans="1:33">
      <c r="A8" s="1" t="s">
        <v>15</v>
      </c>
      <c r="B8" s="14">
        <f>IFERROR(INDEX('SYFAFE psgr'!$B$2:$H$2,,MATCH($A8,'SYFAFE psgr'!$B$1:$H$1,0))*(1+INDEX(CAGR!$C$2:$C$8,MATCH($A8,CAGR!$B$2:$B$8,0))),0)</f>
        <v>1.4933406927677131E-3</v>
      </c>
      <c r="C8" s="14">
        <f>IFERROR(B8*(1+INDEX(CAGR!$C$2:$C$8,MATCH($A8,CAGR!$B$2:$B$8,0))),0)</f>
        <v>1.4923820013892481E-3</v>
      </c>
      <c r="D8" s="14">
        <f>IFERROR(C8*(1+INDEX(CAGR!$C$2:$C$8,MATCH($A8,CAGR!$B$2:$B$8,0))),0)</f>
        <v>1.4914239254692403E-3</v>
      </c>
      <c r="E8" s="14">
        <f>IFERROR(D8*(1+INDEX(CAGR!$C$2:$C$8,MATCH($A8,CAGR!$B$2:$B$8,0))),0)</f>
        <v>1.4904664646125793E-3</v>
      </c>
      <c r="F8" s="14">
        <f>IFERROR(E8*(1+INDEX(CAGR!$C$2:$C$8,MATCH($A8,CAGR!$B$2:$B$8,0))),0)</f>
        <v>1.4895096184244082E-3</v>
      </c>
      <c r="G8" s="14">
        <f>IFERROR(F8*(1+INDEX(CAGR!$C$2:$C$8,MATCH($A8,CAGR!$B$2:$B$8,0))),0)</f>
        <v>1.4885533865101237E-3</v>
      </c>
      <c r="H8" s="14">
        <f>IFERROR(G8*(1+INDEX(CAGR!$C$2:$C$8,MATCH($A8,CAGR!$B$2:$B$8,0))),0)</f>
        <v>1.4875977684753754E-3</v>
      </c>
      <c r="I8" s="14">
        <f>IFERROR(H8*(1+INDEX(CAGR!$C$2:$C$8,MATCH($A8,CAGR!$B$2:$B$8,0))),0)</f>
        <v>1.4866427639260665E-3</v>
      </c>
      <c r="J8" s="14">
        <f>IFERROR(I8*(1+INDEX(CAGR!$C$2:$C$8,MATCH($A8,CAGR!$B$2:$B$8,0))),0)</f>
        <v>1.485688372468353E-3</v>
      </c>
      <c r="K8" s="14">
        <f>IFERROR(J8*(1+INDEX(CAGR!$C$2:$C$8,MATCH($A8,CAGR!$B$2:$B$8,0))),0)</f>
        <v>1.4847345937086438E-3</v>
      </c>
      <c r="L8" s="14">
        <f>IFERROR(K8*(1+INDEX(CAGR!$C$2:$C$8,MATCH($A8,CAGR!$B$2:$B$8,0))),0)</f>
        <v>1.4837814272536005E-3</v>
      </c>
      <c r="M8" s="14">
        <f>IFERROR(L8*(1+INDEX(CAGR!$C$2:$C$8,MATCH($A8,CAGR!$B$2:$B$8,0))),0)</f>
        <v>1.4828288727101371E-3</v>
      </c>
      <c r="N8" s="14">
        <f>IFERROR(M8*(1+INDEX(CAGR!$C$2:$C$8,MATCH($A8,CAGR!$B$2:$B$8,0))),0)</f>
        <v>1.48187692968542E-3</v>
      </c>
      <c r="O8" s="14">
        <f>IFERROR(N8*(1+INDEX(CAGR!$C$2:$C$8,MATCH($A8,CAGR!$B$2:$B$8,0))),0)</f>
        <v>1.4809255977868679E-3</v>
      </c>
      <c r="P8" s="14">
        <f>IFERROR(O8*(1+INDEX(CAGR!$C$2:$C$8,MATCH($A8,CAGR!$B$2:$B$8,0))),0)</f>
        <v>1.4799748766221514E-3</v>
      </c>
      <c r="Q8" s="14">
        <f>IFERROR(P8*(1+INDEX(CAGR!$C$2:$C$8,MATCH($A8,CAGR!$B$2:$B$8,0))),0)</f>
        <v>1.4790247657991932E-3</v>
      </c>
      <c r="R8" s="14">
        <f>IFERROR(Q8*(1+INDEX(CAGR!$C$2:$C$8,MATCH($A8,CAGR!$B$2:$B$8,0))),0)</f>
        <v>1.4780752649261673E-3</v>
      </c>
      <c r="S8" s="14">
        <f>IFERROR(R8*(1+INDEX(CAGR!$C$2:$C$8,MATCH($A8,CAGR!$B$2:$B$8,0))),0)</f>
        <v>1.4771263736114994E-3</v>
      </c>
      <c r="T8" s="14">
        <f>IFERROR(S8*(1+INDEX(CAGR!$C$2:$C$8,MATCH($A8,CAGR!$B$2:$B$8,0))),0)</f>
        <v>1.4761780914638669E-3</v>
      </c>
      <c r="U8" s="14">
        <f>IFERROR(T8*(1+INDEX(CAGR!$C$2:$C$8,MATCH($A8,CAGR!$B$2:$B$8,0))),0)</f>
        <v>1.4752304180921981E-3</v>
      </c>
      <c r="V8" s="14">
        <f>IFERROR(U8*(1+INDEX(CAGR!$C$2:$C$8,MATCH($A8,CAGR!$B$2:$B$8,0))),0)</f>
        <v>1.4742833531056724E-3</v>
      </c>
      <c r="W8" s="14">
        <f>IFERROR(V8*(1+INDEX(CAGR!$C$2:$C$8,MATCH($A8,CAGR!$B$2:$B$8,0))),0)</f>
        <v>1.4733368961137199E-3</v>
      </c>
      <c r="X8" s="14">
        <f>IFERROR(W8*(1+INDEX(CAGR!$C$2:$C$8,MATCH($A8,CAGR!$B$2:$B$8,0))),0)</f>
        <v>1.4723910467260219E-3</v>
      </c>
      <c r="Y8" s="14">
        <f>IFERROR(X8*(1+INDEX(CAGR!$C$2:$C$8,MATCH($A8,CAGR!$B$2:$B$8,0))),0)</f>
        <v>1.4714458045525099E-3</v>
      </c>
      <c r="Z8" s="14">
        <f>IFERROR(Y8*(1+INDEX(CAGR!$C$2:$C$8,MATCH($A8,CAGR!$B$2:$B$8,0))),0)</f>
        <v>1.4705011692033663E-3</v>
      </c>
      <c r="AA8" s="14">
        <f>IFERROR(Z8*(1+INDEX(CAGR!$C$2:$C$8,MATCH($A8,CAGR!$B$2:$B$8,0))),0)</f>
        <v>1.469557140289023E-3</v>
      </c>
      <c r="AB8" s="14">
        <f>IFERROR(AA8*(1+INDEX(CAGR!$C$2:$C$8,MATCH($A8,CAGR!$B$2:$B$8,0))),0)</f>
        <v>1.4686137174201627E-3</v>
      </c>
      <c r="AC8" s="14">
        <f>IFERROR(AB8*(1+INDEX(CAGR!$C$2:$C$8,MATCH($A8,CAGR!$B$2:$B$8,0))),0)</f>
        <v>1.4676709002077175E-3</v>
      </c>
      <c r="AD8" s="14">
        <f>IFERROR(AC8*(1+INDEX(CAGR!$C$2:$C$8,MATCH($A8,CAGR!$B$2:$B$8,0))),0)</f>
        <v>1.4667286882628695E-3</v>
      </c>
      <c r="AE8" s="14">
        <f>IFERROR(AD8*(1+INDEX(CAGR!$C$2:$C$8,MATCH($A8,CAGR!$B$2:$B$8,0))),0)</f>
        <v>1.4657870811970505E-3</v>
      </c>
      <c r="AF8" s="14">
        <f>IFERROR(AE8*(1+INDEX(CAGR!$C$2:$C$8,MATCH($A8,CAGR!$B$2:$B$8,0))),0)</f>
        <v>1.4648460786219418E-3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frgt'!$B$2:$H$2,,MATCH($A2,'SYFAFE psgr'!$B$1:$H$1,0))*(1+INDEX(CAGR!$C$9:$C$15,MATCH($A2,CAGR!$B$9:$B$15,0))),0)</f>
        <v>1.4791119101827561E-4</v>
      </c>
      <c r="C2" s="14">
        <f>IFERROR(B2*(1+INDEX(CAGR!$C$9:$C$15,MATCH($A2,CAGR!$B$9:$B$15,0))),0)</f>
        <v>1.4984740019482749E-4</v>
      </c>
      <c r="D2" s="14">
        <f>IFERROR(C2*(1+INDEX(CAGR!$C$9:$C$15,MATCH($A2,CAGR!$B$9:$B$15,0))),0)</f>
        <v>1.5180895502608986E-4</v>
      </c>
      <c r="E2" s="14">
        <f>IFERROR(D2*(1+INDEX(CAGR!$C$9:$C$15,MATCH($A2,CAGR!$B$9:$B$15,0))),0)</f>
        <v>1.5379618729553964E-4</v>
      </c>
      <c r="F2" s="14">
        <f>IFERROR(E2*(1+INDEX(CAGR!$C$9:$C$15,MATCH($A2,CAGR!$B$9:$B$15,0))),0)</f>
        <v>1.5580943312981546E-4</v>
      </c>
      <c r="G2" s="14">
        <f>IFERROR(F2*(1+INDEX(CAGR!$C$9:$C$15,MATCH($A2,CAGR!$B$9:$B$15,0))),0)</f>
        <v>1.5784903305557106E-4</v>
      </c>
      <c r="H2" s="14">
        <f>IFERROR(G2*(1+INDEX(CAGR!$C$9:$C$15,MATCH($A2,CAGR!$B$9:$B$15,0))),0)</f>
        <v>1.5991533205707308E-4</v>
      </c>
      <c r="I2" s="14">
        <f>IFERROR(H2*(1+INDEX(CAGR!$C$9:$C$15,MATCH($A2,CAGR!$B$9:$B$15,0))),0)</f>
        <v>1.6200867963455282E-4</v>
      </c>
      <c r="J2" s="14">
        <f>IFERROR(I2*(1+INDEX(CAGR!$C$9:$C$15,MATCH($A2,CAGR!$B$9:$B$15,0))),0)</f>
        <v>1.6412942986332164E-4</v>
      </c>
      <c r="K2" s="14">
        <f>IFERROR(J2*(1+INDEX(CAGR!$C$9:$C$15,MATCH($A2,CAGR!$B$9:$B$15,0))),0)</f>
        <v>1.6627794145366052E-4</v>
      </c>
      <c r="L2" s="14">
        <f>IFERROR(K2*(1+INDEX(CAGR!$C$9:$C$15,MATCH($A2,CAGR!$B$9:$B$15,0))),0)</f>
        <v>1.6845457781149335E-4</v>
      </c>
      <c r="M2" s="14">
        <f>IFERROR(L2*(1+INDEX(CAGR!$C$9:$C$15,MATCH($A2,CAGR!$B$9:$B$15,0))),0)</f>
        <v>1.7065970709985456E-4</v>
      </c>
      <c r="N2" s="14">
        <f>IFERROR(M2*(1+INDEX(CAGR!$C$9:$C$15,MATCH($A2,CAGR!$B$9:$B$15,0))),0)</f>
        <v>1.7289370230116132E-4</v>
      </c>
      <c r="O2" s="14">
        <f>IFERROR(N2*(1+INDEX(CAGR!$C$9:$C$15,MATCH($A2,CAGR!$B$9:$B$15,0))),0)</f>
        <v>1.7515694128030103E-4</v>
      </c>
      <c r="P2" s="14">
        <f>IFERROR(O2*(1+INDEX(CAGR!$C$9:$C$15,MATCH($A2,CAGR!$B$9:$B$15,0))),0)</f>
        <v>1.7744980684854445E-4</v>
      </c>
      <c r="Q2" s="14">
        <f>IFERROR(P2*(1+INDEX(CAGR!$C$9:$C$15,MATCH($A2,CAGR!$B$9:$B$15,0))),0)</f>
        <v>1.7977268682829568E-4</v>
      </c>
      <c r="R2" s="14">
        <f>IFERROR(Q2*(1+INDEX(CAGR!$C$9:$C$15,MATCH($A2,CAGR!$B$9:$B$15,0))),0)</f>
        <v>1.821259741186896E-4</v>
      </c>
      <c r="S2" s="14">
        <f>IFERROR(R2*(1+INDEX(CAGR!$C$9:$C$15,MATCH($A2,CAGR!$B$9:$B$15,0))),0)</f>
        <v>1.8451006676204807E-4</v>
      </c>
      <c r="T2" s="14">
        <f>IFERROR(S2*(1+INDEX(CAGR!$C$9:$C$15,MATCH($A2,CAGR!$B$9:$B$15,0))),0)</f>
        <v>1.8692536801120601E-4</v>
      </c>
      <c r="U2" s="14">
        <f>IFERROR(T2*(1+INDEX(CAGR!$C$9:$C$15,MATCH($A2,CAGR!$B$9:$B$15,0))),0)</f>
        <v>1.893722863977189E-4</v>
      </c>
      <c r="V2" s="14">
        <f>IFERROR(U2*(1+INDEX(CAGR!$C$9:$C$15,MATCH($A2,CAGR!$B$9:$B$15,0))),0)</f>
        <v>1.9185123580096297E-4</v>
      </c>
      <c r="W2" s="14">
        <f>IFERROR(V2*(1+INDEX(CAGR!$C$9:$C$15,MATCH($A2,CAGR!$B$9:$B$15,0))),0)</f>
        <v>1.9436263551814021E-4</v>
      </c>
      <c r="X2" s="14">
        <f>IFERROR(W2*(1+INDEX(CAGR!$C$9:$C$15,MATCH($A2,CAGR!$B$9:$B$15,0))),0)</f>
        <v>1.9690691033519942E-4</v>
      </c>
      <c r="Y2" s="14">
        <f>IFERROR(X2*(1+INDEX(CAGR!$C$9:$C$15,MATCH($A2,CAGR!$B$9:$B$15,0))),0)</f>
        <v>1.9948449059868596E-4</v>
      </c>
      <c r="Z2" s="14">
        <f>IFERROR(Y2*(1+INDEX(CAGR!$C$9:$C$15,MATCH($A2,CAGR!$B$9:$B$15,0))),0)</f>
        <v>2.020958122885318E-4</v>
      </c>
      <c r="AA2" s="14">
        <f>IFERROR(Z2*(1+INDEX(CAGR!$C$9:$C$15,MATCH($A2,CAGR!$B$9:$B$15,0))),0)</f>
        <v>2.0474131709179863E-4</v>
      </c>
      <c r="AB2" s="14">
        <f>IFERROR(AA2*(1+INDEX(CAGR!$C$9:$C$15,MATCH($A2,CAGR!$B$9:$B$15,0))),0)</f>
        <v>2.0742145247738605E-4</v>
      </c>
      <c r="AC2" s="14">
        <f>IFERROR(AB2*(1+INDEX(CAGR!$C$9:$C$15,MATCH($A2,CAGR!$B$9:$B$15,0))),0)</f>
        <v>2.1013667177171799E-4</v>
      </c>
      <c r="AD2" s="14">
        <f>IFERROR(AC2*(1+INDEX(CAGR!$C$9:$C$15,MATCH($A2,CAGR!$B$9:$B$15,0))),0)</f>
        <v>2.128874342354196E-4</v>
      </c>
      <c r="AE2" s="14">
        <f>IFERROR(AD2*(1+INDEX(CAGR!$C$9:$C$15,MATCH($A2,CAGR!$B$9:$B$15,0))),0)</f>
        <v>2.1567420514099819E-4</v>
      </c>
      <c r="AF2" s="14">
        <f>IFERROR(AE2*(1+INDEX(CAGR!$C$9:$C$15,MATCH($A2,CAGR!$B$9:$B$15,0))),0)</f>
        <v>2.1849745585154071E-4</v>
      </c>
      <c r="AG2" s="14"/>
    </row>
    <row r="3" spans="1:33">
      <c r="A3" s="1" t="s">
        <v>10</v>
      </c>
      <c r="B3" s="21">
        <f>IFERROR(INDEX('SYFAFE frgt'!$B$2:$H$2,,MATCH($A3,'SYFAFE psgr'!$B$1:$H$1,0))*(1+INDEX(CAGR!$C$9:$C$15,MATCH($A3,CAGR!$B$9:$B$15,0))),0)</f>
        <v>7.7797636840485688E-5</v>
      </c>
      <c r="C3" s="21">
        <f>IFERROR(B3*(1+INDEX(CAGR!$C$9:$C$15,MATCH($A3,CAGR!$B$9:$B$15,0))),0)</f>
        <v>7.7595798691847392E-5</v>
      </c>
      <c r="D3" s="21">
        <f>IFERROR(C3*(1+INDEX(CAGR!$C$9:$C$15,MATCH($A3,CAGR!$B$9:$B$15,0))),0)</f>
        <v>7.7394484191997163E-5</v>
      </c>
      <c r="E3" s="21">
        <f>IFERROR(D3*(1+INDEX(CAGR!$C$9:$C$15,MATCH($A3,CAGR!$B$9:$B$15,0))),0)</f>
        <v>7.7193691982380851E-5</v>
      </c>
      <c r="F3" s="21">
        <f>IFERROR(E3*(1+INDEX(CAGR!$C$9:$C$15,MATCH($A3,CAGR!$B$9:$B$15,0))),0)</f>
        <v>7.699342070796895E-5</v>
      </c>
      <c r="G3" s="21">
        <f>IFERROR(F3*(1+INDEX(CAGR!$C$9:$C$15,MATCH($A3,CAGR!$B$9:$B$15,0))),0)</f>
        <v>7.6793669017247425E-5</v>
      </c>
      <c r="H3" s="21">
        <f>IFERROR(G3*(1+INDEX(CAGR!$C$9:$C$15,MATCH($A3,CAGR!$B$9:$B$15,0))),0)</f>
        <v>7.6594435562208634E-5</v>
      </c>
      <c r="I3" s="21">
        <f>IFERROR(H3*(1+INDEX(CAGR!$C$9:$C$15,MATCH($A3,CAGR!$B$9:$B$15,0))),0)</f>
        <v>7.6395718998342177E-5</v>
      </c>
      <c r="J3" s="21">
        <f>IFERROR(I3*(1+INDEX(CAGR!$C$9:$C$15,MATCH($A3,CAGR!$B$9:$B$15,0))),0)</f>
        <v>7.619751798462587E-5</v>
      </c>
      <c r="K3" s="21">
        <f>IFERROR(J3*(1+INDEX(CAGR!$C$9:$C$15,MATCH($A3,CAGR!$B$9:$B$15,0))),0)</f>
        <v>7.5999831183516683E-5</v>
      </c>
      <c r="L3" s="21">
        <f>IFERROR(K3*(1+INDEX(CAGR!$C$9:$C$15,MATCH($A3,CAGR!$B$9:$B$15,0))),0)</f>
        <v>7.580265726094168E-5</v>
      </c>
      <c r="M3" s="21">
        <f>IFERROR(L3*(1+INDEX(CAGR!$C$9:$C$15,MATCH($A3,CAGR!$B$9:$B$15,0))),0)</f>
        <v>7.5605994886289066E-5</v>
      </c>
      <c r="N3" s="21">
        <f>IFERROR(M3*(1+INDEX(CAGR!$C$9:$C$15,MATCH($A3,CAGR!$B$9:$B$15,0))),0)</f>
        <v>7.5409842732399173E-5</v>
      </c>
      <c r="O3" s="21">
        <f>IFERROR(N3*(1+INDEX(CAGR!$C$9:$C$15,MATCH($A3,CAGR!$B$9:$B$15,0))),0)</f>
        <v>7.5214199475555514E-5</v>
      </c>
      <c r="P3" s="21">
        <f>IFERROR(O3*(1+INDEX(CAGR!$C$9:$C$15,MATCH($A3,CAGR!$B$9:$B$15,0))),0)</f>
        <v>7.5019063795475868E-5</v>
      </c>
      <c r="Q3" s="21">
        <f>IFERROR(P3*(1+INDEX(CAGR!$C$9:$C$15,MATCH($A3,CAGR!$B$9:$B$15,0))),0)</f>
        <v>7.4824434375303332E-5</v>
      </c>
      <c r="R3" s="21">
        <f>IFERROR(Q3*(1+INDEX(CAGR!$C$9:$C$15,MATCH($A3,CAGR!$B$9:$B$15,0))),0)</f>
        <v>7.4630309901597475E-5</v>
      </c>
      <c r="S3" s="21">
        <f>IFERROR(R3*(1+INDEX(CAGR!$C$9:$C$15,MATCH($A3,CAGR!$B$9:$B$15,0))),0)</f>
        <v>7.4436689064325432E-5</v>
      </c>
      <c r="T3" s="21">
        <f>IFERROR(S3*(1+INDEX(CAGR!$C$9:$C$15,MATCH($A3,CAGR!$B$9:$B$15,0))),0)</f>
        <v>7.4243570556853107E-5</v>
      </c>
      <c r="U3" s="21">
        <f>IFERROR(T3*(1+INDEX(CAGR!$C$9:$C$15,MATCH($A3,CAGR!$B$9:$B$15,0))),0)</f>
        <v>7.4050953075936339E-5</v>
      </c>
      <c r="V3" s="21">
        <f>IFERROR(U3*(1+INDEX(CAGR!$C$9:$C$15,MATCH($A3,CAGR!$B$9:$B$15,0))),0)</f>
        <v>7.3858835321712079E-5</v>
      </c>
      <c r="W3" s="21">
        <f>IFERROR(V3*(1+INDEX(CAGR!$C$9:$C$15,MATCH($A3,CAGR!$B$9:$B$15,0))),0)</f>
        <v>7.3667215997689662E-5</v>
      </c>
      <c r="X3" s="21">
        <f>IFERROR(W3*(1+INDEX(CAGR!$C$9:$C$15,MATCH($A3,CAGR!$B$9:$B$15,0))),0)</f>
        <v>7.3476093810742024E-5</v>
      </c>
      <c r="Y3" s="21">
        <f>IFERROR(X3*(1+INDEX(CAGR!$C$9:$C$15,MATCH($A3,CAGR!$B$9:$B$15,0))),0)</f>
        <v>7.3285467471097002E-5</v>
      </c>
      <c r="Z3" s="21">
        <f>IFERROR(Y3*(1+INDEX(CAGR!$C$9:$C$15,MATCH($A3,CAGR!$B$9:$B$15,0))),0)</f>
        <v>7.3095335692328621E-5</v>
      </c>
      <c r="AA3" s="21">
        <f>IFERROR(Z3*(1+INDEX(CAGR!$C$9:$C$15,MATCH($A3,CAGR!$B$9:$B$15,0))),0)</f>
        <v>7.2905697191348389E-5</v>
      </c>
      <c r="AB3" s="21">
        <f>IFERROR(AA3*(1+INDEX(CAGR!$C$9:$C$15,MATCH($A3,CAGR!$B$9:$B$15,0))),0)</f>
        <v>7.2716550688396671E-5</v>
      </c>
      <c r="AC3" s="21">
        <f>IFERROR(AB3*(1+INDEX(CAGR!$C$9:$C$15,MATCH($A3,CAGR!$B$9:$B$15,0))),0)</f>
        <v>7.2527894907034035E-5</v>
      </c>
      <c r="AD3" s="21">
        <f>IFERROR(AC3*(1+INDEX(CAGR!$C$9:$C$15,MATCH($A3,CAGR!$B$9:$B$15,0))),0)</f>
        <v>7.2339728574132638E-5</v>
      </c>
      <c r="AE3" s="21">
        <f>IFERROR(AD3*(1+INDEX(CAGR!$C$9:$C$15,MATCH($A3,CAGR!$B$9:$B$15,0))),0)</f>
        <v>7.2152050419867659E-5</v>
      </c>
      <c r="AF3" s="21">
        <f>IFERROR(AE3*(1+INDEX(CAGR!$C$9:$C$15,MATCH($A3,CAGR!$B$9:$B$15,0))),0)</f>
        <v>7.1964859177708692E-5</v>
      </c>
      <c r="AG3" s="14"/>
    </row>
    <row r="4" spans="1:33">
      <c r="A4" s="1" t="s">
        <v>11</v>
      </c>
      <c r="B4" s="14">
        <f>IFERROR(INDEX('SYFAFE frgt'!$B$2:$H$2,,MATCH($A4,'SYFAFE psgr'!$B$1:$H$1,0))*(1+INDEX(CAGR!$C$9:$C$15,MATCH($A4,CAGR!$B$9:$B$15,0))),0)</f>
        <v>1.1071202165761425E-4</v>
      </c>
      <c r="C4" s="14">
        <f>IFERROR(B4*(1+INDEX(CAGR!$C$9:$C$15,MATCH($A4,CAGR!$B$9:$B$15,0))),0)</f>
        <v>1.1042479044609052E-4</v>
      </c>
      <c r="D4" s="14">
        <f>IFERROR(C4*(1+INDEX(CAGR!$C$9:$C$15,MATCH($A4,CAGR!$B$9:$B$15,0))),0)</f>
        <v>1.1013830442707289E-4</v>
      </c>
      <c r="E4" s="14">
        <f>IFERROR(D4*(1+INDEX(CAGR!$C$9:$C$15,MATCH($A4,CAGR!$B$9:$B$15,0))),0)</f>
        <v>1.0985256166723428E-4</v>
      </c>
      <c r="F4" s="14">
        <f>IFERROR(E4*(1+INDEX(CAGR!$C$9:$C$15,MATCH($A4,CAGR!$B$9:$B$15,0))),0)</f>
        <v>1.0956756023826349E-4</v>
      </c>
      <c r="G4" s="14">
        <f>IFERROR(F4*(1+INDEX(CAGR!$C$9:$C$15,MATCH($A4,CAGR!$B$9:$B$15,0))),0)</f>
        <v>1.0928329821685208E-4</v>
      </c>
      <c r="H4" s="14">
        <f>IFERROR(G4*(1+INDEX(CAGR!$C$9:$C$15,MATCH($A4,CAGR!$B$9:$B$15,0))),0)</f>
        <v>1.0899977368468148E-4</v>
      </c>
      <c r="I4" s="14">
        <f>IFERROR(H4*(1+INDEX(CAGR!$C$9:$C$15,MATCH($A4,CAGR!$B$9:$B$15,0))),0)</f>
        <v>1.0871698472840999E-4</v>
      </c>
      <c r="J4" s="14">
        <f>IFERROR(I4*(1+INDEX(CAGR!$C$9:$C$15,MATCH($A4,CAGR!$B$9:$B$15,0))),0)</f>
        <v>1.0843492943965986E-4</v>
      </c>
      <c r="K4" s="14">
        <f>IFERROR(J4*(1+INDEX(CAGR!$C$9:$C$15,MATCH($A4,CAGR!$B$9:$B$15,0))),0)</f>
        <v>1.0815360591500447E-4</v>
      </c>
      <c r="L4" s="14">
        <f>IFERROR(K4*(1+INDEX(CAGR!$C$9:$C$15,MATCH($A4,CAGR!$B$9:$B$15,0))),0)</f>
        <v>1.0787301225595542E-4</v>
      </c>
      <c r="M4" s="14">
        <f>IFERROR(L4*(1+INDEX(CAGR!$C$9:$C$15,MATCH($A4,CAGR!$B$9:$B$15,0))),0)</f>
        <v>1.0759314656894978E-4</v>
      </c>
      <c r="N4" s="14">
        <f>IFERROR(M4*(1+INDEX(CAGR!$C$9:$C$15,MATCH($A4,CAGR!$B$9:$B$15,0))),0)</f>
        <v>1.0731400696533724E-4</v>
      </c>
      <c r="O4" s="14">
        <f>IFERROR(N4*(1+INDEX(CAGR!$C$9:$C$15,MATCH($A4,CAGR!$B$9:$B$15,0))),0)</f>
        <v>1.0703559156136742E-4</v>
      </c>
      <c r="P4" s="14">
        <f>IFERROR(O4*(1+INDEX(CAGR!$C$9:$C$15,MATCH($A4,CAGR!$B$9:$B$15,0))),0)</f>
        <v>1.0675789847817715E-4</v>
      </c>
      <c r="Q4" s="14">
        <f>IFERROR(P4*(1+INDEX(CAGR!$C$9:$C$15,MATCH($A4,CAGR!$B$9:$B$15,0))),0)</f>
        <v>1.0648092584177777E-4</v>
      </c>
      <c r="R4" s="14">
        <f>IFERROR(Q4*(1+INDEX(CAGR!$C$9:$C$15,MATCH($A4,CAGR!$B$9:$B$15,0))),0)</f>
        <v>1.062046717830425E-4</v>
      </c>
      <c r="S4" s="14">
        <f>IFERROR(R4*(1+INDEX(CAGR!$C$9:$C$15,MATCH($A4,CAGR!$B$9:$B$15,0))),0)</f>
        <v>1.0592913443769383E-4</v>
      </c>
      <c r="T4" s="14">
        <f>IFERROR(S4*(1+INDEX(CAGR!$C$9:$C$15,MATCH($A4,CAGR!$B$9:$B$15,0))),0)</f>
        <v>1.0565431194629092E-4</v>
      </c>
      <c r="U4" s="14">
        <f>IFERROR(T4*(1+INDEX(CAGR!$C$9:$C$15,MATCH($A4,CAGR!$B$9:$B$15,0))),0)</f>
        <v>1.0538020245421706E-4</v>
      </c>
      <c r="V4" s="14">
        <f>IFERROR(U4*(1+INDEX(CAGR!$C$9:$C$15,MATCH($A4,CAGR!$B$9:$B$15,0))),0)</f>
        <v>1.0510680411166715E-4</v>
      </c>
      <c r="W4" s="14">
        <f>IFERROR(V4*(1+INDEX(CAGR!$C$9:$C$15,MATCH($A4,CAGR!$B$9:$B$15,0))),0)</f>
        <v>1.0483411507363525E-4</v>
      </c>
      <c r="X4" s="14">
        <f>IFERROR(W4*(1+INDEX(CAGR!$C$9:$C$15,MATCH($A4,CAGR!$B$9:$B$15,0))),0)</f>
        <v>1.0456213349990208E-4</v>
      </c>
      <c r="Y4" s="14">
        <f>IFERROR(X4*(1+INDEX(CAGR!$C$9:$C$15,MATCH($A4,CAGR!$B$9:$B$15,0))),0)</f>
        <v>1.0429085755502263E-4</v>
      </c>
      <c r="Z4" s="14">
        <f>IFERROR(Y4*(1+INDEX(CAGR!$C$9:$C$15,MATCH($A4,CAGR!$B$9:$B$15,0))),0)</f>
        <v>1.0402028540831377E-4</v>
      </c>
      <c r="AA4" s="14">
        <f>IFERROR(Z4*(1+INDEX(CAGR!$C$9:$C$15,MATCH($A4,CAGR!$B$9:$B$15,0))),0)</f>
        <v>1.037504152338419E-4</v>
      </c>
      <c r="AB4" s="14">
        <f>IFERROR(AA4*(1+INDEX(CAGR!$C$9:$C$15,MATCH($A4,CAGR!$B$9:$B$15,0))),0)</f>
        <v>1.034812452104106E-4</v>
      </c>
      <c r="AC4" s="14">
        <f>IFERROR(AB4*(1+INDEX(CAGR!$C$9:$C$15,MATCH($A4,CAGR!$B$9:$B$15,0))),0)</f>
        <v>1.0321277352154838E-4</v>
      </c>
      <c r="AD4" s="14">
        <f>IFERROR(AC4*(1+INDEX(CAGR!$C$9:$C$15,MATCH($A4,CAGR!$B$9:$B$15,0))),0)</f>
        <v>1.029449983554964E-4</v>
      </c>
      <c r="AE4" s="14">
        <f>IFERROR(AD4*(1+INDEX(CAGR!$C$9:$C$15,MATCH($A4,CAGR!$B$9:$B$15,0))),0)</f>
        <v>1.0267791790519623E-4</v>
      </c>
      <c r="AF4" s="14">
        <f>IFERROR(AE4*(1+INDEX(CAGR!$C$9:$C$15,MATCH($A4,CAGR!$B$9:$B$15,0))),0)</f>
        <v>1.0241153036827769E-4</v>
      </c>
      <c r="AG4" s="14"/>
    </row>
    <row r="5" spans="1:33">
      <c r="A5" s="1" t="s">
        <v>12</v>
      </c>
      <c r="B5" s="14">
        <f>IFERROR(INDEX('SYFAFE frgt'!$B$2:$H$2,,MATCH($A5,'SYFAFE psgr'!$B$1:$H$1,0))*(1+INDEX(CAGR!$C$9:$C$15,MATCH($A5,CAGR!$B$9:$B$15,0))),0)</f>
        <v>8.5776881644638074E-5</v>
      </c>
      <c r="C5" s="14">
        <f>IFERROR(B5*(1+INDEX(CAGR!$C$9:$C$15,MATCH($A5,CAGR!$B$9:$B$15,0))),0)</f>
        <v>8.5554342147421494E-5</v>
      </c>
      <c r="D5" s="14">
        <f>IFERROR(C5*(1+INDEX(CAGR!$C$9:$C$15,MATCH($A5,CAGR!$B$9:$B$15,0))),0)</f>
        <v>8.5332380006560983E-5</v>
      </c>
      <c r="E5" s="14">
        <f>IFERROR(D5*(1+INDEX(CAGR!$C$9:$C$15,MATCH($A5,CAGR!$B$9:$B$15,0))),0)</f>
        <v>8.5110993724163506E-5</v>
      </c>
      <c r="F5" s="14">
        <f>IFERROR(E5*(1+INDEX(CAGR!$C$9:$C$15,MATCH($A5,CAGR!$B$9:$B$15,0))),0)</f>
        <v>8.4890181806222172E-5</v>
      </c>
      <c r="G5" s="14">
        <f>IFERROR(F5*(1+INDEX(CAGR!$C$9:$C$15,MATCH($A5,CAGR!$B$9:$B$15,0))),0)</f>
        <v>8.466994276260614E-5</v>
      </c>
      <c r="H5" s="14">
        <f>IFERROR(G5*(1+INDEX(CAGR!$C$9:$C$15,MATCH($A5,CAGR!$B$9:$B$15,0))),0)</f>
        <v>8.445027510705055E-5</v>
      </c>
      <c r="I5" s="14">
        <f>IFERROR(H5*(1+INDEX(CAGR!$C$9:$C$15,MATCH($A5,CAGR!$B$9:$B$15,0))),0)</f>
        <v>8.4231177357146507E-5</v>
      </c>
      <c r="J5" s="14">
        <f>IFERROR(I5*(1+INDEX(CAGR!$C$9:$C$15,MATCH($A5,CAGR!$B$9:$B$15,0))),0)</f>
        <v>8.4012648034331093E-5</v>
      </c>
      <c r="K5" s="14">
        <f>IFERROR(J5*(1+INDEX(CAGR!$C$9:$C$15,MATCH($A5,CAGR!$B$9:$B$15,0))),0)</f>
        <v>8.3794685663877365E-5</v>
      </c>
      <c r="L5" s="14">
        <f>IFERROR(K5*(1+INDEX(CAGR!$C$9:$C$15,MATCH($A5,CAGR!$B$9:$B$15,0))),0)</f>
        <v>8.3577288774884406E-5</v>
      </c>
      <c r="M5" s="14">
        <f>IFERROR(L5*(1+INDEX(CAGR!$C$9:$C$15,MATCH($A5,CAGR!$B$9:$B$15,0))),0)</f>
        <v>8.3360455900267422E-5</v>
      </c>
      <c r="N5" s="14">
        <f>IFERROR(M5*(1+INDEX(CAGR!$C$9:$C$15,MATCH($A5,CAGR!$B$9:$B$15,0))),0)</f>
        <v>8.3144185576747791E-5</v>
      </c>
      <c r="O5" s="14">
        <f>IFERROR(N5*(1+INDEX(CAGR!$C$9:$C$15,MATCH($A5,CAGR!$B$9:$B$15,0))),0)</f>
        <v>8.2928476344843252E-5</v>
      </c>
      <c r="P5" s="14">
        <f>IFERROR(O5*(1+INDEX(CAGR!$C$9:$C$15,MATCH($A5,CAGR!$B$9:$B$15,0))),0)</f>
        <v>8.2713326748857998E-5</v>
      </c>
      <c r="Q5" s="14">
        <f>IFERROR(P5*(1+INDEX(CAGR!$C$9:$C$15,MATCH($A5,CAGR!$B$9:$B$15,0))),0)</f>
        <v>8.249873533687289E-5</v>
      </c>
      <c r="R5" s="14">
        <f>IFERROR(Q5*(1+INDEX(CAGR!$C$9:$C$15,MATCH($A5,CAGR!$B$9:$B$15,0))),0)</f>
        <v>8.2284700660735662E-5</v>
      </c>
      <c r="S5" s="14">
        <f>IFERROR(R5*(1+INDEX(CAGR!$C$9:$C$15,MATCH($A5,CAGR!$B$9:$B$15,0))),0)</f>
        <v>8.2071221276051106E-5</v>
      </c>
      <c r="T5" s="14">
        <f>IFERROR(S5*(1+INDEX(CAGR!$C$9:$C$15,MATCH($A5,CAGR!$B$9:$B$15,0))),0)</f>
        <v>8.1858295742171368E-5</v>
      </c>
      <c r="U5" s="14">
        <f>IFERROR(T5*(1+INDEX(CAGR!$C$9:$C$15,MATCH($A5,CAGR!$B$9:$B$15,0))),0)</f>
        <v>8.1645922622186205E-5</v>
      </c>
      <c r="V5" s="14">
        <f>IFERROR(U5*(1+INDEX(CAGR!$C$9:$C$15,MATCH($A5,CAGR!$B$9:$B$15,0))),0)</f>
        <v>8.1434100482913311E-5</v>
      </c>
      <c r="W5" s="14">
        <f>IFERROR(V5*(1+INDEX(CAGR!$C$9:$C$15,MATCH($A5,CAGR!$B$9:$B$15,0))),0)</f>
        <v>8.1222827894888593E-5</v>
      </c>
      <c r="X5" s="14">
        <f>IFERROR(W5*(1+INDEX(CAGR!$C$9:$C$15,MATCH($A5,CAGR!$B$9:$B$15,0))),0)</f>
        <v>8.1012103432356582E-5</v>
      </c>
      <c r="Y5" s="14">
        <f>IFERROR(X5*(1+INDEX(CAGR!$C$9:$C$15,MATCH($A5,CAGR!$B$9:$B$15,0))),0)</f>
        <v>8.0801925673260795E-5</v>
      </c>
      <c r="Z5" s="14">
        <f>IFERROR(Y5*(1+INDEX(CAGR!$C$9:$C$15,MATCH($A5,CAGR!$B$9:$B$15,0))),0)</f>
        <v>8.0592293199234114E-5</v>
      </c>
      <c r="AA5" s="14">
        <f>IFERROR(Z5*(1+INDEX(CAGR!$C$9:$C$15,MATCH($A5,CAGR!$B$9:$B$15,0))),0)</f>
        <v>8.0383204595589242E-5</v>
      </c>
      <c r="AB5" s="14">
        <f>IFERROR(AA5*(1+INDEX(CAGR!$C$9:$C$15,MATCH($A5,CAGR!$B$9:$B$15,0))),0)</f>
        <v>8.0174658451309138E-5</v>
      </c>
      <c r="AC5" s="14">
        <f>IFERROR(AB5*(1+INDEX(CAGR!$C$9:$C$15,MATCH($A5,CAGR!$B$9:$B$15,0))),0)</f>
        <v>7.9966653359037513E-5</v>
      </c>
      <c r="AD5" s="14">
        <f>IFERROR(AC5*(1+INDEX(CAGR!$C$9:$C$15,MATCH($A5,CAGR!$B$9:$B$15,0))),0)</f>
        <v>7.9759187915069308E-5</v>
      </c>
      <c r="AE5" s="14">
        <f>IFERROR(AD5*(1+INDEX(CAGR!$C$9:$C$15,MATCH($A5,CAGR!$B$9:$B$15,0))),0)</f>
        <v>7.9552260719341244E-5</v>
      </c>
      <c r="AF5" s="14">
        <f>IFERROR(AE5*(1+INDEX(CAGR!$C$9:$C$15,MATCH($A5,CAGR!$B$9:$B$15,0))),0)</f>
        <v>7.9345870375422377E-5</v>
      </c>
      <c r="AG5" s="14"/>
    </row>
    <row r="6" spans="1:33">
      <c r="A6" s="1" t="s">
        <v>13</v>
      </c>
      <c r="B6" s="15">
        <f>B5*Calibration!$C$21</f>
        <v>1.3168116327910061E-4</v>
      </c>
      <c r="C6" s="15">
        <f>B6*(1+CAGR!$C$13)</f>
        <v>1.3266331100447444E-4</v>
      </c>
      <c r="D6" s="15">
        <f>C6*(1+CAGR!$C$13)</f>
        <v>1.3365278410676959E-4</v>
      </c>
      <c r="E6" s="15">
        <f>D6*(1+CAGR!$C$13)</f>
        <v>1.3464963722251949E-4</v>
      </c>
      <c r="F6" s="15">
        <f>E6*(1+CAGR!$C$13)</f>
        <v>1.3565392539576575E-4</v>
      </c>
      <c r="G6" s="15">
        <f>F6*(1+CAGR!$C$13)</f>
        <v>1.366657040810975E-4</v>
      </c>
      <c r="H6" s="15">
        <f>G6*(1+CAGR!$C$13)</f>
        <v>1.3768502914671352E-4</v>
      </c>
      <c r="I6" s="15">
        <f>H6*(1+CAGR!$C$13)</f>
        <v>1.3871195687750718E-4</v>
      </c>
      <c r="J6" s="15">
        <f>I6*(1+CAGR!$C$13)</f>
        <v>1.397465439781743E-4</v>
      </c>
      <c r="K6" s="15">
        <f>J6*(1+CAGR!$C$13)</f>
        <v>1.407888475763443E-4</v>
      </c>
      <c r="L6" s="15">
        <f>K6*(1+CAGR!$C$13)</f>
        <v>1.4183892522573468E-4</v>
      </c>
      <c r="M6" s="15">
        <f>L6*(1+CAGR!$C$13)</f>
        <v>1.4289683490932901E-4</v>
      </c>
      <c r="N6" s="15">
        <f>M6*(1+CAGR!$C$13)</f>
        <v>1.4396263504257853E-4</v>
      </c>
      <c r="O6" s="15">
        <f>N6*(1+CAGR!$C$13)</f>
        <v>1.4503638447662786E-4</v>
      </c>
      <c r="P6" s="15">
        <f>O6*(1+CAGR!$C$13)</f>
        <v>1.4611814250156454E-4</v>
      </c>
      <c r="Q6" s="15">
        <f>P6*(1+CAGR!$C$13)</f>
        <v>1.4720796884969294E-4</v>
      </c>
      <c r="R6" s="15">
        <f>Q6*(1+CAGR!$C$13)</f>
        <v>1.4830592369883251E-4</v>
      </c>
      <c r="S6" s="15">
        <f>R6*(1+CAGR!$C$13)</f>
        <v>1.494120676756407E-4</v>
      </c>
      <c r="T6" s="15">
        <f>S6*(1+CAGR!$C$13)</f>
        <v>1.5052646185896064E-4</v>
      </c>
      <c r="U6" s="15">
        <f>T6*(1+CAGR!$C$13)</f>
        <v>1.5164916778319371E-4</v>
      </c>
      <c r="V6" s="15">
        <f>U6*(1+CAGR!$C$13)</f>
        <v>1.5278024744169743E-4</v>
      </c>
      <c r="W6" s="15">
        <f>V6*(1+CAGR!$C$13)</f>
        <v>1.5391976329020855E-4</v>
      </c>
      <c r="X6" s="15">
        <f>W6*(1+CAGR!$C$13)</f>
        <v>1.5506777825029168E-4</v>
      </c>
      <c r="Y6" s="15">
        <f>X6*(1+CAGR!$C$13)</f>
        <v>1.5622435571281378E-4</v>
      </c>
      <c r="Z6" s="15">
        <f>Y6*(1+CAGR!$C$13)</f>
        <v>1.5738955954144434E-4</v>
      </c>
      <c r="AA6" s="15">
        <f>Z6*(1+CAGR!$C$13)</f>
        <v>1.5856345407618189E-4</v>
      </c>
      <c r="AB6" s="15">
        <f>AA6*(1+CAGR!$C$13)</f>
        <v>1.597461041369067E-4</v>
      </c>
      <c r="AC6" s="15">
        <f>AB6*(1+CAGR!$C$13)</f>
        <v>1.6093757502695993E-4</v>
      </c>
      <c r="AD6" s="15">
        <f>AC6*(1+CAGR!$C$13)</f>
        <v>1.6213793253674961E-4</v>
      </c>
      <c r="AE6" s="15">
        <f>AD6*(1+CAGR!$C$13)</f>
        <v>1.633472429473834E-4</v>
      </c>
      <c r="AF6" s="15">
        <f>AE6*(1+CAGR!$C$13)</f>
        <v>1.6456557303432852E-4</v>
      </c>
      <c r="AG6" s="14"/>
    </row>
    <row r="7" spans="1:33">
      <c r="A7" s="1" t="s">
        <v>14</v>
      </c>
      <c r="B7" s="14">
        <f>IFERROR(INDEX('SYFAFE frgt'!$B$2:$H$2,,MATCH($A7,'SYFAFE psgr'!$B$1:$H$1,0))*(1+INDEX(CAGR!$C$9:$C$15,MATCH($A7,CAGR!$B$9:$B$15,0))),0)</f>
        <v>6.0841741631661887E-5</v>
      </c>
      <c r="C7" s="14">
        <f>IFERROR(B7*(1+INDEX(CAGR!$C$9:$C$15,MATCH($A7,CAGR!$B$9:$B$15,0))),0)</f>
        <v>6.0683893848752449E-5</v>
      </c>
      <c r="D7" s="14">
        <f>IFERROR(C7*(1+INDEX(CAGR!$C$9:$C$15,MATCH($A7,CAGR!$B$9:$B$15,0))),0)</f>
        <v>6.052645558604906E-5</v>
      </c>
      <c r="E7" s="14">
        <f>IFERROR(D7*(1+INDEX(CAGR!$C$9:$C$15,MATCH($A7,CAGR!$B$9:$B$15,0))),0)</f>
        <v>6.0369425781092713E-5</v>
      </c>
      <c r="F7" s="14">
        <f>IFERROR(E7*(1+INDEX(CAGR!$C$9:$C$15,MATCH($A7,CAGR!$B$9:$B$15,0))),0)</f>
        <v>6.0212803374180838E-5</v>
      </c>
      <c r="G7" s="14">
        <f>IFERROR(F7*(1+INDEX(CAGR!$C$9:$C$15,MATCH($A7,CAGR!$B$9:$B$15,0))),0)</f>
        <v>6.0056587308360164E-5</v>
      </c>
      <c r="H7" s="14">
        <f>IFERROR(G7*(1+INDEX(CAGR!$C$9:$C$15,MATCH($A7,CAGR!$B$9:$B$15,0))),0)</f>
        <v>5.9900776529419568E-5</v>
      </c>
      <c r="I7" s="14">
        <f>IFERROR(H7*(1+INDEX(CAGR!$C$9:$C$15,MATCH($A7,CAGR!$B$9:$B$15,0))),0)</f>
        <v>5.974536998588298E-5</v>
      </c>
      <c r="J7" s="14">
        <f>IFERROR(I7*(1+INDEX(CAGR!$C$9:$C$15,MATCH($A7,CAGR!$B$9:$B$15,0))),0)</f>
        <v>5.9590366629002281E-5</v>
      </c>
      <c r="K7" s="14">
        <f>IFERROR(J7*(1+INDEX(CAGR!$C$9:$C$15,MATCH($A7,CAGR!$B$9:$B$15,0))),0)</f>
        <v>5.9435765412750219E-5</v>
      </c>
      <c r="L7" s="14">
        <f>IFERROR(K7*(1+INDEX(CAGR!$C$9:$C$15,MATCH($A7,CAGR!$B$9:$B$15,0))),0)</f>
        <v>5.9281565293813357E-5</v>
      </c>
      <c r="M7" s="14">
        <f>IFERROR(L7*(1+INDEX(CAGR!$C$9:$C$15,MATCH($A7,CAGR!$B$9:$B$15,0))),0)</f>
        <v>5.9127765231585026E-5</v>
      </c>
      <c r="N7" s="14">
        <f>IFERROR(M7*(1+INDEX(CAGR!$C$9:$C$15,MATCH($A7,CAGR!$B$9:$B$15,0))),0)</f>
        <v>5.897436418815831E-5</v>
      </c>
      <c r="O7" s="14">
        <f>IFERROR(N7*(1+INDEX(CAGR!$C$9:$C$15,MATCH($A7,CAGR!$B$9:$B$15,0))),0)</f>
        <v>5.8821361128319039E-5</v>
      </c>
      <c r="P7" s="14">
        <f>IFERROR(O7*(1+INDEX(CAGR!$C$9:$C$15,MATCH($A7,CAGR!$B$9:$B$15,0))),0)</f>
        <v>5.86687550195388E-5</v>
      </c>
      <c r="Q7" s="14">
        <f>IFERROR(P7*(1+INDEX(CAGR!$C$9:$C$15,MATCH($A7,CAGR!$B$9:$B$15,0))),0)</f>
        <v>5.8516544831967973E-5</v>
      </c>
      <c r="R7" s="14">
        <f>IFERROR(Q7*(1+INDEX(CAGR!$C$9:$C$15,MATCH($A7,CAGR!$B$9:$B$15,0))),0)</f>
        <v>5.8364729538428771E-5</v>
      </c>
      <c r="S7" s="14">
        <f>IFERROR(R7*(1+INDEX(CAGR!$C$9:$C$15,MATCH($A7,CAGR!$B$9:$B$15,0))),0)</f>
        <v>5.8213308114408329E-5</v>
      </c>
      <c r="T7" s="14">
        <f>IFERROR(S7*(1+INDEX(CAGR!$C$9:$C$15,MATCH($A7,CAGR!$B$9:$B$15,0))),0)</f>
        <v>5.8062279538051771E-5</v>
      </c>
      <c r="U7" s="14">
        <f>IFERROR(T7*(1+INDEX(CAGR!$C$9:$C$15,MATCH($A7,CAGR!$B$9:$B$15,0))),0)</f>
        <v>5.791164279015532E-5</v>
      </c>
      <c r="V7" s="14">
        <f>IFERROR(U7*(1+INDEX(CAGR!$C$9:$C$15,MATCH($A7,CAGR!$B$9:$B$15,0))),0)</f>
        <v>5.7761396854159423E-5</v>
      </c>
      <c r="W7" s="14">
        <f>IFERROR(V7*(1+INDEX(CAGR!$C$9:$C$15,MATCH($A7,CAGR!$B$9:$B$15,0))),0)</f>
        <v>5.7611540716141893E-5</v>
      </c>
      <c r="X7" s="14">
        <f>IFERROR(W7*(1+INDEX(CAGR!$C$9:$C$15,MATCH($A7,CAGR!$B$9:$B$15,0))),0)</f>
        <v>5.7462073364811052E-5</v>
      </c>
      <c r="Y7" s="14">
        <f>IFERROR(X7*(1+INDEX(CAGR!$C$9:$C$15,MATCH($A7,CAGR!$B$9:$B$15,0))),0)</f>
        <v>5.7312993791498925E-5</v>
      </c>
      <c r="Z7" s="14">
        <f>IFERROR(Y7*(1+INDEX(CAGR!$C$9:$C$15,MATCH($A7,CAGR!$B$9:$B$15,0))),0)</f>
        <v>5.7164300990154421E-5</v>
      </c>
      <c r="AA7" s="14">
        <f>IFERROR(Z7*(1+INDEX(CAGR!$C$9:$C$15,MATCH($A7,CAGR!$B$9:$B$15,0))),0)</f>
        <v>5.7015993957336544E-5</v>
      </c>
      <c r="AB7" s="14">
        <f>IFERROR(AA7*(1+INDEX(CAGR!$C$9:$C$15,MATCH($A7,CAGR!$B$9:$B$15,0))),0)</f>
        <v>5.6868071692207629E-5</v>
      </c>
      <c r="AC7" s="14">
        <f>IFERROR(AB7*(1+INDEX(CAGR!$C$9:$C$15,MATCH($A7,CAGR!$B$9:$B$15,0))),0)</f>
        <v>5.6720533196526589E-5</v>
      </c>
      <c r="AD7" s="14">
        <f>IFERROR(AC7*(1+INDEX(CAGR!$C$9:$C$15,MATCH($A7,CAGR!$B$9:$B$15,0))),0)</f>
        <v>5.6573377474642162E-5</v>
      </c>
      <c r="AE7" s="14">
        <f>IFERROR(AD7*(1+INDEX(CAGR!$C$9:$C$15,MATCH($A7,CAGR!$B$9:$B$15,0))),0)</f>
        <v>5.6426603533486213E-5</v>
      </c>
      <c r="AF7" s="14">
        <f>IFERROR(AE7*(1+INDEX(CAGR!$C$9:$C$15,MATCH($A7,CAGR!$B$9:$B$15,0))),0)</f>
        <v>5.6280210382567016E-5</v>
      </c>
      <c r="AG7" s="14"/>
    </row>
    <row r="8" spans="1:33">
      <c r="A8" s="1" t="s">
        <v>15</v>
      </c>
      <c r="B8" s="13">
        <f>B5*Calibration!$D$21</f>
        <v>2.5733064493391417E-4</v>
      </c>
      <c r="C8" s="13">
        <f>B8*(1+CAGR!$C$15)</f>
        <v>2.5666302644226441E-4</v>
      </c>
      <c r="D8" s="13">
        <f>C8*(1+CAGR!$C$15)</f>
        <v>2.5599714001968286E-4</v>
      </c>
      <c r="E8" s="13">
        <f>D8*(1+CAGR!$C$15)</f>
        <v>2.5533298117249041E-4</v>
      </c>
      <c r="F8" s="13">
        <f>E8*(1+CAGR!$C$15)</f>
        <v>2.5467054541866642E-4</v>
      </c>
      <c r="G8" s="13">
        <f>F8*(1+CAGR!$C$15)</f>
        <v>2.540098282878183E-4</v>
      </c>
      <c r="H8" s="13">
        <f>G8*(1+CAGR!$C$15)</f>
        <v>2.5335082532115149E-4</v>
      </c>
      <c r="I8" s="13">
        <f>H8*(1+CAGR!$C$15)</f>
        <v>2.5269353207143939E-4</v>
      </c>
      <c r="J8" s="13">
        <f>I8*(1+CAGR!$C$15)</f>
        <v>2.5203794410299314E-4</v>
      </c>
      <c r="K8" s="13">
        <f>J8*(1+CAGR!$C$15)</f>
        <v>2.5138405699163196E-4</v>
      </c>
      <c r="L8" s="13">
        <f>K8*(1+CAGR!$C$15)</f>
        <v>2.507318663246531E-4</v>
      </c>
      <c r="M8" s="13">
        <f>L8*(1+CAGR!$C$15)</f>
        <v>2.5008136770080213E-4</v>
      </c>
      <c r="N8" s="13">
        <f>M8*(1+CAGR!$C$15)</f>
        <v>2.4943255673024324E-4</v>
      </c>
      <c r="O8" s="13">
        <f>N8*(1+CAGR!$C$15)</f>
        <v>2.4878542903452959E-4</v>
      </c>
      <c r="P8" s="13">
        <f>O8*(1+CAGR!$C$15)</f>
        <v>2.4813998024657383E-4</v>
      </c>
      <c r="Q8" s="13">
        <f>P8*(1+CAGR!$C$15)</f>
        <v>2.4749620601061855E-4</v>
      </c>
      <c r="R8" s="13">
        <f>Q8*(1+CAGR!$C$15)</f>
        <v>2.4685410198220688E-4</v>
      </c>
      <c r="S8" s="13">
        <f>R8*(1+CAGR!$C$15)</f>
        <v>2.4621366382815321E-4</v>
      </c>
      <c r="T8" s="13">
        <f>S8*(1+CAGR!$C$15)</f>
        <v>2.4557488722651402E-4</v>
      </c>
      <c r="U8" s="13">
        <f>T8*(1+CAGR!$C$15)</f>
        <v>2.4493776786655856E-4</v>
      </c>
      <c r="V8" s="13">
        <f>U8*(1+CAGR!$C$15)</f>
        <v>2.4430230144873989E-4</v>
      </c>
      <c r="W8" s="13">
        <f>V8*(1+CAGR!$C$15)</f>
        <v>2.4366848368466575E-4</v>
      </c>
      <c r="X8" s="13">
        <f>W8*(1+CAGR!$C$15)</f>
        <v>2.4303631029706975E-4</v>
      </c>
      <c r="Y8" s="13">
        <f>X8*(1+CAGR!$C$15)</f>
        <v>2.4240577701978237E-4</v>
      </c>
      <c r="Z8" s="13">
        <f>Y8*(1+CAGR!$C$15)</f>
        <v>2.4177687959770232E-4</v>
      </c>
      <c r="AA8" s="13">
        <f>Z8*(1+CAGR!$C$15)</f>
        <v>2.4114961378676769E-4</v>
      </c>
      <c r="AB8" s="13">
        <f>AA8*(1+CAGR!$C$15)</f>
        <v>2.4052397535392737E-4</v>
      </c>
      <c r="AC8" s="13">
        <f>AB8*(1+CAGR!$C$15)</f>
        <v>2.3989996007711247E-4</v>
      </c>
      <c r="AD8" s="13">
        <f>AC8*(1+CAGR!$C$15)</f>
        <v>2.3927756374520786E-4</v>
      </c>
      <c r="AE8" s="13">
        <f>AD8*(1+CAGR!$C$15)</f>
        <v>2.3865678215802367E-4</v>
      </c>
      <c r="AF8" s="13">
        <f>AE8*(1+CAGR!$C$15)</f>
        <v>2.3803761112626708E-4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psgr'!$B$3:$H$3,,MATCH($A2,'SYFAFE psgr'!$B$1:$H$1,0))*(1+INDEX(CAGR!$C$16:$C$22,MATCH($A2,CAGR!$B$16:$B$22,0))),0)</f>
        <v>2.063236671112524E-3</v>
      </c>
      <c r="C2" s="14">
        <f>IFERROR(B2*(1+INDEX(CAGR!$C$16:$C$22,MATCH($A2,CAGR!$B$16:$B$22,0))),0)</f>
        <v>2.0961914324519842E-3</v>
      </c>
      <c r="D2" s="14">
        <f>IFERROR(C2*(1+INDEX(CAGR!$C$16:$C$22,MATCH($A2,CAGR!$B$16:$B$22,0))),0)</f>
        <v>2.1296725591426163E-3</v>
      </c>
      <c r="E2" s="14">
        <f>IFERROR(D2*(1+INDEX(CAGR!$C$16:$C$22,MATCH($A2,CAGR!$B$16:$B$22,0))),0)</f>
        <v>2.1636884584819291E-3</v>
      </c>
      <c r="F2" s="14">
        <f>IFERROR(E2*(1+INDEX(CAGR!$C$16:$C$22,MATCH($A2,CAGR!$B$16:$B$22,0))),0)</f>
        <v>2.1982476720518239E-3</v>
      </c>
      <c r="G2" s="14">
        <f>IFERROR(F2*(1+INDEX(CAGR!$C$16:$C$22,MATCH($A2,CAGR!$B$16:$B$22,0))),0)</f>
        <v>2.2333588778634334E-3</v>
      </c>
      <c r="H2" s="14">
        <f>IFERROR(G2*(1+INDEX(CAGR!$C$16:$C$22,MATCH($A2,CAGR!$B$16:$B$22,0))),0)</f>
        <v>2.2690308925362181E-3</v>
      </c>
      <c r="I2" s="14">
        <f>IFERROR(H2*(1+INDEX(CAGR!$C$16:$C$22,MATCH($A2,CAGR!$B$16:$B$22,0))),0)</f>
        <v>2.3052726735118701E-3</v>
      </c>
      <c r="J2" s="14">
        <f>IFERROR(I2*(1+INDEX(CAGR!$C$16:$C$22,MATCH($A2,CAGR!$B$16:$B$22,0))),0)</f>
        <v>2.3420933213035744E-3</v>
      </c>
      <c r="K2" s="14">
        <f>IFERROR(J2*(1+INDEX(CAGR!$C$16:$C$22,MATCH($A2,CAGR!$B$16:$B$22,0))),0)</f>
        <v>2.3795020817812002E-3</v>
      </c>
      <c r="L2" s="14">
        <f>IFERROR(K2*(1+INDEX(CAGR!$C$16:$C$22,MATCH($A2,CAGR!$B$16:$B$22,0))),0)</f>
        <v>2.4175083484929902E-3</v>
      </c>
      <c r="M2" s="14">
        <f>IFERROR(L2*(1+INDEX(CAGR!$C$16:$C$22,MATCH($A2,CAGR!$B$16:$B$22,0))),0)</f>
        <v>2.4561216650243315E-3</v>
      </c>
      <c r="N2" s="14">
        <f>IFERROR(M2*(1+INDEX(CAGR!$C$16:$C$22,MATCH($A2,CAGR!$B$16:$B$22,0))),0)</f>
        <v>2.495351727394205E-3</v>
      </c>
      <c r="O2" s="14">
        <f>IFERROR(N2*(1+INDEX(CAGR!$C$16:$C$22,MATCH($A2,CAGR!$B$16:$B$22,0))),0)</f>
        <v>2.5352083864899084E-3</v>
      </c>
      <c r="P2" s="14">
        <f>IFERROR(O2*(1+INDEX(CAGR!$C$16:$C$22,MATCH($A2,CAGR!$B$16:$B$22,0))),0)</f>
        <v>2.5757016505406692E-3</v>
      </c>
      <c r="Q2" s="14">
        <f>IFERROR(P2*(1+INDEX(CAGR!$C$16:$C$22,MATCH($A2,CAGR!$B$16:$B$22,0))),0)</f>
        <v>2.6168416876307678E-3</v>
      </c>
      <c r="R2" s="14">
        <f>IFERROR(Q2*(1+INDEX(CAGR!$C$16:$C$22,MATCH($A2,CAGR!$B$16:$B$22,0))),0)</f>
        <v>2.6586388282527993E-3</v>
      </c>
      <c r="S2" s="14">
        <f>IFERROR(R2*(1+INDEX(CAGR!$C$16:$C$22,MATCH($A2,CAGR!$B$16:$B$22,0))),0)</f>
        <v>2.7011035679017168E-3</v>
      </c>
      <c r="T2" s="14">
        <f>IFERROR(S2*(1+INDEX(CAGR!$C$16:$C$22,MATCH($A2,CAGR!$B$16:$B$22,0))),0)</f>
        <v>2.7442465697103107E-3</v>
      </c>
      <c r="U2" s="14">
        <f>IFERROR(T2*(1+INDEX(CAGR!$C$16:$C$22,MATCH($A2,CAGR!$B$16:$B$22,0))),0)</f>
        <v>2.7880786671267799E-3</v>
      </c>
      <c r="V2" s="14">
        <f>IFERROR(U2*(1+INDEX(CAGR!$C$16:$C$22,MATCH($A2,CAGR!$B$16:$B$22,0))),0)</f>
        <v>2.8326108666350699E-3</v>
      </c>
      <c r="W2" s="14">
        <f>IFERROR(V2*(1+INDEX(CAGR!$C$16:$C$22,MATCH($A2,CAGR!$B$16:$B$22,0))),0)</f>
        <v>2.877854350518664E-3</v>
      </c>
      <c r="X2" s="14">
        <f>IFERROR(W2*(1+INDEX(CAGR!$C$16:$C$22,MATCH($A2,CAGR!$B$16:$B$22,0))),0)</f>
        <v>2.9238204796685164E-3</v>
      </c>
      <c r="Y2" s="14">
        <f>IFERROR(X2*(1+INDEX(CAGR!$C$16:$C$22,MATCH($A2,CAGR!$B$16:$B$22,0))),0)</f>
        <v>2.9705207964358343E-3</v>
      </c>
      <c r="Z2" s="14">
        <f>IFERROR(Y2*(1+INDEX(CAGR!$C$16:$C$22,MATCH($A2,CAGR!$B$16:$B$22,0))),0)</f>
        <v>3.0179670275304283E-3</v>
      </c>
      <c r="AA2" s="14">
        <f>IFERROR(Z2*(1+INDEX(CAGR!$C$16:$C$22,MATCH($A2,CAGR!$B$16:$B$22,0))),0)</f>
        <v>3.0661710869653532E-3</v>
      </c>
      <c r="AB2" s="14">
        <f>IFERROR(AA2*(1+INDEX(CAGR!$C$16:$C$22,MATCH($A2,CAGR!$B$16:$B$22,0))),0)</f>
        <v>3.1151450790485838E-3</v>
      </c>
      <c r="AC2" s="14">
        <f>IFERROR(AB2*(1+INDEX(CAGR!$C$16:$C$22,MATCH($A2,CAGR!$B$16:$B$22,0))),0)</f>
        <v>3.1649013014224741E-3</v>
      </c>
      <c r="AD2" s="14">
        <f>IFERROR(AC2*(1+INDEX(CAGR!$C$16:$C$22,MATCH($A2,CAGR!$B$16:$B$22,0))),0)</f>
        <v>3.2154522481517627E-3</v>
      </c>
      <c r="AE2" s="14">
        <f>IFERROR(AD2*(1+INDEX(CAGR!$C$16:$C$22,MATCH($A2,CAGR!$B$16:$B$22,0))),0)</f>
        <v>3.2668106128609042E-3</v>
      </c>
      <c r="AF2" s="14">
        <f>IFERROR(AE2*(1+INDEX(CAGR!$C$16:$C$22,MATCH($A2,CAGR!$B$16:$B$22,0))),0)</f>
        <v>3.3189892919215066E-3</v>
      </c>
      <c r="AG2" s="14"/>
    </row>
    <row r="3" spans="1:33">
      <c r="A3" s="1" t="s">
        <v>10</v>
      </c>
      <c r="B3" s="14">
        <f>IFERROR(INDEX('SYFAFE psgr'!$B$3:$H$3,,MATCH($A3,'SYFAFE psgr'!$B$1:$H$1,0))*(1+INDEX(CAGR!$C$16:$C$22,MATCH($A3,CAGR!$B$16:$B$22,0))),0)</f>
        <v>1.5866392914376439E-3</v>
      </c>
      <c r="C3" s="14">
        <f>IFERROR(B3*(1+INDEX(CAGR!$C$16:$C$22,MATCH($A3,CAGR!$B$16:$B$22,0))),0)</f>
        <v>1.5983645975452372E-3</v>
      </c>
      <c r="D3" s="14">
        <f>IFERROR(C3*(1+INDEX(CAGR!$C$16:$C$22,MATCH($A3,CAGR!$B$16:$B$22,0))),0)</f>
        <v>1.610176553973454E-3</v>
      </c>
      <c r="E3" s="14">
        <f>IFERROR(D3*(1+INDEX(CAGR!$C$16:$C$22,MATCH($A3,CAGR!$B$16:$B$22,0))),0)</f>
        <v>1.6220758010704432E-3</v>
      </c>
      <c r="F3" s="14">
        <f>IFERROR(E3*(1+INDEX(CAGR!$C$16:$C$22,MATCH($A3,CAGR!$B$16:$B$22,0))),0)</f>
        <v>1.6340629839165439E-3</v>
      </c>
      <c r="G3" s="14">
        <f>IFERROR(F3*(1+INDEX(CAGR!$C$16:$C$22,MATCH($A3,CAGR!$B$16:$B$22,0))),0)</f>
        <v>1.6461387523592553E-3</v>
      </c>
      <c r="H3" s="14">
        <f>IFERROR(G3*(1+INDEX(CAGR!$C$16:$C$22,MATCH($A3,CAGR!$B$16:$B$22,0))),0)</f>
        <v>1.6583037610484674E-3</v>
      </c>
      <c r="I3" s="14">
        <f>IFERROR(H3*(1+INDEX(CAGR!$C$16:$C$22,MATCH($A3,CAGR!$B$16:$B$22,0))),0)</f>
        <v>1.6705586694719494E-3</v>
      </c>
      <c r="J3" s="14">
        <f>IFERROR(I3*(1+INDEX(CAGR!$C$16:$C$22,MATCH($A3,CAGR!$B$16:$B$22,0))),0)</f>
        <v>1.6829041419911027E-3</v>
      </c>
      <c r="K3" s="14">
        <f>IFERROR(J3*(1+INDEX(CAGR!$C$16:$C$22,MATCH($A3,CAGR!$B$16:$B$22,0))),0)</f>
        <v>1.6953408478769772E-3</v>
      </c>
      <c r="L3" s="14">
        <f>IFERROR(K3*(1+INDEX(CAGR!$C$16:$C$22,MATCH($A3,CAGR!$B$16:$B$22,0))),0)</f>
        <v>1.7078694613465533E-3</v>
      </c>
      <c r="M3" s="14">
        <f>IFERROR(L3*(1+INDEX(CAGR!$C$16:$C$22,MATCH($A3,CAGR!$B$16:$B$22,0))),0)</f>
        <v>1.7204906615992926E-3</v>
      </c>
      <c r="N3" s="14">
        <f>IFERROR(M3*(1+INDEX(CAGR!$C$16:$C$22,MATCH($A3,CAGR!$B$16:$B$22,0))),0)</f>
        <v>1.7332051328539586E-3</v>
      </c>
      <c r="O3" s="14">
        <f>IFERROR(N3*(1+INDEX(CAGR!$C$16:$C$22,MATCH($A3,CAGR!$B$16:$B$22,0))),0)</f>
        <v>1.7460135643857094E-3</v>
      </c>
      <c r="P3" s="14">
        <f>IFERROR(O3*(1+INDEX(CAGR!$C$16:$C$22,MATCH($A3,CAGR!$B$16:$B$22,0))),0)</f>
        <v>1.7589166505634648E-3</v>
      </c>
      <c r="Q3" s="14">
        <f>IFERROR(P3*(1+INDEX(CAGR!$C$16:$C$22,MATCH($A3,CAGR!$B$16:$B$22,0))),0)</f>
        <v>1.771915090887549E-3</v>
      </c>
      <c r="R3" s="14">
        <f>IFERROR(Q3*(1+INDEX(CAGR!$C$16:$C$22,MATCH($A3,CAGR!$B$16:$B$22,0))),0)</f>
        <v>1.7850095900276122E-3</v>
      </c>
      <c r="S3" s="14">
        <f>IFERROR(R3*(1+INDEX(CAGR!$C$16:$C$22,MATCH($A3,CAGR!$B$16:$B$22,0))),0)</f>
        <v>1.7982008578608316E-3</v>
      </c>
      <c r="T3" s="14">
        <f>IFERROR(S3*(1+INDEX(CAGR!$C$16:$C$22,MATCH($A3,CAGR!$B$16:$B$22,0))),0)</f>
        <v>1.8114896095103958E-3</v>
      </c>
      <c r="U3" s="14">
        <f>IFERROR(T3*(1+INDEX(CAGR!$C$16:$C$22,MATCH($A3,CAGR!$B$16:$B$22,0))),0)</f>
        <v>1.8248765653842722E-3</v>
      </c>
      <c r="V3" s="14">
        <f>IFERROR(U3*(1+INDEX(CAGR!$C$16:$C$22,MATCH($A3,CAGR!$B$16:$B$22,0))),0)</f>
        <v>1.8383624512142622E-3</v>
      </c>
      <c r="W3" s="14">
        <f>IFERROR(V3*(1+INDEX(CAGR!$C$16:$C$22,MATCH($A3,CAGR!$B$16:$B$22,0))),0)</f>
        <v>1.8519479980953443E-3</v>
      </c>
      <c r="X3" s="14">
        <f>IFERROR(W3*(1+INDEX(CAGR!$C$16:$C$22,MATCH($A3,CAGR!$B$16:$B$22,0))),0)</f>
        <v>1.865633942525308E-3</v>
      </c>
      <c r="Y3" s="14">
        <f>IFERROR(X3*(1+INDEX(CAGR!$C$16:$C$22,MATCH($A3,CAGR!$B$16:$B$22,0))),0)</f>
        <v>1.8794210264446811E-3</v>
      </c>
      <c r="Z3" s="14">
        <f>IFERROR(Y3*(1+INDEX(CAGR!$C$16:$C$22,MATCH($A3,CAGR!$B$16:$B$22,0))),0)</f>
        <v>1.8933099972769513E-3</v>
      </c>
      <c r="AA3" s="14">
        <f>IFERROR(Z3*(1+INDEX(CAGR!$C$16:$C$22,MATCH($A3,CAGR!$B$16:$B$22,0))),0)</f>
        <v>1.9073016079690854E-3</v>
      </c>
      <c r="AB3" s="14">
        <f>IFERROR(AA3*(1+INDEX(CAGR!$C$16:$C$22,MATCH($A3,CAGR!$B$16:$B$22,0))),0)</f>
        <v>1.9213966170323483E-3</v>
      </c>
      <c r="AC3" s="14">
        <f>IFERROR(AB3*(1+INDEX(CAGR!$C$16:$C$22,MATCH($A3,CAGR!$B$16:$B$22,0))),0)</f>
        <v>1.935595788583423E-3</v>
      </c>
      <c r="AD3" s="14">
        <f>IFERROR(AC3*(1+INDEX(CAGR!$C$16:$C$22,MATCH($A3,CAGR!$B$16:$B$22,0))),0)</f>
        <v>1.9498998923858349E-3</v>
      </c>
      <c r="AE3" s="14">
        <f>IFERROR(AD3*(1+INDEX(CAGR!$C$16:$C$22,MATCH($A3,CAGR!$B$16:$B$22,0))),0)</f>
        <v>1.9643097038916819E-3</v>
      </c>
      <c r="AF3" s="14">
        <f>IFERROR(AE3*(1+INDEX(CAGR!$C$16:$C$22,MATCH($A3,CAGR!$B$16:$B$22,0))),0)</f>
        <v>1.978826004283674E-3</v>
      </c>
      <c r="AG3" s="14"/>
    </row>
    <row r="4" spans="1:33">
      <c r="A4" s="1" t="s">
        <v>11</v>
      </c>
      <c r="B4" s="14">
        <f>IFERROR(INDEX('SYFAFE psgr'!$B$3:$H$3,,MATCH($A4,'SYFAFE psgr'!$B$1:$H$1,0))*(1+INDEX(CAGR!$C$16:$C$22,MATCH($A4,CAGR!$B$16:$B$22,0))),0)</f>
        <v>5.8277513022011237E-4</v>
      </c>
      <c r="C4" s="14">
        <f>IFERROR(B4*(1+INDEX(CAGR!$C$16:$C$22,MATCH($A4,CAGR!$B$16:$B$22,0))),0)</f>
        <v>5.8708185376502844E-4</v>
      </c>
      <c r="D4" s="14">
        <f>IFERROR(C4*(1+INDEX(CAGR!$C$16:$C$22,MATCH($A4,CAGR!$B$16:$B$22,0))),0)</f>
        <v>5.9142040411024966E-4</v>
      </c>
      <c r="E4" s="14">
        <f>IFERROR(D4*(1+INDEX(CAGR!$C$16:$C$22,MATCH($A4,CAGR!$B$16:$B$22,0))),0)</f>
        <v>5.9579101645666765E-4</v>
      </c>
      <c r="F4" s="14">
        <f>IFERROR(E4*(1+INDEX(CAGR!$C$16:$C$22,MATCH($A4,CAGR!$B$16:$B$22,0))),0)</f>
        <v>6.0019392774331474E-4</v>
      </c>
      <c r="G4" s="14">
        <f>IFERROR(F4*(1+INDEX(CAGR!$C$16:$C$22,MATCH($A4,CAGR!$B$16:$B$22,0))),0)</f>
        <v>6.0462937666020907E-4</v>
      </c>
      <c r="H4" s="14">
        <f>IFERROR(G4*(1+INDEX(CAGR!$C$16:$C$22,MATCH($A4,CAGR!$B$16:$B$22,0))),0)</f>
        <v>6.090976036612942E-4</v>
      </c>
      <c r="I4" s="14">
        <f>IFERROR(H4*(1+INDEX(CAGR!$C$16:$C$22,MATCH($A4,CAGR!$B$16:$B$22,0))),0)</f>
        <v>6.1359885097747471E-4</v>
      </c>
      <c r="J4" s="14">
        <f>IFERROR(I4*(1+INDEX(CAGR!$C$16:$C$22,MATCH($A4,CAGR!$B$16:$B$22,0))),0)</f>
        <v>6.1813336262974794E-4</v>
      </c>
      <c r="K4" s="14">
        <f>IFERROR(J4*(1+INDEX(CAGR!$C$16:$C$22,MATCH($A4,CAGR!$B$16:$B$22,0))),0)</f>
        <v>6.2270138444243267E-4</v>
      </c>
      <c r="L4" s="14">
        <f>IFERROR(K4*(1+INDEX(CAGR!$C$16:$C$22,MATCH($A4,CAGR!$B$16:$B$22,0))),0)</f>
        <v>6.2730316405649599E-4</v>
      </c>
      <c r="M4" s="14">
        <f>IFERROR(L4*(1+INDEX(CAGR!$C$16:$C$22,MATCH($A4,CAGR!$B$16:$B$22,0))),0)</f>
        <v>6.319389509429783E-4</v>
      </c>
      <c r="N4" s="14">
        <f>IFERROR(M4*(1+INDEX(CAGR!$C$16:$C$22,MATCH($A4,CAGR!$B$16:$B$22,0))),0)</f>
        <v>6.3660899641651753E-4</v>
      </c>
      <c r="O4" s="14">
        <f>IFERROR(N4*(1+INDEX(CAGR!$C$16:$C$22,MATCH($A4,CAGR!$B$16:$B$22,0))),0)</f>
        <v>6.4131355364897326E-4</v>
      </c>
      <c r="P4" s="14">
        <f>IFERROR(O4*(1+INDEX(CAGR!$C$16:$C$22,MATCH($A4,CAGR!$B$16:$B$22,0))),0)</f>
        <v>6.46052877683152E-4</v>
      </c>
      <c r="Q4" s="14">
        <f>IFERROR(P4*(1+INDEX(CAGR!$C$16:$C$22,MATCH($A4,CAGR!$B$16:$B$22,0))),0)</f>
        <v>6.5082722544663313E-4</v>
      </c>
      <c r="R4" s="14">
        <f>IFERROR(Q4*(1+INDEX(CAGR!$C$16:$C$22,MATCH($A4,CAGR!$B$16:$B$22,0))),0)</f>
        <v>6.5563685576569759E-4</v>
      </c>
      <c r="S4" s="14">
        <f>IFERROR(R4*(1+INDEX(CAGR!$C$16:$C$22,MATCH($A4,CAGR!$B$16:$B$22,0))),0)</f>
        <v>6.604820293793594E-4</v>
      </c>
      <c r="T4" s="14">
        <f>IFERROR(S4*(1+INDEX(CAGR!$C$16:$C$22,MATCH($A4,CAGR!$B$16:$B$22,0))),0)</f>
        <v>6.653630089535009E-4</v>
      </c>
      <c r="U4" s="14">
        <f>IFERROR(T4*(1+INDEX(CAGR!$C$16:$C$22,MATCH($A4,CAGR!$B$16:$B$22,0))),0)</f>
        <v>6.7028005909511193E-4</v>
      </c>
      <c r="V4" s="14">
        <f>IFERROR(U4*(1+INDEX(CAGR!$C$16:$C$22,MATCH($A4,CAGR!$B$16:$B$22,0))),0)</f>
        <v>6.7523344636663519E-4</v>
      </c>
      <c r="W4" s="14">
        <f>IFERROR(V4*(1+INDEX(CAGR!$C$16:$C$22,MATCH($A4,CAGR!$B$16:$B$22,0))),0)</f>
        <v>6.8022343930041677E-4</v>
      </c>
      <c r="X4" s="14">
        <f>IFERROR(W4*(1+INDEX(CAGR!$C$16:$C$22,MATCH($A4,CAGR!$B$16:$B$22,0))),0)</f>
        <v>6.8525030841326377E-4</v>
      </c>
      <c r="Y4" s="14">
        <f>IFERROR(X4*(1+INDEX(CAGR!$C$16:$C$22,MATCH($A4,CAGR!$B$16:$B$22,0))),0)</f>
        <v>6.9031432622110973E-4</v>
      </c>
      <c r="Z4" s="14">
        <f>IFERROR(Y4*(1+INDEX(CAGR!$C$16:$C$22,MATCH($A4,CAGR!$B$16:$B$22,0))),0)</f>
        <v>6.9541576725378796E-4</v>
      </c>
      <c r="AA4" s="14">
        <f>IFERROR(Z4*(1+INDEX(CAGR!$C$16:$C$22,MATCH($A4,CAGR!$B$16:$B$22,0))),0)</f>
        <v>7.0055490806991466E-4</v>
      </c>
      <c r="AB4" s="14">
        <f>IFERROR(AA4*(1+INDEX(CAGR!$C$16:$C$22,MATCH($A4,CAGR!$B$16:$B$22,0))),0)</f>
        <v>7.0573202727188141E-4</v>
      </c>
      <c r="AC4" s="14">
        <f>IFERROR(AB4*(1+INDEX(CAGR!$C$16:$C$22,MATCH($A4,CAGR!$B$16:$B$22,0))),0)</f>
        <v>7.1094740552095869E-4</v>
      </c>
      <c r="AD4" s="14">
        <f>IFERROR(AC4*(1+INDEX(CAGR!$C$16:$C$22,MATCH($A4,CAGR!$B$16:$B$22,0))),0)</f>
        <v>7.1620132555251124E-4</v>
      </c>
      <c r="AE4" s="14">
        <f>IFERROR(AD4*(1+INDEX(CAGR!$C$16:$C$22,MATCH($A4,CAGR!$B$16:$B$22,0))),0)</f>
        <v>7.2149407219132555E-4</v>
      </c>
      <c r="AF4" s="14">
        <f>IFERROR(AE4*(1+INDEX(CAGR!$C$16:$C$22,MATCH($A4,CAGR!$B$16:$B$22,0))),0)</f>
        <v>7.2682593236705082E-4</v>
      </c>
      <c r="AG4" s="14"/>
    </row>
    <row r="5" spans="1:33">
      <c r="A5" s="1" t="s">
        <v>12</v>
      </c>
      <c r="B5" s="14">
        <f>IFERROR(INDEX('SYFAFE psgr'!$B$3:$H$3,,MATCH($A5,'SYFAFE psgr'!$B$1:$H$1,0))*(1+INDEX(CAGR!$C$16:$C$22,MATCH($A5,CAGR!$B$16:$B$22,0))),0)</f>
        <v>6.366704966276768E-4</v>
      </c>
      <c r="C5" s="14">
        <f>IFERROR(B5*(1+INDEX(CAGR!$C$16:$C$22,MATCH($A5,CAGR!$B$16:$B$22,0))),0)</f>
        <v>6.4137550834831105E-4</v>
      </c>
      <c r="D5" s="14">
        <f>IFERROR(C5*(1+INDEX(CAGR!$C$16:$C$22,MATCH($A5,CAGR!$B$16:$B$22,0))),0)</f>
        <v>6.4611529022934788E-4</v>
      </c>
      <c r="E5" s="14">
        <f>IFERROR(D5*(1+INDEX(CAGR!$C$16:$C$22,MATCH($A5,CAGR!$B$16:$B$22,0))),0)</f>
        <v>6.5089009922318739E-4</v>
      </c>
      <c r="F5" s="14">
        <f>IFERROR(E5*(1+INDEX(CAGR!$C$16:$C$22,MATCH($A5,CAGR!$B$16:$B$22,0))),0)</f>
        <v>6.5570019418111482E-4</v>
      </c>
      <c r="G5" s="14">
        <f>IFERROR(F5*(1+INDEX(CAGR!$C$16:$C$22,MATCH($A5,CAGR!$B$16:$B$22,0))),0)</f>
        <v>6.6054583586733304E-4</v>
      </c>
      <c r="H5" s="14">
        <f>IFERROR(G5*(1+INDEX(CAGR!$C$16:$C$22,MATCH($A5,CAGR!$B$16:$B$22,0))),0)</f>
        <v>6.6542728697309937E-4</v>
      </c>
      <c r="I5" s="14">
        <f>IFERROR(H5*(1+INDEX(CAGR!$C$16:$C$22,MATCH($A5,CAGR!$B$16:$B$22,0))),0)</f>
        <v>6.7034481213096644E-4</v>
      </c>
      <c r="J5" s="14">
        <f>IFERROR(I5*(1+INDEX(CAGR!$C$16:$C$22,MATCH($A5,CAGR!$B$16:$B$22,0))),0)</f>
        <v>6.7529867792912826E-4</v>
      </c>
      <c r="K5" s="14">
        <f>IFERROR(J5*(1+INDEX(CAGR!$C$16:$C$22,MATCH($A5,CAGR!$B$16:$B$22,0))),0)</f>
        <v>6.8028915292587286E-4</v>
      </c>
      <c r="L5" s="14">
        <f>IFERROR(K5*(1+INDEX(CAGR!$C$16:$C$22,MATCH($A5,CAGR!$B$16:$B$22,0))),0)</f>
        <v>6.8531650766414092E-4</v>
      </c>
      <c r="M5" s="14">
        <f>IFERROR(L5*(1+INDEX(CAGR!$C$16:$C$22,MATCH($A5,CAGR!$B$16:$B$22,0))),0)</f>
        <v>6.9038101468619248E-4</v>
      </c>
      <c r="N5" s="14">
        <f>IFERROR(M5*(1+INDEX(CAGR!$C$16:$C$22,MATCH($A5,CAGR!$B$16:$B$22,0))),0)</f>
        <v>6.9548294854838229E-4</v>
      </c>
      <c r="O5" s="14">
        <f>IFERROR(N5*(1+INDEX(CAGR!$C$16:$C$22,MATCH($A5,CAGR!$B$16:$B$22,0))),0)</f>
        <v>7.0062258583604355E-4</v>
      </c>
      <c r="P5" s="14">
        <f>IFERROR(O5*(1+INDEX(CAGR!$C$16:$C$22,MATCH($A5,CAGR!$B$16:$B$22,0))),0)</f>
        <v>7.0580020517848252E-4</v>
      </c>
      <c r="Q5" s="14">
        <f>IFERROR(P5*(1+INDEX(CAGR!$C$16:$C$22,MATCH($A5,CAGR!$B$16:$B$22,0))),0)</f>
        <v>7.110160872640833E-4</v>
      </c>
      <c r="R5" s="14">
        <f>IFERROR(Q5*(1+INDEX(CAGR!$C$16:$C$22,MATCH($A5,CAGR!$B$16:$B$22,0))),0)</f>
        <v>7.162705148555245E-4</v>
      </c>
      <c r="S5" s="14">
        <f>IFERROR(R5*(1+INDEX(CAGR!$C$16:$C$22,MATCH($A5,CAGR!$B$16:$B$22,0))),0)</f>
        <v>7.2156377280510847E-4</v>
      </c>
      <c r="T5" s="14">
        <f>IFERROR(S5*(1+INDEX(CAGR!$C$16:$C$22,MATCH($A5,CAGR!$B$16:$B$22,0))),0)</f>
        <v>7.2689614807020344E-4</v>
      </c>
      <c r="U5" s="14">
        <f>IFERROR(T5*(1+INDEX(CAGR!$C$16:$C$22,MATCH($A5,CAGR!$B$16:$B$22,0))),0)</f>
        <v>7.3226792972880012E-4</v>
      </c>
      <c r="V5" s="14">
        <f>IFERROR(U5*(1+INDEX(CAGR!$C$16:$C$22,MATCH($A5,CAGR!$B$16:$B$22,0))),0)</f>
        <v>7.3767940899518341E-4</v>
      </c>
      <c r="W5" s="14">
        <f>IFERROR(V5*(1+INDEX(CAGR!$C$16:$C$22,MATCH($A5,CAGR!$B$16:$B$22,0))),0)</f>
        <v>7.4313087923571922E-4</v>
      </c>
      <c r="X5" s="14">
        <f>IFERROR(W5*(1+INDEX(CAGR!$C$16:$C$22,MATCH($A5,CAGR!$B$16:$B$22,0))),0)</f>
        <v>7.4862263598475867E-4</v>
      </c>
      <c r="Y5" s="14">
        <f>IFERROR(X5*(1+INDEX(CAGR!$C$16:$C$22,MATCH($A5,CAGR!$B$16:$B$22,0))),0)</f>
        <v>7.5415497696065944E-4</v>
      </c>
      <c r="Z5" s="14">
        <f>IFERROR(Y5*(1+INDEX(CAGR!$C$16:$C$22,MATCH($A5,CAGR!$B$16:$B$22,0))),0)</f>
        <v>7.5972820208192594E-4</v>
      </c>
      <c r="AA5" s="14">
        <f>IFERROR(Z5*(1+INDEX(CAGR!$C$16:$C$22,MATCH($A5,CAGR!$B$16:$B$22,0))),0)</f>
        <v>7.6534261348346804E-4</v>
      </c>
      <c r="AB5" s="14">
        <f>IFERROR(AA5*(1+INDEX(CAGR!$C$16:$C$22,MATCH($A5,CAGR!$B$16:$B$22,0))),0)</f>
        <v>7.7099851553298052E-4</v>
      </c>
      <c r="AC5" s="14">
        <f>IFERROR(AB5*(1+INDEX(CAGR!$C$16:$C$22,MATCH($A5,CAGR!$B$16:$B$22,0))),0)</f>
        <v>7.7669621484744344E-4</v>
      </c>
      <c r="AD5" s="14">
        <f>IFERROR(AC5*(1+INDEX(CAGR!$C$16:$C$22,MATCH($A5,CAGR!$B$16:$B$22,0))),0)</f>
        <v>7.8243602030974452E-4</v>
      </c>
      <c r="AE5" s="14">
        <f>IFERROR(AD5*(1+INDEX(CAGR!$C$16:$C$22,MATCH($A5,CAGR!$B$16:$B$22,0))),0)</f>
        <v>7.8821824308542411E-4</v>
      </c>
      <c r="AF5" s="14">
        <f>IFERROR(AE5*(1+INDEX(CAGR!$C$16:$C$22,MATCH($A5,CAGR!$B$16:$B$22,0))),0)</f>
        <v>7.9404319663954408E-4</v>
      </c>
      <c r="AG5" s="14"/>
    </row>
    <row r="6" spans="1:33">
      <c r="A6" s="1" t="s">
        <v>13</v>
      </c>
      <c r="B6" s="14">
        <f>IFERROR(INDEX('SYFAFE psgr'!$B$3:$H$3,,MATCH($A6,'SYFAFE psgr'!$B$1:$H$1,0))*(1+INDEX(CAGR!$C$16:$C$22,MATCH($A6,CAGR!$B$16:$B$22,0))),0)</f>
        <v>1.4116556438676638E-3</v>
      </c>
      <c r="C6" s="14">
        <f>IFERROR(B6*(1+INDEX(CAGR!$C$16:$C$22,MATCH($A6,CAGR!$B$16:$B$22,0))),0)</f>
        <v>1.4220878162159625E-3</v>
      </c>
      <c r="D6" s="14">
        <f>IFERROR(C6*(1+INDEX(CAGR!$C$16:$C$22,MATCH($A6,CAGR!$B$16:$B$22,0))),0)</f>
        <v>1.4325970825923816E-3</v>
      </c>
      <c r="E6" s="14">
        <f>IFERROR(D6*(1+INDEX(CAGR!$C$16:$C$22,MATCH($A6,CAGR!$B$16:$B$22,0))),0)</f>
        <v>1.4431840127238171E-3</v>
      </c>
      <c r="F6" s="14">
        <f>IFERROR(E6*(1+INDEX(CAGR!$C$16:$C$22,MATCH($A6,CAGR!$B$16:$B$22,0))),0)</f>
        <v>1.4538491805474621E-3</v>
      </c>
      <c r="G6" s="14">
        <f>IFERROR(F6*(1+INDEX(CAGR!$C$16:$C$22,MATCH($A6,CAGR!$B$16:$B$22,0))),0)</f>
        <v>1.4645931642419203E-3</v>
      </c>
      <c r="H6" s="14">
        <f>IFERROR(G6*(1+INDEX(CAGR!$C$16:$C$22,MATCH($A6,CAGR!$B$16:$B$22,0))),0)</f>
        <v>1.4754165462585506E-3</v>
      </c>
      <c r="I6" s="14">
        <f>IFERROR(H6*(1+INDEX(CAGR!$C$16:$C$22,MATCH($A6,CAGR!$B$16:$B$22,0))),0)</f>
        <v>1.4863199133530428E-3</v>
      </c>
      <c r="J6" s="14">
        <f>IFERROR(I6*(1+INDEX(CAGR!$C$16:$C$22,MATCH($A6,CAGR!$B$16:$B$22,0))),0)</f>
        <v>1.4973038566172268E-3</v>
      </c>
      <c r="K6" s="14">
        <f>IFERROR(J6*(1+INDEX(CAGR!$C$16:$C$22,MATCH($A6,CAGR!$B$16:$B$22,0))),0)</f>
        <v>1.5083689715111163E-3</v>
      </c>
      <c r="L6" s="14">
        <f>IFERROR(K6*(1+INDEX(CAGR!$C$16:$C$22,MATCH($A6,CAGR!$B$16:$B$22,0))),0)</f>
        <v>1.5195158578951906E-3</v>
      </c>
      <c r="M6" s="14">
        <f>IFERROR(L6*(1+INDEX(CAGR!$C$16:$C$22,MATCH($A6,CAGR!$B$16:$B$22,0))),0)</f>
        <v>1.5307451200629134E-3</v>
      </c>
      <c r="N6" s="14">
        <f>IFERROR(M6*(1+INDEX(CAGR!$C$16:$C$22,MATCH($A6,CAGR!$B$16:$B$22,0))),0)</f>
        <v>1.5420573667734934E-3</v>
      </c>
      <c r="O6" s="14">
        <f>IFERROR(N6*(1+INDEX(CAGR!$C$16:$C$22,MATCH($A6,CAGR!$B$16:$B$22,0))),0)</f>
        <v>1.5534532112848854E-3</v>
      </c>
      <c r="P6" s="14">
        <f>IFERROR(O6*(1+INDEX(CAGR!$C$16:$C$22,MATCH($A6,CAGR!$B$16:$B$22,0))),0)</f>
        <v>1.5649332713870369E-3</v>
      </c>
      <c r="Q6" s="14">
        <f>IFERROR(P6*(1+INDEX(CAGR!$C$16:$C$22,MATCH($A6,CAGR!$B$16:$B$22,0))),0)</f>
        <v>1.5764981694353791E-3</v>
      </c>
      <c r="R6" s="14">
        <f>IFERROR(Q6*(1+INDEX(CAGR!$C$16:$C$22,MATCH($A6,CAGR!$B$16:$B$22,0))),0)</f>
        <v>1.5881485323845667E-3</v>
      </c>
      <c r="S6" s="14">
        <f>IFERROR(R6*(1+INDEX(CAGR!$C$16:$C$22,MATCH($A6,CAGR!$B$16:$B$22,0))),0)</f>
        <v>1.5998849918224653E-3</v>
      </c>
      <c r="T6" s="14">
        <f>IFERROR(S6*(1+INDEX(CAGR!$C$16:$C$22,MATCH($A6,CAGR!$B$16:$B$22,0))),0)</f>
        <v>1.6117081840043917E-3</v>
      </c>
      <c r="U6" s="14">
        <f>IFERROR(T6*(1+INDEX(CAGR!$C$16:$C$22,MATCH($A6,CAGR!$B$16:$B$22,0))),0)</f>
        <v>1.6236187498876063E-3</v>
      </c>
      <c r="V6" s="14">
        <f>IFERROR(U6*(1+INDEX(CAGR!$C$16:$C$22,MATCH($A6,CAGR!$B$16:$B$22,0))),0)</f>
        <v>1.6356173351660601E-3</v>
      </c>
      <c r="W6" s="14">
        <f>IFERROR(V6*(1+INDEX(CAGR!$C$16:$C$22,MATCH($A6,CAGR!$B$16:$B$22,0))),0)</f>
        <v>1.6477045903053999E-3</v>
      </c>
      <c r="X6" s="14">
        <f>IFERROR(W6*(1+INDEX(CAGR!$C$16:$C$22,MATCH($A6,CAGR!$B$16:$B$22,0))),0)</f>
        <v>1.6598811705782306E-3</v>
      </c>
      <c r="Y6" s="14">
        <f>IFERROR(X6*(1+INDEX(CAGR!$C$16:$C$22,MATCH($A6,CAGR!$B$16:$B$22,0))),0)</f>
        <v>1.6721477360996384E-3</v>
      </c>
      <c r="Z6" s="14">
        <f>IFERROR(Y6*(1+INDEX(CAGR!$C$16:$C$22,MATCH($A6,CAGR!$B$16:$B$22,0))),0)</f>
        <v>1.6845049518629781E-3</v>
      </c>
      <c r="AA6" s="14">
        <f>IFERROR(Z6*(1+INDEX(CAGR!$C$16:$C$22,MATCH($A6,CAGR!$B$16:$B$22,0))),0)</f>
        <v>1.6969534877759225E-3</v>
      </c>
      <c r="AB6" s="14">
        <f>IFERROR(AA6*(1+INDEX(CAGR!$C$16:$C$22,MATCH($A6,CAGR!$B$16:$B$22,0))),0)</f>
        <v>1.7094940186967798E-3</v>
      </c>
      <c r="AC6" s="14">
        <f>IFERROR(AB6*(1+INDEX(CAGR!$C$16:$C$22,MATCH($A6,CAGR!$B$16:$B$22,0))),0)</f>
        <v>1.7221272244710788E-3</v>
      </c>
      <c r="AD6" s="14">
        <f>IFERROR(AC6*(1+INDEX(CAGR!$C$16:$C$22,MATCH($A6,CAGR!$B$16:$B$22,0))),0)</f>
        <v>1.7348537899684246E-3</v>
      </c>
      <c r="AE6" s="14">
        <f>IFERROR(AD6*(1+INDEX(CAGR!$C$16:$C$22,MATCH($A6,CAGR!$B$16:$B$22,0))),0)</f>
        <v>1.7476744051196269E-3</v>
      </c>
      <c r="AF6" s="14">
        <f>IFERROR(AE6*(1+INDEX(CAGR!$C$16:$C$22,MATCH($A6,CAGR!$B$16:$B$22,0))),0)</f>
        <v>1.7605897649541019E-3</v>
      </c>
      <c r="AG6" s="14"/>
    </row>
    <row r="7" spans="1:33">
      <c r="A7" s="1" t="s">
        <v>14</v>
      </c>
      <c r="B7" s="14">
        <f>IFERROR(INDEX('SYFAFE psgr'!$B$3:$H$3,,MATCH($A7,'SYFAFE psgr'!$B$1:$H$1,0))*(1+INDEX(CAGR!$C$16:$C$22,MATCH($A7,CAGR!$B$16:$B$22,0))),0)</f>
        <v>1.0681356448960849E-3</v>
      </c>
      <c r="C7" s="14">
        <f>IFERROR(B7*(1+INDEX(CAGR!$C$16:$C$22,MATCH($A7,CAGR!$B$16:$B$22,0))),0)</f>
        <v>1.0760291954141047E-3</v>
      </c>
      <c r="D7" s="14">
        <f>IFERROR(C7*(1+INDEX(CAGR!$C$16:$C$22,MATCH($A7,CAGR!$B$16:$B$22,0))),0)</f>
        <v>1.0839810794781289E-3</v>
      </c>
      <c r="E7" s="14">
        <f>IFERROR(D7*(1+INDEX(CAGR!$C$16:$C$22,MATCH($A7,CAGR!$B$16:$B$22,0))),0)</f>
        <v>1.0919917281745973E-3</v>
      </c>
      <c r="F7" s="14">
        <f>IFERROR(E7*(1+INDEX(CAGR!$C$16:$C$22,MATCH($A7,CAGR!$B$16:$B$22,0))),0)</f>
        <v>1.1000615757756898E-3</v>
      </c>
      <c r="G7" s="14">
        <f>IFERROR(F7*(1+INDEX(CAGR!$C$16:$C$22,MATCH($A7,CAGR!$B$16:$B$22,0))),0)</f>
        <v>1.1081910597628688E-3</v>
      </c>
      <c r="H7" s="14">
        <f>IFERROR(G7*(1+INDEX(CAGR!$C$16:$C$22,MATCH($A7,CAGR!$B$16:$B$22,0))),0)</f>
        <v>1.1163806208505968E-3</v>
      </c>
      <c r="I7" s="14">
        <f>IFERROR(H7*(1+INDEX(CAGR!$C$16:$C$22,MATCH($A7,CAGR!$B$16:$B$22,0))),0)</f>
        <v>1.1246307030102272E-3</v>
      </c>
      <c r="J7" s="14">
        <f>IFERROR(I7*(1+INDEX(CAGR!$C$16:$C$22,MATCH($A7,CAGR!$B$16:$B$22,0))),0)</f>
        <v>1.1329417534940737E-3</v>
      </c>
      <c r="K7" s="14">
        <f>IFERROR(J7*(1+INDEX(CAGR!$C$16:$C$22,MATCH($A7,CAGR!$B$16:$B$22,0))),0)</f>
        <v>1.1413142228596566E-3</v>
      </c>
      <c r="L7" s="14">
        <f>IFERROR(K7*(1+INDEX(CAGR!$C$16:$C$22,MATCH($A7,CAGR!$B$16:$B$22,0))),0)</f>
        <v>1.1497485649941274E-3</v>
      </c>
      <c r="M7" s="14">
        <f>IFERROR(L7*(1+INDEX(CAGR!$C$16:$C$22,MATCH($A7,CAGR!$B$16:$B$22,0))),0)</f>
        <v>1.1582452371388763E-3</v>
      </c>
      <c r="N7" s="14">
        <f>IFERROR(M7*(1+INDEX(CAGR!$C$16:$C$22,MATCH($A7,CAGR!$B$16:$B$22,0))),0)</f>
        <v>1.166804699914319E-3</v>
      </c>
      <c r="O7" s="14">
        <f>IFERROR(N7*(1+INDEX(CAGR!$C$16:$C$22,MATCH($A7,CAGR!$B$16:$B$22,0))),0)</f>
        <v>1.1754274173448685E-3</v>
      </c>
      <c r="P7" s="14">
        <f>IFERROR(O7*(1+INDEX(CAGR!$C$16:$C$22,MATCH($A7,CAGR!$B$16:$B$22,0))),0)</f>
        <v>1.18411385688409E-3</v>
      </c>
      <c r="Q7" s="14">
        <f>IFERROR(P7*(1+INDEX(CAGR!$C$16:$C$22,MATCH($A7,CAGR!$B$16:$B$22,0))),0)</f>
        <v>1.1928644894400433E-3</v>
      </c>
      <c r="R7" s="14">
        <f>IFERROR(Q7*(1+INDEX(CAGR!$C$16:$C$22,MATCH($A7,CAGR!$B$16:$B$22,0))),0)</f>
        <v>1.2016797894008108E-3</v>
      </c>
      <c r="S7" s="14">
        <f>IFERROR(R7*(1+INDEX(CAGR!$C$16:$C$22,MATCH($A7,CAGR!$B$16:$B$22,0))),0)</f>
        <v>1.2105602346602156E-3</v>
      </c>
      <c r="T7" s="14">
        <f>IFERROR(S7*(1+INDEX(CAGR!$C$16:$C$22,MATCH($A7,CAGR!$B$16:$B$22,0))),0)</f>
        <v>1.2195063066437284E-3</v>
      </c>
      <c r="U7" s="14">
        <f>IFERROR(T7*(1+INDEX(CAGR!$C$16:$C$22,MATCH($A7,CAGR!$B$16:$B$22,0))),0)</f>
        <v>1.2285184903345671E-3</v>
      </c>
      <c r="V7" s="14">
        <f>IFERROR(U7*(1+INDEX(CAGR!$C$16:$C$22,MATCH($A7,CAGR!$B$16:$B$22,0))),0)</f>
        <v>1.2375972742999881E-3</v>
      </c>
      <c r="W7" s="14">
        <f>IFERROR(V7*(1+INDEX(CAGR!$C$16:$C$22,MATCH($A7,CAGR!$B$16:$B$22,0))),0)</f>
        <v>1.2467431507177729E-3</v>
      </c>
      <c r="X7" s="14">
        <f>IFERROR(W7*(1+INDEX(CAGR!$C$16:$C$22,MATCH($A7,CAGR!$B$16:$B$22,0))),0)</f>
        <v>1.2559566154029098E-3</v>
      </c>
      <c r="Y7" s="14">
        <f>IFERROR(X7*(1+INDEX(CAGR!$C$16:$C$22,MATCH($A7,CAGR!$B$16:$B$22,0))),0)</f>
        <v>1.2652381678344724E-3</v>
      </c>
      <c r="Z7" s="14">
        <f>IFERROR(Y7*(1+INDEX(CAGR!$C$16:$C$22,MATCH($A7,CAGR!$B$16:$B$22,0))),0)</f>
        <v>1.2745883111826984E-3</v>
      </c>
      <c r="AA7" s="14">
        <f>IFERROR(Z7*(1+INDEX(CAGR!$C$16:$C$22,MATCH($A7,CAGR!$B$16:$B$22,0))),0)</f>
        <v>1.2840075523362666E-3</v>
      </c>
      <c r="AB7" s="14">
        <f>IFERROR(AA7*(1+INDEX(CAGR!$C$16:$C$22,MATCH($A7,CAGR!$B$16:$B$22,0))),0)</f>
        <v>1.2934964019297762E-3</v>
      </c>
      <c r="AC7" s="14">
        <f>IFERROR(AB7*(1+INDEX(CAGR!$C$16:$C$22,MATCH($A7,CAGR!$B$16:$B$22,0))),0)</f>
        <v>1.3030553743714299E-3</v>
      </c>
      <c r="AD7" s="14">
        <f>IFERROR(AC7*(1+INDEX(CAGR!$C$16:$C$22,MATCH($A7,CAGR!$B$16:$B$22,0))),0)</f>
        <v>1.3126849878709202E-3</v>
      </c>
      <c r="AE7" s="14">
        <f>IFERROR(AD7*(1+INDEX(CAGR!$C$16:$C$22,MATCH($A7,CAGR!$B$16:$B$22,0))),0)</f>
        <v>1.3223857644675231E-3</v>
      </c>
      <c r="AF7" s="14">
        <f>IFERROR(AE7*(1+INDEX(CAGR!$C$16:$C$22,MATCH($A7,CAGR!$B$16:$B$22,0))),0)</f>
        <v>1.3321582300583987E-3</v>
      </c>
      <c r="AG7" s="14"/>
    </row>
    <row r="8" spans="1:33">
      <c r="A8" s="1" t="s">
        <v>15</v>
      </c>
      <c r="B8" s="18">
        <f>'SYFAFE psgr'!H3</f>
        <v>1.8959000000000001E-3</v>
      </c>
      <c r="C8" s="18">
        <f>B8*(1+CAGR!$D$22)</f>
        <v>1.9159809011063201E-3</v>
      </c>
      <c r="D8" s="18">
        <f>C8*(1+CAGR!$D$22)</f>
        <v>1.9362744941210962E-3</v>
      </c>
      <c r="E8" s="18">
        <f>D8*(1+CAGR!$D$22)</f>
        <v>1.9567830318241056E-3</v>
      </c>
      <c r="F8" s="18">
        <f>E8*(1+CAGR!$D$22)</f>
        <v>1.9775087908560085E-3</v>
      </c>
      <c r="G8" s="18">
        <f>F8*(1+CAGR!$D$22)</f>
        <v>1.9984540719710769E-3</v>
      </c>
      <c r="H8" s="18">
        <f>G8*(1+CAGR!$D$22)</f>
        <v>2.019621200292599E-3</v>
      </c>
      <c r="I8" s="18">
        <f>H8*(1+CAGR!$D$22)</f>
        <v>2.0410125255709908E-3</v>
      </c>
      <c r="J8" s="18">
        <f>I8*(1+CAGR!$D$22)</f>
        <v>2.0626304224446402E-3</v>
      </c>
      <c r="K8" s="18">
        <f>J8*(1+CAGR!$D$22)</f>
        <v>2.0844772907035137E-3</v>
      </c>
      <c r="L8" s="18">
        <f>K8*(1+CAGR!$D$22)</f>
        <v>2.1065555555555564E-3</v>
      </c>
      <c r="M8" s="18">
        <f>L8*(1+CAGR!$D$22)</f>
        <v>2.1288676678959122E-3</v>
      </c>
      <c r="N8" s="18">
        <f>M8*(1+CAGR!$D$22)</f>
        <v>2.1514161045789967E-3</v>
      </c>
      <c r="O8" s="18">
        <f>N8*(1+CAGR!$D$22)</f>
        <v>2.1742033686934516E-3</v>
      </c>
      <c r="P8" s="18">
        <f>O8*(1+CAGR!$D$22)</f>
        <v>2.1972319898400107E-3</v>
      </c>
      <c r="Q8" s="18">
        <f>P8*(1+CAGR!$D$22)</f>
        <v>2.220504524412309E-3</v>
      </c>
      <c r="R8" s="18">
        <f>Q8*(1+CAGR!$D$22)</f>
        <v>2.244023555880667E-3</v>
      </c>
      <c r="S8" s="18">
        <f>R8*(1+CAGR!$D$22)</f>
        <v>2.2677916950788802E-3</v>
      </c>
      <c r="T8" s="18">
        <f>S8*(1+CAGR!$D$22)</f>
        <v>2.291811580494046E-3</v>
      </c>
      <c r="U8" s="18">
        <f>T8*(1+CAGR!$D$22)</f>
        <v>2.3160858785594607E-3</v>
      </c>
      <c r="V8" s="18">
        <f>U8*(1+CAGR!$D$22)</f>
        <v>2.3406172839506192E-3</v>
      </c>
      <c r="W8" s="18">
        <f>V8*(1+CAGR!$D$22)</f>
        <v>2.3654085198843476E-3</v>
      </c>
      <c r="X8" s="18">
        <f>W8*(1+CAGR!$D$22)</f>
        <v>2.3904623384211083E-3</v>
      </c>
      <c r="Y8" s="18">
        <f>X8*(1+CAGR!$D$22)</f>
        <v>2.4157815207705028E-3</v>
      </c>
      <c r="Z8" s="18">
        <f>Y8*(1+CAGR!$D$22)</f>
        <v>2.4413688776000128E-3</v>
      </c>
      <c r="AA8" s="18">
        <f>Z8*(1+CAGR!$D$22)</f>
        <v>2.4672272493470107E-3</v>
      </c>
      <c r="AB8" s="18">
        <f>AA8*(1+CAGR!$D$22)</f>
        <v>2.4933595065340752E-3</v>
      </c>
      <c r="AC8" s="18">
        <f>AB8*(1+CAGR!$D$22)</f>
        <v>2.5197685500876455E-3</v>
      </c>
      <c r="AD8" s="18">
        <f>AC8*(1+CAGR!$D$22)</f>
        <v>2.5464573116600522E-3</v>
      </c>
      <c r="AE8" s="18">
        <f>AD8*(1+CAGR!$D$22)</f>
        <v>2.5734287539549575E-3</v>
      </c>
      <c r="AF8" s="18">
        <f>AE8*(1+CAGR!$D$22)</f>
        <v>2.6006858710562446E-3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21">
        <f>IFERROR(INDEX('SYFAFE frgt'!$B$3:$H$3,,MATCH($A2,'SYFAFE frgt'!$B$1:$H$1,0))*(1+INDEX(CAGR!$C$23:$C$29,MATCH($A2,CAGR!$B$23:$B$29,0))),0)</f>
        <v>2.242251001154885E-3</v>
      </c>
      <c r="C2" s="21">
        <f>IFERROR(B2*(1+INDEX(CAGR!$C$23:$C$29,MATCH($A2,CAGR!$B$23:$B$29,0))),0)</f>
        <v>2.2780650440326613E-3</v>
      </c>
      <c r="D2" s="21">
        <f>IFERROR(C2*(1+INDEX(CAGR!$C$23:$C$29,MATCH($A2,CAGR!$B$23:$B$29,0))),0)</f>
        <v>2.3144511217390944E-3</v>
      </c>
      <c r="E2" s="21">
        <f>IFERROR(D2*(1+INDEX(CAGR!$C$23:$C$29,MATCH($A2,CAGR!$B$23:$B$29,0))),0)</f>
        <v>2.3514183710210833E-3</v>
      </c>
      <c r="F2" s="21">
        <f>IFERROR(E2*(1+INDEX(CAGR!$C$23:$C$29,MATCH($A2,CAGR!$B$23:$B$29,0))),0)</f>
        <v>2.3889760745609482E-3</v>
      </c>
      <c r="G2" s="21">
        <f>IFERROR(F2*(1+INDEX(CAGR!$C$23:$C$29,MATCH($A2,CAGR!$B$23:$B$29,0))),0)</f>
        <v>2.4271336633073645E-3</v>
      </c>
      <c r="H2" s="21">
        <f>IFERROR(G2*(1+INDEX(CAGR!$C$23:$C$29,MATCH($A2,CAGR!$B$23:$B$29,0))),0)</f>
        <v>2.4659007188435255E-3</v>
      </c>
      <c r="I2" s="21">
        <f>IFERROR(H2*(1+INDEX(CAGR!$C$23:$C$29,MATCH($A2,CAGR!$B$23:$B$29,0))),0)</f>
        <v>2.5052869757931336E-3</v>
      </c>
      <c r="J2" s="21">
        <f>IFERROR(I2*(1+INDEX(CAGR!$C$23:$C$29,MATCH($A2,CAGR!$B$23:$B$29,0))),0)</f>
        <v>2.5453023242648152E-3</v>
      </c>
      <c r="K2" s="21">
        <f>IFERROR(J2*(1+INDEX(CAGR!$C$23:$C$29,MATCH($A2,CAGR!$B$23:$B$29,0))),0)</f>
        <v>2.5859568123355854E-3</v>
      </c>
      <c r="L2" s="21">
        <f>IFERROR(K2*(1+INDEX(CAGR!$C$23:$C$29,MATCH($A2,CAGR!$B$23:$B$29,0))),0)</f>
        <v>2.6272606485739742E-3</v>
      </c>
      <c r="M2" s="21">
        <f>IFERROR(L2*(1+INDEX(CAGR!$C$23:$C$29,MATCH($A2,CAGR!$B$23:$B$29,0))),0)</f>
        <v>2.6692242046034553E-3</v>
      </c>
      <c r="N2" s="21">
        <f>IFERROR(M2*(1+INDEX(CAGR!$C$23:$C$29,MATCH($A2,CAGR!$B$23:$B$29,0))),0)</f>
        <v>2.7118580177068188E-3</v>
      </c>
      <c r="O2" s="21">
        <f>IFERROR(N2*(1+INDEX(CAGR!$C$23:$C$29,MATCH($A2,CAGR!$B$23:$B$29,0))),0)</f>
        <v>2.7551727934721415E-3</v>
      </c>
      <c r="P2" s="21">
        <f>IFERROR(O2*(1+INDEX(CAGR!$C$23:$C$29,MATCH($A2,CAGR!$B$23:$B$29,0))),0)</f>
        <v>2.7991794084810196E-3</v>
      </c>
      <c r="Q2" s="21">
        <f>IFERROR(P2*(1+INDEX(CAGR!$C$23:$C$29,MATCH($A2,CAGR!$B$23:$B$29,0))),0)</f>
        <v>2.8438889130397394E-3</v>
      </c>
      <c r="R2" s="21">
        <f>IFERROR(Q2*(1+INDEX(CAGR!$C$23:$C$29,MATCH($A2,CAGR!$B$23:$B$29,0))),0)</f>
        <v>2.8893125339540704E-3</v>
      </c>
      <c r="S2" s="21">
        <f>IFERROR(R2*(1+INDEX(CAGR!$C$23:$C$29,MATCH($A2,CAGR!$B$23:$B$29,0))),0)</f>
        <v>2.9354616773483787E-3</v>
      </c>
      <c r="T2" s="21">
        <f>IFERROR(S2*(1+INDEX(CAGR!$C$23:$C$29,MATCH($A2,CAGR!$B$23:$B$29,0))),0)</f>
        <v>2.9823479315297689E-3</v>
      </c>
      <c r="U2" s="21">
        <f>IFERROR(T2*(1+INDEX(CAGR!$C$23:$C$29,MATCH($A2,CAGR!$B$23:$B$29,0))),0)</f>
        <v>3.0299830698979719E-3</v>
      </c>
      <c r="V2" s="21">
        <f>IFERROR(U2*(1+INDEX(CAGR!$C$23:$C$29,MATCH($A2,CAGR!$B$23:$B$29,0))),0)</f>
        <v>3.0783790539017121E-3</v>
      </c>
      <c r="W2" s="21">
        <f>IFERROR(V2*(1+INDEX(CAGR!$C$23:$C$29,MATCH($A2,CAGR!$B$23:$B$29,0))),0)</f>
        <v>3.1275480360422932E-3</v>
      </c>
      <c r="X2" s="21">
        <f>IFERROR(W2*(1+INDEX(CAGR!$C$23:$C$29,MATCH($A2,CAGR!$B$23:$B$29,0))),0)</f>
        <v>3.1775023629251591E-3</v>
      </c>
      <c r="Y2" s="21">
        <f>IFERROR(X2*(1+INDEX(CAGR!$C$23:$C$29,MATCH($A2,CAGR!$B$23:$B$29,0))),0)</f>
        <v>3.2282545783601951E-3</v>
      </c>
      <c r="Z2" s="21">
        <f>IFERROR(Y2*(1+INDEX(CAGR!$C$23:$C$29,MATCH($A2,CAGR!$B$23:$B$29,0))),0)</f>
        <v>3.2798174265115487E-3</v>
      </c>
      <c r="AA2" s="21">
        <f>IFERROR(Z2*(1+INDEX(CAGR!$C$23:$C$29,MATCH($A2,CAGR!$B$23:$B$29,0))),0)</f>
        <v>3.332203855097761E-3</v>
      </c>
      <c r="AB2" s="21">
        <f>IFERROR(AA2*(1+INDEX(CAGR!$C$23:$C$29,MATCH($A2,CAGR!$B$23:$B$29,0))),0)</f>
        <v>3.3854270186430093E-3</v>
      </c>
      <c r="AC2" s="21">
        <f>IFERROR(AB2*(1+INDEX(CAGR!$C$23:$C$29,MATCH($A2,CAGR!$B$23:$B$29,0))),0)</f>
        <v>3.439500281780283E-3</v>
      </c>
      <c r="AD2" s="21">
        <f>IFERROR(AC2*(1+INDEX(CAGR!$C$23:$C$29,MATCH($A2,CAGR!$B$23:$B$29,0))),0)</f>
        <v>3.4944372226073167E-3</v>
      </c>
      <c r="AE2" s="21">
        <f>IFERROR(AD2*(1+INDEX(CAGR!$C$23:$C$29,MATCH($A2,CAGR!$B$23:$B$29,0))),0)</f>
        <v>3.5502516360961267E-3</v>
      </c>
      <c r="AF2" s="21">
        <f>IFERROR(AE2*(1+INDEX(CAGR!$C$23:$C$29,MATCH($A2,CAGR!$B$23:$B$29,0))),0)</f>
        <v>3.6069575375570042E-3</v>
      </c>
      <c r="AG2" s="14"/>
    </row>
    <row r="3" spans="1:33">
      <c r="A3" s="1" t="s">
        <v>10</v>
      </c>
      <c r="B3" s="13">
        <f>B5*Calibration!$C$27</f>
        <v>8.0401576058837933E-4</v>
      </c>
      <c r="C3" s="13">
        <f>B3*(1+CAGR!$C$24)</f>
        <v>8.0995745821247267E-4</v>
      </c>
      <c r="D3" s="13">
        <f>C3*(1+CAGR!$C$24)</f>
        <v>8.1594306513833187E-4</v>
      </c>
      <c r="E3" s="13">
        <f>D3*(1+CAGR!$C$24)</f>
        <v>8.2197290585685223E-4</v>
      </c>
      <c r="F3" s="13">
        <f>E3*(1+CAGR!$C$24)</f>
        <v>8.2804730725692514E-4</v>
      </c>
      <c r="G3" s="13">
        <f>F3*(1+CAGR!$C$24)</f>
        <v>8.3416659864315979E-4</v>
      </c>
      <c r="H3" s="13">
        <f>G3*(1+CAGR!$C$24)</f>
        <v>8.4033111175373489E-4</v>
      </c>
      <c r="I3" s="13">
        <f>H3*(1+CAGR!$C$24)</f>
        <v>8.4654118077838317E-4</v>
      </c>
      <c r="J3" s="13">
        <f>I3*(1+CAGR!$C$24)</f>
        <v>8.5279714237650813E-4</v>
      </c>
      <c r="K3" s="13">
        <f>J3*(1+CAGR!$C$24)</f>
        <v>8.590993356954351E-4</v>
      </c>
      <c r="L3" s="13">
        <f>K3*(1+CAGR!$C$24)</f>
        <v>8.6544810238879731E-4</v>
      </c>
      <c r="M3" s="13">
        <f>L3*(1+CAGR!$C$24)</f>
        <v>8.7184378663505708E-4</v>
      </c>
      <c r="N3" s="13">
        <f>M3*(1+CAGR!$C$24)</f>
        <v>8.7828673515616461E-4</v>
      </c>
      <c r="O3" s="13">
        <f>N3*(1+CAGR!$C$24)</f>
        <v>8.8477729723635467E-4</v>
      </c>
      <c r="P3" s="13">
        <f>O3*(1+CAGR!$C$24)</f>
        <v>8.9131582474108158E-4</v>
      </c>
      <c r="Q3" s="13">
        <f>P3*(1+CAGR!$C$24)</f>
        <v>8.9790267213609451E-4</v>
      </c>
      <c r="R3" s="13">
        <f>Q3*(1+CAGR!$C$24)</f>
        <v>9.0453819650665403E-4</v>
      </c>
      <c r="S3" s="13">
        <f>R3*(1+CAGR!$C$24)</f>
        <v>9.1122275757689005E-4</v>
      </c>
      <c r="T3" s="13">
        <f>S3*(1+CAGR!$C$24)</f>
        <v>9.1795671772930334E-4</v>
      </c>
      <c r="U3" s="13">
        <f>T3*(1+CAGR!$C$24)</f>
        <v>9.2474044202441085E-4</v>
      </c>
      <c r="V3" s="13">
        <f>U3*(1+CAGR!$C$24)</f>
        <v>9.3157429822053638E-4</v>
      </c>
      <c r="W3" s="13">
        <f>V3*(1+CAGR!$C$24)</f>
        <v>9.3845865679374741E-4</v>
      </c>
      <c r="X3" s="13">
        <f>W3*(1+CAGR!$C$24)</f>
        <v>9.4539389095793925E-4</v>
      </c>
      <c r="Y3" s="13">
        <f>X3*(1+CAGR!$C$24)</f>
        <v>9.5238037668506786E-4</v>
      </c>
      <c r="Z3" s="13">
        <f>Y3*(1+CAGR!$C$24)</f>
        <v>9.5941849272553168E-4</v>
      </c>
      <c r="AA3" s="13">
        <f>Z3*(1+CAGR!$C$24)</f>
        <v>9.6650862062870472E-4</v>
      </c>
      <c r="AB3" s="13">
        <f>AA3*(1+CAGR!$C$24)</f>
        <v>9.7365114476362065E-4</v>
      </c>
      <c r="AC3" s="13">
        <f>AB3*(1+CAGR!$C$24)</f>
        <v>9.8084645233981064E-4</v>
      </c>
      <c r="AD3" s="13">
        <f>AC3*(1+CAGR!$C$24)</f>
        <v>9.8809493342829464E-4</v>
      </c>
      <c r="AE3" s="13">
        <f>AD3*(1+CAGR!$C$24)</f>
        <v>9.9539698098272708E-4</v>
      </c>
      <c r="AF3" s="13">
        <f>AE3*(1+CAGR!$C$24)</f>
        <v>1.002752990860701E-3</v>
      </c>
      <c r="AG3" s="14"/>
    </row>
    <row r="4" spans="1:33">
      <c r="A4" s="1" t="s">
        <v>11</v>
      </c>
      <c r="B4" s="14">
        <f>IFERROR(INDEX('SYFAFE frgt'!$B$3:$H$3,,MATCH($A4,'SYFAFE frgt'!$B$1:$H$1,0))*(1+INDEX(CAGR!$C$23:$C$29,MATCH($A4,CAGR!$B$23:$B$29,0))),0)</f>
        <v>1.180661110834869E-3</v>
      </c>
      <c r="C4" s="14">
        <f>IFERROR(B4*(1+INDEX(CAGR!$C$23:$C$29,MATCH($A4,CAGR!$B$23:$B$29,0))),0)</f>
        <v>1.1893862275066782E-3</v>
      </c>
      <c r="D4" s="14">
        <f>IFERROR(C4*(1+INDEX(CAGR!$C$23:$C$29,MATCH($A4,CAGR!$B$23:$B$29,0))),0)</f>
        <v>1.1981758230202465E-3</v>
      </c>
      <c r="E4" s="14">
        <f>IFERROR(D4*(1+INDEX(CAGR!$C$23:$C$29,MATCH($A4,CAGR!$B$23:$B$29,0))),0)</f>
        <v>1.2070303738759109E-3</v>
      </c>
      <c r="F4" s="14">
        <f>IFERROR(E4*(1+INDEX(CAGR!$C$23:$C$29,MATCH($A4,CAGR!$B$23:$B$29,0))),0)</f>
        <v>1.2159503600953584E-3</v>
      </c>
      <c r="G4" s="14">
        <f>IFERROR(F4*(1+INDEX(CAGR!$C$23:$C$29,MATCH($A4,CAGR!$B$23:$B$29,0))),0)</f>
        <v>1.2249362652476492E-3</v>
      </c>
      <c r="H4" s="14">
        <f>IFERROR(G4*(1+INDEX(CAGR!$C$23:$C$29,MATCH($A4,CAGR!$B$23:$B$29,0))),0)</f>
        <v>1.2339885764754311E-3</v>
      </c>
      <c r="I4" s="14">
        <f>IFERROR(H4*(1+INDEX(CAGR!$C$23:$C$29,MATCH($A4,CAGR!$B$23:$B$29,0))),0)</f>
        <v>1.2431077845213492E-3</v>
      </c>
      <c r="J4" s="14">
        <f>IFERROR(I4*(1+INDEX(CAGR!$C$23:$C$29,MATCH($A4,CAGR!$B$23:$B$29,0))),0)</f>
        <v>1.2522943837546493E-3</v>
      </c>
      <c r="K4" s="14">
        <f>IFERROR(J4*(1+INDEX(CAGR!$C$23:$C$29,MATCH($A4,CAGR!$B$23:$B$29,0))),0)</f>
        <v>1.2615488721979796E-3</v>
      </c>
      <c r="L4" s="14">
        <f>IFERROR(K4*(1+INDEX(CAGR!$C$23:$C$29,MATCH($A4,CAGR!$B$23:$B$29,0))),0)</f>
        <v>1.270871751554388E-3</v>
      </c>
      <c r="M4" s="14">
        <f>IFERROR(L4*(1+INDEX(CAGR!$C$23:$C$29,MATCH($A4,CAGR!$B$23:$B$29,0))),0)</f>
        <v>1.2802635272345217E-3</v>
      </c>
      <c r="N4" s="14">
        <f>IFERROR(M4*(1+INDEX(CAGR!$C$23:$C$29,MATCH($A4,CAGR!$B$23:$B$29,0))),0)</f>
        <v>1.2897247083840256E-3</v>
      </c>
      <c r="O4" s="14">
        <f>IFERROR(N4*(1+INDEX(CAGR!$C$23:$C$29,MATCH($A4,CAGR!$B$23:$B$29,0))),0)</f>
        <v>1.2992558079111443E-3</v>
      </c>
      <c r="P4" s="14">
        <f>IFERROR(O4*(1+INDEX(CAGR!$C$23:$C$29,MATCH($A4,CAGR!$B$23:$B$29,0))),0)</f>
        <v>1.3088573425145279E-3</v>
      </c>
      <c r="Q4" s="14">
        <f>IFERROR(P4*(1+INDEX(CAGR!$C$23:$C$29,MATCH($A4,CAGR!$B$23:$B$29,0))),0)</f>
        <v>1.3185298327112432E-3</v>
      </c>
      <c r="R4" s="14">
        <f>IFERROR(Q4*(1+INDEX(CAGR!$C$23:$C$29,MATCH($A4,CAGR!$B$23:$B$29,0))),0)</f>
        <v>1.3282738028649918E-3</v>
      </c>
      <c r="S4" s="14">
        <f>IFERROR(R4*(1+INDEX(CAGR!$C$23:$C$29,MATCH($A4,CAGR!$B$23:$B$29,0))),0)</f>
        <v>1.3380897812145366E-3</v>
      </c>
      <c r="T4" s="14">
        <f>IFERROR(S4*(1+INDEX(CAGR!$C$23:$C$29,MATCH($A4,CAGR!$B$23:$B$29,0))),0)</f>
        <v>1.3479782999023392E-3</v>
      </c>
      <c r="U4" s="14">
        <f>IFERROR(T4*(1+INDEX(CAGR!$C$23:$C$29,MATCH($A4,CAGR!$B$23:$B$29,0))),0)</f>
        <v>1.3579398950034078E-3</v>
      </c>
      <c r="V4" s="14">
        <f>IFERROR(U4*(1+INDEX(CAGR!$C$23:$C$29,MATCH($A4,CAGR!$B$23:$B$29,0))),0)</f>
        <v>1.3679751065543591E-3</v>
      </c>
      <c r="W4" s="14">
        <f>IFERROR(V4*(1+INDEX(CAGR!$C$23:$C$29,MATCH($A4,CAGR!$B$23:$B$29,0))),0)</f>
        <v>1.3780844785826944E-3</v>
      </c>
      <c r="X4" s="14">
        <f>IFERROR(W4*(1+INDEX(CAGR!$C$23:$C$29,MATCH($A4,CAGR!$B$23:$B$29,0))),0)</f>
        <v>1.3882685591362928E-3</v>
      </c>
      <c r="Y4" s="14">
        <f>IFERROR(X4*(1+INDEX(CAGR!$C$23:$C$29,MATCH($A4,CAGR!$B$23:$B$29,0))),0)</f>
        <v>1.3985279003131215E-3</v>
      </c>
      <c r="Z4" s="14">
        <f>IFERROR(Y4*(1+INDEX(CAGR!$C$23:$C$29,MATCH($A4,CAGR!$B$23:$B$29,0))),0)</f>
        <v>1.4088630582911664E-3</v>
      </c>
      <c r="AA4" s="14">
        <f>IFERROR(Z4*(1+INDEX(CAGR!$C$23:$C$29,MATCH($A4,CAGR!$B$23:$B$29,0))),0)</f>
        <v>1.4192745933585831E-3</v>
      </c>
      <c r="AB4" s="14">
        <f>IFERROR(AA4*(1+INDEX(CAGR!$C$23:$C$29,MATCH($A4,CAGR!$B$23:$B$29,0))),0)</f>
        <v>1.4297630699440713E-3</v>
      </c>
      <c r="AC4" s="14">
        <f>IFERROR(AB4*(1+INDEX(CAGR!$C$23:$C$29,MATCH($A4,CAGR!$B$23:$B$29,0))),0)</f>
        <v>1.4403290566474742E-3</v>
      </c>
      <c r="AD4" s="14">
        <f>IFERROR(AC4*(1+INDEX(CAGR!$C$23:$C$29,MATCH($A4,CAGR!$B$23:$B$29,0))),0)</f>
        <v>1.4509731262706022E-3</v>
      </c>
      <c r="AE4" s="14">
        <f>IFERROR(AD4*(1+INDEX(CAGR!$C$23:$C$29,MATCH($A4,CAGR!$B$23:$B$29,0))),0)</f>
        <v>1.4616958558482866E-3</v>
      </c>
      <c r="AF4" s="14">
        <f>IFERROR(AE4*(1+INDEX(CAGR!$C$23:$C$29,MATCH($A4,CAGR!$B$23:$B$29,0))),0)</f>
        <v>1.4724978266796608E-3</v>
      </c>
      <c r="AG4" s="14"/>
    </row>
    <row r="5" spans="1:33">
      <c r="A5" s="1" t="s">
        <v>12</v>
      </c>
      <c r="B5" s="14">
        <f>IFERROR(INDEX('SYFAFE frgt'!$B$3:$H$3,,MATCH($A5,'SYFAFE frgt'!$B$1:$H$1,0))*(1+INDEX(CAGR!$C$23:$C$29,MATCH($A5,CAGR!$B$23:$B$29,0))),0)</f>
        <v>1.1736093806507017E-3</v>
      </c>
      <c r="C5" s="14">
        <f>IFERROR(B5*(1+INDEX(CAGR!$C$23:$C$29,MATCH($A5,CAGR!$B$23:$B$29,0))),0)</f>
        <v>1.1822823848509215E-3</v>
      </c>
      <c r="D5" s="14">
        <f>IFERROR(C5*(1+INDEX(CAGR!$C$23:$C$29,MATCH($A5,CAGR!$B$23:$B$29,0))),0)</f>
        <v>1.1910194827803645E-3</v>
      </c>
      <c r="E5" s="14">
        <f>IFERROR(D5*(1+INDEX(CAGR!$C$23:$C$29,MATCH($A5,CAGR!$B$23:$B$29,0))),0)</f>
        <v>1.1998211480933757E-3</v>
      </c>
      <c r="F5" s="14">
        <f>IFERROR(E5*(1+INDEX(CAGR!$C$23:$C$29,MATCH($A5,CAGR!$B$23:$B$29,0))),0)</f>
        <v>1.2086878579446183E-3</v>
      </c>
      <c r="G5" s="14">
        <f>IFERROR(F5*(1+INDEX(CAGR!$C$23:$C$29,MATCH($A5,CAGR!$B$23:$B$29,0))),0)</f>
        <v>1.2176200930149414E-3</v>
      </c>
      <c r="H5" s="14">
        <f>IFERROR(G5*(1+INDEX(CAGR!$C$23:$C$29,MATCH($A5,CAGR!$B$23:$B$29,0))),0)</f>
        <v>1.226618337537438E-3</v>
      </c>
      <c r="I5" s="14">
        <f>IFERROR(H5*(1+INDEX(CAGR!$C$23:$C$29,MATCH($A5,CAGR!$B$23:$B$29,0))),0)</f>
        <v>1.2356830793236961E-3</v>
      </c>
      <c r="J5" s="14">
        <f>IFERROR(I5*(1+INDEX(CAGR!$C$23:$C$29,MATCH($A5,CAGR!$B$23:$B$29,0))),0)</f>
        <v>1.2448148097902445E-3</v>
      </c>
      <c r="K5" s="14">
        <f>IFERROR(J5*(1+INDEX(CAGR!$C$23:$C$29,MATCH($A5,CAGR!$B$23:$B$29,0))),0)</f>
        <v>1.2540140239851931E-3</v>
      </c>
      <c r="L5" s="14">
        <f>IFERROR(K5*(1+INDEX(CAGR!$C$23:$C$29,MATCH($A5,CAGR!$B$23:$B$29,0))),0)</f>
        <v>1.26328122061507E-3</v>
      </c>
      <c r="M5" s="14">
        <f>IFERROR(L5*(1+INDEX(CAGR!$C$23:$C$29,MATCH($A5,CAGR!$B$23:$B$29,0))),0)</f>
        <v>1.2726169020718583E-3</v>
      </c>
      <c r="N5" s="14">
        <f>IFERROR(M5*(1+INDEX(CAGR!$C$23:$C$29,MATCH($A5,CAGR!$B$23:$B$29,0))),0)</f>
        <v>1.2820215744602302E-3</v>
      </c>
      <c r="O5" s="14">
        <f>IFERROR(N5*(1+INDEX(CAGR!$C$23:$C$29,MATCH($A5,CAGR!$B$23:$B$29,0))),0)</f>
        <v>1.2914957476249855E-3</v>
      </c>
      <c r="P5" s="14">
        <f>IFERROR(O5*(1+INDEX(CAGR!$C$23:$C$29,MATCH($A5,CAGR!$B$23:$B$29,0))),0)</f>
        <v>1.3010399351786903E-3</v>
      </c>
      <c r="Q5" s="14">
        <f>IFERROR(P5*(1+INDEX(CAGR!$C$23:$C$29,MATCH($A5,CAGR!$B$23:$B$29,0))),0)</f>
        <v>1.3106546545295207E-3</v>
      </c>
      <c r="R5" s="14">
        <f>IFERROR(Q5*(1+INDEX(CAGR!$C$23:$C$29,MATCH($A5,CAGR!$B$23:$B$29,0))),0)</f>
        <v>1.3203404269093134E-3</v>
      </c>
      <c r="S5" s="14">
        <f>IFERROR(R5*(1+INDEX(CAGR!$C$23:$C$29,MATCH($A5,CAGR!$B$23:$B$29,0))),0)</f>
        <v>1.3300977774018217E-3</v>
      </c>
      <c r="T5" s="14">
        <f>IFERROR(S5*(1+INDEX(CAGR!$C$23:$C$29,MATCH($A5,CAGR!$B$23:$B$29,0))),0)</f>
        <v>1.3399272349711817E-3</v>
      </c>
      <c r="U5" s="14">
        <f>IFERROR(T5*(1+INDEX(CAGR!$C$23:$C$29,MATCH($A5,CAGR!$B$23:$B$29,0))),0)</f>
        <v>1.3498293324905885E-3</v>
      </c>
      <c r="V5" s="14">
        <f>IFERROR(U5*(1+INDEX(CAGR!$C$23:$C$29,MATCH($A5,CAGR!$B$23:$B$29,0))),0)</f>
        <v>1.3598046067711843E-3</v>
      </c>
      <c r="W5" s="14">
        <f>IFERROR(V5*(1+INDEX(CAGR!$C$23:$C$29,MATCH($A5,CAGR!$B$23:$B$29,0))),0)</f>
        <v>1.3698535985911594E-3</v>
      </c>
      <c r="X5" s="14">
        <f>IFERROR(W5*(1+INDEX(CAGR!$C$23:$C$29,MATCH($A5,CAGR!$B$23:$B$29,0))),0)</f>
        <v>1.3799768527250689E-3</v>
      </c>
      <c r="Y5" s="14">
        <f>IFERROR(X5*(1+INDEX(CAGR!$C$23:$C$29,MATCH($A5,CAGR!$B$23:$B$29,0))),0)</f>
        <v>1.3901749179733671E-3</v>
      </c>
      <c r="Z5" s="14">
        <f>IFERROR(Y5*(1+INDEX(CAGR!$C$23:$C$29,MATCH($A5,CAGR!$B$23:$B$29,0))),0)</f>
        <v>1.4004483471921575E-3</v>
      </c>
      <c r="AA5" s="14">
        <f>IFERROR(Z5*(1+INDEX(CAGR!$C$23:$C$29,MATCH($A5,CAGR!$B$23:$B$29,0))),0)</f>
        <v>1.4107976973231646E-3</v>
      </c>
      <c r="AB5" s="14">
        <f>IFERROR(AA5*(1+INDEX(CAGR!$C$23:$C$29,MATCH($A5,CAGR!$B$23:$B$29,0))),0)</f>
        <v>1.4212235294239273E-3</v>
      </c>
      <c r="AC5" s="14">
        <f>IFERROR(AB5*(1+INDEX(CAGR!$C$23:$C$29,MATCH($A5,CAGR!$B$23:$B$29,0))),0)</f>
        <v>1.4317264086982143E-3</v>
      </c>
      <c r="AD5" s="14">
        <f>IFERROR(AC5*(1+INDEX(CAGR!$C$23:$C$29,MATCH($A5,CAGR!$B$23:$B$29,0))),0)</f>
        <v>1.4423069045266649E-3</v>
      </c>
      <c r="AE5" s="14">
        <f>IFERROR(AD5*(1+INDEX(CAGR!$C$23:$C$29,MATCH($A5,CAGR!$B$23:$B$29,0))),0)</f>
        <v>1.4529655904976565E-3</v>
      </c>
      <c r="AF5" s="14">
        <f>IFERROR(AE5*(1+INDEX(CAGR!$C$23:$C$29,MATCH($A5,CAGR!$B$23:$B$29,0))),0)</f>
        <v>1.4637030444383998E-3</v>
      </c>
      <c r="AG5" s="14"/>
    </row>
    <row r="6" spans="1:33">
      <c r="A6" s="1" t="s">
        <v>13</v>
      </c>
      <c r="B6" s="13">
        <f>B5*Calibration!$E$26</f>
        <v>2.602374411659376E-3</v>
      </c>
      <c r="C6" s="13">
        <f>B6*(1+CAGR!$C$27)</f>
        <v>2.6216060270290082E-3</v>
      </c>
      <c r="D6" s="13">
        <f>C6*(1+CAGR!$C$27)</f>
        <v>2.6409797645421981E-3</v>
      </c>
      <c r="E6" s="13">
        <f>D6*(1+CAGR!$C$27)</f>
        <v>2.6604966744853261E-3</v>
      </c>
      <c r="F6" s="13">
        <f>E6*(1+CAGR!$C$27)</f>
        <v>2.6801578149064165E-3</v>
      </c>
      <c r="G6" s="13">
        <f>F6*(1+CAGR!$C$27)</f>
        <v>2.6999642516724958E-3</v>
      </c>
      <c r="H6" s="13">
        <f>G6*(1+CAGR!$C$27)</f>
        <v>2.7199170585273757E-3</v>
      </c>
      <c r="I6" s="13">
        <f>H6*(1+CAGR!$C$27)</f>
        <v>2.7400173171498641E-3</v>
      </c>
      <c r="J6" s="13">
        <f>I6*(1+CAGR!$C$27)</f>
        <v>2.7602661172124029E-3</v>
      </c>
      <c r="K6" s="13">
        <f>J6*(1+CAGR!$C$27)</f>
        <v>2.7806645564401418E-3</v>
      </c>
      <c r="L6" s="13">
        <f>K6*(1+CAGR!$C$27)</f>
        <v>2.8012137406704489E-3</v>
      </c>
      <c r="M6" s="13">
        <f>L6*(1+CAGR!$C$27)</f>
        <v>2.8219147839128591E-3</v>
      </c>
      <c r="N6" s="13">
        <f>M6*(1+CAGR!$C$27)</f>
        <v>2.8427688084094673E-3</v>
      </c>
      <c r="O6" s="13">
        <f>N6*(1+CAGR!$C$27)</f>
        <v>2.8637769446957667E-3</v>
      </c>
      <c r="P6" s="13">
        <f>O6*(1+CAGR!$C$27)</f>
        <v>2.8849403316619378E-3</v>
      </c>
      <c r="Q6" s="13">
        <f>P6*(1+CAGR!$C$27)</f>
        <v>2.9062601166145894E-3</v>
      </c>
      <c r="R6" s="13">
        <f>Q6*(1+CAGR!$C$27)</f>
        <v>2.9277374553389563E-3</v>
      </c>
      <c r="S6" s="13">
        <f>R6*(1+CAGR!$C$27)</f>
        <v>2.949373512161557E-3</v>
      </c>
      <c r="T6" s="13">
        <f>S6*(1+CAGR!$C$27)</f>
        <v>2.9711694600133131E-3</v>
      </c>
      <c r="U6" s="13">
        <f>T6*(1+CAGR!$C$27)</f>
        <v>2.9931264804931366E-3</v>
      </c>
      <c r="V6" s="13">
        <f>U6*(1+CAGR!$C$27)</f>
        <v>3.0152457639319868E-3</v>
      </c>
      <c r="W6" s="13">
        <f>V6*(1+CAGR!$C$27)</f>
        <v>3.0375285094573997E-3</v>
      </c>
      <c r="X6" s="13">
        <f>W6*(1+CAGR!$C$27)</f>
        <v>3.0599759250584959E-3</v>
      </c>
      <c r="Y6" s="13">
        <f>X6*(1+CAGR!$C$27)</f>
        <v>3.0825892276514673E-3</v>
      </c>
      <c r="Z6" s="13">
        <f>Y6*(1+CAGR!$C$27)</f>
        <v>3.1053696431455479E-3</v>
      </c>
      <c r="AA6" s="13">
        <f>Z6*(1+CAGR!$C$27)</f>
        <v>3.1283184065094738E-3</v>
      </c>
      <c r="AB6" s="13">
        <f>AA6*(1+CAGR!$C$27)</f>
        <v>3.1514367618384323E-3</v>
      </c>
      <c r="AC6" s="13">
        <f>AB6*(1+CAGR!$C$27)</f>
        <v>3.1747259624215068E-3</v>
      </c>
      <c r="AD6" s="13">
        <f>AC6*(1+CAGR!$C$27)</f>
        <v>3.1981872708096203E-3</v>
      </c>
      <c r="AE6" s="13">
        <f>AD6*(1+CAGR!$C$27)</f>
        <v>3.2218219588839797E-3</v>
      </c>
      <c r="AF6" s="13">
        <f>AE6*(1+CAGR!$C$27)</f>
        <v>3.245631307925028E-3</v>
      </c>
      <c r="AG6" s="14"/>
    </row>
    <row r="7" spans="1:33">
      <c r="A7" s="1" t="s">
        <v>14</v>
      </c>
      <c r="B7" s="14">
        <f>IFERROR(INDEX('SYFAFE frgt'!$B$3:$H$3,,MATCH($A7,'SYFAFE frgt'!$B$1:$H$1,0))*(1+INDEX(CAGR!$C$23:$C$29,MATCH($A7,CAGR!$B$23:$B$29,0))),0)</f>
        <v>1.2562153628080902E-3</v>
      </c>
      <c r="C7" s="14">
        <f>IFERROR(B7*(1+INDEX(CAGR!$C$23:$C$29,MATCH($A7,CAGR!$B$23:$B$29,0))),0)</f>
        <v>1.2654988273897848E-3</v>
      </c>
      <c r="D7" s="14">
        <f>IFERROR(C7*(1+INDEX(CAGR!$C$23:$C$29,MATCH($A7,CAGR!$B$23:$B$29,0))),0)</f>
        <v>1.2748508970189824E-3</v>
      </c>
      <c r="E7" s="14">
        <f>IFERROR(D7*(1+INDEX(CAGR!$C$23:$C$29,MATCH($A7,CAGR!$B$23:$B$29,0))),0)</f>
        <v>1.2842720786887891E-3</v>
      </c>
      <c r="F7" s="14">
        <f>IFERROR(E7*(1+INDEX(CAGR!$C$23:$C$29,MATCH($A7,CAGR!$B$23:$B$29,0))),0)</f>
        <v>1.2937628831390035E-3</v>
      </c>
      <c r="G7" s="14">
        <f>IFERROR(F7*(1+INDEX(CAGR!$C$23:$C$29,MATCH($A7,CAGR!$B$23:$B$29,0))),0)</f>
        <v>1.3033238248838044E-3</v>
      </c>
      <c r="H7" s="14">
        <f>IFERROR(G7*(1+INDEX(CAGR!$C$23:$C$29,MATCH($A7,CAGR!$B$23:$B$29,0))),0)</f>
        <v>1.3129554222396441E-3</v>
      </c>
      <c r="I7" s="14">
        <f>IFERROR(H7*(1+INDEX(CAGR!$C$23:$C$29,MATCH($A7,CAGR!$B$23:$B$29,0))),0)</f>
        <v>1.322658197353347E-3</v>
      </c>
      <c r="J7" s="14">
        <f>IFERROR(I7*(1+INDEX(CAGR!$C$23:$C$29,MATCH($A7,CAGR!$B$23:$B$29,0))),0)</f>
        <v>1.3324326762304164E-3</v>
      </c>
      <c r="K7" s="14">
        <f>IFERROR(J7*(1+INDEX(CAGR!$C$23:$C$29,MATCH($A7,CAGR!$B$23:$B$29,0))),0)</f>
        <v>1.34227938876355E-3</v>
      </c>
      <c r="L7" s="14">
        <f>IFERROR(K7*(1+INDEX(CAGR!$C$23:$C$29,MATCH($A7,CAGR!$B$23:$B$29,0))),0)</f>
        <v>1.3521988687613669E-3</v>
      </c>
      <c r="M7" s="14">
        <f>IFERROR(L7*(1+INDEX(CAGR!$C$23:$C$29,MATCH($A7,CAGR!$B$23:$B$29,0))),0)</f>
        <v>1.3621916539773452E-3</v>
      </c>
      <c r="N7" s="14">
        <f>IFERROR(M7*(1+INDEX(CAGR!$C$23:$C$29,MATCH($A7,CAGR!$B$23:$B$29,0))),0)</f>
        <v>1.3722582861389759E-3</v>
      </c>
      <c r="O7" s="14">
        <f>IFERROR(N7*(1+INDEX(CAGR!$C$23:$C$29,MATCH($A7,CAGR!$B$23:$B$29,0))),0)</f>
        <v>1.3823993109771304E-3</v>
      </c>
      <c r="P7" s="14">
        <f>IFERROR(O7*(1+INDEX(CAGR!$C$23:$C$29,MATCH($A7,CAGR!$B$23:$B$29,0))),0)</f>
        <v>1.3926152782556453E-3</v>
      </c>
      <c r="Q7" s="14">
        <f>IFERROR(P7*(1+INDEX(CAGR!$C$23:$C$29,MATCH($A7,CAGR!$B$23:$B$29,0))),0)</f>
        <v>1.4029067418011266E-3</v>
      </c>
      <c r="R7" s="14">
        <f>IFERROR(Q7*(1+INDEX(CAGR!$C$23:$C$29,MATCH($A7,CAGR!$B$23:$B$29,0))),0)</f>
        <v>1.4132742595329734E-3</v>
      </c>
      <c r="S7" s="14">
        <f>IFERROR(R7*(1+INDEX(CAGR!$C$23:$C$29,MATCH($A7,CAGR!$B$23:$B$29,0))),0)</f>
        <v>1.423718393493624E-3</v>
      </c>
      <c r="T7" s="14">
        <f>IFERROR(S7*(1+INDEX(CAGR!$C$23:$C$29,MATCH($A7,CAGR!$B$23:$B$29,0))),0)</f>
        <v>1.4342397098790248E-3</v>
      </c>
      <c r="U7" s="14">
        <f>IFERROR(T7*(1+INDEX(CAGR!$C$23:$C$29,MATCH($A7,CAGR!$B$23:$B$29,0))),0)</f>
        <v>1.4448387790693257E-3</v>
      </c>
      <c r="V7" s="14">
        <f>IFERROR(U7*(1+INDEX(CAGR!$C$23:$C$29,MATCH($A7,CAGR!$B$23:$B$29,0))),0)</f>
        <v>1.4555161756598003E-3</v>
      </c>
      <c r="W7" s="14">
        <f>IFERROR(V7*(1+INDEX(CAGR!$C$23:$C$29,MATCH($A7,CAGR!$B$23:$B$29,0))),0)</f>
        <v>1.4662724784919967E-3</v>
      </c>
      <c r="X7" s="14">
        <f>IFERROR(W7*(1+INDEX(CAGR!$C$23:$C$29,MATCH($A7,CAGR!$B$23:$B$29,0))),0)</f>
        <v>1.4771082706851171E-3</v>
      </c>
      <c r="Y7" s="14">
        <f>IFERROR(X7*(1+INDEX(CAGR!$C$23:$C$29,MATCH($A7,CAGR!$B$23:$B$29,0))),0)</f>
        <v>1.4880241396676302E-3</v>
      </c>
      <c r="Z7" s="14">
        <f>IFERROR(Y7*(1+INDEX(CAGR!$C$23:$C$29,MATCH($A7,CAGR!$B$23:$B$29,0))),0)</f>
        <v>1.4990206772091165E-3</v>
      </c>
      <c r="AA7" s="14">
        <f>IFERROR(Z7*(1+INDEX(CAGR!$C$23:$C$29,MATCH($A7,CAGR!$B$23:$B$29,0))),0)</f>
        <v>1.510098479452349E-3</v>
      </c>
      <c r="AB7" s="14">
        <f>IFERROR(AA7*(1+INDEX(CAGR!$C$23:$C$29,MATCH($A7,CAGR!$B$23:$B$29,0))),0)</f>
        <v>1.5212581469456117E-3</v>
      </c>
      <c r="AC7" s="14">
        <f>IFERROR(AB7*(1+INDEX(CAGR!$C$23:$C$29,MATCH($A7,CAGR!$B$23:$B$29,0))),0)</f>
        <v>1.532500284675256E-3</v>
      </c>
      <c r="AD7" s="14">
        <f>IFERROR(AC7*(1+INDEX(CAGR!$C$23:$C$29,MATCH($A7,CAGR!$B$23:$B$29,0))),0)</f>
        <v>1.5438255020984988E-3</v>
      </c>
      <c r="AE7" s="14">
        <f>IFERROR(AD7*(1+INDEX(CAGR!$C$23:$C$29,MATCH($A7,CAGR!$B$23:$B$29,0))),0)</f>
        <v>1.5552344131764615E-3</v>
      </c>
      <c r="AF7" s="14">
        <f>IFERROR(AE7*(1+INDEX(CAGR!$C$23:$C$29,MATCH($A7,CAGR!$B$23:$B$29,0))),0)</f>
        <v>1.5667276364074545E-3</v>
      </c>
      <c r="AG7" s="14"/>
    </row>
    <row r="8" spans="1:33">
      <c r="A8" s="1" t="s">
        <v>15</v>
      </c>
      <c r="B8" s="13">
        <f>B5*Calibration!$F$27</f>
        <v>4.687220936346677E-3</v>
      </c>
      <c r="C8" s="13">
        <f>B8*(1+CAGR!$C$29)</f>
        <v>4.721859622385258E-3</v>
      </c>
      <c r="D8" s="13">
        <f>C8*(1+CAGR!$C$29)</f>
        <v>4.7567542892249948E-3</v>
      </c>
      <c r="E8" s="13">
        <f>D8*(1+CAGR!$C$29)</f>
        <v>4.7919068285707427E-3</v>
      </c>
      <c r="F8" s="13">
        <f>E8*(1+CAGR!$C$29)</f>
        <v>4.8273191461071048E-3</v>
      </c>
      <c r="G8" s="13">
        <f>F8*(1+CAGR!$C$29)</f>
        <v>4.8629931616017454E-3</v>
      </c>
      <c r="H8" s="13">
        <f>G8*(1+CAGR!$C$29)</f>
        <v>4.8989308090094611E-3</v>
      </c>
      <c r="I8" s="13">
        <f>H8*(1+CAGR!$C$29)</f>
        <v>4.9351340365770251E-3</v>
      </c>
      <c r="J8" s="13">
        <f>I8*(1+CAGR!$C$29)</f>
        <v>4.9716048069488065E-3</v>
      </c>
      <c r="K8" s="13">
        <f>J8*(1+CAGR!$C$29)</f>
        <v>5.0083450972731678E-3</v>
      </c>
      <c r="L8" s="13">
        <f>K8*(1+CAGR!$C$29)</f>
        <v>5.0453568993096484E-3</v>
      </c>
      <c r="M8" s="13">
        <f>L8*(1+CAGR!$C$29)</f>
        <v>5.0826422195369451E-3</v>
      </c>
      <c r="N8" s="13">
        <f>M8*(1+CAGR!$C$29)</f>
        <v>5.1202030792616843E-3</v>
      </c>
      <c r="O8" s="13">
        <f>N8*(1+CAGR!$C$29)</f>
        <v>5.158041514728001E-3</v>
      </c>
      <c r="P8" s="13">
        <f>O8*(1+CAGR!$C$29)</f>
        <v>5.1961595772279283E-3</v>
      </c>
      <c r="Q8" s="13">
        <f>P8*(1+CAGR!$C$29)</f>
        <v>5.2345593332126013E-3</v>
      </c>
      <c r="R8" s="13">
        <f>Q8*(1+CAGR!$C$29)</f>
        <v>5.2732428644042843E-3</v>
      </c>
      <c r="S8" s="13">
        <f>R8*(1+CAGR!$C$29)</f>
        <v>5.3122122679092228E-3</v>
      </c>
      <c r="T8" s="13">
        <f>S8*(1+CAGR!$C$29)</f>
        <v>5.3514696563313324E-3</v>
      </c>
      <c r="U8" s="13">
        <f>T8*(1+CAGR!$C$29)</f>
        <v>5.3910171578867277E-3</v>
      </c>
      <c r="V8" s="13">
        <f>U8*(1+CAGR!$C$29)</f>
        <v>5.4308569165190971E-3</v>
      </c>
      <c r="W8" s="13">
        <f>V8*(1+CAGR!$C$29)</f>
        <v>5.4709910920159284E-3</v>
      </c>
      <c r="X8" s="13">
        <f>W8*(1+CAGR!$C$29)</f>
        <v>5.5114218601255965E-3</v>
      </c>
      <c r="Y8" s="13">
        <f>X8*(1+CAGR!$C$29)</f>
        <v>5.5521514126753132E-3</v>
      </c>
      <c r="Z8" s="13">
        <f>Y8*(1+CAGR!$C$29)</f>
        <v>5.5931819576899508E-3</v>
      </c>
      <c r="AA8" s="13">
        <f>Z8*(1+CAGR!$C$29)</f>
        <v>5.6345157195117441E-3</v>
      </c>
      <c r="AB8" s="13">
        <f>AA8*(1+CAGR!$C$29)</f>
        <v>5.676154938920876E-3</v>
      </c>
      <c r="AC8" s="13">
        <f>AB8*(1+CAGR!$C$29)</f>
        <v>5.7181018732569535E-3</v>
      </c>
      <c r="AD8" s="13">
        <f>AC8*(1+CAGR!$C$29)</f>
        <v>5.7603587965413825E-3</v>
      </c>
      <c r="AE8" s="13">
        <f>AD8*(1+CAGR!$C$29)</f>
        <v>5.8029279996006464E-3</v>
      </c>
      <c r="AF8" s="13">
        <f>AE8*(1+CAGR!$C$29)</f>
        <v>5.8458117901904975E-3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B5*Calibration!B32</f>
        <v>7.3661701954480638E-4</v>
      </c>
      <c r="C2" s="13">
        <f>B2*(1+CAGR!$C$30)</f>
        <v>7.4185327104779218E-4</v>
      </c>
      <c r="D2" s="13">
        <f>C2*(1+CAGR!$C$30)</f>
        <v>7.4712674451154603E-4</v>
      </c>
      <c r="E2" s="13">
        <f>D2*(1+CAGR!$C$30)</f>
        <v>7.5243770452885193E-4</v>
      </c>
      <c r="F2" s="13">
        <f>E2*(1+CAGR!$C$30)</f>
        <v>7.5778641757335522E-4</v>
      </c>
      <c r="G2" s="13">
        <f>F2*(1+CAGR!$C$30)</f>
        <v>7.6317315201293243E-4</v>
      </c>
      <c r="H2" s="13">
        <f>G2*(1+CAGR!$C$30)</f>
        <v>7.6859817812315663E-4</v>
      </c>
      <c r="I2" s="13">
        <f>H2*(1+CAGR!$C$30)</f>
        <v>7.7406176810085835E-4</v>
      </c>
      <c r="J2" s="13">
        <f>I2*(1+CAGR!$C$30)</f>
        <v>7.7956419607778276E-4</v>
      </c>
      <c r="K2" s="13">
        <f>J2*(1+CAGR!$C$30)</f>
        <v>7.8510573813434382E-4</v>
      </c>
      <c r="L2" s="13">
        <f>K2*(1+CAGR!$C$30)</f>
        <v>7.9068667231347689E-4</v>
      </c>
      <c r="M2" s="13">
        <f>L2*(1+CAGR!$C$30)</f>
        <v>7.9630727863458904E-4</v>
      </c>
      <c r="N2" s="13">
        <f>M2*(1+CAGR!$C$30)</f>
        <v>8.019678391076087E-4</v>
      </c>
      <c r="O2" s="13">
        <f>N2*(1+CAGR!$C$30)</f>
        <v>8.076686377471358E-4</v>
      </c>
      <c r="P2" s="13">
        <f>O2*(1+CAGR!$C$30)</f>
        <v>8.1340996058669143E-4</v>
      </c>
      <c r="Q2" s="13">
        <f>P2*(1+CAGR!$C$30)</f>
        <v>8.1919209569306962E-4</v>
      </c>
      <c r="R2" s="13">
        <f>Q2*(1+CAGR!$C$30)</f>
        <v>8.2501533318079102E-4</v>
      </c>
      <c r="S2" s="13">
        <f>R2*(1+CAGR!$C$30)</f>
        <v>8.308799652266591E-4</v>
      </c>
      <c r="T2" s="13">
        <f>S2*(1+CAGR!$C$30)</f>
        <v>8.3678628608441967E-4</v>
      </c>
      <c r="U2" s="13">
        <f>T2*(1+CAGR!$C$30)</f>
        <v>8.4273459209952516E-4</v>
      </c>
      <c r="V2" s="13">
        <f>U2*(1+CAGR!$C$30)</f>
        <v>8.4872518172400351E-4</v>
      </c>
      <c r="W2" s="13">
        <f>V2*(1+CAGR!$C$30)</f>
        <v>8.5475835553143259E-4</v>
      </c>
      <c r="X2" s="13">
        <f>W2*(1+CAGR!$C$30)</f>
        <v>8.608344162320215E-4</v>
      </c>
      <c r="Y2" s="13">
        <f>X2*(1+CAGR!$C$30)</f>
        <v>8.6695366868779866E-4</v>
      </c>
      <c r="Z2" s="13">
        <f>Y2*(1+CAGR!$C$30)</f>
        <v>8.7311641992790826E-4</v>
      </c>
      <c r="AA2" s="13">
        <f>Z2*(1+CAGR!$C$30)</f>
        <v>8.7932297916401482E-4</v>
      </c>
      <c r="AB2" s="13">
        <f>AA2*(1+CAGR!$C$30)</f>
        <v>8.8557365780581813E-4</v>
      </c>
      <c r="AC2" s="13">
        <f>AB2*(1+CAGR!$C$30)</f>
        <v>8.9186876947667778E-4</v>
      </c>
      <c r="AD2" s="13">
        <f>AC2*(1+CAGR!$C$30)</f>
        <v>8.9820863002934906E-4</v>
      </c>
      <c r="AE2" s="13">
        <f>AD2*(1+CAGR!$C$30)</f>
        <v>9.0459355756183045E-4</v>
      </c>
      <c r="AF2" s="13">
        <f>AE2*(1+CAGR!$C$30)</f>
        <v>9.1102387243332432E-4</v>
      </c>
      <c r="AG2" s="14"/>
    </row>
    <row r="3" spans="1:33">
      <c r="A3" s="1" t="s">
        <v>10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11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12</v>
      </c>
      <c r="B5" s="14">
        <f>'SYFAFE psgr'!E4*(1+CAGR!$C$33)</f>
        <v>2.2922758134715884E-4</v>
      </c>
      <c r="C5" s="14">
        <f>B5*(1+CAGR!$C$33)</f>
        <v>2.3085704854043193E-4</v>
      </c>
      <c r="D5" s="14">
        <f>C5*(1+CAGR!$C$33)</f>
        <v>2.3249809882208534E-4</v>
      </c>
      <c r="E5" s="14">
        <f>D5*(1+CAGR!$C$33)</f>
        <v>2.3415081453065096E-4</v>
      </c>
      <c r="F5" s="14">
        <f>E5*(1+CAGR!$C$33)</f>
        <v>2.3581527858996517E-4</v>
      </c>
      <c r="G5" s="14">
        <f>F5*(1+CAGR!$C$33)</f>
        <v>2.3749157451332948E-4</v>
      </c>
      <c r="H5" s="14">
        <f>G5*(1+CAGR!$C$33)</f>
        <v>2.3917978640770079E-4</v>
      </c>
      <c r="I5" s="14">
        <f>H5*(1+CAGR!$C$33)</f>
        <v>2.408799989779114E-4</v>
      </c>
      <c r="J5" s="14">
        <f>I5*(1+CAGR!$C$33)</f>
        <v>2.4259229753091895E-4</v>
      </c>
      <c r="K5" s="14">
        <f>J5*(1+CAGR!$C$33)</f>
        <v>2.4431676798008671E-4</v>
      </c>
      <c r="L5" s="14">
        <f>K5*(1+CAGR!$C$33)</f>
        <v>2.460534968494942E-4</v>
      </c>
      <c r="M5" s="14">
        <f>L5*(1+CAGR!$C$33)</f>
        <v>2.4780257127827846E-4</v>
      </c>
      <c r="N5" s="14">
        <f>M5*(1+CAGR!$C$33)</f>
        <v>2.4956407902500613E-4</v>
      </c>
      <c r="O5" s="14">
        <f>N5*(1+CAGR!$C$33)</f>
        <v>2.5133810847207685E-4</v>
      </c>
      <c r="P5" s="14">
        <f>O5*(1+CAGR!$C$33)</f>
        <v>2.5312474863015762E-4</v>
      </c>
      <c r="Q5" s="14">
        <f>P5*(1+CAGR!$C$33)</f>
        <v>2.5492408914264895E-4</v>
      </c>
      <c r="R5" s="14">
        <f>Q5*(1+CAGR!$C$33)</f>
        <v>2.567362202901825E-4</v>
      </c>
      <c r="S5" s="14">
        <f>R5*(1+CAGR!$C$33)</f>
        <v>2.5856123299515109E-4</v>
      </c>
      <c r="T5" s="14">
        <f>S5*(1+CAGR!$C$33)</f>
        <v>2.6039921882627044E-4</v>
      </c>
      <c r="U5" s="14">
        <f>T5*(1+CAGR!$C$33)</f>
        <v>2.6225027000317374E-4</v>
      </c>
      <c r="V5" s="14">
        <f>U5*(1+CAGR!$C$33)</f>
        <v>2.6411447940103848E-4</v>
      </c>
      <c r="W5" s="14">
        <f>V5*(1+CAGR!$C$33)</f>
        <v>2.6599194055524668E-4</v>
      </c>
      <c r="X5" s="14">
        <f>W5*(1+CAGR!$C$33)</f>
        <v>2.6788274766607775E-4</v>
      </c>
      <c r="Y5" s="14">
        <f>X5*(1+CAGR!$C$33)</f>
        <v>2.6978699560343503E-4</v>
      </c>
      <c r="Z5" s="14">
        <f>Y5*(1+CAGR!$C$33)</f>
        <v>2.7170477991160573E-4</v>
      </c>
      <c r="AA5" s="14">
        <f>Z5*(1+CAGR!$C$33)</f>
        <v>2.7363619681405492E-4</v>
      </c>
      <c r="AB5" s="14">
        <f>AA5*(1+CAGR!$C$33)</f>
        <v>2.755813432182533E-4</v>
      </c>
      <c r="AC5" s="14">
        <f>AB5*(1+CAGR!$C$33)</f>
        <v>2.7754031672053966E-4</v>
      </c>
      <c r="AD5" s="14">
        <f>AC5*(1+CAGR!$C$33)</f>
        <v>2.7951321561101754E-4</v>
      </c>
      <c r="AE5" s="14">
        <f>AD5*(1+CAGR!$C$33)</f>
        <v>2.8150013887848701E-4</v>
      </c>
      <c r="AF5" s="14">
        <f>AE5*(1+CAGR!$C$33)</f>
        <v>2.8350118621541122E-4</v>
      </c>
      <c r="AG5" s="14"/>
    </row>
    <row r="6" spans="1:33">
      <c r="A6" s="1" t="s">
        <v>13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14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15</v>
      </c>
      <c r="B8" s="13">
        <f>B5*Calibration!D32</f>
        <v>6.8768274404147644E-4</v>
      </c>
      <c r="C8" s="13">
        <f>B8*(1+CAGR!$C$36)</f>
        <v>6.9257114562129574E-4</v>
      </c>
      <c r="D8" s="13">
        <f>C8*(1+CAGR!$C$36)</f>
        <v>6.9749429646625595E-4</v>
      </c>
      <c r="E8" s="13">
        <f>D8*(1+CAGR!$C$36)</f>
        <v>7.0245244359195278E-4</v>
      </c>
      <c r="F8" s="13">
        <f>E8*(1+CAGR!$C$36)</f>
        <v>7.0744583576989536E-4</v>
      </c>
      <c r="G8" s="13">
        <f>F8*(1+CAGR!$C$36)</f>
        <v>7.1247472353998828E-4</v>
      </c>
      <c r="H8" s="13">
        <f>G8*(1+CAGR!$C$36)</f>
        <v>7.1753935922310222E-4</v>
      </c>
      <c r="I8" s="13">
        <f>H8*(1+CAGR!$C$36)</f>
        <v>7.2263999693373399E-4</v>
      </c>
      <c r="J8" s="13">
        <f>I8*(1+CAGR!$C$36)</f>
        <v>7.2777689259275662E-4</v>
      </c>
      <c r="K8" s="13">
        <f>J8*(1+CAGR!$C$36)</f>
        <v>7.329503039402599E-4</v>
      </c>
      <c r="L8" s="13">
        <f>K8*(1+CAGR!$C$36)</f>
        <v>7.3816049054848233E-4</v>
      </c>
      <c r="M8" s="13">
        <f>L8*(1+CAGR!$C$36)</f>
        <v>7.4340771383483507E-4</v>
      </c>
      <c r="N8" s="13">
        <f>M8*(1+CAGR!$C$36)</f>
        <v>7.4869223707501817E-4</v>
      </c>
      <c r="O8" s="13">
        <f>N8*(1+CAGR!$C$36)</f>
        <v>7.5401432541623032E-4</v>
      </c>
      <c r="P8" s="13">
        <f>O8*(1+CAGR!$C$36)</f>
        <v>7.5937424589047264E-4</v>
      </c>
      <c r="Q8" s="13">
        <f>P8*(1+CAGR!$C$36)</f>
        <v>7.6477226742794658E-4</v>
      </c>
      <c r="R8" s="13">
        <f>Q8*(1+CAGR!$C$36)</f>
        <v>7.7020866087054729E-4</v>
      </c>
      <c r="S8" s="13">
        <f>R8*(1+CAGR!$C$36)</f>
        <v>7.7568369898545306E-4</v>
      </c>
      <c r="T8" s="13">
        <f>S8*(1+CAGR!$C$36)</f>
        <v>7.8119765647881117E-4</v>
      </c>
      <c r="U8" s="13">
        <f>T8*(1+CAGR!$C$36)</f>
        <v>7.8675081000952095E-4</v>
      </c>
      <c r="V8" s="13">
        <f>U8*(1+CAGR!$C$36)</f>
        <v>7.9234343820311522E-4</v>
      </c>
      <c r="W8" s="13">
        <f>V8*(1+CAGR!$C$36)</f>
        <v>7.9797582166573982E-4</v>
      </c>
      <c r="X8" s="13">
        <f>W8*(1+CAGR!$C$36)</f>
        <v>8.0364824299823309E-4</v>
      </c>
      <c r="Y8" s="13">
        <f>X8*(1+CAGR!$C$36)</f>
        <v>8.0936098681030498E-4</v>
      </c>
      <c r="Z8" s="13">
        <f>Y8*(1+CAGR!$C$36)</f>
        <v>8.1511433973481713E-4</v>
      </c>
      <c r="AA8" s="13">
        <f>Z8*(1+CAGR!$C$36)</f>
        <v>8.2090859044216464E-4</v>
      </c>
      <c r="AB8" s="13">
        <f>AA8*(1+CAGR!$C$36)</f>
        <v>8.2674402965475979E-4</v>
      </c>
      <c r="AC8" s="13">
        <f>AB8*(1+CAGR!$C$36)</f>
        <v>8.3262095016161893E-4</v>
      </c>
      <c r="AD8" s="13">
        <f>AC8*(1+CAGR!$C$36)</f>
        <v>8.3853964683305263E-4</v>
      </c>
      <c r="AE8" s="13">
        <f>AD8*(1+CAGR!$C$36)</f>
        <v>8.4450041663546103E-4</v>
      </c>
      <c r="AF8" s="13">
        <f>AE8*(1+CAGR!$C$36)</f>
        <v>8.5050355864623372E-4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B5*Calibration!$B$32</f>
        <v>3.1847200406925024E-4</v>
      </c>
      <c r="C2" s="13">
        <f>B2*(1+CAGR!$C$37)</f>
        <v>3.207358663826638E-4</v>
      </c>
      <c r="D2" s="13">
        <f>C2*(1+CAGR!$C$37)</f>
        <v>3.2301582139028159E-4</v>
      </c>
      <c r="E2" s="13">
        <f>D2*(1+CAGR!$C$37)</f>
        <v>3.2531198348722618E-4</v>
      </c>
      <c r="F2" s="13">
        <f>E2*(1+CAGR!$C$37)</f>
        <v>3.2762446788179927E-4</v>
      </c>
      <c r="G2" s="13">
        <f>F2*(1+CAGR!$C$37)</f>
        <v>3.2995339060126223E-4</v>
      </c>
      <c r="H2" s="13">
        <f>G2*(1+CAGR!$C$37)</f>
        <v>3.3229886849765782E-4</v>
      </c>
      <c r="I2" s="13">
        <f>H2*(1+CAGR!$C$37)</f>
        <v>3.3466101925367292E-4</v>
      </c>
      <c r="J2" s="13">
        <f>I2*(1+CAGR!$C$37)</f>
        <v>3.3703996138854334E-4</v>
      </c>
      <c r="K2" s="13">
        <f>J2*(1+CAGR!$C$37)</f>
        <v>3.3943581426400043E-4</v>
      </c>
      <c r="L2" s="13">
        <f>K2*(1+CAGR!$C$37)</f>
        <v>3.4184869809025987E-4</v>
      </c>
      <c r="M2" s="13">
        <f>L2*(1+CAGR!$C$37)</f>
        <v>3.4427873393205321E-4</v>
      </c>
      <c r="N2" s="13">
        <f>M2*(1+CAGR!$C$37)</f>
        <v>3.4672604371470221E-4</v>
      </c>
      <c r="O2" s="13">
        <f>N2*(1+CAGR!$C$37)</f>
        <v>3.4919075023023637E-4</v>
      </c>
      <c r="P2" s="13">
        <f>O2*(1+CAGR!$C$37)</f>
        <v>3.5167297714355387E-4</v>
      </c>
      <c r="Q2" s="13">
        <f>P2*(1+CAGR!$C$37)</f>
        <v>3.5417284899862638E-4</v>
      </c>
      <c r="R2" s="13">
        <f>Q2*(1+CAGR!$C$37)</f>
        <v>3.5669049122474795E-4</v>
      </c>
      <c r="S2" s="13">
        <f>R2*(1+CAGR!$C$37)</f>
        <v>3.5922603014282848E-4</v>
      </c>
      <c r="T2" s="13">
        <f>S2*(1+CAGR!$C$37)</f>
        <v>3.6177959297173162E-4</v>
      </c>
      <c r="U2" s="13">
        <f>T2*(1+CAGR!$C$37)</f>
        <v>3.6435130783465789E-4</v>
      </c>
      <c r="V2" s="13">
        <f>U2*(1+CAGR!$C$37)</f>
        <v>3.6694130376557332E-4</v>
      </c>
      <c r="W2" s="13">
        <f>V2*(1+CAGR!$C$37)</f>
        <v>3.695497107156834E-4</v>
      </c>
      <c r="X2" s="13">
        <f>W2*(1+CAGR!$C$37)</f>
        <v>3.7217665955995358E-4</v>
      </c>
      <c r="Y2" s="13">
        <f>X2*(1+CAGR!$C$37)</f>
        <v>3.7482228210367557E-4</v>
      </c>
      <c r="Z2" s="13">
        <f>Y2*(1+CAGR!$C$37)</f>
        <v>3.7748671108908075E-4</v>
      </c>
      <c r="AA2" s="13">
        <f>Z2*(1+CAGR!$C$37)</f>
        <v>3.801700802020003E-4</v>
      </c>
      <c r="AB2" s="13">
        <f>AA2*(1+CAGR!$C$37)</f>
        <v>3.8287252407857283E-4</v>
      </c>
      <c r="AC2" s="13">
        <f>AB2*(1+CAGR!$C$37)</f>
        <v>3.8559417831199972E-4</v>
      </c>
      <c r="AD2" s="13">
        <f>AC2*(1+CAGR!$C$37)</f>
        <v>3.8833517945934828E-4</v>
      </c>
      <c r="AE2" s="13">
        <f>AD2*(1+CAGR!$C$37)</f>
        <v>3.9109566504840355E-4</v>
      </c>
      <c r="AF2" s="13">
        <f>AE2*(1+CAGR!$C$37)</f>
        <v>3.9387577358456855E-4</v>
      </c>
      <c r="AG2" s="14"/>
    </row>
    <row r="3" spans="1:33">
      <c r="A3" s="1" t="s">
        <v>10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11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12</v>
      </c>
      <c r="B5" s="14">
        <f>'SYFAFE frgt'!E4*(1+CAGR!$C$40)</f>
        <v>9.9105186660890365E-5</v>
      </c>
      <c r="C5" s="14">
        <f>B5*(1+CAGR!$C$40)</f>
        <v>9.9809677147585148E-5</v>
      </c>
      <c r="D5" s="14">
        <f>C5*(1+CAGR!$C$40)</f>
        <v>1.0051917551391333E-4</v>
      </c>
      <c r="E5" s="14">
        <f>D5*(1+CAGR!$C$40)</f>
        <v>1.0123371735845133E-4</v>
      </c>
      <c r="F5" s="14">
        <f>E5*(1+CAGR!$C$40)</f>
        <v>1.0195333853282848E-4</v>
      </c>
      <c r="G5" s="14">
        <f>F5*(1+CAGR!$C$40)</f>
        <v>1.0267807514352592E-4</v>
      </c>
      <c r="H5" s="14">
        <f>G5*(1+CAGR!$C$40)</f>
        <v>1.0340796355368813E-4</v>
      </c>
      <c r="I5" s="14">
        <f>H5*(1+CAGR!$C$40)</f>
        <v>1.0414304038494747E-4</v>
      </c>
      <c r="J5" s="14">
        <f>I5*(1+CAGR!$C$40)</f>
        <v>1.0488334251926168E-4</v>
      </c>
      <c r="K5" s="14">
        <f>J5*(1+CAGR!$C$40)</f>
        <v>1.0562890710076435E-4</v>
      </c>
      <c r="L5" s="14">
        <f>K5*(1+CAGR!$C$40)</f>
        <v>1.0637977153762859E-4</v>
      </c>
      <c r="M5" s="14">
        <f>L5*(1+CAGR!$C$40)</f>
        <v>1.0713597350394403E-4</v>
      </c>
      <c r="N5" s="14">
        <f>M5*(1+CAGR!$C$40)</f>
        <v>1.0789755094160701E-4</v>
      </c>
      <c r="O5" s="14">
        <f>N5*(1+CAGR!$C$40)</f>
        <v>1.0866454206222435E-4</v>
      </c>
      <c r="P5" s="14">
        <f>O5*(1+CAGR!$C$40)</f>
        <v>1.0943698534903056E-4</v>
      </c>
      <c r="Q5" s="14">
        <f>P5*(1+CAGR!$C$40)</f>
        <v>1.1021491955881872E-4</v>
      </c>
      <c r="R5" s="14">
        <f>Q5*(1+CAGR!$C$40)</f>
        <v>1.1099838372388506E-4</v>
      </c>
      <c r="S5" s="14">
        <f>R5*(1+CAGR!$C$40)</f>
        <v>1.1178741715398738E-4</v>
      </c>
      <c r="T5" s="14">
        <f>S5*(1+CAGR!$C$40)</f>
        <v>1.1258205943831743E-4</v>
      </c>
      <c r="U5" s="14">
        <f>T5*(1+CAGR!$C$40)</f>
        <v>1.1338235044748718E-4</v>
      </c>
      <c r="V5" s="14">
        <f>U5*(1+CAGR!$C$40)</f>
        <v>1.1418833033552941E-4</v>
      </c>
      <c r="W5" s="14">
        <f>V5*(1+CAGR!$C$40)</f>
        <v>1.1500003954191232E-4</v>
      </c>
      <c r="X5" s="14">
        <f>W5*(1+CAGR!$C$40)</f>
        <v>1.158175187935686E-4</v>
      </c>
      <c r="Y5" s="14">
        <f>X5*(1+CAGR!$C$40)</f>
        <v>1.1664080910693887E-4</v>
      </c>
      <c r="Z5" s="14">
        <f>Y5*(1+CAGR!$C$40)</f>
        <v>1.1746995179002963E-4</v>
      </c>
      <c r="AA5" s="14">
        <f>Z5*(1+CAGR!$C$40)</f>
        <v>1.1830498844448586E-4</v>
      </c>
      <c r="AB5" s="14">
        <f>AA5*(1+CAGR!$C$40)</f>
        <v>1.191459609676784E-4</v>
      </c>
      <c r="AC5" s="14">
        <f>AB5*(1+CAGR!$C$40)</f>
        <v>1.1999291155480606E-4</v>
      </c>
      <c r="AD5" s="14">
        <f>AC5*(1+CAGR!$C$40)</f>
        <v>1.2084588270101276E-4</v>
      </c>
      <c r="AE5" s="14">
        <f>AD5*(1+CAGR!$C$40)</f>
        <v>1.2170491720351972E-4</v>
      </c>
      <c r="AF5" s="14">
        <f>AE5*(1+CAGR!$C$40)</f>
        <v>1.2257005816377272E-4</v>
      </c>
      <c r="AG5" s="14"/>
    </row>
    <row r="6" spans="1:33">
      <c r="A6" s="1" t="s">
        <v>13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14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15</v>
      </c>
      <c r="B8" s="13">
        <f>B5*Calibration!$D$32</f>
        <v>2.9731555998267105E-4</v>
      </c>
      <c r="C8" s="13">
        <f>B8*(1+CAGR!$C$43)</f>
        <v>2.9942903144275539E-4</v>
      </c>
      <c r="D8" s="13">
        <f>C8*(1+CAGR!$C$43)</f>
        <v>3.0155752654173994E-4</v>
      </c>
      <c r="E8" s="13">
        <f>D8*(1+CAGR!$C$43)</f>
        <v>3.0370115207535391E-4</v>
      </c>
      <c r="F8" s="13">
        <f>E8*(1+CAGR!$C$43)</f>
        <v>3.0586001559848537E-4</v>
      </c>
      <c r="G8" s="13">
        <f>F8*(1+CAGR!$C$43)</f>
        <v>3.0803422543057769E-4</v>
      </c>
      <c r="H8" s="13">
        <f>G8*(1+CAGR!$C$43)</f>
        <v>3.1022389066106431E-4</v>
      </c>
      <c r="I8" s="13">
        <f>H8*(1+CAGR!$C$43)</f>
        <v>3.1242912115484237E-4</v>
      </c>
      <c r="J8" s="13">
        <f>I8*(1+CAGR!$C$43)</f>
        <v>3.1465002755778502E-4</v>
      </c>
      <c r="K8" s="13">
        <f>J8*(1+CAGR!$C$43)</f>
        <v>3.1688672130229301E-4</v>
      </c>
      <c r="L8" s="13">
        <f>K8*(1+CAGR!$C$43)</f>
        <v>3.1913931461288573E-4</v>
      </c>
      <c r="M8" s="13">
        <f>L8*(1+CAGR!$C$43)</f>
        <v>3.2140792051183202E-4</v>
      </c>
      <c r="N8" s="13">
        <f>M8*(1+CAGR!$C$43)</f>
        <v>3.2369265282482099E-4</v>
      </c>
      <c r="O8" s="13">
        <f>N8*(1+CAGR!$C$43)</f>
        <v>3.2599362618667305E-4</v>
      </c>
      <c r="P8" s="13">
        <f>O8*(1+CAGR!$C$43)</f>
        <v>3.2831095604709171E-4</v>
      </c>
      <c r="Q8" s="13">
        <f>P8*(1+CAGR!$C$43)</f>
        <v>3.3064475867645619E-4</v>
      </c>
      <c r="R8" s="13">
        <f>Q8*(1+CAGR!$C$43)</f>
        <v>3.3299515117165521E-4</v>
      </c>
      <c r="S8" s="13">
        <f>R8*(1+CAGR!$C$43)</f>
        <v>3.3536225146196217E-4</v>
      </c>
      <c r="T8" s="13">
        <f>S8*(1+CAGR!$C$43)</f>
        <v>3.3774617831495231E-4</v>
      </c>
      <c r="U8" s="13">
        <f>T8*(1+CAGR!$C$43)</f>
        <v>3.4014705134246159E-4</v>
      </c>
      <c r="V8" s="13">
        <f>U8*(1+CAGR!$C$43)</f>
        <v>3.4256499100658827E-4</v>
      </c>
      <c r="W8" s="13">
        <f>V8*(1+CAGR!$C$43)</f>
        <v>3.4500011862573698E-4</v>
      </c>
      <c r="X8" s="13">
        <f>W8*(1+CAGR!$C$43)</f>
        <v>3.4745255638070582E-4</v>
      </c>
      <c r="Y8" s="13">
        <f>X8*(1+CAGR!$C$43)</f>
        <v>3.499224273208166E-4</v>
      </c>
      <c r="Z8" s="13">
        <f>Y8*(1+CAGR!$C$43)</f>
        <v>3.5240985537008887E-4</v>
      </c>
      <c r="AA8" s="13">
        <f>Z8*(1+CAGR!$C$43)</f>
        <v>3.5491496533345755E-4</v>
      </c>
      <c r="AB8" s="13">
        <f>AA8*(1+CAGR!$C$43)</f>
        <v>3.5743788290303513E-4</v>
      </c>
      <c r="AC8" s="13">
        <f>AB8*(1+CAGR!$C$43)</f>
        <v>3.5997873466441812E-4</v>
      </c>
      <c r="AD8" s="13">
        <f>AC8*(1+CAGR!$C$43)</f>
        <v>3.6253764810303821E-4</v>
      </c>
      <c r="AE8" s="13">
        <f>AD8*(1+CAGR!$C$43)</f>
        <v>3.6511475161055904E-4</v>
      </c>
      <c r="AF8" s="13">
        <f>AE8*(1+CAGR!$C$43)</f>
        <v>3.6771017449131803E-4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psgr'!$B$5:$H$5,,MATCH($A2,'SYFAFE psgr'!$B$1:$H$1,0))*(1+INDEX(CAGR!$C$44:$C$50,MATCH($A2,CAGR!$B$44:$B$50,0))),0)</f>
        <v>1.6867636018878085E-2</v>
      </c>
      <c r="C2" s="14">
        <f>IFERROR(B2*(1+INDEX(CAGR!$C$44:$C$50,MATCH($A2,CAGR!$B$44:$B$50,0))),0)</f>
        <v>1.6862273742983071E-2</v>
      </c>
      <c r="D2" s="14">
        <f>IFERROR(C2*(1+INDEX(CAGR!$C$44:$C$50,MATCH($A2,CAGR!$B$44:$B$50,0))),0)</f>
        <v>1.6856913171772858E-2</v>
      </c>
      <c r="E2" s="14">
        <f>IFERROR(D2*(1+INDEX(CAGR!$C$44:$C$50,MATCH($A2,CAGR!$B$44:$B$50,0))),0)</f>
        <v>1.6851554304705522E-2</v>
      </c>
      <c r="F2" s="14">
        <f>IFERROR(E2*(1+INDEX(CAGR!$C$44:$C$50,MATCH($A2,CAGR!$B$44:$B$50,0))),0)</f>
        <v>1.6846197141239312E-2</v>
      </c>
      <c r="G2" s="14">
        <f>IFERROR(F2*(1+INDEX(CAGR!$C$44:$C$50,MATCH($A2,CAGR!$B$44:$B$50,0))),0)</f>
        <v>1.6840841680832646E-2</v>
      </c>
      <c r="H2" s="14">
        <f>IFERROR(G2*(1+INDEX(CAGR!$C$44:$C$50,MATCH($A2,CAGR!$B$44:$B$50,0))),0)</f>
        <v>1.6835487922944117E-2</v>
      </c>
      <c r="I2" s="14">
        <f>IFERROR(H2*(1+INDEX(CAGR!$C$44:$C$50,MATCH($A2,CAGR!$B$44:$B$50,0))),0)</f>
        <v>1.683013586703249E-2</v>
      </c>
      <c r="J2" s="14">
        <f>IFERROR(I2*(1+INDEX(CAGR!$C$44:$C$50,MATCH($A2,CAGR!$B$44:$B$50,0))),0)</f>
        <v>1.68247855125567E-2</v>
      </c>
      <c r="K2" s="14">
        <f>IFERROR(J2*(1+INDEX(CAGR!$C$44:$C$50,MATCH($A2,CAGR!$B$44:$B$50,0))),0)</f>
        <v>1.6819436858975856E-2</v>
      </c>
      <c r="L2" s="14">
        <f>IFERROR(K2*(1+INDEX(CAGR!$C$44:$C$50,MATCH($A2,CAGR!$B$44:$B$50,0))),0)</f>
        <v>1.6814089905749233E-2</v>
      </c>
      <c r="M2" s="14">
        <f>IFERROR(L2*(1+INDEX(CAGR!$C$44:$C$50,MATCH($A2,CAGR!$B$44:$B$50,0))),0)</f>
        <v>1.680874465233629E-2</v>
      </c>
      <c r="N2" s="14">
        <f>IFERROR(M2*(1+INDEX(CAGR!$C$44:$C$50,MATCH($A2,CAGR!$B$44:$B$50,0))),0)</f>
        <v>1.6803401098196644E-2</v>
      </c>
      <c r="O2" s="14">
        <f>IFERROR(N2*(1+INDEX(CAGR!$C$44:$C$50,MATCH($A2,CAGR!$B$44:$B$50,0))),0)</f>
        <v>1.6798059242790098E-2</v>
      </c>
      <c r="P2" s="14">
        <f>IFERROR(O2*(1+INDEX(CAGR!$C$44:$C$50,MATCH($A2,CAGR!$B$44:$B$50,0))),0)</f>
        <v>1.6792719085576613E-2</v>
      </c>
      <c r="Q2" s="14">
        <f>IFERROR(P2*(1+INDEX(CAGR!$C$44:$C$50,MATCH($A2,CAGR!$B$44:$B$50,0))),0)</f>
        <v>1.678738062601633E-2</v>
      </c>
      <c r="R2" s="14">
        <f>IFERROR(Q2*(1+INDEX(CAGR!$C$44:$C$50,MATCH($A2,CAGR!$B$44:$B$50,0))),0)</f>
        <v>1.678204386356956E-2</v>
      </c>
      <c r="S2" s="14">
        <f>IFERROR(R2*(1+INDEX(CAGR!$C$44:$C$50,MATCH($A2,CAGR!$B$44:$B$50,0))),0)</f>
        <v>1.6776708797696785E-2</v>
      </c>
      <c r="T2" s="14">
        <f>IFERROR(S2*(1+INDEX(CAGR!$C$44:$C$50,MATCH($A2,CAGR!$B$44:$B$50,0))),0)</f>
        <v>1.677137542785866E-2</v>
      </c>
      <c r="U2" s="14">
        <f>IFERROR(T2*(1+INDEX(CAGR!$C$44:$C$50,MATCH($A2,CAGR!$B$44:$B$50,0))),0)</f>
        <v>1.6766043753516008E-2</v>
      </c>
      <c r="V2" s="14">
        <f>IFERROR(U2*(1+INDEX(CAGR!$C$44:$C$50,MATCH($A2,CAGR!$B$44:$B$50,0))),0)</f>
        <v>1.6760713774129826E-2</v>
      </c>
      <c r="W2" s="14">
        <f>IFERROR(V2*(1+INDEX(CAGR!$C$44:$C$50,MATCH($A2,CAGR!$B$44:$B$50,0))),0)</f>
        <v>1.6755385489161282E-2</v>
      </c>
      <c r="X2" s="14">
        <f>IFERROR(W2*(1+INDEX(CAGR!$C$44:$C$50,MATCH($A2,CAGR!$B$44:$B$50,0))),0)</f>
        <v>1.6750058898071716E-2</v>
      </c>
      <c r="Y2" s="14">
        <f>IFERROR(X2*(1+INDEX(CAGR!$C$44:$C$50,MATCH($A2,CAGR!$B$44:$B$50,0))),0)</f>
        <v>1.6744734000322638E-2</v>
      </c>
      <c r="Z2" s="14">
        <f>IFERROR(Y2*(1+INDEX(CAGR!$C$44:$C$50,MATCH($A2,CAGR!$B$44:$B$50,0))),0)</f>
        <v>1.673941079537573E-2</v>
      </c>
      <c r="AA2" s="14">
        <f>IFERROR(Z2*(1+INDEX(CAGR!$C$44:$C$50,MATCH($A2,CAGR!$B$44:$B$50,0))),0)</f>
        <v>1.6734089282692842E-2</v>
      </c>
      <c r="AB2" s="14">
        <f>IFERROR(AA2*(1+INDEX(CAGR!$C$44:$C$50,MATCH($A2,CAGR!$B$44:$B$50,0))),0)</f>
        <v>1.6728769461736001E-2</v>
      </c>
      <c r="AC2" s="14">
        <f>IFERROR(AB2*(1+INDEX(CAGR!$C$44:$C$50,MATCH($A2,CAGR!$B$44:$B$50,0))),0)</f>
        <v>1.6723451331967398E-2</v>
      </c>
      <c r="AD2" s="14">
        <f>IFERROR(AC2*(1+INDEX(CAGR!$C$44:$C$50,MATCH($A2,CAGR!$B$44:$B$50,0))),0)</f>
        <v>1.6718134892849405E-2</v>
      </c>
      <c r="AE2" s="14">
        <f>IFERROR(AD2*(1+INDEX(CAGR!$C$44:$C$50,MATCH($A2,CAGR!$B$44:$B$50,0))),0)</f>
        <v>1.6712820143844554E-2</v>
      </c>
      <c r="AF2" s="14">
        <f>IFERROR(AE2*(1+INDEX(CAGR!$C$44:$C$50,MATCH($A2,CAGR!$B$44:$B$50,0))),0)</f>
        <v>1.6707507084415554E-2</v>
      </c>
      <c r="AG2" s="14"/>
    </row>
    <row r="3" spans="1:33">
      <c r="A3" s="1" t="s">
        <v>10</v>
      </c>
      <c r="B3" s="14">
        <f>IFERROR(INDEX('SYFAFE psgr'!$B$5:$H$5,,MATCH($A3,'SYFAFE psgr'!$B$1:$H$1,0))*(1+INDEX(CAGR!$C$44:$C$50,MATCH($A3,CAGR!$B$44:$B$50,0))),0)</f>
        <v>1.2658000000000001E-3</v>
      </c>
      <c r="C3" s="14">
        <f>IFERROR(B3*(1+INDEX(CAGR!$C$44:$C$50,MATCH($A3,CAGR!$B$44:$B$50,0))),0)</f>
        <v>1.2658000000000001E-3</v>
      </c>
      <c r="D3" s="14">
        <f>IFERROR(C3*(1+INDEX(CAGR!$C$44:$C$50,MATCH($A3,CAGR!$B$44:$B$50,0))),0)</f>
        <v>1.2658000000000001E-3</v>
      </c>
      <c r="E3" s="14">
        <f>IFERROR(D3*(1+INDEX(CAGR!$C$44:$C$50,MATCH($A3,CAGR!$B$44:$B$50,0))),0)</f>
        <v>1.2658000000000001E-3</v>
      </c>
      <c r="F3" s="14">
        <f>IFERROR(E3*(1+INDEX(CAGR!$C$44:$C$50,MATCH($A3,CAGR!$B$44:$B$50,0))),0)</f>
        <v>1.2658000000000001E-3</v>
      </c>
      <c r="G3" s="14">
        <f>IFERROR(F3*(1+INDEX(CAGR!$C$44:$C$50,MATCH($A3,CAGR!$B$44:$B$50,0))),0)</f>
        <v>1.2658000000000001E-3</v>
      </c>
      <c r="H3" s="14">
        <f>IFERROR(G3*(1+INDEX(CAGR!$C$44:$C$50,MATCH($A3,CAGR!$B$44:$B$50,0))),0)</f>
        <v>1.2658000000000001E-3</v>
      </c>
      <c r="I3" s="14">
        <f>IFERROR(H3*(1+INDEX(CAGR!$C$44:$C$50,MATCH($A3,CAGR!$B$44:$B$50,0))),0)</f>
        <v>1.2658000000000001E-3</v>
      </c>
      <c r="J3" s="14">
        <f>IFERROR(I3*(1+INDEX(CAGR!$C$44:$C$50,MATCH($A3,CAGR!$B$44:$B$50,0))),0)</f>
        <v>1.2658000000000001E-3</v>
      </c>
      <c r="K3" s="14">
        <f>IFERROR(J3*(1+INDEX(CAGR!$C$44:$C$50,MATCH($A3,CAGR!$B$44:$B$50,0))),0)</f>
        <v>1.2658000000000001E-3</v>
      </c>
      <c r="L3" s="14">
        <f>IFERROR(K3*(1+INDEX(CAGR!$C$44:$C$50,MATCH($A3,CAGR!$B$44:$B$50,0))),0)</f>
        <v>1.2658000000000001E-3</v>
      </c>
      <c r="M3" s="14">
        <f>IFERROR(L3*(1+INDEX(CAGR!$C$44:$C$50,MATCH($A3,CAGR!$B$44:$B$50,0))),0)</f>
        <v>1.2658000000000001E-3</v>
      </c>
      <c r="N3" s="14">
        <f>IFERROR(M3*(1+INDEX(CAGR!$C$44:$C$50,MATCH($A3,CAGR!$B$44:$B$50,0))),0)</f>
        <v>1.2658000000000001E-3</v>
      </c>
      <c r="O3" s="14">
        <f>IFERROR(N3*(1+INDEX(CAGR!$C$44:$C$50,MATCH($A3,CAGR!$B$44:$B$50,0))),0)</f>
        <v>1.2658000000000001E-3</v>
      </c>
      <c r="P3" s="14">
        <f>IFERROR(O3*(1+INDEX(CAGR!$C$44:$C$50,MATCH($A3,CAGR!$B$44:$B$50,0))),0)</f>
        <v>1.2658000000000001E-3</v>
      </c>
      <c r="Q3" s="14">
        <f>IFERROR(P3*(1+INDEX(CAGR!$C$44:$C$50,MATCH($A3,CAGR!$B$44:$B$50,0))),0)</f>
        <v>1.2658000000000001E-3</v>
      </c>
      <c r="R3" s="14">
        <f>IFERROR(Q3*(1+INDEX(CAGR!$C$44:$C$50,MATCH($A3,CAGR!$B$44:$B$50,0))),0)</f>
        <v>1.2658000000000001E-3</v>
      </c>
      <c r="S3" s="14">
        <f>IFERROR(R3*(1+INDEX(CAGR!$C$44:$C$50,MATCH($A3,CAGR!$B$44:$B$50,0))),0)</f>
        <v>1.2658000000000001E-3</v>
      </c>
      <c r="T3" s="14">
        <f>IFERROR(S3*(1+INDEX(CAGR!$C$44:$C$50,MATCH($A3,CAGR!$B$44:$B$50,0))),0)</f>
        <v>1.2658000000000001E-3</v>
      </c>
      <c r="U3" s="14">
        <f>IFERROR(T3*(1+INDEX(CAGR!$C$44:$C$50,MATCH($A3,CAGR!$B$44:$B$50,0))),0)</f>
        <v>1.2658000000000001E-3</v>
      </c>
      <c r="V3" s="14">
        <f>IFERROR(U3*(1+INDEX(CAGR!$C$44:$C$50,MATCH($A3,CAGR!$B$44:$B$50,0))),0)</f>
        <v>1.2658000000000001E-3</v>
      </c>
      <c r="W3" s="14">
        <f>IFERROR(V3*(1+INDEX(CAGR!$C$44:$C$50,MATCH($A3,CAGR!$B$44:$B$50,0))),0)</f>
        <v>1.2658000000000001E-3</v>
      </c>
      <c r="X3" s="14">
        <f>IFERROR(W3*(1+INDEX(CAGR!$C$44:$C$50,MATCH($A3,CAGR!$B$44:$B$50,0))),0)</f>
        <v>1.2658000000000001E-3</v>
      </c>
      <c r="Y3" s="14">
        <f>IFERROR(X3*(1+INDEX(CAGR!$C$44:$C$50,MATCH($A3,CAGR!$B$44:$B$50,0))),0)</f>
        <v>1.2658000000000001E-3</v>
      </c>
      <c r="Z3" s="14">
        <f>IFERROR(Y3*(1+INDEX(CAGR!$C$44:$C$50,MATCH($A3,CAGR!$B$44:$B$50,0))),0)</f>
        <v>1.2658000000000001E-3</v>
      </c>
      <c r="AA3" s="14">
        <f>IFERROR(Z3*(1+INDEX(CAGR!$C$44:$C$50,MATCH($A3,CAGR!$B$44:$B$50,0))),0)</f>
        <v>1.2658000000000001E-3</v>
      </c>
      <c r="AB3" s="14">
        <f>IFERROR(AA3*(1+INDEX(CAGR!$C$44:$C$50,MATCH($A3,CAGR!$B$44:$B$50,0))),0)</f>
        <v>1.2658000000000001E-3</v>
      </c>
      <c r="AC3" s="14">
        <f>IFERROR(AB3*(1+INDEX(CAGR!$C$44:$C$50,MATCH($A3,CAGR!$B$44:$B$50,0))),0)</f>
        <v>1.2658000000000001E-3</v>
      </c>
      <c r="AD3" s="14">
        <f>IFERROR(AC3*(1+INDEX(CAGR!$C$44:$C$50,MATCH($A3,CAGR!$B$44:$B$50,0))),0)</f>
        <v>1.2658000000000001E-3</v>
      </c>
      <c r="AE3" s="14">
        <f>IFERROR(AD3*(1+INDEX(CAGR!$C$44:$C$50,MATCH($A3,CAGR!$B$44:$B$50,0))),0)</f>
        <v>1.2658000000000001E-3</v>
      </c>
      <c r="AF3" s="14">
        <f>IFERROR(AE3*(1+INDEX(CAGR!$C$44:$C$50,MATCH($A3,CAGR!$B$44:$B$50,0))),0)</f>
        <v>1.2658000000000001E-3</v>
      </c>
      <c r="AG3" s="14"/>
    </row>
    <row r="4" spans="1:33">
      <c r="A4" s="1" t="s">
        <v>11</v>
      </c>
      <c r="B4" s="14">
        <f>IFERROR(INDEX('SYFAFE psgr'!$B$5:$H$5,,MATCH($A4,'SYFAFE psgr'!$B$1:$H$1,0))*(1+INDEX(CAGR!$C$44:$C$50,MATCH($A4,CAGR!$B$44:$B$50,0))),0)</f>
        <v>1.2658000000000001E-3</v>
      </c>
      <c r="C4" s="14">
        <f>IFERROR(B4*(1+INDEX(CAGR!$C$44:$C$50,MATCH($A4,CAGR!$B$44:$B$50,0))),0)</f>
        <v>1.2658000000000001E-3</v>
      </c>
      <c r="D4" s="14">
        <f>IFERROR(C4*(1+INDEX(CAGR!$C$44:$C$50,MATCH($A4,CAGR!$B$44:$B$50,0))),0)</f>
        <v>1.2658000000000001E-3</v>
      </c>
      <c r="E4" s="14">
        <f>IFERROR(D4*(1+INDEX(CAGR!$C$44:$C$50,MATCH($A4,CAGR!$B$44:$B$50,0))),0)</f>
        <v>1.2658000000000001E-3</v>
      </c>
      <c r="F4" s="14">
        <f>IFERROR(E4*(1+INDEX(CAGR!$C$44:$C$50,MATCH($A4,CAGR!$B$44:$B$50,0))),0)</f>
        <v>1.2658000000000001E-3</v>
      </c>
      <c r="G4" s="14">
        <f>IFERROR(F4*(1+INDEX(CAGR!$C$44:$C$50,MATCH($A4,CAGR!$B$44:$B$50,0))),0)</f>
        <v>1.2658000000000001E-3</v>
      </c>
      <c r="H4" s="14">
        <f>IFERROR(G4*(1+INDEX(CAGR!$C$44:$C$50,MATCH($A4,CAGR!$B$44:$B$50,0))),0)</f>
        <v>1.2658000000000001E-3</v>
      </c>
      <c r="I4" s="14">
        <f>IFERROR(H4*(1+INDEX(CAGR!$C$44:$C$50,MATCH($A4,CAGR!$B$44:$B$50,0))),0)</f>
        <v>1.2658000000000001E-3</v>
      </c>
      <c r="J4" s="14">
        <f>IFERROR(I4*(1+INDEX(CAGR!$C$44:$C$50,MATCH($A4,CAGR!$B$44:$B$50,0))),0)</f>
        <v>1.2658000000000001E-3</v>
      </c>
      <c r="K4" s="14">
        <f>IFERROR(J4*(1+INDEX(CAGR!$C$44:$C$50,MATCH($A4,CAGR!$B$44:$B$50,0))),0)</f>
        <v>1.2658000000000001E-3</v>
      </c>
      <c r="L4" s="14">
        <f>IFERROR(K4*(1+INDEX(CAGR!$C$44:$C$50,MATCH($A4,CAGR!$B$44:$B$50,0))),0)</f>
        <v>1.2658000000000001E-3</v>
      </c>
      <c r="M4" s="14">
        <f>IFERROR(L4*(1+INDEX(CAGR!$C$44:$C$50,MATCH($A4,CAGR!$B$44:$B$50,0))),0)</f>
        <v>1.2658000000000001E-3</v>
      </c>
      <c r="N4" s="14">
        <f>IFERROR(M4*(1+INDEX(CAGR!$C$44:$C$50,MATCH($A4,CAGR!$B$44:$B$50,0))),0)</f>
        <v>1.2658000000000001E-3</v>
      </c>
      <c r="O4" s="14">
        <f>IFERROR(N4*(1+INDEX(CAGR!$C$44:$C$50,MATCH($A4,CAGR!$B$44:$B$50,0))),0)</f>
        <v>1.2658000000000001E-3</v>
      </c>
      <c r="P4" s="14">
        <f>IFERROR(O4*(1+INDEX(CAGR!$C$44:$C$50,MATCH($A4,CAGR!$B$44:$B$50,0))),0)</f>
        <v>1.2658000000000001E-3</v>
      </c>
      <c r="Q4" s="14">
        <f>IFERROR(P4*(1+INDEX(CAGR!$C$44:$C$50,MATCH($A4,CAGR!$B$44:$B$50,0))),0)</f>
        <v>1.2658000000000001E-3</v>
      </c>
      <c r="R4" s="14">
        <f>IFERROR(Q4*(1+INDEX(CAGR!$C$44:$C$50,MATCH($A4,CAGR!$B$44:$B$50,0))),0)</f>
        <v>1.2658000000000001E-3</v>
      </c>
      <c r="S4" s="14">
        <f>IFERROR(R4*(1+INDEX(CAGR!$C$44:$C$50,MATCH($A4,CAGR!$B$44:$B$50,0))),0)</f>
        <v>1.2658000000000001E-3</v>
      </c>
      <c r="T4" s="14">
        <f>IFERROR(S4*(1+INDEX(CAGR!$C$44:$C$50,MATCH($A4,CAGR!$B$44:$B$50,0))),0)</f>
        <v>1.2658000000000001E-3</v>
      </c>
      <c r="U4" s="14">
        <f>IFERROR(T4*(1+INDEX(CAGR!$C$44:$C$50,MATCH($A4,CAGR!$B$44:$B$50,0))),0)</f>
        <v>1.2658000000000001E-3</v>
      </c>
      <c r="V4" s="14">
        <f>IFERROR(U4*(1+INDEX(CAGR!$C$44:$C$50,MATCH($A4,CAGR!$B$44:$B$50,0))),0)</f>
        <v>1.2658000000000001E-3</v>
      </c>
      <c r="W4" s="14">
        <f>IFERROR(V4*(1+INDEX(CAGR!$C$44:$C$50,MATCH($A4,CAGR!$B$44:$B$50,0))),0)</f>
        <v>1.2658000000000001E-3</v>
      </c>
      <c r="X4" s="14">
        <f>IFERROR(W4*(1+INDEX(CAGR!$C$44:$C$50,MATCH($A4,CAGR!$B$44:$B$50,0))),0)</f>
        <v>1.2658000000000001E-3</v>
      </c>
      <c r="Y4" s="14">
        <f>IFERROR(X4*(1+INDEX(CAGR!$C$44:$C$50,MATCH($A4,CAGR!$B$44:$B$50,0))),0)</f>
        <v>1.2658000000000001E-3</v>
      </c>
      <c r="Z4" s="14">
        <f>IFERROR(Y4*(1+INDEX(CAGR!$C$44:$C$50,MATCH($A4,CAGR!$B$44:$B$50,0))),0)</f>
        <v>1.2658000000000001E-3</v>
      </c>
      <c r="AA4" s="14">
        <f>IFERROR(Z4*(1+INDEX(CAGR!$C$44:$C$50,MATCH($A4,CAGR!$B$44:$B$50,0))),0)</f>
        <v>1.2658000000000001E-3</v>
      </c>
      <c r="AB4" s="14">
        <f>IFERROR(AA4*(1+INDEX(CAGR!$C$44:$C$50,MATCH($A4,CAGR!$B$44:$B$50,0))),0)</f>
        <v>1.2658000000000001E-3</v>
      </c>
      <c r="AC4" s="14">
        <f>IFERROR(AB4*(1+INDEX(CAGR!$C$44:$C$50,MATCH($A4,CAGR!$B$44:$B$50,0))),0)</f>
        <v>1.2658000000000001E-3</v>
      </c>
      <c r="AD4" s="14">
        <f>IFERROR(AC4*(1+INDEX(CAGR!$C$44:$C$50,MATCH($A4,CAGR!$B$44:$B$50,0))),0)</f>
        <v>1.2658000000000001E-3</v>
      </c>
      <c r="AE4" s="14">
        <f>IFERROR(AD4*(1+INDEX(CAGR!$C$44:$C$50,MATCH($A4,CAGR!$B$44:$B$50,0))),0)</f>
        <v>1.2658000000000001E-3</v>
      </c>
      <c r="AF4" s="14">
        <f>IFERROR(AE4*(1+INDEX(CAGR!$C$44:$C$50,MATCH($A4,CAGR!$B$44:$B$50,0))),0)</f>
        <v>1.2658000000000001E-3</v>
      </c>
      <c r="AG4" s="14"/>
    </row>
    <row r="5" spans="1:33">
      <c r="A5" s="1" t="s">
        <v>12</v>
      </c>
      <c r="B5" s="14">
        <f>IFERROR(INDEX('SYFAFE psgr'!$B$5:$H$5,,MATCH($A5,'SYFAFE psgr'!$B$1:$H$1,0))*(1+INDEX(CAGR!$C$44:$C$50,MATCH($A5,CAGR!$B$44:$B$50,0))),0)</f>
        <v>1.2653975980973084E-3</v>
      </c>
      <c r="C5" s="14">
        <f>IFERROR(B5*(1+INDEX(CAGR!$C$44:$C$50,MATCH($A5,CAGR!$B$44:$B$50,0))),0)</f>
        <v>1.2649953241194794E-3</v>
      </c>
      <c r="D5" s="14">
        <f>IFERROR(C5*(1+INDEX(CAGR!$C$44:$C$50,MATCH($A5,CAGR!$B$44:$B$50,0))),0)</f>
        <v>1.2645931780258454E-3</v>
      </c>
      <c r="E5" s="14">
        <f>IFERROR(D5*(1+INDEX(CAGR!$C$44:$C$50,MATCH($A5,CAGR!$B$44:$B$50,0))),0)</f>
        <v>1.2641911597757517E-3</v>
      </c>
      <c r="F5" s="14">
        <f>IFERROR(E5*(1+INDEX(CAGR!$C$44:$C$50,MATCH($A5,CAGR!$B$44:$B$50,0))),0)</f>
        <v>1.2637892693285564E-3</v>
      </c>
      <c r="G5" s="14">
        <f>IFERROR(F5*(1+INDEX(CAGR!$C$44:$C$50,MATCH($A5,CAGR!$B$44:$B$50,0))),0)</f>
        <v>1.2633875066436306E-3</v>
      </c>
      <c r="H5" s="14">
        <f>IFERROR(G5*(1+INDEX(CAGR!$C$44:$C$50,MATCH($A5,CAGR!$B$44:$B$50,0))),0)</f>
        <v>1.2629858716803582E-3</v>
      </c>
      <c r="I5" s="14">
        <f>IFERROR(H5*(1+INDEX(CAGR!$C$44:$C$50,MATCH($A5,CAGR!$B$44:$B$50,0))),0)</f>
        <v>1.262584364398136E-3</v>
      </c>
      <c r="J5" s="14">
        <f>IFERROR(I5*(1+INDEX(CAGR!$C$44:$C$50,MATCH($A5,CAGR!$B$44:$B$50,0))),0)</f>
        <v>1.2621829847563738E-3</v>
      </c>
      <c r="K5" s="14">
        <f>IFERROR(J5*(1+INDEX(CAGR!$C$44:$C$50,MATCH($A5,CAGR!$B$44:$B$50,0))),0)</f>
        <v>1.2617817327144943E-3</v>
      </c>
      <c r="L5" s="14">
        <f>IFERROR(K5*(1+INDEX(CAGR!$C$44:$C$50,MATCH($A5,CAGR!$B$44:$B$50,0))),0)</f>
        <v>1.2613806082319332E-3</v>
      </c>
      <c r="M5" s="14">
        <f>IFERROR(L5*(1+INDEX(CAGR!$C$44:$C$50,MATCH($A5,CAGR!$B$44:$B$50,0))),0)</f>
        <v>1.2609796112681389E-3</v>
      </c>
      <c r="N5" s="14">
        <f>IFERROR(M5*(1+INDEX(CAGR!$C$44:$C$50,MATCH($A5,CAGR!$B$44:$B$50,0))),0)</f>
        <v>1.2605787417825727E-3</v>
      </c>
      <c r="O5" s="14">
        <f>IFERROR(N5*(1+INDEX(CAGR!$C$44:$C$50,MATCH($A5,CAGR!$B$44:$B$50,0))),0)</f>
        <v>1.260177999734709E-3</v>
      </c>
      <c r="P5" s="14">
        <f>IFERROR(O5*(1+INDEX(CAGR!$C$44:$C$50,MATCH($A5,CAGR!$B$44:$B$50,0))),0)</f>
        <v>1.2597773850840347E-3</v>
      </c>
      <c r="Q5" s="14">
        <f>IFERROR(P5*(1+INDEX(CAGR!$C$44:$C$50,MATCH($A5,CAGR!$B$44:$B$50,0))),0)</f>
        <v>1.25937689779005E-3</v>
      </c>
      <c r="R5" s="14">
        <f>IFERROR(Q5*(1+INDEX(CAGR!$C$44:$C$50,MATCH($A5,CAGR!$B$44:$B$50,0))),0)</f>
        <v>1.2589765378122678E-3</v>
      </c>
      <c r="S5" s="14">
        <f>IFERROR(R5*(1+INDEX(CAGR!$C$44:$C$50,MATCH($A5,CAGR!$B$44:$B$50,0))),0)</f>
        <v>1.2585763051102138E-3</v>
      </c>
      <c r="T5" s="14">
        <f>IFERROR(S5*(1+INDEX(CAGR!$C$44:$C$50,MATCH($A5,CAGR!$B$44:$B$50,0))),0)</f>
        <v>1.2581761996434267E-3</v>
      </c>
      <c r="U5" s="14">
        <f>IFERROR(T5*(1+INDEX(CAGR!$C$44:$C$50,MATCH($A5,CAGR!$B$44:$B$50,0))),0)</f>
        <v>1.257776221371458E-3</v>
      </c>
      <c r="V5" s="14">
        <f>IFERROR(U5*(1+INDEX(CAGR!$C$44:$C$50,MATCH($A5,CAGR!$B$44:$B$50,0))),0)</f>
        <v>1.257376370253872E-3</v>
      </c>
      <c r="W5" s="14">
        <f>IFERROR(V5*(1+INDEX(CAGR!$C$44:$C$50,MATCH($A5,CAGR!$B$44:$B$50,0))),0)</f>
        <v>1.256976646250246E-3</v>
      </c>
      <c r="X5" s="14">
        <f>IFERROR(W5*(1+INDEX(CAGR!$C$44:$C$50,MATCH($A5,CAGR!$B$44:$B$50,0))),0)</f>
        <v>1.25657704932017E-3</v>
      </c>
      <c r="Y5" s="14">
        <f>IFERROR(X5*(1+INDEX(CAGR!$C$44:$C$50,MATCH($A5,CAGR!$B$44:$B$50,0))),0)</f>
        <v>1.2561775794232468E-3</v>
      </c>
      <c r="Z5" s="14">
        <f>IFERROR(Y5*(1+INDEX(CAGR!$C$44:$C$50,MATCH($A5,CAGR!$B$44:$B$50,0))),0)</f>
        <v>1.2557782365190924E-3</v>
      </c>
      <c r="AA5" s="14">
        <f>IFERROR(Z5*(1+INDEX(CAGR!$C$44:$C$50,MATCH($A5,CAGR!$B$44:$B$50,0))),0)</f>
        <v>1.2553790205673354E-3</v>
      </c>
      <c r="AB5" s="14">
        <f>IFERROR(AA5*(1+INDEX(CAGR!$C$44:$C$50,MATCH($A5,CAGR!$B$44:$B$50,0))),0)</f>
        <v>1.254979931527617E-3</v>
      </c>
      <c r="AC5" s="14">
        <f>IFERROR(AB5*(1+INDEX(CAGR!$C$44:$C$50,MATCH($A5,CAGR!$B$44:$B$50,0))),0)</f>
        <v>1.2545809693595917E-3</v>
      </c>
      <c r="AD5" s="14">
        <f>IFERROR(AC5*(1+INDEX(CAGR!$C$44:$C$50,MATCH($A5,CAGR!$B$44:$B$50,0))),0)</f>
        <v>1.2541821340229262E-3</v>
      </c>
      <c r="AE5" s="14">
        <f>IFERROR(AD5*(1+INDEX(CAGR!$C$44:$C$50,MATCH($A5,CAGR!$B$44:$B$50,0))),0)</f>
        <v>1.2537834254773006E-3</v>
      </c>
      <c r="AF5" s="14">
        <f>IFERROR(AE5*(1+INDEX(CAGR!$C$44:$C$50,MATCH($A5,CAGR!$B$44:$B$50,0))),0)</f>
        <v>1.2533848436824078E-3</v>
      </c>
      <c r="AG5" s="14"/>
    </row>
    <row r="6" spans="1:33">
      <c r="A6" s="1" t="s">
        <v>13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14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15</v>
      </c>
      <c r="B8" s="13">
        <f>B5*Calibration!$D$37</f>
        <v>3.7961927942919238E-3</v>
      </c>
      <c r="C8" s="13">
        <f>B8*(1+CAGR!$C$50)</f>
        <v>3.7949859723584371E-3</v>
      </c>
      <c r="D8" s="13">
        <f>C8*(1+CAGR!$C$50)</f>
        <v>3.7937795340775354E-3</v>
      </c>
      <c r="E8" s="13">
        <f>D8*(1+CAGR!$C$50)</f>
        <v>3.7925734793272546E-3</v>
      </c>
      <c r="F8" s="13">
        <f>E8*(1+CAGR!$C$50)</f>
        <v>3.7913678079856687E-3</v>
      </c>
      <c r="G8" s="13">
        <f>F8*(1+CAGR!$C$50)</f>
        <v>3.790162519930891E-3</v>
      </c>
      <c r="H8" s="13">
        <f>G8*(1+CAGR!$C$50)</f>
        <v>3.7889576150410735E-3</v>
      </c>
      <c r="I8" s="13">
        <f>H8*(1+CAGR!$C$50)</f>
        <v>3.7877530931944067E-3</v>
      </c>
      <c r="J8" s="13">
        <f>I8*(1+CAGR!$C$50)</f>
        <v>3.7865489542691201E-3</v>
      </c>
      <c r="K8" s="13">
        <f>J8*(1+CAGR!$C$50)</f>
        <v>3.7853451981434815E-3</v>
      </c>
      <c r="L8" s="13">
        <f>K8*(1+CAGR!$C$50)</f>
        <v>3.7841418246957982E-3</v>
      </c>
      <c r="M8" s="13">
        <f>L8*(1+CAGR!$C$50)</f>
        <v>3.7829388338044148E-3</v>
      </c>
      <c r="N8" s="13">
        <f>M8*(1+CAGR!$C$50)</f>
        <v>3.7817362253477161E-3</v>
      </c>
      <c r="O8" s="13">
        <f>N8*(1+CAGR!$C$50)</f>
        <v>3.7805339992041248E-3</v>
      </c>
      <c r="P8" s="13">
        <f>O8*(1+CAGR!$C$50)</f>
        <v>3.7793321552521022E-3</v>
      </c>
      <c r="Q8" s="13">
        <f>P8*(1+CAGR!$C$50)</f>
        <v>3.7781306933701484E-3</v>
      </c>
      <c r="R8" s="13">
        <f>Q8*(1+CAGR!$C$50)</f>
        <v>3.7769296134368018E-3</v>
      </c>
      <c r="S8" s="13">
        <f>R8*(1+CAGR!$C$50)</f>
        <v>3.7757289153306402E-3</v>
      </c>
      <c r="T8" s="13">
        <f>S8*(1+CAGR!$C$50)</f>
        <v>3.7745285989302792E-3</v>
      </c>
      <c r="U8" s="13">
        <f>T8*(1+CAGR!$C$50)</f>
        <v>3.7733286641143731E-3</v>
      </c>
      <c r="V8" s="13">
        <f>U8*(1+CAGR!$C$50)</f>
        <v>3.7721291107616155E-3</v>
      </c>
      <c r="W8" s="13">
        <f>V8*(1+CAGR!$C$50)</f>
        <v>3.7709299387507379E-3</v>
      </c>
      <c r="X8" s="13">
        <f>W8*(1+CAGR!$C$50)</f>
        <v>3.7697311479605099E-3</v>
      </c>
      <c r="Y8" s="13">
        <f>X8*(1+CAGR!$C$50)</f>
        <v>3.7685327382697407E-3</v>
      </c>
      <c r="Z8" s="13">
        <f>Y8*(1+CAGR!$C$50)</f>
        <v>3.7673347095572777E-3</v>
      </c>
      <c r="AA8" s="13">
        <f>Z8*(1+CAGR!$C$50)</f>
        <v>3.7661370617020065E-3</v>
      </c>
      <c r="AB8" s="13">
        <f>AA8*(1+CAGR!$C$50)</f>
        <v>3.7649397945828515E-3</v>
      </c>
      <c r="AC8" s="13">
        <f>AB8*(1+CAGR!$C$50)</f>
        <v>3.763742908078775E-3</v>
      </c>
      <c r="AD8" s="13">
        <f>AC8*(1+CAGR!$C$50)</f>
        <v>3.7625464020687787E-3</v>
      </c>
      <c r="AE8" s="13">
        <f>AD8*(1+CAGR!$C$50)</f>
        <v>3.7613502764319022E-3</v>
      </c>
      <c r="AF8" s="13">
        <f>AE8*(1+CAGR!$C$50)</f>
        <v>3.7601545310472235E-3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B5" sqref="B5"/>
    </sheetView>
  </sheetViews>
  <sheetFormatPr defaultRowHeight="15"/>
  <cols>
    <col min="1" max="1" width="32.7109375" bestFit="1" customWidth="1"/>
    <col min="2" max="32" width="9.2851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4">
        <f>IFERROR(INDEX('SYFAFE frgt'!$B$5:$H$5,,MATCH($A2,'SYFAFE frgt'!$B$1:$H$1,0))*(1+INDEX(CAGR!$C$51:$C$57,MATCH($A2,CAGR!$B$51:$B$57,0))),0)</f>
        <v>4.6989073334332684E-3</v>
      </c>
      <c r="C2" s="14">
        <f>IFERROR(B2*(1+INDEX(CAGR!$C$51:$C$57,MATCH($A2,CAGR!$B$44:$B$50,0))),0)</f>
        <v>4.7283986054893245E-3</v>
      </c>
      <c r="D2" s="14">
        <f>IFERROR(C2*(1+INDEX(CAGR!$C$51:$C$57,MATCH($A2,CAGR!$B$44:$B$50,0))),0)</f>
        <v>4.7580749706033548E-3</v>
      </c>
      <c r="E2" s="14">
        <f>IFERROR(D2*(1+INDEX(CAGR!$C$51:$C$57,MATCH($A2,CAGR!$B$44:$B$50,0))),0)</f>
        <v>4.7879375904560104E-3</v>
      </c>
      <c r="F2" s="14">
        <f>IFERROR(E2*(1+INDEX(CAGR!$C$51:$C$57,MATCH($A2,CAGR!$B$44:$B$50,0))),0)</f>
        <v>4.8179876340188792E-3</v>
      </c>
      <c r="G2" s="14">
        <f>IFERROR(F2*(1+INDEX(CAGR!$C$51:$C$57,MATCH($A2,CAGR!$B$44:$B$50,0))),0)</f>
        <v>4.8482262776002472E-3</v>
      </c>
      <c r="H2" s="14">
        <f>IFERROR(G2*(1+INDEX(CAGR!$C$51:$C$57,MATCH($A2,CAGR!$B$44:$B$50,0))),0)</f>
        <v>4.8786547048911425E-3</v>
      </c>
      <c r="I2" s="14">
        <f>IFERROR(H2*(1+INDEX(CAGR!$C$51:$C$57,MATCH($A2,CAGR!$B$44:$B$50,0))),0)</f>
        <v>4.9092741070116729E-3</v>
      </c>
      <c r="J2" s="14">
        <f>IFERROR(I2*(1+INDEX(CAGR!$C$51:$C$57,MATCH($A2,CAGR!$B$44:$B$50,0))),0)</f>
        <v>4.9400856825576513E-3</v>
      </c>
      <c r="K2" s="14">
        <f>IFERROR(J2*(1+INDEX(CAGR!$C$51:$C$57,MATCH($A2,CAGR!$B$44:$B$50,0))),0)</f>
        <v>4.9710906376475164E-3</v>
      </c>
      <c r="L2" s="14">
        <f>IFERROR(K2*(1+INDEX(CAGR!$C$51:$C$57,MATCH($A2,CAGR!$B$44:$B$50,0))),0)</f>
        <v>5.0022901859695431E-3</v>
      </c>
      <c r="M2" s="14">
        <f>IFERROR(L2*(1+INDEX(CAGR!$C$51:$C$57,MATCH($A2,CAGR!$B$44:$B$50,0))),0)</f>
        <v>5.0336855488293548E-3</v>
      </c>
      <c r="N2" s="14">
        <f>IFERROR(M2*(1+INDEX(CAGR!$C$51:$C$57,MATCH($A2,CAGR!$B$44:$B$50,0))),0)</f>
        <v>5.0652779551977308E-3</v>
      </c>
      <c r="O2" s="14">
        <f>IFERROR(N2*(1+INDEX(CAGR!$C$51:$C$57,MATCH($A2,CAGR!$B$44:$B$50,0))),0)</f>
        <v>5.0970686417587136E-3</v>
      </c>
      <c r="P2" s="14">
        <f>IFERROR(O2*(1+INDEX(CAGR!$C$51:$C$57,MATCH($A2,CAGR!$B$44:$B$50,0))),0)</f>
        <v>5.1290588529580199E-3</v>
      </c>
      <c r="Q2" s="14">
        <f>IFERROR(P2*(1+INDEX(CAGR!$C$51:$C$57,MATCH($A2,CAGR!$B$44:$B$50,0))),0)</f>
        <v>5.1612498410517531E-3</v>
      </c>
      <c r="R2" s="14">
        <f>IFERROR(Q2*(1+INDEX(CAGR!$C$51:$C$57,MATCH($A2,CAGR!$B$44:$B$50,0))),0)</f>
        <v>5.1936428661554252E-3</v>
      </c>
      <c r="S2" s="14">
        <f>IFERROR(R2*(1+INDEX(CAGR!$C$51:$C$57,MATCH($A2,CAGR!$B$44:$B$50,0))),0)</f>
        <v>5.2262391962932817E-3</v>
      </c>
      <c r="T2" s="14">
        <f>IFERROR(S2*(1+INDEX(CAGR!$C$51:$C$57,MATCH($A2,CAGR!$B$44:$B$50,0))),0)</f>
        <v>5.2590401074479381E-3</v>
      </c>
      <c r="U2" s="14">
        <f>IFERROR(T2*(1+INDEX(CAGR!$C$51:$C$57,MATCH($A2,CAGR!$B$44:$B$50,0))),0)</f>
        <v>5.2920468836103306E-3</v>
      </c>
      <c r="V2" s="14">
        <f>IFERROR(U2*(1+INDEX(CAGR!$C$51:$C$57,MATCH($A2,CAGR!$B$44:$B$50,0))),0)</f>
        <v>5.3252608168299761E-3</v>
      </c>
      <c r="W2" s="14">
        <f>IFERROR(V2*(1+INDEX(CAGR!$C$51:$C$57,MATCH($A2,CAGR!$B$44:$B$50,0))),0)</f>
        <v>5.3586832072655497E-3</v>
      </c>
      <c r="X2" s="14">
        <f>IFERROR(W2*(1+INDEX(CAGR!$C$51:$C$57,MATCH($A2,CAGR!$B$44:$B$50,0))),0)</f>
        <v>5.39231536323578E-3</v>
      </c>
      <c r="Y2" s="14">
        <f>IFERROR(X2*(1+INDEX(CAGR!$C$51:$C$57,MATCH($A2,CAGR!$B$44:$B$50,0))),0)</f>
        <v>5.4261586012706621E-3</v>
      </c>
      <c r="Z2" s="14">
        <f>IFERROR(Y2*(1+INDEX(CAGR!$C$51:$C$57,MATCH($A2,CAGR!$B$44:$B$50,0))),0)</f>
        <v>5.4602142461629951E-3</v>
      </c>
      <c r="AA2" s="14">
        <f>IFERROR(Z2*(1+INDEX(CAGR!$C$51:$C$57,MATCH($A2,CAGR!$B$44:$B$50,0))),0)</f>
        <v>5.4944836310202383E-3</v>
      </c>
      <c r="AB2" s="14">
        <f>IFERROR(AA2*(1+INDEX(CAGR!$C$51:$C$57,MATCH($A2,CAGR!$B$44:$B$50,0))),0)</f>
        <v>5.5289680973166977E-3</v>
      </c>
      <c r="AC2" s="14">
        <f>IFERROR(AB2*(1+INDEX(CAGR!$C$51:$C$57,MATCH($A2,CAGR!$B$44:$B$50,0))),0)</f>
        <v>5.5636689949460369E-3</v>
      </c>
      <c r="AD2" s="14">
        <f>IFERROR(AC2*(1+INDEX(CAGR!$C$51:$C$57,MATCH($A2,CAGR!$B$44:$B$50,0))),0)</f>
        <v>5.5985876822741212E-3</v>
      </c>
      <c r="AE2" s="14">
        <f>IFERROR(AD2*(1+INDEX(CAGR!$C$51:$C$57,MATCH($A2,CAGR!$B$44:$B$50,0))),0)</f>
        <v>5.6337255261921862E-3</v>
      </c>
      <c r="AF2" s="14">
        <f>IFERROR(AE2*(1+INDEX(CAGR!$C$51:$C$57,MATCH($A2,CAGR!$B$44:$B$50,0))),0)</f>
        <v>5.669083902170349E-3</v>
      </c>
    </row>
    <row r="3" spans="1:32">
      <c r="A3" s="1" t="s">
        <v>10</v>
      </c>
      <c r="B3" s="14">
        <f>IFERROR(INDEX('SYFAFE frgt'!$B$5:$H$5,,MATCH($A3,'SYFAFE frgt'!$B$1:$H$1,0))*(1+INDEX(CAGR!$C$51:$C$57,MATCH($A3,CAGR!$B$51:$B$57,0))),0)</f>
        <v>1.4530999999999999E-3</v>
      </c>
      <c r="C3" s="14">
        <f>IFERROR(B3*(1+INDEX(CAGR!$C$51:$C$57,MATCH($A3,CAGR!$B$44:$B$50,0))),0)</f>
        <v>1.4530999999999999E-3</v>
      </c>
      <c r="D3" s="14">
        <f>IFERROR(C3*(1+INDEX(CAGR!$C$51:$C$57,MATCH($A3,CAGR!$B$44:$B$50,0))),0)</f>
        <v>1.4530999999999999E-3</v>
      </c>
      <c r="E3" s="14">
        <f>IFERROR(D3*(1+INDEX(CAGR!$C$51:$C$57,MATCH($A3,CAGR!$B$44:$B$50,0))),0)</f>
        <v>1.4530999999999999E-3</v>
      </c>
      <c r="F3" s="14">
        <f>IFERROR(E3*(1+INDEX(CAGR!$C$51:$C$57,MATCH($A3,CAGR!$B$44:$B$50,0))),0)</f>
        <v>1.4530999999999999E-3</v>
      </c>
      <c r="G3" s="14">
        <f>IFERROR(F3*(1+INDEX(CAGR!$C$51:$C$57,MATCH($A3,CAGR!$B$44:$B$50,0))),0)</f>
        <v>1.4530999999999999E-3</v>
      </c>
      <c r="H3" s="14">
        <f>IFERROR(G3*(1+INDEX(CAGR!$C$51:$C$57,MATCH($A3,CAGR!$B$44:$B$50,0))),0)</f>
        <v>1.4530999999999999E-3</v>
      </c>
      <c r="I3" s="14">
        <f>IFERROR(H3*(1+INDEX(CAGR!$C$51:$C$57,MATCH($A3,CAGR!$B$44:$B$50,0))),0)</f>
        <v>1.4530999999999999E-3</v>
      </c>
      <c r="J3" s="14">
        <f>IFERROR(I3*(1+INDEX(CAGR!$C$51:$C$57,MATCH($A3,CAGR!$B$44:$B$50,0))),0)</f>
        <v>1.4530999999999999E-3</v>
      </c>
      <c r="K3" s="14">
        <f>IFERROR(J3*(1+INDEX(CAGR!$C$51:$C$57,MATCH($A3,CAGR!$B$44:$B$50,0))),0)</f>
        <v>1.4530999999999999E-3</v>
      </c>
      <c r="L3" s="14">
        <f>IFERROR(K3*(1+INDEX(CAGR!$C$51:$C$57,MATCH($A3,CAGR!$B$44:$B$50,0))),0)</f>
        <v>1.4530999999999999E-3</v>
      </c>
      <c r="M3" s="14">
        <f>IFERROR(L3*(1+INDEX(CAGR!$C$51:$C$57,MATCH($A3,CAGR!$B$44:$B$50,0))),0)</f>
        <v>1.4530999999999999E-3</v>
      </c>
      <c r="N3" s="14">
        <f>IFERROR(M3*(1+INDEX(CAGR!$C$51:$C$57,MATCH($A3,CAGR!$B$44:$B$50,0))),0)</f>
        <v>1.4530999999999999E-3</v>
      </c>
      <c r="O3" s="14">
        <f>IFERROR(N3*(1+INDEX(CAGR!$C$51:$C$57,MATCH($A3,CAGR!$B$44:$B$50,0))),0)</f>
        <v>1.4530999999999999E-3</v>
      </c>
      <c r="P3" s="14">
        <f>IFERROR(O3*(1+INDEX(CAGR!$C$51:$C$57,MATCH($A3,CAGR!$B$44:$B$50,0))),0)</f>
        <v>1.4530999999999999E-3</v>
      </c>
      <c r="Q3" s="14">
        <f>IFERROR(P3*(1+INDEX(CAGR!$C$51:$C$57,MATCH($A3,CAGR!$B$44:$B$50,0))),0)</f>
        <v>1.4530999999999999E-3</v>
      </c>
      <c r="R3" s="14">
        <f>IFERROR(Q3*(1+INDEX(CAGR!$C$51:$C$57,MATCH($A3,CAGR!$B$44:$B$50,0))),0)</f>
        <v>1.4530999999999999E-3</v>
      </c>
      <c r="S3" s="14">
        <f>IFERROR(R3*(1+INDEX(CAGR!$C$51:$C$57,MATCH($A3,CAGR!$B$44:$B$50,0))),0)</f>
        <v>1.4530999999999999E-3</v>
      </c>
      <c r="T3" s="14">
        <f>IFERROR(S3*(1+INDEX(CAGR!$C$51:$C$57,MATCH($A3,CAGR!$B$44:$B$50,0))),0)</f>
        <v>1.4530999999999999E-3</v>
      </c>
      <c r="U3" s="14">
        <f>IFERROR(T3*(1+INDEX(CAGR!$C$51:$C$57,MATCH($A3,CAGR!$B$44:$B$50,0))),0)</f>
        <v>1.4530999999999999E-3</v>
      </c>
      <c r="V3" s="14">
        <f>IFERROR(U3*(1+INDEX(CAGR!$C$51:$C$57,MATCH($A3,CAGR!$B$44:$B$50,0))),0)</f>
        <v>1.4530999999999999E-3</v>
      </c>
      <c r="W3" s="14">
        <f>IFERROR(V3*(1+INDEX(CAGR!$C$51:$C$57,MATCH($A3,CAGR!$B$44:$B$50,0))),0)</f>
        <v>1.4530999999999999E-3</v>
      </c>
      <c r="X3" s="14">
        <f>IFERROR(W3*(1+INDEX(CAGR!$C$51:$C$57,MATCH($A3,CAGR!$B$44:$B$50,0))),0)</f>
        <v>1.4530999999999999E-3</v>
      </c>
      <c r="Y3" s="14">
        <f>IFERROR(X3*(1+INDEX(CAGR!$C$51:$C$57,MATCH($A3,CAGR!$B$44:$B$50,0))),0)</f>
        <v>1.4530999999999999E-3</v>
      </c>
      <c r="Z3" s="14">
        <f>IFERROR(Y3*(1+INDEX(CAGR!$C$51:$C$57,MATCH($A3,CAGR!$B$44:$B$50,0))),0)</f>
        <v>1.4530999999999999E-3</v>
      </c>
      <c r="AA3" s="14">
        <f>IFERROR(Z3*(1+INDEX(CAGR!$C$51:$C$57,MATCH($A3,CAGR!$B$44:$B$50,0))),0)</f>
        <v>1.4530999999999999E-3</v>
      </c>
      <c r="AB3" s="14">
        <f>IFERROR(AA3*(1+INDEX(CAGR!$C$51:$C$57,MATCH($A3,CAGR!$B$44:$B$50,0))),0)</f>
        <v>1.4530999999999999E-3</v>
      </c>
      <c r="AC3" s="14">
        <f>IFERROR(AB3*(1+INDEX(CAGR!$C$51:$C$57,MATCH($A3,CAGR!$B$44:$B$50,0))),0)</f>
        <v>1.4530999999999999E-3</v>
      </c>
      <c r="AD3" s="14">
        <f>IFERROR(AC3*(1+INDEX(CAGR!$C$51:$C$57,MATCH($A3,CAGR!$B$44:$B$50,0))),0)</f>
        <v>1.4530999999999999E-3</v>
      </c>
      <c r="AE3" s="14">
        <f>IFERROR(AD3*(1+INDEX(CAGR!$C$51:$C$57,MATCH($A3,CAGR!$B$44:$B$50,0))),0)</f>
        <v>1.4530999999999999E-3</v>
      </c>
      <c r="AF3" s="14">
        <f>IFERROR(AE3*(1+INDEX(CAGR!$C$51:$C$57,MATCH($A3,CAGR!$B$44:$B$50,0))),0)</f>
        <v>1.4530999999999999E-3</v>
      </c>
    </row>
    <row r="4" spans="1:32">
      <c r="A4" s="1" t="s">
        <v>11</v>
      </c>
      <c r="B4" s="14">
        <f>IFERROR(INDEX('SYFAFE frgt'!$B$5:$H$5,,MATCH($A4,'SYFAFE frgt'!$B$1:$H$1,0))*(1+INDEX(CAGR!$C$51:$C$57,MATCH($A4,CAGR!$B$51:$B$57,0))),0)</f>
        <v>1.4530999999999999E-3</v>
      </c>
      <c r="C4" s="14">
        <f>IFERROR(B4*(1+INDEX(CAGR!$C$51:$C$57,MATCH($A4,CAGR!$B$44:$B$50,0))),0)</f>
        <v>1.4530999999999999E-3</v>
      </c>
      <c r="D4" s="14">
        <f>IFERROR(C4*(1+INDEX(CAGR!$C$51:$C$57,MATCH($A4,CAGR!$B$44:$B$50,0))),0)</f>
        <v>1.4530999999999999E-3</v>
      </c>
      <c r="E4" s="14">
        <f>IFERROR(D4*(1+INDEX(CAGR!$C$51:$C$57,MATCH($A4,CAGR!$B$44:$B$50,0))),0)</f>
        <v>1.4530999999999999E-3</v>
      </c>
      <c r="F4" s="14">
        <f>IFERROR(E4*(1+INDEX(CAGR!$C$51:$C$57,MATCH($A4,CAGR!$B$44:$B$50,0))),0)</f>
        <v>1.4530999999999999E-3</v>
      </c>
      <c r="G4" s="14">
        <f>IFERROR(F4*(1+INDEX(CAGR!$C$51:$C$57,MATCH($A4,CAGR!$B$44:$B$50,0))),0)</f>
        <v>1.4530999999999999E-3</v>
      </c>
      <c r="H4" s="14">
        <f>IFERROR(G4*(1+INDEX(CAGR!$C$51:$C$57,MATCH($A4,CAGR!$B$44:$B$50,0))),0)</f>
        <v>1.4530999999999999E-3</v>
      </c>
      <c r="I4" s="14">
        <f>IFERROR(H4*(1+INDEX(CAGR!$C$51:$C$57,MATCH($A4,CAGR!$B$44:$B$50,0))),0)</f>
        <v>1.4530999999999999E-3</v>
      </c>
      <c r="J4" s="14">
        <f>IFERROR(I4*(1+INDEX(CAGR!$C$51:$C$57,MATCH($A4,CAGR!$B$44:$B$50,0))),0)</f>
        <v>1.4530999999999999E-3</v>
      </c>
      <c r="K4" s="14">
        <f>IFERROR(J4*(1+INDEX(CAGR!$C$51:$C$57,MATCH($A4,CAGR!$B$44:$B$50,0))),0)</f>
        <v>1.4530999999999999E-3</v>
      </c>
      <c r="L4" s="14">
        <f>IFERROR(K4*(1+INDEX(CAGR!$C$51:$C$57,MATCH($A4,CAGR!$B$44:$B$50,0))),0)</f>
        <v>1.4530999999999999E-3</v>
      </c>
      <c r="M4" s="14">
        <f>IFERROR(L4*(1+INDEX(CAGR!$C$51:$C$57,MATCH($A4,CAGR!$B$44:$B$50,0))),0)</f>
        <v>1.4530999999999999E-3</v>
      </c>
      <c r="N4" s="14">
        <f>IFERROR(M4*(1+INDEX(CAGR!$C$51:$C$57,MATCH($A4,CAGR!$B$44:$B$50,0))),0)</f>
        <v>1.4530999999999999E-3</v>
      </c>
      <c r="O4" s="14">
        <f>IFERROR(N4*(1+INDEX(CAGR!$C$51:$C$57,MATCH($A4,CAGR!$B$44:$B$50,0))),0)</f>
        <v>1.4530999999999999E-3</v>
      </c>
      <c r="P4" s="14">
        <f>IFERROR(O4*(1+INDEX(CAGR!$C$51:$C$57,MATCH($A4,CAGR!$B$44:$B$50,0))),0)</f>
        <v>1.4530999999999999E-3</v>
      </c>
      <c r="Q4" s="14">
        <f>IFERROR(P4*(1+INDEX(CAGR!$C$51:$C$57,MATCH($A4,CAGR!$B$44:$B$50,0))),0)</f>
        <v>1.4530999999999999E-3</v>
      </c>
      <c r="R4" s="14">
        <f>IFERROR(Q4*(1+INDEX(CAGR!$C$51:$C$57,MATCH($A4,CAGR!$B$44:$B$50,0))),0)</f>
        <v>1.4530999999999999E-3</v>
      </c>
      <c r="S4" s="14">
        <f>IFERROR(R4*(1+INDEX(CAGR!$C$51:$C$57,MATCH($A4,CAGR!$B$44:$B$50,0))),0)</f>
        <v>1.4530999999999999E-3</v>
      </c>
      <c r="T4" s="14">
        <f>IFERROR(S4*(1+INDEX(CAGR!$C$51:$C$57,MATCH($A4,CAGR!$B$44:$B$50,0))),0)</f>
        <v>1.4530999999999999E-3</v>
      </c>
      <c r="U4" s="14">
        <f>IFERROR(T4*(1+INDEX(CAGR!$C$51:$C$57,MATCH($A4,CAGR!$B$44:$B$50,0))),0)</f>
        <v>1.4530999999999999E-3</v>
      </c>
      <c r="V4" s="14">
        <f>IFERROR(U4*(1+INDEX(CAGR!$C$51:$C$57,MATCH($A4,CAGR!$B$44:$B$50,0))),0)</f>
        <v>1.4530999999999999E-3</v>
      </c>
      <c r="W4" s="14">
        <f>IFERROR(V4*(1+INDEX(CAGR!$C$51:$C$57,MATCH($A4,CAGR!$B$44:$B$50,0))),0)</f>
        <v>1.4530999999999999E-3</v>
      </c>
      <c r="X4" s="14">
        <f>IFERROR(W4*(1+INDEX(CAGR!$C$51:$C$57,MATCH($A4,CAGR!$B$44:$B$50,0))),0)</f>
        <v>1.4530999999999999E-3</v>
      </c>
      <c r="Y4" s="14">
        <f>IFERROR(X4*(1+INDEX(CAGR!$C$51:$C$57,MATCH($A4,CAGR!$B$44:$B$50,0))),0)</f>
        <v>1.4530999999999999E-3</v>
      </c>
      <c r="Z4" s="14">
        <f>IFERROR(Y4*(1+INDEX(CAGR!$C$51:$C$57,MATCH($A4,CAGR!$B$44:$B$50,0))),0)</f>
        <v>1.4530999999999999E-3</v>
      </c>
      <c r="AA4" s="14">
        <f>IFERROR(Z4*(1+INDEX(CAGR!$C$51:$C$57,MATCH($A4,CAGR!$B$44:$B$50,0))),0)</f>
        <v>1.4530999999999999E-3</v>
      </c>
      <c r="AB4" s="14">
        <f>IFERROR(AA4*(1+INDEX(CAGR!$C$51:$C$57,MATCH($A4,CAGR!$B$44:$B$50,0))),0)</f>
        <v>1.4530999999999999E-3</v>
      </c>
      <c r="AC4" s="14">
        <f>IFERROR(AB4*(1+INDEX(CAGR!$C$51:$C$57,MATCH($A4,CAGR!$B$44:$B$50,0))),0)</f>
        <v>1.4530999999999999E-3</v>
      </c>
      <c r="AD4" s="14">
        <f>IFERROR(AC4*(1+INDEX(CAGR!$C$51:$C$57,MATCH($A4,CAGR!$B$44:$B$50,0))),0)</f>
        <v>1.4530999999999999E-3</v>
      </c>
      <c r="AE4" s="14">
        <f>IFERROR(AD4*(1+INDEX(CAGR!$C$51:$C$57,MATCH($A4,CAGR!$B$44:$B$50,0))),0)</f>
        <v>1.4530999999999999E-3</v>
      </c>
      <c r="AF4" s="14">
        <f>IFERROR(AE4*(1+INDEX(CAGR!$C$51:$C$57,MATCH($A4,CAGR!$B$44:$B$50,0))),0)</f>
        <v>1.4530999999999999E-3</v>
      </c>
    </row>
    <row r="5" spans="1:32">
      <c r="A5" s="1" t="s">
        <v>12</v>
      </c>
      <c r="B5" s="14">
        <f>IFERROR(INDEX('SYFAFE frgt'!$B$5:$H$5,,MATCH($A5,'SYFAFE frgt'!$B$1:$H$1,0))*(1+INDEX(CAGR!$C$51:$C$57,MATCH($A5,CAGR!$B$51:$B$57,0))),0)</f>
        <v>1.4622199430811809E-3</v>
      </c>
      <c r="C5" s="14">
        <f>IFERROR(B5*(1+INDEX(CAGR!$C$51:$C$57,MATCH($A5,CAGR!$B$44:$B$50,0))),0)</f>
        <v>1.4713971247294281E-3</v>
      </c>
      <c r="D5" s="14">
        <f>IFERROR(C5*(1+INDEX(CAGR!$C$51:$C$57,MATCH($A5,CAGR!$B$44:$B$50,0))),0)</f>
        <v>1.4806319041853126E-3</v>
      </c>
      <c r="E5" s="14">
        <f>IFERROR(D5*(1+INDEX(CAGR!$C$51:$C$57,MATCH($A5,CAGR!$B$44:$B$50,0))),0)</f>
        <v>1.4899246429440701E-3</v>
      </c>
      <c r="F5" s="14">
        <f>IFERROR(E5*(1+INDEX(CAGR!$C$51:$C$57,MATCH($A5,CAGR!$B$44:$B$50,0))),0)</f>
        <v>1.4992757047697521E-3</v>
      </c>
      <c r="G5" s="14">
        <f>IFERROR(F5*(1+INDEX(CAGR!$C$51:$C$57,MATCH($A5,CAGR!$B$44:$B$50,0))),0)</f>
        <v>1.5086854557094654E-3</v>
      </c>
      <c r="H5" s="14">
        <f>IFERROR(G5*(1+INDEX(CAGR!$C$51:$C$57,MATCH($A5,CAGR!$B$44:$B$50,0))),0)</f>
        <v>1.5181542641077008E-3</v>
      </c>
      <c r="I5" s="14">
        <f>IFERROR(H5*(1+INDEX(CAGR!$C$51:$C$57,MATCH($A5,CAGR!$B$44:$B$50,0))),0)</f>
        <v>1.5276825006207517E-3</v>
      </c>
      <c r="J5" s="14">
        <f>IFERROR(I5*(1+INDEX(CAGR!$C$51:$C$57,MATCH($A5,CAGR!$B$44:$B$50,0))),0)</f>
        <v>1.537270538231224E-3</v>
      </c>
      <c r="K5" s="14">
        <f>IFERROR(J5*(1+INDEX(CAGR!$C$51:$C$57,MATCH($A5,CAGR!$B$44:$B$50,0))),0)</f>
        <v>1.5469187522626363E-3</v>
      </c>
      <c r="L5" s="14">
        <f>IFERROR(K5*(1+INDEX(CAGR!$C$51:$C$57,MATCH($A5,CAGR!$B$44:$B$50,0))),0)</f>
        <v>1.5566275203941116E-3</v>
      </c>
      <c r="M5" s="14">
        <f>IFERROR(L5*(1+INDEX(CAGR!$C$51:$C$57,MATCH($A5,CAGR!$B$44:$B$50,0))),0)</f>
        <v>1.5663972226751617E-3</v>
      </c>
      <c r="N5" s="14">
        <f>IFERROR(M5*(1+INDEX(CAGR!$C$51:$C$57,MATCH($A5,CAGR!$B$44:$B$50,0))),0)</f>
        <v>1.5762282415405649E-3</v>
      </c>
      <c r="O5" s="14">
        <f>IFERROR(N5*(1+INDEX(CAGR!$C$51:$C$57,MATCH($A5,CAGR!$B$44:$B$50,0))),0)</f>
        <v>1.5861209618253354E-3</v>
      </c>
      <c r="P5" s="14">
        <f>IFERROR(O5*(1+INDEX(CAGR!$C$51:$C$57,MATCH($A5,CAGR!$B$44:$B$50,0))),0)</f>
        <v>1.5960757707797878E-3</v>
      </c>
      <c r="Q5" s="14">
        <f>IFERROR(P5*(1+INDEX(CAGR!$C$51:$C$57,MATCH($A5,CAGR!$B$44:$B$50,0))),0)</f>
        <v>1.6060930580846971E-3</v>
      </c>
      <c r="R5" s="14">
        <f>IFERROR(Q5*(1+INDEX(CAGR!$C$51:$C$57,MATCH($A5,CAGR!$B$44:$B$50,0))),0)</f>
        <v>1.6161732158665512E-3</v>
      </c>
      <c r="S5" s="14">
        <f>IFERROR(R5*(1+INDEX(CAGR!$C$51:$C$57,MATCH($A5,CAGR!$B$44:$B$50,0))),0)</f>
        <v>1.6263166387129018E-3</v>
      </c>
      <c r="T5" s="14">
        <f>IFERROR(S5*(1+INDEX(CAGR!$C$51:$C$57,MATCH($A5,CAGR!$B$44:$B$50,0))),0)</f>
        <v>1.63652372368781E-3</v>
      </c>
      <c r="U5" s="14">
        <f>IFERROR(T5*(1+INDEX(CAGR!$C$51:$C$57,MATCH($A5,CAGR!$B$44:$B$50,0))),0)</f>
        <v>1.6467948703473895E-3</v>
      </c>
      <c r="V5" s="14">
        <f>IFERROR(U5*(1+INDEX(CAGR!$C$51:$C$57,MATCH($A5,CAGR!$B$44:$B$50,0))),0)</f>
        <v>1.6571304807554473E-3</v>
      </c>
      <c r="W5" s="14">
        <f>IFERROR(V5*(1+INDEX(CAGR!$C$51:$C$57,MATCH($A5,CAGR!$B$44:$B$50,0))),0)</f>
        <v>1.6675309594992224E-3</v>
      </c>
      <c r="X5" s="14">
        <f>IFERROR(W5*(1+INDEX(CAGR!$C$51:$C$57,MATCH($A5,CAGR!$B$44:$B$50,0))),0)</f>
        <v>1.6779967137052234E-3</v>
      </c>
      <c r="Y5" s="14">
        <f>IFERROR(X5*(1+INDEX(CAGR!$C$51:$C$57,MATCH($A5,CAGR!$B$44:$B$50,0))),0)</f>
        <v>1.688528153055165E-3</v>
      </c>
      <c r="Z5" s="14">
        <f>IFERROR(Y5*(1+INDEX(CAGR!$C$51:$C$57,MATCH($A5,CAGR!$B$44:$B$50,0))),0)</f>
        <v>1.699125689802006E-3</v>
      </c>
      <c r="AA5" s="14">
        <f>IFERROR(Z5*(1+INDEX(CAGR!$C$51:$C$57,MATCH($A5,CAGR!$B$44:$B$50,0))),0)</f>
        <v>1.7097897387860859E-3</v>
      </c>
      <c r="AB5" s="14">
        <f>IFERROR(AA5*(1+INDEX(CAGR!$C$51:$C$57,MATCH($A5,CAGR!$B$44:$B$50,0))),0)</f>
        <v>1.7205207174513645E-3</v>
      </c>
      <c r="AC5" s="14">
        <f>IFERROR(AB5*(1+INDEX(CAGR!$C$51:$C$57,MATCH($A5,CAGR!$B$44:$B$50,0))),0)</f>
        <v>1.7313190458617623E-3</v>
      </c>
      <c r="AD5" s="14">
        <f>IFERROR(AC5*(1+INDEX(CAGR!$C$51:$C$57,MATCH($A5,CAGR!$B$44:$B$50,0))),0)</f>
        <v>1.742185146717604E-3</v>
      </c>
      <c r="AE5" s="14">
        <f>IFERROR(AD5*(1+INDEX(CAGR!$C$51:$C$57,MATCH($A5,CAGR!$B$44:$B$50,0))),0)</f>
        <v>1.7531194453721656E-3</v>
      </c>
      <c r="AF5" s="14">
        <f>IFERROR(AE5*(1+INDEX(CAGR!$C$51:$C$57,MATCH($A5,CAGR!$B$44:$B$50,0))),0)</f>
        <v>1.764122369848324E-3</v>
      </c>
    </row>
    <row r="6" spans="1:32">
      <c r="A6" s="1" t="s">
        <v>13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14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15</v>
      </c>
      <c r="B8" s="13">
        <f>B5*Calibration!$D$38</f>
        <v>4.3866598292435421E-3</v>
      </c>
      <c r="C8" s="13">
        <f>B8*(1+CAGR!$C$57)</f>
        <v>4.4141913741882833E-3</v>
      </c>
      <c r="D8" s="13">
        <f>C8*(1+CAGR!$C$57)</f>
        <v>4.4418957125559365E-3</v>
      </c>
      <c r="E8" s="13">
        <f>D8*(1+CAGR!$C$57)</f>
        <v>4.4697739288322089E-3</v>
      </c>
      <c r="F8" s="13">
        <f>E8*(1+CAGR!$C$57)</f>
        <v>4.497827114309255E-3</v>
      </c>
      <c r="G8" s="13">
        <f>F8*(1+CAGR!$C$57)</f>
        <v>4.526056367128395E-3</v>
      </c>
      <c r="H8" s="13">
        <f>G8*(1+CAGR!$C$57)</f>
        <v>4.5544627923231008E-3</v>
      </c>
      <c r="I8" s="13">
        <f>H8*(1+CAGR!$C$57)</f>
        <v>4.5830475018622538E-3</v>
      </c>
      <c r="J8" s="13">
        <f>I8*(1+CAGR!$C$57)</f>
        <v>4.6118116146936705E-3</v>
      </c>
      <c r="K8" s="13">
        <f>J8*(1+CAGR!$C$57)</f>
        <v>4.6407562567879071E-3</v>
      </c>
      <c r="L8" s="13">
        <f>K8*(1+CAGR!$C$57)</f>
        <v>4.6698825611823326E-3</v>
      </c>
      <c r="M8" s="13">
        <f>L8*(1+CAGR!$C$57)</f>
        <v>4.6991916680254832E-3</v>
      </c>
      <c r="N8" s="13">
        <f>M8*(1+CAGR!$C$57)</f>
        <v>4.7286847246216929E-3</v>
      </c>
      <c r="O8" s="13">
        <f>N8*(1+CAGR!$C$57)</f>
        <v>4.7583628854760036E-3</v>
      </c>
      <c r="P8" s="13">
        <f>O8*(1+CAGR!$C$57)</f>
        <v>4.7882273123393609E-3</v>
      </c>
      <c r="Q8" s="13">
        <f>P8*(1+CAGR!$C$57)</f>
        <v>4.8182791742540886E-3</v>
      </c>
      <c r="R8" s="13">
        <f>Q8*(1+CAGR!$C$57)</f>
        <v>4.8485196475996509E-3</v>
      </c>
      <c r="S8" s="13">
        <f>R8*(1+CAGR!$C$57)</f>
        <v>4.8789499161387027E-3</v>
      </c>
      <c r="T8" s="13">
        <f>S8*(1+CAGR!$C$57)</f>
        <v>4.909571171063427E-3</v>
      </c>
      <c r="U8" s="13">
        <f>T8*(1+CAGR!$C$57)</f>
        <v>4.9403846110421656E-3</v>
      </c>
      <c r="V8" s="13">
        <f>U8*(1+CAGR!$C$57)</f>
        <v>4.9713914422663394E-3</v>
      </c>
      <c r="W8" s="13">
        <f>V8*(1+CAGR!$C$57)</f>
        <v>5.0025928784976645E-3</v>
      </c>
      <c r="X8" s="13">
        <f>W8*(1+CAGR!$C$57)</f>
        <v>5.0339901411156672E-3</v>
      </c>
      <c r="Y8" s="13">
        <f>X8*(1+CAGR!$C$57)</f>
        <v>5.0655844591654927E-3</v>
      </c>
      <c r="Z8" s="13">
        <f>Y8*(1+CAGR!$C$57)</f>
        <v>5.0973770694060158E-3</v>
      </c>
      <c r="AA8" s="13">
        <f>Z8*(1+CAGR!$C$57)</f>
        <v>5.1293692163582559E-3</v>
      </c>
      <c r="AB8" s="13">
        <f>AA8*(1+CAGR!$C$57)</f>
        <v>5.1615621523540918E-3</v>
      </c>
      <c r="AC8" s="13">
        <f>AB8*(1+CAGR!$C$57)</f>
        <v>5.1939571375852851E-3</v>
      </c>
      <c r="AD8" s="13">
        <f>AC8*(1+CAGR!$C$57)</f>
        <v>5.2265554401528108E-3</v>
      </c>
      <c r="AE8" s="13">
        <f>AD8*(1+CAGR!$C$57)</f>
        <v>5.2593583361164953E-3</v>
      </c>
      <c r="AF8" s="13">
        <f>AE8*(1+CAGR!$C$57)</f>
        <v>5.2923671095449704E-3</v>
      </c>
    </row>
  </sheetData>
  <phoneticPr fontId="1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B5*Calibration!$B$43</f>
        <v>2.9538232025526343E-3</v>
      </c>
      <c r="C2" s="13">
        <f>B2*(1+CAGR!$C$58)</f>
        <v>2.9538232025526343E-3</v>
      </c>
      <c r="D2" s="13">
        <f>C2*(1+CAGR!$C$58)</f>
        <v>2.9538232025526343E-3</v>
      </c>
      <c r="E2" s="13">
        <f>D2*(1+CAGR!$C$58)</f>
        <v>2.9538232025526343E-3</v>
      </c>
      <c r="F2" s="13">
        <f>E2*(1+CAGR!$C$58)</f>
        <v>2.9538232025526343E-3</v>
      </c>
      <c r="G2" s="13">
        <f>F2*(1+CAGR!$C$58)</f>
        <v>2.9538232025526343E-3</v>
      </c>
      <c r="H2" s="13">
        <f>G2*(1+CAGR!$C$58)</f>
        <v>2.9538232025526343E-3</v>
      </c>
      <c r="I2" s="13">
        <f>H2*(1+CAGR!$C$58)</f>
        <v>2.9538232025526343E-3</v>
      </c>
      <c r="J2" s="13">
        <f>I2*(1+CAGR!$C$58)</f>
        <v>2.9538232025526343E-3</v>
      </c>
      <c r="K2" s="13">
        <f>J2*(1+CAGR!$C$58)</f>
        <v>2.9538232025526343E-3</v>
      </c>
      <c r="L2" s="13">
        <f>K2*(1+CAGR!$C$58)</f>
        <v>2.9538232025526343E-3</v>
      </c>
      <c r="M2" s="13">
        <f>L2*(1+CAGR!$C$58)</f>
        <v>2.9538232025526343E-3</v>
      </c>
      <c r="N2" s="13">
        <f>M2*(1+CAGR!$C$58)</f>
        <v>2.9538232025526343E-3</v>
      </c>
      <c r="O2" s="13">
        <f>N2*(1+CAGR!$C$58)</f>
        <v>2.9538232025526343E-3</v>
      </c>
      <c r="P2" s="13">
        <f>O2*(1+CAGR!$C$58)</f>
        <v>2.9538232025526343E-3</v>
      </c>
      <c r="Q2" s="13">
        <f>P2*(1+CAGR!$C$58)</f>
        <v>2.9538232025526343E-3</v>
      </c>
      <c r="R2" s="13">
        <f>Q2*(1+CAGR!$C$58)</f>
        <v>2.9538232025526343E-3</v>
      </c>
      <c r="S2" s="13">
        <f>R2*(1+CAGR!$C$58)</f>
        <v>2.9538232025526343E-3</v>
      </c>
      <c r="T2" s="13">
        <f>S2*(1+CAGR!$C$58)</f>
        <v>2.9538232025526343E-3</v>
      </c>
      <c r="U2" s="13">
        <f>T2*(1+CAGR!$C$58)</f>
        <v>2.9538232025526343E-3</v>
      </c>
      <c r="V2" s="13">
        <f>U2*(1+CAGR!$C$58)</f>
        <v>2.9538232025526343E-3</v>
      </c>
      <c r="W2" s="13">
        <f>V2*(1+CAGR!$C$58)</f>
        <v>2.9538232025526343E-3</v>
      </c>
      <c r="X2" s="13">
        <f>W2*(1+CAGR!$C$58)</f>
        <v>2.9538232025526343E-3</v>
      </c>
      <c r="Y2" s="13">
        <f>X2*(1+CAGR!$C$58)</f>
        <v>2.9538232025526343E-3</v>
      </c>
      <c r="Z2" s="13">
        <f>Y2*(1+CAGR!$C$58)</f>
        <v>2.9538232025526343E-3</v>
      </c>
      <c r="AA2" s="13">
        <f>Z2*(1+CAGR!$C$58)</f>
        <v>2.9538232025526343E-3</v>
      </c>
      <c r="AB2" s="13">
        <f>AA2*(1+CAGR!$C$58)</f>
        <v>2.9538232025526343E-3</v>
      </c>
      <c r="AC2" s="13">
        <f>AB2*(1+CAGR!$C$58)</f>
        <v>2.9538232025526343E-3</v>
      </c>
      <c r="AD2" s="13">
        <f>AC2*(1+CAGR!$C$58)</f>
        <v>2.9538232025526343E-3</v>
      </c>
      <c r="AE2" s="13">
        <f>AD2*(1+CAGR!$C$58)</f>
        <v>2.9538232025526343E-3</v>
      </c>
      <c r="AF2" s="13">
        <f>AE2*(1+CAGR!$C$58)</f>
        <v>2.9538232025526343E-3</v>
      </c>
    </row>
    <row r="3" spans="1:32">
      <c r="A3" s="1" t="s">
        <v>10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11</v>
      </c>
      <c r="B4">
        <f>IFERROR(INDEX('SYFAFE psgr'!$B$6:$H$6,,MATCH($A4,'SYFAFE psgr'!$B$1:$H$1,0))*(1+INDEX(CAGR!$C$58:$C$64,MATCH($A4,CAGR!$B$58:$B$64,0))),0)</f>
        <v>9.1919916385677981E-4</v>
      </c>
      <c r="C4">
        <f>IFERROR(INDEX('SYFAFE psgr'!$B$6:$H$6,,MATCH($A4,'SYFAFE psgr'!$B$1:$H$1,0))*(1+INDEX(CAGR!$C$58:$C$64,MATCH($A4,CAGR!$B$58:$B$64,0))),0)</f>
        <v>9.1919916385677981E-4</v>
      </c>
      <c r="D4">
        <f>IFERROR(INDEX('SYFAFE psgr'!$B$6:$H$6,,MATCH($A4,'SYFAFE psgr'!$B$1:$H$1,0))*(1+INDEX(CAGR!$C$58:$C$64,MATCH($A4,CAGR!$B$58:$B$64,0))),0)</f>
        <v>9.1919916385677981E-4</v>
      </c>
      <c r="E4">
        <f>IFERROR(INDEX('SYFAFE psgr'!$B$6:$H$6,,MATCH($A4,'SYFAFE psgr'!$B$1:$H$1,0))*(1+INDEX(CAGR!$C$58:$C$64,MATCH($A4,CAGR!$B$58:$B$64,0))),0)</f>
        <v>9.1919916385677981E-4</v>
      </c>
      <c r="F4">
        <f>IFERROR(INDEX('SYFAFE psgr'!$B$6:$H$6,,MATCH($A4,'SYFAFE psgr'!$B$1:$H$1,0))*(1+INDEX(CAGR!$C$58:$C$64,MATCH($A4,CAGR!$B$58:$B$64,0))),0)</f>
        <v>9.1919916385677981E-4</v>
      </c>
      <c r="G4">
        <f>IFERROR(INDEX('SYFAFE psgr'!$B$6:$H$6,,MATCH($A4,'SYFAFE psgr'!$B$1:$H$1,0))*(1+INDEX(CAGR!$C$58:$C$64,MATCH($A4,CAGR!$B$58:$B$64,0))),0)</f>
        <v>9.1919916385677981E-4</v>
      </c>
      <c r="H4">
        <f>IFERROR(INDEX('SYFAFE psgr'!$B$6:$H$6,,MATCH($A4,'SYFAFE psgr'!$B$1:$H$1,0))*(1+INDEX(CAGR!$C$58:$C$64,MATCH($A4,CAGR!$B$58:$B$64,0))),0)</f>
        <v>9.1919916385677981E-4</v>
      </c>
      <c r="I4">
        <f>IFERROR(INDEX('SYFAFE psgr'!$B$6:$H$6,,MATCH($A4,'SYFAFE psgr'!$B$1:$H$1,0))*(1+INDEX(CAGR!$C$58:$C$64,MATCH($A4,CAGR!$B$58:$B$64,0))),0)</f>
        <v>9.1919916385677981E-4</v>
      </c>
      <c r="J4">
        <f>IFERROR(INDEX('SYFAFE psgr'!$B$6:$H$6,,MATCH($A4,'SYFAFE psgr'!$B$1:$H$1,0))*(1+INDEX(CAGR!$C$58:$C$64,MATCH($A4,CAGR!$B$58:$B$64,0))),0)</f>
        <v>9.1919916385677981E-4</v>
      </c>
      <c r="K4">
        <f>IFERROR(INDEX('SYFAFE psgr'!$B$6:$H$6,,MATCH($A4,'SYFAFE psgr'!$B$1:$H$1,0))*(1+INDEX(CAGR!$C$58:$C$64,MATCH($A4,CAGR!$B$58:$B$64,0))),0)</f>
        <v>9.1919916385677981E-4</v>
      </c>
      <c r="L4">
        <f>IFERROR(INDEX('SYFAFE psgr'!$B$6:$H$6,,MATCH($A4,'SYFAFE psgr'!$B$1:$H$1,0))*(1+INDEX(CAGR!$C$58:$C$64,MATCH($A4,CAGR!$B$58:$B$64,0))),0)</f>
        <v>9.1919916385677981E-4</v>
      </c>
      <c r="M4">
        <f>IFERROR(INDEX('SYFAFE psgr'!$B$6:$H$6,,MATCH($A4,'SYFAFE psgr'!$B$1:$H$1,0))*(1+INDEX(CAGR!$C$58:$C$64,MATCH($A4,CAGR!$B$58:$B$64,0))),0)</f>
        <v>9.1919916385677981E-4</v>
      </c>
      <c r="N4">
        <f>IFERROR(INDEX('SYFAFE psgr'!$B$6:$H$6,,MATCH($A4,'SYFAFE psgr'!$B$1:$H$1,0))*(1+INDEX(CAGR!$C$58:$C$64,MATCH($A4,CAGR!$B$58:$B$64,0))),0)</f>
        <v>9.1919916385677981E-4</v>
      </c>
      <c r="O4">
        <f>IFERROR(INDEX('SYFAFE psgr'!$B$6:$H$6,,MATCH($A4,'SYFAFE psgr'!$B$1:$H$1,0))*(1+INDEX(CAGR!$C$58:$C$64,MATCH($A4,CAGR!$B$58:$B$64,0))),0)</f>
        <v>9.1919916385677981E-4</v>
      </c>
      <c r="P4">
        <f>IFERROR(INDEX('SYFAFE psgr'!$B$6:$H$6,,MATCH($A4,'SYFAFE psgr'!$B$1:$H$1,0))*(1+INDEX(CAGR!$C$58:$C$64,MATCH($A4,CAGR!$B$58:$B$64,0))),0)</f>
        <v>9.1919916385677981E-4</v>
      </c>
      <c r="Q4">
        <f>IFERROR(INDEX('SYFAFE psgr'!$B$6:$H$6,,MATCH($A4,'SYFAFE psgr'!$B$1:$H$1,0))*(1+INDEX(CAGR!$C$58:$C$64,MATCH($A4,CAGR!$B$58:$B$64,0))),0)</f>
        <v>9.1919916385677981E-4</v>
      </c>
      <c r="R4">
        <f>IFERROR(INDEX('SYFAFE psgr'!$B$6:$H$6,,MATCH($A4,'SYFAFE psgr'!$B$1:$H$1,0))*(1+INDEX(CAGR!$C$58:$C$64,MATCH($A4,CAGR!$B$58:$B$64,0))),0)</f>
        <v>9.1919916385677981E-4</v>
      </c>
      <c r="S4">
        <f>IFERROR(INDEX('SYFAFE psgr'!$B$6:$H$6,,MATCH($A4,'SYFAFE psgr'!$B$1:$H$1,0))*(1+INDEX(CAGR!$C$58:$C$64,MATCH($A4,CAGR!$B$58:$B$64,0))),0)</f>
        <v>9.1919916385677981E-4</v>
      </c>
      <c r="T4">
        <f>IFERROR(INDEX('SYFAFE psgr'!$B$6:$H$6,,MATCH($A4,'SYFAFE psgr'!$B$1:$H$1,0))*(1+INDEX(CAGR!$C$58:$C$64,MATCH($A4,CAGR!$B$58:$B$64,0))),0)</f>
        <v>9.1919916385677981E-4</v>
      </c>
      <c r="U4">
        <f>IFERROR(INDEX('SYFAFE psgr'!$B$6:$H$6,,MATCH($A4,'SYFAFE psgr'!$B$1:$H$1,0))*(1+INDEX(CAGR!$C$58:$C$64,MATCH($A4,CAGR!$B$58:$B$64,0))),0)</f>
        <v>9.1919916385677981E-4</v>
      </c>
      <c r="V4">
        <f>IFERROR(INDEX('SYFAFE psgr'!$B$6:$H$6,,MATCH($A4,'SYFAFE psgr'!$B$1:$H$1,0))*(1+INDEX(CAGR!$C$58:$C$64,MATCH($A4,CAGR!$B$58:$B$64,0))),0)</f>
        <v>9.1919916385677981E-4</v>
      </c>
      <c r="W4">
        <f>IFERROR(INDEX('SYFAFE psgr'!$B$6:$H$6,,MATCH($A4,'SYFAFE psgr'!$B$1:$H$1,0))*(1+INDEX(CAGR!$C$58:$C$64,MATCH($A4,CAGR!$B$58:$B$64,0))),0)</f>
        <v>9.1919916385677981E-4</v>
      </c>
      <c r="X4">
        <f>IFERROR(INDEX('SYFAFE psgr'!$B$6:$H$6,,MATCH($A4,'SYFAFE psgr'!$B$1:$H$1,0))*(1+INDEX(CAGR!$C$58:$C$64,MATCH($A4,CAGR!$B$58:$B$64,0))),0)</f>
        <v>9.1919916385677981E-4</v>
      </c>
      <c r="Y4">
        <f>IFERROR(INDEX('SYFAFE psgr'!$B$6:$H$6,,MATCH($A4,'SYFAFE psgr'!$B$1:$H$1,0))*(1+INDEX(CAGR!$C$58:$C$64,MATCH($A4,CAGR!$B$58:$B$64,0))),0)</f>
        <v>9.1919916385677981E-4</v>
      </c>
      <c r="Z4">
        <f>IFERROR(INDEX('SYFAFE psgr'!$B$6:$H$6,,MATCH($A4,'SYFAFE psgr'!$B$1:$H$1,0))*(1+INDEX(CAGR!$C$58:$C$64,MATCH($A4,CAGR!$B$58:$B$64,0))),0)</f>
        <v>9.1919916385677981E-4</v>
      </c>
      <c r="AA4">
        <f>IFERROR(INDEX('SYFAFE psgr'!$B$6:$H$6,,MATCH($A4,'SYFAFE psgr'!$B$1:$H$1,0))*(1+INDEX(CAGR!$C$58:$C$64,MATCH($A4,CAGR!$B$58:$B$64,0))),0)</f>
        <v>9.1919916385677981E-4</v>
      </c>
      <c r="AB4">
        <f>IFERROR(INDEX('SYFAFE psgr'!$B$6:$H$6,,MATCH($A4,'SYFAFE psgr'!$B$1:$H$1,0))*(1+INDEX(CAGR!$C$58:$C$64,MATCH($A4,CAGR!$B$58:$B$64,0))),0)</f>
        <v>9.1919916385677981E-4</v>
      </c>
      <c r="AC4">
        <f>IFERROR(INDEX('SYFAFE psgr'!$B$6:$H$6,,MATCH($A4,'SYFAFE psgr'!$B$1:$H$1,0))*(1+INDEX(CAGR!$C$58:$C$64,MATCH($A4,CAGR!$B$58:$B$64,0))),0)</f>
        <v>9.1919916385677981E-4</v>
      </c>
      <c r="AD4">
        <f>IFERROR(INDEX('SYFAFE psgr'!$B$6:$H$6,,MATCH($A4,'SYFAFE psgr'!$B$1:$H$1,0))*(1+INDEX(CAGR!$C$58:$C$64,MATCH($A4,CAGR!$B$58:$B$64,0))),0)</f>
        <v>9.1919916385677981E-4</v>
      </c>
      <c r="AE4">
        <f>IFERROR(INDEX('SYFAFE psgr'!$B$6:$H$6,,MATCH($A4,'SYFAFE psgr'!$B$1:$H$1,0))*(1+INDEX(CAGR!$C$58:$C$64,MATCH($A4,CAGR!$B$58:$B$64,0))),0)</f>
        <v>9.1919916385677981E-4</v>
      </c>
      <c r="AF4">
        <f>IFERROR(INDEX('SYFAFE psgr'!$B$6:$H$6,,MATCH($A4,'SYFAFE psgr'!$B$1:$H$1,0))*(1+INDEX(CAGR!$C$58:$C$64,MATCH($A4,CAGR!$B$58:$B$64,0))),0)</f>
        <v>9.1919916385677981E-4</v>
      </c>
    </row>
    <row r="5" spans="1:32">
      <c r="A5" s="1" t="s">
        <v>12</v>
      </c>
      <c r="B5" s="14">
        <f>IFERROR(INDEX('SYFAFE psgr'!$B$6:$H$6,,MATCH($A5,'SYFAFE psgr'!$B$1:$H$1,0))*(1+INDEX(CAGR!$C$58:$C$64,MATCH($A5,CAGR!$B$58:$B$64,0))),0)</f>
        <v>9.1919916385677981E-4</v>
      </c>
      <c r="C5" s="14">
        <f>IFERROR(INDEX('SYFAFE psgr'!$B$6:$H$6,,MATCH($A5,'SYFAFE psgr'!$B$1:$H$1,0))*(1+INDEX(CAGR!$C$58:$C$64,MATCH($A5,CAGR!$B$58:$B$64,0))),0)</f>
        <v>9.1919916385677981E-4</v>
      </c>
      <c r="D5" s="14">
        <f>IFERROR(INDEX('SYFAFE psgr'!$B$6:$H$6,,MATCH($A5,'SYFAFE psgr'!$B$1:$H$1,0))*(1+INDEX(CAGR!$C$58:$C$64,MATCH($A5,CAGR!$B$58:$B$64,0))),0)</f>
        <v>9.1919916385677981E-4</v>
      </c>
      <c r="E5" s="14">
        <f>IFERROR(INDEX('SYFAFE psgr'!$B$6:$H$6,,MATCH($A5,'SYFAFE psgr'!$B$1:$H$1,0))*(1+INDEX(CAGR!$C$58:$C$64,MATCH($A5,CAGR!$B$58:$B$64,0))),0)</f>
        <v>9.1919916385677981E-4</v>
      </c>
      <c r="F5" s="14">
        <f>IFERROR(INDEX('SYFAFE psgr'!$B$6:$H$6,,MATCH($A5,'SYFAFE psgr'!$B$1:$H$1,0))*(1+INDEX(CAGR!$C$58:$C$64,MATCH($A5,CAGR!$B$58:$B$64,0))),0)</f>
        <v>9.1919916385677981E-4</v>
      </c>
      <c r="G5" s="14">
        <f>IFERROR(INDEX('SYFAFE psgr'!$B$6:$H$6,,MATCH($A5,'SYFAFE psgr'!$B$1:$H$1,0))*(1+INDEX(CAGR!$C$58:$C$64,MATCH($A5,CAGR!$B$58:$B$64,0))),0)</f>
        <v>9.1919916385677981E-4</v>
      </c>
      <c r="H5" s="14">
        <f>IFERROR(INDEX('SYFAFE psgr'!$B$6:$H$6,,MATCH($A5,'SYFAFE psgr'!$B$1:$H$1,0))*(1+INDEX(CAGR!$C$58:$C$64,MATCH($A5,CAGR!$B$58:$B$64,0))),0)</f>
        <v>9.1919916385677981E-4</v>
      </c>
      <c r="I5" s="14">
        <f>IFERROR(INDEX('SYFAFE psgr'!$B$6:$H$6,,MATCH($A5,'SYFAFE psgr'!$B$1:$H$1,0))*(1+INDEX(CAGR!$C$58:$C$64,MATCH($A5,CAGR!$B$58:$B$64,0))),0)</f>
        <v>9.1919916385677981E-4</v>
      </c>
      <c r="J5" s="14">
        <f>IFERROR(INDEX('SYFAFE psgr'!$B$6:$H$6,,MATCH($A5,'SYFAFE psgr'!$B$1:$H$1,0))*(1+INDEX(CAGR!$C$58:$C$64,MATCH($A5,CAGR!$B$58:$B$64,0))),0)</f>
        <v>9.1919916385677981E-4</v>
      </c>
      <c r="K5" s="14">
        <f>IFERROR(INDEX('SYFAFE psgr'!$B$6:$H$6,,MATCH($A5,'SYFAFE psgr'!$B$1:$H$1,0))*(1+INDEX(CAGR!$C$58:$C$64,MATCH($A5,CAGR!$B$58:$B$64,0))),0)</f>
        <v>9.1919916385677981E-4</v>
      </c>
      <c r="L5" s="14">
        <f>IFERROR(INDEX('SYFAFE psgr'!$B$6:$H$6,,MATCH($A5,'SYFAFE psgr'!$B$1:$H$1,0))*(1+INDEX(CAGR!$C$58:$C$64,MATCH($A5,CAGR!$B$58:$B$64,0))),0)</f>
        <v>9.1919916385677981E-4</v>
      </c>
      <c r="M5" s="14">
        <f>IFERROR(INDEX('SYFAFE psgr'!$B$6:$H$6,,MATCH($A5,'SYFAFE psgr'!$B$1:$H$1,0))*(1+INDEX(CAGR!$C$58:$C$64,MATCH($A5,CAGR!$B$58:$B$64,0))),0)</f>
        <v>9.1919916385677981E-4</v>
      </c>
      <c r="N5" s="14">
        <f>IFERROR(INDEX('SYFAFE psgr'!$B$6:$H$6,,MATCH($A5,'SYFAFE psgr'!$B$1:$H$1,0))*(1+INDEX(CAGR!$C$58:$C$64,MATCH($A5,CAGR!$B$58:$B$64,0))),0)</f>
        <v>9.1919916385677981E-4</v>
      </c>
      <c r="O5" s="14">
        <f>IFERROR(INDEX('SYFAFE psgr'!$B$6:$H$6,,MATCH($A5,'SYFAFE psgr'!$B$1:$H$1,0))*(1+INDEX(CAGR!$C$58:$C$64,MATCH($A5,CAGR!$B$58:$B$64,0))),0)</f>
        <v>9.1919916385677981E-4</v>
      </c>
      <c r="P5" s="14">
        <f>IFERROR(INDEX('SYFAFE psgr'!$B$6:$H$6,,MATCH($A5,'SYFAFE psgr'!$B$1:$H$1,0))*(1+INDEX(CAGR!$C$58:$C$64,MATCH($A5,CAGR!$B$58:$B$64,0))),0)</f>
        <v>9.1919916385677981E-4</v>
      </c>
      <c r="Q5" s="14">
        <f>IFERROR(INDEX('SYFAFE psgr'!$B$6:$H$6,,MATCH($A5,'SYFAFE psgr'!$B$1:$H$1,0))*(1+INDEX(CAGR!$C$58:$C$64,MATCH($A5,CAGR!$B$58:$B$64,0))),0)</f>
        <v>9.1919916385677981E-4</v>
      </c>
      <c r="R5" s="14">
        <f>IFERROR(INDEX('SYFAFE psgr'!$B$6:$H$6,,MATCH($A5,'SYFAFE psgr'!$B$1:$H$1,0))*(1+INDEX(CAGR!$C$58:$C$64,MATCH($A5,CAGR!$B$58:$B$64,0))),0)</f>
        <v>9.1919916385677981E-4</v>
      </c>
      <c r="S5" s="14">
        <f>IFERROR(INDEX('SYFAFE psgr'!$B$6:$H$6,,MATCH($A5,'SYFAFE psgr'!$B$1:$H$1,0))*(1+INDEX(CAGR!$C$58:$C$64,MATCH($A5,CAGR!$B$58:$B$64,0))),0)</f>
        <v>9.1919916385677981E-4</v>
      </c>
      <c r="T5" s="14">
        <f>IFERROR(INDEX('SYFAFE psgr'!$B$6:$H$6,,MATCH($A5,'SYFAFE psgr'!$B$1:$H$1,0))*(1+INDEX(CAGR!$C$58:$C$64,MATCH($A5,CAGR!$B$58:$B$64,0))),0)</f>
        <v>9.1919916385677981E-4</v>
      </c>
      <c r="U5" s="14">
        <f>IFERROR(INDEX('SYFAFE psgr'!$B$6:$H$6,,MATCH($A5,'SYFAFE psgr'!$B$1:$H$1,0))*(1+INDEX(CAGR!$C$58:$C$64,MATCH($A5,CAGR!$B$58:$B$64,0))),0)</f>
        <v>9.1919916385677981E-4</v>
      </c>
      <c r="V5" s="14">
        <f>IFERROR(INDEX('SYFAFE psgr'!$B$6:$H$6,,MATCH($A5,'SYFAFE psgr'!$B$1:$H$1,0))*(1+INDEX(CAGR!$C$58:$C$64,MATCH($A5,CAGR!$B$58:$B$64,0))),0)</f>
        <v>9.1919916385677981E-4</v>
      </c>
      <c r="W5" s="14">
        <f>IFERROR(INDEX('SYFAFE psgr'!$B$6:$H$6,,MATCH($A5,'SYFAFE psgr'!$B$1:$H$1,0))*(1+INDEX(CAGR!$C$58:$C$64,MATCH($A5,CAGR!$B$58:$B$64,0))),0)</f>
        <v>9.1919916385677981E-4</v>
      </c>
      <c r="X5" s="14">
        <f>IFERROR(INDEX('SYFAFE psgr'!$B$6:$H$6,,MATCH($A5,'SYFAFE psgr'!$B$1:$H$1,0))*(1+INDEX(CAGR!$C$58:$C$64,MATCH($A5,CAGR!$B$58:$B$64,0))),0)</f>
        <v>9.1919916385677981E-4</v>
      </c>
      <c r="Y5" s="14">
        <f>IFERROR(INDEX('SYFAFE psgr'!$B$6:$H$6,,MATCH($A5,'SYFAFE psgr'!$B$1:$H$1,0))*(1+INDEX(CAGR!$C$58:$C$64,MATCH($A5,CAGR!$B$58:$B$64,0))),0)</f>
        <v>9.1919916385677981E-4</v>
      </c>
      <c r="Z5" s="14">
        <f>IFERROR(INDEX('SYFAFE psgr'!$B$6:$H$6,,MATCH($A5,'SYFAFE psgr'!$B$1:$H$1,0))*(1+INDEX(CAGR!$C$58:$C$64,MATCH($A5,CAGR!$B$58:$B$64,0))),0)</f>
        <v>9.1919916385677981E-4</v>
      </c>
      <c r="AA5" s="14">
        <f>IFERROR(INDEX('SYFAFE psgr'!$B$6:$H$6,,MATCH($A5,'SYFAFE psgr'!$B$1:$H$1,0))*(1+INDEX(CAGR!$C$58:$C$64,MATCH($A5,CAGR!$B$58:$B$64,0))),0)</f>
        <v>9.1919916385677981E-4</v>
      </c>
      <c r="AB5" s="14">
        <f>IFERROR(INDEX('SYFAFE psgr'!$B$6:$H$6,,MATCH($A5,'SYFAFE psgr'!$B$1:$H$1,0))*(1+INDEX(CAGR!$C$58:$C$64,MATCH($A5,CAGR!$B$58:$B$64,0))),0)</f>
        <v>9.1919916385677981E-4</v>
      </c>
      <c r="AC5" s="14">
        <f>IFERROR(INDEX('SYFAFE psgr'!$B$6:$H$6,,MATCH($A5,'SYFAFE psgr'!$B$1:$H$1,0))*(1+INDEX(CAGR!$C$58:$C$64,MATCH($A5,CAGR!$B$58:$B$64,0))),0)</f>
        <v>9.1919916385677981E-4</v>
      </c>
      <c r="AD5" s="14">
        <f>IFERROR(INDEX('SYFAFE psgr'!$B$6:$H$6,,MATCH($A5,'SYFAFE psgr'!$B$1:$H$1,0))*(1+INDEX(CAGR!$C$58:$C$64,MATCH($A5,CAGR!$B$58:$B$64,0))),0)</f>
        <v>9.1919916385677981E-4</v>
      </c>
      <c r="AE5" s="14">
        <f>IFERROR(INDEX('SYFAFE psgr'!$B$6:$H$6,,MATCH($A5,'SYFAFE psgr'!$B$1:$H$1,0))*(1+INDEX(CAGR!$C$58:$C$64,MATCH($A5,CAGR!$B$58:$B$64,0))),0)</f>
        <v>9.1919916385677981E-4</v>
      </c>
      <c r="AF5" s="14">
        <f>IFERROR(INDEX('SYFAFE psgr'!$B$6:$H$6,,MATCH($A5,'SYFAFE psgr'!$B$1:$H$1,0))*(1+INDEX(CAGR!$C$58:$C$64,MATCH($A5,CAGR!$B$58:$B$64,0))),0)</f>
        <v>9.1919916385677981E-4</v>
      </c>
    </row>
    <row r="6" spans="1:32">
      <c r="A6" s="1" t="s">
        <v>13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14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15</v>
      </c>
      <c r="B8" s="13">
        <f>B5*Calibration!D43</f>
        <v>2.7575974915703392E-3</v>
      </c>
      <c r="C8" s="13">
        <f>B8*(1+CAGR!$C$64)</f>
        <v>2.7575974915703392E-3</v>
      </c>
      <c r="D8" s="13">
        <f>C8*(1+CAGR!$C$64)</f>
        <v>2.7575974915703392E-3</v>
      </c>
      <c r="E8" s="13">
        <f>D8*(1+CAGR!$C$64)</f>
        <v>2.7575974915703392E-3</v>
      </c>
      <c r="F8" s="13">
        <f>E8*(1+CAGR!$C$64)</f>
        <v>2.7575974915703392E-3</v>
      </c>
      <c r="G8" s="13">
        <f>F8*(1+CAGR!$C$64)</f>
        <v>2.7575974915703392E-3</v>
      </c>
      <c r="H8" s="13">
        <f>G8*(1+CAGR!$C$64)</f>
        <v>2.7575974915703392E-3</v>
      </c>
      <c r="I8" s="13">
        <f>H8*(1+CAGR!$C$64)</f>
        <v>2.7575974915703392E-3</v>
      </c>
      <c r="J8" s="13">
        <f>I8*(1+CAGR!$C$64)</f>
        <v>2.7575974915703392E-3</v>
      </c>
      <c r="K8" s="13">
        <f>J8*(1+CAGR!$C$64)</f>
        <v>2.7575974915703392E-3</v>
      </c>
      <c r="L8" s="13">
        <f>K8*(1+CAGR!$C$64)</f>
        <v>2.7575974915703392E-3</v>
      </c>
      <c r="M8" s="13">
        <f>L8*(1+CAGR!$C$64)</f>
        <v>2.7575974915703392E-3</v>
      </c>
      <c r="N8" s="13">
        <f>M8*(1+CAGR!$C$64)</f>
        <v>2.7575974915703392E-3</v>
      </c>
      <c r="O8" s="13">
        <f>N8*(1+CAGR!$C$64)</f>
        <v>2.7575974915703392E-3</v>
      </c>
      <c r="P8" s="13">
        <f>O8*(1+CAGR!$C$64)</f>
        <v>2.7575974915703392E-3</v>
      </c>
      <c r="Q8" s="13">
        <f>P8*(1+CAGR!$C$64)</f>
        <v>2.7575974915703392E-3</v>
      </c>
      <c r="R8" s="13">
        <f>Q8*(1+CAGR!$C$64)</f>
        <v>2.7575974915703392E-3</v>
      </c>
      <c r="S8" s="13">
        <f>R8*(1+CAGR!$C$64)</f>
        <v>2.7575974915703392E-3</v>
      </c>
      <c r="T8" s="13">
        <f>S8*(1+CAGR!$C$64)</f>
        <v>2.7575974915703392E-3</v>
      </c>
      <c r="U8" s="13">
        <f>T8*(1+CAGR!$C$64)</f>
        <v>2.7575974915703392E-3</v>
      </c>
      <c r="V8" s="13">
        <f>U8*(1+CAGR!$C$64)</f>
        <v>2.7575974915703392E-3</v>
      </c>
      <c r="W8" s="13">
        <f>V8*(1+CAGR!$C$64)</f>
        <v>2.7575974915703392E-3</v>
      </c>
      <c r="X8" s="13">
        <f>W8*(1+CAGR!$C$64)</f>
        <v>2.7575974915703392E-3</v>
      </c>
      <c r="Y8" s="13">
        <f>X8*(1+CAGR!$C$64)</f>
        <v>2.7575974915703392E-3</v>
      </c>
      <c r="Z8" s="13">
        <f>Y8*(1+CAGR!$C$64)</f>
        <v>2.7575974915703392E-3</v>
      </c>
      <c r="AA8" s="13">
        <f>Z8*(1+CAGR!$C$64)</f>
        <v>2.7575974915703392E-3</v>
      </c>
      <c r="AB8" s="13">
        <f>AA8*(1+CAGR!$C$64)</f>
        <v>2.7575974915703392E-3</v>
      </c>
      <c r="AC8" s="13">
        <f>AB8*(1+CAGR!$C$64)</f>
        <v>2.7575974915703392E-3</v>
      </c>
      <c r="AD8" s="13">
        <f>AC8*(1+CAGR!$C$64)</f>
        <v>2.7575974915703392E-3</v>
      </c>
      <c r="AE8" s="13">
        <f>AD8*(1+CAGR!$C$64)</f>
        <v>2.7575974915703392E-3</v>
      </c>
      <c r="AF8" s="13">
        <f>AE8*(1+CAGR!$C$64)</f>
        <v>2.7575974915703392E-3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B5*Calibration!$B$44</f>
        <v>3.4351009391108858E-3</v>
      </c>
      <c r="C2" s="13">
        <f>B2*(1+CAGR!$C$65)</f>
        <v>3.4351009391108858E-3</v>
      </c>
      <c r="D2" s="13">
        <f>C2*(1+CAGR!$C$65)</f>
        <v>3.4351009391108858E-3</v>
      </c>
      <c r="E2" s="13">
        <f>D2*(1+CAGR!$C$65)</f>
        <v>3.4351009391108858E-3</v>
      </c>
      <c r="F2" s="13">
        <f>E2*(1+CAGR!$C$65)</f>
        <v>3.4351009391108858E-3</v>
      </c>
      <c r="G2" s="13">
        <f>F2*(1+CAGR!$C$65)</f>
        <v>3.4351009391108858E-3</v>
      </c>
      <c r="H2" s="13">
        <f>G2*(1+CAGR!$C$65)</f>
        <v>3.4351009391108858E-3</v>
      </c>
      <c r="I2" s="13">
        <f>H2*(1+CAGR!$C$65)</f>
        <v>3.4351009391108858E-3</v>
      </c>
      <c r="J2" s="13">
        <f>I2*(1+CAGR!$C$65)</f>
        <v>3.4351009391108858E-3</v>
      </c>
      <c r="K2" s="13">
        <f>J2*(1+CAGR!$C$65)</f>
        <v>3.4351009391108858E-3</v>
      </c>
      <c r="L2" s="13">
        <f>K2*(1+CAGR!$C$65)</f>
        <v>3.4351009391108858E-3</v>
      </c>
      <c r="M2" s="13">
        <f>L2*(1+CAGR!$C$65)</f>
        <v>3.4351009391108858E-3</v>
      </c>
      <c r="N2" s="13">
        <f>M2*(1+CAGR!$C$65)</f>
        <v>3.4351009391108858E-3</v>
      </c>
      <c r="O2" s="13">
        <f>N2*(1+CAGR!$C$65)</f>
        <v>3.4351009391108858E-3</v>
      </c>
      <c r="P2" s="13">
        <f>O2*(1+CAGR!$C$65)</f>
        <v>3.4351009391108858E-3</v>
      </c>
      <c r="Q2" s="13">
        <f>P2*(1+CAGR!$C$65)</f>
        <v>3.4351009391108858E-3</v>
      </c>
      <c r="R2" s="13">
        <f>Q2*(1+CAGR!$C$65)</f>
        <v>3.4351009391108858E-3</v>
      </c>
      <c r="S2" s="13">
        <f>R2*(1+CAGR!$C$65)</f>
        <v>3.4351009391108858E-3</v>
      </c>
      <c r="T2" s="13">
        <f>S2*(1+CAGR!$C$65)</f>
        <v>3.4351009391108858E-3</v>
      </c>
      <c r="U2" s="13">
        <f>T2*(1+CAGR!$C$65)</f>
        <v>3.4351009391108858E-3</v>
      </c>
      <c r="V2" s="13">
        <f>U2*(1+CAGR!$C$65)</f>
        <v>3.4351009391108858E-3</v>
      </c>
      <c r="W2" s="13">
        <f>V2*(1+CAGR!$C$65)</f>
        <v>3.4351009391108858E-3</v>
      </c>
      <c r="X2" s="13">
        <f>W2*(1+CAGR!$C$65)</f>
        <v>3.4351009391108858E-3</v>
      </c>
      <c r="Y2" s="13">
        <f>X2*(1+CAGR!$C$65)</f>
        <v>3.4351009391108858E-3</v>
      </c>
      <c r="Z2" s="13">
        <f>Y2*(1+CAGR!$C$65)</f>
        <v>3.4351009391108858E-3</v>
      </c>
      <c r="AA2" s="13">
        <f>Z2*(1+CAGR!$C$65)</f>
        <v>3.4351009391108858E-3</v>
      </c>
      <c r="AB2" s="13">
        <f>AA2*(1+CAGR!$C$65)</f>
        <v>3.4351009391108858E-3</v>
      </c>
      <c r="AC2" s="13">
        <f>AB2*(1+CAGR!$C$65)</f>
        <v>3.4351009391108858E-3</v>
      </c>
      <c r="AD2" s="13">
        <f>AC2*(1+CAGR!$C$65)</f>
        <v>3.4351009391108858E-3</v>
      </c>
      <c r="AE2" s="13">
        <f>AD2*(1+CAGR!$C$65)</f>
        <v>3.4351009391108858E-3</v>
      </c>
      <c r="AF2" s="13">
        <f>AE2*(1+CAGR!$C$65)</f>
        <v>3.4351009391108858E-3</v>
      </c>
    </row>
    <row r="3" spans="1:32">
      <c r="A3" s="1" t="s">
        <v>10</v>
      </c>
      <c r="B3">
        <f>IFERROR(INDEX('SYFAFE frgt'!$B$6:$H$6,,MATCH($A3,'SYFAFE frgt'!$B$1:$H$1,0))*(1+INDEX(CAGR!$C$65:$C$71,MATCH($A3,CAGR!$B$65:$B$71,0))),0)</f>
        <v>1.0689678069647774E-3</v>
      </c>
      <c r="C3">
        <f>IFERROR(INDEX('SYFAFE frgt'!$B$6:$H$6,,MATCH($A3,'SYFAFE frgt'!$B$1:$H$1,0))*(1+INDEX(CAGR!$C$51:$C$57,MATCH($A3,CAGR!$B$65:$B$71,0))),0)</f>
        <v>1.0689678069647774E-3</v>
      </c>
      <c r="D3">
        <f>IFERROR(INDEX('SYFAFE frgt'!$B$6:$H$6,,MATCH($A3,'SYFAFE frgt'!$B$1:$H$1,0))*(1+INDEX(CAGR!$C$51:$C$57,MATCH($A3,CAGR!$B$65:$B$71,0))),0)</f>
        <v>1.0689678069647774E-3</v>
      </c>
      <c r="E3">
        <f>IFERROR(INDEX('SYFAFE frgt'!$B$6:$H$6,,MATCH($A3,'SYFAFE frgt'!$B$1:$H$1,0))*(1+INDEX(CAGR!$C$51:$C$57,MATCH($A3,CAGR!$B$65:$B$71,0))),0)</f>
        <v>1.0689678069647774E-3</v>
      </c>
      <c r="F3">
        <f>IFERROR(INDEX('SYFAFE frgt'!$B$6:$H$6,,MATCH($A3,'SYFAFE frgt'!$B$1:$H$1,0))*(1+INDEX(CAGR!$C$51:$C$57,MATCH($A3,CAGR!$B$65:$B$71,0))),0)</f>
        <v>1.0689678069647774E-3</v>
      </c>
      <c r="G3">
        <f>IFERROR(INDEX('SYFAFE frgt'!$B$6:$H$6,,MATCH($A3,'SYFAFE frgt'!$B$1:$H$1,0))*(1+INDEX(CAGR!$C$51:$C$57,MATCH($A3,CAGR!$B$65:$B$71,0))),0)</f>
        <v>1.0689678069647774E-3</v>
      </c>
      <c r="H3">
        <f>IFERROR(INDEX('SYFAFE frgt'!$B$6:$H$6,,MATCH($A3,'SYFAFE frgt'!$B$1:$H$1,0))*(1+INDEX(CAGR!$C$51:$C$57,MATCH($A3,CAGR!$B$65:$B$71,0))),0)</f>
        <v>1.0689678069647774E-3</v>
      </c>
      <c r="I3">
        <f>IFERROR(INDEX('SYFAFE frgt'!$B$6:$H$6,,MATCH($A3,'SYFAFE frgt'!$B$1:$H$1,0))*(1+INDEX(CAGR!$C$51:$C$57,MATCH($A3,CAGR!$B$65:$B$71,0))),0)</f>
        <v>1.0689678069647774E-3</v>
      </c>
      <c r="J3">
        <f>IFERROR(INDEX('SYFAFE frgt'!$B$6:$H$6,,MATCH($A3,'SYFAFE frgt'!$B$1:$H$1,0))*(1+INDEX(CAGR!$C$51:$C$57,MATCH($A3,CAGR!$B$65:$B$71,0))),0)</f>
        <v>1.0689678069647774E-3</v>
      </c>
      <c r="K3">
        <f>IFERROR(INDEX('SYFAFE frgt'!$B$6:$H$6,,MATCH($A3,'SYFAFE frgt'!$B$1:$H$1,0))*(1+INDEX(CAGR!$C$51:$C$57,MATCH($A3,CAGR!$B$65:$B$71,0))),0)</f>
        <v>1.0689678069647774E-3</v>
      </c>
      <c r="L3">
        <f>IFERROR(INDEX('SYFAFE frgt'!$B$6:$H$6,,MATCH($A3,'SYFAFE frgt'!$B$1:$H$1,0))*(1+INDEX(CAGR!$C$51:$C$57,MATCH($A3,CAGR!$B$65:$B$71,0))),0)</f>
        <v>1.0689678069647774E-3</v>
      </c>
      <c r="M3">
        <f>IFERROR(INDEX('SYFAFE frgt'!$B$6:$H$6,,MATCH($A3,'SYFAFE frgt'!$B$1:$H$1,0))*(1+INDEX(CAGR!$C$51:$C$57,MATCH($A3,CAGR!$B$65:$B$71,0))),0)</f>
        <v>1.0689678069647774E-3</v>
      </c>
      <c r="N3">
        <f>IFERROR(INDEX('SYFAFE frgt'!$B$6:$H$6,,MATCH($A3,'SYFAFE frgt'!$B$1:$H$1,0))*(1+INDEX(CAGR!$C$51:$C$57,MATCH($A3,CAGR!$B$65:$B$71,0))),0)</f>
        <v>1.0689678069647774E-3</v>
      </c>
      <c r="O3">
        <f>IFERROR(INDEX('SYFAFE frgt'!$B$6:$H$6,,MATCH($A3,'SYFAFE frgt'!$B$1:$H$1,0))*(1+INDEX(CAGR!$C$51:$C$57,MATCH($A3,CAGR!$B$65:$B$71,0))),0)</f>
        <v>1.0689678069647774E-3</v>
      </c>
      <c r="P3">
        <f>IFERROR(INDEX('SYFAFE frgt'!$B$6:$H$6,,MATCH($A3,'SYFAFE frgt'!$B$1:$H$1,0))*(1+INDEX(CAGR!$C$51:$C$57,MATCH($A3,CAGR!$B$65:$B$71,0))),0)</f>
        <v>1.0689678069647774E-3</v>
      </c>
      <c r="Q3">
        <f>IFERROR(INDEX('SYFAFE frgt'!$B$6:$H$6,,MATCH($A3,'SYFAFE frgt'!$B$1:$H$1,0))*(1+INDEX(CAGR!$C$51:$C$57,MATCH($A3,CAGR!$B$65:$B$71,0))),0)</f>
        <v>1.0689678069647774E-3</v>
      </c>
      <c r="R3">
        <f>IFERROR(INDEX('SYFAFE frgt'!$B$6:$H$6,,MATCH($A3,'SYFAFE frgt'!$B$1:$H$1,0))*(1+INDEX(CAGR!$C$51:$C$57,MATCH($A3,CAGR!$B$65:$B$71,0))),0)</f>
        <v>1.0689678069647774E-3</v>
      </c>
      <c r="S3">
        <f>IFERROR(INDEX('SYFAFE frgt'!$B$6:$H$6,,MATCH($A3,'SYFAFE frgt'!$B$1:$H$1,0))*(1+INDEX(CAGR!$C$51:$C$57,MATCH($A3,CAGR!$B$65:$B$71,0))),0)</f>
        <v>1.0689678069647774E-3</v>
      </c>
      <c r="T3">
        <f>IFERROR(INDEX('SYFAFE frgt'!$B$6:$H$6,,MATCH($A3,'SYFAFE frgt'!$B$1:$H$1,0))*(1+INDEX(CAGR!$C$51:$C$57,MATCH($A3,CAGR!$B$65:$B$71,0))),0)</f>
        <v>1.0689678069647774E-3</v>
      </c>
      <c r="U3">
        <f>IFERROR(INDEX('SYFAFE frgt'!$B$6:$H$6,,MATCH($A3,'SYFAFE frgt'!$B$1:$H$1,0))*(1+INDEX(CAGR!$C$51:$C$57,MATCH($A3,CAGR!$B$65:$B$71,0))),0)</f>
        <v>1.0689678069647774E-3</v>
      </c>
      <c r="V3">
        <f>IFERROR(INDEX('SYFAFE frgt'!$B$6:$H$6,,MATCH($A3,'SYFAFE frgt'!$B$1:$H$1,0))*(1+INDEX(CAGR!$C$51:$C$57,MATCH($A3,CAGR!$B$65:$B$71,0))),0)</f>
        <v>1.0689678069647774E-3</v>
      </c>
      <c r="W3">
        <f>IFERROR(INDEX('SYFAFE frgt'!$B$6:$H$6,,MATCH($A3,'SYFAFE frgt'!$B$1:$H$1,0))*(1+INDEX(CAGR!$C$51:$C$57,MATCH($A3,CAGR!$B$65:$B$71,0))),0)</f>
        <v>1.0689678069647774E-3</v>
      </c>
      <c r="X3">
        <f>IFERROR(INDEX('SYFAFE frgt'!$B$6:$H$6,,MATCH($A3,'SYFAFE frgt'!$B$1:$H$1,0))*(1+INDEX(CAGR!$C$51:$C$57,MATCH($A3,CAGR!$B$65:$B$71,0))),0)</f>
        <v>1.0689678069647774E-3</v>
      </c>
      <c r="Y3">
        <f>IFERROR(INDEX('SYFAFE frgt'!$B$6:$H$6,,MATCH($A3,'SYFAFE frgt'!$B$1:$H$1,0))*(1+INDEX(CAGR!$C$51:$C$57,MATCH($A3,CAGR!$B$65:$B$71,0))),0)</f>
        <v>1.0689678069647774E-3</v>
      </c>
      <c r="Z3">
        <f>IFERROR(INDEX('SYFAFE frgt'!$B$6:$H$6,,MATCH($A3,'SYFAFE frgt'!$B$1:$H$1,0))*(1+INDEX(CAGR!$C$51:$C$57,MATCH($A3,CAGR!$B$65:$B$71,0))),0)</f>
        <v>1.0689678069647774E-3</v>
      </c>
      <c r="AA3">
        <f>IFERROR(INDEX('SYFAFE frgt'!$B$6:$H$6,,MATCH($A3,'SYFAFE frgt'!$B$1:$H$1,0))*(1+INDEX(CAGR!$C$51:$C$57,MATCH($A3,CAGR!$B$65:$B$71,0))),0)</f>
        <v>1.0689678069647774E-3</v>
      </c>
      <c r="AB3">
        <f>IFERROR(INDEX('SYFAFE frgt'!$B$6:$H$6,,MATCH($A3,'SYFAFE frgt'!$B$1:$H$1,0))*(1+INDEX(CAGR!$C$51:$C$57,MATCH($A3,CAGR!$B$65:$B$71,0))),0)</f>
        <v>1.0689678069647774E-3</v>
      </c>
      <c r="AC3">
        <f>IFERROR(INDEX('SYFAFE frgt'!$B$6:$H$6,,MATCH($A3,'SYFAFE frgt'!$B$1:$H$1,0))*(1+INDEX(CAGR!$C$51:$C$57,MATCH($A3,CAGR!$B$65:$B$71,0))),0)</f>
        <v>1.0689678069647774E-3</v>
      </c>
      <c r="AD3">
        <f>IFERROR(INDEX('SYFAFE frgt'!$B$6:$H$6,,MATCH($A3,'SYFAFE frgt'!$B$1:$H$1,0))*(1+INDEX(CAGR!$C$51:$C$57,MATCH($A3,CAGR!$B$65:$B$71,0))),0)</f>
        <v>1.0689678069647774E-3</v>
      </c>
      <c r="AE3">
        <f>IFERROR(INDEX('SYFAFE frgt'!$B$6:$H$6,,MATCH($A3,'SYFAFE frgt'!$B$1:$H$1,0))*(1+INDEX(CAGR!$C$51:$C$57,MATCH($A3,CAGR!$B$65:$B$71,0))),0)</f>
        <v>1.0689678069647774E-3</v>
      </c>
      <c r="AF3">
        <f>IFERROR(INDEX('SYFAFE frgt'!$B$6:$H$6,,MATCH($A3,'SYFAFE frgt'!$B$1:$H$1,0))*(1+INDEX(CAGR!$C$51:$C$57,MATCH($A3,CAGR!$B$65:$B$71,0))),0)</f>
        <v>1.0689678069647774E-3</v>
      </c>
    </row>
    <row r="4" spans="1:32">
      <c r="A4" s="1" t="s">
        <v>11</v>
      </c>
      <c r="B4" s="14">
        <f>IFERROR(INDEX('SYFAFE frgt'!$B$6:$H$6,,MATCH($A4,'SYFAFE frgt'!$B$1:$H$1,0))*(1+INDEX(CAGR!$C$65:$C$71,MATCH($A4,CAGR!$B$65:$B$71,0))),0)</f>
        <v>1.0689678069647774E-3</v>
      </c>
      <c r="C4" s="14">
        <f>IFERROR(B4*(1+INDEX(CAGR!$C$51:$C$57,MATCH($A4,CAGR!$B$65:$B$71,0))),0)</f>
        <v>1.0689678069647774E-3</v>
      </c>
      <c r="D4" s="14">
        <f>IFERROR(C4*(1+INDEX(CAGR!$C$51:$C$57,MATCH($A4,CAGR!$B$65:$B$71,0))),0)</f>
        <v>1.0689678069647774E-3</v>
      </c>
      <c r="E4" s="14">
        <f>IFERROR(D4*(1+INDEX(CAGR!$C$51:$C$57,MATCH($A4,CAGR!$B$65:$B$71,0))),0)</f>
        <v>1.0689678069647774E-3</v>
      </c>
      <c r="F4" s="14">
        <f>IFERROR(E4*(1+INDEX(CAGR!$C$51:$C$57,MATCH($A4,CAGR!$B$65:$B$71,0))),0)</f>
        <v>1.0689678069647774E-3</v>
      </c>
      <c r="G4" s="14">
        <f>IFERROR(F4*(1+INDEX(CAGR!$C$51:$C$57,MATCH($A4,CAGR!$B$65:$B$71,0))),0)</f>
        <v>1.0689678069647774E-3</v>
      </c>
      <c r="H4" s="14">
        <f>IFERROR(G4*(1+INDEX(CAGR!$C$51:$C$57,MATCH($A4,CAGR!$B$65:$B$71,0))),0)</f>
        <v>1.0689678069647774E-3</v>
      </c>
      <c r="I4" s="14">
        <f>IFERROR(H4*(1+INDEX(CAGR!$C$51:$C$57,MATCH($A4,CAGR!$B$65:$B$71,0))),0)</f>
        <v>1.0689678069647774E-3</v>
      </c>
      <c r="J4" s="14">
        <f>IFERROR(I4*(1+INDEX(CAGR!$C$51:$C$57,MATCH($A4,CAGR!$B$65:$B$71,0))),0)</f>
        <v>1.0689678069647774E-3</v>
      </c>
      <c r="K4" s="14">
        <f>IFERROR(J4*(1+INDEX(CAGR!$C$51:$C$57,MATCH($A4,CAGR!$B$65:$B$71,0))),0)</f>
        <v>1.0689678069647774E-3</v>
      </c>
      <c r="L4" s="14">
        <f>IFERROR(K4*(1+INDEX(CAGR!$C$51:$C$57,MATCH($A4,CAGR!$B$65:$B$71,0))),0)</f>
        <v>1.0689678069647774E-3</v>
      </c>
      <c r="M4" s="14">
        <f>IFERROR(L4*(1+INDEX(CAGR!$C$51:$C$57,MATCH($A4,CAGR!$B$65:$B$71,0))),0)</f>
        <v>1.0689678069647774E-3</v>
      </c>
      <c r="N4" s="14">
        <f>IFERROR(M4*(1+INDEX(CAGR!$C$51:$C$57,MATCH($A4,CAGR!$B$65:$B$71,0))),0)</f>
        <v>1.0689678069647774E-3</v>
      </c>
      <c r="O4" s="14">
        <f>IFERROR(N4*(1+INDEX(CAGR!$C$51:$C$57,MATCH($A4,CAGR!$B$65:$B$71,0))),0)</f>
        <v>1.0689678069647774E-3</v>
      </c>
      <c r="P4" s="14">
        <f>IFERROR(O4*(1+INDEX(CAGR!$C$51:$C$57,MATCH($A4,CAGR!$B$65:$B$71,0))),0)</f>
        <v>1.0689678069647774E-3</v>
      </c>
      <c r="Q4" s="14">
        <f>IFERROR(P4*(1+INDEX(CAGR!$C$51:$C$57,MATCH($A4,CAGR!$B$65:$B$71,0))),0)</f>
        <v>1.0689678069647774E-3</v>
      </c>
      <c r="R4" s="14">
        <f>IFERROR(Q4*(1+INDEX(CAGR!$C$51:$C$57,MATCH($A4,CAGR!$B$65:$B$71,0))),0)</f>
        <v>1.0689678069647774E-3</v>
      </c>
      <c r="S4" s="14">
        <f>IFERROR(R4*(1+INDEX(CAGR!$C$51:$C$57,MATCH($A4,CAGR!$B$65:$B$71,0))),0)</f>
        <v>1.0689678069647774E-3</v>
      </c>
      <c r="T4" s="14">
        <f>IFERROR(S4*(1+INDEX(CAGR!$C$51:$C$57,MATCH($A4,CAGR!$B$65:$B$71,0))),0)</f>
        <v>1.0689678069647774E-3</v>
      </c>
      <c r="U4" s="14">
        <f>IFERROR(T4*(1+INDEX(CAGR!$C$51:$C$57,MATCH($A4,CAGR!$B$65:$B$71,0))),0)</f>
        <v>1.0689678069647774E-3</v>
      </c>
      <c r="V4" s="14">
        <f>IFERROR(U4*(1+INDEX(CAGR!$C$51:$C$57,MATCH($A4,CAGR!$B$65:$B$71,0))),0)</f>
        <v>1.0689678069647774E-3</v>
      </c>
      <c r="W4" s="14">
        <f>IFERROR(V4*(1+INDEX(CAGR!$C$51:$C$57,MATCH($A4,CAGR!$B$65:$B$71,0))),0)</f>
        <v>1.0689678069647774E-3</v>
      </c>
      <c r="X4" s="14">
        <f>IFERROR(W4*(1+INDEX(CAGR!$C$51:$C$57,MATCH($A4,CAGR!$B$65:$B$71,0))),0)</f>
        <v>1.0689678069647774E-3</v>
      </c>
      <c r="Y4" s="14">
        <f>IFERROR(X4*(1+INDEX(CAGR!$C$51:$C$57,MATCH($A4,CAGR!$B$65:$B$71,0))),0)</f>
        <v>1.0689678069647774E-3</v>
      </c>
      <c r="Z4" s="14">
        <f>IFERROR(Y4*(1+INDEX(CAGR!$C$51:$C$57,MATCH($A4,CAGR!$B$65:$B$71,0))),0)</f>
        <v>1.0689678069647774E-3</v>
      </c>
      <c r="AA4" s="14">
        <f>IFERROR(Z4*(1+INDEX(CAGR!$C$51:$C$57,MATCH($A4,CAGR!$B$65:$B$71,0))),0)</f>
        <v>1.0689678069647774E-3</v>
      </c>
      <c r="AB4" s="14">
        <f>IFERROR(AA4*(1+INDEX(CAGR!$C$51:$C$57,MATCH($A4,CAGR!$B$65:$B$71,0))),0)</f>
        <v>1.0689678069647774E-3</v>
      </c>
      <c r="AC4" s="14">
        <f>IFERROR(AB4*(1+INDEX(CAGR!$C$51:$C$57,MATCH($A4,CAGR!$B$65:$B$71,0))),0)</f>
        <v>1.0689678069647774E-3</v>
      </c>
      <c r="AD4" s="14">
        <f>IFERROR(AC4*(1+INDEX(CAGR!$C$51:$C$57,MATCH($A4,CAGR!$B$65:$B$71,0))),0)</f>
        <v>1.0689678069647774E-3</v>
      </c>
      <c r="AE4" s="14">
        <f>IFERROR(AD4*(1+INDEX(CAGR!$C$51:$C$57,MATCH($A4,CAGR!$B$65:$B$71,0))),0)</f>
        <v>1.0689678069647774E-3</v>
      </c>
      <c r="AF4" s="14">
        <f>IFERROR(AE4*(1+INDEX(CAGR!$C$51:$C$57,MATCH($A4,CAGR!$B$65:$B$71,0))),0)</f>
        <v>1.0689678069647774E-3</v>
      </c>
    </row>
    <row r="5" spans="1:32">
      <c r="A5" s="1" t="s">
        <v>12</v>
      </c>
      <c r="B5" s="14">
        <f>IFERROR(INDEX('SYFAFE frgt'!$B$6:$H$6,,MATCH($A5,'SYFAFE frgt'!$B$1:$H$1,0))*(1+INDEX(CAGR!$C$65:$C$71,MATCH($A5,CAGR!$B$65:$B$71,0))),0)</f>
        <v>1.0689678069647774E-3</v>
      </c>
      <c r="C5" s="14">
        <f>IFERROR(B5*(1+INDEX(CAGR!$C$51:$C$57,MATCH($A5,CAGR!$B$65:$B$71,0))),0)</f>
        <v>1.0756768604057887E-3</v>
      </c>
      <c r="D5" s="14">
        <f>IFERROR(C5*(1+INDEX(CAGR!$C$51:$C$57,MATCH($A5,CAGR!$B$65:$B$71,0))),0)</f>
        <v>1.0824280211935145E-3</v>
      </c>
      <c r="E5" s="14">
        <f>IFERROR(D5*(1+INDEX(CAGR!$C$51:$C$57,MATCH($A5,CAGR!$B$65:$B$71,0))),0)</f>
        <v>1.089221553601993E-3</v>
      </c>
      <c r="F5" s="14">
        <f>IFERROR(E5*(1+INDEX(CAGR!$C$51:$C$57,MATCH($A5,CAGR!$B$65:$B$71,0))),0)</f>
        <v>1.096057723563899E-3</v>
      </c>
      <c r="G5" s="14">
        <f>IFERROR(F5*(1+INDEX(CAGR!$C$51:$C$57,MATCH($A5,CAGR!$B$65:$B$71,0))),0)</f>
        <v>1.1029367986809533E-3</v>
      </c>
      <c r="H5" s="14">
        <f>IFERROR(G5*(1+INDEX(CAGR!$C$51:$C$57,MATCH($A5,CAGR!$B$65:$B$71,0))),0)</f>
        <v>1.1098590482343977E-3</v>
      </c>
      <c r="I5" s="14">
        <f>IFERROR(H5*(1+INDEX(CAGR!$C$51:$C$57,MATCH($A5,CAGR!$B$65:$B$71,0))),0)</f>
        <v>1.116824743195537E-3</v>
      </c>
      <c r="J5" s="14">
        <f>IFERROR(I5*(1+INDEX(CAGR!$C$51:$C$57,MATCH($A5,CAGR!$B$65:$B$71,0))),0)</f>
        <v>1.1238341562363448E-3</v>
      </c>
      <c r="K5" s="14">
        <f>IFERROR(J5*(1+INDEX(CAGR!$C$51:$C$57,MATCH($A5,CAGR!$B$65:$B$71,0))),0)</f>
        <v>1.1308875617401385E-3</v>
      </c>
      <c r="L5" s="14">
        <f>IFERROR(K5*(1+INDEX(CAGR!$C$51:$C$57,MATCH($A5,CAGR!$B$65:$B$71,0))),0)</f>
        <v>1.1379852358123191E-3</v>
      </c>
      <c r="M5" s="14">
        <f>IFERROR(L5*(1+INDEX(CAGR!$C$51:$C$57,MATCH($A5,CAGR!$B$65:$B$71,0))),0)</f>
        <v>1.1451274562911799E-3</v>
      </c>
      <c r="N5" s="14">
        <f>IFERROR(M5*(1+INDEX(CAGR!$C$51:$C$57,MATCH($A5,CAGR!$B$65:$B$71,0))),0)</f>
        <v>1.1523145027587823E-3</v>
      </c>
      <c r="O5" s="14">
        <f>IFERROR(N5*(1+INDEX(CAGR!$C$51:$C$57,MATCH($A5,CAGR!$B$65:$B$71,0))),0)</f>
        <v>1.1595466565519001E-3</v>
      </c>
      <c r="P5" s="14">
        <f>IFERROR(O5*(1+INDEX(CAGR!$C$51:$C$57,MATCH($A5,CAGR!$B$65:$B$71,0))),0)</f>
        <v>1.1668242007730322E-3</v>
      </c>
      <c r="Q5" s="14">
        <f>IFERROR(P5*(1+INDEX(CAGR!$C$51:$C$57,MATCH($A5,CAGR!$B$65:$B$71,0))),0)</f>
        <v>1.1741474203014848E-3</v>
      </c>
      <c r="R5" s="14">
        <f>IFERROR(Q5*(1+INDEX(CAGR!$C$51:$C$57,MATCH($A5,CAGR!$B$65:$B$71,0))),0)</f>
        <v>1.181516601804523E-3</v>
      </c>
      <c r="S5" s="14">
        <f>IFERROR(R5*(1+INDEX(CAGR!$C$51:$C$57,MATCH($A5,CAGR!$B$65:$B$71,0))),0)</f>
        <v>1.1889320337485926E-3</v>
      </c>
      <c r="T5" s="14">
        <f>IFERROR(S5*(1+INDEX(CAGR!$C$51:$C$57,MATCH($A5,CAGR!$B$65:$B$71,0))),0)</f>
        <v>1.1963940064106116E-3</v>
      </c>
      <c r="U5" s="14">
        <f>IFERROR(T5*(1+INDEX(CAGR!$C$51:$C$57,MATCH($A5,CAGR!$B$65:$B$71,0))),0)</f>
        <v>1.2039028118893335E-3</v>
      </c>
      <c r="V5" s="14">
        <f>IFERROR(U5*(1+INDEX(CAGR!$C$51:$C$57,MATCH($A5,CAGR!$B$65:$B$71,0))),0)</f>
        <v>1.2114587441167813E-3</v>
      </c>
      <c r="W5" s="14">
        <f>IFERROR(V5*(1+INDEX(CAGR!$C$51:$C$57,MATCH($A5,CAGR!$B$65:$B$71,0))),0)</f>
        <v>1.2190620988697535E-3</v>
      </c>
      <c r="X5" s="14">
        <f>IFERROR(W5*(1+INDEX(CAGR!$C$51:$C$57,MATCH($A5,CAGR!$B$65:$B$71,0))),0)</f>
        <v>1.2267131737814024E-3</v>
      </c>
      <c r="Y5" s="14">
        <f>IFERROR(X5*(1+INDEX(CAGR!$C$51:$C$57,MATCH($A5,CAGR!$B$65:$B$71,0))),0)</f>
        <v>1.2344122683528849E-3</v>
      </c>
      <c r="Z5" s="14">
        <f>IFERROR(Y5*(1+INDEX(CAGR!$C$51:$C$57,MATCH($A5,CAGR!$B$65:$B$71,0))),0)</f>
        <v>1.2421596839650862E-3</v>
      </c>
      <c r="AA5" s="14">
        <f>IFERROR(Z5*(1+INDEX(CAGR!$C$51:$C$57,MATCH($A5,CAGR!$B$65:$B$71,0))),0)</f>
        <v>1.2499557238904177E-3</v>
      </c>
      <c r="AB5" s="14">
        <f>IFERROR(AA5*(1+INDEX(CAGR!$C$51:$C$57,MATCH($A5,CAGR!$B$65:$B$71,0))),0)</f>
        <v>1.2578006933046885E-3</v>
      </c>
      <c r="AC5" s="14">
        <f>IFERROR(AB5*(1+INDEX(CAGR!$C$51:$C$57,MATCH($A5,CAGR!$B$65:$B$71,0))),0)</f>
        <v>1.2656948992990514E-3</v>
      </c>
      <c r="AD5" s="14">
        <f>IFERROR(AC5*(1+INDEX(CAGR!$C$51:$C$57,MATCH($A5,CAGR!$B$65:$B$71,0))),0)</f>
        <v>1.273638650892024E-3</v>
      </c>
      <c r="AE5" s="14">
        <f>IFERROR(AD5*(1+INDEX(CAGR!$C$51:$C$57,MATCH($A5,CAGR!$B$65:$B$71,0))),0)</f>
        <v>1.2816322590415851E-3</v>
      </c>
      <c r="AF5" s="14">
        <f>IFERROR(AE5*(1+INDEX(CAGR!$C$51:$C$57,MATCH($A5,CAGR!$B$65:$B$71,0))),0)</f>
        <v>1.2896760366573475E-3</v>
      </c>
    </row>
    <row r="6" spans="1:32">
      <c r="A6" s="1" t="s">
        <v>13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14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15</v>
      </c>
      <c r="B8" s="13">
        <f>B5*Calibration!$D$44</f>
        <v>3.2069034208943316E-3</v>
      </c>
      <c r="C8" s="13">
        <f>B8*(1+CAGR!$C$71)</f>
        <v>3.2069034208943316E-3</v>
      </c>
      <c r="D8" s="13">
        <f>C8*(1+CAGR!$C$71)</f>
        <v>3.2069034208943316E-3</v>
      </c>
      <c r="E8" s="13">
        <f>D8*(1+CAGR!$C$71)</f>
        <v>3.2069034208943316E-3</v>
      </c>
      <c r="F8" s="13">
        <f>E8*(1+CAGR!$C$71)</f>
        <v>3.2069034208943316E-3</v>
      </c>
      <c r="G8" s="13">
        <f>F8*(1+CAGR!$C$71)</f>
        <v>3.2069034208943316E-3</v>
      </c>
      <c r="H8" s="13">
        <f>G8*(1+CAGR!$C$71)</f>
        <v>3.2069034208943316E-3</v>
      </c>
      <c r="I8" s="13">
        <f>H8*(1+CAGR!$C$71)</f>
        <v>3.2069034208943316E-3</v>
      </c>
      <c r="J8" s="13">
        <f>I8*(1+CAGR!$C$71)</f>
        <v>3.2069034208943316E-3</v>
      </c>
      <c r="K8" s="13">
        <f>J8*(1+CAGR!$C$71)</f>
        <v>3.2069034208943316E-3</v>
      </c>
      <c r="L8" s="13">
        <f>K8*(1+CAGR!$C$71)</f>
        <v>3.2069034208943316E-3</v>
      </c>
      <c r="M8" s="13">
        <f>L8*(1+CAGR!$C$71)</f>
        <v>3.2069034208943316E-3</v>
      </c>
      <c r="N8" s="13">
        <f>M8*(1+CAGR!$C$71)</f>
        <v>3.2069034208943316E-3</v>
      </c>
      <c r="O8" s="13">
        <f>N8*(1+CAGR!$C$71)</f>
        <v>3.2069034208943316E-3</v>
      </c>
      <c r="P8" s="13">
        <f>O8*(1+CAGR!$C$71)</f>
        <v>3.2069034208943316E-3</v>
      </c>
      <c r="Q8" s="13">
        <f>P8*(1+CAGR!$C$71)</f>
        <v>3.2069034208943316E-3</v>
      </c>
      <c r="R8" s="13">
        <f>Q8*(1+CAGR!$C$71)</f>
        <v>3.2069034208943316E-3</v>
      </c>
      <c r="S8" s="13">
        <f>R8*(1+CAGR!$C$71)</f>
        <v>3.2069034208943316E-3</v>
      </c>
      <c r="T8" s="13">
        <f>S8*(1+CAGR!$C$71)</f>
        <v>3.2069034208943316E-3</v>
      </c>
      <c r="U8" s="13">
        <f>T8*(1+CAGR!$C$71)</f>
        <v>3.2069034208943316E-3</v>
      </c>
      <c r="V8" s="13">
        <f>U8*(1+CAGR!$C$71)</f>
        <v>3.2069034208943316E-3</v>
      </c>
      <c r="W8" s="13">
        <f>V8*(1+CAGR!$C$71)</f>
        <v>3.2069034208943316E-3</v>
      </c>
      <c r="X8" s="13">
        <f>W8*(1+CAGR!$C$71)</f>
        <v>3.2069034208943316E-3</v>
      </c>
      <c r="Y8" s="13">
        <f>X8*(1+CAGR!$C$71)</f>
        <v>3.2069034208943316E-3</v>
      </c>
      <c r="Z8" s="13">
        <f>Y8*(1+CAGR!$C$71)</f>
        <v>3.2069034208943316E-3</v>
      </c>
      <c r="AA8" s="13">
        <f>Z8*(1+CAGR!$C$71)</f>
        <v>3.2069034208943316E-3</v>
      </c>
      <c r="AB8" s="13">
        <f>AA8*(1+CAGR!$C$71)</f>
        <v>3.2069034208943316E-3</v>
      </c>
      <c r="AC8" s="13">
        <f>AB8*(1+CAGR!$C$71)</f>
        <v>3.2069034208943316E-3</v>
      </c>
      <c r="AD8" s="13">
        <f>AC8*(1+CAGR!$C$71)</f>
        <v>3.2069034208943316E-3</v>
      </c>
      <c r="AE8" s="13">
        <f>AD8*(1+CAGR!$C$71)</f>
        <v>3.2069034208943316E-3</v>
      </c>
      <c r="AF8" s="13">
        <f>AE8*(1+CAGR!$C$71)</f>
        <v>3.2069034208943316E-3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psgr'!B7</f>
        <v>1.7952599999999999E-2</v>
      </c>
      <c r="C2" s="13">
        <f>B2</f>
        <v>1.7952599999999999E-2</v>
      </c>
      <c r="D2" s="13">
        <f t="shared" ref="D2:AF8" si="0">C2</f>
        <v>1.7952599999999999E-2</v>
      </c>
      <c r="E2" s="13">
        <f t="shared" si="0"/>
        <v>1.7952599999999999E-2</v>
      </c>
      <c r="F2" s="13">
        <f t="shared" si="0"/>
        <v>1.7952599999999999E-2</v>
      </c>
      <c r="G2" s="13">
        <f t="shared" si="0"/>
        <v>1.7952599999999999E-2</v>
      </c>
      <c r="H2" s="13">
        <f t="shared" si="0"/>
        <v>1.7952599999999999E-2</v>
      </c>
      <c r="I2" s="13">
        <f t="shared" si="0"/>
        <v>1.7952599999999999E-2</v>
      </c>
      <c r="J2" s="13">
        <f t="shared" si="0"/>
        <v>1.7952599999999999E-2</v>
      </c>
      <c r="K2" s="13">
        <f t="shared" si="0"/>
        <v>1.7952599999999999E-2</v>
      </c>
      <c r="L2" s="13">
        <f t="shared" si="0"/>
        <v>1.7952599999999999E-2</v>
      </c>
      <c r="M2" s="13">
        <f t="shared" si="0"/>
        <v>1.7952599999999999E-2</v>
      </c>
      <c r="N2" s="13">
        <f t="shared" si="0"/>
        <v>1.7952599999999999E-2</v>
      </c>
      <c r="O2" s="13">
        <f t="shared" si="0"/>
        <v>1.7952599999999999E-2</v>
      </c>
      <c r="P2" s="13">
        <f t="shared" si="0"/>
        <v>1.7952599999999999E-2</v>
      </c>
      <c r="Q2" s="13">
        <f t="shared" si="0"/>
        <v>1.7952599999999999E-2</v>
      </c>
      <c r="R2" s="13">
        <f t="shared" si="0"/>
        <v>1.7952599999999999E-2</v>
      </c>
      <c r="S2" s="13">
        <f t="shared" si="0"/>
        <v>1.7952599999999999E-2</v>
      </c>
      <c r="T2" s="13">
        <f t="shared" si="0"/>
        <v>1.7952599999999999E-2</v>
      </c>
      <c r="U2" s="13">
        <f t="shared" si="0"/>
        <v>1.7952599999999999E-2</v>
      </c>
      <c r="V2" s="13">
        <f t="shared" si="0"/>
        <v>1.7952599999999999E-2</v>
      </c>
      <c r="W2" s="13">
        <f t="shared" si="0"/>
        <v>1.7952599999999999E-2</v>
      </c>
      <c r="X2" s="13">
        <f t="shared" si="0"/>
        <v>1.7952599999999999E-2</v>
      </c>
      <c r="Y2" s="13">
        <f t="shared" si="0"/>
        <v>1.7952599999999999E-2</v>
      </c>
      <c r="Z2" s="13">
        <f t="shared" si="0"/>
        <v>1.7952599999999999E-2</v>
      </c>
      <c r="AA2" s="13">
        <f t="shared" si="0"/>
        <v>1.7952599999999999E-2</v>
      </c>
      <c r="AB2" s="13">
        <f t="shared" si="0"/>
        <v>1.7952599999999999E-2</v>
      </c>
      <c r="AC2" s="13">
        <f t="shared" si="0"/>
        <v>1.7952599999999999E-2</v>
      </c>
      <c r="AD2" s="13">
        <f t="shared" si="0"/>
        <v>1.7952599999999999E-2</v>
      </c>
      <c r="AE2" s="13">
        <f t="shared" si="0"/>
        <v>1.7952599999999999E-2</v>
      </c>
      <c r="AF2" s="13">
        <f t="shared" si="0"/>
        <v>1.7952599999999999E-2</v>
      </c>
    </row>
    <row r="3" spans="1:32">
      <c r="A3" s="1" t="s">
        <v>10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11</v>
      </c>
      <c r="B4" s="21">
        <f>'SYFAFE psgr'!D7</f>
        <v>5.6379999999999998E-3</v>
      </c>
      <c r="C4" s="13">
        <f t="shared" si="1"/>
        <v>5.6379999999999998E-3</v>
      </c>
      <c r="D4" s="13">
        <f t="shared" si="0"/>
        <v>5.6379999999999998E-3</v>
      </c>
      <c r="E4" s="13">
        <f t="shared" si="0"/>
        <v>5.6379999999999998E-3</v>
      </c>
      <c r="F4" s="13">
        <f t="shared" si="0"/>
        <v>5.6379999999999998E-3</v>
      </c>
      <c r="G4" s="13">
        <f t="shared" si="0"/>
        <v>5.6379999999999998E-3</v>
      </c>
      <c r="H4" s="13">
        <f t="shared" si="0"/>
        <v>5.6379999999999998E-3</v>
      </c>
      <c r="I4" s="13">
        <f t="shared" si="0"/>
        <v>5.6379999999999998E-3</v>
      </c>
      <c r="J4" s="13">
        <f t="shared" si="0"/>
        <v>5.6379999999999998E-3</v>
      </c>
      <c r="K4" s="13">
        <f t="shared" si="0"/>
        <v>5.6379999999999998E-3</v>
      </c>
      <c r="L4" s="13">
        <f t="shared" si="0"/>
        <v>5.6379999999999998E-3</v>
      </c>
      <c r="M4" s="13">
        <f t="shared" si="0"/>
        <v>5.6379999999999998E-3</v>
      </c>
      <c r="N4" s="13">
        <f t="shared" si="0"/>
        <v>5.6379999999999998E-3</v>
      </c>
      <c r="O4" s="13">
        <f t="shared" si="0"/>
        <v>5.6379999999999998E-3</v>
      </c>
      <c r="P4" s="13">
        <f t="shared" si="0"/>
        <v>5.6379999999999998E-3</v>
      </c>
      <c r="Q4" s="13">
        <f t="shared" si="0"/>
        <v>5.6379999999999998E-3</v>
      </c>
      <c r="R4" s="13">
        <f t="shared" si="0"/>
        <v>5.6379999999999998E-3</v>
      </c>
      <c r="S4" s="13">
        <f t="shared" si="0"/>
        <v>5.6379999999999998E-3</v>
      </c>
      <c r="T4" s="13">
        <f t="shared" si="0"/>
        <v>5.6379999999999998E-3</v>
      </c>
      <c r="U4" s="13">
        <f t="shared" si="0"/>
        <v>5.6379999999999998E-3</v>
      </c>
      <c r="V4" s="13">
        <f t="shared" si="0"/>
        <v>5.6379999999999998E-3</v>
      </c>
      <c r="W4" s="13">
        <f t="shared" si="0"/>
        <v>5.6379999999999998E-3</v>
      </c>
      <c r="X4" s="13">
        <f t="shared" si="0"/>
        <v>5.6379999999999998E-3</v>
      </c>
      <c r="Y4" s="13">
        <f t="shared" si="0"/>
        <v>5.6379999999999998E-3</v>
      </c>
      <c r="Z4" s="13">
        <f t="shared" si="0"/>
        <v>5.6379999999999998E-3</v>
      </c>
      <c r="AA4" s="13">
        <f t="shared" si="0"/>
        <v>5.6379999999999998E-3</v>
      </c>
      <c r="AB4" s="13">
        <f t="shared" si="0"/>
        <v>5.6379999999999998E-3</v>
      </c>
      <c r="AC4" s="13">
        <f t="shared" si="0"/>
        <v>5.6379999999999998E-3</v>
      </c>
      <c r="AD4" s="13">
        <f t="shared" si="0"/>
        <v>5.6379999999999998E-3</v>
      </c>
      <c r="AE4" s="13">
        <f t="shared" si="0"/>
        <v>5.6379999999999998E-3</v>
      </c>
      <c r="AF4" s="13">
        <f t="shared" si="0"/>
        <v>5.6379999999999998E-3</v>
      </c>
    </row>
    <row r="5" spans="1:32">
      <c r="A5" s="1" t="s">
        <v>12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13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14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15</v>
      </c>
      <c r="B8">
        <f>'SYFAFE psgr'!H7</f>
        <v>1.6913999999999998E-2</v>
      </c>
      <c r="C8" s="13">
        <f t="shared" si="1"/>
        <v>1.6913999999999998E-2</v>
      </c>
      <c r="D8" s="13">
        <f t="shared" si="0"/>
        <v>1.6913999999999998E-2</v>
      </c>
      <c r="E8" s="13">
        <f t="shared" si="0"/>
        <v>1.6913999999999998E-2</v>
      </c>
      <c r="F8" s="13">
        <f t="shared" si="0"/>
        <v>1.6913999999999998E-2</v>
      </c>
      <c r="G8" s="13">
        <f t="shared" si="0"/>
        <v>1.6913999999999998E-2</v>
      </c>
      <c r="H8" s="13">
        <f t="shared" si="0"/>
        <v>1.6913999999999998E-2</v>
      </c>
      <c r="I8" s="13">
        <f t="shared" si="0"/>
        <v>1.6913999999999998E-2</v>
      </c>
      <c r="J8" s="13">
        <f t="shared" si="0"/>
        <v>1.6913999999999998E-2</v>
      </c>
      <c r="K8" s="13">
        <f t="shared" si="0"/>
        <v>1.6913999999999998E-2</v>
      </c>
      <c r="L8" s="13">
        <f t="shared" si="0"/>
        <v>1.6913999999999998E-2</v>
      </c>
      <c r="M8" s="13">
        <f t="shared" si="0"/>
        <v>1.6913999999999998E-2</v>
      </c>
      <c r="N8" s="13">
        <f t="shared" si="0"/>
        <v>1.6913999999999998E-2</v>
      </c>
      <c r="O8" s="13">
        <f t="shared" si="0"/>
        <v>1.6913999999999998E-2</v>
      </c>
      <c r="P8" s="13">
        <f t="shared" si="0"/>
        <v>1.6913999999999998E-2</v>
      </c>
      <c r="Q8" s="13">
        <f t="shared" si="0"/>
        <v>1.6913999999999998E-2</v>
      </c>
      <c r="R8" s="13">
        <f t="shared" si="0"/>
        <v>1.6913999999999998E-2</v>
      </c>
      <c r="S8" s="13">
        <f t="shared" si="0"/>
        <v>1.6913999999999998E-2</v>
      </c>
      <c r="T8" s="13">
        <f t="shared" si="0"/>
        <v>1.6913999999999998E-2</v>
      </c>
      <c r="U8" s="13">
        <f t="shared" si="0"/>
        <v>1.6913999999999998E-2</v>
      </c>
      <c r="V8" s="13">
        <f t="shared" si="0"/>
        <v>1.6913999999999998E-2</v>
      </c>
      <c r="W8" s="13">
        <f t="shared" si="0"/>
        <v>1.6913999999999998E-2</v>
      </c>
      <c r="X8" s="13">
        <f t="shared" si="0"/>
        <v>1.6913999999999998E-2</v>
      </c>
      <c r="Y8" s="13">
        <f t="shared" si="0"/>
        <v>1.6913999999999998E-2</v>
      </c>
      <c r="Z8" s="13">
        <f t="shared" si="0"/>
        <v>1.6913999999999998E-2</v>
      </c>
      <c r="AA8" s="13">
        <f t="shared" si="0"/>
        <v>1.6913999999999998E-2</v>
      </c>
      <c r="AB8" s="13">
        <f t="shared" si="0"/>
        <v>1.6913999999999998E-2</v>
      </c>
      <c r="AC8" s="13">
        <f t="shared" si="0"/>
        <v>1.6913999999999998E-2</v>
      </c>
      <c r="AD8" s="13">
        <f t="shared" si="0"/>
        <v>1.6913999999999998E-2</v>
      </c>
      <c r="AE8" s="13">
        <f t="shared" si="0"/>
        <v>1.6913999999999998E-2</v>
      </c>
      <c r="AF8" s="13">
        <f t="shared" si="0"/>
        <v>1.6913999999999998E-2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11</v>
      </c>
      <c r="B4" s="21">
        <f>'SYFAFE frgt'!D7</f>
        <v>5.9799999999999997E-5</v>
      </c>
      <c r="C4" s="21">
        <f t="shared" si="1"/>
        <v>5.9799999999999997E-5</v>
      </c>
      <c r="D4" s="21">
        <f t="shared" si="0"/>
        <v>5.9799999999999997E-5</v>
      </c>
      <c r="E4" s="21">
        <f t="shared" si="0"/>
        <v>5.9799999999999997E-5</v>
      </c>
      <c r="F4" s="21">
        <f t="shared" si="0"/>
        <v>5.9799999999999997E-5</v>
      </c>
      <c r="G4" s="21">
        <f t="shared" si="0"/>
        <v>5.9799999999999997E-5</v>
      </c>
      <c r="H4" s="21">
        <f t="shared" si="0"/>
        <v>5.9799999999999997E-5</v>
      </c>
      <c r="I4" s="21">
        <f t="shared" si="0"/>
        <v>5.9799999999999997E-5</v>
      </c>
      <c r="J4" s="21">
        <f t="shared" si="0"/>
        <v>5.9799999999999997E-5</v>
      </c>
      <c r="K4" s="21">
        <f t="shared" si="0"/>
        <v>5.9799999999999997E-5</v>
      </c>
      <c r="L4" s="21">
        <f t="shared" si="0"/>
        <v>5.9799999999999997E-5</v>
      </c>
      <c r="M4" s="21">
        <f t="shared" si="0"/>
        <v>5.9799999999999997E-5</v>
      </c>
      <c r="N4" s="21">
        <f t="shared" si="0"/>
        <v>5.9799999999999997E-5</v>
      </c>
      <c r="O4" s="21">
        <f t="shared" si="0"/>
        <v>5.9799999999999997E-5</v>
      </c>
      <c r="P4" s="21">
        <f t="shared" si="0"/>
        <v>5.9799999999999997E-5</v>
      </c>
      <c r="Q4" s="21">
        <f t="shared" si="0"/>
        <v>5.9799999999999997E-5</v>
      </c>
      <c r="R4" s="21">
        <f t="shared" si="0"/>
        <v>5.9799999999999997E-5</v>
      </c>
      <c r="S4" s="21">
        <f t="shared" si="0"/>
        <v>5.9799999999999997E-5</v>
      </c>
      <c r="T4" s="21">
        <f t="shared" si="0"/>
        <v>5.9799999999999997E-5</v>
      </c>
      <c r="U4" s="21">
        <f t="shared" si="0"/>
        <v>5.9799999999999997E-5</v>
      </c>
      <c r="V4" s="21">
        <f t="shared" si="0"/>
        <v>5.9799999999999997E-5</v>
      </c>
      <c r="W4" s="21">
        <f t="shared" si="0"/>
        <v>5.9799999999999997E-5</v>
      </c>
      <c r="X4" s="21">
        <f t="shared" si="0"/>
        <v>5.9799999999999997E-5</v>
      </c>
      <c r="Y4" s="21">
        <f t="shared" si="0"/>
        <v>5.9799999999999997E-5</v>
      </c>
      <c r="Z4" s="21">
        <f t="shared" si="0"/>
        <v>5.9799999999999997E-5</v>
      </c>
      <c r="AA4" s="21">
        <f t="shared" si="0"/>
        <v>5.9799999999999997E-5</v>
      </c>
      <c r="AB4" s="21">
        <f t="shared" si="0"/>
        <v>5.9799999999999997E-5</v>
      </c>
      <c r="AC4" s="21">
        <f t="shared" si="0"/>
        <v>5.9799999999999997E-5</v>
      </c>
      <c r="AD4" s="21">
        <f t="shared" si="0"/>
        <v>5.9799999999999997E-5</v>
      </c>
      <c r="AE4" s="21">
        <f t="shared" si="0"/>
        <v>5.9799999999999997E-5</v>
      </c>
      <c r="AF4" s="21">
        <f t="shared" si="0"/>
        <v>5.9799999999999997E-5</v>
      </c>
    </row>
    <row r="5" spans="1:32">
      <c r="A5" s="1" t="s">
        <v>12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13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14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15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954CBA-CC49-4137-B897-2F07557F3495}">
  <ds:schemaRefs>
    <ds:schemaRef ds:uri="http://schemas.microsoft.com/office/infopath/2007/PartnerControls"/>
    <ds:schemaRef ds:uri="http://schemas.microsoft.com/office/2006/documentManagement/types"/>
    <ds:schemaRef ds:uri="40f4d404-d193-41dc-bb72-733c1e774208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GyeHyunPark</dc:creator>
  <cp:keywords/>
  <dc:description/>
  <cp:lastModifiedBy>Dan O'Brien</cp:lastModifiedBy>
  <cp:revision/>
  <dcterms:created xsi:type="dcterms:W3CDTF">2022-02-10T07:50:47Z</dcterms:created>
  <dcterms:modified xsi:type="dcterms:W3CDTF">2026-04-03T21:19:27Z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