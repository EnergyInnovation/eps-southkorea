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NVFE\"/>
    </mc:Choice>
  </mc:AlternateContent>
  <xr:revisionPtr revIDLastSave="0" documentId="13_ncr:1_{2E181AA3-FE3A-4293-85A2-0C24EFE6BC69}" xr6:coauthVersionLast="47" xr6:coauthVersionMax="47" xr10:uidLastSave="{00000000-0000-0000-0000-000000000000}"/>
  <bookViews>
    <workbookView xWindow="-25170" yWindow="1545" windowWidth="25050" windowHeight="14970" firstSheet="18" activeTab="23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31" l="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D25" i="4"/>
  <c r="D27" i="4" s="1"/>
  <c r="C25" i="4"/>
  <c r="B25" i="4"/>
  <c r="F24" i="4"/>
  <c r="E24" i="4"/>
  <c r="D24" i="4"/>
  <c r="D26" i="4" s="1"/>
  <c r="C24" i="4"/>
  <c r="B24" i="4"/>
  <c r="D21" i="4" l="1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B5" i="26" s="1"/>
  <c r="C41" i="9"/>
  <c r="C42" i="9"/>
  <c r="C43" i="9"/>
  <c r="C37" i="9"/>
  <c r="C31" i="9"/>
  <c r="C32" i="9"/>
  <c r="C33" i="9"/>
  <c r="B5" i="29" s="1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B4" i="23" s="1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9"/>
  <c r="C6" i="9"/>
  <c r="C7" i="9"/>
  <c r="C8" i="9"/>
  <c r="C2" i="9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D5" i="12" l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<sst xmlns="http://schemas.openxmlformats.org/spreadsheetml/2006/main" count="433" uniqueCount="72">
  <si>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</si>
  <si>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</si>
  <si>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</si>
  <si>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</si>
  <si>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</si>
  <si>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</si>
  <si>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</si>
  <si>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</si>
  <si>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</si>
  <si>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</si>
  <si>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</si>
  <si>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</si>
  <si>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</si>
  <si>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</si>
  <si>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</si>
  <si>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</si>
  <si>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</si>
  <si>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</si>
  <si>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</si>
  <si>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</si>
  <si>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</si>
  <si>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</si>
  <si>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</si>
  <si>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</si>
  <si>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</si>
  <si>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</si>
  <si>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</si>
  <si>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</si>
  <si>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</si>
  <si>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</si>
  <si>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</si>
  <si>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</si>
  <si>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</si>
  <si>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</si>
  <si>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</si>
  <si>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</si>
  <si>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</si>
  <si>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</si>
  <si>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</si>
  <si>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</si>
  <si>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</si>
  <si>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</si>
  <si>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</si>
  <si>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</si>
  <si>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</si>
  <si>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</si>
  <si>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</si>
  <si>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</si>
  <si>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</si>
  <si>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</si>
  <si>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</si>
  <si>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</si>
  <si>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</si>
  <si>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</si>
  <si>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</si>
  <si>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</si>
  <si>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</si>
  <si>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</si>
  <si>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</si>
  <si>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</si>
  <si>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</si>
  <si>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</si>
  <si>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</si>
  <si>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</si>
  <si>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</si>
  <si>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</si>
  <si>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</si>
  <si>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</si>
  <si>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</si>
  <si>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</si>
  <si>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</si>
  <si>
    <t>Fuel Economy (freight ton*miles/BTU)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</si>
</sst>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'BNVFE-rail-frgt'!$A$2</c:f>
              <c:strCache>
                <c:ptCount val="1"/>
                <c:pt idx="0">
                  <c:v>battery electric vehicle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'BNVFE-rail-frgt'!$B$2:$V$2</c:f>
              <c:numCache>
                <c:formatCode>0.00E+00</c:formatCode>
                <c:ptCount val="21"/>
                <c:pt idx="0">
                  <c:v>4.6989073334332684E-3</c:v>
                </c:pt>
                <c:pt idx="1">
                  <c:v>4.7283986054893245E-3</c:v>
                </c:pt>
                <c:pt idx="2">
                  <c:v>4.7580749706033548E-3</c:v>
                </c:pt>
                <c:pt idx="3">
                  <c:v>4.7879375904560104E-3</c:v>
                </c:pt>
                <c:pt idx="4">
                  <c:v>4.8179876340188792E-3</c:v>
                </c:pt>
                <c:pt idx="5">
                  <c:v>4.8482262776002472E-3</c:v>
                </c:pt>
                <c:pt idx="6">
                  <c:v>4.8786547048911425E-3</c:v>
                </c:pt>
                <c:pt idx="7">
                  <c:v>4.9092741070116729E-3</c:v>
                </c:pt>
                <c:pt idx="8">
                  <c:v>4.9400856825576513E-3</c:v>
                </c:pt>
                <c:pt idx="9">
                  <c:v>4.9710906376475164E-3</c:v>
                </c:pt>
                <c:pt idx="10">
                  <c:v>5.0022901859695431E-3</c:v>
                </c:pt>
                <c:pt idx="11">
                  <c:v>5.0336855488293548E-3</c:v>
                </c:pt>
                <c:pt idx="12">
                  <c:v>5.0652779551977308E-3</c:v>
                </c:pt>
                <c:pt idx="13">
                  <c:v>5.0970686417587136E-3</c:v>
                </c:pt>
                <c:pt idx="14">
                  <c:v>5.1290588529580199E-3</c:v>
                </c:pt>
                <c:pt idx="15">
                  <c:v>5.1612498410517531E-3</c:v>
                </c:pt>
                <c:pt idx="16">
                  <c:v>5.1936428661554252E-3</c:v>
                </c:pt>
                <c:pt idx="17">
                  <c:v>5.2262391962932817E-3</c:v>
                </c:pt>
                <c:pt idx="18">
                  <c:v>5.2590401074479381E-3</c:v>
                </c:pt>
                <c:pt idx="19">
                  <c:v>5.2920468836103306E-3</c:v>
                </c:pt>
                <c:pt idx="20">
                  <c:v>5.3252608168299761E-3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D0-4F2F-BA0A-6213D37F7926}"/>
            </c:ext>
          </c:extLst>
        </c:ser>
        <c:ser>
          <c:idx val="1"/>
          <c:order val="1"/>
          <c:tx>
            <c:strRef>
              <c:f>'BNVFE-rail-frgt'!$A$3</c:f>
              <c:strCache>
                <c:ptCount val="1"/>
                <c:pt idx="0">
                  <c:v>natural gas vehicle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'BNVFE-rail-frgt'!$B$3:$V$3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D0-4F2F-BA0A-6213D37F7926}"/>
            </c:ext>
          </c:extLst>
        </c:ser>
        <c:ser>
          <c:idx val="2"/>
          <c:order val="2"/>
          <c:tx>
            <c:strRef>
              <c:f>'BNVFE-rail-frgt'!$A$4</c:f>
              <c:strCache>
                <c:ptCount val="1"/>
                <c:pt idx="0">
                  <c:v>gasoline vehicle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'BNVFE-rail-frgt'!$B$4:$V$4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D0-4F2F-BA0A-6213D37F7926}"/>
            </c:ext>
          </c:extLst>
        </c:ser>
        <c:ser>
          <c:idx val="3"/>
          <c:order val="3"/>
          <c:tx>
            <c:strRef>
              <c:f>'BNVFE-rail-frgt'!$A$5</c:f>
              <c:strCache>
                <c:ptCount val="1"/>
                <c:pt idx="0">
                  <c:v>diesel vehicle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'BNVFE-rail-frgt'!$B$5:$V$5</c:f>
              <c:numCache>
                <c:formatCode>0.00E+00</c:formatCode>
                <c:ptCount val="21"/>
                <c:pt idx="0">
                  <c:v>1.4622199430811809E-3</c:v>
                </c:pt>
                <c:pt idx="1">
                  <c:v>1.4713971247294281E-3</c:v>
                </c:pt>
                <c:pt idx="2">
                  <c:v>1.4806319041853126E-3</c:v>
                </c:pt>
                <c:pt idx="3">
                  <c:v>1.4899246429440701E-3</c:v>
                </c:pt>
                <c:pt idx="4">
                  <c:v>1.4992757047697521E-3</c:v>
                </c:pt>
                <c:pt idx="5">
                  <c:v>1.5086854557094654E-3</c:v>
                </c:pt>
                <c:pt idx="6">
                  <c:v>1.5181542641077008E-3</c:v>
                </c:pt>
                <c:pt idx="7">
                  <c:v>1.5276825006207517E-3</c:v>
                </c:pt>
                <c:pt idx="8">
                  <c:v>1.537270538231224E-3</c:v>
                </c:pt>
                <c:pt idx="9">
                  <c:v>1.5469187522626363E-3</c:v>
                </c:pt>
                <c:pt idx="10">
                  <c:v>1.5566275203941116E-3</c:v>
                </c:pt>
                <c:pt idx="11">
                  <c:v>1.5663972226751617E-3</c:v>
                </c:pt>
                <c:pt idx="12">
                  <c:v>1.5762282415405649E-3</c:v>
                </c:pt>
                <c:pt idx="13">
                  <c:v>1.5861209618253354E-3</c:v>
                </c:pt>
                <c:pt idx="14">
                  <c:v>1.5960757707797878E-3</c:v>
                </c:pt>
                <c:pt idx="15">
                  <c:v>1.6060930580846971E-3</c:v>
                </c:pt>
                <c:pt idx="16">
                  <c:v>1.6161732158665512E-3</c:v>
                </c:pt>
                <c:pt idx="17">
                  <c:v>1.6263166387129018E-3</c:v>
                </c:pt>
                <c:pt idx="18">
                  <c:v>1.63652372368781E-3</c:v>
                </c:pt>
                <c:pt idx="19">
                  <c:v>1.6467948703473895E-3</c:v>
                </c:pt>
                <c:pt idx="20">
                  <c:v>1.6571304807554473E-3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D0-4F2F-BA0A-6213D37F7926}"/>
            </c:ext>
          </c:extLst>
        </c:ser>
        <c:ser>
          <c:idx val="4"/>
          <c:order val="4"/>
          <c:tx>
            <c:strRef>
              <c:f>'BNVFE-rail-frgt'!$A$6</c:f>
              <c:strCache>
                <c:ptCount val="1"/>
                <c:pt idx="0">
                  <c:v>plugin hybrid vehicle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'BNVFE-rail-frgt'!$B$6:$V$6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D0-4F2F-BA0A-6213D37F7926}"/>
            </c:ext>
          </c:extLst>
        </c:ser>
        <c:ser>
          <c:idx val="5"/>
          <c:order val="5"/>
          <c:tx>
            <c:strRef>
              <c:f>'BNVFE-rail-frgt'!$A$7</c:f>
              <c:strCache>
                <c:ptCount val="1"/>
                <c:pt idx="0">
                  <c:v>LPG vehicle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'BNVFE-rail-frgt'!$B$7:$V$7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D0-4F2F-BA0A-6213D37F7926}"/>
            </c:ext>
          </c:extLst>
        </c:ser>
        <c:ser>
          <c:idx val="6"/>
          <c:order val="6"/>
          <c:tx>
            <c:strRef>
              <c:f>'BNVFE-rail-frgt'!$A$8</c:f>
              <c:strCache>
                <c:ptCount val="1"/>
                <c:pt idx="0">
                  <c:v>hydrogen vehicle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'BNVFE-rail-frgt'!$B$8:$V$8</c:f>
              <c:numCache>
                <c:formatCode>0.00E+00</c:formatCode>
                <c:ptCount val="21"/>
                <c:pt idx="0">
                  <c:v>4.3866598292435421E-3</c:v>
                </c:pt>
                <c:pt idx="1">
                  <c:v>4.4141913741882833E-3</c:v>
                </c:pt>
                <c:pt idx="2">
                  <c:v>4.4418957125559365E-3</c:v>
                </c:pt>
                <c:pt idx="3">
                  <c:v>4.4697739288322089E-3</c:v>
                </c:pt>
                <c:pt idx="4">
                  <c:v>4.497827114309255E-3</c:v>
                </c:pt>
                <c:pt idx="5">
                  <c:v>4.526056367128395E-3</c:v>
                </c:pt>
                <c:pt idx="6">
                  <c:v>4.5544627923231008E-3</c:v>
                </c:pt>
                <c:pt idx="7">
                  <c:v>4.5830475018622538E-3</c:v>
                </c:pt>
                <c:pt idx="8">
                  <c:v>4.6118116146936705E-3</c:v>
                </c:pt>
                <c:pt idx="9">
                  <c:v>4.6407562567879071E-3</c:v>
                </c:pt>
                <c:pt idx="10">
                  <c:v>4.6698825611823326E-3</c:v>
                </c:pt>
                <c:pt idx="11">
                  <c:v>4.6991916680254832E-3</c:v>
                </c:pt>
                <c:pt idx="12">
                  <c:v>4.7286847246216929E-3</c:v>
                </c:pt>
                <c:pt idx="13">
                  <c:v>4.7583628854760036E-3</c:v>
                </c:pt>
                <c:pt idx="14">
                  <c:v>4.7882273123393609E-3</c:v>
                </c:pt>
                <c:pt idx="15">
                  <c:v>4.8182791742540886E-3</c:v>
                </c:pt>
                <c:pt idx="16">
                  <c:v>4.8485196475996509E-3</c:v>
                </c:pt>
                <c:pt idx="17">
                  <c:v>4.8789499161387027E-3</c:v>
                </c:pt>
                <c:pt idx="18">
                  <c:v>4.909571171063427E-3</c:v>
                </c:pt>
                <c:pt idx="19">
                  <c:v>4.9403846110421656E-3</c:v>
                </c:pt>
                <c:pt idx="20">
                  <c:v>4.9713914422663394E-3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D0-4F2F-BA0A-6213D37F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60655"/>
        <c:axId val="62661615"/>
      </c:scatterChart>
      <c:valAx>
        <c:axId val="62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1615"/>
        <c:crosses val="autoZero"/>
        <c:crossBetween val="midCat"/>
      </c:valAx>
      <c:valAx>
        <c:axId val="626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100012</xdr:colOff>
      <xdr:row>10</xdr:row>
      <xdr:rowOff>33337</xdr:rowOff>
    </xdr:from>
    <xdr:to>
      <xdr:col>14</xdr:col>
      <xdr:colOff>338137</xdr:colOff>
      <xdr:row>24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408322-D991-FC86-8CBD-ABF99C180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D35" sqref="D35"/>
    </sheetView>
  </sheetViews>
  <sheetFormatPr defaultRowHeight="1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>
      <selection activeCell="B4" sqref="B4:H4"/>
    </sheetView>
  </sheetViews>
  <sheetFormatPr defaultRowHeight="15"/>
  <cols>
    <col min="1" max="1" width="19.710937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1.2643000000000001E-3</v>
      </c>
      <c r="C2" s="34">
        <v>2.944E-4</v>
      </c>
      <c r="D2" s="34">
        <v>3.8079999999999999E-4</v>
      </c>
      <c r="E2" s="34">
        <v>3.5330000000000002E-4</v>
      </c>
      <c r="F2" s="34">
        <v>4.347E-4</v>
      </c>
      <c r="G2" s="34">
        <v>3.7209999999999999E-4</v>
      </c>
      <c r="H2" s="34">
        <v>1.9093999999999999E-3</v>
      </c>
    </row>
    <row r="3" spans="1:8">
      <c r="A3" s="1" t="s">
        <v>17</v>
      </c>
      <c r="B3" s="34">
        <v>2.5948999999999998E-3</v>
      </c>
      <c r="C3" s="34">
        <v>2.0125E-3</v>
      </c>
      <c r="D3" s="34">
        <v>7.3919999999999997E-4</v>
      </c>
      <c r="E3" s="34">
        <v>8.0749999999999995E-4</v>
      </c>
      <c r="F3" s="34">
        <v>1.7906E-3</v>
      </c>
      <c r="G3" s="34">
        <v>1.3548E-3</v>
      </c>
      <c r="H3" s="34">
        <v>2.4225000000000002E-3</v>
      </c>
    </row>
    <row r="4" spans="1:8">
      <c r="A4" s="1" t="s">
        <v>18</v>
      </c>
      <c r="B4" s="34">
        <v>7.3141853515822292E-4</v>
      </c>
      <c r="C4" s="34">
        <v>2.2760961548490743E-4</v>
      </c>
      <c r="D4" s="34">
        <v>2.2760961548490743E-4</v>
      </c>
      <c r="E4" s="34">
        <v>2.2760961548490743E-4</v>
      </c>
      <c r="F4" s="34">
        <v>0</v>
      </c>
      <c r="G4" s="34">
        <v>0</v>
      </c>
      <c r="H4" s="34">
        <v>6.8282937766954584E-4</v>
      </c>
    </row>
    <row r="5" spans="1:8">
      <c r="A5" s="1" t="s">
        <v>19</v>
      </c>
      <c r="B5" s="34">
        <v>1.6872999999999999E-2</v>
      </c>
      <c r="C5" s="34">
        <v>1.2658000000000001E-3</v>
      </c>
      <c r="D5" s="34">
        <v>1.2658000000000001E-3</v>
      </c>
      <c r="E5" s="34">
        <v>1.2658000000000001E-3</v>
      </c>
      <c r="F5" s="34">
        <v>0</v>
      </c>
      <c r="G5" s="34">
        <v>0</v>
      </c>
      <c r="H5" s="34">
        <v>3.7975000000000001E-3</v>
      </c>
    </row>
    <row r="6" spans="1:8">
      <c r="A6" s="1" t="s">
        <v>20</v>
      </c>
      <c r="B6" s="34">
        <v>2.9538323562160623E-3</v>
      </c>
      <c r="C6" s="34">
        <v>0</v>
      </c>
      <c r="D6" s="34">
        <v>9.1919916385677981E-4</v>
      </c>
      <c r="E6" s="34">
        <v>9.1919916385677981E-4</v>
      </c>
      <c r="F6" s="34">
        <v>0</v>
      </c>
      <c r="G6" s="34">
        <v>0</v>
      </c>
      <c r="H6" s="34">
        <v>2.7576049190822485E-3</v>
      </c>
    </row>
    <row r="7" spans="1:8">
      <c r="A7" s="1" t="s">
        <v>21</v>
      </c>
      <c r="B7" s="34">
        <v>1.7952599999999999E-2</v>
      </c>
      <c r="C7" s="34">
        <v>5.6379999999999998E-3</v>
      </c>
      <c r="D7" s="34">
        <v>5.6379999999999998E-3</v>
      </c>
      <c r="E7" s="34">
        <v>5.6379999999999998E-3</v>
      </c>
      <c r="F7" s="34">
        <v>1.2411E-2</v>
      </c>
      <c r="G7" s="34">
        <v>4.3695000000000001E-3</v>
      </c>
      <c r="H7" s="34">
        <v>1.6913999999999998E-2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activeCell="F22" sqref="F22"/>
    </sheetView>
  </sheetViews>
  <sheetFormatPr defaultRowHeight="15"/>
  <cols>
    <col min="1" max="1" width="11.2851562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10">
      <c r="A1" s="1" t="s">
        <v>71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1.8699999999999999E-4</v>
      </c>
      <c r="C2" s="34">
        <v>9.8999999999999994E-5</v>
      </c>
      <c r="D2" s="34">
        <v>1.4200000000000001E-4</v>
      </c>
      <c r="E2" s="34">
        <v>1.1E-4</v>
      </c>
      <c r="F2" s="34">
        <v>2.4800000000000001E-4</v>
      </c>
      <c r="G2" s="34">
        <v>7.7999999999999999E-5</v>
      </c>
      <c r="H2" s="34">
        <v>1.1900000000000001E-4</v>
      </c>
      <c r="I2" s="1"/>
      <c r="J2" s="1"/>
    </row>
    <row r="3" spans="1:10">
      <c r="A3" s="1" t="s">
        <v>17</v>
      </c>
      <c r="B3" s="34">
        <v>2.82E-3</v>
      </c>
      <c r="C3" s="34">
        <v>1.5759999999999999E-3</v>
      </c>
      <c r="D3" s="34">
        <v>1.498E-3</v>
      </c>
      <c r="E3" s="34">
        <v>1.4890000000000001E-3</v>
      </c>
      <c r="F3" s="34">
        <v>0</v>
      </c>
      <c r="G3" s="34">
        <v>1.5939999999999999E-3</v>
      </c>
      <c r="H3" s="34">
        <v>0</v>
      </c>
      <c r="I3" s="1"/>
      <c r="J3" s="1"/>
    </row>
    <row r="4" spans="1:10">
      <c r="A4" s="1" t="s">
        <v>18</v>
      </c>
      <c r="B4" s="34">
        <v>3.1622429237254017E-4</v>
      </c>
      <c r="C4" s="34">
        <v>9.8405668706519375E-5</v>
      </c>
      <c r="D4" s="34">
        <v>9.8405668706519375E-5</v>
      </c>
      <c r="E4" s="34">
        <v>9.8405668706519375E-5</v>
      </c>
      <c r="F4" s="34">
        <v>0</v>
      </c>
      <c r="G4" s="34">
        <v>0</v>
      </c>
      <c r="H4" s="34">
        <v>2.9521700611955811E-4</v>
      </c>
      <c r="I4" s="1"/>
      <c r="J4" s="1"/>
    </row>
    <row r="5" spans="1:10">
      <c r="A5" s="1" t="s">
        <v>19</v>
      </c>
      <c r="B5" s="34">
        <v>4.6696000000000003E-3</v>
      </c>
      <c r="C5" s="34">
        <v>1.4530999999999999E-3</v>
      </c>
      <c r="D5" s="34">
        <v>1.4530999999999999E-3</v>
      </c>
      <c r="E5" s="34">
        <v>1.4530999999999999E-3</v>
      </c>
      <c r="F5" s="34">
        <v>0</v>
      </c>
      <c r="G5" s="34">
        <v>0</v>
      </c>
      <c r="H5" s="34">
        <v>4.3594000000000003E-3</v>
      </c>
      <c r="I5" s="1"/>
      <c r="J5" s="1"/>
    </row>
    <row r="6" spans="1:10">
      <c r="A6" s="1" t="s">
        <v>20</v>
      </c>
      <c r="B6" s="34">
        <v>3.4351010215682137E-3</v>
      </c>
      <c r="C6" s="34">
        <v>1.0689678069647774E-3</v>
      </c>
      <c r="D6" s="34">
        <v>1.0689678069647774E-3</v>
      </c>
      <c r="E6" s="34">
        <v>1.0689678069647774E-3</v>
      </c>
      <c r="F6" s="34">
        <v>0</v>
      </c>
      <c r="G6" s="34">
        <v>0</v>
      </c>
      <c r="H6" s="34">
        <v>3.2069034208943329E-3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5.9799999999999997E-5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10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11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12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13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14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15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10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11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12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13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14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15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10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11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12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13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14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15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10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11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12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13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14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15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12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15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topLeftCell="A2" workbookViewId="0">
      <selection activeCell="A33" sqref="A32:A33"/>
    </sheetView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11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12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15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10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11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12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13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14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15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5"/>
  <cols>
    <col min="1" max="1" width="32.7109375" bestFit="1" customWidth="1"/>
  </cols>
  <sheetData>
    <row r="1" spans="1:36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/>
  </sheetViews>
  <sheetFormatPr defaultRowHeight="15"/>
  <cols>
    <col min="1" max="1" width="14.7109375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32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31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36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31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31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>
      <selection activeCell="C9" sqref="C9"/>
    </sheetView>
  </sheetViews>
  <sheetFormatPr defaultRowHeight="15"/>
  <cols>
    <col min="1" max="1" width="17.28515625" bestFit="1" customWidth="1"/>
    <col min="2" max="2" width="21.4257812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IFERROR(('US-LDVs-psgr'!AF2/'US-LDVs-psgr'!B2)^(1/COUNT('US-LDVs-psgr'!$B$1:$AF$1))-1,0)</f>
        <v>-1.5060810674758507E-3</v>
      </c>
    </row>
    <row r="3" spans="1:6">
      <c r="B3" s="1" t="s">
        <v>10</v>
      </c>
      <c r="C3">
        <f>IFERROR(('US-LDVs-psgr'!AF3/'US-LDVs-psgr'!B3)^(1/COUNT('US-LDVs-psgr'!$B$1:$AF$1))-1,0)</f>
        <v>2.5086794556596903E-3</v>
      </c>
    </row>
    <row r="4" spans="1:6">
      <c r="B4" s="1" t="s">
        <v>11</v>
      </c>
      <c r="C4">
        <f>IFERROR(('US-LDVs-psgr'!AF4/'US-LDVs-psgr'!B4)^(1/COUNT('US-LDVs-psgr'!$B$1:$AF$1))-1,0)</f>
        <v>2.9284465081031996E-3</v>
      </c>
    </row>
    <row r="5" spans="1:6">
      <c r="B5" s="1" t="s">
        <v>12</v>
      </c>
      <c r="C5">
        <f>IFERROR(('US-LDVs-psgr'!AF5/'US-LDVs-psgr'!B5)^(1/COUNT('US-LDVs-psgr'!$B$1:$AF$1))-1,0)</f>
        <v>8.8318936721920593E-4</v>
      </c>
    </row>
    <row r="6" spans="1:6">
      <c r="B6" s="1" t="s">
        <v>13</v>
      </c>
      <c r="C6">
        <f>IFERROR(('US-LDVs-psgr'!AF6/'US-LDVs-psgr'!B6)^(1/COUNT('US-LDVs-psgr'!$B$1:$AF$1))-1,0)</f>
        <v>3.2675944403379731E-3</v>
      </c>
    </row>
    <row r="7" spans="1:6">
      <c r="B7" s="1" t="s">
        <v>14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15</v>
      </c>
      <c r="C8" s="11">
        <f>IFERROR(('US-LDVs-psgr'!AF8/'US-LDVs-psgr'!B8)^(1/COUNT('US-LDVs-psgr'!$B$1:$AF$1))-1,0)</f>
        <v>-6.41977670003957E-4</v>
      </c>
    </row>
    <row r="9" spans="1:6">
      <c r="A9" s="9" t="s">
        <v>42</v>
      </c>
      <c r="B9" s="10" t="s">
        <v>9</v>
      </c>
      <c r="C9" s="9">
        <f>IFERROR(('US-LDVs-frgt'!AF2/'US-LDVs-frgt'!B2)^(1/COUNT('US-LDVs-frgt'!$B$1:$AF$1))-1,0)</f>
        <v>1.3090349440243898E-2</v>
      </c>
    </row>
    <row r="10" spans="1:6">
      <c r="B10" s="1" t="s">
        <v>10</v>
      </c>
      <c r="C10">
        <f>IFERROR(('US-LDVs-frgt'!AF3/'US-LDVs-frgt'!B3)^(1/COUNT('US-LDVs-frgt'!$B$1:$AF$1))-1,0)</f>
        <v>-2.5943994809526361E-3</v>
      </c>
    </row>
    <row r="11" spans="1:6">
      <c r="B11" s="1" t="s">
        <v>11</v>
      </c>
      <c r="C11">
        <f>IFERROR(('US-LDVs-frgt'!AF4/'US-LDVs-frgt'!B4)^(1/COUNT('US-LDVs-frgt'!$B$1:$AF$1))-1,0)</f>
        <v>-2.5943994809526361E-3</v>
      </c>
    </row>
    <row r="12" spans="1:6">
      <c r="B12" s="1" t="s">
        <v>12</v>
      </c>
      <c r="C12">
        <f>IFERROR(('US-LDVs-frgt'!AF5/'US-LDVs-frgt'!B5)^(1/COUNT('US-LDVs-frgt'!$B$1:$AF$1))-1,0)</f>
        <v>-2.5943994809526361E-3</v>
      </c>
    </row>
    <row r="13" spans="1:6">
      <c r="B13" s="1" t="s">
        <v>13</v>
      </c>
      <c r="C13">
        <f>IFERROR(('US-LDVs-frgt'!AF6/'US-LDVs-frgt'!B6)^(1/COUNT('US-LDVs-frgt'!$B$1:$AF$1))-1,0)</f>
        <v>7.4585286225954395E-3</v>
      </c>
    </row>
    <row r="14" spans="1:6">
      <c r="B14" s="1" t="s">
        <v>14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15</v>
      </c>
      <c r="C15" s="11">
        <f>IFERROR(('US-LDVs-frgt'!AF8/'US-LDVs-frgt'!B8)^(1/COUNT('US-LDVs-frgt'!$B$1:$AF$1))-1,0)</f>
        <v>-2.5943994809526361E-3</v>
      </c>
    </row>
    <row r="16" spans="1:6">
      <c r="A16" s="9" t="s">
        <v>43</v>
      </c>
      <c r="B16" s="10" t="s">
        <v>9</v>
      </c>
      <c r="C16" s="9">
        <f>IFERROR(('US-HDVs-psgr'!AF2/'US-HDVs-psgr'!B2)^(1/COUNT('US-HDVs-psgr'!$B$1:$AF$1))-1,0)</f>
        <v>1.5972361193876239E-2</v>
      </c>
    </row>
    <row r="17" spans="1:6">
      <c r="B17" s="1" t="s">
        <v>10</v>
      </c>
      <c r="C17">
        <f>IFERROR(('US-HDVs-psgr'!AF3/'US-HDVs-psgr'!B3)^(1/COUNT('US-HDVs-psgr'!$B$1:$AF$1))-1,0)</f>
        <v>7.3900263096151608E-3</v>
      </c>
    </row>
    <row r="18" spans="1:6">
      <c r="B18" s="1" t="s">
        <v>11</v>
      </c>
      <c r="C18">
        <f>IFERROR(('US-HDVs-psgr'!AF4/'US-HDVs-psgr'!B4)^(1/COUNT('US-HDVs-psgr'!$B$1:$AF$1))-1,0)</f>
        <v>7.3900263096151608E-3</v>
      </c>
    </row>
    <row r="19" spans="1:6">
      <c r="B19" s="1" t="s">
        <v>12</v>
      </c>
      <c r="C19">
        <f>IFERROR(('US-HDVs-psgr'!AF5/'US-HDVs-psgr'!B5)^(1/COUNT('US-HDVs-psgr'!$B$1:$AF$1))-1,0)</f>
        <v>7.3900263096151608E-3</v>
      </c>
    </row>
    <row r="20" spans="1:6">
      <c r="B20" s="1" t="s">
        <v>13</v>
      </c>
      <c r="C20">
        <f>IFERROR(('US-HDVs-psgr'!AF6/'US-HDVs-psgr'!B6)^(1/COUNT('US-HDVs-psgr'!$B$1:$AF$1))-1,0)</f>
        <v>7.3900263096151608E-3</v>
      </c>
    </row>
    <row r="21" spans="1:6">
      <c r="B21" s="1" t="s">
        <v>14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15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IFERROR(('US-HDVs-frgt'!AF2/'US-HDVs-frgt'!B2)^(1/COUNT('US-HDVs-frgt'!$B$1:$AF$1))-1,0)</f>
        <v>1.5972361193876239E-2</v>
      </c>
    </row>
    <row r="24" spans="1:6">
      <c r="B24" s="1" t="s">
        <v>10</v>
      </c>
      <c r="C24">
        <f>IFERROR(('US-HDVs-frgt'!AF3/'US-HDVs-frgt'!B3)^(1/COUNT('US-HDVs-frgt'!$B$1:$AF$1))-1,0)</f>
        <v>7.3900263096151608E-3</v>
      </c>
    </row>
    <row r="25" spans="1:6">
      <c r="B25" s="1" t="s">
        <v>11</v>
      </c>
      <c r="C25">
        <f>IFERROR(('US-HDVs-frgt'!AF4/'US-HDVs-frgt'!B4)^(1/COUNT('US-HDVs-frgt'!$B$1:$AF$1))-1,0)</f>
        <v>7.3900263096151608E-3</v>
      </c>
    </row>
    <row r="26" spans="1:6">
      <c r="B26" s="1" t="s">
        <v>12</v>
      </c>
      <c r="C26">
        <f>IFERROR(('US-HDVs-frgt'!AF5/'US-HDVs-frgt'!B5)^(1/COUNT('US-HDVs-frgt'!$B$1:$AF$1))-1,0)</f>
        <v>7.3900263096151608E-3</v>
      </c>
    </row>
    <row r="27" spans="1:6">
      <c r="B27" s="1" t="s">
        <v>13</v>
      </c>
      <c r="C27">
        <f>IFERROR(('US-HDVs-frgt'!AF6/'US-HDVs-frgt'!B6)^(1/COUNT('US-HDVs-frgt'!$B$1:$AF$1))-1,0)</f>
        <v>7.3900263096151608E-3</v>
      </c>
    </row>
    <row r="28" spans="1:6">
      <c r="B28" s="1" t="s">
        <v>14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15</v>
      </c>
      <c r="C29" s="11">
        <f>IFERROR(('US-HDVs-frgt'!AF8/'US-HDVs-frgt'!B8)^(1/COUNT('US-HDVs-frgt'!$B$1:$AF$1))-1,0)</f>
        <v>7.3900263096151608E-3</v>
      </c>
    </row>
    <row r="30" spans="1:6">
      <c r="A30" s="9" t="s">
        <v>47</v>
      </c>
      <c r="B30" s="10" t="s">
        <v>9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10</v>
      </c>
      <c r="C31">
        <f>IFERROR(('US-aircraft-psgr'!AF3/'US-aircraft-psgr'!B3)^(1/COUNT('US-aircraft-psgr'!$B$1:$AF$1))-1,0)</f>
        <v>0</v>
      </c>
    </row>
    <row r="32" spans="1:6">
      <c r="B32" s="1" t="s">
        <v>11</v>
      </c>
      <c r="C32">
        <f>IFERROR(('US-aircraft-psgr'!AF4/'US-aircraft-psgr'!B4)^(1/COUNT('US-aircraft-psgr'!$B$1:$AF$1))-1,0)</f>
        <v>0</v>
      </c>
    </row>
    <row r="33" spans="1:3">
      <c r="B33" s="1" t="s">
        <v>12</v>
      </c>
      <c r="C33">
        <f>IFERROR(('US-aircraft-psgr'!AF5/'US-aircraft-psgr'!B5)^(1/COUNT('US-aircraft-psgr'!$B$1:$AF$1))-1,0)</f>
        <v>7.1085127875833987E-3</v>
      </c>
    </row>
    <row r="34" spans="1:3">
      <c r="B34" s="1" t="s">
        <v>13</v>
      </c>
      <c r="C34">
        <f>IFERROR(('US-aircraft-psgr'!AF6/'US-aircraft-psgr'!B6)^(1/COUNT('US-aircraft-psgr'!$B$1:$AF$1))-1,0)</f>
        <v>0</v>
      </c>
    </row>
    <row r="35" spans="1:3">
      <c r="B35" s="1" t="s">
        <v>14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15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48</v>
      </c>
      <c r="B37" s="10" t="s">
        <v>9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10</v>
      </c>
      <c r="C38">
        <f>IFERROR(('US-aircraft-frgt'!AF3/'US-aircraft-frgt'!B3)^(1/COUNT('US-aircraft-frgt'!$B$1:$AF$1))-1,0)</f>
        <v>0</v>
      </c>
    </row>
    <row r="39" spans="1:3">
      <c r="B39" s="1" t="s">
        <v>11</v>
      </c>
      <c r="C39">
        <f>IFERROR(('US-aircraft-frgt'!AF4/'US-aircraft-frgt'!B4)^(1/COUNT('US-aircraft-frgt'!$B$1:$AF$1))-1,0)</f>
        <v>0</v>
      </c>
    </row>
    <row r="40" spans="1:3">
      <c r="B40" s="1" t="s">
        <v>12</v>
      </c>
      <c r="C40">
        <f>IFERROR(('US-aircraft-frgt'!AF5/'US-aircraft-frgt'!B5)^(1/COUNT('US-aircraft-frgt'!$B$1:$AF$1))-1,0)</f>
        <v>7.1085127875833987E-3</v>
      </c>
    </row>
    <row r="41" spans="1:3">
      <c r="B41" s="1" t="s">
        <v>13</v>
      </c>
      <c r="C41">
        <f>IFERROR(('US-aircraft-frgt'!AF6/'US-aircraft-frgt'!B6)^(1/COUNT('US-aircraft-frgt'!$B$1:$AF$1))-1,0)</f>
        <v>0</v>
      </c>
    </row>
    <row r="42" spans="1:3">
      <c r="B42" s="1" t="s">
        <v>14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15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49</v>
      </c>
      <c r="B44" s="10" t="s">
        <v>9</v>
      </c>
      <c r="C44" s="9">
        <f>IFERROR(('US-rail-psgr'!AF2/'US-rail-psgr'!B2)^(1/COUNT('US-rail-psgr'!$B$1:$AF$1))-1,0)</f>
        <v>-3.1790322538460813E-4</v>
      </c>
    </row>
    <row r="45" spans="1:3">
      <c r="B45" s="1" t="s">
        <v>10</v>
      </c>
      <c r="C45">
        <f>IFERROR(('US-rail-psgr'!AF3/'US-rail-psgr'!B3)^(1/COUNT('US-rail-psgr'!$B$1:$AF$1))-1,0)</f>
        <v>0</v>
      </c>
    </row>
    <row r="46" spans="1:3">
      <c r="B46" s="1" t="s">
        <v>11</v>
      </c>
      <c r="C46">
        <f>IFERROR(('US-rail-psgr'!AF4/'US-rail-psgr'!B4)^(1/COUNT('US-rail-psgr'!$B$1:$AF$1))-1,0)</f>
        <v>0</v>
      </c>
    </row>
    <row r="47" spans="1:3">
      <c r="B47" s="1" t="s">
        <v>12</v>
      </c>
      <c r="C47">
        <f>IFERROR(('US-rail-psgr'!AF5/'US-rail-psgr'!B5)^(1/COUNT('US-rail-psgr'!$B$1:$AF$1))-1,0)</f>
        <v>-3.1790322538449711E-4</v>
      </c>
    </row>
    <row r="48" spans="1:3">
      <c r="B48" s="1" t="s">
        <v>13</v>
      </c>
      <c r="C48">
        <f>IFERROR(('US-rail-psgr'!AF6/'US-rail-psgr'!B6)^(1/COUNT('US-rail-psgr'!$B$1:$AF$1))-1,0)</f>
        <v>0</v>
      </c>
    </row>
    <row r="49" spans="1:3">
      <c r="B49" s="1" t="s">
        <v>14</v>
      </c>
      <c r="C49">
        <f>IFERROR(('US-rail-psgr'!AF7/'US-rail-psgr'!B7)^(1/COUNT('US-rail-psgr'!$B$1:$AF$1))-1,0)</f>
        <v>0</v>
      </c>
    </row>
    <row r="50" spans="1:3">
      <c r="A50" s="11"/>
      <c r="B50" s="12" t="s">
        <v>15</v>
      </c>
      <c r="C50" s="11">
        <f>IFERROR(('US-rail-psgr'!AF8/'US-rail-psgr'!B8)^(1/COUNT('US-rail-psgr'!$B$1:$AF$1))-1,0)</f>
        <v>-3.1790322538449711E-4</v>
      </c>
    </row>
    <row r="51" spans="1:3">
      <c r="A51" s="9" t="s">
        <v>50</v>
      </c>
      <c r="B51" s="10" t="s">
        <v>9</v>
      </c>
      <c r="C51" s="9">
        <f>IFERROR(('US-rail-frgt'!AF2/'US-rail-frgt'!B2)^(1/COUNT('US-rail-frgt'!$B$1:$AF$1))-1,0)</f>
        <v>6.2761978399152873E-3</v>
      </c>
    </row>
    <row r="52" spans="1:3">
      <c r="B52" s="1" t="s">
        <v>10</v>
      </c>
      <c r="C52">
        <f>IFERROR(('US-rail-frgt'!AF3/'US-rail-frgt'!B3)^(1/COUNT('US-rail-frgt'!$B$1:$AF$1))-1,0)</f>
        <v>0</v>
      </c>
    </row>
    <row r="53" spans="1:3">
      <c r="B53" s="1" t="s">
        <v>11</v>
      </c>
      <c r="C53">
        <f>IFERROR(('US-rail-frgt'!AF4/'US-rail-frgt'!B4)^(1/COUNT('US-rail-frgt'!$B$1:$AF$1))-1,0)</f>
        <v>0</v>
      </c>
    </row>
    <row r="54" spans="1:3">
      <c r="B54" s="1" t="s">
        <v>12</v>
      </c>
      <c r="C54">
        <f>IFERROR(('US-rail-frgt'!AF5/'US-rail-frgt'!B5)^(1/COUNT('US-rail-frgt'!$B$1:$AF$1))-1,0)</f>
        <v>6.2761978399152873E-3</v>
      </c>
    </row>
    <row r="55" spans="1:3">
      <c r="B55" s="1" t="s">
        <v>13</v>
      </c>
      <c r="C55">
        <f>IFERROR(('US-rail-frgt'!AF6/'US-rail-frgt'!B6)^(1/COUNT('US-rail-frgt'!$B$1:$AF$1))-1,0)</f>
        <v>0</v>
      </c>
    </row>
    <row r="56" spans="1:3">
      <c r="B56" s="1" t="s">
        <v>14</v>
      </c>
      <c r="C56">
        <f>IFERROR(('US-rail-frgt'!AF7/'US-rail-frgt'!B7)^(1/COUNT('US-rail-frgt'!$B$1:$AF$1))-1,0)</f>
        <v>0</v>
      </c>
    </row>
    <row r="57" spans="1:3">
      <c r="A57" s="11"/>
      <c r="B57" s="12" t="s">
        <v>15</v>
      </c>
      <c r="C57" s="11">
        <f>IFERROR(('US-rail-frgt'!AF8/'US-rail-frgt'!B8)^(1/COUNT('US-rail-frgt'!$B$1:$AF$1))-1,0)</f>
        <v>6.2761978399152873E-3</v>
      </c>
    </row>
    <row r="58" spans="1:3">
      <c r="A58" s="9" t="s">
        <v>51</v>
      </c>
      <c r="B58" s="10" t="s">
        <v>9</v>
      </c>
      <c r="C58" s="9">
        <f>IFERROR(('US-ships-psgr'!AF2/'US-ships-psgr'!B2)^(1/COUNT('US-ships-psgr'!$B$1:$AF$1))-1,0)</f>
        <v>0</v>
      </c>
    </row>
    <row r="59" spans="1:3">
      <c r="B59" s="1" t="s">
        <v>10</v>
      </c>
      <c r="C59">
        <f>IFERROR(('US-ships-psgr'!AF3/'US-ships-psgr'!B3)^(1/COUNT('US-ships-psgr'!$B$1:$AF$1))-1,0)</f>
        <v>0</v>
      </c>
    </row>
    <row r="60" spans="1:3">
      <c r="B60" s="1" t="s">
        <v>11</v>
      </c>
      <c r="C60">
        <f>IFERROR(('US-ships-psgr'!AF4/'US-ships-psgr'!B4)^(1/COUNT('US-ships-psgr'!$B$1:$AF$1))-1,0)</f>
        <v>0</v>
      </c>
    </row>
    <row r="61" spans="1:3">
      <c r="B61" s="1" t="s">
        <v>12</v>
      </c>
      <c r="C61">
        <f>IFERROR(('US-ships-psgr'!AF5/'US-ships-psgr'!B5)^(1/COUNT('US-ships-psgr'!$B$1:$AF$1))-1,0)</f>
        <v>0</v>
      </c>
    </row>
    <row r="62" spans="1:3">
      <c r="B62" s="1" t="s">
        <v>13</v>
      </c>
      <c r="C62">
        <f>IFERROR(('US-ships-psgr'!AF6/'US-ships-psgr'!B6)^(1/COUNT('US-ships-psgr'!$B$1:$AF$1))-1,0)</f>
        <v>0</v>
      </c>
    </row>
    <row r="63" spans="1:3">
      <c r="B63" s="1" t="s">
        <v>14</v>
      </c>
      <c r="C63">
        <f>IFERROR(('US-ships-psgr'!AF7/'US-ships-psgr'!B7)^(1/COUNT('US-ships-psgr'!$B$1:$AF$1))-1,0)</f>
        <v>0</v>
      </c>
    </row>
    <row r="64" spans="1:3">
      <c r="A64" s="11"/>
      <c r="B64" s="12" t="s">
        <v>15</v>
      </c>
      <c r="C64" s="11">
        <f>IFERROR(('US-ships-psgr'!AF8/'US-ships-psgr'!B8)^(1/COUNT('US-ships-psgr'!$B$1:$AF$1))-1,0)</f>
        <v>0</v>
      </c>
    </row>
    <row r="65" spans="1:3">
      <c r="A65" s="9" t="s">
        <v>52</v>
      </c>
      <c r="B65" s="10" t="s">
        <v>9</v>
      </c>
      <c r="C65" s="9">
        <f>IFERROR(('US-ships-frgt'!AF2/'US-ships-frgt'!B2)^(1/COUNT('US-ships-frgt'!$B$1:$AF$1))-1,0)</f>
        <v>0</v>
      </c>
    </row>
    <row r="66" spans="1:3">
      <c r="B66" s="1" t="s">
        <v>10</v>
      </c>
      <c r="C66">
        <f>IFERROR(('US-ships-frgt'!AF3/'US-ships-frgt'!B3)^(1/COUNT('US-ships-frgt'!$B$1:$AF$1))-1,0)</f>
        <v>0</v>
      </c>
    </row>
    <row r="67" spans="1:3">
      <c r="B67" s="1" t="s">
        <v>11</v>
      </c>
      <c r="C67">
        <f>IFERROR(('US-ships-frgt'!AF4/'US-ships-frgt'!B4)^(1/COUNT('US-ships-frgt'!$B$1:$AF$1))-1,0)</f>
        <v>0</v>
      </c>
    </row>
    <row r="68" spans="1:3">
      <c r="B68" s="1" t="s">
        <v>12</v>
      </c>
      <c r="C68">
        <f>IFERROR(('US-ships-frgt'!AF5/'US-ships-frgt'!B5)^(1/COUNT('US-ships-frgt'!$B$1:$AF$1))-1,0)</f>
        <v>0</v>
      </c>
    </row>
    <row r="69" spans="1:3">
      <c r="B69" s="1" t="s">
        <v>13</v>
      </c>
      <c r="C69">
        <f>IFERROR(('US-ships-frgt'!AF6/'US-ships-frgt'!B6)^(1/COUNT('US-ships-frgt'!$B$1:$AF$1))-1,0)</f>
        <v>0</v>
      </c>
    </row>
    <row r="70" spans="1:3">
      <c r="B70" s="1" t="s">
        <v>14</v>
      </c>
      <c r="C70">
        <f>IFERROR(('US-ships-frgt'!AF7/'US-ships-frgt'!B7)^(1/COUNT('US-ships-frgt'!$B$1:$AF$1))-1,0)</f>
        <v>0</v>
      </c>
    </row>
    <row r="71" spans="1:3">
      <c r="A71" s="11"/>
      <c r="B71" s="12" t="s">
        <v>15</v>
      </c>
      <c r="C71" s="11">
        <f>IFERROR(('US-ships-frgt'!AF8/'US-ships-frgt'!B8)^(1/COUNT('US-ships-frgt'!$B$1:$AF$1))-1,0)</f>
        <v>0</v>
      </c>
    </row>
    <row r="72" spans="1:3">
      <c r="A72" s="9" t="s">
        <v>53</v>
      </c>
      <c r="B72" s="10" t="s">
        <v>9</v>
      </c>
      <c r="C72" s="9">
        <f>IFERROR(('US-motorbikes-psgr'!AF2/'US-motorbikes-psgr'!B2)^(1/COUNT('US-motorbikes-psgr'!$B$1:$AF$1))-1,0)</f>
        <v>0</v>
      </c>
    </row>
    <row r="73" spans="1:3">
      <c r="B73" s="1" t="s">
        <v>10</v>
      </c>
      <c r="C73">
        <f>IFERROR(('US-motorbikes-psgr'!AF3/'US-motorbikes-psgr'!B3)^(1/COUNT('US-motorbikes-psgr'!$B$1:$AF$1))-1,0)</f>
        <v>0</v>
      </c>
    </row>
    <row r="74" spans="1:3">
      <c r="B74" s="1" t="s">
        <v>11</v>
      </c>
      <c r="C74">
        <f>IFERROR(('US-motorbikes-psgr'!AF4/'US-motorbikes-psgr'!B4)^(1/COUNT('US-motorbikes-psgr'!$B$1:$AF$1))-1,0)</f>
        <v>0</v>
      </c>
    </row>
    <row r="75" spans="1:3">
      <c r="B75" s="1" t="s">
        <v>12</v>
      </c>
      <c r="C75">
        <f>IFERROR(('US-motorbikes-psgr'!AF5/'US-motorbikes-psgr'!B5)^(1/COUNT('US-motorbikes-psgr'!$B$1:$AF$1))-1,0)</f>
        <v>0</v>
      </c>
    </row>
    <row r="76" spans="1:3">
      <c r="B76" s="1" t="s">
        <v>13</v>
      </c>
      <c r="C76">
        <f>IFERROR(('US-motorbikes-psgr'!AF6/'US-motorbikes-psgr'!B6)^(1/COUNT('US-motorbikes-psgr'!$B$1:$AF$1))-1,0)</f>
        <v>0</v>
      </c>
    </row>
    <row r="77" spans="1:3">
      <c r="B77" s="1" t="s">
        <v>14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15</v>
      </c>
      <c r="C78" s="11">
        <f>IFERROR(('US-motorbikes-psgr'!AF8/'US-motorbikes-psgr'!B8)^(1/COUNT('US-motorbikes-psgr'!$B$1:$AF$1))-1,0)</f>
        <v>0</v>
      </c>
    </row>
    <row r="79" spans="1:3">
      <c r="A79" s="9" t="s">
        <v>54</v>
      </c>
      <c r="B79" s="10" t="s">
        <v>9</v>
      </c>
      <c r="C79" s="9">
        <f>IFERROR(('US-motorbikes-frgt'!AF2/'US-motorbikes-frgt'!B2)^(1/COUNT('US-motorbikes-frgt'!$B$1:$AF$1))-1,0)</f>
        <v>0</v>
      </c>
    </row>
    <row r="80" spans="1:3">
      <c r="B80" s="1" t="s">
        <v>10</v>
      </c>
      <c r="C80">
        <f>IFERROR(('US-motorbikes-frgt'!AF3/'US-motorbikes-frgt'!B3)^(1/COUNT('US-motorbikes-frgt'!$B$1:$AF$1))-1,0)</f>
        <v>0</v>
      </c>
    </row>
    <row r="81" spans="1:3">
      <c r="B81" s="1" t="s">
        <v>11</v>
      </c>
      <c r="C81">
        <f>IFERROR(('US-motorbikes-frgt'!AF4/'US-motorbikes-frgt'!B4)^(1/COUNT('US-motorbikes-frgt'!$B$1:$AF$1))-1,0)</f>
        <v>0</v>
      </c>
    </row>
    <row r="82" spans="1:3">
      <c r="B82" s="1" t="s">
        <v>12</v>
      </c>
      <c r="C82">
        <f>IFERROR(('US-motorbikes-frgt'!AF5/'US-motorbikes-frgt'!B5)^(1/COUNT('US-motorbikes-frgt'!$B$1:$AF$1))-1,0)</f>
        <v>0</v>
      </c>
    </row>
    <row r="83" spans="1:3">
      <c r="B83" s="1" t="s">
        <v>13</v>
      </c>
      <c r="C83">
        <f>IFERROR(('US-motorbikes-frgt'!AF6/'US-motorbikes-frgt'!B6)^(1/COUNT('US-motorbikes-frgt'!$B$1:$AF$1))-1,0)</f>
        <v>0</v>
      </c>
    </row>
    <row r="84" spans="1:3">
      <c r="B84" s="1" t="s">
        <v>14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15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5"/>
  <cols>
    <col min="1" max="1" width="10.7109375" bestFit="1" customWidth="1"/>
    <col min="2" max="2" width="18.28515625" customWidth="1"/>
    <col min="3" max="3" width="11.14062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5.75" thickBot="1"/>
    <row r="26" spans="1:33" ht="15.7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>
      <selection activeCell="E3" sqref="E3"/>
    </sheetView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1.2623958617063904E-3</v>
      </c>
      <c r="C2" s="14">
        <f>IFERROR(B2*(1+INDEX(CAGR!$C$2:$C$8,MATCH($A2,CAGR!$B$2:$B$8,0))),0)</f>
        <v>1.2604945911994145E-3</v>
      </c>
      <c r="D2" s="14">
        <f>IFERROR(C2*(1+INDEX(CAGR!$C$2:$C$8,MATCH($A2,CAGR!$B$2:$B$8,0))),0)</f>
        <v>1.2585961841599534E-3</v>
      </c>
      <c r="E2" s="14">
        <f>IFERROR(D2*(1+INDEX(CAGR!$C$2:$C$8,MATCH($A2,CAGR!$B$2:$B$8,0))),0)</f>
        <v>1.2567006362753928E-3</v>
      </c>
      <c r="F2" s="14">
        <f>IFERROR(E2*(1+INDEX(CAGR!$C$2:$C$8,MATCH($A2,CAGR!$B$2:$B$8,0))),0)</f>
        <v>1.2548079432396135E-3</v>
      </c>
      <c r="G2" s="14">
        <f>IFERROR(F2*(1+INDEX(CAGR!$C$2:$C$8,MATCH($A2,CAGR!$B$2:$B$8,0))),0)</f>
        <v>1.2529181007529819E-3</v>
      </c>
      <c r="H2" s="14">
        <f>IFERROR(G2*(1+INDEX(CAGR!$C$2:$C$8,MATCH($A2,CAGR!$B$2:$B$8,0))),0)</f>
        <v>1.2510311045223401E-3</v>
      </c>
      <c r="I2" s="14">
        <f>IFERROR(H2*(1+INDEX(CAGR!$C$2:$C$8,MATCH($A2,CAGR!$B$2:$B$8,0))),0)</f>
        <v>1.2491469502609956E-3</v>
      </c>
      <c r="J2" s="14">
        <f>IFERROR(I2*(1+INDEX(CAGR!$C$2:$C$8,MATCH($A2,CAGR!$B$2:$B$8,0))),0)</f>
        <v>1.2472656336887122E-3</v>
      </c>
      <c r="K2" s="14">
        <f>IFERROR(J2*(1+INDEX(CAGR!$C$2:$C$8,MATCH($A2,CAGR!$B$2:$B$8,0))),0)</f>
        <v>1.2453871505317003E-3</v>
      </c>
      <c r="L2" s="14">
        <f>IFERROR(K2*(1+INDEX(CAGR!$C$2:$C$8,MATCH($A2,CAGR!$B$2:$B$8,0))),0)</f>
        <v>1.2435114965226068E-3</v>
      </c>
      <c r="M2" s="14">
        <f>IFERROR(L2*(1+INDEX(CAGR!$C$2:$C$8,MATCH($A2,CAGR!$B$2:$B$8,0))),0)</f>
        <v>1.2416386674005055E-3</v>
      </c>
      <c r="N2" s="14">
        <f>IFERROR(M2*(1+INDEX(CAGR!$C$2:$C$8,MATCH($A2,CAGR!$B$2:$B$8,0))),0)</f>
        <v>1.2397686589108877E-3</v>
      </c>
      <c r="O2" s="14">
        <f>IFERROR(N2*(1+INDEX(CAGR!$C$2:$C$8,MATCH($A2,CAGR!$B$2:$B$8,0))),0)</f>
        <v>1.2379014668056521E-3</v>
      </c>
      <c r="P2" s="14">
        <f>IFERROR(O2*(1+INDEX(CAGR!$C$2:$C$8,MATCH($A2,CAGR!$B$2:$B$8,0))),0)</f>
        <v>1.2360370868430956E-3</v>
      </c>
      <c r="Q2" s="14">
        <f>IFERROR(P2*(1+INDEX(CAGR!$C$2:$C$8,MATCH($A2,CAGR!$B$2:$B$8,0))),0)</f>
        <v>1.2341755147879032E-3</v>
      </c>
      <c r="R2" s="14">
        <f>IFERROR(Q2*(1+INDEX(CAGR!$C$2:$C$8,MATCH($A2,CAGR!$B$2:$B$8,0))),0)</f>
        <v>1.2323167464111389E-3</v>
      </c>
      <c r="S2" s="14">
        <f>IFERROR(R2*(1+INDEX(CAGR!$C$2:$C$8,MATCH($A2,CAGR!$B$2:$B$8,0))),0)</f>
        <v>1.2304607774902357E-3</v>
      </c>
      <c r="T2" s="14">
        <f>IFERROR(S2*(1+INDEX(CAGR!$C$2:$C$8,MATCH($A2,CAGR!$B$2:$B$8,0))),0)</f>
        <v>1.2286076038089859E-3</v>
      </c>
      <c r="U2" s="14">
        <f>IFERROR(T2*(1+INDEX(CAGR!$C$2:$C$8,MATCH($A2,CAGR!$B$2:$B$8,0))),0)</f>
        <v>1.2267572211575324E-3</v>
      </c>
      <c r="V2" s="14">
        <f>IFERROR(U2*(1+INDEX(CAGR!$C$2:$C$8,MATCH($A2,CAGR!$B$2:$B$8,0))),0)</f>
        <v>1.2249096253323577E-3</v>
      </c>
      <c r="W2" s="14">
        <f>IFERROR(V2*(1+INDEX(CAGR!$C$2:$C$8,MATCH($A2,CAGR!$B$2:$B$8,0))),0)</f>
        <v>1.2230648121362756E-3</v>
      </c>
      <c r="X2" s="14">
        <f>IFERROR(W2*(1+INDEX(CAGR!$C$2:$C$8,MATCH($A2,CAGR!$B$2:$B$8,0))),0)</f>
        <v>1.2212227773784213E-3</v>
      </c>
      <c r="Y2" s="14">
        <f>IFERROR(X2*(1+INDEX(CAGR!$C$2:$C$8,MATCH($A2,CAGR!$B$2:$B$8,0))),0)</f>
        <v>1.2193835168742414E-3</v>
      </c>
      <c r="Z2" s="14">
        <f>IFERROR(Y2*(1+INDEX(CAGR!$C$2:$C$8,MATCH($A2,CAGR!$B$2:$B$8,0))),0)</f>
        <v>1.2175470264454849E-3</v>
      </c>
      <c r="AA2" s="14">
        <f>IFERROR(Z2*(1+INDEX(CAGR!$C$2:$C$8,MATCH($A2,CAGR!$B$2:$B$8,0))),0)</f>
        <v>1.2157133019201939E-3</v>
      </c>
      <c r="AB2" s="14">
        <f>IFERROR(AA2*(1+INDEX(CAGR!$C$2:$C$8,MATCH($A2,CAGR!$B$2:$B$8,0))),0)</f>
        <v>1.2138823391326934E-3</v>
      </c>
      <c r="AC2" s="14">
        <f>IFERROR(AB2*(1+INDEX(CAGR!$C$2:$C$8,MATCH($A2,CAGR!$B$2:$B$8,0))),0)</f>
        <v>1.2120541339235822E-3</v>
      </c>
      <c r="AD2" s="14">
        <f>IFERROR(AC2*(1+INDEX(CAGR!$C$2:$C$8,MATCH($A2,CAGR!$B$2:$B$8,0))),0)</f>
        <v>1.2102286821397241E-3</v>
      </c>
      <c r="AE2" s="14">
        <f>IFERROR(AD2*(1+INDEX(CAGR!$C$2:$C$8,MATCH($A2,CAGR!$B$2:$B$8,0))),0)</f>
        <v>1.2084059796342373E-3</v>
      </c>
      <c r="AF2" s="14">
        <f>IFERROR(AE2*(1+INDEX(CAGR!$C$2:$C$8,MATCH($A2,CAGR!$B$2:$B$8,0))),0)</f>
        <v>1.2065860222664855E-3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2.9513855523174623E-4</v>
      </c>
      <c r="C3" s="14">
        <f>IFERROR(B3*(1+INDEX(CAGR!$C$2:$C$8,MATCH($A3,CAGR!$B$2:$B$8,0))),0)</f>
        <v>2.958789632618292E-4</v>
      </c>
      <c r="D3" s="14">
        <f>IFERROR(C3*(1+INDEX(CAGR!$C$2:$C$8,MATCH($A3,CAGR!$B$2:$B$8,0))),0)</f>
        <v>2.9662122873832603E-4</v>
      </c>
      <c r="E3" s="14">
        <f>IFERROR(D3*(1+INDEX(CAGR!$C$2:$C$8,MATCH($A3,CAGR!$B$2:$B$8,0))),0)</f>
        <v>2.9736535632097442E-4</v>
      </c>
      <c r="F3" s="14">
        <f>IFERROR(E3*(1+INDEX(CAGR!$C$2:$C$8,MATCH($A3,CAGR!$B$2:$B$8,0))),0)</f>
        <v>2.9811135068120179E-4</v>
      </c>
      <c r="G3" s="14">
        <f>IFERROR(F3*(1+INDEX(CAGR!$C$2:$C$8,MATCH($A3,CAGR!$B$2:$B$8,0))),0)</f>
        <v>2.988592165021547E-4</v>
      </c>
      <c r="H3" s="14">
        <f>IFERROR(G3*(1+INDEX(CAGR!$C$2:$C$8,MATCH($A3,CAGR!$B$2:$B$8,0))),0)</f>
        <v>2.9960895847872822E-4</v>
      </c>
      <c r="I3" s="14">
        <f>IFERROR(H3*(1+INDEX(CAGR!$C$2:$C$8,MATCH($A3,CAGR!$B$2:$B$8,0))),0)</f>
        <v>3.0036058131759541E-4</v>
      </c>
      <c r="J3" s="14">
        <f>IFERROR(I3*(1+INDEX(CAGR!$C$2:$C$8,MATCH($A3,CAGR!$B$2:$B$8,0))),0)</f>
        <v>3.0111408973723685E-4</v>
      </c>
      <c r="K3" s="14">
        <f>IFERROR(J3*(1+INDEX(CAGR!$C$2:$C$8,MATCH($A3,CAGR!$B$2:$B$8,0))),0)</f>
        <v>3.018694884679703E-4</v>
      </c>
      <c r="L3" s="14">
        <f>IFERROR(K3*(1+INDEX(CAGR!$C$2:$C$8,MATCH($A3,CAGR!$B$2:$B$8,0))),0)</f>
        <v>3.0262678225198038E-4</v>
      </c>
      <c r="M3" s="14">
        <f>IFERROR(L3*(1+INDEX(CAGR!$C$2:$C$8,MATCH($A3,CAGR!$B$2:$B$8,0))),0)</f>
        <v>3.0338597584334833E-4</v>
      </c>
      <c r="N3" s="14">
        <f>IFERROR(M3*(1+INDEX(CAGR!$C$2:$C$8,MATCH($A3,CAGR!$B$2:$B$8,0))),0)</f>
        <v>3.0414707400808178E-4</v>
      </c>
      <c r="O3" s="14">
        <f>IFERROR(N3*(1+INDEX(CAGR!$C$2:$C$8,MATCH($A3,CAGR!$B$2:$B$8,0))),0)</f>
        <v>3.0491008152414489E-4</v>
      </c>
      <c r="P3" s="14">
        <f>IFERROR(O3*(1+INDEX(CAGR!$C$2:$C$8,MATCH($A3,CAGR!$B$2:$B$8,0))),0)</f>
        <v>3.0567500318148805E-4</v>
      </c>
      <c r="Q3" s="14">
        <f>IFERROR(P3*(1+INDEX(CAGR!$C$2:$C$8,MATCH($A3,CAGR!$B$2:$B$8,0))),0)</f>
        <v>3.0644184378207813E-4</v>
      </c>
      <c r="R3" s="14">
        <f>IFERROR(Q3*(1+INDEX(CAGR!$C$2:$C$8,MATCH($A3,CAGR!$B$2:$B$8,0))),0)</f>
        <v>3.072106081399287E-4</v>
      </c>
      <c r="S3" s="14">
        <f>IFERROR(R3*(1+INDEX(CAGR!$C$2:$C$8,MATCH($A3,CAGR!$B$2:$B$8,0))),0)</f>
        <v>3.0798130108113006E-4</v>
      </c>
      <c r="T3" s="14">
        <f>IFERROR(S3*(1+INDEX(CAGR!$C$2:$C$8,MATCH($A3,CAGR!$B$2:$B$8,0))),0)</f>
        <v>3.0875392744387961E-4</v>
      </c>
      <c r="U3" s="14">
        <f>IFERROR(T3*(1+INDEX(CAGR!$C$2:$C$8,MATCH($A3,CAGR!$B$2:$B$8,0))),0)</f>
        <v>3.0952849207851232E-4</v>
      </c>
      <c r="V3" s="14">
        <f>IFERROR(U3*(1+INDEX(CAGR!$C$2:$C$8,MATCH($A3,CAGR!$B$2:$B$8,0))),0)</f>
        <v>3.1030499984753101E-4</v>
      </c>
      <c r="W3" s="14">
        <f>IFERROR(V3*(1+INDEX(CAGR!$C$2:$C$8,MATCH($A3,CAGR!$B$2:$B$8,0))),0)</f>
        <v>3.1108345562563702E-4</v>
      </c>
      <c r="X3" s="14">
        <f>IFERROR(W3*(1+INDEX(CAGR!$C$2:$C$8,MATCH($A3,CAGR!$B$2:$B$8,0))),0)</f>
        <v>3.1186386429976067E-4</v>
      </c>
      <c r="Y3" s="14">
        <f>IFERROR(X3*(1+INDEX(CAGR!$C$2:$C$8,MATCH($A3,CAGR!$B$2:$B$8,0))),0)</f>
        <v>3.1264623076909212E-4</v>
      </c>
      <c r="Z3" s="14">
        <f>IFERROR(Y3*(1+INDEX(CAGR!$C$2:$C$8,MATCH($A3,CAGR!$B$2:$B$8,0))),0)</f>
        <v>3.1343055994511199E-4</v>
      </c>
      <c r="AA3" s="14">
        <f>IFERROR(Z3*(1+INDEX(CAGR!$C$2:$C$8,MATCH($A3,CAGR!$B$2:$B$8,0))),0)</f>
        <v>3.142168567516222E-4</v>
      </c>
      <c r="AB3" s="14">
        <f>IFERROR(AA3*(1+INDEX(CAGR!$C$2:$C$8,MATCH($A3,CAGR!$B$2:$B$8,0))),0)</f>
        <v>3.1500512612477695E-4</v>
      </c>
      <c r="AC3" s="14">
        <f>IFERROR(AB3*(1+INDEX(CAGR!$C$2:$C$8,MATCH($A3,CAGR!$B$2:$B$8,0))),0)</f>
        <v>3.1579537301311368E-4</v>
      </c>
      <c r="AD3" s="14">
        <f>IFERROR(AC3*(1+INDEX(CAGR!$C$2:$C$8,MATCH($A3,CAGR!$B$2:$B$8,0))),0)</f>
        <v>3.1658760237758408E-4</v>
      </c>
      <c r="AE3" s="14">
        <f>IFERROR(AD3*(1+INDEX(CAGR!$C$2:$C$8,MATCH($A3,CAGR!$B$2:$B$8,0))),0)</f>
        <v>3.1738181919158527E-4</v>
      </c>
      <c r="AF3" s="14">
        <f>IFERROR(AE3*(1+INDEX(CAGR!$C$2:$C$8,MATCH($A3,CAGR!$B$2:$B$8,0))),0)</f>
        <v>3.1817802844099111E-4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3.8191515243028571E-4</v>
      </c>
      <c r="C4" s="14">
        <f>IFERROR(B4*(1+INDEX(CAGR!$C$2:$C$8,MATCH($A4,CAGR!$B$2:$B$8,0))),0)</f>
        <v>3.8303357052481187E-4</v>
      </c>
      <c r="D4" s="14">
        <f>IFERROR(C4*(1+INDEX(CAGR!$C$2:$C$8,MATCH($A4,CAGR!$B$2:$B$8,0))),0)</f>
        <v>3.8415526384690153E-4</v>
      </c>
      <c r="E4" s="14">
        <f>IFERROR(D4*(1+INDEX(CAGR!$C$2:$C$8,MATCH($A4,CAGR!$B$2:$B$8,0))),0)</f>
        <v>3.8528024198788345E-4</v>
      </c>
      <c r="F4" s="14">
        <f>IFERROR(E4*(1+INDEX(CAGR!$C$2:$C$8,MATCH($A4,CAGR!$B$2:$B$8,0))),0)</f>
        <v>3.86408514567174E-4</v>
      </c>
      <c r="G4" s="14">
        <f>IFERROR(F4*(1+INDEX(CAGR!$C$2:$C$8,MATCH($A4,CAGR!$B$2:$B$8,0))),0)</f>
        <v>3.8754009123235958E-4</v>
      </c>
      <c r="H4" s="14">
        <f>IFERROR(G4*(1+INDEX(CAGR!$C$2:$C$8,MATCH($A4,CAGR!$B$2:$B$8,0))),0)</f>
        <v>3.8867498165927897E-4</v>
      </c>
      <c r="I4" s="14">
        <f>IFERROR(H4*(1+INDEX(CAGR!$C$2:$C$8,MATCH($A4,CAGR!$B$2:$B$8,0))),0)</f>
        <v>3.8981319555210617E-4</v>
      </c>
      <c r="J4" s="14">
        <f>IFERROR(I4*(1+INDEX(CAGR!$C$2:$C$8,MATCH($A4,CAGR!$B$2:$B$8,0))),0)</f>
        <v>3.9095474264343329E-4</v>
      </c>
      <c r="K4" s="14">
        <f>IFERROR(J4*(1+INDEX(CAGR!$C$2:$C$8,MATCH($A4,CAGR!$B$2:$B$8,0))),0)</f>
        <v>3.9209963269435386E-4</v>
      </c>
      <c r="L4" s="14">
        <f>IFERROR(K4*(1+INDEX(CAGR!$C$2:$C$8,MATCH($A4,CAGR!$B$2:$B$8,0))),0)</f>
        <v>3.9324787549454616E-4</v>
      </c>
      <c r="M4" s="14">
        <f>IFERROR(L4*(1+INDEX(CAGR!$C$2:$C$8,MATCH($A4,CAGR!$B$2:$B$8,0))),0)</f>
        <v>3.9439948086235718E-4</v>
      </c>
      <c r="N4" s="14">
        <f>IFERROR(M4*(1+INDEX(CAGR!$C$2:$C$8,MATCH($A4,CAGR!$B$2:$B$8,0))),0)</f>
        <v>3.9555445864488629E-4</v>
      </c>
      <c r="O4" s="14">
        <f>IFERROR(N4*(1+INDEX(CAGR!$C$2:$C$8,MATCH($A4,CAGR!$B$2:$B$8,0))),0)</f>
        <v>3.9671281871806954E-4</v>
      </c>
      <c r="P4" s="14">
        <f>IFERROR(O4*(1+INDEX(CAGR!$C$2:$C$8,MATCH($A4,CAGR!$B$2:$B$8,0))),0)</f>
        <v>3.9787457098676426E-4</v>
      </c>
      <c r="Q4" s="14">
        <f>IFERROR(P4*(1+INDEX(CAGR!$C$2:$C$8,MATCH($A4,CAGR!$B$2:$B$8,0))),0)</f>
        <v>3.9903972538483354E-4</v>
      </c>
      <c r="R4" s="14">
        <f>IFERROR(Q4*(1+INDEX(CAGR!$C$2:$C$8,MATCH($A4,CAGR!$B$2:$B$8,0))),0)</f>
        <v>4.0020829187523122E-4</v>
      </c>
      <c r="S4" s="14">
        <f>IFERROR(R4*(1+INDEX(CAGR!$C$2:$C$8,MATCH($A4,CAGR!$B$2:$B$8,0))),0)</f>
        <v>4.0138028045008721E-4</v>
      </c>
      <c r="T4" s="14">
        <f>IFERROR(S4*(1+INDEX(CAGR!$C$2:$C$8,MATCH($A4,CAGR!$B$2:$B$8,0))),0)</f>
        <v>4.0255570113079277E-4</v>
      </c>
      <c r="U4" s="14">
        <f>IFERROR(T4*(1+INDEX(CAGR!$C$2:$C$8,MATCH($A4,CAGR!$B$2:$B$8,0))),0)</f>
        <v>4.0373456396808626E-4</v>
      </c>
      <c r="V4" s="14">
        <f>IFERROR(U4*(1+INDEX(CAGR!$C$2:$C$8,MATCH($A4,CAGR!$B$2:$B$8,0))),0)</f>
        <v>4.0491687904213917E-4</v>
      </c>
      <c r="W4" s="14">
        <f>IFERROR(V4*(1+INDEX(CAGR!$C$2:$C$8,MATCH($A4,CAGR!$B$2:$B$8,0))),0)</f>
        <v>4.0610265646264215E-4</v>
      </c>
      <c r="X4" s="14">
        <f>IFERROR(W4*(1+INDEX(CAGR!$C$2:$C$8,MATCH($A4,CAGR!$B$2:$B$8,0))),0)</f>
        <v>4.0729190636889162E-4</v>
      </c>
      <c r="Y4" s="14">
        <f>IFERROR(X4*(1+INDEX(CAGR!$C$2:$C$8,MATCH($A4,CAGR!$B$2:$B$8,0))),0)</f>
        <v>4.0848463892987627E-4</v>
      </c>
      <c r="Z4" s="14">
        <f>IFERROR(Y4*(1+INDEX(CAGR!$C$2:$C$8,MATCH($A4,CAGR!$B$2:$B$8,0))),0)</f>
        <v>4.0968086434436425E-4</v>
      </c>
      <c r="AA4" s="14">
        <f>IFERROR(Z4*(1+INDEX(CAGR!$C$2:$C$8,MATCH($A4,CAGR!$B$2:$B$8,0))),0)</f>
        <v>4.1088059284099019E-4</v>
      </c>
      <c r="AB4" s="14">
        <f>IFERROR(AA4*(1+INDEX(CAGR!$C$2:$C$8,MATCH($A4,CAGR!$B$2:$B$8,0))),0)</f>
        <v>4.1208383467834276E-4</v>
      </c>
      <c r="AC4" s="14">
        <f>IFERROR(AB4*(1+INDEX(CAGR!$C$2:$C$8,MATCH($A4,CAGR!$B$2:$B$8,0))),0)</f>
        <v>4.1329060014505233E-4</v>
      </c>
      <c r="AD4" s="14">
        <f>IFERROR(AC4*(1+INDEX(CAGR!$C$2:$C$8,MATCH($A4,CAGR!$B$2:$B$8,0))),0)</f>
        <v>4.14500899559879E-4</v>
      </c>
      <c r="AE4" s="14">
        <f>IFERROR(AD4*(1+INDEX(CAGR!$C$2:$C$8,MATCH($A4,CAGR!$B$2:$B$8,0))),0)</f>
        <v>4.1571474327180074E-4</v>
      </c>
      <c r="AF4" s="14">
        <f>IFERROR(AE4*(1+INDEX(CAGR!$C$2:$C$8,MATCH($A4,CAGR!$B$2:$B$8,0))),0)</f>
        <v>4.1693214166010206E-4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3.5361203080343858E-4</v>
      </c>
      <c r="C5" s="14">
        <f>IFERROR(B5*(1+INDEX(CAGR!$C$2:$C$8,MATCH($A5,CAGR!$B$2:$B$8,0))),0)</f>
        <v>3.5392433718916497E-4</v>
      </c>
      <c r="D5" s="14">
        <f>IFERROR(C5*(1+INDEX(CAGR!$C$2:$C$8,MATCH($A5,CAGR!$B$2:$B$8,0))),0)</f>
        <v>3.5423691940057056E-4</v>
      </c>
      <c r="E5" s="14">
        <f>IFERROR(D5*(1+INDEX(CAGR!$C$2:$C$8,MATCH($A5,CAGR!$B$2:$B$8,0))),0)</f>
        <v>3.5454977768126163E-4</v>
      </c>
      <c r="F5" s="14">
        <f>IFERROR(E5*(1+INDEX(CAGR!$C$2:$C$8,MATCH($A5,CAGR!$B$2:$B$8,0))),0)</f>
        <v>3.5486291227505964E-4</v>
      </c>
      <c r="G5" s="14">
        <f>IFERROR(F5*(1+INDEX(CAGR!$C$2:$C$8,MATCH($A5,CAGR!$B$2:$B$8,0))),0)</f>
        <v>3.5517632342600144E-4</v>
      </c>
      <c r="H5" s="14">
        <f>IFERROR(G5*(1+INDEX(CAGR!$C$2:$C$8,MATCH($A5,CAGR!$B$2:$B$8,0))),0)</f>
        <v>3.5549001137833927E-4</v>
      </c>
      <c r="I5" s="14">
        <f>IFERROR(H5*(1+INDEX(CAGR!$C$2:$C$8,MATCH($A5,CAGR!$B$2:$B$8,0))),0)</f>
        <v>3.5580397637654127E-4</v>
      </c>
      <c r="J5" s="14">
        <f>IFERROR(I5*(1+INDEX(CAGR!$C$2:$C$8,MATCH($A5,CAGR!$B$2:$B$8,0))),0)</f>
        <v>3.5611821866529133E-4</v>
      </c>
      <c r="K5" s="14">
        <f>IFERROR(J5*(1+INDEX(CAGR!$C$2:$C$8,MATCH($A5,CAGR!$B$2:$B$8,0))),0)</f>
        <v>3.5643273848948956E-4</v>
      </c>
      <c r="L5" s="14">
        <f>IFERROR(K5*(1+INDEX(CAGR!$C$2:$C$8,MATCH($A5,CAGR!$B$2:$B$8,0))),0)</f>
        <v>3.567475360942523E-4</v>
      </c>
      <c r="M5" s="14">
        <f>IFERROR(L5*(1+INDEX(CAGR!$C$2:$C$8,MATCH($A5,CAGR!$B$2:$B$8,0))),0)</f>
        <v>3.5706261172491237E-4</v>
      </c>
      <c r="N5" s="14">
        <f>IFERROR(M5*(1+INDEX(CAGR!$C$2:$C$8,MATCH($A5,CAGR!$B$2:$B$8,0))),0)</f>
        <v>3.5737796562701935E-4</v>
      </c>
      <c r="O5" s="14">
        <f>IFERROR(N5*(1+INDEX(CAGR!$C$2:$C$8,MATCH($A5,CAGR!$B$2:$B$8,0))),0)</f>
        <v>3.5769359804633957E-4</v>
      </c>
      <c r="P5" s="14">
        <f>IFERROR(O5*(1+INDEX(CAGR!$C$2:$C$8,MATCH($A5,CAGR!$B$2:$B$8,0))),0)</f>
        <v>3.5800950922885646E-4</v>
      </c>
      <c r="Q5" s="14">
        <f>IFERROR(P5*(1+INDEX(CAGR!$C$2:$C$8,MATCH($A5,CAGR!$B$2:$B$8,0))),0)</f>
        <v>3.5832569942077075E-4</v>
      </c>
      <c r="R5" s="14">
        <f>IFERROR(Q5*(1+INDEX(CAGR!$C$2:$C$8,MATCH($A5,CAGR!$B$2:$B$8,0))),0)</f>
        <v>3.5864216886850056E-4</v>
      </c>
      <c r="S5" s="14">
        <f>IFERROR(R5*(1+INDEX(CAGR!$C$2:$C$8,MATCH($A5,CAGR!$B$2:$B$8,0))),0)</f>
        <v>3.5895891781868167E-4</v>
      </c>
      <c r="T5" s="14">
        <f>IFERROR(S5*(1+INDEX(CAGR!$C$2:$C$8,MATCH($A5,CAGR!$B$2:$B$8,0))),0)</f>
        <v>3.5927594651816765E-4</v>
      </c>
      <c r="U5" s="14">
        <f>IFERROR(T5*(1+INDEX(CAGR!$C$2:$C$8,MATCH($A5,CAGR!$B$2:$B$8,0))),0)</f>
        <v>3.595932552140301E-4</v>
      </c>
      <c r="V5" s="14">
        <f>IFERROR(U5*(1+INDEX(CAGR!$C$2:$C$8,MATCH($A5,CAGR!$B$2:$B$8,0))),0)</f>
        <v>3.5991084415355886E-4</v>
      </c>
      <c r="W5" s="14">
        <f>IFERROR(V5*(1+INDEX(CAGR!$C$2:$C$8,MATCH($A5,CAGR!$B$2:$B$8,0))),0)</f>
        <v>3.6022871358426219E-4</v>
      </c>
      <c r="X5" s="14">
        <f>IFERROR(W5*(1+INDEX(CAGR!$C$2:$C$8,MATCH($A5,CAGR!$B$2:$B$8,0))),0)</f>
        <v>3.6054686375386688E-4</v>
      </c>
      <c r="Y5" s="14">
        <f>IFERROR(X5*(1+INDEX(CAGR!$C$2:$C$8,MATCH($A5,CAGR!$B$2:$B$8,0))),0)</f>
        <v>3.6086529491031853E-4</v>
      </c>
      <c r="Z5" s="14">
        <f>IFERROR(Y5*(1+INDEX(CAGR!$C$2:$C$8,MATCH($A5,CAGR!$B$2:$B$8,0))),0)</f>
        <v>3.6118400730178175E-4</v>
      </c>
      <c r="AA5" s="14">
        <f>IFERROR(Z5*(1+INDEX(CAGR!$C$2:$C$8,MATCH($A5,CAGR!$B$2:$B$8,0))),0)</f>
        <v>3.6150300117664033E-4</v>
      </c>
      <c r="AB5" s="14">
        <f>IFERROR(AA5*(1+INDEX(CAGR!$C$2:$C$8,MATCH($A5,CAGR!$B$2:$B$8,0))),0)</f>
        <v>3.6182227678349736E-4</v>
      </c>
      <c r="AC5" s="14">
        <f>IFERROR(AB5*(1+INDEX(CAGR!$C$2:$C$8,MATCH($A5,CAGR!$B$2:$B$8,0))),0)</f>
        <v>3.6214183437117557E-4</v>
      </c>
      <c r="AD5" s="14">
        <f>IFERROR(AC5*(1+INDEX(CAGR!$C$2:$C$8,MATCH($A5,CAGR!$B$2:$B$8,0))),0)</f>
        <v>3.6246167418871745E-4</v>
      </c>
      <c r="AE5" s="14">
        <f>IFERROR(AD5*(1+INDEX(CAGR!$C$2:$C$8,MATCH($A5,CAGR!$B$2:$B$8,0))),0)</f>
        <v>3.6278179648538541E-4</v>
      </c>
      <c r="AF5" s="14">
        <f>IFERROR(AE5*(1+INDEX(CAGR!$C$2:$C$8,MATCH($A5,CAGR!$B$2:$B$8,0))),0)</f>
        <v>3.6310220151066196E-4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4.3612042330321493E-4</v>
      </c>
      <c r="C6" s="14">
        <f>IFERROR(B6*(1+INDEX(CAGR!$C$2:$C$8,MATCH($A6,CAGR!$B$2:$B$8,0))),0)</f>
        <v>4.3754548797371836E-4</v>
      </c>
      <c r="D6" s="14">
        <f>IFERROR(C6*(1+INDEX(CAGR!$C$2:$C$8,MATCH($A6,CAGR!$B$2:$B$8,0))),0)</f>
        <v>4.3897520917761623E-4</v>
      </c>
      <c r="E6" s="14">
        <f>IFERROR(D6*(1+INDEX(CAGR!$C$2:$C$8,MATCH($A6,CAGR!$B$2:$B$8,0))),0)</f>
        <v>4.4040960213057121E-4</v>
      </c>
      <c r="F6" s="14">
        <f>IFERROR(E6*(1+INDEX(CAGR!$C$2:$C$8,MATCH($A6,CAGR!$B$2:$B$8,0))),0)</f>
        <v>4.4184868209796454E-4</v>
      </c>
      <c r="G6" s="14">
        <f>IFERROR(F6*(1+INDEX(CAGR!$C$2:$C$8,MATCH($A6,CAGR!$B$2:$B$8,0))),0)</f>
        <v>4.4329246439505851E-4</v>
      </c>
      <c r="H6" s="14">
        <f>IFERROR(G6*(1+INDEX(CAGR!$C$2:$C$8,MATCH($A6,CAGR!$B$2:$B$8,0))),0)</f>
        <v>4.4474096438715954E-4</v>
      </c>
      <c r="I6" s="14">
        <f>IFERROR(H6*(1+INDEX(CAGR!$C$2:$C$8,MATCH($A6,CAGR!$B$2:$B$8,0))),0)</f>
        <v>4.4619419748978154E-4</v>
      </c>
      <c r="J6" s="14">
        <f>IFERROR(I6*(1+INDEX(CAGR!$C$2:$C$8,MATCH($A6,CAGR!$B$2:$B$8,0))),0)</f>
        <v>4.476521791688102E-4</v>
      </c>
      <c r="K6" s="14">
        <f>IFERROR(J6*(1+INDEX(CAGR!$C$2:$C$8,MATCH($A6,CAGR!$B$2:$B$8,0))),0)</f>
        <v>4.4911492494066738E-4</v>
      </c>
      <c r="L6" s="14">
        <f>IFERROR(K6*(1+INDEX(CAGR!$C$2:$C$8,MATCH($A6,CAGR!$B$2:$B$8,0))),0)</f>
        <v>4.5058245037247628E-4</v>
      </c>
      <c r="M6" s="14">
        <f>IFERROR(L6*(1+INDEX(CAGR!$C$2:$C$8,MATCH($A6,CAGR!$B$2:$B$8,0))),0)</f>
        <v>4.5205477108222722E-4</v>
      </c>
      <c r="N6" s="14">
        <f>IFERROR(M6*(1+INDEX(CAGR!$C$2:$C$8,MATCH($A6,CAGR!$B$2:$B$8,0))),0)</f>
        <v>4.5353190273894378E-4</v>
      </c>
      <c r="O6" s="14">
        <f>IFERROR(N6*(1+INDEX(CAGR!$C$2:$C$8,MATCH($A6,CAGR!$B$2:$B$8,0))),0)</f>
        <v>4.5501386106284948E-4</v>
      </c>
      <c r="P6" s="14">
        <f>IFERROR(O6*(1+INDEX(CAGR!$C$2:$C$8,MATCH($A6,CAGR!$B$2:$B$8,0))),0)</f>
        <v>4.5650066182553517E-4</v>
      </c>
      <c r="Q6" s="14">
        <f>IFERROR(P6*(1+INDEX(CAGR!$C$2:$C$8,MATCH($A6,CAGR!$B$2:$B$8,0))),0)</f>
        <v>4.5799232085012691E-4</v>
      </c>
      <c r="R6" s="14">
        <f>IFERROR(Q6*(1+INDEX(CAGR!$C$2:$C$8,MATCH($A6,CAGR!$B$2:$B$8,0))),0)</f>
        <v>4.5948885401145425E-4</v>
      </c>
      <c r="S6" s="14">
        <f>IFERROR(R6*(1+INDEX(CAGR!$C$2:$C$8,MATCH($A6,CAGR!$B$2:$B$8,0))),0)</f>
        <v>4.6099027723621932E-4</v>
      </c>
      <c r="T6" s="14">
        <f>IFERROR(S6*(1+INDEX(CAGR!$C$2:$C$8,MATCH($A6,CAGR!$B$2:$B$8,0))),0)</f>
        <v>4.6249660650316628E-4</v>
      </c>
      <c r="U6" s="14">
        <f>IFERROR(T6*(1+INDEX(CAGR!$C$2:$C$8,MATCH($A6,CAGR!$B$2:$B$8,0))),0)</f>
        <v>4.6400785784325119E-4</v>
      </c>
      <c r="V6" s="14">
        <f>IFERROR(U6*(1+INDEX(CAGR!$C$2:$C$8,MATCH($A6,CAGR!$B$2:$B$8,0))),0)</f>
        <v>4.6552404733981293E-4</v>
      </c>
      <c r="W6" s="14">
        <f>IFERROR(V6*(1+INDEX(CAGR!$C$2:$C$8,MATCH($A6,CAGR!$B$2:$B$8,0))),0)</f>
        <v>4.6704519112874415E-4</v>
      </c>
      <c r="X6" s="14">
        <f>IFERROR(W6*(1+INDEX(CAGR!$C$2:$C$8,MATCH($A6,CAGR!$B$2:$B$8,0))),0)</f>
        <v>4.6857130539866305E-4</v>
      </c>
      <c r="Y6" s="14">
        <f>IFERROR(X6*(1+INDEX(CAGR!$C$2:$C$8,MATCH($A6,CAGR!$B$2:$B$8,0))),0)</f>
        <v>4.7010240639108563E-4</v>
      </c>
      <c r="Z6" s="14">
        <f>IFERROR(Y6*(1+INDEX(CAGR!$C$2:$C$8,MATCH($A6,CAGR!$B$2:$B$8,0))),0)</f>
        <v>4.7163851040059866E-4</v>
      </c>
      <c r="AA6" s="14">
        <f>IFERROR(Z6*(1+INDEX(CAGR!$C$2:$C$8,MATCH($A6,CAGR!$B$2:$B$8,0))),0)</f>
        <v>4.7317963377503295E-4</v>
      </c>
      <c r="AB6" s="14">
        <f>IFERROR(AA6*(1+INDEX(CAGR!$C$2:$C$8,MATCH($A6,CAGR!$B$2:$B$8,0))),0)</f>
        <v>4.747257929156374E-4</v>
      </c>
      <c r="AC6" s="14">
        <f>IFERROR(AB6*(1+INDEX(CAGR!$C$2:$C$8,MATCH($A6,CAGR!$B$2:$B$8,0))),0)</f>
        <v>4.7627700427725357E-4</v>
      </c>
      <c r="AD6" s="14">
        <f>IFERROR(AC6*(1+INDEX(CAGR!$C$2:$C$8,MATCH($A6,CAGR!$B$2:$B$8,0))),0)</f>
        <v>4.7783328436849077E-4</v>
      </c>
      <c r="AE6" s="14">
        <f>IFERROR(AD6*(1+INDEX(CAGR!$C$2:$C$8,MATCH($A6,CAGR!$B$2:$B$8,0))),0)</f>
        <v>4.7939464975190171E-4</v>
      </c>
      <c r="AF6" s="14">
        <f>IFERROR(AE6*(1+INDEX(CAGR!$C$2:$C$8,MATCH($A6,CAGR!$B$2:$B$8,0))),0)</f>
        <v>4.8096111704415878E-4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3.728891997845125E-4</v>
      </c>
      <c r="C7" s="14">
        <f>IFERROR(B7*(1+INDEX(CAGR!$C$2:$C$8,MATCH($A7,CAGR!$B$2:$B$8,0))),0)</f>
        <v>3.7368007341019642E-4</v>
      </c>
      <c r="D7" s="14">
        <f>IFERROR(C7*(1+INDEX(CAGR!$C$2:$C$8,MATCH($A7,CAGR!$B$2:$B$8,0))),0)</f>
        <v>3.7447262442715944E-4</v>
      </c>
      <c r="E7" s="14">
        <f>IFERROR(D7*(1+INDEX(CAGR!$C$2:$C$8,MATCH($A7,CAGR!$B$2:$B$8,0))),0)</f>
        <v>3.7526685639303892E-4</v>
      </c>
      <c r="F7" s="14">
        <f>IFERROR(E7*(1+INDEX(CAGR!$C$2:$C$8,MATCH($A7,CAGR!$B$2:$B$8,0))),0)</f>
        <v>3.7606277287301762E-4</v>
      </c>
      <c r="G7" s="14">
        <f>IFERROR(F7*(1+INDEX(CAGR!$C$2:$C$8,MATCH($A7,CAGR!$B$2:$B$8,0))),0)</f>
        <v>3.7686037743983987E-4</v>
      </c>
      <c r="H7" s="14">
        <f>IFERROR(G7*(1+INDEX(CAGR!$C$2:$C$8,MATCH($A7,CAGR!$B$2:$B$8,0))),0)</f>
        <v>3.7765967367382758E-4</v>
      </c>
      <c r="I7" s="14">
        <f>IFERROR(H7*(1+INDEX(CAGR!$C$2:$C$8,MATCH($A7,CAGR!$B$2:$B$8,0))),0)</f>
        <v>3.7846066516289623E-4</v>
      </c>
      <c r="J7" s="14">
        <f>IFERROR(I7*(1+INDEX(CAGR!$C$2:$C$8,MATCH($A7,CAGR!$B$2:$B$8,0))),0)</f>
        <v>3.7926335550257108E-4</v>
      </c>
      <c r="K7" s="14">
        <f>IFERROR(J7*(1+INDEX(CAGR!$C$2:$C$8,MATCH($A7,CAGR!$B$2:$B$8,0))),0)</f>
        <v>3.8006774829600328E-4</v>
      </c>
      <c r="L7" s="14">
        <f>IFERROR(K7*(1+INDEX(CAGR!$C$2:$C$8,MATCH($A7,CAGR!$B$2:$B$8,0))),0)</f>
        <v>3.8087384715398596E-4</v>
      </c>
      <c r="M7" s="14">
        <f>IFERROR(L7*(1+INDEX(CAGR!$C$2:$C$8,MATCH($A7,CAGR!$B$2:$B$8,0))),0)</f>
        <v>3.8168165569497058E-4</v>
      </c>
      <c r="N7" s="14">
        <f>IFERROR(M7*(1+INDEX(CAGR!$C$2:$C$8,MATCH($A7,CAGR!$B$2:$B$8,0))),0)</f>
        <v>3.8249117754508301E-4</v>
      </c>
      <c r="O7" s="14">
        <f>IFERROR(N7*(1+INDEX(CAGR!$C$2:$C$8,MATCH($A7,CAGR!$B$2:$B$8,0))),0)</f>
        <v>3.8330241633814004E-4</v>
      </c>
      <c r="P7" s="14">
        <f>IFERROR(O7*(1+INDEX(CAGR!$C$2:$C$8,MATCH($A7,CAGR!$B$2:$B$8,0))),0)</f>
        <v>3.8411537571566537E-4</v>
      </c>
      <c r="Q7" s="14">
        <f>IFERROR(P7*(1+INDEX(CAGR!$C$2:$C$8,MATCH($A7,CAGR!$B$2:$B$8,0))),0)</f>
        <v>3.8493005932690631E-4</v>
      </c>
      <c r="R7" s="14">
        <f>IFERROR(Q7*(1+INDEX(CAGR!$C$2:$C$8,MATCH($A7,CAGR!$B$2:$B$8,0))),0)</f>
        <v>3.8574647082884983E-4</v>
      </c>
      <c r="S7" s="14">
        <f>IFERROR(R7*(1+INDEX(CAGR!$C$2:$C$8,MATCH($A7,CAGR!$B$2:$B$8,0))),0)</f>
        <v>3.865646138862392E-4</v>
      </c>
      <c r="T7" s="14">
        <f>IFERROR(S7*(1+INDEX(CAGR!$C$2:$C$8,MATCH($A7,CAGR!$B$2:$B$8,0))),0)</f>
        <v>3.8738449217159038E-4</v>
      </c>
      <c r="U7" s="14">
        <f>IFERROR(T7*(1+INDEX(CAGR!$C$2:$C$8,MATCH($A7,CAGR!$B$2:$B$8,0))),0)</f>
        <v>3.882061093652085E-4</v>
      </c>
      <c r="V7" s="14">
        <f>IFERROR(U7*(1+INDEX(CAGR!$C$2:$C$8,MATCH($A7,CAGR!$B$2:$B$8,0))),0)</f>
        <v>3.8902946915520437E-4</v>
      </c>
      <c r="W7" s="14">
        <f>IFERROR(V7*(1+INDEX(CAGR!$C$2:$C$8,MATCH($A7,CAGR!$B$2:$B$8,0))),0)</f>
        <v>3.8985457523751102E-4</v>
      </c>
      <c r="X7" s="14">
        <f>IFERROR(W7*(1+INDEX(CAGR!$C$2:$C$8,MATCH($A7,CAGR!$B$2:$B$8,0))),0)</f>
        <v>3.9068143131590035E-4</v>
      </c>
      <c r="Y7" s="14">
        <f>IFERROR(X7*(1+INDEX(CAGR!$C$2:$C$8,MATCH($A7,CAGR!$B$2:$B$8,0))),0)</f>
        <v>3.9151004110199965E-4</v>
      </c>
      <c r="Z7" s="14">
        <f>IFERROR(Y7*(1+INDEX(CAGR!$C$2:$C$8,MATCH($A7,CAGR!$B$2:$B$8,0))),0)</f>
        <v>3.923404083153084E-4</v>
      </c>
      <c r="AA7" s="14">
        <f>IFERROR(Z7*(1+INDEX(CAGR!$C$2:$C$8,MATCH($A7,CAGR!$B$2:$B$8,0))),0)</f>
        <v>3.9317253668321486E-4</v>
      </c>
      <c r="AB7" s="14">
        <f>IFERROR(AA7*(1+INDEX(CAGR!$C$2:$C$8,MATCH($A7,CAGR!$B$2:$B$8,0))),0)</f>
        <v>3.9400642994101283E-4</v>
      </c>
      <c r="AC7" s="14">
        <f>IFERROR(AB7*(1+INDEX(CAGR!$C$2:$C$8,MATCH($A7,CAGR!$B$2:$B$8,0))),0)</f>
        <v>3.9484209183191849E-4</v>
      </c>
      <c r="AD7" s="14">
        <f>IFERROR(AC7*(1+INDEX(CAGR!$C$2:$C$8,MATCH($A7,CAGR!$B$2:$B$8,0))),0)</f>
        <v>3.9567952610708706E-4</v>
      </c>
      <c r="AE7" s="14">
        <f>IFERROR(AD7*(1+INDEX(CAGR!$C$2:$C$8,MATCH($A7,CAGR!$B$2:$B$8,0))),0)</f>
        <v>3.9651873652562971E-4</v>
      </c>
      <c r="AF7" s="14">
        <f>IFERROR(AE7*(1+INDEX(CAGR!$C$2:$C$8,MATCH($A7,CAGR!$B$2:$B$8,0))),0)</f>
        <v>3.9735972685463054E-4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1.9081742078368943E-3</v>
      </c>
      <c r="C8" s="14">
        <f>IFERROR(B8*(1+INDEX(CAGR!$C$2:$C$8,MATCH($A8,CAGR!$B$2:$B$8,0))),0)</f>
        <v>1.9069492026049855E-3</v>
      </c>
      <c r="D8" s="14">
        <f>IFERROR(C8*(1+INDEX(CAGR!$C$2:$C$8,MATCH($A8,CAGR!$B$2:$B$8,0))),0)</f>
        <v>1.9057249837990812E-3</v>
      </c>
      <c r="E8" s="14">
        <f>IFERROR(D8*(1+INDEX(CAGR!$C$2:$C$8,MATCH($A8,CAGR!$B$2:$B$8,0))),0)</f>
        <v>1.9045015509143136E-3</v>
      </c>
      <c r="F8" s="14">
        <f>IFERROR(E8*(1+INDEX(CAGR!$C$2:$C$8,MATCH($A8,CAGR!$B$2:$B$8,0))),0)</f>
        <v>1.9032789034461386E-3</v>
      </c>
      <c r="G8" s="14">
        <f>IFERROR(F8*(1+INDEX(CAGR!$C$2:$C$8,MATCH($A8,CAGR!$B$2:$B$8,0))),0)</f>
        <v>1.9020570408903367E-3</v>
      </c>
      <c r="H8" s="14">
        <f>IFERROR(G8*(1+INDEX(CAGR!$C$2:$C$8,MATCH($A8,CAGR!$B$2:$B$8,0))),0)</f>
        <v>1.9008359627430112E-3</v>
      </c>
      <c r="I8" s="14">
        <f>IFERROR(H8*(1+INDEX(CAGR!$C$2:$C$8,MATCH($A8,CAGR!$B$2:$B$8,0))),0)</f>
        <v>1.8996156685005896E-3</v>
      </c>
      <c r="J8" s="14">
        <f>IFERROR(I8*(1+INDEX(CAGR!$C$2:$C$8,MATCH($A8,CAGR!$B$2:$B$8,0))),0)</f>
        <v>1.8983961576598226E-3</v>
      </c>
      <c r="K8" s="14">
        <f>IFERROR(J8*(1+INDEX(CAGR!$C$2:$C$8,MATCH($A8,CAGR!$B$2:$B$8,0))),0)</f>
        <v>1.8971774297177836E-3</v>
      </c>
      <c r="L8" s="14">
        <f>IFERROR(K8*(1+INDEX(CAGR!$C$2:$C$8,MATCH($A8,CAGR!$B$2:$B$8,0))),0)</f>
        <v>1.8959594841718693E-3</v>
      </c>
      <c r="M8" s="14">
        <f>IFERROR(L8*(1+INDEX(CAGR!$C$2:$C$8,MATCH($A8,CAGR!$B$2:$B$8,0))),0)</f>
        <v>1.8947423205197987E-3</v>
      </c>
      <c r="N8" s="14">
        <f>IFERROR(M8*(1+INDEX(CAGR!$C$2:$C$8,MATCH($A8,CAGR!$B$2:$B$8,0))),0)</f>
        <v>1.8935259382596135E-3</v>
      </c>
      <c r="O8" s="14">
        <f>IFERROR(N8*(1+INDEX(CAGR!$C$2:$C$8,MATCH($A8,CAGR!$B$2:$B$8,0))),0)</f>
        <v>1.8923103368896775E-3</v>
      </c>
      <c r="P8" s="14">
        <f>IFERROR(O8*(1+INDEX(CAGR!$C$2:$C$8,MATCH($A8,CAGR!$B$2:$B$8,0))),0)</f>
        <v>1.8910955159086766E-3</v>
      </c>
      <c r="Q8" s="14">
        <f>IFERROR(P8*(1+INDEX(CAGR!$C$2:$C$8,MATCH($A8,CAGR!$B$2:$B$8,0))),0)</f>
        <v>1.8898814748156186E-3</v>
      </c>
      <c r="R8" s="14">
        <f>IFERROR(Q8*(1+INDEX(CAGR!$C$2:$C$8,MATCH($A8,CAGR!$B$2:$B$8,0))),0)</f>
        <v>1.8886682131098328E-3</v>
      </c>
      <c r="S8" s="14">
        <f>IFERROR(R8*(1+INDEX(CAGR!$C$2:$C$8,MATCH($A8,CAGR!$B$2:$B$8,0))),0)</f>
        <v>1.88745573029097E-3</v>
      </c>
      <c r="T8" s="14">
        <f>IFERROR(S8*(1+INDEX(CAGR!$C$2:$C$8,MATCH($A8,CAGR!$B$2:$B$8,0))),0)</f>
        <v>1.8862440258590023E-3</v>
      </c>
      <c r="U8" s="14">
        <f>IFERROR(T8*(1+INDEX(CAGR!$C$2:$C$8,MATCH($A8,CAGR!$B$2:$B$8,0))),0)</f>
        <v>1.8850330993142224E-3</v>
      </c>
      <c r="V8" s="14">
        <f>IFERROR(U8*(1+INDEX(CAGR!$C$2:$C$8,MATCH($A8,CAGR!$B$2:$B$8,0))),0)</f>
        <v>1.8838229501572442E-3</v>
      </c>
      <c r="W8" s="14">
        <f>IFERROR(V8*(1+INDEX(CAGR!$C$2:$C$8,MATCH($A8,CAGR!$B$2:$B$8,0))),0)</f>
        <v>1.8826135778890023E-3</v>
      </c>
      <c r="X8" s="14">
        <f>IFERROR(W8*(1+INDEX(CAGR!$C$2:$C$8,MATCH($A8,CAGR!$B$2:$B$8,0))),0)</f>
        <v>1.8814049820107513E-3</v>
      </c>
      <c r="Y8" s="14">
        <f>IFERROR(X8*(1+INDEX(CAGR!$C$2:$C$8,MATCH($A8,CAGR!$B$2:$B$8,0))),0)</f>
        <v>1.8801971620240662E-3</v>
      </c>
      <c r="Z8" s="14">
        <f>IFERROR(Y8*(1+INDEX(CAGR!$C$2:$C$8,MATCH($A8,CAGR!$B$2:$B$8,0))),0)</f>
        <v>1.8789901174308418E-3</v>
      </c>
      <c r="AA8" s="14">
        <f>IFERROR(Z8*(1+INDEX(CAGR!$C$2:$C$8,MATCH($A8,CAGR!$B$2:$B$8,0))),0)</f>
        <v>1.8777838477332931E-3</v>
      </c>
      <c r="AB8" s="14">
        <f>IFERROR(AA8*(1+INDEX(CAGR!$C$2:$C$8,MATCH($A8,CAGR!$B$2:$B$8,0))),0)</f>
        <v>1.8765783524339543E-3</v>
      </c>
      <c r="AC8" s="14">
        <f>IFERROR(AB8*(1+INDEX(CAGR!$C$2:$C$8,MATCH($A8,CAGR!$B$2:$B$8,0))),0)</f>
        <v>1.8753736310356788E-3</v>
      </c>
      <c r="AD8" s="14">
        <f>IFERROR(AC8*(1+INDEX(CAGR!$C$2:$C$8,MATCH($A8,CAGR!$B$2:$B$8,0))),0)</f>
        <v>1.8741696830416397E-3</v>
      </c>
      <c r="AE8" s="14">
        <f>IFERROR(AD8*(1+INDEX(CAGR!$C$2:$C$8,MATCH($A8,CAGR!$B$2:$B$8,0))),0)</f>
        <v>1.8729665079553286E-3</v>
      </c>
      <c r="AF8" s="14">
        <f>IFERROR(AE8*(1+INDEX(CAGR!$C$2:$C$8,MATCH($A8,CAGR!$B$2:$B$8,0))),0)</f>
        <v>1.8717641052805559E-3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1.8944789534532561E-4</v>
      </c>
      <c r="C2" s="14">
        <f>IFERROR(B2*(1+INDEX(CAGR!$C$9:$C$15,MATCH($A2,CAGR!$B$9:$B$15,0))),0)</f>
        <v>1.9192783449611467E-4</v>
      </c>
      <c r="D2" s="14">
        <f>IFERROR(C2*(1+INDEX(CAGR!$C$9:$C$15,MATCH($A2,CAGR!$B$9:$B$15,0))),0)</f>
        <v>1.944402369169781E-4</v>
      </c>
      <c r="E2" s="14">
        <f>IFERROR(D2*(1+INDEX(CAGR!$C$9:$C$15,MATCH($A2,CAGR!$B$9:$B$15,0))),0)</f>
        <v>1.9698552756346516E-4</v>
      </c>
      <c r="F2" s="14">
        <f>IFERROR(E2*(1+INDEX(CAGR!$C$9:$C$15,MATCH($A2,CAGR!$B$9:$B$15,0))),0)</f>
        <v>1.9956413695394171E-4</v>
      </c>
      <c r="G2" s="14">
        <f>IFERROR(F2*(1+INDEX(CAGR!$C$9:$C$15,MATCH($A2,CAGR!$B$9:$B$15,0))),0)</f>
        <v>2.0217650124240949E-4</v>
      </c>
      <c r="H2" s="14">
        <f>IFERROR(G2*(1+INDEX(CAGR!$C$9:$C$15,MATCH($A2,CAGR!$B$9:$B$15,0))),0)</f>
        <v>2.0482306229227854E-4</v>
      </c>
      <c r="I2" s="14">
        <f>IFERROR(H2*(1+INDEX(CAGR!$C$9:$C$15,MATCH($A2,CAGR!$B$9:$B$15,0))),0)</f>
        <v>2.0750426775110532E-4</v>
      </c>
      <c r="J2" s="14">
        <f>IFERROR(I2*(1+INDEX(CAGR!$C$9:$C$15,MATCH($A2,CAGR!$B$9:$B$15,0))),0)</f>
        <v>2.1022057112630923E-4</v>
      </c>
      <c r="K2" s="14">
        <f>IFERROR(J2*(1+INDEX(CAGR!$C$9:$C$15,MATCH($A2,CAGR!$B$9:$B$15,0))),0)</f>
        <v>2.1297243186188026E-4</v>
      </c>
      <c r="L2" s="14">
        <f>IFERROR(K2*(1+INDEX(CAGR!$C$9:$C$15,MATCH($A2,CAGR!$B$9:$B$15,0))),0)</f>
        <v>2.157603154160908E-4</v>
      </c>
      <c r="M2" s="14">
        <f>IFERROR(L2*(1+INDEX(CAGR!$C$9:$C$15,MATCH($A2,CAGR!$B$9:$B$15,0))),0)</f>
        <v>2.1858469334022466E-4</v>
      </c>
      <c r="N2" s="14">
        <f>IFERROR(M2*(1+INDEX(CAGR!$C$9:$C$15,MATCH($A2,CAGR!$B$9:$B$15,0))),0)</f>
        <v>2.2144604335833676E-4</v>
      </c>
      <c r="O2" s="14">
        <f>IFERROR(N2*(1+INDEX(CAGR!$C$9:$C$15,MATCH($A2,CAGR!$B$9:$B$15,0))),0)</f>
        <v>2.2434484944805678E-4</v>
      </c>
      <c r="P2" s="14">
        <f>IFERROR(O2*(1+INDEX(CAGR!$C$9:$C$15,MATCH($A2,CAGR!$B$9:$B$15,0))),0)</f>
        <v>2.2728160192245076E-4</v>
      </c>
      <c r="Q2" s="14">
        <f>IFERROR(P2*(1+INDEX(CAGR!$C$9:$C$15,MATCH($A2,CAGR!$B$9:$B$15,0))),0)</f>
        <v>2.3025679751295406E-4</v>
      </c>
      <c r="R2" s="14">
        <f>IFERROR(Q2*(1+INDEX(CAGR!$C$9:$C$15,MATCH($A2,CAGR!$B$9:$B$15,0))),0)</f>
        <v>2.332709394533901E-4</v>
      </c>
      <c r="S2" s="14">
        <f>IFERROR(R2*(1+INDEX(CAGR!$C$9:$C$15,MATCH($A2,CAGR!$B$9:$B$15,0))),0)</f>
        <v>2.3632453756508896E-4</v>
      </c>
      <c r="T2" s="14">
        <f>IFERROR(S2*(1+INDEX(CAGR!$C$9:$C$15,MATCH($A2,CAGR!$B$9:$B$15,0))),0)</f>
        <v>2.3941810834312002E-4</v>
      </c>
      <c r="U2" s="14">
        <f>IFERROR(T2*(1+INDEX(CAGR!$C$9:$C$15,MATCH($A2,CAGR!$B$9:$B$15,0))),0)</f>
        <v>2.4255217504365364E-4</v>
      </c>
      <c r="V2" s="14">
        <f>IFERROR(U2*(1+INDEX(CAGR!$C$9:$C$15,MATCH($A2,CAGR!$B$9:$B$15,0))),0)</f>
        <v>2.4572726777246626E-4</v>
      </c>
      <c r="W2" s="14">
        <f>IFERROR(V2*(1+INDEX(CAGR!$C$9:$C$15,MATCH($A2,CAGR!$B$9:$B$15,0))),0)</f>
        <v>2.4894392357460422E-4</v>
      </c>
      <c r="X2" s="14">
        <f>IFERROR(W2*(1+INDEX(CAGR!$C$9:$C$15,MATCH($A2,CAGR!$B$9:$B$15,0))),0)</f>
        <v>2.5220268652522115E-4</v>
      </c>
      <c r="Y2" s="14">
        <f>IFERROR(X2*(1+INDEX(CAGR!$C$9:$C$15,MATCH($A2,CAGR!$B$9:$B$15,0))),0)</f>
        <v>2.555041078216046E-4</v>
      </c>
      <c r="Z2" s="14">
        <f>IFERROR(Y2*(1+INDEX(CAGR!$C$9:$C$15,MATCH($A2,CAGR!$B$9:$B$15,0))),0)</f>
        <v>2.5884874587640719E-4</v>
      </c>
      <c r="AA2" s="14">
        <f>IFERROR(Z2*(1+INDEX(CAGR!$C$9:$C$15,MATCH($A2,CAGR!$B$9:$B$15,0))),0)</f>
        <v>2.6223716641209826E-4</v>
      </c>
      <c r="AB2" s="14">
        <f>IFERROR(AA2*(1+INDEX(CAGR!$C$9:$C$15,MATCH($A2,CAGR!$B$9:$B$15,0))),0)</f>
        <v>2.6566994255665204E-4</v>
      </c>
      <c r="AC2" s="14">
        <f>IFERROR(AB2*(1+INDEX(CAGR!$C$9:$C$15,MATCH($A2,CAGR!$B$9:$B$15,0))),0)</f>
        <v>2.6914765494048814E-4</v>
      </c>
      <c r="AD2" s="14">
        <f>IFERROR(AC2*(1+INDEX(CAGR!$C$9:$C$15,MATCH($A2,CAGR!$B$9:$B$15,0))),0)</f>
        <v>2.7267089179468132E-4</v>
      </c>
      <c r="AE2" s="14">
        <f>IFERROR(AD2*(1+INDEX(CAGR!$C$9:$C$15,MATCH($A2,CAGR!$B$9:$B$15,0))),0)</f>
        <v>2.7624024905045661E-4</v>
      </c>
      <c r="AF2" s="14">
        <f>IFERROR(AE2*(1+INDEX(CAGR!$C$9:$C$15,MATCH($A2,CAGR!$B$9:$B$15,0))),0)</f>
        <v>2.798563304399871E-4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9.8743154451385681E-5</v>
      </c>
      <c r="C3" s="21">
        <f>IFERROR(B3*(1+INDEX(CAGR!$C$9:$C$15,MATCH($A3,CAGR!$B$9:$B$15,0))),0)</f>
        <v>9.8486975262729385E-5</v>
      </c>
      <c r="D3" s="21">
        <f>IFERROR(C3*(1+INDEX(CAGR!$C$9:$C$15,MATCH($A3,CAGR!$B$9:$B$15,0))),0)</f>
        <v>9.8231460705227171E-5</v>
      </c>
      <c r="E3" s="21">
        <f>IFERROR(D3*(1+INDEX(CAGR!$C$9:$C$15,MATCH($A3,CAGR!$B$9:$B$15,0))),0)</f>
        <v>9.797660905456031E-5</v>
      </c>
      <c r="F3" s="21">
        <f>IFERROR(E3*(1+INDEX(CAGR!$C$9:$C$15,MATCH($A3,CAGR!$B$9:$B$15,0))),0)</f>
        <v>9.7722418590883659E-5</v>
      </c>
      <c r="G3" s="21">
        <f>IFERROR(F3*(1+INDEX(CAGR!$C$9:$C$15,MATCH($A3,CAGR!$B$9:$B$15,0))),0)</f>
        <v>9.7468887598814037E-5</v>
      </c>
      <c r="H3" s="21">
        <f>IFERROR(G3*(1+INDEX(CAGR!$C$9:$C$15,MATCH($A3,CAGR!$B$9:$B$15,0))),0)</f>
        <v>9.7216014367418644E-5</v>
      </c>
      <c r="I3" s="21">
        <f>IFERROR(H3*(1+INDEX(CAGR!$C$9:$C$15,MATCH($A3,CAGR!$B$9:$B$15,0))),0)</f>
        <v>9.6963797190203525E-5</v>
      </c>
      <c r="J3" s="21">
        <f>IFERROR(I3*(1+INDEX(CAGR!$C$9:$C$15,MATCH($A3,CAGR!$B$9:$B$15,0))),0)</f>
        <v>9.6712234365102065E-5</v>
      </c>
      <c r="K3" s="21">
        <f>IFERROR(J3*(1+INDEX(CAGR!$C$9:$C$15,MATCH($A3,CAGR!$B$9:$B$15,0))),0)</f>
        <v>9.6461324194463481E-5</v>
      </c>
      <c r="L3" s="21">
        <f>IFERROR(K3*(1+INDEX(CAGR!$C$9:$C$15,MATCH($A3,CAGR!$B$9:$B$15,0))),0)</f>
        <v>9.621106498504136E-5</v>
      </c>
      <c r="M3" s="21">
        <f>IFERROR(L3*(1+INDEX(CAGR!$C$9:$C$15,MATCH($A3,CAGR!$B$9:$B$15,0))),0)</f>
        <v>9.5961455047982271E-5</v>
      </c>
      <c r="N3" s="21">
        <f>IFERROR(M3*(1+INDEX(CAGR!$C$9:$C$15,MATCH($A3,CAGR!$B$9:$B$15,0))),0)</f>
        <v>9.5712492698814332E-5</v>
      </c>
      <c r="O3" s="21">
        <f>IFERROR(N3*(1+INDEX(CAGR!$C$9:$C$15,MATCH($A3,CAGR!$B$9:$B$15,0))),0)</f>
        <v>9.5464176257435845E-5</v>
      </c>
      <c r="P3" s="21">
        <f>IFERROR(O3*(1+INDEX(CAGR!$C$9:$C$15,MATCH($A3,CAGR!$B$9:$B$15,0))),0)</f>
        <v>9.5216504048103987E-5</v>
      </c>
      <c r="Q3" s="21">
        <f>IFERROR(P3*(1+INDEX(CAGR!$C$9:$C$15,MATCH($A3,CAGR!$B$9:$B$15,0))),0)</f>
        <v>9.4969474399423463E-5</v>
      </c>
      <c r="R3" s="21">
        <f>IFERROR(Q3*(1+INDEX(CAGR!$C$9:$C$15,MATCH($A3,CAGR!$B$9:$B$15,0))),0)</f>
        <v>9.4723085644335259E-5</v>
      </c>
      <c r="S3" s="21">
        <f>IFERROR(R3*(1+INDEX(CAGR!$C$9:$C$15,MATCH($A3,CAGR!$B$9:$B$15,0))),0)</f>
        <v>9.4477336120105365E-5</v>
      </c>
      <c r="T3" s="21">
        <f>IFERROR(S3*(1+INDEX(CAGR!$C$9:$C$15,MATCH($A3,CAGR!$B$9:$B$15,0))),0)</f>
        <v>9.4232224168313579E-5</v>
      </c>
      <c r="U3" s="21">
        <f>IFERROR(T3*(1+INDEX(CAGR!$C$9:$C$15,MATCH($A3,CAGR!$B$9:$B$15,0))),0)</f>
        <v>9.3987748134842291E-5</v>
      </c>
      <c r="V3" s="21">
        <f>IFERROR(U3*(1+INDEX(CAGR!$C$9:$C$15,MATCH($A3,CAGR!$B$9:$B$15,0))),0)</f>
        <v>9.3743906369865351E-5</v>
      </c>
      <c r="W3" s="21">
        <f>IFERROR(V3*(1+INDEX(CAGR!$C$9:$C$15,MATCH($A3,CAGR!$B$9:$B$15,0))),0)</f>
        <v>9.3500697227836903E-5</v>
      </c>
      <c r="X3" s="21">
        <f>IFERROR(W3*(1+INDEX(CAGR!$C$9:$C$15,MATCH($A3,CAGR!$B$9:$B$15,0))),0)</f>
        <v>9.3258119067480289E-5</v>
      </c>
      <c r="Y3" s="21">
        <f>IFERROR(X3*(1+INDEX(CAGR!$C$9:$C$15,MATCH($A3,CAGR!$B$9:$B$15,0))),0)</f>
        <v>9.3016170251776996E-5</v>
      </c>
      <c r="Z3" s="21">
        <f>IFERROR(Y3*(1+INDEX(CAGR!$C$9:$C$15,MATCH($A3,CAGR!$B$9:$B$15,0))),0)</f>
        <v>9.2774849147955581E-5</v>
      </c>
      <c r="AA3" s="21">
        <f>IFERROR(Z3*(1+INDEX(CAGR!$C$9:$C$15,MATCH($A3,CAGR!$B$9:$B$15,0))),0)</f>
        <v>9.2534154127480668E-5</v>
      </c>
      <c r="AB3" s="21">
        <f>IFERROR(AA3*(1+INDEX(CAGR!$C$9:$C$15,MATCH($A3,CAGR!$B$9:$B$15,0))),0)</f>
        <v>9.2294083566041939E-5</v>
      </c>
      <c r="AC3" s="21">
        <f>IFERROR(AB3*(1+INDEX(CAGR!$C$9:$C$15,MATCH($A3,CAGR!$B$9:$B$15,0))),0)</f>
        <v>9.2054635843543206E-5</v>
      </c>
      <c r="AD3" s="21">
        <f>IFERROR(AC3*(1+INDEX(CAGR!$C$9:$C$15,MATCH($A3,CAGR!$B$9:$B$15,0))),0)</f>
        <v>9.1815809344091435E-5</v>
      </c>
      <c r="AE3" s="21">
        <f>IFERROR(AD3*(1+INDEX(CAGR!$C$9:$C$15,MATCH($A3,CAGR!$B$9:$B$15,0))),0)</f>
        <v>9.1577602455985877E-5</v>
      </c>
      <c r="AF3" s="21">
        <f>IFERROR(AE3*(1+INDEX(CAGR!$C$9:$C$15,MATCH($A3,CAGR!$B$9:$B$15,0))),0)</f>
        <v>9.1340013571707183E-5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1.4163159527370473E-4</v>
      </c>
      <c r="C4" s="14">
        <f>IFERROR(B4*(1+INDEX(CAGR!$C$9:$C$15,MATCH($A4,CAGR!$B$9:$B$15,0))),0)</f>
        <v>1.4126414633644014E-4</v>
      </c>
      <c r="D4" s="14">
        <f>IFERROR(C4*(1+INDEX(CAGR!$C$9:$C$15,MATCH($A4,CAGR!$B$9:$B$15,0))),0)</f>
        <v>1.4089765070850766E-4</v>
      </c>
      <c r="E4" s="14">
        <f>IFERROR(D4*(1+INDEX(CAGR!$C$9:$C$15,MATCH($A4,CAGR!$B$9:$B$15,0))),0)</f>
        <v>1.4053210591664206E-4</v>
      </c>
      <c r="F4" s="14">
        <f>IFERROR(E4*(1+INDEX(CAGR!$C$9:$C$15,MATCH($A4,CAGR!$B$9:$B$15,0))),0)</f>
        <v>1.4016750949399475E-4</v>
      </c>
      <c r="G4" s="14">
        <f>IFERROR(F4*(1+INDEX(CAGR!$C$9:$C$15,MATCH($A4,CAGR!$B$9:$B$15,0))),0)</f>
        <v>1.398038589801171E-4</v>
      </c>
      <c r="H4" s="14">
        <f>IFERROR(G4*(1+INDEX(CAGR!$C$9:$C$15,MATCH($A4,CAGR!$B$9:$B$15,0))),0)</f>
        <v>1.3944115192094392E-4</v>
      </c>
      <c r="I4" s="14">
        <f>IFERROR(H4*(1+INDEX(CAGR!$C$9:$C$15,MATCH($A4,CAGR!$B$9:$B$15,0))),0)</f>
        <v>1.3907938586877678E-4</v>
      </c>
      <c r="J4" s="14">
        <f>IFERROR(I4*(1+INDEX(CAGR!$C$9:$C$15,MATCH($A4,CAGR!$B$9:$B$15,0))),0)</f>
        <v>1.3871855838226761E-4</v>
      </c>
      <c r="K4" s="14">
        <f>IFERROR(J4*(1+INDEX(CAGR!$C$9:$C$15,MATCH($A4,CAGR!$B$9:$B$15,0))),0)</f>
        <v>1.3835866702640215E-4</v>
      </c>
      <c r="L4" s="14">
        <f>IFERROR(K4*(1+INDEX(CAGR!$C$9:$C$15,MATCH($A4,CAGR!$B$9:$B$15,0))),0)</f>
        <v>1.3799970937248356E-4</v>
      </c>
      <c r="M4" s="14">
        <f>IFERROR(L4*(1+INDEX(CAGR!$C$9:$C$15,MATCH($A4,CAGR!$B$9:$B$15,0))),0)</f>
        <v>1.3764168299811597E-4</v>
      </c>
      <c r="N4" s="14">
        <f>IFERROR(M4*(1+INDEX(CAGR!$C$9:$C$15,MATCH($A4,CAGR!$B$9:$B$15,0))),0)</f>
        <v>1.3728458548718821E-4</v>
      </c>
      <c r="O4" s="14">
        <f>IFERROR(N4*(1+INDEX(CAGR!$C$9:$C$15,MATCH($A4,CAGR!$B$9:$B$15,0))),0)</f>
        <v>1.3692841442985746E-4</v>
      </c>
      <c r="P4" s="14">
        <f>IFERROR(O4*(1+INDEX(CAGR!$C$9:$C$15,MATCH($A4,CAGR!$B$9:$B$15,0))),0)</f>
        <v>1.3657316742253297E-4</v>
      </c>
      <c r="Q4" s="14">
        <f>IFERROR(P4*(1+INDEX(CAGR!$C$9:$C$15,MATCH($A4,CAGR!$B$9:$B$15,0))),0)</f>
        <v>1.362188420678599E-4</v>
      </c>
      <c r="R4" s="14">
        <f>IFERROR(Q4*(1+INDEX(CAGR!$C$9:$C$15,MATCH($A4,CAGR!$B$9:$B$15,0))),0)</f>
        <v>1.3586543597470308E-4</v>
      </c>
      <c r="S4" s="14">
        <f>IFERROR(R4*(1+INDEX(CAGR!$C$9:$C$15,MATCH($A4,CAGR!$B$9:$B$15,0))),0)</f>
        <v>1.3551294675813089E-4</v>
      </c>
      <c r="T4" s="14">
        <f>IFERROR(S4*(1+INDEX(CAGR!$C$9:$C$15,MATCH($A4,CAGR!$B$9:$B$15,0))),0)</f>
        <v>1.3516137203939922E-4</v>
      </c>
      <c r="U4" s="14">
        <f>IFERROR(T4*(1+INDEX(CAGR!$C$9:$C$15,MATCH($A4,CAGR!$B$9:$B$15,0))),0)</f>
        <v>1.3481070944593537E-4</v>
      </c>
      <c r="V4" s="14">
        <f>IFERROR(U4*(1+INDEX(CAGR!$C$9:$C$15,MATCH($A4,CAGR!$B$9:$B$15,0))),0)</f>
        <v>1.3446095661132199E-4</v>
      </c>
      <c r="W4" s="14">
        <f>IFERROR(V4*(1+INDEX(CAGR!$C$9:$C$15,MATCH($A4,CAGR!$B$9:$B$15,0))),0)</f>
        <v>1.3411211117528117E-4</v>
      </c>
      <c r="X4" s="14">
        <f>IFERROR(W4*(1+INDEX(CAGR!$C$9:$C$15,MATCH($A4,CAGR!$B$9:$B$15,0))),0)</f>
        <v>1.3376417078365857E-4</v>
      </c>
      <c r="Y4" s="14">
        <f>IFERROR(X4*(1+INDEX(CAGR!$C$9:$C$15,MATCH($A4,CAGR!$B$9:$B$15,0))),0)</f>
        <v>1.3341713308840739E-4</v>
      </c>
      <c r="Z4" s="14">
        <f>IFERROR(Y4*(1+INDEX(CAGR!$C$9:$C$15,MATCH($A4,CAGR!$B$9:$B$15,0))),0)</f>
        <v>1.3307099574757264E-4</v>
      </c>
      <c r="AA4" s="14">
        <f>IFERROR(Z4*(1+INDEX(CAGR!$C$9:$C$15,MATCH($A4,CAGR!$B$9:$B$15,0))),0)</f>
        <v>1.327257564252753E-4</v>
      </c>
      <c r="AB4" s="14">
        <f>IFERROR(AA4*(1+INDEX(CAGR!$C$9:$C$15,MATCH($A4,CAGR!$B$9:$B$15,0))),0)</f>
        <v>1.3238141279169651E-4</v>
      </c>
      <c r="AC4" s="14">
        <f>IFERROR(AB4*(1+INDEX(CAGR!$C$9:$C$15,MATCH($A4,CAGR!$B$9:$B$15,0))),0)</f>
        <v>1.3203796252306196E-4</v>
      </c>
      <c r="AD4" s="14">
        <f>IFERROR(AC4*(1+INDEX(CAGR!$C$9:$C$15,MATCH($A4,CAGR!$B$9:$B$15,0))),0)</f>
        <v>1.3169540330162607E-4</v>
      </c>
      <c r="AE4" s="14">
        <f>IFERROR(AD4*(1+INDEX(CAGR!$C$9:$C$15,MATCH($A4,CAGR!$B$9:$B$15,0))),0)</f>
        <v>1.3135373281565648E-4</v>
      </c>
      <c r="AF4" s="14">
        <f>IFERROR(AE4*(1+INDEX(CAGR!$C$9:$C$15,MATCH($A4,CAGR!$B$9:$B$15,0))),0)</f>
        <v>1.3101294875941834E-4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1.0971461605709522E-4</v>
      </c>
      <c r="C5" s="14">
        <f>IFERROR(B5*(1+INDEX(CAGR!$C$9:$C$15,MATCH($A5,CAGR!$B$9:$B$15,0))),0)</f>
        <v>1.0942997251414377E-4</v>
      </c>
      <c r="D5" s="14">
        <f>IFERROR(C5*(1+INDEX(CAGR!$C$9:$C$15,MATCH($A5,CAGR!$B$9:$B$15,0))),0)</f>
        <v>1.0914606745025242E-4</v>
      </c>
      <c r="E5" s="14">
        <f>IFERROR(D5*(1+INDEX(CAGR!$C$9:$C$15,MATCH($A5,CAGR!$B$9:$B$15,0))),0)</f>
        <v>1.0886289894951146E-4</v>
      </c>
      <c r="F5" s="14">
        <f>IFERROR(E5*(1+INDEX(CAGR!$C$9:$C$15,MATCH($A5,CAGR!$B$9:$B$15,0))),0)</f>
        <v>1.0858046510098185E-4</v>
      </c>
      <c r="G5" s="14">
        <f>IFERROR(F5*(1+INDEX(CAGR!$C$9:$C$15,MATCH($A5,CAGR!$B$9:$B$15,0))),0)</f>
        <v>1.0829876399868227E-4</v>
      </c>
      <c r="H5" s="14">
        <f>IFERROR(G5*(1+INDEX(CAGR!$C$9:$C$15,MATCH($A5,CAGR!$B$9:$B$15,0))),0)</f>
        <v>1.0801779374157627E-4</v>
      </c>
      <c r="I5" s="14">
        <f>IFERROR(H5*(1+INDEX(CAGR!$C$9:$C$15,MATCH($A5,CAGR!$B$9:$B$15,0))),0)</f>
        <v>1.0773755243355947E-4</v>
      </c>
      <c r="J5" s="14">
        <f>IFERROR(I5*(1+INDEX(CAGR!$C$9:$C$15,MATCH($A5,CAGR!$B$9:$B$15,0))),0)</f>
        <v>1.0745803818344673E-4</v>
      </c>
      <c r="K5" s="14">
        <f>IFERROR(J5*(1+INDEX(CAGR!$C$9:$C$15,MATCH($A5,CAGR!$B$9:$B$15,0))),0)</f>
        <v>1.0717924910495941E-4</v>
      </c>
      <c r="L5" s="14">
        <f>IFERROR(K5*(1+INDEX(CAGR!$C$9:$C$15,MATCH($A5,CAGR!$B$9:$B$15,0))),0)</f>
        <v>1.0690118331671261E-4</v>
      </c>
      <c r="M5" s="14">
        <f>IFERROR(L5*(1+INDEX(CAGR!$C$9:$C$15,MATCH($A5,CAGR!$B$9:$B$15,0))),0)</f>
        <v>1.066238389422025E-4</v>
      </c>
      <c r="N5" s="14">
        <f>IFERROR(M5*(1+INDEX(CAGR!$C$9:$C$15,MATCH($A5,CAGR!$B$9:$B$15,0))),0)</f>
        <v>1.0634721410979367E-4</v>
      </c>
      <c r="O5" s="14">
        <f>IFERROR(N5*(1+INDEX(CAGR!$C$9:$C$15,MATCH($A5,CAGR!$B$9:$B$15,0))),0)</f>
        <v>1.0607130695270647E-4</v>
      </c>
      <c r="P5" s="14">
        <f>IFERROR(O5*(1+INDEX(CAGR!$C$9:$C$15,MATCH($A5,CAGR!$B$9:$B$15,0))),0)</f>
        <v>1.057961156090044E-4</v>
      </c>
      <c r="Q5" s="14">
        <f>IFERROR(P5*(1+INDEX(CAGR!$C$9:$C$15,MATCH($A5,CAGR!$B$9:$B$15,0))),0)</f>
        <v>1.0552163822158159E-4</v>
      </c>
      <c r="R5" s="14">
        <f>IFERROR(Q5*(1+INDEX(CAGR!$C$9:$C$15,MATCH($A5,CAGR!$B$9:$B$15,0))),0)</f>
        <v>1.0524787293815025E-4</v>
      </c>
      <c r="S5" s="14">
        <f>IFERROR(R5*(1+INDEX(CAGR!$C$9:$C$15,MATCH($A5,CAGR!$B$9:$B$15,0))),0)</f>
        <v>1.0497481791122814E-4</v>
      </c>
      <c r="T5" s="14">
        <f>IFERROR(S5*(1+INDEX(CAGR!$C$9:$C$15,MATCH($A5,CAGR!$B$9:$B$15,0))),0)</f>
        <v>1.0470247129812615E-4</v>
      </c>
      <c r="U5" s="14">
        <f>IFERROR(T5*(1+INDEX(CAGR!$C$9:$C$15,MATCH($A5,CAGR!$B$9:$B$15,0))),0)</f>
        <v>1.0443083126093583E-4</v>
      </c>
      <c r="V5" s="14">
        <f>IFERROR(U5*(1+INDEX(CAGR!$C$9:$C$15,MATCH($A5,CAGR!$B$9:$B$15,0))),0)</f>
        <v>1.0415989596651701E-4</v>
      </c>
      <c r="W5" s="14">
        <f>IFERROR(V5*(1+INDEX(CAGR!$C$9:$C$15,MATCH($A5,CAGR!$B$9:$B$15,0))),0)</f>
        <v>1.038896635864854E-4</v>
      </c>
      <c r="X5" s="14">
        <f>IFERROR(W5*(1+INDEX(CAGR!$C$9:$C$15,MATCH($A5,CAGR!$B$9:$B$15,0))),0)</f>
        <v>1.0362013229720028E-4</v>
      </c>
      <c r="Y5" s="14">
        <f>IFERROR(X5*(1+INDEX(CAGR!$C$9:$C$15,MATCH($A5,CAGR!$B$9:$B$15,0))),0)</f>
        <v>1.0335130027975219E-4</v>
      </c>
      <c r="Z5" s="14">
        <f>IFERROR(Y5*(1+INDEX(CAGR!$C$9:$C$15,MATCH($A5,CAGR!$B$9:$B$15,0))),0)</f>
        <v>1.0308316571995062E-4</v>
      </c>
      <c r="AA5" s="14">
        <f>IFERROR(Z5*(1+INDEX(CAGR!$C$9:$C$15,MATCH($A5,CAGR!$B$9:$B$15,0))),0)</f>
        <v>1.0281572680831183E-4</v>
      </c>
      <c r="AB5" s="14">
        <f>IFERROR(AA5*(1+INDEX(CAGR!$C$9:$C$15,MATCH($A5,CAGR!$B$9:$B$15,0))),0)</f>
        <v>1.0254898174004658E-4</v>
      </c>
      <c r="AC5" s="14">
        <f>IFERROR(AB5*(1+INDEX(CAGR!$C$9:$C$15,MATCH($A5,CAGR!$B$9:$B$15,0))),0)</f>
        <v>1.0228292871504797E-4</v>
      </c>
      <c r="AD5" s="14">
        <f>IFERROR(AC5*(1+INDEX(CAGR!$C$9:$C$15,MATCH($A5,CAGR!$B$9:$B$15,0))),0)</f>
        <v>1.0201756593787933E-4</v>
      </c>
      <c r="AE5" s="14">
        <f>IFERROR(AD5*(1+INDEX(CAGR!$C$9:$C$15,MATCH($A5,CAGR!$B$9:$B$15,0))),0)</f>
        <v>1.0175289161776204E-4</v>
      </c>
      <c r="AF5" s="14">
        <f>IFERROR(AE5*(1+INDEX(CAGR!$C$9:$C$15,MATCH($A5,CAGR!$B$9:$B$15,0))),0)</f>
        <v>1.0148890396856348E-4</v>
      </c>
      <c r="AG5" s="14"/>
    </row>
    <row r="6" spans="1:33">
      <c r="A6" s="1" t="s">
        <v>13</v>
      </c>
      <c r="B6" s="15">
        <f>B5*Calibration!$C$21</f>
        <v>1.6842939489187289E-4</v>
      </c>
      <c r="C6" s="15">
        <f>B6*(1+CAGR!$C$13)</f>
        <v>1.6968563035456036E-4</v>
      </c>
      <c r="D6" s="15">
        <f>C6*(1+CAGR!$C$13)</f>
        <v>1.7095123548540301E-4</v>
      </c>
      <c r="E6" s="15">
        <f>D6*(1+CAGR!$C$13)</f>
        <v>1.7222628016833896E-4</v>
      </c>
      <c r="F6" s="15">
        <f>E6*(1+CAGR!$C$13)</f>
        <v>1.7351083480853766E-4</v>
      </c>
      <c r="G6" s="15">
        <f>F6*(1+CAGR!$C$13)</f>
        <v>1.7480497033628756E-4</v>
      </c>
      <c r="H6" s="15">
        <f>G6*(1+CAGR!$C$13)</f>
        <v>1.7610875821091272E-4</v>
      </c>
      <c r="I6" s="15">
        <f>H6*(1+CAGR!$C$13)</f>
        <v>1.7742227042471856E-4</v>
      </c>
      <c r="J6" s="15">
        <f>I6*(1+CAGR!$C$13)</f>
        <v>1.7874557950696719E-4</v>
      </c>
      <c r="K6" s="15">
        <f>J6*(1+CAGR!$C$13)</f>
        <v>1.8007875852788232E-4</v>
      </c>
      <c r="L6" s="15">
        <f>K6*(1+CAGR!$C$13)</f>
        <v>1.8142188110268397E-4</v>
      </c>
      <c r="M6" s="15">
        <f>L6*(1+CAGR!$C$13)</f>
        <v>1.8277502139565346E-4</v>
      </c>
      <c r="N6" s="15">
        <f>M6*(1+CAGR!$C$13)</f>
        <v>1.8413825412422845E-4</v>
      </c>
      <c r="O6" s="15">
        <f>N6*(1+CAGR!$C$13)</f>
        <v>1.8551165456312876E-4</v>
      </c>
      <c r="P6" s="15">
        <f>O6*(1+CAGR!$C$13)</f>
        <v>1.8689529854851289E-4</v>
      </c>
      <c r="Q6" s="15">
        <f>P6*(1+CAGR!$C$13)</f>
        <v>1.8828926248216549E-4</v>
      </c>
      <c r="R6" s="15">
        <f>Q6*(1+CAGR!$C$13)</f>
        <v>1.8969362333571611E-4</v>
      </c>
      <c r="S6" s="15">
        <f>R6*(1+CAGR!$C$13)</f>
        <v>1.9110845865488938E-4</v>
      </c>
      <c r="T6" s="15">
        <f>S6*(1+CAGR!$C$13)</f>
        <v>1.9253384656378698E-4</v>
      </c>
      <c r="U6" s="15">
        <f>T6*(1+CAGR!$C$13)</f>
        <v>1.9396986576920139E-4</v>
      </c>
      <c r="V6" s="15">
        <f>U6*(1+CAGR!$C$13)</f>
        <v>1.9541659556496197E-4</v>
      </c>
      <c r="W6" s="15">
        <f>V6*(1+CAGR!$C$13)</f>
        <v>1.968741158363134E-4</v>
      </c>
      <c r="X6" s="15">
        <f>W6*(1+CAGR!$C$13)</f>
        <v>1.983425070643267E-4</v>
      </c>
      <c r="Y6" s="15">
        <f>X6*(1+CAGR!$C$13)</f>
        <v>1.9982185033034331E-4</v>
      </c>
      <c r="Z6" s="15">
        <f>Y6*(1+CAGR!$C$13)</f>
        <v>2.0131222732045216E-4</v>
      </c>
      <c r="AA6" s="15">
        <f>Z6*(1+CAGR!$C$13)</f>
        <v>2.0281372033000019E-4</v>
      </c>
      <c r="AB6" s="15">
        <f>AA6*(1+CAGR!$C$13)</f>
        <v>2.0432641226813658E-4</v>
      </c>
      <c r="AC6" s="15">
        <f>AB6*(1+CAGR!$C$13)</f>
        <v>2.0585038666239071E-4</v>
      </c>
      <c r="AD6" s="15">
        <f>AC6*(1+CAGR!$C$13)</f>
        <v>2.0738572766328448E-4</v>
      </c>
      <c r="AE6" s="15">
        <f>AD6*(1+CAGR!$C$13)</f>
        <v>2.0893252004897887E-4</v>
      </c>
      <c r="AF6" s="15">
        <f>AE6*(1+CAGR!$C$13)</f>
        <v>2.1049084922995518E-4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7.7797636840485688E-5</v>
      </c>
      <c r="C7" s="14">
        <f>IFERROR(B7*(1+INDEX(CAGR!$C$9:$C$15,MATCH($A7,CAGR!$B$9:$B$15,0))),0)</f>
        <v>7.7595798691847392E-5</v>
      </c>
      <c r="D7" s="14">
        <f>IFERROR(C7*(1+INDEX(CAGR!$C$9:$C$15,MATCH($A7,CAGR!$B$9:$B$15,0))),0)</f>
        <v>7.7394484191997163E-5</v>
      </c>
      <c r="E7" s="14">
        <f>IFERROR(D7*(1+INDEX(CAGR!$C$9:$C$15,MATCH($A7,CAGR!$B$9:$B$15,0))),0)</f>
        <v>7.7193691982380851E-5</v>
      </c>
      <c r="F7" s="14">
        <f>IFERROR(E7*(1+INDEX(CAGR!$C$9:$C$15,MATCH($A7,CAGR!$B$9:$B$15,0))),0)</f>
        <v>7.699342070796895E-5</v>
      </c>
      <c r="G7" s="14">
        <f>IFERROR(F7*(1+INDEX(CAGR!$C$9:$C$15,MATCH($A7,CAGR!$B$9:$B$15,0))),0)</f>
        <v>7.6793669017247425E-5</v>
      </c>
      <c r="H7" s="14">
        <f>IFERROR(G7*(1+INDEX(CAGR!$C$9:$C$15,MATCH($A7,CAGR!$B$9:$B$15,0))),0)</f>
        <v>7.6594435562208634E-5</v>
      </c>
      <c r="I7" s="14">
        <f>IFERROR(H7*(1+INDEX(CAGR!$C$9:$C$15,MATCH($A7,CAGR!$B$9:$B$15,0))),0)</f>
        <v>7.6395718998342177E-5</v>
      </c>
      <c r="J7" s="14">
        <f>IFERROR(I7*(1+INDEX(CAGR!$C$9:$C$15,MATCH($A7,CAGR!$B$9:$B$15,0))),0)</f>
        <v>7.619751798462587E-5</v>
      </c>
      <c r="K7" s="14">
        <f>IFERROR(J7*(1+INDEX(CAGR!$C$9:$C$15,MATCH($A7,CAGR!$B$9:$B$15,0))),0)</f>
        <v>7.5999831183516683E-5</v>
      </c>
      <c r="L7" s="14">
        <f>IFERROR(K7*(1+INDEX(CAGR!$C$9:$C$15,MATCH($A7,CAGR!$B$9:$B$15,0))),0)</f>
        <v>7.580265726094168E-5</v>
      </c>
      <c r="M7" s="14">
        <f>IFERROR(L7*(1+INDEX(CAGR!$C$9:$C$15,MATCH($A7,CAGR!$B$9:$B$15,0))),0)</f>
        <v>7.5605994886289066E-5</v>
      </c>
      <c r="N7" s="14">
        <f>IFERROR(M7*(1+INDEX(CAGR!$C$9:$C$15,MATCH($A7,CAGR!$B$9:$B$15,0))),0)</f>
        <v>7.5409842732399173E-5</v>
      </c>
      <c r="O7" s="14">
        <f>IFERROR(N7*(1+INDEX(CAGR!$C$9:$C$15,MATCH($A7,CAGR!$B$9:$B$15,0))),0)</f>
        <v>7.5214199475555514E-5</v>
      </c>
      <c r="P7" s="14">
        <f>IFERROR(O7*(1+INDEX(CAGR!$C$9:$C$15,MATCH($A7,CAGR!$B$9:$B$15,0))),0)</f>
        <v>7.5019063795475868E-5</v>
      </c>
      <c r="Q7" s="14">
        <f>IFERROR(P7*(1+INDEX(CAGR!$C$9:$C$15,MATCH($A7,CAGR!$B$9:$B$15,0))),0)</f>
        <v>7.4824434375303332E-5</v>
      </c>
      <c r="R7" s="14">
        <f>IFERROR(Q7*(1+INDEX(CAGR!$C$9:$C$15,MATCH($A7,CAGR!$B$9:$B$15,0))),0)</f>
        <v>7.4630309901597475E-5</v>
      </c>
      <c r="S7" s="14">
        <f>IFERROR(R7*(1+INDEX(CAGR!$C$9:$C$15,MATCH($A7,CAGR!$B$9:$B$15,0))),0)</f>
        <v>7.4436689064325432E-5</v>
      </c>
      <c r="T7" s="14">
        <f>IFERROR(S7*(1+INDEX(CAGR!$C$9:$C$15,MATCH($A7,CAGR!$B$9:$B$15,0))),0)</f>
        <v>7.4243570556853107E-5</v>
      </c>
      <c r="U7" s="14">
        <f>IFERROR(T7*(1+INDEX(CAGR!$C$9:$C$15,MATCH($A7,CAGR!$B$9:$B$15,0))),0)</f>
        <v>7.4050953075936339E-5</v>
      </c>
      <c r="V7" s="14">
        <f>IFERROR(U7*(1+INDEX(CAGR!$C$9:$C$15,MATCH($A7,CAGR!$B$9:$B$15,0))),0)</f>
        <v>7.3858835321712079E-5</v>
      </c>
      <c r="W7" s="14">
        <f>IFERROR(V7*(1+INDEX(CAGR!$C$9:$C$15,MATCH($A7,CAGR!$B$9:$B$15,0))),0)</f>
        <v>7.3667215997689662E-5</v>
      </c>
      <c r="X7" s="14">
        <f>IFERROR(W7*(1+INDEX(CAGR!$C$9:$C$15,MATCH($A7,CAGR!$B$9:$B$15,0))),0)</f>
        <v>7.3476093810742024E-5</v>
      </c>
      <c r="Y7" s="14">
        <f>IFERROR(X7*(1+INDEX(CAGR!$C$9:$C$15,MATCH($A7,CAGR!$B$9:$B$15,0))),0)</f>
        <v>7.3285467471097002E-5</v>
      </c>
      <c r="Z7" s="14">
        <f>IFERROR(Y7*(1+INDEX(CAGR!$C$9:$C$15,MATCH($A7,CAGR!$B$9:$B$15,0))),0)</f>
        <v>7.3095335692328621E-5</v>
      </c>
      <c r="AA7" s="14">
        <f>IFERROR(Z7*(1+INDEX(CAGR!$C$9:$C$15,MATCH($A7,CAGR!$B$9:$B$15,0))),0)</f>
        <v>7.2905697191348389E-5</v>
      </c>
      <c r="AB7" s="14">
        <f>IFERROR(AA7*(1+INDEX(CAGR!$C$9:$C$15,MATCH($A7,CAGR!$B$9:$B$15,0))),0)</f>
        <v>7.2716550688396671E-5</v>
      </c>
      <c r="AC7" s="14">
        <f>IFERROR(AB7*(1+INDEX(CAGR!$C$9:$C$15,MATCH($A7,CAGR!$B$9:$B$15,0))),0)</f>
        <v>7.2527894907034035E-5</v>
      </c>
      <c r="AD7" s="14">
        <f>IFERROR(AC7*(1+INDEX(CAGR!$C$9:$C$15,MATCH($A7,CAGR!$B$9:$B$15,0))),0)</f>
        <v>7.2339728574132638E-5</v>
      </c>
      <c r="AE7" s="14">
        <f>IFERROR(AD7*(1+INDEX(CAGR!$C$9:$C$15,MATCH($A7,CAGR!$B$9:$B$15,0))),0)</f>
        <v>7.2152050419867659E-5</v>
      </c>
      <c r="AF7" s="14">
        <f>IFERROR(AE7*(1+INDEX(CAGR!$C$9:$C$15,MATCH($A7,CAGR!$B$9:$B$15,0))),0)</f>
        <v>7.1964859177708692E-5</v>
      </c>
      <c r="AG7" s="14"/>
    </row>
    <row r="8" spans="1:33">
      <c r="A8" s="1" t="s">
        <v>15</v>
      </c>
      <c r="B8" s="13">
        <f>B5*Calibration!$D$21</f>
        <v>3.291438481712856E-4</v>
      </c>
      <c r="C8" s="13">
        <f>B8*(1+CAGR!$C$15)</f>
        <v>3.2828991754243125E-4</v>
      </c>
      <c r="D8" s="13">
        <f>C8*(1+CAGR!$C$15)</f>
        <v>3.2743820235075718E-4</v>
      </c>
      <c r="E8" s="13">
        <f>D8*(1+CAGR!$C$15)</f>
        <v>3.2658869684853433E-4</v>
      </c>
      <c r="F8" s="13">
        <f>E8*(1+CAGR!$C$15)</f>
        <v>3.2574139530294549E-4</v>
      </c>
      <c r="G8" s="13">
        <f>F8*(1+CAGR!$C$15)</f>
        <v>3.2489629199604673E-4</v>
      </c>
      <c r="H8" s="13">
        <f>G8*(1+CAGR!$C$15)</f>
        <v>3.2405338122472874E-4</v>
      </c>
      <c r="I8" s="13">
        <f>H8*(1+CAGR!$C$15)</f>
        <v>3.2321265730067837E-4</v>
      </c>
      <c r="J8" s="13">
        <f>I8*(1+CAGR!$C$15)</f>
        <v>3.2237411455034019E-4</v>
      </c>
      <c r="K8" s="13">
        <f>J8*(1+CAGR!$C$15)</f>
        <v>3.2153774731487821E-4</v>
      </c>
      <c r="L8" s="13">
        <f>K8*(1+CAGR!$C$15)</f>
        <v>3.2070354995013782E-4</v>
      </c>
      <c r="M8" s="13">
        <f>L8*(1+CAGR!$C$15)</f>
        <v>3.198715168266075E-4</v>
      </c>
      <c r="N8" s="13">
        <f>M8*(1+CAGR!$C$15)</f>
        <v>3.1904164232938103E-4</v>
      </c>
      <c r="O8" s="13">
        <f>N8*(1+CAGR!$C$15)</f>
        <v>3.1821392085811944E-4</v>
      </c>
      <c r="P8" s="13">
        <f>O8*(1+CAGR!$C$15)</f>
        <v>3.1738834682701323E-4</v>
      </c>
      <c r="Q8" s="13">
        <f>P8*(1+CAGR!$C$15)</f>
        <v>3.165649146647448E-4</v>
      </c>
      <c r="R8" s="13">
        <f>Q8*(1+CAGR!$C$15)</f>
        <v>3.1574361881445075E-4</v>
      </c>
      <c r="S8" s="13">
        <f>R8*(1+CAGR!$C$15)</f>
        <v>3.1492445373368442E-4</v>
      </c>
      <c r="T8" s="13">
        <f>S8*(1+CAGR!$C$15)</f>
        <v>3.1410741389437845E-4</v>
      </c>
      <c r="U8" s="13">
        <f>T8*(1+CAGR!$C$15)</f>
        <v>3.1329249378280751E-4</v>
      </c>
      <c r="V8" s="13">
        <f>U8*(1+CAGR!$C$15)</f>
        <v>3.1247968789955102E-4</v>
      </c>
      <c r="W8" s="13">
        <f>V8*(1+CAGR!$C$15)</f>
        <v>3.1166899075945616E-4</v>
      </c>
      <c r="X8" s="13">
        <f>W8*(1+CAGR!$C$15)</f>
        <v>3.1086039689160079E-4</v>
      </c>
      <c r="Y8" s="13">
        <f>X8*(1+CAGR!$C$15)</f>
        <v>3.1005390083925651E-4</v>
      </c>
      <c r="Z8" s="13">
        <f>Y8*(1+CAGR!$C$15)</f>
        <v>3.092494971598518E-4</v>
      </c>
      <c r="AA8" s="13">
        <f>Z8*(1+CAGR!$C$15)</f>
        <v>3.0844718042493541E-4</v>
      </c>
      <c r="AB8" s="13">
        <f>AA8*(1+CAGR!$C$15)</f>
        <v>3.0764694522013964E-4</v>
      </c>
      <c r="AC8" s="13">
        <f>AB8*(1+CAGR!$C$15)</f>
        <v>3.0684878614514386E-4</v>
      </c>
      <c r="AD8" s="13">
        <f>AC8*(1+CAGR!$C$15)</f>
        <v>3.0605269781363794E-4</v>
      </c>
      <c r="AE8" s="13">
        <f>AD8*(1+CAGR!$C$15)</f>
        <v>3.0525867485328608E-4</v>
      </c>
      <c r="AF8" s="13">
        <f>AE8*(1+CAGR!$C$15)</f>
        <v>3.0446671190569041E-4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2.6363466800619893E-3</v>
      </c>
      <c r="C2" s="14">
        <f>IFERROR(B2*(1+INDEX(CAGR!$C$16:$C$22,MATCH($A2,CAGR!$B$16:$B$22,0))),0)</f>
        <v>2.6784553614682158E-3</v>
      </c>
      <c r="D2" s="14">
        <f>IFERROR(C2*(1+INDEX(CAGR!$C$16:$C$22,MATCH($A2,CAGR!$B$16:$B$22,0))),0)</f>
        <v>2.7212366179432605E-3</v>
      </c>
      <c r="E2" s="14">
        <f>IFERROR(D2*(1+INDEX(CAGR!$C$16:$C$22,MATCH($A2,CAGR!$B$16:$B$22,0))),0)</f>
        <v>2.7647011920990524E-3</v>
      </c>
      <c r="F2" s="14">
        <f>IFERROR(E2*(1+INDEX(CAGR!$C$16:$C$22,MATCH($A2,CAGR!$B$16:$B$22,0))),0)</f>
        <v>2.8088599981323987E-3</v>
      </c>
      <c r="G2" s="14">
        <f>IFERROR(F2*(1+INDEX(CAGR!$C$16:$C$22,MATCH($A2,CAGR!$B$16:$B$22,0))),0)</f>
        <v>2.8537241245655998E-3</v>
      </c>
      <c r="H2" s="14">
        <f>IFERROR(G2*(1+INDEX(CAGR!$C$16:$C$22,MATCH($A2,CAGR!$B$16:$B$22,0))),0)</f>
        <v>2.8993048370308397E-3</v>
      </c>
      <c r="I2" s="14">
        <f>IFERROR(H2*(1+INDEX(CAGR!$C$16:$C$22,MATCH($A2,CAGR!$B$16:$B$22,0))),0)</f>
        <v>2.9456135810990488E-3</v>
      </c>
      <c r="J2" s="14">
        <f>IFERROR(I2*(1+INDEX(CAGR!$C$16:$C$22,MATCH($A2,CAGR!$B$16:$B$22,0))),0)</f>
        <v>2.9926619851539499E-3</v>
      </c>
      <c r="K2" s="14">
        <f>IFERROR(J2*(1+INDEX(CAGR!$C$16:$C$22,MATCH($A2,CAGR!$B$16:$B$22,0))),0)</f>
        <v>3.0404618633120117E-3</v>
      </c>
      <c r="L2" s="14">
        <f>IFERROR(K2*(1+INDEX(CAGR!$C$16:$C$22,MATCH($A2,CAGR!$B$16:$B$22,0))),0)</f>
        <v>3.0890252183890369E-3</v>
      </c>
      <c r="M2" s="14">
        <f>IFERROR(L2*(1+INDEX(CAGR!$C$16:$C$22,MATCH($A2,CAGR!$B$16:$B$22,0))),0)</f>
        <v>3.1383642449141391E-3</v>
      </c>
      <c r="N2" s="14">
        <f>IFERROR(M2*(1+INDEX(CAGR!$C$16:$C$22,MATCH($A2,CAGR!$B$16:$B$22,0))),0)</f>
        <v>3.1884913321918546E-3</v>
      </c>
      <c r="O2" s="14">
        <f>IFERROR(N2*(1+INDEX(CAGR!$C$16:$C$22,MATCH($A2,CAGR!$B$16:$B$22,0))),0)</f>
        <v>3.2394190674131665E-3</v>
      </c>
      <c r="P2" s="14">
        <f>IFERROR(O2*(1+INDEX(CAGR!$C$16:$C$22,MATCH($A2,CAGR!$B$16:$B$22,0))),0)</f>
        <v>3.2911602388162194E-3</v>
      </c>
      <c r="Q2" s="14">
        <f>IFERROR(P2*(1+INDEX(CAGR!$C$16:$C$22,MATCH($A2,CAGR!$B$16:$B$22,0))),0)</f>
        <v>3.343727838897516E-3</v>
      </c>
      <c r="R2" s="14">
        <f>IFERROR(Q2*(1+INDEX(CAGR!$C$16:$C$22,MATCH($A2,CAGR!$B$16:$B$22,0))),0)</f>
        <v>3.3971350676744064E-3</v>
      </c>
      <c r="S2" s="14">
        <f>IFERROR(R2*(1+INDEX(CAGR!$C$16:$C$22,MATCH($A2,CAGR!$B$16:$B$22,0))),0)</f>
        <v>3.451395335999685E-3</v>
      </c>
      <c r="T2" s="14">
        <f>IFERROR(S2*(1+INDEX(CAGR!$C$16:$C$22,MATCH($A2,CAGR!$B$16:$B$22,0))),0)</f>
        <v>3.5065222689291318E-3</v>
      </c>
      <c r="U2" s="14">
        <f>IFERROR(T2*(1+INDEX(CAGR!$C$16:$C$22,MATCH($A2,CAGR!$B$16:$B$22,0))),0)</f>
        <v>3.5625297091428382E-3</v>
      </c>
      <c r="V2" s="14">
        <f>IFERROR(U2*(1+INDEX(CAGR!$C$16:$C$22,MATCH($A2,CAGR!$B$16:$B$22,0))),0)</f>
        <v>3.6194317204211826E-3</v>
      </c>
      <c r="W2" s="14">
        <f>IFERROR(V2*(1+INDEX(CAGR!$C$16:$C$22,MATCH($A2,CAGR!$B$16:$B$22,0))),0)</f>
        <v>3.6772425911763226E-3</v>
      </c>
      <c r="X2" s="14">
        <f>IFERROR(W2*(1+INDEX(CAGR!$C$16:$C$22,MATCH($A2,CAGR!$B$16:$B$22,0))),0)</f>
        <v>3.7359768380400963E-3</v>
      </c>
      <c r="Y2" s="14">
        <f>IFERROR(X2*(1+INDEX(CAGR!$C$16:$C$22,MATCH($A2,CAGR!$B$16:$B$22,0))),0)</f>
        <v>3.7956492095092284E-3</v>
      </c>
      <c r="Z2" s="14">
        <f>IFERROR(Y2*(1+INDEX(CAGR!$C$16:$C$22,MATCH($A2,CAGR!$B$16:$B$22,0))),0)</f>
        <v>3.8562746896487607E-3</v>
      </c>
      <c r="AA2" s="14">
        <f>IFERROR(Z2*(1+INDEX(CAGR!$C$16:$C$22,MATCH($A2,CAGR!$B$16:$B$22,0))),0)</f>
        <v>3.9178685018546339E-3</v>
      </c>
      <c r="AB2" s="14">
        <f>IFERROR(AA2*(1+INDEX(CAGR!$C$16:$C$22,MATCH($A2,CAGR!$B$16:$B$22,0))),0)</f>
        <v>3.9804461126763668E-3</v>
      </c>
      <c r="AC2" s="14">
        <f>IFERROR(AB2*(1+INDEX(CAGR!$C$16:$C$22,MATCH($A2,CAGR!$B$16:$B$22,0))),0)</f>
        <v>4.0440232357007947E-3</v>
      </c>
      <c r="AD2" s="14">
        <f>IFERROR(AC2*(1+INDEX(CAGR!$C$16:$C$22,MATCH($A2,CAGR!$B$16:$B$22,0))),0)</f>
        <v>4.1086158354978362E-3</v>
      </c>
      <c r="AE2" s="14">
        <f>IFERROR(AD2*(1+INDEX(CAGR!$C$16:$C$22,MATCH($A2,CAGR!$B$16:$B$22,0))),0)</f>
        <v>4.1742401316292874E-3</v>
      </c>
      <c r="AF2" s="14">
        <f>IFERROR(AE2*(1+INDEX(CAGR!$C$16:$C$22,MATCH($A2,CAGR!$B$16:$B$22,0))),0)</f>
        <v>4.2409126027216438E-3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2.0273724279481005E-3</v>
      </c>
      <c r="C3" s="14">
        <f>IFERROR(B3*(1+INDEX(CAGR!$C$16:$C$22,MATCH($A3,CAGR!$B$16:$B$22,0))),0)</f>
        <v>2.0423547635300254E-3</v>
      </c>
      <c r="D3" s="14">
        <f>IFERROR(C3*(1+INDEX(CAGR!$C$16:$C$22,MATCH($A3,CAGR!$B$16:$B$22,0))),0)</f>
        <v>2.0574478189660803E-3</v>
      </c>
      <c r="E3" s="14">
        <f>IFERROR(D3*(1+INDEX(CAGR!$C$16:$C$22,MATCH($A3,CAGR!$B$16:$B$22,0))),0)</f>
        <v>2.0726524124788999E-3</v>
      </c>
      <c r="F3" s="14">
        <f>IFERROR(E3*(1+INDEX(CAGR!$C$16:$C$22,MATCH($A3,CAGR!$B$16:$B$22,0))),0)</f>
        <v>2.0879693683378063E-3</v>
      </c>
      <c r="G3" s="14">
        <f>IFERROR(F3*(1+INDEX(CAGR!$C$16:$C$22,MATCH($A3,CAGR!$B$16:$B$22,0))),0)</f>
        <v>2.1033995169034933E-3</v>
      </c>
      <c r="H3" s="14">
        <f>IFERROR(G3*(1+INDEX(CAGR!$C$16:$C$22,MATCH($A3,CAGR!$B$16:$B$22,0))),0)</f>
        <v>2.118943694673042E-3</v>
      </c>
      <c r="I3" s="14">
        <f>IFERROR(H3*(1+INDEX(CAGR!$C$16:$C$22,MATCH($A3,CAGR!$B$16:$B$22,0))),0)</f>
        <v>2.1346027443252692E-3</v>
      </c>
      <c r="J3" s="14">
        <f>IFERROR(I3*(1+INDEX(CAGR!$C$16:$C$22,MATCH($A3,CAGR!$B$16:$B$22,0))),0)</f>
        <v>2.1503775147664098E-3</v>
      </c>
      <c r="K3" s="14">
        <f>IFERROR(J3*(1+INDEX(CAGR!$C$16:$C$22,MATCH($A3,CAGR!$B$16:$B$22,0))),0)</f>
        <v>2.1662688611761385E-3</v>
      </c>
      <c r="L3" s="14">
        <f>IFERROR(K3*(1+INDEX(CAGR!$C$16:$C$22,MATCH($A3,CAGR!$B$16:$B$22,0))),0)</f>
        <v>2.1822776450539302E-3</v>
      </c>
      <c r="M3" s="14">
        <f>IFERROR(L3*(1+INDEX(CAGR!$C$16:$C$22,MATCH($A3,CAGR!$B$16:$B$22,0))),0)</f>
        <v>2.1984047342657638E-3</v>
      </c>
      <c r="N3" s="14">
        <f>IFERROR(M3*(1+INDEX(CAGR!$C$16:$C$22,MATCH($A3,CAGR!$B$16:$B$22,0))),0)</f>
        <v>2.2146510030911703E-3</v>
      </c>
      <c r="O3" s="14">
        <f>IFERROR(N3*(1+INDEX(CAGR!$C$16:$C$22,MATCH($A3,CAGR!$B$16:$B$22,0))),0)</f>
        <v>2.2310173322706295E-3</v>
      </c>
      <c r="P3" s="14">
        <f>IFERROR(O3*(1+INDEX(CAGR!$C$16:$C$22,MATCH($A3,CAGR!$B$16:$B$22,0))),0)</f>
        <v>2.2475046090533169E-3</v>
      </c>
      <c r="Q3" s="14">
        <f>IFERROR(P3*(1+INDEX(CAGR!$C$16:$C$22,MATCH($A3,CAGR!$B$16:$B$22,0))),0)</f>
        <v>2.2641137272452023E-3</v>
      </c>
      <c r="R3" s="14">
        <f>IFERROR(Q3*(1+INDEX(CAGR!$C$16:$C$22,MATCH($A3,CAGR!$B$16:$B$22,0))),0)</f>
        <v>2.2808455872575053E-3</v>
      </c>
      <c r="S3" s="14">
        <f>IFERROR(R3*(1+INDEX(CAGR!$C$16:$C$22,MATCH($A3,CAGR!$B$16:$B$22,0))),0)</f>
        <v>2.2977010961555081E-3</v>
      </c>
      <c r="T3" s="14">
        <f>IFERROR(S3*(1+INDEX(CAGR!$C$16:$C$22,MATCH($A3,CAGR!$B$16:$B$22,0))),0)</f>
        <v>2.3146811677077291E-3</v>
      </c>
      <c r="U3" s="14">
        <f>IFERROR(T3*(1+INDEX(CAGR!$C$16:$C$22,MATCH($A3,CAGR!$B$16:$B$22,0))),0)</f>
        <v>2.3317867224354597E-3</v>
      </c>
      <c r="V3" s="14">
        <f>IFERROR(U3*(1+INDEX(CAGR!$C$16:$C$22,MATCH($A3,CAGR!$B$16:$B$22,0))),0)</f>
        <v>2.349018687662669E-3</v>
      </c>
      <c r="W3" s="14">
        <f>IFERROR(V3*(1+INDEX(CAGR!$C$16:$C$22,MATCH($A3,CAGR!$B$16:$B$22,0))),0)</f>
        <v>2.3663779975662737E-3</v>
      </c>
      <c r="X3" s="14">
        <f>IFERROR(W3*(1+INDEX(CAGR!$C$16:$C$22,MATCH($A3,CAGR!$B$16:$B$22,0))),0)</f>
        <v>2.383865593226783E-3</v>
      </c>
      <c r="Y3" s="14">
        <f>IFERROR(X3*(1+INDEX(CAGR!$C$16:$C$22,MATCH($A3,CAGR!$B$16:$B$22,0))),0)</f>
        <v>2.4014824226793151E-3</v>
      </c>
      <c r="Z3" s="14">
        <f>IFERROR(Y3*(1+INDEX(CAGR!$C$16:$C$22,MATCH($A3,CAGR!$B$16:$B$22,0))),0)</f>
        <v>2.4192294409649934E-3</v>
      </c>
      <c r="AA3" s="14">
        <f>IFERROR(Z3*(1+INDEX(CAGR!$C$16:$C$22,MATCH($A3,CAGR!$B$16:$B$22,0))),0)</f>
        <v>2.4371076101827203E-3</v>
      </c>
      <c r="AB3" s="14">
        <f>IFERROR(AA3*(1+INDEX(CAGR!$C$16:$C$22,MATCH($A3,CAGR!$B$16:$B$22,0))),0)</f>
        <v>2.4551178995413339E-3</v>
      </c>
      <c r="AC3" s="14">
        <f>IFERROR(AB3*(1+INDEX(CAGR!$C$16:$C$22,MATCH($A3,CAGR!$B$16:$B$22,0))),0)</f>
        <v>2.4732612854121514E-3</v>
      </c>
      <c r="AD3" s="14">
        <f>IFERROR(AC3*(1+INDEX(CAGR!$C$16:$C$22,MATCH($A3,CAGR!$B$16:$B$22,0))),0)</f>
        <v>2.4915387513819E-3</v>
      </c>
      <c r="AE3" s="14">
        <f>IFERROR(AD3*(1+INDEX(CAGR!$C$16:$C$22,MATCH($A3,CAGR!$B$16:$B$22,0))),0)</f>
        <v>2.5099512883060377E-3</v>
      </c>
      <c r="AF3" s="14">
        <f>IFERROR(AE3*(1+INDEX(CAGR!$C$16:$C$22,MATCH($A3,CAGR!$B$16:$B$22,0))),0)</f>
        <v>2.5284998943624717E-3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7.4466270744806746E-4</v>
      </c>
      <c r="C4" s="14">
        <f>IFERROR(B4*(1+INDEX(CAGR!$C$16:$C$22,MATCH($A4,CAGR!$B$16:$B$22,0))),0)</f>
        <v>7.5016578444789793E-4</v>
      </c>
      <c r="D4" s="14">
        <f>IFERROR(C4*(1+INDEX(CAGR!$C$16:$C$22,MATCH($A4,CAGR!$B$16:$B$22,0))),0)</f>
        <v>7.5570952933154097E-4</v>
      </c>
      <c r="E4" s="14">
        <f>IFERROR(D4*(1+INDEX(CAGR!$C$16:$C$22,MATCH($A4,CAGR!$B$16:$B$22,0))),0)</f>
        <v>7.6129424263572795E-4</v>
      </c>
      <c r="F4" s="14">
        <f>IFERROR(E4*(1+INDEX(CAGR!$C$16:$C$22,MATCH($A4,CAGR!$B$16:$B$22,0))),0)</f>
        <v>7.6692022711816448E-4</v>
      </c>
      <c r="G4" s="14">
        <f>IFERROR(F4*(1+INDEX(CAGR!$C$16:$C$22,MATCH($A4,CAGR!$B$16:$B$22,0))),0)</f>
        <v>7.7258778777394377E-4</v>
      </c>
      <c r="H4" s="14">
        <f>IFERROR(G4*(1+INDEX(CAGR!$C$16:$C$22,MATCH($A4,CAGR!$B$16:$B$22,0))),0)</f>
        <v>7.7829723185208056E-4</v>
      </c>
      <c r="I4" s="14">
        <f>IFERROR(H4*(1+INDEX(CAGR!$C$16:$C$22,MATCH($A4,CAGR!$B$16:$B$22,0))),0)</f>
        <v>7.8404886887216809E-4</v>
      </c>
      <c r="J4" s="14">
        <f>IFERROR(I4*(1+INDEX(CAGR!$C$16:$C$22,MATCH($A4,CAGR!$B$16:$B$22,0))),0)</f>
        <v>7.8984301064115737E-4</v>
      </c>
      <c r="K4" s="14">
        <f>IFERROR(J4*(1+INDEX(CAGR!$C$16:$C$22,MATCH($A4,CAGR!$B$16:$B$22,0))),0)</f>
        <v>7.9567997127026114E-4</v>
      </c>
      <c r="L4" s="14">
        <f>IFERROR(K4*(1+INDEX(CAGR!$C$16:$C$22,MATCH($A4,CAGR!$B$16:$B$22,0))),0)</f>
        <v>8.0156006719198222E-4</v>
      </c>
      <c r="M4" s="14">
        <f>IFERROR(L4*(1+INDEX(CAGR!$C$16:$C$22,MATCH($A4,CAGR!$B$16:$B$22,0))),0)</f>
        <v>8.0748361717726785E-4</v>
      </c>
      <c r="N4" s="14">
        <f>IFERROR(M4*(1+INDEX(CAGR!$C$16:$C$22,MATCH($A4,CAGR!$B$16:$B$22,0))),0)</f>
        <v>8.1345094235279103E-4</v>
      </c>
      <c r="O4" s="14">
        <f>IFERROR(N4*(1+INDEX(CAGR!$C$16:$C$22,MATCH($A4,CAGR!$B$16:$B$22,0))),0)</f>
        <v>8.1946236621835943E-4</v>
      </c>
      <c r="P4" s="14">
        <f>IFERROR(O4*(1+INDEX(CAGR!$C$16:$C$22,MATCH($A4,CAGR!$B$16:$B$22,0))),0)</f>
        <v>8.2551821466445257E-4</v>
      </c>
      <c r="Q4" s="14">
        <f>IFERROR(P4*(1+INDEX(CAGR!$C$16:$C$22,MATCH($A4,CAGR!$B$16:$B$22,0))),0)</f>
        <v>8.3161881598988938E-4</v>
      </c>
      <c r="R4" s="14">
        <f>IFERROR(Q4*(1+INDEX(CAGR!$C$16:$C$22,MATCH($A4,CAGR!$B$16:$B$22,0))),0)</f>
        <v>8.3776450091962572E-4</v>
      </c>
      <c r="S4" s="14">
        <f>IFERROR(R4*(1+INDEX(CAGR!$C$16:$C$22,MATCH($A4,CAGR!$B$16:$B$22,0))),0)</f>
        <v>8.4395560262268338E-4</v>
      </c>
      <c r="T4" s="14">
        <f>IFERROR(S4*(1+INDEX(CAGR!$C$16:$C$22,MATCH($A4,CAGR!$B$16:$B$22,0))),0)</f>
        <v>8.5019245673021218E-4</v>
      </c>
      <c r="U4" s="14">
        <f>IFERROR(T4*(1+INDEX(CAGR!$C$16:$C$22,MATCH($A4,CAGR!$B$16:$B$22,0))),0)</f>
        <v>8.5647540135368476E-4</v>
      </c>
      <c r="V4" s="14">
        <f>IFERROR(U4*(1+INDEX(CAGR!$C$16:$C$22,MATCH($A4,CAGR!$B$16:$B$22,0))),0)</f>
        <v>8.6280477710322671E-4</v>
      </c>
      <c r="W4" s="14">
        <f>IFERROR(V4*(1+INDEX(CAGR!$C$16:$C$22,MATCH($A4,CAGR!$B$16:$B$22,0))),0)</f>
        <v>8.6918092710608125E-4</v>
      </c>
      <c r="X4" s="14">
        <f>IFERROR(W4*(1+INDEX(CAGR!$C$16:$C$22,MATCH($A4,CAGR!$B$16:$B$22,0))),0)</f>
        <v>8.7560419702521091E-4</v>
      </c>
      <c r="Y4" s="14">
        <f>IFERROR(X4*(1+INDEX(CAGR!$C$16:$C$22,MATCH($A4,CAGR!$B$16:$B$22,0))),0)</f>
        <v>8.8207493507803665E-4</v>
      </c>
      <c r="Z4" s="14">
        <f>IFERROR(Y4*(1+INDEX(CAGR!$C$16:$C$22,MATCH($A4,CAGR!$B$16:$B$22,0))),0)</f>
        <v>8.8859349205531546E-4</v>
      </c>
      <c r="AA4" s="14">
        <f>IFERROR(Z4*(1+INDEX(CAGR!$C$16:$C$22,MATCH($A4,CAGR!$B$16:$B$22,0))),0)</f>
        <v>8.9516022134015702E-4</v>
      </c>
      <c r="AB4" s="14">
        <f>IFERROR(AA4*(1+INDEX(CAGR!$C$16:$C$22,MATCH($A4,CAGR!$B$16:$B$22,0))),0)</f>
        <v>9.0177547892718172E-4</v>
      </c>
      <c r="AC4" s="14">
        <f>IFERROR(AB4*(1+INDEX(CAGR!$C$16:$C$22,MATCH($A4,CAGR!$B$16:$B$22,0))),0)</f>
        <v>9.0843962344181936E-4</v>
      </c>
      <c r="AD4" s="14">
        <f>IFERROR(AC4*(1+INDEX(CAGR!$C$16:$C$22,MATCH($A4,CAGR!$B$16:$B$22,0))),0)</f>
        <v>9.1515301615975131E-4</v>
      </c>
      <c r="AE4" s="14">
        <f>IFERROR(AD4*(1+INDEX(CAGR!$C$16:$C$22,MATCH($A4,CAGR!$B$16:$B$22,0))),0)</f>
        <v>9.2191602102649549E-4</v>
      </c>
      <c r="AF4" s="14">
        <f>IFERROR(AE4*(1+INDEX(CAGR!$C$16:$C$22,MATCH($A4,CAGR!$B$16:$B$22,0))),0)</f>
        <v>9.2872900467713703E-4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8.1346744624501415E-4</v>
      </c>
      <c r="C5" s="14">
        <f>IFERROR(B5*(1+INDEX(CAGR!$C$16:$C$22,MATCH($A5,CAGR!$B$16:$B$22,0))),0)</f>
        <v>8.1947899207478029E-4</v>
      </c>
      <c r="D5" s="14">
        <f>IFERROR(C5*(1+INDEX(CAGR!$C$16:$C$22,MATCH($A5,CAGR!$B$16:$B$22,0))),0)</f>
        <v>8.2553496338638982E-4</v>
      </c>
      <c r="E5" s="14">
        <f>IFERROR(D5*(1+INDEX(CAGR!$C$16:$C$22,MATCH($A5,CAGR!$B$16:$B$22,0))),0)</f>
        <v>8.3163568848532241E-4</v>
      </c>
      <c r="F5" s="14">
        <f>IFERROR(E5*(1+INDEX(CAGR!$C$16:$C$22,MATCH($A5,CAGR!$B$16:$B$22,0))),0)</f>
        <v>8.3778149810324388E-4</v>
      </c>
      <c r="G5" s="14">
        <f>IFERROR(F5*(1+INDEX(CAGR!$C$16:$C$22,MATCH($A5,CAGR!$B$16:$B$22,0))),0)</f>
        <v>8.4397272541593567E-4</v>
      </c>
      <c r="H5" s="14">
        <f>IFERROR(G5*(1+INDEX(CAGR!$C$16:$C$22,MATCH($A5,CAGR!$B$16:$B$22,0))),0)</f>
        <v>8.5020970606135705E-4</v>
      </c>
      <c r="I5" s="14">
        <f>IFERROR(H5*(1+INDEX(CAGR!$C$16:$C$22,MATCH($A5,CAGR!$B$16:$B$22,0))),0)</f>
        <v>8.5649277815784061E-4</v>
      </c>
      <c r="J5" s="14">
        <f>IFERROR(I5*(1+INDEX(CAGR!$C$16:$C$22,MATCH($A5,CAGR!$B$16:$B$22,0))),0)</f>
        <v>8.6282228232242245E-4</v>
      </c>
      <c r="K5" s="14">
        <f>IFERROR(J5*(1+INDEX(CAGR!$C$16:$C$22,MATCH($A5,CAGR!$B$16:$B$22,0))),0)</f>
        <v>8.6919856168930732E-4</v>
      </c>
      <c r="L5" s="14">
        <f>IFERROR(K5*(1+INDEX(CAGR!$C$16:$C$22,MATCH($A5,CAGR!$B$16:$B$22,0))),0)</f>
        <v>8.7562196192847094E-4</v>
      </c>
      <c r="M5" s="14">
        <f>IFERROR(L5*(1+INDEX(CAGR!$C$16:$C$22,MATCH($A5,CAGR!$B$16:$B$22,0))),0)</f>
        <v>8.8209283126439923E-4</v>
      </c>
      <c r="N5" s="14">
        <f>IFERROR(M5*(1+INDEX(CAGR!$C$16:$C$22,MATCH($A5,CAGR!$B$16:$B$22,0))),0)</f>
        <v>8.8861152049496612E-4</v>
      </c>
      <c r="O5" s="14">
        <f>IFERROR(N5*(1+INDEX(CAGR!$C$16:$C$22,MATCH($A5,CAGR!$B$16:$B$22,0))),0)</f>
        <v>8.951783830104511E-4</v>
      </c>
      <c r="P5" s="14">
        <f>IFERROR(O5*(1+INDEX(CAGR!$C$16:$C$22,MATCH($A5,CAGR!$B$16:$B$22,0))),0)</f>
        <v>9.0179377481269709E-4</v>
      </c>
      <c r="Q5" s="14">
        <f>IFERROR(P5*(1+INDEX(CAGR!$C$16:$C$22,MATCH($A5,CAGR!$B$16:$B$22,0))),0)</f>
        <v>9.0845805453441009E-4</v>
      </c>
      <c r="R5" s="14">
        <f>IFERROR(Q5*(1+INDEX(CAGR!$C$16:$C$22,MATCH($A5,CAGR!$B$16:$B$22,0))),0)</f>
        <v>9.151715834586012E-4</v>
      </c>
      <c r="S5" s="14">
        <f>IFERROR(R5*(1+INDEX(CAGR!$C$16:$C$22,MATCH($A5,CAGR!$B$16:$B$22,0))),0)</f>
        <v>9.2193472553817241E-4</v>
      </c>
      <c r="T5" s="14">
        <f>IFERROR(S5*(1+INDEX(CAGR!$C$16:$C$22,MATCH($A5,CAGR!$B$16:$B$22,0))),0)</f>
        <v>9.2874784741564737E-4</v>
      </c>
      <c r="U5" s="14">
        <f>IFERROR(T5*(1+INDEX(CAGR!$C$16:$C$22,MATCH($A5,CAGR!$B$16:$B$22,0))),0)</f>
        <v>9.3561131844304747E-4</v>
      </c>
      <c r="V5" s="14">
        <f>IFERROR(U5*(1+INDEX(CAGR!$C$16:$C$22,MATCH($A5,CAGR!$B$16:$B$22,0))),0)</f>
        <v>9.4252551070191527E-4</v>
      </c>
      <c r="W5" s="14">
        <f>IFERROR(V5*(1+INDEX(CAGR!$C$16:$C$22,MATCH($A5,CAGR!$B$16:$B$22,0))),0)</f>
        <v>9.4949079902348593E-4</v>
      </c>
      <c r="X5" s="14">
        <f>IFERROR(W5*(1+INDEX(CAGR!$C$16:$C$22,MATCH($A5,CAGR!$B$16:$B$22,0))),0)</f>
        <v>9.5650756100900704E-4</v>
      </c>
      <c r="Y5" s="14">
        <f>IFERROR(X5*(1+INDEX(CAGR!$C$16:$C$22,MATCH($A5,CAGR!$B$16:$B$22,0))),0)</f>
        <v>9.6357617705020941E-4</v>
      </c>
      <c r="Z5" s="14">
        <f>IFERROR(Y5*(1+INDEX(CAGR!$C$16:$C$22,MATCH($A5,CAGR!$B$16:$B$22,0))),0)</f>
        <v>9.7069703034992881E-4</v>
      </c>
      <c r="AA5" s="14">
        <f>IFERROR(Z5*(1+INDEX(CAGR!$C$16:$C$22,MATCH($A5,CAGR!$B$16:$B$22,0))),0)</f>
        <v>9.7787050694288008E-4</v>
      </c>
      <c r="AB5" s="14">
        <f>IFERROR(AA5*(1+INDEX(CAGR!$C$16:$C$22,MATCH($A5,CAGR!$B$16:$B$22,0))),0)</f>
        <v>9.8509699571658468E-4</v>
      </c>
      <c r="AC5" s="14">
        <f>IFERROR(AB5*(1+INDEX(CAGR!$C$16:$C$22,MATCH($A5,CAGR!$B$16:$B$22,0))),0)</f>
        <v>9.9237688843245315E-4</v>
      </c>
      <c r="AD5" s="14">
        <f>IFERROR(AC5*(1+INDEX(CAGR!$C$16:$C$22,MATCH($A5,CAGR!$B$16:$B$22,0))),0)</f>
        <v>9.9971057974702297E-4</v>
      </c>
      <c r="AE5" s="14">
        <f>IFERROR(AD5*(1+INDEX(CAGR!$C$16:$C$22,MATCH($A5,CAGR!$B$16:$B$22,0))),0)</f>
        <v>1.0070984672333541E-3</v>
      </c>
      <c r="AF5" s="14">
        <f>IFERROR(AE5*(1+INDEX(CAGR!$C$16:$C$22,MATCH($A5,CAGR!$B$16:$B$22,0))),0)</f>
        <v>1.0145409514025817E-3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1.8038325811099969E-3</v>
      </c>
      <c r="C6" s="14">
        <f>IFERROR(B6*(1+INDEX(CAGR!$C$16:$C$22,MATCH($A6,CAGR!$B$16:$B$22,0))),0)</f>
        <v>1.8171629513425408E-3</v>
      </c>
      <c r="D6" s="14">
        <f>IFERROR(C6*(1+INDEX(CAGR!$C$16:$C$22,MATCH($A6,CAGR!$B$16:$B$22,0))),0)</f>
        <v>1.83059183336182E-3</v>
      </c>
      <c r="E6" s="14">
        <f>IFERROR(D6*(1+INDEX(CAGR!$C$16:$C$22,MATCH($A6,CAGR!$B$16:$B$22,0))),0)</f>
        <v>1.8441199551725304E-3</v>
      </c>
      <c r="F6" s="14">
        <f>IFERROR(E6*(1+INDEX(CAGR!$C$16:$C$22,MATCH($A6,CAGR!$B$16:$B$22,0))),0)</f>
        <v>1.8577480501593417E-3</v>
      </c>
      <c r="G6" s="14">
        <f>IFERROR(F6*(1+INDEX(CAGR!$C$16:$C$22,MATCH($A6,CAGR!$B$16:$B$22,0))),0)</f>
        <v>1.8714768571266556E-3</v>
      </c>
      <c r="H6" s="14">
        <f>IFERROR(G6*(1+INDEX(CAGR!$C$16:$C$22,MATCH($A6,CAGR!$B$16:$B$22,0))),0)</f>
        <v>1.8853071203386576E-3</v>
      </c>
      <c r="I6" s="14">
        <f>IFERROR(H6*(1+INDEX(CAGR!$C$16:$C$22,MATCH($A6,CAGR!$B$16:$B$22,0))),0)</f>
        <v>1.899239589559665E-3</v>
      </c>
      <c r="J6" s="14">
        <f>IFERROR(I6*(1+INDEX(CAGR!$C$16:$C$22,MATCH($A6,CAGR!$B$16:$B$22,0))),0)</f>
        <v>1.9132750200947736E-3</v>
      </c>
      <c r="K6" s="14">
        <f>IFERROR(J6*(1+INDEX(CAGR!$C$16:$C$22,MATCH($A6,CAGR!$B$16:$B$22,0))),0)</f>
        <v>1.9274141728308034E-3</v>
      </c>
      <c r="L6" s="14">
        <f>IFERROR(K6*(1+INDEX(CAGR!$C$16:$C$22,MATCH($A6,CAGR!$B$16:$B$22,0))),0)</f>
        <v>1.9416578142775482E-3</v>
      </c>
      <c r="M6" s="14">
        <f>IFERROR(L6*(1+INDEX(CAGR!$C$16:$C$22,MATCH($A6,CAGR!$B$16:$B$22,0))),0)</f>
        <v>1.9560067166093293E-3</v>
      </c>
      <c r="N6" s="14">
        <f>IFERROR(M6*(1+INDEX(CAGR!$C$16:$C$22,MATCH($A6,CAGR!$B$16:$B$22,0))),0)</f>
        <v>1.9704616577068562E-3</v>
      </c>
      <c r="O6" s="14">
        <f>IFERROR(N6*(1+INDEX(CAGR!$C$16:$C$22,MATCH($A6,CAGR!$B$16:$B$22,0))),0)</f>
        <v>1.9850234211993977E-3</v>
      </c>
      <c r="P6" s="14">
        <f>IFERROR(O6*(1+INDEX(CAGR!$C$16:$C$22,MATCH($A6,CAGR!$B$16:$B$22,0))),0)</f>
        <v>1.9996927965072633E-3</v>
      </c>
      <c r="Q6" s="14">
        <f>IFERROR(P6*(1+INDEX(CAGR!$C$16:$C$22,MATCH($A6,CAGR!$B$16:$B$22,0))),0)</f>
        <v>2.0144705788846E-3</v>
      </c>
      <c r="R6" s="14">
        <f>IFERROR(Q6*(1+INDEX(CAGR!$C$16:$C$22,MATCH($A6,CAGR!$B$16:$B$22,0))),0)</f>
        <v>2.0293575694625026E-3</v>
      </c>
      <c r="S6" s="14">
        <f>IFERROR(R6*(1+INDEX(CAGR!$C$16:$C$22,MATCH($A6,CAGR!$B$16:$B$22,0))),0)</f>
        <v>2.0443545752924473E-3</v>
      </c>
      <c r="T6" s="14">
        <f>IFERROR(S6*(1+INDEX(CAGR!$C$16:$C$22,MATCH($A6,CAGR!$B$16:$B$22,0))),0)</f>
        <v>2.0594624093900407E-3</v>
      </c>
      <c r="U6" s="14">
        <f>IFERROR(T6*(1+INDEX(CAGR!$C$16:$C$22,MATCH($A6,CAGR!$B$16:$B$22,0))),0)</f>
        <v>2.0746818907790964E-3</v>
      </c>
      <c r="V6" s="14">
        <f>IFERROR(U6*(1+INDEX(CAGR!$C$16:$C$22,MATCH($A6,CAGR!$B$16:$B$22,0))),0)</f>
        <v>2.0900138445360361E-3</v>
      </c>
      <c r="W6" s="14">
        <f>IFERROR(V6*(1+INDEX(CAGR!$C$16:$C$22,MATCH($A6,CAGR!$B$16:$B$22,0))),0)</f>
        <v>2.1054591018346172E-3</v>
      </c>
      <c r="X6" s="14">
        <f>IFERROR(W6*(1+INDEX(CAGR!$C$16:$C$22,MATCH($A6,CAGR!$B$16:$B$22,0))),0)</f>
        <v>2.1210184999909936E-3</v>
      </c>
      <c r="Y6" s="14">
        <f>IFERROR(X6*(1+INDEX(CAGR!$C$16:$C$22,MATCH($A6,CAGR!$B$16:$B$22,0))),0)</f>
        <v>2.1366928825091074E-3</v>
      </c>
      <c r="Z6" s="14">
        <f>IFERROR(Y6*(1+INDEX(CAGR!$C$16:$C$22,MATCH($A6,CAGR!$B$16:$B$22,0))),0)</f>
        <v>2.1524830991264173E-3</v>
      </c>
      <c r="AA6" s="14">
        <f>IFERROR(Z6*(1+INDEX(CAGR!$C$16:$C$22,MATCH($A6,CAGR!$B$16:$B$22,0))),0)</f>
        <v>2.1683900058599636E-3</v>
      </c>
      <c r="AB6" s="14">
        <f>IFERROR(AA6*(1+INDEX(CAGR!$C$16:$C$22,MATCH($A6,CAGR!$B$16:$B$22,0))),0)</f>
        <v>2.1844144650527753E-3</v>
      </c>
      <c r="AC6" s="14">
        <f>IFERROR(AB6*(1+INDEX(CAGR!$C$16:$C$22,MATCH($A6,CAGR!$B$16:$B$22,0))),0)</f>
        <v>2.2005573454206193E-3</v>
      </c>
      <c r="AD6" s="14">
        <f>IFERROR(AC6*(1+INDEX(CAGR!$C$16:$C$22,MATCH($A6,CAGR!$B$16:$B$22,0))),0)</f>
        <v>2.2168195220990945E-3</v>
      </c>
      <c r="AE6" s="14">
        <f>IFERROR(AD6*(1+INDEX(CAGR!$C$16:$C$22,MATCH($A6,CAGR!$B$16:$B$22,0))),0)</f>
        <v>2.2332018766910754E-3</v>
      </c>
      <c r="AF6" s="14">
        <f>IFERROR(AE6*(1+INDEX(CAGR!$C$16:$C$22,MATCH($A6,CAGR!$B$16:$B$22,0))),0)</f>
        <v>2.2497052973145045E-3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1.3648120076442665E-3</v>
      </c>
      <c r="C7" s="14">
        <f>IFERROR(B7*(1+INDEX(CAGR!$C$16:$C$22,MATCH($A7,CAGR!$B$16:$B$22,0))),0)</f>
        <v>1.3748980042884364E-3</v>
      </c>
      <c r="D7" s="14">
        <f>IFERROR(C7*(1+INDEX(CAGR!$C$16:$C$22,MATCH($A7,CAGR!$B$16:$B$22,0))),0)</f>
        <v>1.3850585367131654E-3</v>
      </c>
      <c r="E7" s="14">
        <f>IFERROR(D7*(1+INDEX(CAGR!$C$16:$C$22,MATCH($A7,CAGR!$B$16:$B$22,0))),0)</f>
        <v>1.3952941557398328E-3</v>
      </c>
      <c r="F7" s="14">
        <f>IFERROR(E7*(1+INDEX(CAGR!$C$16:$C$22,MATCH($A7,CAGR!$B$16:$B$22,0))),0)</f>
        <v>1.4056054162604023E-3</v>
      </c>
      <c r="G7" s="14">
        <f>IFERROR(F7*(1+INDEX(CAGR!$C$16:$C$22,MATCH($A7,CAGR!$B$16:$B$22,0))),0)</f>
        <v>1.4159928772675043E-3</v>
      </c>
      <c r="H7" s="14">
        <f>IFERROR(G7*(1+INDEX(CAGR!$C$16:$C$22,MATCH($A7,CAGR!$B$16:$B$22,0))),0)</f>
        <v>1.4264571018847388E-3</v>
      </c>
      <c r="I7" s="14">
        <f>IFERROR(H7*(1+INDEX(CAGR!$C$16:$C$22,MATCH($A7,CAGR!$B$16:$B$22,0))),0)</f>
        <v>1.4369986573972045E-3</v>
      </c>
      <c r="J7" s="14">
        <f>IFERROR(I7*(1+INDEX(CAGR!$C$16:$C$22,MATCH($A7,CAGR!$B$16:$B$22,0))),0)</f>
        <v>1.4476181152822515E-3</v>
      </c>
      <c r="K7" s="14">
        <f>IFERROR(J7*(1+INDEX(CAGR!$C$16:$C$22,MATCH($A7,CAGR!$B$16:$B$22,0))),0)</f>
        <v>1.4583160512404629E-3</v>
      </c>
      <c r="L7" s="14">
        <f>IFERROR(K7*(1+INDEX(CAGR!$C$16:$C$22,MATCH($A7,CAGR!$B$16:$B$22,0))),0)</f>
        <v>1.469093045226864E-3</v>
      </c>
      <c r="M7" s="14">
        <f>IFERROR(L7*(1+INDEX(CAGR!$C$16:$C$22,MATCH($A7,CAGR!$B$16:$B$22,0))),0)</f>
        <v>1.4799496814823631E-3</v>
      </c>
      <c r="N7" s="14">
        <f>IFERROR(M7*(1+INDEX(CAGR!$C$16:$C$22,MATCH($A7,CAGR!$B$16:$B$22,0))),0)</f>
        <v>1.4908865485654243E-3</v>
      </c>
      <c r="O7" s="14">
        <f>IFERROR(N7*(1+INDEX(CAGR!$C$16:$C$22,MATCH($A7,CAGR!$B$16:$B$22,0))),0)</f>
        <v>1.5019042393839741E-3</v>
      </c>
      <c r="P7" s="14">
        <f>IFERROR(O7*(1+INDEX(CAGR!$C$16:$C$22,MATCH($A7,CAGR!$B$16:$B$22,0))),0)</f>
        <v>1.5130033512275442E-3</v>
      </c>
      <c r="Q7" s="14">
        <f>IFERROR(P7*(1+INDEX(CAGR!$C$16:$C$22,MATCH($A7,CAGR!$B$16:$B$22,0))),0)</f>
        <v>1.5241844857996516E-3</v>
      </c>
      <c r="R7" s="14">
        <f>IFERROR(Q7*(1+INDEX(CAGR!$C$16:$C$22,MATCH($A7,CAGR!$B$16:$B$22,0))),0)</f>
        <v>1.5354482492504183E-3</v>
      </c>
      <c r="S7" s="14">
        <f>IFERROR(R7*(1+INDEX(CAGR!$C$16:$C$22,MATCH($A7,CAGR!$B$16:$B$22,0))),0)</f>
        <v>1.5467952522094314E-3</v>
      </c>
      <c r="T7" s="14">
        <f>IFERROR(S7*(1+INDEX(CAGR!$C$16:$C$22,MATCH($A7,CAGR!$B$16:$B$22,0))),0)</f>
        <v>1.558226109818847E-3</v>
      </c>
      <c r="U7" s="14">
        <f>IFERROR(T7*(1+INDEX(CAGR!$C$16:$C$22,MATCH($A7,CAGR!$B$16:$B$22,0))),0)</f>
        <v>1.5697414417667375E-3</v>
      </c>
      <c r="V7" s="14">
        <f>IFERROR(U7*(1+INDEX(CAGR!$C$16:$C$22,MATCH($A7,CAGR!$B$16:$B$22,0))),0)</f>
        <v>1.5813418723206868E-3</v>
      </c>
      <c r="W7" s="14">
        <f>IFERROR(V7*(1+INDEX(CAGR!$C$16:$C$22,MATCH($A7,CAGR!$B$16:$B$22,0))),0)</f>
        <v>1.5930280303616327E-3</v>
      </c>
      <c r="X7" s="14">
        <f>IFERROR(W7*(1+INDEX(CAGR!$C$16:$C$22,MATCH($A7,CAGR!$B$16:$B$22,0))),0)</f>
        <v>1.6048005494179597E-3</v>
      </c>
      <c r="Y7" s="14">
        <f>IFERROR(X7*(1+INDEX(CAGR!$C$16:$C$22,MATCH($A7,CAGR!$B$16:$B$22,0))),0)</f>
        <v>1.6166600676998434E-3</v>
      </c>
      <c r="Z7" s="14">
        <f>IFERROR(Y7*(1+INDEX(CAGR!$C$16:$C$22,MATCH($A7,CAGR!$B$16:$B$22,0))),0)</f>
        <v>1.6286072281338495E-3</v>
      </c>
      <c r="AA7" s="14">
        <f>IFERROR(Z7*(1+INDEX(CAGR!$C$16:$C$22,MATCH($A7,CAGR!$B$16:$B$22,0))),0)</f>
        <v>1.6406426783977881E-3</v>
      </c>
      <c r="AB7" s="14">
        <f>IFERROR(AA7*(1+INDEX(CAGR!$C$16:$C$22,MATCH($A7,CAGR!$B$16:$B$22,0))),0)</f>
        <v>1.6527670709558253E-3</v>
      </c>
      <c r="AC7" s="14">
        <f>IFERROR(AB7*(1+INDEX(CAGR!$C$16:$C$22,MATCH($A7,CAGR!$B$16:$B$22,0))),0)</f>
        <v>1.6649810630938544E-3</v>
      </c>
      <c r="AD7" s="14">
        <f>IFERROR(AC7*(1+INDEX(CAGR!$C$16:$C$22,MATCH($A7,CAGR!$B$16:$B$22,0))),0)</f>
        <v>1.677285316955129E-3</v>
      </c>
      <c r="AE7" s="14">
        <f>IFERROR(AD7*(1+INDEX(CAGR!$C$16:$C$22,MATCH($A7,CAGR!$B$16:$B$22,0))),0)</f>
        <v>1.6896804995761585E-3</v>
      </c>
      <c r="AF7" s="14">
        <f>IFERROR(AE7*(1+INDEX(CAGR!$C$16:$C$22,MATCH($A7,CAGR!$B$16:$B$22,0))),0)</f>
        <v>1.7021672829228699E-3</v>
      </c>
      <c r="AG7" s="14"/>
    </row>
    <row r="8" spans="1:33">
      <c r="A8" s="1" t="s">
        <v>15</v>
      </c>
      <c r="B8" s="18">
        <f>'SYFAFE psgr'!H3</f>
        <v>2.4225000000000002E-3</v>
      </c>
      <c r="C8" s="18">
        <f>B8*(1+CAGR!$D$22)</f>
        <v>2.4481585172899736E-3</v>
      </c>
      <c r="D8" s="18">
        <f>C8*(1+CAGR!$D$22)</f>
        <v>2.4740888032113279E-3</v>
      </c>
      <c r="E8" s="18">
        <f>D8*(1+CAGR!$D$22)</f>
        <v>2.500293736269791E-3</v>
      </c>
      <c r="F8" s="18">
        <f>E8*(1+CAGR!$D$22)</f>
        <v>2.5267762254595084E-3</v>
      </c>
      <c r="G8" s="18">
        <f>F8*(1+CAGR!$D$22)</f>
        <v>2.5535392105859671E-3</v>
      </c>
      <c r="H8" s="18">
        <f>G8*(1+CAGR!$D$22)</f>
        <v>2.5805856625923428E-3</v>
      </c>
      <c r="I8" s="18">
        <f>H8*(1+CAGR!$D$22)</f>
        <v>2.6079185838893018E-3</v>
      </c>
      <c r="J8" s="18">
        <f>I8*(1+CAGR!$D$22)</f>
        <v>2.6355410086882974E-3</v>
      </c>
      <c r="K8" s="18">
        <f>J8*(1+CAGR!$D$22)</f>
        <v>2.6634560033383953E-3</v>
      </c>
      <c r="L8" s="18">
        <f>K8*(1+CAGR!$D$22)</f>
        <v>2.6916666666666686E-3</v>
      </c>
      <c r="M8" s="18">
        <f>L8*(1+CAGR!$D$22)</f>
        <v>2.7201761303221944E-3</v>
      </c>
      <c r="N8" s="18">
        <f>M8*(1+CAGR!$D$22)</f>
        <v>2.7489875591236988E-3</v>
      </c>
      <c r="O8" s="18">
        <f>N8*(1+CAGR!$D$22)</f>
        <v>2.7781041514108804E-3</v>
      </c>
      <c r="P8" s="18">
        <f>O8*(1+CAGR!$D$22)</f>
        <v>2.8075291393994551E-3</v>
      </c>
      <c r="Q8" s="18">
        <f>P8*(1+CAGR!$D$22)</f>
        <v>2.8372657895399649E-3</v>
      </c>
      <c r="R8" s="18">
        <f>Q8*(1+CAGR!$D$22)</f>
        <v>2.8673174028803821E-3</v>
      </c>
      <c r="S8" s="18">
        <f>R8*(1+CAGR!$D$22)</f>
        <v>2.8976873154325589E-3</v>
      </c>
      <c r="T8" s="18">
        <f>S8*(1+CAGR!$D$22)</f>
        <v>2.9283788985425539E-3</v>
      </c>
      <c r="U8" s="18">
        <f>T8*(1+CAGR!$D$22)</f>
        <v>2.9593955592648849E-3</v>
      </c>
      <c r="V8" s="18">
        <f>U8*(1+CAGR!$D$22)</f>
        <v>2.9907407407407439E-3</v>
      </c>
      <c r="W8" s="18">
        <f>V8*(1+CAGR!$D$22)</f>
        <v>3.022417922580217E-3</v>
      </c>
      <c r="X8" s="18">
        <f>W8*(1+CAGR!$D$22)</f>
        <v>3.0544306212485555E-3</v>
      </c>
      <c r="Y8" s="18">
        <f>X8*(1+CAGR!$D$22)</f>
        <v>3.0867823904565349E-3</v>
      </c>
      <c r="Z8" s="18">
        <f>Y8*(1+CAGR!$D$22)</f>
        <v>3.1194768215549516E-3</v>
      </c>
      <c r="AA8" s="18">
        <f>Z8*(1+CAGR!$D$22)</f>
        <v>3.1525175439332956E-3</v>
      </c>
      <c r="AB8" s="18">
        <f>AA8*(1+CAGR!$D$22)</f>
        <v>3.1859082254226483E-3</v>
      </c>
      <c r="AC8" s="18">
        <f>AB8*(1+CAGR!$D$22)</f>
        <v>3.2196525727028447E-3</v>
      </c>
      <c r="AD8" s="18">
        <f>AC8*(1+CAGR!$D$22)</f>
        <v>3.2537543317139503E-3</v>
      </c>
      <c r="AE8" s="18">
        <f>AD8*(1+CAGR!$D$22)</f>
        <v>3.2882172880720961E-3</v>
      </c>
      <c r="AF8" s="18">
        <f>AE8*(1+CAGR!$D$22)</f>
        <v>3.3230452674897172E-3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2.8650420585667308E-3</v>
      </c>
      <c r="C2" s="21">
        <f>IFERROR(B2*(1+INDEX(CAGR!$C$23:$C$29,MATCH($A2,CAGR!$B$23:$B$29,0))),0)</f>
        <v>2.9108035451618055E-3</v>
      </c>
      <c r="D2" s="21">
        <f>IFERROR(C2*(1+INDEX(CAGR!$C$23:$C$29,MATCH($A2,CAGR!$B$23:$B$29,0))),0)</f>
        <v>2.9572959507495455E-3</v>
      </c>
      <c r="E2" s="21">
        <f>IFERROR(D2*(1+INDEX(CAGR!$C$23:$C$29,MATCH($A2,CAGR!$B$23:$B$29,0))),0)</f>
        <v>3.0045309498321049E-3</v>
      </c>
      <c r="F2" s="21">
        <f>IFERROR(E2*(1+INDEX(CAGR!$C$23:$C$29,MATCH($A2,CAGR!$B$23:$B$29,0))),0)</f>
        <v>3.0525204033810035E-3</v>
      </c>
      <c r="G2" s="21">
        <f>IFERROR(F2*(1+INDEX(CAGR!$C$23:$C$29,MATCH($A2,CAGR!$B$23:$B$29,0))),0)</f>
        <v>3.1012763618154817E-3</v>
      </c>
      <c r="H2" s="21">
        <f>IFERROR(G2*(1+INDEX(CAGR!$C$23:$C$29,MATCH($A2,CAGR!$B$23:$B$29,0))),0)</f>
        <v>3.1508110680284291E-3</v>
      </c>
      <c r="I2" s="21">
        <f>IFERROR(H2*(1+INDEX(CAGR!$C$23:$C$29,MATCH($A2,CAGR!$B$23:$B$29,0))),0)</f>
        <v>3.2011369604606423E-3</v>
      </c>
      <c r="J2" s="21">
        <f>IFERROR(I2*(1+INDEX(CAGR!$C$23:$C$29,MATCH($A2,CAGR!$B$23:$B$29,0))),0)</f>
        <v>3.2522666762241866E-3</v>
      </c>
      <c r="K2" s="21">
        <f>IFERROR(J2*(1+INDEX(CAGR!$C$23:$C$29,MATCH($A2,CAGR!$B$23:$B$29,0))),0)</f>
        <v>3.3042130542756468E-3</v>
      </c>
      <c r="L2" s="21">
        <f>IFERROR(K2*(1+INDEX(CAGR!$C$23:$C$29,MATCH($A2,CAGR!$B$23:$B$29,0))),0)</f>
        <v>3.3569891386400585E-3</v>
      </c>
      <c r="M2" s="21">
        <f>IFERROR(L2*(1+INDEX(CAGR!$C$23:$C$29,MATCH($A2,CAGR!$B$23:$B$29,0))),0)</f>
        <v>3.4106081816863369E-3</v>
      </c>
      <c r="N2" s="21">
        <f>IFERROR(M2*(1+INDEX(CAGR!$C$23:$C$29,MATCH($A2,CAGR!$B$23:$B$29,0))),0)</f>
        <v>3.4650836474550205E-3</v>
      </c>
      <c r="O2" s="21">
        <f>IFERROR(N2*(1+INDEX(CAGR!$C$23:$C$29,MATCH($A2,CAGR!$B$23:$B$29,0))),0)</f>
        <v>3.520429215039166E-3</v>
      </c>
      <c r="P2" s="21">
        <f>IFERROR(O2*(1+INDEX(CAGR!$C$23:$C$29,MATCH($A2,CAGR!$B$23:$B$29,0))),0)</f>
        <v>3.5766587820192457E-3</v>
      </c>
      <c r="Q2" s="21">
        <f>IFERROR(P2*(1+INDEX(CAGR!$C$23:$C$29,MATCH($A2,CAGR!$B$23:$B$29,0))),0)</f>
        <v>3.6337864679529064E-3</v>
      </c>
      <c r="R2" s="21">
        <f>IFERROR(Q2*(1+INDEX(CAGR!$C$23:$C$29,MATCH($A2,CAGR!$B$23:$B$29,0))),0)</f>
        <v>3.69182661792047E-3</v>
      </c>
      <c r="S2" s="21">
        <f>IFERROR(R2*(1+INDEX(CAGR!$C$23:$C$29,MATCH($A2,CAGR!$B$23:$B$29,0))),0)</f>
        <v>3.7507938061270623E-3</v>
      </c>
      <c r="T2" s="21">
        <f>IFERROR(S2*(1+INDEX(CAGR!$C$23:$C$29,MATCH($A2,CAGR!$B$23:$B$29,0))),0)</f>
        <v>3.8107028395622778E-3</v>
      </c>
      <c r="U2" s="21">
        <f>IFERROR(T2*(1+INDEX(CAGR!$C$23:$C$29,MATCH($A2,CAGR!$B$23:$B$29,0))),0)</f>
        <v>3.8715687617182962E-3</v>
      </c>
      <c r="V2" s="21">
        <f>IFERROR(U2*(1+INDEX(CAGR!$C$23:$C$29,MATCH($A2,CAGR!$B$23:$B$29,0))),0)</f>
        <v>3.9334068563673889E-3</v>
      </c>
      <c r="W2" s="21">
        <f>IFERROR(V2*(1+INDEX(CAGR!$C$23:$C$29,MATCH($A2,CAGR!$B$23:$B$29,0))),0)</f>
        <v>3.9962326513997577E-3</v>
      </c>
      <c r="X2" s="21">
        <f>IFERROR(W2*(1+INDEX(CAGR!$C$23:$C$29,MATCH($A2,CAGR!$B$23:$B$29,0))),0)</f>
        <v>4.0600619227226763E-3</v>
      </c>
      <c r="Y2" s="21">
        <f>IFERROR(X2*(1+INDEX(CAGR!$C$23:$C$29,MATCH($A2,CAGR!$B$23:$B$29,0))),0)</f>
        <v>4.1249106982219064E-3</v>
      </c>
      <c r="Z2" s="21">
        <f>IFERROR(Y2*(1+INDEX(CAGR!$C$23:$C$29,MATCH($A2,CAGR!$B$23:$B$29,0))),0)</f>
        <v>4.1907952617863909E-3</v>
      </c>
      <c r="AA2" s="21">
        <f>IFERROR(Z2*(1+INDEX(CAGR!$C$23:$C$29,MATCH($A2,CAGR!$B$23:$B$29,0))),0)</f>
        <v>4.2577321573972282E-3</v>
      </c>
      <c r="AB2" s="21">
        <f>IFERROR(AA2*(1+INDEX(CAGR!$C$23:$C$29,MATCH($A2,CAGR!$B$23:$B$29,0))),0)</f>
        <v>4.325738193281959E-3</v>
      </c>
      <c r="AC2" s="21">
        <f>IFERROR(AB2*(1+INDEX(CAGR!$C$23:$C$29,MATCH($A2,CAGR!$B$23:$B$29,0))),0)</f>
        <v>4.394830446135204E-3</v>
      </c>
      <c r="AD2" s="21">
        <f>IFERROR(AC2*(1+INDEX(CAGR!$C$23:$C$29,MATCH($A2,CAGR!$B$23:$B$29,0))),0)</f>
        <v>4.4650262654067196E-3</v>
      </c>
      <c r="AE2" s="21">
        <f>IFERROR(AD2*(1+INDEX(CAGR!$C$23:$C$29,MATCH($A2,CAGR!$B$23:$B$29,0))),0)</f>
        <v>4.53634327765794E-3</v>
      </c>
      <c r="AF2" s="21">
        <f>IFERROR(AE2*(1+INDEX(CAGR!$C$23:$C$29,MATCH($A2,CAGR!$B$23:$B$29,0))),0)</f>
        <v>4.608799390988105E-3</v>
      </c>
      <c r="AG2" s="14"/>
    </row>
    <row r="3" spans="1:33">
      <c r="A3" s="1" t="s">
        <v>10</v>
      </c>
      <c r="B3" s="13">
        <f>B5*Calibration!$C$27</f>
        <v>1.0276218605288386E-3</v>
      </c>
      <c r="C3" s="13">
        <f>B3*(1+CAGR!$C$24)</f>
        <v>1.0352160131144824E-3</v>
      </c>
      <c r="D3" s="13">
        <f>C3*(1+CAGR!$C$24)</f>
        <v>1.0428662866875335E-3</v>
      </c>
      <c r="E3" s="13">
        <f>D3*(1+CAGR!$C$24)</f>
        <v>1.050573095983565E-3</v>
      </c>
      <c r="F3" s="13">
        <f>E3*(1+CAGR!$C$24)</f>
        <v>1.0583368588030573E-3</v>
      </c>
      <c r="G3" s="13">
        <f>F3*(1+CAGR!$C$24)</f>
        <v>1.0661579960340474E-3</v>
      </c>
      <c r="H3" s="13">
        <f>G3*(1+CAGR!$C$24)</f>
        <v>1.0740369316749455E-3</v>
      </c>
      <c r="I3" s="13">
        <f>H3*(1+CAGR!$C$24)</f>
        <v>1.0819740928575217E-3</v>
      </c>
      <c r="J3" s="13">
        <f>I3*(1+CAGR!$C$24)</f>
        <v>1.0899699098700607E-3</v>
      </c>
      <c r="K3" s="13">
        <f>J3*(1+CAGR!$C$24)</f>
        <v>1.0980248161806894E-3</v>
      </c>
      <c r="L3" s="13">
        <f>K3*(1+CAGR!$C$24)</f>
        <v>1.106139248460875E-3</v>
      </c>
      <c r="M3" s="13">
        <f>L3*(1+CAGR!$C$24)</f>
        <v>1.1143136466090988E-3</v>
      </c>
      <c r="N3" s="13">
        <f>M3*(1+CAGR!$C$24)</f>
        <v>1.1225484537747033E-3</v>
      </c>
      <c r="O3" s="13">
        <f>N3*(1+CAGR!$C$24)</f>
        <v>1.1308441163819162E-3</v>
      </c>
      <c r="P3" s="13">
        <f>O3*(1+CAGR!$C$24)</f>
        <v>1.1392010841540521E-3</v>
      </c>
      <c r="Q3" s="13">
        <f>P3*(1+CAGR!$C$24)</f>
        <v>1.1476198101378926E-3</v>
      </c>
      <c r="R3" s="13">
        <f>Q3*(1+CAGR!$C$24)</f>
        <v>1.1561007507282473E-3</v>
      </c>
      <c r="S3" s="13">
        <f>R3*(1+CAGR!$C$24)</f>
        <v>1.1646443656926949E-3</v>
      </c>
      <c r="T3" s="13">
        <f>S3*(1+CAGR!$C$24)</f>
        <v>1.1732511181965089E-3</v>
      </c>
      <c r="U3" s="13">
        <f>T3*(1+CAGR!$C$24)</f>
        <v>1.1819214748277666E-3</v>
      </c>
      <c r="V3" s="13">
        <f>U3*(1+CAGR!$C$24)</f>
        <v>1.1906559056226429E-3</v>
      </c>
      <c r="W3" s="13">
        <f>V3*(1+CAGR!$C$24)</f>
        <v>1.1994548840908929E-3</v>
      </c>
      <c r="X3" s="13">
        <f>W3*(1+CAGR!$C$24)</f>
        <v>1.208318887241521E-3</v>
      </c>
      <c r="Y3" s="13">
        <f>X3*(1+CAGR!$C$24)</f>
        <v>1.2172483956086409E-3</v>
      </c>
      <c r="Z3" s="13">
        <f>Y3*(1+CAGR!$C$24)</f>
        <v>1.2262438932775256E-3</v>
      </c>
      <c r="AA3" s="13">
        <f>Z3*(1+CAGR!$C$24)</f>
        <v>1.2353058679108514E-3</v>
      </c>
      <c r="AB3" s="13">
        <f>AA3*(1+CAGR!$C$24)</f>
        <v>1.2444348107751345E-3</v>
      </c>
      <c r="AC3" s="13">
        <f>AB3*(1+CAGR!$C$24)</f>
        <v>1.2536312167673637E-3</v>
      </c>
      <c r="AD3" s="13">
        <f>AC3*(1+CAGR!$C$24)</f>
        <v>1.2628955844418293E-3</v>
      </c>
      <c r="AE3" s="13">
        <f>AD3*(1+CAGR!$C$24)</f>
        <v>1.2722284160371514E-3</v>
      </c>
      <c r="AF3" s="13">
        <f>AE3*(1+CAGR!$C$24)</f>
        <v>1.2816302175035058E-3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1.5090702594118034E-3</v>
      </c>
      <c r="C4" s="14">
        <f>IFERROR(B4*(1+INDEX(CAGR!$C$23:$C$29,MATCH($A4,CAGR!$B$23:$B$29,0))),0)</f>
        <v>1.5202223283319145E-3</v>
      </c>
      <c r="D4" s="14">
        <f>IFERROR(C4*(1+INDEX(CAGR!$C$23:$C$29,MATCH($A4,CAGR!$B$23:$B$29,0))),0)</f>
        <v>1.5314568113347518E-3</v>
      </c>
      <c r="E4" s="14">
        <f>IFERROR(D4*(1+INDEX(CAGR!$C$23:$C$29,MATCH($A4,CAGR!$B$23:$B$29,0))),0)</f>
        <v>1.542774317462555E-3</v>
      </c>
      <c r="F4" s="14">
        <f>IFERROR(E4*(1+INDEX(CAGR!$C$23:$C$29,MATCH($A4,CAGR!$B$23:$B$29,0))),0)</f>
        <v>1.5541754602584018E-3</v>
      </c>
      <c r="G4" s="14">
        <f>IFERROR(F4*(1+INDEX(CAGR!$C$23:$C$29,MATCH($A4,CAGR!$B$23:$B$29,0))),0)</f>
        <v>1.5656608577994697E-3</v>
      </c>
      <c r="H4" s="14">
        <f>IFERROR(G4*(1+INDEX(CAGR!$C$23:$C$29,MATCH($A4,CAGR!$B$23:$B$29,0))),0)</f>
        <v>1.5772311327305424E-3</v>
      </c>
      <c r="I4" s="14">
        <f>IFERROR(H4*(1+INDEX(CAGR!$C$23:$C$29,MATCH($A4,CAGR!$B$23:$B$29,0))),0)</f>
        <v>1.5888869122977652E-3</v>
      </c>
      <c r="J4" s="14">
        <f>IFERROR(I4*(1+INDEX(CAGR!$C$23:$C$29,MATCH($A4,CAGR!$B$23:$B$29,0))),0)</f>
        <v>1.6006288283826489E-3</v>
      </c>
      <c r="K4" s="14">
        <f>IFERROR(J4*(1+INDEX(CAGR!$C$23:$C$29,MATCH($A4,CAGR!$B$23:$B$29,0))),0)</f>
        <v>1.6124575175363253E-3</v>
      </c>
      <c r="L4" s="14">
        <f>IFERROR(K4*(1+INDEX(CAGR!$C$23:$C$29,MATCH($A4,CAGR!$B$23:$B$29,0))),0)</f>
        <v>1.6243736210140554E-3</v>
      </c>
      <c r="M4" s="14">
        <f>IFERROR(L4*(1+INDEX(CAGR!$C$23:$C$29,MATCH($A4,CAGR!$B$23:$B$29,0))),0)</f>
        <v>1.6363777848099942E-3</v>
      </c>
      <c r="N4" s="14">
        <f>IFERROR(M4*(1+INDEX(CAGR!$C$23:$C$29,MATCH($A4,CAGR!$B$23:$B$29,0))),0)</f>
        <v>1.6484706596922099E-3</v>
      </c>
      <c r="O4" s="14">
        <f>IFERROR(N4*(1+INDEX(CAGR!$C$23:$C$29,MATCH($A4,CAGR!$B$23:$B$29,0))),0)</f>
        <v>1.6606529012379639E-3</v>
      </c>
      <c r="P4" s="14">
        <f>IFERROR(O4*(1+INDEX(CAGR!$C$23:$C$29,MATCH($A4,CAGR!$B$23:$B$29,0))),0)</f>
        <v>1.6729251698692513E-3</v>
      </c>
      <c r="Q4" s="14">
        <f>IFERROR(P4*(1+INDEX(CAGR!$C$23:$C$29,MATCH($A4,CAGR!$B$23:$B$29,0))),0)</f>
        <v>1.6852881308886025E-3</v>
      </c>
      <c r="R4" s="14">
        <f>IFERROR(Q4*(1+INDEX(CAGR!$C$23:$C$29,MATCH($A4,CAGR!$B$23:$B$29,0))),0)</f>
        <v>1.6977424545151516E-3</v>
      </c>
      <c r="S4" s="14">
        <f>IFERROR(R4*(1+INDEX(CAGR!$C$23:$C$29,MATCH($A4,CAGR!$B$23:$B$29,0))),0)</f>
        <v>1.7102888159209692E-3</v>
      </c>
      <c r="T4" s="14">
        <f>IFERROR(S4*(1+INDEX(CAGR!$C$23:$C$29,MATCH($A4,CAGR!$B$23:$B$29,0))),0)</f>
        <v>1.7229278952676657E-3</v>
      </c>
      <c r="U4" s="14">
        <f>IFERROR(T4*(1+INDEX(CAGR!$C$23:$C$29,MATCH($A4,CAGR!$B$23:$B$29,0))),0)</f>
        <v>1.7356603777432637E-3</v>
      </c>
      <c r="V4" s="14">
        <f>IFERROR(U4*(1+INDEX(CAGR!$C$23:$C$29,MATCH($A4,CAGR!$B$23:$B$29,0))),0)</f>
        <v>1.748486953599343E-3</v>
      </c>
      <c r="W4" s="14">
        <f>IFERROR(V4*(1+INDEX(CAGR!$C$23:$C$29,MATCH($A4,CAGR!$B$23:$B$29,0))),0)</f>
        <v>1.7614083181884609E-3</v>
      </c>
      <c r="X4" s="14">
        <f>IFERROR(W4*(1+INDEX(CAGR!$C$23:$C$29,MATCH($A4,CAGR!$B$23:$B$29,0))),0)</f>
        <v>1.7744251720018486E-3</v>
      </c>
      <c r="Y4" s="14">
        <f>IFERROR(X4*(1+INDEX(CAGR!$C$23:$C$29,MATCH($A4,CAGR!$B$23:$B$29,0))),0)</f>
        <v>1.7875382207073857E-3</v>
      </c>
      <c r="Z4" s="14">
        <f>IFERROR(Y4*(1+INDEX(CAGR!$C$23:$C$29,MATCH($A4,CAGR!$B$23:$B$29,0))),0)</f>
        <v>1.800748175187856E-3</v>
      </c>
      <c r="AA4" s="14">
        <f>IFERROR(Z4*(1+INDEX(CAGR!$C$23:$C$29,MATCH($A4,CAGR!$B$23:$B$29,0))),0)</f>
        <v>1.8140557515794857E-3</v>
      </c>
      <c r="AB4" s="14">
        <f>IFERROR(AA4*(1+INDEX(CAGR!$C$23:$C$29,MATCH($A4,CAGR!$B$23:$B$29,0))),0)</f>
        <v>1.8274616713107668E-3</v>
      </c>
      <c r="AC4" s="14">
        <f>IFERROR(AB4*(1+INDEX(CAGR!$C$23:$C$29,MATCH($A4,CAGR!$B$23:$B$29,0))),0)</f>
        <v>1.8409666611415667E-3</v>
      </c>
      <c r="AD4" s="14">
        <f>IFERROR(AC4*(1+INDEX(CAGR!$C$23:$C$29,MATCH($A4,CAGR!$B$23:$B$29,0))),0)</f>
        <v>1.8545714532025273E-3</v>
      </c>
      <c r="AE4" s="14">
        <f>IFERROR(AD4*(1+INDEX(CAGR!$C$23:$C$29,MATCH($A4,CAGR!$B$23:$B$29,0))),0)</f>
        <v>1.8682767850347552E-3</v>
      </c>
      <c r="AF4" s="14">
        <f>IFERROR(AE4*(1+INDEX(CAGR!$C$23:$C$29,MATCH($A4,CAGR!$B$23:$B$29,0))),0)</f>
        <v>1.8820833996298053E-3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1.5000037491750171E-3</v>
      </c>
      <c r="C5" s="14">
        <f>IFERROR(B5*(1+INDEX(CAGR!$C$23:$C$29,MATCH($A5,CAGR!$B$23:$B$29,0))),0)</f>
        <v>1.5110888163459419E-3</v>
      </c>
      <c r="D5" s="14">
        <f>IFERROR(C5*(1+INDEX(CAGR!$C$23:$C$29,MATCH($A5,CAGR!$B$23:$B$29,0))),0)</f>
        <v>1.5222558024549037E-3</v>
      </c>
      <c r="E5" s="14">
        <f>IFERROR(D5*(1+INDEX(CAGR!$C$23:$C$29,MATCH($A5,CAGR!$B$23:$B$29,0))),0)</f>
        <v>1.5335053128850097E-3</v>
      </c>
      <c r="F5" s="14">
        <f>IFERROR(E5*(1+INDEX(CAGR!$C$23:$C$29,MATCH($A5,CAGR!$B$23:$B$29,0))),0)</f>
        <v>1.5448379574931645E-3</v>
      </c>
      <c r="G5" s="14">
        <f>IFERROR(F5*(1+INDEX(CAGR!$C$23:$C$29,MATCH($A5,CAGR!$B$23:$B$29,0))),0)</f>
        <v>1.556254350643131E-3</v>
      </c>
      <c r="H5" s="14">
        <f>IFERROR(G5*(1+INDEX(CAGR!$C$23:$C$29,MATCH($A5,CAGR!$B$23:$B$29,0))),0)</f>
        <v>1.5677551112388368E-3</v>
      </c>
      <c r="I5" s="14">
        <f>IFERROR(H5*(1+INDEX(CAGR!$C$23:$C$29,MATCH($A5,CAGR!$B$23:$B$29,0))),0)</f>
        <v>1.5793408627579255E-3</v>
      </c>
      <c r="J5" s="14">
        <f>IFERROR(I5*(1+INDEX(CAGR!$C$23:$C$29,MATCH($A5,CAGR!$B$23:$B$29,0))),0)</f>
        <v>1.5910122332855568E-3</v>
      </c>
      <c r="K5" s="14">
        <f>IFERROR(J5*(1+INDEX(CAGR!$C$23:$C$29,MATCH($A5,CAGR!$B$23:$B$29,0))),0)</f>
        <v>1.6027698555484567E-3</v>
      </c>
      <c r="L5" s="14">
        <f>IFERROR(K5*(1+INDEX(CAGR!$C$23:$C$29,MATCH($A5,CAGR!$B$23:$B$29,0))),0)</f>
        <v>1.6146143669492179E-3</v>
      </c>
      <c r="M5" s="14">
        <f>IFERROR(L5*(1+INDEX(CAGR!$C$23:$C$29,MATCH($A5,CAGR!$B$23:$B$29,0))),0)</f>
        <v>1.6265464096008552E-3</v>
      </c>
      <c r="N5" s="14">
        <f>IFERROR(M5*(1+INDEX(CAGR!$C$23:$C$29,MATCH($A5,CAGR!$B$23:$B$29,0))),0)</f>
        <v>1.6385666303616155E-3</v>
      </c>
      <c r="O5" s="14">
        <f>IFERROR(N5*(1+INDEX(CAGR!$C$23:$C$29,MATCH($A5,CAGR!$B$23:$B$29,0))),0)</f>
        <v>1.6506756808700453E-3</v>
      </c>
      <c r="P5" s="14">
        <f>IFERROR(O5*(1+INDEX(CAGR!$C$23:$C$29,MATCH($A5,CAGR!$B$23:$B$29,0))),0)</f>
        <v>1.662874217580317E-3</v>
      </c>
      <c r="Q5" s="14">
        <f>IFERROR(P5*(1+INDEX(CAGR!$C$23:$C$29,MATCH($A5,CAGR!$B$23:$B$29,0))),0)</f>
        <v>1.6751629017978163E-3</v>
      </c>
      <c r="R5" s="14">
        <f>IFERROR(Q5*(1+INDEX(CAGR!$C$23:$C$29,MATCH($A5,CAGR!$B$23:$B$29,0))),0)</f>
        <v>1.6875423997149935E-3</v>
      </c>
      <c r="S5" s="14">
        <f>IFERROR(R5*(1+INDEX(CAGR!$C$23:$C$29,MATCH($A5,CAGR!$B$23:$B$29,0))),0)</f>
        <v>1.7000133824474784E-3</v>
      </c>
      <c r="T5" s="14">
        <f>IFERROR(S5*(1+INDEX(CAGR!$C$23:$C$29,MATCH($A5,CAGR!$B$23:$B$29,0))),0)</f>
        <v>1.7125765260704632E-3</v>
      </c>
      <c r="U5" s="14">
        <f>IFERROR(T5*(1+INDEX(CAGR!$C$23:$C$29,MATCH($A5,CAGR!$B$23:$B$29,0))),0)</f>
        <v>1.7252325116553532E-3</v>
      </c>
      <c r="V5" s="14">
        <f>IFERROR(U5*(1+INDEX(CAGR!$C$23:$C$29,MATCH($A5,CAGR!$B$23:$B$29,0))),0)</f>
        <v>1.7379820253066898E-3</v>
      </c>
      <c r="W5" s="14">
        <f>IFERROR(V5*(1+INDEX(CAGR!$C$23:$C$29,MATCH($A5,CAGR!$B$23:$B$29,0))),0)</f>
        <v>1.7508257581993446E-3</v>
      </c>
      <c r="X5" s="14">
        <f>IFERROR(W5*(1+INDEX(CAGR!$C$23:$C$29,MATCH($A5,CAGR!$B$23:$B$29,0))),0)</f>
        <v>1.7637644066159897E-3</v>
      </c>
      <c r="Y5" s="14">
        <f>IFERROR(X5*(1+INDEX(CAGR!$C$23:$C$29,MATCH($A5,CAGR!$B$23:$B$29,0))),0)</f>
        <v>1.7767986719848447E-3</v>
      </c>
      <c r="Z5" s="14">
        <f>IFERROR(Y5*(1+INDEX(CAGR!$C$23:$C$29,MATCH($A5,CAGR!$B$23:$B$29,0))),0)</f>
        <v>1.7899292609177019E-3</v>
      </c>
      <c r="AA5" s="14">
        <f>IFERROR(Z5*(1+INDEX(CAGR!$C$23:$C$29,MATCH($A5,CAGR!$B$23:$B$29,0))),0)</f>
        <v>1.8031568852482339E-3</v>
      </c>
      <c r="AB5" s="14">
        <f>IFERROR(AA5*(1+INDEX(CAGR!$C$23:$C$29,MATCH($A5,CAGR!$B$23:$B$29,0))),0)</f>
        <v>1.8164822620705819E-3</v>
      </c>
      <c r="AC5" s="14">
        <f>IFERROR(AB5*(1+INDEX(CAGR!$C$23:$C$29,MATCH($A5,CAGR!$B$23:$B$29,0))),0)</f>
        <v>1.8299061137782328E-3</v>
      </c>
      <c r="AD5" s="14">
        <f>IFERROR(AC5*(1+INDEX(CAGR!$C$23:$C$29,MATCH($A5,CAGR!$B$23:$B$29,0))),0)</f>
        <v>1.8434291681031795E-3</v>
      </c>
      <c r="AE5" s="14">
        <f>IFERROR(AD5*(1+INDEX(CAGR!$C$23:$C$29,MATCH($A5,CAGR!$B$23:$B$29,0))),0)</f>
        <v>1.8570521581553741E-3</v>
      </c>
      <c r="AF5" s="14">
        <f>IFERROR(AE5*(1+INDEX(CAGR!$C$23:$C$29,MATCH($A5,CAGR!$B$23:$B$29,0))),0)</f>
        <v>1.87077582246247E-3</v>
      </c>
      <c r="AG5" s="14"/>
    </row>
    <row r="6" spans="1:33">
      <c r="A6" s="1" t="s">
        <v>13</v>
      </c>
      <c r="B6" s="13">
        <f>B5*Calibration!$E$26</f>
        <v>3.3261248918118554E-3</v>
      </c>
      <c r="C6" s="13">
        <f>B6*(1+CAGR!$C$27)</f>
        <v>3.350705042271411E-3</v>
      </c>
      <c r="D6" s="13">
        <f>C6*(1+CAGR!$C$27)</f>
        <v>3.3754668406895567E-3</v>
      </c>
      <c r="E6" s="13">
        <f>D6*(1+CAGR!$C$27)</f>
        <v>3.4004116294494863E-3</v>
      </c>
      <c r="F6" s="13">
        <f>E6*(1+CAGR!$C$27)</f>
        <v>3.4255407608546392E-3</v>
      </c>
      <c r="G6" s="13">
        <f>F6*(1+CAGR!$C$27)</f>
        <v>3.450855597202014E-3</v>
      </c>
      <c r="H6" s="13">
        <f>G6*(1+CAGR!$C$27)</f>
        <v>3.4763575108560196E-3</v>
      </c>
      <c r="I6" s="13">
        <f>H6*(1+CAGR!$C$27)</f>
        <v>3.5020478843228739E-3</v>
      </c>
      <c r="J6" s="13">
        <f>I6*(1+CAGR!$C$27)</f>
        <v>3.5279281103255521E-3</v>
      </c>
      <c r="K6" s="13">
        <f>J6*(1+CAGR!$C$27)</f>
        <v>3.553999591879289E-3</v>
      </c>
      <c r="L6" s="13">
        <f>K6*(1+CAGR!$C$27)</f>
        <v>3.5802637423676385E-3</v>
      </c>
      <c r="M6" s="13">
        <f>L6*(1+CAGR!$C$27)</f>
        <v>3.6067219856190966E-3</v>
      </c>
      <c r="N6" s="13">
        <f>M6*(1+CAGR!$C$27)</f>
        <v>3.6333757559842889E-3</v>
      </c>
      <c r="O6" s="13">
        <f>N6*(1+CAGR!$C$27)</f>
        <v>3.6602264984137308E-3</v>
      </c>
      <c r="P6" s="13">
        <f>O6*(1+CAGR!$C$27)</f>
        <v>3.687275668536159E-3</v>
      </c>
      <c r="Q6" s="13">
        <f>P6*(1+CAGR!$C$27)</f>
        <v>3.7145247327374452E-3</v>
      </c>
      <c r="R6" s="13">
        <f>Q6*(1+CAGR!$C$27)</f>
        <v>3.7419751682400914E-3</v>
      </c>
      <c r="S6" s="13">
        <f>R6*(1+CAGR!$C$27)</f>
        <v>3.7696284631833121E-3</v>
      </c>
      <c r="T6" s="13">
        <f>S6*(1+CAGR!$C$27)</f>
        <v>3.797486116703711E-3</v>
      </c>
      <c r="U6" s="13">
        <f>T6*(1+CAGR!$C$27)</f>
        <v>3.8255496390165499E-3</v>
      </c>
      <c r="V6" s="13">
        <f>U6*(1+CAGR!$C$27)</f>
        <v>3.853820551497621E-3</v>
      </c>
      <c r="W6" s="13">
        <f>V6*(1+CAGR!$C$27)</f>
        <v>3.882300386765724E-3</v>
      </c>
      <c r="X6" s="13">
        <f>W6*(1+CAGR!$C$27)</f>
        <v>3.9109906887657515E-3</v>
      </c>
      <c r="Y6" s="13">
        <f>X6*(1+CAGR!$C$27)</f>
        <v>3.93989301285239E-3</v>
      </c>
      <c r="Z6" s="13">
        <f>Y6*(1+CAGR!$C$27)</f>
        <v>3.9690089258744383E-3</v>
      </c>
      <c r="AA6" s="13">
        <f>Z6*(1+CAGR!$C$27)</f>
        <v>3.9983400062597475E-3</v>
      </c>
      <c r="AB6" s="13">
        <f>AA6*(1+CAGR!$C$27)</f>
        <v>4.0278878441007936E-3</v>
      </c>
      <c r="AC6" s="13">
        <f>AB6*(1+CAGR!$C$27)</f>
        <v>4.0576540412408778E-3</v>
      </c>
      <c r="AD6" s="13">
        <f>AC6*(1+CAGR!$C$27)</f>
        <v>4.0876402113609643E-3</v>
      </c>
      <c r="AE6" s="13">
        <f>AD6*(1+CAGR!$C$27)</f>
        <v>4.1178479800671628E-3</v>
      </c>
      <c r="AF6" s="13">
        <f>AE6*(1+CAGR!$C$27)</f>
        <v>4.1482789849788546E-3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1.6057797019375264E-3</v>
      </c>
      <c r="C7" s="14">
        <f>IFERROR(B7*(1+INDEX(CAGR!$C$23:$C$29,MATCH($A7,CAGR!$B$23:$B$29,0))),0)</f>
        <v>1.6176464561822907E-3</v>
      </c>
      <c r="D7" s="14">
        <f>IFERROR(C7*(1+INDEX(CAGR!$C$23:$C$29,MATCH($A7,CAGR!$B$23:$B$29,0))),0)</f>
        <v>1.6296009060531335E-3</v>
      </c>
      <c r="E7" s="14">
        <f>IFERROR(D7*(1+INDEX(CAGR!$C$23:$C$29,MATCH($A7,CAGR!$B$23:$B$29,0))),0)</f>
        <v>1.6416436996230389E-3</v>
      </c>
      <c r="F7" s="14">
        <f>IFERROR(E7*(1+INDEX(CAGR!$C$23:$C$29,MATCH($A7,CAGR!$B$23:$B$29,0))),0)</f>
        <v>1.6537754897542672E-3</v>
      </c>
      <c r="G7" s="14">
        <f>IFERROR(F7*(1+INDEX(CAGR!$C$23:$C$29,MATCH($A7,CAGR!$B$23:$B$29,0))),0)</f>
        <v>1.6659969341337479E-3</v>
      </c>
      <c r="H7" s="14">
        <f>IFERROR(G7*(1+INDEX(CAGR!$C$23:$C$29,MATCH($A7,CAGR!$B$23:$B$29,0))),0)</f>
        <v>1.6783086953087345E-3</v>
      </c>
      <c r="I7" s="14">
        <f>IFERROR(H7*(1+INDEX(CAGR!$C$23:$C$29,MATCH($A7,CAGR!$B$23:$B$29,0))),0)</f>
        <v>1.6907114407227219E-3</v>
      </c>
      <c r="J7" s="14">
        <f>IFERROR(I7*(1+INDEX(CAGR!$C$23:$C$29,MATCH($A7,CAGR!$B$23:$B$29,0))),0)</f>
        <v>1.7032058427516302E-3</v>
      </c>
      <c r="K7" s="14">
        <f>IFERROR(J7*(1+INDEX(CAGR!$C$23:$C$29,MATCH($A7,CAGR!$B$23:$B$29,0))),0)</f>
        <v>1.715792578740255E-3</v>
      </c>
      <c r="L7" s="14">
        <f>IFERROR(K7*(1+INDEX(CAGR!$C$23:$C$29,MATCH($A7,CAGR!$B$23:$B$29,0))),0)</f>
        <v>1.7284723310389879E-3</v>
      </c>
      <c r="M7" s="14">
        <f>IFERROR(L7*(1+INDEX(CAGR!$C$23:$C$29,MATCH($A7,CAGR!$B$23:$B$29,0))),0)</f>
        <v>1.7412457870408079E-3</v>
      </c>
      <c r="N7" s="14">
        <f>IFERROR(M7*(1+INDEX(CAGR!$C$23:$C$29,MATCH($A7,CAGR!$B$23:$B$29,0))),0)</f>
        <v>1.754113639218546E-3</v>
      </c>
      <c r="O7" s="14">
        <f>IFERROR(N7*(1+INDEX(CAGR!$C$23:$C$29,MATCH($A7,CAGR!$B$23:$B$29,0))),0)</f>
        <v>1.7670765851624259E-3</v>
      </c>
      <c r="P7" s="14">
        <f>IFERROR(O7*(1+INDEX(CAGR!$C$23:$C$29,MATCH($A7,CAGR!$B$23:$B$29,0))),0)</f>
        <v>1.7801353276178811E-3</v>
      </c>
      <c r="Q7" s="14">
        <f>IFERROR(P7*(1+INDEX(CAGR!$C$23:$C$29,MATCH($A7,CAGR!$B$23:$B$29,0))),0)</f>
        <v>1.7932905745236527E-3</v>
      </c>
      <c r="R7" s="14">
        <f>IFERROR(Q7*(1+INDEX(CAGR!$C$23:$C$29,MATCH($A7,CAGR!$B$23:$B$29,0))),0)</f>
        <v>1.8065430390501675E-3</v>
      </c>
      <c r="S7" s="14">
        <f>IFERROR(R7*(1+INDEX(CAGR!$C$23:$C$29,MATCH($A7,CAGR!$B$23:$B$29,0))),0)</f>
        <v>1.8198934396382004E-3</v>
      </c>
      <c r="T7" s="14">
        <f>IFERROR(S7*(1+INDEX(CAGR!$C$23:$C$29,MATCH($A7,CAGR!$B$23:$B$29,0))),0)</f>
        <v>1.8333425000378227E-3</v>
      </c>
      <c r="U7" s="14">
        <f>IFERROR(T7*(1+INDEX(CAGR!$C$23:$C$29,MATCH($A7,CAGR!$B$23:$B$29,0))),0)</f>
        <v>1.8468909493476379E-3</v>
      </c>
      <c r="V7" s="14">
        <f>IFERROR(U7*(1+INDEX(CAGR!$C$23:$C$29,MATCH($A7,CAGR!$B$23:$B$29,0))),0)</f>
        <v>1.8605395220543071E-3</v>
      </c>
      <c r="W7" s="14">
        <f>IFERROR(V7*(1+INDEX(CAGR!$C$23:$C$29,MATCH($A7,CAGR!$B$23:$B$29,0))),0)</f>
        <v>1.8742889580723673E-3</v>
      </c>
      <c r="X7" s="14">
        <f>IFERROR(W7*(1+INDEX(CAGR!$C$23:$C$29,MATCH($A7,CAGR!$B$23:$B$29,0))),0)</f>
        <v>1.8881400027843432E-3</v>
      </c>
      <c r="Y7" s="14">
        <f>IFERROR(X7*(1+INDEX(CAGR!$C$23:$C$29,MATCH($A7,CAGR!$B$23:$B$29,0))),0)</f>
        <v>1.9020934070811564E-3</v>
      </c>
      <c r="Z7" s="14">
        <f>IFERROR(Y7*(1+INDEX(CAGR!$C$23:$C$29,MATCH($A7,CAGR!$B$23:$B$29,0))),0)</f>
        <v>1.9161499274028316E-3</v>
      </c>
      <c r="AA7" s="14">
        <f>IFERROR(Z7*(1+INDEX(CAGR!$C$23:$C$29,MATCH($A7,CAGR!$B$23:$B$29,0))),0)</f>
        <v>1.9303103257795058E-3</v>
      </c>
      <c r="AB7" s="14">
        <f>IFERROR(AA7*(1+INDEX(CAGR!$C$23:$C$29,MATCH($A7,CAGR!$B$23:$B$29,0))),0)</f>
        <v>1.9445753698727382E-3</v>
      </c>
      <c r="AC7" s="14">
        <f>IFERROR(AB7*(1+INDEX(CAGR!$C$23:$C$29,MATCH($A7,CAGR!$B$23:$B$29,0))),0)</f>
        <v>1.9589458330171272E-3</v>
      </c>
      <c r="AD7" s="14">
        <f>IFERROR(AC7*(1+INDEX(CAGR!$C$23:$C$29,MATCH($A7,CAGR!$B$23:$B$29,0))),0)</f>
        <v>1.9734224942622347E-3</v>
      </c>
      <c r="AE7" s="14">
        <f>IFERROR(AD7*(1+INDEX(CAGR!$C$23:$C$29,MATCH($A7,CAGR!$B$23:$B$29,0))),0)</f>
        <v>1.9880061384148192E-3</v>
      </c>
      <c r="AF7" s="14">
        <f>IFERROR(AE7*(1+INDEX(CAGR!$C$23:$C$29,MATCH($A7,CAGR!$B$23:$B$29,0))),0)</f>
        <v>2.0026975560813809E-3</v>
      </c>
      <c r="AG7" s="14"/>
    </row>
    <row r="8" spans="1:33">
      <c r="A8" s="1" t="s">
        <v>15</v>
      </c>
      <c r="B8" s="13">
        <f>B5*Calibration!$F$27</f>
        <v>5.9907913941804319E-3</v>
      </c>
      <c r="C8" s="13">
        <f>B8*(1+CAGR!$C$29)</f>
        <v>6.0350635001988418E-3</v>
      </c>
      <c r="D8" s="13">
        <f>C8*(1+CAGR!$C$29)</f>
        <v>6.0796627782455093E-3</v>
      </c>
      <c r="E8" s="13">
        <f>D8*(1+CAGR!$C$29)</f>
        <v>6.1245916461303319E-3</v>
      </c>
      <c r="F8" s="13">
        <f>E8*(1+CAGR!$C$29)</f>
        <v>6.1698525395308844E-3</v>
      </c>
      <c r="G8" s="13">
        <f>F8*(1+CAGR!$C$29)</f>
        <v>6.2154479121244634E-3</v>
      </c>
      <c r="H8" s="13">
        <f>G8*(1+CAGR!$C$29)</f>
        <v>6.2613802357211062E-3</v>
      </c>
      <c r="I8" s="13">
        <f>H8*(1+CAGR!$C$29)</f>
        <v>6.3076520003975895E-3</v>
      </c>
      <c r="J8" s="13">
        <f>I8*(1+CAGR!$C$29)</f>
        <v>6.354265714632424E-3</v>
      </c>
      <c r="K8" s="13">
        <f>J8*(1+CAGR!$C$29)</f>
        <v>6.4012239054418432E-3</v>
      </c>
      <c r="L8" s="13">
        <f>K8*(1+CAGR!$C$29)</f>
        <v>6.4485291185167959E-3</v>
      </c>
      <c r="M8" s="13">
        <f>L8*(1+CAGR!$C$29)</f>
        <v>6.4961839183609541E-3</v>
      </c>
      <c r="N8" s="13">
        <f>M8*(1+CAGR!$C$29)</f>
        <v>6.5441908884297404E-3</v>
      </c>
      <c r="O8" s="13">
        <f>N8*(1+CAGR!$C$29)</f>
        <v>6.5925526312703804E-3</v>
      </c>
      <c r="P8" s="13">
        <f>O8*(1+CAGR!$C$29)</f>
        <v>6.6412717686629916E-3</v>
      </c>
      <c r="Q8" s="13">
        <f>P8*(1+CAGR!$C$29)</f>
        <v>6.6903509417627158E-3</v>
      </c>
      <c r="R8" s="13">
        <f>Q8*(1+CAGR!$C$29)</f>
        <v>6.7397928112429006E-3</v>
      </c>
      <c r="S8" s="13">
        <f>R8*(1+CAGR!$C$29)</f>
        <v>6.7896000574393404E-3</v>
      </c>
      <c r="T8" s="13">
        <f>S8*(1+CAGR!$C$29)</f>
        <v>6.8397753804955814E-3</v>
      </c>
      <c r="U8" s="13">
        <f>T8*(1+CAGR!$C$29)</f>
        <v>6.890321500509302E-3</v>
      </c>
      <c r="V8" s="13">
        <f>U8*(1+CAGR!$C$29)</f>
        <v>6.9412411576797728E-3</v>
      </c>
      <c r="W8" s="13">
        <f>V8*(1+CAGR!$C$29)</f>
        <v>6.9925371124564097E-3</v>
      </c>
      <c r="X8" s="13">
        <f>W8*(1+CAGR!$C$29)</f>
        <v>7.0442121456884233E-3</v>
      </c>
      <c r="Y8" s="13">
        <f>X8*(1+CAGR!$C$29)</f>
        <v>7.0962690587755718E-3</v>
      </c>
      <c r="Z8" s="13">
        <f>Y8*(1+CAGR!$C$29)</f>
        <v>7.148710673820031E-3</v>
      </c>
      <c r="AA8" s="13">
        <f>Z8*(1+CAGR!$C$29)</f>
        <v>7.2015398337793874E-3</v>
      </c>
      <c r="AB8" s="13">
        <f>AA8*(1+CAGR!$C$29)</f>
        <v>7.2547594026207583E-3</v>
      </c>
      <c r="AC8" s="13">
        <f>AB8*(1+CAGR!$C$29)</f>
        <v>7.3083722654760539E-3</v>
      </c>
      <c r="AD8" s="13">
        <f>AC8*(1+CAGR!$C$29)</f>
        <v>7.3623813287983838E-3</v>
      </c>
      <c r="AE8" s="13">
        <f>AD8*(1+CAGR!$C$29)</f>
        <v>7.4167895205196231E-3</v>
      </c>
      <c r="AF8" s="13">
        <f>AE8*(1+CAGR!$C$29)</f>
        <v>7.471599790209141E-3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tabSelected="1"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7.3661701954480638E-4</v>
      </c>
      <c r="C2" s="13">
        <f>B2*(1+CAGR!$C$30)</f>
        <v>7.4185327104779218E-4</v>
      </c>
      <c r="D2" s="13">
        <f>C2*(1+CAGR!$C$30)</f>
        <v>7.4712674451154603E-4</v>
      </c>
      <c r="E2" s="13">
        <f>D2*(1+CAGR!$C$30)</f>
        <v>7.5243770452885193E-4</v>
      </c>
      <c r="F2" s="13">
        <f>E2*(1+CAGR!$C$30)</f>
        <v>7.5778641757335522E-4</v>
      </c>
      <c r="G2" s="13">
        <f>F2*(1+CAGR!$C$30)</f>
        <v>7.6317315201293243E-4</v>
      </c>
      <c r="H2" s="13">
        <f>G2*(1+CAGR!$C$30)</f>
        <v>7.6859817812315663E-4</v>
      </c>
      <c r="I2" s="13">
        <f>H2*(1+CAGR!$C$30)</f>
        <v>7.7406176810085835E-4</v>
      </c>
      <c r="J2" s="13">
        <f>I2*(1+CAGR!$C$30)</f>
        <v>7.7956419607778276E-4</v>
      </c>
      <c r="K2" s="13">
        <f>J2*(1+CAGR!$C$30)</f>
        <v>7.8510573813434382E-4</v>
      </c>
      <c r="L2" s="13">
        <f>K2*(1+CAGR!$C$30)</f>
        <v>7.9068667231347689E-4</v>
      </c>
      <c r="M2" s="13">
        <f>L2*(1+CAGR!$C$30)</f>
        <v>7.9630727863458904E-4</v>
      </c>
      <c r="N2" s="13">
        <f>M2*(1+CAGR!$C$30)</f>
        <v>8.019678391076087E-4</v>
      </c>
      <c r="O2" s="13">
        <f>N2*(1+CAGR!$C$30)</f>
        <v>8.076686377471358E-4</v>
      </c>
      <c r="P2" s="13">
        <f>O2*(1+CAGR!$C$30)</f>
        <v>8.1340996058669143E-4</v>
      </c>
      <c r="Q2" s="13">
        <f>P2*(1+CAGR!$C$30)</f>
        <v>8.1919209569306962E-4</v>
      </c>
      <c r="R2" s="13">
        <f>Q2*(1+CAGR!$C$30)</f>
        <v>8.2501533318079102E-4</v>
      </c>
      <c r="S2" s="13">
        <f>R2*(1+CAGR!$C$30)</f>
        <v>8.308799652266591E-4</v>
      </c>
      <c r="T2" s="13">
        <f>S2*(1+CAGR!$C$30)</f>
        <v>8.3678628608441967E-4</v>
      </c>
      <c r="U2" s="13">
        <f>T2*(1+CAGR!$C$30)</f>
        <v>8.4273459209952516E-4</v>
      </c>
      <c r="V2" s="13">
        <f>U2*(1+CAGR!$C$30)</f>
        <v>8.4872518172400351E-4</v>
      </c>
      <c r="W2" s="13">
        <f>V2*(1+CAGR!$C$30)</f>
        <v>8.5475835553143259E-4</v>
      </c>
      <c r="X2" s="13">
        <f>W2*(1+CAGR!$C$30)</f>
        <v>8.608344162320215E-4</v>
      </c>
      <c r="Y2" s="13">
        <f>X2*(1+CAGR!$C$30)</f>
        <v>8.6695366868779866E-4</v>
      </c>
      <c r="Z2" s="13">
        <f>Y2*(1+CAGR!$C$30)</f>
        <v>8.7311641992790826E-4</v>
      </c>
      <c r="AA2" s="13">
        <f>Z2*(1+CAGR!$C$30)</f>
        <v>8.7932297916401482E-4</v>
      </c>
      <c r="AB2" s="13">
        <f>AA2*(1+CAGR!$C$30)</f>
        <v>8.8557365780581813E-4</v>
      </c>
      <c r="AC2" s="13">
        <f>AB2*(1+CAGR!$C$30)</f>
        <v>8.9186876947667778E-4</v>
      </c>
      <c r="AD2" s="13">
        <f>AC2*(1+CAGR!$C$30)</f>
        <v>8.9820863002934906E-4</v>
      </c>
      <c r="AE2" s="13">
        <f>AD2*(1+CAGR!$C$30)</f>
        <v>9.0459355756183045E-4</v>
      </c>
      <c r="AF2" s="13">
        <f>AE2*(1+CAGR!$C$30)</f>
        <v>9.1102387243332432E-4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2.2922758134715884E-4</v>
      </c>
      <c r="C5" s="14">
        <f>B5*(1+CAGR!$C$33)</f>
        <v>2.3085704854043193E-4</v>
      </c>
      <c r="D5" s="14">
        <f>C5*(1+CAGR!$C$33)</f>
        <v>2.3249809882208534E-4</v>
      </c>
      <c r="E5" s="14">
        <f>D5*(1+CAGR!$C$33)</f>
        <v>2.3415081453065096E-4</v>
      </c>
      <c r="F5" s="14">
        <f>E5*(1+CAGR!$C$33)</f>
        <v>2.3581527858996517E-4</v>
      </c>
      <c r="G5" s="14">
        <f>F5*(1+CAGR!$C$33)</f>
        <v>2.3749157451332948E-4</v>
      </c>
      <c r="H5" s="14">
        <f>G5*(1+CAGR!$C$33)</f>
        <v>2.3917978640770079E-4</v>
      </c>
      <c r="I5" s="14">
        <f>H5*(1+CAGR!$C$33)</f>
        <v>2.408799989779114E-4</v>
      </c>
      <c r="J5" s="14">
        <f>I5*(1+CAGR!$C$33)</f>
        <v>2.4259229753091895E-4</v>
      </c>
      <c r="K5" s="14">
        <f>J5*(1+CAGR!$C$33)</f>
        <v>2.4431676798008671E-4</v>
      </c>
      <c r="L5" s="14">
        <f>K5*(1+CAGR!$C$33)</f>
        <v>2.460534968494942E-4</v>
      </c>
      <c r="M5" s="14">
        <f>L5*(1+CAGR!$C$33)</f>
        <v>2.4780257127827846E-4</v>
      </c>
      <c r="N5" s="14">
        <f>M5*(1+CAGR!$C$33)</f>
        <v>2.4956407902500613E-4</v>
      </c>
      <c r="O5" s="14">
        <f>N5*(1+CAGR!$C$33)</f>
        <v>2.5133810847207685E-4</v>
      </c>
      <c r="P5" s="14">
        <f>O5*(1+CAGR!$C$33)</f>
        <v>2.5312474863015762E-4</v>
      </c>
      <c r="Q5" s="14">
        <f>P5*(1+CAGR!$C$33)</f>
        <v>2.5492408914264895E-4</v>
      </c>
      <c r="R5" s="14">
        <f>Q5*(1+CAGR!$C$33)</f>
        <v>2.567362202901825E-4</v>
      </c>
      <c r="S5" s="14">
        <f>R5*(1+CAGR!$C$33)</f>
        <v>2.5856123299515109E-4</v>
      </c>
      <c r="T5" s="14">
        <f>S5*(1+CAGR!$C$33)</f>
        <v>2.6039921882627044E-4</v>
      </c>
      <c r="U5" s="14">
        <f>T5*(1+CAGR!$C$33)</f>
        <v>2.6225027000317374E-4</v>
      </c>
      <c r="V5" s="14">
        <f>U5*(1+CAGR!$C$33)</f>
        <v>2.6411447940103848E-4</v>
      </c>
      <c r="W5" s="14">
        <f>V5*(1+CAGR!$C$33)</f>
        <v>2.6599194055524668E-4</v>
      </c>
      <c r="X5" s="14">
        <f>W5*(1+CAGR!$C$33)</f>
        <v>2.6788274766607775E-4</v>
      </c>
      <c r="Y5" s="14">
        <f>X5*(1+CAGR!$C$33)</f>
        <v>2.6978699560343503E-4</v>
      </c>
      <c r="Z5" s="14">
        <f>Y5*(1+CAGR!$C$33)</f>
        <v>2.7170477991160573E-4</v>
      </c>
      <c r="AA5" s="14">
        <f>Z5*(1+CAGR!$C$33)</f>
        <v>2.7363619681405492E-4</v>
      </c>
      <c r="AB5" s="14">
        <f>AA5*(1+CAGR!$C$33)</f>
        <v>2.755813432182533E-4</v>
      </c>
      <c r="AC5" s="14">
        <f>AB5*(1+CAGR!$C$33)</f>
        <v>2.7754031672053966E-4</v>
      </c>
      <c r="AD5" s="14">
        <f>AC5*(1+CAGR!$C$33)</f>
        <v>2.7951321561101754E-4</v>
      </c>
      <c r="AE5" s="14">
        <f>AD5*(1+CAGR!$C$33)</f>
        <v>2.8150013887848701E-4</v>
      </c>
      <c r="AF5" s="14">
        <f>AE5*(1+CAGR!$C$33)</f>
        <v>2.8350118621541122E-4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6.8768274404147644E-4</v>
      </c>
      <c r="C8" s="13">
        <f>B8*(1+CAGR!$C$36)</f>
        <v>6.9257114562129574E-4</v>
      </c>
      <c r="D8" s="13">
        <f>C8*(1+CAGR!$C$36)</f>
        <v>6.9749429646625595E-4</v>
      </c>
      <c r="E8" s="13">
        <f>D8*(1+CAGR!$C$36)</f>
        <v>7.0245244359195278E-4</v>
      </c>
      <c r="F8" s="13">
        <f>E8*(1+CAGR!$C$36)</f>
        <v>7.0744583576989536E-4</v>
      </c>
      <c r="G8" s="13">
        <f>F8*(1+CAGR!$C$36)</f>
        <v>7.1247472353998828E-4</v>
      </c>
      <c r="H8" s="13">
        <f>G8*(1+CAGR!$C$36)</f>
        <v>7.1753935922310222E-4</v>
      </c>
      <c r="I8" s="13">
        <f>H8*(1+CAGR!$C$36)</f>
        <v>7.2263999693373399E-4</v>
      </c>
      <c r="J8" s="13">
        <f>I8*(1+CAGR!$C$36)</f>
        <v>7.2777689259275662E-4</v>
      </c>
      <c r="K8" s="13">
        <f>J8*(1+CAGR!$C$36)</f>
        <v>7.329503039402599E-4</v>
      </c>
      <c r="L8" s="13">
        <f>K8*(1+CAGR!$C$36)</f>
        <v>7.3816049054848233E-4</v>
      </c>
      <c r="M8" s="13">
        <f>L8*(1+CAGR!$C$36)</f>
        <v>7.4340771383483507E-4</v>
      </c>
      <c r="N8" s="13">
        <f>M8*(1+CAGR!$C$36)</f>
        <v>7.4869223707501817E-4</v>
      </c>
      <c r="O8" s="13">
        <f>N8*(1+CAGR!$C$36)</f>
        <v>7.5401432541623032E-4</v>
      </c>
      <c r="P8" s="13">
        <f>O8*(1+CAGR!$C$36)</f>
        <v>7.5937424589047264E-4</v>
      </c>
      <c r="Q8" s="13">
        <f>P8*(1+CAGR!$C$36)</f>
        <v>7.6477226742794658E-4</v>
      </c>
      <c r="R8" s="13">
        <f>Q8*(1+CAGR!$C$36)</f>
        <v>7.7020866087054729E-4</v>
      </c>
      <c r="S8" s="13">
        <f>R8*(1+CAGR!$C$36)</f>
        <v>7.7568369898545306E-4</v>
      </c>
      <c r="T8" s="13">
        <f>S8*(1+CAGR!$C$36)</f>
        <v>7.8119765647881117E-4</v>
      </c>
      <c r="U8" s="13">
        <f>T8*(1+CAGR!$C$36)</f>
        <v>7.8675081000952095E-4</v>
      </c>
      <c r="V8" s="13">
        <f>U8*(1+CAGR!$C$36)</f>
        <v>7.9234343820311522E-4</v>
      </c>
      <c r="W8" s="13">
        <f>V8*(1+CAGR!$C$36)</f>
        <v>7.9797582166573982E-4</v>
      </c>
      <c r="X8" s="13">
        <f>W8*(1+CAGR!$C$36)</f>
        <v>8.0364824299823309E-4</v>
      </c>
      <c r="Y8" s="13">
        <f>X8*(1+CAGR!$C$36)</f>
        <v>8.0936098681030498E-4</v>
      </c>
      <c r="Z8" s="13">
        <f>Y8*(1+CAGR!$C$36)</f>
        <v>8.1511433973481713E-4</v>
      </c>
      <c r="AA8" s="13">
        <f>Z8*(1+CAGR!$C$36)</f>
        <v>8.2090859044216464E-4</v>
      </c>
      <c r="AB8" s="13">
        <f>AA8*(1+CAGR!$C$36)</f>
        <v>8.2674402965475979E-4</v>
      </c>
      <c r="AC8" s="13">
        <f>AB8*(1+CAGR!$C$36)</f>
        <v>8.3262095016161893E-4</v>
      </c>
      <c r="AD8" s="13">
        <f>AC8*(1+CAGR!$C$36)</f>
        <v>8.3853964683305263E-4</v>
      </c>
      <c r="AE8" s="13">
        <f>AD8*(1+CAGR!$C$36)</f>
        <v>8.4450041663546103E-4</v>
      </c>
      <c r="AF8" s="13">
        <f>AE8*(1+CAGR!$C$36)</f>
        <v>8.5050355864623372E-4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3.1847200406925024E-4</v>
      </c>
      <c r="C2" s="13">
        <f>B2*(1+CAGR!$C$37)</f>
        <v>3.207358663826638E-4</v>
      </c>
      <c r="D2" s="13">
        <f>C2*(1+CAGR!$C$37)</f>
        <v>3.2301582139028159E-4</v>
      </c>
      <c r="E2" s="13">
        <f>D2*(1+CAGR!$C$37)</f>
        <v>3.2531198348722618E-4</v>
      </c>
      <c r="F2" s="13">
        <f>E2*(1+CAGR!$C$37)</f>
        <v>3.2762446788179927E-4</v>
      </c>
      <c r="G2" s="13">
        <f>F2*(1+CAGR!$C$37)</f>
        <v>3.2995339060126223E-4</v>
      </c>
      <c r="H2" s="13">
        <f>G2*(1+CAGR!$C$37)</f>
        <v>3.3229886849765782E-4</v>
      </c>
      <c r="I2" s="13">
        <f>H2*(1+CAGR!$C$37)</f>
        <v>3.3466101925367292E-4</v>
      </c>
      <c r="J2" s="13">
        <f>I2*(1+CAGR!$C$37)</f>
        <v>3.3703996138854334E-4</v>
      </c>
      <c r="K2" s="13">
        <f>J2*(1+CAGR!$C$37)</f>
        <v>3.3943581426400043E-4</v>
      </c>
      <c r="L2" s="13">
        <f>K2*(1+CAGR!$C$37)</f>
        <v>3.4184869809025987E-4</v>
      </c>
      <c r="M2" s="13">
        <f>L2*(1+CAGR!$C$37)</f>
        <v>3.4427873393205321E-4</v>
      </c>
      <c r="N2" s="13">
        <f>M2*(1+CAGR!$C$37)</f>
        <v>3.4672604371470221E-4</v>
      </c>
      <c r="O2" s="13">
        <f>N2*(1+CAGR!$C$37)</f>
        <v>3.4919075023023637E-4</v>
      </c>
      <c r="P2" s="13">
        <f>O2*(1+CAGR!$C$37)</f>
        <v>3.5167297714355387E-4</v>
      </c>
      <c r="Q2" s="13">
        <f>P2*(1+CAGR!$C$37)</f>
        <v>3.5417284899862638E-4</v>
      </c>
      <c r="R2" s="13">
        <f>Q2*(1+CAGR!$C$37)</f>
        <v>3.5669049122474795E-4</v>
      </c>
      <c r="S2" s="13">
        <f>R2*(1+CAGR!$C$37)</f>
        <v>3.5922603014282848E-4</v>
      </c>
      <c r="T2" s="13">
        <f>S2*(1+CAGR!$C$37)</f>
        <v>3.6177959297173162E-4</v>
      </c>
      <c r="U2" s="13">
        <f>T2*(1+CAGR!$C$37)</f>
        <v>3.6435130783465789E-4</v>
      </c>
      <c r="V2" s="13">
        <f>U2*(1+CAGR!$C$37)</f>
        <v>3.6694130376557332E-4</v>
      </c>
      <c r="W2" s="13">
        <f>V2*(1+CAGR!$C$37)</f>
        <v>3.695497107156834E-4</v>
      </c>
      <c r="X2" s="13">
        <f>W2*(1+CAGR!$C$37)</f>
        <v>3.7217665955995358E-4</v>
      </c>
      <c r="Y2" s="13">
        <f>X2*(1+CAGR!$C$37)</f>
        <v>3.7482228210367557E-4</v>
      </c>
      <c r="Z2" s="13">
        <f>Y2*(1+CAGR!$C$37)</f>
        <v>3.7748671108908075E-4</v>
      </c>
      <c r="AA2" s="13">
        <f>Z2*(1+CAGR!$C$37)</f>
        <v>3.801700802020003E-4</v>
      </c>
      <c r="AB2" s="13">
        <f>AA2*(1+CAGR!$C$37)</f>
        <v>3.8287252407857283E-4</v>
      </c>
      <c r="AC2" s="13">
        <f>AB2*(1+CAGR!$C$37)</f>
        <v>3.8559417831199972E-4</v>
      </c>
      <c r="AD2" s="13">
        <f>AC2*(1+CAGR!$C$37)</f>
        <v>3.8833517945934828E-4</v>
      </c>
      <c r="AE2" s="13">
        <f>AD2*(1+CAGR!$C$37)</f>
        <v>3.9109566504840355E-4</v>
      </c>
      <c r="AF2" s="13">
        <f>AE2*(1+CAGR!$C$37)</f>
        <v>3.9387577358456855E-4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9.9105186660890365E-5</v>
      </c>
      <c r="C5" s="14">
        <f>B5*(1+CAGR!$C$40)</f>
        <v>9.9809677147585148E-5</v>
      </c>
      <c r="D5" s="14">
        <f>C5*(1+CAGR!$C$40)</f>
        <v>1.0051917551391333E-4</v>
      </c>
      <c r="E5" s="14">
        <f>D5*(1+CAGR!$C$40)</f>
        <v>1.0123371735845133E-4</v>
      </c>
      <c r="F5" s="14">
        <f>E5*(1+CAGR!$C$40)</f>
        <v>1.0195333853282848E-4</v>
      </c>
      <c r="G5" s="14">
        <f>F5*(1+CAGR!$C$40)</f>
        <v>1.0267807514352592E-4</v>
      </c>
      <c r="H5" s="14">
        <f>G5*(1+CAGR!$C$40)</f>
        <v>1.0340796355368813E-4</v>
      </c>
      <c r="I5" s="14">
        <f>H5*(1+CAGR!$C$40)</f>
        <v>1.0414304038494747E-4</v>
      </c>
      <c r="J5" s="14">
        <f>I5*(1+CAGR!$C$40)</f>
        <v>1.0488334251926168E-4</v>
      </c>
      <c r="K5" s="14">
        <f>J5*(1+CAGR!$C$40)</f>
        <v>1.0562890710076435E-4</v>
      </c>
      <c r="L5" s="14">
        <f>K5*(1+CAGR!$C$40)</f>
        <v>1.0637977153762859E-4</v>
      </c>
      <c r="M5" s="14">
        <f>L5*(1+CAGR!$C$40)</f>
        <v>1.0713597350394403E-4</v>
      </c>
      <c r="N5" s="14">
        <f>M5*(1+CAGR!$C$40)</f>
        <v>1.0789755094160701E-4</v>
      </c>
      <c r="O5" s="14">
        <f>N5*(1+CAGR!$C$40)</f>
        <v>1.0866454206222435E-4</v>
      </c>
      <c r="P5" s="14">
        <f>O5*(1+CAGR!$C$40)</f>
        <v>1.0943698534903056E-4</v>
      </c>
      <c r="Q5" s="14">
        <f>P5*(1+CAGR!$C$40)</f>
        <v>1.1021491955881872E-4</v>
      </c>
      <c r="R5" s="14">
        <f>Q5*(1+CAGR!$C$40)</f>
        <v>1.1099838372388506E-4</v>
      </c>
      <c r="S5" s="14">
        <f>R5*(1+CAGR!$C$40)</f>
        <v>1.1178741715398738E-4</v>
      </c>
      <c r="T5" s="14">
        <f>S5*(1+CAGR!$C$40)</f>
        <v>1.1258205943831743E-4</v>
      </c>
      <c r="U5" s="14">
        <f>T5*(1+CAGR!$C$40)</f>
        <v>1.1338235044748718E-4</v>
      </c>
      <c r="V5" s="14">
        <f>U5*(1+CAGR!$C$40)</f>
        <v>1.1418833033552941E-4</v>
      </c>
      <c r="W5" s="14">
        <f>V5*(1+CAGR!$C$40)</f>
        <v>1.1500003954191232E-4</v>
      </c>
      <c r="X5" s="14">
        <f>W5*(1+CAGR!$C$40)</f>
        <v>1.158175187935686E-4</v>
      </c>
      <c r="Y5" s="14">
        <f>X5*(1+CAGR!$C$40)</f>
        <v>1.1664080910693887E-4</v>
      </c>
      <c r="Z5" s="14">
        <f>Y5*(1+CAGR!$C$40)</f>
        <v>1.1746995179002963E-4</v>
      </c>
      <c r="AA5" s="14">
        <f>Z5*(1+CAGR!$C$40)</f>
        <v>1.1830498844448586E-4</v>
      </c>
      <c r="AB5" s="14">
        <f>AA5*(1+CAGR!$C$40)</f>
        <v>1.191459609676784E-4</v>
      </c>
      <c r="AC5" s="14">
        <f>AB5*(1+CAGR!$C$40)</f>
        <v>1.1999291155480606E-4</v>
      </c>
      <c r="AD5" s="14">
        <f>AC5*(1+CAGR!$C$40)</f>
        <v>1.2084588270101276E-4</v>
      </c>
      <c r="AE5" s="14">
        <f>AD5*(1+CAGR!$C$40)</f>
        <v>1.2170491720351972E-4</v>
      </c>
      <c r="AF5" s="14">
        <f>AE5*(1+CAGR!$C$40)</f>
        <v>1.2257005816377272E-4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2.9731555998267105E-4</v>
      </c>
      <c r="C8" s="13">
        <f>B8*(1+CAGR!$C$43)</f>
        <v>2.9942903144275539E-4</v>
      </c>
      <c r="D8" s="13">
        <f>C8*(1+CAGR!$C$43)</f>
        <v>3.0155752654173994E-4</v>
      </c>
      <c r="E8" s="13">
        <f>D8*(1+CAGR!$C$43)</f>
        <v>3.0370115207535391E-4</v>
      </c>
      <c r="F8" s="13">
        <f>E8*(1+CAGR!$C$43)</f>
        <v>3.0586001559848537E-4</v>
      </c>
      <c r="G8" s="13">
        <f>F8*(1+CAGR!$C$43)</f>
        <v>3.0803422543057769E-4</v>
      </c>
      <c r="H8" s="13">
        <f>G8*(1+CAGR!$C$43)</f>
        <v>3.1022389066106431E-4</v>
      </c>
      <c r="I8" s="13">
        <f>H8*(1+CAGR!$C$43)</f>
        <v>3.1242912115484237E-4</v>
      </c>
      <c r="J8" s="13">
        <f>I8*(1+CAGR!$C$43)</f>
        <v>3.1465002755778502E-4</v>
      </c>
      <c r="K8" s="13">
        <f>J8*(1+CAGR!$C$43)</f>
        <v>3.1688672130229301E-4</v>
      </c>
      <c r="L8" s="13">
        <f>K8*(1+CAGR!$C$43)</f>
        <v>3.1913931461288573E-4</v>
      </c>
      <c r="M8" s="13">
        <f>L8*(1+CAGR!$C$43)</f>
        <v>3.2140792051183202E-4</v>
      </c>
      <c r="N8" s="13">
        <f>M8*(1+CAGR!$C$43)</f>
        <v>3.2369265282482099E-4</v>
      </c>
      <c r="O8" s="13">
        <f>N8*(1+CAGR!$C$43)</f>
        <v>3.2599362618667305E-4</v>
      </c>
      <c r="P8" s="13">
        <f>O8*(1+CAGR!$C$43)</f>
        <v>3.2831095604709171E-4</v>
      </c>
      <c r="Q8" s="13">
        <f>P8*(1+CAGR!$C$43)</f>
        <v>3.3064475867645619E-4</v>
      </c>
      <c r="R8" s="13">
        <f>Q8*(1+CAGR!$C$43)</f>
        <v>3.3299515117165521E-4</v>
      </c>
      <c r="S8" s="13">
        <f>R8*(1+CAGR!$C$43)</f>
        <v>3.3536225146196217E-4</v>
      </c>
      <c r="T8" s="13">
        <f>S8*(1+CAGR!$C$43)</f>
        <v>3.3774617831495231E-4</v>
      </c>
      <c r="U8" s="13">
        <f>T8*(1+CAGR!$C$43)</f>
        <v>3.4014705134246159E-4</v>
      </c>
      <c r="V8" s="13">
        <f>U8*(1+CAGR!$C$43)</f>
        <v>3.4256499100658827E-4</v>
      </c>
      <c r="W8" s="13">
        <f>V8*(1+CAGR!$C$43)</f>
        <v>3.4500011862573698E-4</v>
      </c>
      <c r="X8" s="13">
        <f>W8*(1+CAGR!$C$43)</f>
        <v>3.4745255638070582E-4</v>
      </c>
      <c r="Y8" s="13">
        <f>X8*(1+CAGR!$C$43)</f>
        <v>3.499224273208166E-4</v>
      </c>
      <c r="Z8" s="13">
        <f>Y8*(1+CAGR!$C$43)</f>
        <v>3.5240985537008887E-4</v>
      </c>
      <c r="AA8" s="13">
        <f>Z8*(1+CAGR!$C$43)</f>
        <v>3.5491496533345755E-4</v>
      </c>
      <c r="AB8" s="13">
        <f>AA8*(1+CAGR!$C$43)</f>
        <v>3.5743788290303513E-4</v>
      </c>
      <c r="AC8" s="13">
        <f>AB8*(1+CAGR!$C$43)</f>
        <v>3.5997873466441812E-4</v>
      </c>
      <c r="AD8" s="13">
        <f>AC8*(1+CAGR!$C$43)</f>
        <v>3.6253764810303821E-4</v>
      </c>
      <c r="AE8" s="13">
        <f>AD8*(1+CAGR!$C$43)</f>
        <v>3.6511475161055904E-4</v>
      </c>
      <c r="AF8" s="13">
        <f>AE8*(1+CAGR!$C$43)</f>
        <v>3.6771017449131803E-4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1.6867636018878085E-2</v>
      </c>
      <c r="C2" s="14">
        <f>IFERROR(B2*(1+INDEX(CAGR!$C$44:$C$50,MATCH($A2,CAGR!$B$44:$B$50,0))),0)</f>
        <v>1.6862273742983071E-2</v>
      </c>
      <c r="D2" s="14">
        <f>IFERROR(C2*(1+INDEX(CAGR!$C$44:$C$50,MATCH($A2,CAGR!$B$44:$B$50,0))),0)</f>
        <v>1.6856913171772858E-2</v>
      </c>
      <c r="E2" s="14">
        <f>IFERROR(D2*(1+INDEX(CAGR!$C$44:$C$50,MATCH($A2,CAGR!$B$44:$B$50,0))),0)</f>
        <v>1.6851554304705522E-2</v>
      </c>
      <c r="F2" s="14">
        <f>IFERROR(E2*(1+INDEX(CAGR!$C$44:$C$50,MATCH($A2,CAGR!$B$44:$B$50,0))),0)</f>
        <v>1.6846197141239312E-2</v>
      </c>
      <c r="G2" s="14">
        <f>IFERROR(F2*(1+INDEX(CAGR!$C$44:$C$50,MATCH($A2,CAGR!$B$44:$B$50,0))),0)</f>
        <v>1.6840841680832646E-2</v>
      </c>
      <c r="H2" s="14">
        <f>IFERROR(G2*(1+INDEX(CAGR!$C$44:$C$50,MATCH($A2,CAGR!$B$44:$B$50,0))),0)</f>
        <v>1.6835487922944117E-2</v>
      </c>
      <c r="I2" s="14">
        <f>IFERROR(H2*(1+INDEX(CAGR!$C$44:$C$50,MATCH($A2,CAGR!$B$44:$B$50,0))),0)</f>
        <v>1.683013586703249E-2</v>
      </c>
      <c r="J2" s="14">
        <f>IFERROR(I2*(1+INDEX(CAGR!$C$44:$C$50,MATCH($A2,CAGR!$B$44:$B$50,0))),0)</f>
        <v>1.68247855125567E-2</v>
      </c>
      <c r="K2" s="14">
        <f>IFERROR(J2*(1+INDEX(CAGR!$C$44:$C$50,MATCH($A2,CAGR!$B$44:$B$50,0))),0)</f>
        <v>1.6819436858975856E-2</v>
      </c>
      <c r="L2" s="14">
        <f>IFERROR(K2*(1+INDEX(CAGR!$C$44:$C$50,MATCH($A2,CAGR!$B$44:$B$50,0))),0)</f>
        <v>1.6814089905749233E-2</v>
      </c>
      <c r="M2" s="14">
        <f>IFERROR(L2*(1+INDEX(CAGR!$C$44:$C$50,MATCH($A2,CAGR!$B$44:$B$50,0))),0)</f>
        <v>1.680874465233629E-2</v>
      </c>
      <c r="N2" s="14">
        <f>IFERROR(M2*(1+INDEX(CAGR!$C$44:$C$50,MATCH($A2,CAGR!$B$44:$B$50,0))),0)</f>
        <v>1.6803401098196644E-2</v>
      </c>
      <c r="O2" s="14">
        <f>IFERROR(N2*(1+INDEX(CAGR!$C$44:$C$50,MATCH($A2,CAGR!$B$44:$B$50,0))),0)</f>
        <v>1.6798059242790098E-2</v>
      </c>
      <c r="P2" s="14">
        <f>IFERROR(O2*(1+INDEX(CAGR!$C$44:$C$50,MATCH($A2,CAGR!$B$44:$B$50,0))),0)</f>
        <v>1.6792719085576613E-2</v>
      </c>
      <c r="Q2" s="14">
        <f>IFERROR(P2*(1+INDEX(CAGR!$C$44:$C$50,MATCH($A2,CAGR!$B$44:$B$50,0))),0)</f>
        <v>1.678738062601633E-2</v>
      </c>
      <c r="R2" s="14">
        <f>IFERROR(Q2*(1+INDEX(CAGR!$C$44:$C$50,MATCH($A2,CAGR!$B$44:$B$50,0))),0)</f>
        <v>1.678204386356956E-2</v>
      </c>
      <c r="S2" s="14">
        <f>IFERROR(R2*(1+INDEX(CAGR!$C$44:$C$50,MATCH($A2,CAGR!$B$44:$B$50,0))),0)</f>
        <v>1.6776708797696785E-2</v>
      </c>
      <c r="T2" s="14">
        <f>IFERROR(S2*(1+INDEX(CAGR!$C$44:$C$50,MATCH($A2,CAGR!$B$44:$B$50,0))),0)</f>
        <v>1.677137542785866E-2</v>
      </c>
      <c r="U2" s="14">
        <f>IFERROR(T2*(1+INDEX(CAGR!$C$44:$C$50,MATCH($A2,CAGR!$B$44:$B$50,0))),0)</f>
        <v>1.6766043753516008E-2</v>
      </c>
      <c r="V2" s="14">
        <f>IFERROR(U2*(1+INDEX(CAGR!$C$44:$C$50,MATCH($A2,CAGR!$B$44:$B$50,0))),0)</f>
        <v>1.6760713774129826E-2</v>
      </c>
      <c r="W2" s="14">
        <f>IFERROR(V2*(1+INDEX(CAGR!$C$44:$C$50,MATCH($A2,CAGR!$B$44:$B$50,0))),0)</f>
        <v>1.6755385489161282E-2</v>
      </c>
      <c r="X2" s="14">
        <f>IFERROR(W2*(1+INDEX(CAGR!$C$44:$C$50,MATCH($A2,CAGR!$B$44:$B$50,0))),0)</f>
        <v>1.6750058898071716E-2</v>
      </c>
      <c r="Y2" s="14">
        <f>IFERROR(X2*(1+INDEX(CAGR!$C$44:$C$50,MATCH($A2,CAGR!$B$44:$B$50,0))),0)</f>
        <v>1.6744734000322638E-2</v>
      </c>
      <c r="Z2" s="14">
        <f>IFERROR(Y2*(1+INDEX(CAGR!$C$44:$C$50,MATCH($A2,CAGR!$B$44:$B$50,0))),0)</f>
        <v>1.673941079537573E-2</v>
      </c>
      <c r="AA2" s="14">
        <f>IFERROR(Z2*(1+INDEX(CAGR!$C$44:$C$50,MATCH($A2,CAGR!$B$44:$B$50,0))),0)</f>
        <v>1.6734089282692842E-2</v>
      </c>
      <c r="AB2" s="14">
        <f>IFERROR(AA2*(1+INDEX(CAGR!$C$44:$C$50,MATCH($A2,CAGR!$B$44:$B$50,0))),0)</f>
        <v>1.6728769461736001E-2</v>
      </c>
      <c r="AC2" s="14">
        <f>IFERROR(AB2*(1+INDEX(CAGR!$C$44:$C$50,MATCH($A2,CAGR!$B$44:$B$50,0))),0)</f>
        <v>1.6723451331967398E-2</v>
      </c>
      <c r="AD2" s="14">
        <f>IFERROR(AC2*(1+INDEX(CAGR!$C$44:$C$50,MATCH($A2,CAGR!$B$44:$B$50,0))),0)</f>
        <v>1.6718134892849405E-2</v>
      </c>
      <c r="AE2" s="14">
        <f>IFERROR(AD2*(1+INDEX(CAGR!$C$44:$C$50,MATCH($A2,CAGR!$B$44:$B$50,0))),0)</f>
        <v>1.6712820143844554E-2</v>
      </c>
      <c r="AF2" s="14">
        <f>IFERROR(AE2*(1+INDEX(CAGR!$C$44:$C$50,MATCH($A2,CAGR!$B$44:$B$50,0))),0)</f>
        <v>1.6707507084415554E-2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1.2658000000000001E-3</v>
      </c>
      <c r="C3" s="14">
        <f>IFERROR(B3*(1+INDEX(CAGR!$C$44:$C$50,MATCH($A3,CAGR!$B$44:$B$50,0))),0)</f>
        <v>1.2658000000000001E-3</v>
      </c>
      <c r="D3" s="14">
        <f>IFERROR(C3*(1+INDEX(CAGR!$C$44:$C$50,MATCH($A3,CAGR!$B$44:$B$50,0))),0)</f>
        <v>1.2658000000000001E-3</v>
      </c>
      <c r="E3" s="14">
        <f>IFERROR(D3*(1+INDEX(CAGR!$C$44:$C$50,MATCH($A3,CAGR!$B$44:$B$50,0))),0)</f>
        <v>1.2658000000000001E-3</v>
      </c>
      <c r="F3" s="14">
        <f>IFERROR(E3*(1+INDEX(CAGR!$C$44:$C$50,MATCH($A3,CAGR!$B$44:$B$50,0))),0)</f>
        <v>1.2658000000000001E-3</v>
      </c>
      <c r="G3" s="14">
        <f>IFERROR(F3*(1+INDEX(CAGR!$C$44:$C$50,MATCH($A3,CAGR!$B$44:$B$50,0))),0)</f>
        <v>1.2658000000000001E-3</v>
      </c>
      <c r="H3" s="14">
        <f>IFERROR(G3*(1+INDEX(CAGR!$C$44:$C$50,MATCH($A3,CAGR!$B$44:$B$50,0))),0)</f>
        <v>1.2658000000000001E-3</v>
      </c>
      <c r="I3" s="14">
        <f>IFERROR(H3*(1+INDEX(CAGR!$C$44:$C$50,MATCH($A3,CAGR!$B$44:$B$50,0))),0)</f>
        <v>1.2658000000000001E-3</v>
      </c>
      <c r="J3" s="14">
        <f>IFERROR(I3*(1+INDEX(CAGR!$C$44:$C$50,MATCH($A3,CAGR!$B$44:$B$50,0))),0)</f>
        <v>1.2658000000000001E-3</v>
      </c>
      <c r="K3" s="14">
        <f>IFERROR(J3*(1+INDEX(CAGR!$C$44:$C$50,MATCH($A3,CAGR!$B$44:$B$50,0))),0)</f>
        <v>1.2658000000000001E-3</v>
      </c>
      <c r="L3" s="14">
        <f>IFERROR(K3*(1+INDEX(CAGR!$C$44:$C$50,MATCH($A3,CAGR!$B$44:$B$50,0))),0)</f>
        <v>1.2658000000000001E-3</v>
      </c>
      <c r="M3" s="14">
        <f>IFERROR(L3*(1+INDEX(CAGR!$C$44:$C$50,MATCH($A3,CAGR!$B$44:$B$50,0))),0)</f>
        <v>1.2658000000000001E-3</v>
      </c>
      <c r="N3" s="14">
        <f>IFERROR(M3*(1+INDEX(CAGR!$C$44:$C$50,MATCH($A3,CAGR!$B$44:$B$50,0))),0)</f>
        <v>1.2658000000000001E-3</v>
      </c>
      <c r="O3" s="14">
        <f>IFERROR(N3*(1+INDEX(CAGR!$C$44:$C$50,MATCH($A3,CAGR!$B$44:$B$50,0))),0)</f>
        <v>1.2658000000000001E-3</v>
      </c>
      <c r="P3" s="14">
        <f>IFERROR(O3*(1+INDEX(CAGR!$C$44:$C$50,MATCH($A3,CAGR!$B$44:$B$50,0))),0)</f>
        <v>1.2658000000000001E-3</v>
      </c>
      <c r="Q3" s="14">
        <f>IFERROR(P3*(1+INDEX(CAGR!$C$44:$C$50,MATCH($A3,CAGR!$B$44:$B$50,0))),0)</f>
        <v>1.2658000000000001E-3</v>
      </c>
      <c r="R3" s="14">
        <f>IFERROR(Q3*(1+INDEX(CAGR!$C$44:$C$50,MATCH($A3,CAGR!$B$44:$B$50,0))),0)</f>
        <v>1.2658000000000001E-3</v>
      </c>
      <c r="S3" s="14">
        <f>IFERROR(R3*(1+INDEX(CAGR!$C$44:$C$50,MATCH($A3,CAGR!$B$44:$B$50,0))),0)</f>
        <v>1.2658000000000001E-3</v>
      </c>
      <c r="T3" s="14">
        <f>IFERROR(S3*(1+INDEX(CAGR!$C$44:$C$50,MATCH($A3,CAGR!$B$44:$B$50,0))),0)</f>
        <v>1.2658000000000001E-3</v>
      </c>
      <c r="U3" s="14">
        <f>IFERROR(T3*(1+INDEX(CAGR!$C$44:$C$50,MATCH($A3,CAGR!$B$44:$B$50,0))),0)</f>
        <v>1.2658000000000001E-3</v>
      </c>
      <c r="V3" s="14">
        <f>IFERROR(U3*(1+INDEX(CAGR!$C$44:$C$50,MATCH($A3,CAGR!$B$44:$B$50,0))),0)</f>
        <v>1.2658000000000001E-3</v>
      </c>
      <c r="W3" s="14">
        <f>IFERROR(V3*(1+INDEX(CAGR!$C$44:$C$50,MATCH($A3,CAGR!$B$44:$B$50,0))),0)</f>
        <v>1.2658000000000001E-3</v>
      </c>
      <c r="X3" s="14">
        <f>IFERROR(W3*(1+INDEX(CAGR!$C$44:$C$50,MATCH($A3,CAGR!$B$44:$B$50,0))),0)</f>
        <v>1.2658000000000001E-3</v>
      </c>
      <c r="Y3" s="14">
        <f>IFERROR(X3*(1+INDEX(CAGR!$C$44:$C$50,MATCH($A3,CAGR!$B$44:$B$50,0))),0)</f>
        <v>1.2658000000000001E-3</v>
      </c>
      <c r="Z3" s="14">
        <f>IFERROR(Y3*(1+INDEX(CAGR!$C$44:$C$50,MATCH($A3,CAGR!$B$44:$B$50,0))),0)</f>
        <v>1.2658000000000001E-3</v>
      </c>
      <c r="AA3" s="14">
        <f>IFERROR(Z3*(1+INDEX(CAGR!$C$44:$C$50,MATCH($A3,CAGR!$B$44:$B$50,0))),0)</f>
        <v>1.2658000000000001E-3</v>
      </c>
      <c r="AB3" s="14">
        <f>IFERROR(AA3*(1+INDEX(CAGR!$C$44:$C$50,MATCH($A3,CAGR!$B$44:$B$50,0))),0)</f>
        <v>1.2658000000000001E-3</v>
      </c>
      <c r="AC3" s="14">
        <f>IFERROR(AB3*(1+INDEX(CAGR!$C$44:$C$50,MATCH($A3,CAGR!$B$44:$B$50,0))),0)</f>
        <v>1.2658000000000001E-3</v>
      </c>
      <c r="AD3" s="14">
        <f>IFERROR(AC3*(1+INDEX(CAGR!$C$44:$C$50,MATCH($A3,CAGR!$B$44:$B$50,0))),0)</f>
        <v>1.2658000000000001E-3</v>
      </c>
      <c r="AE3" s="14">
        <f>IFERROR(AD3*(1+INDEX(CAGR!$C$44:$C$50,MATCH($A3,CAGR!$B$44:$B$50,0))),0)</f>
        <v>1.2658000000000001E-3</v>
      </c>
      <c r="AF3" s="14">
        <f>IFERROR(AE3*(1+INDEX(CAGR!$C$44:$C$50,MATCH($A3,CAGR!$B$44:$B$50,0))),0)</f>
        <v>1.2658000000000001E-3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1.2658000000000001E-3</v>
      </c>
      <c r="C4" s="14">
        <f>IFERROR(B4*(1+INDEX(CAGR!$C$44:$C$50,MATCH($A4,CAGR!$B$44:$B$50,0))),0)</f>
        <v>1.2658000000000001E-3</v>
      </c>
      <c r="D4" s="14">
        <f>IFERROR(C4*(1+INDEX(CAGR!$C$44:$C$50,MATCH($A4,CAGR!$B$44:$B$50,0))),0)</f>
        <v>1.2658000000000001E-3</v>
      </c>
      <c r="E4" s="14">
        <f>IFERROR(D4*(1+INDEX(CAGR!$C$44:$C$50,MATCH($A4,CAGR!$B$44:$B$50,0))),0)</f>
        <v>1.2658000000000001E-3</v>
      </c>
      <c r="F4" s="14">
        <f>IFERROR(E4*(1+INDEX(CAGR!$C$44:$C$50,MATCH($A4,CAGR!$B$44:$B$50,0))),0)</f>
        <v>1.2658000000000001E-3</v>
      </c>
      <c r="G4" s="14">
        <f>IFERROR(F4*(1+INDEX(CAGR!$C$44:$C$50,MATCH($A4,CAGR!$B$44:$B$50,0))),0)</f>
        <v>1.2658000000000001E-3</v>
      </c>
      <c r="H4" s="14">
        <f>IFERROR(G4*(1+INDEX(CAGR!$C$44:$C$50,MATCH($A4,CAGR!$B$44:$B$50,0))),0)</f>
        <v>1.2658000000000001E-3</v>
      </c>
      <c r="I4" s="14">
        <f>IFERROR(H4*(1+INDEX(CAGR!$C$44:$C$50,MATCH($A4,CAGR!$B$44:$B$50,0))),0)</f>
        <v>1.2658000000000001E-3</v>
      </c>
      <c r="J4" s="14">
        <f>IFERROR(I4*(1+INDEX(CAGR!$C$44:$C$50,MATCH($A4,CAGR!$B$44:$B$50,0))),0)</f>
        <v>1.2658000000000001E-3</v>
      </c>
      <c r="K4" s="14">
        <f>IFERROR(J4*(1+INDEX(CAGR!$C$44:$C$50,MATCH($A4,CAGR!$B$44:$B$50,0))),0)</f>
        <v>1.2658000000000001E-3</v>
      </c>
      <c r="L4" s="14">
        <f>IFERROR(K4*(1+INDEX(CAGR!$C$44:$C$50,MATCH($A4,CAGR!$B$44:$B$50,0))),0)</f>
        <v>1.2658000000000001E-3</v>
      </c>
      <c r="M4" s="14">
        <f>IFERROR(L4*(1+INDEX(CAGR!$C$44:$C$50,MATCH($A4,CAGR!$B$44:$B$50,0))),0)</f>
        <v>1.2658000000000001E-3</v>
      </c>
      <c r="N4" s="14">
        <f>IFERROR(M4*(1+INDEX(CAGR!$C$44:$C$50,MATCH($A4,CAGR!$B$44:$B$50,0))),0)</f>
        <v>1.2658000000000001E-3</v>
      </c>
      <c r="O4" s="14">
        <f>IFERROR(N4*(1+INDEX(CAGR!$C$44:$C$50,MATCH($A4,CAGR!$B$44:$B$50,0))),0)</f>
        <v>1.2658000000000001E-3</v>
      </c>
      <c r="P4" s="14">
        <f>IFERROR(O4*(1+INDEX(CAGR!$C$44:$C$50,MATCH($A4,CAGR!$B$44:$B$50,0))),0)</f>
        <v>1.2658000000000001E-3</v>
      </c>
      <c r="Q4" s="14">
        <f>IFERROR(P4*(1+INDEX(CAGR!$C$44:$C$50,MATCH($A4,CAGR!$B$44:$B$50,0))),0)</f>
        <v>1.2658000000000001E-3</v>
      </c>
      <c r="R4" s="14">
        <f>IFERROR(Q4*(1+INDEX(CAGR!$C$44:$C$50,MATCH($A4,CAGR!$B$44:$B$50,0))),0)</f>
        <v>1.2658000000000001E-3</v>
      </c>
      <c r="S4" s="14">
        <f>IFERROR(R4*(1+INDEX(CAGR!$C$44:$C$50,MATCH($A4,CAGR!$B$44:$B$50,0))),0)</f>
        <v>1.2658000000000001E-3</v>
      </c>
      <c r="T4" s="14">
        <f>IFERROR(S4*(1+INDEX(CAGR!$C$44:$C$50,MATCH($A4,CAGR!$B$44:$B$50,0))),0)</f>
        <v>1.2658000000000001E-3</v>
      </c>
      <c r="U4" s="14">
        <f>IFERROR(T4*(1+INDEX(CAGR!$C$44:$C$50,MATCH($A4,CAGR!$B$44:$B$50,0))),0)</f>
        <v>1.2658000000000001E-3</v>
      </c>
      <c r="V4" s="14">
        <f>IFERROR(U4*(1+INDEX(CAGR!$C$44:$C$50,MATCH($A4,CAGR!$B$44:$B$50,0))),0)</f>
        <v>1.2658000000000001E-3</v>
      </c>
      <c r="W4" s="14">
        <f>IFERROR(V4*(1+INDEX(CAGR!$C$44:$C$50,MATCH($A4,CAGR!$B$44:$B$50,0))),0)</f>
        <v>1.2658000000000001E-3</v>
      </c>
      <c r="X4" s="14">
        <f>IFERROR(W4*(1+INDEX(CAGR!$C$44:$C$50,MATCH($A4,CAGR!$B$44:$B$50,0))),0)</f>
        <v>1.2658000000000001E-3</v>
      </c>
      <c r="Y4" s="14">
        <f>IFERROR(X4*(1+INDEX(CAGR!$C$44:$C$50,MATCH($A4,CAGR!$B$44:$B$50,0))),0)</f>
        <v>1.2658000000000001E-3</v>
      </c>
      <c r="Z4" s="14">
        <f>IFERROR(Y4*(1+INDEX(CAGR!$C$44:$C$50,MATCH($A4,CAGR!$B$44:$B$50,0))),0)</f>
        <v>1.2658000000000001E-3</v>
      </c>
      <c r="AA4" s="14">
        <f>IFERROR(Z4*(1+INDEX(CAGR!$C$44:$C$50,MATCH($A4,CAGR!$B$44:$B$50,0))),0)</f>
        <v>1.2658000000000001E-3</v>
      </c>
      <c r="AB4" s="14">
        <f>IFERROR(AA4*(1+INDEX(CAGR!$C$44:$C$50,MATCH($A4,CAGR!$B$44:$B$50,0))),0)</f>
        <v>1.2658000000000001E-3</v>
      </c>
      <c r="AC4" s="14">
        <f>IFERROR(AB4*(1+INDEX(CAGR!$C$44:$C$50,MATCH($A4,CAGR!$B$44:$B$50,0))),0)</f>
        <v>1.2658000000000001E-3</v>
      </c>
      <c r="AD4" s="14">
        <f>IFERROR(AC4*(1+INDEX(CAGR!$C$44:$C$50,MATCH($A4,CAGR!$B$44:$B$50,0))),0)</f>
        <v>1.2658000000000001E-3</v>
      </c>
      <c r="AE4" s="14">
        <f>IFERROR(AD4*(1+INDEX(CAGR!$C$44:$C$50,MATCH($A4,CAGR!$B$44:$B$50,0))),0)</f>
        <v>1.2658000000000001E-3</v>
      </c>
      <c r="AF4" s="14">
        <f>IFERROR(AE4*(1+INDEX(CAGR!$C$44:$C$50,MATCH($A4,CAGR!$B$44:$B$50,0))),0)</f>
        <v>1.2658000000000001E-3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1.2653975980973084E-3</v>
      </c>
      <c r="C5" s="14">
        <f>IFERROR(B5*(1+INDEX(CAGR!$C$44:$C$50,MATCH($A5,CAGR!$B$44:$B$50,0))),0)</f>
        <v>1.2649953241194794E-3</v>
      </c>
      <c r="D5" s="14">
        <f>IFERROR(C5*(1+INDEX(CAGR!$C$44:$C$50,MATCH($A5,CAGR!$B$44:$B$50,0))),0)</f>
        <v>1.2645931780258454E-3</v>
      </c>
      <c r="E5" s="14">
        <f>IFERROR(D5*(1+INDEX(CAGR!$C$44:$C$50,MATCH($A5,CAGR!$B$44:$B$50,0))),0)</f>
        <v>1.2641911597757517E-3</v>
      </c>
      <c r="F5" s="14">
        <f>IFERROR(E5*(1+INDEX(CAGR!$C$44:$C$50,MATCH($A5,CAGR!$B$44:$B$50,0))),0)</f>
        <v>1.2637892693285564E-3</v>
      </c>
      <c r="G5" s="14">
        <f>IFERROR(F5*(1+INDEX(CAGR!$C$44:$C$50,MATCH($A5,CAGR!$B$44:$B$50,0))),0)</f>
        <v>1.2633875066436306E-3</v>
      </c>
      <c r="H5" s="14">
        <f>IFERROR(G5*(1+INDEX(CAGR!$C$44:$C$50,MATCH($A5,CAGR!$B$44:$B$50,0))),0)</f>
        <v>1.2629858716803582E-3</v>
      </c>
      <c r="I5" s="14">
        <f>IFERROR(H5*(1+INDEX(CAGR!$C$44:$C$50,MATCH($A5,CAGR!$B$44:$B$50,0))),0)</f>
        <v>1.262584364398136E-3</v>
      </c>
      <c r="J5" s="14">
        <f>IFERROR(I5*(1+INDEX(CAGR!$C$44:$C$50,MATCH($A5,CAGR!$B$44:$B$50,0))),0)</f>
        <v>1.2621829847563738E-3</v>
      </c>
      <c r="K5" s="14">
        <f>IFERROR(J5*(1+INDEX(CAGR!$C$44:$C$50,MATCH($A5,CAGR!$B$44:$B$50,0))),0)</f>
        <v>1.2617817327144943E-3</v>
      </c>
      <c r="L5" s="14">
        <f>IFERROR(K5*(1+INDEX(CAGR!$C$44:$C$50,MATCH($A5,CAGR!$B$44:$B$50,0))),0)</f>
        <v>1.2613806082319332E-3</v>
      </c>
      <c r="M5" s="14">
        <f>IFERROR(L5*(1+INDEX(CAGR!$C$44:$C$50,MATCH($A5,CAGR!$B$44:$B$50,0))),0)</f>
        <v>1.2609796112681389E-3</v>
      </c>
      <c r="N5" s="14">
        <f>IFERROR(M5*(1+INDEX(CAGR!$C$44:$C$50,MATCH($A5,CAGR!$B$44:$B$50,0))),0)</f>
        <v>1.2605787417825727E-3</v>
      </c>
      <c r="O5" s="14">
        <f>IFERROR(N5*(1+INDEX(CAGR!$C$44:$C$50,MATCH($A5,CAGR!$B$44:$B$50,0))),0)</f>
        <v>1.260177999734709E-3</v>
      </c>
      <c r="P5" s="14">
        <f>IFERROR(O5*(1+INDEX(CAGR!$C$44:$C$50,MATCH($A5,CAGR!$B$44:$B$50,0))),0)</f>
        <v>1.2597773850840347E-3</v>
      </c>
      <c r="Q5" s="14">
        <f>IFERROR(P5*(1+INDEX(CAGR!$C$44:$C$50,MATCH($A5,CAGR!$B$44:$B$50,0))),0)</f>
        <v>1.25937689779005E-3</v>
      </c>
      <c r="R5" s="14">
        <f>IFERROR(Q5*(1+INDEX(CAGR!$C$44:$C$50,MATCH($A5,CAGR!$B$44:$B$50,0))),0)</f>
        <v>1.2589765378122678E-3</v>
      </c>
      <c r="S5" s="14">
        <f>IFERROR(R5*(1+INDEX(CAGR!$C$44:$C$50,MATCH($A5,CAGR!$B$44:$B$50,0))),0)</f>
        <v>1.2585763051102138E-3</v>
      </c>
      <c r="T5" s="14">
        <f>IFERROR(S5*(1+INDEX(CAGR!$C$44:$C$50,MATCH($A5,CAGR!$B$44:$B$50,0))),0)</f>
        <v>1.2581761996434267E-3</v>
      </c>
      <c r="U5" s="14">
        <f>IFERROR(T5*(1+INDEX(CAGR!$C$44:$C$50,MATCH($A5,CAGR!$B$44:$B$50,0))),0)</f>
        <v>1.257776221371458E-3</v>
      </c>
      <c r="V5" s="14">
        <f>IFERROR(U5*(1+INDEX(CAGR!$C$44:$C$50,MATCH($A5,CAGR!$B$44:$B$50,0))),0)</f>
        <v>1.257376370253872E-3</v>
      </c>
      <c r="W5" s="14">
        <f>IFERROR(V5*(1+INDEX(CAGR!$C$44:$C$50,MATCH($A5,CAGR!$B$44:$B$50,0))),0)</f>
        <v>1.256976646250246E-3</v>
      </c>
      <c r="X5" s="14">
        <f>IFERROR(W5*(1+INDEX(CAGR!$C$44:$C$50,MATCH($A5,CAGR!$B$44:$B$50,0))),0)</f>
        <v>1.25657704932017E-3</v>
      </c>
      <c r="Y5" s="14">
        <f>IFERROR(X5*(1+INDEX(CAGR!$C$44:$C$50,MATCH($A5,CAGR!$B$44:$B$50,0))),0)</f>
        <v>1.2561775794232468E-3</v>
      </c>
      <c r="Z5" s="14">
        <f>IFERROR(Y5*(1+INDEX(CAGR!$C$44:$C$50,MATCH($A5,CAGR!$B$44:$B$50,0))),0)</f>
        <v>1.2557782365190924E-3</v>
      </c>
      <c r="AA5" s="14">
        <f>IFERROR(Z5*(1+INDEX(CAGR!$C$44:$C$50,MATCH($A5,CAGR!$B$44:$B$50,0))),0)</f>
        <v>1.2553790205673354E-3</v>
      </c>
      <c r="AB5" s="14">
        <f>IFERROR(AA5*(1+INDEX(CAGR!$C$44:$C$50,MATCH($A5,CAGR!$B$44:$B$50,0))),0)</f>
        <v>1.254979931527617E-3</v>
      </c>
      <c r="AC5" s="14">
        <f>IFERROR(AB5*(1+INDEX(CAGR!$C$44:$C$50,MATCH($A5,CAGR!$B$44:$B$50,0))),0)</f>
        <v>1.2545809693595917E-3</v>
      </c>
      <c r="AD5" s="14">
        <f>IFERROR(AC5*(1+INDEX(CAGR!$C$44:$C$50,MATCH($A5,CAGR!$B$44:$B$50,0))),0)</f>
        <v>1.2541821340229262E-3</v>
      </c>
      <c r="AE5" s="14">
        <f>IFERROR(AD5*(1+INDEX(CAGR!$C$44:$C$50,MATCH($A5,CAGR!$B$44:$B$50,0))),0)</f>
        <v>1.2537834254773006E-3</v>
      </c>
      <c r="AF5" s="14">
        <f>IFERROR(AE5*(1+INDEX(CAGR!$C$44:$C$50,MATCH($A5,CAGR!$B$44:$B$50,0))),0)</f>
        <v>1.2533848436824078E-3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3.7961927942919238E-3</v>
      </c>
      <c r="C8" s="13">
        <f>B8*(1+CAGR!$C$50)</f>
        <v>3.7949859723584371E-3</v>
      </c>
      <c r="D8" s="13">
        <f>C8*(1+CAGR!$C$50)</f>
        <v>3.7937795340775354E-3</v>
      </c>
      <c r="E8" s="13">
        <f>D8*(1+CAGR!$C$50)</f>
        <v>3.7925734793272546E-3</v>
      </c>
      <c r="F8" s="13">
        <f>E8*(1+CAGR!$C$50)</f>
        <v>3.7913678079856687E-3</v>
      </c>
      <c r="G8" s="13">
        <f>F8*(1+CAGR!$C$50)</f>
        <v>3.790162519930891E-3</v>
      </c>
      <c r="H8" s="13">
        <f>G8*(1+CAGR!$C$50)</f>
        <v>3.7889576150410735E-3</v>
      </c>
      <c r="I8" s="13">
        <f>H8*(1+CAGR!$C$50)</f>
        <v>3.7877530931944067E-3</v>
      </c>
      <c r="J8" s="13">
        <f>I8*(1+CAGR!$C$50)</f>
        <v>3.7865489542691201E-3</v>
      </c>
      <c r="K8" s="13">
        <f>J8*(1+CAGR!$C$50)</f>
        <v>3.7853451981434815E-3</v>
      </c>
      <c r="L8" s="13">
        <f>K8*(1+CAGR!$C$50)</f>
        <v>3.7841418246957982E-3</v>
      </c>
      <c r="M8" s="13">
        <f>L8*(1+CAGR!$C$50)</f>
        <v>3.7829388338044148E-3</v>
      </c>
      <c r="N8" s="13">
        <f>M8*(1+CAGR!$C$50)</f>
        <v>3.7817362253477161E-3</v>
      </c>
      <c r="O8" s="13">
        <f>N8*(1+CAGR!$C$50)</f>
        <v>3.7805339992041248E-3</v>
      </c>
      <c r="P8" s="13">
        <f>O8*(1+CAGR!$C$50)</f>
        <v>3.7793321552521022E-3</v>
      </c>
      <c r="Q8" s="13">
        <f>P8*(1+CAGR!$C$50)</f>
        <v>3.7781306933701484E-3</v>
      </c>
      <c r="R8" s="13">
        <f>Q8*(1+CAGR!$C$50)</f>
        <v>3.7769296134368018E-3</v>
      </c>
      <c r="S8" s="13">
        <f>R8*(1+CAGR!$C$50)</f>
        <v>3.7757289153306402E-3</v>
      </c>
      <c r="T8" s="13">
        <f>S8*(1+CAGR!$C$50)</f>
        <v>3.7745285989302792E-3</v>
      </c>
      <c r="U8" s="13">
        <f>T8*(1+CAGR!$C$50)</f>
        <v>3.7733286641143731E-3</v>
      </c>
      <c r="V8" s="13">
        <f>U8*(1+CAGR!$C$50)</f>
        <v>3.7721291107616155E-3</v>
      </c>
      <c r="W8" s="13">
        <f>V8*(1+CAGR!$C$50)</f>
        <v>3.7709299387507379E-3</v>
      </c>
      <c r="X8" s="13">
        <f>W8*(1+CAGR!$C$50)</f>
        <v>3.7697311479605099E-3</v>
      </c>
      <c r="Y8" s="13">
        <f>X8*(1+CAGR!$C$50)</f>
        <v>3.7685327382697407E-3</v>
      </c>
      <c r="Z8" s="13">
        <f>Y8*(1+CAGR!$C$50)</f>
        <v>3.7673347095572777E-3</v>
      </c>
      <c r="AA8" s="13">
        <f>Z8*(1+CAGR!$C$50)</f>
        <v>3.7661370617020065E-3</v>
      </c>
      <c r="AB8" s="13">
        <f>AA8*(1+CAGR!$C$50)</f>
        <v>3.7649397945828515E-3</v>
      </c>
      <c r="AC8" s="13">
        <f>AB8*(1+CAGR!$C$50)</f>
        <v>3.763742908078775E-3</v>
      </c>
      <c r="AD8" s="13">
        <f>AC8*(1+CAGR!$C$50)</f>
        <v>3.7625464020687787E-3</v>
      </c>
      <c r="AE8" s="13">
        <f>AD8*(1+CAGR!$C$50)</f>
        <v>3.7613502764319022E-3</v>
      </c>
      <c r="AF8" s="13">
        <f>AE8*(1+CAGR!$C$50)</f>
        <v>3.7601545310472235E-3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B5" sqref="B5"/>
    </sheetView>
  </sheetViews>
  <sheetFormatPr defaultRowHeight="15"/>
  <cols>
    <col min="1" max="1" width="32.7109375" bestFit="1" customWidth="1"/>
    <col min="2" max="32" width="9.2851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4.6989073334332684E-3</v>
      </c>
      <c r="C2" s="14">
        <f>IFERROR(B2*(1+INDEX(CAGR!$C$51:$C$57,MATCH($A2,CAGR!$B$44:$B$50,0))),0)</f>
        <v>4.7283986054893245E-3</v>
      </c>
      <c r="D2" s="14">
        <f>IFERROR(C2*(1+INDEX(CAGR!$C$51:$C$57,MATCH($A2,CAGR!$B$44:$B$50,0))),0)</f>
        <v>4.7580749706033548E-3</v>
      </c>
      <c r="E2" s="14">
        <f>IFERROR(D2*(1+INDEX(CAGR!$C$51:$C$57,MATCH($A2,CAGR!$B$44:$B$50,0))),0)</f>
        <v>4.7879375904560104E-3</v>
      </c>
      <c r="F2" s="14">
        <f>IFERROR(E2*(1+INDEX(CAGR!$C$51:$C$57,MATCH($A2,CAGR!$B$44:$B$50,0))),0)</f>
        <v>4.8179876340188792E-3</v>
      </c>
      <c r="G2" s="14">
        <f>IFERROR(F2*(1+INDEX(CAGR!$C$51:$C$57,MATCH($A2,CAGR!$B$44:$B$50,0))),0)</f>
        <v>4.8482262776002472E-3</v>
      </c>
      <c r="H2" s="14">
        <f>IFERROR(G2*(1+INDEX(CAGR!$C$51:$C$57,MATCH($A2,CAGR!$B$44:$B$50,0))),0)</f>
        <v>4.8786547048911425E-3</v>
      </c>
      <c r="I2" s="14">
        <f>IFERROR(H2*(1+INDEX(CAGR!$C$51:$C$57,MATCH($A2,CAGR!$B$44:$B$50,0))),0)</f>
        <v>4.9092741070116729E-3</v>
      </c>
      <c r="J2" s="14">
        <f>IFERROR(I2*(1+INDEX(CAGR!$C$51:$C$57,MATCH($A2,CAGR!$B$44:$B$50,0))),0)</f>
        <v>4.9400856825576513E-3</v>
      </c>
      <c r="K2" s="14">
        <f>IFERROR(J2*(1+INDEX(CAGR!$C$51:$C$57,MATCH($A2,CAGR!$B$44:$B$50,0))),0)</f>
        <v>4.9710906376475164E-3</v>
      </c>
      <c r="L2" s="14">
        <f>IFERROR(K2*(1+INDEX(CAGR!$C$51:$C$57,MATCH($A2,CAGR!$B$44:$B$50,0))),0)</f>
        <v>5.0022901859695431E-3</v>
      </c>
      <c r="M2" s="14">
        <f>IFERROR(L2*(1+INDEX(CAGR!$C$51:$C$57,MATCH($A2,CAGR!$B$44:$B$50,0))),0)</f>
        <v>5.0336855488293548E-3</v>
      </c>
      <c r="N2" s="14">
        <f>IFERROR(M2*(1+INDEX(CAGR!$C$51:$C$57,MATCH($A2,CAGR!$B$44:$B$50,0))),0)</f>
        <v>5.0652779551977308E-3</v>
      </c>
      <c r="O2" s="14">
        <f>IFERROR(N2*(1+INDEX(CAGR!$C$51:$C$57,MATCH($A2,CAGR!$B$44:$B$50,0))),0)</f>
        <v>5.0970686417587136E-3</v>
      </c>
      <c r="P2" s="14">
        <f>IFERROR(O2*(1+INDEX(CAGR!$C$51:$C$57,MATCH($A2,CAGR!$B$44:$B$50,0))),0)</f>
        <v>5.1290588529580199E-3</v>
      </c>
      <c r="Q2" s="14">
        <f>IFERROR(P2*(1+INDEX(CAGR!$C$51:$C$57,MATCH($A2,CAGR!$B$44:$B$50,0))),0)</f>
        <v>5.1612498410517531E-3</v>
      </c>
      <c r="R2" s="14">
        <f>IFERROR(Q2*(1+INDEX(CAGR!$C$51:$C$57,MATCH($A2,CAGR!$B$44:$B$50,0))),0)</f>
        <v>5.1936428661554252E-3</v>
      </c>
      <c r="S2" s="14">
        <f>IFERROR(R2*(1+INDEX(CAGR!$C$51:$C$57,MATCH($A2,CAGR!$B$44:$B$50,0))),0)</f>
        <v>5.2262391962932817E-3</v>
      </c>
      <c r="T2" s="14">
        <f>IFERROR(S2*(1+INDEX(CAGR!$C$51:$C$57,MATCH($A2,CAGR!$B$44:$B$50,0))),0)</f>
        <v>5.2590401074479381E-3</v>
      </c>
      <c r="U2" s="14">
        <f>IFERROR(T2*(1+INDEX(CAGR!$C$51:$C$57,MATCH($A2,CAGR!$B$44:$B$50,0))),0)</f>
        <v>5.2920468836103306E-3</v>
      </c>
      <c r="V2" s="14">
        <f>IFERROR(U2*(1+INDEX(CAGR!$C$51:$C$57,MATCH($A2,CAGR!$B$44:$B$50,0))),0)</f>
        <v>5.3252608168299761E-3</v>
      </c>
      <c r="W2" s="14">
        <f>IFERROR(V2*(1+INDEX(CAGR!$C$51:$C$57,MATCH($A2,CAGR!$B$44:$B$50,0))),0)</f>
        <v>5.3586832072655497E-3</v>
      </c>
      <c r="X2" s="14">
        <f>IFERROR(W2*(1+INDEX(CAGR!$C$51:$C$57,MATCH($A2,CAGR!$B$44:$B$50,0))),0)</f>
        <v>5.39231536323578E-3</v>
      </c>
      <c r="Y2" s="14">
        <f>IFERROR(X2*(1+INDEX(CAGR!$C$51:$C$57,MATCH($A2,CAGR!$B$44:$B$50,0))),0)</f>
        <v>5.4261586012706621E-3</v>
      </c>
      <c r="Z2" s="14">
        <f>IFERROR(Y2*(1+INDEX(CAGR!$C$51:$C$57,MATCH($A2,CAGR!$B$44:$B$50,0))),0)</f>
        <v>5.4602142461629951E-3</v>
      </c>
      <c r="AA2" s="14">
        <f>IFERROR(Z2*(1+INDEX(CAGR!$C$51:$C$57,MATCH($A2,CAGR!$B$44:$B$50,0))),0)</f>
        <v>5.4944836310202383E-3</v>
      </c>
      <c r="AB2" s="14">
        <f>IFERROR(AA2*(1+INDEX(CAGR!$C$51:$C$57,MATCH($A2,CAGR!$B$44:$B$50,0))),0)</f>
        <v>5.5289680973166977E-3</v>
      </c>
      <c r="AC2" s="14">
        <f>IFERROR(AB2*(1+INDEX(CAGR!$C$51:$C$57,MATCH($A2,CAGR!$B$44:$B$50,0))),0)</f>
        <v>5.5636689949460369E-3</v>
      </c>
      <c r="AD2" s="14">
        <f>IFERROR(AC2*(1+INDEX(CAGR!$C$51:$C$57,MATCH($A2,CAGR!$B$44:$B$50,0))),0)</f>
        <v>5.5985876822741212E-3</v>
      </c>
      <c r="AE2" s="14">
        <f>IFERROR(AD2*(1+INDEX(CAGR!$C$51:$C$57,MATCH($A2,CAGR!$B$44:$B$50,0))),0)</f>
        <v>5.6337255261921862E-3</v>
      </c>
      <c r="AF2" s="14">
        <f>IFERROR(AE2*(1+INDEX(CAGR!$C$51:$C$57,MATCH($A2,CAGR!$B$44:$B$50,0))),0)</f>
        <v>5.669083902170349E-3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1.4530999999999999E-3</v>
      </c>
      <c r="C3" s="14">
        <f>IFERROR(B3*(1+INDEX(CAGR!$C$51:$C$57,MATCH($A3,CAGR!$B$44:$B$50,0))),0)</f>
        <v>1.4530999999999999E-3</v>
      </c>
      <c r="D3" s="14">
        <f>IFERROR(C3*(1+INDEX(CAGR!$C$51:$C$57,MATCH($A3,CAGR!$B$44:$B$50,0))),0)</f>
        <v>1.4530999999999999E-3</v>
      </c>
      <c r="E3" s="14">
        <f>IFERROR(D3*(1+INDEX(CAGR!$C$51:$C$57,MATCH($A3,CAGR!$B$44:$B$50,0))),0)</f>
        <v>1.4530999999999999E-3</v>
      </c>
      <c r="F3" s="14">
        <f>IFERROR(E3*(1+INDEX(CAGR!$C$51:$C$57,MATCH($A3,CAGR!$B$44:$B$50,0))),0)</f>
        <v>1.4530999999999999E-3</v>
      </c>
      <c r="G3" s="14">
        <f>IFERROR(F3*(1+INDEX(CAGR!$C$51:$C$57,MATCH($A3,CAGR!$B$44:$B$50,0))),0)</f>
        <v>1.4530999999999999E-3</v>
      </c>
      <c r="H3" s="14">
        <f>IFERROR(G3*(1+INDEX(CAGR!$C$51:$C$57,MATCH($A3,CAGR!$B$44:$B$50,0))),0)</f>
        <v>1.4530999999999999E-3</v>
      </c>
      <c r="I3" s="14">
        <f>IFERROR(H3*(1+INDEX(CAGR!$C$51:$C$57,MATCH($A3,CAGR!$B$44:$B$50,0))),0)</f>
        <v>1.4530999999999999E-3</v>
      </c>
      <c r="J3" s="14">
        <f>IFERROR(I3*(1+INDEX(CAGR!$C$51:$C$57,MATCH($A3,CAGR!$B$44:$B$50,0))),0)</f>
        <v>1.4530999999999999E-3</v>
      </c>
      <c r="K3" s="14">
        <f>IFERROR(J3*(1+INDEX(CAGR!$C$51:$C$57,MATCH($A3,CAGR!$B$44:$B$50,0))),0)</f>
        <v>1.4530999999999999E-3</v>
      </c>
      <c r="L3" s="14">
        <f>IFERROR(K3*(1+INDEX(CAGR!$C$51:$C$57,MATCH($A3,CAGR!$B$44:$B$50,0))),0)</f>
        <v>1.4530999999999999E-3</v>
      </c>
      <c r="M3" s="14">
        <f>IFERROR(L3*(1+INDEX(CAGR!$C$51:$C$57,MATCH($A3,CAGR!$B$44:$B$50,0))),0)</f>
        <v>1.4530999999999999E-3</v>
      </c>
      <c r="N3" s="14">
        <f>IFERROR(M3*(1+INDEX(CAGR!$C$51:$C$57,MATCH($A3,CAGR!$B$44:$B$50,0))),0)</f>
        <v>1.4530999999999999E-3</v>
      </c>
      <c r="O3" s="14">
        <f>IFERROR(N3*(1+INDEX(CAGR!$C$51:$C$57,MATCH($A3,CAGR!$B$44:$B$50,0))),0)</f>
        <v>1.4530999999999999E-3</v>
      </c>
      <c r="P3" s="14">
        <f>IFERROR(O3*(1+INDEX(CAGR!$C$51:$C$57,MATCH($A3,CAGR!$B$44:$B$50,0))),0)</f>
        <v>1.4530999999999999E-3</v>
      </c>
      <c r="Q3" s="14">
        <f>IFERROR(P3*(1+INDEX(CAGR!$C$51:$C$57,MATCH($A3,CAGR!$B$44:$B$50,0))),0)</f>
        <v>1.4530999999999999E-3</v>
      </c>
      <c r="R3" s="14">
        <f>IFERROR(Q3*(1+INDEX(CAGR!$C$51:$C$57,MATCH($A3,CAGR!$B$44:$B$50,0))),0)</f>
        <v>1.4530999999999999E-3</v>
      </c>
      <c r="S3" s="14">
        <f>IFERROR(R3*(1+INDEX(CAGR!$C$51:$C$57,MATCH($A3,CAGR!$B$44:$B$50,0))),0)</f>
        <v>1.4530999999999999E-3</v>
      </c>
      <c r="T3" s="14">
        <f>IFERROR(S3*(1+INDEX(CAGR!$C$51:$C$57,MATCH($A3,CAGR!$B$44:$B$50,0))),0)</f>
        <v>1.4530999999999999E-3</v>
      </c>
      <c r="U3" s="14">
        <f>IFERROR(T3*(1+INDEX(CAGR!$C$51:$C$57,MATCH($A3,CAGR!$B$44:$B$50,0))),0)</f>
        <v>1.4530999999999999E-3</v>
      </c>
      <c r="V3" s="14">
        <f>IFERROR(U3*(1+INDEX(CAGR!$C$51:$C$57,MATCH($A3,CAGR!$B$44:$B$50,0))),0)</f>
        <v>1.4530999999999999E-3</v>
      </c>
      <c r="W3" s="14">
        <f>IFERROR(V3*(1+INDEX(CAGR!$C$51:$C$57,MATCH($A3,CAGR!$B$44:$B$50,0))),0)</f>
        <v>1.4530999999999999E-3</v>
      </c>
      <c r="X3" s="14">
        <f>IFERROR(W3*(1+INDEX(CAGR!$C$51:$C$57,MATCH($A3,CAGR!$B$44:$B$50,0))),0)</f>
        <v>1.4530999999999999E-3</v>
      </c>
      <c r="Y3" s="14">
        <f>IFERROR(X3*(1+INDEX(CAGR!$C$51:$C$57,MATCH($A3,CAGR!$B$44:$B$50,0))),0)</f>
        <v>1.4530999999999999E-3</v>
      </c>
      <c r="Z3" s="14">
        <f>IFERROR(Y3*(1+INDEX(CAGR!$C$51:$C$57,MATCH($A3,CAGR!$B$44:$B$50,0))),0)</f>
        <v>1.4530999999999999E-3</v>
      </c>
      <c r="AA3" s="14">
        <f>IFERROR(Z3*(1+INDEX(CAGR!$C$51:$C$57,MATCH($A3,CAGR!$B$44:$B$50,0))),0)</f>
        <v>1.4530999999999999E-3</v>
      </c>
      <c r="AB3" s="14">
        <f>IFERROR(AA3*(1+INDEX(CAGR!$C$51:$C$57,MATCH($A3,CAGR!$B$44:$B$50,0))),0)</f>
        <v>1.4530999999999999E-3</v>
      </c>
      <c r="AC3" s="14">
        <f>IFERROR(AB3*(1+INDEX(CAGR!$C$51:$C$57,MATCH($A3,CAGR!$B$44:$B$50,0))),0)</f>
        <v>1.4530999999999999E-3</v>
      </c>
      <c r="AD3" s="14">
        <f>IFERROR(AC3*(1+INDEX(CAGR!$C$51:$C$57,MATCH($A3,CAGR!$B$44:$B$50,0))),0)</f>
        <v>1.4530999999999999E-3</v>
      </c>
      <c r="AE3" s="14">
        <f>IFERROR(AD3*(1+INDEX(CAGR!$C$51:$C$57,MATCH($A3,CAGR!$B$44:$B$50,0))),0)</f>
        <v>1.4530999999999999E-3</v>
      </c>
      <c r="AF3" s="14">
        <f>IFERROR(AE3*(1+INDEX(CAGR!$C$51:$C$57,MATCH($A3,CAGR!$B$44:$B$50,0))),0)</f>
        <v>1.4530999999999999E-3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1.4530999999999999E-3</v>
      </c>
      <c r="C4" s="14">
        <f>IFERROR(B4*(1+INDEX(CAGR!$C$51:$C$57,MATCH($A4,CAGR!$B$44:$B$50,0))),0)</f>
        <v>1.4530999999999999E-3</v>
      </c>
      <c r="D4" s="14">
        <f>IFERROR(C4*(1+INDEX(CAGR!$C$51:$C$57,MATCH($A4,CAGR!$B$44:$B$50,0))),0)</f>
        <v>1.4530999999999999E-3</v>
      </c>
      <c r="E4" s="14">
        <f>IFERROR(D4*(1+INDEX(CAGR!$C$51:$C$57,MATCH($A4,CAGR!$B$44:$B$50,0))),0)</f>
        <v>1.4530999999999999E-3</v>
      </c>
      <c r="F4" s="14">
        <f>IFERROR(E4*(1+INDEX(CAGR!$C$51:$C$57,MATCH($A4,CAGR!$B$44:$B$50,0))),0)</f>
        <v>1.4530999999999999E-3</v>
      </c>
      <c r="G4" s="14">
        <f>IFERROR(F4*(1+INDEX(CAGR!$C$51:$C$57,MATCH($A4,CAGR!$B$44:$B$50,0))),0)</f>
        <v>1.4530999999999999E-3</v>
      </c>
      <c r="H4" s="14">
        <f>IFERROR(G4*(1+INDEX(CAGR!$C$51:$C$57,MATCH($A4,CAGR!$B$44:$B$50,0))),0)</f>
        <v>1.4530999999999999E-3</v>
      </c>
      <c r="I4" s="14">
        <f>IFERROR(H4*(1+INDEX(CAGR!$C$51:$C$57,MATCH($A4,CAGR!$B$44:$B$50,0))),0)</f>
        <v>1.4530999999999999E-3</v>
      </c>
      <c r="J4" s="14">
        <f>IFERROR(I4*(1+INDEX(CAGR!$C$51:$C$57,MATCH($A4,CAGR!$B$44:$B$50,0))),0)</f>
        <v>1.4530999999999999E-3</v>
      </c>
      <c r="K4" s="14">
        <f>IFERROR(J4*(1+INDEX(CAGR!$C$51:$C$57,MATCH($A4,CAGR!$B$44:$B$50,0))),0)</f>
        <v>1.4530999999999999E-3</v>
      </c>
      <c r="L4" s="14">
        <f>IFERROR(K4*(1+INDEX(CAGR!$C$51:$C$57,MATCH($A4,CAGR!$B$44:$B$50,0))),0)</f>
        <v>1.4530999999999999E-3</v>
      </c>
      <c r="M4" s="14">
        <f>IFERROR(L4*(1+INDEX(CAGR!$C$51:$C$57,MATCH($A4,CAGR!$B$44:$B$50,0))),0)</f>
        <v>1.4530999999999999E-3</v>
      </c>
      <c r="N4" s="14">
        <f>IFERROR(M4*(1+INDEX(CAGR!$C$51:$C$57,MATCH($A4,CAGR!$B$44:$B$50,0))),0)</f>
        <v>1.4530999999999999E-3</v>
      </c>
      <c r="O4" s="14">
        <f>IFERROR(N4*(1+INDEX(CAGR!$C$51:$C$57,MATCH($A4,CAGR!$B$44:$B$50,0))),0)</f>
        <v>1.4530999999999999E-3</v>
      </c>
      <c r="P4" s="14">
        <f>IFERROR(O4*(1+INDEX(CAGR!$C$51:$C$57,MATCH($A4,CAGR!$B$44:$B$50,0))),0)</f>
        <v>1.4530999999999999E-3</v>
      </c>
      <c r="Q4" s="14">
        <f>IFERROR(P4*(1+INDEX(CAGR!$C$51:$C$57,MATCH($A4,CAGR!$B$44:$B$50,0))),0)</f>
        <v>1.4530999999999999E-3</v>
      </c>
      <c r="R4" s="14">
        <f>IFERROR(Q4*(1+INDEX(CAGR!$C$51:$C$57,MATCH($A4,CAGR!$B$44:$B$50,0))),0)</f>
        <v>1.4530999999999999E-3</v>
      </c>
      <c r="S4" s="14">
        <f>IFERROR(R4*(1+INDEX(CAGR!$C$51:$C$57,MATCH($A4,CAGR!$B$44:$B$50,0))),0)</f>
        <v>1.4530999999999999E-3</v>
      </c>
      <c r="T4" s="14">
        <f>IFERROR(S4*(1+INDEX(CAGR!$C$51:$C$57,MATCH($A4,CAGR!$B$44:$B$50,0))),0)</f>
        <v>1.4530999999999999E-3</v>
      </c>
      <c r="U4" s="14">
        <f>IFERROR(T4*(1+INDEX(CAGR!$C$51:$C$57,MATCH($A4,CAGR!$B$44:$B$50,0))),0)</f>
        <v>1.4530999999999999E-3</v>
      </c>
      <c r="V4" s="14">
        <f>IFERROR(U4*(1+INDEX(CAGR!$C$51:$C$57,MATCH($A4,CAGR!$B$44:$B$50,0))),0)</f>
        <v>1.4530999999999999E-3</v>
      </c>
      <c r="W4" s="14">
        <f>IFERROR(V4*(1+INDEX(CAGR!$C$51:$C$57,MATCH($A4,CAGR!$B$44:$B$50,0))),0)</f>
        <v>1.4530999999999999E-3</v>
      </c>
      <c r="X4" s="14">
        <f>IFERROR(W4*(1+INDEX(CAGR!$C$51:$C$57,MATCH($A4,CAGR!$B$44:$B$50,0))),0)</f>
        <v>1.4530999999999999E-3</v>
      </c>
      <c r="Y4" s="14">
        <f>IFERROR(X4*(1+INDEX(CAGR!$C$51:$C$57,MATCH($A4,CAGR!$B$44:$B$50,0))),0)</f>
        <v>1.4530999999999999E-3</v>
      </c>
      <c r="Z4" s="14">
        <f>IFERROR(Y4*(1+INDEX(CAGR!$C$51:$C$57,MATCH($A4,CAGR!$B$44:$B$50,0))),0)</f>
        <v>1.4530999999999999E-3</v>
      </c>
      <c r="AA4" s="14">
        <f>IFERROR(Z4*(1+INDEX(CAGR!$C$51:$C$57,MATCH($A4,CAGR!$B$44:$B$50,0))),0)</f>
        <v>1.4530999999999999E-3</v>
      </c>
      <c r="AB4" s="14">
        <f>IFERROR(AA4*(1+INDEX(CAGR!$C$51:$C$57,MATCH($A4,CAGR!$B$44:$B$50,0))),0)</f>
        <v>1.4530999999999999E-3</v>
      </c>
      <c r="AC4" s="14">
        <f>IFERROR(AB4*(1+INDEX(CAGR!$C$51:$C$57,MATCH($A4,CAGR!$B$44:$B$50,0))),0)</f>
        <v>1.4530999999999999E-3</v>
      </c>
      <c r="AD4" s="14">
        <f>IFERROR(AC4*(1+INDEX(CAGR!$C$51:$C$57,MATCH($A4,CAGR!$B$44:$B$50,0))),0)</f>
        <v>1.4530999999999999E-3</v>
      </c>
      <c r="AE4" s="14">
        <f>IFERROR(AD4*(1+INDEX(CAGR!$C$51:$C$57,MATCH($A4,CAGR!$B$44:$B$50,0))),0)</f>
        <v>1.4530999999999999E-3</v>
      </c>
      <c r="AF4" s="14">
        <f>IFERROR(AE4*(1+INDEX(CAGR!$C$51:$C$57,MATCH($A4,CAGR!$B$44:$B$50,0))),0)</f>
        <v>1.4530999999999999E-3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1.4622199430811809E-3</v>
      </c>
      <c r="C5" s="14">
        <f>IFERROR(B5*(1+INDEX(CAGR!$C$51:$C$57,MATCH($A5,CAGR!$B$44:$B$50,0))),0)</f>
        <v>1.4713971247294281E-3</v>
      </c>
      <c r="D5" s="14">
        <f>IFERROR(C5*(1+INDEX(CAGR!$C$51:$C$57,MATCH($A5,CAGR!$B$44:$B$50,0))),0)</f>
        <v>1.4806319041853126E-3</v>
      </c>
      <c r="E5" s="14">
        <f>IFERROR(D5*(1+INDEX(CAGR!$C$51:$C$57,MATCH($A5,CAGR!$B$44:$B$50,0))),0)</f>
        <v>1.4899246429440701E-3</v>
      </c>
      <c r="F5" s="14">
        <f>IFERROR(E5*(1+INDEX(CAGR!$C$51:$C$57,MATCH($A5,CAGR!$B$44:$B$50,0))),0)</f>
        <v>1.4992757047697521E-3</v>
      </c>
      <c r="G5" s="14">
        <f>IFERROR(F5*(1+INDEX(CAGR!$C$51:$C$57,MATCH($A5,CAGR!$B$44:$B$50,0))),0)</f>
        <v>1.5086854557094654E-3</v>
      </c>
      <c r="H5" s="14">
        <f>IFERROR(G5*(1+INDEX(CAGR!$C$51:$C$57,MATCH($A5,CAGR!$B$44:$B$50,0))),0)</f>
        <v>1.5181542641077008E-3</v>
      </c>
      <c r="I5" s="14">
        <f>IFERROR(H5*(1+INDEX(CAGR!$C$51:$C$57,MATCH($A5,CAGR!$B$44:$B$50,0))),0)</f>
        <v>1.5276825006207517E-3</v>
      </c>
      <c r="J5" s="14">
        <f>IFERROR(I5*(1+INDEX(CAGR!$C$51:$C$57,MATCH($A5,CAGR!$B$44:$B$50,0))),0)</f>
        <v>1.537270538231224E-3</v>
      </c>
      <c r="K5" s="14">
        <f>IFERROR(J5*(1+INDEX(CAGR!$C$51:$C$57,MATCH($A5,CAGR!$B$44:$B$50,0))),0)</f>
        <v>1.5469187522626363E-3</v>
      </c>
      <c r="L5" s="14">
        <f>IFERROR(K5*(1+INDEX(CAGR!$C$51:$C$57,MATCH($A5,CAGR!$B$44:$B$50,0))),0)</f>
        <v>1.5566275203941116E-3</v>
      </c>
      <c r="M5" s="14">
        <f>IFERROR(L5*(1+INDEX(CAGR!$C$51:$C$57,MATCH($A5,CAGR!$B$44:$B$50,0))),0)</f>
        <v>1.5663972226751617E-3</v>
      </c>
      <c r="N5" s="14">
        <f>IFERROR(M5*(1+INDEX(CAGR!$C$51:$C$57,MATCH($A5,CAGR!$B$44:$B$50,0))),0)</f>
        <v>1.5762282415405649E-3</v>
      </c>
      <c r="O5" s="14">
        <f>IFERROR(N5*(1+INDEX(CAGR!$C$51:$C$57,MATCH($A5,CAGR!$B$44:$B$50,0))),0)</f>
        <v>1.5861209618253354E-3</v>
      </c>
      <c r="P5" s="14">
        <f>IFERROR(O5*(1+INDEX(CAGR!$C$51:$C$57,MATCH($A5,CAGR!$B$44:$B$50,0))),0)</f>
        <v>1.5960757707797878E-3</v>
      </c>
      <c r="Q5" s="14">
        <f>IFERROR(P5*(1+INDEX(CAGR!$C$51:$C$57,MATCH($A5,CAGR!$B$44:$B$50,0))),0)</f>
        <v>1.6060930580846971E-3</v>
      </c>
      <c r="R5" s="14">
        <f>IFERROR(Q5*(1+INDEX(CAGR!$C$51:$C$57,MATCH($A5,CAGR!$B$44:$B$50,0))),0)</f>
        <v>1.6161732158665512E-3</v>
      </c>
      <c r="S5" s="14">
        <f>IFERROR(R5*(1+INDEX(CAGR!$C$51:$C$57,MATCH($A5,CAGR!$B$44:$B$50,0))),0)</f>
        <v>1.6263166387129018E-3</v>
      </c>
      <c r="T5" s="14">
        <f>IFERROR(S5*(1+INDEX(CAGR!$C$51:$C$57,MATCH($A5,CAGR!$B$44:$B$50,0))),0)</f>
        <v>1.63652372368781E-3</v>
      </c>
      <c r="U5" s="14">
        <f>IFERROR(T5*(1+INDEX(CAGR!$C$51:$C$57,MATCH($A5,CAGR!$B$44:$B$50,0))),0)</f>
        <v>1.6467948703473895E-3</v>
      </c>
      <c r="V5" s="14">
        <f>IFERROR(U5*(1+INDEX(CAGR!$C$51:$C$57,MATCH($A5,CAGR!$B$44:$B$50,0))),0)</f>
        <v>1.6571304807554473E-3</v>
      </c>
      <c r="W5" s="14">
        <f>IFERROR(V5*(1+INDEX(CAGR!$C$51:$C$57,MATCH($A5,CAGR!$B$44:$B$50,0))),0)</f>
        <v>1.6675309594992224E-3</v>
      </c>
      <c r="X5" s="14">
        <f>IFERROR(W5*(1+INDEX(CAGR!$C$51:$C$57,MATCH($A5,CAGR!$B$44:$B$50,0))),0)</f>
        <v>1.6779967137052234E-3</v>
      </c>
      <c r="Y5" s="14">
        <f>IFERROR(X5*(1+INDEX(CAGR!$C$51:$C$57,MATCH($A5,CAGR!$B$44:$B$50,0))),0)</f>
        <v>1.688528153055165E-3</v>
      </c>
      <c r="Z5" s="14">
        <f>IFERROR(Y5*(1+INDEX(CAGR!$C$51:$C$57,MATCH($A5,CAGR!$B$44:$B$50,0))),0)</f>
        <v>1.699125689802006E-3</v>
      </c>
      <c r="AA5" s="14">
        <f>IFERROR(Z5*(1+INDEX(CAGR!$C$51:$C$57,MATCH($A5,CAGR!$B$44:$B$50,0))),0)</f>
        <v>1.7097897387860859E-3</v>
      </c>
      <c r="AB5" s="14">
        <f>IFERROR(AA5*(1+INDEX(CAGR!$C$51:$C$57,MATCH($A5,CAGR!$B$44:$B$50,0))),0)</f>
        <v>1.7205207174513645E-3</v>
      </c>
      <c r="AC5" s="14">
        <f>IFERROR(AB5*(1+INDEX(CAGR!$C$51:$C$57,MATCH($A5,CAGR!$B$44:$B$50,0))),0)</f>
        <v>1.7313190458617623E-3</v>
      </c>
      <c r="AD5" s="14">
        <f>IFERROR(AC5*(1+INDEX(CAGR!$C$51:$C$57,MATCH($A5,CAGR!$B$44:$B$50,0))),0)</f>
        <v>1.742185146717604E-3</v>
      </c>
      <c r="AE5" s="14">
        <f>IFERROR(AD5*(1+INDEX(CAGR!$C$51:$C$57,MATCH($A5,CAGR!$B$44:$B$50,0))),0)</f>
        <v>1.7531194453721656E-3</v>
      </c>
      <c r="AF5" s="14">
        <f>IFERROR(AE5*(1+INDEX(CAGR!$C$51:$C$57,MATCH($A5,CAGR!$B$44:$B$50,0))),0)</f>
        <v>1.764122369848324E-3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4.3866598292435421E-3</v>
      </c>
      <c r="C8" s="13">
        <f>B8*(1+CAGR!$C$57)</f>
        <v>4.4141913741882833E-3</v>
      </c>
      <c r="D8" s="13">
        <f>C8*(1+CAGR!$C$57)</f>
        <v>4.4418957125559365E-3</v>
      </c>
      <c r="E8" s="13">
        <f>D8*(1+CAGR!$C$57)</f>
        <v>4.4697739288322089E-3</v>
      </c>
      <c r="F8" s="13">
        <f>E8*(1+CAGR!$C$57)</f>
        <v>4.497827114309255E-3</v>
      </c>
      <c r="G8" s="13">
        <f>F8*(1+CAGR!$C$57)</f>
        <v>4.526056367128395E-3</v>
      </c>
      <c r="H8" s="13">
        <f>G8*(1+CAGR!$C$57)</f>
        <v>4.5544627923231008E-3</v>
      </c>
      <c r="I8" s="13">
        <f>H8*(1+CAGR!$C$57)</f>
        <v>4.5830475018622538E-3</v>
      </c>
      <c r="J8" s="13">
        <f>I8*(1+CAGR!$C$57)</f>
        <v>4.6118116146936705E-3</v>
      </c>
      <c r="K8" s="13">
        <f>J8*(1+CAGR!$C$57)</f>
        <v>4.6407562567879071E-3</v>
      </c>
      <c r="L8" s="13">
        <f>K8*(1+CAGR!$C$57)</f>
        <v>4.6698825611823326E-3</v>
      </c>
      <c r="M8" s="13">
        <f>L8*(1+CAGR!$C$57)</f>
        <v>4.6991916680254832E-3</v>
      </c>
      <c r="N8" s="13">
        <f>M8*(1+CAGR!$C$57)</f>
        <v>4.7286847246216929E-3</v>
      </c>
      <c r="O8" s="13">
        <f>N8*(1+CAGR!$C$57)</f>
        <v>4.7583628854760036E-3</v>
      </c>
      <c r="P8" s="13">
        <f>O8*(1+CAGR!$C$57)</f>
        <v>4.7882273123393609E-3</v>
      </c>
      <c r="Q8" s="13">
        <f>P8*(1+CAGR!$C$57)</f>
        <v>4.8182791742540886E-3</v>
      </c>
      <c r="R8" s="13">
        <f>Q8*(1+CAGR!$C$57)</f>
        <v>4.8485196475996509E-3</v>
      </c>
      <c r="S8" s="13">
        <f>R8*(1+CAGR!$C$57)</f>
        <v>4.8789499161387027E-3</v>
      </c>
      <c r="T8" s="13">
        <f>S8*(1+CAGR!$C$57)</f>
        <v>4.909571171063427E-3</v>
      </c>
      <c r="U8" s="13">
        <f>T8*(1+CAGR!$C$57)</f>
        <v>4.9403846110421656E-3</v>
      </c>
      <c r="V8" s="13">
        <f>U8*(1+CAGR!$C$57)</f>
        <v>4.9713914422663394E-3</v>
      </c>
      <c r="W8" s="13">
        <f>V8*(1+CAGR!$C$57)</f>
        <v>5.0025928784976645E-3</v>
      </c>
      <c r="X8" s="13">
        <f>W8*(1+CAGR!$C$57)</f>
        <v>5.0339901411156672E-3</v>
      </c>
      <c r="Y8" s="13">
        <f>X8*(1+CAGR!$C$57)</f>
        <v>5.0655844591654927E-3</v>
      </c>
      <c r="Z8" s="13">
        <f>Y8*(1+CAGR!$C$57)</f>
        <v>5.0973770694060158E-3</v>
      </c>
      <c r="AA8" s="13">
        <f>Z8*(1+CAGR!$C$57)</f>
        <v>5.1293692163582559E-3</v>
      </c>
      <c r="AB8" s="13">
        <f>AA8*(1+CAGR!$C$57)</f>
        <v>5.1615621523540918E-3</v>
      </c>
      <c r="AC8" s="13">
        <f>AB8*(1+CAGR!$C$57)</f>
        <v>5.1939571375852851E-3</v>
      </c>
      <c r="AD8" s="13">
        <f>AC8*(1+CAGR!$C$57)</f>
        <v>5.2265554401528108E-3</v>
      </c>
      <c r="AE8" s="13">
        <f>AD8*(1+CAGR!$C$57)</f>
        <v>5.2593583361164953E-3</v>
      </c>
      <c r="AF8" s="13">
        <f>AE8*(1+CAGR!$C$57)</f>
        <v>5.2923671095449704E-3</v>
      </c>
    </row>
  </sheetData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2.9538232025526343E-3</v>
      </c>
      <c r="C2" s="13">
        <f>B2*(1+CAGR!$C$58)</f>
        <v>2.9538232025526343E-3</v>
      </c>
      <c r="D2" s="13">
        <f>C2*(1+CAGR!$C$58)</f>
        <v>2.9538232025526343E-3</v>
      </c>
      <c r="E2" s="13">
        <f>D2*(1+CAGR!$C$58)</f>
        <v>2.9538232025526343E-3</v>
      </c>
      <c r="F2" s="13">
        <f>E2*(1+CAGR!$C$58)</f>
        <v>2.9538232025526343E-3</v>
      </c>
      <c r="G2" s="13">
        <f>F2*(1+CAGR!$C$58)</f>
        <v>2.9538232025526343E-3</v>
      </c>
      <c r="H2" s="13">
        <f>G2*(1+CAGR!$C$58)</f>
        <v>2.9538232025526343E-3</v>
      </c>
      <c r="I2" s="13">
        <f>H2*(1+CAGR!$C$58)</f>
        <v>2.9538232025526343E-3</v>
      </c>
      <c r="J2" s="13">
        <f>I2*(1+CAGR!$C$58)</f>
        <v>2.9538232025526343E-3</v>
      </c>
      <c r="K2" s="13">
        <f>J2*(1+CAGR!$C$58)</f>
        <v>2.9538232025526343E-3</v>
      </c>
      <c r="L2" s="13">
        <f>K2*(1+CAGR!$C$58)</f>
        <v>2.9538232025526343E-3</v>
      </c>
      <c r="M2" s="13">
        <f>L2*(1+CAGR!$C$58)</f>
        <v>2.9538232025526343E-3</v>
      </c>
      <c r="N2" s="13">
        <f>M2*(1+CAGR!$C$58)</f>
        <v>2.9538232025526343E-3</v>
      </c>
      <c r="O2" s="13">
        <f>N2*(1+CAGR!$C$58)</f>
        <v>2.9538232025526343E-3</v>
      </c>
      <c r="P2" s="13">
        <f>O2*(1+CAGR!$C$58)</f>
        <v>2.9538232025526343E-3</v>
      </c>
      <c r="Q2" s="13">
        <f>P2*(1+CAGR!$C$58)</f>
        <v>2.9538232025526343E-3</v>
      </c>
      <c r="R2" s="13">
        <f>Q2*(1+CAGR!$C$58)</f>
        <v>2.9538232025526343E-3</v>
      </c>
      <c r="S2" s="13">
        <f>R2*(1+CAGR!$C$58)</f>
        <v>2.9538232025526343E-3</v>
      </c>
      <c r="T2" s="13">
        <f>S2*(1+CAGR!$C$58)</f>
        <v>2.9538232025526343E-3</v>
      </c>
      <c r="U2" s="13">
        <f>T2*(1+CAGR!$C$58)</f>
        <v>2.9538232025526343E-3</v>
      </c>
      <c r="V2" s="13">
        <f>U2*(1+CAGR!$C$58)</f>
        <v>2.9538232025526343E-3</v>
      </c>
      <c r="W2" s="13">
        <f>V2*(1+CAGR!$C$58)</f>
        <v>2.9538232025526343E-3</v>
      </c>
      <c r="X2" s="13">
        <f>W2*(1+CAGR!$C$58)</f>
        <v>2.9538232025526343E-3</v>
      </c>
      <c r="Y2" s="13">
        <f>X2*(1+CAGR!$C$58)</f>
        <v>2.9538232025526343E-3</v>
      </c>
      <c r="Z2" s="13">
        <f>Y2*(1+CAGR!$C$58)</f>
        <v>2.9538232025526343E-3</v>
      </c>
      <c r="AA2" s="13">
        <f>Z2*(1+CAGR!$C$58)</f>
        <v>2.9538232025526343E-3</v>
      </c>
      <c r="AB2" s="13">
        <f>AA2*(1+CAGR!$C$58)</f>
        <v>2.9538232025526343E-3</v>
      </c>
      <c r="AC2" s="13">
        <f>AB2*(1+CAGR!$C$58)</f>
        <v>2.9538232025526343E-3</v>
      </c>
      <c r="AD2" s="13">
        <f>AC2*(1+CAGR!$C$58)</f>
        <v>2.9538232025526343E-3</v>
      </c>
      <c r="AE2" s="13">
        <f>AD2*(1+CAGR!$C$58)</f>
        <v>2.9538232025526343E-3</v>
      </c>
      <c r="AF2" s="13">
        <f>AE2*(1+CAGR!$C$58)</f>
        <v>2.9538232025526343E-3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9.1919916385677981E-4</v>
      </c>
      <c r="C4">
        <f>IFERROR(INDEX('SYFAFE psgr'!$B$6:$H$6,,MATCH($A4,'SYFAFE psgr'!$B$1:$H$1,0))*(1+INDEX(CAGR!$C$58:$C$64,MATCH($A4,CAGR!$B$58:$B$64,0))),0)</f>
        <v>9.1919916385677981E-4</v>
      </c>
      <c r="D4">
        <f>IFERROR(INDEX('SYFAFE psgr'!$B$6:$H$6,,MATCH($A4,'SYFAFE psgr'!$B$1:$H$1,0))*(1+INDEX(CAGR!$C$58:$C$64,MATCH($A4,CAGR!$B$58:$B$64,0))),0)</f>
        <v>9.1919916385677981E-4</v>
      </c>
      <c r="E4">
        <f>IFERROR(INDEX('SYFAFE psgr'!$B$6:$H$6,,MATCH($A4,'SYFAFE psgr'!$B$1:$H$1,0))*(1+INDEX(CAGR!$C$58:$C$64,MATCH($A4,CAGR!$B$58:$B$64,0))),0)</f>
        <v>9.1919916385677981E-4</v>
      </c>
      <c r="F4">
        <f>IFERROR(INDEX('SYFAFE psgr'!$B$6:$H$6,,MATCH($A4,'SYFAFE psgr'!$B$1:$H$1,0))*(1+INDEX(CAGR!$C$58:$C$64,MATCH($A4,CAGR!$B$58:$B$64,0))),0)</f>
        <v>9.1919916385677981E-4</v>
      </c>
      <c r="G4">
        <f>IFERROR(INDEX('SYFAFE psgr'!$B$6:$H$6,,MATCH($A4,'SYFAFE psgr'!$B$1:$H$1,0))*(1+INDEX(CAGR!$C$58:$C$64,MATCH($A4,CAGR!$B$58:$B$64,0))),0)</f>
        <v>9.1919916385677981E-4</v>
      </c>
      <c r="H4">
        <f>IFERROR(INDEX('SYFAFE psgr'!$B$6:$H$6,,MATCH($A4,'SYFAFE psgr'!$B$1:$H$1,0))*(1+INDEX(CAGR!$C$58:$C$64,MATCH($A4,CAGR!$B$58:$B$64,0))),0)</f>
        <v>9.1919916385677981E-4</v>
      </c>
      <c r="I4">
        <f>IFERROR(INDEX('SYFAFE psgr'!$B$6:$H$6,,MATCH($A4,'SYFAFE psgr'!$B$1:$H$1,0))*(1+INDEX(CAGR!$C$58:$C$64,MATCH($A4,CAGR!$B$58:$B$64,0))),0)</f>
        <v>9.1919916385677981E-4</v>
      </c>
      <c r="J4">
        <f>IFERROR(INDEX('SYFAFE psgr'!$B$6:$H$6,,MATCH($A4,'SYFAFE psgr'!$B$1:$H$1,0))*(1+INDEX(CAGR!$C$58:$C$64,MATCH($A4,CAGR!$B$58:$B$64,0))),0)</f>
        <v>9.1919916385677981E-4</v>
      </c>
      <c r="K4">
        <f>IFERROR(INDEX('SYFAFE psgr'!$B$6:$H$6,,MATCH($A4,'SYFAFE psgr'!$B$1:$H$1,0))*(1+INDEX(CAGR!$C$58:$C$64,MATCH($A4,CAGR!$B$58:$B$64,0))),0)</f>
        <v>9.1919916385677981E-4</v>
      </c>
      <c r="L4">
        <f>IFERROR(INDEX('SYFAFE psgr'!$B$6:$H$6,,MATCH($A4,'SYFAFE psgr'!$B$1:$H$1,0))*(1+INDEX(CAGR!$C$58:$C$64,MATCH($A4,CAGR!$B$58:$B$64,0))),0)</f>
        <v>9.1919916385677981E-4</v>
      </c>
      <c r="M4">
        <f>IFERROR(INDEX('SYFAFE psgr'!$B$6:$H$6,,MATCH($A4,'SYFAFE psgr'!$B$1:$H$1,0))*(1+INDEX(CAGR!$C$58:$C$64,MATCH($A4,CAGR!$B$58:$B$64,0))),0)</f>
        <v>9.1919916385677981E-4</v>
      </c>
      <c r="N4">
        <f>IFERROR(INDEX('SYFAFE psgr'!$B$6:$H$6,,MATCH($A4,'SYFAFE psgr'!$B$1:$H$1,0))*(1+INDEX(CAGR!$C$58:$C$64,MATCH($A4,CAGR!$B$58:$B$64,0))),0)</f>
        <v>9.1919916385677981E-4</v>
      </c>
      <c r="O4">
        <f>IFERROR(INDEX('SYFAFE psgr'!$B$6:$H$6,,MATCH($A4,'SYFAFE psgr'!$B$1:$H$1,0))*(1+INDEX(CAGR!$C$58:$C$64,MATCH($A4,CAGR!$B$58:$B$64,0))),0)</f>
        <v>9.1919916385677981E-4</v>
      </c>
      <c r="P4">
        <f>IFERROR(INDEX('SYFAFE psgr'!$B$6:$H$6,,MATCH($A4,'SYFAFE psgr'!$B$1:$H$1,0))*(1+INDEX(CAGR!$C$58:$C$64,MATCH($A4,CAGR!$B$58:$B$64,0))),0)</f>
        <v>9.1919916385677981E-4</v>
      </c>
      <c r="Q4">
        <f>IFERROR(INDEX('SYFAFE psgr'!$B$6:$H$6,,MATCH($A4,'SYFAFE psgr'!$B$1:$H$1,0))*(1+INDEX(CAGR!$C$58:$C$64,MATCH($A4,CAGR!$B$58:$B$64,0))),0)</f>
        <v>9.1919916385677981E-4</v>
      </c>
      <c r="R4">
        <f>IFERROR(INDEX('SYFAFE psgr'!$B$6:$H$6,,MATCH($A4,'SYFAFE psgr'!$B$1:$H$1,0))*(1+INDEX(CAGR!$C$58:$C$64,MATCH($A4,CAGR!$B$58:$B$64,0))),0)</f>
        <v>9.1919916385677981E-4</v>
      </c>
      <c r="S4">
        <f>IFERROR(INDEX('SYFAFE psgr'!$B$6:$H$6,,MATCH($A4,'SYFAFE psgr'!$B$1:$H$1,0))*(1+INDEX(CAGR!$C$58:$C$64,MATCH($A4,CAGR!$B$58:$B$64,0))),0)</f>
        <v>9.1919916385677981E-4</v>
      </c>
      <c r="T4">
        <f>IFERROR(INDEX('SYFAFE psgr'!$B$6:$H$6,,MATCH($A4,'SYFAFE psgr'!$B$1:$H$1,0))*(1+INDEX(CAGR!$C$58:$C$64,MATCH($A4,CAGR!$B$58:$B$64,0))),0)</f>
        <v>9.1919916385677981E-4</v>
      </c>
      <c r="U4">
        <f>IFERROR(INDEX('SYFAFE psgr'!$B$6:$H$6,,MATCH($A4,'SYFAFE psgr'!$B$1:$H$1,0))*(1+INDEX(CAGR!$C$58:$C$64,MATCH($A4,CAGR!$B$58:$B$64,0))),0)</f>
        <v>9.1919916385677981E-4</v>
      </c>
      <c r="V4">
        <f>IFERROR(INDEX('SYFAFE psgr'!$B$6:$H$6,,MATCH($A4,'SYFAFE psgr'!$B$1:$H$1,0))*(1+INDEX(CAGR!$C$58:$C$64,MATCH($A4,CAGR!$B$58:$B$64,0))),0)</f>
        <v>9.1919916385677981E-4</v>
      </c>
      <c r="W4">
        <f>IFERROR(INDEX('SYFAFE psgr'!$B$6:$H$6,,MATCH($A4,'SYFAFE psgr'!$B$1:$H$1,0))*(1+INDEX(CAGR!$C$58:$C$64,MATCH($A4,CAGR!$B$58:$B$64,0))),0)</f>
        <v>9.1919916385677981E-4</v>
      </c>
      <c r="X4">
        <f>IFERROR(INDEX('SYFAFE psgr'!$B$6:$H$6,,MATCH($A4,'SYFAFE psgr'!$B$1:$H$1,0))*(1+INDEX(CAGR!$C$58:$C$64,MATCH($A4,CAGR!$B$58:$B$64,0))),0)</f>
        <v>9.1919916385677981E-4</v>
      </c>
      <c r="Y4">
        <f>IFERROR(INDEX('SYFAFE psgr'!$B$6:$H$6,,MATCH($A4,'SYFAFE psgr'!$B$1:$H$1,0))*(1+INDEX(CAGR!$C$58:$C$64,MATCH($A4,CAGR!$B$58:$B$64,0))),0)</f>
        <v>9.1919916385677981E-4</v>
      </c>
      <c r="Z4">
        <f>IFERROR(INDEX('SYFAFE psgr'!$B$6:$H$6,,MATCH($A4,'SYFAFE psgr'!$B$1:$H$1,0))*(1+INDEX(CAGR!$C$58:$C$64,MATCH($A4,CAGR!$B$58:$B$64,0))),0)</f>
        <v>9.1919916385677981E-4</v>
      </c>
      <c r="AA4">
        <f>IFERROR(INDEX('SYFAFE psgr'!$B$6:$H$6,,MATCH($A4,'SYFAFE psgr'!$B$1:$H$1,0))*(1+INDEX(CAGR!$C$58:$C$64,MATCH($A4,CAGR!$B$58:$B$64,0))),0)</f>
        <v>9.1919916385677981E-4</v>
      </c>
      <c r="AB4">
        <f>IFERROR(INDEX('SYFAFE psgr'!$B$6:$H$6,,MATCH($A4,'SYFAFE psgr'!$B$1:$H$1,0))*(1+INDEX(CAGR!$C$58:$C$64,MATCH($A4,CAGR!$B$58:$B$64,0))),0)</f>
        <v>9.1919916385677981E-4</v>
      </c>
      <c r="AC4">
        <f>IFERROR(INDEX('SYFAFE psgr'!$B$6:$H$6,,MATCH($A4,'SYFAFE psgr'!$B$1:$H$1,0))*(1+INDEX(CAGR!$C$58:$C$64,MATCH($A4,CAGR!$B$58:$B$64,0))),0)</f>
        <v>9.1919916385677981E-4</v>
      </c>
      <c r="AD4">
        <f>IFERROR(INDEX('SYFAFE psgr'!$B$6:$H$6,,MATCH($A4,'SYFAFE psgr'!$B$1:$H$1,0))*(1+INDEX(CAGR!$C$58:$C$64,MATCH($A4,CAGR!$B$58:$B$64,0))),0)</f>
        <v>9.1919916385677981E-4</v>
      </c>
      <c r="AE4">
        <f>IFERROR(INDEX('SYFAFE psgr'!$B$6:$H$6,,MATCH($A4,'SYFAFE psgr'!$B$1:$H$1,0))*(1+INDEX(CAGR!$C$58:$C$64,MATCH($A4,CAGR!$B$58:$B$64,0))),0)</f>
        <v>9.1919916385677981E-4</v>
      </c>
      <c r="AF4">
        <f>IFERROR(INDEX('SYFAFE psgr'!$B$6:$H$6,,MATCH($A4,'SYFAFE psgr'!$B$1:$H$1,0))*(1+INDEX(CAGR!$C$58:$C$64,MATCH($A4,CAGR!$B$58:$B$64,0))),0)</f>
        <v>9.1919916385677981E-4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9.1919916385677981E-4</v>
      </c>
      <c r="C5" s="14">
        <f>IFERROR(INDEX('SYFAFE psgr'!$B$6:$H$6,,MATCH($A5,'SYFAFE psgr'!$B$1:$H$1,0))*(1+INDEX(CAGR!$C$58:$C$64,MATCH($A5,CAGR!$B$58:$B$64,0))),0)</f>
        <v>9.1919916385677981E-4</v>
      </c>
      <c r="D5" s="14">
        <f>IFERROR(INDEX('SYFAFE psgr'!$B$6:$H$6,,MATCH($A5,'SYFAFE psgr'!$B$1:$H$1,0))*(1+INDEX(CAGR!$C$58:$C$64,MATCH($A5,CAGR!$B$58:$B$64,0))),0)</f>
        <v>9.1919916385677981E-4</v>
      </c>
      <c r="E5" s="14">
        <f>IFERROR(INDEX('SYFAFE psgr'!$B$6:$H$6,,MATCH($A5,'SYFAFE psgr'!$B$1:$H$1,0))*(1+INDEX(CAGR!$C$58:$C$64,MATCH($A5,CAGR!$B$58:$B$64,0))),0)</f>
        <v>9.1919916385677981E-4</v>
      </c>
      <c r="F5" s="14">
        <f>IFERROR(INDEX('SYFAFE psgr'!$B$6:$H$6,,MATCH($A5,'SYFAFE psgr'!$B$1:$H$1,0))*(1+INDEX(CAGR!$C$58:$C$64,MATCH($A5,CAGR!$B$58:$B$64,0))),0)</f>
        <v>9.1919916385677981E-4</v>
      </c>
      <c r="G5" s="14">
        <f>IFERROR(INDEX('SYFAFE psgr'!$B$6:$H$6,,MATCH($A5,'SYFAFE psgr'!$B$1:$H$1,0))*(1+INDEX(CAGR!$C$58:$C$64,MATCH($A5,CAGR!$B$58:$B$64,0))),0)</f>
        <v>9.1919916385677981E-4</v>
      </c>
      <c r="H5" s="14">
        <f>IFERROR(INDEX('SYFAFE psgr'!$B$6:$H$6,,MATCH($A5,'SYFAFE psgr'!$B$1:$H$1,0))*(1+INDEX(CAGR!$C$58:$C$64,MATCH($A5,CAGR!$B$58:$B$64,0))),0)</f>
        <v>9.1919916385677981E-4</v>
      </c>
      <c r="I5" s="14">
        <f>IFERROR(INDEX('SYFAFE psgr'!$B$6:$H$6,,MATCH($A5,'SYFAFE psgr'!$B$1:$H$1,0))*(1+INDEX(CAGR!$C$58:$C$64,MATCH($A5,CAGR!$B$58:$B$64,0))),0)</f>
        <v>9.1919916385677981E-4</v>
      </c>
      <c r="J5" s="14">
        <f>IFERROR(INDEX('SYFAFE psgr'!$B$6:$H$6,,MATCH($A5,'SYFAFE psgr'!$B$1:$H$1,0))*(1+INDEX(CAGR!$C$58:$C$64,MATCH($A5,CAGR!$B$58:$B$64,0))),0)</f>
        <v>9.1919916385677981E-4</v>
      </c>
      <c r="K5" s="14">
        <f>IFERROR(INDEX('SYFAFE psgr'!$B$6:$H$6,,MATCH($A5,'SYFAFE psgr'!$B$1:$H$1,0))*(1+INDEX(CAGR!$C$58:$C$64,MATCH($A5,CAGR!$B$58:$B$64,0))),0)</f>
        <v>9.1919916385677981E-4</v>
      </c>
      <c r="L5" s="14">
        <f>IFERROR(INDEX('SYFAFE psgr'!$B$6:$H$6,,MATCH($A5,'SYFAFE psgr'!$B$1:$H$1,0))*(1+INDEX(CAGR!$C$58:$C$64,MATCH($A5,CAGR!$B$58:$B$64,0))),0)</f>
        <v>9.1919916385677981E-4</v>
      </c>
      <c r="M5" s="14">
        <f>IFERROR(INDEX('SYFAFE psgr'!$B$6:$H$6,,MATCH($A5,'SYFAFE psgr'!$B$1:$H$1,0))*(1+INDEX(CAGR!$C$58:$C$64,MATCH($A5,CAGR!$B$58:$B$64,0))),0)</f>
        <v>9.1919916385677981E-4</v>
      </c>
      <c r="N5" s="14">
        <f>IFERROR(INDEX('SYFAFE psgr'!$B$6:$H$6,,MATCH($A5,'SYFAFE psgr'!$B$1:$H$1,0))*(1+INDEX(CAGR!$C$58:$C$64,MATCH($A5,CAGR!$B$58:$B$64,0))),0)</f>
        <v>9.1919916385677981E-4</v>
      </c>
      <c r="O5" s="14">
        <f>IFERROR(INDEX('SYFAFE psgr'!$B$6:$H$6,,MATCH($A5,'SYFAFE psgr'!$B$1:$H$1,0))*(1+INDEX(CAGR!$C$58:$C$64,MATCH($A5,CAGR!$B$58:$B$64,0))),0)</f>
        <v>9.1919916385677981E-4</v>
      </c>
      <c r="P5" s="14">
        <f>IFERROR(INDEX('SYFAFE psgr'!$B$6:$H$6,,MATCH($A5,'SYFAFE psgr'!$B$1:$H$1,0))*(1+INDEX(CAGR!$C$58:$C$64,MATCH($A5,CAGR!$B$58:$B$64,0))),0)</f>
        <v>9.1919916385677981E-4</v>
      </c>
      <c r="Q5" s="14">
        <f>IFERROR(INDEX('SYFAFE psgr'!$B$6:$H$6,,MATCH($A5,'SYFAFE psgr'!$B$1:$H$1,0))*(1+INDEX(CAGR!$C$58:$C$64,MATCH($A5,CAGR!$B$58:$B$64,0))),0)</f>
        <v>9.1919916385677981E-4</v>
      </c>
      <c r="R5" s="14">
        <f>IFERROR(INDEX('SYFAFE psgr'!$B$6:$H$6,,MATCH($A5,'SYFAFE psgr'!$B$1:$H$1,0))*(1+INDEX(CAGR!$C$58:$C$64,MATCH($A5,CAGR!$B$58:$B$64,0))),0)</f>
        <v>9.1919916385677981E-4</v>
      </c>
      <c r="S5" s="14">
        <f>IFERROR(INDEX('SYFAFE psgr'!$B$6:$H$6,,MATCH($A5,'SYFAFE psgr'!$B$1:$H$1,0))*(1+INDEX(CAGR!$C$58:$C$64,MATCH($A5,CAGR!$B$58:$B$64,0))),0)</f>
        <v>9.1919916385677981E-4</v>
      </c>
      <c r="T5" s="14">
        <f>IFERROR(INDEX('SYFAFE psgr'!$B$6:$H$6,,MATCH($A5,'SYFAFE psgr'!$B$1:$H$1,0))*(1+INDEX(CAGR!$C$58:$C$64,MATCH($A5,CAGR!$B$58:$B$64,0))),0)</f>
        <v>9.1919916385677981E-4</v>
      </c>
      <c r="U5" s="14">
        <f>IFERROR(INDEX('SYFAFE psgr'!$B$6:$H$6,,MATCH($A5,'SYFAFE psgr'!$B$1:$H$1,0))*(1+INDEX(CAGR!$C$58:$C$64,MATCH($A5,CAGR!$B$58:$B$64,0))),0)</f>
        <v>9.1919916385677981E-4</v>
      </c>
      <c r="V5" s="14">
        <f>IFERROR(INDEX('SYFAFE psgr'!$B$6:$H$6,,MATCH($A5,'SYFAFE psgr'!$B$1:$H$1,0))*(1+INDEX(CAGR!$C$58:$C$64,MATCH($A5,CAGR!$B$58:$B$64,0))),0)</f>
        <v>9.1919916385677981E-4</v>
      </c>
      <c r="W5" s="14">
        <f>IFERROR(INDEX('SYFAFE psgr'!$B$6:$H$6,,MATCH($A5,'SYFAFE psgr'!$B$1:$H$1,0))*(1+INDEX(CAGR!$C$58:$C$64,MATCH($A5,CAGR!$B$58:$B$64,0))),0)</f>
        <v>9.1919916385677981E-4</v>
      </c>
      <c r="X5" s="14">
        <f>IFERROR(INDEX('SYFAFE psgr'!$B$6:$H$6,,MATCH($A5,'SYFAFE psgr'!$B$1:$H$1,0))*(1+INDEX(CAGR!$C$58:$C$64,MATCH($A5,CAGR!$B$58:$B$64,0))),0)</f>
        <v>9.1919916385677981E-4</v>
      </c>
      <c r="Y5" s="14">
        <f>IFERROR(INDEX('SYFAFE psgr'!$B$6:$H$6,,MATCH($A5,'SYFAFE psgr'!$B$1:$H$1,0))*(1+INDEX(CAGR!$C$58:$C$64,MATCH($A5,CAGR!$B$58:$B$64,0))),0)</f>
        <v>9.1919916385677981E-4</v>
      </c>
      <c r="Z5" s="14">
        <f>IFERROR(INDEX('SYFAFE psgr'!$B$6:$H$6,,MATCH($A5,'SYFAFE psgr'!$B$1:$H$1,0))*(1+INDEX(CAGR!$C$58:$C$64,MATCH($A5,CAGR!$B$58:$B$64,0))),0)</f>
        <v>9.1919916385677981E-4</v>
      </c>
      <c r="AA5" s="14">
        <f>IFERROR(INDEX('SYFAFE psgr'!$B$6:$H$6,,MATCH($A5,'SYFAFE psgr'!$B$1:$H$1,0))*(1+INDEX(CAGR!$C$58:$C$64,MATCH($A5,CAGR!$B$58:$B$64,0))),0)</f>
        <v>9.1919916385677981E-4</v>
      </c>
      <c r="AB5" s="14">
        <f>IFERROR(INDEX('SYFAFE psgr'!$B$6:$H$6,,MATCH($A5,'SYFAFE psgr'!$B$1:$H$1,0))*(1+INDEX(CAGR!$C$58:$C$64,MATCH($A5,CAGR!$B$58:$B$64,0))),0)</f>
        <v>9.1919916385677981E-4</v>
      </c>
      <c r="AC5" s="14">
        <f>IFERROR(INDEX('SYFAFE psgr'!$B$6:$H$6,,MATCH($A5,'SYFAFE psgr'!$B$1:$H$1,0))*(1+INDEX(CAGR!$C$58:$C$64,MATCH($A5,CAGR!$B$58:$B$64,0))),0)</f>
        <v>9.1919916385677981E-4</v>
      </c>
      <c r="AD5" s="14">
        <f>IFERROR(INDEX('SYFAFE psgr'!$B$6:$H$6,,MATCH($A5,'SYFAFE psgr'!$B$1:$H$1,0))*(1+INDEX(CAGR!$C$58:$C$64,MATCH($A5,CAGR!$B$58:$B$64,0))),0)</f>
        <v>9.1919916385677981E-4</v>
      </c>
      <c r="AE5" s="14">
        <f>IFERROR(INDEX('SYFAFE psgr'!$B$6:$H$6,,MATCH($A5,'SYFAFE psgr'!$B$1:$H$1,0))*(1+INDEX(CAGR!$C$58:$C$64,MATCH($A5,CAGR!$B$58:$B$64,0))),0)</f>
        <v>9.1919916385677981E-4</v>
      </c>
      <c r="AF5" s="14">
        <f>IFERROR(INDEX('SYFAFE psgr'!$B$6:$H$6,,MATCH($A5,'SYFAFE psgr'!$B$1:$H$1,0))*(1+INDEX(CAGR!$C$58:$C$64,MATCH($A5,CAGR!$B$58:$B$64,0))),0)</f>
        <v>9.1919916385677981E-4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2.7575974915703392E-3</v>
      </c>
      <c r="C8" s="13">
        <f>B8*(1+CAGR!$C$64)</f>
        <v>2.7575974915703392E-3</v>
      </c>
      <c r="D8" s="13">
        <f>C8*(1+CAGR!$C$64)</f>
        <v>2.7575974915703392E-3</v>
      </c>
      <c r="E8" s="13">
        <f>D8*(1+CAGR!$C$64)</f>
        <v>2.7575974915703392E-3</v>
      </c>
      <c r="F8" s="13">
        <f>E8*(1+CAGR!$C$64)</f>
        <v>2.7575974915703392E-3</v>
      </c>
      <c r="G8" s="13">
        <f>F8*(1+CAGR!$C$64)</f>
        <v>2.7575974915703392E-3</v>
      </c>
      <c r="H8" s="13">
        <f>G8*(1+CAGR!$C$64)</f>
        <v>2.7575974915703392E-3</v>
      </c>
      <c r="I8" s="13">
        <f>H8*(1+CAGR!$C$64)</f>
        <v>2.7575974915703392E-3</v>
      </c>
      <c r="J8" s="13">
        <f>I8*(1+CAGR!$C$64)</f>
        <v>2.7575974915703392E-3</v>
      </c>
      <c r="K8" s="13">
        <f>J8*(1+CAGR!$C$64)</f>
        <v>2.7575974915703392E-3</v>
      </c>
      <c r="L8" s="13">
        <f>K8*(1+CAGR!$C$64)</f>
        <v>2.7575974915703392E-3</v>
      </c>
      <c r="M8" s="13">
        <f>L8*(1+CAGR!$C$64)</f>
        <v>2.7575974915703392E-3</v>
      </c>
      <c r="N8" s="13">
        <f>M8*(1+CAGR!$C$64)</f>
        <v>2.7575974915703392E-3</v>
      </c>
      <c r="O8" s="13">
        <f>N8*(1+CAGR!$C$64)</f>
        <v>2.7575974915703392E-3</v>
      </c>
      <c r="P8" s="13">
        <f>O8*(1+CAGR!$C$64)</f>
        <v>2.7575974915703392E-3</v>
      </c>
      <c r="Q8" s="13">
        <f>P8*(1+CAGR!$C$64)</f>
        <v>2.7575974915703392E-3</v>
      </c>
      <c r="R8" s="13">
        <f>Q8*(1+CAGR!$C$64)</f>
        <v>2.7575974915703392E-3</v>
      </c>
      <c r="S8" s="13">
        <f>R8*(1+CAGR!$C$64)</f>
        <v>2.7575974915703392E-3</v>
      </c>
      <c r="T8" s="13">
        <f>S8*(1+CAGR!$C$64)</f>
        <v>2.7575974915703392E-3</v>
      </c>
      <c r="U8" s="13">
        <f>T8*(1+CAGR!$C$64)</f>
        <v>2.7575974915703392E-3</v>
      </c>
      <c r="V8" s="13">
        <f>U8*(1+CAGR!$C$64)</f>
        <v>2.7575974915703392E-3</v>
      </c>
      <c r="W8" s="13">
        <f>V8*(1+CAGR!$C$64)</f>
        <v>2.7575974915703392E-3</v>
      </c>
      <c r="X8" s="13">
        <f>W8*(1+CAGR!$C$64)</f>
        <v>2.7575974915703392E-3</v>
      </c>
      <c r="Y8" s="13">
        <f>X8*(1+CAGR!$C$64)</f>
        <v>2.7575974915703392E-3</v>
      </c>
      <c r="Z8" s="13">
        <f>Y8*(1+CAGR!$C$64)</f>
        <v>2.7575974915703392E-3</v>
      </c>
      <c r="AA8" s="13">
        <f>Z8*(1+CAGR!$C$64)</f>
        <v>2.7575974915703392E-3</v>
      </c>
      <c r="AB8" s="13">
        <f>AA8*(1+CAGR!$C$64)</f>
        <v>2.7575974915703392E-3</v>
      </c>
      <c r="AC8" s="13">
        <f>AB8*(1+CAGR!$C$64)</f>
        <v>2.7575974915703392E-3</v>
      </c>
      <c r="AD8" s="13">
        <f>AC8*(1+CAGR!$C$64)</f>
        <v>2.7575974915703392E-3</v>
      </c>
      <c r="AE8" s="13">
        <f>AD8*(1+CAGR!$C$64)</f>
        <v>2.7575974915703392E-3</v>
      </c>
      <c r="AF8" s="13">
        <f>AE8*(1+CAGR!$C$64)</f>
        <v>2.7575974915703392E-3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3.4351009391108858E-3</v>
      </c>
      <c r="C2" s="13">
        <f>B2*(1+CAGR!$C$65)</f>
        <v>3.4351009391108858E-3</v>
      </c>
      <c r="D2" s="13">
        <f>C2*(1+CAGR!$C$65)</f>
        <v>3.4351009391108858E-3</v>
      </c>
      <c r="E2" s="13">
        <f>D2*(1+CAGR!$C$65)</f>
        <v>3.4351009391108858E-3</v>
      </c>
      <c r="F2" s="13">
        <f>E2*(1+CAGR!$C$65)</f>
        <v>3.4351009391108858E-3</v>
      </c>
      <c r="G2" s="13">
        <f>F2*(1+CAGR!$C$65)</f>
        <v>3.4351009391108858E-3</v>
      </c>
      <c r="H2" s="13">
        <f>G2*(1+CAGR!$C$65)</f>
        <v>3.4351009391108858E-3</v>
      </c>
      <c r="I2" s="13">
        <f>H2*(1+CAGR!$C$65)</f>
        <v>3.4351009391108858E-3</v>
      </c>
      <c r="J2" s="13">
        <f>I2*(1+CAGR!$C$65)</f>
        <v>3.4351009391108858E-3</v>
      </c>
      <c r="K2" s="13">
        <f>J2*(1+CAGR!$C$65)</f>
        <v>3.4351009391108858E-3</v>
      </c>
      <c r="L2" s="13">
        <f>K2*(1+CAGR!$C$65)</f>
        <v>3.4351009391108858E-3</v>
      </c>
      <c r="M2" s="13">
        <f>L2*(1+CAGR!$C$65)</f>
        <v>3.4351009391108858E-3</v>
      </c>
      <c r="N2" s="13">
        <f>M2*(1+CAGR!$C$65)</f>
        <v>3.4351009391108858E-3</v>
      </c>
      <c r="O2" s="13">
        <f>N2*(1+CAGR!$C$65)</f>
        <v>3.4351009391108858E-3</v>
      </c>
      <c r="P2" s="13">
        <f>O2*(1+CAGR!$C$65)</f>
        <v>3.4351009391108858E-3</v>
      </c>
      <c r="Q2" s="13">
        <f>P2*(1+CAGR!$C$65)</f>
        <v>3.4351009391108858E-3</v>
      </c>
      <c r="R2" s="13">
        <f>Q2*(1+CAGR!$C$65)</f>
        <v>3.4351009391108858E-3</v>
      </c>
      <c r="S2" s="13">
        <f>R2*(1+CAGR!$C$65)</f>
        <v>3.4351009391108858E-3</v>
      </c>
      <c r="T2" s="13">
        <f>S2*(1+CAGR!$C$65)</f>
        <v>3.4351009391108858E-3</v>
      </c>
      <c r="U2" s="13">
        <f>T2*(1+CAGR!$C$65)</f>
        <v>3.4351009391108858E-3</v>
      </c>
      <c r="V2" s="13">
        <f>U2*(1+CAGR!$C$65)</f>
        <v>3.4351009391108858E-3</v>
      </c>
      <c r="W2" s="13">
        <f>V2*(1+CAGR!$C$65)</f>
        <v>3.4351009391108858E-3</v>
      </c>
      <c r="X2" s="13">
        <f>W2*(1+CAGR!$C$65)</f>
        <v>3.4351009391108858E-3</v>
      </c>
      <c r="Y2" s="13">
        <f>X2*(1+CAGR!$C$65)</f>
        <v>3.4351009391108858E-3</v>
      </c>
      <c r="Z2" s="13">
        <f>Y2*(1+CAGR!$C$65)</f>
        <v>3.4351009391108858E-3</v>
      </c>
      <c r="AA2" s="13">
        <f>Z2*(1+CAGR!$C$65)</f>
        <v>3.4351009391108858E-3</v>
      </c>
      <c r="AB2" s="13">
        <f>AA2*(1+CAGR!$C$65)</f>
        <v>3.4351009391108858E-3</v>
      </c>
      <c r="AC2" s="13">
        <f>AB2*(1+CAGR!$C$65)</f>
        <v>3.4351009391108858E-3</v>
      </c>
      <c r="AD2" s="13">
        <f>AC2*(1+CAGR!$C$65)</f>
        <v>3.4351009391108858E-3</v>
      </c>
      <c r="AE2" s="13">
        <f>AD2*(1+CAGR!$C$65)</f>
        <v>3.4351009391108858E-3</v>
      </c>
      <c r="AF2" s="13">
        <f>AE2*(1+CAGR!$C$65)</f>
        <v>3.4351009391108858E-3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1.0689678069647774E-3</v>
      </c>
      <c r="C3">
        <f>IFERROR(INDEX('SYFAFE frgt'!$B$6:$H$6,,MATCH($A3,'SYFAFE frgt'!$B$1:$H$1,0))*(1+INDEX(CAGR!$C$51:$C$57,MATCH($A3,CAGR!$B$65:$B$71,0))),0)</f>
        <v>1.0689678069647774E-3</v>
      </c>
      <c r="D3">
        <f>IFERROR(INDEX('SYFAFE frgt'!$B$6:$H$6,,MATCH($A3,'SYFAFE frgt'!$B$1:$H$1,0))*(1+INDEX(CAGR!$C$51:$C$57,MATCH($A3,CAGR!$B$65:$B$71,0))),0)</f>
        <v>1.0689678069647774E-3</v>
      </c>
      <c r="E3">
        <f>IFERROR(INDEX('SYFAFE frgt'!$B$6:$H$6,,MATCH($A3,'SYFAFE frgt'!$B$1:$H$1,0))*(1+INDEX(CAGR!$C$51:$C$57,MATCH($A3,CAGR!$B$65:$B$71,0))),0)</f>
        <v>1.0689678069647774E-3</v>
      </c>
      <c r="F3">
        <f>IFERROR(INDEX('SYFAFE frgt'!$B$6:$H$6,,MATCH($A3,'SYFAFE frgt'!$B$1:$H$1,0))*(1+INDEX(CAGR!$C$51:$C$57,MATCH($A3,CAGR!$B$65:$B$71,0))),0)</f>
        <v>1.0689678069647774E-3</v>
      </c>
      <c r="G3">
        <f>IFERROR(INDEX('SYFAFE frgt'!$B$6:$H$6,,MATCH($A3,'SYFAFE frgt'!$B$1:$H$1,0))*(1+INDEX(CAGR!$C$51:$C$57,MATCH($A3,CAGR!$B$65:$B$71,0))),0)</f>
        <v>1.0689678069647774E-3</v>
      </c>
      <c r="H3">
        <f>IFERROR(INDEX('SYFAFE frgt'!$B$6:$H$6,,MATCH($A3,'SYFAFE frgt'!$B$1:$H$1,0))*(1+INDEX(CAGR!$C$51:$C$57,MATCH($A3,CAGR!$B$65:$B$71,0))),0)</f>
        <v>1.0689678069647774E-3</v>
      </c>
      <c r="I3">
        <f>IFERROR(INDEX('SYFAFE frgt'!$B$6:$H$6,,MATCH($A3,'SYFAFE frgt'!$B$1:$H$1,0))*(1+INDEX(CAGR!$C$51:$C$57,MATCH($A3,CAGR!$B$65:$B$71,0))),0)</f>
        <v>1.0689678069647774E-3</v>
      </c>
      <c r="J3">
        <f>IFERROR(INDEX('SYFAFE frgt'!$B$6:$H$6,,MATCH($A3,'SYFAFE frgt'!$B$1:$H$1,0))*(1+INDEX(CAGR!$C$51:$C$57,MATCH($A3,CAGR!$B$65:$B$71,0))),0)</f>
        <v>1.0689678069647774E-3</v>
      </c>
      <c r="K3">
        <f>IFERROR(INDEX('SYFAFE frgt'!$B$6:$H$6,,MATCH($A3,'SYFAFE frgt'!$B$1:$H$1,0))*(1+INDEX(CAGR!$C$51:$C$57,MATCH($A3,CAGR!$B$65:$B$71,0))),0)</f>
        <v>1.0689678069647774E-3</v>
      </c>
      <c r="L3">
        <f>IFERROR(INDEX('SYFAFE frgt'!$B$6:$H$6,,MATCH($A3,'SYFAFE frgt'!$B$1:$H$1,0))*(1+INDEX(CAGR!$C$51:$C$57,MATCH($A3,CAGR!$B$65:$B$71,0))),0)</f>
        <v>1.0689678069647774E-3</v>
      </c>
      <c r="M3">
        <f>IFERROR(INDEX('SYFAFE frgt'!$B$6:$H$6,,MATCH($A3,'SYFAFE frgt'!$B$1:$H$1,0))*(1+INDEX(CAGR!$C$51:$C$57,MATCH($A3,CAGR!$B$65:$B$71,0))),0)</f>
        <v>1.0689678069647774E-3</v>
      </c>
      <c r="N3">
        <f>IFERROR(INDEX('SYFAFE frgt'!$B$6:$H$6,,MATCH($A3,'SYFAFE frgt'!$B$1:$H$1,0))*(1+INDEX(CAGR!$C$51:$C$57,MATCH($A3,CAGR!$B$65:$B$71,0))),0)</f>
        <v>1.0689678069647774E-3</v>
      </c>
      <c r="O3">
        <f>IFERROR(INDEX('SYFAFE frgt'!$B$6:$H$6,,MATCH($A3,'SYFAFE frgt'!$B$1:$H$1,0))*(1+INDEX(CAGR!$C$51:$C$57,MATCH($A3,CAGR!$B$65:$B$71,0))),0)</f>
        <v>1.0689678069647774E-3</v>
      </c>
      <c r="P3">
        <f>IFERROR(INDEX('SYFAFE frgt'!$B$6:$H$6,,MATCH($A3,'SYFAFE frgt'!$B$1:$H$1,0))*(1+INDEX(CAGR!$C$51:$C$57,MATCH($A3,CAGR!$B$65:$B$71,0))),0)</f>
        <v>1.0689678069647774E-3</v>
      </c>
      <c r="Q3">
        <f>IFERROR(INDEX('SYFAFE frgt'!$B$6:$H$6,,MATCH($A3,'SYFAFE frgt'!$B$1:$H$1,0))*(1+INDEX(CAGR!$C$51:$C$57,MATCH($A3,CAGR!$B$65:$B$71,0))),0)</f>
        <v>1.0689678069647774E-3</v>
      </c>
      <c r="R3">
        <f>IFERROR(INDEX('SYFAFE frgt'!$B$6:$H$6,,MATCH($A3,'SYFAFE frgt'!$B$1:$H$1,0))*(1+INDEX(CAGR!$C$51:$C$57,MATCH($A3,CAGR!$B$65:$B$71,0))),0)</f>
        <v>1.0689678069647774E-3</v>
      </c>
      <c r="S3">
        <f>IFERROR(INDEX('SYFAFE frgt'!$B$6:$H$6,,MATCH($A3,'SYFAFE frgt'!$B$1:$H$1,0))*(1+INDEX(CAGR!$C$51:$C$57,MATCH($A3,CAGR!$B$65:$B$71,0))),0)</f>
        <v>1.0689678069647774E-3</v>
      </c>
      <c r="T3">
        <f>IFERROR(INDEX('SYFAFE frgt'!$B$6:$H$6,,MATCH($A3,'SYFAFE frgt'!$B$1:$H$1,0))*(1+INDEX(CAGR!$C$51:$C$57,MATCH($A3,CAGR!$B$65:$B$71,0))),0)</f>
        <v>1.0689678069647774E-3</v>
      </c>
      <c r="U3">
        <f>IFERROR(INDEX('SYFAFE frgt'!$B$6:$H$6,,MATCH($A3,'SYFAFE frgt'!$B$1:$H$1,0))*(1+INDEX(CAGR!$C$51:$C$57,MATCH($A3,CAGR!$B$65:$B$71,0))),0)</f>
        <v>1.0689678069647774E-3</v>
      </c>
      <c r="V3">
        <f>IFERROR(INDEX('SYFAFE frgt'!$B$6:$H$6,,MATCH($A3,'SYFAFE frgt'!$B$1:$H$1,0))*(1+INDEX(CAGR!$C$51:$C$57,MATCH($A3,CAGR!$B$65:$B$71,0))),0)</f>
        <v>1.0689678069647774E-3</v>
      </c>
      <c r="W3">
        <f>IFERROR(INDEX('SYFAFE frgt'!$B$6:$H$6,,MATCH($A3,'SYFAFE frgt'!$B$1:$H$1,0))*(1+INDEX(CAGR!$C$51:$C$57,MATCH($A3,CAGR!$B$65:$B$71,0))),0)</f>
        <v>1.0689678069647774E-3</v>
      </c>
      <c r="X3">
        <f>IFERROR(INDEX('SYFAFE frgt'!$B$6:$H$6,,MATCH($A3,'SYFAFE frgt'!$B$1:$H$1,0))*(1+INDEX(CAGR!$C$51:$C$57,MATCH($A3,CAGR!$B$65:$B$71,0))),0)</f>
        <v>1.0689678069647774E-3</v>
      </c>
      <c r="Y3">
        <f>IFERROR(INDEX('SYFAFE frgt'!$B$6:$H$6,,MATCH($A3,'SYFAFE frgt'!$B$1:$H$1,0))*(1+INDEX(CAGR!$C$51:$C$57,MATCH($A3,CAGR!$B$65:$B$71,0))),0)</f>
        <v>1.0689678069647774E-3</v>
      </c>
      <c r="Z3">
        <f>IFERROR(INDEX('SYFAFE frgt'!$B$6:$H$6,,MATCH($A3,'SYFAFE frgt'!$B$1:$H$1,0))*(1+INDEX(CAGR!$C$51:$C$57,MATCH($A3,CAGR!$B$65:$B$71,0))),0)</f>
        <v>1.0689678069647774E-3</v>
      </c>
      <c r="AA3">
        <f>IFERROR(INDEX('SYFAFE frgt'!$B$6:$H$6,,MATCH($A3,'SYFAFE frgt'!$B$1:$H$1,0))*(1+INDEX(CAGR!$C$51:$C$57,MATCH($A3,CAGR!$B$65:$B$71,0))),0)</f>
        <v>1.0689678069647774E-3</v>
      </c>
      <c r="AB3">
        <f>IFERROR(INDEX('SYFAFE frgt'!$B$6:$H$6,,MATCH($A3,'SYFAFE frgt'!$B$1:$H$1,0))*(1+INDEX(CAGR!$C$51:$C$57,MATCH($A3,CAGR!$B$65:$B$71,0))),0)</f>
        <v>1.0689678069647774E-3</v>
      </c>
      <c r="AC3">
        <f>IFERROR(INDEX('SYFAFE frgt'!$B$6:$H$6,,MATCH($A3,'SYFAFE frgt'!$B$1:$H$1,0))*(1+INDEX(CAGR!$C$51:$C$57,MATCH($A3,CAGR!$B$65:$B$71,0))),0)</f>
        <v>1.0689678069647774E-3</v>
      </c>
      <c r="AD3">
        <f>IFERROR(INDEX('SYFAFE frgt'!$B$6:$H$6,,MATCH($A3,'SYFAFE frgt'!$B$1:$H$1,0))*(1+INDEX(CAGR!$C$51:$C$57,MATCH($A3,CAGR!$B$65:$B$71,0))),0)</f>
        <v>1.0689678069647774E-3</v>
      </c>
      <c r="AE3">
        <f>IFERROR(INDEX('SYFAFE frgt'!$B$6:$H$6,,MATCH($A3,'SYFAFE frgt'!$B$1:$H$1,0))*(1+INDEX(CAGR!$C$51:$C$57,MATCH($A3,CAGR!$B$65:$B$71,0))),0)</f>
        <v>1.0689678069647774E-3</v>
      </c>
      <c r="AF3">
        <f>IFERROR(INDEX('SYFAFE frgt'!$B$6:$H$6,,MATCH($A3,'SYFAFE frgt'!$B$1:$H$1,0))*(1+INDEX(CAGR!$C$51:$C$57,MATCH($A3,CAGR!$B$65:$B$71,0))),0)</f>
        <v>1.0689678069647774E-3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1.0689678069647774E-3</v>
      </c>
      <c r="C4" s="14">
        <f>IFERROR(B4*(1+INDEX(CAGR!$C$51:$C$57,MATCH($A4,CAGR!$B$65:$B$71,0))),0)</f>
        <v>1.0689678069647774E-3</v>
      </c>
      <c r="D4" s="14">
        <f>IFERROR(C4*(1+INDEX(CAGR!$C$51:$C$57,MATCH($A4,CAGR!$B$65:$B$71,0))),0)</f>
        <v>1.0689678069647774E-3</v>
      </c>
      <c r="E4" s="14">
        <f>IFERROR(D4*(1+INDEX(CAGR!$C$51:$C$57,MATCH($A4,CAGR!$B$65:$B$71,0))),0)</f>
        <v>1.0689678069647774E-3</v>
      </c>
      <c r="F4" s="14">
        <f>IFERROR(E4*(1+INDEX(CAGR!$C$51:$C$57,MATCH($A4,CAGR!$B$65:$B$71,0))),0)</f>
        <v>1.0689678069647774E-3</v>
      </c>
      <c r="G4" s="14">
        <f>IFERROR(F4*(1+INDEX(CAGR!$C$51:$C$57,MATCH($A4,CAGR!$B$65:$B$71,0))),0)</f>
        <v>1.0689678069647774E-3</v>
      </c>
      <c r="H4" s="14">
        <f>IFERROR(G4*(1+INDEX(CAGR!$C$51:$C$57,MATCH($A4,CAGR!$B$65:$B$71,0))),0)</f>
        <v>1.0689678069647774E-3</v>
      </c>
      <c r="I4" s="14">
        <f>IFERROR(H4*(1+INDEX(CAGR!$C$51:$C$57,MATCH($A4,CAGR!$B$65:$B$71,0))),0)</f>
        <v>1.0689678069647774E-3</v>
      </c>
      <c r="J4" s="14">
        <f>IFERROR(I4*(1+INDEX(CAGR!$C$51:$C$57,MATCH($A4,CAGR!$B$65:$B$71,0))),0)</f>
        <v>1.0689678069647774E-3</v>
      </c>
      <c r="K4" s="14">
        <f>IFERROR(J4*(1+INDEX(CAGR!$C$51:$C$57,MATCH($A4,CAGR!$B$65:$B$71,0))),0)</f>
        <v>1.0689678069647774E-3</v>
      </c>
      <c r="L4" s="14">
        <f>IFERROR(K4*(1+INDEX(CAGR!$C$51:$C$57,MATCH($A4,CAGR!$B$65:$B$71,0))),0)</f>
        <v>1.0689678069647774E-3</v>
      </c>
      <c r="M4" s="14">
        <f>IFERROR(L4*(1+INDEX(CAGR!$C$51:$C$57,MATCH($A4,CAGR!$B$65:$B$71,0))),0)</f>
        <v>1.0689678069647774E-3</v>
      </c>
      <c r="N4" s="14">
        <f>IFERROR(M4*(1+INDEX(CAGR!$C$51:$C$57,MATCH($A4,CAGR!$B$65:$B$71,0))),0)</f>
        <v>1.0689678069647774E-3</v>
      </c>
      <c r="O4" s="14">
        <f>IFERROR(N4*(1+INDEX(CAGR!$C$51:$C$57,MATCH($A4,CAGR!$B$65:$B$71,0))),0)</f>
        <v>1.0689678069647774E-3</v>
      </c>
      <c r="P4" s="14">
        <f>IFERROR(O4*(1+INDEX(CAGR!$C$51:$C$57,MATCH($A4,CAGR!$B$65:$B$71,0))),0)</f>
        <v>1.0689678069647774E-3</v>
      </c>
      <c r="Q4" s="14">
        <f>IFERROR(P4*(1+INDEX(CAGR!$C$51:$C$57,MATCH($A4,CAGR!$B$65:$B$71,0))),0)</f>
        <v>1.0689678069647774E-3</v>
      </c>
      <c r="R4" s="14">
        <f>IFERROR(Q4*(1+INDEX(CAGR!$C$51:$C$57,MATCH($A4,CAGR!$B$65:$B$71,0))),0)</f>
        <v>1.0689678069647774E-3</v>
      </c>
      <c r="S4" s="14">
        <f>IFERROR(R4*(1+INDEX(CAGR!$C$51:$C$57,MATCH($A4,CAGR!$B$65:$B$71,0))),0)</f>
        <v>1.0689678069647774E-3</v>
      </c>
      <c r="T4" s="14">
        <f>IFERROR(S4*(1+INDEX(CAGR!$C$51:$C$57,MATCH($A4,CAGR!$B$65:$B$71,0))),0)</f>
        <v>1.0689678069647774E-3</v>
      </c>
      <c r="U4" s="14">
        <f>IFERROR(T4*(1+INDEX(CAGR!$C$51:$C$57,MATCH($A4,CAGR!$B$65:$B$71,0))),0)</f>
        <v>1.0689678069647774E-3</v>
      </c>
      <c r="V4" s="14">
        <f>IFERROR(U4*(1+INDEX(CAGR!$C$51:$C$57,MATCH($A4,CAGR!$B$65:$B$71,0))),0)</f>
        <v>1.0689678069647774E-3</v>
      </c>
      <c r="W4" s="14">
        <f>IFERROR(V4*(1+INDEX(CAGR!$C$51:$C$57,MATCH($A4,CAGR!$B$65:$B$71,0))),0)</f>
        <v>1.0689678069647774E-3</v>
      </c>
      <c r="X4" s="14">
        <f>IFERROR(W4*(1+INDEX(CAGR!$C$51:$C$57,MATCH($A4,CAGR!$B$65:$B$71,0))),0)</f>
        <v>1.0689678069647774E-3</v>
      </c>
      <c r="Y4" s="14">
        <f>IFERROR(X4*(1+INDEX(CAGR!$C$51:$C$57,MATCH($A4,CAGR!$B$65:$B$71,0))),0)</f>
        <v>1.0689678069647774E-3</v>
      </c>
      <c r="Z4" s="14">
        <f>IFERROR(Y4*(1+INDEX(CAGR!$C$51:$C$57,MATCH($A4,CAGR!$B$65:$B$71,0))),0)</f>
        <v>1.0689678069647774E-3</v>
      </c>
      <c r="AA4" s="14">
        <f>IFERROR(Z4*(1+INDEX(CAGR!$C$51:$C$57,MATCH($A4,CAGR!$B$65:$B$71,0))),0)</f>
        <v>1.0689678069647774E-3</v>
      </c>
      <c r="AB4" s="14">
        <f>IFERROR(AA4*(1+INDEX(CAGR!$C$51:$C$57,MATCH($A4,CAGR!$B$65:$B$71,0))),0)</f>
        <v>1.0689678069647774E-3</v>
      </c>
      <c r="AC4" s="14">
        <f>IFERROR(AB4*(1+INDEX(CAGR!$C$51:$C$57,MATCH($A4,CAGR!$B$65:$B$71,0))),0)</f>
        <v>1.0689678069647774E-3</v>
      </c>
      <c r="AD4" s="14">
        <f>IFERROR(AC4*(1+INDEX(CAGR!$C$51:$C$57,MATCH($A4,CAGR!$B$65:$B$71,0))),0)</f>
        <v>1.0689678069647774E-3</v>
      </c>
      <c r="AE4" s="14">
        <f>IFERROR(AD4*(1+INDEX(CAGR!$C$51:$C$57,MATCH($A4,CAGR!$B$65:$B$71,0))),0)</f>
        <v>1.0689678069647774E-3</v>
      </c>
      <c r="AF4" s="14">
        <f>IFERROR(AE4*(1+INDEX(CAGR!$C$51:$C$57,MATCH($A4,CAGR!$B$65:$B$71,0))),0)</f>
        <v>1.0689678069647774E-3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1.0689678069647774E-3</v>
      </c>
      <c r="C5" s="14">
        <f>IFERROR(B5*(1+INDEX(CAGR!$C$51:$C$57,MATCH($A5,CAGR!$B$65:$B$71,0))),0)</f>
        <v>1.0756768604057887E-3</v>
      </c>
      <c r="D5" s="14">
        <f>IFERROR(C5*(1+INDEX(CAGR!$C$51:$C$57,MATCH($A5,CAGR!$B$65:$B$71,0))),0)</f>
        <v>1.0824280211935145E-3</v>
      </c>
      <c r="E5" s="14">
        <f>IFERROR(D5*(1+INDEX(CAGR!$C$51:$C$57,MATCH($A5,CAGR!$B$65:$B$71,0))),0)</f>
        <v>1.089221553601993E-3</v>
      </c>
      <c r="F5" s="14">
        <f>IFERROR(E5*(1+INDEX(CAGR!$C$51:$C$57,MATCH($A5,CAGR!$B$65:$B$71,0))),0)</f>
        <v>1.096057723563899E-3</v>
      </c>
      <c r="G5" s="14">
        <f>IFERROR(F5*(1+INDEX(CAGR!$C$51:$C$57,MATCH($A5,CAGR!$B$65:$B$71,0))),0)</f>
        <v>1.1029367986809533E-3</v>
      </c>
      <c r="H5" s="14">
        <f>IFERROR(G5*(1+INDEX(CAGR!$C$51:$C$57,MATCH($A5,CAGR!$B$65:$B$71,0))),0)</f>
        <v>1.1098590482343977E-3</v>
      </c>
      <c r="I5" s="14">
        <f>IFERROR(H5*(1+INDEX(CAGR!$C$51:$C$57,MATCH($A5,CAGR!$B$65:$B$71,0))),0)</f>
        <v>1.116824743195537E-3</v>
      </c>
      <c r="J5" s="14">
        <f>IFERROR(I5*(1+INDEX(CAGR!$C$51:$C$57,MATCH($A5,CAGR!$B$65:$B$71,0))),0)</f>
        <v>1.1238341562363448E-3</v>
      </c>
      <c r="K5" s="14">
        <f>IFERROR(J5*(1+INDEX(CAGR!$C$51:$C$57,MATCH($A5,CAGR!$B$65:$B$71,0))),0)</f>
        <v>1.1308875617401385E-3</v>
      </c>
      <c r="L5" s="14">
        <f>IFERROR(K5*(1+INDEX(CAGR!$C$51:$C$57,MATCH($A5,CAGR!$B$65:$B$71,0))),0)</f>
        <v>1.1379852358123191E-3</v>
      </c>
      <c r="M5" s="14">
        <f>IFERROR(L5*(1+INDEX(CAGR!$C$51:$C$57,MATCH($A5,CAGR!$B$65:$B$71,0))),0)</f>
        <v>1.1451274562911799E-3</v>
      </c>
      <c r="N5" s="14">
        <f>IFERROR(M5*(1+INDEX(CAGR!$C$51:$C$57,MATCH($A5,CAGR!$B$65:$B$71,0))),0)</f>
        <v>1.1523145027587823E-3</v>
      </c>
      <c r="O5" s="14">
        <f>IFERROR(N5*(1+INDEX(CAGR!$C$51:$C$57,MATCH($A5,CAGR!$B$65:$B$71,0))),0)</f>
        <v>1.1595466565519001E-3</v>
      </c>
      <c r="P5" s="14">
        <f>IFERROR(O5*(1+INDEX(CAGR!$C$51:$C$57,MATCH($A5,CAGR!$B$65:$B$71,0))),0)</f>
        <v>1.1668242007730322E-3</v>
      </c>
      <c r="Q5" s="14">
        <f>IFERROR(P5*(1+INDEX(CAGR!$C$51:$C$57,MATCH($A5,CAGR!$B$65:$B$71,0))),0)</f>
        <v>1.1741474203014848E-3</v>
      </c>
      <c r="R5" s="14">
        <f>IFERROR(Q5*(1+INDEX(CAGR!$C$51:$C$57,MATCH($A5,CAGR!$B$65:$B$71,0))),0)</f>
        <v>1.181516601804523E-3</v>
      </c>
      <c r="S5" s="14">
        <f>IFERROR(R5*(1+INDEX(CAGR!$C$51:$C$57,MATCH($A5,CAGR!$B$65:$B$71,0))),0)</f>
        <v>1.1889320337485926E-3</v>
      </c>
      <c r="T5" s="14">
        <f>IFERROR(S5*(1+INDEX(CAGR!$C$51:$C$57,MATCH($A5,CAGR!$B$65:$B$71,0))),0)</f>
        <v>1.1963940064106116E-3</v>
      </c>
      <c r="U5" s="14">
        <f>IFERROR(T5*(1+INDEX(CAGR!$C$51:$C$57,MATCH($A5,CAGR!$B$65:$B$71,0))),0)</f>
        <v>1.2039028118893335E-3</v>
      </c>
      <c r="V5" s="14">
        <f>IFERROR(U5*(1+INDEX(CAGR!$C$51:$C$57,MATCH($A5,CAGR!$B$65:$B$71,0))),0)</f>
        <v>1.2114587441167813E-3</v>
      </c>
      <c r="W5" s="14">
        <f>IFERROR(V5*(1+INDEX(CAGR!$C$51:$C$57,MATCH($A5,CAGR!$B$65:$B$71,0))),0)</f>
        <v>1.2190620988697535E-3</v>
      </c>
      <c r="X5" s="14">
        <f>IFERROR(W5*(1+INDEX(CAGR!$C$51:$C$57,MATCH($A5,CAGR!$B$65:$B$71,0))),0)</f>
        <v>1.2267131737814024E-3</v>
      </c>
      <c r="Y5" s="14">
        <f>IFERROR(X5*(1+INDEX(CAGR!$C$51:$C$57,MATCH($A5,CAGR!$B$65:$B$71,0))),0)</f>
        <v>1.2344122683528849E-3</v>
      </c>
      <c r="Z5" s="14">
        <f>IFERROR(Y5*(1+INDEX(CAGR!$C$51:$C$57,MATCH($A5,CAGR!$B$65:$B$71,0))),0)</f>
        <v>1.2421596839650862E-3</v>
      </c>
      <c r="AA5" s="14">
        <f>IFERROR(Z5*(1+INDEX(CAGR!$C$51:$C$57,MATCH($A5,CAGR!$B$65:$B$71,0))),0)</f>
        <v>1.2499557238904177E-3</v>
      </c>
      <c r="AB5" s="14">
        <f>IFERROR(AA5*(1+INDEX(CAGR!$C$51:$C$57,MATCH($A5,CAGR!$B$65:$B$71,0))),0)</f>
        <v>1.2578006933046885E-3</v>
      </c>
      <c r="AC5" s="14">
        <f>IFERROR(AB5*(1+INDEX(CAGR!$C$51:$C$57,MATCH($A5,CAGR!$B$65:$B$71,0))),0)</f>
        <v>1.2656948992990514E-3</v>
      </c>
      <c r="AD5" s="14">
        <f>IFERROR(AC5*(1+INDEX(CAGR!$C$51:$C$57,MATCH($A5,CAGR!$B$65:$B$71,0))),0)</f>
        <v>1.273638650892024E-3</v>
      </c>
      <c r="AE5" s="14">
        <f>IFERROR(AD5*(1+INDEX(CAGR!$C$51:$C$57,MATCH($A5,CAGR!$B$65:$B$71,0))),0)</f>
        <v>1.2816322590415851E-3</v>
      </c>
      <c r="AF5" s="14">
        <f>IFERROR(AE5*(1+INDEX(CAGR!$C$51:$C$57,MATCH($A5,CAGR!$B$65:$B$71,0))),0)</f>
        <v>1.2896760366573475E-3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3.2069034208943316E-3</v>
      </c>
      <c r="C8" s="13">
        <f>B8*(1+CAGR!$C$71)</f>
        <v>3.2069034208943316E-3</v>
      </c>
      <c r="D8" s="13">
        <f>C8*(1+CAGR!$C$71)</f>
        <v>3.2069034208943316E-3</v>
      </c>
      <c r="E8" s="13">
        <f>D8*(1+CAGR!$C$71)</f>
        <v>3.2069034208943316E-3</v>
      </c>
      <c r="F8" s="13">
        <f>E8*(1+CAGR!$C$71)</f>
        <v>3.2069034208943316E-3</v>
      </c>
      <c r="G8" s="13">
        <f>F8*(1+CAGR!$C$71)</f>
        <v>3.2069034208943316E-3</v>
      </c>
      <c r="H8" s="13">
        <f>G8*(1+CAGR!$C$71)</f>
        <v>3.2069034208943316E-3</v>
      </c>
      <c r="I8" s="13">
        <f>H8*(1+CAGR!$C$71)</f>
        <v>3.2069034208943316E-3</v>
      </c>
      <c r="J8" s="13">
        <f>I8*(1+CAGR!$C$71)</f>
        <v>3.2069034208943316E-3</v>
      </c>
      <c r="K8" s="13">
        <f>J8*(1+CAGR!$C$71)</f>
        <v>3.2069034208943316E-3</v>
      </c>
      <c r="L8" s="13">
        <f>K8*(1+CAGR!$C$71)</f>
        <v>3.2069034208943316E-3</v>
      </c>
      <c r="M8" s="13">
        <f>L8*(1+CAGR!$C$71)</f>
        <v>3.2069034208943316E-3</v>
      </c>
      <c r="N8" s="13">
        <f>M8*(1+CAGR!$C$71)</f>
        <v>3.2069034208943316E-3</v>
      </c>
      <c r="O8" s="13">
        <f>N8*(1+CAGR!$C$71)</f>
        <v>3.2069034208943316E-3</v>
      </c>
      <c r="P8" s="13">
        <f>O8*(1+CAGR!$C$71)</f>
        <v>3.2069034208943316E-3</v>
      </c>
      <c r="Q8" s="13">
        <f>P8*(1+CAGR!$C$71)</f>
        <v>3.2069034208943316E-3</v>
      </c>
      <c r="R8" s="13">
        <f>Q8*(1+CAGR!$C$71)</f>
        <v>3.2069034208943316E-3</v>
      </c>
      <c r="S8" s="13">
        <f>R8*(1+CAGR!$C$71)</f>
        <v>3.2069034208943316E-3</v>
      </c>
      <c r="T8" s="13">
        <f>S8*(1+CAGR!$C$71)</f>
        <v>3.2069034208943316E-3</v>
      </c>
      <c r="U8" s="13">
        <f>T8*(1+CAGR!$C$71)</f>
        <v>3.2069034208943316E-3</v>
      </c>
      <c r="V8" s="13">
        <f>U8*(1+CAGR!$C$71)</f>
        <v>3.2069034208943316E-3</v>
      </c>
      <c r="W8" s="13">
        <f>V8*(1+CAGR!$C$71)</f>
        <v>3.2069034208943316E-3</v>
      </c>
      <c r="X8" s="13">
        <f>W8*(1+CAGR!$C$71)</f>
        <v>3.2069034208943316E-3</v>
      </c>
      <c r="Y8" s="13">
        <f>X8*(1+CAGR!$C$71)</f>
        <v>3.2069034208943316E-3</v>
      </c>
      <c r="Z8" s="13">
        <f>Y8*(1+CAGR!$C$71)</f>
        <v>3.2069034208943316E-3</v>
      </c>
      <c r="AA8" s="13">
        <f>Z8*(1+CAGR!$C$71)</f>
        <v>3.2069034208943316E-3</v>
      </c>
      <c r="AB8" s="13">
        <f>AA8*(1+CAGR!$C$71)</f>
        <v>3.2069034208943316E-3</v>
      </c>
      <c r="AC8" s="13">
        <f>AB8*(1+CAGR!$C$71)</f>
        <v>3.2069034208943316E-3</v>
      </c>
      <c r="AD8" s="13">
        <f>AC8*(1+CAGR!$C$71)</f>
        <v>3.2069034208943316E-3</v>
      </c>
      <c r="AE8" s="13">
        <f>AD8*(1+CAGR!$C$71)</f>
        <v>3.2069034208943316E-3</v>
      </c>
      <c r="AF8" s="13">
        <f>AE8*(1+CAGR!$C$71)</f>
        <v>3.2069034208943316E-3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1.7952599999999999E-2</v>
      </c>
      <c r="C2" s="13">
        <f>B2</f>
        <v>1.7952599999999999E-2</v>
      </c>
      <c r="D2" s="13">
        <f t="shared" ref="D2:AF8" si="0">C2</f>
        <v>1.7952599999999999E-2</v>
      </c>
      <c r="E2" s="13">
        <f t="shared" si="0"/>
        <v>1.7952599999999999E-2</v>
      </c>
      <c r="F2" s="13">
        <f t="shared" si="0"/>
        <v>1.7952599999999999E-2</v>
      </c>
      <c r="G2" s="13">
        <f t="shared" si="0"/>
        <v>1.7952599999999999E-2</v>
      </c>
      <c r="H2" s="13">
        <f t="shared" si="0"/>
        <v>1.7952599999999999E-2</v>
      </c>
      <c r="I2" s="13">
        <f t="shared" si="0"/>
        <v>1.7952599999999999E-2</v>
      </c>
      <c r="J2" s="13">
        <f t="shared" si="0"/>
        <v>1.7952599999999999E-2</v>
      </c>
      <c r="K2" s="13">
        <f t="shared" si="0"/>
        <v>1.7952599999999999E-2</v>
      </c>
      <c r="L2" s="13">
        <f t="shared" si="0"/>
        <v>1.7952599999999999E-2</v>
      </c>
      <c r="M2" s="13">
        <f t="shared" si="0"/>
        <v>1.7952599999999999E-2</v>
      </c>
      <c r="N2" s="13">
        <f t="shared" si="0"/>
        <v>1.7952599999999999E-2</v>
      </c>
      <c r="O2" s="13">
        <f t="shared" si="0"/>
        <v>1.7952599999999999E-2</v>
      </c>
      <c r="P2" s="13">
        <f t="shared" si="0"/>
        <v>1.7952599999999999E-2</v>
      </c>
      <c r="Q2" s="13">
        <f t="shared" si="0"/>
        <v>1.7952599999999999E-2</v>
      </c>
      <c r="R2" s="13">
        <f t="shared" si="0"/>
        <v>1.7952599999999999E-2</v>
      </c>
      <c r="S2" s="13">
        <f t="shared" si="0"/>
        <v>1.7952599999999999E-2</v>
      </c>
      <c r="T2" s="13">
        <f t="shared" si="0"/>
        <v>1.7952599999999999E-2</v>
      </c>
      <c r="U2" s="13">
        <f t="shared" si="0"/>
        <v>1.7952599999999999E-2</v>
      </c>
      <c r="V2" s="13">
        <f t="shared" si="0"/>
        <v>1.7952599999999999E-2</v>
      </c>
      <c r="W2" s="13">
        <f t="shared" si="0"/>
        <v>1.7952599999999999E-2</v>
      </c>
      <c r="X2" s="13">
        <f t="shared" si="0"/>
        <v>1.7952599999999999E-2</v>
      </c>
      <c r="Y2" s="13">
        <f t="shared" si="0"/>
        <v>1.7952599999999999E-2</v>
      </c>
      <c r="Z2" s="13">
        <f t="shared" si="0"/>
        <v>1.7952599999999999E-2</v>
      </c>
      <c r="AA2" s="13">
        <f t="shared" si="0"/>
        <v>1.7952599999999999E-2</v>
      </c>
      <c r="AB2" s="13">
        <f t="shared" si="0"/>
        <v>1.7952599999999999E-2</v>
      </c>
      <c r="AC2" s="13">
        <f t="shared" si="0"/>
        <v>1.7952599999999999E-2</v>
      </c>
      <c r="AD2" s="13">
        <f t="shared" si="0"/>
        <v>1.7952599999999999E-2</v>
      </c>
      <c r="AE2" s="13">
        <f t="shared" si="0"/>
        <v>1.7952599999999999E-2</v>
      </c>
      <c r="AF2" s="13">
        <f t="shared" si="0"/>
        <v>1.7952599999999999E-2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5.6379999999999998E-3</v>
      </c>
      <c r="C4" s="13">
        <f t="shared" si="1"/>
        <v>5.6379999999999998E-3</v>
      </c>
      <c r="D4" s="13">
        <f t="shared" si="0"/>
        <v>5.6379999999999998E-3</v>
      </c>
      <c r="E4" s="13">
        <f t="shared" si="0"/>
        <v>5.6379999999999998E-3</v>
      </c>
      <c r="F4" s="13">
        <f t="shared" si="0"/>
        <v>5.6379999999999998E-3</v>
      </c>
      <c r="G4" s="13">
        <f t="shared" si="0"/>
        <v>5.6379999999999998E-3</v>
      </c>
      <c r="H4" s="13">
        <f t="shared" si="0"/>
        <v>5.6379999999999998E-3</v>
      </c>
      <c r="I4" s="13">
        <f t="shared" si="0"/>
        <v>5.6379999999999998E-3</v>
      </c>
      <c r="J4" s="13">
        <f t="shared" si="0"/>
        <v>5.6379999999999998E-3</v>
      </c>
      <c r="K4" s="13">
        <f t="shared" si="0"/>
        <v>5.6379999999999998E-3</v>
      </c>
      <c r="L4" s="13">
        <f t="shared" si="0"/>
        <v>5.6379999999999998E-3</v>
      </c>
      <c r="M4" s="13">
        <f t="shared" si="0"/>
        <v>5.6379999999999998E-3</v>
      </c>
      <c r="N4" s="13">
        <f t="shared" si="0"/>
        <v>5.6379999999999998E-3</v>
      </c>
      <c r="O4" s="13">
        <f t="shared" si="0"/>
        <v>5.6379999999999998E-3</v>
      </c>
      <c r="P4" s="13">
        <f t="shared" si="0"/>
        <v>5.6379999999999998E-3</v>
      </c>
      <c r="Q4" s="13">
        <f t="shared" si="0"/>
        <v>5.6379999999999998E-3</v>
      </c>
      <c r="R4" s="13">
        <f t="shared" si="0"/>
        <v>5.6379999999999998E-3</v>
      </c>
      <c r="S4" s="13">
        <f t="shared" si="0"/>
        <v>5.6379999999999998E-3</v>
      </c>
      <c r="T4" s="13">
        <f t="shared" si="0"/>
        <v>5.6379999999999998E-3</v>
      </c>
      <c r="U4" s="13">
        <f t="shared" si="0"/>
        <v>5.6379999999999998E-3</v>
      </c>
      <c r="V4" s="13">
        <f t="shared" si="0"/>
        <v>5.6379999999999998E-3</v>
      </c>
      <c r="W4" s="13">
        <f t="shared" si="0"/>
        <v>5.6379999999999998E-3</v>
      </c>
      <c r="X4" s="13">
        <f t="shared" si="0"/>
        <v>5.6379999999999998E-3</v>
      </c>
      <c r="Y4" s="13">
        <f t="shared" si="0"/>
        <v>5.6379999999999998E-3</v>
      </c>
      <c r="Z4" s="13">
        <f t="shared" si="0"/>
        <v>5.6379999999999998E-3</v>
      </c>
      <c r="AA4" s="13">
        <f t="shared" si="0"/>
        <v>5.6379999999999998E-3</v>
      </c>
      <c r="AB4" s="13">
        <f t="shared" si="0"/>
        <v>5.6379999999999998E-3</v>
      </c>
      <c r="AC4" s="13">
        <f t="shared" si="0"/>
        <v>5.6379999999999998E-3</v>
      </c>
      <c r="AD4" s="13">
        <f t="shared" si="0"/>
        <v>5.6379999999999998E-3</v>
      </c>
      <c r="AE4" s="13">
        <f t="shared" si="0"/>
        <v>5.6379999999999998E-3</v>
      </c>
      <c r="AF4" s="13">
        <f t="shared" si="0"/>
        <v>5.6379999999999998E-3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1.6913999999999998E-2</v>
      </c>
      <c r="C8" s="13">
        <f t="shared" si="1"/>
        <v>1.6913999999999998E-2</v>
      </c>
      <c r="D8" s="13">
        <f t="shared" si="0"/>
        <v>1.6913999999999998E-2</v>
      </c>
      <c r="E8" s="13">
        <f t="shared" si="0"/>
        <v>1.6913999999999998E-2</v>
      </c>
      <c r="F8" s="13">
        <f t="shared" si="0"/>
        <v>1.6913999999999998E-2</v>
      </c>
      <c r="G8" s="13">
        <f t="shared" si="0"/>
        <v>1.6913999999999998E-2</v>
      </c>
      <c r="H8" s="13">
        <f t="shared" si="0"/>
        <v>1.6913999999999998E-2</v>
      </c>
      <c r="I8" s="13">
        <f t="shared" si="0"/>
        <v>1.6913999999999998E-2</v>
      </c>
      <c r="J8" s="13">
        <f t="shared" si="0"/>
        <v>1.6913999999999998E-2</v>
      </c>
      <c r="K8" s="13">
        <f t="shared" si="0"/>
        <v>1.6913999999999998E-2</v>
      </c>
      <c r="L8" s="13">
        <f t="shared" si="0"/>
        <v>1.6913999999999998E-2</v>
      </c>
      <c r="M8" s="13">
        <f t="shared" si="0"/>
        <v>1.6913999999999998E-2</v>
      </c>
      <c r="N8" s="13">
        <f t="shared" si="0"/>
        <v>1.6913999999999998E-2</v>
      </c>
      <c r="O8" s="13">
        <f t="shared" si="0"/>
        <v>1.6913999999999998E-2</v>
      </c>
      <c r="P8" s="13">
        <f t="shared" si="0"/>
        <v>1.6913999999999998E-2</v>
      </c>
      <c r="Q8" s="13">
        <f t="shared" si="0"/>
        <v>1.6913999999999998E-2</v>
      </c>
      <c r="R8" s="13">
        <f t="shared" si="0"/>
        <v>1.6913999999999998E-2</v>
      </c>
      <c r="S8" s="13">
        <f t="shared" si="0"/>
        <v>1.6913999999999998E-2</v>
      </c>
      <c r="T8" s="13">
        <f t="shared" si="0"/>
        <v>1.6913999999999998E-2</v>
      </c>
      <c r="U8" s="13">
        <f t="shared" si="0"/>
        <v>1.6913999999999998E-2</v>
      </c>
      <c r="V8" s="13">
        <f t="shared" si="0"/>
        <v>1.6913999999999998E-2</v>
      </c>
      <c r="W8" s="13">
        <f t="shared" si="0"/>
        <v>1.6913999999999998E-2</v>
      </c>
      <c r="X8" s="13">
        <f t="shared" si="0"/>
        <v>1.6913999999999998E-2</v>
      </c>
      <c r="Y8" s="13">
        <f t="shared" si="0"/>
        <v>1.6913999999999998E-2</v>
      </c>
      <c r="Z8" s="13">
        <f t="shared" si="0"/>
        <v>1.6913999999999998E-2</v>
      </c>
      <c r="AA8" s="13">
        <f t="shared" si="0"/>
        <v>1.6913999999999998E-2</v>
      </c>
      <c r="AB8" s="13">
        <f t="shared" si="0"/>
        <v>1.6913999999999998E-2</v>
      </c>
      <c r="AC8" s="13">
        <f t="shared" si="0"/>
        <v>1.6913999999999998E-2</v>
      </c>
      <c r="AD8" s="13">
        <f t="shared" si="0"/>
        <v>1.6913999999999998E-2</v>
      </c>
      <c r="AE8" s="13">
        <f t="shared" si="0"/>
        <v>1.6913999999999998E-2</v>
      </c>
      <c r="AF8" s="13">
        <f t="shared" si="0"/>
        <v>1.6913999999999998E-2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5.9799999999999997E-5</v>
      </c>
      <c r="C4" s="21">
        <f t="shared" si="1"/>
        <v>5.9799999999999997E-5</v>
      </c>
      <c r="D4" s="21">
        <f t="shared" si="0"/>
        <v>5.9799999999999997E-5</v>
      </c>
      <c r="E4" s="21">
        <f t="shared" si="0"/>
        <v>5.9799999999999997E-5</v>
      </c>
      <c r="F4" s="21">
        <f t="shared" si="0"/>
        <v>5.9799999999999997E-5</v>
      </c>
      <c r="G4" s="21">
        <f t="shared" si="0"/>
        <v>5.9799999999999997E-5</v>
      </c>
      <c r="H4" s="21">
        <f t="shared" si="0"/>
        <v>5.9799999999999997E-5</v>
      </c>
      <c r="I4" s="21">
        <f t="shared" si="0"/>
        <v>5.9799999999999997E-5</v>
      </c>
      <c r="J4" s="21">
        <f t="shared" si="0"/>
        <v>5.9799999999999997E-5</v>
      </c>
      <c r="K4" s="21">
        <f t="shared" si="0"/>
        <v>5.9799999999999997E-5</v>
      </c>
      <c r="L4" s="21">
        <f t="shared" si="0"/>
        <v>5.9799999999999997E-5</v>
      </c>
      <c r="M4" s="21">
        <f t="shared" si="0"/>
        <v>5.9799999999999997E-5</v>
      </c>
      <c r="N4" s="21">
        <f t="shared" si="0"/>
        <v>5.9799999999999997E-5</v>
      </c>
      <c r="O4" s="21">
        <f t="shared" si="0"/>
        <v>5.9799999999999997E-5</v>
      </c>
      <c r="P4" s="21">
        <f t="shared" si="0"/>
        <v>5.9799999999999997E-5</v>
      </c>
      <c r="Q4" s="21">
        <f t="shared" si="0"/>
        <v>5.9799999999999997E-5</v>
      </c>
      <c r="R4" s="21">
        <f t="shared" si="0"/>
        <v>5.9799999999999997E-5</v>
      </c>
      <c r="S4" s="21">
        <f t="shared" si="0"/>
        <v>5.9799999999999997E-5</v>
      </c>
      <c r="T4" s="21">
        <f t="shared" si="0"/>
        <v>5.9799999999999997E-5</v>
      </c>
      <c r="U4" s="21">
        <f t="shared" si="0"/>
        <v>5.9799999999999997E-5</v>
      </c>
      <c r="V4" s="21">
        <f t="shared" si="0"/>
        <v>5.9799999999999997E-5</v>
      </c>
      <c r="W4" s="21">
        <f t="shared" si="0"/>
        <v>5.9799999999999997E-5</v>
      </c>
      <c r="X4" s="21">
        <f t="shared" si="0"/>
        <v>5.9799999999999997E-5</v>
      </c>
      <c r="Y4" s="21">
        <f t="shared" si="0"/>
        <v>5.9799999999999997E-5</v>
      </c>
      <c r="Z4" s="21">
        <f t="shared" si="0"/>
        <v>5.9799999999999997E-5</v>
      </c>
      <c r="AA4" s="21">
        <f t="shared" si="0"/>
        <v>5.9799999999999997E-5</v>
      </c>
      <c r="AB4" s="21">
        <f t="shared" si="0"/>
        <v>5.9799999999999997E-5</v>
      </c>
      <c r="AC4" s="21">
        <f t="shared" si="0"/>
        <v>5.9799999999999997E-5</v>
      </c>
      <c r="AD4" s="21">
        <f t="shared" si="0"/>
        <v>5.9799999999999997E-5</v>
      </c>
      <c r="AE4" s="21">
        <f t="shared" si="0"/>
        <v>5.9799999999999997E-5</v>
      </c>
      <c r="AF4" s="21">
        <f t="shared" si="0"/>
        <v>5.9799999999999997E-5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Dan O'Brien</cp:lastModifiedBy>
  <cp:revision/>
  <dcterms:created xsi:type="dcterms:W3CDTF">2022-02-10T07:50:47Z</dcterms:created>
  <dcterms:modified xsi:type="dcterms:W3CDTF">2026-03-31T00:43:03Z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