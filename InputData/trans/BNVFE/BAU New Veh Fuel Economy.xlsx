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er\Dropbox\kjh\2026\01.EPS\01.EI\01.메일\260108_메일회신\"/>
    </mc:Choice>
  </mc:AlternateContent>
  <xr:revisionPtr revIDLastSave="0" documentId="13_ncr:1_{179D1F4C-35FD-4B01-B6E3-2703D4407B91}" xr6:coauthVersionLast="47" xr6:coauthVersionMax="47" xr10:uidLastSave="{00000000-0000-0000-0000-000000000000}"/>
  <bookViews>
    <workbookView xWindow="-120" yWindow="-120" windowWidth="29040" windowHeight="15720" xr2:uid="{D850E225-7E57-43A0-BCF6-AD6641E8498D}"/>
  </bookViews>
  <sheets>
    <sheet name="About" sheetId="1" r:id="rId1"/>
    <sheet name="SYFAFE psgr" sheetId="2" r:id="rId2"/>
    <sheet name="SYFAFE frgt" sheetId="3" r:id="rId3"/>
    <sheet name="US-LDVs-psgr" sheetId="14" r:id="rId4"/>
    <sheet name="US-LDVs-frgt" sheetId="15" r:id="rId5"/>
    <sheet name="US-HDVs-psgr" sheetId="16" r:id="rId6"/>
    <sheet name="US-HDVs-frgt" sheetId="17" r:id="rId7"/>
    <sheet name="US-aircraft-psgr" sheetId="18" r:id="rId8"/>
    <sheet name="US-aircraft-frgt" sheetId="19" r:id="rId9"/>
    <sheet name="US-rail-psgr" sheetId="11" r:id="rId10"/>
    <sheet name="US-rail-frgt" sheetId="10" r:id="rId11"/>
    <sheet name="US-ships-psgr" sheetId="5" r:id="rId12"/>
    <sheet name="US-ships-frgt" sheetId="6" r:id="rId13"/>
    <sheet name="US-motorbikes-psgr" sheetId="20" r:id="rId14"/>
    <sheet name="US-motorbikes-frgt" sheetId="21" r:id="rId15"/>
    <sheet name="Calibration" sheetId="4" r:id="rId16"/>
    <sheet name="CAGR" sheetId="9" r:id="rId17"/>
    <sheet name="SK_fuel econ" sheetId="31" r:id="rId18"/>
    <sheet name="Result&gt;&gt;" sheetId="30" r:id="rId19"/>
    <sheet name="BNVFE-LDVs-psgr" sheetId="23" r:id="rId20"/>
    <sheet name="BNVFE-LDVs-frgt" sheetId="22" r:id="rId21"/>
    <sheet name="BNVFE-HDVs-psgr" sheetId="27" r:id="rId22"/>
    <sheet name="BNVFE-HDVs-frgt" sheetId="28" r:id="rId23"/>
    <sheet name="BNVFE-aircraft-psgr" sheetId="29" r:id="rId24"/>
    <sheet name="BNVFE-aircraft-frgt" sheetId="26" r:id="rId25"/>
    <sheet name="BNVFE-rail-psgr" sheetId="13" r:id="rId26"/>
    <sheet name="BNVFE-rail-frgt" sheetId="12" r:id="rId27"/>
    <sheet name="BNVFE-ships-psgr" sheetId="8" r:id="rId28"/>
    <sheet name="BNVFE-ships-frgt" sheetId="7" r:id="rId29"/>
    <sheet name="BNVFE-motorbikes-psgr" sheetId="24" r:id="rId30"/>
    <sheet name="BNVFE-motorbikes-frgt" sheetId="25" r:id="rId3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31" l="1"/>
  <c r="F40" i="31"/>
  <c r="G40" i="31"/>
  <c r="H40" i="31"/>
  <c r="I40" i="31"/>
  <c r="J40" i="31"/>
  <c r="K40" i="31"/>
  <c r="L40" i="31"/>
  <c r="M40" i="31"/>
  <c r="N40" i="31"/>
  <c r="O40" i="31"/>
  <c r="P40" i="31"/>
  <c r="Q40" i="31"/>
  <c r="R40" i="31"/>
  <c r="S40" i="31"/>
  <c r="T40" i="31"/>
  <c r="U40" i="31"/>
  <c r="V40" i="31"/>
  <c r="W40" i="31"/>
  <c r="X40" i="31"/>
  <c r="Y40" i="31"/>
  <c r="Z40" i="31"/>
  <c r="AA40" i="31"/>
  <c r="AB40" i="31"/>
  <c r="AC40" i="31"/>
  <c r="AD40" i="31"/>
  <c r="AE40" i="31"/>
  <c r="AF40" i="31"/>
  <c r="AG40" i="31"/>
  <c r="D40" i="31"/>
  <c r="C16" i="31" l="1"/>
  <c r="C20" i="31" s="1"/>
  <c r="C24" i="31" s="1"/>
  <c r="C15" i="31"/>
  <c r="C19" i="31" s="1"/>
  <c r="C23" i="31" s="1"/>
  <c r="C26" i="31" s="1"/>
  <c r="B8" i="25" l="1"/>
  <c r="C8" i="25" s="1"/>
  <c r="D8" i="25" s="1"/>
  <c r="E8" i="25" s="1"/>
  <c r="F8" i="25" s="1"/>
  <c r="G8" i="25" s="1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8" i="25" s="1"/>
  <c r="AA8" i="25" s="1"/>
  <c r="AB8" i="25" s="1"/>
  <c r="AC8" i="25" s="1"/>
  <c r="AD8" i="25" s="1"/>
  <c r="AE8" i="25" s="1"/>
  <c r="AF8" i="25" s="1"/>
  <c r="B4" i="25"/>
  <c r="C4" i="25" s="1"/>
  <c r="D4" i="25" s="1"/>
  <c r="E4" i="25" s="1"/>
  <c r="F4" i="25" s="1"/>
  <c r="G4" i="25" s="1"/>
  <c r="H4" i="25" s="1"/>
  <c r="I4" i="25" s="1"/>
  <c r="J4" i="25" s="1"/>
  <c r="K4" i="25" s="1"/>
  <c r="L4" i="25" s="1"/>
  <c r="M4" i="25" s="1"/>
  <c r="N4" i="25" s="1"/>
  <c r="O4" i="25" s="1"/>
  <c r="P4" i="25" s="1"/>
  <c r="Q4" i="25" s="1"/>
  <c r="R4" i="25" s="1"/>
  <c r="S4" i="25" s="1"/>
  <c r="T4" i="25" s="1"/>
  <c r="U4" i="25" s="1"/>
  <c r="V4" i="25" s="1"/>
  <c r="W4" i="25" s="1"/>
  <c r="X4" i="25" s="1"/>
  <c r="Y4" i="25" s="1"/>
  <c r="Z4" i="25" s="1"/>
  <c r="AA4" i="25" s="1"/>
  <c r="AB4" i="25" s="1"/>
  <c r="AC4" i="25" s="1"/>
  <c r="AD4" i="25" s="1"/>
  <c r="AE4" i="25" s="1"/>
  <c r="AF4" i="25" s="1"/>
  <c r="B2" i="25"/>
  <c r="C2" i="25" s="1"/>
  <c r="D2" i="25" s="1"/>
  <c r="E2" i="25" s="1"/>
  <c r="F2" i="25" s="1"/>
  <c r="G2" i="25" s="1"/>
  <c r="H2" i="25" s="1"/>
  <c r="I2" i="25" s="1"/>
  <c r="J2" i="25" s="1"/>
  <c r="K2" i="25" s="1"/>
  <c r="L2" i="25" s="1"/>
  <c r="M2" i="25" s="1"/>
  <c r="N2" i="25" s="1"/>
  <c r="O2" i="25" s="1"/>
  <c r="P2" i="25" s="1"/>
  <c r="Q2" i="25" s="1"/>
  <c r="R2" i="25" s="1"/>
  <c r="S2" i="25" s="1"/>
  <c r="T2" i="25" s="1"/>
  <c r="U2" i="25" s="1"/>
  <c r="V2" i="25" s="1"/>
  <c r="W2" i="25" s="1"/>
  <c r="X2" i="25" s="1"/>
  <c r="Y2" i="25" s="1"/>
  <c r="Z2" i="25" s="1"/>
  <c r="AA2" i="25" s="1"/>
  <c r="AB2" i="25" s="1"/>
  <c r="AC2" i="25" s="1"/>
  <c r="AD2" i="25" s="1"/>
  <c r="AE2" i="25" s="1"/>
  <c r="AF2" i="25" s="1"/>
  <c r="D3" i="24"/>
  <c r="E3" i="24"/>
  <c r="F3" i="24"/>
  <c r="G3" i="24" s="1"/>
  <c r="H3" i="24" s="1"/>
  <c r="I3" i="24" s="1"/>
  <c r="J3" i="24" s="1"/>
  <c r="K3" i="24" s="1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D5" i="24"/>
  <c r="E5" i="24" s="1"/>
  <c r="F5" i="24" s="1"/>
  <c r="G5" i="24" s="1"/>
  <c r="H5" i="24" s="1"/>
  <c r="I5" i="24" s="1"/>
  <c r="J5" i="24" s="1"/>
  <c r="K5" i="24" s="1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D6" i="24"/>
  <c r="E6" i="24"/>
  <c r="F6" i="24"/>
  <c r="G6" i="24" s="1"/>
  <c r="H6" i="24" s="1"/>
  <c r="I6" i="24" s="1"/>
  <c r="J6" i="24" s="1"/>
  <c r="K6" i="24" s="1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A6" i="24" s="1"/>
  <c r="AB6" i="24" s="1"/>
  <c r="AC6" i="24" s="1"/>
  <c r="AD6" i="24" s="1"/>
  <c r="AE6" i="24" s="1"/>
  <c r="AF6" i="24" s="1"/>
  <c r="C3" i="24"/>
  <c r="C5" i="24"/>
  <c r="C6" i="24"/>
  <c r="C7" i="24"/>
  <c r="D7" i="24" s="1"/>
  <c r="E7" i="24" s="1"/>
  <c r="F7" i="24" s="1"/>
  <c r="G7" i="24" s="1"/>
  <c r="H7" i="24" s="1"/>
  <c r="I7" i="24" s="1"/>
  <c r="J7" i="24" s="1"/>
  <c r="K7" i="24" s="1"/>
  <c r="L7" i="24" s="1"/>
  <c r="M7" i="24" s="1"/>
  <c r="N7" i="24" s="1"/>
  <c r="O7" i="24" s="1"/>
  <c r="P7" i="24" s="1"/>
  <c r="Q7" i="24" s="1"/>
  <c r="R7" i="24" s="1"/>
  <c r="S7" i="24" s="1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B8" i="24"/>
  <c r="C8" i="24" s="1"/>
  <c r="D8" i="24" s="1"/>
  <c r="E8" i="24" s="1"/>
  <c r="F8" i="24" s="1"/>
  <c r="G8" i="24" s="1"/>
  <c r="H8" i="24" s="1"/>
  <c r="I8" i="24" s="1"/>
  <c r="J8" i="24" s="1"/>
  <c r="K8" i="24" s="1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B4" i="24"/>
  <c r="C4" i="24" s="1"/>
  <c r="D4" i="24" s="1"/>
  <c r="E4" i="24" s="1"/>
  <c r="F4" i="24" s="1"/>
  <c r="G4" i="24" s="1"/>
  <c r="H4" i="24" s="1"/>
  <c r="I4" i="24" s="1"/>
  <c r="J4" i="24" s="1"/>
  <c r="K4" i="24" s="1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B2" i="24"/>
  <c r="C2" i="24" s="1"/>
  <c r="D2" i="24" s="1"/>
  <c r="E2" i="24" s="1"/>
  <c r="F2" i="24" s="1"/>
  <c r="G2" i="24" s="1"/>
  <c r="H2" i="24" s="1"/>
  <c r="I2" i="24" s="1"/>
  <c r="J2" i="24" s="1"/>
  <c r="K2" i="24" s="1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D19" i="4"/>
  <c r="C19" i="4"/>
  <c r="B19" i="4"/>
  <c r="D18" i="4"/>
  <c r="C18" i="4"/>
  <c r="C20" i="4" s="1"/>
  <c r="B18" i="4"/>
  <c r="B20" i="4" s="1"/>
  <c r="B21" i="4"/>
  <c r="C21" i="4"/>
  <c r="D20" i="4"/>
  <c r="F25" i="4"/>
  <c r="F27" i="4" s="1"/>
  <c r="E25" i="4"/>
  <c r="D25" i="4"/>
  <c r="D27" i="4" s="1"/>
  <c r="C25" i="4"/>
  <c r="B25" i="4"/>
  <c r="F24" i="4"/>
  <c r="E24" i="4"/>
  <c r="D24" i="4"/>
  <c r="D26" i="4" s="1"/>
  <c r="C24" i="4"/>
  <c r="B24" i="4"/>
  <c r="D21" i="4" l="1"/>
  <c r="E26" i="4"/>
  <c r="E27" i="4"/>
  <c r="C27" i="4"/>
  <c r="F26" i="4"/>
  <c r="B27" i="4"/>
  <c r="C26" i="4"/>
  <c r="B26" i="4"/>
  <c r="D42" i="4"/>
  <c r="C42" i="4"/>
  <c r="D44" i="4" s="1"/>
  <c r="B42" i="4"/>
  <c r="D41" i="4"/>
  <c r="C41" i="4"/>
  <c r="C43" i="4" s="1"/>
  <c r="B41" i="4"/>
  <c r="B43" i="4" s="1"/>
  <c r="D36" i="4"/>
  <c r="C36" i="4"/>
  <c r="B36" i="4"/>
  <c r="D35" i="4"/>
  <c r="C35" i="4"/>
  <c r="C37" i="4" s="1"/>
  <c r="B35" i="4"/>
  <c r="D31" i="4"/>
  <c r="D30" i="4"/>
  <c r="C31" i="4"/>
  <c r="C32" i="4" s="1"/>
  <c r="C30" i="4"/>
  <c r="B31" i="4"/>
  <c r="B30" i="4"/>
  <c r="B3" i="25"/>
  <c r="C3" i="25" s="1"/>
  <c r="D3" i="25" s="1"/>
  <c r="E3" i="25" s="1"/>
  <c r="F3" i="25" s="1"/>
  <c r="G3" i="25" s="1"/>
  <c r="H3" i="25" s="1"/>
  <c r="I3" i="25" s="1"/>
  <c r="J3" i="25" s="1"/>
  <c r="K3" i="25" s="1"/>
  <c r="L3" i="25" s="1"/>
  <c r="M3" i="25" s="1"/>
  <c r="N3" i="25" s="1"/>
  <c r="O3" i="25" s="1"/>
  <c r="P3" i="25" s="1"/>
  <c r="Q3" i="25" s="1"/>
  <c r="R3" i="25" s="1"/>
  <c r="S3" i="25" s="1"/>
  <c r="T3" i="25" s="1"/>
  <c r="U3" i="25" s="1"/>
  <c r="V3" i="25" s="1"/>
  <c r="W3" i="25" s="1"/>
  <c r="X3" i="25" s="1"/>
  <c r="Y3" i="25" s="1"/>
  <c r="Z3" i="25" s="1"/>
  <c r="AA3" i="25" s="1"/>
  <c r="AB3" i="25" s="1"/>
  <c r="AC3" i="25" s="1"/>
  <c r="AD3" i="25" s="1"/>
  <c r="AE3" i="25" s="1"/>
  <c r="AF3" i="25" s="1"/>
  <c r="B5" i="25"/>
  <c r="C5" i="25" s="1"/>
  <c r="D5" i="25" s="1"/>
  <c r="E5" i="25" s="1"/>
  <c r="F5" i="25" s="1"/>
  <c r="G5" i="25" s="1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S5" i="25" s="1"/>
  <c r="T5" i="25" s="1"/>
  <c r="U5" i="25" s="1"/>
  <c r="V5" i="25" s="1"/>
  <c r="W5" i="25" s="1"/>
  <c r="X5" i="25" s="1"/>
  <c r="Y5" i="25" s="1"/>
  <c r="Z5" i="25" s="1"/>
  <c r="AA5" i="25" s="1"/>
  <c r="AB5" i="25" s="1"/>
  <c r="AC5" i="25" s="1"/>
  <c r="AD5" i="25" s="1"/>
  <c r="AE5" i="25" s="1"/>
  <c r="AF5" i="25" s="1"/>
  <c r="B6" i="25"/>
  <c r="C6" i="25" s="1"/>
  <c r="D6" i="25" s="1"/>
  <c r="E6" i="25" s="1"/>
  <c r="F6" i="25" s="1"/>
  <c r="G6" i="25" s="1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6" i="25" s="1"/>
  <c r="AA6" i="25" s="1"/>
  <c r="AB6" i="25" s="1"/>
  <c r="AC6" i="25" s="1"/>
  <c r="AD6" i="25" s="1"/>
  <c r="AE6" i="25" s="1"/>
  <c r="AF6" i="25" s="1"/>
  <c r="B7" i="25"/>
  <c r="C7" i="25" s="1"/>
  <c r="D7" i="25" s="1"/>
  <c r="E7" i="25" s="1"/>
  <c r="F7" i="25" s="1"/>
  <c r="G7" i="25" s="1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7" i="25" s="1"/>
  <c r="AA7" i="25" s="1"/>
  <c r="AB7" i="25" s="1"/>
  <c r="AC7" i="25" s="1"/>
  <c r="AD7" i="25" s="1"/>
  <c r="AE7" i="25" s="1"/>
  <c r="AF7" i="25" s="1"/>
  <c r="B37" i="4" l="1"/>
  <c r="D43" i="4"/>
  <c r="D37" i="4"/>
  <c r="B38" i="4"/>
  <c r="D32" i="4"/>
  <c r="B32" i="4"/>
  <c r="C38" i="4"/>
  <c r="C44" i="4"/>
  <c r="D38" i="4"/>
  <c r="B44" i="4"/>
  <c r="C3" i="26"/>
  <c r="D3" i="26"/>
  <c r="E3" i="26"/>
  <c r="F3" i="26"/>
  <c r="G3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C4" i="26"/>
  <c r="D4" i="26"/>
  <c r="E4" i="26"/>
  <c r="F4" i="26"/>
  <c r="G4" i="26"/>
  <c r="H4" i="26"/>
  <c r="I4" i="26"/>
  <c r="J4" i="26"/>
  <c r="K4" i="26"/>
  <c r="L4" i="26"/>
  <c r="M4" i="26"/>
  <c r="N4" i="26"/>
  <c r="O4" i="26"/>
  <c r="P4" i="26"/>
  <c r="Q4" i="26"/>
  <c r="R4" i="26"/>
  <c r="S4" i="26"/>
  <c r="T4" i="26"/>
  <c r="U4" i="26"/>
  <c r="V4" i="26"/>
  <c r="W4" i="26"/>
  <c r="X4" i="26"/>
  <c r="Y4" i="26"/>
  <c r="Z4" i="26"/>
  <c r="AA4" i="26"/>
  <c r="AB4" i="26"/>
  <c r="AC4" i="26"/>
  <c r="AD4" i="26"/>
  <c r="AE4" i="26"/>
  <c r="AF4" i="26"/>
  <c r="C6" i="26"/>
  <c r="D6" i="26"/>
  <c r="E6" i="26"/>
  <c r="F6" i="26"/>
  <c r="G6" i="26"/>
  <c r="H6" i="26"/>
  <c r="I6" i="26"/>
  <c r="J6" i="26"/>
  <c r="K6" i="26"/>
  <c r="L6" i="26"/>
  <c r="M6" i="26"/>
  <c r="N6" i="26"/>
  <c r="O6" i="26"/>
  <c r="P6" i="26"/>
  <c r="Q6" i="26"/>
  <c r="R6" i="26"/>
  <c r="S6" i="26"/>
  <c r="T6" i="26"/>
  <c r="U6" i="26"/>
  <c r="V6" i="26"/>
  <c r="W6" i="26"/>
  <c r="X6" i="26"/>
  <c r="Y6" i="26"/>
  <c r="Z6" i="26"/>
  <c r="AA6" i="26"/>
  <c r="AB6" i="26"/>
  <c r="AC6" i="26"/>
  <c r="AD6" i="26"/>
  <c r="AE6" i="26"/>
  <c r="AF6" i="26"/>
  <c r="C7" i="26"/>
  <c r="D7" i="26"/>
  <c r="E7" i="26"/>
  <c r="F7" i="26"/>
  <c r="G7" i="26"/>
  <c r="H7" i="26"/>
  <c r="I7" i="26"/>
  <c r="J7" i="26"/>
  <c r="K7" i="26"/>
  <c r="L7" i="26"/>
  <c r="M7" i="26"/>
  <c r="N7" i="26"/>
  <c r="O7" i="26"/>
  <c r="P7" i="26"/>
  <c r="Q7" i="26"/>
  <c r="R7" i="26"/>
  <c r="S7" i="26"/>
  <c r="T7" i="26"/>
  <c r="U7" i="26"/>
  <c r="V7" i="26"/>
  <c r="W7" i="26"/>
  <c r="X7" i="26"/>
  <c r="Y7" i="26"/>
  <c r="Z7" i="26"/>
  <c r="AA7" i="26"/>
  <c r="AB7" i="26"/>
  <c r="AC7" i="26"/>
  <c r="AD7" i="26"/>
  <c r="AE7" i="26"/>
  <c r="AF7" i="26"/>
  <c r="B3" i="26"/>
  <c r="B4" i="26"/>
  <c r="B6" i="26"/>
  <c r="B7" i="26"/>
  <c r="C3" i="29"/>
  <c r="D3" i="29"/>
  <c r="E3" i="29"/>
  <c r="F3" i="29"/>
  <c r="G3" i="29"/>
  <c r="H3" i="29"/>
  <c r="I3" i="29"/>
  <c r="J3" i="29"/>
  <c r="K3" i="29"/>
  <c r="L3" i="29"/>
  <c r="M3" i="29"/>
  <c r="N3" i="29"/>
  <c r="O3" i="29"/>
  <c r="P3" i="29"/>
  <c r="Q3" i="29"/>
  <c r="R3" i="29"/>
  <c r="S3" i="29"/>
  <c r="T3" i="29"/>
  <c r="U3" i="29"/>
  <c r="V3" i="29"/>
  <c r="W3" i="29"/>
  <c r="X3" i="29"/>
  <c r="Y3" i="29"/>
  <c r="Z3" i="29"/>
  <c r="AA3" i="29"/>
  <c r="AB3" i="29"/>
  <c r="AC3" i="29"/>
  <c r="AD3" i="29"/>
  <c r="AE3" i="29"/>
  <c r="AF3" i="29"/>
  <c r="C4" i="29"/>
  <c r="D4" i="29"/>
  <c r="E4" i="29"/>
  <c r="F4" i="29"/>
  <c r="G4" i="29"/>
  <c r="H4" i="29"/>
  <c r="I4" i="29"/>
  <c r="J4" i="29"/>
  <c r="K4" i="29"/>
  <c r="L4" i="29"/>
  <c r="M4" i="29"/>
  <c r="N4" i="29"/>
  <c r="O4" i="29"/>
  <c r="P4" i="29"/>
  <c r="Q4" i="29"/>
  <c r="R4" i="29"/>
  <c r="S4" i="29"/>
  <c r="T4" i="29"/>
  <c r="U4" i="29"/>
  <c r="V4" i="29"/>
  <c r="W4" i="29"/>
  <c r="X4" i="29"/>
  <c r="Y4" i="29"/>
  <c r="Z4" i="29"/>
  <c r="AA4" i="29"/>
  <c r="AB4" i="29"/>
  <c r="AC4" i="29"/>
  <c r="AD4" i="29"/>
  <c r="AE4" i="29"/>
  <c r="AF4" i="29"/>
  <c r="C6" i="29"/>
  <c r="D6" i="29"/>
  <c r="E6" i="29"/>
  <c r="F6" i="29"/>
  <c r="G6" i="29"/>
  <c r="H6" i="29"/>
  <c r="I6" i="29"/>
  <c r="J6" i="29"/>
  <c r="K6" i="29"/>
  <c r="L6" i="29"/>
  <c r="M6" i="29"/>
  <c r="N6" i="29"/>
  <c r="O6" i="29"/>
  <c r="P6" i="29"/>
  <c r="Q6" i="29"/>
  <c r="R6" i="29"/>
  <c r="S6" i="29"/>
  <c r="T6" i="29"/>
  <c r="U6" i="29"/>
  <c r="V6" i="29"/>
  <c r="W6" i="29"/>
  <c r="X6" i="29"/>
  <c r="Y6" i="29"/>
  <c r="Z6" i="29"/>
  <c r="AA6" i="29"/>
  <c r="AB6" i="29"/>
  <c r="AC6" i="29"/>
  <c r="AD6" i="29"/>
  <c r="AE6" i="29"/>
  <c r="AF6" i="29"/>
  <c r="C7" i="29"/>
  <c r="D7" i="29"/>
  <c r="E7" i="29"/>
  <c r="F7" i="29"/>
  <c r="G7" i="29"/>
  <c r="H7" i="29"/>
  <c r="I7" i="29"/>
  <c r="J7" i="29"/>
  <c r="K7" i="29"/>
  <c r="L7" i="29"/>
  <c r="M7" i="29"/>
  <c r="N7" i="29"/>
  <c r="O7" i="29"/>
  <c r="P7" i="29"/>
  <c r="Q7" i="29"/>
  <c r="R7" i="29"/>
  <c r="S7" i="29"/>
  <c r="T7" i="29"/>
  <c r="U7" i="29"/>
  <c r="V7" i="29"/>
  <c r="W7" i="29"/>
  <c r="X7" i="29"/>
  <c r="Y7" i="29"/>
  <c r="Z7" i="29"/>
  <c r="AA7" i="29"/>
  <c r="AB7" i="29"/>
  <c r="AC7" i="29"/>
  <c r="AD7" i="29"/>
  <c r="AE7" i="29"/>
  <c r="AF7" i="29"/>
  <c r="B3" i="29"/>
  <c r="B4" i="29"/>
  <c r="B6" i="29"/>
  <c r="B7" i="29"/>
  <c r="D22" i="9" l="1"/>
  <c r="C80" i="9" l="1"/>
  <c r="C81" i="9"/>
  <c r="C82" i="9"/>
  <c r="C83" i="9"/>
  <c r="C84" i="9"/>
  <c r="C85" i="9"/>
  <c r="C79" i="9"/>
  <c r="C73" i="9"/>
  <c r="C74" i="9"/>
  <c r="C75" i="9"/>
  <c r="C76" i="9"/>
  <c r="C77" i="9"/>
  <c r="C78" i="9"/>
  <c r="C72" i="9"/>
  <c r="C66" i="9"/>
  <c r="C67" i="9"/>
  <c r="C68" i="9"/>
  <c r="C69" i="9"/>
  <c r="C70" i="9"/>
  <c r="C71" i="9"/>
  <c r="C65" i="9"/>
  <c r="C59" i="9"/>
  <c r="C60" i="9"/>
  <c r="C61" i="9"/>
  <c r="C62" i="9"/>
  <c r="C63" i="9"/>
  <c r="C64" i="9"/>
  <c r="C58" i="9"/>
  <c r="C52" i="9"/>
  <c r="C53" i="9"/>
  <c r="C54" i="9"/>
  <c r="C55" i="9"/>
  <c r="C56" i="9"/>
  <c r="C57" i="9"/>
  <c r="C51" i="9"/>
  <c r="C45" i="9"/>
  <c r="C46" i="9"/>
  <c r="C47" i="9"/>
  <c r="C48" i="9"/>
  <c r="C49" i="9"/>
  <c r="C50" i="9"/>
  <c r="C44" i="9"/>
  <c r="C38" i="9"/>
  <c r="C39" i="9"/>
  <c r="C40" i="9"/>
  <c r="B5" i="26" s="1"/>
  <c r="C41" i="9"/>
  <c r="C42" i="9"/>
  <c r="C43" i="9"/>
  <c r="C37" i="9"/>
  <c r="C31" i="9"/>
  <c r="C32" i="9"/>
  <c r="C33" i="9"/>
  <c r="B5" i="29" s="1"/>
  <c r="C34" i="9"/>
  <c r="C35" i="9"/>
  <c r="C36" i="9"/>
  <c r="C30" i="9"/>
  <c r="C24" i="9"/>
  <c r="C25" i="9"/>
  <c r="C26" i="9"/>
  <c r="C27" i="9"/>
  <c r="C28" i="9"/>
  <c r="C29" i="9"/>
  <c r="C23" i="9"/>
  <c r="C17" i="9"/>
  <c r="C18" i="9"/>
  <c r="C19" i="9"/>
  <c r="C20" i="9"/>
  <c r="C21" i="9"/>
  <c r="C22" i="9"/>
  <c r="C16" i="9"/>
  <c r="C10" i="9"/>
  <c r="C11" i="9"/>
  <c r="C12" i="9"/>
  <c r="C13" i="9"/>
  <c r="C14" i="9"/>
  <c r="C15" i="9"/>
  <c r="C9" i="9"/>
  <c r="C3" i="9"/>
  <c r="C4" i="9"/>
  <c r="B4" i="23" s="1"/>
  <c r="C4" i="23" s="1"/>
  <c r="D4" i="23" s="1"/>
  <c r="E4" i="23" s="1"/>
  <c r="F4" i="23" s="1"/>
  <c r="G4" i="23" s="1"/>
  <c r="H4" i="23" s="1"/>
  <c r="I4" i="23" s="1"/>
  <c r="J4" i="23" s="1"/>
  <c r="K4" i="23" s="1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C5" i="9"/>
  <c r="C6" i="9"/>
  <c r="C7" i="9"/>
  <c r="C8" i="9"/>
  <c r="C2" i="9"/>
  <c r="C5" i="29" l="1"/>
  <c r="D5" i="29" s="1"/>
  <c r="E5" i="29" s="1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B8" i="29"/>
  <c r="C8" i="29" s="1"/>
  <c r="D8" i="29" s="1"/>
  <c r="E8" i="29" s="1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B2" i="29"/>
  <c r="C2" i="29" s="1"/>
  <c r="D2" i="29" s="1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C5" i="26"/>
  <c r="D5" i="26" s="1"/>
  <c r="E5" i="26" s="1"/>
  <c r="F5" i="26" s="1"/>
  <c r="G5" i="26" s="1"/>
  <c r="H5" i="26" s="1"/>
  <c r="I5" i="26" s="1"/>
  <c r="J5" i="26" s="1"/>
  <c r="K5" i="26" s="1"/>
  <c r="L5" i="26" s="1"/>
  <c r="M5" i="26" s="1"/>
  <c r="N5" i="26" s="1"/>
  <c r="O5" i="26" s="1"/>
  <c r="P5" i="26" s="1"/>
  <c r="Q5" i="26" s="1"/>
  <c r="R5" i="26" s="1"/>
  <c r="S5" i="26" s="1"/>
  <c r="T5" i="26" s="1"/>
  <c r="U5" i="26" s="1"/>
  <c r="V5" i="26" s="1"/>
  <c r="W5" i="26" s="1"/>
  <c r="X5" i="26" s="1"/>
  <c r="Y5" i="26" s="1"/>
  <c r="Z5" i="26" s="1"/>
  <c r="AA5" i="26" s="1"/>
  <c r="AB5" i="26" s="1"/>
  <c r="AC5" i="26" s="1"/>
  <c r="AD5" i="26" s="1"/>
  <c r="AE5" i="26" s="1"/>
  <c r="AF5" i="26" s="1"/>
  <c r="B8" i="26"/>
  <c r="C8" i="26" s="1"/>
  <c r="D8" i="26" s="1"/>
  <c r="E8" i="26" s="1"/>
  <c r="F8" i="26" s="1"/>
  <c r="G8" i="26" s="1"/>
  <c r="H8" i="26" s="1"/>
  <c r="I8" i="26" s="1"/>
  <c r="J8" i="26" s="1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C8" i="26" s="1"/>
  <c r="AD8" i="26" s="1"/>
  <c r="AE8" i="26" s="1"/>
  <c r="AF8" i="26" s="1"/>
  <c r="B2" i="26"/>
  <c r="C2" i="26" s="1"/>
  <c r="D2" i="26" s="1"/>
  <c r="E2" i="26" s="1"/>
  <c r="F2" i="26" s="1"/>
  <c r="G2" i="26" s="1"/>
  <c r="H2" i="26" s="1"/>
  <c r="I2" i="26" s="1"/>
  <c r="J2" i="26" s="1"/>
  <c r="K2" i="26" s="1"/>
  <c r="L2" i="26" s="1"/>
  <c r="M2" i="26" s="1"/>
  <c r="N2" i="26" s="1"/>
  <c r="O2" i="26" s="1"/>
  <c r="P2" i="26" s="1"/>
  <c r="Q2" i="26" s="1"/>
  <c r="R2" i="26" s="1"/>
  <c r="S2" i="26" s="1"/>
  <c r="T2" i="26" s="1"/>
  <c r="U2" i="26" s="1"/>
  <c r="V2" i="26" s="1"/>
  <c r="W2" i="26" s="1"/>
  <c r="X2" i="26" s="1"/>
  <c r="Y2" i="26" s="1"/>
  <c r="Z2" i="26" s="1"/>
  <c r="AA2" i="26" s="1"/>
  <c r="AB2" i="26" s="1"/>
  <c r="AC2" i="26" s="1"/>
  <c r="AD2" i="26" s="1"/>
  <c r="AE2" i="26" s="1"/>
  <c r="AF2" i="26" s="1"/>
  <c r="C7" i="8"/>
  <c r="O7" i="8"/>
  <c r="AA7" i="8"/>
  <c r="Z7" i="8"/>
  <c r="D7" i="8"/>
  <c r="P7" i="8"/>
  <c r="AB7" i="8"/>
  <c r="E7" i="8"/>
  <c r="Q7" i="8"/>
  <c r="AC7" i="8"/>
  <c r="L7" i="8"/>
  <c r="M7" i="8"/>
  <c r="N7" i="8"/>
  <c r="F7" i="8"/>
  <c r="R7" i="8"/>
  <c r="AD7" i="8"/>
  <c r="Y7" i="8"/>
  <c r="G7" i="8"/>
  <c r="S7" i="8"/>
  <c r="AE7" i="8"/>
  <c r="H7" i="8"/>
  <c r="T7" i="8"/>
  <c r="AF7" i="8"/>
  <c r="X7" i="8"/>
  <c r="I7" i="8"/>
  <c r="U7" i="8"/>
  <c r="B7" i="8"/>
  <c r="J7" i="8"/>
  <c r="V7" i="8"/>
  <c r="K7" i="8"/>
  <c r="W7" i="8"/>
  <c r="I6" i="8"/>
  <c r="U6" i="8"/>
  <c r="R6" i="8"/>
  <c r="G6" i="8"/>
  <c r="J6" i="8"/>
  <c r="V6" i="8"/>
  <c r="AD6" i="8"/>
  <c r="T6" i="8"/>
  <c r="K6" i="8"/>
  <c r="W6" i="8"/>
  <c r="L6" i="8"/>
  <c r="X6" i="8"/>
  <c r="H6" i="8"/>
  <c r="M6" i="8"/>
  <c r="Y6" i="8"/>
  <c r="F6" i="8"/>
  <c r="N6" i="8"/>
  <c r="Z6" i="8"/>
  <c r="B6" i="8"/>
  <c r="AF6" i="8"/>
  <c r="C6" i="8"/>
  <c r="O6" i="8"/>
  <c r="AA6" i="8"/>
  <c r="D6" i="8"/>
  <c r="P6" i="8"/>
  <c r="AB6" i="8"/>
  <c r="AE6" i="8"/>
  <c r="E6" i="8"/>
  <c r="Q6" i="8"/>
  <c r="AC6" i="8"/>
  <c r="S6" i="8"/>
  <c r="F5" i="8"/>
  <c r="R5" i="8"/>
  <c r="G5" i="8"/>
  <c r="S5" i="8"/>
  <c r="H5" i="8"/>
  <c r="T5" i="8"/>
  <c r="I5" i="8"/>
  <c r="U5" i="8"/>
  <c r="AB5" i="8"/>
  <c r="J5" i="8"/>
  <c r="V5" i="8"/>
  <c r="Q5" i="8"/>
  <c r="K5" i="8"/>
  <c r="W5" i="8"/>
  <c r="AA5" i="8"/>
  <c r="L5" i="8"/>
  <c r="X5" i="8"/>
  <c r="M5" i="8"/>
  <c r="Y5" i="8"/>
  <c r="AE5" i="8"/>
  <c r="N5" i="8"/>
  <c r="Z5" i="8"/>
  <c r="AD5" i="8"/>
  <c r="C5" i="8"/>
  <c r="O5" i="8"/>
  <c r="AF5" i="8"/>
  <c r="D5" i="8"/>
  <c r="P5" i="8"/>
  <c r="AC5" i="8"/>
  <c r="E5" i="8"/>
  <c r="B5" i="8"/>
  <c r="C4" i="8"/>
  <c r="O4" i="8"/>
  <c r="AA4" i="8"/>
  <c r="D4" i="8"/>
  <c r="P4" i="8"/>
  <c r="AB4" i="8"/>
  <c r="Y4" i="8"/>
  <c r="E4" i="8"/>
  <c r="Q4" i="8"/>
  <c r="AC4" i="8"/>
  <c r="F4" i="8"/>
  <c r="R4" i="8"/>
  <c r="AD4" i="8"/>
  <c r="B4" i="8"/>
  <c r="G4" i="8"/>
  <c r="S4" i="8"/>
  <c r="AE4" i="8"/>
  <c r="Z4" i="8"/>
  <c r="H4" i="8"/>
  <c r="T4" i="8"/>
  <c r="AF4" i="8"/>
  <c r="L4" i="8"/>
  <c r="M4" i="8"/>
  <c r="I4" i="8"/>
  <c r="U4" i="8"/>
  <c r="N4" i="8"/>
  <c r="J4" i="8"/>
  <c r="V4" i="8"/>
  <c r="X4" i="8"/>
  <c r="K4" i="8"/>
  <c r="W4" i="8"/>
  <c r="I3" i="8"/>
  <c r="U3" i="8"/>
  <c r="T3" i="8"/>
  <c r="J3" i="8"/>
  <c r="V3" i="8"/>
  <c r="K3" i="8"/>
  <c r="W3" i="8"/>
  <c r="B3" i="8"/>
  <c r="L3" i="8"/>
  <c r="X3" i="8"/>
  <c r="F3" i="8"/>
  <c r="G3" i="8"/>
  <c r="M3" i="8"/>
  <c r="Y3" i="8"/>
  <c r="AE3" i="8"/>
  <c r="N3" i="8"/>
  <c r="Z3" i="8"/>
  <c r="C3" i="8"/>
  <c r="O3" i="8"/>
  <c r="AA3" i="8"/>
  <c r="R3" i="8"/>
  <c r="S3" i="8"/>
  <c r="D3" i="8"/>
  <c r="P3" i="8"/>
  <c r="AB3" i="8"/>
  <c r="H3" i="8"/>
  <c r="E3" i="8"/>
  <c r="Q3" i="8"/>
  <c r="AC3" i="8"/>
  <c r="AD3" i="8"/>
  <c r="AF3" i="8"/>
  <c r="B4" i="7"/>
  <c r="C4" i="7" s="1"/>
  <c r="D4" i="7" s="1"/>
  <c r="E4" i="7" s="1"/>
  <c r="F4" i="7" s="1"/>
  <c r="G4" i="7" s="1"/>
  <c r="H4" i="7" s="1"/>
  <c r="I4" i="7" s="1"/>
  <c r="J4" i="7" s="1"/>
  <c r="K4" i="7" s="1"/>
  <c r="L4" i="7" s="1"/>
  <c r="M4" i="7" s="1"/>
  <c r="N4" i="7" s="1"/>
  <c r="O4" i="7" s="1"/>
  <c r="P4" i="7" s="1"/>
  <c r="Q4" i="7" s="1"/>
  <c r="R4" i="7" s="1"/>
  <c r="S4" i="7" s="1"/>
  <c r="T4" i="7" s="1"/>
  <c r="U4" i="7" s="1"/>
  <c r="V4" i="7" s="1"/>
  <c r="W4" i="7" s="1"/>
  <c r="X4" i="7" s="1"/>
  <c r="Y4" i="7" s="1"/>
  <c r="Z4" i="7" s="1"/>
  <c r="AA4" i="7" s="1"/>
  <c r="AB4" i="7" s="1"/>
  <c r="AC4" i="7" s="1"/>
  <c r="AD4" i="7" s="1"/>
  <c r="AE4" i="7" s="1"/>
  <c r="AF4" i="7" s="1"/>
  <c r="B2" i="8" l="1"/>
  <c r="C2" i="8" s="1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B8" i="8"/>
  <c r="C8" i="8" s="1"/>
  <c r="D8" i="8" s="1"/>
  <c r="E8" i="8" s="1"/>
  <c r="F8" i="8" s="1"/>
  <c r="G8" i="8" s="1"/>
  <c r="H8" i="8" s="1"/>
  <c r="I8" i="8" s="1"/>
  <c r="J8" i="8" s="1"/>
  <c r="K8" i="8" s="1"/>
  <c r="L8" i="8" s="1"/>
  <c r="M8" i="8" s="1"/>
  <c r="N8" i="8" s="1"/>
  <c r="O8" i="8" s="1"/>
  <c r="P8" i="8" s="1"/>
  <c r="Q8" i="8" s="1"/>
  <c r="R8" i="8" s="1"/>
  <c r="S8" i="8" s="1"/>
  <c r="T8" i="8" s="1"/>
  <c r="U8" i="8" s="1"/>
  <c r="V8" i="8" s="1"/>
  <c r="W8" i="8" s="1"/>
  <c r="X8" i="8" s="1"/>
  <c r="Y8" i="8" s="1"/>
  <c r="Z8" i="8" s="1"/>
  <c r="AA8" i="8" s="1"/>
  <c r="AB8" i="8" s="1"/>
  <c r="AC8" i="8" s="1"/>
  <c r="AD8" i="8" s="1"/>
  <c r="AE8" i="8" s="1"/>
  <c r="AF8" i="8" s="1"/>
  <c r="B3" i="13"/>
  <c r="C3" i="13" s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B4" i="13"/>
  <c r="C4" i="13" s="1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B5" i="13"/>
  <c r="B6" i="13"/>
  <c r="C6" i="13" s="1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B7" i="13"/>
  <c r="C7" i="13" s="1"/>
  <c r="D7" i="13" s="1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B2" i="13"/>
  <c r="C2" i="13" s="1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B3" i="7"/>
  <c r="B6" i="7"/>
  <c r="B7" i="7"/>
  <c r="C5" i="13" l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B8" i="13"/>
  <c r="C8" i="13" s="1"/>
  <c r="D8" i="13" s="1"/>
  <c r="E8" i="13" s="1"/>
  <c r="F8" i="13" s="1"/>
  <c r="G8" i="13" s="1"/>
  <c r="H8" i="13" s="1"/>
  <c r="I8" i="13" s="1"/>
  <c r="J8" i="13" s="1"/>
  <c r="K8" i="13" s="1"/>
  <c r="L8" i="13" s="1"/>
  <c r="M8" i="13" s="1"/>
  <c r="N8" i="13" s="1"/>
  <c r="O8" i="13" s="1"/>
  <c r="P8" i="13" s="1"/>
  <c r="Q8" i="13" s="1"/>
  <c r="R8" i="13" s="1"/>
  <c r="S8" i="13" s="1"/>
  <c r="T8" i="13" s="1"/>
  <c r="U8" i="13" s="1"/>
  <c r="V8" i="13" s="1"/>
  <c r="W8" i="13" s="1"/>
  <c r="X8" i="13" s="1"/>
  <c r="Y8" i="13" s="1"/>
  <c r="Z8" i="13" s="1"/>
  <c r="AA8" i="13" s="1"/>
  <c r="AB8" i="13" s="1"/>
  <c r="AC8" i="13" s="1"/>
  <c r="AD8" i="13" s="1"/>
  <c r="AE8" i="13" s="1"/>
  <c r="AF8" i="13" s="1"/>
  <c r="G6" i="7"/>
  <c r="S6" i="7"/>
  <c r="AE6" i="7"/>
  <c r="T6" i="7"/>
  <c r="I6" i="7"/>
  <c r="U6" i="7"/>
  <c r="J6" i="7"/>
  <c r="V6" i="7"/>
  <c r="E6" i="7"/>
  <c r="K6" i="7"/>
  <c r="W6" i="7"/>
  <c r="AC6" i="7"/>
  <c r="L6" i="7"/>
  <c r="X6" i="7"/>
  <c r="D6" i="7"/>
  <c r="M6" i="7"/>
  <c r="Y6" i="7"/>
  <c r="P6" i="7"/>
  <c r="Q6" i="7"/>
  <c r="N6" i="7"/>
  <c r="Z6" i="7"/>
  <c r="C6" i="7"/>
  <c r="O6" i="7"/>
  <c r="AA6" i="7"/>
  <c r="AB6" i="7"/>
  <c r="F6" i="7"/>
  <c r="R6" i="7"/>
  <c r="AD6" i="7"/>
  <c r="H6" i="7"/>
  <c r="AF6" i="7"/>
  <c r="B6" i="12"/>
  <c r="C6" i="12" s="1"/>
  <c r="D6" i="12" s="1"/>
  <c r="E6" i="12" s="1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  <c r="AF6" i="12" s="1"/>
  <c r="B5" i="12"/>
  <c r="B4" i="12"/>
  <c r="C4" i="12" s="1"/>
  <c r="D4" i="12" s="1"/>
  <c r="E4" i="12" s="1"/>
  <c r="F4" i="12" s="1"/>
  <c r="G4" i="12" s="1"/>
  <c r="H4" i="12" s="1"/>
  <c r="I4" i="12" s="1"/>
  <c r="J4" i="12" s="1"/>
  <c r="K4" i="12" s="1"/>
  <c r="L4" i="12" s="1"/>
  <c r="M4" i="12" s="1"/>
  <c r="N4" i="12" s="1"/>
  <c r="O4" i="12" s="1"/>
  <c r="P4" i="12" s="1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M7" i="7"/>
  <c r="Y7" i="7"/>
  <c r="N7" i="7"/>
  <c r="Z7" i="7"/>
  <c r="C7" i="7"/>
  <c r="O7" i="7"/>
  <c r="AA7" i="7"/>
  <c r="D7" i="7"/>
  <c r="AB7" i="7"/>
  <c r="K7" i="7"/>
  <c r="P7" i="7"/>
  <c r="E7" i="7"/>
  <c r="Q7" i="7"/>
  <c r="AC7" i="7"/>
  <c r="V7" i="7"/>
  <c r="F7" i="7"/>
  <c r="R7" i="7"/>
  <c r="AD7" i="7"/>
  <c r="G7" i="7"/>
  <c r="S7" i="7"/>
  <c r="AE7" i="7"/>
  <c r="H7" i="7"/>
  <c r="T7" i="7"/>
  <c r="AF7" i="7"/>
  <c r="J7" i="7"/>
  <c r="I7" i="7"/>
  <c r="U7" i="7"/>
  <c r="L7" i="7"/>
  <c r="X7" i="7"/>
  <c r="W7" i="7"/>
  <c r="B7" i="12"/>
  <c r="C7" i="12" s="1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AF7" i="12" s="1"/>
  <c r="M3" i="7"/>
  <c r="Y3" i="7"/>
  <c r="N3" i="7"/>
  <c r="Z3" i="7"/>
  <c r="C3" i="7"/>
  <c r="O3" i="7"/>
  <c r="AA3" i="7"/>
  <c r="W3" i="7"/>
  <c r="D3" i="7"/>
  <c r="P3" i="7"/>
  <c r="AB3" i="7"/>
  <c r="E3" i="7"/>
  <c r="Q3" i="7"/>
  <c r="AC3" i="7"/>
  <c r="J3" i="7"/>
  <c r="K3" i="7"/>
  <c r="F3" i="7"/>
  <c r="R3" i="7"/>
  <c r="AD3" i="7"/>
  <c r="G3" i="7"/>
  <c r="S3" i="7"/>
  <c r="AE3" i="7"/>
  <c r="H3" i="7"/>
  <c r="T3" i="7"/>
  <c r="AF3" i="7"/>
  <c r="V3" i="7"/>
  <c r="I3" i="7"/>
  <c r="U3" i="7"/>
  <c r="L3" i="7"/>
  <c r="X3" i="7"/>
  <c r="B3" i="12"/>
  <c r="C3" i="12" s="1"/>
  <c r="D3" i="12" s="1"/>
  <c r="E3" i="12" s="1"/>
  <c r="F3" i="12" s="1"/>
  <c r="G3" i="12" s="1"/>
  <c r="H3" i="12" s="1"/>
  <c r="I3" i="12" s="1"/>
  <c r="J3" i="12" s="1"/>
  <c r="K3" i="12" s="1"/>
  <c r="L3" i="12" s="1"/>
  <c r="M3" i="12" s="1"/>
  <c r="N3" i="12" s="1"/>
  <c r="O3" i="12" s="1"/>
  <c r="P3" i="12" s="1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B2" i="12"/>
  <c r="C2" i="12" s="1"/>
  <c r="D2" i="12" s="1"/>
  <c r="E2" i="12" s="1"/>
  <c r="F2" i="12" s="1"/>
  <c r="G2" i="12" s="1"/>
  <c r="H2" i="12" s="1"/>
  <c r="I2" i="12" s="1"/>
  <c r="J2" i="12" s="1"/>
  <c r="K2" i="12" s="1"/>
  <c r="L2" i="12" s="1"/>
  <c r="M2" i="12" s="1"/>
  <c r="N2" i="12" s="1"/>
  <c r="O2" i="12" s="1"/>
  <c r="P2" i="12" s="1"/>
  <c r="Q2" i="12" s="1"/>
  <c r="R2" i="12" s="1"/>
  <c r="S2" i="12" s="1"/>
  <c r="T2" i="12" s="1"/>
  <c r="U2" i="12" s="1"/>
  <c r="V2" i="12" s="1"/>
  <c r="W2" i="12" s="1"/>
  <c r="X2" i="12" s="1"/>
  <c r="Y2" i="12" s="1"/>
  <c r="Z2" i="12" s="1"/>
  <c r="AA2" i="12" s="1"/>
  <c r="AB2" i="12" s="1"/>
  <c r="AC2" i="12" s="1"/>
  <c r="AD2" i="12" s="1"/>
  <c r="AE2" i="12" s="1"/>
  <c r="AF2" i="12" s="1"/>
  <c r="C5" i="12" l="1"/>
  <c r="D5" i="12" s="1"/>
  <c r="E5" i="12" s="1"/>
  <c r="F5" i="12" s="1"/>
  <c r="G5" i="12" s="1"/>
  <c r="H5" i="12" s="1"/>
  <c r="I5" i="12" s="1"/>
  <c r="J5" i="12" s="1"/>
  <c r="K5" i="12" s="1"/>
  <c r="L5" i="12" s="1"/>
  <c r="M5" i="12" s="1"/>
  <c r="N5" i="12" s="1"/>
  <c r="O5" i="12" s="1"/>
  <c r="P5" i="12" s="1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B8" i="12"/>
  <c r="C8" i="12" s="1"/>
  <c r="D8" i="12" s="1"/>
  <c r="E8" i="12" s="1"/>
  <c r="F8" i="12" s="1"/>
  <c r="G8" i="12" s="1"/>
  <c r="H8" i="12" s="1"/>
  <c r="I8" i="12" s="1"/>
  <c r="J8" i="12" s="1"/>
  <c r="K8" i="12" s="1"/>
  <c r="L8" i="12" s="1"/>
  <c r="M8" i="12" s="1"/>
  <c r="N8" i="12" s="1"/>
  <c r="O8" i="12" s="1"/>
  <c r="P8" i="12" s="1"/>
  <c r="Q8" i="12" s="1"/>
  <c r="R8" i="12" s="1"/>
  <c r="S8" i="12" s="1"/>
  <c r="T8" i="12" s="1"/>
  <c r="U8" i="12" s="1"/>
  <c r="V8" i="12" s="1"/>
  <c r="W8" i="12" s="1"/>
  <c r="X8" i="12" s="1"/>
  <c r="Y8" i="12" s="1"/>
  <c r="Z8" i="12" s="1"/>
  <c r="AA8" i="12" s="1"/>
  <c r="AB8" i="12" s="1"/>
  <c r="AC8" i="12" s="1"/>
  <c r="AD8" i="12" s="1"/>
  <c r="AE8" i="12" s="1"/>
  <c r="AF8" i="12" s="1"/>
  <c r="B5" i="7"/>
  <c r="C5" i="7" l="1"/>
  <c r="D5" i="7" s="1"/>
  <c r="E5" i="7" s="1"/>
  <c r="F5" i="7" s="1"/>
  <c r="G5" i="7" s="1"/>
  <c r="H5" i="7" s="1"/>
  <c r="I5" i="7" s="1"/>
  <c r="J5" i="7" s="1"/>
  <c r="K5" i="7" s="1"/>
  <c r="L5" i="7" s="1"/>
  <c r="M5" i="7" s="1"/>
  <c r="N5" i="7" s="1"/>
  <c r="O5" i="7" s="1"/>
  <c r="P5" i="7" s="1"/>
  <c r="Q5" i="7" s="1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B8" i="7"/>
  <c r="C8" i="7" s="1"/>
  <c r="D8" i="7" s="1"/>
  <c r="E8" i="7" s="1"/>
  <c r="F8" i="7" s="1"/>
  <c r="G8" i="7" s="1"/>
  <c r="H8" i="7" s="1"/>
  <c r="I8" i="7" s="1"/>
  <c r="J8" i="7" s="1"/>
  <c r="K8" i="7" s="1"/>
  <c r="L8" i="7" s="1"/>
  <c r="M8" i="7" s="1"/>
  <c r="N8" i="7" s="1"/>
  <c r="O8" i="7" s="1"/>
  <c r="P8" i="7" s="1"/>
  <c r="Q8" i="7" s="1"/>
  <c r="R8" i="7" s="1"/>
  <c r="S8" i="7" s="1"/>
  <c r="T8" i="7" s="1"/>
  <c r="U8" i="7" s="1"/>
  <c r="V8" i="7" s="1"/>
  <c r="W8" i="7" s="1"/>
  <c r="X8" i="7" s="1"/>
  <c r="Y8" i="7" s="1"/>
  <c r="Z8" i="7" s="1"/>
  <c r="AA8" i="7" s="1"/>
  <c r="AB8" i="7" s="1"/>
  <c r="AC8" i="7" s="1"/>
  <c r="AD8" i="7" s="1"/>
  <c r="AE8" i="7" s="1"/>
  <c r="AF8" i="7" s="1"/>
  <c r="B2" i="7"/>
  <c r="C2" i="7" s="1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B3" i="27" l="1"/>
  <c r="C3" i="27" s="1"/>
  <c r="D3" i="27" s="1"/>
  <c r="E3" i="27" s="1"/>
  <c r="F3" i="27" s="1"/>
  <c r="G3" i="27" s="1"/>
  <c r="H3" i="27" s="1"/>
  <c r="I3" i="27" s="1"/>
  <c r="J3" i="27" s="1"/>
  <c r="K3" i="27" s="1"/>
  <c r="L3" i="27" s="1"/>
  <c r="M3" i="27" s="1"/>
  <c r="N3" i="27" s="1"/>
  <c r="O3" i="27" s="1"/>
  <c r="P3" i="27" s="1"/>
  <c r="Q3" i="27" s="1"/>
  <c r="R3" i="27" s="1"/>
  <c r="S3" i="27" s="1"/>
  <c r="T3" i="27" s="1"/>
  <c r="U3" i="27" s="1"/>
  <c r="V3" i="27" s="1"/>
  <c r="W3" i="27" s="1"/>
  <c r="X3" i="27" s="1"/>
  <c r="Y3" i="27" s="1"/>
  <c r="Z3" i="27" s="1"/>
  <c r="AA3" i="27" s="1"/>
  <c r="AB3" i="27" s="1"/>
  <c r="AC3" i="27" s="1"/>
  <c r="AD3" i="27" s="1"/>
  <c r="AE3" i="27" s="1"/>
  <c r="AF3" i="27" s="1"/>
  <c r="B3" i="22" l="1"/>
  <c r="C3" i="22" s="1"/>
  <c r="D3" i="22" s="1"/>
  <c r="E3" i="22" s="1"/>
  <c r="F3" i="22" s="1"/>
  <c r="G3" i="22" s="1"/>
  <c r="H3" i="22" s="1"/>
  <c r="I3" i="22" s="1"/>
  <c r="J3" i="22" s="1"/>
  <c r="K3" i="22" s="1"/>
  <c r="L3" i="22" s="1"/>
  <c r="M3" i="22" s="1"/>
  <c r="N3" i="22" s="1"/>
  <c r="O3" i="22" s="1"/>
  <c r="P3" i="22" s="1"/>
  <c r="Q3" i="22" s="1"/>
  <c r="R3" i="22" s="1"/>
  <c r="S3" i="22" s="1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B2" i="27"/>
  <c r="C2" i="27" s="1"/>
  <c r="D2" i="27" s="1"/>
  <c r="E2" i="27" s="1"/>
  <c r="F2" i="27" s="1"/>
  <c r="G2" i="27" s="1"/>
  <c r="H2" i="27" s="1"/>
  <c r="I2" i="27" s="1"/>
  <c r="J2" i="27" s="1"/>
  <c r="K2" i="27" s="1"/>
  <c r="L2" i="27" s="1"/>
  <c r="M2" i="27" s="1"/>
  <c r="N2" i="27" s="1"/>
  <c r="O2" i="27" s="1"/>
  <c r="P2" i="27" s="1"/>
  <c r="Q2" i="27" s="1"/>
  <c r="R2" i="27" s="1"/>
  <c r="S2" i="27" s="1"/>
  <c r="T2" i="27" s="1"/>
  <c r="U2" i="27" s="1"/>
  <c r="V2" i="27" s="1"/>
  <c r="W2" i="27" s="1"/>
  <c r="X2" i="27" s="1"/>
  <c r="Y2" i="27" s="1"/>
  <c r="Z2" i="27" s="1"/>
  <c r="AA2" i="27" s="1"/>
  <c r="AB2" i="27" s="1"/>
  <c r="AC2" i="27" s="1"/>
  <c r="AD2" i="27" s="1"/>
  <c r="AE2" i="27" s="1"/>
  <c r="AF2" i="27" s="1"/>
  <c r="B5" i="22"/>
  <c r="B7" i="23"/>
  <c r="C7" i="23" s="1"/>
  <c r="D7" i="23" s="1"/>
  <c r="E7" i="23" s="1"/>
  <c r="F7" i="23" s="1"/>
  <c r="G7" i="23" s="1"/>
  <c r="H7" i="23" s="1"/>
  <c r="I7" i="23" s="1"/>
  <c r="J7" i="23" s="1"/>
  <c r="K7" i="23" s="1"/>
  <c r="L7" i="23" s="1"/>
  <c r="M7" i="23" s="1"/>
  <c r="N7" i="23" s="1"/>
  <c r="O7" i="23" s="1"/>
  <c r="P7" i="23" s="1"/>
  <c r="Q7" i="23" s="1"/>
  <c r="R7" i="23" s="1"/>
  <c r="S7" i="23" s="1"/>
  <c r="T7" i="23" s="1"/>
  <c r="U7" i="23" s="1"/>
  <c r="V7" i="23" s="1"/>
  <c r="W7" i="23" s="1"/>
  <c r="X7" i="23" s="1"/>
  <c r="Y7" i="23" s="1"/>
  <c r="Z7" i="23" s="1"/>
  <c r="AA7" i="23" s="1"/>
  <c r="AB7" i="23" s="1"/>
  <c r="AC7" i="23" s="1"/>
  <c r="AD7" i="23" s="1"/>
  <c r="AE7" i="23" s="1"/>
  <c r="AF7" i="23" s="1"/>
  <c r="B7" i="22"/>
  <c r="C7" i="22" s="1"/>
  <c r="D7" i="22" s="1"/>
  <c r="E7" i="22" s="1"/>
  <c r="F7" i="22" s="1"/>
  <c r="G7" i="22" s="1"/>
  <c r="H7" i="22" s="1"/>
  <c r="I7" i="22" s="1"/>
  <c r="J7" i="22" s="1"/>
  <c r="K7" i="22" s="1"/>
  <c r="L7" i="22" s="1"/>
  <c r="M7" i="22" s="1"/>
  <c r="N7" i="22" s="1"/>
  <c r="O7" i="22" s="1"/>
  <c r="P7" i="22" s="1"/>
  <c r="Q7" i="22" s="1"/>
  <c r="R7" i="22" s="1"/>
  <c r="S7" i="22" s="1"/>
  <c r="T7" i="22" s="1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B3" i="23"/>
  <c r="C3" i="23" s="1"/>
  <c r="D3" i="23" s="1"/>
  <c r="E3" i="23" s="1"/>
  <c r="F3" i="23" s="1"/>
  <c r="G3" i="23" s="1"/>
  <c r="H3" i="23" s="1"/>
  <c r="I3" i="23" s="1"/>
  <c r="J3" i="23" s="1"/>
  <c r="K3" i="23" s="1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B6" i="27"/>
  <c r="C6" i="27" s="1"/>
  <c r="D6" i="27" s="1"/>
  <c r="E6" i="27" s="1"/>
  <c r="F6" i="27" s="1"/>
  <c r="G6" i="27" s="1"/>
  <c r="H6" i="27" s="1"/>
  <c r="I6" i="27" s="1"/>
  <c r="J6" i="27" s="1"/>
  <c r="K6" i="27" s="1"/>
  <c r="L6" i="27" s="1"/>
  <c r="M6" i="27" s="1"/>
  <c r="N6" i="27" s="1"/>
  <c r="O6" i="27" s="1"/>
  <c r="P6" i="27" s="1"/>
  <c r="Q6" i="27" s="1"/>
  <c r="R6" i="27" s="1"/>
  <c r="S6" i="27" s="1"/>
  <c r="T6" i="27" s="1"/>
  <c r="U6" i="27" s="1"/>
  <c r="V6" i="27" s="1"/>
  <c r="W6" i="27" s="1"/>
  <c r="X6" i="27" s="1"/>
  <c r="Y6" i="27" s="1"/>
  <c r="Z6" i="27" s="1"/>
  <c r="AA6" i="27" s="1"/>
  <c r="AB6" i="27" s="1"/>
  <c r="AC6" i="27" s="1"/>
  <c r="AD6" i="27" s="1"/>
  <c r="AE6" i="27" s="1"/>
  <c r="AF6" i="27" s="1"/>
  <c r="B4" i="27"/>
  <c r="C4" i="27" s="1"/>
  <c r="D4" i="27" s="1"/>
  <c r="E4" i="27" s="1"/>
  <c r="F4" i="27" s="1"/>
  <c r="G4" i="27" s="1"/>
  <c r="H4" i="27" s="1"/>
  <c r="I4" i="27" s="1"/>
  <c r="J4" i="27" s="1"/>
  <c r="K4" i="27" s="1"/>
  <c r="L4" i="27" s="1"/>
  <c r="M4" i="27" s="1"/>
  <c r="N4" i="27" s="1"/>
  <c r="O4" i="27" s="1"/>
  <c r="P4" i="27" s="1"/>
  <c r="Q4" i="27" s="1"/>
  <c r="R4" i="27" s="1"/>
  <c r="S4" i="27" s="1"/>
  <c r="T4" i="27" s="1"/>
  <c r="U4" i="27" s="1"/>
  <c r="V4" i="27" s="1"/>
  <c r="W4" i="27" s="1"/>
  <c r="X4" i="27" s="1"/>
  <c r="Y4" i="27" s="1"/>
  <c r="Z4" i="27" s="1"/>
  <c r="AA4" i="27" s="1"/>
  <c r="AB4" i="27" s="1"/>
  <c r="AC4" i="27" s="1"/>
  <c r="AD4" i="27" s="1"/>
  <c r="AE4" i="27" s="1"/>
  <c r="AF4" i="27" s="1"/>
  <c r="B2" i="22"/>
  <c r="C2" i="22" s="1"/>
  <c r="D2" i="22" s="1"/>
  <c r="E2" i="22" s="1"/>
  <c r="F2" i="22" s="1"/>
  <c r="G2" i="22" s="1"/>
  <c r="H2" i="22" s="1"/>
  <c r="I2" i="22" s="1"/>
  <c r="J2" i="22" s="1"/>
  <c r="K2" i="22" s="1"/>
  <c r="L2" i="22" s="1"/>
  <c r="M2" i="22" s="1"/>
  <c r="N2" i="22" s="1"/>
  <c r="O2" i="22" s="1"/>
  <c r="P2" i="22" s="1"/>
  <c r="Q2" i="22" s="1"/>
  <c r="R2" i="22" s="1"/>
  <c r="S2" i="22" s="1"/>
  <c r="T2" i="22" s="1"/>
  <c r="U2" i="22" s="1"/>
  <c r="V2" i="22" s="1"/>
  <c r="W2" i="22" s="1"/>
  <c r="X2" i="22" s="1"/>
  <c r="Y2" i="22" s="1"/>
  <c r="Z2" i="22" s="1"/>
  <c r="AA2" i="22" s="1"/>
  <c r="AB2" i="22" s="1"/>
  <c r="AC2" i="22" s="1"/>
  <c r="AD2" i="22" s="1"/>
  <c r="AE2" i="22" s="1"/>
  <c r="AF2" i="22" s="1"/>
  <c r="B7" i="28"/>
  <c r="C7" i="28" s="1"/>
  <c r="D7" i="28" s="1"/>
  <c r="E7" i="28" s="1"/>
  <c r="F7" i="28" s="1"/>
  <c r="G7" i="28" s="1"/>
  <c r="H7" i="28" s="1"/>
  <c r="I7" i="28" s="1"/>
  <c r="J7" i="28" s="1"/>
  <c r="K7" i="28" s="1"/>
  <c r="L7" i="28" s="1"/>
  <c r="M7" i="28" s="1"/>
  <c r="N7" i="28" s="1"/>
  <c r="O7" i="28" s="1"/>
  <c r="P7" i="28" s="1"/>
  <c r="Q7" i="28" s="1"/>
  <c r="R7" i="28" s="1"/>
  <c r="S7" i="28" s="1"/>
  <c r="T7" i="28" s="1"/>
  <c r="U7" i="28" s="1"/>
  <c r="V7" i="28" s="1"/>
  <c r="W7" i="28" s="1"/>
  <c r="X7" i="28" s="1"/>
  <c r="Y7" i="28" s="1"/>
  <c r="Z7" i="28" s="1"/>
  <c r="AA7" i="28" s="1"/>
  <c r="AB7" i="28" s="1"/>
  <c r="AC7" i="28" s="1"/>
  <c r="AD7" i="28" s="1"/>
  <c r="AE7" i="28" s="1"/>
  <c r="AF7" i="28" s="1"/>
  <c r="B5" i="23"/>
  <c r="C5" i="23" s="1"/>
  <c r="D5" i="23" s="1"/>
  <c r="E5" i="23" s="1"/>
  <c r="F5" i="23" s="1"/>
  <c r="G5" i="23" s="1"/>
  <c r="H5" i="23" s="1"/>
  <c r="I5" i="23" s="1"/>
  <c r="J5" i="23" s="1"/>
  <c r="K5" i="23" s="1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B2" i="23"/>
  <c r="C2" i="23" s="1"/>
  <c r="D2" i="23" s="1"/>
  <c r="E2" i="23" s="1"/>
  <c r="F2" i="23" s="1"/>
  <c r="G2" i="23" s="1"/>
  <c r="H2" i="23" s="1"/>
  <c r="I2" i="23" s="1"/>
  <c r="J2" i="23" s="1"/>
  <c r="K2" i="23" s="1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B4" i="22"/>
  <c r="C4" i="22" s="1"/>
  <c r="D4" i="22" s="1"/>
  <c r="E4" i="22" s="1"/>
  <c r="F4" i="22" s="1"/>
  <c r="G4" i="22" s="1"/>
  <c r="H4" i="22" s="1"/>
  <c r="I4" i="22" s="1"/>
  <c r="J4" i="22" s="1"/>
  <c r="K4" i="22" s="1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B2" i="28"/>
  <c r="C2" i="28" s="1"/>
  <c r="D2" i="28" s="1"/>
  <c r="E2" i="28" s="1"/>
  <c r="F2" i="28" s="1"/>
  <c r="G2" i="28" s="1"/>
  <c r="H2" i="28" s="1"/>
  <c r="I2" i="28" s="1"/>
  <c r="J2" i="28" s="1"/>
  <c r="K2" i="28" s="1"/>
  <c r="L2" i="28" s="1"/>
  <c r="M2" i="28" s="1"/>
  <c r="N2" i="28" s="1"/>
  <c r="O2" i="28" s="1"/>
  <c r="P2" i="28" s="1"/>
  <c r="Q2" i="28" s="1"/>
  <c r="R2" i="28" s="1"/>
  <c r="S2" i="28" s="1"/>
  <c r="T2" i="28" s="1"/>
  <c r="U2" i="28" s="1"/>
  <c r="V2" i="28" s="1"/>
  <c r="W2" i="28" s="1"/>
  <c r="X2" i="28" s="1"/>
  <c r="Y2" i="28" s="1"/>
  <c r="Z2" i="28" s="1"/>
  <c r="AA2" i="28" s="1"/>
  <c r="AB2" i="28" s="1"/>
  <c r="AC2" i="28" s="1"/>
  <c r="AD2" i="28" s="1"/>
  <c r="AE2" i="28" s="1"/>
  <c r="AF2" i="28" s="1"/>
  <c r="B6" i="23"/>
  <c r="C6" i="23" s="1"/>
  <c r="D6" i="23" s="1"/>
  <c r="E6" i="23" s="1"/>
  <c r="F6" i="23" s="1"/>
  <c r="G6" i="23" s="1"/>
  <c r="H6" i="23" s="1"/>
  <c r="I6" i="23" s="1"/>
  <c r="J6" i="23" s="1"/>
  <c r="K6" i="23" s="1"/>
  <c r="L6" i="23" s="1"/>
  <c r="M6" i="23" s="1"/>
  <c r="N6" i="23" s="1"/>
  <c r="O6" i="23" s="1"/>
  <c r="P6" i="23" s="1"/>
  <c r="Q6" i="23" s="1"/>
  <c r="R6" i="23" s="1"/>
  <c r="S6" i="23" s="1"/>
  <c r="T6" i="23" s="1"/>
  <c r="U6" i="23" s="1"/>
  <c r="V6" i="23" s="1"/>
  <c r="W6" i="23" s="1"/>
  <c r="X6" i="23" s="1"/>
  <c r="Y6" i="23" s="1"/>
  <c r="Z6" i="23" s="1"/>
  <c r="AA6" i="23" s="1"/>
  <c r="AB6" i="23" s="1"/>
  <c r="AC6" i="23" s="1"/>
  <c r="AD6" i="23" s="1"/>
  <c r="AE6" i="23" s="1"/>
  <c r="AF6" i="23" s="1"/>
  <c r="B5" i="27"/>
  <c r="C5" i="27" s="1"/>
  <c r="D5" i="27" s="1"/>
  <c r="E5" i="27" s="1"/>
  <c r="F5" i="27" s="1"/>
  <c r="G5" i="27" s="1"/>
  <c r="H5" i="27" s="1"/>
  <c r="I5" i="27" s="1"/>
  <c r="J5" i="27" s="1"/>
  <c r="K5" i="27" s="1"/>
  <c r="L5" i="27" s="1"/>
  <c r="M5" i="27" s="1"/>
  <c r="N5" i="27" s="1"/>
  <c r="O5" i="27" s="1"/>
  <c r="P5" i="27" s="1"/>
  <c r="Q5" i="27" s="1"/>
  <c r="R5" i="27" s="1"/>
  <c r="S5" i="27" s="1"/>
  <c r="T5" i="27" s="1"/>
  <c r="U5" i="27" s="1"/>
  <c r="V5" i="27" s="1"/>
  <c r="W5" i="27" s="1"/>
  <c r="X5" i="27" s="1"/>
  <c r="Y5" i="27" s="1"/>
  <c r="Z5" i="27" s="1"/>
  <c r="AA5" i="27" s="1"/>
  <c r="AB5" i="27" s="1"/>
  <c r="AC5" i="27" s="1"/>
  <c r="AD5" i="27" s="1"/>
  <c r="AE5" i="27" s="1"/>
  <c r="AF5" i="27" s="1"/>
  <c r="B8" i="27"/>
  <c r="C8" i="27" s="1"/>
  <c r="D8" i="27" s="1"/>
  <c r="E8" i="27" s="1"/>
  <c r="F8" i="27" s="1"/>
  <c r="G8" i="27" s="1"/>
  <c r="H8" i="27" s="1"/>
  <c r="I8" i="27" s="1"/>
  <c r="J8" i="27" s="1"/>
  <c r="K8" i="27" s="1"/>
  <c r="L8" i="27" s="1"/>
  <c r="M8" i="27" s="1"/>
  <c r="N8" i="27" s="1"/>
  <c r="O8" i="27" s="1"/>
  <c r="P8" i="27" s="1"/>
  <c r="Q8" i="27" s="1"/>
  <c r="R8" i="27" s="1"/>
  <c r="S8" i="27" s="1"/>
  <c r="T8" i="27" s="1"/>
  <c r="U8" i="27" s="1"/>
  <c r="V8" i="27" s="1"/>
  <c r="W8" i="27" s="1"/>
  <c r="X8" i="27" s="1"/>
  <c r="Y8" i="27" s="1"/>
  <c r="Z8" i="27" s="1"/>
  <c r="AA8" i="27" s="1"/>
  <c r="AB8" i="27" s="1"/>
  <c r="AC8" i="27" s="1"/>
  <c r="AD8" i="27" s="1"/>
  <c r="AE8" i="27" s="1"/>
  <c r="AF8" i="27" s="1"/>
  <c r="B8" i="23"/>
  <c r="C8" i="23" s="1"/>
  <c r="D8" i="23" s="1"/>
  <c r="E8" i="23" s="1"/>
  <c r="F8" i="23" s="1"/>
  <c r="G8" i="23" s="1"/>
  <c r="H8" i="23" s="1"/>
  <c r="I8" i="23" s="1"/>
  <c r="J8" i="23" s="1"/>
  <c r="K8" i="23" s="1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B5" i="28"/>
  <c r="B4" i="28"/>
  <c r="C4" i="28" s="1"/>
  <c r="D4" i="28" s="1"/>
  <c r="E4" i="28" s="1"/>
  <c r="F4" i="28" s="1"/>
  <c r="G4" i="28" s="1"/>
  <c r="H4" i="28" s="1"/>
  <c r="I4" i="28" s="1"/>
  <c r="J4" i="28" s="1"/>
  <c r="K4" i="28" s="1"/>
  <c r="L4" i="28" s="1"/>
  <c r="M4" i="28" s="1"/>
  <c r="N4" i="28" s="1"/>
  <c r="O4" i="28" s="1"/>
  <c r="P4" i="28" s="1"/>
  <c r="Q4" i="28" s="1"/>
  <c r="R4" i="28" s="1"/>
  <c r="S4" i="28" s="1"/>
  <c r="T4" i="28" s="1"/>
  <c r="U4" i="28" s="1"/>
  <c r="V4" i="28" s="1"/>
  <c r="W4" i="28" s="1"/>
  <c r="X4" i="28" s="1"/>
  <c r="Y4" i="28" s="1"/>
  <c r="Z4" i="28" s="1"/>
  <c r="AA4" i="28" s="1"/>
  <c r="AB4" i="28" s="1"/>
  <c r="AC4" i="28" s="1"/>
  <c r="AD4" i="28" s="1"/>
  <c r="AE4" i="28" s="1"/>
  <c r="AF4" i="28" s="1"/>
  <c r="B7" i="27"/>
  <c r="C7" i="27" s="1"/>
  <c r="D7" i="27" s="1"/>
  <c r="E7" i="27" s="1"/>
  <c r="F7" i="27" s="1"/>
  <c r="G7" i="27" s="1"/>
  <c r="H7" i="27" s="1"/>
  <c r="I7" i="27" s="1"/>
  <c r="J7" i="27" s="1"/>
  <c r="K7" i="27" s="1"/>
  <c r="L7" i="27" s="1"/>
  <c r="M7" i="27" s="1"/>
  <c r="N7" i="27" s="1"/>
  <c r="O7" i="27" s="1"/>
  <c r="P7" i="27" s="1"/>
  <c r="Q7" i="27" s="1"/>
  <c r="R7" i="27" s="1"/>
  <c r="S7" i="27" s="1"/>
  <c r="T7" i="27" s="1"/>
  <c r="U7" i="27" s="1"/>
  <c r="V7" i="27" s="1"/>
  <c r="W7" i="27" s="1"/>
  <c r="X7" i="27" s="1"/>
  <c r="Y7" i="27" s="1"/>
  <c r="Z7" i="27" s="1"/>
  <c r="AA7" i="27" s="1"/>
  <c r="AB7" i="27" s="1"/>
  <c r="AC7" i="27" s="1"/>
  <c r="AD7" i="27" s="1"/>
  <c r="AE7" i="27" s="1"/>
  <c r="AF7" i="27" s="1"/>
  <c r="B8" i="22" l="1"/>
  <c r="C8" i="22" s="1"/>
  <c r="D8" i="22" s="1"/>
  <c r="E8" i="22" s="1"/>
  <c r="F8" i="22" s="1"/>
  <c r="G8" i="22" s="1"/>
  <c r="H8" i="22" s="1"/>
  <c r="I8" i="22" s="1"/>
  <c r="J8" i="22" s="1"/>
  <c r="K8" i="22" s="1"/>
  <c r="L8" i="22" s="1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C5" i="22"/>
  <c r="D5" i="22" s="1"/>
  <c r="E5" i="22" s="1"/>
  <c r="F5" i="22" s="1"/>
  <c r="G5" i="22" s="1"/>
  <c r="H5" i="22" s="1"/>
  <c r="I5" i="22" s="1"/>
  <c r="J5" i="22" s="1"/>
  <c r="K5" i="22" s="1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B6" i="22"/>
  <c r="C6" i="22" s="1"/>
  <c r="D6" i="22" s="1"/>
  <c r="E6" i="22" s="1"/>
  <c r="F6" i="22" s="1"/>
  <c r="G6" i="22" s="1"/>
  <c r="H6" i="22" s="1"/>
  <c r="I6" i="22" s="1"/>
  <c r="J6" i="22" s="1"/>
  <c r="K6" i="22" s="1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C5" i="28"/>
  <c r="D5" i="28" s="1"/>
  <c r="E5" i="28" s="1"/>
  <c r="F5" i="28" s="1"/>
  <c r="G5" i="28" s="1"/>
  <c r="H5" i="28" s="1"/>
  <c r="I5" i="28" s="1"/>
  <c r="J5" i="28" s="1"/>
  <c r="K5" i="28" s="1"/>
  <c r="L5" i="28" s="1"/>
  <c r="M5" i="28" s="1"/>
  <c r="N5" i="28" s="1"/>
  <c r="O5" i="28" s="1"/>
  <c r="P5" i="28" s="1"/>
  <c r="Q5" i="28" s="1"/>
  <c r="R5" i="28" s="1"/>
  <c r="S5" i="28" s="1"/>
  <c r="T5" i="28" s="1"/>
  <c r="U5" i="28" s="1"/>
  <c r="V5" i="28" s="1"/>
  <c r="W5" i="28" s="1"/>
  <c r="X5" i="28" s="1"/>
  <c r="Y5" i="28" s="1"/>
  <c r="Z5" i="28" s="1"/>
  <c r="AA5" i="28" s="1"/>
  <c r="AB5" i="28" s="1"/>
  <c r="AC5" i="28" s="1"/>
  <c r="AD5" i="28" s="1"/>
  <c r="AE5" i="28" s="1"/>
  <c r="AF5" i="28" s="1"/>
  <c r="B8" i="28"/>
  <c r="C8" i="28" s="1"/>
  <c r="D8" i="28" s="1"/>
  <c r="E8" i="28" s="1"/>
  <c r="F8" i="28" s="1"/>
  <c r="G8" i="28" s="1"/>
  <c r="H8" i="28" s="1"/>
  <c r="I8" i="28" s="1"/>
  <c r="J8" i="28" s="1"/>
  <c r="K8" i="28" s="1"/>
  <c r="L8" i="28" s="1"/>
  <c r="M8" i="28" s="1"/>
  <c r="N8" i="28" s="1"/>
  <c r="O8" i="28" s="1"/>
  <c r="P8" i="28" s="1"/>
  <c r="Q8" i="28" s="1"/>
  <c r="R8" i="28" s="1"/>
  <c r="S8" i="28" s="1"/>
  <c r="T8" i="28" s="1"/>
  <c r="U8" i="28" s="1"/>
  <c r="V8" i="28" s="1"/>
  <c r="W8" i="28" s="1"/>
  <c r="X8" i="28" s="1"/>
  <c r="Y8" i="28" s="1"/>
  <c r="Z8" i="28" s="1"/>
  <c r="AA8" i="28" s="1"/>
  <c r="AB8" i="28" s="1"/>
  <c r="AC8" i="28" s="1"/>
  <c r="AD8" i="28" s="1"/>
  <c r="AE8" i="28" s="1"/>
  <c r="AF8" i="28" s="1"/>
  <c r="B6" i="28"/>
  <c r="C6" i="28" s="1"/>
  <c r="D6" i="28" s="1"/>
  <c r="E6" i="28" s="1"/>
  <c r="F6" i="28" s="1"/>
  <c r="G6" i="28" s="1"/>
  <c r="H6" i="28" s="1"/>
  <c r="I6" i="28" s="1"/>
  <c r="J6" i="28" s="1"/>
  <c r="K6" i="28" s="1"/>
  <c r="L6" i="28" s="1"/>
  <c r="M6" i="28" s="1"/>
  <c r="N6" i="28" s="1"/>
  <c r="O6" i="28" s="1"/>
  <c r="P6" i="28" s="1"/>
  <c r="Q6" i="28" s="1"/>
  <c r="R6" i="28" s="1"/>
  <c r="S6" i="28" s="1"/>
  <c r="T6" i="28" s="1"/>
  <c r="U6" i="28" s="1"/>
  <c r="V6" i="28" s="1"/>
  <c r="W6" i="28" s="1"/>
  <c r="X6" i="28" s="1"/>
  <c r="Y6" i="28" s="1"/>
  <c r="Z6" i="28" s="1"/>
  <c r="AA6" i="28" s="1"/>
  <c r="AB6" i="28" s="1"/>
  <c r="AC6" i="28" s="1"/>
  <c r="AD6" i="28" s="1"/>
  <c r="AE6" i="28" s="1"/>
  <c r="AF6" i="28" s="1"/>
  <c r="B3" i="28"/>
  <c r="C3" i="28" s="1"/>
  <c r="D3" i="28" s="1"/>
  <c r="E3" i="28" s="1"/>
  <c r="F3" i="28" s="1"/>
  <c r="G3" i="28" s="1"/>
  <c r="H3" i="28" s="1"/>
  <c r="I3" i="28" s="1"/>
  <c r="J3" i="28" s="1"/>
  <c r="K3" i="28" s="1"/>
  <c r="L3" i="28" s="1"/>
  <c r="M3" i="28" s="1"/>
  <c r="N3" i="28" s="1"/>
  <c r="O3" i="28" s="1"/>
  <c r="P3" i="28" s="1"/>
  <c r="Q3" i="28" s="1"/>
  <c r="R3" i="28" s="1"/>
  <c r="S3" i="28" s="1"/>
  <c r="T3" i="28" s="1"/>
  <c r="U3" i="28" s="1"/>
  <c r="V3" i="28" s="1"/>
  <c r="W3" i="28" s="1"/>
  <c r="X3" i="28" s="1"/>
  <c r="Y3" i="28" s="1"/>
  <c r="Z3" i="28" s="1"/>
  <c r="AA3" i="28" s="1"/>
  <c r="AB3" i="28" s="1"/>
  <c r="AC3" i="28" s="1"/>
  <c r="AD3" i="28" s="1"/>
  <c r="AE3" i="28" s="1"/>
  <c r="AF3" i="28" s="1"/>
</calcChain>
</file>

<file path=xl/sharedStrings.xml><?xml version="1.0" encoding="utf-8"?>
<sst xmlns="http://schemas.openxmlformats.org/spreadsheetml/2006/main" count="433" uniqueCount="71">
  <si>
    <t>BNVFE BAU New Veh Fuel Economy</t>
    <phoneticPr fontId="1" type="noConversion"/>
  </si>
  <si>
    <t>Sources:</t>
    <phoneticPr fontId="1" type="noConversion"/>
  </si>
  <si>
    <t>Korea SYFAFE, US BNVFE</t>
    <phoneticPr fontId="1" type="noConversion"/>
  </si>
  <si>
    <t>Notes</t>
    <phoneticPr fontId="1" type="noConversion"/>
  </si>
  <si>
    <t>Since there are few fuel economy forecast data in Korea, CAGR was extracted and used from US data when estimating fuel economy.</t>
    <phoneticPr fontId="1" type="noConversion"/>
  </si>
  <si>
    <t>We used cell colors to identify different methods</t>
    <phoneticPr fontId="1" type="noConversion"/>
  </si>
  <si>
    <t>We applied the US data as is due to the limited number of data in South Korea</t>
    <phoneticPr fontId="1" type="noConversion"/>
  </si>
  <si>
    <t>We applied the ratio of fuel shares in the US data to the KR data</t>
    <phoneticPr fontId="1" type="noConversion"/>
  </si>
  <si>
    <t>Fuel Economy (passenger*miles/BTU)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</si>
  <si>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</si>
  <si>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</si>
  <si>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</si>
  <si>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</si>
  <si>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</si>
  <si>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</si>
  <si>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</si>
  <si>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</si>
  <si>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</si>
  <si>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</si>
  <si>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</si>
  <si>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</si>
  <si>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</si>
  <si>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Fuel Economy (thing*miles/BTU)</t>
  </si>
  <si>
    <t>passenger</t>
    <phoneticPr fontId="1" type="noConversion"/>
  </si>
  <si>
    <t>freight</t>
    <phoneticPr fontId="1" type="noConversion"/>
  </si>
  <si>
    <t>US LDVs</t>
    <phoneticPr fontId="1" type="noConversion"/>
  </si>
  <si>
    <t>diesel vehicle</t>
    <phoneticPr fontId="1" type="noConversion"/>
  </si>
  <si>
    <t>plugin hybrid vehicle</t>
    <phoneticPr fontId="1" type="noConversion"/>
  </si>
  <si>
    <t>hydrogen vehicle</t>
    <phoneticPr fontId="1" type="noConversion"/>
  </si>
  <si>
    <t>psgr</t>
    <phoneticPr fontId="1" type="noConversion"/>
  </si>
  <si>
    <t>frgt</t>
    <phoneticPr fontId="1" type="noConversion"/>
  </si>
  <si>
    <t>psgr - x/disel vehicle</t>
    <phoneticPr fontId="1" type="noConversion"/>
  </si>
  <si>
    <t>frgt - x/disel vehicle</t>
    <phoneticPr fontId="1" type="noConversion"/>
  </si>
  <si>
    <t>US HDVs</t>
    <phoneticPr fontId="1" type="noConversion"/>
  </si>
  <si>
    <t>battery electric vehicle</t>
    <phoneticPr fontId="1" type="noConversion"/>
  </si>
  <si>
    <t>US aircrat</t>
    <phoneticPr fontId="1" type="noConversion"/>
  </si>
  <si>
    <t>x/disel vehicle</t>
    <phoneticPr fontId="1" type="noConversion"/>
  </si>
  <si>
    <t>US rail</t>
    <phoneticPr fontId="1" type="noConversion"/>
  </si>
  <si>
    <t>US ships</t>
    <phoneticPr fontId="1" type="noConversion"/>
  </si>
  <si>
    <t>2020-2050 CAGR</t>
    <phoneticPr fontId="1" type="noConversion"/>
  </si>
  <si>
    <t>Source</t>
    <phoneticPr fontId="1" type="noConversion"/>
  </si>
  <si>
    <t>US-LDVs-psgr</t>
    <phoneticPr fontId="1" type="noConversion"/>
  </si>
  <si>
    <t>US-LDVs-frgt</t>
    <phoneticPr fontId="1" type="noConversion"/>
  </si>
  <si>
    <t>US-HDVs-psgr</t>
    <phoneticPr fontId="1" type="noConversion"/>
  </si>
  <si>
    <t>2020년 실도로 연비 13.5km/kg, 2030년까지 15km/kg, 해당 비율을 2050까지 적용</t>
    <phoneticPr fontId="1" type="noConversion"/>
  </si>
  <si>
    <t>https://www.cheric.org/PDF/PIC/PC24/PC24-4-0022.pdf</t>
    <phoneticPr fontId="1" type="noConversion"/>
  </si>
  <si>
    <t>US-HDVs-frgt</t>
    <phoneticPr fontId="1" type="noConversion"/>
  </si>
  <si>
    <t>US-aircraft-psgr</t>
    <phoneticPr fontId="1" type="noConversion"/>
  </si>
  <si>
    <t>US-aircraft-frgt</t>
    <phoneticPr fontId="1" type="noConversion"/>
  </si>
  <si>
    <t>US-rail-psgr</t>
  </si>
  <si>
    <t>US-rail-frgt</t>
    <phoneticPr fontId="1" type="noConversion"/>
  </si>
  <si>
    <t>US-ships-psgr</t>
    <phoneticPr fontId="1" type="noConversion"/>
  </si>
  <si>
    <t>US-ships-frgt</t>
    <phoneticPr fontId="1" type="noConversion"/>
  </si>
  <si>
    <t>US-motorbikes-psgr</t>
    <phoneticPr fontId="1" type="noConversion"/>
  </si>
  <si>
    <t>US-motorbikes-frgt</t>
    <phoneticPr fontId="1" type="noConversion"/>
  </si>
  <si>
    <t>https://theicct.org/sites/default/files/publications/S.Korea%20FE%20GHG%20Policy%20Update_vFinal.pdf</t>
  </si>
  <si>
    <t>passenger vehicles fuel economy</t>
  </si>
  <si>
    <t>Conversion factor</t>
  </si>
  <si>
    <t>btus per liter gasoline</t>
  </si>
  <si>
    <t>km per mile</t>
  </si>
  <si>
    <t>AVLO-psgr-ldvs</t>
  </si>
  <si>
    <t>passenger vehicles</t>
  </si>
  <si>
    <t>km/L</t>
  </si>
  <si>
    <t>light trucks</t>
  </si>
  <si>
    <t>Convert</t>
  </si>
  <si>
    <t>miles/L</t>
  </si>
  <si>
    <t>miles/btu</t>
  </si>
  <si>
    <t>thing*miles/btu</t>
  </si>
  <si>
    <t>average</t>
  </si>
  <si>
    <t>US Fuel economy</t>
  </si>
  <si>
    <t>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</si>
</sst>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(* #,##0.00_);_(* \(#,##0.00\);_(* &quot;-&quot;??_);_(@_)"/>
    <numFmt numFmtId="177" formatCode="_(* #,##0_);_(* \(#,##0\);_(* &quot;-&quot;??_);_(@_)"/>
  </numFmts>
  <fonts count="1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i/>
      <sz val="11"/>
      <color theme="1"/>
      <name val="맑은 고딕"/>
      <family val="2"/>
      <scheme val="minor"/>
    </font>
    <font>
      <b/>
      <i/>
      <sz val="11"/>
      <color theme="1"/>
      <name val="맑은 고딕"/>
      <family val="2"/>
      <scheme val="minor"/>
    </font>
    <font>
      <sz val="11"/>
      <color rgb="FFFF00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  <xf numFmtId="176" fontId="6" fillId="0" borderId="0" applyFont="0" applyFill="0" applyBorder="0" applyAlignment="0" applyProtection="0"/>
  </cellStyleXfs>
  <cellXfs count="3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3" borderId="0" xfId="0" applyFill="1">
      <alignment vertical="center"/>
    </xf>
    <xf numFmtId="0" fontId="2" fillId="0" borderId="0" xfId="0" applyFont="1" applyAlignment="1"/>
    <xf numFmtId="11" fontId="0" fillId="0" borderId="0" xfId="0" applyNumberFormat="1" applyAlignment="1"/>
    <xf numFmtId="0" fontId="0" fillId="4" borderId="0" xfId="0" applyFill="1" applyAlignment="1"/>
    <xf numFmtId="11" fontId="0" fillId="4" borderId="0" xfId="0" applyNumberFormat="1" applyFill="1" applyAlignment="1"/>
    <xf numFmtId="0" fontId="0" fillId="0" borderId="1" xfId="0" applyBorder="1">
      <alignment vertical="center"/>
    </xf>
    <xf numFmtId="0" fontId="0" fillId="0" borderId="1" xfId="0" applyBorder="1" applyAlignment="1"/>
    <xf numFmtId="0" fontId="0" fillId="0" borderId="2" xfId="0" applyBorder="1">
      <alignment vertical="center"/>
    </xf>
    <xf numFmtId="0" fontId="0" fillId="0" borderId="2" xfId="0" applyBorder="1" applyAlignment="1"/>
    <xf numFmtId="11" fontId="0" fillId="3" borderId="0" xfId="0" applyNumberFormat="1" applyFill="1">
      <alignment vertical="center"/>
    </xf>
    <xf numFmtId="11" fontId="0" fillId="0" borderId="0" xfId="0" applyNumberFormat="1">
      <alignment vertical="center"/>
    </xf>
    <xf numFmtId="11" fontId="4" fillId="3" borderId="0" xfId="0" applyNumberFormat="1" applyFont="1" applyFill="1">
      <alignment vertical="center"/>
    </xf>
    <xf numFmtId="0" fontId="5" fillId="0" borderId="0" xfId="1">
      <alignment vertical="center"/>
    </xf>
    <xf numFmtId="0" fontId="0" fillId="5" borderId="0" xfId="0" applyFill="1">
      <alignment vertical="center"/>
    </xf>
    <xf numFmtId="11" fontId="0" fillId="5" borderId="0" xfId="0" applyNumberFormat="1" applyFill="1">
      <alignment vertical="center"/>
    </xf>
    <xf numFmtId="0" fontId="0" fillId="6" borderId="0" xfId="0" applyFill="1">
      <alignment vertical="center"/>
    </xf>
    <xf numFmtId="0" fontId="3" fillId="0" borderId="0" xfId="0" applyFont="1">
      <alignment vertical="center"/>
    </xf>
    <xf numFmtId="11" fontId="0" fillId="2" borderId="0" xfId="0" applyNumberFormat="1" applyFill="1">
      <alignment vertical="center"/>
    </xf>
    <xf numFmtId="0" fontId="2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/>
    </xf>
    <xf numFmtId="0" fontId="2" fillId="7" borderId="0" xfId="0" applyFont="1" applyFill="1">
      <alignment vertical="center"/>
    </xf>
    <xf numFmtId="0" fontId="0" fillId="7" borderId="0" xfId="0" applyFill="1">
      <alignment vertical="center"/>
    </xf>
    <xf numFmtId="177" fontId="7" fillId="0" borderId="0" xfId="2" applyNumberFormat="1" applyFont="1" applyAlignment="1">
      <alignment vertical="center"/>
    </xf>
    <xf numFmtId="0" fontId="8" fillId="0" borderId="0" xfId="0" applyFont="1">
      <alignment vertical="center"/>
    </xf>
    <xf numFmtId="0" fontId="0" fillId="8" borderId="0" xfId="0" applyFill="1">
      <alignment vertical="center"/>
    </xf>
    <xf numFmtId="176" fontId="0" fillId="0" borderId="0" xfId="2" applyFont="1" applyAlignment="1">
      <alignment vertical="center"/>
    </xf>
    <xf numFmtId="11" fontId="0" fillId="0" borderId="0" xfId="2" applyNumberFormat="1" applyFont="1" applyAlignment="1">
      <alignment vertical="center"/>
    </xf>
    <xf numFmtId="11" fontId="0" fillId="9" borderId="3" xfId="0" applyNumberFormat="1" applyFill="1" applyBorder="1">
      <alignment vertical="center"/>
    </xf>
    <xf numFmtId="0" fontId="0" fillId="10" borderId="0" xfId="0" applyFill="1">
      <alignment vertical="center"/>
    </xf>
    <xf numFmtId="11" fontId="9" fillId="0" borderId="0" xfId="0" applyNumberFormat="1" applyFont="1" applyAlignment="1"/>
  </cellXfs>
  <cellStyles count="3">
    <cellStyle name="쉼표" xfId="2" builtinId="3"/>
    <cellStyle name="표준" xfId="0" builtinId="0"/>
    <cellStyle name="하이퍼링크" xfId="1" builtinId="8"/>
  </cellStyles>
  <dxfs count="0"/>
  <tableStyles count="0" defaultTableStyle="TableStyleMedium2" defaultPivotStyle="PivotStyleLight16"/>
  <colors>
    <mruColors>
      <color rgb="FF1F49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cheric.org/PDF/PIC/PC24/PC24-4-0022.pdf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BDC44-2269-493E-A648-3F924433C76C}">
  <dimension ref="A1:B10"/>
  <sheetViews>
    <sheetView tabSelected="1" workbookViewId="0"/>
  </sheetViews>
  <sheetFormatPr defaultRowHeight="16.5"/>
  <sheetData>
    <row r="1" spans="1:2">
      <c r="A1" s="22" t="s">
        <v>0</v>
      </c>
    </row>
    <row r="3" spans="1:2">
      <c r="A3" s="20" t="s">
        <v>1</v>
      </c>
      <c r="B3" t="s">
        <v>2</v>
      </c>
    </row>
    <row r="5" spans="1:2">
      <c r="A5" s="20" t="s">
        <v>3</v>
      </c>
    </row>
    <row r="6" spans="1:2">
      <c r="A6" t="s">
        <v>4</v>
      </c>
    </row>
    <row r="8" spans="1:2">
      <c r="A8" t="s">
        <v>5</v>
      </c>
    </row>
    <row r="9" spans="1:2">
      <c r="A9" s="19" t="s">
        <v>6</v>
      </c>
    </row>
    <row r="10" spans="1:2">
      <c r="A10" s="4" t="s">
        <v>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94805-68D5-4764-BABD-F181D2DA9F20}">
  <sheetPr>
    <tabColor theme="4" tint="0.79998168889431442"/>
  </sheetPr>
  <dimension ref="A1:H8"/>
  <sheetViews>
    <sheetView workbookViewId="0"/>
  </sheetViews>
  <sheetFormatPr defaultRowHeight="16.5"/>
  <cols>
    <col min="1" max="1" width="19.75" bestFit="1" customWidth="1"/>
    <col min="2" max="2" width="21.5" bestFit="1" customWidth="1"/>
    <col min="3" max="3" width="18.25" bestFit="1" customWidth="1"/>
    <col min="4" max="4" width="15.5" bestFit="1" customWidth="1"/>
    <col min="5" max="5" width="13.25" bestFit="1" customWidth="1"/>
    <col min="6" max="6" width="20.5" bestFit="1" customWidth="1"/>
    <col min="7" max="7" width="11.5" bestFit="1" customWidth="1"/>
    <col min="8" max="8" width="16.75" bestFit="1" customWidth="1"/>
  </cols>
  <sheetData>
    <row r="1" spans="1:8" ht="16.5" customHeight="1">
      <c r="A1" s="2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spans="1:8">
      <c r="A2" s="1" t="s">
        <v>16</v>
      </c>
      <c r="B2" s="34">
        <v>3.4494855384074131E-4</v>
      </c>
      <c r="C2" s="34">
        <v>4.537587230344271E-4</v>
      </c>
      <c r="D2" s="34">
        <v>3.3955214948039873E-4</v>
      </c>
      <c r="E2" s="34">
        <v>3.8835543291031518E-4</v>
      </c>
      <c r="F2" s="34">
        <v>1.147549878921855E-4</v>
      </c>
      <c r="G2" s="34">
        <v>4.3237660652546884E-4</v>
      </c>
      <c r="H2" s="34">
        <v>1.9715881593092513E-4</v>
      </c>
    </row>
    <row r="3" spans="1:8">
      <c r="A3" s="1" t="s">
        <v>17</v>
      </c>
      <c r="B3" s="34">
        <v>4.3725550386066337E-4</v>
      </c>
      <c r="C3" s="34">
        <v>5.6725587224799282E-4</v>
      </c>
      <c r="D3" s="34">
        <v>4.3041504176466358E-4</v>
      </c>
      <c r="E3" s="34">
        <v>5.3012016240422985E-4</v>
      </c>
      <c r="F3" s="34">
        <v>1.454629958370202E-4</v>
      </c>
      <c r="G3" s="34">
        <v>5.4052551857085361E-4</v>
      </c>
      <c r="H3" s="34">
        <v>2.4647349003975621E-4</v>
      </c>
    </row>
    <row r="4" spans="1:8">
      <c r="A4" s="1" t="s">
        <v>18</v>
      </c>
      <c r="B4" s="34">
        <v>0</v>
      </c>
      <c r="C4" s="34">
        <v>0</v>
      </c>
      <c r="D4" s="34">
        <v>0</v>
      </c>
      <c r="E4" s="34">
        <v>6.3999198108760673E-3</v>
      </c>
      <c r="F4" s="34">
        <v>0</v>
      </c>
      <c r="G4" s="34">
        <v>0</v>
      </c>
      <c r="H4" s="34">
        <v>0</v>
      </c>
    </row>
    <row r="5" spans="1:8">
      <c r="A5" s="1" t="s">
        <v>19</v>
      </c>
      <c r="B5" s="34">
        <v>7.8030705230531052E-4</v>
      </c>
      <c r="C5" s="34">
        <v>0</v>
      </c>
      <c r="D5" s="34">
        <v>0</v>
      </c>
      <c r="E5" s="34">
        <v>5.5294125429859176E-3</v>
      </c>
      <c r="F5" s="34">
        <v>0</v>
      </c>
      <c r="G5" s="34">
        <v>0</v>
      </c>
      <c r="H5" s="34">
        <v>0</v>
      </c>
    </row>
    <row r="6" spans="1:8">
      <c r="A6" s="1" t="s">
        <v>20</v>
      </c>
      <c r="B6" s="34">
        <v>3.2293482418666772E-5</v>
      </c>
      <c r="C6" s="34">
        <v>0</v>
      </c>
      <c r="D6" s="34">
        <v>1.0049397002369564E-5</v>
      </c>
      <c r="E6" s="34">
        <v>1.0049397002369565E-5</v>
      </c>
      <c r="F6" s="34">
        <v>0</v>
      </c>
      <c r="G6" s="34">
        <v>0</v>
      </c>
      <c r="H6" s="34">
        <v>3.0148191007108693E-5</v>
      </c>
    </row>
    <row r="7" spans="1:8">
      <c r="A7" s="1" t="s">
        <v>21</v>
      </c>
      <c r="B7" s="34">
        <v>0</v>
      </c>
      <c r="C7" s="34">
        <v>0</v>
      </c>
      <c r="D7" s="34">
        <v>5.9831905534842047E-5</v>
      </c>
      <c r="E7" s="34">
        <v>0</v>
      </c>
      <c r="F7" s="34">
        <v>0</v>
      </c>
      <c r="G7" s="34">
        <v>0</v>
      </c>
      <c r="H7" s="34">
        <v>0</v>
      </c>
    </row>
    <row r="8" spans="1:8">
      <c r="A8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58DEC-73E8-46B0-9169-2591B82A049E}">
  <sheetPr>
    <tabColor theme="4" tint="0.79998168889431442"/>
  </sheetPr>
  <dimension ref="A1:J11"/>
  <sheetViews>
    <sheetView workbookViewId="0"/>
  </sheetViews>
  <sheetFormatPr defaultRowHeight="16.5"/>
  <cols>
    <col min="1" max="1" width="11.25" bestFit="1" customWidth="1"/>
    <col min="2" max="2" width="21.5" bestFit="1" customWidth="1"/>
    <col min="3" max="3" width="18.25" bestFit="1" customWidth="1"/>
    <col min="4" max="4" width="15.5" bestFit="1" customWidth="1"/>
    <col min="5" max="5" width="13.25" bestFit="1" customWidth="1"/>
    <col min="6" max="6" width="20.5" bestFit="1" customWidth="1"/>
    <col min="7" max="7" width="11.5" bestFit="1" customWidth="1"/>
    <col min="8" max="8" width="16.75" bestFit="1" customWidth="1"/>
  </cols>
  <sheetData>
    <row r="1" spans="1:10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/>
      <c r="J1" s="1"/>
    </row>
    <row r="2" spans="1:10">
      <c r="A2" s="1" t="s">
        <v>16</v>
      </c>
      <c r="B2" s="34">
        <v>7.2592367078105297E-5</v>
      </c>
      <c r="C2" s="34">
        <v>1.7537305636668391E-4</v>
      </c>
      <c r="D2" s="34">
        <v>6.4283975580087249E-5</v>
      </c>
      <c r="E2" s="34">
        <v>1.1078813107746625E-4</v>
      </c>
      <c r="F2" s="34">
        <v>0</v>
      </c>
      <c r="G2" s="34">
        <v>7.6997048982108972E-5</v>
      </c>
      <c r="H2" s="34">
        <v>0</v>
      </c>
      <c r="I2" s="1"/>
      <c r="J2" s="1"/>
    </row>
    <row r="3" spans="1:10">
      <c r="A3" s="1" t="s">
        <v>17</v>
      </c>
      <c r="B3" s="34">
        <v>5.8062169096135046E-3</v>
      </c>
      <c r="C3" s="34">
        <v>0</v>
      </c>
      <c r="D3" s="34">
        <v>5.1416797805848074E-3</v>
      </c>
      <c r="E3" s="34">
        <v>9.5424417025899051E-3</v>
      </c>
      <c r="F3" s="34">
        <v>0</v>
      </c>
      <c r="G3" s="34">
        <v>6.0736454453848921E-3</v>
      </c>
      <c r="H3" s="34">
        <v>0</v>
      </c>
      <c r="I3" s="1"/>
      <c r="J3" s="1"/>
    </row>
    <row r="4" spans="1:10">
      <c r="A4" s="1" t="s">
        <v>18</v>
      </c>
      <c r="B4" s="34">
        <v>0</v>
      </c>
      <c r="C4" s="34">
        <v>0</v>
      </c>
      <c r="D4" s="34">
        <v>0</v>
      </c>
      <c r="E4" s="34">
        <v>2.992789097910166E-2</v>
      </c>
      <c r="F4" s="34">
        <v>0</v>
      </c>
      <c r="G4" s="34">
        <v>0</v>
      </c>
      <c r="H4" s="34">
        <v>0</v>
      </c>
      <c r="I4" s="1"/>
      <c r="J4" s="1"/>
    </row>
    <row r="5" spans="1:10">
      <c r="A5" s="1" t="s">
        <v>19</v>
      </c>
      <c r="B5" s="34">
        <v>1.0021251453207708E-3</v>
      </c>
      <c r="C5" s="34">
        <v>0</v>
      </c>
      <c r="D5" s="34">
        <v>0</v>
      </c>
      <c r="E5" s="34">
        <v>1.6108650602655154E-2</v>
      </c>
      <c r="F5" s="34">
        <v>0</v>
      </c>
      <c r="G5" s="34">
        <v>0</v>
      </c>
      <c r="H5" s="34">
        <v>0</v>
      </c>
      <c r="I5" s="1"/>
      <c r="J5" s="1"/>
    </row>
    <row r="6" spans="1:10">
      <c r="A6" s="1" t="s">
        <v>20</v>
      </c>
      <c r="B6" s="34">
        <v>1.5467626362604087E-2</v>
      </c>
      <c r="C6" s="34">
        <v>4.813365E-3</v>
      </c>
      <c r="D6" s="34">
        <v>4.813365E-3</v>
      </c>
      <c r="E6" s="34">
        <v>4.813365E-3</v>
      </c>
      <c r="F6" s="34">
        <v>0</v>
      </c>
      <c r="G6" s="34">
        <v>0</v>
      </c>
      <c r="H6" s="34">
        <v>1.4440094999999998E-2</v>
      </c>
      <c r="I6" s="1"/>
      <c r="J6" s="1"/>
    </row>
    <row r="7" spans="1:10">
      <c r="A7" s="1" t="s">
        <v>21</v>
      </c>
      <c r="B7" s="34">
        <v>0</v>
      </c>
      <c r="C7" s="34">
        <v>0</v>
      </c>
      <c r="D7" s="34">
        <v>5.983190553484204E-5</v>
      </c>
      <c r="E7" s="34">
        <v>0</v>
      </c>
      <c r="F7" s="34">
        <v>0</v>
      </c>
      <c r="G7" s="34">
        <v>0</v>
      </c>
      <c r="H7" s="34">
        <v>0</v>
      </c>
      <c r="I7" s="1"/>
      <c r="J7" s="1"/>
    </row>
    <row r="8" spans="1:10">
      <c r="A8" s="1"/>
      <c r="B8" s="1"/>
      <c r="C8" s="1"/>
      <c r="D8" s="1"/>
      <c r="E8" s="1"/>
      <c r="F8" s="1"/>
      <c r="G8" s="1"/>
      <c r="H8" s="1"/>
      <c r="I8" s="1"/>
      <c r="J8" s="1"/>
    </row>
    <row r="9" spans="1:10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>
      <c r="A10" s="1"/>
      <c r="B10" s="1"/>
      <c r="C10" s="1"/>
      <c r="D10" s="1"/>
      <c r="E10" s="1"/>
      <c r="F10" s="1"/>
      <c r="G10" s="1"/>
      <c r="H10" s="1"/>
      <c r="I10" s="1"/>
      <c r="J10" s="1"/>
    </row>
    <row r="11" spans="1:10">
      <c r="A11" s="1"/>
      <c r="B11" s="1"/>
      <c r="C11" s="1"/>
      <c r="D11" s="1"/>
      <c r="E11" s="1"/>
      <c r="F11" s="1"/>
      <c r="G11" s="1"/>
      <c r="H11" s="1"/>
      <c r="I11" s="1"/>
      <c r="J11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41DF4-B6CA-4335-92CE-F6DD5C298F44}"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1.3016014821008825E-3</v>
      </c>
      <c r="C2">
        <v>1.2926576980307788E-3</v>
      </c>
      <c r="D2">
        <v>1.2869318658566659E-3</v>
      </c>
      <c r="E2">
        <v>1.2796983920849219E-3</v>
      </c>
      <c r="F2">
        <v>1.2723109001949813E-3</v>
      </c>
      <c r="G2">
        <v>1.2688722771223024E-3</v>
      </c>
      <c r="H2">
        <v>1.265614096179496E-3</v>
      </c>
      <c r="I2">
        <v>1.2602292006612041E-3</v>
      </c>
      <c r="J2">
        <v>1.2562225179555552E-3</v>
      </c>
      <c r="K2">
        <v>1.252664288663584E-3</v>
      </c>
      <c r="L2">
        <v>1.2501277882015535E-3</v>
      </c>
      <c r="M2">
        <v>1.2487082688849278E-3</v>
      </c>
      <c r="N2">
        <v>1.2467654435390108E-3</v>
      </c>
      <c r="O2">
        <v>1.2459379766549955E-3</v>
      </c>
      <c r="P2">
        <v>1.2454911060033728E-3</v>
      </c>
      <c r="Q2">
        <v>1.2451425075326549E-3</v>
      </c>
      <c r="R2">
        <v>1.2441678168462235E-3</v>
      </c>
      <c r="S2">
        <v>1.2437110831363233E-3</v>
      </c>
      <c r="T2">
        <v>1.2434472289246487E-3</v>
      </c>
      <c r="U2">
        <v>1.2431449346539255E-3</v>
      </c>
      <c r="V2">
        <v>1.242749474488683E-3</v>
      </c>
      <c r="W2">
        <v>1.2426414751633898E-3</v>
      </c>
      <c r="X2">
        <v>1.2425270452057901E-3</v>
      </c>
      <c r="Y2">
        <v>1.2423665768196443E-3</v>
      </c>
      <c r="Z2">
        <v>1.2423661582493899E-3</v>
      </c>
      <c r="AA2">
        <v>1.2424552878090294E-3</v>
      </c>
      <c r="AB2">
        <v>1.2425304264301077E-3</v>
      </c>
      <c r="AC2">
        <v>1.2424094170501326E-3</v>
      </c>
      <c r="AD2">
        <v>1.2423079259541866E-3</v>
      </c>
      <c r="AE2">
        <v>1.2421595174498235E-3</v>
      </c>
      <c r="AF2">
        <v>1.242184730573649E-3</v>
      </c>
    </row>
    <row r="3" spans="1:32">
      <c r="A3" s="1" t="s">
        <v>10</v>
      </c>
      <c r="B3">
        <v>3.8029529805498928E-4</v>
      </c>
      <c r="C3">
        <v>3.9476635103339935E-4</v>
      </c>
      <c r="D3">
        <v>4.0317709826518853E-4</v>
      </c>
      <c r="E3">
        <v>4.0861194678683542E-4</v>
      </c>
      <c r="F3">
        <v>4.1215478728194431E-4</v>
      </c>
      <c r="G3">
        <v>4.161380472574127E-4</v>
      </c>
      <c r="H3">
        <v>4.1864713672164384E-4</v>
      </c>
      <c r="I3">
        <v>4.1871977044755321E-4</v>
      </c>
      <c r="J3">
        <v>4.1845993448607482E-4</v>
      </c>
      <c r="K3">
        <v>4.1824574080425933E-4</v>
      </c>
      <c r="L3">
        <v>4.1892239620751885E-4</v>
      </c>
      <c r="M3">
        <v>4.1874050147763098E-4</v>
      </c>
      <c r="N3">
        <v>4.1850498686080801E-4</v>
      </c>
      <c r="O3">
        <v>4.1826480772119918E-4</v>
      </c>
      <c r="P3">
        <v>4.1829175912415644E-4</v>
      </c>
      <c r="Q3">
        <v>4.1761857347733379E-4</v>
      </c>
      <c r="R3">
        <v>4.1687945245925354E-4</v>
      </c>
      <c r="S3">
        <v>4.164113300533476E-4</v>
      </c>
      <c r="T3">
        <v>4.1613449901969674E-4</v>
      </c>
      <c r="U3">
        <v>4.1551323434343832E-4</v>
      </c>
      <c r="V3">
        <v>4.1503634236097445E-4</v>
      </c>
      <c r="W3">
        <v>4.1461933319641856E-4</v>
      </c>
      <c r="X3">
        <v>4.1413077690561246E-4</v>
      </c>
      <c r="Y3">
        <v>4.1366186353318095E-4</v>
      </c>
      <c r="Z3">
        <v>4.1331258589589651E-4</v>
      </c>
      <c r="AA3">
        <v>4.1306480490411649E-4</v>
      </c>
      <c r="AB3">
        <v>4.1264228513673742E-4</v>
      </c>
      <c r="AC3">
        <v>4.1222664654626295E-4</v>
      </c>
      <c r="AD3">
        <v>4.1170488758498282E-4</v>
      </c>
      <c r="AE3">
        <v>4.1134544874802168E-4</v>
      </c>
      <c r="AF3">
        <v>4.1101089728435994E-4</v>
      </c>
    </row>
    <row r="4" spans="1:32">
      <c r="A4" s="1" t="s">
        <v>11</v>
      </c>
      <c r="B4">
        <v>4.010435677007162E-4</v>
      </c>
      <c r="C4">
        <v>4.1543936179917892E-4</v>
      </c>
      <c r="D4">
        <v>4.232456921304615E-4</v>
      </c>
      <c r="E4">
        <v>4.284224989356039E-4</v>
      </c>
      <c r="F4">
        <v>4.3223887309206766E-4</v>
      </c>
      <c r="G4">
        <v>4.3661930301858122E-4</v>
      </c>
      <c r="H4">
        <v>4.4073837767711228E-4</v>
      </c>
      <c r="I4">
        <v>4.4130433819121803E-4</v>
      </c>
      <c r="J4">
        <v>4.4139330713525239E-4</v>
      </c>
      <c r="K4">
        <v>4.4143859386227608E-4</v>
      </c>
      <c r="L4">
        <v>4.4252278985937798E-4</v>
      </c>
      <c r="M4">
        <v>4.4258101673758966E-4</v>
      </c>
      <c r="N4">
        <v>4.4262644410952699E-4</v>
      </c>
      <c r="O4">
        <v>4.4263525674443374E-4</v>
      </c>
      <c r="P4">
        <v>4.428907913418545E-4</v>
      </c>
      <c r="Q4">
        <v>4.4235185104972023E-4</v>
      </c>
      <c r="R4">
        <v>4.4180682000362565E-4</v>
      </c>
      <c r="S4">
        <v>4.415169210975881E-4</v>
      </c>
      <c r="T4">
        <v>4.4141525513386555E-4</v>
      </c>
      <c r="U4">
        <v>4.4094858868260617E-4</v>
      </c>
      <c r="V4">
        <v>4.406528424788466E-4</v>
      </c>
      <c r="W4">
        <v>4.4046477188487546E-4</v>
      </c>
      <c r="X4">
        <v>4.4016736396697124E-4</v>
      </c>
      <c r="Y4">
        <v>4.3991921468742256E-4</v>
      </c>
      <c r="Z4">
        <v>4.3980677282836695E-4</v>
      </c>
      <c r="AA4">
        <v>4.3981133028276362E-4</v>
      </c>
      <c r="AB4">
        <v>4.3960459654073496E-4</v>
      </c>
      <c r="AC4">
        <v>4.3945697770705547E-4</v>
      </c>
      <c r="AD4">
        <v>4.3919624527100954E-4</v>
      </c>
      <c r="AE4">
        <v>4.3913823303573507E-4</v>
      </c>
      <c r="AF4">
        <v>4.3909651675542918E-4</v>
      </c>
    </row>
    <row r="5" spans="1:32">
      <c r="A5" s="1" t="s">
        <v>12</v>
      </c>
      <c r="B5">
        <v>4.2164836790723349E-4</v>
      </c>
      <c r="C5">
        <v>4.3038372468941308E-4</v>
      </c>
      <c r="D5">
        <v>4.3420465633630295E-4</v>
      </c>
      <c r="E5">
        <v>4.3755646869858035E-4</v>
      </c>
      <c r="F5">
        <v>4.3967943886681334E-4</v>
      </c>
      <c r="G5">
        <v>4.4460624002269991E-4</v>
      </c>
      <c r="H5">
        <v>4.4496012049244393E-4</v>
      </c>
      <c r="I5">
        <v>4.4386794465270786E-4</v>
      </c>
      <c r="J5">
        <v>4.4337540076502162E-4</v>
      </c>
      <c r="K5">
        <v>4.4271108702653624E-4</v>
      </c>
      <c r="L5">
        <v>4.4204868011526002E-4</v>
      </c>
      <c r="M5">
        <v>4.4134700384785902E-4</v>
      </c>
      <c r="N5">
        <v>4.4074150219218516E-4</v>
      </c>
      <c r="O5">
        <v>4.4004989920049426E-4</v>
      </c>
      <c r="P5">
        <v>4.3959873902550526E-4</v>
      </c>
      <c r="Q5">
        <v>4.3896791873294087E-4</v>
      </c>
      <c r="R5">
        <v>4.3853822206515422E-4</v>
      </c>
      <c r="S5">
        <v>4.380679289602619E-4</v>
      </c>
      <c r="T5">
        <v>4.3761382373608021E-4</v>
      </c>
      <c r="U5">
        <v>4.3728428606956427E-4</v>
      </c>
      <c r="V5">
        <v>4.3676208341619235E-4</v>
      </c>
      <c r="W5">
        <v>4.3641079058356913E-4</v>
      </c>
      <c r="X5">
        <v>4.3601813064876686E-4</v>
      </c>
      <c r="Y5">
        <v>4.3568341275915397E-4</v>
      </c>
      <c r="Z5">
        <v>4.3535955435881782E-4</v>
      </c>
      <c r="AA5">
        <v>4.3509879831850481E-4</v>
      </c>
      <c r="AB5">
        <v>4.3470212020737582E-4</v>
      </c>
      <c r="AC5">
        <v>4.3438066023618842E-4</v>
      </c>
      <c r="AD5">
        <v>4.3404466716966903E-4</v>
      </c>
      <c r="AE5">
        <v>4.3370047683290603E-4</v>
      </c>
      <c r="AF5">
        <v>4.3334687418764364E-4</v>
      </c>
    </row>
    <row r="6" spans="1:32">
      <c r="A6" s="1" t="s">
        <v>13</v>
      </c>
      <c r="B6">
        <v>6.5738318568648571E-4</v>
      </c>
      <c r="C6">
        <v>6.7868209237387732E-4</v>
      </c>
      <c r="D6">
        <v>6.8605104499600824E-4</v>
      </c>
      <c r="E6">
        <v>6.8995200477364748E-4</v>
      </c>
      <c r="F6">
        <v>7.0255070116778152E-4</v>
      </c>
      <c r="G6">
        <v>7.3075494105914415E-4</v>
      </c>
      <c r="H6">
        <v>7.6511494750975708E-4</v>
      </c>
      <c r="I6">
        <v>7.6729530817545215E-4</v>
      </c>
      <c r="J6">
        <v>7.6615763729175437E-4</v>
      </c>
      <c r="K6">
        <v>7.6497534983816374E-4</v>
      </c>
      <c r="L6">
        <v>7.6434508106930723E-4</v>
      </c>
      <c r="M6">
        <v>7.6297468642330408E-4</v>
      </c>
      <c r="N6">
        <v>7.6220701719009081E-4</v>
      </c>
      <c r="O6">
        <v>7.6135115263870209E-4</v>
      </c>
      <c r="P6">
        <v>7.6059039236971756E-4</v>
      </c>
      <c r="Q6">
        <v>7.5941521982376113E-4</v>
      </c>
      <c r="R6">
        <v>7.5865921051893645E-4</v>
      </c>
      <c r="S6">
        <v>7.5779553890121924E-4</v>
      </c>
      <c r="T6">
        <v>7.5675471415846706E-4</v>
      </c>
      <c r="U6">
        <v>7.5542246426100047E-4</v>
      </c>
      <c r="V6">
        <v>7.5410270573479155E-4</v>
      </c>
      <c r="W6">
        <v>7.5263393803100167E-4</v>
      </c>
      <c r="X6">
        <v>7.5087688624492623E-4</v>
      </c>
      <c r="Y6">
        <v>7.4906248631128583E-4</v>
      </c>
      <c r="Z6">
        <v>7.470071968170176E-4</v>
      </c>
      <c r="AA6">
        <v>7.4466971736164859E-4</v>
      </c>
      <c r="AB6">
        <v>7.4187742730834057E-4</v>
      </c>
      <c r="AC6">
        <v>7.3887113076972523E-4</v>
      </c>
      <c r="AD6">
        <v>7.3528955607294266E-4</v>
      </c>
      <c r="AE6">
        <v>7.3158063579575828E-4</v>
      </c>
      <c r="AF6">
        <v>7.2734242308217191E-4</v>
      </c>
    </row>
    <row r="7" spans="1:32">
      <c r="A7" s="1" t="s">
        <v>14</v>
      </c>
      <c r="B7">
        <v>3.6368321172053488E-4</v>
      </c>
      <c r="C7">
        <v>3.7519786349243767E-4</v>
      </c>
      <c r="D7">
        <v>3.8292342231539014E-4</v>
      </c>
      <c r="E7">
        <v>3.8737442480929154E-4</v>
      </c>
      <c r="F7">
        <v>3.9018162646122461E-4</v>
      </c>
      <c r="G7">
        <v>3.9393486543226201E-4</v>
      </c>
      <c r="H7">
        <v>3.958081254319439E-4</v>
      </c>
      <c r="I7">
        <v>3.958068662698271E-4</v>
      </c>
      <c r="J7">
        <v>3.9568870081904033E-4</v>
      </c>
      <c r="K7">
        <v>3.9552372368166668E-4</v>
      </c>
      <c r="L7">
        <v>3.9593709557582721E-4</v>
      </c>
      <c r="M7">
        <v>3.9597127514076109E-4</v>
      </c>
      <c r="N7">
        <v>3.9568311316840501E-4</v>
      </c>
      <c r="O7">
        <v>3.9545023752148126E-4</v>
      </c>
      <c r="P7">
        <v>3.9533735885442279E-4</v>
      </c>
      <c r="Q7">
        <v>3.9487850361981201E-4</v>
      </c>
      <c r="R7">
        <v>3.9428117062173101E-4</v>
      </c>
      <c r="S7">
        <v>3.9378231845382995E-4</v>
      </c>
      <c r="T7">
        <v>3.9349649872249946E-4</v>
      </c>
      <c r="U7">
        <v>3.9297415036491852E-4</v>
      </c>
      <c r="V7">
        <v>3.9250688719174123E-4</v>
      </c>
      <c r="W7">
        <v>3.9211185181415524E-4</v>
      </c>
      <c r="X7">
        <v>3.9168760952964436E-4</v>
      </c>
      <c r="Y7">
        <v>3.9122731880395569E-4</v>
      </c>
      <c r="Z7">
        <v>3.9085142797907205E-4</v>
      </c>
      <c r="AA7">
        <v>3.9051216876031034E-4</v>
      </c>
      <c r="AB7">
        <v>3.9011492927727893E-4</v>
      </c>
      <c r="AC7">
        <v>3.8968023550283847E-4</v>
      </c>
      <c r="AD7">
        <v>3.8920742031412479E-4</v>
      </c>
      <c r="AE7">
        <v>3.8876188063600889E-4</v>
      </c>
      <c r="AF7">
        <v>3.883715712735463E-4</v>
      </c>
    </row>
    <row r="8" spans="1:32">
      <c r="A8" s="1" t="s">
        <v>15</v>
      </c>
      <c r="B8">
        <v>5.8794415231938754E-4</v>
      </c>
      <c r="C8">
        <v>5.859697075889746E-4</v>
      </c>
      <c r="D8">
        <v>5.8487716230241557E-4</v>
      </c>
      <c r="E8">
        <v>5.8450715864569842E-4</v>
      </c>
      <c r="F8">
        <v>5.8509864619692446E-4</v>
      </c>
      <c r="G8">
        <v>5.8547838832553585E-4</v>
      </c>
      <c r="H8">
        <v>5.8677369900367977E-4</v>
      </c>
      <c r="I8">
        <v>5.8555189724455374E-4</v>
      </c>
      <c r="J8">
        <v>5.848624993596127E-4</v>
      </c>
      <c r="K8">
        <v>5.8392369578135807E-4</v>
      </c>
      <c r="L8">
        <v>5.8323582222320433E-4</v>
      </c>
      <c r="M8">
        <v>5.8232846507614633E-4</v>
      </c>
      <c r="N8">
        <v>5.8140476063791701E-4</v>
      </c>
      <c r="O8">
        <v>5.8053415348023238E-4</v>
      </c>
      <c r="P8">
        <v>5.7985999357189376E-4</v>
      </c>
      <c r="Q8">
        <v>5.790672010289583E-4</v>
      </c>
      <c r="R8">
        <v>5.783038784646057E-4</v>
      </c>
      <c r="S8">
        <v>5.7772941074558763E-4</v>
      </c>
      <c r="T8">
        <v>5.7728789584792482E-4</v>
      </c>
      <c r="U8">
        <v>5.7687866477931793E-4</v>
      </c>
      <c r="V8">
        <v>5.7657581365796442E-4</v>
      </c>
      <c r="W8">
        <v>5.7638685408458411E-4</v>
      </c>
      <c r="X8">
        <v>5.7622519119671751E-4</v>
      </c>
      <c r="Y8">
        <v>5.7612076801724784E-4</v>
      </c>
      <c r="Z8">
        <v>5.7610601336530144E-4</v>
      </c>
      <c r="AA8">
        <v>5.7616718513728532E-4</v>
      </c>
      <c r="AB8">
        <v>5.7619221096857649E-4</v>
      </c>
      <c r="AC8">
        <v>5.7620061572155568E-4</v>
      </c>
      <c r="AD8">
        <v>5.7622282038993897E-4</v>
      </c>
      <c r="AE8">
        <v>5.7625953419671364E-4</v>
      </c>
      <c r="AF8">
        <v>5.7635527402379559E-4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7918-D3AB-4AF1-9F44-DA1759B14BDC}"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1.3418728199415992E-4</v>
      </c>
      <c r="C2">
        <v>1.3640834056772384E-4</v>
      </c>
      <c r="D2">
        <v>1.3862939914128773E-4</v>
      </c>
      <c r="E2">
        <v>1.4085045771485165E-4</v>
      </c>
      <c r="F2">
        <v>1.4307151628841557E-4</v>
      </c>
      <c r="G2">
        <v>1.4529257486197946E-4</v>
      </c>
      <c r="H2">
        <v>1.4751363343554338E-4</v>
      </c>
      <c r="I2">
        <v>1.497346920091073E-4</v>
      </c>
      <c r="J2">
        <v>1.5195575058267119E-4</v>
      </c>
      <c r="K2">
        <v>1.5417680915623511E-4</v>
      </c>
      <c r="L2">
        <v>1.56397867729799E-4</v>
      </c>
      <c r="M2">
        <v>1.5861892630336292E-4</v>
      </c>
      <c r="N2">
        <v>1.6083998487692684E-4</v>
      </c>
      <c r="O2">
        <v>1.6306104345049073E-4</v>
      </c>
      <c r="P2">
        <v>1.6528210202405464E-4</v>
      </c>
      <c r="Q2">
        <v>1.6750316059761856E-4</v>
      </c>
      <c r="R2">
        <v>1.6972421917118245E-4</v>
      </c>
      <c r="S2">
        <v>1.7194527774474637E-4</v>
      </c>
      <c r="T2">
        <v>1.7416633631831029E-4</v>
      </c>
      <c r="U2">
        <v>1.7638739489187418E-4</v>
      </c>
      <c r="V2">
        <v>1.786084534654381E-4</v>
      </c>
      <c r="W2">
        <v>1.8082951203900199E-4</v>
      </c>
      <c r="X2">
        <v>1.8305057061256591E-4</v>
      </c>
      <c r="Y2">
        <v>1.8527162918612983E-4</v>
      </c>
      <c r="Z2">
        <v>1.8749268775969375E-4</v>
      </c>
      <c r="AA2">
        <v>1.8971374633325764E-4</v>
      </c>
      <c r="AB2">
        <v>1.9193480490682156E-4</v>
      </c>
      <c r="AC2">
        <v>1.9415586348038545E-4</v>
      </c>
      <c r="AD2">
        <v>1.9637692205394937E-4</v>
      </c>
      <c r="AE2">
        <v>1.9859798062751328E-4</v>
      </c>
      <c r="AF2">
        <v>2.008190392010772E-4</v>
      </c>
    </row>
    <row r="3" spans="1:32">
      <c r="A3" s="1" t="s">
        <v>10</v>
      </c>
      <c r="B3">
        <v>7.6006288669010344E-5</v>
      </c>
      <c r="C3">
        <v>7.6080376741914172E-5</v>
      </c>
      <c r="D3">
        <v>7.5743043666375457E-5</v>
      </c>
      <c r="E3">
        <v>7.5724277835314714E-5</v>
      </c>
      <c r="F3">
        <v>7.5855615749214229E-5</v>
      </c>
      <c r="G3">
        <v>7.6274191346832132E-5</v>
      </c>
      <c r="H3">
        <v>7.664460235057268E-5</v>
      </c>
      <c r="I3">
        <v>7.6861170255864997E-5</v>
      </c>
      <c r="J3">
        <v>7.6261937953287745E-5</v>
      </c>
      <c r="K3">
        <v>7.6089615966585825E-5</v>
      </c>
      <c r="L3">
        <v>7.5843506963502549E-5</v>
      </c>
      <c r="M3">
        <v>7.5469291426432186E-5</v>
      </c>
      <c r="N3">
        <v>7.4950369589322721E-5</v>
      </c>
      <c r="O3">
        <v>7.4315905351409709E-5</v>
      </c>
      <c r="P3">
        <v>7.3756483653024548E-5</v>
      </c>
      <c r="Q3">
        <v>7.3125173956256506E-5</v>
      </c>
      <c r="R3">
        <v>7.2690935039744075E-5</v>
      </c>
      <c r="S3">
        <v>7.2177151906125642E-5</v>
      </c>
      <c r="T3">
        <v>7.1871648297494589E-5</v>
      </c>
      <c r="U3">
        <v>7.1640208537458242E-5</v>
      </c>
      <c r="V3">
        <v>7.1448077325544755E-5</v>
      </c>
      <c r="W3">
        <v>7.1284562722858101E-5</v>
      </c>
      <c r="X3">
        <v>7.1121073609261765E-5</v>
      </c>
      <c r="Y3">
        <v>7.0997642281631361E-5</v>
      </c>
      <c r="Z3">
        <v>7.0894291213070466E-5</v>
      </c>
      <c r="AA3">
        <v>7.0792139726689904E-5</v>
      </c>
      <c r="AB3">
        <v>7.0714033031888464E-5</v>
      </c>
      <c r="AC3">
        <v>7.0561603706842998E-5</v>
      </c>
      <c r="AD3">
        <v>7.0407765905464056E-5</v>
      </c>
      <c r="AE3">
        <v>7.0265570249012377E-5</v>
      </c>
      <c r="AF3">
        <v>7.0125408470328278E-5</v>
      </c>
    </row>
    <row r="4" spans="1:32">
      <c r="A4" s="1" t="s">
        <v>11</v>
      </c>
      <c r="B4">
        <v>1.157863591831631E-4</v>
      </c>
      <c r="C4">
        <v>1.1589922337335911E-4</v>
      </c>
      <c r="D4">
        <v>1.1538533736033749E-4</v>
      </c>
      <c r="E4">
        <v>1.1535674989351573E-4</v>
      </c>
      <c r="F4">
        <v>1.1555682727052541E-4</v>
      </c>
      <c r="G4">
        <v>1.1619447640903485E-4</v>
      </c>
      <c r="H4">
        <v>1.1675875263243092E-4</v>
      </c>
      <c r="I4">
        <v>1.170886675606406E-4</v>
      </c>
      <c r="J4">
        <v>1.1617580985063572E-4</v>
      </c>
      <c r="K4">
        <v>1.1591329821118029E-4</v>
      </c>
      <c r="L4">
        <v>1.1553838100461461E-4</v>
      </c>
      <c r="M4">
        <v>1.1496830903628264E-4</v>
      </c>
      <c r="N4">
        <v>1.1417779457660161E-4</v>
      </c>
      <c r="O4">
        <v>1.1321126528769265E-4</v>
      </c>
      <c r="P4">
        <v>1.1235905420307894E-4</v>
      </c>
      <c r="Q4">
        <v>1.113973304748738E-4</v>
      </c>
      <c r="R4">
        <v>1.1073582017040977E-4</v>
      </c>
      <c r="S4">
        <v>1.099531339020346E-4</v>
      </c>
      <c r="T4">
        <v>1.0948773622007766E-4</v>
      </c>
      <c r="U4">
        <v>1.0913516582552083E-4</v>
      </c>
      <c r="V4">
        <v>1.0884247723484658E-4</v>
      </c>
      <c r="W4">
        <v>1.085933825763662E-4</v>
      </c>
      <c r="X4">
        <v>1.083443267474224E-4</v>
      </c>
      <c r="Y4">
        <v>1.0815629409531245E-4</v>
      </c>
      <c r="Z4">
        <v>1.0799885128162017E-4</v>
      </c>
      <c r="AA4">
        <v>1.078432358858381E-4</v>
      </c>
      <c r="AB4">
        <v>1.0772424981274788E-4</v>
      </c>
      <c r="AC4">
        <v>1.0749204222981193E-4</v>
      </c>
      <c r="AD4">
        <v>1.0725768900406794E-4</v>
      </c>
      <c r="AE4">
        <v>1.0704107117361582E-4</v>
      </c>
      <c r="AF4">
        <v>1.0682755170917861E-4</v>
      </c>
    </row>
    <row r="5" spans="1:32">
      <c r="A5" s="1" t="s">
        <v>12</v>
      </c>
      <c r="B5">
        <v>8.201551487503343E-5</v>
      </c>
      <c r="C5">
        <v>8.2095460515739128E-5</v>
      </c>
      <c r="D5">
        <v>8.1731457137082305E-5</v>
      </c>
      <c r="E5">
        <v>8.171120763768617E-5</v>
      </c>
      <c r="F5">
        <v>8.1852929419129673E-5</v>
      </c>
      <c r="G5">
        <v>8.2304598534329538E-5</v>
      </c>
      <c r="H5">
        <v>8.2704295055751004E-5</v>
      </c>
      <c r="I5">
        <v>8.2937985301242487E-5</v>
      </c>
      <c r="J5">
        <v>8.2291376360242263E-5</v>
      </c>
      <c r="K5">
        <v>8.2105430214059649E-5</v>
      </c>
      <c r="L5">
        <v>8.1839863285891951E-5</v>
      </c>
      <c r="M5">
        <v>8.1436061436275037E-5</v>
      </c>
      <c r="N5">
        <v>8.0876112484738039E-5</v>
      </c>
      <c r="O5">
        <v>8.0191486093245156E-5</v>
      </c>
      <c r="P5">
        <v>7.9587835271335844E-5</v>
      </c>
      <c r="Q5">
        <v>7.8906612826025961E-5</v>
      </c>
      <c r="R5">
        <v>7.8438042015107454E-5</v>
      </c>
      <c r="S5">
        <v>7.7883638044387005E-5</v>
      </c>
      <c r="T5">
        <v>7.7553980641074374E-5</v>
      </c>
      <c r="U5">
        <v>7.7304242738930563E-5</v>
      </c>
      <c r="V5">
        <v>7.7096921206139103E-5</v>
      </c>
      <c r="W5">
        <v>7.6920478775337981E-5</v>
      </c>
      <c r="X5">
        <v>7.6744063848851346E-5</v>
      </c>
      <c r="Y5">
        <v>7.6610873765970154E-5</v>
      </c>
      <c r="Z5">
        <v>7.6499351532095263E-5</v>
      </c>
      <c r="AA5">
        <v>7.638912372203555E-5</v>
      </c>
      <c r="AB5">
        <v>7.6304841738248364E-5</v>
      </c>
      <c r="AC5">
        <v>7.6140361011790326E-5</v>
      </c>
      <c r="AD5">
        <v>7.5974360451727698E-5</v>
      </c>
      <c r="AE5">
        <v>7.5820922490460257E-5</v>
      </c>
      <c r="AF5">
        <v>7.5669679209859657E-5</v>
      </c>
    </row>
    <row r="6" spans="1:32">
      <c r="A6" s="1" t="s">
        <v>13</v>
      </c>
      <c r="B6">
        <v>1.2590686672921136E-4</v>
      </c>
      <c r="C6">
        <v>1.2717923783025971E-4</v>
      </c>
      <c r="D6">
        <v>1.2816957133986013E-4</v>
      </c>
      <c r="E6">
        <v>1.2937828919525049E-4</v>
      </c>
      <c r="F6">
        <v>1.30689906230365E-4</v>
      </c>
      <c r="G6">
        <v>1.3219843055815438E-4</v>
      </c>
      <c r="H6">
        <v>1.3367393707414276E-4</v>
      </c>
      <c r="I6">
        <v>1.3504398100729726E-4</v>
      </c>
      <c r="J6">
        <v>1.3585477725325522E-4</v>
      </c>
      <c r="K6">
        <v>1.3695822923096045E-4</v>
      </c>
      <c r="L6">
        <v>1.3801109870346603E-4</v>
      </c>
      <c r="M6">
        <v>1.389761485331768E-4</v>
      </c>
      <c r="N6">
        <v>1.3984199924178047E-4</v>
      </c>
      <c r="O6">
        <v>1.4062864327723159E-4</v>
      </c>
      <c r="P6">
        <v>1.414667305046156E-4</v>
      </c>
      <c r="Q6">
        <v>1.4225553704238342E-4</v>
      </c>
      <c r="R6">
        <v>1.4317943962083475E-4</v>
      </c>
      <c r="S6">
        <v>1.4404881301552608E-4</v>
      </c>
      <c r="T6">
        <v>1.4506096627410562E-4</v>
      </c>
      <c r="U6">
        <v>1.4612389181201517E-4</v>
      </c>
      <c r="V6">
        <v>1.4721376416167192E-4</v>
      </c>
      <c r="W6">
        <v>1.483232537808159E-4</v>
      </c>
      <c r="X6">
        <v>1.4943276087325133E-4</v>
      </c>
      <c r="Y6">
        <v>1.5056972839526199E-4</v>
      </c>
      <c r="Z6">
        <v>1.5172046134456063E-4</v>
      </c>
      <c r="AA6">
        <v>1.5287201663191885E-4</v>
      </c>
      <c r="AB6">
        <v>1.5404005511448842E-4</v>
      </c>
      <c r="AC6">
        <v>1.5515714391762736E-4</v>
      </c>
      <c r="AD6">
        <v>1.5627326718150274E-4</v>
      </c>
      <c r="AE6">
        <v>1.5739737137325944E-4</v>
      </c>
      <c r="AF6">
        <v>1.5852286982972284E-4</v>
      </c>
    </row>
    <row r="7" spans="1:32">
      <c r="A7" s="1" t="s">
        <v>14</v>
      </c>
      <c r="B7">
        <v>4.4583709051118848E-5</v>
      </c>
      <c r="C7">
        <v>4.4627167574674539E-5</v>
      </c>
      <c r="D7">
        <v>4.4429295004437204E-5</v>
      </c>
      <c r="E7">
        <v>4.4418287358007338E-5</v>
      </c>
      <c r="F7">
        <v>4.4495327448284301E-5</v>
      </c>
      <c r="G7">
        <v>4.4740855193249741E-5</v>
      </c>
      <c r="H7">
        <v>4.4958130588605744E-5</v>
      </c>
      <c r="I7">
        <v>4.508516482022584E-5</v>
      </c>
      <c r="J7">
        <v>4.4733667607298132E-5</v>
      </c>
      <c r="K7">
        <v>4.4632587111818528E-5</v>
      </c>
      <c r="L7">
        <v>4.4488224686281508E-5</v>
      </c>
      <c r="M7">
        <v>4.4268717630756032E-5</v>
      </c>
      <c r="N7">
        <v>4.3964328867522117E-5</v>
      </c>
      <c r="O7">
        <v>4.3592165333664591E-5</v>
      </c>
      <c r="P7">
        <v>4.3264020193644674E-5</v>
      </c>
      <c r="Q7">
        <v>4.2893707048051865E-5</v>
      </c>
      <c r="R7">
        <v>4.2638991525803811E-5</v>
      </c>
      <c r="S7">
        <v>4.2337617019223595E-5</v>
      </c>
      <c r="T7">
        <v>4.2158414952660556E-5</v>
      </c>
      <c r="U7">
        <v>4.2022657200176995E-5</v>
      </c>
      <c r="V7">
        <v>4.1909957024946854E-5</v>
      </c>
      <c r="W7">
        <v>4.1814042757858543E-5</v>
      </c>
      <c r="X7">
        <v>4.1718143442140791E-5</v>
      </c>
      <c r="Y7">
        <v>4.1645741191021392E-5</v>
      </c>
      <c r="Z7">
        <v>4.158511760247982E-5</v>
      </c>
      <c r="AA7">
        <v>4.1525197663910494E-5</v>
      </c>
      <c r="AB7">
        <v>4.1479381900281561E-5</v>
      </c>
      <c r="AC7">
        <v>4.1389970026636733E-5</v>
      </c>
      <c r="AD7">
        <v>4.1299731970051566E-5</v>
      </c>
      <c r="AE7">
        <v>4.121632295368475E-5</v>
      </c>
      <c r="AF7">
        <v>4.1134106967739804E-5</v>
      </c>
    </row>
    <row r="8" spans="1:32">
      <c r="A8" s="1" t="s">
        <v>15</v>
      </c>
      <c r="B8">
        <v>2.4604654462510026E-4</v>
      </c>
      <c r="C8">
        <v>2.462863815472174E-4</v>
      </c>
      <c r="D8">
        <v>2.4519437141124688E-4</v>
      </c>
      <c r="E8">
        <v>2.4513362291305851E-4</v>
      </c>
      <c r="F8">
        <v>2.4555878825738899E-4</v>
      </c>
      <c r="G8">
        <v>2.4691379560298857E-4</v>
      </c>
      <c r="H8">
        <v>2.4811288516725301E-4</v>
      </c>
      <c r="I8">
        <v>2.4881395590372739E-4</v>
      </c>
      <c r="J8">
        <v>2.4687412908072675E-4</v>
      </c>
      <c r="K8">
        <v>2.4631629064217889E-4</v>
      </c>
      <c r="L8">
        <v>2.4551958985767581E-4</v>
      </c>
      <c r="M8">
        <v>2.4430818430882508E-4</v>
      </c>
      <c r="N8">
        <v>2.4262833745421412E-4</v>
      </c>
      <c r="O8">
        <v>2.4057445827973541E-4</v>
      </c>
      <c r="P8">
        <v>2.3876350581400748E-4</v>
      </c>
      <c r="Q8">
        <v>2.3671983847807786E-4</v>
      </c>
      <c r="R8">
        <v>2.3531412604532232E-4</v>
      </c>
      <c r="S8">
        <v>2.33650914133161E-4</v>
      </c>
      <c r="T8">
        <v>2.3266194192322309E-4</v>
      </c>
      <c r="U8">
        <v>2.3191272821679169E-4</v>
      </c>
      <c r="V8">
        <v>2.3129076361841732E-4</v>
      </c>
      <c r="W8">
        <v>2.3076143632601393E-4</v>
      </c>
      <c r="X8">
        <v>2.3023219154655404E-4</v>
      </c>
      <c r="Y8">
        <v>2.2983262129791046E-4</v>
      </c>
      <c r="Z8">
        <v>2.2949805459628579E-4</v>
      </c>
      <c r="AA8">
        <v>2.2916737116610668E-4</v>
      </c>
      <c r="AB8">
        <v>2.2891452521474505E-4</v>
      </c>
      <c r="AC8">
        <v>2.2842108303537095E-4</v>
      </c>
      <c r="AD8">
        <v>2.2792308135518305E-4</v>
      </c>
      <c r="AE8">
        <v>2.2746276747138072E-4</v>
      </c>
      <c r="AF8">
        <v>2.2700903762957897E-4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EF649-2F60-4C68-9D3E-7AFAA71FE386}"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3.1663477151009402E-3</v>
      </c>
      <c r="C2">
        <v>4.4079595093891597E-3</v>
      </c>
      <c r="D2">
        <v>4.4499552617472604E-3</v>
      </c>
      <c r="E2">
        <v>4.5052438778823926E-3</v>
      </c>
      <c r="F2">
        <v>4.5727808524734324E-3</v>
      </c>
      <c r="G2">
        <v>4.6568996641535541E-3</v>
      </c>
      <c r="H2">
        <v>4.7577561904264291E-3</v>
      </c>
      <c r="I2">
        <v>4.8608689490301296E-3</v>
      </c>
      <c r="J2">
        <v>4.9072532203259349E-3</v>
      </c>
      <c r="K2">
        <v>4.9900615685721924E-3</v>
      </c>
      <c r="L2">
        <v>5.0684759358657905E-3</v>
      </c>
      <c r="M2">
        <v>5.1401510170166632E-3</v>
      </c>
      <c r="N2">
        <v>5.1812984764369732E-3</v>
      </c>
      <c r="O2">
        <v>5.1861210154859894E-3</v>
      </c>
      <c r="P2">
        <v>5.1896536786959673E-3</v>
      </c>
      <c r="Q2">
        <v>5.1900028274979998E-3</v>
      </c>
      <c r="R2">
        <v>5.189671325205817E-3</v>
      </c>
      <c r="S2">
        <v>5.1889402555120303E-3</v>
      </c>
      <c r="T2">
        <v>5.1880016292500074E-3</v>
      </c>
      <c r="U2">
        <v>5.1869966184985477E-3</v>
      </c>
      <c r="V2">
        <v>5.1859319457375963E-3</v>
      </c>
      <c r="W2">
        <v>5.1847290419828199E-3</v>
      </c>
      <c r="X2">
        <v>5.1833484126645527E-3</v>
      </c>
      <c r="Y2">
        <v>5.1820211430308322E-3</v>
      </c>
      <c r="Z2">
        <v>5.1808115167961116E-3</v>
      </c>
      <c r="AA2">
        <v>5.1796770983057539E-3</v>
      </c>
      <c r="AB2">
        <v>5.1786166270947646E-3</v>
      </c>
      <c r="AC2">
        <v>5.1776036333983739E-3</v>
      </c>
      <c r="AD2">
        <v>5.1766360164415964E-3</v>
      </c>
      <c r="AE2">
        <v>5.1757179777743995E-3</v>
      </c>
      <c r="AF2">
        <v>5.1748444755368222E-3</v>
      </c>
    </row>
    <row r="3" spans="1:32">
      <c r="A3" s="1" t="s">
        <v>10</v>
      </c>
      <c r="B3">
        <v>8.4430740727243017E-4</v>
      </c>
      <c r="C3">
        <v>8.5584739574332729E-4</v>
      </c>
      <c r="D3">
        <v>8.6929128531010823E-4</v>
      </c>
      <c r="E3">
        <v>8.8589111695567169E-4</v>
      </c>
      <c r="F3">
        <v>9.0644258910400281E-4</v>
      </c>
      <c r="G3">
        <v>9.3018481598049565E-4</v>
      </c>
      <c r="H3">
        <v>9.5583701592660115E-4</v>
      </c>
      <c r="I3">
        <v>9.8234846762172072E-4</v>
      </c>
      <c r="J3">
        <v>9.9585483105153446E-4</v>
      </c>
      <c r="K3">
        <v>1.0155987306939222E-3</v>
      </c>
      <c r="L3">
        <v>1.0323399718609944E-3</v>
      </c>
      <c r="M3">
        <v>1.0472122595143114E-3</v>
      </c>
      <c r="N3">
        <v>1.0560436079711214E-3</v>
      </c>
      <c r="O3">
        <v>1.0571414208213061E-3</v>
      </c>
      <c r="P3">
        <v>1.0579798929268925E-3</v>
      </c>
      <c r="Q3">
        <v>1.0580681389450858E-3</v>
      </c>
      <c r="R3">
        <v>1.0584918277786134E-3</v>
      </c>
      <c r="S3">
        <v>1.058841978263647E-3</v>
      </c>
      <c r="T3">
        <v>1.058932518138582E-3</v>
      </c>
      <c r="U3">
        <v>1.0588075704125162E-3</v>
      </c>
      <c r="V3">
        <v>1.0588006888422902E-3</v>
      </c>
      <c r="W3">
        <v>1.0588079752107647E-3</v>
      </c>
      <c r="X3">
        <v>1.0588168807722338E-3</v>
      </c>
      <c r="Y3">
        <v>1.0587534623799542E-3</v>
      </c>
      <c r="Z3">
        <v>1.0588186348979779E-3</v>
      </c>
      <c r="AA3">
        <v>1.0589867611038935E-3</v>
      </c>
      <c r="AB3">
        <v>1.0589770459459274E-3</v>
      </c>
      <c r="AC3">
        <v>1.0592625636439352E-3</v>
      </c>
      <c r="AD3">
        <v>1.0597098657086307E-3</v>
      </c>
      <c r="AE3">
        <v>1.0602143792591274E-3</v>
      </c>
      <c r="AF3">
        <v>1.0607856845206423E-3</v>
      </c>
    </row>
    <row r="4" spans="1:32">
      <c r="A4" s="1" t="s">
        <v>11</v>
      </c>
      <c r="B4">
        <v>9.8510865378970158E-4</v>
      </c>
      <c r="C4">
        <v>9.9857311283553583E-4</v>
      </c>
      <c r="D4">
        <v>1.0142589777690357E-3</v>
      </c>
      <c r="E4">
        <v>1.0336270866647336E-3</v>
      </c>
      <c r="F4">
        <v>1.0576058328975104E-3</v>
      </c>
      <c r="G4">
        <v>1.0853074412866034E-3</v>
      </c>
      <c r="H4">
        <v>1.1152375401321042E-3</v>
      </c>
      <c r="I4">
        <v>1.1461701841719817E-3</v>
      </c>
      <c r="J4">
        <v>1.1619289414460904E-3</v>
      </c>
      <c r="K4">
        <v>1.1849654400362248E-3</v>
      </c>
      <c r="L4">
        <v>1.2044985406661731E-3</v>
      </c>
      <c r="M4">
        <v>1.2218510110374359E-3</v>
      </c>
      <c r="N4">
        <v>1.2321551226850418E-3</v>
      </c>
      <c r="O4">
        <v>1.2334360127135354E-3</v>
      </c>
      <c r="P4">
        <v>1.2344143129393297E-3</v>
      </c>
      <c r="Q4">
        <v>1.2345172753383752E-3</v>
      </c>
      <c r="R4">
        <v>1.2350116208016829E-3</v>
      </c>
      <c r="S4">
        <v>1.235420164265786E-3</v>
      </c>
      <c r="T4">
        <v>1.235525803057467E-3</v>
      </c>
      <c r="U4">
        <v>1.2353800183762496E-3</v>
      </c>
      <c r="V4">
        <v>1.2353719891983425E-3</v>
      </c>
      <c r="W4">
        <v>1.2353804906808325E-3</v>
      </c>
      <c r="X4">
        <v>1.2353908813816535E-3</v>
      </c>
      <c r="Y4">
        <v>1.2353168869970183E-3</v>
      </c>
      <c r="Z4">
        <v>1.2353929280348455E-3</v>
      </c>
      <c r="AA4">
        <v>1.2355890918715595E-3</v>
      </c>
      <c r="AB4">
        <v>1.2355777565615728E-3</v>
      </c>
      <c r="AC4">
        <v>1.2359108887272918E-3</v>
      </c>
      <c r="AD4">
        <v>1.2364327852912617E-3</v>
      </c>
      <c r="AE4">
        <v>1.2370214342362642E-3</v>
      </c>
      <c r="AF4">
        <v>1.237688013437425E-3</v>
      </c>
    </row>
    <row r="5" spans="1:32">
      <c r="A5" s="1" t="s">
        <v>12</v>
      </c>
      <c r="B5">
        <v>9.8533458931645266E-4</v>
      </c>
      <c r="C5">
        <v>9.988021364476826E-4</v>
      </c>
      <c r="D5">
        <v>1.0144915989479513E-3</v>
      </c>
      <c r="E5">
        <v>1.0338641499362739E-3</v>
      </c>
      <c r="F5">
        <v>1.0578483957153595E-3</v>
      </c>
      <c r="G5">
        <v>1.0855563574924357E-3</v>
      </c>
      <c r="H5">
        <v>1.1154933208321449E-3</v>
      </c>
      <c r="I5">
        <v>1.146433059300843E-3</v>
      </c>
      <c r="J5">
        <v>1.162195430859642E-3</v>
      </c>
      <c r="K5">
        <v>1.1852372128907688E-3</v>
      </c>
      <c r="L5">
        <v>1.2047747934543398E-3</v>
      </c>
      <c r="M5">
        <v>1.2221312436297778E-3</v>
      </c>
      <c r="N5">
        <v>1.2324377185343545E-3</v>
      </c>
      <c r="O5">
        <v>1.2337189023360906E-3</v>
      </c>
      <c r="P5">
        <v>1.2346974269358923E-3</v>
      </c>
      <c r="Q5">
        <v>1.2348004129494538E-3</v>
      </c>
      <c r="R5">
        <v>1.2352948717913239E-3</v>
      </c>
      <c r="S5">
        <v>1.2357035089552255E-3</v>
      </c>
      <c r="T5">
        <v>1.2358091719752555E-3</v>
      </c>
      <c r="U5">
        <v>1.2356633538581946E-3</v>
      </c>
      <c r="V5">
        <v>1.2356553228387885E-3</v>
      </c>
      <c r="W5">
        <v>1.2356638262711007E-3</v>
      </c>
      <c r="X5">
        <v>1.2356742193550382E-3</v>
      </c>
      <c r="Y5">
        <v>1.2356002079997265E-3</v>
      </c>
      <c r="Z5">
        <v>1.2356762664776318E-3</v>
      </c>
      <c r="AA5">
        <v>1.2358724753046924E-3</v>
      </c>
      <c r="AB5">
        <v>1.2358611373949426E-3</v>
      </c>
      <c r="AC5">
        <v>1.236194345964814E-3</v>
      </c>
      <c r="AD5">
        <v>1.2367163622262144E-3</v>
      </c>
      <c r="AE5">
        <v>1.2373051461783645E-3</v>
      </c>
      <c r="AF5">
        <v>1.2379718782600448E-3</v>
      </c>
    </row>
    <row r="6" spans="1:32">
      <c r="A6" s="1" t="s">
        <v>13</v>
      </c>
      <c r="B6">
        <v>2.184891808497921E-3</v>
      </c>
      <c r="C6">
        <v>2.2147548963531811E-3</v>
      </c>
      <c r="D6">
        <v>2.2495448839048742E-3</v>
      </c>
      <c r="E6">
        <v>2.2925017925763316E-3</v>
      </c>
      <c r="F6">
        <v>2.3456847242463524E-3</v>
      </c>
      <c r="G6">
        <v>2.4071246649256953E-3</v>
      </c>
      <c r="H6">
        <v>2.4735072183054651E-3</v>
      </c>
      <c r="I6">
        <v>2.5421133363391591E-3</v>
      </c>
      <c r="J6">
        <v>2.577064993243046E-3</v>
      </c>
      <c r="K6">
        <v>2.6281580953820141E-3</v>
      </c>
      <c r="L6">
        <v>2.671480942457572E-3</v>
      </c>
      <c r="M6">
        <v>2.7099673269041225E-3</v>
      </c>
      <c r="N6">
        <v>2.7328210182670939E-3</v>
      </c>
      <c r="O6">
        <v>2.7356619293890062E-3</v>
      </c>
      <c r="P6">
        <v>2.7378317206514886E-3</v>
      </c>
      <c r="Q6">
        <v>2.7380600829761854E-3</v>
      </c>
      <c r="R6">
        <v>2.7391565014770218E-3</v>
      </c>
      <c r="S6">
        <v>2.740062618040611E-3</v>
      </c>
      <c r="T6">
        <v>2.7402969163890381E-3</v>
      </c>
      <c r="U6">
        <v>2.7399735776846507E-3</v>
      </c>
      <c r="V6">
        <v>2.7399557696134594E-3</v>
      </c>
      <c r="W6">
        <v>2.7399746252182505E-3</v>
      </c>
      <c r="X6">
        <v>2.7399976709574399E-3</v>
      </c>
      <c r="Y6">
        <v>2.7398335573601816E-3</v>
      </c>
      <c r="Z6">
        <v>2.7400022102697045E-3</v>
      </c>
      <c r="AA6">
        <v>2.740437285891374E-3</v>
      </c>
      <c r="AB6">
        <v>2.7404121450849859E-3</v>
      </c>
      <c r="AC6">
        <v>2.741151005450517E-3</v>
      </c>
      <c r="AD6">
        <v>2.7423085300779925E-3</v>
      </c>
      <c r="AE6">
        <v>2.7436141061208679E-3</v>
      </c>
      <c r="AF6">
        <v>2.7450925252076636E-3</v>
      </c>
    </row>
    <row r="7" spans="1:32">
      <c r="A7" s="1" t="s">
        <v>14</v>
      </c>
      <c r="B7">
        <v>9.8533458931645266E-4</v>
      </c>
      <c r="C7">
        <v>9.988021364476826E-4</v>
      </c>
      <c r="D7">
        <v>1.0144915989479511E-3</v>
      </c>
      <c r="E7">
        <v>1.0338641499362737E-3</v>
      </c>
      <c r="F7">
        <v>1.0578483957153595E-3</v>
      </c>
      <c r="G7">
        <v>1.0855563574924359E-3</v>
      </c>
      <c r="H7">
        <v>1.1154933208321449E-3</v>
      </c>
      <c r="I7">
        <v>1.146433059300843E-3</v>
      </c>
      <c r="J7">
        <v>1.162195430859642E-3</v>
      </c>
      <c r="K7">
        <v>1.185237212890769E-3</v>
      </c>
      <c r="L7">
        <v>1.2047747934543398E-3</v>
      </c>
      <c r="M7">
        <v>1.222131243629778E-3</v>
      </c>
      <c r="N7">
        <v>1.2324377185343543E-3</v>
      </c>
      <c r="O7">
        <v>1.2337189023360906E-3</v>
      </c>
      <c r="P7">
        <v>1.2346974269358923E-3</v>
      </c>
      <c r="Q7">
        <v>1.2348004129494538E-3</v>
      </c>
      <c r="R7">
        <v>1.2352948717913237E-3</v>
      </c>
      <c r="S7">
        <v>1.2357035089552253E-3</v>
      </c>
      <c r="T7">
        <v>1.2358091719752557E-3</v>
      </c>
      <c r="U7">
        <v>1.2356633538581946E-3</v>
      </c>
      <c r="V7">
        <v>1.2356553228387885E-3</v>
      </c>
      <c r="W7">
        <v>1.2356638262711007E-3</v>
      </c>
      <c r="X7">
        <v>1.2356742193550382E-3</v>
      </c>
      <c r="Y7">
        <v>1.2356002079997265E-3</v>
      </c>
      <c r="Z7">
        <v>1.2356762664776323E-3</v>
      </c>
      <c r="AA7">
        <v>1.2358724753046926E-3</v>
      </c>
      <c r="AB7">
        <v>1.2358611373949424E-3</v>
      </c>
      <c r="AC7">
        <v>1.236194345964814E-3</v>
      </c>
      <c r="AD7">
        <v>1.2367163622262144E-3</v>
      </c>
      <c r="AE7">
        <v>1.2373051461783645E-3</v>
      </c>
      <c r="AF7">
        <v>1.2379718782600448E-3</v>
      </c>
    </row>
    <row r="8" spans="1:32">
      <c r="A8" s="1" t="s">
        <v>15</v>
      </c>
      <c r="B8">
        <v>2.9560037679493573E-3</v>
      </c>
      <c r="C8">
        <v>2.9964064093430461E-3</v>
      </c>
      <c r="D8">
        <v>3.0434747968438526E-3</v>
      </c>
      <c r="E8">
        <v>3.1015924498088211E-3</v>
      </c>
      <c r="F8">
        <v>3.1735451871460771E-3</v>
      </c>
      <c r="G8">
        <v>3.2566690724773069E-3</v>
      </c>
      <c r="H8">
        <v>3.3464799624964331E-3</v>
      </c>
      <c r="I8">
        <v>3.439299177902528E-3</v>
      </c>
      <c r="J8">
        <v>3.4865862925789249E-3</v>
      </c>
      <c r="K8">
        <v>3.5557116386723056E-3</v>
      </c>
      <c r="L8">
        <v>3.6143243803630188E-3</v>
      </c>
      <c r="M8">
        <v>3.6663937308893326E-3</v>
      </c>
      <c r="N8">
        <v>3.6973131556030628E-3</v>
      </c>
      <c r="O8">
        <v>3.7011567070082707E-3</v>
      </c>
      <c r="P8">
        <v>3.704092280807677E-3</v>
      </c>
      <c r="Q8">
        <v>3.7044012388483608E-3</v>
      </c>
      <c r="R8">
        <v>3.7058846153739697E-3</v>
      </c>
      <c r="S8">
        <v>3.7071105268656757E-3</v>
      </c>
      <c r="T8">
        <v>3.7074275159257658E-3</v>
      </c>
      <c r="U8">
        <v>3.706990061574583E-3</v>
      </c>
      <c r="V8">
        <v>3.7069659685163648E-3</v>
      </c>
      <c r="W8">
        <v>3.7069914788133013E-3</v>
      </c>
      <c r="X8">
        <v>3.707022658065114E-3</v>
      </c>
      <c r="Y8">
        <v>3.7068006239991788E-3</v>
      </c>
      <c r="Z8">
        <v>3.7070287994328951E-3</v>
      </c>
      <c r="AA8">
        <v>3.7076174259140764E-3</v>
      </c>
      <c r="AB8">
        <v>3.7075834121848266E-3</v>
      </c>
      <c r="AC8">
        <v>3.7085830378944407E-3</v>
      </c>
      <c r="AD8">
        <v>3.7101490866786424E-3</v>
      </c>
      <c r="AE8">
        <v>3.7119154385350924E-3</v>
      </c>
      <c r="AF8">
        <v>3.7139156347801338E-3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52E88-28BC-43FF-80ED-EE42F4787599}"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1.0008488993658489E-3</v>
      </c>
      <c r="C2">
        <v>1.3933092068129753E-3</v>
      </c>
      <c r="D2">
        <v>1.406583618314021E-3</v>
      </c>
      <c r="E2">
        <v>1.4240597629403366E-3</v>
      </c>
      <c r="F2">
        <v>1.4454074836481954E-3</v>
      </c>
      <c r="G2">
        <v>1.4719965470301141E-3</v>
      </c>
      <c r="H2">
        <v>1.5038762243102361E-3</v>
      </c>
      <c r="I2">
        <v>1.5364690726783758E-3</v>
      </c>
      <c r="J2">
        <v>1.5511306484279027E-3</v>
      </c>
      <c r="K2">
        <v>1.5773054882300208E-3</v>
      </c>
      <c r="L2">
        <v>1.602091437298715E-3</v>
      </c>
      <c r="M2">
        <v>1.6247471695607424E-3</v>
      </c>
      <c r="N2">
        <v>1.6377534446694777E-3</v>
      </c>
      <c r="O2">
        <v>1.6392777980676649E-3</v>
      </c>
      <c r="P2">
        <v>1.640394435406222E-3</v>
      </c>
      <c r="Q2">
        <v>1.6405047976360437E-3</v>
      </c>
      <c r="R2">
        <v>1.6404000132806532E-3</v>
      </c>
      <c r="S2">
        <v>1.6401689299113515E-3</v>
      </c>
      <c r="T2">
        <v>1.6398722401142136E-3</v>
      </c>
      <c r="U2">
        <v>1.6395545668846905E-3</v>
      </c>
      <c r="V2">
        <v>1.6392180351273284E-3</v>
      </c>
      <c r="W2">
        <v>1.6388378100202531E-3</v>
      </c>
      <c r="X2">
        <v>1.6384014077492613E-3</v>
      </c>
      <c r="Y2">
        <v>1.6379818719080977E-3</v>
      </c>
      <c r="Z2">
        <v>1.6375995218964772E-3</v>
      </c>
      <c r="AA2">
        <v>1.6372409442544575E-3</v>
      </c>
      <c r="AB2">
        <v>1.6369057405624355E-3</v>
      </c>
      <c r="AC2">
        <v>1.6365855440087652E-3</v>
      </c>
      <c r="AD2">
        <v>1.6362796905607755E-3</v>
      </c>
      <c r="AE2">
        <v>1.6359895082838076E-3</v>
      </c>
      <c r="AF2">
        <v>1.6357134034994522E-3</v>
      </c>
    </row>
    <row r="3" spans="1:32">
      <c r="A3" s="1" t="s">
        <v>10</v>
      </c>
      <c r="B3">
        <v>4.9961543882058763E-4</v>
      </c>
      <c r="C3">
        <v>5.064441795780537E-4</v>
      </c>
      <c r="D3">
        <v>5.1439954598548774E-4</v>
      </c>
      <c r="E3">
        <v>5.2422242814962586E-4</v>
      </c>
      <c r="F3">
        <v>5.3638367734317285E-4</v>
      </c>
      <c r="G3">
        <v>5.504330425356417E-4</v>
      </c>
      <c r="H3">
        <v>5.6561262644358153E-4</v>
      </c>
      <c r="I3">
        <v>5.813006690431581E-4</v>
      </c>
      <c r="J3">
        <v>5.892930041023238E-4</v>
      </c>
      <c r="K3">
        <v>6.0097637558396034E-4</v>
      </c>
      <c r="L3">
        <v>6.1088293625137036E-4</v>
      </c>
      <c r="M3">
        <v>6.1968355135693038E-4</v>
      </c>
      <c r="N3">
        <v>6.2490946551641967E-4</v>
      </c>
      <c r="O3">
        <v>6.2555909175937769E-4</v>
      </c>
      <c r="P3">
        <v>6.2605525418240389E-4</v>
      </c>
      <c r="Q3">
        <v>6.2610747340104882E-4</v>
      </c>
      <c r="R3">
        <v>6.2635818952726414E-4</v>
      </c>
      <c r="S3">
        <v>6.2656538963794229E-4</v>
      </c>
      <c r="T3">
        <v>6.2661896623688814E-4</v>
      </c>
      <c r="U3">
        <v>6.2654502893342472E-4</v>
      </c>
      <c r="V3">
        <v>6.2654095679252116E-4</v>
      </c>
      <c r="W3">
        <v>6.2654526847112483E-4</v>
      </c>
      <c r="X3">
        <v>6.2655053830052939E-4</v>
      </c>
      <c r="Y3">
        <v>6.2651301072749711E-4</v>
      </c>
      <c r="Z3">
        <v>6.2655157629723035E-4</v>
      </c>
      <c r="AA3">
        <v>6.2665106428871572E-4</v>
      </c>
      <c r="AB3">
        <v>6.2664531538391083E-4</v>
      </c>
      <c r="AC3">
        <v>6.2681426930845602E-4</v>
      </c>
      <c r="AD3">
        <v>6.2707895846718332E-4</v>
      </c>
      <c r="AE3">
        <v>6.2737750228753983E-4</v>
      </c>
      <c r="AF3">
        <v>6.2771556982843025E-4</v>
      </c>
    </row>
    <row r="4" spans="1:32">
      <c r="A4" s="1" t="s">
        <v>11</v>
      </c>
      <c r="B4">
        <v>7.1576826677045109E-3</v>
      </c>
      <c r="C4">
        <v>7.2555138305631806E-3</v>
      </c>
      <c r="D4">
        <v>7.3694854651951049E-3</v>
      </c>
      <c r="E4">
        <v>7.5102118478287761E-3</v>
      </c>
      <c r="F4">
        <v>7.6844385746404455E-3</v>
      </c>
      <c r="G4">
        <v>7.8857151764359645E-3</v>
      </c>
      <c r="H4">
        <v>8.1031837256411547E-3</v>
      </c>
      <c r="I4">
        <v>8.3279366493503888E-3</v>
      </c>
      <c r="J4">
        <v>8.4424379110858584E-3</v>
      </c>
      <c r="K4">
        <v>8.6098183782545128E-3</v>
      </c>
      <c r="L4">
        <v>8.7517435712651075E-3</v>
      </c>
      <c r="M4">
        <v>8.8778245633875843E-3</v>
      </c>
      <c r="N4">
        <v>8.952693016793644E-3</v>
      </c>
      <c r="O4">
        <v>8.961999811857229E-3</v>
      </c>
      <c r="P4">
        <v>8.9691080252944384E-3</v>
      </c>
      <c r="Q4">
        <v>8.9698561378769824E-3</v>
      </c>
      <c r="R4">
        <v>8.9734479933956234E-3</v>
      </c>
      <c r="S4">
        <v>8.9764164217621435E-3</v>
      </c>
      <c r="T4">
        <v>8.9771839806962218E-3</v>
      </c>
      <c r="U4">
        <v>8.976124726489133E-3</v>
      </c>
      <c r="V4">
        <v>8.9760663874345302E-3</v>
      </c>
      <c r="W4">
        <v>8.9761281581982252E-3</v>
      </c>
      <c r="X4">
        <v>8.9762036557982997E-3</v>
      </c>
      <c r="Y4">
        <v>8.9756660213735351E-3</v>
      </c>
      <c r="Z4">
        <v>8.9762185265377086E-3</v>
      </c>
      <c r="AA4">
        <v>8.9776438297148511E-3</v>
      </c>
      <c r="AB4">
        <v>8.9775614686965887E-3</v>
      </c>
      <c r="AC4">
        <v>8.9799819675110606E-3</v>
      </c>
      <c r="AD4">
        <v>8.9837740060601991E-3</v>
      </c>
      <c r="AE4">
        <v>8.9880510594946578E-3</v>
      </c>
      <c r="AF4">
        <v>8.992894344929666E-3</v>
      </c>
    </row>
    <row r="5" spans="1:32">
      <c r="A5" s="1" t="s">
        <v>12</v>
      </c>
      <c r="B5">
        <v>7.2928093510090471E-4</v>
      </c>
      <c r="C5">
        <v>7.3924874245474208E-4</v>
      </c>
      <c r="D5">
        <v>7.508610678592162E-4</v>
      </c>
      <c r="E5">
        <v>7.6519937715357957E-4</v>
      </c>
      <c r="F5">
        <v>7.8295096466416878E-4</v>
      </c>
      <c r="G5">
        <v>8.0345860591986078E-4</v>
      </c>
      <c r="H5">
        <v>8.2561600996837806E-4</v>
      </c>
      <c r="I5">
        <v>8.4851560331147032E-4</v>
      </c>
      <c r="J5">
        <v>8.6018189128557194E-4</v>
      </c>
      <c r="K5">
        <v>8.7723592808510082E-4</v>
      </c>
      <c r="L5">
        <v>8.9169638159754131E-4</v>
      </c>
      <c r="M5">
        <v>9.0454250346438524E-4</v>
      </c>
      <c r="N5">
        <v>9.1217068960288046E-4</v>
      </c>
      <c r="O5">
        <v>9.1311893899054719E-4</v>
      </c>
      <c r="P5">
        <v>9.1384317961185513E-4</v>
      </c>
      <c r="Q5">
        <v>9.1391940319832696E-4</v>
      </c>
      <c r="R5">
        <v>9.1428536965325259E-4</v>
      </c>
      <c r="S5">
        <v>9.1458781645278495E-4</v>
      </c>
      <c r="T5">
        <v>9.1466602138630556E-4</v>
      </c>
      <c r="U5">
        <v>9.1455809624705047E-4</v>
      </c>
      <c r="V5">
        <v>9.145521522059036E-4</v>
      </c>
      <c r="W5">
        <v>9.1455844589652965E-4</v>
      </c>
      <c r="X5">
        <v>9.1456613818507277E-4</v>
      </c>
      <c r="Y5">
        <v>9.1451135976666027E-4</v>
      </c>
      <c r="Z5">
        <v>9.1456765333281604E-4</v>
      </c>
      <c r="AA5">
        <v>9.1471287441652219E-4</v>
      </c>
      <c r="AB5">
        <v>9.147044828290207E-4</v>
      </c>
      <c r="AC5">
        <v>9.1495110226170301E-4</v>
      </c>
      <c r="AD5">
        <v>9.153374649362501E-4</v>
      </c>
      <c r="AE5">
        <v>9.1577324473719485E-4</v>
      </c>
      <c r="AF5">
        <v>9.1626671670221223E-4</v>
      </c>
    </row>
    <row r="6" spans="1:32">
      <c r="A6" s="1" t="s">
        <v>13</v>
      </c>
      <c r="B6">
        <v>1.1466008681806548E-3</v>
      </c>
      <c r="C6">
        <v>1.1622726018235836E-3</v>
      </c>
      <c r="D6">
        <v>1.1805299039818033E-3</v>
      </c>
      <c r="E6">
        <v>1.203073092887304E-3</v>
      </c>
      <c r="F6">
        <v>1.2309827566006578E-3</v>
      </c>
      <c r="G6">
        <v>1.2632255839342154E-3</v>
      </c>
      <c r="H6">
        <v>1.2980622257492715E-3</v>
      </c>
      <c r="I6">
        <v>1.3340657634045381E-3</v>
      </c>
      <c r="J6">
        <v>1.3524079073928485E-3</v>
      </c>
      <c r="K6">
        <v>1.3792208576006023E-3</v>
      </c>
      <c r="L6">
        <v>1.4019560858968914E-3</v>
      </c>
      <c r="M6">
        <v>1.4221532057945064E-3</v>
      </c>
      <c r="N6">
        <v>1.4341465055341081E-3</v>
      </c>
      <c r="O6">
        <v>1.4356373762244275E-3</v>
      </c>
      <c r="P6">
        <v>1.4367760525358388E-3</v>
      </c>
      <c r="Q6">
        <v>1.4368958939113884E-3</v>
      </c>
      <c r="R6">
        <v>1.4374712791089795E-3</v>
      </c>
      <c r="S6">
        <v>1.4379467964936131E-3</v>
      </c>
      <c r="T6">
        <v>1.438069753011952E-3</v>
      </c>
      <c r="U6">
        <v>1.4379000693517704E-3</v>
      </c>
      <c r="V6">
        <v>1.437890723923402E-3</v>
      </c>
      <c r="W6">
        <v>1.4379006190828509E-3</v>
      </c>
      <c r="X6">
        <v>1.4379127131666219E-3</v>
      </c>
      <c r="Y6">
        <v>1.4378265886306769E-3</v>
      </c>
      <c r="Z6">
        <v>1.4379150953346374E-3</v>
      </c>
      <c r="AA6">
        <v>1.438143416976739E-3</v>
      </c>
      <c r="AB6">
        <v>1.438130223430807E-3</v>
      </c>
      <c r="AC6">
        <v>1.4385179670862538E-3</v>
      </c>
      <c r="AD6">
        <v>1.4391254199302077E-3</v>
      </c>
      <c r="AE6">
        <v>1.4398105681002059E-3</v>
      </c>
      <c r="AF6">
        <v>1.4405864218984864E-3</v>
      </c>
    </row>
    <row r="7" spans="1:32">
      <c r="A7" s="1" t="s">
        <v>14</v>
      </c>
      <c r="B7">
        <v>3.092059196585414E-3</v>
      </c>
      <c r="C7">
        <v>3.1343214427443106E-3</v>
      </c>
      <c r="D7">
        <v>3.1835562380508383E-3</v>
      </c>
      <c r="E7">
        <v>3.2443488612818134E-3</v>
      </c>
      <c r="F7">
        <v>3.319613353707512E-3</v>
      </c>
      <c r="G7">
        <v>3.4065631664517097E-3</v>
      </c>
      <c r="H7">
        <v>3.5005077653890138E-3</v>
      </c>
      <c r="I7">
        <v>3.5975991533392245E-3</v>
      </c>
      <c r="J7">
        <v>3.6470627431358558E-3</v>
      </c>
      <c r="K7">
        <v>3.719369708513462E-3</v>
      </c>
      <c r="L7">
        <v>3.780680207825707E-3</v>
      </c>
      <c r="M7">
        <v>3.8351461445409402E-3</v>
      </c>
      <c r="N7">
        <v>3.8674886917920014E-3</v>
      </c>
      <c r="O7">
        <v>3.871509149613768E-3</v>
      </c>
      <c r="P7">
        <v>3.8745798385154957E-3</v>
      </c>
      <c r="Q7">
        <v>3.8749030169097235E-3</v>
      </c>
      <c r="R7">
        <v>3.8764546685272688E-3</v>
      </c>
      <c r="S7">
        <v>3.8777370048162911E-3</v>
      </c>
      <c r="T7">
        <v>3.8780685838721426E-3</v>
      </c>
      <c r="U7">
        <v>3.8776109948919363E-3</v>
      </c>
      <c r="V7">
        <v>3.8775857929070653E-3</v>
      </c>
      <c r="W7">
        <v>3.8776124773616341E-3</v>
      </c>
      <c r="X7">
        <v>3.8776450916949974E-3</v>
      </c>
      <c r="Y7">
        <v>3.877412838108931E-3</v>
      </c>
      <c r="Z7">
        <v>3.8776515157303566E-3</v>
      </c>
      <c r="AA7">
        <v>3.8782672348117134E-3</v>
      </c>
      <c r="AB7">
        <v>3.8782316555389541E-3</v>
      </c>
      <c r="AC7">
        <v>3.8792772908328157E-3</v>
      </c>
      <c r="AD7">
        <v>3.8809154198494282E-3</v>
      </c>
      <c r="AE7">
        <v>3.8827630712500658E-3</v>
      </c>
      <c r="AF7">
        <v>3.8848553301509209E-3</v>
      </c>
    </row>
    <row r="8" spans="1:32">
      <c r="A8" s="1" t="s">
        <v>15</v>
      </c>
      <c r="B8">
        <v>2.9126393532984403E-3</v>
      </c>
      <c r="C8">
        <v>2.9524492901383042E-3</v>
      </c>
      <c r="D8">
        <v>2.9988271869521004E-3</v>
      </c>
      <c r="E8">
        <v>3.0560922571061006E-3</v>
      </c>
      <c r="F8">
        <v>3.1269894516964252E-3</v>
      </c>
      <c r="G8">
        <v>3.2088939141466754E-3</v>
      </c>
      <c r="H8">
        <v>3.2973872832894133E-3</v>
      </c>
      <c r="I8">
        <v>3.38884484584916E-3</v>
      </c>
      <c r="J8">
        <v>3.4354382611227665E-3</v>
      </c>
      <c r="K8">
        <v>3.5035495421451273E-3</v>
      </c>
      <c r="L8">
        <v>3.5613024381001678E-3</v>
      </c>
      <c r="M8">
        <v>3.6126079340836328E-3</v>
      </c>
      <c r="N8">
        <v>3.6430737725169282E-3</v>
      </c>
      <c r="O8">
        <v>3.6468609392318746E-3</v>
      </c>
      <c r="P8">
        <v>3.6497534483231585E-3</v>
      </c>
      <c r="Q8">
        <v>3.6500578739661737E-3</v>
      </c>
      <c r="R8">
        <v>3.6515194894387567E-3</v>
      </c>
      <c r="S8">
        <v>3.6527274168754935E-3</v>
      </c>
      <c r="T8">
        <v>3.6530397557232967E-3</v>
      </c>
      <c r="U8">
        <v>3.6526087188036753E-3</v>
      </c>
      <c r="V8">
        <v>3.6525849791893121E-3</v>
      </c>
      <c r="W8">
        <v>3.6526101152515788E-3</v>
      </c>
      <c r="X8">
        <v>3.6526408371054613E-3</v>
      </c>
      <c r="Y8">
        <v>3.6524220602672085E-3</v>
      </c>
      <c r="Z8">
        <v>3.6526468883797108E-3</v>
      </c>
      <c r="AA8">
        <v>3.6532268797423982E-3</v>
      </c>
      <c r="AB8">
        <v>3.6531933649927083E-3</v>
      </c>
      <c r="AC8">
        <v>3.6541783262474805E-3</v>
      </c>
      <c r="AD8">
        <v>3.655721401181115E-3</v>
      </c>
      <c r="AE8">
        <v>3.6574618407518118E-3</v>
      </c>
      <c r="AF8">
        <v>3.6594326942266261E-3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F964-CFA7-48C9-B564-1E6DF0953F64}"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1.4980235812240234E-3</v>
      </c>
      <c r="C2">
        <v>1.5231644537335698E-3</v>
      </c>
      <c r="D2">
        <v>1.5304275172800137E-3</v>
      </c>
      <c r="E2">
        <v>1.5412712423030443E-3</v>
      </c>
      <c r="F2">
        <v>1.5576490945925607E-3</v>
      </c>
      <c r="G2">
        <v>1.5699908781437811E-3</v>
      </c>
      <c r="H2">
        <v>1.5806683889015623E-3</v>
      </c>
      <c r="I2">
        <v>1.5909098534806817E-3</v>
      </c>
      <c r="J2">
        <v>1.6012077984306095E-3</v>
      </c>
      <c r="K2">
        <v>1.611298486993707E-3</v>
      </c>
      <c r="L2">
        <v>1.6219407555186202E-3</v>
      </c>
      <c r="M2">
        <v>1.6329881937237401E-3</v>
      </c>
      <c r="N2">
        <v>1.6447141978177234E-3</v>
      </c>
      <c r="O2">
        <v>1.6570786747516877E-3</v>
      </c>
      <c r="P2">
        <v>1.6697670596523698E-3</v>
      </c>
      <c r="Q2">
        <v>1.6829627766366171E-3</v>
      </c>
      <c r="R2">
        <v>1.6961396808909308E-3</v>
      </c>
      <c r="S2">
        <v>1.7093091823781967E-3</v>
      </c>
      <c r="T2">
        <v>1.722308926395473E-3</v>
      </c>
      <c r="U2">
        <v>1.7349202255025392E-3</v>
      </c>
      <c r="V2">
        <v>1.7473289503147547E-3</v>
      </c>
      <c r="W2">
        <v>1.7596425780425883E-3</v>
      </c>
      <c r="X2">
        <v>1.7719576610152265E-3</v>
      </c>
      <c r="Y2">
        <v>1.7844069217769168E-3</v>
      </c>
      <c r="Z2">
        <v>1.7964568338376173E-3</v>
      </c>
      <c r="AA2">
        <v>1.8081574027832825E-3</v>
      </c>
      <c r="AB2">
        <v>1.8196558614251941E-3</v>
      </c>
      <c r="AC2">
        <v>1.8309308450823857E-3</v>
      </c>
      <c r="AD2">
        <v>1.8426753455487357E-3</v>
      </c>
      <c r="AE2">
        <v>1.8543062314678332E-3</v>
      </c>
      <c r="AF2">
        <v>1.8658766298202847E-3</v>
      </c>
    </row>
    <row r="3" spans="1:32">
      <c r="A3" s="1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s="1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s="1" t="s">
        <v>12</v>
      </c>
      <c r="B5">
        <v>4.6616941125958422E-4</v>
      </c>
      <c r="C5">
        <v>4.7399299019600609E-4</v>
      </c>
      <c r="D5">
        <v>4.7625318028902199E-4</v>
      </c>
      <c r="E5">
        <v>4.7962763511951036E-4</v>
      </c>
      <c r="F5">
        <v>4.8472425299335046E-4</v>
      </c>
      <c r="G5">
        <v>4.8856488811023198E-4</v>
      </c>
      <c r="H5">
        <v>4.9188761878420821E-4</v>
      </c>
      <c r="I5">
        <v>4.9507465640706257E-4</v>
      </c>
      <c r="J5">
        <v>4.9827927013588579E-4</v>
      </c>
      <c r="K5">
        <v>5.0141938782536798E-4</v>
      </c>
      <c r="L5">
        <v>5.0473115148176617E-4</v>
      </c>
      <c r="M5">
        <v>5.0816899974300608E-4</v>
      </c>
      <c r="N5">
        <v>5.1181801067543291E-4</v>
      </c>
      <c r="O5">
        <v>5.1566570773780435E-4</v>
      </c>
      <c r="P5">
        <v>5.1961420160206843E-4</v>
      </c>
      <c r="Q5">
        <v>5.2372057195217224E-4</v>
      </c>
      <c r="R5">
        <v>5.2782108797571725E-4</v>
      </c>
      <c r="S5">
        <v>5.3191930033488766E-4</v>
      </c>
      <c r="T5">
        <v>5.3596468592895642E-4</v>
      </c>
      <c r="U5">
        <v>5.3988919149325191E-4</v>
      </c>
      <c r="V5">
        <v>5.4375065803669985E-4</v>
      </c>
      <c r="W5">
        <v>5.4758253135318239E-4</v>
      </c>
      <c r="X5">
        <v>5.5141485752676429E-4</v>
      </c>
      <c r="Y5">
        <v>5.5528893843752823E-4</v>
      </c>
      <c r="Z5">
        <v>5.5903874617184749E-4</v>
      </c>
      <c r="AA5">
        <v>5.6267984194975651E-4</v>
      </c>
      <c r="AB5">
        <v>5.6625804309603806E-4</v>
      </c>
      <c r="AC5">
        <v>5.6976670114342325E-4</v>
      </c>
      <c r="AD5">
        <v>5.7342146795521316E-4</v>
      </c>
      <c r="AE5">
        <v>5.770408790975283E-4</v>
      </c>
      <c r="AF5">
        <v>5.8064146713606509E-4</v>
      </c>
    </row>
    <row r="6" spans="1:32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s="1" t="s">
        <v>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s="1" t="s">
        <v>15</v>
      </c>
      <c r="B8">
        <v>1.3985082337787526E-3</v>
      </c>
      <c r="C8">
        <v>1.4219789705880181E-3</v>
      </c>
      <c r="D8">
        <v>1.4287595408670657E-3</v>
      </c>
      <c r="E8">
        <v>1.4388829053585308E-3</v>
      </c>
      <c r="F8">
        <v>1.4541727589800512E-3</v>
      </c>
      <c r="G8">
        <v>1.4656946643306957E-3</v>
      </c>
      <c r="H8">
        <v>1.4756628563526244E-3</v>
      </c>
      <c r="I8">
        <v>1.4852239692211874E-3</v>
      </c>
      <c r="J8">
        <v>1.4948378104076572E-3</v>
      </c>
      <c r="K8">
        <v>1.5042581634761036E-3</v>
      </c>
      <c r="L8">
        <v>1.5141934544452983E-3</v>
      </c>
      <c r="M8">
        <v>1.524506999229018E-3</v>
      </c>
      <c r="N8">
        <v>1.5354540320262984E-3</v>
      </c>
      <c r="O8">
        <v>1.5469971232134128E-3</v>
      </c>
      <c r="P8">
        <v>1.5588426048062051E-3</v>
      </c>
      <c r="Q8">
        <v>1.5711617158565164E-3</v>
      </c>
      <c r="R8">
        <v>1.5834632639271514E-3</v>
      </c>
      <c r="S8">
        <v>1.5957579010046628E-3</v>
      </c>
      <c r="T8">
        <v>1.6078940577868689E-3</v>
      </c>
      <c r="U8">
        <v>1.6196675744797554E-3</v>
      </c>
      <c r="V8">
        <v>1.6312519741100992E-3</v>
      </c>
      <c r="W8">
        <v>1.642747594059547E-3</v>
      </c>
      <c r="X8">
        <v>1.6542445725802927E-3</v>
      </c>
      <c r="Y8">
        <v>1.6658668153125844E-3</v>
      </c>
      <c r="Z8">
        <v>1.6771162385155421E-3</v>
      </c>
      <c r="AA8">
        <v>1.6880395258492692E-3</v>
      </c>
      <c r="AB8">
        <v>1.698774129288114E-3</v>
      </c>
      <c r="AC8">
        <v>1.7093001034302695E-3</v>
      </c>
      <c r="AD8">
        <v>1.7202644038656393E-3</v>
      </c>
      <c r="AE8">
        <v>1.7311226372925847E-3</v>
      </c>
      <c r="AF8">
        <v>1.741924401408195E-3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07540-7167-4711-9DCE-C0F064603E78}"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3.8569771061435794E-4</v>
      </c>
      <c r="C2" s="6">
        <v>3.9217075756189419E-4</v>
      </c>
      <c r="D2" s="6">
        <v>3.9404078618962861E-4</v>
      </c>
      <c r="E2" s="6">
        <v>3.9683273150232986E-4</v>
      </c>
      <c r="F2" s="6">
        <v>4.0104955439618917E-4</v>
      </c>
      <c r="G2" s="6">
        <v>4.0422720641733706E-4</v>
      </c>
      <c r="H2" s="6">
        <v>4.069763563679482E-4</v>
      </c>
      <c r="I2" s="6">
        <v>4.0961323704927693E-4</v>
      </c>
      <c r="J2" s="6">
        <v>4.1226465979121696E-4</v>
      </c>
      <c r="K2" s="6">
        <v>4.148627200127584E-4</v>
      </c>
      <c r="L2" s="6">
        <v>4.1760279610852203E-4</v>
      </c>
      <c r="M2" s="6">
        <v>4.2044719166896229E-4</v>
      </c>
      <c r="N2" s="6">
        <v>4.2346629830412516E-4</v>
      </c>
      <c r="O2" s="6">
        <v>4.2664979321445059E-4</v>
      </c>
      <c r="P2" s="6">
        <v>4.2991668505041756E-4</v>
      </c>
      <c r="Q2" s="6">
        <v>4.3331420021274928E-4</v>
      </c>
      <c r="R2" s="6">
        <v>4.3670687164167358E-4</v>
      </c>
      <c r="S2" s="6">
        <v>4.4009763707236223E-4</v>
      </c>
      <c r="T2" s="6">
        <v>4.4344469486830111E-4</v>
      </c>
      <c r="U2" s="6">
        <v>4.4669173934372511E-4</v>
      </c>
      <c r="V2" s="6">
        <v>4.498866268019081E-4</v>
      </c>
      <c r="W2" s="6">
        <v>4.5305702951352783E-4</v>
      </c>
      <c r="X2" s="6">
        <v>4.5622780690856147E-4</v>
      </c>
      <c r="Y2" s="6">
        <v>4.5943313120038717E-4</v>
      </c>
      <c r="Z2" s="6">
        <v>4.6253563476119156E-4</v>
      </c>
      <c r="AA2" s="6">
        <v>4.6554819258190429E-4</v>
      </c>
      <c r="AB2" s="6">
        <v>4.6850871284965303E-4</v>
      </c>
      <c r="AC2" s="6">
        <v>4.7141169477750731E-4</v>
      </c>
      <c r="AD2" s="6">
        <v>4.7443556369316164E-4</v>
      </c>
      <c r="AE2" s="6">
        <v>4.7743018015156688E-4</v>
      </c>
      <c r="AF2" s="6">
        <v>4.8040922281242433E-4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12</v>
      </c>
      <c r="B5" s="6">
        <v>1.2002512973417359E-4</v>
      </c>
      <c r="C5" s="6">
        <v>1.2203947485023846E-4</v>
      </c>
      <c r="D5" s="6">
        <v>1.2262140837608938E-4</v>
      </c>
      <c r="E5" s="6">
        <v>1.2349023281851067E-4</v>
      </c>
      <c r="F5" s="6">
        <v>1.2480246439513921E-4</v>
      </c>
      <c r="G5" s="6">
        <v>1.2579131676732679E-4</v>
      </c>
      <c r="H5" s="6">
        <v>1.2664682373664536E-4</v>
      </c>
      <c r="I5" s="6">
        <v>1.2746739367304943E-4</v>
      </c>
      <c r="J5" s="6">
        <v>1.282924889479853E-4</v>
      </c>
      <c r="K5" s="6">
        <v>1.2910097835968289E-4</v>
      </c>
      <c r="L5" s="6">
        <v>1.2995366163942465E-4</v>
      </c>
      <c r="M5" s="6">
        <v>1.3083880805528838E-4</v>
      </c>
      <c r="N5" s="6">
        <v>1.3177832274670185E-4</v>
      </c>
      <c r="O5" s="6">
        <v>1.3276899336543915E-4</v>
      </c>
      <c r="P5" s="6">
        <v>1.3378561624301569E-4</v>
      </c>
      <c r="Q5" s="6">
        <v>1.3484288774582846E-4</v>
      </c>
      <c r="R5" s="6">
        <v>1.3589865192901079E-4</v>
      </c>
      <c r="S5" s="6">
        <v>1.3695382298529812E-4</v>
      </c>
      <c r="T5" s="6">
        <v>1.3799539267868687E-4</v>
      </c>
      <c r="U5" s="6">
        <v>1.3900583926338301E-4</v>
      </c>
      <c r="V5" s="6">
        <v>1.4000005512492829E-4</v>
      </c>
      <c r="W5" s="6">
        <v>1.409866515871308E-4</v>
      </c>
      <c r="X5" s="6">
        <v>1.4197336464692809E-4</v>
      </c>
      <c r="Y5" s="6">
        <v>1.4297082834292379E-4</v>
      </c>
      <c r="Z5" s="6">
        <v>1.4393629529317647E-4</v>
      </c>
      <c r="AA5" s="6">
        <v>1.4487377206141239E-4</v>
      </c>
      <c r="AB5" s="6">
        <v>1.4579505528254221E-4</v>
      </c>
      <c r="AC5" s="6">
        <v>1.4669843316868957E-4</v>
      </c>
      <c r="AD5" s="6">
        <v>1.4763942983243028E-4</v>
      </c>
      <c r="AE5" s="6">
        <v>1.4857132343468077E-4</v>
      </c>
      <c r="AF5" s="6">
        <v>1.494983706325589E-4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3.600753892025207E-4</v>
      </c>
      <c r="C8" s="6">
        <v>3.6611842455071535E-4</v>
      </c>
      <c r="D8" s="6">
        <v>3.6786422512826805E-4</v>
      </c>
      <c r="E8" s="6">
        <v>3.7047069845553193E-4</v>
      </c>
      <c r="F8" s="6">
        <v>3.7440739318541754E-4</v>
      </c>
      <c r="G8" s="6">
        <v>3.773739503019803E-4</v>
      </c>
      <c r="H8" s="6">
        <v>3.7994047120993603E-4</v>
      </c>
      <c r="I8" s="6">
        <v>3.8240218101914824E-4</v>
      </c>
      <c r="J8" s="6">
        <v>3.8487746684395585E-4</v>
      </c>
      <c r="K8" s="6">
        <v>3.873029350790486E-4</v>
      </c>
      <c r="L8" s="6">
        <v>3.898609849182739E-4</v>
      </c>
      <c r="M8" s="6">
        <v>3.9251642416586506E-4</v>
      </c>
      <c r="N8" s="6">
        <v>3.953349682401055E-4</v>
      </c>
      <c r="O8" s="6">
        <v>3.9830698009631738E-4</v>
      </c>
      <c r="P8" s="6">
        <v>4.0135684872904701E-4</v>
      </c>
      <c r="Q8" s="6">
        <v>4.045286632374853E-4</v>
      </c>
      <c r="R8" s="6">
        <v>4.0769595578703233E-4</v>
      </c>
      <c r="S8" s="6">
        <v>4.1086146895589429E-4</v>
      </c>
      <c r="T8" s="6">
        <v>4.1398617803606053E-4</v>
      </c>
      <c r="U8" s="6">
        <v>4.1701751779014897E-4</v>
      </c>
      <c r="V8" s="6">
        <v>4.2000016537478479E-4</v>
      </c>
      <c r="W8" s="6">
        <v>4.2295995476139233E-4</v>
      </c>
      <c r="X8" s="6">
        <v>4.2592009394078423E-4</v>
      </c>
      <c r="Y8" s="6">
        <v>4.2891248502877131E-4</v>
      </c>
      <c r="Z8" s="6">
        <v>4.3180888587952934E-4</v>
      </c>
      <c r="AA8" s="6">
        <v>4.346213161842371E-4</v>
      </c>
      <c r="AB8" s="6">
        <v>4.3738516584762658E-4</v>
      </c>
      <c r="AC8" s="6">
        <v>4.4009529950606865E-4</v>
      </c>
      <c r="AD8" s="6">
        <v>4.4291828949729077E-4</v>
      </c>
      <c r="AE8" s="6">
        <v>4.4571397030404223E-4</v>
      </c>
      <c r="AF8" s="6">
        <v>4.4849511189767665E-4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9823-CDEA-4E8F-80A3-F2833AF1EC39}"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1.2490429545241593E-3</v>
      </c>
      <c r="C2" s="6">
        <v>1.2479838852561889E-3</v>
      </c>
      <c r="D2" s="6">
        <v>1.2471665685815224E-3</v>
      </c>
      <c r="E2" s="6">
        <v>1.2466464519590526E-3</v>
      </c>
      <c r="F2" s="6">
        <v>1.2461776274382624E-3</v>
      </c>
      <c r="G2" s="6">
        <v>1.2458210503215087E-3</v>
      </c>
      <c r="H2" s="6">
        <v>1.2454261907779705E-3</v>
      </c>
      <c r="I2" s="6">
        <v>1.2450097660041024E-3</v>
      </c>
      <c r="J2" s="6">
        <v>1.2449523012062393E-3</v>
      </c>
      <c r="K2" s="6">
        <v>1.2448581170389291E-3</v>
      </c>
      <c r="L2" s="6">
        <v>1.244492708563932E-3</v>
      </c>
      <c r="M2" s="6">
        <v>1.2445150475500222E-3</v>
      </c>
      <c r="N2" s="6">
        <v>1.244362963786191E-3</v>
      </c>
      <c r="O2" s="6">
        <v>1.2442462668418766E-3</v>
      </c>
      <c r="P2" s="6">
        <v>1.2440271982043711E-3</v>
      </c>
      <c r="Q2" s="6">
        <v>1.2439416368347936E-3</v>
      </c>
      <c r="R2" s="6">
        <v>1.2436776543099449E-3</v>
      </c>
      <c r="S2" s="6">
        <v>1.2434044966707469E-3</v>
      </c>
      <c r="T2" s="6">
        <v>1.2431106233009778E-3</v>
      </c>
      <c r="U2" s="6">
        <v>1.242818522097998E-3</v>
      </c>
      <c r="V2" s="6">
        <v>1.2424141228640053E-3</v>
      </c>
      <c r="W2" s="6">
        <v>1.2420321636298346E-3</v>
      </c>
      <c r="X2" s="6">
        <v>1.241620319407161E-3</v>
      </c>
      <c r="Y2" s="6">
        <v>1.2411620718582406E-3</v>
      </c>
      <c r="Z2" s="6">
        <v>1.240669038843074E-3</v>
      </c>
      <c r="AA2" s="6">
        <v>1.2401023941352315E-3</v>
      </c>
      <c r="AB2" s="6">
        <v>1.2395514545691941E-3</v>
      </c>
      <c r="AC2" s="6">
        <v>1.2389760811407262E-3</v>
      </c>
      <c r="AD2" s="6">
        <v>1.2383487405617649E-3</v>
      </c>
      <c r="AE2" s="6">
        <v>1.2375986561341948E-3</v>
      </c>
      <c r="AF2" s="6">
        <v>1.236792153822779E-3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12</v>
      </c>
      <c r="B5" s="8">
        <v>3.8868922094850749E-4</v>
      </c>
      <c r="C5" s="8">
        <v>3.8835964956971156E-4</v>
      </c>
      <c r="D5" s="8">
        <v>3.8810530909215343E-4</v>
      </c>
      <c r="E5" s="8">
        <v>3.8794345419032003E-4</v>
      </c>
      <c r="F5" s="8">
        <v>3.8779756085887974E-4</v>
      </c>
      <c r="G5" s="8">
        <v>3.8768659775611613E-4</v>
      </c>
      <c r="H5" s="8">
        <v>3.8756372155893972E-4</v>
      </c>
      <c r="I5" s="8">
        <v>3.8743413448561116E-4</v>
      </c>
      <c r="J5" s="8">
        <v>3.8741625203614658E-4</v>
      </c>
      <c r="K5" s="8">
        <v>3.8738694289951122E-4</v>
      </c>
      <c r="L5" s="8">
        <v>3.8727323156960051E-4</v>
      </c>
      <c r="M5" s="8">
        <v>3.872801832305252E-4</v>
      </c>
      <c r="N5" s="8">
        <v>3.8723285633958973E-4</v>
      </c>
      <c r="O5" s="8">
        <v>3.8719654146009873E-4</v>
      </c>
      <c r="P5" s="8">
        <v>3.8712836957078314E-4</v>
      </c>
      <c r="Q5" s="8">
        <v>3.8710174375942578E-4</v>
      </c>
      <c r="R5" s="8">
        <v>3.8701959513390749E-4</v>
      </c>
      <c r="S5" s="8">
        <v>3.8693459130790495E-4</v>
      </c>
      <c r="T5" s="8">
        <v>3.8684314096127021E-4</v>
      </c>
      <c r="U5" s="8">
        <v>3.8675224209457141E-4</v>
      </c>
      <c r="V5" s="8">
        <v>3.8662639724460569E-4</v>
      </c>
      <c r="W5" s="8">
        <v>3.8650753548999096E-4</v>
      </c>
      <c r="X5" s="8">
        <v>3.8637937383671609E-4</v>
      </c>
      <c r="Y5" s="8">
        <v>3.8623677194928995E-4</v>
      </c>
      <c r="Z5" s="8">
        <v>3.8608334518532407E-4</v>
      </c>
      <c r="AA5" s="8">
        <v>3.8590701122559256E-4</v>
      </c>
      <c r="AB5" s="8">
        <v>3.8573556454320505E-4</v>
      </c>
      <c r="AC5" s="8">
        <v>3.8555651429608934E-4</v>
      </c>
      <c r="AD5" s="8">
        <v>3.8536129241038667E-4</v>
      </c>
      <c r="AE5" s="8">
        <v>3.8512787391125356E-4</v>
      </c>
      <c r="AF5" s="8">
        <v>3.8487689875144672E-4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1.1660676628455222E-3</v>
      </c>
      <c r="C8" s="6">
        <v>1.1650789487091344E-3</v>
      </c>
      <c r="D8" s="6">
        <v>1.16431592727646E-3</v>
      </c>
      <c r="E8" s="6">
        <v>1.1638303625709598E-3</v>
      </c>
      <c r="F8" s="6">
        <v>1.1633926825766389E-3</v>
      </c>
      <c r="G8" s="6">
        <v>1.1630597932683483E-3</v>
      </c>
      <c r="H8" s="6">
        <v>1.162691164676819E-3</v>
      </c>
      <c r="I8" s="6">
        <v>1.1623024034568333E-3</v>
      </c>
      <c r="J8" s="6">
        <v>1.1622487561084396E-3</v>
      </c>
      <c r="K8" s="6">
        <v>1.1621608286985334E-3</v>
      </c>
      <c r="L8" s="6">
        <v>1.1618196947088013E-3</v>
      </c>
      <c r="M8" s="6">
        <v>1.1618405496915754E-3</v>
      </c>
      <c r="N8" s="6">
        <v>1.161698569018769E-3</v>
      </c>
      <c r="O8" s="6">
        <v>1.1615896243802959E-3</v>
      </c>
      <c r="P8" s="6">
        <v>1.1613851087123493E-3</v>
      </c>
      <c r="Q8" s="6">
        <v>1.1613052312782772E-3</v>
      </c>
      <c r="R8" s="6">
        <v>1.1610587854017224E-3</v>
      </c>
      <c r="S8" s="6">
        <v>1.1608037739237146E-3</v>
      </c>
      <c r="T8" s="6">
        <v>1.1605294228838104E-3</v>
      </c>
      <c r="U8" s="6">
        <v>1.1602567262837141E-3</v>
      </c>
      <c r="V8" s="6">
        <v>1.1598791917338169E-3</v>
      </c>
      <c r="W8" s="6">
        <v>1.1595226064699726E-3</v>
      </c>
      <c r="X8" s="6">
        <v>1.1591381215101482E-3</v>
      </c>
      <c r="Y8" s="6">
        <v>1.1587103158478696E-3</v>
      </c>
      <c r="Z8" s="6">
        <v>1.158250035555972E-3</v>
      </c>
      <c r="AA8" s="6">
        <v>1.1577210336767775E-3</v>
      </c>
      <c r="AB8" s="6">
        <v>1.1572066936296149E-3</v>
      </c>
      <c r="AC8" s="6">
        <v>1.1566695428882679E-3</v>
      </c>
      <c r="AD8" s="6">
        <v>1.1560838772311599E-3</v>
      </c>
      <c r="AE8" s="6">
        <v>1.1553836217337605E-3</v>
      </c>
      <c r="AF8" s="6">
        <v>1.15463069625434E-3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22687-615D-4131-AB0A-50C4149D9CE3}"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1.1213005219530657E-2</v>
      </c>
      <c r="C2" s="6">
        <v>1.1285732577592732E-2</v>
      </c>
      <c r="D2" s="6">
        <v>1.1358932316426948E-2</v>
      </c>
      <c r="E2" s="6">
        <v>1.1432610862982587E-2</v>
      </c>
      <c r="F2" s="6">
        <v>1.150676179031037E-2</v>
      </c>
      <c r="G2" s="6">
        <v>1.1581394738834218E-2</v>
      </c>
      <c r="H2" s="6">
        <v>1.1656512922028765E-2</v>
      </c>
      <c r="I2" s="6">
        <v>1.1732119553368661E-2</v>
      </c>
      <c r="J2" s="6">
        <v>1.1808214632853897E-2</v>
      </c>
      <c r="K2" s="6">
        <v>1.188480458743376E-2</v>
      </c>
      <c r="L2" s="6">
        <v>1.1961889417108251E-2</v>
      </c>
      <c r="M2" s="6">
        <v>1.2039475548826646E-2</v>
      </c>
      <c r="N2" s="6">
        <v>1.2117562982588948E-2</v>
      </c>
      <c r="O2" s="6">
        <v>1.2196158145344435E-2</v>
      </c>
      <c r="P2" s="6">
        <v>1.2275264250567752E-2</v>
      </c>
      <c r="Q2" s="6">
        <v>1.2354884511733534E-2</v>
      </c>
      <c r="R2" s="6">
        <v>1.2435018928841786E-2</v>
      </c>
      <c r="S2" s="6">
        <v>1.2515673928841786E-2</v>
      </c>
      <c r="T2" s="6">
        <v>1.2596849511733533E-2</v>
      </c>
      <c r="U2" s="6">
        <v>1.2678555317940952E-2</v>
      </c>
      <c r="V2" s="6">
        <v>1.2760788133989403E-2</v>
      </c>
      <c r="W2" s="6">
        <v>1.2843557600302801E-2</v>
      </c>
      <c r="X2" s="6">
        <v>1.2926860503406511E-2</v>
      </c>
      <c r="Y2" s="6">
        <v>1.3010706483724453E-2</v>
      </c>
      <c r="Z2" s="6">
        <v>1.3095095541256624E-2</v>
      </c>
      <c r="AA2" s="6">
        <v>1.3180030889477667E-2</v>
      </c>
      <c r="AB2" s="6">
        <v>1.3265515741862226E-2</v>
      </c>
      <c r="AC2" s="6">
        <v>1.3351556525359576E-2</v>
      </c>
      <c r="AD2" s="6">
        <v>1.343815645344436E-2</v>
      </c>
      <c r="AE2" s="6">
        <v>1.3525318739591218E-2</v>
      </c>
      <c r="AF2" s="6">
        <v>1.361304338380015E-2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7" t="s">
        <v>12</v>
      </c>
      <c r="B5" s="8">
        <v>3.4893709999999998E-3</v>
      </c>
      <c r="C5" s="8">
        <v>3.5120030000000001E-3</v>
      </c>
      <c r="D5" s="8">
        <v>3.5347819999999998E-3</v>
      </c>
      <c r="E5" s="8">
        <v>3.55771E-3</v>
      </c>
      <c r="F5" s="8">
        <v>3.580785E-3</v>
      </c>
      <c r="G5" s="8">
        <v>3.6040100000000004E-3</v>
      </c>
      <c r="H5" s="8">
        <v>3.6273859999999998E-3</v>
      </c>
      <c r="I5" s="8">
        <v>3.6509140000000003E-3</v>
      </c>
      <c r="J5" s="8">
        <v>3.6745939999999998E-3</v>
      </c>
      <c r="K5" s="8">
        <v>3.6984279999999997E-3</v>
      </c>
      <c r="L5" s="8">
        <v>3.7224160000000001E-3</v>
      </c>
      <c r="M5" s="8">
        <v>3.7465599999999999E-3</v>
      </c>
      <c r="N5" s="8">
        <v>3.77086E-3</v>
      </c>
      <c r="O5" s="8">
        <v>3.7953179999999998E-3</v>
      </c>
      <c r="P5" s="8">
        <v>3.819935E-3</v>
      </c>
      <c r="Q5" s="8">
        <v>3.8447119999999997E-3</v>
      </c>
      <c r="R5" s="8">
        <v>3.8696489999999997E-3</v>
      </c>
      <c r="S5" s="8">
        <v>3.894748E-3</v>
      </c>
      <c r="T5" s="8">
        <v>3.9200089999999995E-3</v>
      </c>
      <c r="U5" s="8">
        <v>3.9454349999999997E-3</v>
      </c>
      <c r="V5" s="8">
        <v>3.9710250000000004E-3</v>
      </c>
      <c r="W5" s="8">
        <v>3.9967819999999999E-3</v>
      </c>
      <c r="X5" s="8">
        <v>4.0227050000000006E-3</v>
      </c>
      <c r="Y5" s="8">
        <v>4.0487970000000007E-3</v>
      </c>
      <c r="Z5" s="8">
        <v>4.0750580000000003E-3</v>
      </c>
      <c r="AA5" s="8">
        <v>4.1014889999999998E-3</v>
      </c>
      <c r="AB5" s="8">
        <v>4.1280910000000004E-3</v>
      </c>
      <c r="AC5" s="8">
        <v>4.1548660000000001E-3</v>
      </c>
      <c r="AD5" s="8">
        <v>4.1818150000000002E-3</v>
      </c>
      <c r="AE5" s="8">
        <v>4.2089390000000001E-3</v>
      </c>
      <c r="AF5" s="8">
        <v>4.2362379999999998E-3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1.0468112999999998E-2</v>
      </c>
      <c r="C8" s="6">
        <v>1.0536008999999999E-2</v>
      </c>
      <c r="D8" s="6">
        <v>1.0604345999999997E-2</v>
      </c>
      <c r="E8" s="6">
        <v>1.0673129999999998E-2</v>
      </c>
      <c r="F8" s="6">
        <v>1.0742354999999999E-2</v>
      </c>
      <c r="G8" s="6">
        <v>1.081203E-2</v>
      </c>
      <c r="H8" s="6">
        <v>1.0882157999999998E-2</v>
      </c>
      <c r="I8" s="6">
        <v>1.0952742E-2</v>
      </c>
      <c r="J8" s="6">
        <v>1.1023781999999998E-2</v>
      </c>
      <c r="K8" s="6">
        <v>1.1095283999999997E-2</v>
      </c>
      <c r="L8" s="6">
        <v>1.1167247999999999E-2</v>
      </c>
      <c r="M8" s="6">
        <v>1.1239679999999998E-2</v>
      </c>
      <c r="N8" s="6">
        <v>1.1312579999999999E-2</v>
      </c>
      <c r="O8" s="6">
        <v>1.1385953999999998E-2</v>
      </c>
      <c r="P8" s="6">
        <v>1.1459804999999998E-2</v>
      </c>
      <c r="Q8" s="6">
        <v>1.1534135999999997E-2</v>
      </c>
      <c r="R8" s="6">
        <v>1.1608946999999998E-2</v>
      </c>
      <c r="S8" s="6">
        <v>1.1684243999999998E-2</v>
      </c>
      <c r="T8" s="6">
        <v>1.1760026999999996E-2</v>
      </c>
      <c r="U8" s="6">
        <v>1.1836304999999997E-2</v>
      </c>
      <c r="V8" s="6">
        <v>1.1913074999999999E-2</v>
      </c>
      <c r="W8" s="6">
        <v>1.1990345999999997E-2</v>
      </c>
      <c r="X8" s="6">
        <v>1.2068114999999999E-2</v>
      </c>
      <c r="Y8" s="6">
        <v>1.2146390999999999E-2</v>
      </c>
      <c r="Z8" s="6">
        <v>1.2225173999999998E-2</v>
      </c>
      <c r="AA8" s="6">
        <v>1.2304466999999998E-2</v>
      </c>
      <c r="AB8" s="6">
        <v>1.2384272999999999E-2</v>
      </c>
      <c r="AC8" s="6">
        <v>1.2464597999999999E-2</v>
      </c>
      <c r="AD8" s="6">
        <v>1.2545444999999999E-2</v>
      </c>
      <c r="AE8" s="6">
        <v>1.2626816999999999E-2</v>
      </c>
      <c r="AF8" s="6">
        <v>1.2708713999999998E-2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1AE47-E25D-4966-9232-7994CD562D42}"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3.2293482418666772E-5</v>
      </c>
      <c r="C2" s="6">
        <v>3.2293482418666772E-5</v>
      </c>
      <c r="D2" s="6">
        <v>3.2293482418666772E-5</v>
      </c>
      <c r="E2" s="6">
        <v>3.2293482418666772E-5</v>
      </c>
      <c r="F2" s="6">
        <v>3.2293482418666772E-5</v>
      </c>
      <c r="G2" s="6">
        <v>3.2293482418666772E-5</v>
      </c>
      <c r="H2" s="6">
        <v>3.2293482418666772E-5</v>
      </c>
      <c r="I2" s="6">
        <v>3.2293482418666772E-5</v>
      </c>
      <c r="J2" s="6">
        <v>3.2293482418666772E-5</v>
      </c>
      <c r="K2" s="6">
        <v>3.2293482418666772E-5</v>
      </c>
      <c r="L2" s="6">
        <v>3.2293482418666772E-5</v>
      </c>
      <c r="M2" s="6">
        <v>3.2293482418666772E-5</v>
      </c>
      <c r="N2" s="6">
        <v>3.2293482418666772E-5</v>
      </c>
      <c r="O2" s="6">
        <v>3.2293482418666772E-5</v>
      </c>
      <c r="P2" s="6">
        <v>3.2293482418666772E-5</v>
      </c>
      <c r="Q2" s="6">
        <v>3.2293482418666772E-5</v>
      </c>
      <c r="R2" s="6">
        <v>3.2293482418666772E-5</v>
      </c>
      <c r="S2" s="6">
        <v>3.2293482418666772E-5</v>
      </c>
      <c r="T2" s="6">
        <v>3.2293482418666772E-5</v>
      </c>
      <c r="U2" s="6">
        <v>3.2293482418666772E-5</v>
      </c>
      <c r="V2" s="6">
        <v>3.2293482418666772E-5</v>
      </c>
      <c r="W2" s="6">
        <v>3.2293482418666772E-5</v>
      </c>
      <c r="X2" s="6">
        <v>3.2293482418666772E-5</v>
      </c>
      <c r="Y2" s="6">
        <v>3.2293482418666772E-5</v>
      </c>
      <c r="Z2" s="6">
        <v>3.2293482418666772E-5</v>
      </c>
      <c r="AA2" s="6">
        <v>3.2293482418666772E-5</v>
      </c>
      <c r="AB2" s="6">
        <v>3.2293482418666772E-5</v>
      </c>
      <c r="AC2" s="6">
        <v>3.2293482418666772E-5</v>
      </c>
      <c r="AD2" s="6">
        <v>3.2293482418666772E-5</v>
      </c>
      <c r="AE2" s="6">
        <v>3.2293482418666772E-5</v>
      </c>
      <c r="AF2" s="6">
        <v>3.2293482418666772E-5</v>
      </c>
    </row>
    <row r="3" spans="1:32">
      <c r="A3" s="1" t="s">
        <v>10</v>
      </c>
      <c r="B3" s="1">
        <v>0</v>
      </c>
      <c r="C3" s="6">
        <v>0</v>
      </c>
      <c r="D3" s="6">
        <v>0</v>
      </c>
      <c r="E3" s="6">
        <v>0</v>
      </c>
      <c r="F3" s="6">
        <v>0</v>
      </c>
      <c r="G3" s="6">
        <v>0</v>
      </c>
      <c r="H3" s="6">
        <v>0</v>
      </c>
      <c r="I3" s="6">
        <v>0</v>
      </c>
      <c r="J3" s="6">
        <v>0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6">
        <v>0</v>
      </c>
      <c r="Q3" s="6">
        <v>0</v>
      </c>
      <c r="R3" s="6">
        <v>0</v>
      </c>
      <c r="S3" s="6">
        <v>0</v>
      </c>
      <c r="T3" s="6">
        <v>0</v>
      </c>
      <c r="U3" s="6">
        <v>0</v>
      </c>
      <c r="V3" s="6">
        <v>0</v>
      </c>
      <c r="W3" s="6">
        <v>0</v>
      </c>
      <c r="X3" s="6">
        <v>0</v>
      </c>
      <c r="Y3" s="6">
        <v>0</v>
      </c>
      <c r="Z3" s="6">
        <v>0</v>
      </c>
      <c r="AA3" s="6">
        <v>0</v>
      </c>
      <c r="AB3" s="6">
        <v>0</v>
      </c>
      <c r="AC3" s="6">
        <v>0</v>
      </c>
      <c r="AD3" s="6">
        <v>0</v>
      </c>
      <c r="AE3" s="6">
        <v>0</v>
      </c>
      <c r="AF3" s="6">
        <v>0</v>
      </c>
    </row>
    <row r="4" spans="1:32">
      <c r="A4" s="1" t="s">
        <v>11</v>
      </c>
      <c r="B4" s="6">
        <v>1.0049397002369564E-5</v>
      </c>
      <c r="C4" s="6">
        <v>1.0049397002369564E-5</v>
      </c>
      <c r="D4" s="6">
        <v>1.0049397002369564E-5</v>
      </c>
      <c r="E4" s="6">
        <v>1.0049397002369564E-5</v>
      </c>
      <c r="F4" s="6">
        <v>1.0049397002369564E-5</v>
      </c>
      <c r="G4" s="6">
        <v>1.0049397002369564E-5</v>
      </c>
      <c r="H4" s="6">
        <v>1.0049397002369564E-5</v>
      </c>
      <c r="I4" s="6">
        <v>1.0049397002369564E-5</v>
      </c>
      <c r="J4" s="6">
        <v>1.0049397002369564E-5</v>
      </c>
      <c r="K4" s="6">
        <v>1.0049397002369564E-5</v>
      </c>
      <c r="L4" s="6">
        <v>1.0049397002369564E-5</v>
      </c>
      <c r="M4" s="6">
        <v>1.0049397002369564E-5</v>
      </c>
      <c r="N4" s="6">
        <v>1.0049397002369564E-5</v>
      </c>
      <c r="O4" s="6">
        <v>1.0049397002369564E-5</v>
      </c>
      <c r="P4" s="6">
        <v>1.0049397002369564E-5</v>
      </c>
      <c r="Q4" s="6">
        <v>1.0049397002369564E-5</v>
      </c>
      <c r="R4" s="6">
        <v>1.0049397002369564E-5</v>
      </c>
      <c r="S4" s="6">
        <v>1.0049397002369564E-5</v>
      </c>
      <c r="T4" s="6">
        <v>1.0049397002369564E-5</v>
      </c>
      <c r="U4" s="6">
        <v>1.0049397002369564E-5</v>
      </c>
      <c r="V4" s="6">
        <v>1.0049397002369564E-5</v>
      </c>
      <c r="W4" s="6">
        <v>1.0049397002369564E-5</v>
      </c>
      <c r="X4" s="6">
        <v>1.0049397002369564E-5</v>
      </c>
      <c r="Y4" s="6">
        <v>1.0049397002369564E-5</v>
      </c>
      <c r="Z4" s="6">
        <v>1.0049397002369564E-5</v>
      </c>
      <c r="AA4" s="6">
        <v>1.0049397002369564E-5</v>
      </c>
      <c r="AB4" s="6">
        <v>1.0049397002369564E-5</v>
      </c>
      <c r="AC4" s="6">
        <v>1.0049397002369564E-5</v>
      </c>
      <c r="AD4" s="6">
        <v>1.0049397002369564E-5</v>
      </c>
      <c r="AE4" s="6">
        <v>1.0049397002369564E-5</v>
      </c>
      <c r="AF4" s="6">
        <v>1.0049397002369564E-5</v>
      </c>
    </row>
    <row r="5" spans="1:32">
      <c r="A5" s="1" t="s">
        <v>12</v>
      </c>
      <c r="B5" s="6">
        <v>1.0049397002369565E-5</v>
      </c>
      <c r="C5" s="6">
        <v>1.0049397002369565E-5</v>
      </c>
      <c r="D5" s="6">
        <v>1.0049397002369565E-5</v>
      </c>
      <c r="E5" s="6">
        <v>1.0049397002369565E-5</v>
      </c>
      <c r="F5" s="6">
        <v>1.0049397002369565E-5</v>
      </c>
      <c r="G5" s="6">
        <v>1.0049397002369565E-5</v>
      </c>
      <c r="H5" s="6">
        <v>1.0049397002369565E-5</v>
      </c>
      <c r="I5" s="6">
        <v>1.0049397002369565E-5</v>
      </c>
      <c r="J5" s="6">
        <v>1.0049397002369565E-5</v>
      </c>
      <c r="K5" s="6">
        <v>1.0049397002369565E-5</v>
      </c>
      <c r="L5" s="6">
        <v>1.0049397002369565E-5</v>
      </c>
      <c r="M5" s="6">
        <v>1.0049397002369565E-5</v>
      </c>
      <c r="N5" s="6">
        <v>1.0049397002369565E-5</v>
      </c>
      <c r="O5" s="6">
        <v>1.0049397002369565E-5</v>
      </c>
      <c r="P5" s="6">
        <v>1.0049397002369565E-5</v>
      </c>
      <c r="Q5" s="6">
        <v>1.0049397002369565E-5</v>
      </c>
      <c r="R5" s="6">
        <v>1.0049397002369565E-5</v>
      </c>
      <c r="S5" s="6">
        <v>1.0049397002369565E-5</v>
      </c>
      <c r="T5" s="6">
        <v>1.0049397002369565E-5</v>
      </c>
      <c r="U5" s="6">
        <v>1.0049397002369565E-5</v>
      </c>
      <c r="V5" s="6">
        <v>1.0049397002369565E-5</v>
      </c>
      <c r="W5" s="6">
        <v>1.0049397002369565E-5</v>
      </c>
      <c r="X5" s="6">
        <v>1.0049397002369565E-5</v>
      </c>
      <c r="Y5" s="6">
        <v>1.0049397002369565E-5</v>
      </c>
      <c r="Z5" s="6">
        <v>1.0049397002369565E-5</v>
      </c>
      <c r="AA5" s="6">
        <v>1.0049397002369565E-5</v>
      </c>
      <c r="AB5" s="6">
        <v>1.0049397002369565E-5</v>
      </c>
      <c r="AC5" s="6">
        <v>1.0049397002369565E-5</v>
      </c>
      <c r="AD5" s="6">
        <v>1.0049397002369565E-5</v>
      </c>
      <c r="AE5" s="6">
        <v>1.0049397002369565E-5</v>
      </c>
      <c r="AF5" s="6">
        <v>1.0049397002369565E-5</v>
      </c>
    </row>
    <row r="6" spans="1:32">
      <c r="A6" s="1" t="s">
        <v>13</v>
      </c>
      <c r="B6" s="1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>
        <v>0</v>
      </c>
    </row>
    <row r="7" spans="1:32">
      <c r="A7" s="1" t="s">
        <v>14</v>
      </c>
      <c r="B7" s="1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  <c r="Z7" s="6">
        <v>0</v>
      </c>
      <c r="AA7" s="6">
        <v>0</v>
      </c>
      <c r="AB7" s="6">
        <v>0</v>
      </c>
      <c r="AC7" s="6">
        <v>0</v>
      </c>
      <c r="AD7" s="6">
        <v>0</v>
      </c>
      <c r="AE7" s="6">
        <v>0</v>
      </c>
      <c r="AF7" s="6">
        <v>0</v>
      </c>
    </row>
    <row r="8" spans="1:32">
      <c r="A8" s="1" t="s">
        <v>15</v>
      </c>
      <c r="B8" s="6">
        <v>3.0148191007108693E-5</v>
      </c>
      <c r="C8" s="6">
        <v>3.0148191007108693E-5</v>
      </c>
      <c r="D8" s="6">
        <v>3.0148191007108693E-5</v>
      </c>
      <c r="E8" s="6">
        <v>3.0148191007108693E-5</v>
      </c>
      <c r="F8" s="6">
        <v>3.0148191007108693E-5</v>
      </c>
      <c r="G8" s="6">
        <v>3.0148191007108693E-5</v>
      </c>
      <c r="H8" s="6">
        <v>3.0148191007108693E-5</v>
      </c>
      <c r="I8" s="6">
        <v>3.0148191007108693E-5</v>
      </c>
      <c r="J8" s="6">
        <v>3.0148191007108693E-5</v>
      </c>
      <c r="K8" s="6">
        <v>3.0148191007108693E-5</v>
      </c>
      <c r="L8" s="6">
        <v>3.0148191007108693E-5</v>
      </c>
      <c r="M8" s="6">
        <v>3.0148191007108693E-5</v>
      </c>
      <c r="N8" s="6">
        <v>3.0148191007108693E-5</v>
      </c>
      <c r="O8" s="6">
        <v>3.0148191007108693E-5</v>
      </c>
      <c r="P8" s="6">
        <v>3.0148191007108693E-5</v>
      </c>
      <c r="Q8" s="6">
        <v>3.0148191007108693E-5</v>
      </c>
      <c r="R8" s="6">
        <v>3.0148191007108693E-5</v>
      </c>
      <c r="S8" s="6">
        <v>3.0148191007108693E-5</v>
      </c>
      <c r="T8" s="6">
        <v>3.0148191007108693E-5</v>
      </c>
      <c r="U8" s="6">
        <v>3.0148191007108693E-5</v>
      </c>
      <c r="V8" s="6">
        <v>3.0148191007108693E-5</v>
      </c>
      <c r="W8" s="6">
        <v>3.0148191007108693E-5</v>
      </c>
      <c r="X8" s="6">
        <v>3.0148191007108693E-5</v>
      </c>
      <c r="Y8" s="6">
        <v>3.0148191007108693E-5</v>
      </c>
      <c r="Z8" s="6">
        <v>3.0148191007108693E-5</v>
      </c>
      <c r="AA8" s="6">
        <v>3.0148191007108693E-5</v>
      </c>
      <c r="AB8" s="6">
        <v>3.0148191007108693E-5</v>
      </c>
      <c r="AC8" s="6">
        <v>3.0148191007108693E-5</v>
      </c>
      <c r="AD8" s="6">
        <v>3.0148191007108693E-5</v>
      </c>
      <c r="AE8" s="6">
        <v>3.0148191007108693E-5</v>
      </c>
      <c r="AF8" s="6">
        <v>3.0148191007108693E-5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CDAD2-4DA9-444A-A605-DE00222A95B6}"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6">
        <v>1.5975871779246573E-2</v>
      </c>
      <c r="C2" s="6">
        <v>1.5975871779246573E-2</v>
      </c>
      <c r="D2" s="6">
        <v>1.5975871779246573E-2</v>
      </c>
      <c r="E2" s="6">
        <v>1.5975871779246573E-2</v>
      </c>
      <c r="F2" s="6">
        <v>1.5975871779246573E-2</v>
      </c>
      <c r="G2" s="6">
        <v>1.5975871779246573E-2</v>
      </c>
      <c r="H2" s="6">
        <v>1.5975871779246573E-2</v>
      </c>
      <c r="I2" s="6">
        <v>1.5975871779246573E-2</v>
      </c>
      <c r="J2" s="6">
        <v>1.5975871779246573E-2</v>
      </c>
      <c r="K2" s="6">
        <v>1.5975871779246573E-2</v>
      </c>
      <c r="L2" s="6">
        <v>1.5975871779246573E-2</v>
      </c>
      <c r="M2" s="6">
        <v>1.5975871779246573E-2</v>
      </c>
      <c r="N2" s="6">
        <v>1.5975871779246573E-2</v>
      </c>
      <c r="O2" s="6">
        <v>1.5975871779246573E-2</v>
      </c>
      <c r="P2" s="6">
        <v>1.5975871779246573E-2</v>
      </c>
      <c r="Q2" s="6">
        <v>1.5975871779246573E-2</v>
      </c>
      <c r="R2" s="6">
        <v>1.5975871779246573E-2</v>
      </c>
      <c r="S2" s="6">
        <v>1.5975871779246573E-2</v>
      </c>
      <c r="T2" s="6">
        <v>1.5975871779246573E-2</v>
      </c>
      <c r="U2" s="6">
        <v>1.5975871779246573E-2</v>
      </c>
      <c r="V2" s="6">
        <v>1.5975871779246573E-2</v>
      </c>
      <c r="W2" s="6">
        <v>1.5975871779246573E-2</v>
      </c>
      <c r="X2" s="6">
        <v>1.5975871779246573E-2</v>
      </c>
      <c r="Y2" s="6">
        <v>1.5975871779246573E-2</v>
      </c>
      <c r="Z2" s="6">
        <v>1.5975871779246573E-2</v>
      </c>
      <c r="AA2" s="6">
        <v>1.5975871779246573E-2</v>
      </c>
      <c r="AB2" s="6">
        <v>1.5975871779246573E-2</v>
      </c>
      <c r="AC2" s="6">
        <v>1.5975871779246573E-2</v>
      </c>
      <c r="AD2" s="6">
        <v>1.5975871779246573E-2</v>
      </c>
      <c r="AE2" s="6">
        <v>1.5975871779246573E-2</v>
      </c>
      <c r="AF2" s="6">
        <v>1.5975871779246573E-2</v>
      </c>
    </row>
    <row r="3" spans="1:32">
      <c r="A3" s="1" t="s">
        <v>10</v>
      </c>
      <c r="B3" s="1">
        <v>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</row>
    <row r="4" spans="1:32">
      <c r="A4" s="1" t="s">
        <v>11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</row>
    <row r="5" spans="1:32">
      <c r="A5" s="1" t="s">
        <v>12</v>
      </c>
      <c r="B5" s="6">
        <v>4.9715257056265547E-3</v>
      </c>
      <c r="C5" s="6">
        <v>4.9715257056265547E-3</v>
      </c>
      <c r="D5" s="6">
        <v>4.9715257056265547E-3</v>
      </c>
      <c r="E5" s="6">
        <v>4.9715257056265547E-3</v>
      </c>
      <c r="F5" s="6">
        <v>4.9715257056265547E-3</v>
      </c>
      <c r="G5" s="6">
        <v>4.9715257056265547E-3</v>
      </c>
      <c r="H5" s="6">
        <v>4.9715257056265547E-3</v>
      </c>
      <c r="I5" s="6">
        <v>4.9715257056265547E-3</v>
      </c>
      <c r="J5" s="6">
        <v>4.9715257056265547E-3</v>
      </c>
      <c r="K5" s="6">
        <v>4.9715257056265547E-3</v>
      </c>
      <c r="L5" s="6">
        <v>4.9715257056265547E-3</v>
      </c>
      <c r="M5" s="6">
        <v>4.9715257056265547E-3</v>
      </c>
      <c r="N5" s="6">
        <v>4.9715257056265547E-3</v>
      </c>
      <c r="O5" s="6">
        <v>4.9715257056265547E-3</v>
      </c>
      <c r="P5" s="6">
        <v>4.9715257056265547E-3</v>
      </c>
      <c r="Q5" s="6">
        <v>4.9715257056265547E-3</v>
      </c>
      <c r="R5" s="6">
        <v>4.9715257056265547E-3</v>
      </c>
      <c r="S5" s="6">
        <v>4.9715257056265547E-3</v>
      </c>
      <c r="T5" s="6">
        <v>4.9715257056265547E-3</v>
      </c>
      <c r="U5" s="6">
        <v>4.9715257056265547E-3</v>
      </c>
      <c r="V5" s="6">
        <v>4.9715257056265547E-3</v>
      </c>
      <c r="W5" s="6">
        <v>4.9715257056265547E-3</v>
      </c>
      <c r="X5" s="6">
        <v>4.9715257056265547E-3</v>
      </c>
      <c r="Y5" s="6">
        <v>4.9715257056265547E-3</v>
      </c>
      <c r="Z5" s="6">
        <v>4.9715257056265547E-3</v>
      </c>
      <c r="AA5" s="6">
        <v>4.9715257056265547E-3</v>
      </c>
      <c r="AB5" s="6">
        <v>4.9715257056265547E-3</v>
      </c>
      <c r="AC5" s="6">
        <v>4.9715257056265547E-3</v>
      </c>
      <c r="AD5" s="6">
        <v>4.9715257056265547E-3</v>
      </c>
      <c r="AE5" s="6">
        <v>4.9715257056265547E-3</v>
      </c>
      <c r="AF5" s="6">
        <v>4.9715257056265547E-3</v>
      </c>
    </row>
    <row r="6" spans="1:32">
      <c r="A6" s="1" t="s">
        <v>13</v>
      </c>
      <c r="B6" s="1">
        <v>0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</row>
    <row r="7" spans="1:32">
      <c r="A7" s="1" t="s">
        <v>14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</row>
    <row r="8" spans="1:32">
      <c r="A8" s="1" t="s">
        <v>15</v>
      </c>
      <c r="B8" s="6">
        <v>1.4914577116879662E-2</v>
      </c>
      <c r="C8" s="6">
        <v>1.4914577116879662E-2</v>
      </c>
      <c r="D8" s="6">
        <v>1.4914577116879662E-2</v>
      </c>
      <c r="E8" s="6">
        <v>1.4914577116879662E-2</v>
      </c>
      <c r="F8" s="6">
        <v>1.4914577116879662E-2</v>
      </c>
      <c r="G8" s="6">
        <v>1.4914577116879662E-2</v>
      </c>
      <c r="H8" s="6">
        <v>1.4914577116879662E-2</v>
      </c>
      <c r="I8" s="6">
        <v>1.4914577116879662E-2</v>
      </c>
      <c r="J8" s="6">
        <v>1.4914577116879662E-2</v>
      </c>
      <c r="K8" s="6">
        <v>1.4914577116879662E-2</v>
      </c>
      <c r="L8" s="6">
        <v>1.4914577116879662E-2</v>
      </c>
      <c r="M8" s="6">
        <v>1.4914577116879662E-2</v>
      </c>
      <c r="N8" s="6">
        <v>1.4914577116879662E-2</v>
      </c>
      <c r="O8" s="6">
        <v>1.4914577116879662E-2</v>
      </c>
      <c r="P8" s="6">
        <v>1.4914577116879662E-2</v>
      </c>
      <c r="Q8" s="6">
        <v>1.4914577116879662E-2</v>
      </c>
      <c r="R8" s="6">
        <v>1.4914577116879662E-2</v>
      </c>
      <c r="S8" s="6">
        <v>1.4914577116879662E-2</v>
      </c>
      <c r="T8" s="6">
        <v>1.4914577116879662E-2</v>
      </c>
      <c r="U8" s="6">
        <v>1.4914577116879662E-2</v>
      </c>
      <c r="V8" s="6">
        <v>1.4914577116879662E-2</v>
      </c>
      <c r="W8" s="6">
        <v>1.4914577116879662E-2</v>
      </c>
      <c r="X8" s="6">
        <v>1.4914577116879662E-2</v>
      </c>
      <c r="Y8" s="6">
        <v>1.4914577116879662E-2</v>
      </c>
      <c r="Z8" s="6">
        <v>1.4914577116879662E-2</v>
      </c>
      <c r="AA8" s="6">
        <v>1.4914577116879662E-2</v>
      </c>
      <c r="AB8" s="6">
        <v>1.4914577116879662E-2</v>
      </c>
      <c r="AC8" s="6">
        <v>1.4914577116879662E-2</v>
      </c>
      <c r="AD8" s="6">
        <v>1.4914577116879662E-2</v>
      </c>
      <c r="AE8" s="6">
        <v>1.4914577116879662E-2</v>
      </c>
      <c r="AF8" s="6">
        <v>1.4914577116879662E-2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BB59B2-D948-446C-AB83-38AE2958E3B0}"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>
        <v>3.5367364645723983E-3</v>
      </c>
      <c r="C2">
        <v>3.5367364645723983E-3</v>
      </c>
      <c r="D2">
        <v>3.5367364645723983E-3</v>
      </c>
      <c r="E2">
        <v>3.5367364645723983E-3</v>
      </c>
      <c r="F2">
        <v>3.5367364645723983E-3</v>
      </c>
      <c r="G2">
        <v>3.5367364645723983E-3</v>
      </c>
      <c r="H2">
        <v>3.5367364645723983E-3</v>
      </c>
      <c r="I2">
        <v>3.5367364645723983E-3</v>
      </c>
      <c r="J2">
        <v>3.5367364645723983E-3</v>
      </c>
      <c r="K2">
        <v>3.5367364645723983E-3</v>
      </c>
      <c r="L2">
        <v>3.5367364645723983E-3</v>
      </c>
      <c r="M2">
        <v>3.5367364645723983E-3</v>
      </c>
      <c r="N2">
        <v>3.5367364645723983E-3</v>
      </c>
      <c r="O2">
        <v>3.5367364645723983E-3</v>
      </c>
      <c r="P2">
        <v>3.5367364645723983E-3</v>
      </c>
      <c r="Q2">
        <v>3.5367364645723983E-3</v>
      </c>
      <c r="R2">
        <v>3.5367364645723983E-3</v>
      </c>
      <c r="S2">
        <v>3.5367364645723983E-3</v>
      </c>
      <c r="T2">
        <v>3.5367364645723983E-3</v>
      </c>
      <c r="U2">
        <v>3.5367364645723983E-3</v>
      </c>
      <c r="V2">
        <v>3.5367364645723983E-3</v>
      </c>
      <c r="W2">
        <v>3.5367364645723983E-3</v>
      </c>
      <c r="X2">
        <v>3.5367364645723983E-3</v>
      </c>
      <c r="Y2">
        <v>3.5367364645723983E-3</v>
      </c>
      <c r="Z2">
        <v>3.5367364645723983E-3</v>
      </c>
      <c r="AA2">
        <v>3.5367364645723983E-3</v>
      </c>
      <c r="AB2">
        <v>3.5367364645723983E-3</v>
      </c>
      <c r="AC2">
        <v>3.5367364645723983E-3</v>
      </c>
      <c r="AD2">
        <v>3.5367364645723983E-3</v>
      </c>
      <c r="AE2">
        <v>3.5367364645723983E-3</v>
      </c>
      <c r="AF2">
        <v>3.5367364645723983E-3</v>
      </c>
    </row>
    <row r="3" spans="1:32">
      <c r="A3" s="1" t="s">
        <v>10</v>
      </c>
      <c r="B3">
        <v>1.110710625237613E-3</v>
      </c>
      <c r="C3">
        <v>1.110710625237613E-3</v>
      </c>
      <c r="D3">
        <v>1.110710625237613E-3</v>
      </c>
      <c r="E3">
        <v>1.110710625237613E-3</v>
      </c>
      <c r="F3">
        <v>1.110710625237613E-3</v>
      </c>
      <c r="G3">
        <v>1.110710625237613E-3</v>
      </c>
      <c r="H3">
        <v>1.110710625237613E-3</v>
      </c>
      <c r="I3">
        <v>1.110710625237613E-3</v>
      </c>
      <c r="J3">
        <v>1.110710625237613E-3</v>
      </c>
      <c r="K3">
        <v>1.110710625237613E-3</v>
      </c>
      <c r="L3">
        <v>1.110710625237613E-3</v>
      </c>
      <c r="M3">
        <v>1.110710625237613E-3</v>
      </c>
      <c r="N3">
        <v>1.110710625237613E-3</v>
      </c>
      <c r="O3">
        <v>1.110710625237613E-3</v>
      </c>
      <c r="P3">
        <v>1.110710625237613E-3</v>
      </c>
      <c r="Q3">
        <v>1.110710625237613E-3</v>
      </c>
      <c r="R3">
        <v>1.110710625237613E-3</v>
      </c>
      <c r="S3">
        <v>1.110710625237613E-3</v>
      </c>
      <c r="T3">
        <v>1.110710625237613E-3</v>
      </c>
      <c r="U3">
        <v>1.110710625237613E-3</v>
      </c>
      <c r="V3">
        <v>1.110710625237613E-3</v>
      </c>
      <c r="W3">
        <v>1.110710625237613E-3</v>
      </c>
      <c r="X3">
        <v>1.110710625237613E-3</v>
      </c>
      <c r="Y3">
        <v>1.110710625237613E-3</v>
      </c>
      <c r="Z3">
        <v>1.110710625237613E-3</v>
      </c>
      <c r="AA3">
        <v>1.110710625237613E-3</v>
      </c>
      <c r="AB3">
        <v>1.110710625237613E-3</v>
      </c>
      <c r="AC3">
        <v>1.110710625237613E-3</v>
      </c>
      <c r="AD3">
        <v>1.110710625237613E-3</v>
      </c>
      <c r="AE3">
        <v>1.110710625237613E-3</v>
      </c>
      <c r="AF3">
        <v>1.110710625237613E-3</v>
      </c>
    </row>
    <row r="4" spans="1:32">
      <c r="A4" s="1" t="s">
        <v>11</v>
      </c>
      <c r="B4">
        <v>1.110710625237613E-3</v>
      </c>
      <c r="C4">
        <v>1.110710625237613E-3</v>
      </c>
      <c r="D4">
        <v>1.110710625237613E-3</v>
      </c>
      <c r="E4">
        <v>1.110710625237613E-3</v>
      </c>
      <c r="F4">
        <v>1.110710625237613E-3</v>
      </c>
      <c r="G4">
        <v>1.110710625237613E-3</v>
      </c>
      <c r="H4">
        <v>1.110710625237613E-3</v>
      </c>
      <c r="I4">
        <v>1.110710625237613E-3</v>
      </c>
      <c r="J4">
        <v>1.110710625237613E-3</v>
      </c>
      <c r="K4">
        <v>1.110710625237613E-3</v>
      </c>
      <c r="L4">
        <v>1.110710625237613E-3</v>
      </c>
      <c r="M4">
        <v>1.110710625237613E-3</v>
      </c>
      <c r="N4">
        <v>1.110710625237613E-3</v>
      </c>
      <c r="O4">
        <v>1.110710625237613E-3</v>
      </c>
      <c r="P4">
        <v>1.110710625237613E-3</v>
      </c>
      <c r="Q4">
        <v>1.110710625237613E-3</v>
      </c>
      <c r="R4">
        <v>1.110710625237613E-3</v>
      </c>
      <c r="S4">
        <v>1.110710625237613E-3</v>
      </c>
      <c r="T4">
        <v>1.110710625237613E-3</v>
      </c>
      <c r="U4">
        <v>1.110710625237613E-3</v>
      </c>
      <c r="V4">
        <v>1.110710625237613E-3</v>
      </c>
      <c r="W4">
        <v>1.110710625237613E-3</v>
      </c>
      <c r="X4">
        <v>1.110710625237613E-3</v>
      </c>
      <c r="Y4">
        <v>1.110710625237613E-3</v>
      </c>
      <c r="Z4">
        <v>1.110710625237613E-3</v>
      </c>
      <c r="AA4">
        <v>1.110710625237613E-3</v>
      </c>
      <c r="AB4">
        <v>1.110710625237613E-3</v>
      </c>
      <c r="AC4">
        <v>1.110710625237613E-3</v>
      </c>
      <c r="AD4">
        <v>1.110710625237613E-3</v>
      </c>
      <c r="AE4">
        <v>1.110710625237613E-3</v>
      </c>
      <c r="AF4">
        <v>1.110710625237613E-3</v>
      </c>
    </row>
    <row r="5" spans="1:32">
      <c r="A5" s="1" t="s">
        <v>12</v>
      </c>
      <c r="B5">
        <v>1.110710625237613E-3</v>
      </c>
      <c r="C5">
        <v>1.110710625237613E-3</v>
      </c>
      <c r="D5">
        <v>1.110710625237613E-3</v>
      </c>
      <c r="E5">
        <v>1.110710625237613E-3</v>
      </c>
      <c r="F5">
        <v>1.110710625237613E-3</v>
      </c>
      <c r="G5">
        <v>1.110710625237613E-3</v>
      </c>
      <c r="H5">
        <v>1.110710625237613E-3</v>
      </c>
      <c r="I5">
        <v>1.110710625237613E-3</v>
      </c>
      <c r="J5">
        <v>1.110710625237613E-3</v>
      </c>
      <c r="K5">
        <v>1.110710625237613E-3</v>
      </c>
      <c r="L5">
        <v>1.110710625237613E-3</v>
      </c>
      <c r="M5">
        <v>1.110710625237613E-3</v>
      </c>
      <c r="N5">
        <v>1.110710625237613E-3</v>
      </c>
      <c r="O5">
        <v>1.110710625237613E-3</v>
      </c>
      <c r="P5">
        <v>1.110710625237613E-3</v>
      </c>
      <c r="Q5">
        <v>1.110710625237613E-3</v>
      </c>
      <c r="R5">
        <v>1.110710625237613E-3</v>
      </c>
      <c r="S5">
        <v>1.110710625237613E-3</v>
      </c>
      <c r="T5">
        <v>1.110710625237613E-3</v>
      </c>
      <c r="U5">
        <v>1.110710625237613E-3</v>
      </c>
      <c r="V5">
        <v>1.110710625237613E-3</v>
      </c>
      <c r="W5">
        <v>1.110710625237613E-3</v>
      </c>
      <c r="X5">
        <v>1.110710625237613E-3</v>
      </c>
      <c r="Y5">
        <v>1.110710625237613E-3</v>
      </c>
      <c r="Z5">
        <v>1.110710625237613E-3</v>
      </c>
      <c r="AA5">
        <v>1.110710625237613E-3</v>
      </c>
      <c r="AB5">
        <v>1.110710625237613E-3</v>
      </c>
      <c r="AC5">
        <v>1.110710625237613E-3</v>
      </c>
      <c r="AD5">
        <v>1.110710625237613E-3</v>
      </c>
      <c r="AE5">
        <v>1.110710625237613E-3</v>
      </c>
      <c r="AF5">
        <v>1.110710625237613E-3</v>
      </c>
    </row>
    <row r="6" spans="1:32">
      <c r="A6" s="1" t="s">
        <v>13</v>
      </c>
      <c r="B6">
        <v>2.4450248368717451E-3</v>
      </c>
      <c r="C6">
        <v>2.4450248368717451E-3</v>
      </c>
      <c r="D6">
        <v>2.4450248368717451E-3</v>
      </c>
      <c r="E6">
        <v>2.4450248368717451E-3</v>
      </c>
      <c r="F6">
        <v>2.4450248368717451E-3</v>
      </c>
      <c r="G6">
        <v>2.4450248368717451E-3</v>
      </c>
      <c r="H6">
        <v>2.4450248368717451E-3</v>
      </c>
      <c r="I6">
        <v>2.4450248368717451E-3</v>
      </c>
      <c r="J6">
        <v>2.4450248368717451E-3</v>
      </c>
      <c r="K6">
        <v>2.4450248368717451E-3</v>
      </c>
      <c r="L6">
        <v>2.4450248368717451E-3</v>
      </c>
      <c r="M6">
        <v>2.4450248368717451E-3</v>
      </c>
      <c r="N6">
        <v>2.4450248368717451E-3</v>
      </c>
      <c r="O6">
        <v>2.4450248368717451E-3</v>
      </c>
      <c r="P6">
        <v>2.4450248368717451E-3</v>
      </c>
      <c r="Q6">
        <v>2.4450248368717451E-3</v>
      </c>
      <c r="R6">
        <v>2.4450248368717451E-3</v>
      </c>
      <c r="S6">
        <v>2.4450248368717451E-3</v>
      </c>
      <c r="T6">
        <v>2.4450248368717451E-3</v>
      </c>
      <c r="U6">
        <v>2.4450248368717451E-3</v>
      </c>
      <c r="V6">
        <v>2.4450248368717451E-3</v>
      </c>
      <c r="W6">
        <v>2.4450248368717451E-3</v>
      </c>
      <c r="X6">
        <v>2.4450248368717451E-3</v>
      </c>
      <c r="Y6">
        <v>2.4450248368717451E-3</v>
      </c>
      <c r="Z6">
        <v>2.4450248368717451E-3</v>
      </c>
      <c r="AA6">
        <v>2.4450248368717451E-3</v>
      </c>
      <c r="AB6">
        <v>2.4450248368717451E-3</v>
      </c>
      <c r="AC6">
        <v>2.4450248368717451E-3</v>
      </c>
      <c r="AD6">
        <v>2.4450248368717451E-3</v>
      </c>
      <c r="AE6">
        <v>2.4450248368717451E-3</v>
      </c>
      <c r="AF6">
        <v>2.4450248368717451E-3</v>
      </c>
    </row>
    <row r="7" spans="1:32">
      <c r="A7" s="1" t="s">
        <v>14</v>
      </c>
      <c r="B7">
        <v>8.6080073455915005E-4</v>
      </c>
      <c r="C7">
        <v>8.6080073455915005E-4</v>
      </c>
      <c r="D7">
        <v>8.6080073455915005E-4</v>
      </c>
      <c r="E7">
        <v>8.6080073455915005E-4</v>
      </c>
      <c r="F7">
        <v>8.6080073455915005E-4</v>
      </c>
      <c r="G7">
        <v>8.6080073455915005E-4</v>
      </c>
      <c r="H7">
        <v>8.6080073455915005E-4</v>
      </c>
      <c r="I7">
        <v>8.6080073455915005E-4</v>
      </c>
      <c r="J7">
        <v>8.6080073455915005E-4</v>
      </c>
      <c r="K7">
        <v>8.6080073455915005E-4</v>
      </c>
      <c r="L7">
        <v>8.6080073455915005E-4</v>
      </c>
      <c r="M7">
        <v>8.6080073455915005E-4</v>
      </c>
      <c r="N7">
        <v>8.6080073455915005E-4</v>
      </c>
      <c r="O7">
        <v>8.6080073455915005E-4</v>
      </c>
      <c r="P7">
        <v>8.6080073455915005E-4</v>
      </c>
      <c r="Q7">
        <v>8.6080073455915005E-4</v>
      </c>
      <c r="R7">
        <v>8.6080073455915005E-4</v>
      </c>
      <c r="S7">
        <v>8.6080073455915005E-4</v>
      </c>
      <c r="T7">
        <v>8.6080073455915005E-4</v>
      </c>
      <c r="U7">
        <v>8.6080073455915005E-4</v>
      </c>
      <c r="V7">
        <v>8.6080073455915005E-4</v>
      </c>
      <c r="W7">
        <v>8.6080073455915005E-4</v>
      </c>
      <c r="X7">
        <v>8.6080073455915005E-4</v>
      </c>
      <c r="Y7">
        <v>8.6080073455915005E-4</v>
      </c>
      <c r="Z7">
        <v>8.6080073455915005E-4</v>
      </c>
      <c r="AA7">
        <v>8.6080073455915005E-4</v>
      </c>
      <c r="AB7">
        <v>8.6080073455915005E-4</v>
      </c>
      <c r="AC7">
        <v>8.6080073455915005E-4</v>
      </c>
      <c r="AD7">
        <v>8.6080073455915005E-4</v>
      </c>
      <c r="AE7">
        <v>8.6080073455915005E-4</v>
      </c>
      <c r="AF7">
        <v>8.6080073455915005E-4</v>
      </c>
    </row>
    <row r="8" spans="1:32">
      <c r="A8" s="1" t="s">
        <v>15</v>
      </c>
      <c r="B8">
        <v>3.3321318757128385E-3</v>
      </c>
      <c r="C8">
        <v>3.3321318757128385E-3</v>
      </c>
      <c r="D8">
        <v>3.3321318757128385E-3</v>
      </c>
      <c r="E8">
        <v>3.3321318757128385E-3</v>
      </c>
      <c r="F8">
        <v>3.3321318757128385E-3</v>
      </c>
      <c r="G8">
        <v>3.3321318757128385E-3</v>
      </c>
      <c r="H8">
        <v>3.3321318757128385E-3</v>
      </c>
      <c r="I8">
        <v>3.3321318757128385E-3</v>
      </c>
      <c r="J8">
        <v>3.3321318757128385E-3</v>
      </c>
      <c r="K8">
        <v>3.3321318757128385E-3</v>
      </c>
      <c r="L8">
        <v>3.3321318757128385E-3</v>
      </c>
      <c r="M8">
        <v>3.3321318757128385E-3</v>
      </c>
      <c r="N8">
        <v>3.3321318757128385E-3</v>
      </c>
      <c r="O8">
        <v>3.3321318757128385E-3</v>
      </c>
      <c r="P8">
        <v>3.3321318757128385E-3</v>
      </c>
      <c r="Q8">
        <v>3.3321318757128385E-3</v>
      </c>
      <c r="R8">
        <v>3.3321318757128385E-3</v>
      </c>
      <c r="S8">
        <v>3.3321318757128385E-3</v>
      </c>
      <c r="T8">
        <v>3.3321318757128385E-3</v>
      </c>
      <c r="U8">
        <v>3.3321318757128385E-3</v>
      </c>
      <c r="V8">
        <v>3.3321318757128385E-3</v>
      </c>
      <c r="W8">
        <v>3.3321318757128385E-3</v>
      </c>
      <c r="X8">
        <v>3.3321318757128385E-3</v>
      </c>
      <c r="Y8">
        <v>3.3321318757128385E-3</v>
      </c>
      <c r="Z8">
        <v>3.3321318757128385E-3</v>
      </c>
      <c r="AA8">
        <v>3.3321318757128385E-3</v>
      </c>
      <c r="AB8">
        <v>3.3321318757128385E-3</v>
      </c>
      <c r="AC8">
        <v>3.3321318757128385E-3</v>
      </c>
      <c r="AD8">
        <v>3.3321318757128385E-3</v>
      </c>
      <c r="AE8">
        <v>3.3321318757128385E-3</v>
      </c>
      <c r="AF8">
        <v>3.3321318757128385E-3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BEEC7-641E-4988-B899-A8A7EC20E145}">
  <dimension ref="A1:AJ8"/>
  <sheetViews>
    <sheetView workbookViewId="0"/>
  </sheetViews>
  <sheetFormatPr defaultRowHeight="16.5"/>
  <cols>
    <col min="1" max="1" width="32.75" bestFit="1" customWidth="1"/>
  </cols>
  <sheetData>
    <row r="1" spans="1:36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6">
      <c r="A2" s="1" t="s">
        <v>9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</row>
    <row r="3" spans="1:36">
      <c r="A3" s="1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</row>
    <row r="4" spans="1:36">
      <c r="A4" s="1" t="s">
        <v>11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</row>
    <row r="5" spans="1:36">
      <c r="A5" s="1" t="s">
        <v>12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</row>
    <row r="6" spans="1:36">
      <c r="A6" s="1" t="s">
        <v>13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</row>
    <row r="7" spans="1:36">
      <c r="A7" s="1" t="s">
        <v>14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</row>
    <row r="8" spans="1:36">
      <c r="A8" s="1" t="s">
        <v>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B3876-A578-4195-8C33-1F4D5719F891}">
  <dimension ref="A1:H44"/>
  <sheetViews>
    <sheetView workbookViewId="0"/>
  </sheetViews>
  <sheetFormatPr defaultRowHeight="16.5"/>
  <cols>
    <col min="1" max="1" width="14.75" customWidth="1"/>
    <col min="2" max="2" width="21.5" bestFit="1" customWidth="1"/>
    <col min="3" max="3" width="18.25" bestFit="1" customWidth="1"/>
    <col min="4" max="4" width="15.5" bestFit="1" customWidth="1"/>
    <col min="5" max="5" width="13.25" bestFit="1" customWidth="1"/>
    <col min="6" max="6" width="20.5" bestFit="1" customWidth="1"/>
    <col min="7" max="7" width="11.5" bestFit="1" customWidth="1"/>
    <col min="8" max="8" width="16.75" bestFit="1" customWidth="1"/>
  </cols>
  <sheetData>
    <row r="1" spans="1:8">
      <c r="A1" t="s">
        <v>23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</row>
    <row r="2" spans="1:8">
      <c r="A2" s="1" t="s">
        <v>16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</row>
    <row r="3" spans="1:8">
      <c r="A3" s="1" t="s">
        <v>17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</row>
    <row r="4" spans="1:8">
      <c r="A4" s="1" t="s">
        <v>18</v>
      </c>
      <c r="B4" s="4">
        <v>1</v>
      </c>
      <c r="C4">
        <v>0</v>
      </c>
      <c r="D4">
        <v>0</v>
      </c>
      <c r="E4">
        <v>1</v>
      </c>
      <c r="F4">
        <v>0</v>
      </c>
      <c r="G4">
        <v>0</v>
      </c>
      <c r="H4" s="4">
        <v>1</v>
      </c>
    </row>
    <row r="5" spans="1:8">
      <c r="A5" s="1" t="s">
        <v>19</v>
      </c>
      <c r="B5">
        <v>1</v>
      </c>
      <c r="C5">
        <v>0</v>
      </c>
      <c r="D5">
        <v>0</v>
      </c>
      <c r="E5">
        <v>1</v>
      </c>
      <c r="F5">
        <v>0</v>
      </c>
      <c r="G5">
        <v>0</v>
      </c>
      <c r="H5" s="4">
        <v>1</v>
      </c>
    </row>
    <row r="6" spans="1:8">
      <c r="A6" s="1" t="s">
        <v>20</v>
      </c>
      <c r="B6" s="4">
        <v>1</v>
      </c>
      <c r="C6">
        <v>0</v>
      </c>
      <c r="D6">
        <v>0</v>
      </c>
      <c r="E6">
        <v>1</v>
      </c>
      <c r="F6">
        <v>0</v>
      </c>
      <c r="G6">
        <v>0</v>
      </c>
      <c r="H6" s="4">
        <v>1</v>
      </c>
    </row>
    <row r="7" spans="1:8">
      <c r="A7" s="1" t="s">
        <v>21</v>
      </c>
      <c r="B7" s="4">
        <v>1</v>
      </c>
      <c r="C7">
        <v>0</v>
      </c>
      <c r="D7" s="19">
        <v>1</v>
      </c>
      <c r="E7">
        <v>0</v>
      </c>
      <c r="F7">
        <v>0</v>
      </c>
      <c r="G7">
        <v>0</v>
      </c>
      <c r="H7">
        <v>0</v>
      </c>
    </row>
    <row r="9" spans="1:8">
      <c r="A9" t="s">
        <v>24</v>
      </c>
      <c r="B9" s="3" t="s">
        <v>9</v>
      </c>
      <c r="C9" s="3" t="s">
        <v>10</v>
      </c>
      <c r="D9" s="3" t="s">
        <v>11</v>
      </c>
      <c r="E9" s="3" t="s">
        <v>12</v>
      </c>
      <c r="F9" s="3" t="s">
        <v>13</v>
      </c>
      <c r="G9" s="3" t="s">
        <v>14</v>
      </c>
      <c r="H9" s="3" t="s">
        <v>15</v>
      </c>
    </row>
    <row r="10" spans="1:8">
      <c r="A10" s="1" t="s">
        <v>16</v>
      </c>
      <c r="B10">
        <v>1</v>
      </c>
      <c r="C10" s="19">
        <v>1</v>
      </c>
      <c r="D10">
        <v>1</v>
      </c>
      <c r="E10">
        <v>1</v>
      </c>
      <c r="F10" s="4">
        <v>1</v>
      </c>
      <c r="G10">
        <v>1</v>
      </c>
      <c r="H10" s="4">
        <v>1</v>
      </c>
    </row>
    <row r="11" spans="1:8">
      <c r="A11" s="1" t="s">
        <v>17</v>
      </c>
      <c r="B11" s="19">
        <v>1</v>
      </c>
      <c r="C11" s="4">
        <v>1</v>
      </c>
      <c r="D11">
        <v>1</v>
      </c>
      <c r="E11">
        <v>1</v>
      </c>
      <c r="F11" s="4">
        <v>1</v>
      </c>
      <c r="G11">
        <v>1</v>
      </c>
      <c r="H11" s="4">
        <v>1</v>
      </c>
    </row>
    <row r="12" spans="1:8">
      <c r="A12" s="1" t="s">
        <v>18</v>
      </c>
      <c r="B12" s="4">
        <v>1</v>
      </c>
      <c r="C12">
        <v>0</v>
      </c>
      <c r="D12">
        <v>0</v>
      </c>
      <c r="E12">
        <v>1</v>
      </c>
      <c r="F12">
        <v>0</v>
      </c>
      <c r="G12">
        <v>0</v>
      </c>
      <c r="H12" s="4">
        <v>1</v>
      </c>
    </row>
    <row r="13" spans="1:8">
      <c r="A13" s="1" t="s">
        <v>19</v>
      </c>
      <c r="B13">
        <v>1</v>
      </c>
      <c r="C13">
        <v>0</v>
      </c>
      <c r="D13">
        <v>0</v>
      </c>
      <c r="E13">
        <v>1</v>
      </c>
      <c r="F13">
        <v>0</v>
      </c>
      <c r="G13">
        <v>0</v>
      </c>
      <c r="H13" s="4">
        <v>1</v>
      </c>
    </row>
    <row r="14" spans="1:8">
      <c r="A14" s="1" t="s">
        <v>20</v>
      </c>
      <c r="B14" s="4">
        <v>1</v>
      </c>
      <c r="C14">
        <v>0</v>
      </c>
      <c r="D14">
        <v>1</v>
      </c>
      <c r="E14">
        <v>1</v>
      </c>
      <c r="F14">
        <v>0</v>
      </c>
      <c r="G14">
        <v>0</v>
      </c>
      <c r="H14" s="4">
        <v>1</v>
      </c>
    </row>
    <row r="15" spans="1:8">
      <c r="A15" s="1" t="s">
        <v>21</v>
      </c>
      <c r="B15" s="4">
        <v>1</v>
      </c>
      <c r="C15">
        <v>0</v>
      </c>
      <c r="D15" s="19">
        <v>1</v>
      </c>
      <c r="E15">
        <v>0</v>
      </c>
      <c r="F15">
        <v>0</v>
      </c>
      <c r="G15">
        <v>0</v>
      </c>
      <c r="H15">
        <v>0</v>
      </c>
    </row>
    <row r="17" spans="1:6">
      <c r="A17" s="23" t="s">
        <v>25</v>
      </c>
      <c r="B17" s="23" t="s">
        <v>26</v>
      </c>
      <c r="C17" s="24" t="s">
        <v>27</v>
      </c>
      <c r="D17" s="23" t="s">
        <v>28</v>
      </c>
    </row>
    <row r="18" spans="1:6">
      <c r="A18" s="1" t="s">
        <v>29</v>
      </c>
      <c r="B18">
        <f>'US-LDVs-psgr'!B5</f>
        <v>4.2164836790723349E-4</v>
      </c>
      <c r="C18">
        <f>'US-LDVs-psgr'!B6</f>
        <v>6.5738318568648571E-4</v>
      </c>
      <c r="D18">
        <f>'US-LDVs-psgr'!B8</f>
        <v>5.8794415231938754E-4</v>
      </c>
    </row>
    <row r="19" spans="1:6">
      <c r="A19" s="1" t="s">
        <v>30</v>
      </c>
      <c r="B19" s="14">
        <f>'US-LDVs-frgt'!B5</f>
        <v>8.201551487503343E-5</v>
      </c>
      <c r="C19">
        <f>'US-LDVs-frgt'!B6</f>
        <v>1.2590686672921136E-4</v>
      </c>
      <c r="D19">
        <f>'US-LDVs-frgt'!B8</f>
        <v>2.4604654462510026E-4</v>
      </c>
    </row>
    <row r="20" spans="1:6">
      <c r="A20" s="1" t="s">
        <v>31</v>
      </c>
      <c r="B20" s="14">
        <f t="shared" ref="B20:D21" si="0">B18/$B18</f>
        <v>1</v>
      </c>
      <c r="C20" s="14">
        <f t="shared" si="0"/>
        <v>1.5590791657733063</v>
      </c>
      <c r="D20" s="14">
        <f t="shared" si="0"/>
        <v>1.3943944695849995</v>
      </c>
    </row>
    <row r="21" spans="1:6">
      <c r="A21" s="1" t="s">
        <v>32</v>
      </c>
      <c r="B21" s="14">
        <f t="shared" si="0"/>
        <v>1</v>
      </c>
      <c r="C21" s="14">
        <f t="shared" si="0"/>
        <v>1.5351591332573469</v>
      </c>
      <c r="D21" s="14">
        <f t="shared" si="0"/>
        <v>2.9999999999999996</v>
      </c>
    </row>
    <row r="23" spans="1:6">
      <c r="A23" s="23" t="s">
        <v>33</v>
      </c>
      <c r="B23" s="20" t="s">
        <v>34</v>
      </c>
      <c r="C23" s="20" t="s">
        <v>10</v>
      </c>
      <c r="D23" s="23" t="s">
        <v>26</v>
      </c>
      <c r="E23" s="24" t="s">
        <v>27</v>
      </c>
      <c r="F23" s="23" t="s">
        <v>28</v>
      </c>
    </row>
    <row r="24" spans="1:6">
      <c r="A24" s="1" t="s">
        <v>29</v>
      </c>
      <c r="B24">
        <f>'US-HDVs-psgr'!B2</f>
        <v>3.1663477151009402E-3</v>
      </c>
      <c r="C24">
        <f>'US-HDVs-psgr'!B3</f>
        <v>8.4430740727243017E-4</v>
      </c>
      <c r="D24">
        <f>'US-HDVs-psgr'!B5</f>
        <v>9.8533458931645266E-4</v>
      </c>
      <c r="E24">
        <f>'US-HDVs-psgr'!B6</f>
        <v>2.184891808497921E-3</v>
      </c>
      <c r="F24">
        <f>'US-HDVs-psgr'!B8</f>
        <v>2.9560037679493573E-3</v>
      </c>
    </row>
    <row r="25" spans="1:6">
      <c r="A25" s="1" t="s">
        <v>30</v>
      </c>
      <c r="B25" s="14">
        <f>'US-HDVs-frgt'!B2</f>
        <v>1.0008488993658489E-3</v>
      </c>
      <c r="C25" s="14">
        <f>'US-HDVs-frgt'!B3</f>
        <v>4.9961543882058763E-4</v>
      </c>
      <c r="D25" s="14">
        <f>'US-HDVs-frgt'!B5</f>
        <v>7.2928093510090471E-4</v>
      </c>
      <c r="E25">
        <f>'US-HDVs-frgt'!B6</f>
        <v>1.1466008681806548E-3</v>
      </c>
      <c r="F25">
        <f>'US-HDVs-frgt'!B8</f>
        <v>2.9126393532984403E-3</v>
      </c>
    </row>
    <row r="26" spans="1:6">
      <c r="A26" s="1" t="s">
        <v>31</v>
      </c>
      <c r="B26" s="14">
        <f t="shared" ref="B26:C27" si="1">B24/$D24</f>
        <v>3.2134746404239216</v>
      </c>
      <c r="C26" s="14">
        <f t="shared" si="1"/>
        <v>0.85687381365363824</v>
      </c>
      <c r="D26" s="14">
        <f>D24/$D24</f>
        <v>1</v>
      </c>
      <c r="E26" s="14">
        <f t="shared" ref="E26:F27" si="2">E24/$D24</f>
        <v>2.2174110522331572</v>
      </c>
      <c r="F26" s="14">
        <f t="shared" si="2"/>
        <v>2.9999999999999996</v>
      </c>
    </row>
    <row r="27" spans="1:6">
      <c r="A27" s="1" t="s">
        <v>32</v>
      </c>
      <c r="B27" s="14">
        <f t="shared" si="1"/>
        <v>1.372377709596055</v>
      </c>
      <c r="C27" s="14">
        <f t="shared" si="1"/>
        <v>0.68507952803052485</v>
      </c>
      <c r="D27" s="14">
        <f>D25/$D25</f>
        <v>1</v>
      </c>
      <c r="E27" s="14">
        <f t="shared" si="2"/>
        <v>1.5722348041663929</v>
      </c>
      <c r="F27" s="14">
        <f t="shared" si="2"/>
        <v>3.9938509470228261</v>
      </c>
    </row>
    <row r="29" spans="1:6">
      <c r="A29" s="23" t="s">
        <v>35</v>
      </c>
      <c r="B29" s="20" t="s">
        <v>34</v>
      </c>
      <c r="C29" s="23" t="s">
        <v>26</v>
      </c>
      <c r="D29" s="23" t="s">
        <v>28</v>
      </c>
    </row>
    <row r="30" spans="1:6">
      <c r="A30" s="1" t="s">
        <v>29</v>
      </c>
      <c r="B30">
        <f>'US-aircraft-psgr'!B2</f>
        <v>1.4980235812240234E-3</v>
      </c>
      <c r="C30">
        <f>'US-aircraft-psgr'!B5</f>
        <v>4.6616941125958422E-4</v>
      </c>
      <c r="D30">
        <f>'US-aircraft-psgr'!B8</f>
        <v>1.3985082337787526E-3</v>
      </c>
    </row>
    <row r="31" spans="1:6">
      <c r="A31" s="1" t="s">
        <v>30</v>
      </c>
      <c r="B31" s="14">
        <f>'US-aircraft-frgt'!B2</f>
        <v>3.8569771061435794E-4</v>
      </c>
      <c r="C31" s="14">
        <f>'US-aircraft-frgt'!B5</f>
        <v>1.2002512973417359E-4</v>
      </c>
      <c r="D31" s="14">
        <f>'US-aircraft-frgt'!B8</f>
        <v>3.600753892025207E-4</v>
      </c>
    </row>
    <row r="32" spans="1:6">
      <c r="A32" s="1" t="s">
        <v>36</v>
      </c>
      <c r="B32" s="14">
        <f>B31/C31</f>
        <v>3.2134746404239212</v>
      </c>
      <c r="C32" s="14">
        <f>C31/C31</f>
        <v>1</v>
      </c>
      <c r="D32" s="14">
        <f>D31/C31</f>
        <v>2.9999999999999996</v>
      </c>
    </row>
    <row r="34" spans="1:4">
      <c r="A34" s="23" t="s">
        <v>37</v>
      </c>
      <c r="B34" s="20" t="s">
        <v>34</v>
      </c>
      <c r="C34" s="23" t="s">
        <v>26</v>
      </c>
      <c r="D34" s="23" t="s">
        <v>28</v>
      </c>
    </row>
    <row r="35" spans="1:4">
      <c r="A35" s="1" t="s">
        <v>29</v>
      </c>
      <c r="B35" s="14">
        <f>'US-rail-psgr'!B2</f>
        <v>1.2490429545241593E-3</v>
      </c>
      <c r="C35" s="14">
        <f>'US-rail-psgr'!B5</f>
        <v>3.8868922094850749E-4</v>
      </c>
      <c r="D35" s="14">
        <f>'US-rail-psgr'!B8</f>
        <v>1.1660676628455222E-3</v>
      </c>
    </row>
    <row r="36" spans="1:4">
      <c r="A36" s="1" t="s">
        <v>30</v>
      </c>
      <c r="B36" s="14">
        <f>'US-rail-frgt'!B2</f>
        <v>1.1213005219530657E-2</v>
      </c>
      <c r="C36" s="14">
        <f>'US-rail-frgt'!B5</f>
        <v>3.4893709999999998E-3</v>
      </c>
      <c r="D36" s="14">
        <f>'US-rail-frgt'!B8</f>
        <v>1.0468112999999998E-2</v>
      </c>
    </row>
    <row r="37" spans="1:4">
      <c r="A37" s="1" t="s">
        <v>31</v>
      </c>
      <c r="B37" s="14">
        <f t="shared" ref="B37:D38" si="3">B35/$C35</f>
        <v>3.2134746404239216</v>
      </c>
      <c r="C37" s="14">
        <f t="shared" si="3"/>
        <v>1</v>
      </c>
      <c r="D37" s="14">
        <f t="shared" si="3"/>
        <v>2.9999999999999991</v>
      </c>
    </row>
    <row r="38" spans="1:4">
      <c r="A38" s="1" t="s">
        <v>32</v>
      </c>
      <c r="B38" s="14">
        <f t="shared" si="3"/>
        <v>3.2134746404239212</v>
      </c>
      <c r="C38" s="14">
        <f t="shared" si="3"/>
        <v>1</v>
      </c>
      <c r="D38" s="14">
        <f t="shared" si="3"/>
        <v>2.9999999999999996</v>
      </c>
    </row>
    <row r="40" spans="1:4">
      <c r="A40" s="23" t="s">
        <v>38</v>
      </c>
      <c r="B40" s="20" t="s">
        <v>34</v>
      </c>
      <c r="C40" s="23" t="s">
        <v>26</v>
      </c>
      <c r="D40" s="23" t="s">
        <v>28</v>
      </c>
    </row>
    <row r="41" spans="1:4">
      <c r="A41" s="1" t="s">
        <v>29</v>
      </c>
      <c r="B41" s="14">
        <f>'US-ships-psgr'!B2</f>
        <v>3.2293482418666772E-5</v>
      </c>
      <c r="C41" s="14">
        <f>'US-ships-psgr'!B5</f>
        <v>1.0049397002369565E-5</v>
      </c>
      <c r="D41" s="14">
        <f>'US-ships-psgr'!B8</f>
        <v>3.0148191007108693E-5</v>
      </c>
    </row>
    <row r="42" spans="1:4">
      <c r="A42" s="1" t="s">
        <v>30</v>
      </c>
      <c r="B42" s="14">
        <f>'US-ships-frgt'!B2</f>
        <v>1.5975871779246573E-2</v>
      </c>
      <c r="C42" s="14">
        <f>'US-ships-frgt'!B5</f>
        <v>4.9715257056265547E-3</v>
      </c>
      <c r="D42" s="14">
        <f>'US-ships-frgt'!B8</f>
        <v>1.4914577116879662E-2</v>
      </c>
    </row>
    <row r="43" spans="1:4">
      <c r="A43" s="1" t="s">
        <v>31</v>
      </c>
      <c r="B43" s="14">
        <f>B41/$C41</f>
        <v>3.2134746404239212</v>
      </c>
      <c r="C43" s="14">
        <f t="shared" ref="C43:D44" si="4">C41/$C41</f>
        <v>1</v>
      </c>
      <c r="D43" s="14">
        <f t="shared" si="4"/>
        <v>2.9999999999999996</v>
      </c>
    </row>
    <row r="44" spans="1:4">
      <c r="A44" s="1" t="s">
        <v>32</v>
      </c>
      <c r="B44" s="14">
        <f>B42/$C42</f>
        <v>3.2134746404239212</v>
      </c>
      <c r="C44" s="14">
        <f t="shared" si="4"/>
        <v>1</v>
      </c>
      <c r="D44" s="14">
        <f t="shared" si="4"/>
        <v>2.9999999999999996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E88D1-70ED-48BF-AD1C-49347ACDEA78}">
  <dimension ref="A1:F85"/>
  <sheetViews>
    <sheetView workbookViewId="0"/>
  </sheetViews>
  <sheetFormatPr defaultRowHeight="16.5"/>
  <cols>
    <col min="1" max="1" width="17.25" bestFit="1" customWidth="1"/>
    <col min="2" max="2" width="21.5" bestFit="1" customWidth="1"/>
    <col min="3" max="3" width="18" customWidth="1"/>
    <col min="5" max="5" width="46" customWidth="1"/>
  </cols>
  <sheetData>
    <row r="1" spans="1:6">
      <c r="C1" t="s">
        <v>39</v>
      </c>
      <c r="E1" t="s">
        <v>3</v>
      </c>
      <c r="F1" t="s">
        <v>40</v>
      </c>
    </row>
    <row r="2" spans="1:6">
      <c r="A2" s="9" t="s">
        <v>41</v>
      </c>
      <c r="B2" s="10" t="s">
        <v>9</v>
      </c>
      <c r="C2" s="9">
        <f>IFERROR(('US-LDVs-psgr'!AF2/'US-LDVs-psgr'!B2)^(1/COUNT('US-LDVs-psgr'!$B$1:$AF$1))-1,0)</f>
        <v>-1.5060810674758507E-3</v>
      </c>
    </row>
    <row r="3" spans="1:6">
      <c r="B3" s="1" t="s">
        <v>10</v>
      </c>
      <c r="C3">
        <f>IFERROR(('US-LDVs-psgr'!AF3/'US-LDVs-psgr'!B3)^(1/COUNT('US-LDVs-psgr'!$B$1:$AF$1))-1,0)</f>
        <v>2.5086794556596903E-3</v>
      </c>
    </row>
    <row r="4" spans="1:6">
      <c r="B4" s="1" t="s">
        <v>11</v>
      </c>
      <c r="C4">
        <f>IFERROR(('US-LDVs-psgr'!AF4/'US-LDVs-psgr'!B4)^(1/COUNT('US-LDVs-psgr'!$B$1:$AF$1))-1,0)</f>
        <v>2.9284465081031996E-3</v>
      </c>
    </row>
    <row r="5" spans="1:6">
      <c r="B5" s="1" t="s">
        <v>12</v>
      </c>
      <c r="C5">
        <f>IFERROR(('US-LDVs-psgr'!AF5/'US-LDVs-psgr'!B5)^(1/COUNT('US-LDVs-psgr'!$B$1:$AF$1))-1,0)</f>
        <v>8.8318936721920593E-4</v>
      </c>
    </row>
    <row r="6" spans="1:6">
      <c r="B6" s="1" t="s">
        <v>13</v>
      </c>
      <c r="C6">
        <f>IFERROR(('US-LDVs-psgr'!AF6/'US-LDVs-psgr'!B6)^(1/COUNT('US-LDVs-psgr'!$B$1:$AF$1))-1,0)</f>
        <v>3.2675944403379731E-3</v>
      </c>
    </row>
    <row r="7" spans="1:6">
      <c r="B7" s="1" t="s">
        <v>14</v>
      </c>
      <c r="C7">
        <f>IFERROR(('US-LDVs-psgr'!AF7/'US-LDVs-psgr'!B7)^(1/COUNT('US-LDVs-psgr'!$B$1:$AF$1))-1,0)</f>
        <v>2.120934653352613E-3</v>
      </c>
    </row>
    <row r="8" spans="1:6">
      <c r="A8" s="11"/>
      <c r="B8" s="12" t="s">
        <v>15</v>
      </c>
      <c r="C8" s="11">
        <f>IFERROR(('US-LDVs-psgr'!AF8/'US-LDVs-psgr'!B8)^(1/COUNT('US-LDVs-psgr'!$B$1:$AF$1))-1,0)</f>
        <v>-6.41977670003957E-4</v>
      </c>
    </row>
    <row r="9" spans="1:6">
      <c r="A9" s="9" t="s">
        <v>42</v>
      </c>
      <c r="B9" s="10" t="s">
        <v>9</v>
      </c>
      <c r="C9" s="9">
        <f>IFERROR(('US-LDVs-frgt'!AF2/'US-LDVs-frgt'!B2)^(1/COUNT('US-LDVs-frgt'!$B$1:$AF$1))-1,0)</f>
        <v>1.3090349440243898E-2</v>
      </c>
    </row>
    <row r="10" spans="1:6">
      <c r="B10" s="1" t="s">
        <v>10</v>
      </c>
      <c r="C10">
        <f>IFERROR(('US-LDVs-frgt'!AF3/'US-LDVs-frgt'!B3)^(1/COUNT('US-LDVs-frgt'!$B$1:$AF$1))-1,0)</f>
        <v>-2.5943994809526361E-3</v>
      </c>
    </row>
    <row r="11" spans="1:6">
      <c r="B11" s="1" t="s">
        <v>11</v>
      </c>
      <c r="C11">
        <f>IFERROR(('US-LDVs-frgt'!AF4/'US-LDVs-frgt'!B4)^(1/COUNT('US-LDVs-frgt'!$B$1:$AF$1))-1,0)</f>
        <v>-2.5943994809526361E-3</v>
      </c>
    </row>
    <row r="12" spans="1:6">
      <c r="B12" s="1" t="s">
        <v>12</v>
      </c>
      <c r="C12">
        <f>IFERROR(('US-LDVs-frgt'!AF5/'US-LDVs-frgt'!B5)^(1/COUNT('US-LDVs-frgt'!$B$1:$AF$1))-1,0)</f>
        <v>-2.5943994809526361E-3</v>
      </c>
    </row>
    <row r="13" spans="1:6">
      <c r="B13" s="1" t="s">
        <v>13</v>
      </c>
      <c r="C13">
        <f>IFERROR(('US-LDVs-frgt'!AF6/'US-LDVs-frgt'!B6)^(1/COUNT('US-LDVs-frgt'!$B$1:$AF$1))-1,0)</f>
        <v>7.4585286225954395E-3</v>
      </c>
    </row>
    <row r="14" spans="1:6">
      <c r="B14" s="1" t="s">
        <v>14</v>
      </c>
      <c r="C14">
        <f>IFERROR(('US-LDVs-frgt'!AF7/'US-LDVs-frgt'!B7)^(1/COUNT('US-LDVs-frgt'!$B$1:$AF$1))-1,0)</f>
        <v>-2.5943994809526361E-3</v>
      </c>
    </row>
    <row r="15" spans="1:6">
      <c r="A15" s="11"/>
      <c r="B15" s="12" t="s">
        <v>15</v>
      </c>
      <c r="C15" s="11">
        <f>IFERROR(('US-LDVs-frgt'!AF8/'US-LDVs-frgt'!B8)^(1/COUNT('US-LDVs-frgt'!$B$1:$AF$1))-1,0)</f>
        <v>-2.5943994809526361E-3</v>
      </c>
    </row>
    <row r="16" spans="1:6">
      <c r="A16" s="9" t="s">
        <v>43</v>
      </c>
      <c r="B16" s="10" t="s">
        <v>9</v>
      </c>
      <c r="C16" s="9">
        <f>IFERROR(('US-HDVs-psgr'!AF2/'US-HDVs-psgr'!B2)^(1/COUNT('US-HDVs-psgr'!$B$1:$AF$1))-1,0)</f>
        <v>1.5972361193876239E-2</v>
      </c>
    </row>
    <row r="17" spans="1:6">
      <c r="B17" s="1" t="s">
        <v>10</v>
      </c>
      <c r="C17">
        <f>IFERROR(('US-HDVs-psgr'!AF3/'US-HDVs-psgr'!B3)^(1/COUNT('US-HDVs-psgr'!$B$1:$AF$1))-1,0)</f>
        <v>7.3900263096151608E-3</v>
      </c>
    </row>
    <row r="18" spans="1:6">
      <c r="B18" s="1" t="s">
        <v>11</v>
      </c>
      <c r="C18">
        <f>IFERROR(('US-HDVs-psgr'!AF4/'US-HDVs-psgr'!B4)^(1/COUNT('US-HDVs-psgr'!$B$1:$AF$1))-1,0)</f>
        <v>7.3900263096151608E-3</v>
      </c>
    </row>
    <row r="19" spans="1:6">
      <c r="B19" s="1" t="s">
        <v>12</v>
      </c>
      <c r="C19">
        <f>IFERROR(('US-HDVs-psgr'!AF5/'US-HDVs-psgr'!B5)^(1/COUNT('US-HDVs-psgr'!$B$1:$AF$1))-1,0)</f>
        <v>7.3900263096151608E-3</v>
      </c>
    </row>
    <row r="20" spans="1:6">
      <c r="B20" s="1" t="s">
        <v>13</v>
      </c>
      <c r="C20">
        <f>IFERROR(('US-HDVs-psgr'!AF6/'US-HDVs-psgr'!B6)^(1/COUNT('US-HDVs-psgr'!$B$1:$AF$1))-1,0)</f>
        <v>7.3900263096151608E-3</v>
      </c>
    </row>
    <row r="21" spans="1:6">
      <c r="B21" s="1" t="s">
        <v>14</v>
      </c>
      <c r="C21">
        <f>IFERROR(('US-HDVs-psgr'!AF7/'US-HDVs-psgr'!B7)^(1/COUNT('US-HDVs-psgr'!$B$1:$AF$1))-1,0)</f>
        <v>7.3900263096151608E-3</v>
      </c>
    </row>
    <row r="22" spans="1:6">
      <c r="A22" s="11"/>
      <c r="B22" s="12" t="s">
        <v>15</v>
      </c>
      <c r="C22" s="11">
        <f>IFERROR(('US-HDVs-psgr'!AF8/'US-HDVs-psgr'!B8)^(1/COUNT('US-HDVs-psgr'!$B$1:$AF$1))-1,0)</f>
        <v>7.3900263096151608E-3</v>
      </c>
      <c r="D22" s="17">
        <f>IFERROR((15/13.5)^(1/10)-1,0)</f>
        <v>1.0591751203291366E-2</v>
      </c>
      <c r="E22" t="s">
        <v>44</v>
      </c>
      <c r="F22" s="16" t="s">
        <v>45</v>
      </c>
    </row>
    <row r="23" spans="1:6">
      <c r="A23" s="9" t="s">
        <v>46</v>
      </c>
      <c r="B23" s="10" t="s">
        <v>9</v>
      </c>
      <c r="C23" s="9">
        <f>IFERROR(('US-HDVs-frgt'!AF2/'US-HDVs-frgt'!B2)^(1/COUNT('US-HDVs-frgt'!$B$1:$AF$1))-1,0)</f>
        <v>1.5972361193876239E-2</v>
      </c>
    </row>
    <row r="24" spans="1:6">
      <c r="B24" s="1" t="s">
        <v>10</v>
      </c>
      <c r="C24">
        <f>IFERROR(('US-HDVs-frgt'!AF3/'US-HDVs-frgt'!B3)^(1/COUNT('US-HDVs-frgt'!$B$1:$AF$1))-1,0)</f>
        <v>7.3900263096151608E-3</v>
      </c>
    </row>
    <row r="25" spans="1:6">
      <c r="B25" s="1" t="s">
        <v>11</v>
      </c>
      <c r="C25">
        <f>IFERROR(('US-HDVs-frgt'!AF4/'US-HDVs-frgt'!B4)^(1/COUNT('US-HDVs-frgt'!$B$1:$AF$1))-1,0)</f>
        <v>7.3900263096151608E-3</v>
      </c>
    </row>
    <row r="26" spans="1:6">
      <c r="B26" s="1" t="s">
        <v>12</v>
      </c>
      <c r="C26">
        <f>IFERROR(('US-HDVs-frgt'!AF5/'US-HDVs-frgt'!B5)^(1/COUNT('US-HDVs-frgt'!$B$1:$AF$1))-1,0)</f>
        <v>7.3900263096151608E-3</v>
      </c>
    </row>
    <row r="27" spans="1:6">
      <c r="B27" s="1" t="s">
        <v>13</v>
      </c>
      <c r="C27">
        <f>IFERROR(('US-HDVs-frgt'!AF6/'US-HDVs-frgt'!B6)^(1/COUNT('US-HDVs-frgt'!$B$1:$AF$1))-1,0)</f>
        <v>7.3900263096151608E-3</v>
      </c>
    </row>
    <row r="28" spans="1:6">
      <c r="B28" s="1" t="s">
        <v>14</v>
      </c>
      <c r="C28">
        <f>IFERROR(('US-HDVs-frgt'!AF7/'US-HDVs-frgt'!B7)^(1/COUNT('US-HDVs-frgt'!$B$1:$AF$1))-1,0)</f>
        <v>7.3900263096151608E-3</v>
      </c>
    </row>
    <row r="29" spans="1:6">
      <c r="A29" s="11"/>
      <c r="B29" s="12" t="s">
        <v>15</v>
      </c>
      <c r="C29" s="11">
        <f>IFERROR(('US-HDVs-frgt'!AF8/'US-HDVs-frgt'!B8)^(1/COUNT('US-HDVs-frgt'!$B$1:$AF$1))-1,0)</f>
        <v>7.3900263096151608E-3</v>
      </c>
    </row>
    <row r="30" spans="1:6">
      <c r="A30" s="9" t="s">
        <v>47</v>
      </c>
      <c r="B30" s="10" t="s">
        <v>9</v>
      </c>
      <c r="C30" s="9">
        <f>IFERROR(('US-aircraft-psgr'!AF2/'US-aircraft-psgr'!B2)^(1/COUNT('US-aircraft-psgr'!$B$1:$AF$1))-1,0)</f>
        <v>7.1085127875833987E-3</v>
      </c>
    </row>
    <row r="31" spans="1:6">
      <c r="B31" s="1" t="s">
        <v>10</v>
      </c>
      <c r="C31">
        <f>IFERROR(('US-aircraft-psgr'!AF3/'US-aircraft-psgr'!B3)^(1/COUNT('US-aircraft-psgr'!$B$1:$AF$1))-1,0)</f>
        <v>0</v>
      </c>
    </row>
    <row r="32" spans="1:6">
      <c r="B32" s="1" t="s">
        <v>11</v>
      </c>
      <c r="C32">
        <f>IFERROR(('US-aircraft-psgr'!AF4/'US-aircraft-psgr'!B4)^(1/COUNT('US-aircraft-psgr'!$B$1:$AF$1))-1,0)</f>
        <v>0</v>
      </c>
    </row>
    <row r="33" spans="1:3">
      <c r="B33" s="1" t="s">
        <v>12</v>
      </c>
      <c r="C33">
        <f>IFERROR(('US-aircraft-psgr'!AF5/'US-aircraft-psgr'!B5)^(1/COUNT('US-aircraft-psgr'!$B$1:$AF$1))-1,0)</f>
        <v>7.1085127875833987E-3</v>
      </c>
    </row>
    <row r="34" spans="1:3">
      <c r="B34" s="1" t="s">
        <v>13</v>
      </c>
      <c r="C34">
        <f>IFERROR(('US-aircraft-psgr'!AF6/'US-aircraft-psgr'!B6)^(1/COUNT('US-aircraft-psgr'!$B$1:$AF$1))-1,0)</f>
        <v>0</v>
      </c>
    </row>
    <row r="35" spans="1:3">
      <c r="B35" s="1" t="s">
        <v>14</v>
      </c>
      <c r="C35">
        <f>IFERROR(('US-aircraft-psgr'!AF7/'US-aircraft-psgr'!B7)^(1/COUNT('US-aircraft-psgr'!$B$1:$AF$1))-1,0)</f>
        <v>0</v>
      </c>
    </row>
    <row r="36" spans="1:3">
      <c r="A36" s="11"/>
      <c r="B36" s="12" t="s">
        <v>15</v>
      </c>
      <c r="C36" s="11">
        <f>IFERROR(('US-aircraft-psgr'!AF8/'US-aircraft-psgr'!B8)^(1/COUNT('US-aircraft-psgr'!$B$1:$AF$1))-1,0)</f>
        <v>7.1085127875833987E-3</v>
      </c>
    </row>
    <row r="37" spans="1:3">
      <c r="A37" s="9" t="s">
        <v>48</v>
      </c>
      <c r="B37" s="10" t="s">
        <v>9</v>
      </c>
      <c r="C37" s="9">
        <f>IFERROR(('US-aircraft-frgt'!AF2/'US-aircraft-frgt'!B2)^(1/COUNT('US-aircraft-frgt'!$B$1:$AF$1))-1,0)</f>
        <v>7.1085127875833987E-3</v>
      </c>
    </row>
    <row r="38" spans="1:3">
      <c r="B38" s="1" t="s">
        <v>10</v>
      </c>
      <c r="C38">
        <f>IFERROR(('US-aircraft-frgt'!AF3/'US-aircraft-frgt'!B3)^(1/COUNT('US-aircraft-frgt'!$B$1:$AF$1))-1,0)</f>
        <v>0</v>
      </c>
    </row>
    <row r="39" spans="1:3">
      <c r="B39" s="1" t="s">
        <v>11</v>
      </c>
      <c r="C39">
        <f>IFERROR(('US-aircraft-frgt'!AF4/'US-aircraft-frgt'!B4)^(1/COUNT('US-aircraft-frgt'!$B$1:$AF$1))-1,0)</f>
        <v>0</v>
      </c>
    </row>
    <row r="40" spans="1:3">
      <c r="B40" s="1" t="s">
        <v>12</v>
      </c>
      <c r="C40">
        <f>IFERROR(('US-aircraft-frgt'!AF5/'US-aircraft-frgt'!B5)^(1/COUNT('US-aircraft-frgt'!$B$1:$AF$1))-1,0)</f>
        <v>7.1085127875833987E-3</v>
      </c>
    </row>
    <row r="41" spans="1:3">
      <c r="B41" s="1" t="s">
        <v>13</v>
      </c>
      <c r="C41">
        <f>IFERROR(('US-aircraft-frgt'!AF6/'US-aircraft-frgt'!B6)^(1/COUNT('US-aircraft-frgt'!$B$1:$AF$1))-1,0)</f>
        <v>0</v>
      </c>
    </row>
    <row r="42" spans="1:3">
      <c r="B42" s="1" t="s">
        <v>14</v>
      </c>
      <c r="C42">
        <f>IFERROR(('US-aircraft-frgt'!AF7/'US-aircraft-frgt'!B7)^(1/COUNT('US-aircraft-frgt'!$B$1:$AF$1))-1,0)</f>
        <v>0</v>
      </c>
    </row>
    <row r="43" spans="1:3">
      <c r="A43" s="11"/>
      <c r="B43" s="12" t="s">
        <v>15</v>
      </c>
      <c r="C43" s="11">
        <f>IFERROR(('US-aircraft-frgt'!AF8/'US-aircraft-frgt'!B8)^(1/COUNT('US-aircraft-frgt'!$B$1:$AF$1))-1,0)</f>
        <v>7.1085127875833987E-3</v>
      </c>
    </row>
    <row r="44" spans="1:3">
      <c r="A44" s="9" t="s">
        <v>49</v>
      </c>
      <c r="B44" s="10" t="s">
        <v>9</v>
      </c>
      <c r="C44" s="9">
        <f>IFERROR(('US-rail-psgr'!AF2/'US-rail-psgr'!B2)^(1/COUNT('US-rail-psgr'!$B$1:$AF$1))-1,0)</f>
        <v>-3.1790322538460813E-4</v>
      </c>
    </row>
    <row r="45" spans="1:3">
      <c r="B45" s="1" t="s">
        <v>10</v>
      </c>
      <c r="C45">
        <f>IFERROR(('US-rail-psgr'!AF3/'US-rail-psgr'!B3)^(1/COUNT('US-rail-psgr'!$B$1:$AF$1))-1,0)</f>
        <v>0</v>
      </c>
    </row>
    <row r="46" spans="1:3">
      <c r="B46" s="1" t="s">
        <v>11</v>
      </c>
      <c r="C46">
        <f>IFERROR(('US-rail-psgr'!AF4/'US-rail-psgr'!B4)^(1/COUNT('US-rail-psgr'!$B$1:$AF$1))-1,0)</f>
        <v>0</v>
      </c>
    </row>
    <row r="47" spans="1:3">
      <c r="B47" s="1" t="s">
        <v>12</v>
      </c>
      <c r="C47">
        <f>IFERROR(('US-rail-psgr'!AF5/'US-rail-psgr'!B5)^(1/COUNT('US-rail-psgr'!$B$1:$AF$1))-1,0)</f>
        <v>-3.1790322538449711E-4</v>
      </c>
    </row>
    <row r="48" spans="1:3">
      <c r="B48" s="1" t="s">
        <v>13</v>
      </c>
      <c r="C48">
        <f>IFERROR(('US-rail-psgr'!AF6/'US-rail-psgr'!B6)^(1/COUNT('US-rail-psgr'!$B$1:$AF$1))-1,0)</f>
        <v>0</v>
      </c>
    </row>
    <row r="49" spans="1:3">
      <c r="B49" s="1" t="s">
        <v>14</v>
      </c>
      <c r="C49">
        <f>IFERROR(('US-rail-psgr'!AF7/'US-rail-psgr'!B7)^(1/COUNT('US-rail-psgr'!$B$1:$AF$1))-1,0)</f>
        <v>0</v>
      </c>
    </row>
    <row r="50" spans="1:3">
      <c r="A50" s="11"/>
      <c r="B50" s="12" t="s">
        <v>15</v>
      </c>
      <c r="C50" s="11">
        <f>IFERROR(('US-rail-psgr'!AF8/'US-rail-psgr'!B8)^(1/COUNT('US-rail-psgr'!$B$1:$AF$1))-1,0)</f>
        <v>-3.1790322538449711E-4</v>
      </c>
    </row>
    <row r="51" spans="1:3">
      <c r="A51" s="9" t="s">
        <v>50</v>
      </c>
      <c r="B51" s="10" t="s">
        <v>9</v>
      </c>
      <c r="C51" s="9">
        <f>IFERROR(('US-rail-frgt'!AF2/'US-rail-frgt'!B2)^(1/COUNT('US-rail-frgt'!$B$1:$AF$1))-1,0)</f>
        <v>6.2761978399152873E-3</v>
      </c>
    </row>
    <row r="52" spans="1:3">
      <c r="B52" s="1" t="s">
        <v>10</v>
      </c>
      <c r="C52">
        <f>IFERROR(('US-rail-frgt'!AF3/'US-rail-frgt'!B3)^(1/COUNT('US-rail-frgt'!$B$1:$AF$1))-1,0)</f>
        <v>0</v>
      </c>
    </row>
    <row r="53" spans="1:3">
      <c r="B53" s="1" t="s">
        <v>11</v>
      </c>
      <c r="C53">
        <f>IFERROR(('US-rail-frgt'!AF4/'US-rail-frgt'!B4)^(1/COUNT('US-rail-frgt'!$B$1:$AF$1))-1,0)</f>
        <v>0</v>
      </c>
    </row>
    <row r="54" spans="1:3">
      <c r="B54" s="1" t="s">
        <v>12</v>
      </c>
      <c r="C54">
        <f>IFERROR(('US-rail-frgt'!AF5/'US-rail-frgt'!B5)^(1/COUNT('US-rail-frgt'!$B$1:$AF$1))-1,0)</f>
        <v>6.2761978399152873E-3</v>
      </c>
    </row>
    <row r="55" spans="1:3">
      <c r="B55" s="1" t="s">
        <v>13</v>
      </c>
      <c r="C55">
        <f>IFERROR(('US-rail-frgt'!AF6/'US-rail-frgt'!B6)^(1/COUNT('US-rail-frgt'!$B$1:$AF$1))-1,0)</f>
        <v>0</v>
      </c>
    </row>
    <row r="56" spans="1:3">
      <c r="B56" s="1" t="s">
        <v>14</v>
      </c>
      <c r="C56">
        <f>IFERROR(('US-rail-frgt'!AF7/'US-rail-frgt'!B7)^(1/COUNT('US-rail-frgt'!$B$1:$AF$1))-1,0)</f>
        <v>0</v>
      </c>
    </row>
    <row r="57" spans="1:3">
      <c r="A57" s="11"/>
      <c r="B57" s="12" t="s">
        <v>15</v>
      </c>
      <c r="C57" s="11">
        <f>IFERROR(('US-rail-frgt'!AF8/'US-rail-frgt'!B8)^(1/COUNT('US-rail-frgt'!$B$1:$AF$1))-1,0)</f>
        <v>6.2761978399152873E-3</v>
      </c>
    </row>
    <row r="58" spans="1:3">
      <c r="A58" s="9" t="s">
        <v>51</v>
      </c>
      <c r="B58" s="10" t="s">
        <v>9</v>
      </c>
      <c r="C58" s="9">
        <f>IFERROR(('US-ships-psgr'!AF2/'US-ships-psgr'!B2)^(1/COUNT('US-ships-psgr'!$B$1:$AF$1))-1,0)</f>
        <v>0</v>
      </c>
    </row>
    <row r="59" spans="1:3">
      <c r="B59" s="1" t="s">
        <v>10</v>
      </c>
      <c r="C59">
        <f>IFERROR(('US-ships-psgr'!AF3/'US-ships-psgr'!B3)^(1/COUNT('US-ships-psgr'!$B$1:$AF$1))-1,0)</f>
        <v>0</v>
      </c>
    </row>
    <row r="60" spans="1:3">
      <c r="B60" s="1" t="s">
        <v>11</v>
      </c>
      <c r="C60">
        <f>IFERROR(('US-ships-psgr'!AF4/'US-ships-psgr'!B4)^(1/COUNT('US-ships-psgr'!$B$1:$AF$1))-1,0)</f>
        <v>0</v>
      </c>
    </row>
    <row r="61" spans="1:3">
      <c r="B61" s="1" t="s">
        <v>12</v>
      </c>
      <c r="C61">
        <f>IFERROR(('US-ships-psgr'!AF5/'US-ships-psgr'!B5)^(1/COUNT('US-ships-psgr'!$B$1:$AF$1))-1,0)</f>
        <v>0</v>
      </c>
    </row>
    <row r="62" spans="1:3">
      <c r="B62" s="1" t="s">
        <v>13</v>
      </c>
      <c r="C62">
        <f>IFERROR(('US-ships-psgr'!AF6/'US-ships-psgr'!B6)^(1/COUNT('US-ships-psgr'!$B$1:$AF$1))-1,0)</f>
        <v>0</v>
      </c>
    </row>
    <row r="63" spans="1:3">
      <c r="B63" s="1" t="s">
        <v>14</v>
      </c>
      <c r="C63">
        <f>IFERROR(('US-ships-psgr'!AF7/'US-ships-psgr'!B7)^(1/COUNT('US-ships-psgr'!$B$1:$AF$1))-1,0)</f>
        <v>0</v>
      </c>
    </row>
    <row r="64" spans="1:3">
      <c r="A64" s="11"/>
      <c r="B64" s="12" t="s">
        <v>15</v>
      </c>
      <c r="C64" s="11">
        <f>IFERROR(('US-ships-psgr'!AF8/'US-ships-psgr'!B8)^(1/COUNT('US-ships-psgr'!$B$1:$AF$1))-1,0)</f>
        <v>0</v>
      </c>
    </row>
    <row r="65" spans="1:3">
      <c r="A65" s="9" t="s">
        <v>52</v>
      </c>
      <c r="B65" s="10" t="s">
        <v>9</v>
      </c>
      <c r="C65" s="9">
        <f>IFERROR(('US-ships-frgt'!AF2/'US-ships-frgt'!B2)^(1/COUNT('US-ships-frgt'!$B$1:$AF$1))-1,0)</f>
        <v>0</v>
      </c>
    </row>
    <row r="66" spans="1:3">
      <c r="B66" s="1" t="s">
        <v>10</v>
      </c>
      <c r="C66">
        <f>IFERROR(('US-ships-frgt'!AF3/'US-ships-frgt'!B3)^(1/COUNT('US-ships-frgt'!$B$1:$AF$1))-1,0)</f>
        <v>0</v>
      </c>
    </row>
    <row r="67" spans="1:3">
      <c r="B67" s="1" t="s">
        <v>11</v>
      </c>
      <c r="C67">
        <f>IFERROR(('US-ships-frgt'!AF4/'US-ships-frgt'!B4)^(1/COUNT('US-ships-frgt'!$B$1:$AF$1))-1,0)</f>
        <v>0</v>
      </c>
    </row>
    <row r="68" spans="1:3">
      <c r="B68" s="1" t="s">
        <v>12</v>
      </c>
      <c r="C68">
        <f>IFERROR(('US-ships-frgt'!AF5/'US-ships-frgt'!B5)^(1/COUNT('US-ships-frgt'!$B$1:$AF$1))-1,0)</f>
        <v>0</v>
      </c>
    </row>
    <row r="69" spans="1:3">
      <c r="B69" s="1" t="s">
        <v>13</v>
      </c>
      <c r="C69">
        <f>IFERROR(('US-ships-frgt'!AF6/'US-ships-frgt'!B6)^(1/COUNT('US-ships-frgt'!$B$1:$AF$1))-1,0)</f>
        <v>0</v>
      </c>
    </row>
    <row r="70" spans="1:3">
      <c r="B70" s="1" t="s">
        <v>14</v>
      </c>
      <c r="C70">
        <f>IFERROR(('US-ships-frgt'!AF7/'US-ships-frgt'!B7)^(1/COUNT('US-ships-frgt'!$B$1:$AF$1))-1,0)</f>
        <v>0</v>
      </c>
    </row>
    <row r="71" spans="1:3">
      <c r="A71" s="11"/>
      <c r="B71" s="12" t="s">
        <v>15</v>
      </c>
      <c r="C71" s="11">
        <f>IFERROR(('US-ships-frgt'!AF8/'US-ships-frgt'!B8)^(1/COUNT('US-ships-frgt'!$B$1:$AF$1))-1,0)</f>
        <v>0</v>
      </c>
    </row>
    <row r="72" spans="1:3">
      <c r="A72" s="9" t="s">
        <v>53</v>
      </c>
      <c r="B72" s="10" t="s">
        <v>9</v>
      </c>
      <c r="C72" s="9">
        <f>IFERROR(('US-motorbikes-psgr'!AF2/'US-motorbikes-psgr'!B2)^(1/COUNT('US-motorbikes-psgr'!$B$1:$AF$1))-1,0)</f>
        <v>0</v>
      </c>
    </row>
    <row r="73" spans="1:3">
      <c r="B73" s="1" t="s">
        <v>10</v>
      </c>
      <c r="C73">
        <f>IFERROR(('US-motorbikes-psgr'!AF3/'US-motorbikes-psgr'!B3)^(1/COUNT('US-motorbikes-psgr'!$B$1:$AF$1))-1,0)</f>
        <v>0</v>
      </c>
    </row>
    <row r="74" spans="1:3">
      <c r="B74" s="1" t="s">
        <v>11</v>
      </c>
      <c r="C74">
        <f>IFERROR(('US-motorbikes-psgr'!AF4/'US-motorbikes-psgr'!B4)^(1/COUNT('US-motorbikes-psgr'!$B$1:$AF$1))-1,0)</f>
        <v>0</v>
      </c>
    </row>
    <row r="75" spans="1:3">
      <c r="B75" s="1" t="s">
        <v>12</v>
      </c>
      <c r="C75">
        <f>IFERROR(('US-motorbikes-psgr'!AF5/'US-motorbikes-psgr'!B5)^(1/COUNT('US-motorbikes-psgr'!$B$1:$AF$1))-1,0)</f>
        <v>0</v>
      </c>
    </row>
    <row r="76" spans="1:3">
      <c r="B76" s="1" t="s">
        <v>13</v>
      </c>
      <c r="C76">
        <f>IFERROR(('US-motorbikes-psgr'!AF6/'US-motorbikes-psgr'!B6)^(1/COUNT('US-motorbikes-psgr'!$B$1:$AF$1))-1,0)</f>
        <v>0</v>
      </c>
    </row>
    <row r="77" spans="1:3">
      <c r="B77" s="1" t="s">
        <v>14</v>
      </c>
      <c r="C77">
        <f>IFERROR(('US-motorbikes-psgr'!AF7/'US-motorbikes-psgr'!B7)^(1/COUNT('US-motorbikes-psgr'!$B$1:$AF$1))-1,0)</f>
        <v>0</v>
      </c>
    </row>
    <row r="78" spans="1:3">
      <c r="A78" s="11"/>
      <c r="B78" s="12" t="s">
        <v>15</v>
      </c>
      <c r="C78" s="11">
        <f>IFERROR(('US-motorbikes-psgr'!AF8/'US-motorbikes-psgr'!B8)^(1/COUNT('US-motorbikes-psgr'!$B$1:$AF$1))-1,0)</f>
        <v>0</v>
      </c>
    </row>
    <row r="79" spans="1:3">
      <c r="A79" s="9" t="s">
        <v>54</v>
      </c>
      <c r="B79" s="10" t="s">
        <v>9</v>
      </c>
      <c r="C79" s="9">
        <f>IFERROR(('US-motorbikes-frgt'!AF2/'US-motorbikes-frgt'!B2)^(1/COUNT('US-motorbikes-frgt'!$B$1:$AF$1))-1,0)</f>
        <v>0</v>
      </c>
    </row>
    <row r="80" spans="1:3">
      <c r="B80" s="1" t="s">
        <v>10</v>
      </c>
      <c r="C80">
        <f>IFERROR(('US-motorbikes-frgt'!AF3/'US-motorbikes-frgt'!B3)^(1/COUNT('US-motorbikes-frgt'!$B$1:$AF$1))-1,0)</f>
        <v>0</v>
      </c>
    </row>
    <row r="81" spans="1:3">
      <c r="B81" s="1" t="s">
        <v>11</v>
      </c>
      <c r="C81">
        <f>IFERROR(('US-motorbikes-frgt'!AF4/'US-motorbikes-frgt'!B4)^(1/COUNT('US-motorbikes-frgt'!$B$1:$AF$1))-1,0)</f>
        <v>0</v>
      </c>
    </row>
    <row r="82" spans="1:3">
      <c r="B82" s="1" t="s">
        <v>12</v>
      </c>
      <c r="C82">
        <f>IFERROR(('US-motorbikes-frgt'!AF5/'US-motorbikes-frgt'!B5)^(1/COUNT('US-motorbikes-frgt'!$B$1:$AF$1))-1,0)</f>
        <v>0</v>
      </c>
    </row>
    <row r="83" spans="1:3">
      <c r="B83" s="1" t="s">
        <v>13</v>
      </c>
      <c r="C83">
        <f>IFERROR(('US-motorbikes-frgt'!AF6/'US-motorbikes-frgt'!B6)^(1/COUNT('US-motorbikes-frgt'!$B$1:$AF$1))-1,0)</f>
        <v>0</v>
      </c>
    </row>
    <row r="84" spans="1:3">
      <c r="B84" s="1" t="s">
        <v>14</v>
      </c>
      <c r="C84">
        <f>IFERROR(('US-motorbikes-frgt'!AF7/'US-motorbikes-frgt'!B7)^(1/COUNT('US-motorbikes-frgt'!$B$1:$AF$1))-1,0)</f>
        <v>0</v>
      </c>
    </row>
    <row r="85" spans="1:3">
      <c r="A85" s="11"/>
      <c r="B85" s="12" t="s">
        <v>15</v>
      </c>
      <c r="C85" s="11">
        <f>IFERROR(('US-motorbikes-frgt'!AF8/'US-motorbikes-frgt'!B8)^(1/COUNT('US-motorbikes-frgt'!$B$1:$AF$1))-1,0)</f>
        <v>0</v>
      </c>
    </row>
  </sheetData>
  <phoneticPr fontId="1" type="noConversion"/>
  <hyperlinks>
    <hyperlink ref="F22" r:id="rId1" xr:uid="{AA54E531-014D-4359-8B33-B65B3612FA46}"/>
  </hyperlinks>
  <pageMargins left="0.7" right="0.7" top="0.75" bottom="0.75" header="0.3" footer="0.3"/>
  <pageSetup paperSize="9" orientation="portrait" verticalDpi="0"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C2BA1-F2C9-4C84-8D6D-BA9B17307A46}">
  <sheetPr>
    <tabColor theme="5"/>
  </sheetPr>
  <dimension ref="A1:AG40"/>
  <sheetViews>
    <sheetView workbookViewId="0"/>
  </sheetViews>
  <sheetFormatPr defaultRowHeight="16.5"/>
  <cols>
    <col min="1" max="1" width="10.75" bestFit="1" customWidth="1"/>
    <col min="2" max="2" width="18.25" customWidth="1"/>
    <col min="3" max="3" width="11.125" bestFit="1" customWidth="1"/>
  </cols>
  <sheetData>
    <row r="1" spans="1:4">
      <c r="A1" t="s">
        <v>55</v>
      </c>
    </row>
    <row r="2" spans="1:4">
      <c r="A2" s="25" t="s">
        <v>56</v>
      </c>
      <c r="B2" s="26"/>
      <c r="C2" s="26"/>
      <c r="D2" s="26"/>
    </row>
    <row r="3" spans="1:4">
      <c r="A3" s="22" t="s">
        <v>57</v>
      </c>
    </row>
    <row r="4" spans="1:4">
      <c r="A4" s="27">
        <v>32415.35</v>
      </c>
      <c r="B4" t="s">
        <v>58</v>
      </c>
    </row>
    <row r="5" spans="1:4">
      <c r="A5">
        <v>1.60934</v>
      </c>
      <c r="B5" t="s">
        <v>59</v>
      </c>
    </row>
    <row r="6" spans="1:4">
      <c r="A6">
        <v>1.4</v>
      </c>
      <c r="B6" t="s">
        <v>60</v>
      </c>
    </row>
    <row r="10" spans="1:4">
      <c r="C10" s="22">
        <v>2020</v>
      </c>
    </row>
    <row r="11" spans="1:4">
      <c r="B11" s="29" t="s">
        <v>61</v>
      </c>
      <c r="C11">
        <v>24.1</v>
      </c>
      <c r="D11" t="s">
        <v>62</v>
      </c>
    </row>
    <row r="12" spans="1:4">
      <c r="B12" s="29" t="s">
        <v>63</v>
      </c>
      <c r="C12">
        <v>14.1</v>
      </c>
      <c r="D12" t="s">
        <v>62</v>
      </c>
    </row>
    <row r="14" spans="1:4">
      <c r="A14" s="28" t="s">
        <v>64</v>
      </c>
      <c r="C14" s="22">
        <v>2020</v>
      </c>
    </row>
    <row r="15" spans="1:4">
      <c r="B15" s="29" t="s">
        <v>61</v>
      </c>
      <c r="C15" s="30">
        <f>C11/$A$5</f>
        <v>14.975082953260344</v>
      </c>
      <c r="D15" t="s">
        <v>65</v>
      </c>
    </row>
    <row r="16" spans="1:4">
      <c r="B16" s="29" t="s">
        <v>63</v>
      </c>
      <c r="C16" s="30">
        <f>C12/$A$5</f>
        <v>8.7613555867622743</v>
      </c>
      <c r="D16" t="s">
        <v>65</v>
      </c>
    </row>
    <row r="18" spans="1:33">
      <c r="C18" s="22">
        <v>2020</v>
      </c>
    </row>
    <row r="19" spans="1:33">
      <c r="B19" s="29" t="s">
        <v>61</v>
      </c>
      <c r="C19" s="31">
        <f>C15/$A$4</f>
        <v>4.6197505050108497E-4</v>
      </c>
      <c r="D19" t="s">
        <v>66</v>
      </c>
    </row>
    <row r="20" spans="1:33">
      <c r="B20" s="29" t="s">
        <v>63</v>
      </c>
      <c r="C20" s="31">
        <f>C16/$A$4</f>
        <v>2.7028415817698326E-4</v>
      </c>
      <c r="D20" t="s">
        <v>66</v>
      </c>
    </row>
    <row r="22" spans="1:33">
      <c r="C22" s="22">
        <v>2020</v>
      </c>
    </row>
    <row r="23" spans="1:33">
      <c r="B23" s="29" t="s">
        <v>61</v>
      </c>
      <c r="C23" s="31">
        <f>C19*$A$6</f>
        <v>6.4676507070151896E-4</v>
      </c>
      <c r="D23" t="s">
        <v>67</v>
      </c>
    </row>
    <row r="24" spans="1:33">
      <c r="B24" s="29" t="s">
        <v>63</v>
      </c>
      <c r="C24" s="31">
        <f>C20*$A$6</f>
        <v>3.7839782144777654E-4</v>
      </c>
      <c r="D24" t="s">
        <v>67</v>
      </c>
    </row>
    <row r="25" spans="1:33" ht="17.25" thickBot="1"/>
    <row r="26" spans="1:33" ht="17.25" thickBot="1">
      <c r="B26" s="22" t="s">
        <v>68</v>
      </c>
      <c r="C26" s="32">
        <f>AVERAGE(C23:C24)</f>
        <v>5.1258144607464772E-4</v>
      </c>
      <c r="D26" t="s">
        <v>67</v>
      </c>
    </row>
    <row r="29" spans="1:33">
      <c r="A29" s="28" t="s">
        <v>69</v>
      </c>
      <c r="D29" s="14"/>
    </row>
    <row r="30" spans="1:33">
      <c r="B30" t="s">
        <v>22</v>
      </c>
      <c r="C30">
        <v>2020</v>
      </c>
      <c r="D30">
        <v>2021</v>
      </c>
      <c r="E30">
        <v>2022</v>
      </c>
      <c r="F30">
        <v>2023</v>
      </c>
      <c r="G30">
        <v>2024</v>
      </c>
      <c r="H30">
        <v>2025</v>
      </c>
      <c r="I30">
        <v>2026</v>
      </c>
      <c r="J30">
        <v>2027</v>
      </c>
      <c r="K30">
        <v>2028</v>
      </c>
      <c r="L30">
        <v>2029</v>
      </c>
      <c r="M30">
        <v>2030</v>
      </c>
      <c r="N30">
        <v>2031</v>
      </c>
      <c r="O30">
        <v>2032</v>
      </c>
      <c r="P30">
        <v>2033</v>
      </c>
      <c r="Q30">
        <v>2034</v>
      </c>
      <c r="R30">
        <v>2035</v>
      </c>
      <c r="S30">
        <v>2036</v>
      </c>
      <c r="T30">
        <v>2037</v>
      </c>
      <c r="U30">
        <v>2038</v>
      </c>
      <c r="V30">
        <v>2039</v>
      </c>
      <c r="W30">
        <v>2040</v>
      </c>
      <c r="X30">
        <v>2041</v>
      </c>
      <c r="Y30">
        <v>2042</v>
      </c>
      <c r="Z30">
        <v>2043</v>
      </c>
      <c r="AA30">
        <v>2044</v>
      </c>
      <c r="AB30">
        <v>2045</v>
      </c>
      <c r="AC30">
        <v>2046</v>
      </c>
      <c r="AD30">
        <v>2047</v>
      </c>
      <c r="AE30">
        <v>2048</v>
      </c>
      <c r="AF30">
        <v>2049</v>
      </c>
      <c r="AG30">
        <v>2050</v>
      </c>
    </row>
    <row r="31" spans="1:33">
      <c r="B31" t="s">
        <v>9</v>
      </c>
      <c r="C31">
        <v>1.3016014821008825E-3</v>
      </c>
      <c r="D31">
        <v>1.2926576980307788E-3</v>
      </c>
      <c r="E31">
        <v>1.2869318658566659E-3</v>
      </c>
      <c r="F31">
        <v>1.2796983920849219E-3</v>
      </c>
      <c r="G31">
        <v>1.2723109001949813E-3</v>
      </c>
      <c r="H31">
        <v>1.2688722771223024E-3</v>
      </c>
      <c r="I31">
        <v>1.265614096179496E-3</v>
      </c>
      <c r="J31">
        <v>1.2602292006612041E-3</v>
      </c>
      <c r="K31">
        <v>1.2562225179555552E-3</v>
      </c>
      <c r="L31">
        <v>1.252664288663584E-3</v>
      </c>
      <c r="M31">
        <v>1.2501277882015535E-3</v>
      </c>
      <c r="N31">
        <v>1.2487082688849278E-3</v>
      </c>
      <c r="O31">
        <v>1.2467654435390108E-3</v>
      </c>
      <c r="P31">
        <v>1.2459379766549955E-3</v>
      </c>
      <c r="Q31">
        <v>1.2454911060033728E-3</v>
      </c>
      <c r="R31">
        <v>1.2451425075326549E-3</v>
      </c>
      <c r="S31">
        <v>1.2441678168462235E-3</v>
      </c>
      <c r="T31">
        <v>1.2437110831363233E-3</v>
      </c>
      <c r="U31">
        <v>1.2434472289246487E-3</v>
      </c>
      <c r="V31">
        <v>1.2431449346539255E-3</v>
      </c>
      <c r="W31">
        <v>1.242749474488683E-3</v>
      </c>
      <c r="X31">
        <v>1.2426414751633898E-3</v>
      </c>
      <c r="Y31">
        <v>1.2425270452057901E-3</v>
      </c>
      <c r="Z31">
        <v>1.2423665768196443E-3</v>
      </c>
      <c r="AA31">
        <v>1.2423661582493899E-3</v>
      </c>
      <c r="AB31">
        <v>1.2424552878090294E-3</v>
      </c>
      <c r="AC31">
        <v>1.2425304264301077E-3</v>
      </c>
      <c r="AD31">
        <v>1.2424094170501326E-3</v>
      </c>
      <c r="AE31">
        <v>1.2423079259541866E-3</v>
      </c>
      <c r="AF31">
        <v>1.2421595174498235E-3</v>
      </c>
      <c r="AG31">
        <v>1.242184730573649E-3</v>
      </c>
    </row>
    <row r="32" spans="1:33">
      <c r="B32" t="s">
        <v>10</v>
      </c>
      <c r="C32">
        <v>3.8029529805498928E-4</v>
      </c>
      <c r="D32">
        <v>3.9476635103339935E-4</v>
      </c>
      <c r="E32">
        <v>4.0317709826518853E-4</v>
      </c>
      <c r="F32">
        <v>4.0861194678683542E-4</v>
      </c>
      <c r="G32">
        <v>4.1215478728194431E-4</v>
      </c>
      <c r="H32">
        <v>4.161380472574127E-4</v>
      </c>
      <c r="I32">
        <v>4.1864713672164384E-4</v>
      </c>
      <c r="J32">
        <v>4.1871977044755321E-4</v>
      </c>
      <c r="K32">
        <v>4.1845993448607482E-4</v>
      </c>
      <c r="L32">
        <v>4.1824574080425933E-4</v>
      </c>
      <c r="M32">
        <v>4.1892239620751885E-4</v>
      </c>
      <c r="N32">
        <v>4.1874050147763098E-4</v>
      </c>
      <c r="O32">
        <v>4.1850498686080801E-4</v>
      </c>
      <c r="P32">
        <v>4.1826480772119918E-4</v>
      </c>
      <c r="Q32">
        <v>4.1829175912415644E-4</v>
      </c>
      <c r="R32">
        <v>4.1761857347733379E-4</v>
      </c>
      <c r="S32">
        <v>4.1687945245925354E-4</v>
      </c>
      <c r="T32">
        <v>4.164113300533476E-4</v>
      </c>
      <c r="U32">
        <v>4.1613449901969674E-4</v>
      </c>
      <c r="V32">
        <v>4.1551323434343832E-4</v>
      </c>
      <c r="W32">
        <v>4.1503634236097445E-4</v>
      </c>
      <c r="X32">
        <v>4.1461933319641856E-4</v>
      </c>
      <c r="Y32">
        <v>4.1413077690561246E-4</v>
      </c>
      <c r="Z32">
        <v>4.1366186353318095E-4</v>
      </c>
      <c r="AA32">
        <v>4.1331258589589651E-4</v>
      </c>
      <c r="AB32">
        <v>4.1306480490411649E-4</v>
      </c>
      <c r="AC32">
        <v>4.1264228513673742E-4</v>
      </c>
      <c r="AD32">
        <v>4.1222664654626295E-4</v>
      </c>
      <c r="AE32">
        <v>4.1170488758498282E-4</v>
      </c>
      <c r="AF32">
        <v>4.1134544874802168E-4</v>
      </c>
      <c r="AG32">
        <v>4.1101089728435994E-4</v>
      </c>
    </row>
    <row r="33" spans="2:33">
      <c r="B33" s="33" t="s">
        <v>11</v>
      </c>
      <c r="C33" s="33">
        <v>4.010435677007162E-4</v>
      </c>
      <c r="D33" s="33">
        <v>4.1543936179917892E-4</v>
      </c>
      <c r="E33" s="33">
        <v>4.232456921304615E-4</v>
      </c>
      <c r="F33" s="33">
        <v>4.284224989356039E-4</v>
      </c>
      <c r="G33" s="33">
        <v>4.3223887309206766E-4</v>
      </c>
      <c r="H33" s="33">
        <v>4.3661930301858122E-4</v>
      </c>
      <c r="I33" s="33">
        <v>4.4073837767711228E-4</v>
      </c>
      <c r="J33" s="33">
        <v>4.4130433819121803E-4</v>
      </c>
      <c r="K33" s="33">
        <v>4.4139330713525239E-4</v>
      </c>
      <c r="L33" s="33">
        <v>4.4143859386227608E-4</v>
      </c>
      <c r="M33" s="33">
        <v>4.4252278985937798E-4</v>
      </c>
      <c r="N33" s="33">
        <v>4.4258101673758966E-4</v>
      </c>
      <c r="O33" s="33">
        <v>4.4262644410952699E-4</v>
      </c>
      <c r="P33" s="33">
        <v>4.4263525674443374E-4</v>
      </c>
      <c r="Q33" s="33">
        <v>4.428907913418545E-4</v>
      </c>
      <c r="R33" s="33">
        <v>4.4235185104972023E-4</v>
      </c>
      <c r="S33" s="33">
        <v>4.4180682000362565E-4</v>
      </c>
      <c r="T33" s="33">
        <v>4.415169210975881E-4</v>
      </c>
      <c r="U33" s="33">
        <v>4.4141525513386555E-4</v>
      </c>
      <c r="V33" s="33">
        <v>4.4094858868260617E-4</v>
      </c>
      <c r="W33" s="33">
        <v>4.406528424788466E-4</v>
      </c>
      <c r="X33" s="33">
        <v>4.4046477188487546E-4</v>
      </c>
      <c r="Y33" s="33">
        <v>4.4016736396697124E-4</v>
      </c>
      <c r="Z33" s="33">
        <v>4.3991921468742256E-4</v>
      </c>
      <c r="AA33" s="33">
        <v>4.3980677282836695E-4</v>
      </c>
      <c r="AB33" s="33">
        <v>4.3981133028276362E-4</v>
      </c>
      <c r="AC33" s="33">
        <v>4.3960459654073496E-4</v>
      </c>
      <c r="AD33" s="33">
        <v>4.3945697770705547E-4</v>
      </c>
      <c r="AE33" s="33">
        <v>4.3919624527100954E-4</v>
      </c>
      <c r="AF33" s="33">
        <v>4.3913823303573507E-4</v>
      </c>
      <c r="AG33" s="33">
        <v>4.3909651675542918E-4</v>
      </c>
    </row>
    <row r="34" spans="2:33">
      <c r="B34" t="s">
        <v>12</v>
      </c>
      <c r="C34">
        <v>4.2164836790723349E-4</v>
      </c>
      <c r="D34">
        <v>4.3038372468941308E-4</v>
      </c>
      <c r="E34">
        <v>4.3420465633630295E-4</v>
      </c>
      <c r="F34">
        <v>4.3755646869858035E-4</v>
      </c>
      <c r="G34">
        <v>4.3967943886681334E-4</v>
      </c>
      <c r="H34">
        <v>4.4460624002269991E-4</v>
      </c>
      <c r="I34">
        <v>4.4496012049244393E-4</v>
      </c>
      <c r="J34">
        <v>4.4386794465270786E-4</v>
      </c>
      <c r="K34">
        <v>4.4337540076502162E-4</v>
      </c>
      <c r="L34">
        <v>4.4271108702653624E-4</v>
      </c>
      <c r="M34">
        <v>4.4204868011526002E-4</v>
      </c>
      <c r="N34">
        <v>4.4134700384785902E-4</v>
      </c>
      <c r="O34">
        <v>4.4074150219218516E-4</v>
      </c>
      <c r="P34">
        <v>4.4004989920049426E-4</v>
      </c>
      <c r="Q34">
        <v>4.3959873902550526E-4</v>
      </c>
      <c r="R34">
        <v>4.3896791873294087E-4</v>
      </c>
      <c r="S34">
        <v>4.3853822206515422E-4</v>
      </c>
      <c r="T34">
        <v>4.380679289602619E-4</v>
      </c>
      <c r="U34">
        <v>4.3761382373608021E-4</v>
      </c>
      <c r="V34">
        <v>4.3728428606956427E-4</v>
      </c>
      <c r="W34">
        <v>4.3676208341619235E-4</v>
      </c>
      <c r="X34">
        <v>4.3641079058356913E-4</v>
      </c>
      <c r="Y34">
        <v>4.3601813064876686E-4</v>
      </c>
      <c r="Z34">
        <v>4.3568341275915397E-4</v>
      </c>
      <c r="AA34">
        <v>4.3535955435881782E-4</v>
      </c>
      <c r="AB34">
        <v>4.3509879831850481E-4</v>
      </c>
      <c r="AC34">
        <v>4.3470212020737582E-4</v>
      </c>
      <c r="AD34">
        <v>4.3438066023618842E-4</v>
      </c>
      <c r="AE34">
        <v>4.3404466716966903E-4</v>
      </c>
      <c r="AF34">
        <v>4.3370047683290603E-4</v>
      </c>
      <c r="AG34">
        <v>4.3334687418764364E-4</v>
      </c>
    </row>
    <row r="35" spans="2:33">
      <c r="B35" t="s">
        <v>13</v>
      </c>
      <c r="C35">
        <v>6.5738318568648571E-4</v>
      </c>
      <c r="D35">
        <v>6.7868209237387732E-4</v>
      </c>
      <c r="E35">
        <v>6.8605104499600824E-4</v>
      </c>
      <c r="F35">
        <v>6.8995200477364748E-4</v>
      </c>
      <c r="G35">
        <v>7.0255070116778152E-4</v>
      </c>
      <c r="H35">
        <v>7.3075494105914415E-4</v>
      </c>
      <c r="I35">
        <v>7.6511494750975708E-4</v>
      </c>
      <c r="J35">
        <v>7.6729530817545215E-4</v>
      </c>
      <c r="K35">
        <v>7.6615763729175437E-4</v>
      </c>
      <c r="L35">
        <v>7.6497534983816374E-4</v>
      </c>
      <c r="M35">
        <v>7.6434508106930723E-4</v>
      </c>
      <c r="N35">
        <v>7.6297468642330408E-4</v>
      </c>
      <c r="O35">
        <v>7.6220701719009081E-4</v>
      </c>
      <c r="P35">
        <v>7.6135115263870209E-4</v>
      </c>
      <c r="Q35">
        <v>7.6059039236971756E-4</v>
      </c>
      <c r="R35">
        <v>7.5941521982376113E-4</v>
      </c>
      <c r="S35">
        <v>7.5865921051893645E-4</v>
      </c>
      <c r="T35">
        <v>7.5779553890121924E-4</v>
      </c>
      <c r="U35">
        <v>7.5675471415846706E-4</v>
      </c>
      <c r="V35">
        <v>7.5542246426100047E-4</v>
      </c>
      <c r="W35">
        <v>7.5410270573479155E-4</v>
      </c>
      <c r="X35">
        <v>7.5263393803100167E-4</v>
      </c>
      <c r="Y35">
        <v>7.5087688624492623E-4</v>
      </c>
      <c r="Z35">
        <v>7.4906248631128583E-4</v>
      </c>
      <c r="AA35">
        <v>7.470071968170176E-4</v>
      </c>
      <c r="AB35">
        <v>7.4466971736164859E-4</v>
      </c>
      <c r="AC35">
        <v>7.4187742730834057E-4</v>
      </c>
      <c r="AD35">
        <v>7.3887113076972523E-4</v>
      </c>
      <c r="AE35">
        <v>7.3528955607294266E-4</v>
      </c>
      <c r="AF35">
        <v>7.3158063579575828E-4</v>
      </c>
      <c r="AG35">
        <v>7.2734242308217191E-4</v>
      </c>
    </row>
    <row r="36" spans="2:33">
      <c r="B36" t="s">
        <v>14</v>
      </c>
      <c r="C36">
        <v>3.6368321172053488E-4</v>
      </c>
      <c r="D36">
        <v>3.7519786349243767E-4</v>
      </c>
      <c r="E36">
        <v>3.8292342231539014E-4</v>
      </c>
      <c r="F36">
        <v>3.8737442480929154E-4</v>
      </c>
      <c r="G36">
        <v>3.9018162646122461E-4</v>
      </c>
      <c r="H36">
        <v>3.9393486543226201E-4</v>
      </c>
      <c r="I36">
        <v>3.958081254319439E-4</v>
      </c>
      <c r="J36">
        <v>3.958068662698271E-4</v>
      </c>
      <c r="K36">
        <v>3.9568870081904033E-4</v>
      </c>
      <c r="L36">
        <v>3.9552372368166668E-4</v>
      </c>
      <c r="M36">
        <v>3.9593709557582721E-4</v>
      </c>
      <c r="N36">
        <v>3.9597127514076109E-4</v>
      </c>
      <c r="O36">
        <v>3.9568311316840501E-4</v>
      </c>
      <c r="P36">
        <v>3.9545023752148126E-4</v>
      </c>
      <c r="Q36">
        <v>3.9533735885442279E-4</v>
      </c>
      <c r="R36">
        <v>3.9487850361981201E-4</v>
      </c>
      <c r="S36">
        <v>3.9428117062173101E-4</v>
      </c>
      <c r="T36">
        <v>3.9378231845382995E-4</v>
      </c>
      <c r="U36">
        <v>3.9349649872249946E-4</v>
      </c>
      <c r="V36">
        <v>3.9297415036491852E-4</v>
      </c>
      <c r="W36">
        <v>3.9250688719174123E-4</v>
      </c>
      <c r="X36">
        <v>3.9211185181415524E-4</v>
      </c>
      <c r="Y36">
        <v>3.9168760952964436E-4</v>
      </c>
      <c r="Z36">
        <v>3.9122731880395569E-4</v>
      </c>
      <c r="AA36">
        <v>3.9085142797907205E-4</v>
      </c>
      <c r="AB36">
        <v>3.9051216876031034E-4</v>
      </c>
      <c r="AC36">
        <v>3.9011492927727893E-4</v>
      </c>
      <c r="AD36">
        <v>3.8968023550283847E-4</v>
      </c>
      <c r="AE36">
        <v>3.8920742031412479E-4</v>
      </c>
      <c r="AF36">
        <v>3.8876188063600889E-4</v>
      </c>
      <c r="AG36">
        <v>3.883715712735463E-4</v>
      </c>
    </row>
    <row r="37" spans="2:33">
      <c r="B37" t="s">
        <v>15</v>
      </c>
      <c r="C37">
        <v>5.8794415231938754E-4</v>
      </c>
      <c r="D37">
        <v>5.859697075889746E-4</v>
      </c>
      <c r="E37">
        <v>5.8487716230241557E-4</v>
      </c>
      <c r="F37">
        <v>5.8450715864569842E-4</v>
      </c>
      <c r="G37">
        <v>5.8509864619692446E-4</v>
      </c>
      <c r="H37">
        <v>5.8547838832553585E-4</v>
      </c>
      <c r="I37">
        <v>5.8677369900367977E-4</v>
      </c>
      <c r="J37">
        <v>5.8555189724455374E-4</v>
      </c>
      <c r="K37">
        <v>5.848624993596127E-4</v>
      </c>
      <c r="L37">
        <v>5.8392369578135807E-4</v>
      </c>
      <c r="M37">
        <v>5.8323582222320433E-4</v>
      </c>
      <c r="N37">
        <v>5.8232846507614633E-4</v>
      </c>
      <c r="O37">
        <v>5.8140476063791701E-4</v>
      </c>
      <c r="P37">
        <v>5.8053415348023238E-4</v>
      </c>
      <c r="Q37">
        <v>5.7985999357189376E-4</v>
      </c>
      <c r="R37">
        <v>5.790672010289583E-4</v>
      </c>
      <c r="S37">
        <v>5.783038784646057E-4</v>
      </c>
      <c r="T37">
        <v>5.7772941074558763E-4</v>
      </c>
      <c r="U37">
        <v>5.7728789584792482E-4</v>
      </c>
      <c r="V37">
        <v>5.7687866477931793E-4</v>
      </c>
      <c r="W37">
        <v>5.7657581365796442E-4</v>
      </c>
      <c r="X37">
        <v>5.7638685408458411E-4</v>
      </c>
      <c r="Y37">
        <v>5.7622519119671751E-4</v>
      </c>
      <c r="Z37">
        <v>5.7612076801724784E-4</v>
      </c>
      <c r="AA37">
        <v>5.7610601336530144E-4</v>
      </c>
      <c r="AB37">
        <v>5.7616718513728532E-4</v>
      </c>
      <c r="AC37">
        <v>5.7619221096857649E-4</v>
      </c>
      <c r="AD37">
        <v>5.7620061572155568E-4</v>
      </c>
      <c r="AE37">
        <v>5.7622282038993897E-4</v>
      </c>
      <c r="AF37">
        <v>5.7625953419671364E-4</v>
      </c>
      <c r="AG37">
        <v>5.7635527402379559E-4</v>
      </c>
    </row>
    <row r="39" spans="2:33">
      <c r="C39">
        <v>2020</v>
      </c>
      <c r="D39">
        <v>2021</v>
      </c>
      <c r="E39">
        <v>2022</v>
      </c>
      <c r="F39">
        <v>2023</v>
      </c>
      <c r="G39">
        <v>2024</v>
      </c>
      <c r="H39">
        <v>2025</v>
      </c>
      <c r="I39">
        <v>2026</v>
      </c>
      <c r="J39">
        <v>2027</v>
      </c>
      <c r="K39">
        <v>2028</v>
      </c>
      <c r="L39">
        <v>2029</v>
      </c>
      <c r="M39">
        <v>2030</v>
      </c>
      <c r="N39">
        <v>2031</v>
      </c>
      <c r="O39">
        <v>2032</v>
      </c>
      <c r="P39">
        <v>2033</v>
      </c>
      <c r="Q39">
        <v>2034</v>
      </c>
      <c r="R39">
        <v>2035</v>
      </c>
      <c r="S39">
        <v>2036</v>
      </c>
      <c r="T39">
        <v>2037</v>
      </c>
      <c r="U39">
        <v>2038</v>
      </c>
      <c r="V39">
        <v>2039</v>
      </c>
      <c r="W39">
        <v>2040</v>
      </c>
      <c r="X39">
        <v>2041</v>
      </c>
      <c r="Y39">
        <v>2042</v>
      </c>
      <c r="Z39">
        <v>2043</v>
      </c>
      <c r="AA39">
        <v>2044</v>
      </c>
      <c r="AB39">
        <v>2045</v>
      </c>
      <c r="AC39">
        <v>2046</v>
      </c>
      <c r="AD39">
        <v>2047</v>
      </c>
      <c r="AE39">
        <v>2048</v>
      </c>
      <c r="AF39">
        <v>2049</v>
      </c>
      <c r="AG39">
        <v>2050</v>
      </c>
    </row>
    <row r="40" spans="2:33">
      <c r="B40" t="s">
        <v>70</v>
      </c>
      <c r="C40">
        <v>1</v>
      </c>
      <c r="D40">
        <f>D33/$C$33</f>
        <v>1.0358958359087953</v>
      </c>
      <c r="E40">
        <f t="shared" ref="E40:AG40" si="0">E33/$C$33</f>
        <v>1.0553608790113145</v>
      </c>
      <c r="F40">
        <f t="shared" si="0"/>
        <v>1.0682692192069256</v>
      </c>
      <c r="G40">
        <f t="shared" si="0"/>
        <v>1.0777853278390723</v>
      </c>
      <c r="H40">
        <f t="shared" si="0"/>
        <v>1.0887079065295315</v>
      </c>
      <c r="I40">
        <f t="shared" si="0"/>
        <v>1.0989787972513221</v>
      </c>
      <c r="J40">
        <f t="shared" si="0"/>
        <v>1.1003900167787928</v>
      </c>
      <c r="K40">
        <f t="shared" si="0"/>
        <v>1.1006118603668709</v>
      </c>
      <c r="L40">
        <f t="shared" si="0"/>
        <v>1.1007247825794957</v>
      </c>
      <c r="M40">
        <f t="shared" si="0"/>
        <v>1.103428219523561</v>
      </c>
      <c r="N40">
        <f t="shared" si="0"/>
        <v>1.1035734079342505</v>
      </c>
      <c r="O40">
        <f t="shared" si="0"/>
        <v>1.1036866808442183</v>
      </c>
      <c r="P40">
        <f t="shared" si="0"/>
        <v>1.1037086551024198</v>
      </c>
      <c r="Q40">
        <f t="shared" si="0"/>
        <v>1.1043458292600452</v>
      </c>
      <c r="R40">
        <f t="shared" si="0"/>
        <v>1.1030019845121437</v>
      </c>
      <c r="S40">
        <f t="shared" si="0"/>
        <v>1.1016429525016831</v>
      </c>
      <c r="T40">
        <f t="shared" si="0"/>
        <v>1.100920091123555</v>
      </c>
      <c r="U40">
        <f t="shared" si="0"/>
        <v>1.1006665875845121</v>
      </c>
      <c r="V40">
        <f t="shared" si="0"/>
        <v>1.099502957273883</v>
      </c>
      <c r="W40">
        <f t="shared" si="0"/>
        <v>1.0987655156900293</v>
      </c>
      <c r="X40">
        <f t="shared" si="0"/>
        <v>1.0982965626656749</v>
      </c>
      <c r="Y40">
        <f t="shared" si="0"/>
        <v>1.0975549776064522</v>
      </c>
      <c r="Z40">
        <f t="shared" si="0"/>
        <v>1.0969362186996048</v>
      </c>
      <c r="AA40">
        <f t="shared" si="0"/>
        <v>1.096655845522944</v>
      </c>
      <c r="AB40">
        <f t="shared" si="0"/>
        <v>1.0966672095112078</v>
      </c>
      <c r="AC40">
        <f t="shared" si="0"/>
        <v>1.0961517200265767</v>
      </c>
      <c r="AD40">
        <f t="shared" si="0"/>
        <v>1.0957836332510531</v>
      </c>
      <c r="AE40">
        <f t="shared" si="0"/>
        <v>1.095133498310501</v>
      </c>
      <c r="AF40">
        <f t="shared" si="0"/>
        <v>1.0949888451108323</v>
      </c>
      <c r="AG40">
        <f t="shared" si="0"/>
        <v>1.0948848257880812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8DB74-C519-4F62-B64E-5A171DB8F66A}">
  <sheetPr>
    <tabColor rgb="FF92D050"/>
  </sheetPr>
  <dimension ref="A1"/>
  <sheetViews>
    <sheetView workbookViewId="0"/>
  </sheetViews>
  <sheetFormatPr defaultRowHeight="16.5"/>
  <sheetData/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70FD1-7C00-4B50-9A91-90B80228BA27}">
  <sheetPr>
    <tabColor rgb="FF1F497D"/>
  </sheetPr>
  <dimension ref="A1:AG8"/>
  <sheetViews>
    <sheetView workbookViewId="0"/>
  </sheetViews>
  <sheetFormatPr defaultRowHeight="16.5"/>
  <cols>
    <col min="1" max="1" width="32.75" bestFit="1" customWidth="1"/>
    <col min="2" max="3" width="9" customWidth="1"/>
    <col min="4" max="33" width="9.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psgr'!$B$2:$H$2,,MATCH($A2,'SYFAFE psgr'!$B$1:$H$1,0))*(1+INDEX(CAGR!$C$2:$C$8,MATCH($A2,CAGR!$B$2:$B$8,0))),0)</f>
        <v>3.4442903335454861E-4</v>
      </c>
      <c r="C2" s="14">
        <f>IFERROR(B2*(1+INDEX(CAGR!$C$2:$C$8,MATCH($A2,CAGR!$B$2:$B$8,0))),0)</f>
        <v>3.4391029530832429E-4</v>
      </c>
      <c r="D2" s="14">
        <f>IFERROR(C2*(1+INDEX(CAGR!$C$2:$C$8,MATCH($A2,CAGR!$B$2:$B$8,0))),0)</f>
        <v>3.4339233852365039E-4</v>
      </c>
      <c r="E2" s="14">
        <f>IFERROR(D2*(1+INDEX(CAGR!$C$2:$C$8,MATCH($A2,CAGR!$B$2:$B$8,0))),0)</f>
        <v>3.4287516182388364E-4</v>
      </c>
      <c r="F2" s="14">
        <f>IFERROR(E2*(1+INDEX(CAGR!$C$2:$C$8,MATCH($A2,CAGR!$B$2:$B$8,0))),0)</f>
        <v>3.4235876403415297E-4</v>
      </c>
      <c r="G2" s="14">
        <f>IFERROR(F2*(1+INDEX(CAGR!$C$2:$C$8,MATCH($A2,CAGR!$B$2:$B$8,0))),0)</f>
        <v>3.4184314398135672E-4</v>
      </c>
      <c r="H2" s="14">
        <f>IFERROR(G2*(1+INDEX(CAGR!$C$2:$C$8,MATCH($A2,CAGR!$B$2:$B$8,0))),0)</f>
        <v>3.4132830049416E-4</v>
      </c>
      <c r="I2" s="14">
        <f>IFERROR(H2*(1+INDEX(CAGR!$C$2:$C$8,MATCH($A2,CAGR!$B$2:$B$8,0))),0)</f>
        <v>3.4081423240299203E-4</v>
      </c>
      <c r="J2" s="14">
        <f>IFERROR(I2*(1+INDEX(CAGR!$C$2:$C$8,MATCH($A2,CAGR!$B$2:$B$8,0))),0)</f>
        <v>3.4030093854004357E-4</v>
      </c>
      <c r="K2" s="14">
        <f>IFERROR(J2*(1+INDEX(CAGR!$C$2:$C$8,MATCH($A2,CAGR!$B$2:$B$8,0))),0)</f>
        <v>3.3978841773926413E-4</v>
      </c>
      <c r="L2" s="14">
        <f>IFERROR(K2*(1+INDEX(CAGR!$C$2:$C$8,MATCH($A2,CAGR!$B$2:$B$8,0))),0)</f>
        <v>3.3927666883635946E-4</v>
      </c>
      <c r="M2" s="14">
        <f>IFERROR(L2*(1+INDEX(CAGR!$C$2:$C$8,MATCH($A2,CAGR!$B$2:$B$8,0))),0)</f>
        <v>3.3876569066878875E-4</v>
      </c>
      <c r="N2" s="14">
        <f>IFERROR(M2*(1+INDEX(CAGR!$C$2:$C$8,MATCH($A2,CAGR!$B$2:$B$8,0))),0)</f>
        <v>3.382554820757621E-4</v>
      </c>
      <c r="O2" s="14">
        <f>IFERROR(N2*(1+INDEX(CAGR!$C$2:$C$8,MATCH($A2,CAGR!$B$2:$B$8,0))),0)</f>
        <v>3.3774604189823791E-4</v>
      </c>
      <c r="P2" s="14">
        <f>IFERROR(O2*(1+INDEX(CAGR!$C$2:$C$8,MATCH($A2,CAGR!$B$2:$B$8,0))),0)</f>
        <v>3.3723736897892006E-4</v>
      </c>
      <c r="Q2" s="14">
        <f>IFERROR(P2*(1+INDEX(CAGR!$C$2:$C$8,MATCH($A2,CAGR!$B$2:$B$8,0))),0)</f>
        <v>3.3672946216225554E-4</v>
      </c>
      <c r="R2" s="14">
        <f>IFERROR(Q2*(1+INDEX(CAGR!$C$2:$C$8,MATCH($A2,CAGR!$B$2:$B$8,0))),0)</f>
        <v>3.3622232029443166E-4</v>
      </c>
      <c r="S2" s="14">
        <f>IFERROR(R2*(1+INDEX(CAGR!$C$2:$C$8,MATCH($A2,CAGR!$B$2:$B$8,0))),0)</f>
        <v>3.3571594222337343E-4</v>
      </c>
      <c r="T2" s="14">
        <f>IFERROR(S2*(1+INDEX(CAGR!$C$2:$C$8,MATCH($A2,CAGR!$B$2:$B$8,0))),0)</f>
        <v>3.3521032679874097E-4</v>
      </c>
      <c r="U2" s="14">
        <f>IFERROR(T2*(1+INDEX(CAGR!$C$2:$C$8,MATCH($A2,CAGR!$B$2:$B$8,0))),0)</f>
        <v>3.3470547287192697E-4</v>
      </c>
      <c r="V2" s="14">
        <f>IFERROR(U2*(1+INDEX(CAGR!$C$2:$C$8,MATCH($A2,CAGR!$B$2:$B$8,0))),0)</f>
        <v>3.3420137929605399E-4</v>
      </c>
      <c r="W2" s="14">
        <f>IFERROR(V2*(1+INDEX(CAGR!$C$2:$C$8,MATCH($A2,CAGR!$B$2:$B$8,0))),0)</f>
        <v>3.3369804492597191E-4</v>
      </c>
      <c r="X2" s="14">
        <f>IFERROR(W2*(1+INDEX(CAGR!$C$2:$C$8,MATCH($A2,CAGR!$B$2:$B$8,0))),0)</f>
        <v>3.331954686182552E-4</v>
      </c>
      <c r="Y2" s="14">
        <f>IFERROR(X2*(1+INDEX(CAGR!$C$2:$C$8,MATCH($A2,CAGR!$B$2:$B$8,0))),0)</f>
        <v>3.3269364923120049E-4</v>
      </c>
      <c r="Z2" s="14">
        <f>IFERROR(Y2*(1+INDEX(CAGR!$C$2:$C$8,MATCH($A2,CAGR!$B$2:$B$8,0))),0)</f>
        <v>3.3219258562482395E-4</v>
      </c>
      <c r="AA2" s="14">
        <f>IFERROR(Z2*(1+INDEX(CAGR!$C$2:$C$8,MATCH($A2,CAGR!$B$2:$B$8,0))),0)</f>
        <v>3.3169227666085858E-4</v>
      </c>
      <c r="AB2" s="14">
        <f>IFERROR(AA2*(1+INDEX(CAGR!$C$2:$C$8,MATCH($A2,CAGR!$B$2:$B$8,0))),0)</f>
        <v>3.3119272120275172E-4</v>
      </c>
      <c r="AC2" s="14">
        <f>IFERROR(AB2*(1+INDEX(CAGR!$C$2:$C$8,MATCH($A2,CAGR!$B$2:$B$8,0))),0)</f>
        <v>3.3069391811566245E-4</v>
      </c>
      <c r="AD2" s="14">
        <f>IFERROR(AC2*(1+INDEX(CAGR!$C$2:$C$8,MATCH($A2,CAGR!$B$2:$B$8,0))),0)</f>
        <v>3.3019586626645904E-4</v>
      </c>
      <c r="AE2" s="14">
        <f>IFERROR(AD2*(1+INDEX(CAGR!$C$2:$C$8,MATCH($A2,CAGR!$B$2:$B$8,0))),0)</f>
        <v>3.2969856452371636E-4</v>
      </c>
      <c r="AF2" s="14">
        <f>IFERROR(AE2*(1+INDEX(CAGR!$C$2:$C$8,MATCH($A2,CAGR!$B$2:$B$8,0))),0)</f>
        <v>3.2920201175771325E-4</v>
      </c>
      <c r="AG2" s="14"/>
    </row>
    <row r="3" spans="1:33">
      <c r="A3" s="1" t="s">
        <v>10</v>
      </c>
      <c r="B3" s="14">
        <f>IFERROR(INDEX('SYFAFE psgr'!$B$2:$H$2,,MATCH($A3,'SYFAFE psgr'!$B$1:$H$1,0))*(1+INDEX(CAGR!$C$2:$C$8,MATCH($A3,CAGR!$B$2:$B$8,0))),0)</f>
        <v>4.5489705822072995E-4</v>
      </c>
      <c r="C3" s="14">
        <f>IFERROR(B3*(1+INDEX(CAGR!$C$2:$C$8,MATCH($A3,CAGR!$B$2:$B$8,0))),0)</f>
        <v>4.5603824912512832E-4</v>
      </c>
      <c r="D3" s="14">
        <f>IFERROR(C3*(1+INDEX(CAGR!$C$2:$C$8,MATCH($A3,CAGR!$B$2:$B$8,0))),0)</f>
        <v>4.5718230291170357E-4</v>
      </c>
      <c r="E3" s="14">
        <f>IFERROR(D3*(1+INDEX(CAGR!$C$2:$C$8,MATCH($A3,CAGR!$B$2:$B$8,0))),0)</f>
        <v>4.5832922676250937E-4</v>
      </c>
      <c r="F3" s="14">
        <f>IFERROR(E3*(1+INDEX(CAGR!$C$2:$C$8,MATCH($A3,CAGR!$B$2:$B$8,0))),0)</f>
        <v>4.5947902787761688E-4</v>
      </c>
      <c r="G3" s="14">
        <f>IFERROR(F3*(1+INDEX(CAGR!$C$2:$C$8,MATCH($A3,CAGR!$B$2:$B$8,0))),0)</f>
        <v>4.6063171347515995E-4</v>
      </c>
      <c r="H3" s="14">
        <f>IFERROR(G3*(1+INDEX(CAGR!$C$2:$C$8,MATCH($A3,CAGR!$B$2:$B$8,0))),0)</f>
        <v>4.6178729079138041E-4</v>
      </c>
      <c r="I3" s="14">
        <f>IFERROR(H3*(1+INDEX(CAGR!$C$2:$C$8,MATCH($A3,CAGR!$B$2:$B$8,0))),0)</f>
        <v>4.6294576708067348E-4</v>
      </c>
      <c r="J3" s="14">
        <f>IFERROR(I3*(1+INDEX(CAGR!$C$2:$C$8,MATCH($A3,CAGR!$B$2:$B$8,0))),0)</f>
        <v>4.6410714961563337E-4</v>
      </c>
      <c r="K3" s="14">
        <f>IFERROR(J3*(1+INDEX(CAGR!$C$2:$C$8,MATCH($A3,CAGR!$B$2:$B$8,0))),0)</f>
        <v>4.6527144568709889E-4</v>
      </c>
      <c r="L3" s="14">
        <f>IFERROR(K3*(1+INDEX(CAGR!$C$2:$C$8,MATCH($A3,CAGR!$B$2:$B$8,0))),0)</f>
        <v>4.6643866260419922E-4</v>
      </c>
      <c r="M3" s="14">
        <f>IFERROR(L3*(1+INDEX(CAGR!$C$2:$C$8,MATCH($A3,CAGR!$B$2:$B$8,0))),0)</f>
        <v>4.6760880769439975E-4</v>
      </c>
      <c r="N3" s="14">
        <f>IFERROR(M3*(1+INDEX(CAGR!$C$2:$C$8,MATCH($A3,CAGR!$B$2:$B$8,0))),0)</f>
        <v>4.6878188830354821E-4</v>
      </c>
      <c r="O3" s="14">
        <f>IFERROR(N3*(1+INDEX(CAGR!$C$2:$C$8,MATCH($A3,CAGR!$B$2:$B$8,0))),0)</f>
        <v>4.6995791179592068E-4</v>
      </c>
      <c r="P3" s="14">
        <f>IFERROR(O3*(1+INDEX(CAGR!$C$2:$C$8,MATCH($A3,CAGR!$B$2:$B$8,0))),0)</f>
        <v>4.7113688555426781E-4</v>
      </c>
      <c r="Q3" s="14">
        <f>IFERROR(P3*(1+INDEX(CAGR!$C$2:$C$8,MATCH($A3,CAGR!$B$2:$B$8,0))),0)</f>
        <v>4.7231881697986131E-4</v>
      </c>
      <c r="R3" s="14">
        <f>IFERROR(Q3*(1+INDEX(CAGR!$C$2:$C$8,MATCH($A3,CAGR!$B$2:$B$8,0))),0)</f>
        <v>4.7350371349254018E-4</v>
      </c>
      <c r="S3" s="14">
        <f>IFERROR(R3*(1+INDEX(CAGR!$C$2:$C$8,MATCH($A3,CAGR!$B$2:$B$8,0))),0)</f>
        <v>4.7469158253075748E-4</v>
      </c>
      <c r="T3" s="14">
        <f>IFERROR(S3*(1+INDEX(CAGR!$C$2:$C$8,MATCH($A3,CAGR!$B$2:$B$8,0))),0)</f>
        <v>4.7588243155162696E-4</v>
      </c>
      <c r="U3" s="14">
        <f>IFERROR(T3*(1+INDEX(CAGR!$C$2:$C$8,MATCH($A3,CAGR!$B$2:$B$8,0))),0)</f>
        <v>4.7707626803096992E-4</v>
      </c>
      <c r="V3" s="14">
        <f>IFERROR(U3*(1+INDEX(CAGR!$C$2:$C$8,MATCH($A3,CAGR!$B$2:$B$8,0))),0)</f>
        <v>4.7827309946336201E-4</v>
      </c>
      <c r="W3" s="14">
        <f>IFERROR(V3*(1+INDEX(CAGR!$C$2:$C$8,MATCH($A3,CAGR!$B$2:$B$8,0))),0)</f>
        <v>4.7947293336218045E-4</v>
      </c>
      <c r="X3" s="14">
        <f>IFERROR(W3*(1+INDEX(CAGR!$C$2:$C$8,MATCH($A3,CAGR!$B$2:$B$8,0))),0)</f>
        <v>4.8067577725965102E-4</v>
      </c>
      <c r="Y3" s="14">
        <f>IFERROR(X3*(1+INDEX(CAGR!$C$2:$C$8,MATCH($A3,CAGR!$B$2:$B$8,0))),0)</f>
        <v>4.8188163870689556E-4</v>
      </c>
      <c r="Z3" s="14">
        <f>IFERROR(Y3*(1+INDEX(CAGR!$C$2:$C$8,MATCH($A3,CAGR!$B$2:$B$8,0))),0)</f>
        <v>4.8309052527397919E-4</v>
      </c>
      <c r="AA3" s="14">
        <f>IFERROR(Z3*(1+INDEX(CAGR!$C$2:$C$8,MATCH($A3,CAGR!$B$2:$B$8,0))),0)</f>
        <v>4.8430244454995787E-4</v>
      </c>
      <c r="AB3" s="14">
        <f>IFERROR(AA3*(1+INDEX(CAGR!$C$2:$C$8,MATCH($A3,CAGR!$B$2:$B$8,0))),0)</f>
        <v>4.8551740414292614E-4</v>
      </c>
      <c r="AC3" s="14">
        <f>IFERROR(AB3*(1+INDEX(CAGR!$C$2:$C$8,MATCH($A3,CAGR!$B$2:$B$8,0))),0)</f>
        <v>4.8673541168006473E-4</v>
      </c>
      <c r="AD3" s="14">
        <f>IFERROR(AC3*(1+INDEX(CAGR!$C$2:$C$8,MATCH($A3,CAGR!$B$2:$B$8,0))),0)</f>
        <v>4.8795647480768856E-4</v>
      </c>
      <c r="AE3" s="14">
        <f>IFERROR(AD3*(1+INDEX(CAGR!$C$2:$C$8,MATCH($A3,CAGR!$B$2:$B$8,0))),0)</f>
        <v>4.8918060119129475E-4</v>
      </c>
      <c r="AF3" s="14">
        <f>IFERROR(AE3*(1+INDEX(CAGR!$C$2:$C$8,MATCH($A3,CAGR!$B$2:$B$8,0))),0)</f>
        <v>4.9040779851561062E-4</v>
      </c>
      <c r="AG3" s="14"/>
    </row>
    <row r="4" spans="1:33">
      <c r="A4" s="1" t="s">
        <v>11</v>
      </c>
      <c r="B4" s="14">
        <f>IFERROR(INDEX('SYFAFE psgr'!$B$2:$H$2,,MATCH($A4,'SYFAFE psgr'!$B$1:$H$1,0))*(1+INDEX(CAGR!$C$2:$C$8,MATCH($A4,CAGR!$B$2:$B$8,0))),0)</f>
        <v>3.4054650978686355E-4</v>
      </c>
      <c r="C4" s="14">
        <f>IFERROR(B4*(1+INDEX(CAGR!$C$2:$C$8,MATCH($A4,CAGR!$B$2:$B$8,0))),0)</f>
        <v>3.4154378202429561E-4</v>
      </c>
      <c r="D4" s="14">
        <f>IFERROR(C4*(1+INDEX(CAGR!$C$2:$C$8,MATCH($A4,CAGR!$B$2:$B$8,0))),0)</f>
        <v>3.4254397472012905E-4</v>
      </c>
      <c r="E4" s="14">
        <f>IFERROR(D4*(1+INDEX(CAGR!$C$2:$C$8,MATCH($A4,CAGR!$B$2:$B$8,0))),0)</f>
        <v>3.4354709642676998E-4</v>
      </c>
      <c r="F4" s="14">
        <f>IFERROR(E4*(1+INDEX(CAGR!$C$2:$C$8,MATCH($A4,CAGR!$B$2:$B$8,0))),0)</f>
        <v>3.4455315572166993E-4</v>
      </c>
      <c r="G4" s="14">
        <f>IFERROR(F4*(1+INDEX(CAGR!$C$2:$C$8,MATCH($A4,CAGR!$B$2:$B$8,0))),0)</f>
        <v>3.4556216120739899E-4</v>
      </c>
      <c r="H4" s="14">
        <f>IFERROR(G4*(1+INDEX(CAGR!$C$2:$C$8,MATCH($A4,CAGR!$B$2:$B$8,0))),0)</f>
        <v>3.4657412151171941E-4</v>
      </c>
      <c r="I4" s="14">
        <f>IFERROR(H4*(1+INDEX(CAGR!$C$2:$C$8,MATCH($A4,CAGR!$B$2:$B$8,0))),0)</f>
        <v>3.4758904528765935E-4</v>
      </c>
      <c r="J4" s="14">
        <f>IFERROR(I4*(1+INDEX(CAGR!$C$2:$C$8,MATCH($A4,CAGR!$B$2:$B$8,0))),0)</f>
        <v>3.4860694121358694E-4</v>
      </c>
      <c r="K4" s="14">
        <f>IFERROR(J4*(1+INDEX(CAGR!$C$2:$C$8,MATCH($A4,CAGR!$B$2:$B$8,0))),0)</f>
        <v>3.4962781799328441E-4</v>
      </c>
      <c r="L4" s="14">
        <f>IFERROR(K4*(1+INDEX(CAGR!$C$2:$C$8,MATCH($A4,CAGR!$B$2:$B$8,0))),0)</f>
        <v>3.5065168435602259E-4</v>
      </c>
      <c r="M4" s="14">
        <f>IFERROR(L4*(1+INDEX(CAGR!$C$2:$C$8,MATCH($A4,CAGR!$B$2:$B$8,0))),0)</f>
        <v>3.5167854905663551E-4</v>
      </c>
      <c r="N4" s="14">
        <f>IFERROR(M4*(1+INDEX(CAGR!$C$2:$C$8,MATCH($A4,CAGR!$B$2:$B$8,0))),0)</f>
        <v>3.527084208755952E-4</v>
      </c>
      <c r="O4" s="14">
        <f>IFERROR(N4*(1+INDEX(CAGR!$C$2:$C$8,MATCH($A4,CAGR!$B$2:$B$8,0))),0)</f>
        <v>3.5374130861908691E-4</v>
      </c>
      <c r="P4" s="14">
        <f>IFERROR(O4*(1+INDEX(CAGR!$C$2:$C$8,MATCH($A4,CAGR!$B$2:$B$8,0))),0)</f>
        <v>3.5477722111908433E-4</v>
      </c>
      <c r="Q4" s="14">
        <f>IFERROR(P4*(1+INDEX(CAGR!$C$2:$C$8,MATCH($A4,CAGR!$B$2:$B$8,0))),0)</f>
        <v>3.5581616723342509E-4</v>
      </c>
      <c r="R4" s="14">
        <f>IFERROR(Q4*(1+INDEX(CAGR!$C$2:$C$8,MATCH($A4,CAGR!$B$2:$B$8,0))),0)</f>
        <v>3.5685815584588648E-4</v>
      </c>
      <c r="S4" s="14">
        <f>IFERROR(R4*(1+INDEX(CAGR!$C$2:$C$8,MATCH($A4,CAGR!$B$2:$B$8,0))),0)</f>
        <v>3.5790319586626149E-4</v>
      </c>
      <c r="T4" s="14">
        <f>IFERROR(S4*(1+INDEX(CAGR!$C$2:$C$8,MATCH($A4,CAGR!$B$2:$B$8,0))),0)</f>
        <v>3.5895129623043502E-4</v>
      </c>
      <c r="U4" s="14">
        <f>IFERROR(T4*(1+INDEX(CAGR!$C$2:$C$8,MATCH($A4,CAGR!$B$2:$B$8,0))),0)</f>
        <v>3.6000246590046014E-4</v>
      </c>
      <c r="V4" s="14">
        <f>IFERROR(U4*(1+INDEX(CAGR!$C$2:$C$8,MATCH($A4,CAGR!$B$2:$B$8,0))),0)</f>
        <v>3.6105671386463489E-4</v>
      </c>
      <c r="W4" s="14">
        <f>IFERROR(V4*(1+INDEX(CAGR!$C$2:$C$8,MATCH($A4,CAGR!$B$2:$B$8,0))),0)</f>
        <v>3.6211404913757901E-4</v>
      </c>
      <c r="X4" s="14">
        <f>IFERROR(W4*(1+INDEX(CAGR!$C$2:$C$8,MATCH($A4,CAGR!$B$2:$B$8,0))),0)</f>
        <v>3.6317448076031108E-4</v>
      </c>
      <c r="Y4" s="14">
        <f>IFERROR(X4*(1+INDEX(CAGR!$C$2:$C$8,MATCH($A4,CAGR!$B$2:$B$8,0))),0)</f>
        <v>3.6423801780032579E-4</v>
      </c>
      <c r="Z4" s="14">
        <f>IFERROR(Y4*(1+INDEX(CAGR!$C$2:$C$8,MATCH($A4,CAGR!$B$2:$B$8,0))),0)</f>
        <v>3.6530466935167158E-4</v>
      </c>
      <c r="AA4" s="14">
        <f>IFERROR(Z4*(1+INDEX(CAGR!$C$2:$C$8,MATCH($A4,CAGR!$B$2:$B$8,0))),0)</f>
        <v>3.6637444453502829E-4</v>
      </c>
      <c r="AB4" s="14">
        <f>IFERROR(AA4*(1+INDEX(CAGR!$C$2:$C$8,MATCH($A4,CAGR!$B$2:$B$8,0))),0)</f>
        <v>3.6744735249778516E-4</v>
      </c>
      <c r="AC4" s="14">
        <f>IFERROR(AB4*(1+INDEX(CAGR!$C$2:$C$8,MATCH($A4,CAGR!$B$2:$B$8,0))),0)</f>
        <v>3.6852340241411906E-4</v>
      </c>
      <c r="AD4" s="14">
        <f>IFERROR(AC4*(1+INDEX(CAGR!$C$2:$C$8,MATCH($A4,CAGR!$B$2:$B$8,0))),0)</f>
        <v>3.6960260348507302E-4</v>
      </c>
      <c r="AE4" s="14">
        <f>IFERROR(AD4*(1+INDEX(CAGR!$C$2:$C$8,MATCH($A4,CAGR!$B$2:$B$8,0))),0)</f>
        <v>3.7068496493863472E-4</v>
      </c>
      <c r="AF4" s="14">
        <f>IFERROR(AE4*(1+INDEX(CAGR!$C$2:$C$8,MATCH($A4,CAGR!$B$2:$B$8,0))),0)</f>
        <v>3.7177049602981564E-4</v>
      </c>
      <c r="AG4" s="14"/>
    </row>
    <row r="5" spans="1:33">
      <c r="A5" s="1" t="s">
        <v>12</v>
      </c>
      <c r="B5" s="14">
        <f>IFERROR(INDEX('SYFAFE psgr'!$B$2:$H$2,,MATCH($A5,'SYFAFE psgr'!$B$1:$H$1,0))*(1+INDEX(CAGR!$C$2:$C$8,MATCH($A5,CAGR!$B$2:$B$8,0))),0)</f>
        <v>3.8869842429936337E-4</v>
      </c>
      <c r="C5" s="14">
        <f>IFERROR(B5*(1+INDEX(CAGR!$C$2:$C$8,MATCH($A5,CAGR!$B$2:$B$8,0))),0)</f>
        <v>3.890417186147594E-4</v>
      </c>
      <c r="D5" s="14">
        <f>IFERROR(C5*(1+INDEX(CAGR!$C$2:$C$8,MATCH($A5,CAGR!$B$2:$B$8,0))),0)</f>
        <v>3.8938531612404465E-4</v>
      </c>
      <c r="E5" s="14">
        <f>IFERROR(D5*(1+INDEX(CAGR!$C$2:$C$8,MATCH($A5,CAGR!$B$2:$B$8,0))),0)</f>
        <v>3.8972921709499672E-4</v>
      </c>
      <c r="F5" s="14">
        <f>IFERROR(E5*(1+INDEX(CAGR!$C$2:$C$8,MATCH($A5,CAGR!$B$2:$B$8,0))),0)</f>
        <v>3.9007342179562968E-4</v>
      </c>
      <c r="G5" s="14">
        <f>IFERROR(F5*(1+INDEX(CAGR!$C$2:$C$8,MATCH($A5,CAGR!$B$2:$B$8,0))),0)</f>
        <v>3.9041793049419439E-4</v>
      </c>
      <c r="H5" s="14">
        <f>IFERROR(G5*(1+INDEX(CAGR!$C$2:$C$8,MATCH($A5,CAGR!$B$2:$B$8,0))),0)</f>
        <v>3.9076274345917862E-4</v>
      </c>
      <c r="I5" s="14">
        <f>IFERROR(H5*(1+INDEX(CAGR!$C$2:$C$8,MATCH($A5,CAGR!$B$2:$B$8,0))),0)</f>
        <v>3.9110786095930718E-4</v>
      </c>
      <c r="J5" s="14">
        <f>IFERROR(I5*(1+INDEX(CAGR!$C$2:$C$8,MATCH($A5,CAGR!$B$2:$B$8,0))),0)</f>
        <v>3.9145328326354228E-4</v>
      </c>
      <c r="K5" s="14">
        <f>IFERROR(J5*(1+INDEX(CAGR!$C$2:$C$8,MATCH($A5,CAGR!$B$2:$B$8,0))),0)</f>
        <v>3.9179901064108368E-4</v>
      </c>
      <c r="L5" s="14">
        <f>IFERROR(K5*(1+INDEX(CAGR!$C$2:$C$8,MATCH($A5,CAGR!$B$2:$B$8,0))),0)</f>
        <v>3.9214504336136891E-4</v>
      </c>
      <c r="M5" s="14">
        <f>IFERROR(L5*(1+INDEX(CAGR!$C$2:$C$8,MATCH($A5,CAGR!$B$2:$B$8,0))),0)</f>
        <v>3.924913816940734E-4</v>
      </c>
      <c r="N5" s="14">
        <f>IFERROR(M5*(1+INDEX(CAGR!$C$2:$C$8,MATCH($A5,CAGR!$B$2:$B$8,0))),0)</f>
        <v>3.9283802590911075E-4</v>
      </c>
      <c r="O5" s="14">
        <f>IFERROR(N5*(1+INDEX(CAGR!$C$2:$C$8,MATCH($A5,CAGR!$B$2:$B$8,0))),0)</f>
        <v>3.9318497627663308E-4</v>
      </c>
      <c r="P5" s="14">
        <f>IFERROR(O5*(1+INDEX(CAGR!$C$2:$C$8,MATCH($A5,CAGR!$B$2:$B$8,0))),0)</f>
        <v>3.9353223306703094E-4</v>
      </c>
      <c r="Q5" s="14">
        <f>IFERROR(P5*(1+INDEX(CAGR!$C$2:$C$8,MATCH($A5,CAGR!$B$2:$B$8,0))),0)</f>
        <v>3.9387979655093375E-4</v>
      </c>
      <c r="R5" s="14">
        <f>IFERROR(Q5*(1+INDEX(CAGR!$C$2:$C$8,MATCH($A5,CAGR!$B$2:$B$8,0))),0)</f>
        <v>3.9422766699921002E-4</v>
      </c>
      <c r="S5" s="14">
        <f>IFERROR(R5*(1+INDEX(CAGR!$C$2:$C$8,MATCH($A5,CAGR!$B$2:$B$8,0))),0)</f>
        <v>3.9457584468296738E-4</v>
      </c>
      <c r="T5" s="14">
        <f>IFERROR(S5*(1+INDEX(CAGR!$C$2:$C$8,MATCH($A5,CAGR!$B$2:$B$8,0))),0)</f>
        <v>3.949243298735529E-4</v>
      </c>
      <c r="U5" s="14">
        <f>IFERROR(T5*(1+INDEX(CAGR!$C$2:$C$8,MATCH($A5,CAGR!$B$2:$B$8,0))),0)</f>
        <v>3.9527312284255337E-4</v>
      </c>
      <c r="V5" s="14">
        <f>IFERROR(U5*(1+INDEX(CAGR!$C$2:$C$8,MATCH($A5,CAGR!$B$2:$B$8,0))),0)</f>
        <v>3.9562222386179546E-4</v>
      </c>
      <c r="W5" s="14">
        <f>IFERROR(V5*(1+INDEX(CAGR!$C$2:$C$8,MATCH($A5,CAGR!$B$2:$B$8,0))),0)</f>
        <v>3.9597163320334583E-4</v>
      </c>
      <c r="X5" s="14">
        <f>IFERROR(W5*(1+INDEX(CAGR!$C$2:$C$8,MATCH($A5,CAGR!$B$2:$B$8,0))),0)</f>
        <v>3.9632135113951145E-4</v>
      </c>
      <c r="Y5" s="14">
        <f>IFERROR(X5*(1+INDEX(CAGR!$C$2:$C$8,MATCH($A5,CAGR!$B$2:$B$8,0))),0)</f>
        <v>3.9667137794283981E-4</v>
      </c>
      <c r="Z5" s="14">
        <f>IFERROR(Y5*(1+INDEX(CAGR!$C$2:$C$8,MATCH($A5,CAGR!$B$2:$B$8,0))),0)</f>
        <v>3.9702171388611912E-4</v>
      </c>
      <c r="AA5" s="14">
        <f>IFERROR(Z5*(1+INDEX(CAGR!$C$2:$C$8,MATCH($A5,CAGR!$B$2:$B$8,0))),0)</f>
        <v>3.9737235924237847E-4</v>
      </c>
      <c r="AB5" s="14">
        <f>IFERROR(AA5*(1+INDEX(CAGR!$C$2:$C$8,MATCH($A5,CAGR!$B$2:$B$8,0))),0)</f>
        <v>3.9772331428488815E-4</v>
      </c>
      <c r="AC5" s="14">
        <f>IFERROR(AB5*(1+INDEX(CAGR!$C$2:$C$8,MATCH($A5,CAGR!$B$2:$B$8,0))),0)</f>
        <v>3.9807457928715974E-4</v>
      </c>
      <c r="AD5" s="14">
        <f>IFERROR(AC5*(1+INDEX(CAGR!$C$2:$C$8,MATCH($A5,CAGR!$B$2:$B$8,0))),0)</f>
        <v>3.9842615452294642E-4</v>
      </c>
      <c r="AE5" s="14">
        <f>IFERROR(AD5*(1+INDEX(CAGR!$C$2:$C$8,MATCH($A5,CAGR!$B$2:$B$8,0))),0)</f>
        <v>3.9877804026624311E-4</v>
      </c>
      <c r="AF5" s="14">
        <f>IFERROR(AE5*(1+INDEX(CAGR!$C$2:$C$8,MATCH($A5,CAGR!$B$2:$B$8,0))),0)</f>
        <v>3.9913023679128676E-4</v>
      </c>
      <c r="AG5" s="14"/>
    </row>
    <row r="6" spans="1:33">
      <c r="A6" s="1" t="s">
        <v>13</v>
      </c>
      <c r="B6" s="14">
        <f>IFERROR(INDEX('SYFAFE psgr'!$B$2:$H$2,,MATCH($A6,'SYFAFE psgr'!$B$1:$H$1,0))*(1+INDEX(CAGR!$C$2:$C$8,MATCH($A6,CAGR!$B$2:$B$8,0))),0)</f>
        <v>1.1512996065262306E-4</v>
      </c>
      <c r="C6" s="14">
        <f>IFERROR(B6*(1+INDEX(CAGR!$C$2:$C$8,MATCH($A6,CAGR!$B$2:$B$8,0))),0)</f>
        <v>1.155061586719679E-4</v>
      </c>
      <c r="D6" s="14">
        <f>IFERROR(C6*(1+INDEX(CAGR!$C$2:$C$8,MATCH($A6,CAGR!$B$2:$B$8,0))),0)</f>
        <v>1.1588358595386922E-4</v>
      </c>
      <c r="E6" s="14">
        <f>IFERROR(D6*(1+INDEX(CAGR!$C$2:$C$8,MATCH($A6,CAGR!$B$2:$B$8,0))),0)</f>
        <v>1.1626224651505851E-4</v>
      </c>
      <c r="F6" s="14">
        <f>IFERROR(E6*(1+INDEX(CAGR!$C$2:$C$8,MATCH($A6,CAGR!$B$2:$B$8,0))),0)</f>
        <v>1.1664214438539231E-4</v>
      </c>
      <c r="G6" s="14">
        <f>IFERROR(F6*(1+INDEX(CAGR!$C$2:$C$8,MATCH($A6,CAGR!$B$2:$B$8,0))),0)</f>
        <v>1.1702328360789512E-4</v>
      </c>
      <c r="H6" s="14">
        <f>IFERROR(G6*(1+INDEX(CAGR!$C$2:$C$8,MATCH($A6,CAGR!$B$2:$B$8,0))),0)</f>
        <v>1.1740566823880238E-4</v>
      </c>
      <c r="I6" s="14">
        <f>IFERROR(H6*(1+INDEX(CAGR!$C$2:$C$8,MATCH($A6,CAGR!$B$2:$B$8,0))),0)</f>
        <v>1.1778930234760365E-4</v>
      </c>
      <c r="J6" s="14">
        <f>IFERROR(I6*(1+INDEX(CAGR!$C$2:$C$8,MATCH($A6,CAGR!$B$2:$B$8,0))),0)</f>
        <v>1.1817419001708597E-4</v>
      </c>
      <c r="K6" s="14">
        <f>IFERROR(J6*(1+INDEX(CAGR!$C$2:$C$8,MATCH($A6,CAGR!$B$2:$B$8,0))),0)</f>
        <v>1.1856033534337724E-4</v>
      </c>
      <c r="L6" s="14">
        <f>IFERROR(K6*(1+INDEX(CAGR!$C$2:$C$8,MATCH($A6,CAGR!$B$2:$B$8,0))),0)</f>
        <v>1.1894774243598987E-4</v>
      </c>
      <c r="M6" s="14">
        <f>IFERROR(L6*(1+INDEX(CAGR!$C$2:$C$8,MATCH($A6,CAGR!$B$2:$B$8,0))),0)</f>
        <v>1.1933641541786447E-4</v>
      </c>
      <c r="N6" s="14">
        <f>IFERROR(M6*(1+INDEX(CAGR!$C$2:$C$8,MATCH($A6,CAGR!$B$2:$B$8,0))),0)</f>
        <v>1.1972635842541374E-4</v>
      </c>
      <c r="O6" s="14">
        <f>IFERROR(N6*(1+INDEX(CAGR!$C$2:$C$8,MATCH($A6,CAGR!$B$2:$B$8,0))),0)</f>
        <v>1.2011757560856654E-4</v>
      </c>
      <c r="P6" s="14">
        <f>IFERROR(O6*(1+INDEX(CAGR!$C$2:$C$8,MATCH($A6,CAGR!$B$2:$B$8,0))),0)</f>
        <v>1.2051007113081197E-4</v>
      </c>
      <c r="Q6" s="14">
        <f>IFERROR(P6*(1+INDEX(CAGR!$C$2:$C$8,MATCH($A6,CAGR!$B$2:$B$8,0))),0)</f>
        <v>1.2090384916924374E-4</v>
      </c>
      <c r="R6" s="14">
        <f>IFERROR(Q6*(1+INDEX(CAGR!$C$2:$C$8,MATCH($A6,CAGR!$B$2:$B$8,0))),0)</f>
        <v>1.2129891391460463E-4</v>
      </c>
      <c r="S6" s="14">
        <f>IFERROR(R6*(1+INDEX(CAGR!$C$2:$C$8,MATCH($A6,CAGR!$B$2:$B$8,0))),0)</f>
        <v>1.2169526957133103E-4</v>
      </c>
      <c r="T6" s="14">
        <f>IFERROR(S6*(1+INDEX(CAGR!$C$2:$C$8,MATCH($A6,CAGR!$B$2:$B$8,0))),0)</f>
        <v>1.2209292035759775E-4</v>
      </c>
      <c r="U6" s="14">
        <f>IFERROR(T6*(1+INDEX(CAGR!$C$2:$C$8,MATCH($A6,CAGR!$B$2:$B$8,0))),0)</f>
        <v>1.2249187050536285E-4</v>
      </c>
      <c r="V6" s="14">
        <f>IFERROR(U6*(1+INDEX(CAGR!$C$2:$C$8,MATCH($A6,CAGR!$B$2:$B$8,0))),0)</f>
        <v>1.2289212426041277E-4</v>
      </c>
      <c r="W6" s="14">
        <f>IFERROR(V6*(1+INDEX(CAGR!$C$2:$C$8,MATCH($A6,CAGR!$B$2:$B$8,0))),0)</f>
        <v>1.2329368588240742E-4</v>
      </c>
      <c r="X6" s="14">
        <f>IFERROR(W6*(1+INDEX(CAGR!$C$2:$C$8,MATCH($A6,CAGR!$B$2:$B$8,0))),0)</f>
        <v>1.2369655964492555E-4</v>
      </c>
      <c r="Y6" s="14">
        <f>IFERROR(X6*(1+INDEX(CAGR!$C$2:$C$8,MATCH($A6,CAGR!$B$2:$B$8,0))),0)</f>
        <v>1.2410074983551023E-4</v>
      </c>
      <c r="Z6" s="14">
        <f>IFERROR(Y6*(1+INDEX(CAGR!$C$2:$C$8,MATCH($A6,CAGR!$B$2:$B$8,0))),0)</f>
        <v>1.2450626075571452E-4</v>
      </c>
      <c r="AA6" s="14">
        <f>IFERROR(Z6*(1+INDEX(CAGR!$C$2:$C$8,MATCH($A6,CAGR!$B$2:$B$8,0))),0)</f>
        <v>1.2491309672114717E-4</v>
      </c>
      <c r="AB6" s="14">
        <f>IFERROR(AA6*(1+INDEX(CAGR!$C$2:$C$8,MATCH($A6,CAGR!$B$2:$B$8,0))),0)</f>
        <v>1.2532126206151858E-4</v>
      </c>
      <c r="AC6" s="14">
        <f>IFERROR(AB6*(1+INDEX(CAGR!$C$2:$C$8,MATCH($A6,CAGR!$B$2:$B$8,0))),0)</f>
        <v>1.2573076112068693E-4</v>
      </c>
      <c r="AD6" s="14">
        <f>IFERROR(AC6*(1+INDEX(CAGR!$C$2:$C$8,MATCH($A6,CAGR!$B$2:$B$8,0))),0)</f>
        <v>1.2614159825670435E-4</v>
      </c>
      <c r="AE6" s="14">
        <f>IFERROR(AD6*(1+INDEX(CAGR!$C$2:$C$8,MATCH($A6,CAGR!$B$2:$B$8,0))),0)</f>
        <v>1.265537778418633E-4</v>
      </c>
      <c r="AF6" s="14">
        <f>IFERROR(AE6*(1+INDEX(CAGR!$C$2:$C$8,MATCH($A6,CAGR!$B$2:$B$8,0))),0)</f>
        <v>1.2696730426274314E-4</v>
      </c>
      <c r="AG6" s="14"/>
    </row>
    <row r="7" spans="1:33">
      <c r="A7" s="1" t="s">
        <v>14</v>
      </c>
      <c r="B7" s="14">
        <f>IFERROR(INDEX('SYFAFE psgr'!$B$2:$H$2,,MATCH($A7,'SYFAFE psgr'!$B$1:$H$1,0))*(1+INDEX(CAGR!$C$2:$C$8,MATCH($A7,CAGR!$B$2:$B$8,0))),0)</f>
        <v>4.3329364905354774E-4</v>
      </c>
      <c r="C7" s="14">
        <f>IFERROR(B7*(1+INDEX(CAGR!$C$2:$C$8,MATCH($A7,CAGR!$B$2:$B$8,0))),0)</f>
        <v>4.3421263656890301E-4</v>
      </c>
      <c r="D7" s="14">
        <f>IFERROR(C7*(1+INDEX(CAGR!$C$2:$C$8,MATCH($A7,CAGR!$B$2:$B$8,0))),0)</f>
        <v>4.3513357319672558E-4</v>
      </c>
      <c r="E7" s="14">
        <f>IFERROR(D7*(1+INDEX(CAGR!$C$2:$C$8,MATCH($A7,CAGR!$B$2:$B$8,0))),0)</f>
        <v>4.3605646307095565E-4</v>
      </c>
      <c r="F7" s="14">
        <f>IFERROR(E7*(1+INDEX(CAGR!$C$2:$C$8,MATCH($A7,CAGR!$B$2:$B$8,0))),0)</f>
        <v>4.3698131033430119E-4</v>
      </c>
      <c r="G7" s="14">
        <f>IFERROR(F7*(1+INDEX(CAGR!$C$2:$C$8,MATCH($A7,CAGR!$B$2:$B$8,0))),0)</f>
        <v>4.3790811913825664E-4</v>
      </c>
      <c r="H7" s="14">
        <f>IFERROR(G7*(1+INDEX(CAGR!$C$2:$C$8,MATCH($A7,CAGR!$B$2:$B$8,0))),0)</f>
        <v>4.3883689364312143E-4</v>
      </c>
      <c r="I7" s="14">
        <f>IFERROR(H7*(1+INDEX(CAGR!$C$2:$C$8,MATCH($A7,CAGR!$B$2:$B$8,0))),0)</f>
        <v>4.3976763801801871E-4</v>
      </c>
      <c r="J7" s="14">
        <f>IFERROR(I7*(1+INDEX(CAGR!$C$2:$C$8,MATCH($A7,CAGR!$B$2:$B$8,0))),0)</f>
        <v>4.4070035644091414E-4</v>
      </c>
      <c r="K7" s="14">
        <f>IFERROR(J7*(1+INDEX(CAGR!$C$2:$C$8,MATCH($A7,CAGR!$B$2:$B$8,0))),0)</f>
        <v>4.4163505309863455E-4</v>
      </c>
      <c r="L7" s="14">
        <f>IFERROR(K7*(1+INDEX(CAGR!$C$2:$C$8,MATCH($A7,CAGR!$B$2:$B$8,0))),0)</f>
        <v>4.4257173218688664E-4</v>
      </c>
      <c r="M7" s="14">
        <f>IFERROR(L7*(1+INDEX(CAGR!$C$2:$C$8,MATCH($A7,CAGR!$B$2:$B$8,0))),0)</f>
        <v>4.4351039791027611E-4</v>
      </c>
      <c r="N7" s="14">
        <f>IFERROR(M7*(1+INDEX(CAGR!$C$2:$C$8,MATCH($A7,CAGR!$B$2:$B$8,0))),0)</f>
        <v>4.4445105448232621E-4</v>
      </c>
      <c r="O7" s="14">
        <f>IFERROR(N7*(1+INDEX(CAGR!$C$2:$C$8,MATCH($A7,CAGR!$B$2:$B$8,0))),0)</f>
        <v>4.4539370612549687E-4</v>
      </c>
      <c r="P7" s="14">
        <f>IFERROR(O7*(1+INDEX(CAGR!$C$2:$C$8,MATCH($A7,CAGR!$B$2:$B$8,0))),0)</f>
        <v>4.4633835707120356E-4</v>
      </c>
      <c r="Q7" s="14">
        <f>IFERROR(P7*(1+INDEX(CAGR!$C$2:$C$8,MATCH($A7,CAGR!$B$2:$B$8,0))),0)</f>
        <v>4.4728501155983632E-4</v>
      </c>
      <c r="R7" s="14">
        <f>IFERROR(Q7*(1+INDEX(CAGR!$C$2:$C$8,MATCH($A7,CAGR!$B$2:$B$8,0))),0)</f>
        <v>4.4823367384077878E-4</v>
      </c>
      <c r="S7" s="14">
        <f>IFERROR(R7*(1+INDEX(CAGR!$C$2:$C$8,MATCH($A7,CAGR!$B$2:$B$8,0))),0)</f>
        <v>4.4918434817242724E-4</v>
      </c>
      <c r="T7" s="14">
        <f>IFERROR(S7*(1+INDEX(CAGR!$C$2:$C$8,MATCH($A7,CAGR!$B$2:$B$8,0))),0)</f>
        <v>4.5013703882220975E-4</v>
      </c>
      <c r="U7" s="14">
        <f>IFERROR(T7*(1+INDEX(CAGR!$C$2:$C$8,MATCH($A7,CAGR!$B$2:$B$8,0))),0)</f>
        <v>4.5109175006660532E-4</v>
      </c>
      <c r="V7" s="14">
        <f>IFERROR(U7*(1+INDEX(CAGR!$C$2:$C$8,MATCH($A7,CAGR!$B$2:$B$8,0))),0)</f>
        <v>4.5204848619116305E-4</v>
      </c>
      <c r="W7" s="14">
        <f>IFERROR(V7*(1+INDEX(CAGR!$C$2:$C$8,MATCH($A7,CAGR!$B$2:$B$8,0))),0)</f>
        <v>4.5300725149052145E-4</v>
      </c>
      <c r="X7" s="14">
        <f>IFERROR(W7*(1+INDEX(CAGR!$C$2:$C$8,MATCH($A7,CAGR!$B$2:$B$8,0))),0)</f>
        <v>4.5396805026842773E-4</v>
      </c>
      <c r="Y7" s="14">
        <f>IFERROR(X7*(1+INDEX(CAGR!$C$2:$C$8,MATCH($A7,CAGR!$B$2:$B$8,0))),0)</f>
        <v>4.5493088683775697E-4</v>
      </c>
      <c r="Z7" s="14">
        <f>IFERROR(Y7*(1+INDEX(CAGR!$C$2:$C$8,MATCH($A7,CAGR!$B$2:$B$8,0))),0)</f>
        <v>4.5589576552053162E-4</v>
      </c>
      <c r="AA7" s="14">
        <f>IFERROR(Z7*(1+INDEX(CAGR!$C$2:$C$8,MATCH($A7,CAGR!$B$2:$B$8,0))),0)</f>
        <v>4.5686269064794085E-4</v>
      </c>
      <c r="AB7" s="14">
        <f>IFERROR(AA7*(1+INDEX(CAGR!$C$2:$C$8,MATCH($A7,CAGR!$B$2:$B$8,0))),0)</f>
        <v>4.5783166656035998E-4</v>
      </c>
      <c r="AC7" s="14">
        <f>IFERROR(AB7*(1+INDEX(CAGR!$C$2:$C$8,MATCH($A7,CAGR!$B$2:$B$8,0))),0)</f>
        <v>4.5880269760737005E-4</v>
      </c>
      <c r="AD7" s="14">
        <f>IFERROR(AC7*(1+INDEX(CAGR!$C$2:$C$8,MATCH($A7,CAGR!$B$2:$B$8,0))),0)</f>
        <v>4.5977578814777718E-4</v>
      </c>
      <c r="AE7" s="14">
        <f>IFERROR(AD7*(1+INDEX(CAGR!$C$2:$C$8,MATCH($A7,CAGR!$B$2:$B$8,0))),0)</f>
        <v>4.6075094254963232E-4</v>
      </c>
      <c r="AF7" s="14">
        <f>IFERROR(AE7*(1+INDEX(CAGR!$C$2:$C$8,MATCH($A7,CAGR!$B$2:$B$8,0))),0)</f>
        <v>4.617281651902507E-4</v>
      </c>
      <c r="AG7" s="14"/>
    </row>
    <row r="8" spans="1:33">
      <c r="A8" s="1" t="s">
        <v>15</v>
      </c>
      <c r="B8" s="14">
        <f>IFERROR(INDEX('SYFAFE psgr'!$B$2:$H$2,,MATCH($A8,'SYFAFE psgr'!$B$1:$H$1,0))*(1+INDEX(CAGR!$C$2:$C$8,MATCH($A8,CAGR!$B$2:$B$8,0))),0)</f>
        <v>1.9703224437365305E-4</v>
      </c>
      <c r="C8" s="14">
        <f>IFERROR(B8*(1+INDEX(CAGR!$C$2:$C$8,MATCH($A8,CAGR!$B$2:$B$8,0))),0)</f>
        <v>1.969057540724944E-4</v>
      </c>
      <c r="D8" s="14">
        <f>IFERROR(C8*(1+INDEX(CAGR!$C$2:$C$8,MATCH($A8,CAGR!$B$2:$B$8,0))),0)</f>
        <v>1.9677934497528457E-4</v>
      </c>
      <c r="E8" s="14">
        <f>IFERROR(D8*(1+INDEX(CAGR!$C$2:$C$8,MATCH($A8,CAGR!$B$2:$B$8,0))),0)</f>
        <v>1.9665301702989242E-4</v>
      </c>
      <c r="F8" s="14">
        <f>IFERROR(E8*(1+INDEX(CAGR!$C$2:$C$8,MATCH($A8,CAGR!$B$2:$B$8,0))),0)</f>
        <v>1.9652677018422031E-4</v>
      </c>
      <c r="G8" s="14">
        <f>IFERROR(F8*(1+INDEX(CAGR!$C$2:$C$8,MATCH($A8,CAGR!$B$2:$B$8,0))),0)</f>
        <v>1.9640060438620404E-4</v>
      </c>
      <c r="H8" s="14">
        <f>IFERROR(G8*(1+INDEX(CAGR!$C$2:$C$8,MATCH($A8,CAGR!$B$2:$B$8,0))),0)</f>
        <v>1.9627451958381282E-4</v>
      </c>
      <c r="I8" s="14">
        <f>IFERROR(H8*(1+INDEX(CAGR!$C$2:$C$8,MATCH($A8,CAGR!$B$2:$B$8,0))),0)</f>
        <v>1.9614851572504925E-4</v>
      </c>
      <c r="J8" s="14">
        <f>IFERROR(I8*(1+INDEX(CAGR!$C$2:$C$8,MATCH($A8,CAGR!$B$2:$B$8,0))),0)</f>
        <v>1.9602259275794935E-4</v>
      </c>
      <c r="K8" s="14">
        <f>IFERROR(J8*(1+INDEX(CAGR!$C$2:$C$8,MATCH($A8,CAGR!$B$2:$B$8,0))),0)</f>
        <v>1.9589675063058247E-4</v>
      </c>
      <c r="L8" s="14">
        <f>IFERROR(K8*(1+INDEX(CAGR!$C$2:$C$8,MATCH($A8,CAGR!$B$2:$B$8,0))),0)</f>
        <v>1.9577098929105129E-4</v>
      </c>
      <c r="M8" s="14">
        <f>IFERROR(L8*(1+INDEX(CAGR!$C$2:$C$8,MATCH($A8,CAGR!$B$2:$B$8,0))),0)</f>
        <v>1.9564530868749184E-4</v>
      </c>
      <c r="N8" s="14">
        <f>IFERROR(M8*(1+INDEX(CAGR!$C$2:$C$8,MATCH($A8,CAGR!$B$2:$B$8,0))),0)</f>
        <v>1.9551970876807343E-4</v>
      </c>
      <c r="O8" s="14">
        <f>IFERROR(N8*(1+INDEX(CAGR!$C$2:$C$8,MATCH($A8,CAGR!$B$2:$B$8,0))),0)</f>
        <v>1.9539418948099865E-4</v>
      </c>
      <c r="P8" s="14">
        <f>IFERROR(O8*(1+INDEX(CAGR!$C$2:$C$8,MATCH($A8,CAGR!$B$2:$B$8,0))),0)</f>
        <v>1.9526875077450332E-4</v>
      </c>
      <c r="Q8" s="14">
        <f>IFERROR(P8*(1+INDEX(CAGR!$C$2:$C$8,MATCH($A8,CAGR!$B$2:$B$8,0))),0)</f>
        <v>1.9514339259685653E-4</v>
      </c>
      <c r="R8" s="14">
        <f>IFERROR(Q8*(1+INDEX(CAGR!$C$2:$C$8,MATCH($A8,CAGR!$B$2:$B$8,0))),0)</f>
        <v>1.9501811489636053E-4</v>
      </c>
      <c r="S8" s="14">
        <f>IFERROR(R8*(1+INDEX(CAGR!$C$2:$C$8,MATCH($A8,CAGR!$B$2:$B$8,0))),0)</f>
        <v>1.9489291762135079E-4</v>
      </c>
      <c r="T8" s="14">
        <f>IFERROR(S8*(1+INDEX(CAGR!$C$2:$C$8,MATCH($A8,CAGR!$B$2:$B$8,0))),0)</f>
        <v>1.9476780072019597E-4</v>
      </c>
      <c r="U8" s="14">
        <f>IFERROR(T8*(1+INDEX(CAGR!$C$2:$C$8,MATCH($A8,CAGR!$B$2:$B$8,0))),0)</f>
        <v>1.9464276414129782E-4</v>
      </c>
      <c r="V8" s="14">
        <f>IFERROR(U8*(1+INDEX(CAGR!$C$2:$C$8,MATCH($A8,CAGR!$B$2:$B$8,0))),0)</f>
        <v>1.9451780783309125E-4</v>
      </c>
      <c r="W8" s="14">
        <f>IFERROR(V8*(1+INDEX(CAGR!$C$2:$C$8,MATCH($A8,CAGR!$B$2:$B$8,0))),0)</f>
        <v>1.943929317440443E-4</v>
      </c>
      <c r="X8" s="14">
        <f>IFERROR(W8*(1+INDEX(CAGR!$C$2:$C$8,MATCH($A8,CAGR!$B$2:$B$8,0))),0)</f>
        <v>1.9426813582265802E-4</v>
      </c>
      <c r="Y8" s="14">
        <f>IFERROR(X8*(1+INDEX(CAGR!$C$2:$C$8,MATCH($A8,CAGR!$B$2:$B$8,0))),0)</f>
        <v>1.9414342001746658E-4</v>
      </c>
      <c r="Z8" s="14">
        <f>IFERROR(Y8*(1+INDEX(CAGR!$C$2:$C$8,MATCH($A8,CAGR!$B$2:$B$8,0))),0)</f>
        <v>1.9401878427703718E-4</v>
      </c>
      <c r="AA8" s="14">
        <f>IFERROR(Z8*(1+INDEX(CAGR!$C$2:$C$8,MATCH($A8,CAGR!$B$2:$B$8,0))),0)</f>
        <v>1.9389422854997E-4</v>
      </c>
      <c r="AB8" s="14">
        <f>IFERROR(AA8*(1+INDEX(CAGR!$C$2:$C$8,MATCH($A8,CAGR!$B$2:$B$8,0))),0)</f>
        <v>1.9376975278489827E-4</v>
      </c>
      <c r="AC8" s="14">
        <f>IFERROR(AB8*(1+INDEX(CAGR!$C$2:$C$8,MATCH($A8,CAGR!$B$2:$B$8,0))),0)</f>
        <v>1.9364535693048817E-4</v>
      </c>
      <c r="AD8" s="14">
        <f>IFERROR(AC8*(1+INDEX(CAGR!$C$2:$C$8,MATCH($A8,CAGR!$B$2:$B$8,0))),0)</f>
        <v>1.9352104093543884E-4</v>
      </c>
      <c r="AE8" s="14">
        <f>IFERROR(AD8*(1+INDEX(CAGR!$C$2:$C$8,MATCH($A8,CAGR!$B$2:$B$8,0))),0)</f>
        <v>1.9339680474848237E-4</v>
      </c>
      <c r="AF8" s="14">
        <f>IFERROR(AE8*(1+INDEX(CAGR!$C$2:$C$8,MATCH($A8,CAGR!$B$2:$B$8,0))),0)</f>
        <v>1.9327264831838373E-4</v>
      </c>
      <c r="AG8" s="14"/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C3DC-AC34-4050-8F3C-9ED62912A698}">
  <sheetPr>
    <tabColor rgb="FF1F497D"/>
  </sheetPr>
  <dimension ref="A1:AG8"/>
  <sheetViews>
    <sheetView workbookViewId="0"/>
  </sheetViews>
  <sheetFormatPr defaultRowHeight="16.5"/>
  <cols>
    <col min="1" max="1" width="32.75" bestFit="1" customWidth="1"/>
    <col min="2" max="3" width="9" customWidth="1"/>
    <col min="4" max="33" width="9.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frgt'!$B$2:$H$2,,MATCH($A2,'SYFAFE psgr'!$B$1:$H$1,0))*(1+INDEX(CAGR!$C$9:$C$15,MATCH($A2,CAGR!$B$9:$B$15,0))),0)</f>
        <v>7.354262652985215E-5</v>
      </c>
      <c r="C2" s="14">
        <f>IFERROR(B2*(1+INDEX(CAGR!$C$9:$C$15,MATCH($A2,CAGR!$B$9:$B$15,0))),0)</f>
        <v>7.4505325209881261E-5</v>
      </c>
      <c r="D2" s="14">
        <f>IFERROR(C2*(1+INDEX(CAGR!$C$9:$C$15,MATCH($A2,CAGR!$B$9:$B$15,0))),0)</f>
        <v>7.5480625952037615E-5</v>
      </c>
      <c r="E2" s="14">
        <f>IFERROR(D2*(1+INDEX(CAGR!$C$9:$C$15,MATCH($A2,CAGR!$B$9:$B$15,0))),0)</f>
        <v>7.6468693721718132E-5</v>
      </c>
      <c r="F2" s="14">
        <f>IFERROR(E2*(1+INDEX(CAGR!$C$9:$C$15,MATCH($A2,CAGR!$B$9:$B$15,0))),0)</f>
        <v>7.7469695643774409E-5</v>
      </c>
      <c r="G2" s="14">
        <f>IFERROR(F2*(1+INDEX(CAGR!$C$9:$C$15,MATCH($A2,CAGR!$B$9:$B$15,0))),0)</f>
        <v>7.8483801030780756E-5</v>
      </c>
      <c r="H2" s="14">
        <f>IFERROR(G2*(1+INDEX(CAGR!$C$9:$C$15,MATCH($A2,CAGR!$B$9:$B$15,0))),0)</f>
        <v>7.9511181411672256E-5</v>
      </c>
      <c r="I2" s="14">
        <f>IFERROR(H2*(1+INDEX(CAGR!$C$9:$C$15,MATCH($A2,CAGR!$B$9:$B$15,0))),0)</f>
        <v>8.0552010560757669E-5</v>
      </c>
      <c r="J2" s="14">
        <f>IFERROR(I2*(1+INDEX(CAGR!$C$9:$C$15,MATCH($A2,CAGR!$B$9:$B$15,0))),0)</f>
        <v>8.1606464527112202E-5</v>
      </c>
      <c r="K2" s="14">
        <f>IFERROR(J2*(1+INDEX(CAGR!$C$9:$C$15,MATCH($A2,CAGR!$B$9:$B$15,0))),0)</f>
        <v>8.2674721664354972E-5</v>
      </c>
      <c r="L2" s="14">
        <f>IFERROR(K2*(1+INDEX(CAGR!$C$9:$C$15,MATCH($A2,CAGR!$B$9:$B$15,0))),0)</f>
        <v>8.3756962660816285E-5</v>
      </c>
      <c r="M2" s="14">
        <f>IFERROR(L2*(1+INDEX(CAGR!$C$9:$C$15,MATCH($A2,CAGR!$B$9:$B$15,0))),0)</f>
        <v>8.4853370570099829E-5</v>
      </c>
      <c r="N2" s="14">
        <f>IFERROR(M2*(1+INDEX(CAGR!$C$9:$C$15,MATCH($A2,CAGR!$B$9:$B$15,0))),0)</f>
        <v>8.5964130842044941E-5</v>
      </c>
      <c r="O2" s="14">
        <f>IFERROR(N2*(1+INDEX(CAGR!$C$9:$C$15,MATCH($A2,CAGR!$B$9:$B$15,0))),0)</f>
        <v>8.708943135409416E-5</v>
      </c>
      <c r="P2" s="14">
        <f>IFERROR(O2*(1+INDEX(CAGR!$C$9:$C$15,MATCH($A2,CAGR!$B$9:$B$15,0))),0)</f>
        <v>8.8229462443071383E-5</v>
      </c>
      <c r="Q2" s="14">
        <f>IFERROR(P2*(1+INDEX(CAGR!$C$9:$C$15,MATCH($A2,CAGR!$B$9:$B$15,0))),0)</f>
        <v>8.938441693737606E-5</v>
      </c>
      <c r="R2" s="14">
        <f>IFERROR(Q2*(1+INDEX(CAGR!$C$9:$C$15,MATCH($A2,CAGR!$B$9:$B$15,0))),0)</f>
        <v>9.0554490189598765E-5</v>
      </c>
      <c r="S2" s="14">
        <f>IFERROR(R2*(1+INDEX(CAGR!$C$9:$C$15,MATCH($A2,CAGR!$B$9:$B$15,0))),0)</f>
        <v>9.1739880109563757E-5</v>
      </c>
      <c r="T2" s="14">
        <f>IFERROR(S2*(1+INDEX(CAGR!$C$9:$C$15,MATCH($A2,CAGR!$B$9:$B$15,0))),0)</f>
        <v>9.2940787197804027E-5</v>
      </c>
      <c r="U2" s="14">
        <f>IFERROR(T2*(1+INDEX(CAGR!$C$9:$C$15,MATCH($A2,CAGR!$B$9:$B$15,0))),0)</f>
        <v>9.4157414579474632E-5</v>
      </c>
      <c r="V2" s="14">
        <f>IFERROR(U2*(1+INDEX(CAGR!$C$9:$C$15,MATCH($A2,CAGR!$B$9:$B$15,0))),0)</f>
        <v>9.5389968038709865E-5</v>
      </c>
      <c r="W2" s="14">
        <f>IFERROR(V2*(1+INDEX(CAGR!$C$9:$C$15,MATCH($A2,CAGR!$B$9:$B$15,0))),0)</f>
        <v>9.6638656053430269E-5</v>
      </c>
      <c r="X2" s="14">
        <f>IFERROR(W2*(1+INDEX(CAGR!$C$9:$C$15,MATCH($A2,CAGR!$B$9:$B$15,0))),0)</f>
        <v>9.790368983060521E-5</v>
      </c>
      <c r="Y2" s="14">
        <f>IFERROR(X2*(1+INDEX(CAGR!$C$9:$C$15,MATCH($A2,CAGR!$B$9:$B$15,0))),0)</f>
        <v>9.9185283341977085E-5</v>
      </c>
      <c r="Z2" s="14">
        <f>IFERROR(Y2*(1+INDEX(CAGR!$C$9:$C$15,MATCH($A2,CAGR!$B$9:$B$15,0))),0)</f>
        <v>1.0048365336025317E-4</v>
      </c>
      <c r="AA2" s="14">
        <f>IFERROR(Z2*(1+INDEX(CAGR!$C$9:$C$15,MATCH($A2,CAGR!$B$9:$B$15,0))),0)</f>
        <v>1.0179901949577121E-4</v>
      </c>
      <c r="AB2" s="14">
        <f>IFERROR(AA2*(1+INDEX(CAGR!$C$9:$C$15,MATCH($A2,CAGR!$B$9:$B$15,0))),0)</f>
        <v>1.0313160423364506E-4</v>
      </c>
      <c r="AC2" s="14">
        <f>IFERROR(AB2*(1+INDEX(CAGR!$C$9:$C$15,MATCH($A2,CAGR!$B$9:$B$15,0))),0)</f>
        <v>1.0448163297139641E-4</v>
      </c>
      <c r="AD2" s="14">
        <f>IFERROR(AC2*(1+INDEX(CAGR!$C$9:$C$15,MATCH($A2,CAGR!$B$9:$B$15,0))),0)</f>
        <v>1.058493340570793E-4</v>
      </c>
      <c r="AE2" s="14">
        <f>IFERROR(AD2*(1+INDEX(CAGR!$C$9:$C$15,MATCH($A2,CAGR!$B$9:$B$15,0))),0)</f>
        <v>1.0723493882790359E-4</v>
      </c>
      <c r="AF2" s="14">
        <f>IFERROR(AE2*(1+INDEX(CAGR!$C$9:$C$15,MATCH($A2,CAGR!$B$9:$B$15,0))),0)</f>
        <v>1.0863868164936403E-4</v>
      </c>
      <c r="AG2" s="14"/>
    </row>
    <row r="3" spans="1:33">
      <c r="A3" s="1" t="s">
        <v>10</v>
      </c>
      <c r="B3" s="21">
        <f>IFERROR(INDEX('SYFAFE frgt'!$B$2:$H$2,,MATCH($A3,'SYFAFE psgr'!$B$1:$H$1,0))*(1+INDEX(CAGR!$C$9:$C$15,MATCH($A3,CAGR!$B$9:$B$15,0))),0)</f>
        <v>1.7491806860027309E-4</v>
      </c>
      <c r="C3" s="21">
        <f>IFERROR(B3*(1+INDEX(CAGR!$C$9:$C$15,MATCH($A3,CAGR!$B$9:$B$15,0))),0)</f>
        <v>1.744642612538873E-4</v>
      </c>
      <c r="D3" s="21">
        <f>IFERROR(C3*(1+INDEX(CAGR!$C$9:$C$15,MATCH($A3,CAGR!$B$9:$B$15,0))),0)</f>
        <v>1.7401163126504543E-4</v>
      </c>
      <c r="E3" s="21">
        <f>IFERROR(D3*(1+INDEX(CAGR!$C$9:$C$15,MATCH($A3,CAGR!$B$9:$B$15,0))),0)</f>
        <v>1.7356017557921166E-4</v>
      </c>
      <c r="F3" s="21">
        <f>IFERROR(E3*(1+INDEX(CAGR!$C$9:$C$15,MATCH($A3,CAGR!$B$9:$B$15,0))),0)</f>
        <v>1.7310989114977492E-4</v>
      </c>
      <c r="G3" s="21">
        <f>IFERROR(F3*(1+INDEX(CAGR!$C$9:$C$15,MATCH($A3,CAGR!$B$9:$B$15,0))),0)</f>
        <v>1.7266077493802818E-4</v>
      </c>
      <c r="H3" s="21">
        <f>IFERROR(G3*(1+INDEX(CAGR!$C$9:$C$15,MATCH($A3,CAGR!$B$9:$B$15,0))),0)</f>
        <v>1.7221282391314809E-4</v>
      </c>
      <c r="I3" s="21">
        <f>IFERROR(H3*(1+INDEX(CAGR!$C$9:$C$15,MATCH($A3,CAGR!$B$9:$B$15,0))),0)</f>
        <v>1.7176603505217441E-4</v>
      </c>
      <c r="J3" s="21">
        <f>IFERROR(I3*(1+INDEX(CAGR!$C$9:$C$15,MATCH($A3,CAGR!$B$9:$B$15,0))),0)</f>
        <v>1.7132040533998977E-4</v>
      </c>
      <c r="K3" s="21">
        <f>IFERROR(J3*(1+INDEX(CAGR!$C$9:$C$15,MATCH($A3,CAGR!$B$9:$B$15,0))),0)</f>
        <v>1.7087593176929911E-4</v>
      </c>
      <c r="L3" s="21">
        <f>IFERROR(K3*(1+INDEX(CAGR!$C$9:$C$15,MATCH($A3,CAGR!$B$9:$B$15,0))),0)</f>
        <v>1.7043261134060955E-4</v>
      </c>
      <c r="M3" s="21">
        <f>IFERROR(L3*(1+INDEX(CAGR!$C$9:$C$15,MATCH($A3,CAGR!$B$9:$B$15,0))),0)</f>
        <v>1.6999044106221007E-4</v>
      </c>
      <c r="N3" s="21">
        <f>IFERROR(M3*(1+INDEX(CAGR!$C$9:$C$15,MATCH($A3,CAGR!$B$9:$B$15,0))),0)</f>
        <v>1.6954941795015136E-4</v>
      </c>
      <c r="O3" s="21">
        <f>IFERROR(N3*(1+INDEX(CAGR!$C$9:$C$15,MATCH($A3,CAGR!$B$9:$B$15,0))),0)</f>
        <v>1.6910953902822567E-4</v>
      </c>
      <c r="P3" s="21">
        <f>IFERROR(O3*(1+INDEX(CAGR!$C$9:$C$15,MATCH($A3,CAGR!$B$9:$B$15,0))),0)</f>
        <v>1.686708013279467E-4</v>
      </c>
      <c r="Q3" s="21">
        <f>IFERROR(P3*(1+INDEX(CAGR!$C$9:$C$15,MATCH($A3,CAGR!$B$9:$B$15,0))),0)</f>
        <v>1.682332018885296E-4</v>
      </c>
      <c r="R3" s="21">
        <f>IFERROR(Q3*(1+INDEX(CAGR!$C$9:$C$15,MATCH($A3,CAGR!$B$9:$B$15,0))),0)</f>
        <v>1.6779673775687101E-4</v>
      </c>
      <c r="S3" s="21">
        <f>IFERROR(R3*(1+INDEX(CAGR!$C$9:$C$15,MATCH($A3,CAGR!$B$9:$B$15,0))),0)</f>
        <v>1.6736140598752904E-4</v>
      </c>
      <c r="T3" s="21">
        <f>IFERROR(S3*(1+INDEX(CAGR!$C$9:$C$15,MATCH($A3,CAGR!$B$9:$B$15,0))),0)</f>
        <v>1.6692720364270349E-4</v>
      </c>
      <c r="U3" s="21">
        <f>IFERROR(T3*(1+INDEX(CAGR!$C$9:$C$15,MATCH($A3,CAGR!$B$9:$B$15,0))),0)</f>
        <v>1.6649412779221599E-4</v>
      </c>
      <c r="V3" s="21">
        <f>IFERROR(U3*(1+INDEX(CAGR!$C$9:$C$15,MATCH($A3,CAGR!$B$9:$B$15,0))),0)</f>
        <v>1.6606217551349021E-4</v>
      </c>
      <c r="W3" s="21">
        <f>IFERROR(V3*(1+INDEX(CAGR!$C$9:$C$15,MATCH($A3,CAGR!$B$9:$B$15,0))),0)</f>
        <v>1.6563134389153215E-4</v>
      </c>
      <c r="X3" s="21">
        <f>IFERROR(W3*(1+INDEX(CAGR!$C$9:$C$15,MATCH($A3,CAGR!$B$9:$B$15,0))),0)</f>
        <v>1.6520163001891049E-4</v>
      </c>
      <c r="Y3" s="21">
        <f>IFERROR(X3*(1+INDEX(CAGR!$C$9:$C$15,MATCH($A3,CAGR!$B$9:$B$15,0))),0)</f>
        <v>1.647730309957369E-4</v>
      </c>
      <c r="Z3" s="21">
        <f>IFERROR(Y3*(1+INDEX(CAGR!$C$9:$C$15,MATCH($A3,CAGR!$B$9:$B$15,0))),0)</f>
        <v>1.6434554392964656E-4</v>
      </c>
      <c r="AA3" s="21">
        <f>IFERROR(Z3*(1+INDEX(CAGR!$C$9:$C$15,MATCH($A3,CAGR!$B$9:$B$15,0))),0)</f>
        <v>1.639191659357786E-4</v>
      </c>
      <c r="AB3" s="21">
        <f>IFERROR(AA3*(1+INDEX(CAGR!$C$9:$C$15,MATCH($A3,CAGR!$B$9:$B$15,0))),0)</f>
        <v>1.6349389413675662E-4</v>
      </c>
      <c r="AC3" s="21">
        <f>IFERROR(AB3*(1+INDEX(CAGR!$C$9:$C$15,MATCH($A3,CAGR!$B$9:$B$15,0))),0)</f>
        <v>1.6306972566266928E-4</v>
      </c>
      <c r="AD3" s="21">
        <f>IFERROR(AC3*(1+INDEX(CAGR!$C$9:$C$15,MATCH($A3,CAGR!$B$9:$B$15,0))),0)</f>
        <v>1.6264665765105095E-4</v>
      </c>
      <c r="AE3" s="21">
        <f>IFERROR(AD3*(1+INDEX(CAGR!$C$9:$C$15,MATCH($A3,CAGR!$B$9:$B$15,0))),0)</f>
        <v>1.6222468724686238E-4</v>
      </c>
      <c r="AF3" s="21">
        <f>IFERROR(AE3*(1+INDEX(CAGR!$C$9:$C$15,MATCH($A3,CAGR!$B$9:$B$15,0))),0)</f>
        <v>1.6180381160247142E-4</v>
      </c>
      <c r="AG3" s="14"/>
    </row>
    <row r="4" spans="1:33">
      <c r="A4" s="1" t="s">
        <v>11</v>
      </c>
      <c r="B4" s="14">
        <f>IFERROR(INDEX('SYFAFE frgt'!$B$2:$H$2,,MATCH($A4,'SYFAFE psgr'!$B$1:$H$1,0))*(1+INDEX(CAGR!$C$9:$C$15,MATCH($A4,CAGR!$B$9:$B$15,0))),0)</f>
        <v>6.4117197267208695E-5</v>
      </c>
      <c r="C4" s="14">
        <f>IFERROR(B4*(1+INDEX(CAGR!$C$9:$C$15,MATCH($A4,CAGR!$B$9:$B$15,0))),0)</f>
        <v>6.3950851643898506E-5</v>
      </c>
      <c r="D4" s="14">
        <f>IFERROR(C4*(1+INDEX(CAGR!$C$9:$C$15,MATCH($A4,CAGR!$B$9:$B$15,0))),0)</f>
        <v>6.3784937587587102E-5</v>
      </c>
      <c r="E4" s="14">
        <f>IFERROR(D4*(1+INDEX(CAGR!$C$9:$C$15,MATCH($A4,CAGR!$B$9:$B$15,0))),0)</f>
        <v>6.3619453978617274E-5</v>
      </c>
      <c r="F4" s="14">
        <f>IFERROR(E4*(1+INDEX(CAGR!$C$9:$C$15,MATCH($A4,CAGR!$B$9:$B$15,0))),0)</f>
        <v>6.345439970023666E-5</v>
      </c>
      <c r="G4" s="14">
        <f>IFERROR(F4*(1+INDEX(CAGR!$C$9:$C$15,MATCH($A4,CAGR!$B$9:$B$15,0))),0)</f>
        <v>6.3289773638590199E-5</v>
      </c>
      <c r="H4" s="14">
        <f>IFERROR(G4*(1+INDEX(CAGR!$C$9:$C$15,MATCH($A4,CAGR!$B$9:$B$15,0))),0)</f>
        <v>6.3125574682712635E-5</v>
      </c>
      <c r="I4" s="14">
        <f>IFERROR(H4*(1+INDEX(CAGR!$C$9:$C$15,MATCH($A4,CAGR!$B$9:$B$15,0))),0)</f>
        <v>6.2961801724520968E-5</v>
      </c>
      <c r="J4" s="14">
        <f>IFERROR(I4*(1+INDEX(CAGR!$C$9:$C$15,MATCH($A4,CAGR!$B$9:$B$15,0))),0)</f>
        <v>6.2798453658807031E-5</v>
      </c>
      <c r="K4" s="14">
        <f>IFERROR(J4*(1+INDEX(CAGR!$C$9:$C$15,MATCH($A4,CAGR!$B$9:$B$15,0))),0)</f>
        <v>6.2635529383229987E-5</v>
      </c>
      <c r="L4" s="14">
        <f>IFERROR(K4*(1+INDEX(CAGR!$C$9:$C$15,MATCH($A4,CAGR!$B$9:$B$15,0))),0)</f>
        <v>6.2473027798308939E-5</v>
      </c>
      <c r="M4" s="14">
        <f>IFERROR(L4*(1+INDEX(CAGR!$C$9:$C$15,MATCH($A4,CAGR!$B$9:$B$15,0))),0)</f>
        <v>6.231094780741547E-5</v>
      </c>
      <c r="N4" s="14">
        <f>IFERROR(M4*(1+INDEX(CAGR!$C$9:$C$15,MATCH($A4,CAGR!$B$9:$B$15,0))),0)</f>
        <v>6.2149288316766245E-5</v>
      </c>
      <c r="O4" s="14">
        <f>IFERROR(N4*(1+INDEX(CAGR!$C$9:$C$15,MATCH($A4,CAGR!$B$9:$B$15,0))),0)</f>
        <v>6.1988048235415652E-5</v>
      </c>
      <c r="P4" s="14">
        <f>IFERROR(O4*(1+INDEX(CAGR!$C$9:$C$15,MATCH($A4,CAGR!$B$9:$B$15,0))),0)</f>
        <v>6.1827226475248416E-5</v>
      </c>
      <c r="Q4" s="14">
        <f>IFERROR(P4*(1+INDEX(CAGR!$C$9:$C$15,MATCH($A4,CAGR!$B$9:$B$15,0))),0)</f>
        <v>6.1666821950972294E-5</v>
      </c>
      <c r="R4" s="14">
        <f>IFERROR(Q4*(1+INDEX(CAGR!$C$9:$C$15,MATCH($A4,CAGR!$B$9:$B$15,0))),0)</f>
        <v>6.1506833580110689E-5</v>
      </c>
      <c r="S4" s="14">
        <f>IFERROR(R4*(1+INDEX(CAGR!$C$9:$C$15,MATCH($A4,CAGR!$B$9:$B$15,0))),0)</f>
        <v>6.1347260282995414E-5</v>
      </c>
      <c r="T4" s="14">
        <f>IFERROR(S4*(1+INDEX(CAGR!$C$9:$C$15,MATCH($A4,CAGR!$B$9:$B$15,0))),0)</f>
        <v>6.1188100982759343E-5</v>
      </c>
      <c r="U4" s="14">
        <f>IFERROR(T4*(1+INDEX(CAGR!$C$9:$C$15,MATCH($A4,CAGR!$B$9:$B$15,0))),0)</f>
        <v>6.1029354605329192E-5</v>
      </c>
      <c r="V4" s="14">
        <f>IFERROR(U4*(1+INDEX(CAGR!$C$9:$C$15,MATCH($A4,CAGR!$B$9:$B$15,0))),0)</f>
        <v>6.0871020079418251E-5</v>
      </c>
      <c r="W4" s="14">
        <f>IFERROR(V4*(1+INDEX(CAGR!$C$9:$C$15,MATCH($A4,CAGR!$B$9:$B$15,0))),0)</f>
        <v>6.0713096336519152E-5</v>
      </c>
      <c r="X4" s="14">
        <f>IFERROR(W4*(1+INDEX(CAGR!$C$9:$C$15,MATCH($A4,CAGR!$B$9:$B$15,0))),0)</f>
        <v>6.0555582310896658E-5</v>
      </c>
      <c r="Y4" s="14">
        <f>IFERROR(X4*(1+INDEX(CAGR!$C$9:$C$15,MATCH($A4,CAGR!$B$9:$B$15,0))),0)</f>
        <v>6.0398476939580481E-5</v>
      </c>
      <c r="Z4" s="14">
        <f>IFERROR(Y4*(1+INDEX(CAGR!$C$9:$C$15,MATCH($A4,CAGR!$B$9:$B$15,0))),0)</f>
        <v>6.0241779162358102E-5</v>
      </c>
      <c r="AA4" s="14">
        <f>IFERROR(Z4*(1+INDEX(CAGR!$C$9:$C$15,MATCH($A4,CAGR!$B$9:$B$15,0))),0)</f>
        <v>6.0085487921767617E-5</v>
      </c>
      <c r="AB4" s="14">
        <f>IFERROR(AA4*(1+INDEX(CAGR!$C$9:$C$15,MATCH($A4,CAGR!$B$9:$B$15,0))),0)</f>
        <v>5.9929602163090599E-5</v>
      </c>
      <c r="AC4" s="14">
        <f>IFERROR(AB4*(1+INDEX(CAGR!$C$9:$C$15,MATCH($A4,CAGR!$B$9:$B$15,0))),0)</f>
        <v>5.9774120834344979E-5</v>
      </c>
      <c r="AD4" s="14">
        <f>IFERROR(AC4*(1+INDEX(CAGR!$C$9:$C$15,MATCH($A4,CAGR!$B$9:$B$15,0))),0)</f>
        <v>5.9619042886277957E-5</v>
      </c>
      <c r="AE4" s="14">
        <f>IFERROR(AD4*(1+INDEX(CAGR!$C$9:$C$15,MATCH($A4,CAGR!$B$9:$B$15,0))),0)</f>
        <v>5.9464367272358907E-5</v>
      </c>
      <c r="AF4" s="14">
        <f>IFERROR(AE4*(1+INDEX(CAGR!$C$9:$C$15,MATCH($A4,CAGR!$B$9:$B$15,0))),0)</f>
        <v>5.9310092948772322E-5</v>
      </c>
      <c r="AG4" s="14"/>
    </row>
    <row r="5" spans="1:33">
      <c r="A5" s="1" t="s">
        <v>12</v>
      </c>
      <c r="B5" s="14">
        <f>IFERROR(INDEX('SYFAFE frgt'!$B$2:$H$2,,MATCH($A5,'SYFAFE psgr'!$B$1:$H$1,0))*(1+INDEX(CAGR!$C$9:$C$15,MATCH($A5,CAGR!$B$9:$B$15,0))),0)</f>
        <v>1.1050070240770316E-4</v>
      </c>
      <c r="C5" s="14">
        <f>IFERROR(B5*(1+INDEX(CAGR!$C$9:$C$15,MATCH($A5,CAGR!$B$9:$B$15,0))),0)</f>
        <v>1.1021401944273171E-4</v>
      </c>
      <c r="D5" s="14">
        <f>IFERROR(C5*(1+INDEX(CAGR!$C$9:$C$15,MATCH($A5,CAGR!$B$9:$B$15,0))),0)</f>
        <v>1.0992808024789578E-4</v>
      </c>
      <c r="E5" s="14">
        <f>IFERROR(D5*(1+INDEX(CAGR!$C$9:$C$15,MATCH($A5,CAGR!$B$9:$B$15,0))),0)</f>
        <v>1.0964288289355852E-4</v>
      </c>
      <c r="F5" s="14">
        <f>IFERROR(E5*(1+INDEX(CAGR!$C$9:$C$15,MATCH($A5,CAGR!$B$9:$B$15,0))),0)</f>
        <v>1.0935842545508932E-4</v>
      </c>
      <c r="G5" s="14">
        <f>IFERROR(F5*(1+INDEX(CAGR!$C$9:$C$15,MATCH($A5,CAGR!$B$9:$B$15,0))),0)</f>
        <v>1.0907470601285084E-4</v>
      </c>
      <c r="H5" s="14">
        <f>IFERROR(G5*(1+INDEX(CAGR!$C$9:$C$15,MATCH($A5,CAGR!$B$9:$B$15,0))),0)</f>
        <v>1.0879172265218604E-4</v>
      </c>
      <c r="I5" s="14">
        <f>IFERROR(H5*(1+INDEX(CAGR!$C$9:$C$15,MATCH($A5,CAGR!$B$9:$B$15,0))),0)</f>
        <v>1.0850947346340527E-4</v>
      </c>
      <c r="J5" s="14">
        <f>IFERROR(I5*(1+INDEX(CAGR!$C$9:$C$15,MATCH($A5,CAGR!$B$9:$B$15,0))),0)</f>
        <v>1.0822795654177337E-4</v>
      </c>
      <c r="K5" s="14">
        <f>IFERROR(J5*(1+INDEX(CAGR!$C$9:$C$15,MATCH($A5,CAGR!$B$9:$B$15,0))),0)</f>
        <v>1.0794716998749683E-4</v>
      </c>
      <c r="L5" s="14">
        <f>IFERROR(K5*(1+INDEX(CAGR!$C$9:$C$15,MATCH($A5,CAGR!$B$9:$B$15,0))),0)</f>
        <v>1.0766711190571096E-4</v>
      </c>
      <c r="M5" s="14">
        <f>IFERROR(L5*(1+INDEX(CAGR!$C$9:$C$15,MATCH($A5,CAGR!$B$9:$B$15,0))),0)</f>
        <v>1.0738778040646712E-4</v>
      </c>
      <c r="N5" s="14">
        <f>IFERROR(M5*(1+INDEX(CAGR!$C$9:$C$15,MATCH($A5,CAGR!$B$9:$B$15,0))),0)</f>
        <v>1.0710917360471992E-4</v>
      </c>
      <c r="O5" s="14">
        <f>IFERROR(N5*(1+INDEX(CAGR!$C$9:$C$15,MATCH($A5,CAGR!$B$9:$B$15,0))),0)</f>
        <v>1.0683128962031457E-4</v>
      </c>
      <c r="P5" s="14">
        <f>IFERROR(O5*(1+INDEX(CAGR!$C$9:$C$15,MATCH($A5,CAGR!$B$9:$B$15,0))),0)</f>
        <v>1.0655412657797412E-4</v>
      </c>
      <c r="Q5" s="14">
        <f>IFERROR(P5*(1+INDEX(CAGR!$C$9:$C$15,MATCH($A5,CAGR!$B$9:$B$15,0))),0)</f>
        <v>1.0627768260728686E-4</v>
      </c>
      <c r="R5" s="14">
        <f>IFERROR(Q5*(1+INDEX(CAGR!$C$9:$C$15,MATCH($A5,CAGR!$B$9:$B$15,0))),0)</f>
        <v>1.0600195584269367E-4</v>
      </c>
      <c r="S5" s="14">
        <f>IFERROR(R5*(1+INDEX(CAGR!$C$9:$C$15,MATCH($A5,CAGR!$B$9:$B$15,0))),0)</f>
        <v>1.0572694442347542E-4</v>
      </c>
      <c r="T5" s="14">
        <f>IFERROR(S5*(1+INDEX(CAGR!$C$9:$C$15,MATCH($A5,CAGR!$B$9:$B$15,0))),0)</f>
        <v>1.0545264649374044E-4</v>
      </c>
      <c r="U5" s="14">
        <f>IFERROR(T5*(1+INDEX(CAGR!$C$9:$C$15,MATCH($A5,CAGR!$B$9:$B$15,0))),0)</f>
        <v>1.05179060202412E-4</v>
      </c>
      <c r="V5" s="14">
        <f>IFERROR(U5*(1+INDEX(CAGR!$C$9:$C$15,MATCH($A5,CAGR!$B$9:$B$15,0))),0)</f>
        <v>1.0490618370321578E-4</v>
      </c>
      <c r="W5" s="14">
        <f>IFERROR(V5*(1+INDEX(CAGR!$C$9:$C$15,MATCH($A5,CAGR!$B$9:$B$15,0))),0)</f>
        <v>1.0463401515466744E-4</v>
      </c>
      <c r="X5" s="14">
        <f>IFERROR(W5*(1+INDEX(CAGR!$C$9:$C$15,MATCH($A5,CAGR!$B$9:$B$15,0))),0)</f>
        <v>1.0436255272006018E-4</v>
      </c>
      <c r="Y5" s="14">
        <f>IFERROR(X5*(1+INDEX(CAGR!$C$9:$C$15,MATCH($A5,CAGR!$B$9:$B$15,0))),0)</f>
        <v>1.0409179456745236E-4</v>
      </c>
      <c r="Z5" s="14">
        <f>IFERROR(Y5*(1+INDEX(CAGR!$C$9:$C$15,MATCH($A5,CAGR!$B$9:$B$15,0))),0)</f>
        <v>1.0382173886965514E-4</v>
      </c>
      <c r="AA5" s="14">
        <f>IFERROR(Z5*(1+INDEX(CAGR!$C$9:$C$15,MATCH($A5,CAGR!$B$9:$B$15,0))),0)</f>
        <v>1.0355238380422011E-4</v>
      </c>
      <c r="AB5" s="14">
        <f>IFERROR(AA5*(1+INDEX(CAGR!$C$9:$C$15,MATCH($A5,CAGR!$B$9:$B$15,0))),0)</f>
        <v>1.0328372755342703E-4</v>
      </c>
      <c r="AC5" s="14">
        <f>IFERROR(AB5*(1+INDEX(CAGR!$C$9:$C$15,MATCH($A5,CAGR!$B$9:$B$15,0))),0)</f>
        <v>1.0301576830427156E-4</v>
      </c>
      <c r="AD5" s="14">
        <f>IFERROR(AC5*(1+INDEX(CAGR!$C$9:$C$15,MATCH($A5,CAGR!$B$9:$B$15,0))),0)</f>
        <v>1.0274850424845302E-4</v>
      </c>
      <c r="AE5" s="14">
        <f>IFERROR(AD5*(1+INDEX(CAGR!$C$9:$C$15,MATCH($A5,CAGR!$B$9:$B$15,0))),0)</f>
        <v>1.0248193358236217E-4</v>
      </c>
      <c r="AF5" s="14">
        <f>IFERROR(AE5*(1+INDEX(CAGR!$C$9:$C$15,MATCH($A5,CAGR!$B$9:$B$15,0))),0)</f>
        <v>1.0221605450706906E-4</v>
      </c>
      <c r="AG5" s="14"/>
    </row>
    <row r="6" spans="1:33">
      <c r="A6" s="1" t="s">
        <v>13</v>
      </c>
      <c r="B6" s="15">
        <f>B5*Calibration!$C$21</f>
        <v>1.6963616253253761E-4</v>
      </c>
      <c r="C6" s="15">
        <f>B6*(1+CAGR!$C$13)</f>
        <v>1.7090139870621379E-4</v>
      </c>
      <c r="D6" s="15">
        <f>C6*(1+CAGR!$C$13)</f>
        <v>1.7217607168010568E-4</v>
      </c>
      <c r="E6" s="15">
        <f>D6*(1+CAGR!$C$13)</f>
        <v>1.734602518388578E-4</v>
      </c>
      <c r="F6" s="15">
        <f>E6*(1+CAGR!$C$13)</f>
        <v>1.7475401009208055E-4</v>
      </c>
      <c r="G6" s="15">
        <f>F6*(1+CAGR!$C$13)</f>
        <v>1.7605741787826565E-4</v>
      </c>
      <c r="H6" s="15">
        <f>G6*(1+CAGR!$C$13)</f>
        <v>1.7737054716873094E-4</v>
      </c>
      <c r="I6" s="15">
        <f>H6*(1+CAGR!$C$13)</f>
        <v>1.7869347047159433E-4</v>
      </c>
      <c r="J6" s="15">
        <f>I6*(1+CAGR!$C$13)</f>
        <v>1.8002626083577763E-4</v>
      </c>
      <c r="K6" s="15">
        <f>J6*(1+CAGR!$C$13)</f>
        <v>1.8136899185504011E-4</v>
      </c>
      <c r="L6" s="15">
        <f>K6*(1+CAGR!$C$13)</f>
        <v>1.8272173767204221E-4</v>
      </c>
      <c r="M6" s="15">
        <f>L6*(1+CAGR!$C$13)</f>
        <v>1.8408457298243951E-4</v>
      </c>
      <c r="N6" s="15">
        <f>M6*(1+CAGR!$C$13)</f>
        <v>1.8545757303900729E-4</v>
      </c>
      <c r="O6" s="15">
        <f>N6*(1+CAGR!$C$13)</f>
        <v>1.8684081365579581E-4</v>
      </c>
      <c r="P6" s="15">
        <f>O6*(1+CAGR!$C$13)</f>
        <v>1.8823437121231657E-4</v>
      </c>
      <c r="Q6" s="15">
        <f>P6*(1+CAGR!$C$13)</f>
        <v>1.8963832265775989E-4</v>
      </c>
      <c r="R6" s="15">
        <f>Q6*(1+CAGR!$C$13)</f>
        <v>1.9105274551524379E-4</v>
      </c>
      <c r="S6" s="15">
        <f>R6*(1+CAGR!$C$13)</f>
        <v>1.9247771788609468E-4</v>
      </c>
      <c r="T6" s="15">
        <f>S6*(1+CAGR!$C$13)</f>
        <v>1.9391331845415997E-4</v>
      </c>
      <c r="U6" s="15">
        <f>T6*(1+CAGR!$C$13)</f>
        <v>1.9535962649015279E-4</v>
      </c>
      <c r="V6" s="15">
        <f>U6*(1+CAGR!$C$13)</f>
        <v>1.9681672185602916E-4</v>
      </c>
      <c r="W6" s="15">
        <f>V6*(1+CAGR!$C$13)</f>
        <v>1.9828468500939774E-4</v>
      </c>
      <c r="X6" s="15">
        <f>W6*(1+CAGR!$C$13)</f>
        <v>1.9976359700796267E-4</v>
      </c>
      <c r="Y6" s="15">
        <f>X6*(1+CAGR!$C$13)</f>
        <v>2.0125353951399918E-4</v>
      </c>
      <c r="Z6" s="15">
        <f>Y6*(1+CAGR!$C$13)</f>
        <v>2.02754594798863E-4</v>
      </c>
      <c r="AA6" s="15">
        <f>Z6*(1+CAGR!$C$13)</f>
        <v>2.0426684574753305E-4</v>
      </c>
      <c r="AB6" s="15">
        <f>AA6*(1+CAGR!$C$13)</f>
        <v>2.057903758631883E-4</v>
      </c>
      <c r="AC6" s="15">
        <f>AB6*(1+CAGR!$C$13)</f>
        <v>2.0732526927181856E-4</v>
      </c>
      <c r="AD6" s="15">
        <f>AC6*(1+CAGR!$C$13)</f>
        <v>2.0887161072686972E-4</v>
      </c>
      <c r="AE6" s="15">
        <f>AD6*(1+CAGR!$C$13)</f>
        <v>2.1042948561392371E-4</v>
      </c>
      <c r="AF6" s="15">
        <f>AE6*(1+CAGR!$C$13)</f>
        <v>2.119989799554132E-4</v>
      </c>
      <c r="AG6" s="14"/>
    </row>
    <row r="7" spans="1:33">
      <c r="A7" s="1" t="s">
        <v>14</v>
      </c>
      <c r="B7" s="14">
        <f>IFERROR(INDEX('SYFAFE frgt'!$B$2:$H$2,,MATCH($A7,'SYFAFE psgr'!$B$1:$H$1,0))*(1+INDEX(CAGR!$C$9:$C$15,MATCH($A7,CAGR!$B$9:$B$15,0))),0)</f>
        <v>7.6797287878194905E-5</v>
      </c>
      <c r="C7" s="14">
        <f>IFERROR(B7*(1+INDEX(CAGR!$C$9:$C$15,MATCH($A7,CAGR!$B$9:$B$15,0))),0)</f>
        <v>7.6598045034385144E-5</v>
      </c>
      <c r="D7" s="14">
        <f>IFERROR(C7*(1+INDEX(CAGR!$C$9:$C$15,MATCH($A7,CAGR!$B$9:$B$15,0))),0)</f>
        <v>7.6399319106105944E-5</v>
      </c>
      <c r="E7" s="14">
        <f>IFERROR(D7*(1+INDEX(CAGR!$C$9:$C$15,MATCH($A7,CAGR!$B$9:$B$15,0))),0)</f>
        <v>7.6201108752271929E-5</v>
      </c>
      <c r="F7" s="14">
        <f>IFERROR(E7*(1+INDEX(CAGR!$C$9:$C$15,MATCH($A7,CAGR!$B$9:$B$15,0))),0)</f>
        <v>7.6003412635277019E-5</v>
      </c>
      <c r="G7" s="14">
        <f>IFERROR(F7*(1+INDEX(CAGR!$C$9:$C$15,MATCH($A7,CAGR!$B$9:$B$15,0))),0)</f>
        <v>7.5806229420985423E-5</v>
      </c>
      <c r="H7" s="14">
        <f>IFERROR(G7*(1+INDEX(CAGR!$C$9:$C$15,MATCH($A7,CAGR!$B$9:$B$15,0))),0)</f>
        <v>7.5609557778722638E-5</v>
      </c>
      <c r="I7" s="14">
        <f>IFERROR(H7*(1+INDEX(CAGR!$C$9:$C$15,MATCH($A7,CAGR!$B$9:$B$15,0))),0)</f>
        <v>7.5413396381266465E-5</v>
      </c>
      <c r="J7" s="14">
        <f>IFERROR(I7*(1+INDEX(CAGR!$C$9:$C$15,MATCH($A7,CAGR!$B$9:$B$15,0))),0)</f>
        <v>7.5217743904838034E-5</v>
      </c>
      <c r="K7" s="14">
        <f>IFERROR(J7*(1+INDEX(CAGR!$C$9:$C$15,MATCH($A7,CAGR!$B$9:$B$15,0))),0)</f>
        <v>7.5022599029092891E-5</v>
      </c>
      <c r="L7" s="14">
        <f>IFERROR(K7*(1+INDEX(CAGR!$C$9:$C$15,MATCH($A7,CAGR!$B$9:$B$15,0))),0)</f>
        <v>7.4827960437112091E-5</v>
      </c>
      <c r="M7" s="14">
        <f>IFERROR(L7*(1+INDEX(CAGR!$C$9:$C$15,MATCH($A7,CAGR!$B$9:$B$15,0))),0)</f>
        <v>7.4633826815393307E-5</v>
      </c>
      <c r="N7" s="14">
        <f>IFERROR(M7*(1+INDEX(CAGR!$C$9:$C$15,MATCH($A7,CAGR!$B$9:$B$15,0))),0)</f>
        <v>7.4440196853841942E-5</v>
      </c>
      <c r="O7" s="14">
        <f>IFERROR(N7*(1+INDEX(CAGR!$C$9:$C$15,MATCH($A7,CAGR!$B$9:$B$15,0))),0)</f>
        <v>7.4247069245762318E-5</v>
      </c>
      <c r="P7" s="14">
        <f>IFERROR(O7*(1+INDEX(CAGR!$C$9:$C$15,MATCH($A7,CAGR!$B$9:$B$15,0))),0)</f>
        <v>7.4054442687848855E-5</v>
      </c>
      <c r="Q7" s="14">
        <f>IFERROR(P7*(1+INDEX(CAGR!$C$9:$C$15,MATCH($A7,CAGR!$B$9:$B$15,0))),0)</f>
        <v>7.3862315880177259E-5</v>
      </c>
      <c r="R7" s="14">
        <f>IFERROR(Q7*(1+INDEX(CAGR!$C$9:$C$15,MATCH($A7,CAGR!$B$9:$B$15,0))),0)</f>
        <v>7.367068752619577E-5</v>
      </c>
      <c r="S7" s="14">
        <f>IFERROR(R7*(1+INDEX(CAGR!$C$9:$C$15,MATCH($A7,CAGR!$B$9:$B$15,0))),0)</f>
        <v>7.3479556332716378E-5</v>
      </c>
      <c r="T7" s="14">
        <f>IFERROR(S7*(1+INDEX(CAGR!$C$9:$C$15,MATCH($A7,CAGR!$B$9:$B$15,0))),0)</f>
        <v>7.3288921009906152E-5</v>
      </c>
      <c r="U7" s="14">
        <f>IFERROR(T7*(1+INDEX(CAGR!$C$9:$C$15,MATCH($A7,CAGR!$B$9:$B$15,0))),0)</f>
        <v>7.3098780271278467E-5</v>
      </c>
      <c r="V7" s="14">
        <f>IFERROR(U7*(1+INDEX(CAGR!$C$9:$C$15,MATCH($A7,CAGR!$B$9:$B$15,0))),0)</f>
        <v>7.290913283368439E-5</v>
      </c>
      <c r="W7" s="14">
        <f>IFERROR(V7*(1+INDEX(CAGR!$C$9:$C$15,MATCH($A7,CAGR!$B$9:$B$15,0))),0)</f>
        <v>7.2719977417303974E-5</v>
      </c>
      <c r="X7" s="14">
        <f>IFERROR(W7*(1+INDEX(CAGR!$C$9:$C$15,MATCH($A7,CAGR!$B$9:$B$15,0))),0)</f>
        <v>7.2531312745637629E-5</v>
      </c>
      <c r="Y7" s="14">
        <f>IFERROR(X7*(1+INDEX(CAGR!$C$9:$C$15,MATCH($A7,CAGR!$B$9:$B$15,0))),0)</f>
        <v>7.2343137545497529E-5</v>
      </c>
      <c r="Z7" s="14">
        <f>IFERROR(Y7*(1+INDEX(CAGR!$C$9:$C$15,MATCH($A7,CAGR!$B$9:$B$15,0))),0)</f>
        <v>7.2155450546999004E-5</v>
      </c>
      <c r="AA7" s="14">
        <f>IFERROR(Z7*(1+INDEX(CAGR!$C$9:$C$15,MATCH($A7,CAGR!$B$9:$B$15,0))),0)</f>
        <v>7.1968250483551963E-5</v>
      </c>
      <c r="AB7" s="14">
        <f>IFERROR(AA7*(1+INDEX(CAGR!$C$9:$C$15,MATCH($A7,CAGR!$B$9:$B$15,0))),0)</f>
        <v>7.178153609185237E-5</v>
      </c>
      <c r="AC7" s="14">
        <f>IFERROR(AB7*(1+INDEX(CAGR!$C$9:$C$15,MATCH($A7,CAGR!$B$9:$B$15,0))),0)</f>
        <v>7.1595306111873691E-5</v>
      </c>
      <c r="AD7" s="14">
        <f>IFERROR(AC7*(1+INDEX(CAGR!$C$9:$C$15,MATCH($A7,CAGR!$B$9:$B$15,0))),0)</f>
        <v>7.1409559286858396E-5</v>
      </c>
      <c r="AE7" s="14">
        <f>IFERROR(AD7*(1+INDEX(CAGR!$C$9:$C$15,MATCH($A7,CAGR!$B$9:$B$15,0))),0)</f>
        <v>7.1224294363309519E-5</v>
      </c>
      <c r="AF7" s="14">
        <f>IFERROR(AE7*(1+INDEX(CAGR!$C$9:$C$15,MATCH($A7,CAGR!$B$9:$B$15,0))),0)</f>
        <v>7.103951009098213E-5</v>
      </c>
      <c r="AG7" s="14"/>
    </row>
    <row r="8" spans="1:33">
      <c r="A8" s="1" t="s">
        <v>15</v>
      </c>
      <c r="B8" s="13">
        <f>B5*Calibration!$D$21</f>
        <v>3.3150210722310942E-4</v>
      </c>
      <c r="C8" s="13">
        <f>B8*(1+CAGR!$C$15)</f>
        <v>3.3064205832819505E-4</v>
      </c>
      <c r="D8" s="13">
        <f>C8*(1+CAGR!$C$15)</f>
        <v>3.2978424074368726E-4</v>
      </c>
      <c r="E8" s="13">
        <f>D8*(1+CAGR!$C$15)</f>
        <v>3.2892864868067545E-4</v>
      </c>
      <c r="F8" s="13">
        <f>E8*(1+CAGR!$C$15)</f>
        <v>3.2807527636526785E-4</v>
      </c>
      <c r="G8" s="13">
        <f>F8*(1+CAGR!$C$15)</f>
        <v>3.2722411803855239E-4</v>
      </c>
      <c r="H8" s="13">
        <f>G8*(1+CAGR!$C$15)</f>
        <v>3.2637516795655795E-4</v>
      </c>
      <c r="I8" s="13">
        <f>H8*(1+CAGR!$C$15)</f>
        <v>3.2552842039021564E-4</v>
      </c>
      <c r="J8" s="13">
        <f>I8*(1+CAGR!$C$15)</f>
        <v>3.2468386962531992E-4</v>
      </c>
      <c r="K8" s="13">
        <f>J8*(1+CAGR!$C$15)</f>
        <v>3.2384150996249032E-4</v>
      </c>
      <c r="L8" s="13">
        <f>K8*(1+CAGR!$C$15)</f>
        <v>3.230013357171327E-4</v>
      </c>
      <c r="M8" s="13">
        <f>L8*(1+CAGR!$C$15)</f>
        <v>3.2216334121940119E-4</v>
      </c>
      <c r="N8" s="13">
        <f>M8*(1+CAGR!$C$15)</f>
        <v>3.2132752081415959E-4</v>
      </c>
      <c r="O8" s="13">
        <f>N8*(1+CAGR!$C$15)</f>
        <v>3.2049386886094352E-4</v>
      </c>
      <c r="P8" s="13">
        <f>O8*(1+CAGR!$C$15)</f>
        <v>3.1966237973392217E-4</v>
      </c>
      <c r="Q8" s="13">
        <f>P8*(1+CAGR!$C$15)</f>
        <v>3.1883304782186038E-4</v>
      </c>
      <c r="R8" s="13">
        <f>Q8*(1+CAGR!$C$15)</f>
        <v>3.1800586752808079E-4</v>
      </c>
      <c r="S8" s="13">
        <f>R8*(1+CAGR!$C$15)</f>
        <v>3.1718083327042604E-4</v>
      </c>
      <c r="T8" s="13">
        <f>S8*(1+CAGR!$C$15)</f>
        <v>3.1635793948122114E-4</v>
      </c>
      <c r="U8" s="13">
        <f>T8*(1+CAGR!$C$15)</f>
        <v>3.1553718060723583E-4</v>
      </c>
      <c r="V8" s="13">
        <f>U8*(1+CAGR!$C$15)</f>
        <v>3.1471855110964714E-4</v>
      </c>
      <c r="W8" s="13">
        <f>V8*(1+CAGR!$C$15)</f>
        <v>3.139020454640021E-4</v>
      </c>
      <c r="X8" s="13">
        <f>W8*(1+CAGR!$C$15)</f>
        <v>3.1308765816018031E-4</v>
      </c>
      <c r="Y8" s="13">
        <f>X8*(1+CAGR!$C$15)</f>
        <v>3.1227538370235688E-4</v>
      </c>
      <c r="Z8" s="13">
        <f>Y8*(1+CAGR!$C$15)</f>
        <v>3.1146521660896522E-4</v>
      </c>
      <c r="AA8" s="13">
        <f>Z8*(1+CAGR!$C$15)</f>
        <v>3.1065715141266012E-4</v>
      </c>
      <c r="AB8" s="13">
        <f>AA8*(1+CAGR!$C$15)</f>
        <v>3.0985118266028087E-4</v>
      </c>
      <c r="AC8" s="13">
        <f>AB8*(1+CAGR!$C$15)</f>
        <v>3.0904730491281446E-4</v>
      </c>
      <c r="AD8" s="13">
        <f>AC8*(1+CAGR!$C$15)</f>
        <v>3.0824551274535883E-4</v>
      </c>
      <c r="AE8" s="13">
        <f>AD8*(1+CAGR!$C$15)</f>
        <v>3.0744580074708631E-4</v>
      </c>
      <c r="AF8" s="13">
        <f>AE8*(1+CAGR!$C$15)</f>
        <v>3.0664816352120701E-4</v>
      </c>
      <c r="AG8" s="14"/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519C5-19A5-4B14-84C5-13CDDB297E8D}">
  <sheetPr>
    <tabColor rgb="FF1F497D"/>
  </sheetPr>
  <dimension ref="A1:AG8"/>
  <sheetViews>
    <sheetView workbookViewId="0"/>
  </sheetViews>
  <sheetFormatPr defaultRowHeight="16.5"/>
  <cols>
    <col min="1" max="1" width="32.75" bestFit="1" customWidth="1"/>
    <col min="2" max="3" width="9" customWidth="1"/>
    <col min="4" max="33" width="9.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psgr'!$B$3:$H$3,,MATCH($A2,'SYFAFE psgr'!$B$1:$H$1,0))*(1+INDEX(CAGR!$C$16:$C$22,MATCH($A2,CAGR!$B$16:$B$22,0))),0)</f>
        <v>4.4423950670233626E-4</v>
      </c>
      <c r="C2" s="14">
        <f>IFERROR(B2*(1+INDEX(CAGR!$C$16:$C$22,MATCH($A2,CAGR!$B$16:$B$22,0))),0)</f>
        <v>4.5133506055997536E-4</v>
      </c>
      <c r="D2" s="14">
        <f>IFERROR(C2*(1+INDEX(CAGR!$C$16:$C$22,MATCH($A2,CAGR!$B$16:$B$22,0))),0)</f>
        <v>4.585439471666993E-4</v>
      </c>
      <c r="E2" s="14">
        <f>IFERROR(D2*(1+INDEX(CAGR!$C$16:$C$22,MATCH($A2,CAGR!$B$16:$B$22,0))),0)</f>
        <v>4.6586797671411152E-4</v>
      </c>
      <c r="F2" s="14">
        <f>IFERROR(E2*(1+INDEX(CAGR!$C$16:$C$22,MATCH($A2,CAGR!$B$16:$B$22,0))),0)</f>
        <v>4.7330898830684964E-4</v>
      </c>
      <c r="G2" s="14">
        <f>IFERROR(F2*(1+INDEX(CAGR!$C$16:$C$22,MATCH($A2,CAGR!$B$16:$B$22,0))),0)</f>
        <v>4.8086885042439477E-4</v>
      </c>
      <c r="H2" s="14">
        <f>IFERROR(G2*(1+INDEX(CAGR!$C$16:$C$22,MATCH($A2,CAGR!$B$16:$B$22,0))),0)</f>
        <v>4.8854946139025729E-4</v>
      </c>
      <c r="I2" s="14">
        <f>IFERROR(H2*(1+INDEX(CAGR!$C$16:$C$22,MATCH($A2,CAGR!$B$16:$B$22,0))),0)</f>
        <v>4.9635274984865618E-4</v>
      </c>
      <c r="J2" s="14">
        <f>IFERROR(I2*(1+INDEX(CAGR!$C$16:$C$22,MATCH($A2,CAGR!$B$16:$B$22,0))),0)</f>
        <v>5.0428067524881267E-4</v>
      </c>
      <c r="K2" s="14">
        <f>IFERROR(J2*(1+INDEX(CAGR!$C$16:$C$22,MATCH($A2,CAGR!$B$16:$B$22,0))),0)</f>
        <v>5.123352283369785E-4</v>
      </c>
      <c r="L2" s="14">
        <f>IFERROR(K2*(1+INDEX(CAGR!$C$16:$C$22,MATCH($A2,CAGR!$B$16:$B$22,0))),0)</f>
        <v>5.2051843165632373E-4</v>
      </c>
      <c r="M2" s="14">
        <f>IFERROR(L2*(1+INDEX(CAGR!$C$16:$C$22,MATCH($A2,CAGR!$B$16:$B$22,0))),0)</f>
        <v>5.2883234005480855E-4</v>
      </c>
      <c r="N2" s="14">
        <f>IFERROR(M2*(1+INDEX(CAGR!$C$16:$C$22,MATCH($A2,CAGR!$B$16:$B$22,0))),0)</f>
        <v>5.3727904120116671E-4</v>
      </c>
      <c r="O2" s="14">
        <f>IFERROR(N2*(1+INDEX(CAGR!$C$16:$C$22,MATCH($A2,CAGR!$B$16:$B$22,0))),0)</f>
        <v>5.4586065610913123E-4</v>
      </c>
      <c r="P2" s="14">
        <f>IFERROR(O2*(1+INDEX(CAGR!$C$16:$C$22,MATCH($A2,CAGR!$B$16:$B$22,0))),0)</f>
        <v>5.5457933967003258E-4</v>
      </c>
      <c r="Q2" s="14">
        <f>IFERROR(P2*(1+INDEX(CAGR!$C$16:$C$22,MATCH($A2,CAGR!$B$16:$B$22,0))),0)</f>
        <v>5.6343728119390374E-4</v>
      </c>
      <c r="R2" s="14">
        <f>IFERROR(Q2*(1+INDEX(CAGR!$C$16:$C$22,MATCH($A2,CAGR!$B$16:$B$22,0))),0)</f>
        <v>5.7243670495922842E-4</v>
      </c>
      <c r="S2" s="14">
        <f>IFERROR(R2*(1+INDEX(CAGR!$C$16:$C$22,MATCH($A2,CAGR!$B$16:$B$22,0))),0)</f>
        <v>5.8157987077146962E-4</v>
      </c>
      <c r="T2" s="14">
        <f>IFERROR(S2*(1+INDEX(CAGR!$C$16:$C$22,MATCH($A2,CAGR!$B$16:$B$22,0))),0)</f>
        <v>5.9086907453051939E-4</v>
      </c>
      <c r="U2" s="14">
        <f>IFERROR(T2*(1+INDEX(CAGR!$C$16:$C$22,MATCH($A2,CAGR!$B$16:$B$22,0))),0)</f>
        <v>6.0030664880721227E-4</v>
      </c>
      <c r="V2" s="14">
        <f>IFERROR(U2*(1+INDEX(CAGR!$C$16:$C$22,MATCH($A2,CAGR!$B$16:$B$22,0))),0)</f>
        <v>6.0989496342904643E-4</v>
      </c>
      <c r="W2" s="14">
        <f>IFERROR(V2*(1+INDEX(CAGR!$C$16:$C$22,MATCH($A2,CAGR!$B$16:$B$22,0))),0)</f>
        <v>6.1963642607526113E-4</v>
      </c>
      <c r="X2" s="14">
        <f>IFERROR(W2*(1+INDEX(CAGR!$C$16:$C$22,MATCH($A2,CAGR!$B$16:$B$22,0))),0)</f>
        <v>6.2953348288141784E-4</v>
      </c>
      <c r="Y2" s="14">
        <f>IFERROR(X2*(1+INDEX(CAGR!$C$16:$C$22,MATCH($A2,CAGR!$B$16:$B$22,0))),0)</f>
        <v>6.3958861905363872E-4</v>
      </c>
      <c r="Z2" s="14">
        <f>IFERROR(Y2*(1+INDEX(CAGR!$C$16:$C$22,MATCH($A2,CAGR!$B$16:$B$22,0))),0)</f>
        <v>6.4980435949265594E-4</v>
      </c>
      <c r="AA2" s="14">
        <f>IFERROR(Z2*(1+INDEX(CAGR!$C$16:$C$22,MATCH($A2,CAGR!$B$16:$B$22,0))),0)</f>
        <v>6.6018326942782809E-4</v>
      </c>
      <c r="AB2" s="14">
        <f>IFERROR(AA2*(1+INDEX(CAGR!$C$16:$C$22,MATCH($A2,CAGR!$B$16:$B$22,0))),0)</f>
        <v>6.7072795506128351E-4</v>
      </c>
      <c r="AC2" s="14">
        <f>IFERROR(AB2*(1+INDEX(CAGR!$C$16:$C$22,MATCH($A2,CAGR!$B$16:$B$22,0))),0)</f>
        <v>6.8144106422235234E-4</v>
      </c>
      <c r="AD2" s="14">
        <f>IFERROR(AC2*(1+INDEX(CAGR!$C$16:$C$22,MATCH($A2,CAGR!$B$16:$B$22,0))),0)</f>
        <v>6.9232528703245112E-4</v>
      </c>
      <c r="AE2" s="14">
        <f>IFERROR(AD2*(1+INDEX(CAGR!$C$16:$C$22,MATCH($A2,CAGR!$B$16:$B$22,0))),0)</f>
        <v>7.0338335658058746E-4</v>
      </c>
      <c r="AF2" s="14">
        <f>IFERROR(AE2*(1+INDEX(CAGR!$C$16:$C$22,MATCH($A2,CAGR!$B$16:$B$22,0))),0)</f>
        <v>7.1461804960965361E-4</v>
      </c>
      <c r="AG2" s="14"/>
    </row>
    <row r="3" spans="1:33">
      <c r="A3" s="1" t="s">
        <v>10</v>
      </c>
      <c r="B3" s="14">
        <f>IFERROR(INDEX('SYFAFE psgr'!$B$3:$H$3,,MATCH($A3,'SYFAFE psgr'!$B$1:$H$1,0))*(1+INDEX(CAGR!$C$16:$C$22,MATCH($A3,CAGR!$B$16:$B$22,0))),0)</f>
        <v>5.7144790806818921E-4</v>
      </c>
      <c r="C3" s="14">
        <f>IFERROR(B3*(1+INDEX(CAGR!$C$16:$C$22,MATCH($A3,CAGR!$B$16:$B$22,0))),0)</f>
        <v>5.7567092314338771E-4</v>
      </c>
      <c r="D3" s="14">
        <f>IFERROR(C3*(1+INDEX(CAGR!$C$16:$C$22,MATCH($A3,CAGR!$B$16:$B$22,0))),0)</f>
        <v>5.7992514641109778E-4</v>
      </c>
      <c r="E3" s="14">
        <f>IFERROR(D3*(1+INDEX(CAGR!$C$16:$C$22,MATCH($A3,CAGR!$B$16:$B$22,0))),0)</f>
        <v>5.8421080850068322E-4</v>
      </c>
      <c r="F3" s="14">
        <f>IFERROR(E3*(1+INDEX(CAGR!$C$16:$C$22,MATCH($A3,CAGR!$B$16:$B$22,0))),0)</f>
        <v>5.8852814174586477E-4</v>
      </c>
      <c r="G3" s="14">
        <f>IFERROR(F3*(1+INDEX(CAGR!$C$16:$C$22,MATCH($A3,CAGR!$B$16:$B$22,0))),0)</f>
        <v>5.9287738019731559E-4</v>
      </c>
      <c r="H3" s="14">
        <f>IFERROR(G3*(1+INDEX(CAGR!$C$16:$C$22,MATCH($A3,CAGR!$B$16:$B$22,0))),0)</f>
        <v>5.9725875963534945E-4</v>
      </c>
      <c r="I3" s="14">
        <f>IFERROR(H3*(1+INDEX(CAGR!$C$16:$C$22,MATCH($A3,CAGR!$B$16:$B$22,0))),0)</f>
        <v>6.0167251758270275E-4</v>
      </c>
      <c r="J3" s="14">
        <f>IFERROR(I3*(1+INDEX(CAGR!$C$16:$C$22,MATCH($A3,CAGR!$B$16:$B$22,0))),0)</f>
        <v>6.0611889331741136E-4</v>
      </c>
      <c r="K3" s="14">
        <f>IFERROR(J3*(1+INDEX(CAGR!$C$16:$C$22,MATCH($A3,CAGR!$B$16:$B$22,0))),0)</f>
        <v>6.1059812788578189E-4</v>
      </c>
      <c r="L3" s="14">
        <f>IFERROR(K3*(1+INDEX(CAGR!$C$16:$C$22,MATCH($A3,CAGR!$B$16:$B$22,0))),0)</f>
        <v>6.1511046411545959E-4</v>
      </c>
      <c r="M3" s="14">
        <f>IFERROR(L3*(1+INDEX(CAGR!$C$16:$C$22,MATCH($A3,CAGR!$B$16:$B$22,0))),0)</f>
        <v>6.1965614662859241E-4</v>
      </c>
      <c r="N3" s="14">
        <f>IFERROR(M3*(1+INDEX(CAGR!$C$16:$C$22,MATCH($A3,CAGR!$B$16:$B$22,0))),0)</f>
        <v>6.2423542185509242E-4</v>
      </c>
      <c r="O3" s="14">
        <f>IFERROR(N3*(1+INDEX(CAGR!$C$16:$C$22,MATCH($A3,CAGR!$B$16:$B$22,0))),0)</f>
        <v>6.2884853804599523E-4</v>
      </c>
      <c r="P3" s="14">
        <f>IFERROR(O3*(1+INDEX(CAGR!$C$16:$C$22,MATCH($A3,CAGR!$B$16:$B$22,0))),0)</f>
        <v>6.334957452869182E-4</v>
      </c>
      <c r="Q3" s="14">
        <f>IFERROR(P3*(1+INDEX(CAGR!$C$16:$C$22,MATCH($A3,CAGR!$B$16:$B$22,0))),0)</f>
        <v>6.3817729551161775E-4</v>
      </c>
      <c r="R3" s="14">
        <f>IFERROR(Q3*(1+INDEX(CAGR!$C$16:$C$22,MATCH($A3,CAGR!$B$16:$B$22,0))),0)</f>
        <v>6.4289344251564767E-4</v>
      </c>
      <c r="S3" s="14">
        <f>IFERROR(R3*(1+INDEX(CAGR!$C$16:$C$22,MATCH($A3,CAGR!$B$16:$B$22,0))),0)</f>
        <v>6.4764444197011736E-4</v>
      </c>
      <c r="T3" s="14">
        <f>IFERROR(S3*(1+INDEX(CAGR!$C$16:$C$22,MATCH($A3,CAGR!$B$16:$B$22,0))),0)</f>
        <v>6.5243055143555256E-4</v>
      </c>
      <c r="U3" s="14">
        <f>IFERROR(T3*(1+INDEX(CAGR!$C$16:$C$22,MATCH($A3,CAGR!$B$16:$B$22,0))),0)</f>
        <v>6.5725203037585807E-4</v>
      </c>
      <c r="V3" s="14">
        <f>IFERROR(U3*(1+INDEX(CAGR!$C$16:$C$22,MATCH($A3,CAGR!$B$16:$B$22,0))),0)</f>
        <v>6.621091401723836E-4</v>
      </c>
      <c r="W3" s="14">
        <f>IFERROR(V3*(1+INDEX(CAGR!$C$16:$C$22,MATCH($A3,CAGR!$B$16:$B$22,0))),0)</f>
        <v>6.6700214413809424E-4</v>
      </c>
      <c r="X3" s="14">
        <f>IFERROR(W3*(1+INDEX(CAGR!$C$16:$C$22,MATCH($A3,CAGR!$B$16:$B$22,0))),0)</f>
        <v>6.7193130753184446E-4</v>
      </c>
      <c r="Y3" s="14">
        <f>IFERROR(X3*(1+INDEX(CAGR!$C$16:$C$22,MATCH($A3,CAGR!$B$16:$B$22,0))),0)</f>
        <v>6.7689689757275892E-4</v>
      </c>
      <c r="Z3" s="14">
        <f>IFERROR(Y3*(1+INDEX(CAGR!$C$16:$C$22,MATCH($A3,CAGR!$B$16:$B$22,0))),0)</f>
        <v>6.8189918345471846E-4</v>
      </c>
      <c r="AA3" s="14">
        <f>IFERROR(Z3*(1+INDEX(CAGR!$C$16:$C$22,MATCH($A3,CAGR!$B$16:$B$22,0))),0)</f>
        <v>6.8693843636095388E-4</v>
      </c>
      <c r="AB3" s="14">
        <f>IFERROR(AA3*(1+INDEX(CAGR!$C$16:$C$22,MATCH($A3,CAGR!$B$16:$B$22,0))),0)</f>
        <v>6.9201492947874724E-4</v>
      </c>
      <c r="AC3" s="14">
        <f>IFERROR(AB3*(1+INDEX(CAGR!$C$16:$C$22,MATCH($A3,CAGR!$B$16:$B$22,0))),0)</f>
        <v>6.9712893801424168E-4</v>
      </c>
      <c r="AD3" s="14">
        <f>IFERROR(AC3*(1+INDEX(CAGR!$C$16:$C$22,MATCH($A3,CAGR!$B$16:$B$22,0))),0)</f>
        <v>7.0228073920736102E-4</v>
      </c>
      <c r="AE3" s="14">
        <f>IFERROR(AD3*(1+INDEX(CAGR!$C$16:$C$22,MATCH($A3,CAGR!$B$16:$B$22,0))),0)</f>
        <v>7.0747061234683944E-4</v>
      </c>
      <c r="AF3" s="14">
        <f>IFERROR(AE3*(1+INDEX(CAGR!$C$16:$C$22,MATCH($A3,CAGR!$B$16:$B$22,0))),0)</f>
        <v>7.1269883878536213E-4</v>
      </c>
      <c r="AG3" s="14"/>
    </row>
    <row r="4" spans="1:33">
      <c r="A4" s="1" t="s">
        <v>11</v>
      </c>
      <c r="B4" s="14">
        <f>IFERROR(INDEX('SYFAFE psgr'!$B$3:$H$3,,MATCH($A4,'SYFAFE psgr'!$B$1:$H$1,0))*(1+INDEX(CAGR!$C$16:$C$22,MATCH($A4,CAGR!$B$16:$B$22,0))),0)</f>
        <v>4.3359582024735853E-4</v>
      </c>
      <c r="C4" s="14">
        <f>IFERROR(B4*(1+INDEX(CAGR!$C$16:$C$22,MATCH($A4,CAGR!$B$16:$B$22,0))),0)</f>
        <v>4.3680010476672567E-4</v>
      </c>
      <c r="D4" s="14">
        <f>IFERROR(C4*(1+INDEX(CAGR!$C$16:$C$22,MATCH($A4,CAGR!$B$16:$B$22,0))),0)</f>
        <v>4.400280690329944E-4</v>
      </c>
      <c r="E4" s="14">
        <f>IFERROR(D4*(1+INDEX(CAGR!$C$16:$C$22,MATCH($A4,CAGR!$B$16:$B$22,0))),0)</f>
        <v>4.4327988804011739E-4</v>
      </c>
      <c r="F4" s="14">
        <f>IFERROR(E4*(1+INDEX(CAGR!$C$16:$C$22,MATCH($A4,CAGR!$B$16:$B$22,0))),0)</f>
        <v>4.4655573807525712E-4</v>
      </c>
      <c r="G4" s="14">
        <f>IFERROR(F4*(1+INDEX(CAGR!$C$16:$C$22,MATCH($A4,CAGR!$B$16:$B$22,0))),0)</f>
        <v>4.498557967283429E-4</v>
      </c>
      <c r="H4" s="14">
        <f>IFERROR(G4*(1+INDEX(CAGR!$C$16:$C$22,MATCH($A4,CAGR!$B$16:$B$22,0))),0)</f>
        <v>4.5318024290169823E-4</v>
      </c>
      <c r="I4" s="14">
        <f>IFERROR(H4*(1+INDEX(CAGR!$C$16:$C$22,MATCH($A4,CAGR!$B$16:$B$22,0))),0)</f>
        <v>4.5652925681973958E-4</v>
      </c>
      <c r="J4" s="14">
        <f>IFERROR(I4*(1+INDEX(CAGR!$C$16:$C$22,MATCH($A4,CAGR!$B$16:$B$22,0))),0)</f>
        <v>4.5990302003874649E-4</v>
      </c>
      <c r="K4" s="14">
        <f>IFERROR(J4*(1+INDEX(CAGR!$C$16:$C$22,MATCH($A4,CAGR!$B$16:$B$22,0))),0)</f>
        <v>4.633017154567043E-4</v>
      </c>
      <c r="L4" s="14">
        <f>IFERROR(K4*(1+INDEX(CAGR!$C$16:$C$22,MATCH($A4,CAGR!$B$16:$B$22,0))),0)</f>
        <v>4.6672552732321919E-4</v>
      </c>
      <c r="M4" s="14">
        <f>IFERROR(L4*(1+INDEX(CAGR!$C$16:$C$22,MATCH($A4,CAGR!$B$16:$B$22,0))),0)</f>
        <v>4.701746412495068E-4</v>
      </c>
      <c r="N4" s="14">
        <f>IFERROR(M4*(1+INDEX(CAGR!$C$16:$C$22,MATCH($A4,CAGR!$B$16:$B$22,0))),0)</f>
        <v>4.7364924421845452E-4</v>
      </c>
      <c r="O4" s="14">
        <f>IFERROR(N4*(1+INDEX(CAGR!$C$16:$C$22,MATCH($A4,CAGR!$B$16:$B$22,0))),0)</f>
        <v>4.7714952459475821E-4</v>
      </c>
      <c r="P4" s="14">
        <f>IFERROR(O4*(1+INDEX(CAGR!$C$16:$C$22,MATCH($A4,CAGR!$B$16:$B$22,0))),0)</f>
        <v>4.8067567213513386E-4</v>
      </c>
      <c r="Q4" s="14">
        <f>IFERROR(P4*(1+INDEX(CAGR!$C$16:$C$22,MATCH($A4,CAGR!$B$16:$B$22,0))),0)</f>
        <v>4.8422787799860443E-4</v>
      </c>
      <c r="R4" s="14">
        <f>IFERROR(Q4*(1+INDEX(CAGR!$C$16:$C$22,MATCH($A4,CAGR!$B$16:$B$22,0))),0)</f>
        <v>4.8780633475686326E-4</v>
      </c>
      <c r="S4" s="14">
        <f>IFERROR(R4*(1+INDEX(CAGR!$C$16:$C$22,MATCH($A4,CAGR!$B$16:$B$22,0))),0)</f>
        <v>4.9141123640471338E-4</v>
      </c>
      <c r="T4" s="14">
        <f>IFERROR(S4*(1+INDEX(CAGR!$C$16:$C$22,MATCH($A4,CAGR!$B$16:$B$22,0))),0)</f>
        <v>4.9504277837058468E-4</v>
      </c>
      <c r="U4" s="14">
        <f>IFERROR(T4*(1+INDEX(CAGR!$C$16:$C$22,MATCH($A4,CAGR!$B$16:$B$22,0))),0)</f>
        <v>4.9870115752712833E-4</v>
      </c>
      <c r="V4" s="14">
        <f>IFERROR(U4*(1+INDEX(CAGR!$C$16:$C$22,MATCH($A4,CAGR!$B$16:$B$22,0))),0)</f>
        <v>5.0238657220188934E-4</v>
      </c>
      <c r="W4" s="14">
        <f>IFERROR(V4*(1+INDEX(CAGR!$C$16:$C$22,MATCH($A4,CAGR!$B$16:$B$22,0))),0)</f>
        <v>5.0609922218805873E-4</v>
      </c>
      <c r="X4" s="14">
        <f>IFERROR(W4*(1+INDEX(CAGR!$C$16:$C$22,MATCH($A4,CAGR!$B$16:$B$22,0))),0)</f>
        <v>5.098393087553043E-4</v>
      </c>
      <c r="Y4" s="14">
        <f>IFERROR(X4*(1+INDEX(CAGR!$C$16:$C$22,MATCH($A4,CAGR!$B$16:$B$22,0))),0)</f>
        <v>5.13607034660682E-4</v>
      </c>
      <c r="Z4" s="14">
        <f>IFERROR(Y4*(1+INDEX(CAGR!$C$16:$C$22,MATCH($A4,CAGR!$B$16:$B$22,0))),0)</f>
        <v>5.1740260415962785E-4</v>
      </c>
      <c r="AA4" s="14">
        <f>IFERROR(Z4*(1+INDEX(CAGR!$C$16:$C$22,MATCH($A4,CAGR!$B$16:$B$22,0))),0)</f>
        <v>5.2122622301703091E-4</v>
      </c>
      <c r="AB4" s="14">
        <f>IFERROR(AA4*(1+INDEX(CAGR!$C$16:$C$22,MATCH($A4,CAGR!$B$16:$B$22,0))),0)</f>
        <v>5.2507809851838811E-4</v>
      </c>
      <c r="AC4" s="14">
        <f>IFERROR(AB4*(1+INDEX(CAGR!$C$16:$C$22,MATCH($A4,CAGR!$B$16:$B$22,0))),0)</f>
        <v>5.2895843948104167E-4</v>
      </c>
      <c r="AD4" s="14">
        <f>IFERROR(AC4*(1+INDEX(CAGR!$C$16:$C$22,MATCH($A4,CAGR!$B$16:$B$22,0))),0)</f>
        <v>5.3286745626549958E-4</v>
      </c>
      <c r="AE4" s="14">
        <f>IFERROR(AD4*(1+INDEX(CAGR!$C$16:$C$22,MATCH($A4,CAGR!$B$16:$B$22,0))),0)</f>
        <v>5.3680536078683932E-4</v>
      </c>
      <c r="AF4" s="14">
        <f>IFERROR(AE4*(1+INDEX(CAGR!$C$16:$C$22,MATCH($A4,CAGR!$B$16:$B$22,0))),0)</f>
        <v>5.4077236652619657E-4</v>
      </c>
      <c r="AG4" s="14"/>
    </row>
    <row r="5" spans="1:33">
      <c r="A5" s="1" t="s">
        <v>12</v>
      </c>
      <c r="B5" s="14">
        <f>IFERROR(INDEX('SYFAFE psgr'!$B$3:$H$3,,MATCH($A5,'SYFAFE psgr'!$B$1:$H$1,0))*(1+INDEX(CAGR!$C$16:$C$22,MATCH($A5,CAGR!$B$16:$B$22,0))),0)</f>
        <v>5.3403776435165457E-4</v>
      </c>
      <c r="C5" s="14">
        <f>IFERROR(B5*(1+INDEX(CAGR!$C$16:$C$22,MATCH($A5,CAGR!$B$16:$B$22,0))),0)</f>
        <v>5.3798431748054135E-4</v>
      </c>
      <c r="D5" s="14">
        <f>IFERROR(C5*(1+INDEX(CAGR!$C$16:$C$22,MATCH($A5,CAGR!$B$16:$B$22,0))),0)</f>
        <v>5.4196003574088288E-4</v>
      </c>
      <c r="E5" s="14">
        <f>IFERROR(D5*(1+INDEX(CAGR!$C$16:$C$22,MATCH($A5,CAGR!$B$16:$B$22,0))),0)</f>
        <v>5.4596513466376802E-4</v>
      </c>
      <c r="F5" s="14">
        <f>IFERROR(E5*(1+INDEX(CAGR!$C$16:$C$22,MATCH($A5,CAGR!$B$16:$B$22,0))),0)</f>
        <v>5.4999983137306589E-4</v>
      </c>
      <c r="G5" s="14">
        <f>IFERROR(F5*(1+INDEX(CAGR!$C$16:$C$22,MATCH($A5,CAGR!$B$16:$B$22,0))),0)</f>
        <v>5.5406434459719675E-4</v>
      </c>
      <c r="H5" s="14">
        <f>IFERROR(G5*(1+INDEX(CAGR!$C$16:$C$22,MATCH($A5,CAGR!$B$16:$B$22,0))),0)</f>
        <v>5.5815889468098967E-4</v>
      </c>
      <c r="I5" s="14">
        <f>IFERROR(H5*(1+INDEX(CAGR!$C$16:$C$22,MATCH($A5,CAGR!$B$16:$B$22,0))),0)</f>
        <v>5.6228370359762787E-4</v>
      </c>
      <c r="J5" s="14">
        <f>IFERROR(I5*(1+INDEX(CAGR!$C$16:$C$22,MATCH($A5,CAGR!$B$16:$B$22,0))),0)</f>
        <v>5.6643899496068215E-4</v>
      </c>
      <c r="K5" s="14">
        <f>IFERROR(J5*(1+INDEX(CAGR!$C$16:$C$22,MATCH($A5,CAGR!$B$16:$B$22,0))),0)</f>
        <v>5.7062499403623358E-4</v>
      </c>
      <c r="L5" s="14">
        <f>IFERROR(K5*(1+INDEX(CAGR!$C$16:$C$22,MATCH($A5,CAGR!$B$16:$B$22,0))),0)</f>
        <v>5.748419277550853E-4</v>
      </c>
      <c r="M5" s="14">
        <f>IFERROR(L5*(1+INDEX(CAGR!$C$16:$C$22,MATCH($A5,CAGR!$B$16:$B$22,0))),0)</f>
        <v>5.790900247250653E-4</v>
      </c>
      <c r="N5" s="14">
        <f>IFERROR(M5*(1+INDEX(CAGR!$C$16:$C$22,MATCH($A5,CAGR!$B$16:$B$22,0))),0)</f>
        <v>5.8336951524341925E-4</v>
      </c>
      <c r="O5" s="14">
        <f>IFERROR(N5*(1+INDEX(CAGR!$C$16:$C$22,MATCH($A5,CAGR!$B$16:$B$22,0))),0)</f>
        <v>5.8768063130929557E-4</v>
      </c>
      <c r="P5" s="14">
        <f>IFERROR(O5*(1+INDEX(CAGR!$C$16:$C$22,MATCH($A5,CAGR!$B$16:$B$22,0))),0)</f>
        <v>5.9202360663632256E-4</v>
      </c>
      <c r="Q5" s="14">
        <f>IFERROR(P5*(1+INDEX(CAGR!$C$16:$C$22,MATCH($A5,CAGR!$B$16:$B$22,0))),0)</f>
        <v>5.9639867666527822E-4</v>
      </c>
      <c r="R5" s="14">
        <f>IFERROR(Q5*(1+INDEX(CAGR!$C$16:$C$22,MATCH($A5,CAGR!$B$16:$B$22,0))),0)</f>
        <v>6.0080607857685429E-4</v>
      </c>
      <c r="S5" s="14">
        <f>IFERROR(R5*(1+INDEX(CAGR!$C$16:$C$22,MATCH($A5,CAGR!$B$16:$B$22,0))),0)</f>
        <v>6.0524605130451395E-4</v>
      </c>
      <c r="T5" s="14">
        <f>IFERROR(S5*(1+INDEX(CAGR!$C$16:$C$22,MATCH($A5,CAGR!$B$16:$B$22,0))),0)</f>
        <v>6.0971883554744501E-4</v>
      </c>
      <c r="U5" s="14">
        <f>IFERROR(T5*(1+INDEX(CAGR!$C$16:$C$22,MATCH($A5,CAGR!$B$16:$B$22,0))),0)</f>
        <v>6.1422467378360857E-4</v>
      </c>
      <c r="V5" s="14">
        <f>IFERROR(U5*(1+INDEX(CAGR!$C$16:$C$22,MATCH($A5,CAGR!$B$16:$B$22,0))),0)</f>
        <v>6.1876381028288423E-4</v>
      </c>
      <c r="W5" s="14">
        <f>IFERROR(V5*(1+INDEX(CAGR!$C$16:$C$22,MATCH($A5,CAGR!$B$16:$B$22,0))),0)</f>
        <v>6.2333649112031244E-4</v>
      </c>
      <c r="X5" s="14">
        <f>IFERROR(W5*(1+INDEX(CAGR!$C$16:$C$22,MATCH($A5,CAGR!$B$16:$B$22,0))),0)</f>
        <v>6.2794296418943471E-4</v>
      </c>
      <c r="Y5" s="14">
        <f>IFERROR(X5*(1+INDEX(CAGR!$C$16:$C$22,MATCH($A5,CAGR!$B$16:$B$22,0))),0)</f>
        <v>6.3258347921573235E-4</v>
      </c>
      <c r="Z5" s="14">
        <f>IFERROR(Y5*(1+INDEX(CAGR!$C$16:$C$22,MATCH($A5,CAGR!$B$16:$B$22,0))),0)</f>
        <v>6.372582877701645E-4</v>
      </c>
      <c r="AA5" s="14">
        <f>IFERROR(Z5*(1+INDEX(CAGR!$C$16:$C$22,MATCH($A5,CAGR!$B$16:$B$22,0))),0)</f>
        <v>6.4196764328280627E-4</v>
      </c>
      <c r="AB5" s="14">
        <f>IFERROR(AA5*(1+INDEX(CAGR!$C$16:$C$22,MATCH($A5,CAGR!$B$16:$B$22,0))),0)</f>
        <v>6.4671180105658782E-4</v>
      </c>
      <c r="AC5" s="14">
        <f>IFERROR(AB5*(1+INDEX(CAGR!$C$16:$C$22,MATCH($A5,CAGR!$B$16:$B$22,0))),0)</f>
        <v>6.5149101828113466E-4</v>
      </c>
      <c r="AD5" s="14">
        <f>IFERROR(AC5*(1+INDEX(CAGR!$C$16:$C$22,MATCH($A5,CAGR!$B$16:$B$22,0))),0)</f>
        <v>6.5630555404671024E-4</v>
      </c>
      <c r="AE5" s="14">
        <f>IFERROR(AD5*(1+INDEX(CAGR!$C$16:$C$22,MATCH($A5,CAGR!$B$16:$B$22,0))),0)</f>
        <v>6.6115566935826204E-4</v>
      </c>
      <c r="AF5" s="14">
        <f>IFERROR(AE5*(1+INDEX(CAGR!$C$16:$C$22,MATCH($A5,CAGR!$B$16:$B$22,0))),0)</f>
        <v>6.660416271495708E-4</v>
      </c>
      <c r="AG5" s="14"/>
    </row>
    <row r="6" spans="1:33">
      <c r="A6" s="1" t="s">
        <v>13</v>
      </c>
      <c r="B6" s="14">
        <f>IFERROR(INDEX('SYFAFE psgr'!$B$3:$H$3,,MATCH($A6,'SYFAFE psgr'!$B$1:$H$1,0))*(1+INDEX(CAGR!$C$16:$C$22,MATCH($A6,CAGR!$B$16:$B$22,0))),0)</f>
        <v>1.4653797120333121E-4</v>
      </c>
      <c r="C6" s="14">
        <f>IFERROR(B6*(1+INDEX(CAGR!$C$16:$C$22,MATCH($A6,CAGR!$B$16:$B$22,0))),0)</f>
        <v>1.4762089066588146E-4</v>
      </c>
      <c r="D6" s="14">
        <f>IFERROR(C6*(1+INDEX(CAGR!$C$16:$C$22,MATCH($A6,CAGR!$B$16:$B$22,0))),0)</f>
        <v>1.4871181293175115E-4</v>
      </c>
      <c r="E6" s="14">
        <f>IFERROR(D6*(1+INDEX(CAGR!$C$16:$C$22,MATCH($A6,CAGR!$B$16:$B$22,0))),0)</f>
        <v>1.4981079714186736E-4</v>
      </c>
      <c r="F6" s="14">
        <f>IFERROR(E6*(1+INDEX(CAGR!$C$16:$C$22,MATCH($A6,CAGR!$B$16:$B$22,0))),0)</f>
        <v>1.5091790287421019E-4</v>
      </c>
      <c r="G6" s="14">
        <f>IFERROR(F6*(1+INDEX(CAGR!$C$16:$C$22,MATCH($A6,CAGR!$B$16:$B$22,0))),0)</f>
        <v>1.5203319014704255E-4</v>
      </c>
      <c r="H6" s="14">
        <f>IFERROR(G6*(1+INDEX(CAGR!$C$16:$C$22,MATCH($A6,CAGR!$B$16:$B$22,0))),0)</f>
        <v>1.5315671942216393E-4</v>
      </c>
      <c r="I6" s="14">
        <f>IFERROR(H6*(1+INDEX(CAGR!$C$16:$C$22,MATCH($A6,CAGR!$B$16:$B$22,0))),0)</f>
        <v>1.5428855160818807E-4</v>
      </c>
      <c r="J6" s="14">
        <f>IFERROR(I6*(1+INDEX(CAGR!$C$16:$C$22,MATCH($A6,CAGR!$B$16:$B$22,0))),0)</f>
        <v>1.5542874806384499E-4</v>
      </c>
      <c r="K6" s="14">
        <f>IFERROR(J6*(1+INDEX(CAGR!$C$16:$C$22,MATCH($A6,CAGR!$B$16:$B$22,0))),0)</f>
        <v>1.5657737060130735E-4</v>
      </c>
      <c r="L6" s="14">
        <f>IFERROR(K6*(1+INDEX(CAGR!$C$16:$C$22,MATCH($A6,CAGR!$B$16:$B$22,0))),0)</f>
        <v>1.5773448148954138E-4</v>
      </c>
      <c r="M6" s="14">
        <f>IFERROR(L6*(1+INDEX(CAGR!$C$16:$C$22,MATCH($A6,CAGR!$B$16:$B$22,0))),0)</f>
        <v>1.589001434576826E-4</v>
      </c>
      <c r="N6" s="14">
        <f>IFERROR(M6*(1+INDEX(CAGR!$C$16:$C$22,MATCH($A6,CAGR!$B$16:$B$22,0))),0)</f>
        <v>1.600744196984365E-4</v>
      </c>
      <c r="O6" s="14">
        <f>IFERROR(N6*(1+INDEX(CAGR!$C$16:$C$22,MATCH($A6,CAGR!$B$16:$B$22,0))),0)</f>
        <v>1.6125737387150433E-4</v>
      </c>
      <c r="P6" s="14">
        <f>IFERROR(O6*(1+INDEX(CAGR!$C$16:$C$22,MATCH($A6,CAGR!$B$16:$B$22,0))),0)</f>
        <v>1.6244907010703419E-4</v>
      </c>
      <c r="Q6" s="14">
        <f>IFERROR(P6*(1+INDEX(CAGR!$C$16:$C$22,MATCH($A6,CAGR!$B$16:$B$22,0))),0)</f>
        <v>1.636495730090977E-4</v>
      </c>
      <c r="R6" s="14">
        <f>IFERROR(Q6*(1+INDEX(CAGR!$C$16:$C$22,MATCH($A6,CAGR!$B$16:$B$22,0))),0)</f>
        <v>1.6485894765919221E-4</v>
      </c>
      <c r="S6" s="14">
        <f>IFERROR(R6*(1+INDEX(CAGR!$C$16:$C$22,MATCH($A6,CAGR!$B$16:$B$22,0))),0)</f>
        <v>1.6607725961976911E-4</v>
      </c>
      <c r="T6" s="14">
        <f>IFERROR(S6*(1+INDEX(CAGR!$C$16:$C$22,MATCH($A6,CAGR!$B$16:$B$22,0))),0)</f>
        <v>1.6730457493778801E-4</v>
      </c>
      <c r="U6" s="14">
        <f>IFERROR(T6*(1+INDEX(CAGR!$C$16:$C$22,MATCH($A6,CAGR!$B$16:$B$22,0))),0)</f>
        <v>1.6854096014829725E-4</v>
      </c>
      <c r="V6" s="14">
        <f>IFERROR(U6*(1+INDEX(CAGR!$C$16:$C$22,MATCH($A6,CAGR!$B$16:$B$22,0))),0)</f>
        <v>1.6978648227804097E-4</v>
      </c>
      <c r="W6" s="14">
        <f>IFERROR(V6*(1+INDEX(CAGR!$C$16:$C$22,MATCH($A6,CAGR!$B$16:$B$22,0))),0)</f>
        <v>1.710412088490927E-4</v>
      </c>
      <c r="X6" s="14">
        <f>IFERROR(W6*(1+INDEX(CAGR!$C$16:$C$22,MATCH($A6,CAGR!$B$16:$B$22,0))),0)</f>
        <v>1.7230520788251587E-4</v>
      </c>
      <c r="Y6" s="14">
        <f>IFERROR(X6*(1+INDEX(CAGR!$C$16:$C$22,MATCH($A6,CAGR!$B$16:$B$22,0))),0)</f>
        <v>1.7357854790205136E-4</v>
      </c>
      <c r="Z6" s="14">
        <f>IFERROR(Y6*(1+INDEX(CAGR!$C$16:$C$22,MATCH($A6,CAGR!$B$16:$B$22,0))),0)</f>
        <v>1.7486129793783232E-4</v>
      </c>
      <c r="AA6" s="14">
        <f>IFERROR(Z6*(1+INDEX(CAGR!$C$16:$C$22,MATCH($A6,CAGR!$B$16:$B$22,0))),0)</f>
        <v>1.7615352753012634E-4</v>
      </c>
      <c r="AB6" s="14">
        <f>IFERROR(AA6*(1+INDEX(CAGR!$C$16:$C$22,MATCH($A6,CAGR!$B$16:$B$22,0))),0)</f>
        <v>1.774553067331055E-4</v>
      </c>
      <c r="AC6" s="14">
        <f>IFERROR(AB6*(1+INDEX(CAGR!$C$16:$C$22,MATCH($A6,CAGR!$B$16:$B$22,0))),0)</f>
        <v>1.7876670611864399E-4</v>
      </c>
      <c r="AD6" s="14">
        <f>IFERROR(AC6*(1+INDEX(CAGR!$C$16:$C$22,MATCH($A6,CAGR!$B$16:$B$22,0))),0)</f>
        <v>1.8008779678014401E-4</v>
      </c>
      <c r="AE6" s="14">
        <f>IFERROR(AD6*(1+INDEX(CAGR!$C$16:$C$22,MATCH($A6,CAGR!$B$16:$B$22,0))),0)</f>
        <v>1.8141865033638989E-4</v>
      </c>
      <c r="AF6" s="14">
        <f>IFERROR(AE6*(1+INDEX(CAGR!$C$16:$C$22,MATCH($A6,CAGR!$B$16:$B$22,0))),0)</f>
        <v>1.8275933893543067E-4</v>
      </c>
      <c r="AG6" s="14"/>
    </row>
    <row r="7" spans="1:33">
      <c r="A7" s="1" t="s">
        <v>14</v>
      </c>
      <c r="B7" s="14">
        <f>IFERROR(INDEX('SYFAFE psgr'!$B$3:$H$3,,MATCH($A7,'SYFAFE psgr'!$B$1:$H$1,0))*(1+INDEX(CAGR!$C$16:$C$22,MATCH($A7,CAGR!$B$16:$B$22,0))),0)</f>
        <v>5.4452001637411056E-4</v>
      </c>
      <c r="C7" s="14">
        <f>IFERROR(B7*(1+INDEX(CAGR!$C$16:$C$22,MATCH($A7,CAGR!$B$16:$B$22,0))),0)</f>
        <v>5.4854403362122731E-4</v>
      </c>
      <c r="D7" s="14">
        <f>IFERROR(C7*(1+INDEX(CAGR!$C$16:$C$22,MATCH($A7,CAGR!$B$16:$B$22,0))),0)</f>
        <v>5.5259778846167057E-4</v>
      </c>
      <c r="E7" s="14">
        <f>IFERROR(D7*(1+INDEX(CAGR!$C$16:$C$22,MATCH($A7,CAGR!$B$16:$B$22,0))),0)</f>
        <v>5.5668150065703748E-4</v>
      </c>
      <c r="F7" s="14">
        <f>IFERROR(E7*(1+INDEX(CAGR!$C$16:$C$22,MATCH($A7,CAGR!$B$16:$B$22,0))),0)</f>
        <v>5.6079539159296899E-4</v>
      </c>
      <c r="G7" s="14">
        <f>IFERROR(F7*(1+INDEX(CAGR!$C$16:$C$22,MATCH($A7,CAGR!$B$16:$B$22,0))),0)</f>
        <v>5.6493968429115193E-4</v>
      </c>
      <c r="H7" s="14">
        <f>IFERROR(G7*(1+INDEX(CAGR!$C$16:$C$22,MATCH($A7,CAGR!$B$16:$B$22,0))),0)</f>
        <v>5.6911460342140921E-4</v>
      </c>
      <c r="I7" s="14">
        <f>IFERROR(H7*(1+INDEX(CAGR!$C$16:$C$22,MATCH($A7,CAGR!$B$16:$B$22,0))),0)</f>
        <v>5.7332037531387958E-4</v>
      </c>
      <c r="J7" s="14">
        <f>IFERROR(I7*(1+INDEX(CAGR!$C$16:$C$22,MATCH($A7,CAGR!$B$16:$B$22,0))),0)</f>
        <v>5.775572279712876E-4</v>
      </c>
      <c r="K7" s="14">
        <f>IFERROR(J7*(1+INDEX(CAGR!$C$16:$C$22,MATCH($A7,CAGR!$B$16:$B$22,0))),0)</f>
        <v>5.8182539108130385E-4</v>
      </c>
      <c r="L7" s="14">
        <f>IFERROR(K7*(1+INDEX(CAGR!$C$16:$C$22,MATCH($A7,CAGR!$B$16:$B$22,0))),0)</f>
        <v>5.8612509602899677E-4</v>
      </c>
      <c r="M7" s="14">
        <f>IFERROR(L7*(1+INDEX(CAGR!$C$16:$C$22,MATCH($A7,CAGR!$B$16:$B$22,0))),0)</f>
        <v>5.9045657590937677E-4</v>
      </c>
      <c r="N7" s="14">
        <f>IFERROR(M7*(1+INDEX(CAGR!$C$16:$C$22,MATCH($A7,CAGR!$B$16:$B$22,0))),0)</f>
        <v>5.948200655400323E-4</v>
      </c>
      <c r="O7" s="14">
        <f>IFERROR(N7*(1+INDEX(CAGR!$C$16:$C$22,MATCH($A7,CAGR!$B$16:$B$22,0))),0)</f>
        <v>5.9921580147386021E-4</v>
      </c>
      <c r="P7" s="14">
        <f>IFERROR(O7*(1+INDEX(CAGR!$C$16:$C$22,MATCH($A7,CAGR!$B$16:$B$22,0))),0)</f>
        <v>6.0364402201188913E-4</v>
      </c>
      <c r="Q7" s="14">
        <f>IFERROR(P7*(1+INDEX(CAGR!$C$16:$C$22,MATCH($A7,CAGR!$B$16:$B$22,0))),0)</f>
        <v>6.0810496721619889E-4</v>
      </c>
      <c r="R7" s="14">
        <f>IFERROR(Q7*(1+INDEX(CAGR!$C$16:$C$22,MATCH($A7,CAGR!$B$16:$B$22,0))),0)</f>
        <v>6.1259887892293422E-4</v>
      </c>
      <c r="S7" s="14">
        <f>IFERROR(R7*(1+INDEX(CAGR!$C$16:$C$22,MATCH($A7,CAGR!$B$16:$B$22,0))),0)</f>
        <v>6.1712600075541544E-4</v>
      </c>
      <c r="T7" s="14">
        <f>IFERROR(S7*(1+INDEX(CAGR!$C$16:$C$22,MATCH($A7,CAGR!$B$16:$B$22,0))),0)</f>
        <v>6.2168657813734549E-4</v>
      </c>
      <c r="U7" s="14">
        <f>IFERROR(T7*(1+INDEX(CAGR!$C$16:$C$22,MATCH($A7,CAGR!$B$16:$B$22,0))),0)</f>
        <v>6.2628085830611509E-4</v>
      </c>
      <c r="V7" s="14">
        <f>IFERROR(U7*(1+INDEX(CAGR!$C$16:$C$22,MATCH($A7,CAGR!$B$16:$B$22,0))),0)</f>
        <v>6.3090909032620564E-4</v>
      </c>
      <c r="W7" s="14">
        <f>IFERROR(V7*(1+INDEX(CAGR!$C$16:$C$22,MATCH($A7,CAGR!$B$16:$B$22,0))),0)</f>
        <v>6.3557152510269161E-4</v>
      </c>
      <c r="X7" s="14">
        <f>IFERROR(W7*(1+INDEX(CAGR!$C$16:$C$22,MATCH($A7,CAGR!$B$16:$B$22,0))),0)</f>
        <v>6.402684153948427E-4</v>
      </c>
      <c r="Y7" s="14">
        <f>IFERROR(X7*(1+INDEX(CAGR!$C$16:$C$22,MATCH($A7,CAGR!$B$16:$B$22,0))),0)</f>
        <v>6.4500001582982623E-4</v>
      </c>
      <c r="Z7" s="14">
        <f>IFERROR(Y7*(1+INDEX(CAGR!$C$16:$C$22,MATCH($A7,CAGR!$B$16:$B$22,0))),0)</f>
        <v>6.4976658291651082E-4</v>
      </c>
      <c r="AA7" s="14">
        <f>IFERROR(Z7*(1+INDEX(CAGR!$C$16:$C$22,MATCH($A7,CAGR!$B$16:$B$22,0))),0)</f>
        <v>6.5456837505937257E-4</v>
      </c>
      <c r="AB7" s="14">
        <f>IFERROR(AA7*(1+INDEX(CAGR!$C$16:$C$22,MATCH($A7,CAGR!$B$16:$B$22,0))),0)</f>
        <v>6.5940565257250337E-4</v>
      </c>
      <c r="AC7" s="14">
        <f>IFERROR(AB7*(1+INDEX(CAGR!$C$16:$C$22,MATCH($A7,CAGR!$B$16:$B$22,0))),0)</f>
        <v>6.642786776937231E-4</v>
      </c>
      <c r="AD7" s="14">
        <f>IFERROR(AC7*(1+INDEX(CAGR!$C$16:$C$22,MATCH($A7,CAGR!$B$16:$B$22,0))),0)</f>
        <v>6.6918771459879606E-4</v>
      </c>
      <c r="AE7" s="14">
        <f>IFERROR(AD7*(1+INDEX(CAGR!$C$16:$C$22,MATCH($A7,CAGR!$B$16:$B$22,0))),0)</f>
        <v>6.7413302941575243E-4</v>
      </c>
      <c r="AF7" s="14">
        <f>IFERROR(AE7*(1+INDEX(CAGR!$C$16:$C$22,MATCH($A7,CAGR!$B$16:$B$22,0))),0)</f>
        <v>6.791148902393154E-4</v>
      </c>
      <c r="AG7" s="14"/>
    </row>
    <row r="8" spans="1:33">
      <c r="A8" s="1" t="s">
        <v>15</v>
      </c>
      <c r="B8" s="18">
        <f>'SYFAFE psgr'!H3</f>
        <v>2.4647349003975621E-4</v>
      </c>
      <c r="C8" s="18">
        <f>B8*(1+CAGR!$D$22)</f>
        <v>2.490840759244642E-4</v>
      </c>
      <c r="D8" s="18">
        <f>C8*(1+CAGR!$D$22)</f>
        <v>2.5172231248535786E-4</v>
      </c>
      <c r="E8" s="18">
        <f>D8*(1+CAGR!$D$22)</f>
        <v>2.5438849259151996E-4</v>
      </c>
      <c r="F8" s="18">
        <f>E8*(1+CAGR!$D$22)</f>
        <v>2.5708291221402969E-4</v>
      </c>
      <c r="G8" s="18">
        <f>F8*(1+CAGR!$D$22)</f>
        <v>2.598058704588183E-4</v>
      </c>
      <c r="H8" s="18">
        <f>G8*(1+CAGR!$D$22)</f>
        <v>2.6255766959987263E-4</v>
      </c>
      <c r="I8" s="18">
        <f>H8*(1+CAGR!$D$22)</f>
        <v>2.6533861511279046E-4</v>
      </c>
      <c r="J8" s="18">
        <f>I8*(1+CAGR!$D$22)</f>
        <v>2.6814901570869105E-4</v>
      </c>
      <c r="K8" s="18">
        <f>J8*(1+CAGR!$D$22)</f>
        <v>2.7098918336848496E-4</v>
      </c>
      <c r="L8" s="18">
        <f>K8*(1+CAGR!$D$22)</f>
        <v>2.7385943337750705E-4</v>
      </c>
      <c r="M8" s="18">
        <f>L8*(1+CAGR!$D$22)</f>
        <v>2.7676008436051594E-4</v>
      </c>
      <c r="N8" s="18">
        <f>M8*(1+CAGR!$D$22)</f>
        <v>2.7969145831706446E-4</v>
      </c>
      <c r="O8" s="18">
        <f>N8*(1+CAGR!$D$22)</f>
        <v>2.8265388065724456E-4</v>
      </c>
      <c r="P8" s="18">
        <f>O8*(1+CAGR!$D$22)</f>
        <v>2.8564768023781089E-4</v>
      </c>
      <c r="Q8" s="18">
        <f>P8*(1+CAGR!$D$22)</f>
        <v>2.8867318939868709E-4</v>
      </c>
      <c r="R8" s="18">
        <f>Q8*(1+CAGR!$D$22)</f>
        <v>2.917307439998586E-4</v>
      </c>
      <c r="S8" s="18">
        <f>R8*(1+CAGR!$D$22)</f>
        <v>2.9482068345865621E-4</v>
      </c>
      <c r="T8" s="18">
        <f>S8*(1+CAGR!$D$22)</f>
        <v>2.9794335078743459E-4</v>
      </c>
      <c r="U8" s="18">
        <f>T8*(1+CAGR!$D$22)</f>
        <v>3.0109909263165006E-4</v>
      </c>
      <c r="V8" s="18">
        <f>U8*(1+CAGR!$D$22)</f>
        <v>3.0428825930834129E-4</v>
      </c>
      <c r="W8" s="18">
        <f>V8*(1+CAGR!$D$22)</f>
        <v>3.0751120484501785E-4</v>
      </c>
      <c r="X8" s="18">
        <f>W8*(1+CAGR!$D$22)</f>
        <v>3.1076828701896063E-4</v>
      </c>
      <c r="Y8" s="18">
        <f>X8*(1+CAGR!$D$22)</f>
        <v>3.1405986739693851E-4</v>
      </c>
      <c r="Z8" s="18">
        <f>Y8*(1+CAGR!$D$22)</f>
        <v>3.1738631137534555E-4</v>
      </c>
      <c r="AA8" s="18">
        <f>Z8*(1+CAGR!$D$22)</f>
        <v>3.207479882207636E-4</v>
      </c>
      <c r="AB8" s="18">
        <f>AA8*(1+CAGR!$D$22)</f>
        <v>3.2414527111095418E-4</v>
      </c>
      <c r="AC8" s="18">
        <f>AB8*(1+CAGR!$D$22)</f>
        <v>3.2757853717628482E-4</v>
      </c>
      <c r="AD8" s="18">
        <f>AC8*(1+CAGR!$D$22)</f>
        <v>3.3104816754159417E-4</v>
      </c>
      <c r="AE8" s="18">
        <f>AD8*(1+CAGR!$D$22)</f>
        <v>3.3455454736850023E-4</v>
      </c>
      <c r="AF8" s="18">
        <f>AE8*(1+CAGR!$D$22)</f>
        <v>3.3809806589815716E-4</v>
      </c>
      <c r="AG8" s="14"/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27949-0190-4A7F-B2B4-C3DC0F9CD3E5}">
  <sheetPr>
    <tabColor rgb="FF1F497D"/>
  </sheetPr>
  <dimension ref="A1:AG8"/>
  <sheetViews>
    <sheetView workbookViewId="0"/>
  </sheetViews>
  <sheetFormatPr defaultRowHeight="16.5"/>
  <cols>
    <col min="1" max="1" width="32.75" bestFit="1" customWidth="1"/>
    <col min="2" max="3" width="9" customWidth="1"/>
    <col min="4" max="33" width="9.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21">
        <f>IFERROR(INDEX('SYFAFE frgt'!$B$3:$H$3,,MATCH($A2,'SYFAFE frgt'!$B$1:$H$1,0))*(1+INDEX(CAGR!$C$23:$C$29,MATCH($A2,CAGR!$B$23:$B$29,0))),0)</f>
        <v>5.8989559032638431E-3</v>
      </c>
      <c r="C2" s="21">
        <f>IFERROR(B2*(1+INDEX(CAGR!$C$23:$C$29,MATCH($A2,CAGR!$B$23:$B$29,0))),0)</f>
        <v>5.9931761576175217E-3</v>
      </c>
      <c r="D2" s="21">
        <f>IFERROR(C2*(1+INDEX(CAGR!$C$23:$C$29,MATCH($A2,CAGR!$B$23:$B$29,0))),0)</f>
        <v>6.088901331905516E-3</v>
      </c>
      <c r="E2" s="21">
        <f>IFERROR(D2*(1+INDEX(CAGR!$C$23:$C$29,MATCH($A2,CAGR!$B$23:$B$29,0))),0)</f>
        <v>6.1861554632525852E-3</v>
      </c>
      <c r="F2" s="21">
        <f>IFERROR(E2*(1+INDEX(CAGR!$C$23:$C$29,MATCH($A2,CAGR!$B$23:$B$29,0))),0)</f>
        <v>6.284962972713126E-3</v>
      </c>
      <c r="G2" s="21">
        <f>IFERROR(F2*(1+INDEX(CAGR!$C$23:$C$29,MATCH($A2,CAGR!$B$23:$B$29,0))),0)</f>
        <v>6.3853486714034379E-3</v>
      </c>
      <c r="H2" s="21">
        <f>IFERROR(G2*(1+INDEX(CAGR!$C$23:$C$29,MATCH($A2,CAGR!$B$23:$B$29,0))),0)</f>
        <v>6.4873377667319316E-3</v>
      </c>
      <c r="I2" s="21">
        <f>IFERROR(H2*(1+INDEX(CAGR!$C$23:$C$29,MATCH($A2,CAGR!$B$23:$B$29,0))),0)</f>
        <v>6.5909558687288483E-3</v>
      </c>
      <c r="J2" s="21">
        <f>IFERROR(I2*(1+INDEX(CAGR!$C$23:$C$29,MATCH($A2,CAGR!$B$23:$B$29,0))),0)</f>
        <v>6.6962289964770834E-3</v>
      </c>
      <c r="K2" s="21">
        <f>IFERROR(J2*(1+INDEX(CAGR!$C$23:$C$29,MATCH($A2,CAGR!$B$23:$B$29,0))),0)</f>
        <v>6.8031835846457224E-3</v>
      </c>
      <c r="L2" s="21">
        <f>IFERROR(K2*(1+INDEX(CAGR!$C$23:$C$29,MATCH($A2,CAGR!$B$23:$B$29,0))),0)</f>
        <v>6.911846490127934E-3</v>
      </c>
      <c r="M2" s="21">
        <f>IFERROR(L2*(1+INDEX(CAGR!$C$23:$C$29,MATCH($A2,CAGR!$B$23:$B$29,0))),0)</f>
        <v>7.0222449987848833E-3</v>
      </c>
      <c r="N2" s="21">
        <f>IFERROR(M2*(1+INDEX(CAGR!$C$23:$C$29,MATCH($A2,CAGR!$B$23:$B$29,0))),0)</f>
        <v>7.1344068322973667E-3</v>
      </c>
      <c r="O2" s="21">
        <f>IFERROR(N2*(1+INDEX(CAGR!$C$23:$C$29,MATCH($A2,CAGR!$B$23:$B$29,0))),0)</f>
        <v>7.2483601551268789E-3</v>
      </c>
      <c r="P2" s="21">
        <f>IFERROR(O2*(1+INDEX(CAGR!$C$23:$C$29,MATCH($A2,CAGR!$B$23:$B$29,0))),0)</f>
        <v>7.3641335815878665E-3</v>
      </c>
      <c r="Q2" s="21">
        <f>IFERROR(P2*(1+INDEX(CAGR!$C$23:$C$29,MATCH($A2,CAGR!$B$23:$B$29,0))),0)</f>
        <v>7.4817561830329412E-3</v>
      </c>
      <c r="R2" s="21">
        <f>IFERROR(Q2*(1+INDEX(CAGR!$C$23:$C$29,MATCH($A2,CAGR!$B$23:$B$29,0))),0)</f>
        <v>7.6012574951528598E-3</v>
      </c>
      <c r="S2" s="21">
        <f>IFERROR(R2*(1+INDEX(CAGR!$C$23:$C$29,MATCH($A2,CAGR!$B$23:$B$29,0))),0)</f>
        <v>7.7226675253931005E-3</v>
      </c>
      <c r="T2" s="21">
        <f>IFERROR(S2*(1+INDEX(CAGR!$C$23:$C$29,MATCH($A2,CAGR!$B$23:$B$29,0))),0)</f>
        <v>7.8460167604888966E-3</v>
      </c>
      <c r="U2" s="21">
        <f>IFERROR(T2*(1+INDEX(CAGR!$C$23:$C$29,MATCH($A2,CAGR!$B$23:$B$29,0))),0)</f>
        <v>7.9713361741206318E-3</v>
      </c>
      <c r="V2" s="21">
        <f>IFERROR(U2*(1+INDEX(CAGR!$C$23:$C$29,MATCH($A2,CAGR!$B$23:$B$29,0))),0)</f>
        <v>8.0986572346914976E-3</v>
      </c>
      <c r="W2" s="21">
        <f>IFERROR(V2*(1+INDEX(CAGR!$C$23:$C$29,MATCH($A2,CAGR!$B$23:$B$29,0))),0)</f>
        <v>8.2280119132293883E-3</v>
      </c>
      <c r="X2" s="21">
        <f>IFERROR(W2*(1+INDEX(CAGR!$C$23:$C$29,MATCH($A2,CAGR!$B$23:$B$29,0))),0)</f>
        <v>8.3594326914150051E-3</v>
      </c>
      <c r="Y2" s="21">
        <f>IFERROR(X2*(1+INDEX(CAGR!$C$23:$C$29,MATCH($A2,CAGR!$B$23:$B$29,0))),0)</f>
        <v>8.4929525697381818E-3</v>
      </c>
      <c r="Z2" s="21">
        <f>IFERROR(Y2*(1+INDEX(CAGR!$C$23:$C$29,MATCH($A2,CAGR!$B$23:$B$29,0))),0)</f>
        <v>8.6286050757844995E-3</v>
      </c>
      <c r="AA2" s="21">
        <f>IFERROR(Z2*(1+INDEX(CAGR!$C$23:$C$29,MATCH($A2,CAGR!$B$23:$B$29,0))),0)</f>
        <v>8.766424272654243E-3</v>
      </c>
      <c r="AB2" s="21">
        <f>IFERROR(AA2*(1+INDEX(CAGR!$C$23:$C$29,MATCH($A2,CAGR!$B$23:$B$29,0))),0)</f>
        <v>8.9064447675158403E-3</v>
      </c>
      <c r="AC2" s="21">
        <f>IFERROR(AB2*(1+INDEX(CAGR!$C$23:$C$29,MATCH($A2,CAGR!$B$23:$B$29,0))),0)</f>
        <v>9.0487017202959125E-3</v>
      </c>
      <c r="AD2" s="21">
        <f>IFERROR(AC2*(1+INDEX(CAGR!$C$23:$C$29,MATCH($A2,CAGR!$B$23:$B$29,0))),0)</f>
        <v>9.1932308525081285E-3</v>
      </c>
      <c r="AE2" s="21">
        <f>IFERROR(AD2*(1+INDEX(CAGR!$C$23:$C$29,MATCH($A2,CAGR!$B$23:$B$29,0))),0)</f>
        <v>9.3400684562230749E-3</v>
      </c>
      <c r="AF2" s="21">
        <f>IFERROR(AE2*(1+INDEX(CAGR!$C$23:$C$29,MATCH($A2,CAGR!$B$23:$B$29,0))),0)</f>
        <v>9.4892514031814004E-3</v>
      </c>
      <c r="AG2" s="14"/>
    </row>
    <row r="3" spans="1:33">
      <c r="A3" s="1" t="s">
        <v>10</v>
      </c>
      <c r="B3" s="13">
        <f>B5*Calibration!$C$27</f>
        <v>6.5856425093374178E-3</v>
      </c>
      <c r="C3" s="13">
        <f>B3*(1+CAGR!$C$24)</f>
        <v>6.6343105807471414E-3</v>
      </c>
      <c r="D3" s="13">
        <f>C3*(1+CAGR!$C$24)</f>
        <v>6.683338310485021E-3</v>
      </c>
      <c r="E3" s="13">
        <f>D3*(1+CAGR!$C$24)</f>
        <v>6.7327283564355645E-3</v>
      </c>
      <c r="F3" s="13">
        <f>E3*(1+CAGR!$C$24)</f>
        <v>6.7824833961251151E-3</v>
      </c>
      <c r="G3" s="13">
        <f>F3*(1+CAGR!$C$24)</f>
        <v>6.832606126867008E-3</v>
      </c>
      <c r="H3" s="13">
        <f>G3*(1+CAGR!$C$24)</f>
        <v>6.8830992659077925E-3</v>
      </c>
      <c r="I3" s="13">
        <f>H3*(1+CAGR!$C$24)</f>
        <v>6.9339655505745437E-3</v>
      </c>
      <c r="J3" s="13">
        <f>I3*(1+CAGR!$C$24)</f>
        <v>6.9852077384232551E-3</v>
      </c>
      <c r="K3" s="13">
        <f>J3*(1+CAGR!$C$24)</f>
        <v>7.0368286073883299E-3</v>
      </c>
      <c r="L3" s="13">
        <f>K3*(1+CAGR!$C$24)</f>
        <v>7.0888309559331824E-3</v>
      </c>
      <c r="M3" s="13">
        <f>L3*(1+CAGR!$C$24)</f>
        <v>7.1412176032019433E-3</v>
      </c>
      <c r="N3" s="13">
        <f>M3*(1+CAGR!$C$24)</f>
        <v>7.1939913891722928E-3</v>
      </c>
      <c r="O3" s="13">
        <f>N3*(1+CAGR!$C$24)</f>
        <v>7.2471551748094212E-3</v>
      </c>
      <c r="P3" s="13">
        <f>O3*(1+CAGR!$C$24)</f>
        <v>7.3007118422211267E-3</v>
      </c>
      <c r="Q3" s="13">
        <f>P3*(1+CAGR!$C$24)</f>
        <v>7.3546642948140598E-3</v>
      </c>
      <c r="R3" s="13">
        <f>Q3*(1+CAGR!$C$24)</f>
        <v>7.4090154574511227E-3</v>
      </c>
      <c r="S3" s="13">
        <f>R3*(1+CAGR!$C$24)</f>
        <v>7.4637682766100317E-3</v>
      </c>
      <c r="T3" s="13">
        <f>S3*(1+CAGR!$C$24)</f>
        <v>7.5189257205430507E-3</v>
      </c>
      <c r="U3" s="13">
        <f>T3*(1+CAGR!$C$24)</f>
        <v>7.5744907794379063E-3</v>
      </c>
      <c r="V3" s="13">
        <f>U3*(1+CAGR!$C$24)</f>
        <v>7.6304664655798896E-3</v>
      </c>
      <c r="W3" s="13">
        <f>V3*(1+CAGR!$C$24)</f>
        <v>7.6868558135151609E-3</v>
      </c>
      <c r="X3" s="13">
        <f>W3*(1+CAGR!$C$24)</f>
        <v>7.7436618802152564E-3</v>
      </c>
      <c r="Y3" s="13">
        <f>X3*(1+CAGR!$C$24)</f>
        <v>7.8008877452428113E-3</v>
      </c>
      <c r="Z3" s="13">
        <f>Y3*(1+CAGR!$C$24)</f>
        <v>7.8585365109185099E-3</v>
      </c>
      <c r="AA3" s="13">
        <f>Z3*(1+CAGR!$C$24)</f>
        <v>7.9166113024892685E-3</v>
      </c>
      <c r="AB3" s="13">
        <f>AA3*(1+CAGR!$C$24)</f>
        <v>7.9751152682976615E-3</v>
      </c>
      <c r="AC3" s="13">
        <f>AB3*(1+CAGR!$C$24)</f>
        <v>8.034051579952595E-3</v>
      </c>
      <c r="AD3" s="13">
        <f>AC3*(1+CAGR!$C$24)</f>
        <v>8.0934234325012507E-3</v>
      </c>
      <c r="AE3" s="13">
        <f>AD3*(1+CAGR!$C$24)</f>
        <v>8.1532340446022911E-3</v>
      </c>
      <c r="AF3" s="13">
        <f>AE3*(1+CAGR!$C$24)</f>
        <v>8.213486658700352E-3</v>
      </c>
      <c r="AG3" s="14"/>
    </row>
    <row r="4" spans="1:33">
      <c r="A4" s="1" t="s">
        <v>11</v>
      </c>
      <c r="B4" s="14">
        <f>IFERROR(INDEX('SYFAFE frgt'!$B$3:$H$3,,MATCH($A4,'SYFAFE frgt'!$B$1:$H$1,0))*(1+INDEX(CAGR!$C$23:$C$29,MATCH($A4,CAGR!$B$23:$B$29,0))),0)</f>
        <v>5.1796769294389453E-3</v>
      </c>
      <c r="C4" s="14">
        <f>IFERROR(B4*(1+INDEX(CAGR!$C$23:$C$29,MATCH($A4,CAGR!$B$23:$B$29,0))),0)</f>
        <v>5.2179548782228056E-3</v>
      </c>
      <c r="D4" s="14">
        <f>IFERROR(C4*(1+INDEX(CAGR!$C$23:$C$29,MATCH($A4,CAGR!$B$23:$B$29,0))),0)</f>
        <v>5.2565157020552566E-3</v>
      </c>
      <c r="E4" s="14">
        <f>IFERROR(D4*(1+INDEX(CAGR!$C$23:$C$29,MATCH($A4,CAGR!$B$23:$B$29,0))),0)</f>
        <v>5.2953614913903505E-3</v>
      </c>
      <c r="F4" s="14">
        <f>IFERROR(E4*(1+INDEX(CAGR!$C$23:$C$29,MATCH($A4,CAGR!$B$23:$B$29,0))),0)</f>
        <v>5.3344943521306479E-3</v>
      </c>
      <c r="G4" s="14">
        <f>IFERROR(F4*(1+INDEX(CAGR!$C$23:$C$29,MATCH($A4,CAGR!$B$23:$B$29,0))),0)</f>
        <v>5.373916405741387E-3</v>
      </c>
      <c r="H4" s="14">
        <f>IFERROR(G4*(1+INDEX(CAGR!$C$23:$C$29,MATCH($A4,CAGR!$B$23:$B$29,0))),0)</f>
        <v>5.4136297893654884E-3</v>
      </c>
      <c r="I4" s="14">
        <f>IFERROR(H4*(1+INDEX(CAGR!$C$23:$C$29,MATCH($A4,CAGR!$B$23:$B$29,0))),0)</f>
        <v>5.4536366559394161E-3</v>
      </c>
      <c r="J4" s="14">
        <f>IFERROR(I4*(1+INDEX(CAGR!$C$23:$C$29,MATCH($A4,CAGR!$B$23:$B$29,0))),0)</f>
        <v>5.4939391743098901E-3</v>
      </c>
      <c r="K4" s="14">
        <f>IFERROR(J4*(1+INDEX(CAGR!$C$23:$C$29,MATCH($A4,CAGR!$B$23:$B$29,0))),0)</f>
        <v>5.5345395293514652E-3</v>
      </c>
      <c r="L4" s="14">
        <f>IFERROR(K4*(1+INDEX(CAGR!$C$23:$C$29,MATCH($A4,CAGR!$B$23:$B$29,0))),0)</f>
        <v>5.5754399220849776E-3</v>
      </c>
      <c r="M4" s="14">
        <f>IFERROR(L4*(1+INDEX(CAGR!$C$23:$C$29,MATCH($A4,CAGR!$B$23:$B$29,0))),0)</f>
        <v>5.616642569796864E-3</v>
      </c>
      <c r="N4" s="14">
        <f>IFERROR(M4*(1+INDEX(CAGR!$C$23:$C$29,MATCH($A4,CAGR!$B$23:$B$29,0))),0)</f>
        <v>5.6581497061593674E-3</v>
      </c>
      <c r="O4" s="14">
        <f>IFERROR(N4*(1+INDEX(CAGR!$C$23:$C$29,MATCH($A4,CAGR!$B$23:$B$29,0))),0)</f>
        <v>5.6999635813516263E-3</v>
      </c>
      <c r="P4" s="14">
        <f>IFERROR(O4*(1+INDEX(CAGR!$C$23:$C$29,MATCH($A4,CAGR!$B$23:$B$29,0))),0)</f>
        <v>5.7420864621816631E-3</v>
      </c>
      <c r="Q4" s="14">
        <f>IFERROR(P4*(1+INDEX(CAGR!$C$23:$C$29,MATCH($A4,CAGR!$B$23:$B$29,0))),0)</f>
        <v>5.7845206322092706E-3</v>
      </c>
      <c r="R4" s="14">
        <f>IFERROR(Q4*(1+INDEX(CAGR!$C$23:$C$29,MATCH($A4,CAGR!$B$23:$B$29,0))),0)</f>
        <v>5.8272683918698092E-3</v>
      </c>
      <c r="S4" s="14">
        <f>IFERROR(R4*(1+INDEX(CAGR!$C$23:$C$29,MATCH($A4,CAGR!$B$23:$B$29,0))),0)</f>
        <v>5.8703320585989163E-3</v>
      </c>
      <c r="T4" s="14">
        <f>IFERROR(S4*(1+INDEX(CAGR!$C$23:$C$29,MATCH($A4,CAGR!$B$23:$B$29,0))),0)</f>
        <v>5.9137139669581396E-3</v>
      </c>
      <c r="U4" s="14">
        <f>IFERROR(T4*(1+INDEX(CAGR!$C$23:$C$29,MATCH($A4,CAGR!$B$23:$B$29,0))),0)</f>
        <v>5.9574164687614985E-3</v>
      </c>
      <c r="V4" s="14">
        <f>IFERROR(U4*(1+INDEX(CAGR!$C$23:$C$29,MATCH($A4,CAGR!$B$23:$B$29,0))),0)</f>
        <v>6.0014419332029808E-3</v>
      </c>
      <c r="W4" s="14">
        <f>IFERROR(V4*(1+INDEX(CAGR!$C$23:$C$29,MATCH($A4,CAGR!$B$23:$B$29,0))),0)</f>
        <v>6.0457927469849786E-3</v>
      </c>
      <c r="X4" s="14">
        <f>IFERROR(W4*(1+INDEX(CAGR!$C$23:$C$29,MATCH($A4,CAGR!$B$23:$B$29,0))),0)</f>
        <v>6.090471314447678E-3</v>
      </c>
      <c r="Y4" s="14">
        <f>IFERROR(X4*(1+INDEX(CAGR!$C$23:$C$29,MATCH($A4,CAGR!$B$23:$B$29,0))),0)</f>
        <v>6.135480057699403E-3</v>
      </c>
      <c r="Z4" s="14">
        <f>IFERROR(Y4*(1+INDEX(CAGR!$C$23:$C$29,MATCH($A4,CAGR!$B$23:$B$29,0))),0)</f>
        <v>6.1808214167479204E-3</v>
      </c>
      <c r="AA4" s="14">
        <f>IFERROR(Z4*(1+INDEX(CAGR!$C$23:$C$29,MATCH($A4,CAGR!$B$23:$B$29,0))),0)</f>
        <v>6.2264978496327202E-3</v>
      </c>
      <c r="AB4" s="14">
        <f>IFERROR(AA4*(1+INDEX(CAGR!$C$23:$C$29,MATCH($A4,CAGR!$B$23:$B$29,0))),0)</f>
        <v>6.2725118325582686E-3</v>
      </c>
      <c r="AC4" s="14">
        <f>IFERROR(AB4*(1+INDEX(CAGR!$C$23:$C$29,MATCH($A4,CAGR!$B$23:$B$29,0))),0)</f>
        <v>6.3188658600282464E-3</v>
      </c>
      <c r="AD4" s="14">
        <f>IFERROR(AC4*(1+INDEX(CAGR!$C$23:$C$29,MATCH($A4,CAGR!$B$23:$B$29,0))),0)</f>
        <v>6.3655624449807839E-3</v>
      </c>
      <c r="AE4" s="14">
        <f>IFERROR(AD4*(1+INDEX(CAGR!$C$23:$C$29,MATCH($A4,CAGR!$B$23:$B$29,0))),0)</f>
        <v>6.4126041189246901E-3</v>
      </c>
      <c r="AF4" s="14">
        <f>IFERROR(AE4*(1+INDEX(CAGR!$C$23:$C$29,MATCH($A4,CAGR!$B$23:$B$29,0))),0)</f>
        <v>6.4599934320766902E-3</v>
      </c>
      <c r="AG4" s="14"/>
    </row>
    <row r="5" spans="1:33">
      <c r="A5" s="1" t="s">
        <v>12</v>
      </c>
      <c r="B5" s="14">
        <f>IFERROR(INDEX('SYFAFE frgt'!$B$3:$H$3,,MATCH($A5,'SYFAFE frgt'!$B$1:$H$1,0))*(1+INDEX(CAGR!$C$23:$C$29,MATCH($A5,CAGR!$B$23:$B$29,0))),0)</f>
        <v>9.6129605978300132E-3</v>
      </c>
      <c r="C5" s="14">
        <f>IFERROR(B5*(1+INDEX(CAGR!$C$23:$C$29,MATCH($A5,CAGR!$B$23:$B$29,0))),0)</f>
        <v>9.6840006295612711E-3</v>
      </c>
      <c r="D5" s="14">
        <f>IFERROR(C5*(1+INDEX(CAGR!$C$23:$C$29,MATCH($A5,CAGR!$B$23:$B$29,0))),0)</f>
        <v>9.755565648996059E-3</v>
      </c>
      <c r="E5" s="14">
        <f>IFERROR(D5*(1+INDEX(CAGR!$C$23:$C$29,MATCH($A5,CAGR!$B$23:$B$29,0))),0)</f>
        <v>9.8276595358073177E-3</v>
      </c>
      <c r="F5" s="14">
        <f>IFERROR(E5*(1+INDEX(CAGR!$C$23:$C$29,MATCH($A5,CAGR!$B$23:$B$29,0))),0)</f>
        <v>9.9002861983388743E-3</v>
      </c>
      <c r="G5" s="14">
        <f>IFERROR(F5*(1+INDEX(CAGR!$C$23:$C$29,MATCH($A5,CAGR!$B$23:$B$29,0))),0)</f>
        <v>9.9734495738173189E-3</v>
      </c>
      <c r="H5" s="14">
        <f>IFERROR(G5*(1+INDEX(CAGR!$C$23:$C$29,MATCH($A5,CAGR!$B$23:$B$29,0))),0)</f>
        <v>1.0047153628565449E-2</v>
      </c>
      <c r="I5" s="14">
        <f>IFERROR(H5*(1+INDEX(CAGR!$C$23:$C$29,MATCH($A5,CAGR!$B$23:$B$29,0))),0)</f>
        <v>1.0121402358217294E-2</v>
      </c>
      <c r="J5" s="14">
        <f>IFERROR(I5*(1+INDEX(CAGR!$C$23:$C$29,MATCH($A5,CAGR!$B$23:$B$29,0))),0)</f>
        <v>1.019619978793472E-2</v>
      </c>
      <c r="K5" s="14">
        <f>IFERROR(J5*(1+INDEX(CAGR!$C$23:$C$29,MATCH($A5,CAGR!$B$23:$B$29,0))),0)</f>
        <v>1.027154997262565E-2</v>
      </c>
      <c r="L5" s="14">
        <f>IFERROR(K5*(1+INDEX(CAGR!$C$23:$C$29,MATCH($A5,CAGR!$B$23:$B$29,0))),0)</f>
        <v>1.0347456997163881E-2</v>
      </c>
      <c r="M5" s="14">
        <f>IFERROR(L5*(1+INDEX(CAGR!$C$23:$C$29,MATCH($A5,CAGR!$B$23:$B$29,0))),0)</f>
        <v>1.0423924976610533E-2</v>
      </c>
      <c r="N5" s="14">
        <f>IFERROR(M5*(1+INDEX(CAGR!$C$23:$C$29,MATCH($A5,CAGR!$B$23:$B$29,0))),0)</f>
        <v>1.0500958056437139E-2</v>
      </c>
      <c r="O5" s="14">
        <f>IFERROR(N5*(1+INDEX(CAGR!$C$23:$C$29,MATCH($A5,CAGR!$B$23:$B$29,0))),0)</f>
        <v>1.0578560412750375E-2</v>
      </c>
      <c r="P5" s="14">
        <f>IFERROR(O5*(1+INDEX(CAGR!$C$23:$C$29,MATCH($A5,CAGR!$B$23:$B$29,0))),0)</f>
        <v>1.0656736252518454E-2</v>
      </c>
      <c r="Q5" s="14">
        <f>IFERROR(P5*(1+INDEX(CAGR!$C$23:$C$29,MATCH($A5,CAGR!$B$23:$B$29,0))),0)</f>
        <v>1.0735489813799196E-2</v>
      </c>
      <c r="R5" s="14">
        <f>IFERROR(Q5*(1+INDEX(CAGR!$C$23:$C$29,MATCH($A5,CAGR!$B$23:$B$29,0))),0)</f>
        <v>1.0814825365969777E-2</v>
      </c>
      <c r="S5" s="14">
        <f>IFERROR(R5*(1+INDEX(CAGR!$C$23:$C$29,MATCH($A5,CAGR!$B$23:$B$29,0))),0)</f>
        <v>1.0894747209958188E-2</v>
      </c>
      <c r="T5" s="14">
        <f>IFERROR(S5*(1+INDEX(CAGR!$C$23:$C$29,MATCH($A5,CAGR!$B$23:$B$29,0))),0)</f>
        <v>1.0975259678476386E-2</v>
      </c>
      <c r="U5" s="14">
        <f>IFERROR(T5*(1+INDEX(CAGR!$C$23:$C$29,MATCH($A5,CAGR!$B$23:$B$29,0))),0)</f>
        <v>1.1056367136255185E-2</v>
      </c>
      <c r="V5" s="14">
        <f>IFERROR(U5*(1+INDEX(CAGR!$C$23:$C$29,MATCH($A5,CAGR!$B$23:$B$29,0))),0)</f>
        <v>1.1138073980280876E-2</v>
      </c>
      <c r="W5" s="14">
        <f>IFERROR(V5*(1+INDEX(CAGR!$C$23:$C$29,MATCH($A5,CAGR!$B$23:$B$29,0))),0)</f>
        <v>1.1220384640033592E-2</v>
      </c>
      <c r="X5" s="14">
        <f>IFERROR(W5*(1+INDEX(CAGR!$C$23:$C$29,MATCH($A5,CAGR!$B$23:$B$29,0))),0)</f>
        <v>1.1303303577727443E-2</v>
      </c>
      <c r="Y5" s="14">
        <f>IFERROR(X5*(1+INDEX(CAGR!$C$23:$C$29,MATCH($A5,CAGR!$B$23:$B$29,0))),0)</f>
        <v>1.1386835288552416E-2</v>
      </c>
      <c r="Z5" s="14">
        <f>IFERROR(Y5*(1+INDEX(CAGR!$C$23:$C$29,MATCH($A5,CAGR!$B$23:$B$29,0))),0)</f>
        <v>1.1470984300918073E-2</v>
      </c>
      <c r="AA5" s="14">
        <f>IFERROR(Z5*(1+INDEX(CAGR!$C$23:$C$29,MATCH($A5,CAGR!$B$23:$B$29,0))),0)</f>
        <v>1.155575517669904E-2</v>
      </c>
      <c r="AB5" s="14">
        <f>IFERROR(AA5*(1+INDEX(CAGR!$C$23:$C$29,MATCH($A5,CAGR!$B$23:$B$29,0))),0)</f>
        <v>1.1641152511482317E-2</v>
      </c>
      <c r="AC5" s="14">
        <f>IFERROR(AB5*(1+INDEX(CAGR!$C$23:$C$29,MATCH($A5,CAGR!$B$23:$B$29,0))),0)</f>
        <v>1.1727180934816414E-2</v>
      </c>
      <c r="AD5" s="14">
        <f>IFERROR(AC5*(1+INDEX(CAGR!$C$23:$C$29,MATCH($A5,CAGR!$B$23:$B$29,0))),0)</f>
        <v>1.1813845110462325E-2</v>
      </c>
      <c r="AE5" s="14">
        <f>IFERROR(AD5*(1+INDEX(CAGR!$C$23:$C$29,MATCH($A5,CAGR!$B$23:$B$29,0))),0)</f>
        <v>1.190114973664636E-2</v>
      </c>
      <c r="AF5" s="14">
        <f>IFERROR(AE5*(1+INDEX(CAGR!$C$23:$C$29,MATCH($A5,CAGR!$B$23:$B$29,0))),0)</f>
        <v>1.1989099546314845E-2</v>
      </c>
      <c r="AG5" s="14"/>
    </row>
    <row r="6" spans="1:33">
      <c r="A6" s="1" t="s">
        <v>13</v>
      </c>
      <c r="B6" s="13">
        <f>B5*Calibration!$E$26</f>
        <v>2.1315885074310131E-2</v>
      </c>
      <c r="C6" s="13">
        <f>B6*(1+CAGR!$C$27)</f>
        <v>2.1473410025822016E-2</v>
      </c>
      <c r="D6" s="13">
        <f>C6*(1+CAGR!$C$27)</f>
        <v>2.1632099090869994E-2</v>
      </c>
      <c r="E6" s="13">
        <f>D6*(1+CAGR!$C$27)</f>
        <v>2.1791960872283727E-2</v>
      </c>
      <c r="F6" s="13">
        <f>E6*(1+CAGR!$C$27)</f>
        <v>2.1953004036468007E-2</v>
      </c>
      <c r="G6" s="13">
        <f>F6*(1+CAGR!$C$27)</f>
        <v>2.2115237313872594E-2</v>
      </c>
      <c r="H6" s="13">
        <f>G6*(1+CAGR!$C$27)</f>
        <v>2.2278669499465494E-2</v>
      </c>
      <c r="I6" s="13">
        <f>H6*(1+CAGR!$C$27)</f>
        <v>2.2443309453209766E-2</v>
      </c>
      <c r="J6" s="13">
        <f>I6*(1+CAGR!$C$27)</f>
        <v>2.260916610054382E-2</v>
      </c>
      <c r="K6" s="13">
        <f>J6*(1+CAGR!$C$27)</f>
        <v>2.2776248432865298E-2</v>
      </c>
      <c r="L6" s="13">
        <f>K6*(1+CAGR!$C$27)</f>
        <v>2.2944565508018502E-2</v>
      </c>
      <c r="M6" s="13">
        <f>L6*(1+CAGR!$C$27)</f>
        <v>2.3114126450785449E-2</v>
      </c>
      <c r="N6" s="13">
        <f>M6*(1+CAGR!$C$27)</f>
        <v>2.3284940453380525E-2</v>
      </c>
      <c r="O6" s="13">
        <f>N6*(1+CAGR!$C$27)</f>
        <v>2.345701677594883E-2</v>
      </c>
      <c r="P6" s="13">
        <f>O6*(1+CAGR!$C$27)</f>
        <v>2.3630364747068176E-2</v>
      </c>
      <c r="Q6" s="13">
        <f>P6*(1+CAGR!$C$27)</f>
        <v>2.3804993764254812E-2</v>
      </c>
      <c r="R6" s="13">
        <f>Q6*(1+CAGR!$C$27)</f>
        <v>2.398091329447288E-2</v>
      </c>
      <c r="S6" s="13">
        <f>R6*(1+CAGR!$C$27)</f>
        <v>2.4158132874647634E-2</v>
      </c>
      <c r="T6" s="13">
        <f>S6*(1+CAGR!$C$27)</f>
        <v>2.433666211218246E-2</v>
      </c>
      <c r="U6" s="13">
        <f>T6*(1+CAGR!$C$27)</f>
        <v>2.4516510685479703E-2</v>
      </c>
      <c r="V6" s="13">
        <f>U6*(1+CAGR!$C$27)</f>
        <v>2.4697688344465358E-2</v>
      </c>
      <c r="W6" s="13">
        <f>V6*(1+CAGR!$C$27)</f>
        <v>2.4880204911117632E-2</v>
      </c>
      <c r="X6" s="13">
        <f>W6*(1+CAGR!$C$27)</f>
        <v>2.5064070279999406E-2</v>
      </c>
      <c r="Y6" s="13">
        <f>X6*(1+CAGR!$C$27)</f>
        <v>2.5249294418794647E-2</v>
      </c>
      <c r="Z6" s="13">
        <f>Y6*(1+CAGR!$C$27)</f>
        <v>2.5435887368848758E-2</v>
      </c>
      <c r="AA6" s="13">
        <f>Z6*(1+CAGR!$C$27)</f>
        <v>2.5623859245712959E-2</v>
      </c>
      <c r="AB6" s="13">
        <f>AA6*(1+CAGR!$C$27)</f>
        <v>2.5813220239692652E-2</v>
      </c>
      <c r="AC6" s="13">
        <f>AB6*(1+CAGR!$C$27)</f>
        <v>2.6003980616399872E-2</v>
      </c>
      <c r="AD6" s="13">
        <f>AC6*(1+CAGR!$C$27)</f>
        <v>2.6196150717309789E-2</v>
      </c>
      <c r="AE6" s="13">
        <f>AD6*(1+CAGR!$C$27)</f>
        <v>2.6389740960321352E-2</v>
      </c>
      <c r="AF6" s="13">
        <f>AE6*(1+CAGR!$C$27)</f>
        <v>2.6584761840322057E-2</v>
      </c>
      <c r="AG6" s="14"/>
    </row>
    <row r="7" spans="1:33">
      <c r="A7" s="1" t="s">
        <v>14</v>
      </c>
      <c r="B7" s="14">
        <f>IFERROR(INDEX('SYFAFE frgt'!$B$3:$H$3,,MATCH($A7,'SYFAFE frgt'!$B$1:$H$1,0))*(1+INDEX(CAGR!$C$23:$C$29,MATCH($A7,CAGR!$B$23:$B$29,0))),0)</f>
        <v>6.1185298450215607E-3</v>
      </c>
      <c r="C7" s="14">
        <f>IFERROR(B7*(1+INDEX(CAGR!$C$23:$C$29,MATCH($A7,CAGR!$B$23:$B$29,0))),0)</f>
        <v>6.1637459415524358E-3</v>
      </c>
      <c r="D7" s="14">
        <f>IFERROR(C7*(1+INDEX(CAGR!$C$23:$C$29,MATCH($A7,CAGR!$B$23:$B$29,0))),0)</f>
        <v>6.2092961862262918E-3</v>
      </c>
      <c r="E7" s="14">
        <f>IFERROR(D7*(1+INDEX(CAGR!$C$23:$C$29,MATCH($A7,CAGR!$B$23:$B$29,0))),0)</f>
        <v>6.2551830484066972E-3</v>
      </c>
      <c r="F7" s="14">
        <f>IFERROR(E7*(1+INDEX(CAGR!$C$23:$C$29,MATCH($A7,CAGR!$B$23:$B$29,0))),0)</f>
        <v>6.301409015705881E-3</v>
      </c>
      <c r="G7" s="14">
        <f>IFERROR(F7*(1+INDEX(CAGR!$C$23:$C$29,MATCH($A7,CAGR!$B$23:$B$29,0))),0)</f>
        <v>6.3479765941195938E-3</v>
      </c>
      <c r="H7" s="14">
        <f>IFERROR(G7*(1+INDEX(CAGR!$C$23:$C$29,MATCH($A7,CAGR!$B$23:$B$29,0))),0)</f>
        <v>6.3948883081629592E-3</v>
      </c>
      <c r="I7" s="14">
        <f>IFERROR(H7*(1+INDEX(CAGR!$C$23:$C$29,MATCH($A7,CAGR!$B$23:$B$29,0))),0)</f>
        <v>6.4421467010073339E-3</v>
      </c>
      <c r="J7" s="14">
        <f>IFERROR(I7*(1+INDEX(CAGR!$C$23:$C$29,MATCH($A7,CAGR!$B$23:$B$29,0))),0)</f>
        <v>6.489754334618179E-3</v>
      </c>
      <c r="K7" s="14">
        <f>IFERROR(J7*(1+INDEX(CAGR!$C$23:$C$29,MATCH($A7,CAGR!$B$23:$B$29,0))),0)</f>
        <v>6.5377137898939468E-3</v>
      </c>
      <c r="L7" s="14">
        <f>IFERROR(K7*(1+INDEX(CAGR!$C$23:$C$29,MATCH($A7,CAGR!$B$23:$B$29,0))),0)</f>
        <v>6.5860276668059971E-3</v>
      </c>
      <c r="M7" s="14">
        <f>IFERROR(L7*(1+INDEX(CAGR!$C$23:$C$29,MATCH($A7,CAGR!$B$23:$B$29,0))),0)</f>
        <v>6.6346985845395466E-3</v>
      </c>
      <c r="N7" s="14">
        <f>IFERROR(M7*(1+INDEX(CAGR!$C$23:$C$29,MATCH($A7,CAGR!$B$23:$B$29,0))),0)</f>
        <v>6.6837291816356607E-3</v>
      </c>
      <c r="O7" s="14">
        <f>IFERROR(N7*(1+INDEX(CAGR!$C$23:$C$29,MATCH($A7,CAGR!$B$23:$B$29,0))),0)</f>
        <v>6.7331221161342908E-3</v>
      </c>
      <c r="P7" s="14">
        <f>IFERROR(O7*(1+INDEX(CAGR!$C$23:$C$29,MATCH($A7,CAGR!$B$23:$B$29,0))),0)</f>
        <v>6.782880065718375E-3</v>
      </c>
      <c r="Q7" s="14">
        <f>IFERROR(P7*(1+INDEX(CAGR!$C$23:$C$29,MATCH($A7,CAGR!$B$23:$B$29,0))),0)</f>
        <v>6.8330057278589984E-3</v>
      </c>
      <c r="R7" s="14">
        <f>IFERROR(Q7*(1+INDEX(CAGR!$C$23:$C$29,MATCH($A7,CAGR!$B$23:$B$29,0))),0)</f>
        <v>6.8835018199616274E-3</v>
      </c>
      <c r="S7" s="14">
        <f>IFERROR(R7*(1+INDEX(CAGR!$C$23:$C$29,MATCH($A7,CAGR!$B$23:$B$29,0))),0)</f>
        <v>6.9343710795134279E-3</v>
      </c>
      <c r="T7" s="14">
        <f>IFERROR(S7*(1+INDEX(CAGR!$C$23:$C$29,MATCH($A7,CAGR!$B$23:$B$29,0))),0)</f>
        <v>6.985616264231667E-3</v>
      </c>
      <c r="U7" s="14">
        <f>IFERROR(T7*(1+INDEX(CAGR!$C$23:$C$29,MATCH($A7,CAGR!$B$23:$B$29,0))),0)</f>
        <v>7.0372401522132144E-3</v>
      </c>
      <c r="V7" s="14">
        <f>IFERROR(U7*(1+INDEX(CAGR!$C$23:$C$29,MATCH($A7,CAGR!$B$23:$B$29,0))),0)</f>
        <v>7.0892455420851503E-3</v>
      </c>
      <c r="W7" s="14">
        <f>IFERROR(V7*(1+INDEX(CAGR!$C$23:$C$29,MATCH($A7,CAGR!$B$23:$B$29,0))),0)</f>
        <v>7.1416352531564814E-3</v>
      </c>
      <c r="X7" s="14">
        <f>IFERROR(W7*(1+INDEX(CAGR!$C$23:$C$29,MATCH($A7,CAGR!$B$23:$B$29,0))),0)</f>
        <v>7.1944121255709832E-3</v>
      </c>
      <c r="Y7" s="14">
        <f>IFERROR(X7*(1+INDEX(CAGR!$C$23:$C$29,MATCH($A7,CAGR!$B$23:$B$29,0))),0)</f>
        <v>7.2475790204611671E-3</v>
      </c>
      <c r="Z7" s="14">
        <f>IFERROR(Y7*(1+INDEX(CAGR!$C$23:$C$29,MATCH($A7,CAGR!$B$23:$B$29,0))),0)</f>
        <v>7.3011388201033901E-3</v>
      </c>
      <c r="AA7" s="14">
        <f>IFERROR(Z7*(1+INDEX(CAGR!$C$23:$C$29,MATCH($A7,CAGR!$B$23:$B$29,0))),0)</f>
        <v>7.3550944280741069E-3</v>
      </c>
      <c r="AB7" s="14">
        <f>IFERROR(AA7*(1+INDEX(CAGR!$C$23:$C$29,MATCH($A7,CAGR!$B$23:$B$29,0))),0)</f>
        <v>7.4094487694072782E-3</v>
      </c>
      <c r="AC7" s="14">
        <f>IFERROR(AB7*(1+INDEX(CAGR!$C$23:$C$29,MATCH($A7,CAGR!$B$23:$B$29,0))),0)</f>
        <v>7.4642047907529435E-3</v>
      </c>
      <c r="AD7" s="14">
        <f>IFERROR(AC7*(1+INDEX(CAGR!$C$23:$C$29,MATCH($A7,CAGR!$B$23:$B$29,0))),0)</f>
        <v>7.5193654605369637E-3</v>
      </c>
      <c r="AE7" s="14">
        <f>IFERROR(AD7*(1+INDEX(CAGR!$C$23:$C$29,MATCH($A7,CAGR!$B$23:$B$29,0))),0)</f>
        <v>7.5749337691219431E-3</v>
      </c>
      <c r="AF7" s="14">
        <f>IFERROR(AE7*(1+INDEX(CAGR!$C$23:$C$29,MATCH($A7,CAGR!$B$23:$B$29,0))),0)</f>
        <v>7.6309127289693468E-3</v>
      </c>
      <c r="AG7" s="14"/>
    </row>
    <row r="8" spans="1:33">
      <c r="A8" s="1" t="s">
        <v>15</v>
      </c>
      <c r="B8" s="13">
        <f>B5*Calibration!$F$27</f>
        <v>3.8392731787336508E-2</v>
      </c>
      <c r="C8" s="13">
        <f>B8*(1+CAGR!$C$29)</f>
        <v>3.8676455085342926E-2</v>
      </c>
      <c r="D8" s="13">
        <f>C8*(1+CAGR!$C$29)</f>
        <v>3.8962275105986259E-2</v>
      </c>
      <c r="E8" s="13">
        <f>D8*(1+CAGR!$C$29)</f>
        <v>3.9250207344101964E-2</v>
      </c>
      <c r="F8" s="13">
        <f>E8*(1+CAGR!$C$29)</f>
        <v>3.9540267409032728E-2</v>
      </c>
      <c r="G8" s="13">
        <f>F8*(1+CAGR!$C$29)</f>
        <v>3.98324710254747E-2</v>
      </c>
      <c r="H8" s="13">
        <f>G8*(1+CAGR!$C$29)</f>
        <v>4.0126834034329942E-2</v>
      </c>
      <c r="I8" s="13">
        <f>H8*(1+CAGR!$C$29)</f>
        <v>4.04233723935652E-2</v>
      </c>
      <c r="J8" s="13">
        <f>I8*(1+CAGR!$C$29)</f>
        <v>4.072210217907702E-2</v>
      </c>
      <c r="K8" s="13">
        <f>J8*(1+CAGR!$C$29)</f>
        <v>4.1023039585563234E-2</v>
      </c>
      <c r="L8" s="13">
        <f>K8*(1+CAGR!$C$29)</f>
        <v>4.1326200927400927E-2</v>
      </c>
      <c r="M8" s="13">
        <f>L8*(1+CAGR!$C$29)</f>
        <v>4.1631602639530862E-2</v>
      </c>
      <c r="N8" s="13">
        <f>M8*(1+CAGR!$C$29)</f>
        <v>4.193926127834844E-2</v>
      </c>
      <c r="O8" s="13">
        <f>N8*(1+CAGR!$C$29)</f>
        <v>4.2249193522601258E-2</v>
      </c>
      <c r="P8" s="13">
        <f>O8*(1+CAGR!$C$29)</f>
        <v>4.2561416174293307E-2</v>
      </c>
      <c r="Q8" s="13">
        <f>P8*(1+CAGR!$C$29)</f>
        <v>4.2875946159595814E-2</v>
      </c>
      <c r="R8" s="13">
        <f>Q8*(1+CAGR!$C$29)</f>
        <v>4.3192800529764867E-2</v>
      </c>
      <c r="S8" s="13">
        <f>R8*(1+CAGR!$C$29)</f>
        <v>4.3511996462065793E-2</v>
      </c>
      <c r="T8" s="13">
        <f>S8*(1+CAGR!$C$29)</f>
        <v>4.3833551260704338E-2</v>
      </c>
      <c r="U8" s="13">
        <f>T8*(1+CAGR!$C$29)</f>
        <v>4.4157482357764809E-2</v>
      </c>
      <c r="V8" s="13">
        <f>U8*(1+CAGR!$C$29)</f>
        <v>4.4483807314155056E-2</v>
      </c>
      <c r="W8" s="13">
        <f>V8*(1+CAGR!$C$29)</f>
        <v>4.4812543820558513E-2</v>
      </c>
      <c r="X8" s="13">
        <f>W8*(1+CAGR!$C$29)</f>
        <v>4.5143709698393222E-2</v>
      </c>
      <c r="Y8" s="13">
        <f>X8*(1+CAGR!$C$29)</f>
        <v>4.5477322900777981E-2</v>
      </c>
      <c r="Z8" s="13">
        <f>Y8*(1+CAGR!$C$29)</f>
        <v>4.5813401513505596E-2</v>
      </c>
      <c r="AA8" s="13">
        <f>Z8*(1+CAGR!$C$29)</f>
        <v>4.6151963756023366E-2</v>
      </c>
      <c r="AB8" s="13">
        <f>AA8*(1+CAGR!$C$29)</f>
        <v>4.6493027982420783E-2</v>
      </c>
      <c r="AC8" s="13">
        <f>AB8*(1+CAGR!$C$29)</f>
        <v>4.6836612682424547E-2</v>
      </c>
      <c r="AD8" s="13">
        <f>AC8*(1+CAGR!$C$29)</f>
        <v>4.7182736482400921E-2</v>
      </c>
      <c r="AE8" s="13">
        <f>AD8*(1+CAGR!$C$29)</f>
        <v>4.7531418146365502E-2</v>
      </c>
      <c r="AF8" s="13">
        <f>AE8*(1+CAGR!$C$29)</f>
        <v>4.788267657700046E-2</v>
      </c>
      <c r="AG8" s="14"/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2C3C7-AA0C-4A82-B7C4-68B2E4B4CB1A}">
  <sheetPr>
    <tabColor rgb="FF1F497D"/>
  </sheetPr>
  <dimension ref="A1:AG8"/>
  <sheetViews>
    <sheetView workbookViewId="0"/>
  </sheetViews>
  <sheetFormatPr defaultRowHeight="16.5"/>
  <cols>
    <col min="1" max="1" width="32.75" bestFit="1" customWidth="1"/>
    <col min="2" max="3" width="9" customWidth="1"/>
    <col min="4" max="33" width="9.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3">
        <f>B5*Calibration!B32</f>
        <v>2.0712173544908473E-2</v>
      </c>
      <c r="C2" s="13">
        <f>B2*(1+CAGR!$C$30)</f>
        <v>2.0859406295411102E-2</v>
      </c>
      <c r="D2" s="13">
        <f>C2*(1+CAGR!$C$30)</f>
        <v>2.1007685651803429E-2</v>
      </c>
      <c r="E2" s="13">
        <f>D2*(1+CAGR!$C$30)</f>
        <v>2.1157019053896806E-2</v>
      </c>
      <c r="F2" s="13">
        <f>E2*(1+CAGR!$C$30)</f>
        <v>2.1307413994388576E-2</v>
      </c>
      <c r="G2" s="13">
        <f>F2*(1+CAGR!$C$30)</f>
        <v>2.1458878019238022E-2</v>
      </c>
      <c r="H2" s="13">
        <f>G2*(1+CAGR!$C$30)</f>
        <v>2.1611418728044968E-2</v>
      </c>
      <c r="I2" s="13">
        <f>H2*(1+CAGR!$C$30)</f>
        <v>2.1765043774431097E-2</v>
      </c>
      <c r="J2" s="13">
        <f>I2*(1+CAGR!$C$30)</f>
        <v>2.1919760866423953E-2</v>
      </c>
      <c r="K2" s="13">
        <f>J2*(1+CAGR!$C$30)</f>
        <v>2.2075577766843699E-2</v>
      </c>
      <c r="L2" s="13">
        <f>K2*(1+CAGR!$C$30)</f>
        <v>2.2232502293692599E-2</v>
      </c>
      <c r="M2" s="13">
        <f>L2*(1+CAGR!$C$30)</f>
        <v>2.2390542320547289E-2</v>
      </c>
      <c r="N2" s="13">
        <f>M2*(1+CAGR!$C$30)</f>
        <v>2.2549705776953827E-2</v>
      </c>
      <c r="O2" s="13">
        <f>N2*(1+CAGR!$C$30)</f>
        <v>2.2710000648825546E-2</v>
      </c>
      <c r="P2" s="13">
        <f>O2*(1+CAGR!$C$30)</f>
        <v>2.2871434978843749E-2</v>
      </c>
      <c r="Q2" s="13">
        <f>P2*(1+CAGR!$C$30)</f>
        <v>2.303401686686124E-2</v>
      </c>
      <c r="R2" s="13">
        <f>Q2*(1+CAGR!$C$30)</f>
        <v>2.3197754470308734E-2</v>
      </c>
      <c r="S2" s="13">
        <f>R2*(1+CAGR!$C$30)</f>
        <v>2.3362656004604142E-2</v>
      </c>
      <c r="T2" s="13">
        <f>S2*(1+CAGR!$C$30)</f>
        <v>2.3528729743564784E-2</v>
      </c>
      <c r="U2" s="13">
        <f>T2*(1+CAGR!$C$30)</f>
        <v>2.3695984019822508E-2</v>
      </c>
      <c r="V2" s="13">
        <f>U2*(1+CAGR!$C$30)</f>
        <v>2.3864427225241788E-2</v>
      </c>
      <c r="W2" s="13">
        <f>V2*(1+CAGR!$C$30)</f>
        <v>2.4034067811340772E-2</v>
      </c>
      <c r="X2" s="13">
        <f>W2*(1+CAGR!$C$30)</f>
        <v>2.4204914289715333E-2</v>
      </c>
      <c r="Y2" s="13">
        <f>X2*(1+CAGR!$C$30)</f>
        <v>2.4376975232466135E-2</v>
      </c>
      <c r="Z2" s="13">
        <f>Y2*(1+CAGR!$C$30)</f>
        <v>2.4550259272628723E-2</v>
      </c>
      <c r="AA2" s="13">
        <f>Z2*(1+CAGR!$C$30)</f>
        <v>2.4724775104606692E-2</v>
      </c>
      <c r="AB2" s="13">
        <f>AA2*(1+CAGR!$C$30)</f>
        <v>2.4900531484607913E-2</v>
      </c>
      <c r="AC2" s="13">
        <f>AB2*(1+CAGR!$C$30)</f>
        <v>2.5077537231083871E-2</v>
      </c>
      <c r="AD2" s="13">
        <f>AC2*(1+CAGR!$C$30)</f>
        <v>2.5255801225172129E-2</v>
      </c>
      <c r="AE2" s="13">
        <f>AD2*(1+CAGR!$C$30)</f>
        <v>2.5435332411141931E-2</v>
      </c>
      <c r="AF2" s="13">
        <f>AE2*(1+CAGR!$C$30)</f>
        <v>2.5616139796842966E-2</v>
      </c>
      <c r="AG2" s="14"/>
    </row>
    <row r="3" spans="1:33">
      <c r="A3" s="1" t="s">
        <v>10</v>
      </c>
      <c r="B3" s="14">
        <f>'US-aircraft-psgr'!B3</f>
        <v>0</v>
      </c>
      <c r="C3" s="14">
        <f>'US-aircraft-psgr'!C3</f>
        <v>0</v>
      </c>
      <c r="D3" s="14">
        <f>'US-aircraft-psgr'!D3</f>
        <v>0</v>
      </c>
      <c r="E3" s="14">
        <f>'US-aircraft-psgr'!E3</f>
        <v>0</v>
      </c>
      <c r="F3" s="14">
        <f>'US-aircraft-psgr'!F3</f>
        <v>0</v>
      </c>
      <c r="G3" s="14">
        <f>'US-aircraft-psgr'!G3</f>
        <v>0</v>
      </c>
      <c r="H3" s="14">
        <f>'US-aircraft-psgr'!H3</f>
        <v>0</v>
      </c>
      <c r="I3" s="14">
        <f>'US-aircraft-psgr'!I3</f>
        <v>0</v>
      </c>
      <c r="J3" s="14">
        <f>'US-aircraft-psgr'!J3</f>
        <v>0</v>
      </c>
      <c r="K3" s="14">
        <f>'US-aircraft-psgr'!K3</f>
        <v>0</v>
      </c>
      <c r="L3" s="14">
        <f>'US-aircraft-psgr'!L3</f>
        <v>0</v>
      </c>
      <c r="M3" s="14">
        <f>'US-aircraft-psgr'!M3</f>
        <v>0</v>
      </c>
      <c r="N3" s="14">
        <f>'US-aircraft-psgr'!N3</f>
        <v>0</v>
      </c>
      <c r="O3" s="14">
        <f>'US-aircraft-psgr'!O3</f>
        <v>0</v>
      </c>
      <c r="P3" s="14">
        <f>'US-aircraft-psgr'!P3</f>
        <v>0</v>
      </c>
      <c r="Q3" s="14">
        <f>'US-aircraft-psgr'!Q3</f>
        <v>0</v>
      </c>
      <c r="R3" s="14">
        <f>'US-aircraft-psgr'!R3</f>
        <v>0</v>
      </c>
      <c r="S3" s="14">
        <f>'US-aircraft-psgr'!S3</f>
        <v>0</v>
      </c>
      <c r="T3" s="14">
        <f>'US-aircraft-psgr'!T3</f>
        <v>0</v>
      </c>
      <c r="U3" s="14">
        <f>'US-aircraft-psgr'!U3</f>
        <v>0</v>
      </c>
      <c r="V3" s="14">
        <f>'US-aircraft-psgr'!V3</f>
        <v>0</v>
      </c>
      <c r="W3" s="14">
        <f>'US-aircraft-psgr'!W3</f>
        <v>0</v>
      </c>
      <c r="X3" s="14">
        <f>'US-aircraft-psgr'!X3</f>
        <v>0</v>
      </c>
      <c r="Y3" s="14">
        <f>'US-aircraft-psgr'!Y3</f>
        <v>0</v>
      </c>
      <c r="Z3" s="14">
        <f>'US-aircraft-psgr'!Z3</f>
        <v>0</v>
      </c>
      <c r="AA3" s="14">
        <f>'US-aircraft-psgr'!AA3</f>
        <v>0</v>
      </c>
      <c r="AB3" s="14">
        <f>'US-aircraft-psgr'!AB3</f>
        <v>0</v>
      </c>
      <c r="AC3" s="14">
        <f>'US-aircraft-psgr'!AC3</f>
        <v>0</v>
      </c>
      <c r="AD3" s="14">
        <f>'US-aircraft-psgr'!AD3</f>
        <v>0</v>
      </c>
      <c r="AE3" s="14">
        <f>'US-aircraft-psgr'!AE3</f>
        <v>0</v>
      </c>
      <c r="AF3" s="14">
        <f>'US-aircraft-psgr'!AF3</f>
        <v>0</v>
      </c>
      <c r="AG3" s="14"/>
    </row>
    <row r="4" spans="1:33">
      <c r="A4" s="1" t="s">
        <v>11</v>
      </c>
      <c r="B4" s="14">
        <f>'US-aircraft-psgr'!B4</f>
        <v>0</v>
      </c>
      <c r="C4" s="14">
        <f>'US-aircraft-psgr'!C4</f>
        <v>0</v>
      </c>
      <c r="D4" s="14">
        <f>'US-aircraft-psgr'!D4</f>
        <v>0</v>
      </c>
      <c r="E4" s="14">
        <f>'US-aircraft-psgr'!E4</f>
        <v>0</v>
      </c>
      <c r="F4" s="14">
        <f>'US-aircraft-psgr'!F4</f>
        <v>0</v>
      </c>
      <c r="G4" s="14">
        <f>'US-aircraft-psgr'!G4</f>
        <v>0</v>
      </c>
      <c r="H4" s="14">
        <f>'US-aircraft-psgr'!H4</f>
        <v>0</v>
      </c>
      <c r="I4" s="14">
        <f>'US-aircraft-psgr'!I4</f>
        <v>0</v>
      </c>
      <c r="J4" s="14">
        <f>'US-aircraft-psgr'!J4</f>
        <v>0</v>
      </c>
      <c r="K4" s="14">
        <f>'US-aircraft-psgr'!K4</f>
        <v>0</v>
      </c>
      <c r="L4" s="14">
        <f>'US-aircraft-psgr'!L4</f>
        <v>0</v>
      </c>
      <c r="M4" s="14">
        <f>'US-aircraft-psgr'!M4</f>
        <v>0</v>
      </c>
      <c r="N4" s="14">
        <f>'US-aircraft-psgr'!N4</f>
        <v>0</v>
      </c>
      <c r="O4" s="14">
        <f>'US-aircraft-psgr'!O4</f>
        <v>0</v>
      </c>
      <c r="P4" s="14">
        <f>'US-aircraft-psgr'!P4</f>
        <v>0</v>
      </c>
      <c r="Q4" s="14">
        <f>'US-aircraft-psgr'!Q4</f>
        <v>0</v>
      </c>
      <c r="R4" s="14">
        <f>'US-aircraft-psgr'!R4</f>
        <v>0</v>
      </c>
      <c r="S4" s="14">
        <f>'US-aircraft-psgr'!S4</f>
        <v>0</v>
      </c>
      <c r="T4" s="14">
        <f>'US-aircraft-psgr'!T4</f>
        <v>0</v>
      </c>
      <c r="U4" s="14">
        <f>'US-aircraft-psgr'!U4</f>
        <v>0</v>
      </c>
      <c r="V4" s="14">
        <f>'US-aircraft-psgr'!V4</f>
        <v>0</v>
      </c>
      <c r="W4" s="14">
        <f>'US-aircraft-psgr'!W4</f>
        <v>0</v>
      </c>
      <c r="X4" s="14">
        <f>'US-aircraft-psgr'!X4</f>
        <v>0</v>
      </c>
      <c r="Y4" s="14">
        <f>'US-aircraft-psgr'!Y4</f>
        <v>0</v>
      </c>
      <c r="Z4" s="14">
        <f>'US-aircraft-psgr'!Z4</f>
        <v>0</v>
      </c>
      <c r="AA4" s="14">
        <f>'US-aircraft-psgr'!AA4</f>
        <v>0</v>
      </c>
      <c r="AB4" s="14">
        <f>'US-aircraft-psgr'!AB4</f>
        <v>0</v>
      </c>
      <c r="AC4" s="14">
        <f>'US-aircraft-psgr'!AC4</f>
        <v>0</v>
      </c>
      <c r="AD4" s="14">
        <f>'US-aircraft-psgr'!AD4</f>
        <v>0</v>
      </c>
      <c r="AE4" s="14">
        <f>'US-aircraft-psgr'!AE4</f>
        <v>0</v>
      </c>
      <c r="AF4" s="14">
        <f>'US-aircraft-psgr'!AF4</f>
        <v>0</v>
      </c>
      <c r="AG4" s="14"/>
    </row>
    <row r="5" spans="1:33">
      <c r="A5" s="1" t="s">
        <v>12</v>
      </c>
      <c r="B5" s="14">
        <f>'SYFAFE psgr'!E4*(1+CAGR!$C$33)</f>
        <v>6.4454137226911878E-3</v>
      </c>
      <c r="C5" s="14">
        <f>B5*(1+CAGR!$C$33)</f>
        <v>6.4912310285602038E-3</v>
      </c>
      <c r="D5" s="14">
        <f>C5*(1+CAGR!$C$33)</f>
        <v>6.537374027333882E-3</v>
      </c>
      <c r="E5" s="14">
        <f>D5*(1+CAGR!$C$33)</f>
        <v>6.5838450342044002E-3</v>
      </c>
      <c r="F5" s="14">
        <f>E5*(1+CAGR!$C$33)</f>
        <v>6.6306463808215093E-3</v>
      </c>
      <c r="G5" s="14">
        <f>F5*(1+CAGR!$C$33)</f>
        <v>6.6777804154095222E-3</v>
      </c>
      <c r="H5" s="14">
        <f>G5*(1+CAGR!$C$33)</f>
        <v>6.7252495028851346E-3</v>
      </c>
      <c r="I5" s="14">
        <f>H5*(1+CAGR!$C$33)</f>
        <v>6.7730560249760824E-3</v>
      </c>
      <c r="J5" s="14">
        <f>I5*(1+CAGR!$C$33)</f>
        <v>6.8212023803406437E-3</v>
      </c>
      <c r="K5" s="14">
        <f>J5*(1+CAGR!$C$33)</f>
        <v>6.8696909846879895E-3</v>
      </c>
      <c r="L5" s="14">
        <f>K5*(1+CAGR!$C$33)</f>
        <v>6.9185242708993903E-3</v>
      </c>
      <c r="M5" s="14">
        <f>L5*(1+CAGR!$C$33)</f>
        <v>6.9677046891502845E-3</v>
      </c>
      <c r="N5" s="14">
        <f>M5*(1+CAGR!$C$33)</f>
        <v>7.0172347070332139E-3</v>
      </c>
      <c r="O5" s="14">
        <f>N5*(1+CAGR!$C$33)</f>
        <v>7.0671168096816334E-3</v>
      </c>
      <c r="P5" s="14">
        <f>O5*(1+CAGR!$C$33)</f>
        <v>7.1173534998946013E-3</v>
      </c>
      <c r="Q5" s="14">
        <f>P5*(1+CAGR!$C$33)</f>
        <v>7.1679472982623532E-3</v>
      </c>
      <c r="R5" s="14">
        <f>Q5*(1+CAGR!$C$33)</f>
        <v>7.2189007432927749E-3</v>
      </c>
      <c r="S5" s="14">
        <f>R5*(1+CAGR!$C$33)</f>
        <v>7.270216391538767E-3</v>
      </c>
      <c r="T5" s="14">
        <f>S5*(1+CAGR!$C$33)</f>
        <v>7.3218968177265189E-3</v>
      </c>
      <c r="U5" s="14">
        <f>T5*(1+CAGR!$C$33)</f>
        <v>7.3739446148846938E-3</v>
      </c>
      <c r="V5" s="14">
        <f>U5*(1+CAGR!$C$33)</f>
        <v>7.4263623944745335E-3</v>
      </c>
      <c r="W5" s="14">
        <f>V5*(1+CAGR!$C$33)</f>
        <v>7.4791527865208842E-3</v>
      </c>
      <c r="X5" s="14">
        <f>W5*(1+CAGR!$C$33)</f>
        <v>7.5323184397441583E-3</v>
      </c>
      <c r="Y5" s="14">
        <f>X5*(1+CAGR!$C$33)</f>
        <v>7.5858620216932302E-3</v>
      </c>
      <c r="Z5" s="14">
        <f>Y5*(1+CAGR!$C$33)</f>
        <v>7.6397862188792801E-3</v>
      </c>
      <c r="AA5" s="14">
        <f>Z5*(1+CAGR!$C$33)</f>
        <v>7.6940937369105872E-3</v>
      </c>
      <c r="AB5" s="14">
        <f>AA5*(1+CAGR!$C$33)</f>
        <v>7.7487873006282819E-3</v>
      </c>
      <c r="AC5" s="14">
        <f>AB5*(1+CAGR!$C$33)</f>
        <v>7.8038696542430622E-3</v>
      </c>
      <c r="AD5" s="14">
        <f>AC5*(1+CAGR!$C$33)</f>
        <v>7.8593435614728833E-3</v>
      </c>
      <c r="AE5" s="14">
        <f>AD5*(1+CAGR!$C$33)</f>
        <v>7.915211805681624E-3</v>
      </c>
      <c r="AF5" s="14">
        <f>AE5*(1+CAGR!$C$33)</f>
        <v>7.9714771900187432E-3</v>
      </c>
      <c r="AG5" s="14"/>
    </row>
    <row r="6" spans="1:33">
      <c r="A6" s="1" t="s">
        <v>13</v>
      </c>
      <c r="B6" s="14">
        <f>'US-aircraft-psgr'!B6</f>
        <v>0</v>
      </c>
      <c r="C6" s="14">
        <f>'US-aircraft-psgr'!C6</f>
        <v>0</v>
      </c>
      <c r="D6" s="14">
        <f>'US-aircraft-psgr'!D6</f>
        <v>0</v>
      </c>
      <c r="E6" s="14">
        <f>'US-aircraft-psgr'!E6</f>
        <v>0</v>
      </c>
      <c r="F6" s="14">
        <f>'US-aircraft-psgr'!F6</f>
        <v>0</v>
      </c>
      <c r="G6" s="14">
        <f>'US-aircraft-psgr'!G6</f>
        <v>0</v>
      </c>
      <c r="H6" s="14">
        <f>'US-aircraft-psgr'!H6</f>
        <v>0</v>
      </c>
      <c r="I6" s="14">
        <f>'US-aircraft-psgr'!I6</f>
        <v>0</v>
      </c>
      <c r="J6" s="14">
        <f>'US-aircraft-psgr'!J6</f>
        <v>0</v>
      </c>
      <c r="K6" s="14">
        <f>'US-aircraft-psgr'!K6</f>
        <v>0</v>
      </c>
      <c r="L6" s="14">
        <f>'US-aircraft-psgr'!L6</f>
        <v>0</v>
      </c>
      <c r="M6" s="14">
        <f>'US-aircraft-psgr'!M6</f>
        <v>0</v>
      </c>
      <c r="N6" s="14">
        <f>'US-aircraft-psgr'!N6</f>
        <v>0</v>
      </c>
      <c r="O6" s="14">
        <f>'US-aircraft-psgr'!O6</f>
        <v>0</v>
      </c>
      <c r="P6" s="14">
        <f>'US-aircraft-psgr'!P6</f>
        <v>0</v>
      </c>
      <c r="Q6" s="14">
        <f>'US-aircraft-psgr'!Q6</f>
        <v>0</v>
      </c>
      <c r="R6" s="14">
        <f>'US-aircraft-psgr'!R6</f>
        <v>0</v>
      </c>
      <c r="S6" s="14">
        <f>'US-aircraft-psgr'!S6</f>
        <v>0</v>
      </c>
      <c r="T6" s="14">
        <f>'US-aircraft-psgr'!T6</f>
        <v>0</v>
      </c>
      <c r="U6" s="14">
        <f>'US-aircraft-psgr'!U6</f>
        <v>0</v>
      </c>
      <c r="V6" s="14">
        <f>'US-aircraft-psgr'!V6</f>
        <v>0</v>
      </c>
      <c r="W6" s="14">
        <f>'US-aircraft-psgr'!W6</f>
        <v>0</v>
      </c>
      <c r="X6" s="14">
        <f>'US-aircraft-psgr'!X6</f>
        <v>0</v>
      </c>
      <c r="Y6" s="14">
        <f>'US-aircraft-psgr'!Y6</f>
        <v>0</v>
      </c>
      <c r="Z6" s="14">
        <f>'US-aircraft-psgr'!Z6</f>
        <v>0</v>
      </c>
      <c r="AA6" s="14">
        <f>'US-aircraft-psgr'!AA6</f>
        <v>0</v>
      </c>
      <c r="AB6" s="14">
        <f>'US-aircraft-psgr'!AB6</f>
        <v>0</v>
      </c>
      <c r="AC6" s="14">
        <f>'US-aircraft-psgr'!AC6</f>
        <v>0</v>
      </c>
      <c r="AD6" s="14">
        <f>'US-aircraft-psgr'!AD6</f>
        <v>0</v>
      </c>
      <c r="AE6" s="14">
        <f>'US-aircraft-psgr'!AE6</f>
        <v>0</v>
      </c>
      <c r="AF6" s="14">
        <f>'US-aircraft-psgr'!AF6</f>
        <v>0</v>
      </c>
      <c r="AG6" s="14"/>
    </row>
    <row r="7" spans="1:33">
      <c r="A7" s="1" t="s">
        <v>14</v>
      </c>
      <c r="B7" s="14">
        <f>'US-aircraft-psgr'!B7</f>
        <v>0</v>
      </c>
      <c r="C7" s="14">
        <f>'US-aircraft-psgr'!C7</f>
        <v>0</v>
      </c>
      <c r="D7" s="14">
        <f>'US-aircraft-psgr'!D7</f>
        <v>0</v>
      </c>
      <c r="E7" s="14">
        <f>'US-aircraft-psgr'!E7</f>
        <v>0</v>
      </c>
      <c r="F7" s="14">
        <f>'US-aircraft-psgr'!F7</f>
        <v>0</v>
      </c>
      <c r="G7" s="14">
        <f>'US-aircraft-psgr'!G7</f>
        <v>0</v>
      </c>
      <c r="H7" s="14">
        <f>'US-aircraft-psgr'!H7</f>
        <v>0</v>
      </c>
      <c r="I7" s="14">
        <f>'US-aircraft-psgr'!I7</f>
        <v>0</v>
      </c>
      <c r="J7" s="14">
        <f>'US-aircraft-psgr'!J7</f>
        <v>0</v>
      </c>
      <c r="K7" s="14">
        <f>'US-aircraft-psgr'!K7</f>
        <v>0</v>
      </c>
      <c r="L7" s="14">
        <f>'US-aircraft-psgr'!L7</f>
        <v>0</v>
      </c>
      <c r="M7" s="14">
        <f>'US-aircraft-psgr'!M7</f>
        <v>0</v>
      </c>
      <c r="N7" s="14">
        <f>'US-aircraft-psgr'!N7</f>
        <v>0</v>
      </c>
      <c r="O7" s="14">
        <f>'US-aircraft-psgr'!O7</f>
        <v>0</v>
      </c>
      <c r="P7" s="14">
        <f>'US-aircraft-psgr'!P7</f>
        <v>0</v>
      </c>
      <c r="Q7" s="14">
        <f>'US-aircraft-psgr'!Q7</f>
        <v>0</v>
      </c>
      <c r="R7" s="14">
        <f>'US-aircraft-psgr'!R7</f>
        <v>0</v>
      </c>
      <c r="S7" s="14">
        <f>'US-aircraft-psgr'!S7</f>
        <v>0</v>
      </c>
      <c r="T7" s="14">
        <f>'US-aircraft-psgr'!T7</f>
        <v>0</v>
      </c>
      <c r="U7" s="14">
        <f>'US-aircraft-psgr'!U7</f>
        <v>0</v>
      </c>
      <c r="V7" s="14">
        <f>'US-aircraft-psgr'!V7</f>
        <v>0</v>
      </c>
      <c r="W7" s="14">
        <f>'US-aircraft-psgr'!W7</f>
        <v>0</v>
      </c>
      <c r="X7" s="14">
        <f>'US-aircraft-psgr'!X7</f>
        <v>0</v>
      </c>
      <c r="Y7" s="14">
        <f>'US-aircraft-psgr'!Y7</f>
        <v>0</v>
      </c>
      <c r="Z7" s="14">
        <f>'US-aircraft-psgr'!Z7</f>
        <v>0</v>
      </c>
      <c r="AA7" s="14">
        <f>'US-aircraft-psgr'!AA7</f>
        <v>0</v>
      </c>
      <c r="AB7" s="14">
        <f>'US-aircraft-psgr'!AB7</f>
        <v>0</v>
      </c>
      <c r="AC7" s="14">
        <f>'US-aircraft-psgr'!AC7</f>
        <v>0</v>
      </c>
      <c r="AD7" s="14">
        <f>'US-aircraft-psgr'!AD7</f>
        <v>0</v>
      </c>
      <c r="AE7" s="14">
        <f>'US-aircraft-psgr'!AE7</f>
        <v>0</v>
      </c>
      <c r="AF7" s="14">
        <f>'US-aircraft-psgr'!AF7</f>
        <v>0</v>
      </c>
      <c r="AG7" s="14"/>
    </row>
    <row r="8" spans="1:33">
      <c r="A8" s="1" t="s">
        <v>15</v>
      </c>
      <c r="B8" s="13">
        <f>B5*Calibration!D32</f>
        <v>1.9336241168073559E-2</v>
      </c>
      <c r="C8" s="13">
        <f>B8*(1+CAGR!$C$36)</f>
        <v>1.9473693085680605E-2</v>
      </c>
      <c r="D8" s="13">
        <f>C8*(1+CAGR!$C$36)</f>
        <v>1.9612122082001641E-2</v>
      </c>
      <c r="E8" s="13">
        <f>D8*(1+CAGR!$C$36)</f>
        <v>1.9751535102613196E-2</v>
      </c>
      <c r="F8" s="13">
        <f>E8*(1+CAGR!$C$36)</f>
        <v>1.9891939142464524E-2</v>
      </c>
      <c r="G8" s="13">
        <f>F8*(1+CAGR!$C$36)</f>
        <v>2.0033341246228565E-2</v>
      </c>
      <c r="H8" s="13">
        <f>G8*(1+CAGR!$C$36)</f>
        <v>2.0175748508655403E-2</v>
      </c>
      <c r="I8" s="13">
        <f>H8*(1+CAGR!$C$36)</f>
        <v>2.0319168074928246E-2</v>
      </c>
      <c r="J8" s="13">
        <f>I8*(1+CAGR!$C$36)</f>
        <v>2.0463607141021928E-2</v>
      </c>
      <c r="K8" s="13">
        <f>J8*(1+CAGR!$C$36)</f>
        <v>2.0609072954063966E-2</v>
      </c>
      <c r="L8" s="13">
        <f>K8*(1+CAGR!$C$36)</f>
        <v>2.0755572812698169E-2</v>
      </c>
      <c r="M8" s="13">
        <f>L8*(1+CAGR!$C$36)</f>
        <v>2.0903114067450851E-2</v>
      </c>
      <c r="N8" s="13">
        <f>M8*(1+CAGR!$C$36)</f>
        <v>2.1051704121099638E-2</v>
      </c>
      <c r="O8" s="13">
        <f>N8*(1+CAGR!$C$36)</f>
        <v>2.1201350429044898E-2</v>
      </c>
      <c r="P8" s="13">
        <f>O8*(1+CAGR!$C$36)</f>
        <v>2.13520604996838E-2</v>
      </c>
      <c r="Q8" s="13">
        <f>P8*(1+CAGR!$C$36)</f>
        <v>2.1503841894787056E-2</v>
      </c>
      <c r="R8" s="13">
        <f>Q8*(1+CAGR!$C$36)</f>
        <v>2.1656702229878321E-2</v>
      </c>
      <c r="S8" s="13">
        <f>R8*(1+CAGR!$C$36)</f>
        <v>2.1810649174616299E-2</v>
      </c>
      <c r="T8" s="13">
        <f>S8*(1+CAGR!$C$36)</f>
        <v>2.1965690453179552E-2</v>
      </c>
      <c r="U8" s="13">
        <f>T8*(1+CAGR!$C$36)</f>
        <v>2.2121833844654076E-2</v>
      </c>
      <c r="V8" s="13">
        <f>U8*(1+CAGR!$C$36)</f>
        <v>2.2279087183423595E-2</v>
      </c>
      <c r="W8" s="13">
        <f>V8*(1+CAGR!$C$36)</f>
        <v>2.2437458359562647E-2</v>
      </c>
      <c r="X8" s="13">
        <f>W8*(1+CAGR!$C$36)</f>
        <v>2.2596955319232469E-2</v>
      </c>
      <c r="Y8" s="13">
        <f>X8*(1+CAGR!$C$36)</f>
        <v>2.2757586065079684E-2</v>
      </c>
      <c r="Z8" s="13">
        <f>Y8*(1+CAGR!$C$36)</f>
        <v>2.2919358656637832E-2</v>
      </c>
      <c r="AA8" s="13">
        <f>Z8*(1+CAGR!$C$36)</f>
        <v>2.3082281210731751E-2</v>
      </c>
      <c r="AB8" s="13">
        <f>AA8*(1+CAGR!$C$36)</f>
        <v>2.3246361901884834E-2</v>
      </c>
      <c r="AC8" s="13">
        <f>AB8*(1+CAGR!$C$36)</f>
        <v>2.3411608962729175E-2</v>
      </c>
      <c r="AD8" s="13">
        <f>AC8*(1+CAGR!$C$36)</f>
        <v>2.3578030684418636E-2</v>
      </c>
      <c r="AE8" s="13">
        <f>AD8*(1+CAGR!$C$36)</f>
        <v>2.3745635417044861E-2</v>
      </c>
      <c r="AF8" s="13">
        <f>AE8*(1+CAGR!$C$36)</f>
        <v>2.3914431570056217E-2</v>
      </c>
      <c r="AG8" s="14"/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775438-07F5-4CA8-B024-425F0232725E}">
  <sheetPr>
    <tabColor rgb="FF1F497D"/>
  </sheetPr>
  <dimension ref="A1:AG8"/>
  <sheetViews>
    <sheetView workbookViewId="0"/>
  </sheetViews>
  <sheetFormatPr defaultRowHeight="16.5"/>
  <cols>
    <col min="1" max="1" width="32.75" bestFit="1" customWidth="1"/>
    <col min="2" max="3" width="9" customWidth="1"/>
    <col min="4" max="33" width="9.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3">
        <f>B5*Calibration!$B$32</f>
        <v>9.6856162281727373E-2</v>
      </c>
      <c r="C2" s="13">
        <f>B2*(1+CAGR!$C$37)</f>
        <v>9.7544665549863283E-2</v>
      </c>
      <c r="D2" s="13">
        <f>C2*(1+CAGR!$C$37)</f>
        <v>9.8238063052285038E-2</v>
      </c>
      <c r="E2" s="13">
        <f>D2*(1+CAGR!$C$37)</f>
        <v>9.8936389579719633E-2</v>
      </c>
      <c r="F2" s="13">
        <f>E2*(1+CAGR!$C$37)</f>
        <v>9.96396801702044E-2</v>
      </c>
      <c r="G2" s="13">
        <f>F2*(1+CAGR!$C$37)</f>
        <v>0.10034797011084502</v>
      </c>
      <c r="H2" s="13">
        <f>G2*(1+CAGR!$C$37)</f>
        <v>0.101061294939586</v>
      </c>
      <c r="I2" s="13">
        <f>H2*(1+CAGR!$C$37)</f>
        <v>0.10177969044699378</v>
      </c>
      <c r="J2" s="13">
        <f>I2*(1+CAGR!$C$37)</f>
        <v>0.10250319267805251</v>
      </c>
      <c r="K2" s="13">
        <f>J2*(1+CAGR!$C$37)</f>
        <v>0.10323183793397257</v>
      </c>
      <c r="L2" s="13">
        <f>K2*(1+CAGR!$C$37)</f>
        <v>0.10396566277401195</v>
      </c>
      <c r="M2" s="13">
        <f>L2*(1+CAGR!$C$37)</f>
        <v>0.10470470401731059</v>
      </c>
      <c r="N2" s="13">
        <f>M2*(1+CAGR!$C$37)</f>
        <v>0.10544899874473777</v>
      </c>
      <c r="O2" s="13">
        <f>N2*(1+CAGR!$C$37)</f>
        <v>0.1061985843007526</v>
      </c>
      <c r="P2" s="13">
        <f>O2*(1+CAGR!$C$37)</f>
        <v>0.10695349829527775</v>
      </c>
      <c r="Q2" s="13">
        <f>P2*(1+CAGR!$C$37)</f>
        <v>0.10771377860558652</v>
      </c>
      <c r="R2" s="13">
        <f>Q2*(1+CAGR!$C$37)</f>
        <v>0.10847946337820326</v>
      </c>
      <c r="S2" s="13">
        <f>R2*(1+CAGR!$C$37)</f>
        <v>0.1092505910308174</v>
      </c>
      <c r="T2" s="13">
        <f>S2*(1+CAGR!$C$37)</f>
        <v>0.11002720025421101</v>
      </c>
      <c r="U2" s="13">
        <f>T2*(1+CAGR!$C$37)</f>
        <v>0.11080933001420007</v>
      </c>
      <c r="V2" s="13">
        <f>U2*(1+CAGR!$C$37)</f>
        <v>0.11159701955358955</v>
      </c>
      <c r="W2" s="13">
        <f>V2*(1+CAGR!$C$37)</f>
        <v>0.11239030839414244</v>
      </c>
      <c r="X2" s="13">
        <f>W2*(1+CAGR!$C$37)</f>
        <v>0.11318923633856263</v>
      </c>
      <c r="Y2" s="13">
        <f>X2*(1+CAGR!$C$37)</f>
        <v>0.11399384347249211</v>
      </c>
      <c r="Z2" s="13">
        <f>Y2*(1+CAGR!$C$37)</f>
        <v>0.1148041701665221</v>
      </c>
      <c r="AA2" s="13">
        <f>Z2*(1+CAGR!$C$37)</f>
        <v>0.11562025707821873</v>
      </c>
      <c r="AB2" s="13">
        <f>AA2*(1+CAGR!$C$37)</f>
        <v>0.11644214515416293</v>
      </c>
      <c r="AC2" s="13">
        <f>AB2*(1+CAGR!$C$37)</f>
        <v>0.11726987563200494</v>
      </c>
      <c r="AD2" s="13">
        <f>AC2*(1+CAGR!$C$37)</f>
        <v>0.11810349004253337</v>
      </c>
      <c r="AE2" s="13">
        <f>AD2*(1+CAGR!$C$37)</f>
        <v>0.11894303021175895</v>
      </c>
      <c r="AF2" s="13">
        <f>AE2*(1+CAGR!$C$37)</f>
        <v>0.11978853826301315</v>
      </c>
      <c r="AG2" s="14"/>
    </row>
    <row r="3" spans="1:33">
      <c r="A3" s="1" t="s">
        <v>10</v>
      </c>
      <c r="B3" s="14">
        <f>'US-aircraft-frgt'!B3</f>
        <v>0</v>
      </c>
      <c r="C3" s="14">
        <f>'US-aircraft-frgt'!C3</f>
        <v>0</v>
      </c>
      <c r="D3" s="14">
        <f>'US-aircraft-frgt'!D3</f>
        <v>0</v>
      </c>
      <c r="E3" s="14">
        <f>'US-aircraft-frgt'!E3</f>
        <v>0</v>
      </c>
      <c r="F3" s="14">
        <f>'US-aircraft-frgt'!F3</f>
        <v>0</v>
      </c>
      <c r="G3" s="14">
        <f>'US-aircraft-frgt'!G3</f>
        <v>0</v>
      </c>
      <c r="H3" s="14">
        <f>'US-aircraft-frgt'!H3</f>
        <v>0</v>
      </c>
      <c r="I3" s="14">
        <f>'US-aircraft-frgt'!I3</f>
        <v>0</v>
      </c>
      <c r="J3" s="14">
        <f>'US-aircraft-frgt'!J3</f>
        <v>0</v>
      </c>
      <c r="K3" s="14">
        <f>'US-aircraft-frgt'!K3</f>
        <v>0</v>
      </c>
      <c r="L3" s="14">
        <f>'US-aircraft-frgt'!L3</f>
        <v>0</v>
      </c>
      <c r="M3" s="14">
        <f>'US-aircraft-frgt'!M3</f>
        <v>0</v>
      </c>
      <c r="N3" s="14">
        <f>'US-aircraft-frgt'!N3</f>
        <v>0</v>
      </c>
      <c r="O3" s="14">
        <f>'US-aircraft-frgt'!O3</f>
        <v>0</v>
      </c>
      <c r="P3" s="14">
        <f>'US-aircraft-frgt'!P3</f>
        <v>0</v>
      </c>
      <c r="Q3" s="14">
        <f>'US-aircraft-frgt'!Q3</f>
        <v>0</v>
      </c>
      <c r="R3" s="14">
        <f>'US-aircraft-frgt'!R3</f>
        <v>0</v>
      </c>
      <c r="S3" s="14">
        <f>'US-aircraft-frgt'!S3</f>
        <v>0</v>
      </c>
      <c r="T3" s="14">
        <f>'US-aircraft-frgt'!T3</f>
        <v>0</v>
      </c>
      <c r="U3" s="14">
        <f>'US-aircraft-frgt'!U3</f>
        <v>0</v>
      </c>
      <c r="V3" s="14">
        <f>'US-aircraft-frgt'!V3</f>
        <v>0</v>
      </c>
      <c r="W3" s="14">
        <f>'US-aircraft-frgt'!W3</f>
        <v>0</v>
      </c>
      <c r="X3" s="14">
        <f>'US-aircraft-frgt'!X3</f>
        <v>0</v>
      </c>
      <c r="Y3" s="14">
        <f>'US-aircraft-frgt'!Y3</f>
        <v>0</v>
      </c>
      <c r="Z3" s="14">
        <f>'US-aircraft-frgt'!Z3</f>
        <v>0</v>
      </c>
      <c r="AA3" s="14">
        <f>'US-aircraft-frgt'!AA3</f>
        <v>0</v>
      </c>
      <c r="AB3" s="14">
        <f>'US-aircraft-frgt'!AB3</f>
        <v>0</v>
      </c>
      <c r="AC3" s="14">
        <f>'US-aircraft-frgt'!AC3</f>
        <v>0</v>
      </c>
      <c r="AD3" s="14">
        <f>'US-aircraft-frgt'!AD3</f>
        <v>0</v>
      </c>
      <c r="AE3" s="14">
        <f>'US-aircraft-frgt'!AE3</f>
        <v>0</v>
      </c>
      <c r="AF3" s="14">
        <f>'US-aircraft-frgt'!AF3</f>
        <v>0</v>
      </c>
      <c r="AG3" s="14"/>
    </row>
    <row r="4" spans="1:33">
      <c r="A4" s="1" t="s">
        <v>11</v>
      </c>
      <c r="B4" s="14">
        <f>'US-aircraft-frgt'!B4</f>
        <v>0</v>
      </c>
      <c r="C4" s="14">
        <f>'US-aircraft-frgt'!C4</f>
        <v>0</v>
      </c>
      <c r="D4" s="14">
        <f>'US-aircraft-frgt'!D4</f>
        <v>0</v>
      </c>
      <c r="E4" s="14">
        <f>'US-aircraft-frgt'!E4</f>
        <v>0</v>
      </c>
      <c r="F4" s="14">
        <f>'US-aircraft-frgt'!F4</f>
        <v>0</v>
      </c>
      <c r="G4" s="14">
        <f>'US-aircraft-frgt'!G4</f>
        <v>0</v>
      </c>
      <c r="H4" s="14">
        <f>'US-aircraft-frgt'!H4</f>
        <v>0</v>
      </c>
      <c r="I4" s="14">
        <f>'US-aircraft-frgt'!I4</f>
        <v>0</v>
      </c>
      <c r="J4" s="14">
        <f>'US-aircraft-frgt'!J4</f>
        <v>0</v>
      </c>
      <c r="K4" s="14">
        <f>'US-aircraft-frgt'!K4</f>
        <v>0</v>
      </c>
      <c r="L4" s="14">
        <f>'US-aircraft-frgt'!L4</f>
        <v>0</v>
      </c>
      <c r="M4" s="14">
        <f>'US-aircraft-frgt'!M4</f>
        <v>0</v>
      </c>
      <c r="N4" s="14">
        <f>'US-aircraft-frgt'!N4</f>
        <v>0</v>
      </c>
      <c r="O4" s="14">
        <f>'US-aircraft-frgt'!O4</f>
        <v>0</v>
      </c>
      <c r="P4" s="14">
        <f>'US-aircraft-frgt'!P4</f>
        <v>0</v>
      </c>
      <c r="Q4" s="14">
        <f>'US-aircraft-frgt'!Q4</f>
        <v>0</v>
      </c>
      <c r="R4" s="14">
        <f>'US-aircraft-frgt'!R4</f>
        <v>0</v>
      </c>
      <c r="S4" s="14">
        <f>'US-aircraft-frgt'!S4</f>
        <v>0</v>
      </c>
      <c r="T4" s="14">
        <f>'US-aircraft-frgt'!T4</f>
        <v>0</v>
      </c>
      <c r="U4" s="14">
        <f>'US-aircraft-frgt'!U4</f>
        <v>0</v>
      </c>
      <c r="V4" s="14">
        <f>'US-aircraft-frgt'!V4</f>
        <v>0</v>
      </c>
      <c r="W4" s="14">
        <f>'US-aircraft-frgt'!W4</f>
        <v>0</v>
      </c>
      <c r="X4" s="14">
        <f>'US-aircraft-frgt'!X4</f>
        <v>0</v>
      </c>
      <c r="Y4" s="14">
        <f>'US-aircraft-frgt'!Y4</f>
        <v>0</v>
      </c>
      <c r="Z4" s="14">
        <f>'US-aircraft-frgt'!Z4</f>
        <v>0</v>
      </c>
      <c r="AA4" s="14">
        <f>'US-aircraft-frgt'!AA4</f>
        <v>0</v>
      </c>
      <c r="AB4" s="14">
        <f>'US-aircraft-frgt'!AB4</f>
        <v>0</v>
      </c>
      <c r="AC4" s="14">
        <f>'US-aircraft-frgt'!AC4</f>
        <v>0</v>
      </c>
      <c r="AD4" s="14">
        <f>'US-aircraft-frgt'!AD4</f>
        <v>0</v>
      </c>
      <c r="AE4" s="14">
        <f>'US-aircraft-frgt'!AE4</f>
        <v>0</v>
      </c>
      <c r="AF4" s="14">
        <f>'US-aircraft-frgt'!AF4</f>
        <v>0</v>
      </c>
      <c r="AG4" s="14"/>
    </row>
    <row r="5" spans="1:33">
      <c r="A5" s="1" t="s">
        <v>12</v>
      </c>
      <c r="B5" s="14">
        <f>'SYFAFE frgt'!E4*(1+CAGR!$C$40)</f>
        <v>3.0140633774832004E-2</v>
      </c>
      <c r="C5" s="14">
        <f>B5*(1+CAGR!$C$40)</f>
        <v>3.0354888855446266E-2</v>
      </c>
      <c r="D5" s="14">
        <f>C5*(1+CAGR!$C$40)</f>
        <v>3.0570666971040879E-2</v>
      </c>
      <c r="E5" s="14">
        <f>D5*(1+CAGR!$C$40)</f>
        <v>3.0787978948129478E-2</v>
      </c>
      <c r="F5" s="14">
        <f>E5*(1+CAGR!$C$40)</f>
        <v>3.1006835690186106E-2</v>
      </c>
      <c r="G5" s="14">
        <f>F5*(1+CAGR!$C$40)</f>
        <v>3.122724817819229E-2</v>
      </c>
      <c r="H5" s="14">
        <f>G5*(1+CAGR!$C$40)</f>
        <v>3.1449227471188008E-2</v>
      </c>
      <c r="I5" s="14">
        <f>H5*(1+CAGR!$C$40)</f>
        <v>3.1672784706826565E-2</v>
      </c>
      <c r="J5" s="14">
        <f>I5*(1+CAGR!$C$40)</f>
        <v>3.1897931101933417E-2</v>
      </c>
      <c r="K5" s="14">
        <f>J5*(1+CAGR!$C$40)</f>
        <v>3.2124677953068968E-2</v>
      </c>
      <c r="L5" s="14">
        <f>K5*(1+CAGR!$C$40)</f>
        <v>3.2353036637095357E-2</v>
      </c>
      <c r="M5" s="14">
        <f>L5*(1+CAGR!$C$40)</f>
        <v>3.2583018611747304E-2</v>
      </c>
      <c r="N5" s="14">
        <f>M5*(1+CAGR!$C$40)</f>
        <v>3.281463541620698E-2</v>
      </c>
      <c r="O5" s="14">
        <f>N5*(1+CAGR!$C$40)</f>
        <v>3.3047898671682972E-2</v>
      </c>
      <c r="P5" s="14">
        <f>O5*(1+CAGR!$C$40)</f>
        <v>3.3282820081993389E-2</v>
      </c>
      <c r="Q5" s="14">
        <f>P5*(1+CAGR!$C$40)</f>
        <v>3.3519411434153074E-2</v>
      </c>
      <c r="R5" s="14">
        <f>Q5*(1+CAGR!$C$40)</f>
        <v>3.375768459896502E-2</v>
      </c>
      <c r="S5" s="14">
        <f>R5*(1+CAGR!$C$40)</f>
        <v>3.399765153161597E-2</v>
      </c>
      <c r="T5" s="14">
        <f>S5*(1+CAGR!$C$40)</f>
        <v>3.4239324272276266E-2</v>
      </c>
      <c r="U5" s="14">
        <f>T5*(1+CAGR!$C$40)</f>
        <v>3.4482714946703956E-2</v>
      </c>
      <c r="V5" s="14">
        <f>U5*(1+CAGR!$C$40)</f>
        <v>3.4727835766853198E-2</v>
      </c>
      <c r="W5" s="14">
        <f>V5*(1+CAGR!$C$40)</f>
        <v>3.4974699031486971E-2</v>
      </c>
      <c r="X5" s="14">
        <f>W5*(1+CAGR!$C$40)</f>
        <v>3.5223317126794176E-2</v>
      </c>
      <c r="Y5" s="14">
        <f>X5*(1+CAGR!$C$40)</f>
        <v>3.5473702527011097E-2</v>
      </c>
      <c r="Z5" s="14">
        <f>Y5*(1+CAGR!$C$40)</f>
        <v>3.5725867795047286E-2</v>
      </c>
      <c r="AA5" s="14">
        <f>Z5*(1+CAGR!$C$40)</f>
        <v>3.5979825583115896E-2</v>
      </c>
      <c r="AB5" s="14">
        <f>AA5*(1+CAGR!$C$40)</f>
        <v>3.6235588633368496E-2</v>
      </c>
      <c r="AC5" s="14">
        <f>AB5*(1+CAGR!$C$40)</f>
        <v>3.6493169778534409E-2</v>
      </c>
      <c r="AD5" s="14">
        <f>AC5*(1+CAGR!$C$40)</f>
        <v>3.6752581942564574E-2</v>
      </c>
      <c r="AE5" s="14">
        <f>AD5*(1+CAGR!$C$40)</f>
        <v>3.7013838141280002E-2</v>
      </c>
      <c r="AF5" s="14">
        <f>AE5*(1+CAGR!$C$40)</f>
        <v>3.7276951483024831E-2</v>
      </c>
      <c r="AG5" s="14"/>
    </row>
    <row r="6" spans="1:33">
      <c r="A6" s="1" t="s">
        <v>13</v>
      </c>
      <c r="B6" s="14">
        <f>'US-aircraft-frgt'!B6</f>
        <v>0</v>
      </c>
      <c r="C6" s="14">
        <f>'US-aircraft-frgt'!C6</f>
        <v>0</v>
      </c>
      <c r="D6" s="14">
        <f>'US-aircraft-frgt'!D6</f>
        <v>0</v>
      </c>
      <c r="E6" s="14">
        <f>'US-aircraft-frgt'!E6</f>
        <v>0</v>
      </c>
      <c r="F6" s="14">
        <f>'US-aircraft-frgt'!F6</f>
        <v>0</v>
      </c>
      <c r="G6" s="14">
        <f>'US-aircraft-frgt'!G6</f>
        <v>0</v>
      </c>
      <c r="H6" s="14">
        <f>'US-aircraft-frgt'!H6</f>
        <v>0</v>
      </c>
      <c r="I6" s="14">
        <f>'US-aircraft-frgt'!I6</f>
        <v>0</v>
      </c>
      <c r="J6" s="14">
        <f>'US-aircraft-frgt'!J6</f>
        <v>0</v>
      </c>
      <c r="K6" s="14">
        <f>'US-aircraft-frgt'!K6</f>
        <v>0</v>
      </c>
      <c r="L6" s="14">
        <f>'US-aircraft-frgt'!L6</f>
        <v>0</v>
      </c>
      <c r="M6" s="14">
        <f>'US-aircraft-frgt'!M6</f>
        <v>0</v>
      </c>
      <c r="N6" s="14">
        <f>'US-aircraft-frgt'!N6</f>
        <v>0</v>
      </c>
      <c r="O6" s="14">
        <f>'US-aircraft-frgt'!O6</f>
        <v>0</v>
      </c>
      <c r="P6" s="14">
        <f>'US-aircraft-frgt'!P6</f>
        <v>0</v>
      </c>
      <c r="Q6" s="14">
        <f>'US-aircraft-frgt'!Q6</f>
        <v>0</v>
      </c>
      <c r="R6" s="14">
        <f>'US-aircraft-frgt'!R6</f>
        <v>0</v>
      </c>
      <c r="S6" s="14">
        <f>'US-aircraft-frgt'!S6</f>
        <v>0</v>
      </c>
      <c r="T6" s="14">
        <f>'US-aircraft-frgt'!T6</f>
        <v>0</v>
      </c>
      <c r="U6" s="14">
        <f>'US-aircraft-frgt'!U6</f>
        <v>0</v>
      </c>
      <c r="V6" s="14">
        <f>'US-aircraft-frgt'!V6</f>
        <v>0</v>
      </c>
      <c r="W6" s="14">
        <f>'US-aircraft-frgt'!W6</f>
        <v>0</v>
      </c>
      <c r="X6" s="14">
        <f>'US-aircraft-frgt'!X6</f>
        <v>0</v>
      </c>
      <c r="Y6" s="14">
        <f>'US-aircraft-frgt'!Y6</f>
        <v>0</v>
      </c>
      <c r="Z6" s="14">
        <f>'US-aircraft-frgt'!Z6</f>
        <v>0</v>
      </c>
      <c r="AA6" s="14">
        <f>'US-aircraft-frgt'!AA6</f>
        <v>0</v>
      </c>
      <c r="AB6" s="14">
        <f>'US-aircraft-frgt'!AB6</f>
        <v>0</v>
      </c>
      <c r="AC6" s="14">
        <f>'US-aircraft-frgt'!AC6</f>
        <v>0</v>
      </c>
      <c r="AD6" s="14">
        <f>'US-aircraft-frgt'!AD6</f>
        <v>0</v>
      </c>
      <c r="AE6" s="14">
        <f>'US-aircraft-frgt'!AE6</f>
        <v>0</v>
      </c>
      <c r="AF6" s="14">
        <f>'US-aircraft-frgt'!AF6</f>
        <v>0</v>
      </c>
      <c r="AG6" s="14"/>
    </row>
    <row r="7" spans="1:33">
      <c r="A7" s="1" t="s">
        <v>14</v>
      </c>
      <c r="B7" s="14">
        <f>'US-aircraft-frgt'!B7</f>
        <v>0</v>
      </c>
      <c r="C7" s="14">
        <f>'US-aircraft-frgt'!C7</f>
        <v>0</v>
      </c>
      <c r="D7" s="14">
        <f>'US-aircraft-frgt'!D7</f>
        <v>0</v>
      </c>
      <c r="E7" s="14">
        <f>'US-aircraft-frgt'!E7</f>
        <v>0</v>
      </c>
      <c r="F7" s="14">
        <f>'US-aircraft-frgt'!F7</f>
        <v>0</v>
      </c>
      <c r="G7" s="14">
        <f>'US-aircraft-frgt'!G7</f>
        <v>0</v>
      </c>
      <c r="H7" s="14">
        <f>'US-aircraft-frgt'!H7</f>
        <v>0</v>
      </c>
      <c r="I7" s="14">
        <f>'US-aircraft-frgt'!I7</f>
        <v>0</v>
      </c>
      <c r="J7" s="14">
        <f>'US-aircraft-frgt'!J7</f>
        <v>0</v>
      </c>
      <c r="K7" s="14">
        <f>'US-aircraft-frgt'!K7</f>
        <v>0</v>
      </c>
      <c r="L7" s="14">
        <f>'US-aircraft-frgt'!L7</f>
        <v>0</v>
      </c>
      <c r="M7" s="14">
        <f>'US-aircraft-frgt'!M7</f>
        <v>0</v>
      </c>
      <c r="N7" s="14">
        <f>'US-aircraft-frgt'!N7</f>
        <v>0</v>
      </c>
      <c r="O7" s="14">
        <f>'US-aircraft-frgt'!O7</f>
        <v>0</v>
      </c>
      <c r="P7" s="14">
        <f>'US-aircraft-frgt'!P7</f>
        <v>0</v>
      </c>
      <c r="Q7" s="14">
        <f>'US-aircraft-frgt'!Q7</f>
        <v>0</v>
      </c>
      <c r="R7" s="14">
        <f>'US-aircraft-frgt'!R7</f>
        <v>0</v>
      </c>
      <c r="S7" s="14">
        <f>'US-aircraft-frgt'!S7</f>
        <v>0</v>
      </c>
      <c r="T7" s="14">
        <f>'US-aircraft-frgt'!T7</f>
        <v>0</v>
      </c>
      <c r="U7" s="14">
        <f>'US-aircraft-frgt'!U7</f>
        <v>0</v>
      </c>
      <c r="V7" s="14">
        <f>'US-aircraft-frgt'!V7</f>
        <v>0</v>
      </c>
      <c r="W7" s="14">
        <f>'US-aircraft-frgt'!W7</f>
        <v>0</v>
      </c>
      <c r="X7" s="14">
        <f>'US-aircraft-frgt'!X7</f>
        <v>0</v>
      </c>
      <c r="Y7" s="14">
        <f>'US-aircraft-frgt'!Y7</f>
        <v>0</v>
      </c>
      <c r="Z7" s="14">
        <f>'US-aircraft-frgt'!Z7</f>
        <v>0</v>
      </c>
      <c r="AA7" s="14">
        <f>'US-aircraft-frgt'!AA7</f>
        <v>0</v>
      </c>
      <c r="AB7" s="14">
        <f>'US-aircraft-frgt'!AB7</f>
        <v>0</v>
      </c>
      <c r="AC7" s="14">
        <f>'US-aircraft-frgt'!AC7</f>
        <v>0</v>
      </c>
      <c r="AD7" s="14">
        <f>'US-aircraft-frgt'!AD7</f>
        <v>0</v>
      </c>
      <c r="AE7" s="14">
        <f>'US-aircraft-frgt'!AE7</f>
        <v>0</v>
      </c>
      <c r="AF7" s="14">
        <f>'US-aircraft-frgt'!AF7</f>
        <v>0</v>
      </c>
      <c r="AG7" s="14"/>
    </row>
    <row r="8" spans="1:33">
      <c r="A8" s="1" t="s">
        <v>15</v>
      </c>
      <c r="B8" s="13">
        <f>B5*Calibration!$D$32</f>
        <v>9.0421901324495998E-2</v>
      </c>
      <c r="C8" s="13">
        <f>B8*(1+CAGR!$C$43)</f>
        <v>9.1064666566338784E-2</v>
      </c>
      <c r="D8" s="13">
        <f>C8*(1+CAGR!$C$43)</f>
        <v>9.1712000913122621E-2</v>
      </c>
      <c r="E8" s="13">
        <f>D8*(1+CAGR!$C$43)</f>
        <v>9.2363936844388414E-2</v>
      </c>
      <c r="F8" s="13">
        <f>E8*(1+CAGR!$C$43)</f>
        <v>9.3020507070558298E-2</v>
      </c>
      <c r="G8" s="13">
        <f>F8*(1+CAGR!$C$43)</f>
        <v>9.3681744534576852E-2</v>
      </c>
      <c r="H8" s="13">
        <f>G8*(1+CAGR!$C$43)</f>
        <v>9.4347682413564019E-2</v>
      </c>
      <c r="I8" s="13">
        <f>H8*(1+CAGR!$C$43)</f>
        <v>9.5018354120479695E-2</v>
      </c>
      <c r="J8" s="13">
        <f>I8*(1+CAGR!$C$43)</f>
        <v>9.5693793305800259E-2</v>
      </c>
      <c r="K8" s="13">
        <f>J8*(1+CAGR!$C$43)</f>
        <v>9.6374033859206898E-2</v>
      </c>
      <c r="L8" s="13">
        <f>K8*(1+CAGR!$C$43)</f>
        <v>9.7059109911286065E-2</v>
      </c>
      <c r="M8" s="13">
        <f>L8*(1+CAGR!$C$43)</f>
        <v>9.7749055835241905E-2</v>
      </c>
      <c r="N8" s="13">
        <f>M8*(1+CAGR!$C$43)</f>
        <v>9.8443906248620927E-2</v>
      </c>
      <c r="O8" s="13">
        <f>N8*(1+CAGR!$C$43)</f>
        <v>9.914369601504891E-2</v>
      </c>
      <c r="P8" s="13">
        <f>O8*(1+CAGR!$C$43)</f>
        <v>9.9848460245980167E-2</v>
      </c>
      <c r="Q8" s="13">
        <f>P8*(1+CAGR!$C$43)</f>
        <v>0.10055823430245923</v>
      </c>
      <c r="R8" s="13">
        <f>Q8*(1+CAGR!$C$43)</f>
        <v>0.10127305379689508</v>
      </c>
      <c r="S8" s="13">
        <f>R8*(1+CAGR!$C$43)</f>
        <v>0.10199295459484793</v>
      </c>
      <c r="T8" s="13">
        <f>S8*(1+CAGR!$C$43)</f>
        <v>0.10271797281682882</v>
      </c>
      <c r="U8" s="13">
        <f>T8*(1+CAGR!$C$43)</f>
        <v>0.10344814484011189</v>
      </c>
      <c r="V8" s="13">
        <f>U8*(1+CAGR!$C$43)</f>
        <v>0.1041835073005596</v>
      </c>
      <c r="W8" s="13">
        <f>V8*(1+CAGR!$C$43)</f>
        <v>0.10492409709446092</v>
      </c>
      <c r="X8" s="13">
        <f>W8*(1+CAGR!$C$43)</f>
        <v>0.10566995138038254</v>
      </c>
      <c r="Y8" s="13">
        <f>X8*(1+CAGR!$C$43)</f>
        <v>0.10642110758103331</v>
      </c>
      <c r="Z8" s="13">
        <f>Y8*(1+CAGR!$C$43)</f>
        <v>0.10717760338514187</v>
      </c>
      <c r="AA8" s="13">
        <f>Z8*(1+CAGR!$C$43)</f>
        <v>0.1079394767493477</v>
      </c>
      <c r="AB8" s="13">
        <f>AA8*(1+CAGR!$C$43)</f>
        <v>0.1087067659001055</v>
      </c>
      <c r="AC8" s="13">
        <f>AB8*(1+CAGR!$C$43)</f>
        <v>0.10947950933560324</v>
      </c>
      <c r="AD8" s="13">
        <f>AC8*(1+CAGR!$C$43)</f>
        <v>0.11025774582769374</v>
      </c>
      <c r="AE8" s="13">
        <f>AD8*(1+CAGR!$C$43)</f>
        <v>0.11104151442384001</v>
      </c>
      <c r="AF8" s="13">
        <f>AE8*(1+CAGR!$C$43)</f>
        <v>0.11183085444907451</v>
      </c>
      <c r="AG8" s="14"/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4DA6F-E696-40E1-A10D-288DB42265DE}">
  <sheetPr>
    <tabColor rgb="FF1F497D"/>
  </sheetPr>
  <dimension ref="A1:AG8"/>
  <sheetViews>
    <sheetView workbookViewId="0"/>
  </sheetViews>
  <sheetFormatPr defaultRowHeight="16.5"/>
  <cols>
    <col min="1" max="1" width="32.75" bestFit="1" customWidth="1"/>
    <col min="2" max="3" width="9" customWidth="1"/>
    <col min="4" max="33" width="9.25" bestFit="1" customWidth="1"/>
  </cols>
  <sheetData>
    <row r="1" spans="1:33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s="1" t="s">
        <v>9</v>
      </c>
      <c r="B2" s="14">
        <f>IFERROR(INDEX('SYFAFE psgr'!$B$5:$H$5,,MATCH($A2,'SYFAFE psgr'!$B$1:$H$1,0))*(1+INDEX(CAGR!$C$44:$C$50,MATCH($A2,CAGR!$B$44:$B$50,0))),0)</f>
        <v>7.8005899017659234E-4</v>
      </c>
      <c r="C2" s="14">
        <f>IFERROR(B2*(1+INDEX(CAGR!$C$44:$C$50,MATCH($A2,CAGR!$B$44:$B$50,0))),0)</f>
        <v>7.7981100690762491E-4</v>
      </c>
      <c r="D2" s="14">
        <f>IFERROR(C2*(1+INDEX(CAGR!$C$44:$C$50,MATCH($A2,CAGR!$B$44:$B$50,0))),0)</f>
        <v>7.7956310247333856E-4</v>
      </c>
      <c r="E2" s="14">
        <f>IFERROR(D2*(1+INDEX(CAGR!$C$44:$C$50,MATCH($A2,CAGR!$B$44:$B$50,0))),0)</f>
        <v>7.7931527684867142E-4</v>
      </c>
      <c r="F2" s="14">
        <f>IFERROR(E2*(1+INDEX(CAGR!$C$44:$C$50,MATCH($A2,CAGR!$B$44:$B$50,0))),0)</f>
        <v>7.7906753000856973E-4</v>
      </c>
      <c r="G2" s="14">
        <f>IFERROR(F2*(1+INDEX(CAGR!$C$44:$C$50,MATCH($A2,CAGR!$B$44:$B$50,0))),0)</f>
        <v>7.7881986192798757E-4</v>
      </c>
      <c r="H2" s="14">
        <f>IFERROR(G2*(1+INDEX(CAGR!$C$44:$C$50,MATCH($A2,CAGR!$B$44:$B$50,0))),0)</f>
        <v>7.7857227258188702E-4</v>
      </c>
      <c r="I2" s="14">
        <f>IFERROR(H2*(1+INDEX(CAGR!$C$44:$C$50,MATCH($A2,CAGR!$B$44:$B$50,0))),0)</f>
        <v>7.7832476194523818E-4</v>
      </c>
      <c r="J2" s="14">
        <f>IFERROR(I2*(1+INDEX(CAGR!$C$44:$C$50,MATCH($A2,CAGR!$B$44:$B$50,0))),0)</f>
        <v>7.7807732999301909E-4</v>
      </c>
      <c r="K2" s="14">
        <f>IFERROR(J2*(1+INDEX(CAGR!$C$44:$C$50,MATCH($A2,CAGR!$B$44:$B$50,0))),0)</f>
        <v>7.7782997670021567E-4</v>
      </c>
      <c r="L2" s="14">
        <f>IFERROR(K2*(1+INDEX(CAGR!$C$44:$C$50,MATCH($A2,CAGR!$B$44:$B$50,0))),0)</f>
        <v>7.7758270204182189E-4</v>
      </c>
      <c r="M2" s="14">
        <f>IFERROR(L2*(1+INDEX(CAGR!$C$44:$C$50,MATCH($A2,CAGR!$B$44:$B$50,0))),0)</f>
        <v>7.7733550599283952E-4</v>
      </c>
      <c r="N2" s="14">
        <f>IFERROR(M2*(1+INDEX(CAGR!$C$44:$C$50,MATCH($A2,CAGR!$B$44:$B$50,0))),0)</f>
        <v>7.7708838852827845E-4</v>
      </c>
      <c r="O2" s="14">
        <f>IFERROR(N2*(1+INDEX(CAGR!$C$44:$C$50,MATCH($A2,CAGR!$B$44:$B$50,0))),0)</f>
        <v>7.7684134962315639E-4</v>
      </c>
      <c r="P2" s="14">
        <f>IFERROR(O2*(1+INDEX(CAGR!$C$44:$C$50,MATCH($A2,CAGR!$B$44:$B$50,0))),0)</f>
        <v>7.7659438925249907E-4</v>
      </c>
      <c r="Q2" s="14">
        <f>IFERROR(P2*(1+INDEX(CAGR!$C$44:$C$50,MATCH($A2,CAGR!$B$44:$B$50,0))),0)</f>
        <v>7.7634750739134014E-4</v>
      </c>
      <c r="R2" s="14">
        <f>IFERROR(Q2*(1+INDEX(CAGR!$C$44:$C$50,MATCH($A2,CAGR!$B$44:$B$50,0))),0)</f>
        <v>7.7610070401472114E-4</v>
      </c>
      <c r="S2" s="14">
        <f>IFERROR(R2*(1+INDEX(CAGR!$C$44:$C$50,MATCH($A2,CAGR!$B$44:$B$50,0))),0)</f>
        <v>7.7585397909769155E-4</v>
      </c>
      <c r="T2" s="14">
        <f>IFERROR(S2*(1+INDEX(CAGR!$C$44:$C$50,MATCH($A2,CAGR!$B$44:$B$50,0))),0)</f>
        <v>7.7560733261530887E-4</v>
      </c>
      <c r="U2" s="14">
        <f>IFERROR(T2*(1+INDEX(CAGR!$C$44:$C$50,MATCH($A2,CAGR!$B$44:$B$50,0))),0)</f>
        <v>7.7536076454263851E-4</v>
      </c>
      <c r="V2" s="14">
        <f>IFERROR(U2*(1+INDEX(CAGR!$C$44:$C$50,MATCH($A2,CAGR!$B$44:$B$50,0))),0)</f>
        <v>7.7511427485475368E-4</v>
      </c>
      <c r="W2" s="14">
        <f>IFERROR(V2*(1+INDEX(CAGR!$C$44:$C$50,MATCH($A2,CAGR!$B$44:$B$50,0))),0)</f>
        <v>7.7486786352673573E-4</v>
      </c>
      <c r="X2" s="14">
        <f>IFERROR(W2*(1+INDEX(CAGR!$C$44:$C$50,MATCH($A2,CAGR!$B$44:$B$50,0))),0)</f>
        <v>7.7462153053367371E-4</v>
      </c>
      <c r="Y2" s="14">
        <f>IFERROR(X2*(1+INDEX(CAGR!$C$44:$C$50,MATCH($A2,CAGR!$B$44:$B$50,0))),0)</f>
        <v>7.7437527585066468E-4</v>
      </c>
      <c r="Z2" s="14">
        <f>IFERROR(Y2*(1+INDEX(CAGR!$C$44:$C$50,MATCH($A2,CAGR!$B$44:$B$50,0))),0)</f>
        <v>7.7412909945281363E-4</v>
      </c>
      <c r="AA2" s="14">
        <f>IFERROR(Z2*(1+INDEX(CAGR!$C$44:$C$50,MATCH($A2,CAGR!$B$44:$B$50,0))),0)</f>
        <v>7.7388300131523346E-4</v>
      </c>
      <c r="AB2" s="14">
        <f>IFERROR(AA2*(1+INDEX(CAGR!$C$44:$C$50,MATCH($A2,CAGR!$B$44:$B$50,0))),0)</f>
        <v>7.7363698141304498E-4</v>
      </c>
      <c r="AC2" s="14">
        <f>IFERROR(AB2*(1+INDEX(CAGR!$C$44:$C$50,MATCH($A2,CAGR!$B$44:$B$50,0))),0)</f>
        <v>7.7339103972137691E-4</v>
      </c>
      <c r="AD2" s="14">
        <f>IFERROR(AC2*(1+INDEX(CAGR!$C$44:$C$50,MATCH($A2,CAGR!$B$44:$B$50,0))),0)</f>
        <v>7.7314517621536591E-4</v>
      </c>
      <c r="AE2" s="14">
        <f>IFERROR(AD2*(1+INDEX(CAGR!$C$44:$C$50,MATCH($A2,CAGR!$B$44:$B$50,0))),0)</f>
        <v>7.7289939087015651E-4</v>
      </c>
      <c r="AF2" s="14">
        <f>IFERROR(AE2*(1+INDEX(CAGR!$C$44:$C$50,MATCH($A2,CAGR!$B$44:$B$50,0))),0)</f>
        <v>7.726536836609011E-4</v>
      </c>
      <c r="AG2" s="14"/>
    </row>
    <row r="3" spans="1:33">
      <c r="A3" s="1" t="s">
        <v>10</v>
      </c>
      <c r="B3" s="14">
        <f>IFERROR(INDEX('SYFAFE psgr'!$B$5:$H$5,,MATCH($A3,'SYFAFE psgr'!$B$1:$H$1,0))*(1+INDEX(CAGR!$C$44:$C$50,MATCH($A3,CAGR!$B$44:$B$50,0))),0)</f>
        <v>0</v>
      </c>
      <c r="C3" s="14">
        <f>IFERROR(B3*(1+INDEX(CAGR!$C$44:$C$50,MATCH($A3,CAGR!$B$44:$B$50,0))),0)</f>
        <v>0</v>
      </c>
      <c r="D3" s="14">
        <f>IFERROR(C3*(1+INDEX(CAGR!$C$44:$C$50,MATCH($A3,CAGR!$B$44:$B$50,0))),0)</f>
        <v>0</v>
      </c>
      <c r="E3" s="14">
        <f>IFERROR(D3*(1+INDEX(CAGR!$C$44:$C$50,MATCH($A3,CAGR!$B$44:$B$50,0))),0)</f>
        <v>0</v>
      </c>
      <c r="F3" s="14">
        <f>IFERROR(E3*(1+INDEX(CAGR!$C$44:$C$50,MATCH($A3,CAGR!$B$44:$B$50,0))),0)</f>
        <v>0</v>
      </c>
      <c r="G3" s="14">
        <f>IFERROR(F3*(1+INDEX(CAGR!$C$44:$C$50,MATCH($A3,CAGR!$B$44:$B$50,0))),0)</f>
        <v>0</v>
      </c>
      <c r="H3" s="14">
        <f>IFERROR(G3*(1+INDEX(CAGR!$C$44:$C$50,MATCH($A3,CAGR!$B$44:$B$50,0))),0)</f>
        <v>0</v>
      </c>
      <c r="I3" s="14">
        <f>IFERROR(H3*(1+INDEX(CAGR!$C$44:$C$50,MATCH($A3,CAGR!$B$44:$B$50,0))),0)</f>
        <v>0</v>
      </c>
      <c r="J3" s="14">
        <f>IFERROR(I3*(1+INDEX(CAGR!$C$44:$C$50,MATCH($A3,CAGR!$B$44:$B$50,0))),0)</f>
        <v>0</v>
      </c>
      <c r="K3" s="14">
        <f>IFERROR(J3*(1+INDEX(CAGR!$C$44:$C$50,MATCH($A3,CAGR!$B$44:$B$50,0))),0)</f>
        <v>0</v>
      </c>
      <c r="L3" s="14">
        <f>IFERROR(K3*(1+INDEX(CAGR!$C$44:$C$50,MATCH($A3,CAGR!$B$44:$B$50,0))),0)</f>
        <v>0</v>
      </c>
      <c r="M3" s="14">
        <f>IFERROR(L3*(1+INDEX(CAGR!$C$44:$C$50,MATCH($A3,CAGR!$B$44:$B$50,0))),0)</f>
        <v>0</v>
      </c>
      <c r="N3" s="14">
        <f>IFERROR(M3*(1+INDEX(CAGR!$C$44:$C$50,MATCH($A3,CAGR!$B$44:$B$50,0))),0)</f>
        <v>0</v>
      </c>
      <c r="O3" s="14">
        <f>IFERROR(N3*(1+INDEX(CAGR!$C$44:$C$50,MATCH($A3,CAGR!$B$44:$B$50,0))),0)</f>
        <v>0</v>
      </c>
      <c r="P3" s="14">
        <f>IFERROR(O3*(1+INDEX(CAGR!$C$44:$C$50,MATCH($A3,CAGR!$B$44:$B$50,0))),0)</f>
        <v>0</v>
      </c>
      <c r="Q3" s="14">
        <f>IFERROR(P3*(1+INDEX(CAGR!$C$44:$C$50,MATCH($A3,CAGR!$B$44:$B$50,0))),0)</f>
        <v>0</v>
      </c>
      <c r="R3" s="14">
        <f>IFERROR(Q3*(1+INDEX(CAGR!$C$44:$C$50,MATCH($A3,CAGR!$B$44:$B$50,0))),0)</f>
        <v>0</v>
      </c>
      <c r="S3" s="14">
        <f>IFERROR(R3*(1+INDEX(CAGR!$C$44:$C$50,MATCH($A3,CAGR!$B$44:$B$50,0))),0)</f>
        <v>0</v>
      </c>
      <c r="T3" s="14">
        <f>IFERROR(S3*(1+INDEX(CAGR!$C$44:$C$50,MATCH($A3,CAGR!$B$44:$B$50,0))),0)</f>
        <v>0</v>
      </c>
      <c r="U3" s="14">
        <f>IFERROR(T3*(1+INDEX(CAGR!$C$44:$C$50,MATCH($A3,CAGR!$B$44:$B$50,0))),0)</f>
        <v>0</v>
      </c>
      <c r="V3" s="14">
        <f>IFERROR(U3*(1+INDEX(CAGR!$C$44:$C$50,MATCH($A3,CAGR!$B$44:$B$50,0))),0)</f>
        <v>0</v>
      </c>
      <c r="W3" s="14">
        <f>IFERROR(V3*(1+INDEX(CAGR!$C$44:$C$50,MATCH($A3,CAGR!$B$44:$B$50,0))),0)</f>
        <v>0</v>
      </c>
      <c r="X3" s="14">
        <f>IFERROR(W3*(1+INDEX(CAGR!$C$44:$C$50,MATCH($A3,CAGR!$B$44:$B$50,0))),0)</f>
        <v>0</v>
      </c>
      <c r="Y3" s="14">
        <f>IFERROR(X3*(1+INDEX(CAGR!$C$44:$C$50,MATCH($A3,CAGR!$B$44:$B$50,0))),0)</f>
        <v>0</v>
      </c>
      <c r="Z3" s="14">
        <f>IFERROR(Y3*(1+INDEX(CAGR!$C$44:$C$50,MATCH($A3,CAGR!$B$44:$B$50,0))),0)</f>
        <v>0</v>
      </c>
      <c r="AA3" s="14">
        <f>IFERROR(Z3*(1+INDEX(CAGR!$C$44:$C$50,MATCH($A3,CAGR!$B$44:$B$50,0))),0)</f>
        <v>0</v>
      </c>
      <c r="AB3" s="14">
        <f>IFERROR(AA3*(1+INDEX(CAGR!$C$44:$C$50,MATCH($A3,CAGR!$B$44:$B$50,0))),0)</f>
        <v>0</v>
      </c>
      <c r="AC3" s="14">
        <f>IFERROR(AB3*(1+INDEX(CAGR!$C$44:$C$50,MATCH($A3,CAGR!$B$44:$B$50,0))),0)</f>
        <v>0</v>
      </c>
      <c r="AD3" s="14">
        <f>IFERROR(AC3*(1+INDEX(CAGR!$C$44:$C$50,MATCH($A3,CAGR!$B$44:$B$50,0))),0)</f>
        <v>0</v>
      </c>
      <c r="AE3" s="14">
        <f>IFERROR(AD3*(1+INDEX(CAGR!$C$44:$C$50,MATCH($A3,CAGR!$B$44:$B$50,0))),0)</f>
        <v>0</v>
      </c>
      <c r="AF3" s="14">
        <f>IFERROR(AE3*(1+INDEX(CAGR!$C$44:$C$50,MATCH($A3,CAGR!$B$44:$B$50,0))),0)</f>
        <v>0</v>
      </c>
      <c r="AG3" s="14"/>
    </row>
    <row r="4" spans="1:33">
      <c r="A4" s="1" t="s">
        <v>11</v>
      </c>
      <c r="B4" s="14">
        <f>IFERROR(INDEX('SYFAFE psgr'!$B$5:$H$5,,MATCH($A4,'SYFAFE psgr'!$B$1:$H$1,0))*(1+INDEX(CAGR!$C$44:$C$50,MATCH($A4,CAGR!$B$44:$B$50,0))),0)</f>
        <v>0</v>
      </c>
      <c r="C4" s="14">
        <f>IFERROR(B4*(1+INDEX(CAGR!$C$44:$C$50,MATCH($A4,CAGR!$B$44:$B$50,0))),0)</f>
        <v>0</v>
      </c>
      <c r="D4" s="14">
        <f>IFERROR(C4*(1+INDEX(CAGR!$C$44:$C$50,MATCH($A4,CAGR!$B$44:$B$50,0))),0)</f>
        <v>0</v>
      </c>
      <c r="E4" s="14">
        <f>IFERROR(D4*(1+INDEX(CAGR!$C$44:$C$50,MATCH($A4,CAGR!$B$44:$B$50,0))),0)</f>
        <v>0</v>
      </c>
      <c r="F4" s="14">
        <f>IFERROR(E4*(1+INDEX(CAGR!$C$44:$C$50,MATCH($A4,CAGR!$B$44:$B$50,0))),0)</f>
        <v>0</v>
      </c>
      <c r="G4" s="14">
        <f>IFERROR(F4*(1+INDEX(CAGR!$C$44:$C$50,MATCH($A4,CAGR!$B$44:$B$50,0))),0)</f>
        <v>0</v>
      </c>
      <c r="H4" s="14">
        <f>IFERROR(G4*(1+INDEX(CAGR!$C$44:$C$50,MATCH($A4,CAGR!$B$44:$B$50,0))),0)</f>
        <v>0</v>
      </c>
      <c r="I4" s="14">
        <f>IFERROR(H4*(1+INDEX(CAGR!$C$44:$C$50,MATCH($A4,CAGR!$B$44:$B$50,0))),0)</f>
        <v>0</v>
      </c>
      <c r="J4" s="14">
        <f>IFERROR(I4*(1+INDEX(CAGR!$C$44:$C$50,MATCH($A4,CAGR!$B$44:$B$50,0))),0)</f>
        <v>0</v>
      </c>
      <c r="K4" s="14">
        <f>IFERROR(J4*(1+INDEX(CAGR!$C$44:$C$50,MATCH($A4,CAGR!$B$44:$B$50,0))),0)</f>
        <v>0</v>
      </c>
      <c r="L4" s="14">
        <f>IFERROR(K4*(1+INDEX(CAGR!$C$44:$C$50,MATCH($A4,CAGR!$B$44:$B$50,0))),0)</f>
        <v>0</v>
      </c>
      <c r="M4" s="14">
        <f>IFERROR(L4*(1+INDEX(CAGR!$C$44:$C$50,MATCH($A4,CAGR!$B$44:$B$50,0))),0)</f>
        <v>0</v>
      </c>
      <c r="N4" s="14">
        <f>IFERROR(M4*(1+INDEX(CAGR!$C$44:$C$50,MATCH($A4,CAGR!$B$44:$B$50,0))),0)</f>
        <v>0</v>
      </c>
      <c r="O4" s="14">
        <f>IFERROR(N4*(1+INDEX(CAGR!$C$44:$C$50,MATCH($A4,CAGR!$B$44:$B$50,0))),0)</f>
        <v>0</v>
      </c>
      <c r="P4" s="14">
        <f>IFERROR(O4*(1+INDEX(CAGR!$C$44:$C$50,MATCH($A4,CAGR!$B$44:$B$50,0))),0)</f>
        <v>0</v>
      </c>
      <c r="Q4" s="14">
        <f>IFERROR(P4*(1+INDEX(CAGR!$C$44:$C$50,MATCH($A4,CAGR!$B$44:$B$50,0))),0)</f>
        <v>0</v>
      </c>
      <c r="R4" s="14">
        <f>IFERROR(Q4*(1+INDEX(CAGR!$C$44:$C$50,MATCH($A4,CAGR!$B$44:$B$50,0))),0)</f>
        <v>0</v>
      </c>
      <c r="S4" s="14">
        <f>IFERROR(R4*(1+INDEX(CAGR!$C$44:$C$50,MATCH($A4,CAGR!$B$44:$B$50,0))),0)</f>
        <v>0</v>
      </c>
      <c r="T4" s="14">
        <f>IFERROR(S4*(1+INDEX(CAGR!$C$44:$C$50,MATCH($A4,CAGR!$B$44:$B$50,0))),0)</f>
        <v>0</v>
      </c>
      <c r="U4" s="14">
        <f>IFERROR(T4*(1+INDEX(CAGR!$C$44:$C$50,MATCH($A4,CAGR!$B$44:$B$50,0))),0)</f>
        <v>0</v>
      </c>
      <c r="V4" s="14">
        <f>IFERROR(U4*(1+INDEX(CAGR!$C$44:$C$50,MATCH($A4,CAGR!$B$44:$B$50,0))),0)</f>
        <v>0</v>
      </c>
      <c r="W4" s="14">
        <f>IFERROR(V4*(1+INDEX(CAGR!$C$44:$C$50,MATCH($A4,CAGR!$B$44:$B$50,0))),0)</f>
        <v>0</v>
      </c>
      <c r="X4" s="14">
        <f>IFERROR(W4*(1+INDEX(CAGR!$C$44:$C$50,MATCH($A4,CAGR!$B$44:$B$50,0))),0)</f>
        <v>0</v>
      </c>
      <c r="Y4" s="14">
        <f>IFERROR(X4*(1+INDEX(CAGR!$C$44:$C$50,MATCH($A4,CAGR!$B$44:$B$50,0))),0)</f>
        <v>0</v>
      </c>
      <c r="Z4" s="14">
        <f>IFERROR(Y4*(1+INDEX(CAGR!$C$44:$C$50,MATCH($A4,CAGR!$B$44:$B$50,0))),0)</f>
        <v>0</v>
      </c>
      <c r="AA4" s="14">
        <f>IFERROR(Z4*(1+INDEX(CAGR!$C$44:$C$50,MATCH($A4,CAGR!$B$44:$B$50,0))),0)</f>
        <v>0</v>
      </c>
      <c r="AB4" s="14">
        <f>IFERROR(AA4*(1+INDEX(CAGR!$C$44:$C$50,MATCH($A4,CAGR!$B$44:$B$50,0))),0)</f>
        <v>0</v>
      </c>
      <c r="AC4" s="14">
        <f>IFERROR(AB4*(1+INDEX(CAGR!$C$44:$C$50,MATCH($A4,CAGR!$B$44:$B$50,0))),0)</f>
        <v>0</v>
      </c>
      <c r="AD4" s="14">
        <f>IFERROR(AC4*(1+INDEX(CAGR!$C$44:$C$50,MATCH($A4,CAGR!$B$44:$B$50,0))),0)</f>
        <v>0</v>
      </c>
      <c r="AE4" s="14">
        <f>IFERROR(AD4*(1+INDEX(CAGR!$C$44:$C$50,MATCH($A4,CAGR!$B$44:$B$50,0))),0)</f>
        <v>0</v>
      </c>
      <c r="AF4" s="14">
        <f>IFERROR(AE4*(1+INDEX(CAGR!$C$44:$C$50,MATCH($A4,CAGR!$B$44:$B$50,0))),0)</f>
        <v>0</v>
      </c>
      <c r="AG4" s="14"/>
    </row>
    <row r="5" spans="1:33">
      <c r="A5" s="1" t="s">
        <v>12</v>
      </c>
      <c r="B5" s="14">
        <f>IFERROR(INDEX('SYFAFE psgr'!$B$5:$H$5,,MATCH($A5,'SYFAFE psgr'!$B$1:$H$1,0))*(1+INDEX(CAGR!$C$44:$C$50,MATCH($A5,CAGR!$B$44:$B$50,0))),0)</f>
        <v>5.5276547249040213E-3</v>
      </c>
      <c r="C5" s="14">
        <f>IFERROR(B5*(1+INDEX(CAGR!$C$44:$C$50,MATCH($A5,CAGR!$B$44:$B$50,0))),0)</f>
        <v>5.5258974656381627E-3</v>
      </c>
      <c r="D5" s="14">
        <f>IFERROR(C5*(1+INDEX(CAGR!$C$44:$C$50,MATCH($A5,CAGR!$B$44:$B$50,0))),0)</f>
        <v>5.5241407650106922E-3</v>
      </c>
      <c r="E5" s="14">
        <f>IFERROR(D5*(1+INDEX(CAGR!$C$44:$C$50,MATCH($A5,CAGR!$B$44:$B$50,0))),0)</f>
        <v>5.5223846228440177E-3</v>
      </c>
      <c r="F5" s="14">
        <f>IFERROR(E5*(1+INDEX(CAGR!$C$44:$C$50,MATCH($A5,CAGR!$B$44:$B$50,0))),0)</f>
        <v>5.5206290389606021E-3</v>
      </c>
      <c r="G5" s="14">
        <f>IFERROR(F5*(1+INDEX(CAGR!$C$44:$C$50,MATCH($A5,CAGR!$B$44:$B$50,0))),0)</f>
        <v>5.5188740131829651E-3</v>
      </c>
      <c r="H5" s="14">
        <f>IFERROR(G5*(1+INDEX(CAGR!$C$44:$C$50,MATCH($A5,CAGR!$B$44:$B$50,0))),0)</f>
        <v>5.5171195453336836E-3</v>
      </c>
      <c r="I5" s="14">
        <f>IFERROR(H5*(1+INDEX(CAGR!$C$44:$C$50,MATCH($A5,CAGR!$B$44:$B$50,0))),0)</f>
        <v>5.5153656352353898E-3</v>
      </c>
      <c r="J5" s="14">
        <f>IFERROR(I5*(1+INDEX(CAGR!$C$44:$C$50,MATCH($A5,CAGR!$B$44:$B$50,0))),0)</f>
        <v>5.5136122827107734E-3</v>
      </c>
      <c r="K5" s="14">
        <f>IFERROR(J5*(1+INDEX(CAGR!$C$44:$C$50,MATCH($A5,CAGR!$B$44:$B$50,0))),0)</f>
        <v>5.5118594875825802E-3</v>
      </c>
      <c r="L5" s="14">
        <f>IFERROR(K5*(1+INDEX(CAGR!$C$44:$C$50,MATCH($A5,CAGR!$B$44:$B$50,0))),0)</f>
        <v>5.5101072496736118E-3</v>
      </c>
      <c r="M5" s="14">
        <f>IFERROR(L5*(1+INDEX(CAGR!$C$44:$C$50,MATCH($A5,CAGR!$B$44:$B$50,0))),0)</f>
        <v>5.508355568806726E-3</v>
      </c>
      <c r="N5" s="14">
        <f>IFERROR(M5*(1+INDEX(CAGR!$C$44:$C$50,MATCH($A5,CAGR!$B$44:$B$50,0))),0)</f>
        <v>5.5066044448048379E-3</v>
      </c>
      <c r="O5" s="14">
        <f>IFERROR(N5*(1+INDEX(CAGR!$C$44:$C$50,MATCH($A5,CAGR!$B$44:$B$50,0))),0)</f>
        <v>5.5048538774909181E-3</v>
      </c>
      <c r="P5" s="14">
        <f>IFERROR(O5*(1+INDEX(CAGR!$C$44:$C$50,MATCH($A5,CAGR!$B$44:$B$50,0))),0)</f>
        <v>5.5031038666879936E-3</v>
      </c>
      <c r="Q5" s="14">
        <f>IFERROR(P5*(1+INDEX(CAGR!$C$44:$C$50,MATCH($A5,CAGR!$B$44:$B$50,0))),0)</f>
        <v>5.5013544122191477E-3</v>
      </c>
      <c r="R5" s="14">
        <f>IFERROR(Q5*(1+INDEX(CAGR!$C$44:$C$50,MATCH($A5,CAGR!$B$44:$B$50,0))),0)</f>
        <v>5.4996055139075201E-3</v>
      </c>
      <c r="S5" s="14">
        <f>IFERROR(R5*(1+INDEX(CAGR!$C$44:$C$50,MATCH($A5,CAGR!$B$44:$B$50,0))),0)</f>
        <v>5.4978571715763062E-3</v>
      </c>
      <c r="T5" s="14">
        <f>IFERROR(S5*(1+INDEX(CAGR!$C$44:$C$50,MATCH($A5,CAGR!$B$44:$B$50,0))),0)</f>
        <v>5.4961093850487584E-3</v>
      </c>
      <c r="U5" s="14">
        <f>IFERROR(T5*(1+INDEX(CAGR!$C$44:$C$50,MATCH($A5,CAGR!$B$44:$B$50,0))),0)</f>
        <v>5.4943621541481856E-3</v>
      </c>
      <c r="V5" s="14">
        <f>IFERROR(U5*(1+INDEX(CAGR!$C$44:$C$50,MATCH($A5,CAGR!$B$44:$B$50,0))),0)</f>
        <v>5.4926154786979512E-3</v>
      </c>
      <c r="W5" s="14">
        <f>IFERROR(V5*(1+INDEX(CAGR!$C$44:$C$50,MATCH($A5,CAGR!$B$44:$B$50,0))),0)</f>
        <v>5.4908693585214762E-3</v>
      </c>
      <c r="X5" s="14">
        <f>IFERROR(W5*(1+INDEX(CAGR!$C$44:$C$50,MATCH($A5,CAGR!$B$44:$B$50,0))),0)</f>
        <v>5.4891237934422375E-3</v>
      </c>
      <c r="Y5" s="14">
        <f>IFERROR(X5*(1+INDEX(CAGR!$C$44:$C$50,MATCH($A5,CAGR!$B$44:$B$50,0))),0)</f>
        <v>5.4873787832837671E-3</v>
      </c>
      <c r="Z5" s="14">
        <f>IFERROR(Y5*(1+INDEX(CAGR!$C$44:$C$50,MATCH($A5,CAGR!$B$44:$B$50,0))),0)</f>
        <v>5.4856343278696547E-3</v>
      </c>
      <c r="AA5" s="14">
        <f>IFERROR(Z5*(1+INDEX(CAGR!$C$44:$C$50,MATCH($A5,CAGR!$B$44:$B$50,0))),0)</f>
        <v>5.4838904270235449E-3</v>
      </c>
      <c r="AB5" s="14">
        <f>IFERROR(AA5*(1+INDEX(CAGR!$C$44:$C$50,MATCH($A5,CAGR!$B$44:$B$50,0))),0)</f>
        <v>5.4821470805691387E-3</v>
      </c>
      <c r="AC5" s="14">
        <f>IFERROR(AB5*(1+INDEX(CAGR!$C$44:$C$50,MATCH($A5,CAGR!$B$44:$B$50,0))),0)</f>
        <v>5.4804042883301934E-3</v>
      </c>
      <c r="AD5" s="14">
        <f>IFERROR(AC5*(1+INDEX(CAGR!$C$44:$C$50,MATCH($A5,CAGR!$B$44:$B$50,0))),0)</f>
        <v>5.4786620501305226E-3</v>
      </c>
      <c r="AE5" s="14">
        <f>IFERROR(AD5*(1+INDEX(CAGR!$C$44:$C$50,MATCH($A5,CAGR!$B$44:$B$50,0))),0)</f>
        <v>5.4769203657939946E-3</v>
      </c>
      <c r="AF5" s="14">
        <f>IFERROR(AE5*(1+INDEX(CAGR!$C$44:$C$50,MATCH($A5,CAGR!$B$44:$B$50,0))),0)</f>
        <v>5.4751792351445351E-3</v>
      </c>
      <c r="AG5" s="14"/>
    </row>
    <row r="6" spans="1:33">
      <c r="A6" s="1" t="s">
        <v>13</v>
      </c>
      <c r="B6" s="14">
        <f>IFERROR(INDEX('SYFAFE psgr'!$B$5:$H$5,,MATCH($A6,'SYFAFE psgr'!$B$1:$H$1,0))*(1+INDEX(CAGR!$C$44:$C$50,MATCH($A6,CAGR!$B$44:$B$50,0))),0)</f>
        <v>0</v>
      </c>
      <c r="C6" s="14">
        <f>IFERROR(B6*(1+INDEX(CAGR!$C$44:$C$50,MATCH($A6,CAGR!$B$44:$B$50,0))),0)</f>
        <v>0</v>
      </c>
      <c r="D6" s="14">
        <f>IFERROR(C6*(1+INDEX(CAGR!$C$44:$C$50,MATCH($A6,CAGR!$B$44:$B$50,0))),0)</f>
        <v>0</v>
      </c>
      <c r="E6" s="14">
        <f>IFERROR(D6*(1+INDEX(CAGR!$C$44:$C$50,MATCH($A6,CAGR!$B$44:$B$50,0))),0)</f>
        <v>0</v>
      </c>
      <c r="F6" s="14">
        <f>IFERROR(E6*(1+INDEX(CAGR!$C$44:$C$50,MATCH($A6,CAGR!$B$44:$B$50,0))),0)</f>
        <v>0</v>
      </c>
      <c r="G6" s="14">
        <f>IFERROR(F6*(1+INDEX(CAGR!$C$44:$C$50,MATCH($A6,CAGR!$B$44:$B$50,0))),0)</f>
        <v>0</v>
      </c>
      <c r="H6" s="14">
        <f>IFERROR(G6*(1+INDEX(CAGR!$C$44:$C$50,MATCH($A6,CAGR!$B$44:$B$50,0))),0)</f>
        <v>0</v>
      </c>
      <c r="I6" s="14">
        <f>IFERROR(H6*(1+INDEX(CAGR!$C$44:$C$50,MATCH($A6,CAGR!$B$44:$B$50,0))),0)</f>
        <v>0</v>
      </c>
      <c r="J6" s="14">
        <f>IFERROR(I6*(1+INDEX(CAGR!$C$44:$C$50,MATCH($A6,CAGR!$B$44:$B$50,0))),0)</f>
        <v>0</v>
      </c>
      <c r="K6" s="14">
        <f>IFERROR(J6*(1+INDEX(CAGR!$C$44:$C$50,MATCH($A6,CAGR!$B$44:$B$50,0))),0)</f>
        <v>0</v>
      </c>
      <c r="L6" s="14">
        <f>IFERROR(K6*(1+INDEX(CAGR!$C$44:$C$50,MATCH($A6,CAGR!$B$44:$B$50,0))),0)</f>
        <v>0</v>
      </c>
      <c r="M6" s="14">
        <f>IFERROR(L6*(1+INDEX(CAGR!$C$44:$C$50,MATCH($A6,CAGR!$B$44:$B$50,0))),0)</f>
        <v>0</v>
      </c>
      <c r="N6" s="14">
        <f>IFERROR(M6*(1+INDEX(CAGR!$C$44:$C$50,MATCH($A6,CAGR!$B$44:$B$50,0))),0)</f>
        <v>0</v>
      </c>
      <c r="O6" s="14">
        <f>IFERROR(N6*(1+INDEX(CAGR!$C$44:$C$50,MATCH($A6,CAGR!$B$44:$B$50,0))),0)</f>
        <v>0</v>
      </c>
      <c r="P6" s="14">
        <f>IFERROR(O6*(1+INDEX(CAGR!$C$44:$C$50,MATCH($A6,CAGR!$B$44:$B$50,0))),0)</f>
        <v>0</v>
      </c>
      <c r="Q6" s="14">
        <f>IFERROR(P6*(1+INDEX(CAGR!$C$44:$C$50,MATCH($A6,CAGR!$B$44:$B$50,0))),0)</f>
        <v>0</v>
      </c>
      <c r="R6" s="14">
        <f>IFERROR(Q6*(1+INDEX(CAGR!$C$44:$C$50,MATCH($A6,CAGR!$B$44:$B$50,0))),0)</f>
        <v>0</v>
      </c>
      <c r="S6" s="14">
        <f>IFERROR(R6*(1+INDEX(CAGR!$C$44:$C$50,MATCH($A6,CAGR!$B$44:$B$50,0))),0)</f>
        <v>0</v>
      </c>
      <c r="T6" s="14">
        <f>IFERROR(S6*(1+INDEX(CAGR!$C$44:$C$50,MATCH($A6,CAGR!$B$44:$B$50,0))),0)</f>
        <v>0</v>
      </c>
      <c r="U6" s="14">
        <f>IFERROR(T6*(1+INDEX(CAGR!$C$44:$C$50,MATCH($A6,CAGR!$B$44:$B$50,0))),0)</f>
        <v>0</v>
      </c>
      <c r="V6" s="14">
        <f>IFERROR(U6*(1+INDEX(CAGR!$C$44:$C$50,MATCH($A6,CAGR!$B$44:$B$50,0))),0)</f>
        <v>0</v>
      </c>
      <c r="W6" s="14">
        <f>IFERROR(V6*(1+INDEX(CAGR!$C$44:$C$50,MATCH($A6,CAGR!$B$44:$B$50,0))),0)</f>
        <v>0</v>
      </c>
      <c r="X6" s="14">
        <f>IFERROR(W6*(1+INDEX(CAGR!$C$44:$C$50,MATCH($A6,CAGR!$B$44:$B$50,0))),0)</f>
        <v>0</v>
      </c>
      <c r="Y6" s="14">
        <f>IFERROR(X6*(1+INDEX(CAGR!$C$44:$C$50,MATCH($A6,CAGR!$B$44:$B$50,0))),0)</f>
        <v>0</v>
      </c>
      <c r="Z6" s="14">
        <f>IFERROR(Y6*(1+INDEX(CAGR!$C$44:$C$50,MATCH($A6,CAGR!$B$44:$B$50,0))),0)</f>
        <v>0</v>
      </c>
      <c r="AA6" s="14">
        <f>IFERROR(Z6*(1+INDEX(CAGR!$C$44:$C$50,MATCH($A6,CAGR!$B$44:$B$50,0))),0)</f>
        <v>0</v>
      </c>
      <c r="AB6" s="14">
        <f>IFERROR(AA6*(1+INDEX(CAGR!$C$44:$C$50,MATCH($A6,CAGR!$B$44:$B$50,0))),0)</f>
        <v>0</v>
      </c>
      <c r="AC6" s="14">
        <f>IFERROR(AB6*(1+INDEX(CAGR!$C$44:$C$50,MATCH($A6,CAGR!$B$44:$B$50,0))),0)</f>
        <v>0</v>
      </c>
      <c r="AD6" s="14">
        <f>IFERROR(AC6*(1+INDEX(CAGR!$C$44:$C$50,MATCH($A6,CAGR!$B$44:$B$50,0))),0)</f>
        <v>0</v>
      </c>
      <c r="AE6" s="14">
        <f>IFERROR(AD6*(1+INDEX(CAGR!$C$44:$C$50,MATCH($A6,CAGR!$B$44:$B$50,0))),0)</f>
        <v>0</v>
      </c>
      <c r="AF6" s="14">
        <f>IFERROR(AE6*(1+INDEX(CAGR!$C$44:$C$50,MATCH($A6,CAGR!$B$44:$B$50,0))),0)</f>
        <v>0</v>
      </c>
      <c r="AG6" s="14"/>
    </row>
    <row r="7" spans="1:33">
      <c r="A7" s="1" t="s">
        <v>14</v>
      </c>
      <c r="B7" s="14">
        <f>IFERROR(INDEX('SYFAFE psgr'!$B$5:$H$5,,MATCH($A7,'SYFAFE psgr'!$B$1:$H$1,0))*(1+INDEX(CAGR!$C$44:$C$50,MATCH($A7,CAGR!$B$44:$B$50,0))),0)</f>
        <v>0</v>
      </c>
      <c r="C7" s="14">
        <f>IFERROR(B7*(1+INDEX(CAGR!$C$44:$C$50,MATCH($A7,CAGR!$B$44:$B$50,0))),0)</f>
        <v>0</v>
      </c>
      <c r="D7" s="14">
        <f>IFERROR(C7*(1+INDEX(CAGR!$C$44:$C$50,MATCH($A7,CAGR!$B$44:$B$50,0))),0)</f>
        <v>0</v>
      </c>
      <c r="E7" s="14">
        <f>IFERROR(D7*(1+INDEX(CAGR!$C$44:$C$50,MATCH($A7,CAGR!$B$44:$B$50,0))),0)</f>
        <v>0</v>
      </c>
      <c r="F7" s="14">
        <f>IFERROR(E7*(1+INDEX(CAGR!$C$44:$C$50,MATCH($A7,CAGR!$B$44:$B$50,0))),0)</f>
        <v>0</v>
      </c>
      <c r="G7" s="14">
        <f>IFERROR(F7*(1+INDEX(CAGR!$C$44:$C$50,MATCH($A7,CAGR!$B$44:$B$50,0))),0)</f>
        <v>0</v>
      </c>
      <c r="H7" s="14">
        <f>IFERROR(G7*(1+INDEX(CAGR!$C$44:$C$50,MATCH($A7,CAGR!$B$44:$B$50,0))),0)</f>
        <v>0</v>
      </c>
      <c r="I7" s="14">
        <f>IFERROR(H7*(1+INDEX(CAGR!$C$44:$C$50,MATCH($A7,CAGR!$B$44:$B$50,0))),0)</f>
        <v>0</v>
      </c>
      <c r="J7" s="14">
        <f>IFERROR(I7*(1+INDEX(CAGR!$C$44:$C$50,MATCH($A7,CAGR!$B$44:$B$50,0))),0)</f>
        <v>0</v>
      </c>
      <c r="K7" s="14">
        <f>IFERROR(J7*(1+INDEX(CAGR!$C$44:$C$50,MATCH($A7,CAGR!$B$44:$B$50,0))),0)</f>
        <v>0</v>
      </c>
      <c r="L7" s="14">
        <f>IFERROR(K7*(1+INDEX(CAGR!$C$44:$C$50,MATCH($A7,CAGR!$B$44:$B$50,0))),0)</f>
        <v>0</v>
      </c>
      <c r="M7" s="14">
        <f>IFERROR(L7*(1+INDEX(CAGR!$C$44:$C$50,MATCH($A7,CAGR!$B$44:$B$50,0))),0)</f>
        <v>0</v>
      </c>
      <c r="N7" s="14">
        <f>IFERROR(M7*(1+INDEX(CAGR!$C$44:$C$50,MATCH($A7,CAGR!$B$44:$B$50,0))),0)</f>
        <v>0</v>
      </c>
      <c r="O7" s="14">
        <f>IFERROR(N7*(1+INDEX(CAGR!$C$44:$C$50,MATCH($A7,CAGR!$B$44:$B$50,0))),0)</f>
        <v>0</v>
      </c>
      <c r="P7" s="14">
        <f>IFERROR(O7*(1+INDEX(CAGR!$C$44:$C$50,MATCH($A7,CAGR!$B$44:$B$50,0))),0)</f>
        <v>0</v>
      </c>
      <c r="Q7" s="14">
        <f>IFERROR(P7*(1+INDEX(CAGR!$C$44:$C$50,MATCH($A7,CAGR!$B$44:$B$50,0))),0)</f>
        <v>0</v>
      </c>
      <c r="R7" s="14">
        <f>IFERROR(Q7*(1+INDEX(CAGR!$C$44:$C$50,MATCH($A7,CAGR!$B$44:$B$50,0))),0)</f>
        <v>0</v>
      </c>
      <c r="S7" s="14">
        <f>IFERROR(R7*(1+INDEX(CAGR!$C$44:$C$50,MATCH($A7,CAGR!$B$44:$B$50,0))),0)</f>
        <v>0</v>
      </c>
      <c r="T7" s="14">
        <f>IFERROR(S7*(1+INDEX(CAGR!$C$44:$C$50,MATCH($A7,CAGR!$B$44:$B$50,0))),0)</f>
        <v>0</v>
      </c>
      <c r="U7" s="14">
        <f>IFERROR(T7*(1+INDEX(CAGR!$C$44:$C$50,MATCH($A7,CAGR!$B$44:$B$50,0))),0)</f>
        <v>0</v>
      </c>
      <c r="V7" s="14">
        <f>IFERROR(U7*(1+INDEX(CAGR!$C$44:$C$50,MATCH($A7,CAGR!$B$44:$B$50,0))),0)</f>
        <v>0</v>
      </c>
      <c r="W7" s="14">
        <f>IFERROR(V7*(1+INDEX(CAGR!$C$44:$C$50,MATCH($A7,CAGR!$B$44:$B$50,0))),0)</f>
        <v>0</v>
      </c>
      <c r="X7" s="14">
        <f>IFERROR(W7*(1+INDEX(CAGR!$C$44:$C$50,MATCH($A7,CAGR!$B$44:$B$50,0))),0)</f>
        <v>0</v>
      </c>
      <c r="Y7" s="14">
        <f>IFERROR(X7*(1+INDEX(CAGR!$C$44:$C$50,MATCH($A7,CAGR!$B$44:$B$50,0))),0)</f>
        <v>0</v>
      </c>
      <c r="Z7" s="14">
        <f>IFERROR(Y7*(1+INDEX(CAGR!$C$44:$C$50,MATCH($A7,CAGR!$B$44:$B$50,0))),0)</f>
        <v>0</v>
      </c>
      <c r="AA7" s="14">
        <f>IFERROR(Z7*(1+INDEX(CAGR!$C$44:$C$50,MATCH($A7,CAGR!$B$44:$B$50,0))),0)</f>
        <v>0</v>
      </c>
      <c r="AB7" s="14">
        <f>IFERROR(AA7*(1+INDEX(CAGR!$C$44:$C$50,MATCH($A7,CAGR!$B$44:$B$50,0))),0)</f>
        <v>0</v>
      </c>
      <c r="AC7" s="14">
        <f>IFERROR(AB7*(1+INDEX(CAGR!$C$44:$C$50,MATCH($A7,CAGR!$B$44:$B$50,0))),0)</f>
        <v>0</v>
      </c>
      <c r="AD7" s="14">
        <f>IFERROR(AC7*(1+INDEX(CAGR!$C$44:$C$50,MATCH($A7,CAGR!$B$44:$B$50,0))),0)</f>
        <v>0</v>
      </c>
      <c r="AE7" s="14">
        <f>IFERROR(AD7*(1+INDEX(CAGR!$C$44:$C$50,MATCH($A7,CAGR!$B$44:$B$50,0))),0)</f>
        <v>0</v>
      </c>
      <c r="AF7" s="14">
        <f>IFERROR(AE7*(1+INDEX(CAGR!$C$44:$C$50,MATCH($A7,CAGR!$B$44:$B$50,0))),0)</f>
        <v>0</v>
      </c>
      <c r="AG7" s="14"/>
    </row>
    <row r="8" spans="1:33">
      <c r="A8" s="1" t="s">
        <v>15</v>
      </c>
      <c r="B8" s="13">
        <f>B5*Calibration!$D$37</f>
        <v>1.6582964174712059E-2</v>
      </c>
      <c r="C8" s="13">
        <f>B8*(1+CAGR!$C$50)</f>
        <v>1.6577692396914482E-2</v>
      </c>
      <c r="D8" s="13">
        <f>C8*(1+CAGR!$C$50)</f>
        <v>1.6572422295032072E-2</v>
      </c>
      <c r="E8" s="13">
        <f>D8*(1+CAGR!$C$50)</f>
        <v>1.6567153868532046E-2</v>
      </c>
      <c r="F8" s="13">
        <f>E8*(1+CAGR!$C$50)</f>
        <v>1.6561887116881797E-2</v>
      </c>
      <c r="G8" s="13">
        <f>F8*(1+CAGR!$C$50)</f>
        <v>1.6556622039548885E-2</v>
      </c>
      <c r="H8" s="13">
        <f>G8*(1+CAGR!$C$50)</f>
        <v>1.6551358636001039E-2</v>
      </c>
      <c r="I8" s="13">
        <f>H8*(1+CAGR!$C$50)</f>
        <v>1.6546096905706159E-2</v>
      </c>
      <c r="J8" s="13">
        <f>I8*(1+CAGR!$C$50)</f>
        <v>1.6540836848132311E-2</v>
      </c>
      <c r="K8" s="13">
        <f>J8*(1+CAGR!$C$50)</f>
        <v>1.6535578462747731E-2</v>
      </c>
      <c r="L8" s="13">
        <f>K8*(1+CAGR!$C$50)</f>
        <v>1.6530321749020825E-2</v>
      </c>
      <c r="M8" s="13">
        <f>L8*(1+CAGR!$C$50)</f>
        <v>1.6525066706420167E-2</v>
      </c>
      <c r="N8" s="13">
        <f>M8*(1+CAGR!$C$50)</f>
        <v>1.6519813334414501E-2</v>
      </c>
      <c r="O8" s="13">
        <f>N8*(1+CAGR!$C$50)</f>
        <v>1.6514561632472741E-2</v>
      </c>
      <c r="P8" s="13">
        <f>O8*(1+CAGR!$C$50)</f>
        <v>1.6509311600063966E-2</v>
      </c>
      <c r="Q8" s="13">
        <f>P8*(1+CAGR!$C$50)</f>
        <v>1.6504063236657429E-2</v>
      </c>
      <c r="R8" s="13">
        <f>Q8*(1+CAGR!$C$50)</f>
        <v>1.6498816541722545E-2</v>
      </c>
      <c r="S8" s="13">
        <f>R8*(1+CAGR!$C$50)</f>
        <v>1.6493571514728904E-2</v>
      </c>
      <c r="T8" s="13">
        <f>S8*(1+CAGR!$C$50)</f>
        <v>1.648832815514626E-2</v>
      </c>
      <c r="U8" s="13">
        <f>T8*(1+CAGR!$C$50)</f>
        <v>1.6483086462444542E-2</v>
      </c>
      <c r="V8" s="13">
        <f>U8*(1+CAGR!$C$50)</f>
        <v>1.6477846436093839E-2</v>
      </c>
      <c r="W8" s="13">
        <f>V8*(1+CAGR!$C$50)</f>
        <v>1.6472608075564416E-2</v>
      </c>
      <c r="X8" s="13">
        <f>W8*(1+CAGR!$C$50)</f>
        <v>1.6467371380326699E-2</v>
      </c>
      <c r="Y8" s="13">
        <f>X8*(1+CAGR!$C$50)</f>
        <v>1.6462136349851289E-2</v>
      </c>
      <c r="Z8" s="13">
        <f>Y8*(1+CAGR!$C$50)</f>
        <v>1.6456902983608954E-2</v>
      </c>
      <c r="AA8" s="13">
        <f>Z8*(1+CAGR!$C$50)</f>
        <v>1.6451671281070626E-2</v>
      </c>
      <c r="AB8" s="13">
        <f>AA8*(1+CAGR!$C$50)</f>
        <v>1.6446441241707407E-2</v>
      </c>
      <c r="AC8" s="13">
        <f>AB8*(1+CAGR!$C$50)</f>
        <v>1.6441212864990572E-2</v>
      </c>
      <c r="AD8" s="13">
        <f>AC8*(1+CAGR!$C$50)</f>
        <v>1.643598615039156E-2</v>
      </c>
      <c r="AE8" s="13">
        <f>AD8*(1+CAGR!$C$50)</f>
        <v>1.6430761097381976E-2</v>
      </c>
      <c r="AF8" s="13">
        <f>AE8*(1+CAGR!$C$50)</f>
        <v>1.6425537705433597E-2</v>
      </c>
      <c r="AG8" s="14"/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154C0-0C37-417F-BDAF-821D86C49073}">
  <sheetPr>
    <tabColor rgb="FF1F497D"/>
  </sheetPr>
  <dimension ref="A1:AF8"/>
  <sheetViews>
    <sheetView workbookViewId="0"/>
  </sheetViews>
  <sheetFormatPr defaultRowHeight="16.5"/>
  <cols>
    <col min="1" max="1" width="32.75" bestFit="1" customWidth="1"/>
    <col min="2" max="32" width="9.2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4">
        <f>IFERROR(INDEX('SYFAFE frgt'!$B$5:$H$5,,MATCH($A2,'SYFAFE frgt'!$B$1:$H$1,0))*(1+INDEX(CAGR!$C$51:$C$57,MATCH($A2,CAGR!$B$51:$B$57,0))),0)</f>
        <v>1.0084146809931577E-3</v>
      </c>
      <c r="C2" s="14">
        <f>IFERROR(B2*(1+INDEX(CAGR!$C$51:$C$57,MATCH($A2,CAGR!$B$44:$B$50,0))),0)</f>
        <v>1.0147436910357458E-3</v>
      </c>
      <c r="D2" s="14">
        <f>IFERROR(C2*(1+INDEX(CAGR!$C$51:$C$57,MATCH($A2,CAGR!$B$44:$B$50,0))),0)</f>
        <v>1.021112423197492E-3</v>
      </c>
      <c r="E2" s="14">
        <f>IFERROR(D2*(1+INDEX(CAGR!$C$51:$C$57,MATCH($A2,CAGR!$B$44:$B$50,0))),0)</f>
        <v>1.0275211267822748E-3</v>
      </c>
      <c r="F2" s="14">
        <f>IFERROR(E2*(1+INDEX(CAGR!$C$51:$C$57,MATCH($A2,CAGR!$B$44:$B$50,0))),0)</f>
        <v>1.033970052658653E-3</v>
      </c>
      <c r="G2" s="14">
        <f>IFERROR(F2*(1+INDEX(CAGR!$C$51:$C$57,MATCH($A2,CAGR!$B$44:$B$50,0))),0)</f>
        <v>1.0404594532696864E-3</v>
      </c>
      <c r="H2" s="14">
        <f>IFERROR(G2*(1+INDEX(CAGR!$C$51:$C$57,MATCH($A2,CAGR!$B$44:$B$50,0))),0)</f>
        <v>1.0469895826428171E-3</v>
      </c>
      <c r="I2" s="14">
        <f>IFERROR(H2*(1+INDEX(CAGR!$C$51:$C$57,MATCH($A2,CAGR!$B$44:$B$50,0))),0)</f>
        <v>1.0535606963998137E-3</v>
      </c>
      <c r="J2" s="14">
        <f>IFERROR(I2*(1+INDEX(CAGR!$C$51:$C$57,MATCH($A2,CAGR!$B$44:$B$50,0))),0)</f>
        <v>1.0601730517667779E-3</v>
      </c>
      <c r="K2" s="14">
        <f>IFERROR(J2*(1+INDEX(CAGR!$C$51:$C$57,MATCH($A2,CAGR!$B$44:$B$50,0))),0)</f>
        <v>1.066826907584213E-3</v>
      </c>
      <c r="L2" s="14">
        <f>IFERROR(K2*(1+INDEX(CAGR!$C$51:$C$57,MATCH($A2,CAGR!$B$44:$B$50,0))),0)</f>
        <v>1.0735225243171565E-3</v>
      </c>
      <c r="M2" s="14">
        <f>IFERROR(L2*(1+INDEX(CAGR!$C$51:$C$57,MATCH($A2,CAGR!$B$44:$B$50,0))),0)</f>
        <v>1.0802601640653763E-3</v>
      </c>
      <c r="N2" s="14">
        <f>IFERROR(M2*(1+INDEX(CAGR!$C$51:$C$57,MATCH($A2,CAGR!$B$44:$B$50,0))),0)</f>
        <v>1.08704009057363E-3</v>
      </c>
      <c r="O2" s="14">
        <f>IFERROR(N2*(1+INDEX(CAGR!$C$51:$C$57,MATCH($A2,CAGR!$B$44:$B$50,0))),0)</f>
        <v>1.0938625692419896E-3</v>
      </c>
      <c r="P2" s="14">
        <f>IFERROR(O2*(1+INDEX(CAGR!$C$51:$C$57,MATCH($A2,CAGR!$B$44:$B$50,0))),0)</f>
        <v>1.1007278671362304E-3</v>
      </c>
      <c r="Q2" s="14">
        <f>IFERROR(P2*(1+INDEX(CAGR!$C$51:$C$57,MATCH($A2,CAGR!$B$44:$B$50,0))),0)</f>
        <v>1.1076362529982852E-3</v>
      </c>
      <c r="R2" s="14">
        <f>IFERROR(Q2*(1+INDEX(CAGR!$C$51:$C$57,MATCH($A2,CAGR!$B$44:$B$50,0))),0)</f>
        <v>1.114587997256765E-3</v>
      </c>
      <c r="S2" s="14">
        <f>IFERROR(R2*(1+INDEX(CAGR!$C$51:$C$57,MATCH($A2,CAGR!$B$44:$B$50,0))),0)</f>
        <v>1.1215833720375433E-3</v>
      </c>
      <c r="T2" s="14">
        <f>IFERROR(S2*(1+INDEX(CAGR!$C$51:$C$57,MATCH($A2,CAGR!$B$44:$B$50,0))),0)</f>
        <v>1.1286226511744103E-3</v>
      </c>
      <c r="U2" s="14">
        <f>IFERROR(T2*(1+INDEX(CAGR!$C$51:$C$57,MATCH($A2,CAGR!$B$44:$B$50,0))),0)</f>
        <v>1.1357061102197905E-3</v>
      </c>
      <c r="V2" s="14">
        <f>IFERROR(U2*(1+INDEX(CAGR!$C$51:$C$57,MATCH($A2,CAGR!$B$44:$B$50,0))),0)</f>
        <v>1.1428340264555306E-3</v>
      </c>
      <c r="W2" s="14">
        <f>IFERROR(V2*(1+INDEX(CAGR!$C$51:$C$57,MATCH($A2,CAGR!$B$44:$B$50,0))),0)</f>
        <v>1.1500066789037525E-3</v>
      </c>
      <c r="X2" s="14">
        <f>IFERROR(W2*(1+INDEX(CAGR!$C$51:$C$57,MATCH($A2,CAGR!$B$44:$B$50,0))),0)</f>
        <v>1.1572243483377765E-3</v>
      </c>
      <c r="Y2" s="14">
        <f>IFERROR(X2*(1+INDEX(CAGR!$C$51:$C$57,MATCH($A2,CAGR!$B$44:$B$50,0))),0)</f>
        <v>1.1644873172931113E-3</v>
      </c>
      <c r="Z2" s="14">
        <f>IFERROR(Y2*(1+INDEX(CAGR!$C$51:$C$57,MATCH($A2,CAGR!$B$44:$B$50,0))),0)</f>
        <v>1.1717958700785151E-3</v>
      </c>
      <c r="AA2" s="14">
        <f>IFERROR(Z2*(1+INDEX(CAGR!$C$51:$C$57,MATCH($A2,CAGR!$B$44:$B$50,0))),0)</f>
        <v>1.1791502927871234E-3</v>
      </c>
      <c r="AB2" s="14">
        <f>IFERROR(AA2*(1+INDEX(CAGR!$C$51:$C$57,MATCH($A2,CAGR!$B$44:$B$50,0))),0)</f>
        <v>1.1865508733076495E-3</v>
      </c>
      <c r="AC2" s="14">
        <f>IFERROR(AB2*(1+INDEX(CAGR!$C$51:$C$57,MATCH($A2,CAGR!$B$44:$B$50,0))),0)</f>
        <v>1.1939979013356526E-3</v>
      </c>
      <c r="AD2" s="14">
        <f>IFERROR(AC2*(1+INDEX(CAGR!$C$51:$C$57,MATCH($A2,CAGR!$B$44:$B$50,0))),0)</f>
        <v>1.2014916683848788E-3</v>
      </c>
      <c r="AE2" s="14">
        <f>IFERROR(AD2*(1+INDEX(CAGR!$C$51:$C$57,MATCH($A2,CAGR!$B$44:$B$50,0))),0)</f>
        <v>1.2090324677986721E-3</v>
      </c>
      <c r="AF2" s="14">
        <f>IFERROR(AE2*(1+INDEX(CAGR!$C$51:$C$57,MATCH($A2,CAGR!$B$44:$B$50,0))),0)</f>
        <v>1.2166205947614576E-3</v>
      </c>
    </row>
    <row r="3" spans="1:32">
      <c r="A3" s="1" t="s">
        <v>10</v>
      </c>
      <c r="B3" s="14">
        <f>IFERROR(INDEX('SYFAFE frgt'!$B$5:$H$5,,MATCH($A3,'SYFAFE frgt'!$B$1:$H$1,0))*(1+INDEX(CAGR!$C$51:$C$57,MATCH($A3,CAGR!$B$51:$B$57,0))),0)</f>
        <v>0</v>
      </c>
      <c r="C3" s="14">
        <f>IFERROR(B3*(1+INDEX(CAGR!$C$51:$C$57,MATCH($A3,CAGR!$B$44:$B$50,0))),0)</f>
        <v>0</v>
      </c>
      <c r="D3" s="14">
        <f>IFERROR(C3*(1+INDEX(CAGR!$C$51:$C$57,MATCH($A3,CAGR!$B$44:$B$50,0))),0)</f>
        <v>0</v>
      </c>
      <c r="E3" s="14">
        <f>IFERROR(D3*(1+INDEX(CAGR!$C$51:$C$57,MATCH($A3,CAGR!$B$44:$B$50,0))),0)</f>
        <v>0</v>
      </c>
      <c r="F3" s="14">
        <f>IFERROR(E3*(1+INDEX(CAGR!$C$51:$C$57,MATCH($A3,CAGR!$B$44:$B$50,0))),0)</f>
        <v>0</v>
      </c>
      <c r="G3" s="14">
        <f>IFERROR(F3*(1+INDEX(CAGR!$C$51:$C$57,MATCH($A3,CAGR!$B$44:$B$50,0))),0)</f>
        <v>0</v>
      </c>
      <c r="H3" s="14">
        <f>IFERROR(G3*(1+INDEX(CAGR!$C$51:$C$57,MATCH($A3,CAGR!$B$44:$B$50,0))),0)</f>
        <v>0</v>
      </c>
      <c r="I3" s="14">
        <f>IFERROR(H3*(1+INDEX(CAGR!$C$51:$C$57,MATCH($A3,CAGR!$B$44:$B$50,0))),0)</f>
        <v>0</v>
      </c>
      <c r="J3" s="14">
        <f>IFERROR(I3*(1+INDEX(CAGR!$C$51:$C$57,MATCH($A3,CAGR!$B$44:$B$50,0))),0)</f>
        <v>0</v>
      </c>
      <c r="K3" s="14">
        <f>IFERROR(J3*(1+INDEX(CAGR!$C$51:$C$57,MATCH($A3,CAGR!$B$44:$B$50,0))),0)</f>
        <v>0</v>
      </c>
      <c r="L3" s="14">
        <f>IFERROR(K3*(1+INDEX(CAGR!$C$51:$C$57,MATCH($A3,CAGR!$B$44:$B$50,0))),0)</f>
        <v>0</v>
      </c>
      <c r="M3" s="14">
        <f>IFERROR(L3*(1+INDEX(CAGR!$C$51:$C$57,MATCH($A3,CAGR!$B$44:$B$50,0))),0)</f>
        <v>0</v>
      </c>
      <c r="N3" s="14">
        <f>IFERROR(M3*(1+INDEX(CAGR!$C$51:$C$57,MATCH($A3,CAGR!$B$44:$B$50,0))),0)</f>
        <v>0</v>
      </c>
      <c r="O3" s="14">
        <f>IFERROR(N3*(1+INDEX(CAGR!$C$51:$C$57,MATCH($A3,CAGR!$B$44:$B$50,0))),0)</f>
        <v>0</v>
      </c>
      <c r="P3" s="14">
        <f>IFERROR(O3*(1+INDEX(CAGR!$C$51:$C$57,MATCH($A3,CAGR!$B$44:$B$50,0))),0)</f>
        <v>0</v>
      </c>
      <c r="Q3" s="14">
        <f>IFERROR(P3*(1+INDEX(CAGR!$C$51:$C$57,MATCH($A3,CAGR!$B$44:$B$50,0))),0)</f>
        <v>0</v>
      </c>
      <c r="R3" s="14">
        <f>IFERROR(Q3*(1+INDEX(CAGR!$C$51:$C$57,MATCH($A3,CAGR!$B$44:$B$50,0))),0)</f>
        <v>0</v>
      </c>
      <c r="S3" s="14">
        <f>IFERROR(R3*(1+INDEX(CAGR!$C$51:$C$57,MATCH($A3,CAGR!$B$44:$B$50,0))),0)</f>
        <v>0</v>
      </c>
      <c r="T3" s="14">
        <f>IFERROR(S3*(1+INDEX(CAGR!$C$51:$C$57,MATCH($A3,CAGR!$B$44:$B$50,0))),0)</f>
        <v>0</v>
      </c>
      <c r="U3" s="14">
        <f>IFERROR(T3*(1+INDEX(CAGR!$C$51:$C$57,MATCH($A3,CAGR!$B$44:$B$50,0))),0)</f>
        <v>0</v>
      </c>
      <c r="V3" s="14">
        <f>IFERROR(U3*(1+INDEX(CAGR!$C$51:$C$57,MATCH($A3,CAGR!$B$44:$B$50,0))),0)</f>
        <v>0</v>
      </c>
      <c r="W3" s="14">
        <f>IFERROR(V3*(1+INDEX(CAGR!$C$51:$C$57,MATCH($A3,CAGR!$B$44:$B$50,0))),0)</f>
        <v>0</v>
      </c>
      <c r="X3" s="14">
        <f>IFERROR(W3*(1+INDEX(CAGR!$C$51:$C$57,MATCH($A3,CAGR!$B$44:$B$50,0))),0)</f>
        <v>0</v>
      </c>
      <c r="Y3" s="14">
        <f>IFERROR(X3*(1+INDEX(CAGR!$C$51:$C$57,MATCH($A3,CAGR!$B$44:$B$50,0))),0)</f>
        <v>0</v>
      </c>
      <c r="Z3" s="14">
        <f>IFERROR(Y3*(1+INDEX(CAGR!$C$51:$C$57,MATCH($A3,CAGR!$B$44:$B$50,0))),0)</f>
        <v>0</v>
      </c>
      <c r="AA3" s="14">
        <f>IFERROR(Z3*(1+INDEX(CAGR!$C$51:$C$57,MATCH($A3,CAGR!$B$44:$B$50,0))),0)</f>
        <v>0</v>
      </c>
      <c r="AB3" s="14">
        <f>IFERROR(AA3*(1+INDEX(CAGR!$C$51:$C$57,MATCH($A3,CAGR!$B$44:$B$50,0))),0)</f>
        <v>0</v>
      </c>
      <c r="AC3" s="14">
        <f>IFERROR(AB3*(1+INDEX(CAGR!$C$51:$C$57,MATCH($A3,CAGR!$B$44:$B$50,0))),0)</f>
        <v>0</v>
      </c>
      <c r="AD3" s="14">
        <f>IFERROR(AC3*(1+INDEX(CAGR!$C$51:$C$57,MATCH($A3,CAGR!$B$44:$B$50,0))),0)</f>
        <v>0</v>
      </c>
      <c r="AE3" s="14">
        <f>IFERROR(AD3*(1+INDEX(CAGR!$C$51:$C$57,MATCH($A3,CAGR!$B$44:$B$50,0))),0)</f>
        <v>0</v>
      </c>
      <c r="AF3" s="14">
        <f>IFERROR(AE3*(1+INDEX(CAGR!$C$51:$C$57,MATCH($A3,CAGR!$B$44:$B$50,0))),0)</f>
        <v>0</v>
      </c>
    </row>
    <row r="4" spans="1:32">
      <c r="A4" s="1" t="s">
        <v>11</v>
      </c>
      <c r="B4" s="14">
        <f>IFERROR(INDEX('SYFAFE frgt'!$B$5:$H$5,,MATCH($A4,'SYFAFE frgt'!$B$1:$H$1,0))*(1+INDEX(CAGR!$C$51:$C$57,MATCH($A4,CAGR!$B$51:$B$57,0))),0)</f>
        <v>0</v>
      </c>
      <c r="C4" s="14">
        <f>IFERROR(B4*(1+INDEX(CAGR!$C$51:$C$57,MATCH($A4,CAGR!$B$44:$B$50,0))),0)</f>
        <v>0</v>
      </c>
      <c r="D4" s="14">
        <f>IFERROR(C4*(1+INDEX(CAGR!$C$51:$C$57,MATCH($A4,CAGR!$B$44:$B$50,0))),0)</f>
        <v>0</v>
      </c>
      <c r="E4" s="14">
        <f>IFERROR(D4*(1+INDEX(CAGR!$C$51:$C$57,MATCH($A4,CAGR!$B$44:$B$50,0))),0)</f>
        <v>0</v>
      </c>
      <c r="F4" s="14">
        <f>IFERROR(E4*(1+INDEX(CAGR!$C$51:$C$57,MATCH($A4,CAGR!$B$44:$B$50,0))),0)</f>
        <v>0</v>
      </c>
      <c r="G4" s="14">
        <f>IFERROR(F4*(1+INDEX(CAGR!$C$51:$C$57,MATCH($A4,CAGR!$B$44:$B$50,0))),0)</f>
        <v>0</v>
      </c>
      <c r="H4" s="14">
        <f>IFERROR(G4*(1+INDEX(CAGR!$C$51:$C$57,MATCH($A4,CAGR!$B$44:$B$50,0))),0)</f>
        <v>0</v>
      </c>
      <c r="I4" s="14">
        <f>IFERROR(H4*(1+INDEX(CAGR!$C$51:$C$57,MATCH($A4,CAGR!$B$44:$B$50,0))),0)</f>
        <v>0</v>
      </c>
      <c r="J4" s="14">
        <f>IFERROR(I4*(1+INDEX(CAGR!$C$51:$C$57,MATCH($A4,CAGR!$B$44:$B$50,0))),0)</f>
        <v>0</v>
      </c>
      <c r="K4" s="14">
        <f>IFERROR(J4*(1+INDEX(CAGR!$C$51:$C$57,MATCH($A4,CAGR!$B$44:$B$50,0))),0)</f>
        <v>0</v>
      </c>
      <c r="L4" s="14">
        <f>IFERROR(K4*(1+INDEX(CAGR!$C$51:$C$57,MATCH($A4,CAGR!$B$44:$B$50,0))),0)</f>
        <v>0</v>
      </c>
      <c r="M4" s="14">
        <f>IFERROR(L4*(1+INDEX(CAGR!$C$51:$C$57,MATCH($A4,CAGR!$B$44:$B$50,0))),0)</f>
        <v>0</v>
      </c>
      <c r="N4" s="14">
        <f>IFERROR(M4*(1+INDEX(CAGR!$C$51:$C$57,MATCH($A4,CAGR!$B$44:$B$50,0))),0)</f>
        <v>0</v>
      </c>
      <c r="O4" s="14">
        <f>IFERROR(N4*(1+INDEX(CAGR!$C$51:$C$57,MATCH($A4,CAGR!$B$44:$B$50,0))),0)</f>
        <v>0</v>
      </c>
      <c r="P4" s="14">
        <f>IFERROR(O4*(1+INDEX(CAGR!$C$51:$C$57,MATCH($A4,CAGR!$B$44:$B$50,0))),0)</f>
        <v>0</v>
      </c>
      <c r="Q4" s="14">
        <f>IFERROR(P4*(1+INDEX(CAGR!$C$51:$C$57,MATCH($A4,CAGR!$B$44:$B$50,0))),0)</f>
        <v>0</v>
      </c>
      <c r="R4" s="14">
        <f>IFERROR(Q4*(1+INDEX(CAGR!$C$51:$C$57,MATCH($A4,CAGR!$B$44:$B$50,0))),0)</f>
        <v>0</v>
      </c>
      <c r="S4" s="14">
        <f>IFERROR(R4*(1+INDEX(CAGR!$C$51:$C$57,MATCH($A4,CAGR!$B$44:$B$50,0))),0)</f>
        <v>0</v>
      </c>
      <c r="T4" s="14">
        <f>IFERROR(S4*(1+INDEX(CAGR!$C$51:$C$57,MATCH($A4,CAGR!$B$44:$B$50,0))),0)</f>
        <v>0</v>
      </c>
      <c r="U4" s="14">
        <f>IFERROR(T4*(1+INDEX(CAGR!$C$51:$C$57,MATCH($A4,CAGR!$B$44:$B$50,0))),0)</f>
        <v>0</v>
      </c>
      <c r="V4" s="14">
        <f>IFERROR(U4*(1+INDEX(CAGR!$C$51:$C$57,MATCH($A4,CAGR!$B$44:$B$50,0))),0)</f>
        <v>0</v>
      </c>
      <c r="W4" s="14">
        <f>IFERROR(V4*(1+INDEX(CAGR!$C$51:$C$57,MATCH($A4,CAGR!$B$44:$B$50,0))),0)</f>
        <v>0</v>
      </c>
      <c r="X4" s="14">
        <f>IFERROR(W4*(1+INDEX(CAGR!$C$51:$C$57,MATCH($A4,CAGR!$B$44:$B$50,0))),0)</f>
        <v>0</v>
      </c>
      <c r="Y4" s="14">
        <f>IFERROR(X4*(1+INDEX(CAGR!$C$51:$C$57,MATCH($A4,CAGR!$B$44:$B$50,0))),0)</f>
        <v>0</v>
      </c>
      <c r="Z4" s="14">
        <f>IFERROR(Y4*(1+INDEX(CAGR!$C$51:$C$57,MATCH($A4,CAGR!$B$44:$B$50,0))),0)</f>
        <v>0</v>
      </c>
      <c r="AA4" s="14">
        <f>IFERROR(Z4*(1+INDEX(CAGR!$C$51:$C$57,MATCH($A4,CAGR!$B$44:$B$50,0))),0)</f>
        <v>0</v>
      </c>
      <c r="AB4" s="14">
        <f>IFERROR(AA4*(1+INDEX(CAGR!$C$51:$C$57,MATCH($A4,CAGR!$B$44:$B$50,0))),0)</f>
        <v>0</v>
      </c>
      <c r="AC4" s="14">
        <f>IFERROR(AB4*(1+INDEX(CAGR!$C$51:$C$57,MATCH($A4,CAGR!$B$44:$B$50,0))),0)</f>
        <v>0</v>
      </c>
      <c r="AD4" s="14">
        <f>IFERROR(AC4*(1+INDEX(CAGR!$C$51:$C$57,MATCH($A4,CAGR!$B$44:$B$50,0))),0)</f>
        <v>0</v>
      </c>
      <c r="AE4" s="14">
        <f>IFERROR(AD4*(1+INDEX(CAGR!$C$51:$C$57,MATCH($A4,CAGR!$B$44:$B$50,0))),0)</f>
        <v>0</v>
      </c>
      <c r="AF4" s="14">
        <f>IFERROR(AE4*(1+INDEX(CAGR!$C$51:$C$57,MATCH($A4,CAGR!$B$44:$B$50,0))),0)</f>
        <v>0</v>
      </c>
    </row>
    <row r="5" spans="1:32">
      <c r="A5" s="1" t="s">
        <v>12</v>
      </c>
      <c r="B5" s="14">
        <f>IFERROR(INDEX('SYFAFE frgt'!$B$5:$H$5,,MATCH($A5,'SYFAFE frgt'!$B$1:$H$1,0))*(1+INDEX(CAGR!$C$51:$C$57,MATCH($A5,CAGR!$B$51:$B$57,0))),0)</f>
        <v>1.6209751680771489E-2</v>
      </c>
      <c r="C5" s="14">
        <f>IFERROR(B5*(1+INDEX(CAGR!$C$51:$C$57,MATCH($A5,CAGR!$B$44:$B$50,0))),0)</f>
        <v>1.631148728925591E-2</v>
      </c>
      <c r="D5" s="14">
        <f>IFERROR(C5*(1+INDEX(CAGR!$C$51:$C$57,MATCH($A5,CAGR!$B$44:$B$50,0))),0)</f>
        <v>1.6413861410546543E-2</v>
      </c>
      <c r="E5" s="14">
        <f>IFERROR(D5*(1+INDEX(CAGR!$C$51:$C$57,MATCH($A5,CAGR!$B$44:$B$50,0))),0)</f>
        <v>1.6516878052076085E-2</v>
      </c>
      <c r="F5" s="14">
        <f>IFERROR(E5*(1+INDEX(CAGR!$C$51:$C$57,MATCH($A5,CAGR!$B$44:$B$50,0))),0)</f>
        <v>1.6620541246428668E-2</v>
      </c>
      <c r="G5" s="14">
        <f>IFERROR(F5*(1+INDEX(CAGR!$C$51:$C$57,MATCH($A5,CAGR!$B$44:$B$50,0))),0)</f>
        <v>1.6724855051497726E-2</v>
      </c>
      <c r="H5" s="14">
        <f>IFERROR(G5*(1+INDEX(CAGR!$C$51:$C$57,MATCH($A5,CAGR!$B$44:$B$50,0))),0)</f>
        <v>1.6829823550644833E-2</v>
      </c>
      <c r="I5" s="14">
        <f>IFERROR(H5*(1+INDEX(CAGR!$C$51:$C$57,MATCH($A5,CAGR!$B$44:$B$50,0))),0)</f>
        <v>1.6935450852859545E-2</v>
      </c>
      <c r="J5" s="14">
        <f>IFERROR(I5*(1+INDEX(CAGR!$C$51:$C$57,MATCH($A5,CAGR!$B$44:$B$50,0))),0)</f>
        <v>1.7041741092920254E-2</v>
      </c>
      <c r="K5" s="14">
        <f>IFERROR(J5*(1+INDEX(CAGR!$C$51:$C$57,MATCH($A5,CAGR!$B$44:$B$50,0))),0)</f>
        <v>1.7148698431556034E-2</v>
      </c>
      <c r="L5" s="14">
        <f>IFERROR(K5*(1+INDEX(CAGR!$C$51:$C$57,MATCH($A5,CAGR!$B$44:$B$50,0))),0)</f>
        <v>1.7256327055609526E-2</v>
      </c>
      <c r="M5" s="14">
        <f>IFERROR(L5*(1+INDEX(CAGR!$C$51:$C$57,MATCH($A5,CAGR!$B$44:$B$50,0))),0)</f>
        <v>1.7364631178200814E-2</v>
      </c>
      <c r="N5" s="14">
        <f>IFERROR(M5*(1+INDEX(CAGR!$C$51:$C$57,MATCH($A5,CAGR!$B$44:$B$50,0))),0)</f>
        <v>1.7473615038892363E-2</v>
      </c>
      <c r="O5" s="14">
        <f>IFERROR(N5*(1+INDEX(CAGR!$C$51:$C$57,MATCH($A5,CAGR!$B$44:$B$50,0))),0)</f>
        <v>1.7583282903854969E-2</v>
      </c>
      <c r="P5" s="14">
        <f>IFERROR(O5*(1+INDEX(CAGR!$C$51:$C$57,MATCH($A5,CAGR!$B$44:$B$50,0))),0)</f>
        <v>1.7693639066034762E-2</v>
      </c>
      <c r="Q5" s="14">
        <f>IFERROR(P5*(1+INDEX(CAGR!$C$51:$C$57,MATCH($A5,CAGR!$B$44:$B$50,0))),0)</f>
        <v>1.780468784532125E-2</v>
      </c>
      <c r="R5" s="14">
        <f>IFERROR(Q5*(1+INDEX(CAGR!$C$51:$C$57,MATCH($A5,CAGR!$B$44:$B$50,0))),0)</f>
        <v>1.7916433588716422E-2</v>
      </c>
      <c r="S5" s="14">
        <f>IFERROR(R5*(1+INDEX(CAGR!$C$51:$C$57,MATCH($A5,CAGR!$B$44:$B$50,0))),0)</f>
        <v>1.8028880670504909E-2</v>
      </c>
      <c r="T5" s="14">
        <f>IFERROR(S5*(1+INDEX(CAGR!$C$51:$C$57,MATCH($A5,CAGR!$B$44:$B$50,0))),0)</f>
        <v>1.8142033492425224E-2</v>
      </c>
      <c r="U5" s="14">
        <f>IFERROR(T5*(1+INDEX(CAGR!$C$51:$C$57,MATCH($A5,CAGR!$B$44:$B$50,0))),0)</f>
        <v>1.8255896483842054E-2</v>
      </c>
      <c r="V5" s="14">
        <f>IFERROR(U5*(1+INDEX(CAGR!$C$51:$C$57,MATCH($A5,CAGR!$B$44:$B$50,0))),0)</f>
        <v>1.8370474101919661E-2</v>
      </c>
      <c r="W5" s="14">
        <f>IFERROR(V5*(1+INDEX(CAGR!$C$51:$C$57,MATCH($A5,CAGR!$B$44:$B$50,0))),0)</f>
        <v>1.8485770831796349E-2</v>
      </c>
      <c r="X5" s="14">
        <f>IFERROR(W5*(1+INDEX(CAGR!$C$51:$C$57,MATCH($A5,CAGR!$B$44:$B$50,0))),0)</f>
        <v>1.8601791186760037E-2</v>
      </c>
      <c r="Y5" s="14">
        <f>IFERROR(X5*(1+INDEX(CAGR!$C$51:$C$57,MATCH($A5,CAGR!$B$44:$B$50,0))),0)</f>
        <v>1.8718539708424936E-2</v>
      </c>
      <c r="Z5" s="14">
        <f>IFERROR(Y5*(1+INDEX(CAGR!$C$51:$C$57,MATCH($A5,CAGR!$B$44:$B$50,0))),0)</f>
        <v>1.8836020966909322E-2</v>
      </c>
      <c r="AA5" s="14">
        <f>IFERROR(Z5*(1+INDEX(CAGR!$C$51:$C$57,MATCH($A5,CAGR!$B$44:$B$50,0))),0)</f>
        <v>1.8954239561014437E-2</v>
      </c>
      <c r="AB5" s="14">
        <f>IFERROR(AA5*(1+INDEX(CAGR!$C$51:$C$57,MATCH($A5,CAGR!$B$44:$B$50,0))),0)</f>
        <v>1.9073200118404514E-2</v>
      </c>
      <c r="AC5" s="14">
        <f>IFERROR(AB5*(1+INDEX(CAGR!$C$51:$C$57,MATCH($A5,CAGR!$B$44:$B$50,0))),0)</f>
        <v>1.9192907295787917E-2</v>
      </c>
      <c r="AD5" s="14">
        <f>IFERROR(AC5*(1+INDEX(CAGR!$C$51:$C$57,MATCH($A5,CAGR!$B$44:$B$50,0))),0)</f>
        <v>1.9313365779099437E-2</v>
      </c>
      <c r="AE5" s="14">
        <f>IFERROR(AD5*(1+INDEX(CAGR!$C$51:$C$57,MATCH($A5,CAGR!$B$44:$B$50,0))),0)</f>
        <v>1.9434580283683715E-2</v>
      </c>
      <c r="AF5" s="14">
        <f>IFERROR(AE5*(1+INDEX(CAGR!$C$51:$C$57,MATCH($A5,CAGR!$B$44:$B$50,0))),0)</f>
        <v>1.955655555447983E-2</v>
      </c>
    </row>
    <row r="6" spans="1:32">
      <c r="A6" s="1" t="s">
        <v>13</v>
      </c>
      <c r="B6" s="14">
        <f>IFERROR(INDEX('SYFAFE frgt'!$B$5:$H$5,,MATCH($A6,'SYFAFE frgt'!$B$1:$H$1,0))*(1+INDEX(CAGR!$C$51:$C$57,MATCH($A6,CAGR!$B$51:$B$57,0))),0)</f>
        <v>0</v>
      </c>
      <c r="C6" s="14">
        <f>IFERROR(B6*(1+INDEX(CAGR!$C$51:$C$57,MATCH($A6,CAGR!$B$44:$B$50,0))),0)</f>
        <v>0</v>
      </c>
      <c r="D6" s="14">
        <f>IFERROR(C6*(1+INDEX(CAGR!$C$51:$C$57,MATCH($A6,CAGR!$B$44:$B$50,0))),0)</f>
        <v>0</v>
      </c>
      <c r="E6" s="14">
        <f>IFERROR(D6*(1+INDEX(CAGR!$C$51:$C$57,MATCH($A6,CAGR!$B$44:$B$50,0))),0)</f>
        <v>0</v>
      </c>
      <c r="F6" s="14">
        <f>IFERROR(E6*(1+INDEX(CAGR!$C$51:$C$57,MATCH($A6,CAGR!$B$44:$B$50,0))),0)</f>
        <v>0</v>
      </c>
      <c r="G6" s="14">
        <f>IFERROR(F6*(1+INDEX(CAGR!$C$51:$C$57,MATCH($A6,CAGR!$B$44:$B$50,0))),0)</f>
        <v>0</v>
      </c>
      <c r="H6" s="14">
        <f>IFERROR(G6*(1+INDEX(CAGR!$C$51:$C$57,MATCH($A6,CAGR!$B$44:$B$50,0))),0)</f>
        <v>0</v>
      </c>
      <c r="I6" s="14">
        <f>IFERROR(H6*(1+INDEX(CAGR!$C$51:$C$57,MATCH($A6,CAGR!$B$44:$B$50,0))),0)</f>
        <v>0</v>
      </c>
      <c r="J6" s="14">
        <f>IFERROR(I6*(1+INDEX(CAGR!$C$51:$C$57,MATCH($A6,CAGR!$B$44:$B$50,0))),0)</f>
        <v>0</v>
      </c>
      <c r="K6" s="14">
        <f>IFERROR(J6*(1+INDEX(CAGR!$C$51:$C$57,MATCH($A6,CAGR!$B$44:$B$50,0))),0)</f>
        <v>0</v>
      </c>
      <c r="L6" s="14">
        <f>IFERROR(K6*(1+INDEX(CAGR!$C$51:$C$57,MATCH($A6,CAGR!$B$44:$B$50,0))),0)</f>
        <v>0</v>
      </c>
      <c r="M6" s="14">
        <f>IFERROR(L6*(1+INDEX(CAGR!$C$51:$C$57,MATCH($A6,CAGR!$B$44:$B$50,0))),0)</f>
        <v>0</v>
      </c>
      <c r="N6" s="14">
        <f>IFERROR(M6*(1+INDEX(CAGR!$C$51:$C$57,MATCH($A6,CAGR!$B$44:$B$50,0))),0)</f>
        <v>0</v>
      </c>
      <c r="O6" s="14">
        <f>IFERROR(N6*(1+INDEX(CAGR!$C$51:$C$57,MATCH($A6,CAGR!$B$44:$B$50,0))),0)</f>
        <v>0</v>
      </c>
      <c r="P6" s="14">
        <f>IFERROR(O6*(1+INDEX(CAGR!$C$51:$C$57,MATCH($A6,CAGR!$B$44:$B$50,0))),0)</f>
        <v>0</v>
      </c>
      <c r="Q6" s="14">
        <f>IFERROR(P6*(1+INDEX(CAGR!$C$51:$C$57,MATCH($A6,CAGR!$B$44:$B$50,0))),0)</f>
        <v>0</v>
      </c>
      <c r="R6" s="14">
        <f>IFERROR(Q6*(1+INDEX(CAGR!$C$51:$C$57,MATCH($A6,CAGR!$B$44:$B$50,0))),0)</f>
        <v>0</v>
      </c>
      <c r="S6" s="14">
        <f>IFERROR(R6*(1+INDEX(CAGR!$C$51:$C$57,MATCH($A6,CAGR!$B$44:$B$50,0))),0)</f>
        <v>0</v>
      </c>
      <c r="T6" s="14">
        <f>IFERROR(S6*(1+INDEX(CAGR!$C$51:$C$57,MATCH($A6,CAGR!$B$44:$B$50,0))),0)</f>
        <v>0</v>
      </c>
      <c r="U6" s="14">
        <f>IFERROR(T6*(1+INDEX(CAGR!$C$51:$C$57,MATCH($A6,CAGR!$B$44:$B$50,0))),0)</f>
        <v>0</v>
      </c>
      <c r="V6" s="14">
        <f>IFERROR(U6*(1+INDEX(CAGR!$C$51:$C$57,MATCH($A6,CAGR!$B$44:$B$50,0))),0)</f>
        <v>0</v>
      </c>
      <c r="W6" s="14">
        <f>IFERROR(V6*(1+INDEX(CAGR!$C$51:$C$57,MATCH($A6,CAGR!$B$44:$B$50,0))),0)</f>
        <v>0</v>
      </c>
      <c r="X6" s="14">
        <f>IFERROR(W6*(1+INDEX(CAGR!$C$51:$C$57,MATCH($A6,CAGR!$B$44:$B$50,0))),0)</f>
        <v>0</v>
      </c>
      <c r="Y6" s="14">
        <f>IFERROR(X6*(1+INDEX(CAGR!$C$51:$C$57,MATCH($A6,CAGR!$B$44:$B$50,0))),0)</f>
        <v>0</v>
      </c>
      <c r="Z6" s="14">
        <f>IFERROR(Y6*(1+INDEX(CAGR!$C$51:$C$57,MATCH($A6,CAGR!$B$44:$B$50,0))),0)</f>
        <v>0</v>
      </c>
      <c r="AA6" s="14">
        <f>IFERROR(Z6*(1+INDEX(CAGR!$C$51:$C$57,MATCH($A6,CAGR!$B$44:$B$50,0))),0)</f>
        <v>0</v>
      </c>
      <c r="AB6" s="14">
        <f>IFERROR(AA6*(1+INDEX(CAGR!$C$51:$C$57,MATCH($A6,CAGR!$B$44:$B$50,0))),0)</f>
        <v>0</v>
      </c>
      <c r="AC6" s="14">
        <f>IFERROR(AB6*(1+INDEX(CAGR!$C$51:$C$57,MATCH($A6,CAGR!$B$44:$B$50,0))),0)</f>
        <v>0</v>
      </c>
      <c r="AD6" s="14">
        <f>IFERROR(AC6*(1+INDEX(CAGR!$C$51:$C$57,MATCH($A6,CAGR!$B$44:$B$50,0))),0)</f>
        <v>0</v>
      </c>
      <c r="AE6" s="14">
        <f>IFERROR(AD6*(1+INDEX(CAGR!$C$51:$C$57,MATCH($A6,CAGR!$B$44:$B$50,0))),0)</f>
        <v>0</v>
      </c>
      <c r="AF6" s="14">
        <f>IFERROR(AE6*(1+INDEX(CAGR!$C$51:$C$57,MATCH($A6,CAGR!$B$44:$B$50,0))),0)</f>
        <v>0</v>
      </c>
    </row>
    <row r="7" spans="1:32">
      <c r="A7" s="1" t="s">
        <v>14</v>
      </c>
      <c r="B7" s="14">
        <f>IFERROR(INDEX('SYFAFE frgt'!$B$5:$H$5,,MATCH($A7,'SYFAFE frgt'!$B$1:$H$1,0))*(1+INDEX(CAGR!$C$51:$C$57,MATCH($A7,CAGR!$B$51:$B$57,0))),0)</f>
        <v>0</v>
      </c>
      <c r="C7" s="14">
        <f>IFERROR(B7*(1+INDEX(CAGR!$C$51:$C$57,MATCH($A7,CAGR!$B$44:$B$50,0))),0)</f>
        <v>0</v>
      </c>
      <c r="D7" s="14">
        <f>IFERROR(C7*(1+INDEX(CAGR!$C$51:$C$57,MATCH($A7,CAGR!$B$44:$B$50,0))),0)</f>
        <v>0</v>
      </c>
      <c r="E7" s="14">
        <f>IFERROR(D7*(1+INDEX(CAGR!$C$51:$C$57,MATCH($A7,CAGR!$B$44:$B$50,0))),0)</f>
        <v>0</v>
      </c>
      <c r="F7" s="14">
        <f>IFERROR(E7*(1+INDEX(CAGR!$C$51:$C$57,MATCH($A7,CAGR!$B$44:$B$50,0))),0)</f>
        <v>0</v>
      </c>
      <c r="G7" s="14">
        <f>IFERROR(F7*(1+INDEX(CAGR!$C$51:$C$57,MATCH($A7,CAGR!$B$44:$B$50,0))),0)</f>
        <v>0</v>
      </c>
      <c r="H7" s="14">
        <f>IFERROR(G7*(1+INDEX(CAGR!$C$51:$C$57,MATCH($A7,CAGR!$B$44:$B$50,0))),0)</f>
        <v>0</v>
      </c>
      <c r="I7" s="14">
        <f>IFERROR(H7*(1+INDEX(CAGR!$C$51:$C$57,MATCH($A7,CAGR!$B$44:$B$50,0))),0)</f>
        <v>0</v>
      </c>
      <c r="J7" s="14">
        <f>IFERROR(I7*(1+INDEX(CAGR!$C$51:$C$57,MATCH($A7,CAGR!$B$44:$B$50,0))),0)</f>
        <v>0</v>
      </c>
      <c r="K7" s="14">
        <f>IFERROR(J7*(1+INDEX(CAGR!$C$51:$C$57,MATCH($A7,CAGR!$B$44:$B$50,0))),0)</f>
        <v>0</v>
      </c>
      <c r="L7" s="14">
        <f>IFERROR(K7*(1+INDEX(CAGR!$C$51:$C$57,MATCH($A7,CAGR!$B$44:$B$50,0))),0)</f>
        <v>0</v>
      </c>
      <c r="M7" s="14">
        <f>IFERROR(L7*(1+INDEX(CAGR!$C$51:$C$57,MATCH($A7,CAGR!$B$44:$B$50,0))),0)</f>
        <v>0</v>
      </c>
      <c r="N7" s="14">
        <f>IFERROR(M7*(1+INDEX(CAGR!$C$51:$C$57,MATCH($A7,CAGR!$B$44:$B$50,0))),0)</f>
        <v>0</v>
      </c>
      <c r="O7" s="14">
        <f>IFERROR(N7*(1+INDEX(CAGR!$C$51:$C$57,MATCH($A7,CAGR!$B$44:$B$50,0))),0)</f>
        <v>0</v>
      </c>
      <c r="P7" s="14">
        <f>IFERROR(O7*(1+INDEX(CAGR!$C$51:$C$57,MATCH($A7,CAGR!$B$44:$B$50,0))),0)</f>
        <v>0</v>
      </c>
      <c r="Q7" s="14">
        <f>IFERROR(P7*(1+INDEX(CAGR!$C$51:$C$57,MATCH($A7,CAGR!$B$44:$B$50,0))),0)</f>
        <v>0</v>
      </c>
      <c r="R7" s="14">
        <f>IFERROR(Q7*(1+INDEX(CAGR!$C$51:$C$57,MATCH($A7,CAGR!$B$44:$B$50,0))),0)</f>
        <v>0</v>
      </c>
      <c r="S7" s="14">
        <f>IFERROR(R7*(1+INDEX(CAGR!$C$51:$C$57,MATCH($A7,CAGR!$B$44:$B$50,0))),0)</f>
        <v>0</v>
      </c>
      <c r="T7" s="14">
        <f>IFERROR(S7*(1+INDEX(CAGR!$C$51:$C$57,MATCH($A7,CAGR!$B$44:$B$50,0))),0)</f>
        <v>0</v>
      </c>
      <c r="U7" s="14">
        <f>IFERROR(T7*(1+INDEX(CAGR!$C$51:$C$57,MATCH($A7,CAGR!$B$44:$B$50,0))),0)</f>
        <v>0</v>
      </c>
      <c r="V7" s="14">
        <f>IFERROR(U7*(1+INDEX(CAGR!$C$51:$C$57,MATCH($A7,CAGR!$B$44:$B$50,0))),0)</f>
        <v>0</v>
      </c>
      <c r="W7" s="14">
        <f>IFERROR(V7*(1+INDEX(CAGR!$C$51:$C$57,MATCH($A7,CAGR!$B$44:$B$50,0))),0)</f>
        <v>0</v>
      </c>
      <c r="X7" s="14">
        <f>IFERROR(W7*(1+INDEX(CAGR!$C$51:$C$57,MATCH($A7,CAGR!$B$44:$B$50,0))),0)</f>
        <v>0</v>
      </c>
      <c r="Y7" s="14">
        <f>IFERROR(X7*(1+INDEX(CAGR!$C$51:$C$57,MATCH($A7,CAGR!$B$44:$B$50,0))),0)</f>
        <v>0</v>
      </c>
      <c r="Z7" s="14">
        <f>IFERROR(Y7*(1+INDEX(CAGR!$C$51:$C$57,MATCH($A7,CAGR!$B$44:$B$50,0))),0)</f>
        <v>0</v>
      </c>
      <c r="AA7" s="14">
        <f>IFERROR(Z7*(1+INDEX(CAGR!$C$51:$C$57,MATCH($A7,CAGR!$B$44:$B$50,0))),0)</f>
        <v>0</v>
      </c>
      <c r="AB7" s="14">
        <f>IFERROR(AA7*(1+INDEX(CAGR!$C$51:$C$57,MATCH($A7,CAGR!$B$44:$B$50,0))),0)</f>
        <v>0</v>
      </c>
      <c r="AC7" s="14">
        <f>IFERROR(AB7*(1+INDEX(CAGR!$C$51:$C$57,MATCH($A7,CAGR!$B$44:$B$50,0))),0)</f>
        <v>0</v>
      </c>
      <c r="AD7" s="14">
        <f>IFERROR(AC7*(1+INDEX(CAGR!$C$51:$C$57,MATCH($A7,CAGR!$B$44:$B$50,0))),0)</f>
        <v>0</v>
      </c>
      <c r="AE7" s="14">
        <f>IFERROR(AD7*(1+INDEX(CAGR!$C$51:$C$57,MATCH($A7,CAGR!$B$44:$B$50,0))),0)</f>
        <v>0</v>
      </c>
      <c r="AF7" s="14">
        <f>IFERROR(AE7*(1+INDEX(CAGR!$C$51:$C$57,MATCH($A7,CAGR!$B$44:$B$50,0))),0)</f>
        <v>0</v>
      </c>
    </row>
    <row r="8" spans="1:32">
      <c r="A8" s="1" t="s">
        <v>15</v>
      </c>
      <c r="B8" s="13">
        <f>B5*Calibration!$D$38</f>
        <v>4.8629255042314461E-2</v>
      </c>
      <c r="C8" s="13">
        <f>B8*(1+CAGR!$C$57)</f>
        <v>4.8934461867767724E-2</v>
      </c>
      <c r="D8" s="13">
        <f>C8*(1+CAGR!$C$57)</f>
        <v>4.9241584231639622E-2</v>
      </c>
      <c r="E8" s="13">
        <f>D8*(1+CAGR!$C$57)</f>
        <v>4.9550634156228249E-2</v>
      </c>
      <c r="F8" s="13">
        <f>E8*(1+CAGR!$C$57)</f>
        <v>4.9861623739286001E-2</v>
      </c>
      <c r="G8" s="13">
        <f>F8*(1+CAGR!$C$57)</f>
        <v>5.0174565154493179E-2</v>
      </c>
      <c r="H8" s="13">
        <f>G8*(1+CAGR!$C$57)</f>
        <v>5.0489470651934501E-2</v>
      </c>
      <c r="I8" s="13">
        <f>H8*(1+CAGR!$C$57)</f>
        <v>5.0806352558578641E-2</v>
      </c>
      <c r="J8" s="13">
        <f>I8*(1+CAGR!$C$57)</f>
        <v>5.1125223278760769E-2</v>
      </c>
      <c r="K8" s="13">
        <f>J8*(1+CAGR!$C$57)</f>
        <v>5.1446095294668114E-2</v>
      </c>
      <c r="L8" s="13">
        <f>K8*(1+CAGR!$C$57)</f>
        <v>5.1768981166828584E-2</v>
      </c>
      <c r="M8" s="13">
        <f>L8*(1+CAGR!$C$57)</f>
        <v>5.2093893534602448E-2</v>
      </c>
      <c r="N8" s="13">
        <f>M8*(1+CAGR!$C$57)</f>
        <v>5.2420845116677099E-2</v>
      </c>
      <c r="O8" s="13">
        <f>N8*(1+CAGR!$C$57)</f>
        <v>5.274984871156492E-2</v>
      </c>
      <c r="P8" s="13">
        <f>O8*(1+CAGR!$C$57)</f>
        <v>5.3080917198104302E-2</v>
      </c>
      <c r="Q8" s="13">
        <f>P8*(1+CAGR!$C$57)</f>
        <v>5.3414063535963764E-2</v>
      </c>
      <c r="R8" s="13">
        <f>Q8*(1+CAGR!$C$57)</f>
        <v>5.3749300766149276E-2</v>
      </c>
      <c r="S8" s="13">
        <f>R8*(1+CAGR!$C$57)</f>
        <v>5.4086642011514738E-2</v>
      </c>
      <c r="T8" s="13">
        <f>S8*(1+CAGR!$C$57)</f>
        <v>5.4426100477275675E-2</v>
      </c>
      <c r="U8" s="13">
        <f>T8*(1+CAGR!$C$57)</f>
        <v>5.4767689451526165E-2</v>
      </c>
      <c r="V8" s="13">
        <f>U8*(1+CAGR!$C$57)</f>
        <v>5.5111422305758988E-2</v>
      </c>
      <c r="W8" s="13">
        <f>V8*(1+CAGR!$C$57)</f>
        <v>5.5457312495389051E-2</v>
      </c>
      <c r="X8" s="13">
        <f>W8*(1+CAGR!$C$57)</f>
        <v>5.5805373560280119E-2</v>
      </c>
      <c r="Y8" s="13">
        <f>X8*(1+CAGR!$C$57)</f>
        <v>5.6155619125274815E-2</v>
      </c>
      <c r="Z8" s="13">
        <f>Y8*(1+CAGR!$C$57)</f>
        <v>5.6508062900727969E-2</v>
      </c>
      <c r="AA8" s="13">
        <f>Z8*(1+CAGR!$C$57)</f>
        <v>5.6862718683043316E-2</v>
      </c>
      <c r="AB8" s="13">
        <f>AA8*(1+CAGR!$C$57)</f>
        <v>5.7219600355213542E-2</v>
      </c>
      <c r="AC8" s="13">
        <f>AB8*(1+CAGR!$C$57)</f>
        <v>5.7578721887363751E-2</v>
      </c>
      <c r="AD8" s="13">
        <f>AC8*(1+CAGR!$C$57)</f>
        <v>5.7940097337298303E-2</v>
      </c>
      <c r="AE8" s="13">
        <f>AD8*(1+CAGR!$C$57)</f>
        <v>5.8303740851051139E-2</v>
      </c>
      <c r="AF8" s="13">
        <f>AE8*(1+CAGR!$C$57)</f>
        <v>5.8669666663439486E-2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69B2A-5EC5-464D-AF74-0A66B9AD00B7}">
  <sheetPr>
    <tabColor rgb="FF1F497D"/>
  </sheetPr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B5*Calibration!$B$43</f>
        <v>3.2293482418666772E-5</v>
      </c>
      <c r="C2" s="13">
        <f>B2*(1+CAGR!$C$58)</f>
        <v>3.2293482418666772E-5</v>
      </c>
      <c r="D2" s="13">
        <f>C2*(1+CAGR!$C$58)</f>
        <v>3.2293482418666772E-5</v>
      </c>
      <c r="E2" s="13">
        <f>D2*(1+CAGR!$C$58)</f>
        <v>3.2293482418666772E-5</v>
      </c>
      <c r="F2" s="13">
        <f>E2*(1+CAGR!$C$58)</f>
        <v>3.2293482418666772E-5</v>
      </c>
      <c r="G2" s="13">
        <f>F2*(1+CAGR!$C$58)</f>
        <v>3.2293482418666772E-5</v>
      </c>
      <c r="H2" s="13">
        <f>G2*(1+CAGR!$C$58)</f>
        <v>3.2293482418666772E-5</v>
      </c>
      <c r="I2" s="13">
        <f>H2*(1+CAGR!$C$58)</f>
        <v>3.2293482418666772E-5</v>
      </c>
      <c r="J2" s="13">
        <f>I2*(1+CAGR!$C$58)</f>
        <v>3.2293482418666772E-5</v>
      </c>
      <c r="K2" s="13">
        <f>J2*(1+CAGR!$C$58)</f>
        <v>3.2293482418666772E-5</v>
      </c>
      <c r="L2" s="13">
        <f>K2*(1+CAGR!$C$58)</f>
        <v>3.2293482418666772E-5</v>
      </c>
      <c r="M2" s="13">
        <f>L2*(1+CAGR!$C$58)</f>
        <v>3.2293482418666772E-5</v>
      </c>
      <c r="N2" s="13">
        <f>M2*(1+CAGR!$C$58)</f>
        <v>3.2293482418666772E-5</v>
      </c>
      <c r="O2" s="13">
        <f>N2*(1+CAGR!$C$58)</f>
        <v>3.2293482418666772E-5</v>
      </c>
      <c r="P2" s="13">
        <f>O2*(1+CAGR!$C$58)</f>
        <v>3.2293482418666772E-5</v>
      </c>
      <c r="Q2" s="13">
        <f>P2*(1+CAGR!$C$58)</f>
        <v>3.2293482418666772E-5</v>
      </c>
      <c r="R2" s="13">
        <f>Q2*(1+CAGR!$C$58)</f>
        <v>3.2293482418666772E-5</v>
      </c>
      <c r="S2" s="13">
        <f>R2*(1+CAGR!$C$58)</f>
        <v>3.2293482418666772E-5</v>
      </c>
      <c r="T2" s="13">
        <f>S2*(1+CAGR!$C$58)</f>
        <v>3.2293482418666772E-5</v>
      </c>
      <c r="U2" s="13">
        <f>T2*(1+CAGR!$C$58)</f>
        <v>3.2293482418666772E-5</v>
      </c>
      <c r="V2" s="13">
        <f>U2*(1+CAGR!$C$58)</f>
        <v>3.2293482418666772E-5</v>
      </c>
      <c r="W2" s="13">
        <f>V2*(1+CAGR!$C$58)</f>
        <v>3.2293482418666772E-5</v>
      </c>
      <c r="X2" s="13">
        <f>W2*(1+CAGR!$C$58)</f>
        <v>3.2293482418666772E-5</v>
      </c>
      <c r="Y2" s="13">
        <f>X2*(1+CAGR!$C$58)</f>
        <v>3.2293482418666772E-5</v>
      </c>
      <c r="Z2" s="13">
        <f>Y2*(1+CAGR!$C$58)</f>
        <v>3.2293482418666772E-5</v>
      </c>
      <c r="AA2" s="13">
        <f>Z2*(1+CAGR!$C$58)</f>
        <v>3.2293482418666772E-5</v>
      </c>
      <c r="AB2" s="13">
        <f>AA2*(1+CAGR!$C$58)</f>
        <v>3.2293482418666772E-5</v>
      </c>
      <c r="AC2" s="13">
        <f>AB2*(1+CAGR!$C$58)</f>
        <v>3.2293482418666772E-5</v>
      </c>
      <c r="AD2" s="13">
        <f>AC2*(1+CAGR!$C$58)</f>
        <v>3.2293482418666772E-5</v>
      </c>
      <c r="AE2" s="13">
        <f>AD2*(1+CAGR!$C$58)</f>
        <v>3.2293482418666772E-5</v>
      </c>
      <c r="AF2" s="13">
        <f>AE2*(1+CAGR!$C$58)</f>
        <v>3.2293482418666772E-5</v>
      </c>
    </row>
    <row r="3" spans="1:32">
      <c r="A3" s="1" t="s">
        <v>10</v>
      </c>
      <c r="B3">
        <f>IFERROR(INDEX('SYFAFE psgr'!$B$6:$H$6,,MATCH($A3,'SYFAFE psgr'!$B$1:$H$1,0))*(1+INDEX(CAGR!$C$58:$C$64,MATCH($A3,CAGR!$B$58:$B$64,0))),0)</f>
        <v>0</v>
      </c>
      <c r="C3">
        <f>IFERROR(INDEX('SYFAFE psgr'!$B$6:$H$6,,MATCH($A3,'SYFAFE psgr'!$B$1:$H$1,0))*(1+INDEX(CAGR!$C$58:$C$64,MATCH($A3,CAGR!$B$58:$B$64,0))),0)</f>
        <v>0</v>
      </c>
      <c r="D3">
        <f>IFERROR(INDEX('SYFAFE psgr'!$B$6:$H$6,,MATCH($A3,'SYFAFE psgr'!$B$1:$H$1,0))*(1+INDEX(CAGR!$C$58:$C$64,MATCH($A3,CAGR!$B$58:$B$64,0))),0)</f>
        <v>0</v>
      </c>
      <c r="E3">
        <f>IFERROR(INDEX('SYFAFE psgr'!$B$6:$H$6,,MATCH($A3,'SYFAFE psgr'!$B$1:$H$1,0))*(1+INDEX(CAGR!$C$58:$C$64,MATCH($A3,CAGR!$B$58:$B$64,0))),0)</f>
        <v>0</v>
      </c>
      <c r="F3">
        <f>IFERROR(INDEX('SYFAFE psgr'!$B$6:$H$6,,MATCH($A3,'SYFAFE psgr'!$B$1:$H$1,0))*(1+INDEX(CAGR!$C$58:$C$64,MATCH($A3,CAGR!$B$58:$B$64,0))),0)</f>
        <v>0</v>
      </c>
      <c r="G3">
        <f>IFERROR(INDEX('SYFAFE psgr'!$B$6:$H$6,,MATCH($A3,'SYFAFE psgr'!$B$1:$H$1,0))*(1+INDEX(CAGR!$C$58:$C$64,MATCH($A3,CAGR!$B$58:$B$64,0))),0)</f>
        <v>0</v>
      </c>
      <c r="H3">
        <f>IFERROR(INDEX('SYFAFE psgr'!$B$6:$H$6,,MATCH($A3,'SYFAFE psgr'!$B$1:$H$1,0))*(1+INDEX(CAGR!$C$58:$C$64,MATCH($A3,CAGR!$B$58:$B$64,0))),0)</f>
        <v>0</v>
      </c>
      <c r="I3">
        <f>IFERROR(INDEX('SYFAFE psgr'!$B$6:$H$6,,MATCH($A3,'SYFAFE psgr'!$B$1:$H$1,0))*(1+INDEX(CAGR!$C$58:$C$64,MATCH($A3,CAGR!$B$58:$B$64,0))),0)</f>
        <v>0</v>
      </c>
      <c r="J3">
        <f>IFERROR(INDEX('SYFAFE psgr'!$B$6:$H$6,,MATCH($A3,'SYFAFE psgr'!$B$1:$H$1,0))*(1+INDEX(CAGR!$C$58:$C$64,MATCH($A3,CAGR!$B$58:$B$64,0))),0)</f>
        <v>0</v>
      </c>
      <c r="K3">
        <f>IFERROR(INDEX('SYFAFE psgr'!$B$6:$H$6,,MATCH($A3,'SYFAFE psgr'!$B$1:$H$1,0))*(1+INDEX(CAGR!$C$58:$C$64,MATCH($A3,CAGR!$B$58:$B$64,0))),0)</f>
        <v>0</v>
      </c>
      <c r="L3">
        <f>IFERROR(INDEX('SYFAFE psgr'!$B$6:$H$6,,MATCH($A3,'SYFAFE psgr'!$B$1:$H$1,0))*(1+INDEX(CAGR!$C$58:$C$64,MATCH($A3,CAGR!$B$58:$B$64,0))),0)</f>
        <v>0</v>
      </c>
      <c r="M3">
        <f>IFERROR(INDEX('SYFAFE psgr'!$B$6:$H$6,,MATCH($A3,'SYFAFE psgr'!$B$1:$H$1,0))*(1+INDEX(CAGR!$C$58:$C$64,MATCH($A3,CAGR!$B$58:$B$64,0))),0)</f>
        <v>0</v>
      </c>
      <c r="N3">
        <f>IFERROR(INDEX('SYFAFE psgr'!$B$6:$H$6,,MATCH($A3,'SYFAFE psgr'!$B$1:$H$1,0))*(1+INDEX(CAGR!$C$58:$C$64,MATCH($A3,CAGR!$B$58:$B$64,0))),0)</f>
        <v>0</v>
      </c>
      <c r="O3">
        <f>IFERROR(INDEX('SYFAFE psgr'!$B$6:$H$6,,MATCH($A3,'SYFAFE psgr'!$B$1:$H$1,0))*(1+INDEX(CAGR!$C$58:$C$64,MATCH($A3,CAGR!$B$58:$B$64,0))),0)</f>
        <v>0</v>
      </c>
      <c r="P3">
        <f>IFERROR(INDEX('SYFAFE psgr'!$B$6:$H$6,,MATCH($A3,'SYFAFE psgr'!$B$1:$H$1,0))*(1+INDEX(CAGR!$C$58:$C$64,MATCH($A3,CAGR!$B$58:$B$64,0))),0)</f>
        <v>0</v>
      </c>
      <c r="Q3">
        <f>IFERROR(INDEX('SYFAFE psgr'!$B$6:$H$6,,MATCH($A3,'SYFAFE psgr'!$B$1:$H$1,0))*(1+INDEX(CAGR!$C$58:$C$64,MATCH($A3,CAGR!$B$58:$B$64,0))),0)</f>
        <v>0</v>
      </c>
      <c r="R3">
        <f>IFERROR(INDEX('SYFAFE psgr'!$B$6:$H$6,,MATCH($A3,'SYFAFE psgr'!$B$1:$H$1,0))*(1+INDEX(CAGR!$C$58:$C$64,MATCH($A3,CAGR!$B$58:$B$64,0))),0)</f>
        <v>0</v>
      </c>
      <c r="S3">
        <f>IFERROR(INDEX('SYFAFE psgr'!$B$6:$H$6,,MATCH($A3,'SYFAFE psgr'!$B$1:$H$1,0))*(1+INDEX(CAGR!$C$58:$C$64,MATCH($A3,CAGR!$B$58:$B$64,0))),0)</f>
        <v>0</v>
      </c>
      <c r="T3">
        <f>IFERROR(INDEX('SYFAFE psgr'!$B$6:$H$6,,MATCH($A3,'SYFAFE psgr'!$B$1:$H$1,0))*(1+INDEX(CAGR!$C$58:$C$64,MATCH($A3,CAGR!$B$58:$B$64,0))),0)</f>
        <v>0</v>
      </c>
      <c r="U3">
        <f>IFERROR(INDEX('SYFAFE psgr'!$B$6:$H$6,,MATCH($A3,'SYFAFE psgr'!$B$1:$H$1,0))*(1+INDEX(CAGR!$C$58:$C$64,MATCH($A3,CAGR!$B$58:$B$64,0))),0)</f>
        <v>0</v>
      </c>
      <c r="V3">
        <f>IFERROR(INDEX('SYFAFE psgr'!$B$6:$H$6,,MATCH($A3,'SYFAFE psgr'!$B$1:$H$1,0))*(1+INDEX(CAGR!$C$58:$C$64,MATCH($A3,CAGR!$B$58:$B$64,0))),0)</f>
        <v>0</v>
      </c>
      <c r="W3">
        <f>IFERROR(INDEX('SYFAFE psgr'!$B$6:$H$6,,MATCH($A3,'SYFAFE psgr'!$B$1:$H$1,0))*(1+INDEX(CAGR!$C$58:$C$64,MATCH($A3,CAGR!$B$58:$B$64,0))),0)</f>
        <v>0</v>
      </c>
      <c r="X3">
        <f>IFERROR(INDEX('SYFAFE psgr'!$B$6:$H$6,,MATCH($A3,'SYFAFE psgr'!$B$1:$H$1,0))*(1+INDEX(CAGR!$C$58:$C$64,MATCH($A3,CAGR!$B$58:$B$64,0))),0)</f>
        <v>0</v>
      </c>
      <c r="Y3">
        <f>IFERROR(INDEX('SYFAFE psgr'!$B$6:$H$6,,MATCH($A3,'SYFAFE psgr'!$B$1:$H$1,0))*(1+INDEX(CAGR!$C$58:$C$64,MATCH($A3,CAGR!$B$58:$B$64,0))),0)</f>
        <v>0</v>
      </c>
      <c r="Z3">
        <f>IFERROR(INDEX('SYFAFE psgr'!$B$6:$H$6,,MATCH($A3,'SYFAFE psgr'!$B$1:$H$1,0))*(1+INDEX(CAGR!$C$58:$C$64,MATCH($A3,CAGR!$B$58:$B$64,0))),0)</f>
        <v>0</v>
      </c>
      <c r="AA3">
        <f>IFERROR(INDEX('SYFAFE psgr'!$B$6:$H$6,,MATCH($A3,'SYFAFE psgr'!$B$1:$H$1,0))*(1+INDEX(CAGR!$C$58:$C$64,MATCH($A3,CAGR!$B$58:$B$64,0))),0)</f>
        <v>0</v>
      </c>
      <c r="AB3">
        <f>IFERROR(INDEX('SYFAFE psgr'!$B$6:$H$6,,MATCH($A3,'SYFAFE psgr'!$B$1:$H$1,0))*(1+INDEX(CAGR!$C$58:$C$64,MATCH($A3,CAGR!$B$58:$B$64,0))),0)</f>
        <v>0</v>
      </c>
      <c r="AC3">
        <f>IFERROR(INDEX('SYFAFE psgr'!$B$6:$H$6,,MATCH($A3,'SYFAFE psgr'!$B$1:$H$1,0))*(1+INDEX(CAGR!$C$58:$C$64,MATCH($A3,CAGR!$B$58:$B$64,0))),0)</f>
        <v>0</v>
      </c>
      <c r="AD3">
        <f>IFERROR(INDEX('SYFAFE psgr'!$B$6:$H$6,,MATCH($A3,'SYFAFE psgr'!$B$1:$H$1,0))*(1+INDEX(CAGR!$C$58:$C$64,MATCH($A3,CAGR!$B$58:$B$64,0))),0)</f>
        <v>0</v>
      </c>
      <c r="AE3">
        <f>IFERROR(INDEX('SYFAFE psgr'!$B$6:$H$6,,MATCH($A3,'SYFAFE psgr'!$B$1:$H$1,0))*(1+INDEX(CAGR!$C$58:$C$64,MATCH($A3,CAGR!$B$58:$B$64,0))),0)</f>
        <v>0</v>
      </c>
      <c r="AF3">
        <f>IFERROR(INDEX('SYFAFE psgr'!$B$6:$H$6,,MATCH($A3,'SYFAFE psgr'!$B$1:$H$1,0))*(1+INDEX(CAGR!$C$58:$C$64,MATCH($A3,CAGR!$B$58:$B$64,0))),0)</f>
        <v>0</v>
      </c>
    </row>
    <row r="4" spans="1:32">
      <c r="A4" s="1" t="s">
        <v>11</v>
      </c>
      <c r="B4">
        <f>IFERROR(INDEX('SYFAFE psgr'!$B$6:$H$6,,MATCH($A4,'SYFAFE psgr'!$B$1:$H$1,0))*(1+INDEX(CAGR!$C$58:$C$64,MATCH($A4,CAGR!$B$58:$B$64,0))),0)</f>
        <v>1.0049397002369564E-5</v>
      </c>
      <c r="C4">
        <f>IFERROR(INDEX('SYFAFE psgr'!$B$6:$H$6,,MATCH($A4,'SYFAFE psgr'!$B$1:$H$1,0))*(1+INDEX(CAGR!$C$58:$C$64,MATCH($A4,CAGR!$B$58:$B$64,0))),0)</f>
        <v>1.0049397002369564E-5</v>
      </c>
      <c r="D4">
        <f>IFERROR(INDEX('SYFAFE psgr'!$B$6:$H$6,,MATCH($A4,'SYFAFE psgr'!$B$1:$H$1,0))*(1+INDEX(CAGR!$C$58:$C$64,MATCH($A4,CAGR!$B$58:$B$64,0))),0)</f>
        <v>1.0049397002369564E-5</v>
      </c>
      <c r="E4">
        <f>IFERROR(INDEX('SYFAFE psgr'!$B$6:$H$6,,MATCH($A4,'SYFAFE psgr'!$B$1:$H$1,0))*(1+INDEX(CAGR!$C$58:$C$64,MATCH($A4,CAGR!$B$58:$B$64,0))),0)</f>
        <v>1.0049397002369564E-5</v>
      </c>
      <c r="F4">
        <f>IFERROR(INDEX('SYFAFE psgr'!$B$6:$H$6,,MATCH($A4,'SYFAFE psgr'!$B$1:$H$1,0))*(1+INDEX(CAGR!$C$58:$C$64,MATCH($A4,CAGR!$B$58:$B$64,0))),0)</f>
        <v>1.0049397002369564E-5</v>
      </c>
      <c r="G4">
        <f>IFERROR(INDEX('SYFAFE psgr'!$B$6:$H$6,,MATCH($A4,'SYFAFE psgr'!$B$1:$H$1,0))*(1+INDEX(CAGR!$C$58:$C$64,MATCH($A4,CAGR!$B$58:$B$64,0))),0)</f>
        <v>1.0049397002369564E-5</v>
      </c>
      <c r="H4">
        <f>IFERROR(INDEX('SYFAFE psgr'!$B$6:$H$6,,MATCH($A4,'SYFAFE psgr'!$B$1:$H$1,0))*(1+INDEX(CAGR!$C$58:$C$64,MATCH($A4,CAGR!$B$58:$B$64,0))),0)</f>
        <v>1.0049397002369564E-5</v>
      </c>
      <c r="I4">
        <f>IFERROR(INDEX('SYFAFE psgr'!$B$6:$H$6,,MATCH($A4,'SYFAFE psgr'!$B$1:$H$1,0))*(1+INDEX(CAGR!$C$58:$C$64,MATCH($A4,CAGR!$B$58:$B$64,0))),0)</f>
        <v>1.0049397002369564E-5</v>
      </c>
      <c r="J4">
        <f>IFERROR(INDEX('SYFAFE psgr'!$B$6:$H$6,,MATCH($A4,'SYFAFE psgr'!$B$1:$H$1,0))*(1+INDEX(CAGR!$C$58:$C$64,MATCH($A4,CAGR!$B$58:$B$64,0))),0)</f>
        <v>1.0049397002369564E-5</v>
      </c>
      <c r="K4">
        <f>IFERROR(INDEX('SYFAFE psgr'!$B$6:$H$6,,MATCH($A4,'SYFAFE psgr'!$B$1:$H$1,0))*(1+INDEX(CAGR!$C$58:$C$64,MATCH($A4,CAGR!$B$58:$B$64,0))),0)</f>
        <v>1.0049397002369564E-5</v>
      </c>
      <c r="L4">
        <f>IFERROR(INDEX('SYFAFE psgr'!$B$6:$H$6,,MATCH($A4,'SYFAFE psgr'!$B$1:$H$1,0))*(1+INDEX(CAGR!$C$58:$C$64,MATCH($A4,CAGR!$B$58:$B$64,0))),0)</f>
        <v>1.0049397002369564E-5</v>
      </c>
      <c r="M4">
        <f>IFERROR(INDEX('SYFAFE psgr'!$B$6:$H$6,,MATCH($A4,'SYFAFE psgr'!$B$1:$H$1,0))*(1+INDEX(CAGR!$C$58:$C$64,MATCH($A4,CAGR!$B$58:$B$64,0))),0)</f>
        <v>1.0049397002369564E-5</v>
      </c>
      <c r="N4">
        <f>IFERROR(INDEX('SYFAFE psgr'!$B$6:$H$6,,MATCH($A4,'SYFAFE psgr'!$B$1:$H$1,0))*(1+INDEX(CAGR!$C$58:$C$64,MATCH($A4,CAGR!$B$58:$B$64,0))),0)</f>
        <v>1.0049397002369564E-5</v>
      </c>
      <c r="O4">
        <f>IFERROR(INDEX('SYFAFE psgr'!$B$6:$H$6,,MATCH($A4,'SYFAFE psgr'!$B$1:$H$1,0))*(1+INDEX(CAGR!$C$58:$C$64,MATCH($A4,CAGR!$B$58:$B$64,0))),0)</f>
        <v>1.0049397002369564E-5</v>
      </c>
      <c r="P4">
        <f>IFERROR(INDEX('SYFAFE psgr'!$B$6:$H$6,,MATCH($A4,'SYFAFE psgr'!$B$1:$H$1,0))*(1+INDEX(CAGR!$C$58:$C$64,MATCH($A4,CAGR!$B$58:$B$64,0))),0)</f>
        <v>1.0049397002369564E-5</v>
      </c>
      <c r="Q4">
        <f>IFERROR(INDEX('SYFAFE psgr'!$B$6:$H$6,,MATCH($A4,'SYFAFE psgr'!$B$1:$H$1,0))*(1+INDEX(CAGR!$C$58:$C$64,MATCH($A4,CAGR!$B$58:$B$64,0))),0)</f>
        <v>1.0049397002369564E-5</v>
      </c>
      <c r="R4">
        <f>IFERROR(INDEX('SYFAFE psgr'!$B$6:$H$6,,MATCH($A4,'SYFAFE psgr'!$B$1:$H$1,0))*(1+INDEX(CAGR!$C$58:$C$64,MATCH($A4,CAGR!$B$58:$B$64,0))),0)</f>
        <v>1.0049397002369564E-5</v>
      </c>
      <c r="S4">
        <f>IFERROR(INDEX('SYFAFE psgr'!$B$6:$H$6,,MATCH($A4,'SYFAFE psgr'!$B$1:$H$1,0))*(1+INDEX(CAGR!$C$58:$C$64,MATCH($A4,CAGR!$B$58:$B$64,0))),0)</f>
        <v>1.0049397002369564E-5</v>
      </c>
      <c r="T4">
        <f>IFERROR(INDEX('SYFAFE psgr'!$B$6:$H$6,,MATCH($A4,'SYFAFE psgr'!$B$1:$H$1,0))*(1+INDEX(CAGR!$C$58:$C$64,MATCH($A4,CAGR!$B$58:$B$64,0))),0)</f>
        <v>1.0049397002369564E-5</v>
      </c>
      <c r="U4">
        <f>IFERROR(INDEX('SYFAFE psgr'!$B$6:$H$6,,MATCH($A4,'SYFAFE psgr'!$B$1:$H$1,0))*(1+INDEX(CAGR!$C$58:$C$64,MATCH($A4,CAGR!$B$58:$B$64,0))),0)</f>
        <v>1.0049397002369564E-5</v>
      </c>
      <c r="V4">
        <f>IFERROR(INDEX('SYFAFE psgr'!$B$6:$H$6,,MATCH($A4,'SYFAFE psgr'!$B$1:$H$1,0))*(1+INDEX(CAGR!$C$58:$C$64,MATCH($A4,CAGR!$B$58:$B$64,0))),0)</f>
        <v>1.0049397002369564E-5</v>
      </c>
      <c r="W4">
        <f>IFERROR(INDEX('SYFAFE psgr'!$B$6:$H$6,,MATCH($A4,'SYFAFE psgr'!$B$1:$H$1,0))*(1+INDEX(CAGR!$C$58:$C$64,MATCH($A4,CAGR!$B$58:$B$64,0))),0)</f>
        <v>1.0049397002369564E-5</v>
      </c>
      <c r="X4">
        <f>IFERROR(INDEX('SYFAFE psgr'!$B$6:$H$6,,MATCH($A4,'SYFAFE psgr'!$B$1:$H$1,0))*(1+INDEX(CAGR!$C$58:$C$64,MATCH($A4,CAGR!$B$58:$B$64,0))),0)</f>
        <v>1.0049397002369564E-5</v>
      </c>
      <c r="Y4">
        <f>IFERROR(INDEX('SYFAFE psgr'!$B$6:$H$6,,MATCH($A4,'SYFAFE psgr'!$B$1:$H$1,0))*(1+INDEX(CAGR!$C$58:$C$64,MATCH($A4,CAGR!$B$58:$B$64,0))),0)</f>
        <v>1.0049397002369564E-5</v>
      </c>
      <c r="Z4">
        <f>IFERROR(INDEX('SYFAFE psgr'!$B$6:$H$6,,MATCH($A4,'SYFAFE psgr'!$B$1:$H$1,0))*(1+INDEX(CAGR!$C$58:$C$64,MATCH($A4,CAGR!$B$58:$B$64,0))),0)</f>
        <v>1.0049397002369564E-5</v>
      </c>
      <c r="AA4">
        <f>IFERROR(INDEX('SYFAFE psgr'!$B$6:$H$6,,MATCH($A4,'SYFAFE psgr'!$B$1:$H$1,0))*(1+INDEX(CAGR!$C$58:$C$64,MATCH($A4,CAGR!$B$58:$B$64,0))),0)</f>
        <v>1.0049397002369564E-5</v>
      </c>
      <c r="AB4">
        <f>IFERROR(INDEX('SYFAFE psgr'!$B$6:$H$6,,MATCH($A4,'SYFAFE psgr'!$B$1:$H$1,0))*(1+INDEX(CAGR!$C$58:$C$64,MATCH($A4,CAGR!$B$58:$B$64,0))),0)</f>
        <v>1.0049397002369564E-5</v>
      </c>
      <c r="AC4">
        <f>IFERROR(INDEX('SYFAFE psgr'!$B$6:$H$6,,MATCH($A4,'SYFAFE psgr'!$B$1:$H$1,0))*(1+INDEX(CAGR!$C$58:$C$64,MATCH($A4,CAGR!$B$58:$B$64,0))),0)</f>
        <v>1.0049397002369564E-5</v>
      </c>
      <c r="AD4">
        <f>IFERROR(INDEX('SYFAFE psgr'!$B$6:$H$6,,MATCH($A4,'SYFAFE psgr'!$B$1:$H$1,0))*(1+INDEX(CAGR!$C$58:$C$64,MATCH($A4,CAGR!$B$58:$B$64,0))),0)</f>
        <v>1.0049397002369564E-5</v>
      </c>
      <c r="AE4">
        <f>IFERROR(INDEX('SYFAFE psgr'!$B$6:$H$6,,MATCH($A4,'SYFAFE psgr'!$B$1:$H$1,0))*(1+INDEX(CAGR!$C$58:$C$64,MATCH($A4,CAGR!$B$58:$B$64,0))),0)</f>
        <v>1.0049397002369564E-5</v>
      </c>
      <c r="AF4">
        <f>IFERROR(INDEX('SYFAFE psgr'!$B$6:$H$6,,MATCH($A4,'SYFAFE psgr'!$B$1:$H$1,0))*(1+INDEX(CAGR!$C$58:$C$64,MATCH($A4,CAGR!$B$58:$B$64,0))),0)</f>
        <v>1.0049397002369564E-5</v>
      </c>
    </row>
    <row r="5" spans="1:32">
      <c r="A5" s="1" t="s">
        <v>12</v>
      </c>
      <c r="B5" s="14">
        <f>IFERROR(INDEX('SYFAFE psgr'!$B$6:$H$6,,MATCH($A5,'SYFAFE psgr'!$B$1:$H$1,0))*(1+INDEX(CAGR!$C$58:$C$64,MATCH($A5,CAGR!$B$58:$B$64,0))),0)</f>
        <v>1.0049397002369565E-5</v>
      </c>
      <c r="C5" s="14">
        <f>IFERROR(INDEX('SYFAFE psgr'!$B$6:$H$6,,MATCH($A5,'SYFAFE psgr'!$B$1:$H$1,0))*(1+INDEX(CAGR!$C$58:$C$64,MATCH($A5,CAGR!$B$58:$B$64,0))),0)</f>
        <v>1.0049397002369565E-5</v>
      </c>
      <c r="D5" s="14">
        <f>IFERROR(INDEX('SYFAFE psgr'!$B$6:$H$6,,MATCH($A5,'SYFAFE psgr'!$B$1:$H$1,0))*(1+INDEX(CAGR!$C$58:$C$64,MATCH($A5,CAGR!$B$58:$B$64,0))),0)</f>
        <v>1.0049397002369565E-5</v>
      </c>
      <c r="E5" s="14">
        <f>IFERROR(INDEX('SYFAFE psgr'!$B$6:$H$6,,MATCH($A5,'SYFAFE psgr'!$B$1:$H$1,0))*(1+INDEX(CAGR!$C$58:$C$64,MATCH($A5,CAGR!$B$58:$B$64,0))),0)</f>
        <v>1.0049397002369565E-5</v>
      </c>
      <c r="F5" s="14">
        <f>IFERROR(INDEX('SYFAFE psgr'!$B$6:$H$6,,MATCH($A5,'SYFAFE psgr'!$B$1:$H$1,0))*(1+INDEX(CAGR!$C$58:$C$64,MATCH($A5,CAGR!$B$58:$B$64,0))),0)</f>
        <v>1.0049397002369565E-5</v>
      </c>
      <c r="G5" s="14">
        <f>IFERROR(INDEX('SYFAFE psgr'!$B$6:$H$6,,MATCH($A5,'SYFAFE psgr'!$B$1:$H$1,0))*(1+INDEX(CAGR!$C$58:$C$64,MATCH($A5,CAGR!$B$58:$B$64,0))),0)</f>
        <v>1.0049397002369565E-5</v>
      </c>
      <c r="H5" s="14">
        <f>IFERROR(INDEX('SYFAFE psgr'!$B$6:$H$6,,MATCH($A5,'SYFAFE psgr'!$B$1:$H$1,0))*(1+INDEX(CAGR!$C$58:$C$64,MATCH($A5,CAGR!$B$58:$B$64,0))),0)</f>
        <v>1.0049397002369565E-5</v>
      </c>
      <c r="I5" s="14">
        <f>IFERROR(INDEX('SYFAFE psgr'!$B$6:$H$6,,MATCH($A5,'SYFAFE psgr'!$B$1:$H$1,0))*(1+INDEX(CAGR!$C$58:$C$64,MATCH($A5,CAGR!$B$58:$B$64,0))),0)</f>
        <v>1.0049397002369565E-5</v>
      </c>
      <c r="J5" s="14">
        <f>IFERROR(INDEX('SYFAFE psgr'!$B$6:$H$6,,MATCH($A5,'SYFAFE psgr'!$B$1:$H$1,0))*(1+INDEX(CAGR!$C$58:$C$64,MATCH($A5,CAGR!$B$58:$B$64,0))),0)</f>
        <v>1.0049397002369565E-5</v>
      </c>
      <c r="K5" s="14">
        <f>IFERROR(INDEX('SYFAFE psgr'!$B$6:$H$6,,MATCH($A5,'SYFAFE psgr'!$B$1:$H$1,0))*(1+INDEX(CAGR!$C$58:$C$64,MATCH($A5,CAGR!$B$58:$B$64,0))),0)</f>
        <v>1.0049397002369565E-5</v>
      </c>
      <c r="L5" s="14">
        <f>IFERROR(INDEX('SYFAFE psgr'!$B$6:$H$6,,MATCH($A5,'SYFAFE psgr'!$B$1:$H$1,0))*(1+INDEX(CAGR!$C$58:$C$64,MATCH($A5,CAGR!$B$58:$B$64,0))),0)</f>
        <v>1.0049397002369565E-5</v>
      </c>
      <c r="M5" s="14">
        <f>IFERROR(INDEX('SYFAFE psgr'!$B$6:$H$6,,MATCH($A5,'SYFAFE psgr'!$B$1:$H$1,0))*(1+INDEX(CAGR!$C$58:$C$64,MATCH($A5,CAGR!$B$58:$B$64,0))),0)</f>
        <v>1.0049397002369565E-5</v>
      </c>
      <c r="N5" s="14">
        <f>IFERROR(INDEX('SYFAFE psgr'!$B$6:$H$6,,MATCH($A5,'SYFAFE psgr'!$B$1:$H$1,0))*(1+INDEX(CAGR!$C$58:$C$64,MATCH($A5,CAGR!$B$58:$B$64,0))),0)</f>
        <v>1.0049397002369565E-5</v>
      </c>
      <c r="O5" s="14">
        <f>IFERROR(INDEX('SYFAFE psgr'!$B$6:$H$6,,MATCH($A5,'SYFAFE psgr'!$B$1:$H$1,0))*(1+INDEX(CAGR!$C$58:$C$64,MATCH($A5,CAGR!$B$58:$B$64,0))),0)</f>
        <v>1.0049397002369565E-5</v>
      </c>
      <c r="P5" s="14">
        <f>IFERROR(INDEX('SYFAFE psgr'!$B$6:$H$6,,MATCH($A5,'SYFAFE psgr'!$B$1:$H$1,0))*(1+INDEX(CAGR!$C$58:$C$64,MATCH($A5,CAGR!$B$58:$B$64,0))),0)</f>
        <v>1.0049397002369565E-5</v>
      </c>
      <c r="Q5" s="14">
        <f>IFERROR(INDEX('SYFAFE psgr'!$B$6:$H$6,,MATCH($A5,'SYFAFE psgr'!$B$1:$H$1,0))*(1+INDEX(CAGR!$C$58:$C$64,MATCH($A5,CAGR!$B$58:$B$64,0))),0)</f>
        <v>1.0049397002369565E-5</v>
      </c>
      <c r="R5" s="14">
        <f>IFERROR(INDEX('SYFAFE psgr'!$B$6:$H$6,,MATCH($A5,'SYFAFE psgr'!$B$1:$H$1,0))*(1+INDEX(CAGR!$C$58:$C$64,MATCH($A5,CAGR!$B$58:$B$64,0))),0)</f>
        <v>1.0049397002369565E-5</v>
      </c>
      <c r="S5" s="14">
        <f>IFERROR(INDEX('SYFAFE psgr'!$B$6:$H$6,,MATCH($A5,'SYFAFE psgr'!$B$1:$H$1,0))*(1+INDEX(CAGR!$C$58:$C$64,MATCH($A5,CAGR!$B$58:$B$64,0))),0)</f>
        <v>1.0049397002369565E-5</v>
      </c>
      <c r="T5" s="14">
        <f>IFERROR(INDEX('SYFAFE psgr'!$B$6:$H$6,,MATCH($A5,'SYFAFE psgr'!$B$1:$H$1,0))*(1+INDEX(CAGR!$C$58:$C$64,MATCH($A5,CAGR!$B$58:$B$64,0))),0)</f>
        <v>1.0049397002369565E-5</v>
      </c>
      <c r="U5" s="14">
        <f>IFERROR(INDEX('SYFAFE psgr'!$B$6:$H$6,,MATCH($A5,'SYFAFE psgr'!$B$1:$H$1,0))*(1+INDEX(CAGR!$C$58:$C$64,MATCH($A5,CAGR!$B$58:$B$64,0))),0)</f>
        <v>1.0049397002369565E-5</v>
      </c>
      <c r="V5" s="14">
        <f>IFERROR(INDEX('SYFAFE psgr'!$B$6:$H$6,,MATCH($A5,'SYFAFE psgr'!$B$1:$H$1,0))*(1+INDEX(CAGR!$C$58:$C$64,MATCH($A5,CAGR!$B$58:$B$64,0))),0)</f>
        <v>1.0049397002369565E-5</v>
      </c>
      <c r="W5" s="14">
        <f>IFERROR(INDEX('SYFAFE psgr'!$B$6:$H$6,,MATCH($A5,'SYFAFE psgr'!$B$1:$H$1,0))*(1+INDEX(CAGR!$C$58:$C$64,MATCH($A5,CAGR!$B$58:$B$64,0))),0)</f>
        <v>1.0049397002369565E-5</v>
      </c>
      <c r="X5" s="14">
        <f>IFERROR(INDEX('SYFAFE psgr'!$B$6:$H$6,,MATCH($A5,'SYFAFE psgr'!$B$1:$H$1,0))*(1+INDEX(CAGR!$C$58:$C$64,MATCH($A5,CAGR!$B$58:$B$64,0))),0)</f>
        <v>1.0049397002369565E-5</v>
      </c>
      <c r="Y5" s="14">
        <f>IFERROR(INDEX('SYFAFE psgr'!$B$6:$H$6,,MATCH($A5,'SYFAFE psgr'!$B$1:$H$1,0))*(1+INDEX(CAGR!$C$58:$C$64,MATCH($A5,CAGR!$B$58:$B$64,0))),0)</f>
        <v>1.0049397002369565E-5</v>
      </c>
      <c r="Z5" s="14">
        <f>IFERROR(INDEX('SYFAFE psgr'!$B$6:$H$6,,MATCH($A5,'SYFAFE psgr'!$B$1:$H$1,0))*(1+INDEX(CAGR!$C$58:$C$64,MATCH($A5,CAGR!$B$58:$B$64,0))),0)</f>
        <v>1.0049397002369565E-5</v>
      </c>
      <c r="AA5" s="14">
        <f>IFERROR(INDEX('SYFAFE psgr'!$B$6:$H$6,,MATCH($A5,'SYFAFE psgr'!$B$1:$H$1,0))*(1+INDEX(CAGR!$C$58:$C$64,MATCH($A5,CAGR!$B$58:$B$64,0))),0)</f>
        <v>1.0049397002369565E-5</v>
      </c>
      <c r="AB5" s="14">
        <f>IFERROR(INDEX('SYFAFE psgr'!$B$6:$H$6,,MATCH($A5,'SYFAFE psgr'!$B$1:$H$1,0))*(1+INDEX(CAGR!$C$58:$C$64,MATCH($A5,CAGR!$B$58:$B$64,0))),0)</f>
        <v>1.0049397002369565E-5</v>
      </c>
      <c r="AC5" s="14">
        <f>IFERROR(INDEX('SYFAFE psgr'!$B$6:$H$6,,MATCH($A5,'SYFAFE psgr'!$B$1:$H$1,0))*(1+INDEX(CAGR!$C$58:$C$64,MATCH($A5,CAGR!$B$58:$B$64,0))),0)</f>
        <v>1.0049397002369565E-5</v>
      </c>
      <c r="AD5" s="14">
        <f>IFERROR(INDEX('SYFAFE psgr'!$B$6:$H$6,,MATCH($A5,'SYFAFE psgr'!$B$1:$H$1,0))*(1+INDEX(CAGR!$C$58:$C$64,MATCH($A5,CAGR!$B$58:$B$64,0))),0)</f>
        <v>1.0049397002369565E-5</v>
      </c>
      <c r="AE5" s="14">
        <f>IFERROR(INDEX('SYFAFE psgr'!$B$6:$H$6,,MATCH($A5,'SYFAFE psgr'!$B$1:$H$1,0))*(1+INDEX(CAGR!$C$58:$C$64,MATCH($A5,CAGR!$B$58:$B$64,0))),0)</f>
        <v>1.0049397002369565E-5</v>
      </c>
      <c r="AF5" s="14">
        <f>IFERROR(INDEX('SYFAFE psgr'!$B$6:$H$6,,MATCH($A5,'SYFAFE psgr'!$B$1:$H$1,0))*(1+INDEX(CAGR!$C$58:$C$64,MATCH($A5,CAGR!$B$58:$B$64,0))),0)</f>
        <v>1.0049397002369565E-5</v>
      </c>
    </row>
    <row r="6" spans="1:32">
      <c r="A6" s="1" t="s">
        <v>13</v>
      </c>
      <c r="B6">
        <f>IFERROR(INDEX('SYFAFE psgr'!$B$6:$H$6,,MATCH($A6,'SYFAFE psgr'!$B$1:$H$1,0))*(1+INDEX(CAGR!$C$58:$C$64,MATCH($A6,CAGR!$B$58:$B$64,0))),0)</f>
        <v>0</v>
      </c>
      <c r="C6">
        <f>IFERROR(INDEX('SYFAFE psgr'!$B$6:$H$6,,MATCH($A6,'SYFAFE psgr'!$B$1:$H$1,0))*(1+INDEX(CAGR!$C$58:$C$64,MATCH($A6,CAGR!$B$58:$B$64,0))),0)</f>
        <v>0</v>
      </c>
      <c r="D6">
        <f>IFERROR(INDEX('SYFAFE psgr'!$B$6:$H$6,,MATCH($A6,'SYFAFE psgr'!$B$1:$H$1,0))*(1+INDEX(CAGR!$C$58:$C$64,MATCH($A6,CAGR!$B$58:$B$64,0))),0)</f>
        <v>0</v>
      </c>
      <c r="E6">
        <f>IFERROR(INDEX('SYFAFE psgr'!$B$6:$H$6,,MATCH($A6,'SYFAFE psgr'!$B$1:$H$1,0))*(1+INDEX(CAGR!$C$58:$C$64,MATCH($A6,CAGR!$B$58:$B$64,0))),0)</f>
        <v>0</v>
      </c>
      <c r="F6">
        <f>IFERROR(INDEX('SYFAFE psgr'!$B$6:$H$6,,MATCH($A6,'SYFAFE psgr'!$B$1:$H$1,0))*(1+INDEX(CAGR!$C$58:$C$64,MATCH($A6,CAGR!$B$58:$B$64,0))),0)</f>
        <v>0</v>
      </c>
      <c r="G6">
        <f>IFERROR(INDEX('SYFAFE psgr'!$B$6:$H$6,,MATCH($A6,'SYFAFE psgr'!$B$1:$H$1,0))*(1+INDEX(CAGR!$C$58:$C$64,MATCH($A6,CAGR!$B$58:$B$64,0))),0)</f>
        <v>0</v>
      </c>
      <c r="H6">
        <f>IFERROR(INDEX('SYFAFE psgr'!$B$6:$H$6,,MATCH($A6,'SYFAFE psgr'!$B$1:$H$1,0))*(1+INDEX(CAGR!$C$58:$C$64,MATCH($A6,CAGR!$B$58:$B$64,0))),0)</f>
        <v>0</v>
      </c>
      <c r="I6">
        <f>IFERROR(INDEX('SYFAFE psgr'!$B$6:$H$6,,MATCH($A6,'SYFAFE psgr'!$B$1:$H$1,0))*(1+INDEX(CAGR!$C$58:$C$64,MATCH($A6,CAGR!$B$58:$B$64,0))),0)</f>
        <v>0</v>
      </c>
      <c r="J6">
        <f>IFERROR(INDEX('SYFAFE psgr'!$B$6:$H$6,,MATCH($A6,'SYFAFE psgr'!$B$1:$H$1,0))*(1+INDEX(CAGR!$C$58:$C$64,MATCH($A6,CAGR!$B$58:$B$64,0))),0)</f>
        <v>0</v>
      </c>
      <c r="K6">
        <f>IFERROR(INDEX('SYFAFE psgr'!$B$6:$H$6,,MATCH($A6,'SYFAFE psgr'!$B$1:$H$1,0))*(1+INDEX(CAGR!$C$58:$C$64,MATCH($A6,CAGR!$B$58:$B$64,0))),0)</f>
        <v>0</v>
      </c>
      <c r="L6">
        <f>IFERROR(INDEX('SYFAFE psgr'!$B$6:$H$6,,MATCH($A6,'SYFAFE psgr'!$B$1:$H$1,0))*(1+INDEX(CAGR!$C$58:$C$64,MATCH($A6,CAGR!$B$58:$B$64,0))),0)</f>
        <v>0</v>
      </c>
      <c r="M6">
        <f>IFERROR(INDEX('SYFAFE psgr'!$B$6:$H$6,,MATCH($A6,'SYFAFE psgr'!$B$1:$H$1,0))*(1+INDEX(CAGR!$C$58:$C$64,MATCH($A6,CAGR!$B$58:$B$64,0))),0)</f>
        <v>0</v>
      </c>
      <c r="N6">
        <f>IFERROR(INDEX('SYFAFE psgr'!$B$6:$H$6,,MATCH($A6,'SYFAFE psgr'!$B$1:$H$1,0))*(1+INDEX(CAGR!$C$58:$C$64,MATCH($A6,CAGR!$B$58:$B$64,0))),0)</f>
        <v>0</v>
      </c>
      <c r="O6">
        <f>IFERROR(INDEX('SYFAFE psgr'!$B$6:$H$6,,MATCH($A6,'SYFAFE psgr'!$B$1:$H$1,0))*(1+INDEX(CAGR!$C$58:$C$64,MATCH($A6,CAGR!$B$58:$B$64,0))),0)</f>
        <v>0</v>
      </c>
      <c r="P6">
        <f>IFERROR(INDEX('SYFAFE psgr'!$B$6:$H$6,,MATCH($A6,'SYFAFE psgr'!$B$1:$H$1,0))*(1+INDEX(CAGR!$C$58:$C$64,MATCH($A6,CAGR!$B$58:$B$64,0))),0)</f>
        <v>0</v>
      </c>
      <c r="Q6">
        <f>IFERROR(INDEX('SYFAFE psgr'!$B$6:$H$6,,MATCH($A6,'SYFAFE psgr'!$B$1:$H$1,0))*(1+INDEX(CAGR!$C$58:$C$64,MATCH($A6,CAGR!$B$58:$B$64,0))),0)</f>
        <v>0</v>
      </c>
      <c r="R6">
        <f>IFERROR(INDEX('SYFAFE psgr'!$B$6:$H$6,,MATCH($A6,'SYFAFE psgr'!$B$1:$H$1,0))*(1+INDEX(CAGR!$C$58:$C$64,MATCH($A6,CAGR!$B$58:$B$64,0))),0)</f>
        <v>0</v>
      </c>
      <c r="S6">
        <f>IFERROR(INDEX('SYFAFE psgr'!$B$6:$H$6,,MATCH($A6,'SYFAFE psgr'!$B$1:$H$1,0))*(1+INDEX(CAGR!$C$58:$C$64,MATCH($A6,CAGR!$B$58:$B$64,0))),0)</f>
        <v>0</v>
      </c>
      <c r="T6">
        <f>IFERROR(INDEX('SYFAFE psgr'!$B$6:$H$6,,MATCH($A6,'SYFAFE psgr'!$B$1:$H$1,0))*(1+INDEX(CAGR!$C$58:$C$64,MATCH($A6,CAGR!$B$58:$B$64,0))),0)</f>
        <v>0</v>
      </c>
      <c r="U6">
        <f>IFERROR(INDEX('SYFAFE psgr'!$B$6:$H$6,,MATCH($A6,'SYFAFE psgr'!$B$1:$H$1,0))*(1+INDEX(CAGR!$C$58:$C$64,MATCH($A6,CAGR!$B$58:$B$64,0))),0)</f>
        <v>0</v>
      </c>
      <c r="V6">
        <f>IFERROR(INDEX('SYFAFE psgr'!$B$6:$H$6,,MATCH($A6,'SYFAFE psgr'!$B$1:$H$1,0))*(1+INDEX(CAGR!$C$58:$C$64,MATCH($A6,CAGR!$B$58:$B$64,0))),0)</f>
        <v>0</v>
      </c>
      <c r="W6">
        <f>IFERROR(INDEX('SYFAFE psgr'!$B$6:$H$6,,MATCH($A6,'SYFAFE psgr'!$B$1:$H$1,0))*(1+INDEX(CAGR!$C$58:$C$64,MATCH($A6,CAGR!$B$58:$B$64,0))),0)</f>
        <v>0</v>
      </c>
      <c r="X6">
        <f>IFERROR(INDEX('SYFAFE psgr'!$B$6:$H$6,,MATCH($A6,'SYFAFE psgr'!$B$1:$H$1,0))*(1+INDEX(CAGR!$C$58:$C$64,MATCH($A6,CAGR!$B$58:$B$64,0))),0)</f>
        <v>0</v>
      </c>
      <c r="Y6">
        <f>IFERROR(INDEX('SYFAFE psgr'!$B$6:$H$6,,MATCH($A6,'SYFAFE psgr'!$B$1:$H$1,0))*(1+INDEX(CAGR!$C$58:$C$64,MATCH($A6,CAGR!$B$58:$B$64,0))),0)</f>
        <v>0</v>
      </c>
      <c r="Z6">
        <f>IFERROR(INDEX('SYFAFE psgr'!$B$6:$H$6,,MATCH($A6,'SYFAFE psgr'!$B$1:$H$1,0))*(1+INDEX(CAGR!$C$58:$C$64,MATCH($A6,CAGR!$B$58:$B$64,0))),0)</f>
        <v>0</v>
      </c>
      <c r="AA6">
        <f>IFERROR(INDEX('SYFAFE psgr'!$B$6:$H$6,,MATCH($A6,'SYFAFE psgr'!$B$1:$H$1,0))*(1+INDEX(CAGR!$C$58:$C$64,MATCH($A6,CAGR!$B$58:$B$64,0))),0)</f>
        <v>0</v>
      </c>
      <c r="AB6">
        <f>IFERROR(INDEX('SYFAFE psgr'!$B$6:$H$6,,MATCH($A6,'SYFAFE psgr'!$B$1:$H$1,0))*(1+INDEX(CAGR!$C$58:$C$64,MATCH($A6,CAGR!$B$58:$B$64,0))),0)</f>
        <v>0</v>
      </c>
      <c r="AC6">
        <f>IFERROR(INDEX('SYFAFE psgr'!$B$6:$H$6,,MATCH($A6,'SYFAFE psgr'!$B$1:$H$1,0))*(1+INDEX(CAGR!$C$58:$C$64,MATCH($A6,CAGR!$B$58:$B$64,0))),0)</f>
        <v>0</v>
      </c>
      <c r="AD6">
        <f>IFERROR(INDEX('SYFAFE psgr'!$B$6:$H$6,,MATCH($A6,'SYFAFE psgr'!$B$1:$H$1,0))*(1+INDEX(CAGR!$C$58:$C$64,MATCH($A6,CAGR!$B$58:$B$64,0))),0)</f>
        <v>0</v>
      </c>
      <c r="AE6">
        <f>IFERROR(INDEX('SYFAFE psgr'!$B$6:$H$6,,MATCH($A6,'SYFAFE psgr'!$B$1:$H$1,0))*(1+INDEX(CAGR!$C$58:$C$64,MATCH($A6,CAGR!$B$58:$B$64,0))),0)</f>
        <v>0</v>
      </c>
      <c r="AF6">
        <f>IFERROR(INDEX('SYFAFE psgr'!$B$6:$H$6,,MATCH($A6,'SYFAFE psgr'!$B$1:$H$1,0))*(1+INDEX(CAGR!$C$58:$C$64,MATCH($A6,CAGR!$B$58:$B$64,0))),0)</f>
        <v>0</v>
      </c>
    </row>
    <row r="7" spans="1:32">
      <c r="A7" s="1" t="s">
        <v>14</v>
      </c>
      <c r="B7">
        <f>IFERROR(INDEX('SYFAFE psgr'!$B$6:$H$6,,MATCH($A7,'SYFAFE psgr'!$B$1:$H$1,0))*(1+INDEX(CAGR!$C$58:$C$64,MATCH($A7,CAGR!$B$58:$B$64,0))),0)</f>
        <v>0</v>
      </c>
      <c r="C7">
        <f>IFERROR(INDEX('SYFAFE psgr'!$B$6:$H$6,,MATCH($A7,'SYFAFE psgr'!$B$1:$H$1,0))*(1+INDEX(CAGR!$C$58:$C$64,MATCH($A7,CAGR!$B$58:$B$64,0))),0)</f>
        <v>0</v>
      </c>
      <c r="D7">
        <f>IFERROR(INDEX('SYFAFE psgr'!$B$6:$H$6,,MATCH($A7,'SYFAFE psgr'!$B$1:$H$1,0))*(1+INDEX(CAGR!$C$58:$C$64,MATCH($A7,CAGR!$B$58:$B$64,0))),0)</f>
        <v>0</v>
      </c>
      <c r="E7">
        <f>IFERROR(INDEX('SYFAFE psgr'!$B$6:$H$6,,MATCH($A7,'SYFAFE psgr'!$B$1:$H$1,0))*(1+INDEX(CAGR!$C$58:$C$64,MATCH($A7,CAGR!$B$58:$B$64,0))),0)</f>
        <v>0</v>
      </c>
      <c r="F7">
        <f>IFERROR(INDEX('SYFAFE psgr'!$B$6:$H$6,,MATCH($A7,'SYFAFE psgr'!$B$1:$H$1,0))*(1+INDEX(CAGR!$C$58:$C$64,MATCH($A7,CAGR!$B$58:$B$64,0))),0)</f>
        <v>0</v>
      </c>
      <c r="G7">
        <f>IFERROR(INDEX('SYFAFE psgr'!$B$6:$H$6,,MATCH($A7,'SYFAFE psgr'!$B$1:$H$1,0))*(1+INDEX(CAGR!$C$58:$C$64,MATCH($A7,CAGR!$B$58:$B$64,0))),0)</f>
        <v>0</v>
      </c>
      <c r="H7">
        <f>IFERROR(INDEX('SYFAFE psgr'!$B$6:$H$6,,MATCH($A7,'SYFAFE psgr'!$B$1:$H$1,0))*(1+INDEX(CAGR!$C$58:$C$64,MATCH($A7,CAGR!$B$58:$B$64,0))),0)</f>
        <v>0</v>
      </c>
      <c r="I7">
        <f>IFERROR(INDEX('SYFAFE psgr'!$B$6:$H$6,,MATCH($A7,'SYFAFE psgr'!$B$1:$H$1,0))*(1+INDEX(CAGR!$C$58:$C$64,MATCH($A7,CAGR!$B$58:$B$64,0))),0)</f>
        <v>0</v>
      </c>
      <c r="J7">
        <f>IFERROR(INDEX('SYFAFE psgr'!$B$6:$H$6,,MATCH($A7,'SYFAFE psgr'!$B$1:$H$1,0))*(1+INDEX(CAGR!$C$58:$C$64,MATCH($A7,CAGR!$B$58:$B$64,0))),0)</f>
        <v>0</v>
      </c>
      <c r="K7">
        <f>IFERROR(INDEX('SYFAFE psgr'!$B$6:$H$6,,MATCH($A7,'SYFAFE psgr'!$B$1:$H$1,0))*(1+INDEX(CAGR!$C$58:$C$64,MATCH($A7,CAGR!$B$58:$B$64,0))),0)</f>
        <v>0</v>
      </c>
      <c r="L7">
        <f>IFERROR(INDEX('SYFAFE psgr'!$B$6:$H$6,,MATCH($A7,'SYFAFE psgr'!$B$1:$H$1,0))*(1+INDEX(CAGR!$C$58:$C$64,MATCH($A7,CAGR!$B$58:$B$64,0))),0)</f>
        <v>0</v>
      </c>
      <c r="M7">
        <f>IFERROR(INDEX('SYFAFE psgr'!$B$6:$H$6,,MATCH($A7,'SYFAFE psgr'!$B$1:$H$1,0))*(1+INDEX(CAGR!$C$58:$C$64,MATCH($A7,CAGR!$B$58:$B$64,0))),0)</f>
        <v>0</v>
      </c>
      <c r="N7">
        <f>IFERROR(INDEX('SYFAFE psgr'!$B$6:$H$6,,MATCH($A7,'SYFAFE psgr'!$B$1:$H$1,0))*(1+INDEX(CAGR!$C$58:$C$64,MATCH($A7,CAGR!$B$58:$B$64,0))),0)</f>
        <v>0</v>
      </c>
      <c r="O7">
        <f>IFERROR(INDEX('SYFAFE psgr'!$B$6:$H$6,,MATCH($A7,'SYFAFE psgr'!$B$1:$H$1,0))*(1+INDEX(CAGR!$C$58:$C$64,MATCH($A7,CAGR!$B$58:$B$64,0))),0)</f>
        <v>0</v>
      </c>
      <c r="P7">
        <f>IFERROR(INDEX('SYFAFE psgr'!$B$6:$H$6,,MATCH($A7,'SYFAFE psgr'!$B$1:$H$1,0))*(1+INDEX(CAGR!$C$58:$C$64,MATCH($A7,CAGR!$B$58:$B$64,0))),0)</f>
        <v>0</v>
      </c>
      <c r="Q7">
        <f>IFERROR(INDEX('SYFAFE psgr'!$B$6:$H$6,,MATCH($A7,'SYFAFE psgr'!$B$1:$H$1,0))*(1+INDEX(CAGR!$C$58:$C$64,MATCH($A7,CAGR!$B$58:$B$64,0))),0)</f>
        <v>0</v>
      </c>
      <c r="R7">
        <f>IFERROR(INDEX('SYFAFE psgr'!$B$6:$H$6,,MATCH($A7,'SYFAFE psgr'!$B$1:$H$1,0))*(1+INDEX(CAGR!$C$58:$C$64,MATCH($A7,CAGR!$B$58:$B$64,0))),0)</f>
        <v>0</v>
      </c>
      <c r="S7">
        <f>IFERROR(INDEX('SYFAFE psgr'!$B$6:$H$6,,MATCH($A7,'SYFAFE psgr'!$B$1:$H$1,0))*(1+INDEX(CAGR!$C$58:$C$64,MATCH($A7,CAGR!$B$58:$B$64,0))),0)</f>
        <v>0</v>
      </c>
      <c r="T7">
        <f>IFERROR(INDEX('SYFAFE psgr'!$B$6:$H$6,,MATCH($A7,'SYFAFE psgr'!$B$1:$H$1,0))*(1+INDEX(CAGR!$C$58:$C$64,MATCH($A7,CAGR!$B$58:$B$64,0))),0)</f>
        <v>0</v>
      </c>
      <c r="U7">
        <f>IFERROR(INDEX('SYFAFE psgr'!$B$6:$H$6,,MATCH($A7,'SYFAFE psgr'!$B$1:$H$1,0))*(1+INDEX(CAGR!$C$58:$C$64,MATCH($A7,CAGR!$B$58:$B$64,0))),0)</f>
        <v>0</v>
      </c>
      <c r="V7">
        <f>IFERROR(INDEX('SYFAFE psgr'!$B$6:$H$6,,MATCH($A7,'SYFAFE psgr'!$B$1:$H$1,0))*(1+INDEX(CAGR!$C$58:$C$64,MATCH($A7,CAGR!$B$58:$B$64,0))),0)</f>
        <v>0</v>
      </c>
      <c r="W7">
        <f>IFERROR(INDEX('SYFAFE psgr'!$B$6:$H$6,,MATCH($A7,'SYFAFE psgr'!$B$1:$H$1,0))*(1+INDEX(CAGR!$C$58:$C$64,MATCH($A7,CAGR!$B$58:$B$64,0))),0)</f>
        <v>0</v>
      </c>
      <c r="X7">
        <f>IFERROR(INDEX('SYFAFE psgr'!$B$6:$H$6,,MATCH($A7,'SYFAFE psgr'!$B$1:$H$1,0))*(1+INDEX(CAGR!$C$58:$C$64,MATCH($A7,CAGR!$B$58:$B$64,0))),0)</f>
        <v>0</v>
      </c>
      <c r="Y7">
        <f>IFERROR(INDEX('SYFAFE psgr'!$B$6:$H$6,,MATCH($A7,'SYFAFE psgr'!$B$1:$H$1,0))*(1+INDEX(CAGR!$C$58:$C$64,MATCH($A7,CAGR!$B$58:$B$64,0))),0)</f>
        <v>0</v>
      </c>
      <c r="Z7">
        <f>IFERROR(INDEX('SYFAFE psgr'!$B$6:$H$6,,MATCH($A7,'SYFAFE psgr'!$B$1:$H$1,0))*(1+INDEX(CAGR!$C$58:$C$64,MATCH($A7,CAGR!$B$58:$B$64,0))),0)</f>
        <v>0</v>
      </c>
      <c r="AA7">
        <f>IFERROR(INDEX('SYFAFE psgr'!$B$6:$H$6,,MATCH($A7,'SYFAFE psgr'!$B$1:$H$1,0))*(1+INDEX(CAGR!$C$58:$C$64,MATCH($A7,CAGR!$B$58:$B$64,0))),0)</f>
        <v>0</v>
      </c>
      <c r="AB7">
        <f>IFERROR(INDEX('SYFAFE psgr'!$B$6:$H$6,,MATCH($A7,'SYFAFE psgr'!$B$1:$H$1,0))*(1+INDEX(CAGR!$C$58:$C$64,MATCH($A7,CAGR!$B$58:$B$64,0))),0)</f>
        <v>0</v>
      </c>
      <c r="AC7">
        <f>IFERROR(INDEX('SYFAFE psgr'!$B$6:$H$6,,MATCH($A7,'SYFAFE psgr'!$B$1:$H$1,0))*(1+INDEX(CAGR!$C$58:$C$64,MATCH($A7,CAGR!$B$58:$B$64,0))),0)</f>
        <v>0</v>
      </c>
      <c r="AD7">
        <f>IFERROR(INDEX('SYFAFE psgr'!$B$6:$H$6,,MATCH($A7,'SYFAFE psgr'!$B$1:$H$1,0))*(1+INDEX(CAGR!$C$58:$C$64,MATCH($A7,CAGR!$B$58:$B$64,0))),0)</f>
        <v>0</v>
      </c>
      <c r="AE7">
        <f>IFERROR(INDEX('SYFAFE psgr'!$B$6:$H$6,,MATCH($A7,'SYFAFE psgr'!$B$1:$H$1,0))*(1+INDEX(CAGR!$C$58:$C$64,MATCH($A7,CAGR!$B$58:$B$64,0))),0)</f>
        <v>0</v>
      </c>
      <c r="AF7">
        <f>IFERROR(INDEX('SYFAFE psgr'!$B$6:$H$6,,MATCH($A7,'SYFAFE psgr'!$B$1:$H$1,0))*(1+INDEX(CAGR!$C$58:$C$64,MATCH($A7,CAGR!$B$58:$B$64,0))),0)</f>
        <v>0</v>
      </c>
    </row>
    <row r="8" spans="1:32">
      <c r="A8" s="1" t="s">
        <v>15</v>
      </c>
      <c r="B8" s="13">
        <f>B5*Calibration!D43</f>
        <v>3.0148191007108693E-5</v>
      </c>
      <c r="C8" s="13">
        <f>B8*(1+CAGR!$C$64)</f>
        <v>3.0148191007108693E-5</v>
      </c>
      <c r="D8" s="13">
        <f>C8*(1+CAGR!$C$64)</f>
        <v>3.0148191007108693E-5</v>
      </c>
      <c r="E8" s="13">
        <f>D8*(1+CAGR!$C$64)</f>
        <v>3.0148191007108693E-5</v>
      </c>
      <c r="F8" s="13">
        <f>E8*(1+CAGR!$C$64)</f>
        <v>3.0148191007108693E-5</v>
      </c>
      <c r="G8" s="13">
        <f>F8*(1+CAGR!$C$64)</f>
        <v>3.0148191007108693E-5</v>
      </c>
      <c r="H8" s="13">
        <f>G8*(1+CAGR!$C$64)</f>
        <v>3.0148191007108693E-5</v>
      </c>
      <c r="I8" s="13">
        <f>H8*(1+CAGR!$C$64)</f>
        <v>3.0148191007108693E-5</v>
      </c>
      <c r="J8" s="13">
        <f>I8*(1+CAGR!$C$64)</f>
        <v>3.0148191007108693E-5</v>
      </c>
      <c r="K8" s="13">
        <f>J8*(1+CAGR!$C$64)</f>
        <v>3.0148191007108693E-5</v>
      </c>
      <c r="L8" s="13">
        <f>K8*(1+CAGR!$C$64)</f>
        <v>3.0148191007108693E-5</v>
      </c>
      <c r="M8" s="13">
        <f>L8*(1+CAGR!$C$64)</f>
        <v>3.0148191007108693E-5</v>
      </c>
      <c r="N8" s="13">
        <f>M8*(1+CAGR!$C$64)</f>
        <v>3.0148191007108693E-5</v>
      </c>
      <c r="O8" s="13">
        <f>N8*(1+CAGR!$C$64)</f>
        <v>3.0148191007108693E-5</v>
      </c>
      <c r="P8" s="13">
        <f>O8*(1+CAGR!$C$64)</f>
        <v>3.0148191007108693E-5</v>
      </c>
      <c r="Q8" s="13">
        <f>P8*(1+CAGR!$C$64)</f>
        <v>3.0148191007108693E-5</v>
      </c>
      <c r="R8" s="13">
        <f>Q8*(1+CAGR!$C$64)</f>
        <v>3.0148191007108693E-5</v>
      </c>
      <c r="S8" s="13">
        <f>R8*(1+CAGR!$C$64)</f>
        <v>3.0148191007108693E-5</v>
      </c>
      <c r="T8" s="13">
        <f>S8*(1+CAGR!$C$64)</f>
        <v>3.0148191007108693E-5</v>
      </c>
      <c r="U8" s="13">
        <f>T8*(1+CAGR!$C$64)</f>
        <v>3.0148191007108693E-5</v>
      </c>
      <c r="V8" s="13">
        <f>U8*(1+CAGR!$C$64)</f>
        <v>3.0148191007108693E-5</v>
      </c>
      <c r="W8" s="13">
        <f>V8*(1+CAGR!$C$64)</f>
        <v>3.0148191007108693E-5</v>
      </c>
      <c r="X8" s="13">
        <f>W8*(1+CAGR!$C$64)</f>
        <v>3.0148191007108693E-5</v>
      </c>
      <c r="Y8" s="13">
        <f>X8*(1+CAGR!$C$64)</f>
        <v>3.0148191007108693E-5</v>
      </c>
      <c r="Z8" s="13">
        <f>Y8*(1+CAGR!$C$64)</f>
        <v>3.0148191007108693E-5</v>
      </c>
      <c r="AA8" s="13">
        <f>Z8*(1+CAGR!$C$64)</f>
        <v>3.0148191007108693E-5</v>
      </c>
      <c r="AB8" s="13">
        <f>AA8*(1+CAGR!$C$64)</f>
        <v>3.0148191007108693E-5</v>
      </c>
      <c r="AC8" s="13">
        <f>AB8*(1+CAGR!$C$64)</f>
        <v>3.0148191007108693E-5</v>
      </c>
      <c r="AD8" s="13">
        <f>AC8*(1+CAGR!$C$64)</f>
        <v>3.0148191007108693E-5</v>
      </c>
      <c r="AE8" s="13">
        <f>AD8*(1+CAGR!$C$64)</f>
        <v>3.0148191007108693E-5</v>
      </c>
      <c r="AF8" s="13">
        <f>AE8*(1+CAGR!$C$64)</f>
        <v>3.0148191007108693E-5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12DF-67C7-4533-9DF8-C884909DBE9D}">
  <sheetPr>
    <tabColor rgb="FF1F497D"/>
  </sheetPr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B5*Calibration!$B$44</f>
        <v>1.5467626362604087E-2</v>
      </c>
      <c r="C2" s="13">
        <f>B2*(1+CAGR!$C$65)</f>
        <v>1.5467626362604087E-2</v>
      </c>
      <c r="D2" s="13">
        <f>C2*(1+CAGR!$C$65)</f>
        <v>1.5467626362604087E-2</v>
      </c>
      <c r="E2" s="13">
        <f>D2*(1+CAGR!$C$65)</f>
        <v>1.5467626362604087E-2</v>
      </c>
      <c r="F2" s="13">
        <f>E2*(1+CAGR!$C$65)</f>
        <v>1.5467626362604087E-2</v>
      </c>
      <c r="G2" s="13">
        <f>F2*(1+CAGR!$C$65)</f>
        <v>1.5467626362604087E-2</v>
      </c>
      <c r="H2" s="13">
        <f>G2*(1+CAGR!$C$65)</f>
        <v>1.5467626362604087E-2</v>
      </c>
      <c r="I2" s="13">
        <f>H2*(1+CAGR!$C$65)</f>
        <v>1.5467626362604087E-2</v>
      </c>
      <c r="J2" s="13">
        <f>I2*(1+CAGR!$C$65)</f>
        <v>1.5467626362604087E-2</v>
      </c>
      <c r="K2" s="13">
        <f>J2*(1+CAGR!$C$65)</f>
        <v>1.5467626362604087E-2</v>
      </c>
      <c r="L2" s="13">
        <f>K2*(1+CAGR!$C$65)</f>
        <v>1.5467626362604087E-2</v>
      </c>
      <c r="M2" s="13">
        <f>L2*(1+CAGR!$C$65)</f>
        <v>1.5467626362604087E-2</v>
      </c>
      <c r="N2" s="13">
        <f>M2*(1+CAGR!$C$65)</f>
        <v>1.5467626362604087E-2</v>
      </c>
      <c r="O2" s="13">
        <f>N2*(1+CAGR!$C$65)</f>
        <v>1.5467626362604087E-2</v>
      </c>
      <c r="P2" s="13">
        <f>O2*(1+CAGR!$C$65)</f>
        <v>1.5467626362604087E-2</v>
      </c>
      <c r="Q2" s="13">
        <f>P2*(1+CAGR!$C$65)</f>
        <v>1.5467626362604087E-2</v>
      </c>
      <c r="R2" s="13">
        <f>Q2*(1+CAGR!$C$65)</f>
        <v>1.5467626362604087E-2</v>
      </c>
      <c r="S2" s="13">
        <f>R2*(1+CAGR!$C$65)</f>
        <v>1.5467626362604087E-2</v>
      </c>
      <c r="T2" s="13">
        <f>S2*(1+CAGR!$C$65)</f>
        <v>1.5467626362604087E-2</v>
      </c>
      <c r="U2" s="13">
        <f>T2*(1+CAGR!$C$65)</f>
        <v>1.5467626362604087E-2</v>
      </c>
      <c r="V2" s="13">
        <f>U2*(1+CAGR!$C$65)</f>
        <v>1.5467626362604087E-2</v>
      </c>
      <c r="W2" s="13">
        <f>V2*(1+CAGR!$C$65)</f>
        <v>1.5467626362604087E-2</v>
      </c>
      <c r="X2" s="13">
        <f>W2*(1+CAGR!$C$65)</f>
        <v>1.5467626362604087E-2</v>
      </c>
      <c r="Y2" s="13">
        <f>X2*(1+CAGR!$C$65)</f>
        <v>1.5467626362604087E-2</v>
      </c>
      <c r="Z2" s="13">
        <f>Y2*(1+CAGR!$C$65)</f>
        <v>1.5467626362604087E-2</v>
      </c>
      <c r="AA2" s="13">
        <f>Z2*(1+CAGR!$C$65)</f>
        <v>1.5467626362604087E-2</v>
      </c>
      <c r="AB2" s="13">
        <f>AA2*(1+CAGR!$C$65)</f>
        <v>1.5467626362604087E-2</v>
      </c>
      <c r="AC2" s="13">
        <f>AB2*(1+CAGR!$C$65)</f>
        <v>1.5467626362604087E-2</v>
      </c>
      <c r="AD2" s="13">
        <f>AC2*(1+CAGR!$C$65)</f>
        <v>1.5467626362604087E-2</v>
      </c>
      <c r="AE2" s="13">
        <f>AD2*(1+CAGR!$C$65)</f>
        <v>1.5467626362604087E-2</v>
      </c>
      <c r="AF2" s="13">
        <f>AE2*(1+CAGR!$C$65)</f>
        <v>1.5467626362604087E-2</v>
      </c>
    </row>
    <row r="3" spans="1:32">
      <c r="A3" s="1" t="s">
        <v>10</v>
      </c>
      <c r="B3">
        <f>IFERROR(INDEX('SYFAFE frgt'!$B$6:$H$6,,MATCH($A3,'SYFAFE frgt'!$B$1:$H$1,0))*(1+INDEX(CAGR!$C$65:$C$71,MATCH($A3,CAGR!$B$65:$B$71,0))),0)</f>
        <v>4.813365E-3</v>
      </c>
      <c r="C3">
        <f>IFERROR(INDEX('SYFAFE frgt'!$B$6:$H$6,,MATCH($A3,'SYFAFE frgt'!$B$1:$H$1,0))*(1+INDEX(CAGR!$C$51:$C$57,MATCH($A3,CAGR!$B$65:$B$71,0))),0)</f>
        <v>4.813365E-3</v>
      </c>
      <c r="D3">
        <f>IFERROR(INDEX('SYFAFE frgt'!$B$6:$H$6,,MATCH($A3,'SYFAFE frgt'!$B$1:$H$1,0))*(1+INDEX(CAGR!$C$51:$C$57,MATCH($A3,CAGR!$B$65:$B$71,0))),0)</f>
        <v>4.813365E-3</v>
      </c>
      <c r="E3">
        <f>IFERROR(INDEX('SYFAFE frgt'!$B$6:$H$6,,MATCH($A3,'SYFAFE frgt'!$B$1:$H$1,0))*(1+INDEX(CAGR!$C$51:$C$57,MATCH($A3,CAGR!$B$65:$B$71,0))),0)</f>
        <v>4.813365E-3</v>
      </c>
      <c r="F3">
        <f>IFERROR(INDEX('SYFAFE frgt'!$B$6:$H$6,,MATCH($A3,'SYFAFE frgt'!$B$1:$H$1,0))*(1+INDEX(CAGR!$C$51:$C$57,MATCH($A3,CAGR!$B$65:$B$71,0))),0)</f>
        <v>4.813365E-3</v>
      </c>
      <c r="G3">
        <f>IFERROR(INDEX('SYFAFE frgt'!$B$6:$H$6,,MATCH($A3,'SYFAFE frgt'!$B$1:$H$1,0))*(1+INDEX(CAGR!$C$51:$C$57,MATCH($A3,CAGR!$B$65:$B$71,0))),0)</f>
        <v>4.813365E-3</v>
      </c>
      <c r="H3">
        <f>IFERROR(INDEX('SYFAFE frgt'!$B$6:$H$6,,MATCH($A3,'SYFAFE frgt'!$B$1:$H$1,0))*(1+INDEX(CAGR!$C$51:$C$57,MATCH($A3,CAGR!$B$65:$B$71,0))),0)</f>
        <v>4.813365E-3</v>
      </c>
      <c r="I3">
        <f>IFERROR(INDEX('SYFAFE frgt'!$B$6:$H$6,,MATCH($A3,'SYFAFE frgt'!$B$1:$H$1,0))*(1+INDEX(CAGR!$C$51:$C$57,MATCH($A3,CAGR!$B$65:$B$71,0))),0)</f>
        <v>4.813365E-3</v>
      </c>
      <c r="J3">
        <f>IFERROR(INDEX('SYFAFE frgt'!$B$6:$H$6,,MATCH($A3,'SYFAFE frgt'!$B$1:$H$1,0))*(1+INDEX(CAGR!$C$51:$C$57,MATCH($A3,CAGR!$B$65:$B$71,0))),0)</f>
        <v>4.813365E-3</v>
      </c>
      <c r="K3">
        <f>IFERROR(INDEX('SYFAFE frgt'!$B$6:$H$6,,MATCH($A3,'SYFAFE frgt'!$B$1:$H$1,0))*(1+INDEX(CAGR!$C$51:$C$57,MATCH($A3,CAGR!$B$65:$B$71,0))),0)</f>
        <v>4.813365E-3</v>
      </c>
      <c r="L3">
        <f>IFERROR(INDEX('SYFAFE frgt'!$B$6:$H$6,,MATCH($A3,'SYFAFE frgt'!$B$1:$H$1,0))*(1+INDEX(CAGR!$C$51:$C$57,MATCH($A3,CAGR!$B$65:$B$71,0))),0)</f>
        <v>4.813365E-3</v>
      </c>
      <c r="M3">
        <f>IFERROR(INDEX('SYFAFE frgt'!$B$6:$H$6,,MATCH($A3,'SYFAFE frgt'!$B$1:$H$1,0))*(1+INDEX(CAGR!$C$51:$C$57,MATCH($A3,CAGR!$B$65:$B$71,0))),0)</f>
        <v>4.813365E-3</v>
      </c>
      <c r="N3">
        <f>IFERROR(INDEX('SYFAFE frgt'!$B$6:$H$6,,MATCH($A3,'SYFAFE frgt'!$B$1:$H$1,0))*(1+INDEX(CAGR!$C$51:$C$57,MATCH($A3,CAGR!$B$65:$B$71,0))),0)</f>
        <v>4.813365E-3</v>
      </c>
      <c r="O3">
        <f>IFERROR(INDEX('SYFAFE frgt'!$B$6:$H$6,,MATCH($A3,'SYFAFE frgt'!$B$1:$H$1,0))*(1+INDEX(CAGR!$C$51:$C$57,MATCH($A3,CAGR!$B$65:$B$71,0))),0)</f>
        <v>4.813365E-3</v>
      </c>
      <c r="P3">
        <f>IFERROR(INDEX('SYFAFE frgt'!$B$6:$H$6,,MATCH($A3,'SYFAFE frgt'!$B$1:$H$1,0))*(1+INDEX(CAGR!$C$51:$C$57,MATCH($A3,CAGR!$B$65:$B$71,0))),0)</f>
        <v>4.813365E-3</v>
      </c>
      <c r="Q3">
        <f>IFERROR(INDEX('SYFAFE frgt'!$B$6:$H$6,,MATCH($A3,'SYFAFE frgt'!$B$1:$H$1,0))*(1+INDEX(CAGR!$C$51:$C$57,MATCH($A3,CAGR!$B$65:$B$71,0))),0)</f>
        <v>4.813365E-3</v>
      </c>
      <c r="R3">
        <f>IFERROR(INDEX('SYFAFE frgt'!$B$6:$H$6,,MATCH($A3,'SYFAFE frgt'!$B$1:$H$1,0))*(1+INDEX(CAGR!$C$51:$C$57,MATCH($A3,CAGR!$B$65:$B$71,0))),0)</f>
        <v>4.813365E-3</v>
      </c>
      <c r="S3">
        <f>IFERROR(INDEX('SYFAFE frgt'!$B$6:$H$6,,MATCH($A3,'SYFAFE frgt'!$B$1:$H$1,0))*(1+INDEX(CAGR!$C$51:$C$57,MATCH($A3,CAGR!$B$65:$B$71,0))),0)</f>
        <v>4.813365E-3</v>
      </c>
      <c r="T3">
        <f>IFERROR(INDEX('SYFAFE frgt'!$B$6:$H$6,,MATCH($A3,'SYFAFE frgt'!$B$1:$H$1,0))*(1+INDEX(CAGR!$C$51:$C$57,MATCH($A3,CAGR!$B$65:$B$71,0))),0)</f>
        <v>4.813365E-3</v>
      </c>
      <c r="U3">
        <f>IFERROR(INDEX('SYFAFE frgt'!$B$6:$H$6,,MATCH($A3,'SYFAFE frgt'!$B$1:$H$1,0))*(1+INDEX(CAGR!$C$51:$C$57,MATCH($A3,CAGR!$B$65:$B$71,0))),0)</f>
        <v>4.813365E-3</v>
      </c>
      <c r="V3">
        <f>IFERROR(INDEX('SYFAFE frgt'!$B$6:$H$6,,MATCH($A3,'SYFAFE frgt'!$B$1:$H$1,0))*(1+INDEX(CAGR!$C$51:$C$57,MATCH($A3,CAGR!$B$65:$B$71,0))),0)</f>
        <v>4.813365E-3</v>
      </c>
      <c r="W3">
        <f>IFERROR(INDEX('SYFAFE frgt'!$B$6:$H$6,,MATCH($A3,'SYFAFE frgt'!$B$1:$H$1,0))*(1+INDEX(CAGR!$C$51:$C$57,MATCH($A3,CAGR!$B$65:$B$71,0))),0)</f>
        <v>4.813365E-3</v>
      </c>
      <c r="X3">
        <f>IFERROR(INDEX('SYFAFE frgt'!$B$6:$H$6,,MATCH($A3,'SYFAFE frgt'!$B$1:$H$1,0))*(1+INDEX(CAGR!$C$51:$C$57,MATCH($A3,CAGR!$B$65:$B$71,0))),0)</f>
        <v>4.813365E-3</v>
      </c>
      <c r="Y3">
        <f>IFERROR(INDEX('SYFAFE frgt'!$B$6:$H$6,,MATCH($A3,'SYFAFE frgt'!$B$1:$H$1,0))*(1+INDEX(CAGR!$C$51:$C$57,MATCH($A3,CAGR!$B$65:$B$71,0))),0)</f>
        <v>4.813365E-3</v>
      </c>
      <c r="Z3">
        <f>IFERROR(INDEX('SYFAFE frgt'!$B$6:$H$6,,MATCH($A3,'SYFAFE frgt'!$B$1:$H$1,0))*(1+INDEX(CAGR!$C$51:$C$57,MATCH($A3,CAGR!$B$65:$B$71,0))),0)</f>
        <v>4.813365E-3</v>
      </c>
      <c r="AA3">
        <f>IFERROR(INDEX('SYFAFE frgt'!$B$6:$H$6,,MATCH($A3,'SYFAFE frgt'!$B$1:$H$1,0))*(1+INDEX(CAGR!$C$51:$C$57,MATCH($A3,CAGR!$B$65:$B$71,0))),0)</f>
        <v>4.813365E-3</v>
      </c>
      <c r="AB3">
        <f>IFERROR(INDEX('SYFAFE frgt'!$B$6:$H$6,,MATCH($A3,'SYFAFE frgt'!$B$1:$H$1,0))*(1+INDEX(CAGR!$C$51:$C$57,MATCH($A3,CAGR!$B$65:$B$71,0))),0)</f>
        <v>4.813365E-3</v>
      </c>
      <c r="AC3">
        <f>IFERROR(INDEX('SYFAFE frgt'!$B$6:$H$6,,MATCH($A3,'SYFAFE frgt'!$B$1:$H$1,0))*(1+INDEX(CAGR!$C$51:$C$57,MATCH($A3,CAGR!$B$65:$B$71,0))),0)</f>
        <v>4.813365E-3</v>
      </c>
      <c r="AD3">
        <f>IFERROR(INDEX('SYFAFE frgt'!$B$6:$H$6,,MATCH($A3,'SYFAFE frgt'!$B$1:$H$1,0))*(1+INDEX(CAGR!$C$51:$C$57,MATCH($A3,CAGR!$B$65:$B$71,0))),0)</f>
        <v>4.813365E-3</v>
      </c>
      <c r="AE3">
        <f>IFERROR(INDEX('SYFAFE frgt'!$B$6:$H$6,,MATCH($A3,'SYFAFE frgt'!$B$1:$H$1,0))*(1+INDEX(CAGR!$C$51:$C$57,MATCH($A3,CAGR!$B$65:$B$71,0))),0)</f>
        <v>4.813365E-3</v>
      </c>
      <c r="AF3">
        <f>IFERROR(INDEX('SYFAFE frgt'!$B$6:$H$6,,MATCH($A3,'SYFAFE frgt'!$B$1:$H$1,0))*(1+INDEX(CAGR!$C$51:$C$57,MATCH($A3,CAGR!$B$65:$B$71,0))),0)</f>
        <v>4.813365E-3</v>
      </c>
    </row>
    <row r="4" spans="1:32">
      <c r="A4" s="1" t="s">
        <v>11</v>
      </c>
      <c r="B4" s="14">
        <f>IFERROR(INDEX('SYFAFE frgt'!$B$6:$H$6,,MATCH($A4,'SYFAFE frgt'!$B$1:$H$1,0))*(1+INDEX(CAGR!$C$65:$C$71,MATCH($A4,CAGR!$B$65:$B$71,0))),0)</f>
        <v>4.813365E-3</v>
      </c>
      <c r="C4" s="14">
        <f>IFERROR(B4*(1+INDEX(CAGR!$C$51:$C$57,MATCH($A4,CAGR!$B$65:$B$71,0))),0)</f>
        <v>4.813365E-3</v>
      </c>
      <c r="D4" s="14">
        <f>IFERROR(C4*(1+INDEX(CAGR!$C$51:$C$57,MATCH($A4,CAGR!$B$65:$B$71,0))),0)</f>
        <v>4.813365E-3</v>
      </c>
      <c r="E4" s="14">
        <f>IFERROR(D4*(1+INDEX(CAGR!$C$51:$C$57,MATCH($A4,CAGR!$B$65:$B$71,0))),0)</f>
        <v>4.813365E-3</v>
      </c>
      <c r="F4" s="14">
        <f>IFERROR(E4*(1+INDEX(CAGR!$C$51:$C$57,MATCH($A4,CAGR!$B$65:$B$71,0))),0)</f>
        <v>4.813365E-3</v>
      </c>
      <c r="G4" s="14">
        <f>IFERROR(F4*(1+INDEX(CAGR!$C$51:$C$57,MATCH($A4,CAGR!$B$65:$B$71,0))),0)</f>
        <v>4.813365E-3</v>
      </c>
      <c r="H4" s="14">
        <f>IFERROR(G4*(1+INDEX(CAGR!$C$51:$C$57,MATCH($A4,CAGR!$B$65:$B$71,0))),0)</f>
        <v>4.813365E-3</v>
      </c>
      <c r="I4" s="14">
        <f>IFERROR(H4*(1+INDEX(CAGR!$C$51:$C$57,MATCH($A4,CAGR!$B$65:$B$71,0))),0)</f>
        <v>4.813365E-3</v>
      </c>
      <c r="J4" s="14">
        <f>IFERROR(I4*(1+INDEX(CAGR!$C$51:$C$57,MATCH($A4,CAGR!$B$65:$B$71,0))),0)</f>
        <v>4.813365E-3</v>
      </c>
      <c r="K4" s="14">
        <f>IFERROR(J4*(1+INDEX(CAGR!$C$51:$C$57,MATCH($A4,CAGR!$B$65:$B$71,0))),0)</f>
        <v>4.813365E-3</v>
      </c>
      <c r="L4" s="14">
        <f>IFERROR(K4*(1+INDEX(CAGR!$C$51:$C$57,MATCH($A4,CAGR!$B$65:$B$71,0))),0)</f>
        <v>4.813365E-3</v>
      </c>
      <c r="M4" s="14">
        <f>IFERROR(L4*(1+INDEX(CAGR!$C$51:$C$57,MATCH($A4,CAGR!$B$65:$B$71,0))),0)</f>
        <v>4.813365E-3</v>
      </c>
      <c r="N4" s="14">
        <f>IFERROR(M4*(1+INDEX(CAGR!$C$51:$C$57,MATCH($A4,CAGR!$B$65:$B$71,0))),0)</f>
        <v>4.813365E-3</v>
      </c>
      <c r="O4" s="14">
        <f>IFERROR(N4*(1+INDEX(CAGR!$C$51:$C$57,MATCH($A4,CAGR!$B$65:$B$71,0))),0)</f>
        <v>4.813365E-3</v>
      </c>
      <c r="P4" s="14">
        <f>IFERROR(O4*(1+INDEX(CAGR!$C$51:$C$57,MATCH($A4,CAGR!$B$65:$B$71,0))),0)</f>
        <v>4.813365E-3</v>
      </c>
      <c r="Q4" s="14">
        <f>IFERROR(P4*(1+INDEX(CAGR!$C$51:$C$57,MATCH($A4,CAGR!$B$65:$B$71,0))),0)</f>
        <v>4.813365E-3</v>
      </c>
      <c r="R4" s="14">
        <f>IFERROR(Q4*(1+INDEX(CAGR!$C$51:$C$57,MATCH($A4,CAGR!$B$65:$B$71,0))),0)</f>
        <v>4.813365E-3</v>
      </c>
      <c r="S4" s="14">
        <f>IFERROR(R4*(1+INDEX(CAGR!$C$51:$C$57,MATCH($A4,CAGR!$B$65:$B$71,0))),0)</f>
        <v>4.813365E-3</v>
      </c>
      <c r="T4" s="14">
        <f>IFERROR(S4*(1+INDEX(CAGR!$C$51:$C$57,MATCH($A4,CAGR!$B$65:$B$71,0))),0)</f>
        <v>4.813365E-3</v>
      </c>
      <c r="U4" s="14">
        <f>IFERROR(T4*(1+INDEX(CAGR!$C$51:$C$57,MATCH($A4,CAGR!$B$65:$B$71,0))),0)</f>
        <v>4.813365E-3</v>
      </c>
      <c r="V4" s="14">
        <f>IFERROR(U4*(1+INDEX(CAGR!$C$51:$C$57,MATCH($A4,CAGR!$B$65:$B$71,0))),0)</f>
        <v>4.813365E-3</v>
      </c>
      <c r="W4" s="14">
        <f>IFERROR(V4*(1+INDEX(CAGR!$C$51:$C$57,MATCH($A4,CAGR!$B$65:$B$71,0))),0)</f>
        <v>4.813365E-3</v>
      </c>
      <c r="X4" s="14">
        <f>IFERROR(W4*(1+INDEX(CAGR!$C$51:$C$57,MATCH($A4,CAGR!$B$65:$B$71,0))),0)</f>
        <v>4.813365E-3</v>
      </c>
      <c r="Y4" s="14">
        <f>IFERROR(X4*(1+INDEX(CAGR!$C$51:$C$57,MATCH($A4,CAGR!$B$65:$B$71,0))),0)</f>
        <v>4.813365E-3</v>
      </c>
      <c r="Z4" s="14">
        <f>IFERROR(Y4*(1+INDEX(CAGR!$C$51:$C$57,MATCH($A4,CAGR!$B$65:$B$71,0))),0)</f>
        <v>4.813365E-3</v>
      </c>
      <c r="AA4" s="14">
        <f>IFERROR(Z4*(1+INDEX(CAGR!$C$51:$C$57,MATCH($A4,CAGR!$B$65:$B$71,0))),0)</f>
        <v>4.813365E-3</v>
      </c>
      <c r="AB4" s="14">
        <f>IFERROR(AA4*(1+INDEX(CAGR!$C$51:$C$57,MATCH($A4,CAGR!$B$65:$B$71,0))),0)</f>
        <v>4.813365E-3</v>
      </c>
      <c r="AC4" s="14">
        <f>IFERROR(AB4*(1+INDEX(CAGR!$C$51:$C$57,MATCH($A4,CAGR!$B$65:$B$71,0))),0)</f>
        <v>4.813365E-3</v>
      </c>
      <c r="AD4" s="14">
        <f>IFERROR(AC4*(1+INDEX(CAGR!$C$51:$C$57,MATCH($A4,CAGR!$B$65:$B$71,0))),0)</f>
        <v>4.813365E-3</v>
      </c>
      <c r="AE4" s="14">
        <f>IFERROR(AD4*(1+INDEX(CAGR!$C$51:$C$57,MATCH($A4,CAGR!$B$65:$B$71,0))),0)</f>
        <v>4.813365E-3</v>
      </c>
      <c r="AF4" s="14">
        <f>IFERROR(AE4*(1+INDEX(CAGR!$C$51:$C$57,MATCH($A4,CAGR!$B$65:$B$71,0))),0)</f>
        <v>4.813365E-3</v>
      </c>
    </row>
    <row r="5" spans="1:32">
      <c r="A5" s="1" t="s">
        <v>12</v>
      </c>
      <c r="B5" s="14">
        <f>IFERROR(INDEX('SYFAFE frgt'!$B$6:$H$6,,MATCH($A5,'SYFAFE frgt'!$B$1:$H$1,0))*(1+INDEX(CAGR!$C$65:$C$71,MATCH($A5,CAGR!$B$65:$B$71,0))),0)</f>
        <v>4.813365E-3</v>
      </c>
      <c r="C5" s="14">
        <f>IFERROR(B5*(1+INDEX(CAGR!$C$51:$C$57,MATCH($A5,CAGR!$B$65:$B$71,0))),0)</f>
        <v>4.8435746310157238E-3</v>
      </c>
      <c r="D5" s="14">
        <f>IFERROR(C5*(1+INDEX(CAGR!$C$51:$C$57,MATCH($A5,CAGR!$B$65:$B$71,0))),0)</f>
        <v>4.8739738636523729E-3</v>
      </c>
      <c r="E5" s="14">
        <f>IFERROR(D5*(1+INDEX(CAGR!$C$51:$C$57,MATCH($A5,CAGR!$B$65:$B$71,0))),0)</f>
        <v>4.9045638878872314E-3</v>
      </c>
      <c r="F5" s="14">
        <f>IFERROR(E5*(1+INDEX(CAGR!$C$51:$C$57,MATCH($A5,CAGR!$B$65:$B$71,0))),0)</f>
        <v>4.9353459011661155E-3</v>
      </c>
      <c r="G5" s="14">
        <f>IFERROR(F5*(1+INDEX(CAGR!$C$51:$C$57,MATCH($A5,CAGR!$B$65:$B$71,0))),0)</f>
        <v>4.9663211084502489E-3</v>
      </c>
      <c r="H5" s="14">
        <f>IFERROR(G5*(1+INDEX(CAGR!$C$51:$C$57,MATCH($A5,CAGR!$B$65:$B$71,0))),0)</f>
        <v>4.9974907222634299E-3</v>
      </c>
      <c r="I5" s="14">
        <f>IFERROR(H5*(1+INDEX(CAGR!$C$51:$C$57,MATCH($A5,CAGR!$B$65:$B$71,0))),0)</f>
        <v>5.0288559627394962E-3</v>
      </c>
      <c r="J5" s="14">
        <f>IFERROR(I5*(1+INDEX(CAGR!$C$51:$C$57,MATCH($A5,CAGR!$B$65:$B$71,0))),0)</f>
        <v>5.0604180576700871E-3</v>
      </c>
      <c r="K5" s="14">
        <f>IFERROR(J5*(1+INDEX(CAGR!$C$51:$C$57,MATCH($A5,CAGR!$B$65:$B$71,0))),0)</f>
        <v>5.0921782425527046E-3</v>
      </c>
      <c r="L5" s="14">
        <f>IFERROR(K5*(1+INDEX(CAGR!$C$51:$C$57,MATCH($A5,CAGR!$B$65:$B$71,0))),0)</f>
        <v>5.1241377606390777E-3</v>
      </c>
      <c r="M5" s="14">
        <f>IFERROR(L5*(1+INDEX(CAGR!$C$51:$C$57,MATCH($A5,CAGR!$B$65:$B$71,0))),0)</f>
        <v>5.1562978629838292E-3</v>
      </c>
      <c r="N5" s="14">
        <f>IFERROR(M5*(1+INDEX(CAGR!$C$51:$C$57,MATCH($A5,CAGR!$B$65:$B$71,0))),0)</f>
        <v>5.1886598084934484E-3</v>
      </c>
      <c r="O5" s="14">
        <f>IFERROR(N5*(1+INDEX(CAGR!$C$51:$C$57,MATCH($A5,CAGR!$B$65:$B$71,0))),0)</f>
        <v>5.2212248639755699E-3</v>
      </c>
      <c r="P5" s="14">
        <f>IFERROR(O5*(1+INDEX(CAGR!$C$51:$C$57,MATCH($A5,CAGR!$B$65:$B$71,0))),0)</f>
        <v>5.2539943041885655E-3</v>
      </c>
      <c r="Q5" s="14">
        <f>IFERROR(P5*(1+INDEX(CAGR!$C$51:$C$57,MATCH($A5,CAGR!$B$65:$B$71,0))),0)</f>
        <v>5.286969411891441E-3</v>
      </c>
      <c r="R5" s="14">
        <f>IFERROR(Q5*(1+INDEX(CAGR!$C$51:$C$57,MATCH($A5,CAGR!$B$65:$B$71,0))),0)</f>
        <v>5.320151477894052E-3</v>
      </c>
      <c r="S5" s="14">
        <f>IFERROR(R5*(1+INDEX(CAGR!$C$51:$C$57,MATCH($A5,CAGR!$B$65:$B$71,0))),0)</f>
        <v>5.3535418011076323E-3</v>
      </c>
      <c r="T5" s="14">
        <f>IFERROR(S5*(1+INDEX(CAGR!$C$51:$C$57,MATCH($A5,CAGR!$B$65:$B$71,0))),0)</f>
        <v>5.3871416885956404E-3</v>
      </c>
      <c r="U5" s="14">
        <f>IFERROR(T5*(1+INDEX(CAGR!$C$51:$C$57,MATCH($A5,CAGR!$B$65:$B$71,0))),0)</f>
        <v>5.4209524556249221E-3</v>
      </c>
      <c r="V5" s="14">
        <f>IFERROR(U5*(1+INDEX(CAGR!$C$51:$C$57,MATCH($A5,CAGR!$B$65:$B$71,0))),0)</f>
        <v>5.4549754257171984E-3</v>
      </c>
      <c r="W5" s="14">
        <f>IFERROR(V5*(1+INDEX(CAGR!$C$51:$C$57,MATCH($A5,CAGR!$B$65:$B$71,0))),0)</f>
        <v>5.4892119307008757E-3</v>
      </c>
      <c r="X5" s="14">
        <f>IFERROR(W5*(1+INDEX(CAGR!$C$51:$C$57,MATCH($A5,CAGR!$B$65:$B$71,0))),0)</f>
        <v>5.523663310763178E-3</v>
      </c>
      <c r="Y5" s="14">
        <f>IFERROR(X5*(1+INDEX(CAGR!$C$51:$C$57,MATCH($A5,CAGR!$B$65:$B$71,0))),0)</f>
        <v>5.5583309145026093E-3</v>
      </c>
      <c r="Z5" s="14">
        <f>IFERROR(Y5*(1+INDEX(CAGR!$C$51:$C$57,MATCH($A5,CAGR!$B$65:$B$71,0))),0)</f>
        <v>5.5932160989817445E-3</v>
      </c>
      <c r="AA5" s="14">
        <f>IFERROR(Z5*(1+INDEX(CAGR!$C$51:$C$57,MATCH($A5,CAGR!$B$65:$B$71,0))),0)</f>
        <v>5.6283202297803528E-3</v>
      </c>
      <c r="AB5" s="14">
        <f>IFERROR(AA5*(1+INDEX(CAGR!$C$51:$C$57,MATCH($A5,CAGR!$B$65:$B$71,0))),0)</f>
        <v>5.6636446810488517E-3</v>
      </c>
      <c r="AC5" s="14">
        <f>IFERROR(AB5*(1+INDEX(CAGR!$C$51:$C$57,MATCH($A5,CAGR!$B$65:$B$71,0))),0)</f>
        <v>5.6991908355620985E-3</v>
      </c>
      <c r="AD5" s="14">
        <f>IFERROR(AC5*(1+INDEX(CAGR!$C$51:$C$57,MATCH($A5,CAGR!$B$65:$B$71,0))),0)</f>
        <v>5.734960084773518E-3</v>
      </c>
      <c r="AE5" s="14">
        <f>IFERROR(AD5*(1+INDEX(CAGR!$C$51:$C$57,MATCH($A5,CAGR!$B$65:$B$71,0))),0)</f>
        <v>5.7709538288695742E-3</v>
      </c>
      <c r="AF5" s="14">
        <f>IFERROR(AE5*(1+INDEX(CAGR!$C$51:$C$57,MATCH($A5,CAGR!$B$65:$B$71,0))),0)</f>
        <v>5.807173476824576E-3</v>
      </c>
    </row>
    <row r="6" spans="1:32">
      <c r="A6" s="1" t="s">
        <v>13</v>
      </c>
      <c r="B6">
        <f>IFERROR(INDEX('SYFAFE frgt'!$B$6:$H$6,,MATCH($A6,'SYFAFE frgt'!$B$1:$H$1,0))*(1+INDEX(CAGR!$C$65:$C$71,MATCH($A6,CAGR!$B$65:$B$71,0))),0)</f>
        <v>0</v>
      </c>
      <c r="C6">
        <f>IFERROR(INDEX('SYFAFE frgt'!$B$6:$H$6,,MATCH($A6,'SYFAFE frgt'!$B$1:$H$1,0))*(1+INDEX(CAGR!$C$51:$C$57,MATCH($A6,CAGR!$B$65:$B$71,0))),0)</f>
        <v>0</v>
      </c>
      <c r="D6">
        <f>IFERROR(INDEX('SYFAFE frgt'!$B$6:$H$6,,MATCH($A6,'SYFAFE frgt'!$B$1:$H$1,0))*(1+INDEX(CAGR!$C$51:$C$57,MATCH($A6,CAGR!$B$65:$B$71,0))),0)</f>
        <v>0</v>
      </c>
      <c r="E6">
        <f>IFERROR(INDEX('SYFAFE frgt'!$B$6:$H$6,,MATCH($A6,'SYFAFE frgt'!$B$1:$H$1,0))*(1+INDEX(CAGR!$C$51:$C$57,MATCH($A6,CAGR!$B$65:$B$71,0))),0)</f>
        <v>0</v>
      </c>
      <c r="F6">
        <f>IFERROR(INDEX('SYFAFE frgt'!$B$6:$H$6,,MATCH($A6,'SYFAFE frgt'!$B$1:$H$1,0))*(1+INDEX(CAGR!$C$51:$C$57,MATCH($A6,CAGR!$B$65:$B$71,0))),0)</f>
        <v>0</v>
      </c>
      <c r="G6">
        <f>IFERROR(INDEX('SYFAFE frgt'!$B$6:$H$6,,MATCH($A6,'SYFAFE frgt'!$B$1:$H$1,0))*(1+INDEX(CAGR!$C$51:$C$57,MATCH($A6,CAGR!$B$65:$B$71,0))),0)</f>
        <v>0</v>
      </c>
      <c r="H6">
        <f>IFERROR(INDEX('SYFAFE frgt'!$B$6:$H$6,,MATCH($A6,'SYFAFE frgt'!$B$1:$H$1,0))*(1+INDEX(CAGR!$C$51:$C$57,MATCH($A6,CAGR!$B$65:$B$71,0))),0)</f>
        <v>0</v>
      </c>
      <c r="I6">
        <f>IFERROR(INDEX('SYFAFE frgt'!$B$6:$H$6,,MATCH($A6,'SYFAFE frgt'!$B$1:$H$1,0))*(1+INDEX(CAGR!$C$51:$C$57,MATCH($A6,CAGR!$B$65:$B$71,0))),0)</f>
        <v>0</v>
      </c>
      <c r="J6">
        <f>IFERROR(INDEX('SYFAFE frgt'!$B$6:$H$6,,MATCH($A6,'SYFAFE frgt'!$B$1:$H$1,0))*(1+INDEX(CAGR!$C$51:$C$57,MATCH($A6,CAGR!$B$65:$B$71,0))),0)</f>
        <v>0</v>
      </c>
      <c r="K6">
        <f>IFERROR(INDEX('SYFAFE frgt'!$B$6:$H$6,,MATCH($A6,'SYFAFE frgt'!$B$1:$H$1,0))*(1+INDEX(CAGR!$C$51:$C$57,MATCH($A6,CAGR!$B$65:$B$71,0))),0)</f>
        <v>0</v>
      </c>
      <c r="L6">
        <f>IFERROR(INDEX('SYFAFE frgt'!$B$6:$H$6,,MATCH($A6,'SYFAFE frgt'!$B$1:$H$1,0))*(1+INDEX(CAGR!$C$51:$C$57,MATCH($A6,CAGR!$B$65:$B$71,0))),0)</f>
        <v>0</v>
      </c>
      <c r="M6">
        <f>IFERROR(INDEX('SYFAFE frgt'!$B$6:$H$6,,MATCH($A6,'SYFAFE frgt'!$B$1:$H$1,0))*(1+INDEX(CAGR!$C$51:$C$57,MATCH($A6,CAGR!$B$65:$B$71,0))),0)</f>
        <v>0</v>
      </c>
      <c r="N6">
        <f>IFERROR(INDEX('SYFAFE frgt'!$B$6:$H$6,,MATCH($A6,'SYFAFE frgt'!$B$1:$H$1,0))*(1+INDEX(CAGR!$C$51:$C$57,MATCH($A6,CAGR!$B$65:$B$71,0))),0)</f>
        <v>0</v>
      </c>
      <c r="O6">
        <f>IFERROR(INDEX('SYFAFE frgt'!$B$6:$H$6,,MATCH($A6,'SYFAFE frgt'!$B$1:$H$1,0))*(1+INDEX(CAGR!$C$51:$C$57,MATCH($A6,CAGR!$B$65:$B$71,0))),0)</f>
        <v>0</v>
      </c>
      <c r="P6">
        <f>IFERROR(INDEX('SYFAFE frgt'!$B$6:$H$6,,MATCH($A6,'SYFAFE frgt'!$B$1:$H$1,0))*(1+INDEX(CAGR!$C$51:$C$57,MATCH($A6,CAGR!$B$65:$B$71,0))),0)</f>
        <v>0</v>
      </c>
      <c r="Q6">
        <f>IFERROR(INDEX('SYFAFE frgt'!$B$6:$H$6,,MATCH($A6,'SYFAFE frgt'!$B$1:$H$1,0))*(1+INDEX(CAGR!$C$51:$C$57,MATCH($A6,CAGR!$B$65:$B$71,0))),0)</f>
        <v>0</v>
      </c>
      <c r="R6">
        <f>IFERROR(INDEX('SYFAFE frgt'!$B$6:$H$6,,MATCH($A6,'SYFAFE frgt'!$B$1:$H$1,0))*(1+INDEX(CAGR!$C$51:$C$57,MATCH($A6,CAGR!$B$65:$B$71,0))),0)</f>
        <v>0</v>
      </c>
      <c r="S6">
        <f>IFERROR(INDEX('SYFAFE frgt'!$B$6:$H$6,,MATCH($A6,'SYFAFE frgt'!$B$1:$H$1,0))*(1+INDEX(CAGR!$C$51:$C$57,MATCH($A6,CAGR!$B$65:$B$71,0))),0)</f>
        <v>0</v>
      </c>
      <c r="T6">
        <f>IFERROR(INDEX('SYFAFE frgt'!$B$6:$H$6,,MATCH($A6,'SYFAFE frgt'!$B$1:$H$1,0))*(1+INDEX(CAGR!$C$51:$C$57,MATCH($A6,CAGR!$B$65:$B$71,0))),0)</f>
        <v>0</v>
      </c>
      <c r="U6">
        <f>IFERROR(INDEX('SYFAFE frgt'!$B$6:$H$6,,MATCH($A6,'SYFAFE frgt'!$B$1:$H$1,0))*(1+INDEX(CAGR!$C$51:$C$57,MATCH($A6,CAGR!$B$65:$B$71,0))),0)</f>
        <v>0</v>
      </c>
      <c r="V6">
        <f>IFERROR(INDEX('SYFAFE frgt'!$B$6:$H$6,,MATCH($A6,'SYFAFE frgt'!$B$1:$H$1,0))*(1+INDEX(CAGR!$C$51:$C$57,MATCH($A6,CAGR!$B$65:$B$71,0))),0)</f>
        <v>0</v>
      </c>
      <c r="W6">
        <f>IFERROR(INDEX('SYFAFE frgt'!$B$6:$H$6,,MATCH($A6,'SYFAFE frgt'!$B$1:$H$1,0))*(1+INDEX(CAGR!$C$51:$C$57,MATCH($A6,CAGR!$B$65:$B$71,0))),0)</f>
        <v>0</v>
      </c>
      <c r="X6">
        <f>IFERROR(INDEX('SYFAFE frgt'!$B$6:$H$6,,MATCH($A6,'SYFAFE frgt'!$B$1:$H$1,0))*(1+INDEX(CAGR!$C$51:$C$57,MATCH($A6,CAGR!$B$65:$B$71,0))),0)</f>
        <v>0</v>
      </c>
      <c r="Y6">
        <f>IFERROR(INDEX('SYFAFE frgt'!$B$6:$H$6,,MATCH($A6,'SYFAFE frgt'!$B$1:$H$1,0))*(1+INDEX(CAGR!$C$51:$C$57,MATCH($A6,CAGR!$B$65:$B$71,0))),0)</f>
        <v>0</v>
      </c>
      <c r="Z6">
        <f>IFERROR(INDEX('SYFAFE frgt'!$B$6:$H$6,,MATCH($A6,'SYFAFE frgt'!$B$1:$H$1,0))*(1+INDEX(CAGR!$C$51:$C$57,MATCH($A6,CAGR!$B$65:$B$71,0))),0)</f>
        <v>0</v>
      </c>
      <c r="AA6">
        <f>IFERROR(INDEX('SYFAFE frgt'!$B$6:$H$6,,MATCH($A6,'SYFAFE frgt'!$B$1:$H$1,0))*(1+INDEX(CAGR!$C$51:$C$57,MATCH($A6,CAGR!$B$65:$B$71,0))),0)</f>
        <v>0</v>
      </c>
      <c r="AB6">
        <f>IFERROR(INDEX('SYFAFE frgt'!$B$6:$H$6,,MATCH($A6,'SYFAFE frgt'!$B$1:$H$1,0))*(1+INDEX(CAGR!$C$51:$C$57,MATCH($A6,CAGR!$B$65:$B$71,0))),0)</f>
        <v>0</v>
      </c>
      <c r="AC6">
        <f>IFERROR(INDEX('SYFAFE frgt'!$B$6:$H$6,,MATCH($A6,'SYFAFE frgt'!$B$1:$H$1,0))*(1+INDEX(CAGR!$C$51:$C$57,MATCH($A6,CAGR!$B$65:$B$71,0))),0)</f>
        <v>0</v>
      </c>
      <c r="AD6">
        <f>IFERROR(INDEX('SYFAFE frgt'!$B$6:$H$6,,MATCH($A6,'SYFAFE frgt'!$B$1:$H$1,0))*(1+INDEX(CAGR!$C$51:$C$57,MATCH($A6,CAGR!$B$65:$B$71,0))),0)</f>
        <v>0</v>
      </c>
      <c r="AE6">
        <f>IFERROR(INDEX('SYFAFE frgt'!$B$6:$H$6,,MATCH($A6,'SYFAFE frgt'!$B$1:$H$1,0))*(1+INDEX(CAGR!$C$51:$C$57,MATCH($A6,CAGR!$B$65:$B$71,0))),0)</f>
        <v>0</v>
      </c>
      <c r="AF6">
        <f>IFERROR(INDEX('SYFAFE frgt'!$B$6:$H$6,,MATCH($A6,'SYFAFE frgt'!$B$1:$H$1,0))*(1+INDEX(CAGR!$C$51:$C$57,MATCH($A6,CAGR!$B$65:$B$71,0))),0)</f>
        <v>0</v>
      </c>
    </row>
    <row r="7" spans="1:32">
      <c r="A7" s="1" t="s">
        <v>14</v>
      </c>
      <c r="B7">
        <f>IFERROR(INDEX('SYFAFE frgt'!$B$6:$H$6,,MATCH($A7,'SYFAFE frgt'!$B$1:$H$1,0))*(1+INDEX(CAGR!$C$65:$C$71,MATCH($A7,CAGR!$B$65:$B$71,0))),0)</f>
        <v>0</v>
      </c>
      <c r="C7">
        <f>IFERROR(INDEX('SYFAFE frgt'!$B$6:$H$6,,MATCH($A7,'SYFAFE frgt'!$B$1:$H$1,0))*(1+INDEX(CAGR!$C$51:$C$57,MATCH($A7,CAGR!$B$65:$B$71,0))),0)</f>
        <v>0</v>
      </c>
      <c r="D7">
        <f>IFERROR(INDEX('SYFAFE frgt'!$B$6:$H$6,,MATCH($A7,'SYFAFE frgt'!$B$1:$H$1,0))*(1+INDEX(CAGR!$C$51:$C$57,MATCH($A7,CAGR!$B$65:$B$71,0))),0)</f>
        <v>0</v>
      </c>
      <c r="E7">
        <f>IFERROR(INDEX('SYFAFE frgt'!$B$6:$H$6,,MATCH($A7,'SYFAFE frgt'!$B$1:$H$1,0))*(1+INDEX(CAGR!$C$51:$C$57,MATCH($A7,CAGR!$B$65:$B$71,0))),0)</f>
        <v>0</v>
      </c>
      <c r="F7">
        <f>IFERROR(INDEX('SYFAFE frgt'!$B$6:$H$6,,MATCH($A7,'SYFAFE frgt'!$B$1:$H$1,0))*(1+INDEX(CAGR!$C$51:$C$57,MATCH($A7,CAGR!$B$65:$B$71,0))),0)</f>
        <v>0</v>
      </c>
      <c r="G7">
        <f>IFERROR(INDEX('SYFAFE frgt'!$B$6:$H$6,,MATCH($A7,'SYFAFE frgt'!$B$1:$H$1,0))*(1+INDEX(CAGR!$C$51:$C$57,MATCH($A7,CAGR!$B$65:$B$71,0))),0)</f>
        <v>0</v>
      </c>
      <c r="H7">
        <f>IFERROR(INDEX('SYFAFE frgt'!$B$6:$H$6,,MATCH($A7,'SYFAFE frgt'!$B$1:$H$1,0))*(1+INDEX(CAGR!$C$51:$C$57,MATCH($A7,CAGR!$B$65:$B$71,0))),0)</f>
        <v>0</v>
      </c>
      <c r="I7">
        <f>IFERROR(INDEX('SYFAFE frgt'!$B$6:$H$6,,MATCH($A7,'SYFAFE frgt'!$B$1:$H$1,0))*(1+INDEX(CAGR!$C$51:$C$57,MATCH($A7,CAGR!$B$65:$B$71,0))),0)</f>
        <v>0</v>
      </c>
      <c r="J7">
        <f>IFERROR(INDEX('SYFAFE frgt'!$B$6:$H$6,,MATCH($A7,'SYFAFE frgt'!$B$1:$H$1,0))*(1+INDEX(CAGR!$C$51:$C$57,MATCH($A7,CAGR!$B$65:$B$71,0))),0)</f>
        <v>0</v>
      </c>
      <c r="K7">
        <f>IFERROR(INDEX('SYFAFE frgt'!$B$6:$H$6,,MATCH($A7,'SYFAFE frgt'!$B$1:$H$1,0))*(1+INDEX(CAGR!$C$51:$C$57,MATCH($A7,CAGR!$B$65:$B$71,0))),0)</f>
        <v>0</v>
      </c>
      <c r="L7">
        <f>IFERROR(INDEX('SYFAFE frgt'!$B$6:$H$6,,MATCH($A7,'SYFAFE frgt'!$B$1:$H$1,0))*(1+INDEX(CAGR!$C$51:$C$57,MATCH($A7,CAGR!$B$65:$B$71,0))),0)</f>
        <v>0</v>
      </c>
      <c r="M7">
        <f>IFERROR(INDEX('SYFAFE frgt'!$B$6:$H$6,,MATCH($A7,'SYFAFE frgt'!$B$1:$H$1,0))*(1+INDEX(CAGR!$C$51:$C$57,MATCH($A7,CAGR!$B$65:$B$71,0))),0)</f>
        <v>0</v>
      </c>
      <c r="N7">
        <f>IFERROR(INDEX('SYFAFE frgt'!$B$6:$H$6,,MATCH($A7,'SYFAFE frgt'!$B$1:$H$1,0))*(1+INDEX(CAGR!$C$51:$C$57,MATCH($A7,CAGR!$B$65:$B$71,0))),0)</f>
        <v>0</v>
      </c>
      <c r="O7">
        <f>IFERROR(INDEX('SYFAFE frgt'!$B$6:$H$6,,MATCH($A7,'SYFAFE frgt'!$B$1:$H$1,0))*(1+INDEX(CAGR!$C$51:$C$57,MATCH($A7,CAGR!$B$65:$B$71,0))),0)</f>
        <v>0</v>
      </c>
      <c r="P7">
        <f>IFERROR(INDEX('SYFAFE frgt'!$B$6:$H$6,,MATCH($A7,'SYFAFE frgt'!$B$1:$H$1,0))*(1+INDEX(CAGR!$C$51:$C$57,MATCH($A7,CAGR!$B$65:$B$71,0))),0)</f>
        <v>0</v>
      </c>
      <c r="Q7">
        <f>IFERROR(INDEX('SYFAFE frgt'!$B$6:$H$6,,MATCH($A7,'SYFAFE frgt'!$B$1:$H$1,0))*(1+INDEX(CAGR!$C$51:$C$57,MATCH($A7,CAGR!$B$65:$B$71,0))),0)</f>
        <v>0</v>
      </c>
      <c r="R7">
        <f>IFERROR(INDEX('SYFAFE frgt'!$B$6:$H$6,,MATCH($A7,'SYFAFE frgt'!$B$1:$H$1,0))*(1+INDEX(CAGR!$C$51:$C$57,MATCH($A7,CAGR!$B$65:$B$71,0))),0)</f>
        <v>0</v>
      </c>
      <c r="S7">
        <f>IFERROR(INDEX('SYFAFE frgt'!$B$6:$H$6,,MATCH($A7,'SYFAFE frgt'!$B$1:$H$1,0))*(1+INDEX(CAGR!$C$51:$C$57,MATCH($A7,CAGR!$B$65:$B$71,0))),0)</f>
        <v>0</v>
      </c>
      <c r="T7">
        <f>IFERROR(INDEX('SYFAFE frgt'!$B$6:$H$6,,MATCH($A7,'SYFAFE frgt'!$B$1:$H$1,0))*(1+INDEX(CAGR!$C$51:$C$57,MATCH($A7,CAGR!$B$65:$B$71,0))),0)</f>
        <v>0</v>
      </c>
      <c r="U7">
        <f>IFERROR(INDEX('SYFAFE frgt'!$B$6:$H$6,,MATCH($A7,'SYFAFE frgt'!$B$1:$H$1,0))*(1+INDEX(CAGR!$C$51:$C$57,MATCH($A7,CAGR!$B$65:$B$71,0))),0)</f>
        <v>0</v>
      </c>
      <c r="V7">
        <f>IFERROR(INDEX('SYFAFE frgt'!$B$6:$H$6,,MATCH($A7,'SYFAFE frgt'!$B$1:$H$1,0))*(1+INDEX(CAGR!$C$51:$C$57,MATCH($A7,CAGR!$B$65:$B$71,0))),0)</f>
        <v>0</v>
      </c>
      <c r="W7">
        <f>IFERROR(INDEX('SYFAFE frgt'!$B$6:$H$6,,MATCH($A7,'SYFAFE frgt'!$B$1:$H$1,0))*(1+INDEX(CAGR!$C$51:$C$57,MATCH($A7,CAGR!$B$65:$B$71,0))),0)</f>
        <v>0</v>
      </c>
      <c r="X7">
        <f>IFERROR(INDEX('SYFAFE frgt'!$B$6:$H$6,,MATCH($A7,'SYFAFE frgt'!$B$1:$H$1,0))*(1+INDEX(CAGR!$C$51:$C$57,MATCH($A7,CAGR!$B$65:$B$71,0))),0)</f>
        <v>0</v>
      </c>
      <c r="Y7">
        <f>IFERROR(INDEX('SYFAFE frgt'!$B$6:$H$6,,MATCH($A7,'SYFAFE frgt'!$B$1:$H$1,0))*(1+INDEX(CAGR!$C$51:$C$57,MATCH($A7,CAGR!$B$65:$B$71,0))),0)</f>
        <v>0</v>
      </c>
      <c r="Z7">
        <f>IFERROR(INDEX('SYFAFE frgt'!$B$6:$H$6,,MATCH($A7,'SYFAFE frgt'!$B$1:$H$1,0))*(1+INDEX(CAGR!$C$51:$C$57,MATCH($A7,CAGR!$B$65:$B$71,0))),0)</f>
        <v>0</v>
      </c>
      <c r="AA7">
        <f>IFERROR(INDEX('SYFAFE frgt'!$B$6:$H$6,,MATCH($A7,'SYFAFE frgt'!$B$1:$H$1,0))*(1+INDEX(CAGR!$C$51:$C$57,MATCH($A7,CAGR!$B$65:$B$71,0))),0)</f>
        <v>0</v>
      </c>
      <c r="AB7">
        <f>IFERROR(INDEX('SYFAFE frgt'!$B$6:$H$6,,MATCH($A7,'SYFAFE frgt'!$B$1:$H$1,0))*(1+INDEX(CAGR!$C$51:$C$57,MATCH($A7,CAGR!$B$65:$B$71,0))),0)</f>
        <v>0</v>
      </c>
      <c r="AC7">
        <f>IFERROR(INDEX('SYFAFE frgt'!$B$6:$H$6,,MATCH($A7,'SYFAFE frgt'!$B$1:$H$1,0))*(1+INDEX(CAGR!$C$51:$C$57,MATCH($A7,CAGR!$B$65:$B$71,0))),0)</f>
        <v>0</v>
      </c>
      <c r="AD7">
        <f>IFERROR(INDEX('SYFAFE frgt'!$B$6:$H$6,,MATCH($A7,'SYFAFE frgt'!$B$1:$H$1,0))*(1+INDEX(CAGR!$C$51:$C$57,MATCH($A7,CAGR!$B$65:$B$71,0))),0)</f>
        <v>0</v>
      </c>
      <c r="AE7">
        <f>IFERROR(INDEX('SYFAFE frgt'!$B$6:$H$6,,MATCH($A7,'SYFAFE frgt'!$B$1:$H$1,0))*(1+INDEX(CAGR!$C$51:$C$57,MATCH($A7,CAGR!$B$65:$B$71,0))),0)</f>
        <v>0</v>
      </c>
      <c r="AF7">
        <f>IFERROR(INDEX('SYFAFE frgt'!$B$6:$H$6,,MATCH($A7,'SYFAFE frgt'!$B$1:$H$1,0))*(1+INDEX(CAGR!$C$51:$C$57,MATCH($A7,CAGR!$B$65:$B$71,0))),0)</f>
        <v>0</v>
      </c>
    </row>
    <row r="8" spans="1:32">
      <c r="A8" s="1" t="s">
        <v>15</v>
      </c>
      <c r="B8" s="13">
        <f>B5*Calibration!$D$44</f>
        <v>1.4440094999999998E-2</v>
      </c>
      <c r="C8" s="13">
        <f>B8*(1+CAGR!$C$71)</f>
        <v>1.4440094999999998E-2</v>
      </c>
      <c r="D8" s="13">
        <f>C8*(1+CAGR!$C$71)</f>
        <v>1.4440094999999998E-2</v>
      </c>
      <c r="E8" s="13">
        <f>D8*(1+CAGR!$C$71)</f>
        <v>1.4440094999999998E-2</v>
      </c>
      <c r="F8" s="13">
        <f>E8*(1+CAGR!$C$71)</f>
        <v>1.4440094999999998E-2</v>
      </c>
      <c r="G8" s="13">
        <f>F8*(1+CAGR!$C$71)</f>
        <v>1.4440094999999998E-2</v>
      </c>
      <c r="H8" s="13">
        <f>G8*(1+CAGR!$C$71)</f>
        <v>1.4440094999999998E-2</v>
      </c>
      <c r="I8" s="13">
        <f>H8*(1+CAGR!$C$71)</f>
        <v>1.4440094999999998E-2</v>
      </c>
      <c r="J8" s="13">
        <f>I8*(1+CAGR!$C$71)</f>
        <v>1.4440094999999998E-2</v>
      </c>
      <c r="K8" s="13">
        <f>J8*(1+CAGR!$C$71)</f>
        <v>1.4440094999999998E-2</v>
      </c>
      <c r="L8" s="13">
        <f>K8*(1+CAGR!$C$71)</f>
        <v>1.4440094999999998E-2</v>
      </c>
      <c r="M8" s="13">
        <f>L8*(1+CAGR!$C$71)</f>
        <v>1.4440094999999998E-2</v>
      </c>
      <c r="N8" s="13">
        <f>M8*(1+CAGR!$C$71)</f>
        <v>1.4440094999999998E-2</v>
      </c>
      <c r="O8" s="13">
        <f>N8*(1+CAGR!$C$71)</f>
        <v>1.4440094999999998E-2</v>
      </c>
      <c r="P8" s="13">
        <f>O8*(1+CAGR!$C$71)</f>
        <v>1.4440094999999998E-2</v>
      </c>
      <c r="Q8" s="13">
        <f>P8*(1+CAGR!$C$71)</f>
        <v>1.4440094999999998E-2</v>
      </c>
      <c r="R8" s="13">
        <f>Q8*(1+CAGR!$C$71)</f>
        <v>1.4440094999999998E-2</v>
      </c>
      <c r="S8" s="13">
        <f>R8*(1+CAGR!$C$71)</f>
        <v>1.4440094999999998E-2</v>
      </c>
      <c r="T8" s="13">
        <f>S8*(1+CAGR!$C$71)</f>
        <v>1.4440094999999998E-2</v>
      </c>
      <c r="U8" s="13">
        <f>T8*(1+CAGR!$C$71)</f>
        <v>1.4440094999999998E-2</v>
      </c>
      <c r="V8" s="13">
        <f>U8*(1+CAGR!$C$71)</f>
        <v>1.4440094999999998E-2</v>
      </c>
      <c r="W8" s="13">
        <f>V8*(1+CAGR!$C$71)</f>
        <v>1.4440094999999998E-2</v>
      </c>
      <c r="X8" s="13">
        <f>W8*(1+CAGR!$C$71)</f>
        <v>1.4440094999999998E-2</v>
      </c>
      <c r="Y8" s="13">
        <f>X8*(1+CAGR!$C$71)</f>
        <v>1.4440094999999998E-2</v>
      </c>
      <c r="Z8" s="13">
        <f>Y8*(1+CAGR!$C$71)</f>
        <v>1.4440094999999998E-2</v>
      </c>
      <c r="AA8" s="13">
        <f>Z8*(1+CAGR!$C$71)</f>
        <v>1.4440094999999998E-2</v>
      </c>
      <c r="AB8" s="13">
        <f>AA8*(1+CAGR!$C$71)</f>
        <v>1.4440094999999998E-2</v>
      </c>
      <c r="AC8" s="13">
        <f>AB8*(1+CAGR!$C$71)</f>
        <v>1.4440094999999998E-2</v>
      </c>
      <c r="AD8" s="13">
        <f>AC8*(1+CAGR!$C$71)</f>
        <v>1.4440094999999998E-2</v>
      </c>
      <c r="AE8" s="13">
        <f>AD8*(1+CAGR!$C$71)</f>
        <v>1.4440094999999998E-2</v>
      </c>
      <c r="AF8" s="13">
        <f>AE8*(1+CAGR!$C$71)</f>
        <v>1.4440094999999998E-2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46ACD-ADD5-4C5E-8F52-5577E5CAE016}">
  <sheetPr>
    <tabColor rgb="FF1F497D"/>
  </sheetPr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'SYFAFE psgr'!B7</f>
        <v>0</v>
      </c>
      <c r="C2" s="13">
        <f>B2</f>
        <v>0</v>
      </c>
      <c r="D2" s="13">
        <f t="shared" ref="D2:AF8" si="0">C2</f>
        <v>0</v>
      </c>
      <c r="E2" s="13">
        <f t="shared" si="0"/>
        <v>0</v>
      </c>
      <c r="F2" s="13">
        <f t="shared" si="0"/>
        <v>0</v>
      </c>
      <c r="G2" s="13">
        <f t="shared" si="0"/>
        <v>0</v>
      </c>
      <c r="H2" s="13">
        <f t="shared" si="0"/>
        <v>0</v>
      </c>
      <c r="I2" s="13">
        <f t="shared" si="0"/>
        <v>0</v>
      </c>
      <c r="J2" s="13">
        <f t="shared" si="0"/>
        <v>0</v>
      </c>
      <c r="K2" s="13">
        <f t="shared" si="0"/>
        <v>0</v>
      </c>
      <c r="L2" s="13">
        <f t="shared" si="0"/>
        <v>0</v>
      </c>
      <c r="M2" s="13">
        <f t="shared" si="0"/>
        <v>0</v>
      </c>
      <c r="N2" s="13">
        <f t="shared" si="0"/>
        <v>0</v>
      </c>
      <c r="O2" s="13">
        <f t="shared" si="0"/>
        <v>0</v>
      </c>
      <c r="P2" s="13">
        <f t="shared" si="0"/>
        <v>0</v>
      </c>
      <c r="Q2" s="13">
        <f t="shared" si="0"/>
        <v>0</v>
      </c>
      <c r="R2" s="13">
        <f t="shared" si="0"/>
        <v>0</v>
      </c>
      <c r="S2" s="13">
        <f t="shared" si="0"/>
        <v>0</v>
      </c>
      <c r="T2" s="13">
        <f t="shared" si="0"/>
        <v>0</v>
      </c>
      <c r="U2" s="13">
        <f t="shared" si="0"/>
        <v>0</v>
      </c>
      <c r="V2" s="13">
        <f t="shared" si="0"/>
        <v>0</v>
      </c>
      <c r="W2" s="13">
        <f t="shared" si="0"/>
        <v>0</v>
      </c>
      <c r="X2" s="13">
        <f t="shared" si="0"/>
        <v>0</v>
      </c>
      <c r="Y2" s="13">
        <f t="shared" si="0"/>
        <v>0</v>
      </c>
      <c r="Z2" s="13">
        <f t="shared" si="0"/>
        <v>0</v>
      </c>
      <c r="AA2" s="13">
        <f t="shared" si="0"/>
        <v>0</v>
      </c>
      <c r="AB2" s="13">
        <f t="shared" si="0"/>
        <v>0</v>
      </c>
      <c r="AC2" s="13">
        <f t="shared" si="0"/>
        <v>0</v>
      </c>
      <c r="AD2" s="13">
        <f t="shared" si="0"/>
        <v>0</v>
      </c>
      <c r="AE2" s="13">
        <f t="shared" si="0"/>
        <v>0</v>
      </c>
      <c r="AF2" s="13">
        <f t="shared" si="0"/>
        <v>0</v>
      </c>
    </row>
    <row r="3" spans="1:32">
      <c r="A3" s="1" t="s">
        <v>10</v>
      </c>
      <c r="B3">
        <v>0</v>
      </c>
      <c r="C3" s="13">
        <f t="shared" ref="C3:R8" si="1">B3</f>
        <v>0</v>
      </c>
      <c r="D3" s="13">
        <f t="shared" si="1"/>
        <v>0</v>
      </c>
      <c r="E3" s="13">
        <f t="shared" si="1"/>
        <v>0</v>
      </c>
      <c r="F3" s="13">
        <f t="shared" si="1"/>
        <v>0</v>
      </c>
      <c r="G3" s="13">
        <f t="shared" si="1"/>
        <v>0</v>
      </c>
      <c r="H3" s="13">
        <f t="shared" si="1"/>
        <v>0</v>
      </c>
      <c r="I3" s="13">
        <f t="shared" si="1"/>
        <v>0</v>
      </c>
      <c r="J3" s="13">
        <f t="shared" si="1"/>
        <v>0</v>
      </c>
      <c r="K3" s="13">
        <f t="shared" si="1"/>
        <v>0</v>
      </c>
      <c r="L3" s="13">
        <f t="shared" si="1"/>
        <v>0</v>
      </c>
      <c r="M3" s="13">
        <f t="shared" si="1"/>
        <v>0</v>
      </c>
      <c r="N3" s="13">
        <f t="shared" si="1"/>
        <v>0</v>
      </c>
      <c r="O3" s="13">
        <f t="shared" si="1"/>
        <v>0</v>
      </c>
      <c r="P3" s="13">
        <f t="shared" si="1"/>
        <v>0</v>
      </c>
      <c r="Q3" s="13">
        <f t="shared" si="1"/>
        <v>0</v>
      </c>
      <c r="R3" s="13">
        <f t="shared" si="1"/>
        <v>0</v>
      </c>
      <c r="S3" s="13">
        <f t="shared" si="0"/>
        <v>0</v>
      </c>
      <c r="T3" s="13">
        <f t="shared" si="0"/>
        <v>0</v>
      </c>
      <c r="U3" s="13">
        <f t="shared" si="0"/>
        <v>0</v>
      </c>
      <c r="V3" s="13">
        <f t="shared" si="0"/>
        <v>0</v>
      </c>
      <c r="W3" s="13">
        <f t="shared" si="0"/>
        <v>0</v>
      </c>
      <c r="X3" s="13">
        <f t="shared" si="0"/>
        <v>0</v>
      </c>
      <c r="Y3" s="13">
        <f t="shared" si="0"/>
        <v>0</v>
      </c>
      <c r="Z3" s="13">
        <f t="shared" si="0"/>
        <v>0</v>
      </c>
      <c r="AA3" s="13">
        <f t="shared" si="0"/>
        <v>0</v>
      </c>
      <c r="AB3" s="13">
        <f t="shared" si="0"/>
        <v>0</v>
      </c>
      <c r="AC3" s="13">
        <f t="shared" si="0"/>
        <v>0</v>
      </c>
      <c r="AD3" s="13">
        <f t="shared" si="0"/>
        <v>0</v>
      </c>
      <c r="AE3" s="13">
        <f t="shared" si="0"/>
        <v>0</v>
      </c>
      <c r="AF3" s="13">
        <f t="shared" si="0"/>
        <v>0</v>
      </c>
    </row>
    <row r="4" spans="1:32">
      <c r="A4" s="1" t="s">
        <v>11</v>
      </c>
      <c r="B4" s="21">
        <f>'SYFAFE psgr'!D7</f>
        <v>5.9831905534842047E-5</v>
      </c>
      <c r="C4" s="13">
        <f t="shared" si="1"/>
        <v>5.9831905534842047E-5</v>
      </c>
      <c r="D4" s="13">
        <f t="shared" si="0"/>
        <v>5.9831905534842047E-5</v>
      </c>
      <c r="E4" s="13">
        <f t="shared" si="0"/>
        <v>5.9831905534842047E-5</v>
      </c>
      <c r="F4" s="13">
        <f t="shared" si="0"/>
        <v>5.9831905534842047E-5</v>
      </c>
      <c r="G4" s="13">
        <f t="shared" si="0"/>
        <v>5.9831905534842047E-5</v>
      </c>
      <c r="H4" s="13">
        <f t="shared" si="0"/>
        <v>5.9831905534842047E-5</v>
      </c>
      <c r="I4" s="13">
        <f t="shared" si="0"/>
        <v>5.9831905534842047E-5</v>
      </c>
      <c r="J4" s="13">
        <f t="shared" si="0"/>
        <v>5.9831905534842047E-5</v>
      </c>
      <c r="K4" s="13">
        <f t="shared" si="0"/>
        <v>5.9831905534842047E-5</v>
      </c>
      <c r="L4" s="13">
        <f t="shared" si="0"/>
        <v>5.9831905534842047E-5</v>
      </c>
      <c r="M4" s="13">
        <f t="shared" si="0"/>
        <v>5.9831905534842047E-5</v>
      </c>
      <c r="N4" s="13">
        <f t="shared" si="0"/>
        <v>5.9831905534842047E-5</v>
      </c>
      <c r="O4" s="13">
        <f t="shared" si="0"/>
        <v>5.9831905534842047E-5</v>
      </c>
      <c r="P4" s="13">
        <f t="shared" si="0"/>
        <v>5.9831905534842047E-5</v>
      </c>
      <c r="Q4" s="13">
        <f t="shared" si="0"/>
        <v>5.9831905534842047E-5</v>
      </c>
      <c r="R4" s="13">
        <f t="shared" si="0"/>
        <v>5.9831905534842047E-5</v>
      </c>
      <c r="S4" s="13">
        <f t="shared" si="0"/>
        <v>5.9831905534842047E-5</v>
      </c>
      <c r="T4" s="13">
        <f t="shared" si="0"/>
        <v>5.9831905534842047E-5</v>
      </c>
      <c r="U4" s="13">
        <f t="shared" si="0"/>
        <v>5.9831905534842047E-5</v>
      </c>
      <c r="V4" s="13">
        <f t="shared" si="0"/>
        <v>5.9831905534842047E-5</v>
      </c>
      <c r="W4" s="13">
        <f t="shared" si="0"/>
        <v>5.9831905534842047E-5</v>
      </c>
      <c r="X4" s="13">
        <f t="shared" si="0"/>
        <v>5.9831905534842047E-5</v>
      </c>
      <c r="Y4" s="13">
        <f t="shared" si="0"/>
        <v>5.9831905534842047E-5</v>
      </c>
      <c r="Z4" s="13">
        <f t="shared" si="0"/>
        <v>5.9831905534842047E-5</v>
      </c>
      <c r="AA4" s="13">
        <f t="shared" si="0"/>
        <v>5.9831905534842047E-5</v>
      </c>
      <c r="AB4" s="13">
        <f t="shared" si="0"/>
        <v>5.9831905534842047E-5</v>
      </c>
      <c r="AC4" s="13">
        <f t="shared" si="0"/>
        <v>5.9831905534842047E-5</v>
      </c>
      <c r="AD4" s="13">
        <f t="shared" si="0"/>
        <v>5.9831905534842047E-5</v>
      </c>
      <c r="AE4" s="13">
        <f t="shared" si="0"/>
        <v>5.9831905534842047E-5</v>
      </c>
      <c r="AF4" s="13">
        <f t="shared" si="0"/>
        <v>5.9831905534842047E-5</v>
      </c>
    </row>
    <row r="5" spans="1:32">
      <c r="A5" s="1" t="s">
        <v>12</v>
      </c>
      <c r="B5">
        <v>0</v>
      </c>
      <c r="C5" s="13">
        <f t="shared" si="1"/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3">
        <f t="shared" si="0"/>
        <v>0</v>
      </c>
      <c r="J5" s="13">
        <f t="shared" si="0"/>
        <v>0</v>
      </c>
      <c r="K5" s="13">
        <f t="shared" si="0"/>
        <v>0</v>
      </c>
      <c r="L5" s="13">
        <f t="shared" si="0"/>
        <v>0</v>
      </c>
      <c r="M5" s="13">
        <f t="shared" si="0"/>
        <v>0</v>
      </c>
      <c r="N5" s="13">
        <f t="shared" si="0"/>
        <v>0</v>
      </c>
      <c r="O5" s="13">
        <f t="shared" si="0"/>
        <v>0</v>
      </c>
      <c r="P5" s="13">
        <f t="shared" si="0"/>
        <v>0</v>
      </c>
      <c r="Q5" s="13">
        <f t="shared" si="0"/>
        <v>0</v>
      </c>
      <c r="R5" s="13">
        <f t="shared" si="0"/>
        <v>0</v>
      </c>
      <c r="S5" s="13">
        <f t="shared" si="0"/>
        <v>0</v>
      </c>
      <c r="T5" s="13">
        <f t="shared" si="0"/>
        <v>0</v>
      </c>
      <c r="U5" s="13">
        <f t="shared" si="0"/>
        <v>0</v>
      </c>
      <c r="V5" s="13">
        <f t="shared" si="0"/>
        <v>0</v>
      </c>
      <c r="W5" s="13">
        <f t="shared" si="0"/>
        <v>0</v>
      </c>
      <c r="X5" s="13">
        <f t="shared" si="0"/>
        <v>0</v>
      </c>
      <c r="Y5" s="13">
        <f t="shared" si="0"/>
        <v>0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>
        <f t="shared" si="0"/>
        <v>0</v>
      </c>
      <c r="AD5" s="13">
        <f t="shared" si="0"/>
        <v>0</v>
      </c>
      <c r="AE5" s="13">
        <f t="shared" si="0"/>
        <v>0</v>
      </c>
      <c r="AF5" s="13">
        <f t="shared" si="0"/>
        <v>0</v>
      </c>
    </row>
    <row r="6" spans="1:32">
      <c r="A6" s="1" t="s">
        <v>13</v>
      </c>
      <c r="B6">
        <v>0</v>
      </c>
      <c r="C6" s="13">
        <f t="shared" si="1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3">
        <f t="shared" si="0"/>
        <v>0</v>
      </c>
      <c r="J6" s="13">
        <f t="shared" si="0"/>
        <v>0</v>
      </c>
      <c r="K6" s="13">
        <f t="shared" si="0"/>
        <v>0</v>
      </c>
      <c r="L6" s="13">
        <f t="shared" si="0"/>
        <v>0</v>
      </c>
      <c r="M6" s="13">
        <f t="shared" si="0"/>
        <v>0</v>
      </c>
      <c r="N6" s="13">
        <f t="shared" si="0"/>
        <v>0</v>
      </c>
      <c r="O6" s="13">
        <f t="shared" si="0"/>
        <v>0</v>
      </c>
      <c r="P6" s="13">
        <f t="shared" si="0"/>
        <v>0</v>
      </c>
      <c r="Q6" s="13">
        <f t="shared" si="0"/>
        <v>0</v>
      </c>
      <c r="R6" s="13">
        <f t="shared" si="0"/>
        <v>0</v>
      </c>
      <c r="S6" s="13">
        <f t="shared" si="0"/>
        <v>0</v>
      </c>
      <c r="T6" s="13">
        <f t="shared" si="0"/>
        <v>0</v>
      </c>
      <c r="U6" s="13">
        <f t="shared" si="0"/>
        <v>0</v>
      </c>
      <c r="V6" s="13">
        <f t="shared" si="0"/>
        <v>0</v>
      </c>
      <c r="W6" s="13">
        <f t="shared" si="0"/>
        <v>0</v>
      </c>
      <c r="X6" s="13">
        <f t="shared" si="0"/>
        <v>0</v>
      </c>
      <c r="Y6" s="13">
        <f t="shared" si="0"/>
        <v>0</v>
      </c>
      <c r="Z6" s="13">
        <f t="shared" si="0"/>
        <v>0</v>
      </c>
      <c r="AA6" s="13">
        <f t="shared" si="0"/>
        <v>0</v>
      </c>
      <c r="AB6" s="13">
        <f t="shared" si="0"/>
        <v>0</v>
      </c>
      <c r="AC6" s="13">
        <f t="shared" si="0"/>
        <v>0</v>
      </c>
      <c r="AD6" s="13">
        <f t="shared" si="0"/>
        <v>0</v>
      </c>
      <c r="AE6" s="13">
        <f t="shared" si="0"/>
        <v>0</v>
      </c>
      <c r="AF6" s="13">
        <f t="shared" si="0"/>
        <v>0</v>
      </c>
    </row>
    <row r="7" spans="1:32">
      <c r="A7" s="1" t="s">
        <v>14</v>
      </c>
      <c r="B7">
        <v>0</v>
      </c>
      <c r="C7" s="13">
        <f t="shared" si="1"/>
        <v>0</v>
      </c>
      <c r="D7" s="13">
        <f t="shared" si="0"/>
        <v>0</v>
      </c>
      <c r="E7" s="13">
        <f t="shared" si="0"/>
        <v>0</v>
      </c>
      <c r="F7" s="13">
        <f t="shared" si="0"/>
        <v>0</v>
      </c>
      <c r="G7" s="13">
        <f t="shared" si="0"/>
        <v>0</v>
      </c>
      <c r="H7" s="13">
        <f t="shared" si="0"/>
        <v>0</v>
      </c>
      <c r="I7" s="13">
        <f t="shared" si="0"/>
        <v>0</v>
      </c>
      <c r="J7" s="13">
        <f t="shared" si="0"/>
        <v>0</v>
      </c>
      <c r="K7" s="13">
        <f t="shared" si="0"/>
        <v>0</v>
      </c>
      <c r="L7" s="13">
        <f t="shared" si="0"/>
        <v>0</v>
      </c>
      <c r="M7" s="13">
        <f t="shared" si="0"/>
        <v>0</v>
      </c>
      <c r="N7" s="13">
        <f t="shared" si="0"/>
        <v>0</v>
      </c>
      <c r="O7" s="13">
        <f t="shared" si="0"/>
        <v>0</v>
      </c>
      <c r="P7" s="13">
        <f t="shared" si="0"/>
        <v>0</v>
      </c>
      <c r="Q7" s="13">
        <f t="shared" si="0"/>
        <v>0</v>
      </c>
      <c r="R7" s="13">
        <f t="shared" si="0"/>
        <v>0</v>
      </c>
      <c r="S7" s="13">
        <f t="shared" si="0"/>
        <v>0</v>
      </c>
      <c r="T7" s="13">
        <f t="shared" si="0"/>
        <v>0</v>
      </c>
      <c r="U7" s="13">
        <f t="shared" si="0"/>
        <v>0</v>
      </c>
      <c r="V7" s="13">
        <f t="shared" si="0"/>
        <v>0</v>
      </c>
      <c r="W7" s="13">
        <f t="shared" si="0"/>
        <v>0</v>
      </c>
      <c r="X7" s="13">
        <f t="shared" si="0"/>
        <v>0</v>
      </c>
      <c r="Y7" s="13">
        <f t="shared" si="0"/>
        <v>0</v>
      </c>
      <c r="Z7" s="13">
        <f t="shared" si="0"/>
        <v>0</v>
      </c>
      <c r="AA7" s="13">
        <f t="shared" si="0"/>
        <v>0</v>
      </c>
      <c r="AB7" s="13">
        <f t="shared" si="0"/>
        <v>0</v>
      </c>
      <c r="AC7" s="13">
        <f t="shared" si="0"/>
        <v>0</v>
      </c>
      <c r="AD7" s="13">
        <f t="shared" si="0"/>
        <v>0</v>
      </c>
      <c r="AE7" s="13">
        <f t="shared" si="0"/>
        <v>0</v>
      </c>
      <c r="AF7" s="13">
        <f t="shared" si="0"/>
        <v>0</v>
      </c>
    </row>
    <row r="8" spans="1:32">
      <c r="A8" s="1" t="s">
        <v>15</v>
      </c>
      <c r="B8">
        <f>'SYFAFE psgr'!H7</f>
        <v>0</v>
      </c>
      <c r="C8" s="13">
        <f t="shared" si="1"/>
        <v>0</v>
      </c>
      <c r="D8" s="13">
        <f t="shared" si="0"/>
        <v>0</v>
      </c>
      <c r="E8" s="13">
        <f t="shared" si="0"/>
        <v>0</v>
      </c>
      <c r="F8" s="13">
        <f t="shared" si="0"/>
        <v>0</v>
      </c>
      <c r="G8" s="13">
        <f t="shared" si="0"/>
        <v>0</v>
      </c>
      <c r="H8" s="13">
        <f t="shared" si="0"/>
        <v>0</v>
      </c>
      <c r="I8" s="13">
        <f t="shared" si="0"/>
        <v>0</v>
      </c>
      <c r="J8" s="13">
        <f t="shared" si="0"/>
        <v>0</v>
      </c>
      <c r="K8" s="13">
        <f t="shared" si="0"/>
        <v>0</v>
      </c>
      <c r="L8" s="13">
        <f t="shared" si="0"/>
        <v>0</v>
      </c>
      <c r="M8" s="13">
        <f t="shared" si="0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13">
        <f t="shared" si="0"/>
        <v>0</v>
      </c>
      <c r="R8" s="13">
        <f t="shared" si="0"/>
        <v>0</v>
      </c>
      <c r="S8" s="13">
        <f t="shared" si="0"/>
        <v>0</v>
      </c>
      <c r="T8" s="13">
        <f t="shared" si="0"/>
        <v>0</v>
      </c>
      <c r="U8" s="13">
        <f t="shared" si="0"/>
        <v>0</v>
      </c>
      <c r="V8" s="13">
        <f t="shared" si="0"/>
        <v>0</v>
      </c>
      <c r="W8" s="13">
        <f t="shared" si="0"/>
        <v>0</v>
      </c>
      <c r="X8" s="13">
        <f t="shared" si="0"/>
        <v>0</v>
      </c>
      <c r="Y8" s="13">
        <f t="shared" si="0"/>
        <v>0</v>
      </c>
      <c r="Z8" s="13">
        <f t="shared" si="0"/>
        <v>0</v>
      </c>
      <c r="AA8" s="13">
        <f t="shared" si="0"/>
        <v>0</v>
      </c>
      <c r="AB8" s="13">
        <f t="shared" si="0"/>
        <v>0</v>
      </c>
      <c r="AC8" s="13">
        <f t="shared" si="0"/>
        <v>0</v>
      </c>
      <c r="AD8" s="13">
        <f t="shared" si="0"/>
        <v>0</v>
      </c>
      <c r="AE8" s="13">
        <f t="shared" si="0"/>
        <v>0</v>
      </c>
      <c r="AF8" s="13">
        <f t="shared" si="0"/>
        <v>0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0A9E5-F65D-4793-825C-485F0A205F8F}">
  <sheetPr>
    <tabColor rgb="FF1F497D"/>
  </sheetPr>
  <dimension ref="A1:AF8"/>
  <sheetViews>
    <sheetView workbookViewId="0"/>
  </sheetViews>
  <sheetFormatPr defaultRowHeight="16.5"/>
  <cols>
    <col min="1" max="1" width="32.75" bestFit="1" customWidth="1"/>
  </cols>
  <sheetData>
    <row r="1" spans="1:32">
      <c r="A1" s="5" t="s">
        <v>22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s="1" t="s">
        <v>9</v>
      </c>
      <c r="B2" s="13">
        <f>'SYFAFE frgt'!B7</f>
        <v>0</v>
      </c>
      <c r="C2" s="13">
        <f>B2</f>
        <v>0</v>
      </c>
      <c r="D2" s="13">
        <f t="shared" ref="D2:AF8" si="0">C2</f>
        <v>0</v>
      </c>
      <c r="E2" s="13">
        <f t="shared" si="0"/>
        <v>0</v>
      </c>
      <c r="F2" s="13">
        <f t="shared" si="0"/>
        <v>0</v>
      </c>
      <c r="G2" s="13">
        <f t="shared" si="0"/>
        <v>0</v>
      </c>
      <c r="H2" s="13">
        <f t="shared" si="0"/>
        <v>0</v>
      </c>
      <c r="I2" s="13">
        <f t="shared" si="0"/>
        <v>0</v>
      </c>
      <c r="J2" s="13">
        <f t="shared" si="0"/>
        <v>0</v>
      </c>
      <c r="K2" s="13">
        <f t="shared" si="0"/>
        <v>0</v>
      </c>
      <c r="L2" s="13">
        <f t="shared" si="0"/>
        <v>0</v>
      </c>
      <c r="M2" s="13">
        <f t="shared" si="0"/>
        <v>0</v>
      </c>
      <c r="N2" s="13">
        <f t="shared" si="0"/>
        <v>0</v>
      </c>
      <c r="O2" s="13">
        <f t="shared" si="0"/>
        <v>0</v>
      </c>
      <c r="P2" s="13">
        <f t="shared" si="0"/>
        <v>0</v>
      </c>
      <c r="Q2" s="13">
        <f t="shared" si="0"/>
        <v>0</v>
      </c>
      <c r="R2" s="13">
        <f t="shared" si="0"/>
        <v>0</v>
      </c>
      <c r="S2" s="13">
        <f t="shared" si="0"/>
        <v>0</v>
      </c>
      <c r="T2" s="13">
        <f t="shared" si="0"/>
        <v>0</v>
      </c>
      <c r="U2" s="13">
        <f t="shared" si="0"/>
        <v>0</v>
      </c>
      <c r="V2" s="13">
        <f t="shared" si="0"/>
        <v>0</v>
      </c>
      <c r="W2" s="13">
        <f t="shared" si="0"/>
        <v>0</v>
      </c>
      <c r="X2" s="13">
        <f t="shared" si="0"/>
        <v>0</v>
      </c>
      <c r="Y2" s="13">
        <f t="shared" si="0"/>
        <v>0</v>
      </c>
      <c r="Z2" s="13">
        <f t="shared" si="0"/>
        <v>0</v>
      </c>
      <c r="AA2" s="13">
        <f t="shared" si="0"/>
        <v>0</v>
      </c>
      <c r="AB2" s="13">
        <f t="shared" si="0"/>
        <v>0</v>
      </c>
      <c r="AC2" s="13">
        <f t="shared" si="0"/>
        <v>0</v>
      </c>
      <c r="AD2" s="13">
        <f t="shared" si="0"/>
        <v>0</v>
      </c>
      <c r="AE2" s="13">
        <f t="shared" si="0"/>
        <v>0</v>
      </c>
      <c r="AF2" s="13">
        <f t="shared" si="0"/>
        <v>0</v>
      </c>
    </row>
    <row r="3" spans="1:32">
      <c r="A3" s="1" t="s">
        <v>10</v>
      </c>
      <c r="B3" s="14">
        <f>'BNVFE-motorbikes-psgr'!B3</f>
        <v>0</v>
      </c>
      <c r="C3" s="14">
        <f t="shared" ref="C3:R8" si="1">B3</f>
        <v>0</v>
      </c>
      <c r="D3" s="14">
        <f t="shared" si="1"/>
        <v>0</v>
      </c>
      <c r="E3" s="14">
        <f t="shared" si="1"/>
        <v>0</v>
      </c>
      <c r="F3" s="14">
        <f t="shared" si="1"/>
        <v>0</v>
      </c>
      <c r="G3" s="14">
        <f t="shared" si="1"/>
        <v>0</v>
      </c>
      <c r="H3" s="14">
        <f t="shared" si="1"/>
        <v>0</v>
      </c>
      <c r="I3" s="14">
        <f t="shared" si="1"/>
        <v>0</v>
      </c>
      <c r="J3" s="14">
        <f t="shared" si="1"/>
        <v>0</v>
      </c>
      <c r="K3" s="14">
        <f t="shared" si="1"/>
        <v>0</v>
      </c>
      <c r="L3" s="14">
        <f t="shared" si="1"/>
        <v>0</v>
      </c>
      <c r="M3" s="14">
        <f t="shared" si="1"/>
        <v>0</v>
      </c>
      <c r="N3" s="14">
        <f t="shared" si="1"/>
        <v>0</v>
      </c>
      <c r="O3" s="14">
        <f t="shared" si="1"/>
        <v>0</v>
      </c>
      <c r="P3" s="14">
        <f t="shared" si="1"/>
        <v>0</v>
      </c>
      <c r="Q3" s="14">
        <f t="shared" si="1"/>
        <v>0</v>
      </c>
      <c r="R3" s="14">
        <f t="shared" si="1"/>
        <v>0</v>
      </c>
      <c r="S3" s="14">
        <f t="shared" si="0"/>
        <v>0</v>
      </c>
      <c r="T3" s="14">
        <f t="shared" si="0"/>
        <v>0</v>
      </c>
      <c r="U3" s="14">
        <f t="shared" si="0"/>
        <v>0</v>
      </c>
      <c r="V3" s="14">
        <f t="shared" si="0"/>
        <v>0</v>
      </c>
      <c r="W3" s="14">
        <f t="shared" si="0"/>
        <v>0</v>
      </c>
      <c r="X3" s="14">
        <f t="shared" si="0"/>
        <v>0</v>
      </c>
      <c r="Y3" s="14">
        <f t="shared" si="0"/>
        <v>0</v>
      </c>
      <c r="Z3" s="14">
        <f t="shared" si="0"/>
        <v>0</v>
      </c>
      <c r="AA3" s="14">
        <f t="shared" si="0"/>
        <v>0</v>
      </c>
      <c r="AB3" s="14">
        <f t="shared" si="0"/>
        <v>0</v>
      </c>
      <c r="AC3" s="14">
        <f t="shared" si="0"/>
        <v>0</v>
      </c>
      <c r="AD3" s="14">
        <f t="shared" si="0"/>
        <v>0</v>
      </c>
      <c r="AE3" s="14">
        <f t="shared" si="0"/>
        <v>0</v>
      </c>
      <c r="AF3" s="14">
        <f t="shared" si="0"/>
        <v>0</v>
      </c>
    </row>
    <row r="4" spans="1:32">
      <c r="A4" s="1" t="s">
        <v>11</v>
      </c>
      <c r="B4" s="21">
        <f>'SYFAFE frgt'!D7</f>
        <v>5.983190553484204E-5</v>
      </c>
      <c r="C4" s="21">
        <f t="shared" si="1"/>
        <v>5.983190553484204E-5</v>
      </c>
      <c r="D4" s="21">
        <f t="shared" si="0"/>
        <v>5.983190553484204E-5</v>
      </c>
      <c r="E4" s="21">
        <f t="shared" si="0"/>
        <v>5.983190553484204E-5</v>
      </c>
      <c r="F4" s="21">
        <f t="shared" si="0"/>
        <v>5.983190553484204E-5</v>
      </c>
      <c r="G4" s="21">
        <f t="shared" si="0"/>
        <v>5.983190553484204E-5</v>
      </c>
      <c r="H4" s="21">
        <f t="shared" si="0"/>
        <v>5.983190553484204E-5</v>
      </c>
      <c r="I4" s="21">
        <f t="shared" si="0"/>
        <v>5.983190553484204E-5</v>
      </c>
      <c r="J4" s="21">
        <f t="shared" si="0"/>
        <v>5.983190553484204E-5</v>
      </c>
      <c r="K4" s="21">
        <f t="shared" si="0"/>
        <v>5.983190553484204E-5</v>
      </c>
      <c r="L4" s="21">
        <f t="shared" si="0"/>
        <v>5.983190553484204E-5</v>
      </c>
      <c r="M4" s="21">
        <f t="shared" si="0"/>
        <v>5.983190553484204E-5</v>
      </c>
      <c r="N4" s="21">
        <f t="shared" si="0"/>
        <v>5.983190553484204E-5</v>
      </c>
      <c r="O4" s="21">
        <f t="shared" si="0"/>
        <v>5.983190553484204E-5</v>
      </c>
      <c r="P4" s="21">
        <f t="shared" si="0"/>
        <v>5.983190553484204E-5</v>
      </c>
      <c r="Q4" s="21">
        <f t="shared" si="0"/>
        <v>5.983190553484204E-5</v>
      </c>
      <c r="R4" s="21">
        <f t="shared" si="0"/>
        <v>5.983190553484204E-5</v>
      </c>
      <c r="S4" s="21">
        <f t="shared" si="0"/>
        <v>5.983190553484204E-5</v>
      </c>
      <c r="T4" s="21">
        <f t="shared" si="0"/>
        <v>5.983190553484204E-5</v>
      </c>
      <c r="U4" s="21">
        <f t="shared" si="0"/>
        <v>5.983190553484204E-5</v>
      </c>
      <c r="V4" s="21">
        <f t="shared" si="0"/>
        <v>5.983190553484204E-5</v>
      </c>
      <c r="W4" s="21">
        <f t="shared" si="0"/>
        <v>5.983190553484204E-5</v>
      </c>
      <c r="X4" s="21">
        <f t="shared" si="0"/>
        <v>5.983190553484204E-5</v>
      </c>
      <c r="Y4" s="21">
        <f t="shared" si="0"/>
        <v>5.983190553484204E-5</v>
      </c>
      <c r="Z4" s="21">
        <f t="shared" si="0"/>
        <v>5.983190553484204E-5</v>
      </c>
      <c r="AA4" s="21">
        <f t="shared" si="0"/>
        <v>5.983190553484204E-5</v>
      </c>
      <c r="AB4" s="21">
        <f t="shared" si="0"/>
        <v>5.983190553484204E-5</v>
      </c>
      <c r="AC4" s="21">
        <f t="shared" si="0"/>
        <v>5.983190553484204E-5</v>
      </c>
      <c r="AD4" s="21">
        <f t="shared" si="0"/>
        <v>5.983190553484204E-5</v>
      </c>
      <c r="AE4" s="21">
        <f t="shared" si="0"/>
        <v>5.983190553484204E-5</v>
      </c>
      <c r="AF4" s="21">
        <f t="shared" si="0"/>
        <v>5.983190553484204E-5</v>
      </c>
    </row>
    <row r="5" spans="1:32">
      <c r="A5" s="1" t="s">
        <v>12</v>
      </c>
      <c r="B5" s="14">
        <f>'BNVFE-motorbikes-psgr'!B5</f>
        <v>0</v>
      </c>
      <c r="C5" s="14">
        <f t="shared" si="1"/>
        <v>0</v>
      </c>
      <c r="D5" s="14">
        <f t="shared" si="0"/>
        <v>0</v>
      </c>
      <c r="E5" s="14">
        <f t="shared" si="0"/>
        <v>0</v>
      </c>
      <c r="F5" s="14">
        <f t="shared" si="0"/>
        <v>0</v>
      </c>
      <c r="G5" s="14">
        <f t="shared" si="0"/>
        <v>0</v>
      </c>
      <c r="H5" s="14">
        <f t="shared" si="0"/>
        <v>0</v>
      </c>
      <c r="I5" s="14">
        <f t="shared" si="0"/>
        <v>0</v>
      </c>
      <c r="J5" s="14">
        <f t="shared" si="0"/>
        <v>0</v>
      </c>
      <c r="K5" s="14">
        <f t="shared" si="0"/>
        <v>0</v>
      </c>
      <c r="L5" s="14">
        <f t="shared" si="0"/>
        <v>0</v>
      </c>
      <c r="M5" s="14">
        <f t="shared" si="0"/>
        <v>0</v>
      </c>
      <c r="N5" s="14">
        <f t="shared" si="0"/>
        <v>0</v>
      </c>
      <c r="O5" s="14">
        <f t="shared" si="0"/>
        <v>0</v>
      </c>
      <c r="P5" s="14">
        <f t="shared" si="0"/>
        <v>0</v>
      </c>
      <c r="Q5" s="14">
        <f t="shared" si="0"/>
        <v>0</v>
      </c>
      <c r="R5" s="14">
        <f t="shared" si="0"/>
        <v>0</v>
      </c>
      <c r="S5" s="14">
        <f t="shared" si="0"/>
        <v>0</v>
      </c>
      <c r="T5" s="14">
        <f t="shared" si="0"/>
        <v>0</v>
      </c>
      <c r="U5" s="14">
        <f t="shared" si="0"/>
        <v>0</v>
      </c>
      <c r="V5" s="14">
        <f t="shared" si="0"/>
        <v>0</v>
      </c>
      <c r="W5" s="14">
        <f t="shared" si="0"/>
        <v>0</v>
      </c>
      <c r="X5" s="14">
        <f t="shared" si="0"/>
        <v>0</v>
      </c>
      <c r="Y5" s="14">
        <f t="shared" si="0"/>
        <v>0</v>
      </c>
      <c r="Z5" s="14">
        <f t="shared" si="0"/>
        <v>0</v>
      </c>
      <c r="AA5" s="14">
        <f t="shared" si="0"/>
        <v>0</v>
      </c>
      <c r="AB5" s="14">
        <f t="shared" si="0"/>
        <v>0</v>
      </c>
      <c r="AC5" s="14">
        <f t="shared" si="0"/>
        <v>0</v>
      </c>
      <c r="AD5" s="14">
        <f t="shared" si="0"/>
        <v>0</v>
      </c>
      <c r="AE5" s="14">
        <f t="shared" si="0"/>
        <v>0</v>
      </c>
      <c r="AF5" s="14">
        <f t="shared" si="0"/>
        <v>0</v>
      </c>
    </row>
    <row r="6" spans="1:32">
      <c r="A6" s="1" t="s">
        <v>13</v>
      </c>
      <c r="B6" s="14">
        <f>'BNVFE-motorbikes-psgr'!B6</f>
        <v>0</v>
      </c>
      <c r="C6" s="14">
        <f t="shared" si="1"/>
        <v>0</v>
      </c>
      <c r="D6" s="14">
        <f t="shared" si="0"/>
        <v>0</v>
      </c>
      <c r="E6" s="14">
        <f t="shared" si="0"/>
        <v>0</v>
      </c>
      <c r="F6" s="14">
        <f t="shared" si="0"/>
        <v>0</v>
      </c>
      <c r="G6" s="14">
        <f t="shared" si="0"/>
        <v>0</v>
      </c>
      <c r="H6" s="14">
        <f t="shared" si="0"/>
        <v>0</v>
      </c>
      <c r="I6" s="14">
        <f t="shared" si="0"/>
        <v>0</v>
      </c>
      <c r="J6" s="14">
        <f t="shared" si="0"/>
        <v>0</v>
      </c>
      <c r="K6" s="14">
        <f t="shared" si="0"/>
        <v>0</v>
      </c>
      <c r="L6" s="14">
        <f t="shared" si="0"/>
        <v>0</v>
      </c>
      <c r="M6" s="14">
        <f t="shared" si="0"/>
        <v>0</v>
      </c>
      <c r="N6" s="14">
        <f t="shared" si="0"/>
        <v>0</v>
      </c>
      <c r="O6" s="14">
        <f t="shared" si="0"/>
        <v>0</v>
      </c>
      <c r="P6" s="14">
        <f t="shared" si="0"/>
        <v>0</v>
      </c>
      <c r="Q6" s="14">
        <f t="shared" si="0"/>
        <v>0</v>
      </c>
      <c r="R6" s="14">
        <f t="shared" si="0"/>
        <v>0</v>
      </c>
      <c r="S6" s="14">
        <f t="shared" si="0"/>
        <v>0</v>
      </c>
      <c r="T6" s="14">
        <f t="shared" si="0"/>
        <v>0</v>
      </c>
      <c r="U6" s="14">
        <f t="shared" si="0"/>
        <v>0</v>
      </c>
      <c r="V6" s="14">
        <f t="shared" si="0"/>
        <v>0</v>
      </c>
      <c r="W6" s="14">
        <f t="shared" si="0"/>
        <v>0</v>
      </c>
      <c r="X6" s="14">
        <f t="shared" si="0"/>
        <v>0</v>
      </c>
      <c r="Y6" s="14">
        <f t="shared" si="0"/>
        <v>0</v>
      </c>
      <c r="Z6" s="14">
        <f t="shared" si="0"/>
        <v>0</v>
      </c>
      <c r="AA6" s="14">
        <f t="shared" si="0"/>
        <v>0</v>
      </c>
      <c r="AB6" s="14">
        <f t="shared" si="0"/>
        <v>0</v>
      </c>
      <c r="AC6" s="14">
        <f t="shared" si="0"/>
        <v>0</v>
      </c>
      <c r="AD6" s="14">
        <f t="shared" si="0"/>
        <v>0</v>
      </c>
      <c r="AE6" s="14">
        <f t="shared" si="0"/>
        <v>0</v>
      </c>
      <c r="AF6" s="14">
        <f t="shared" si="0"/>
        <v>0</v>
      </c>
    </row>
    <row r="7" spans="1:32">
      <c r="A7" s="1" t="s">
        <v>14</v>
      </c>
      <c r="B7" s="14">
        <f>'BNVFE-motorbikes-psgr'!B7</f>
        <v>0</v>
      </c>
      <c r="C7" s="14">
        <f t="shared" si="1"/>
        <v>0</v>
      </c>
      <c r="D7" s="14">
        <f t="shared" si="0"/>
        <v>0</v>
      </c>
      <c r="E7" s="14">
        <f t="shared" si="0"/>
        <v>0</v>
      </c>
      <c r="F7" s="14">
        <f t="shared" si="0"/>
        <v>0</v>
      </c>
      <c r="G7" s="14">
        <f t="shared" si="0"/>
        <v>0</v>
      </c>
      <c r="H7" s="14">
        <f t="shared" si="0"/>
        <v>0</v>
      </c>
      <c r="I7" s="14">
        <f t="shared" si="0"/>
        <v>0</v>
      </c>
      <c r="J7" s="14">
        <f t="shared" si="0"/>
        <v>0</v>
      </c>
      <c r="K7" s="14">
        <f t="shared" si="0"/>
        <v>0</v>
      </c>
      <c r="L7" s="14">
        <f t="shared" si="0"/>
        <v>0</v>
      </c>
      <c r="M7" s="14">
        <f t="shared" si="0"/>
        <v>0</v>
      </c>
      <c r="N7" s="14">
        <f t="shared" si="0"/>
        <v>0</v>
      </c>
      <c r="O7" s="14">
        <f t="shared" si="0"/>
        <v>0</v>
      </c>
      <c r="P7" s="14">
        <f t="shared" si="0"/>
        <v>0</v>
      </c>
      <c r="Q7" s="14">
        <f t="shared" si="0"/>
        <v>0</v>
      </c>
      <c r="R7" s="14">
        <f t="shared" si="0"/>
        <v>0</v>
      </c>
      <c r="S7" s="14">
        <f t="shared" si="0"/>
        <v>0</v>
      </c>
      <c r="T7" s="14">
        <f t="shared" si="0"/>
        <v>0</v>
      </c>
      <c r="U7" s="14">
        <f t="shared" si="0"/>
        <v>0</v>
      </c>
      <c r="V7" s="14">
        <f t="shared" si="0"/>
        <v>0</v>
      </c>
      <c r="W7" s="14">
        <f t="shared" si="0"/>
        <v>0</v>
      </c>
      <c r="X7" s="14">
        <f t="shared" si="0"/>
        <v>0</v>
      </c>
      <c r="Y7" s="14">
        <f t="shared" si="0"/>
        <v>0</v>
      </c>
      <c r="Z7" s="14">
        <f t="shared" si="0"/>
        <v>0</v>
      </c>
      <c r="AA7" s="14">
        <f t="shared" si="0"/>
        <v>0</v>
      </c>
      <c r="AB7" s="14">
        <f t="shared" si="0"/>
        <v>0</v>
      </c>
      <c r="AC7" s="14">
        <f t="shared" si="0"/>
        <v>0</v>
      </c>
      <c r="AD7" s="14">
        <f t="shared" si="0"/>
        <v>0</v>
      </c>
      <c r="AE7" s="14">
        <f t="shared" si="0"/>
        <v>0</v>
      </c>
      <c r="AF7" s="14">
        <f t="shared" si="0"/>
        <v>0</v>
      </c>
    </row>
    <row r="8" spans="1:32">
      <c r="A8" s="1" t="s">
        <v>15</v>
      </c>
      <c r="B8" s="14">
        <f>'SYFAFE frgt'!H7</f>
        <v>0</v>
      </c>
      <c r="C8" s="14">
        <f t="shared" si="1"/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14">
        <f t="shared" si="0"/>
        <v>0</v>
      </c>
      <c r="R8" s="14">
        <f t="shared" si="0"/>
        <v>0</v>
      </c>
      <c r="S8" s="14">
        <f t="shared" si="0"/>
        <v>0</v>
      </c>
      <c r="T8" s="14">
        <f t="shared" si="0"/>
        <v>0</v>
      </c>
      <c r="U8" s="14">
        <f t="shared" si="0"/>
        <v>0</v>
      </c>
      <c r="V8" s="14">
        <f t="shared" si="0"/>
        <v>0</v>
      </c>
      <c r="W8" s="14">
        <f t="shared" si="0"/>
        <v>0</v>
      </c>
      <c r="X8" s="14">
        <f t="shared" si="0"/>
        <v>0</v>
      </c>
      <c r="Y8" s="14">
        <f t="shared" si="0"/>
        <v>0</v>
      </c>
      <c r="Z8" s="14">
        <f t="shared" si="0"/>
        <v>0</v>
      </c>
      <c r="AA8" s="14">
        <f t="shared" si="0"/>
        <v>0</v>
      </c>
      <c r="AB8" s="14">
        <f t="shared" si="0"/>
        <v>0</v>
      </c>
      <c r="AC8" s="14">
        <f t="shared" si="0"/>
        <v>0</v>
      </c>
      <c r="AD8" s="14">
        <f t="shared" si="0"/>
        <v>0</v>
      </c>
      <c r="AE8" s="14">
        <f t="shared" si="0"/>
        <v>0</v>
      </c>
      <c r="AF8" s="14">
        <f t="shared" si="0"/>
        <v>0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7954CBA-CC49-4137-B897-2F07557F3495}">
  <ds:schemaRefs>
    <ds:schemaRef ds:uri="http://schemas.microsoft.com/office/infopath/2007/PartnerControls"/>
    <ds:schemaRef ds:uri="http://schemas.microsoft.com/office/2006/documentManagement/types"/>
    <ds:schemaRef ds:uri="40f4d404-d193-41dc-bb72-733c1e774208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2006/metadata/properties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3097742-8605-4D00-9519-07E7CAC067C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1E16404-9CDB-444B-B1EF-816DE1AF28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31</vt:i4>
      </vt:variant>
    </vt:vector>
  </HeadingPairs>
  <TitlesOfParts>
    <vt:vector size="31" baseType="lpstr">
      <vt:lpstr>About</vt:lpstr>
      <vt:lpstr>SYFAFE psgr</vt:lpstr>
      <vt:lpstr>SYFAFE frgt</vt:lpstr>
      <vt:lpstr>US-LDVs-psgr</vt:lpstr>
      <vt:lpstr>US-LDVs-frgt</vt:lpstr>
      <vt:lpstr>US-HDVs-psgr</vt:lpstr>
      <vt:lpstr>US-HDVs-frgt</vt:lpstr>
      <vt:lpstr>US-aircraft-psgr</vt:lpstr>
      <vt:lpstr>US-aircraft-frgt</vt:lpstr>
      <vt:lpstr>US-rail-psgr</vt:lpstr>
      <vt:lpstr>US-rail-frgt</vt:lpstr>
      <vt:lpstr>US-ships-psgr</vt:lpstr>
      <vt:lpstr>US-ships-frgt</vt:lpstr>
      <vt:lpstr>US-motorbikes-psgr</vt:lpstr>
      <vt:lpstr>US-motorbikes-frgt</vt:lpstr>
      <vt:lpstr>Calibration</vt:lpstr>
      <vt:lpstr>CAGR</vt:lpstr>
      <vt:lpstr>SK_fuel econ</vt:lpstr>
      <vt:lpstr>Result&gt;&gt;</vt:lpstr>
      <vt:lpstr>BNVFE-LDVs-psgr</vt:lpstr>
      <vt:lpstr>BNVFE-LDVs-frgt</vt:lpstr>
      <vt:lpstr>BNVFE-HDVs-psgr</vt:lpstr>
      <vt:lpstr>BNVFE-HDVs-frgt</vt:lpstr>
      <vt:lpstr>BNVFE-aircraft-psgr</vt:lpstr>
      <vt:lpstr>BNVFE-aircraft-frgt</vt:lpstr>
      <vt:lpstr>BNVFE-rail-psgr</vt:lpstr>
      <vt:lpstr>BNVFE-rail-frgt</vt:lpstr>
      <vt:lpstr>BNVFE-ships-psgr</vt:lpstr>
      <vt:lpstr>BNVFE-ships-frgt</vt:lpstr>
      <vt:lpstr>BNVFE-motorbikes-psgr</vt:lpstr>
      <vt:lpstr>BNVFE-motorbikes-frgt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GyeHyunPark</dc:creator>
  <cp:keywords/>
  <dc:description/>
  <cp:lastModifiedBy>공용계정2</cp:lastModifiedBy>
  <cp:revision/>
  <dcterms:created xsi:type="dcterms:W3CDTF">2022-02-10T07:50:47Z</dcterms:created>
  <dcterms:modified xsi:type="dcterms:W3CDTF">2026-01-08T02:24:53Z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